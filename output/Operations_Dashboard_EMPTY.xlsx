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MASTER DASHBOARD" sheetId="2" state="visible" r:id="rId2"/>
    <sheet name="WSF DASHBOARD" sheetId="3" state="visible" r:id="rId3"/>
    <sheet name="MIDWEEK DASHBOARD" sheetId="4" state="visible" r:id="rId4"/>
    <sheet name="CHOP DASHBOARD" sheetId="5" state="visible" r:id="rId5"/>
    <sheet name="COMMUNITY CHURCH DASHBOARD" sheetId="6" state="visible" r:id="rId6"/>
    <sheet name="TRANSPORT DASHBOARD" sheetId="7" state="visible" r:id="rId7"/>
    <sheet name="AREA SCORECARD" sheetId="8" state="visible" r:id="rId8"/>
    <sheet name="ZONE SCORECARD" sheetId="9" state="visible" r:id="rId9"/>
    <sheet name="DATA QUALITY" sheetId="10" state="visible" r:id="rId10"/>
    <sheet name="DATA_WSF" sheetId="11" state="visible" r:id="rId11"/>
    <sheet name="WSF_CELLS_CURRENT" sheetId="12" state="visible" r:id="rId12"/>
    <sheet name="DATA_MIDWEEK" sheetId="13" state="visible" r:id="rId13"/>
    <sheet name="DATA_CHOP" sheetId="14" state="visible" r:id="rId14"/>
    <sheet name="DATA_COMMUNITY" sheetId="15" state="visible" r:id="rId15"/>
    <sheet name="DATA_TRANSPORT_OPS" sheetId="16" state="visible" r:id="rId16"/>
    <sheet name="DATA_TRANSPORT_FINANCE" sheetId="17" state="visible" r:id="rId17"/>
    <sheet name="MASTER_AREAS" sheetId="18" state="visible" r:id="rId18"/>
    <sheet name="MASTER_ZONES" sheetId="19" state="visible" r:id="rId19"/>
    <sheet name="MASTER_CELLS" sheetId="20" state="visible" r:id="rId20"/>
    <sheet name="MASTER_COMMUNITY" sheetId="21" state="visible" r:id="rId21"/>
    <sheet name="MASTER_FLEET" sheetId="22" state="visible" r:id="rId22"/>
    <sheet name="CALENDAR" sheetId="23" state="hidden" r:id="rId23"/>
    <sheet name="SETTINGS" sheetId="24" state="hidden" r:id="rId24"/>
    <sheet name="CALC_LISTS" sheetId="25" state="hidden" r:id="rId25"/>
    <sheet name="CALC_SEARCH" sheetId="26" state="hidden" r:id="rId26"/>
    <sheet name="CALC_WSF" sheetId="27" state="hidden" r:id="rId27"/>
  </sheets>
  <definedNames>
    <definedName name="WeekEndDay">SETTINGS!$B$4</definedName>
    <definedName name="DefaultWindow">SETTINGS!$B$5</definedName>
    <definedName name="RAG_Green">SETTINGS!$B$6</definedName>
    <definedName name="RAG_Amber">SETTINGS!$B$7</definedName>
    <definedName name="UtilLow">SETTINGS!$B$8</definedName>
    <definedName name="UtilHigh">SETTINGS!$B$9</definedName>
    <definedName name="UtilLowWeeks">SETTINGS!$B$10</definedName>
    <definedName name="Cap_FT">SETTINGS!$B$11</definedName>
    <definedName name="Cap_Coaster">SETTINGS!$B$12</definedName>
    <definedName name="Cap_Electric">SETTINGS!$B$13</definedName>
    <definedName name="Cap_Big">SETTINGS!$B$14</definedName>
    <definedName name="CurrencySymbol">SETTINGS!$B$15</definedName>
    <definedName name="WSF_SelectList">OFFSET(CALC_SEARCH!$C$2,0,0,MAX(1,MIN(250,CALC_SEARCH!$D$2)),1)</definedName>
    <definedName name="WSF_WeekList">OFFSET(CALC_LISTS!$A$1,0,0,1+CALC_LISTS!$B$6,1)</definedName>
    <definedName name="_xlnm.Print_Titles" localSheetId="2">'WSF DASHBOARD'!$1:$5</definedName>
    <definedName name="_xlnm.Print_Area" localSheetId="2">'WSF DASHBOARD'!$A$1:$P$110</definedName>
    <definedName name="_xlnm.Print_Titles" localSheetId="9">'DATA QUALITY'!$1:$2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%"/>
    <numFmt numFmtId="165" formatCode="dd-mmm-yyyy"/>
    <numFmt numFmtId="166" formatCode="yyyy-mm-dd hh:mm"/>
    <numFmt numFmtId="167" formatCode="&quot;₦&quot;#,##0"/>
    <numFmt numFmtId="168" formatCode="#,##0.0"/>
    <numFmt numFmtId="169" formatCode="+#,##0;-#,##0;0"/>
    <numFmt numFmtId="170" formatCode="+0.0%;-0.0%;0.0%"/>
    <numFmt numFmtId="171" formatCode="+0.0&quot; pts&quot;;-0.0&quot; pts&quot;;0.0&quot; pts&quot;"/>
    <numFmt numFmtId="172" formatCode="0.0&quot; : 1&quot;"/>
    <numFmt numFmtId="173" formatCode="+0.0;-0.0;0.0"/>
    <numFmt numFmtId="174" formatCode="+#,##0.0;-#,##0.0;0.0"/>
  </numFmts>
  <fonts count="43">
    <font>
      <name val="Calibri"/>
      <family val="2"/>
      <color theme="1"/>
      <sz val="11"/>
      <scheme val="minor"/>
    </font>
    <font>
      <name val="Arial"/>
      <b val="1"/>
      <color rgb="001B2A41"/>
      <sz val="16"/>
    </font>
    <font>
      <name val="Arial"/>
      <i val="1"/>
      <color rgb="006B7785"/>
      <sz val="9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1F2933"/>
      <sz val="10"/>
    </font>
    <font>
      <name val="Arial"/>
      <color rgb="006B7785"/>
      <sz val="9"/>
    </font>
    <font>
      <name val="Arial"/>
      <color rgb="000000FF"/>
      <sz val="10"/>
    </font>
    <font>
      <name val="Arial"/>
      <b val="1"/>
      <color rgb="001F2933"/>
      <sz val="11"/>
    </font>
    <font>
      <name val="Arial"/>
      <b val="1"/>
      <color rgb="001F2933"/>
      <sz val="9"/>
    </font>
    <font>
      <name val="Arial"/>
      <b val="1"/>
      <color rgb="00FFFFFF"/>
      <sz val="18"/>
    </font>
    <font>
      <name val="Arial"/>
      <color rgb="00BBCFE4"/>
      <sz val="9"/>
    </font>
    <font>
      <name val="Arial"/>
      <b val="1"/>
      <color rgb="005787BD"/>
      <sz val="8"/>
    </font>
    <font>
      <name val="Arial"/>
      <i val="1"/>
      <color rgb="004B7FB9"/>
      <sz val="9"/>
    </font>
    <font>
      <name val="Arial"/>
      <b val="1"/>
      <color rgb="004077B5"/>
      <sz val="8"/>
    </font>
    <font>
      <name val="Arial"/>
      <b val="1"/>
      <color rgb="001F5FA8"/>
      <sz val="20"/>
    </font>
    <font>
      <name val="Arial"/>
      <b val="1"/>
      <color rgb="006B7785"/>
      <sz val="9"/>
    </font>
    <font>
      <name val="Arial"/>
      <color rgb="006B7785"/>
      <sz val="8"/>
    </font>
    <font>
      <name val="Arial"/>
      <b val="1"/>
      <color rgb="001F5FA8"/>
      <sz val="12"/>
    </font>
    <font>
      <name val="Arial"/>
      <b val="1"/>
      <color rgb="00FFFFFF"/>
      <sz val="9"/>
    </font>
    <font>
      <name val="Arial"/>
      <color rgb="001F2933"/>
      <sz val="9"/>
    </font>
    <font>
      <name val="Arial"/>
      <i val="1"/>
      <color rgb="006B7785"/>
      <sz val="8"/>
    </font>
    <font>
      <name val="Arial"/>
      <b val="1"/>
      <color rgb="001F5FA8"/>
      <sz val="9"/>
    </font>
    <font>
      <name val="Arial"/>
      <b val="1"/>
      <color rgb="00A61B1B"/>
      <sz val="9"/>
    </font>
    <font>
      <name val="Arial"/>
      <color rgb="00BABFC6"/>
      <sz val="9"/>
    </font>
    <font>
      <name val="Arial"/>
      <i val="1"/>
      <color rgb="006B7785"/>
      <sz val="11"/>
    </font>
    <font>
      <name val="Arial"/>
      <color rgb="00B7D7D5"/>
      <sz val="9"/>
    </font>
    <font>
      <name val="Arial"/>
      <color rgb="00D2C5E2"/>
      <sz val="9"/>
    </font>
    <font>
      <name val="Arial"/>
      <color rgb="00E8C6D3"/>
      <sz val="9"/>
    </font>
    <font>
      <name val="Arial"/>
      <color rgb="00F3D5BA"/>
      <sz val="9"/>
    </font>
    <font>
      <name val="Arial"/>
      <color rgb="00CDD1D4"/>
      <sz val="9"/>
    </font>
    <font>
      <name val="Arial"/>
      <b val="1"/>
      <color rgb="005B6770"/>
      <sz val="12"/>
    </font>
    <font>
      <name val="Arial"/>
      <b val="1"/>
      <color rgb="001B2A41"/>
      <sz val="12"/>
    </font>
    <font>
      <name val="Arial"/>
      <b val="1"/>
      <color rgb="00FFFFFF"/>
      <sz val="11"/>
    </font>
    <font>
      <name val="Arial"/>
      <color rgb="00D1D4D9"/>
      <sz val="8"/>
    </font>
    <font>
      <name val="Arial"/>
      <color rgb="00D2DFED"/>
      <sz val="8"/>
    </font>
    <font>
      <name val="Arial"/>
      <color rgb="00CFE4E3"/>
      <sz val="8"/>
    </font>
    <font>
      <name val="Arial"/>
      <color rgb="00E1D8EC"/>
      <sz val="8"/>
    </font>
    <font>
      <name val="Arial"/>
      <color rgb="00F0D9E2"/>
      <sz val="8"/>
    </font>
    <font>
      <name val="Arial"/>
      <color rgb="00F7E3D1"/>
      <sz val="8"/>
    </font>
    <font>
      <name val="Arial"/>
      <color rgb="00DEE0E2"/>
      <sz val="8"/>
    </font>
    <font>
      <name val="Arial"/>
      <b val="1"/>
      <color rgb="001B2A41"/>
      <sz val="10"/>
    </font>
    <font>
      <name val="Arial"/>
      <b val="1"/>
      <color rgb="008A5A00"/>
      <sz val="9"/>
    </font>
  </fonts>
  <fills count="16">
    <fill>
      <patternFill/>
    </fill>
    <fill>
      <patternFill patternType="gray125"/>
    </fill>
    <fill>
      <patternFill patternType="solid">
        <fgColor rgb="001B2A41"/>
        <bgColor rgb="001B2A41"/>
      </patternFill>
    </fill>
    <fill>
      <patternFill patternType="solid">
        <fgColor rgb="00FFFFE0"/>
        <bgColor rgb="00FFFFE0"/>
      </patternFill>
    </fill>
    <fill>
      <patternFill patternType="solid">
        <fgColor rgb="001F5FA8"/>
        <bgColor rgb="001F5FA8"/>
      </patternFill>
    </fill>
    <fill>
      <patternFill patternType="solid">
        <fgColor rgb="000F7C74"/>
        <bgColor rgb="000F7C74"/>
      </patternFill>
    </fill>
    <fill>
      <patternFill patternType="solid">
        <fgColor rgb="006A3FA0"/>
        <bgColor rgb="006A3FA0"/>
      </patternFill>
    </fill>
    <fill>
      <patternFill patternType="solid">
        <fgColor rgb="00B5446E"/>
        <bgColor rgb="00B5446E"/>
      </patternFill>
    </fill>
    <fill>
      <patternFill patternType="solid">
        <fgColor rgb="00D9731A"/>
        <bgColor rgb="00D9731A"/>
      </patternFill>
    </fill>
    <fill>
      <patternFill patternType="solid">
        <fgColor rgb="005B6770"/>
        <bgColor rgb="005B6770"/>
      </patternFill>
    </fill>
    <fill>
      <patternFill patternType="solid">
        <fgColor rgb="00E8EFF6"/>
        <bgColor rgb="00E8EFF6"/>
      </patternFill>
    </fill>
    <fill>
      <patternFill patternType="solid">
        <fgColor rgb="00FFFFFF"/>
        <bgColor rgb="00FFFFFF"/>
      </patternFill>
    </fill>
    <fill>
      <patternFill patternType="solid">
        <fgColor rgb="00D2DFED"/>
        <bgColor rgb="00D2DFED"/>
      </patternFill>
    </fill>
    <fill>
      <patternFill patternType="solid">
        <fgColor rgb="00EDF2F8"/>
        <bgColor rgb="00EDF2F8"/>
      </patternFill>
    </fill>
    <fill>
      <patternFill patternType="solid">
        <fgColor rgb="00F3F7FA"/>
        <bgColor rgb="00F3F7FA"/>
      </patternFill>
    </fill>
    <fill>
      <patternFill patternType="solid">
        <fgColor rgb="00FFF1CC"/>
        <bgColor rgb="00FFF1CC"/>
      </patternFill>
    </fill>
  </fills>
  <borders count="15">
    <border>
      <left/>
      <right/>
      <top/>
      <bottom/>
      <diagonal/>
    </border>
    <border>
      <left style="thin">
        <color rgb="00D5DAE1"/>
      </left>
      <right style="thin">
        <color rgb="00D5DAE1"/>
      </right>
      <top style="thin">
        <color rgb="00D5DAE1"/>
      </top>
      <bottom style="thin">
        <color rgb="00D5DAE1"/>
      </bottom>
    </border>
    <border>
      <left style="thick">
        <color rgb="00FFFFFF"/>
      </left>
      <top style="thick">
        <color rgb="001F5FA8"/>
      </top>
    </border>
    <border>
      <right style="thick">
        <color rgb="00FFFFFF"/>
      </right>
      <top style="thick">
        <color rgb="001F5FA8"/>
      </top>
    </border>
    <border>
      <left style="thick">
        <color rgb="00FFFFFF"/>
      </left>
    </border>
    <border>
      <right style="thick">
        <color rgb="00FFFFFF"/>
      </right>
    </border>
    <border>
      <left style="thick">
        <color rgb="00FFFFFF"/>
      </left>
      <right style="thick">
        <color rgb="00FFFFFF"/>
      </right>
      <top style="thick">
        <color rgb="001F5FA8"/>
      </top>
    </border>
    <border>
      <left/>
      <right/>
      <top style="thick">
        <color rgb="001F5FA8"/>
      </top>
      <bottom/>
      <diagonal/>
    </border>
    <border>
      <left/>
      <right style="thick">
        <color rgb="00FFFFFF"/>
      </right>
      <top style="thick">
        <color rgb="001F5FA8"/>
      </top>
      <bottom/>
      <diagonal/>
    </border>
    <border>
      <left style="thick">
        <color rgb="00FFFFFF"/>
      </left>
      <right style="thick">
        <color rgb="00FFFFFF"/>
      </right>
    </border>
    <border>
      <left/>
      <right style="thick">
        <color rgb="00FFFFFF"/>
      </right>
      <top/>
      <bottom/>
      <diagonal/>
    </border>
    <border>
      <bottom style="medium">
        <color rgb="001F5FA8"/>
      </bottom>
    </border>
    <border>
      <bottom style="thin">
        <color rgb="00D5DAE1"/>
      </bottom>
    </border>
    <border>
      <bottom style="medium">
        <color rgb="005B6770"/>
      </bottom>
    </border>
    <border>
      <bottom style="medium">
        <color rgb="001B2A41"/>
      </bottom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0" fillId="2" borderId="0" pivotButton="0" quotePrefix="0" xfId="0"/>
    <xf numFmtId="0" fontId="10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/>
    </xf>
    <xf numFmtId="0" fontId="32" fillId="0" borderId="14" applyAlignment="1" pivotButton="0" quotePrefix="0" xfId="0">
      <alignment horizontal="left" vertical="center"/>
    </xf>
    <xf numFmtId="0" fontId="0" fillId="0" borderId="14" pivotButton="0" quotePrefix="0" xfId="0"/>
    <xf numFmtId="0" fontId="33" fillId="2" borderId="0" applyAlignment="1" pivotButton="0" quotePrefix="0" xfId="0">
      <alignment horizontal="center" vertical="center" wrapText="1"/>
    </xf>
    <xf numFmtId="0" fontId="3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33" fillId="5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34" fillId="2" borderId="0" applyAlignment="1" pivotButton="0" quotePrefix="0" xfId="0">
      <alignment horizontal="center" vertical="center" wrapText="1"/>
    </xf>
    <xf numFmtId="0" fontId="35" fillId="4" borderId="0" applyAlignment="1" pivotButton="0" quotePrefix="0" xfId="0">
      <alignment horizontal="center" vertical="center" wrapText="1"/>
    </xf>
    <xf numFmtId="0" fontId="36" fillId="5" borderId="0" applyAlignment="1" pivotButton="0" quotePrefix="0" xfId="0">
      <alignment horizontal="center" vertical="center" wrapText="1"/>
    </xf>
    <xf numFmtId="0" fontId="33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33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33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7" fillId="6" borderId="0" applyAlignment="1" pivotButton="0" quotePrefix="0" xfId="0">
      <alignment horizontal="center" vertical="center" wrapText="1"/>
    </xf>
    <xf numFmtId="0" fontId="38" fillId="7" borderId="0" applyAlignment="1" pivotButton="0" quotePrefix="0" xfId="0">
      <alignment horizontal="center" vertical="center" wrapText="1"/>
    </xf>
    <xf numFmtId="0" fontId="39" fillId="8" borderId="0" applyAlignment="1" pivotButton="0" quotePrefix="0" xfId="0">
      <alignment horizontal="center" vertical="center" wrapText="1"/>
    </xf>
    <xf numFmtId="0" fontId="33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40" fillId="9" borderId="0" applyAlignment="1" pivotButton="0" quotePrefix="0" xfId="0">
      <alignment horizontal="center" vertical="center" wrapText="1"/>
    </xf>
    <xf numFmtId="0" fontId="4" fillId="0" borderId="0" pivotButton="0" quotePrefix="0" xfId="0"/>
    <xf numFmtId="166" fontId="4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top" wrapText="1"/>
    </xf>
    <xf numFmtId="0" fontId="19" fillId="2" borderId="0" pivotButton="0" quotePrefix="0" xfId="0"/>
    <xf numFmtId="0" fontId="5" fillId="0" borderId="0" pivotButton="0" quotePrefix="0" xfId="0"/>
    <xf numFmtId="165" fontId="4" fillId="0" borderId="0" applyAlignment="1" pivotButton="0" quotePrefix="0" xfId="0">
      <alignment horizontal="left" vertical="center"/>
    </xf>
    <xf numFmtId="3" fontId="5" fillId="0" borderId="0" pivotButton="0" quotePrefix="0" xfId="0"/>
    <xf numFmtId="0" fontId="42" fillId="15" borderId="0" applyAlignment="1" pivotButton="0" quotePrefix="0" xfId="0">
      <alignment horizontal="left" vertical="top" wrapText="1"/>
    </xf>
    <xf numFmtId="0" fontId="0" fillId="15" borderId="0" pivotButton="0" quotePrefix="0" xfId="0"/>
    <xf numFmtId="0" fontId="25" fillId="0" borderId="0" applyAlignment="1" pivotButton="0" quotePrefix="0" xfId="0">
      <alignment horizontal="left" vertical="top" wrapText="1"/>
    </xf>
    <xf numFmtId="0" fontId="10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right" vertical="center"/>
    </xf>
    <xf numFmtId="0" fontId="11" fillId="4" borderId="0" applyAlignment="1" pivotButton="0" quotePrefix="0" xfId="0">
      <alignment horizontal="left" vertical="center"/>
    </xf>
    <xf numFmtId="0" fontId="12" fillId="10" borderId="0" applyAlignment="1" pivotButton="0" quotePrefix="0" xfId="0">
      <alignment horizontal="left" vertical="center"/>
    </xf>
    <xf numFmtId="0" fontId="8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/>
    </xf>
    <xf numFmtId="0" fontId="0" fillId="11" borderId="1" pivotButton="0" quotePrefix="0" xfId="0"/>
    <xf numFmtId="0" fontId="8" fillId="12" borderId="1" applyAlignment="1" pivotButton="0" quotePrefix="0" xfId="0">
      <alignment horizontal="center" vertical="center" wrapText="1"/>
    </xf>
    <xf numFmtId="165" fontId="8" fillId="11" borderId="1" applyAlignment="1" pivotButton="0" quotePrefix="0" xfId="0">
      <alignment horizontal="center" vertical="center" wrapText="1"/>
    </xf>
    <xf numFmtId="0" fontId="4" fillId="10" borderId="0" applyAlignment="1" pivotButton="0" quotePrefix="0" xfId="0">
      <alignment horizontal="left" vertical="center"/>
    </xf>
    <xf numFmtId="0" fontId="13" fillId="10" borderId="0" applyAlignment="1" pivotButton="0" quotePrefix="0" xfId="0">
      <alignment horizontal="left" vertical="center"/>
    </xf>
    <xf numFmtId="0" fontId="14" fillId="13" borderId="6" applyAlignment="1" pivotButton="0" quotePrefix="0" xfId="0">
      <alignment horizontal="center" vertical="center" wrapText="1"/>
    </xf>
    <xf numFmtId="0" fontId="0" fillId="0" borderId="8" pivotButton="0" quotePrefix="0" xfId="0"/>
    <xf numFmtId="3" fontId="15" fillId="13" borderId="9" applyAlignment="1" pivotButton="0" quotePrefix="0" xfId="0">
      <alignment horizontal="center" vertical="center" wrapText="1"/>
    </xf>
    <xf numFmtId="0" fontId="0" fillId="0" borderId="10" pivotButton="0" quotePrefix="0" xfId="0"/>
    <xf numFmtId="164" fontId="15" fillId="13" borderId="9" applyAlignment="1" pivotButton="0" quotePrefix="0" xfId="0">
      <alignment horizontal="center" vertical="center" wrapText="1"/>
    </xf>
    <xf numFmtId="168" fontId="15" fillId="13" borderId="9" applyAlignment="1" pivotButton="0" quotePrefix="0" xfId="0">
      <alignment horizontal="center" vertical="center" wrapText="1"/>
    </xf>
    <xf numFmtId="0" fontId="16" fillId="13" borderId="9" applyAlignment="1" pivotButton="0" quotePrefix="0" xfId="0">
      <alignment horizontal="center" vertical="center" wrapText="1"/>
    </xf>
    <xf numFmtId="0" fontId="17" fillId="13" borderId="9" applyAlignment="1" pivotButton="0" quotePrefix="0" xfId="0">
      <alignment horizontal="center" vertical="center" wrapText="1"/>
    </xf>
    <xf numFmtId="0" fontId="18" fillId="0" borderId="11" applyAlignment="1" pivotButton="0" quotePrefix="0" xfId="0">
      <alignment horizontal="left" vertical="center"/>
    </xf>
    <xf numFmtId="0" fontId="0" fillId="0" borderId="11" pivotButton="0" quotePrefix="0" xfId="0"/>
    <xf numFmtId="0" fontId="19" fillId="4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center" vertical="center" wrapText="1"/>
    </xf>
    <xf numFmtId="0" fontId="9" fillId="14" borderId="0" applyAlignment="1" pivotButton="0" quotePrefix="0" xfId="0">
      <alignment horizontal="left" vertical="center"/>
    </xf>
    <xf numFmtId="0" fontId="0" fillId="14" borderId="0" pivotButton="0" quotePrefix="0" xfId="0"/>
    <xf numFmtId="3" fontId="9" fillId="14" borderId="0" applyAlignment="1" pivotButton="0" quotePrefix="0" xfId="0">
      <alignment horizontal="right" vertical="center"/>
    </xf>
    <xf numFmtId="3" fontId="20" fillId="14" borderId="0" applyAlignment="1" pivotButton="0" quotePrefix="0" xfId="0">
      <alignment horizontal="right" vertical="center"/>
    </xf>
    <xf numFmtId="169" fontId="20" fillId="14" borderId="0" applyAlignment="1" pivotButton="0" quotePrefix="0" xfId="0">
      <alignment horizontal="right" vertical="center"/>
    </xf>
    <xf numFmtId="170" fontId="20" fillId="14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right" vertical="center"/>
    </xf>
    <xf numFmtId="3" fontId="20" fillId="0" borderId="0" applyAlignment="1" pivotButton="0" quotePrefix="0" xfId="0">
      <alignment horizontal="right" vertical="center"/>
    </xf>
    <xf numFmtId="169" fontId="20" fillId="0" borderId="0" applyAlignment="1" pivotButton="0" quotePrefix="0" xfId="0">
      <alignment horizontal="right" vertical="center"/>
    </xf>
    <xf numFmtId="170" fontId="20" fillId="0" borderId="0" applyAlignment="1" pivotButton="0" quotePrefix="0" xfId="0">
      <alignment horizontal="right" vertical="center"/>
    </xf>
    <xf numFmtId="0" fontId="20" fillId="14" borderId="0" applyAlignment="1" pivotButton="0" quotePrefix="0" xfId="0">
      <alignment horizontal="left" vertical="center"/>
    </xf>
    <xf numFmtId="164" fontId="9" fillId="14" borderId="0" applyAlignment="1" pivotButton="0" quotePrefix="0" xfId="0">
      <alignment horizontal="right" vertical="center"/>
    </xf>
    <xf numFmtId="164" fontId="20" fillId="14" borderId="0" applyAlignment="1" pivotButton="0" quotePrefix="0" xfId="0">
      <alignment horizontal="right" vertical="center"/>
    </xf>
    <xf numFmtId="171" fontId="20" fillId="14" borderId="0" applyAlignment="1" pivotButton="0" quotePrefix="0" xfId="0">
      <alignment horizontal="right" vertical="center"/>
    </xf>
    <xf numFmtId="172" fontId="9" fillId="0" borderId="0" applyAlignment="1" pivotButton="0" quotePrefix="0" xfId="0">
      <alignment horizontal="right" vertical="center"/>
    </xf>
    <xf numFmtId="172" fontId="20" fillId="0" borderId="0" applyAlignment="1" pivotButton="0" quotePrefix="0" xfId="0">
      <alignment horizontal="right" vertical="center"/>
    </xf>
    <xf numFmtId="173" fontId="20" fillId="0" borderId="0" applyAlignment="1" pivotButton="0" quotePrefix="0" xfId="0">
      <alignment horizontal="right" vertical="center"/>
    </xf>
    <xf numFmtId="168" fontId="9" fillId="14" borderId="0" applyAlignment="1" pivotButton="0" quotePrefix="0" xfId="0">
      <alignment horizontal="right" vertical="center"/>
    </xf>
    <xf numFmtId="168" fontId="20" fillId="14" borderId="0" applyAlignment="1" pivotButton="0" quotePrefix="0" xfId="0">
      <alignment horizontal="right" vertical="center"/>
    </xf>
    <xf numFmtId="174" fontId="20" fillId="14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/>
    </xf>
    <xf numFmtId="0" fontId="21" fillId="0" borderId="11" applyAlignment="1" pivotButton="0" quotePrefix="0" xfId="0">
      <alignment horizontal="right" vertical="center"/>
    </xf>
    <xf numFmtId="0" fontId="20" fillId="0" borderId="12" pivotButton="0" quotePrefix="0" xfId="0"/>
    <xf numFmtId="3" fontId="9" fillId="0" borderId="12" applyAlignment="1" pivotButton="0" quotePrefix="0" xfId="0">
      <alignment horizontal="right" vertical="center"/>
    </xf>
    <xf numFmtId="164" fontId="9" fillId="0" borderId="12" applyAlignment="1" pivotButton="0" quotePrefix="0" xfId="0">
      <alignment horizontal="right" vertical="center"/>
    </xf>
    <xf numFmtId="170" fontId="9" fillId="0" borderId="12" applyAlignment="1" pivotButton="0" quotePrefix="0" xfId="0">
      <alignment horizontal="right" vertical="center"/>
    </xf>
    <xf numFmtId="0" fontId="20" fillId="0" borderId="0" pivotButton="0" quotePrefix="0" xfId="0"/>
    <xf numFmtId="0" fontId="22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vertical="top" wrapText="1"/>
    </xf>
    <xf numFmtId="0" fontId="23" fillId="0" borderId="0" pivotButton="0" quotePrefix="0" xfId="0"/>
    <xf numFmtId="0" fontId="20" fillId="14" borderId="0" pivotButton="0" quotePrefix="0" xfId="0"/>
    <xf numFmtId="165" fontId="20" fillId="14" borderId="0" pivotButton="0" quotePrefix="0" xfId="0"/>
    <xf numFmtId="165" fontId="20" fillId="0" borderId="0" pivotButton="0" quotePrefix="0" xfId="0"/>
    <xf numFmtId="0" fontId="10" fillId="5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right" vertical="center"/>
    </xf>
    <xf numFmtId="0" fontId="26" fillId="5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left" vertical="center"/>
    </xf>
    <xf numFmtId="0" fontId="3" fillId="6" borderId="0" applyAlignment="1" pivotButton="0" quotePrefix="0" xfId="0">
      <alignment horizontal="right" vertical="center"/>
    </xf>
    <xf numFmtId="0" fontId="27" fillId="6" borderId="0" applyAlignment="1" pivotButton="0" quotePrefix="0" xfId="0">
      <alignment horizontal="left" vertical="center"/>
    </xf>
    <xf numFmtId="0" fontId="10" fillId="7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right" vertical="center"/>
    </xf>
    <xf numFmtId="0" fontId="28" fillId="7" borderId="0" applyAlignment="1" pivotButton="0" quotePrefix="0" xfId="0">
      <alignment horizontal="left" vertical="center"/>
    </xf>
    <xf numFmtId="0" fontId="10" fillId="8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right" vertical="center"/>
    </xf>
    <xf numFmtId="0" fontId="29" fillId="8" borderId="0" applyAlignment="1" pivotButton="0" quotePrefix="0" xfId="0">
      <alignment horizontal="left" vertical="center"/>
    </xf>
    <xf numFmtId="0" fontId="10" fillId="9" borderId="0" applyAlignment="1" pivotButton="0" quotePrefix="0" xfId="0">
      <alignment horizontal="left" vertical="center"/>
    </xf>
    <xf numFmtId="0" fontId="3" fillId="9" borderId="0" applyAlignment="1" pivotButton="0" quotePrefix="0" xfId="0">
      <alignment horizontal="right" vertical="center"/>
    </xf>
    <xf numFmtId="0" fontId="30" fillId="9" borderId="0" applyAlignment="1" pivotButton="0" quotePrefix="0" xfId="0">
      <alignment horizontal="left" vertical="center"/>
    </xf>
    <xf numFmtId="0" fontId="31" fillId="0" borderId="13" applyAlignment="1" pivotButton="0" quotePrefix="0" xfId="0">
      <alignment horizontal="left" vertical="center"/>
    </xf>
    <xf numFmtId="0" fontId="0" fillId="0" borderId="13" pivotButton="0" quotePrefix="0" xfId="0"/>
    <xf numFmtId="0" fontId="19" fillId="9" borderId="0" pivotButton="0" quotePrefix="0" xfId="0"/>
    <xf numFmtId="0" fontId="16" fillId="0" borderId="0" pivotButton="0" quotePrefix="0" xfId="0"/>
    <xf numFmtId="3" fontId="20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167" fontId="0" fillId="0" borderId="0" pivotButton="0" quotePrefix="0" xfId="0"/>
    <xf numFmtId="0" fontId="3" fillId="9" borderId="0" pivotButton="0" quotePrefix="0" xfId="0"/>
    <xf numFmtId="0" fontId="1" fillId="0" borderId="0" pivotButton="0" quotePrefix="0" xfId="0"/>
    <xf numFmtId="0" fontId="3" fillId="2" borderId="0" pivotButton="0" quotePrefix="0" xfId="0"/>
    <xf numFmtId="1" fontId="5" fillId="0" borderId="0" pivotButton="0" quotePrefix="0" xfId="0"/>
    <xf numFmtId="0" fontId="6" fillId="0" borderId="0" applyAlignment="1" pivotButton="0" quotePrefix="0" xfId="0">
      <alignment horizontal="left" vertical="top" wrapText="1"/>
    </xf>
    <xf numFmtId="1" fontId="7" fillId="3" borderId="0" pivotButton="0" quotePrefix="0" xfId="0"/>
    <xf numFmtId="164" fontId="7" fillId="3" borderId="0" pivotButton="0" quotePrefix="0" xfId="0"/>
    <xf numFmtId="49" fontId="7" fillId="3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7">
    <dxf>
      <font>
        <b val="1"/>
        <color rgb="001E7B34"/>
      </font>
    </dxf>
    <dxf>
      <font>
        <b val="1"/>
        <color rgb="00A61B1B"/>
      </font>
    </dxf>
    <dxf>
      <font>
        <b val="1"/>
        <color rgb="001E7B34"/>
      </font>
      <fill>
        <patternFill patternType="solid">
          <fgColor rgb="00D8F0DF"/>
          <bgColor rgb="00D8F0DF"/>
        </patternFill>
      </fill>
    </dxf>
    <dxf>
      <font>
        <b val="1"/>
        <color rgb="008A5A00"/>
      </font>
      <fill>
        <patternFill patternType="solid">
          <fgColor rgb="00FFF1CC"/>
          <bgColor rgb="00FFF1CC"/>
        </patternFill>
      </fill>
    </dxf>
    <dxf>
      <font>
        <b val="1"/>
        <color rgb="00A61B1B"/>
      </font>
      <fill>
        <patternFill patternType="solid">
          <fgColor rgb="00F9D9D9"/>
          <bgColor rgb="00F9D9D9"/>
        </patternFill>
      </fill>
    </dxf>
    <dxf>
      <font>
        <color rgb="001E7B34"/>
      </font>
    </dxf>
    <dxf>
      <font>
        <color rgb="00A61B1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Attendance mix — last 13 weeks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'CALC_WSF'!B104</f>
            </strRef>
          </tx>
          <spPr>
            <a:solidFill>
              <a:srgbClr val="1F5FA8"/>
            </a:solidFill>
            <a:ln>
              <a:solidFill>
                <a:srgbClr val="1F5FA8"/>
              </a:solidFill>
              <a:prstDash val="solid"/>
            </a:ln>
          </spPr>
          <cat>
            <numRef>
              <f>'CALC_WSF'!$A$105:$A$117</f>
            </numRef>
          </cat>
          <val>
            <numRef>
              <f>'CALC_WSF'!$B$105:$B$117</f>
            </numRef>
          </val>
        </ser>
        <ser>
          <idx val="1"/>
          <order val="1"/>
          <tx>
            <strRef>
              <f>'CALC_WSF'!C104</f>
            </strRef>
          </tx>
          <spPr>
            <a:solidFill>
              <a:srgbClr val="83A7CF"/>
            </a:solidFill>
            <a:ln>
              <a:solidFill>
                <a:srgbClr val="83A7CF"/>
              </a:solidFill>
              <a:prstDash val="solid"/>
            </a:ln>
          </spPr>
          <cat>
            <numRef>
              <f>'CALC_WSF'!$A$105:$A$117</f>
            </numRef>
          </cat>
          <val>
            <numRef>
              <f>'CALC_WSF'!$C$105:$C$117</f>
            </numRef>
          </val>
        </ser>
        <ser>
          <idx val="2"/>
          <order val="2"/>
          <tx>
            <strRef>
              <f>'CALC_WSF'!D104</f>
            </strRef>
          </tx>
          <spPr>
            <a:solidFill>
              <a:srgbClr val="E0A526"/>
            </a:solidFill>
            <a:ln>
              <a:solidFill>
                <a:srgbClr val="E0A526"/>
              </a:solidFill>
              <a:prstDash val="solid"/>
            </a:ln>
          </spPr>
          <cat>
            <numRef>
              <f>'CALC_WSF'!$A$105:$A$117</f>
            </numRef>
          </cat>
          <val>
            <numRef>
              <f>'CALC_WSF'!$D$105:$D$117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Grand total — last 52 weeks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'CALC_WSF'!B120</f>
            </strRef>
          </tx>
          <spPr>
            <a:solidFill>
              <a:srgbClr val="1F5FA8"/>
            </a:solidFill>
            <a:ln>
              <a:solidFill>
                <a:srgbClr val="1F5FA8"/>
              </a:solidFill>
              <a:prstDash val="solid"/>
            </a:ln>
          </spPr>
          <cat>
            <numRef>
              <f>'CALC_WSF'!$A$121:$A$172</f>
            </numRef>
          </cat>
          <val>
            <numRef>
              <f>'CALC_WSF'!$B$121:$B$172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000" b="1">
                <a:solidFill>
                  <a:srgbClr val="1F2933"/>
                </a:solidFill>
              </a:defRPr>
            </a:pPr>
            <a:r>
              <a:rPr sz="1000" b="1">
                <a:solidFill>
                  <a:srgbClr val="1F2933"/>
                </a:solidFill>
              </a:rPr>
              <a:t>% cells reporting — last 13 weeks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'CALC_WSF'!E104</f>
            </strRef>
          </tx>
          <spPr>
            <a:ln w="28000">
              <a:solidFill>
                <a:srgbClr val="1F5FA8"/>
              </a:solidFill>
              <a:prstDash val="solid"/>
            </a:ln>
          </spPr>
          <marker>
            <symbol val="circle"/>
            <size val="6"/>
            <spPr>
              <a:solidFill>
                <a:srgbClr val="1F5FA8"/>
              </a:solidFill>
              <a:ln>
                <a:solidFill>
                  <a:srgbClr val="1F5FA8"/>
                </a:solidFill>
                <a:prstDash val="solid"/>
              </a:ln>
            </spPr>
          </marker>
          <cat>
            <numRef>
              <f>'CALC_WSF'!$A$105:$A$117</f>
            </numRef>
          </cat>
          <val>
            <numRef>
              <f>'CALC_WSF'!$E$105:$E$117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27</row>
      <rowOff>0</rowOff>
    </from>
    <ext cx="4392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27</row>
      <rowOff>0</rowOff>
    </from>
    <ext cx="4392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27</row>
      <rowOff>0</rowOff>
    </from>
    <ext cx="3816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WSF" displayName="tblWSF" ref="A1:N2" headerRowCount="1">
  <autoFilter ref="A1:N2"/>
  <tableColumns count="14">
    <tableColumn id="1" name="Week_Ending"/>
    <tableColumn id="2" name="Report_Date"/>
    <tableColumn id="3" name="Area"/>
    <tableColumn id="4" name="Zone"/>
    <tableColumn id="5" name="Cells_Total"/>
    <tableColumn id="6" name="Cells_Reported"/>
    <tableColumn id="7" name="Cells_Not_Reported"/>
    <tableColumn id="8" name="Male"/>
    <tableColumn id="9" name="Female"/>
    <tableColumn id="10" name="Adult_Total"/>
    <tableColumn id="11" name="Children"/>
    <tableColumn id="12" name="Grand_Total"/>
    <tableColumn id="13" name="Source_File"/>
    <tableColumn id="14" name="Loaded_On"/>
  </tableColumns>
  <tableStyleInfo name="TableStyleLight1" showRowStripes="1"/>
</table>
</file>

<file path=xl/tables/table2.xml><?xml version="1.0" encoding="utf-8"?>
<table xmlns="http://schemas.openxmlformats.org/spreadsheetml/2006/main" id="2" name="tblWSFCellsCurrent" displayName="tblWSFCellsCurrent" ref="A1:N2" headerRowCount="1">
  <autoFilter ref="A1:N2"/>
  <tableColumns count="14">
    <tableColumn id="1" name="Week_Ending"/>
    <tableColumn id="2" name="Report_Date"/>
    <tableColumn id="3" name="Area"/>
    <tableColumn id="4" name="Zone"/>
    <tableColumn id="5" name="Cell"/>
    <tableColumn id="6" name="Reported"/>
    <tableColumn id="7" name="Male"/>
    <tableColumn id="8" name="Female"/>
    <tableColumn id="9" name="Adult_Total"/>
    <tableColumn id="10" name="Children"/>
    <tableColumn id="11" name="Grand_Total"/>
    <tableColumn id="12" name="Source_File"/>
    <tableColumn id="13" name="Loaded_On"/>
    <tableColumn id="14" name="List_Helper"/>
  </tableColumns>
  <tableStyleInfo name="TableStyleLight1" showRowStripes="1"/>
</table>
</file>

<file path=xl/tables/table3.xml><?xml version="1.0" encoding="utf-8"?>
<table xmlns="http://schemas.openxmlformats.org/spreadsheetml/2006/main" id="3" name="tblMidweek" displayName="tblMidweek" ref="A1:K2" headerRowCount="1">
  <autoFilter ref="A1:K2"/>
  <tableColumns count="11">
    <tableColumn id="1" name="Week_Ending"/>
    <tableColumn id="2" name="Report_Date"/>
    <tableColumn id="3" name="Area"/>
    <tableColumn id="4" name="Zone"/>
    <tableColumn id="5" name="Male"/>
    <tableColumn id="6" name="Female"/>
    <tableColumn id="7" name="Adult_Total"/>
    <tableColumn id="8" name="Children"/>
    <tableColumn id="9" name="Grand_Total"/>
    <tableColumn id="10" name="Source_File"/>
    <tableColumn id="11" name="Loaded_On"/>
  </tableColumns>
  <tableStyleInfo name="TableStyleLight1" showRowStripes="1"/>
</table>
</file>

<file path=xl/tables/table4.xml><?xml version="1.0" encoding="utf-8"?>
<table xmlns="http://schemas.openxmlformats.org/spreadsheetml/2006/main" id="4" name="tblCHOP" displayName="tblCHOP" ref="A1:K2" headerRowCount="1">
  <autoFilter ref="A1:K2"/>
  <tableColumns count="11">
    <tableColumn id="1" name="Week_Ending"/>
    <tableColumn id="2" name="Report_Date"/>
    <tableColumn id="3" name="Area"/>
    <tableColumn id="4" name="Zone"/>
    <tableColumn id="5" name="Male"/>
    <tableColumn id="6" name="Female"/>
    <tableColumn id="7" name="Adult_Total"/>
    <tableColumn id="8" name="Children"/>
    <tableColumn id="9" name="Grand_Total"/>
    <tableColumn id="10" name="Source_File"/>
    <tableColumn id="11" name="Loaded_On"/>
  </tableColumns>
  <tableStyleInfo name="TableStyleLight1" showRowStripes="1"/>
</table>
</file>

<file path=xl/tables/table5.xml><?xml version="1.0" encoding="utf-8"?>
<table xmlns="http://schemas.openxmlformats.org/spreadsheetml/2006/main" id="5" name="tblCommunity" displayName="tblCommunity" ref="A1:K2" headerRowCount="1">
  <autoFilter ref="A1:K2"/>
  <tableColumns count="11">
    <tableColumn id="1" name="Week_Ending"/>
    <tableColumn id="2" name="Report_Date"/>
    <tableColumn id="3" name="Church"/>
    <tableColumn id="4" name="Service_Type"/>
    <tableColumn id="5" name="Male"/>
    <tableColumn id="6" name="Female"/>
    <tableColumn id="7" name="Adult_Total"/>
    <tableColumn id="8" name="Children"/>
    <tableColumn id="9" name="Grand_Total"/>
    <tableColumn id="10" name="Source_File"/>
    <tableColumn id="11" name="Loaded_On"/>
  </tableColumns>
  <tableStyleInfo name="TableStyleLight1" showRowStripes="1"/>
</table>
</file>

<file path=xl/tables/table6.xml><?xml version="1.0" encoding="utf-8"?>
<table xmlns="http://schemas.openxmlformats.org/spreadsheetml/2006/main" id="6" name="tblTransportOps" displayName="tblTransportOps" ref="A1:N2" headerRowCount="1">
  <autoFilter ref="A1:N2"/>
  <tableColumns count="14">
    <tableColumn id="1" name="Week_Ending"/>
    <tableColumn id="2" name="Report_Date"/>
    <tableColumn id="3" name="Category"/>
    <tableColumn id="4" name="Vehicle_ID"/>
    <tableColumn id="5" name="Area"/>
    <tableColumn id="6" name="Zone"/>
    <tableColumn id="7" name="Hired_By_Type"/>
    <tableColumn id="8" name="Trips"/>
    <tableColumn id="9" name="Ridership"/>
    <tableColumn id="10" name="Operational"/>
    <tableColumn id="11" name="Capacity"/>
    <tableColumn id="12" name="Seats_Offered"/>
    <tableColumn id="13" name="Source_File"/>
    <tableColumn id="14" name="Loaded_On"/>
  </tableColumns>
  <tableStyleInfo name="TableStyleLight1" showRowStripes="1"/>
</table>
</file>

<file path=xl/tables/table7.xml><?xml version="1.0" encoding="utf-8"?>
<table xmlns="http://schemas.openxmlformats.org/spreadsheetml/2006/main" id="7" name="tblTransportFinance" displayName="tblTransportFinance" ref="A1:J2" headerRowCount="1">
  <autoFilter ref="A1:J2"/>
  <tableColumns count="10">
    <tableColumn id="1" name="Week_Ending"/>
    <tableColumn id="2" name="Report_Date"/>
    <tableColumn id="3" name="Category"/>
    <tableColumn id="4" name="Area"/>
    <tableColumn id="5" name="Zone"/>
    <tableColumn id="6" name="Cost_Type"/>
    <tableColumn id="7" name="Amount"/>
    <tableColumn id="8" name="Paid_By"/>
    <tableColumn id="9" name="Source_File"/>
    <tableColumn id="10" name="Loaded_On"/>
  </tableColumns>
  <tableStyleInfo name="TableStyleLight1" showRowStripes="1"/>
</table>
</file>

<file path=xl/tables/table8.xml><?xml version="1.0" encoding="utf-8"?>
<table xmlns="http://schemas.openxmlformats.org/spreadsheetml/2006/main" id="8" name="tblAreas" displayName="tblAreas" ref="A1:C2" headerRowCount="1">
  <autoFilter ref="A1:C2"/>
  <tableColumns count="3">
    <tableColumn id="1" name="Area_ID"/>
    <tableColumn id="2" name="Area_Name"/>
    <tableColumn id="3" name="Active"/>
  </tableColumns>
  <tableStyleInfo name="TableStyleLight1" showRowStripes="1"/>
</table>
</file>

<file path=xl/tables/table9.xml><?xml version="1.0" encoding="utf-8"?>
<table xmlns="http://schemas.openxmlformats.org/spreadsheetml/2006/main" id="9" name="tblZones" displayName="tblZones" ref="A1:E2" headerRowCount="1">
  <autoFilter ref="A1:E2"/>
  <tableColumns count="5">
    <tableColumn id="1" name="Zone_ID"/>
    <tableColumn id="2" name="Zone_Name"/>
    <tableColumn id="3" name="Area_Name"/>
    <tableColumn id="4" name="Has_CHOP"/>
    <tableColumn id="5" name="Active"/>
  </tableColumns>
  <tableStyleInfo name="TableStyleLight1" showRowStripes="1"/>
</table>
</file>

<file path=xl/tables/table10.xml><?xml version="1.0" encoding="utf-8"?>
<table xmlns="http://schemas.openxmlformats.org/spreadsheetml/2006/main" id="10" name="tblCells" displayName="tblCells" ref="A1:D2" headerRowCount="1">
  <autoFilter ref="A1:D2"/>
  <tableColumns count="4">
    <tableColumn id="1" name="Cell"/>
    <tableColumn id="2" name="Zone_Name"/>
    <tableColumn id="3" name="Area_Name"/>
    <tableColumn id="4" name="Operational"/>
  </tableColumns>
  <tableStyleInfo name="TableStyleLight1" showRowStripes="1"/>
</table>
</file>

<file path=xl/tables/table11.xml><?xml version="1.0" encoding="utf-8"?>
<table xmlns="http://schemas.openxmlformats.org/spreadsheetml/2006/main" id="11" name="tblCommunityMaster" displayName="tblCommunityMaster" ref="A1:D2" headerRowCount="1">
  <autoFilter ref="A1:D2"/>
  <tableColumns count="4">
    <tableColumn id="1" name="Church_ID"/>
    <tableColumn id="2" name="Church_Name"/>
    <tableColumn id="3" name="Location"/>
    <tableColumn id="4" name="Active"/>
  </tableColumns>
  <tableStyleInfo name="TableStyleLight1" showRowStripes="1"/>
</table>
</file>

<file path=xl/tables/table12.xml><?xml version="1.0" encoding="utf-8"?>
<table xmlns="http://schemas.openxmlformats.org/spreadsheetml/2006/main" id="12" name="tblFleet" displayName="tblFleet" ref="A1:H2" headerRowCount="1">
  <autoFilter ref="A1:H2"/>
  <tableColumns count="8">
    <tableColumn id="1" name="Vehicle_ID"/>
    <tableColumn id="2" name="Category"/>
    <tableColumn id="3" name="Capacity"/>
    <tableColumn id="4" name="Owner"/>
    <tableColumn id="5" name="Status"/>
    <tableColumn id="6" name="Area_Name"/>
    <tableColumn id="7" name="Zone_Name"/>
    <tableColumn id="8" name="Hired_By_Type"/>
  </tableColumns>
  <tableStyleInfo name="TableStyleLight1" showRowStripes="1"/>
</table>
</file>

<file path=xl/tables/table13.xml><?xml version="1.0" encoding="utf-8"?>
<table xmlns="http://schemas.openxmlformats.org/spreadsheetml/2006/main" id="13" name="tblCalendar" displayName="tblCalendar" ref="A1:G372" headerRowCount="1">
  <autoFilter ref="A1:G372"/>
  <tableColumns count="7">
    <tableColumn id="1" name="Week_Ending"/>
    <tableColumn id="2" name="Week_No"/>
    <tableColumn id="3" name="Month"/>
    <tableColumn id="4" name="Month_Name"/>
    <tableColumn id="5" name="Quarter"/>
    <tableColumn id="6" name="Year"/>
    <tableColumn id="7" name="Year_Month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HOME!A1" TargetMode="External" Id="rId1" /><Relationship Type="http://schemas.openxmlformats.org/officeDocument/2006/relationships/hyperlink" Target="#'MASTER DASHBOARD'!A1" TargetMode="External" Id="rId2" /><Relationship Type="http://schemas.openxmlformats.org/officeDocument/2006/relationships/hyperlink" Target="#'WSF DASHBOARD'!A1" TargetMode="External" Id="rId3" /><Relationship Type="http://schemas.openxmlformats.org/officeDocument/2006/relationships/hyperlink" Target="#'MIDWEEK DASHBOARD'!A1" TargetMode="External" Id="rId4" /><Relationship Type="http://schemas.openxmlformats.org/officeDocument/2006/relationships/hyperlink" Target="#'MASTER DASHBOARD'!A1" TargetMode="External" Id="rId5" /><Relationship Type="http://schemas.openxmlformats.org/officeDocument/2006/relationships/hyperlink" Target="#'WSF DASHBOARD'!A1" TargetMode="External" Id="rId6" /><Relationship Type="http://schemas.openxmlformats.org/officeDocument/2006/relationships/hyperlink" Target="#'MIDWEEK DASHBOARD'!A1" TargetMode="External" Id="rId7" /><Relationship Type="http://schemas.openxmlformats.org/officeDocument/2006/relationships/hyperlink" Target="#'CHOP DASHBOARD'!A1" TargetMode="External" Id="rId8" /><Relationship Type="http://schemas.openxmlformats.org/officeDocument/2006/relationships/hyperlink" Target="#'COMMUNITY CHURCH DASHBOARD'!A1" TargetMode="External" Id="rId9" /><Relationship Type="http://schemas.openxmlformats.org/officeDocument/2006/relationships/hyperlink" Target="#'TRANSPORT DASHBOARD'!A1" TargetMode="External" Id="rId10" /><Relationship Type="http://schemas.openxmlformats.org/officeDocument/2006/relationships/hyperlink" Target="#'CHOP DASHBOARD'!A1" TargetMode="External" Id="rId11" /><Relationship Type="http://schemas.openxmlformats.org/officeDocument/2006/relationships/hyperlink" Target="#'COMMUNITY CHURCH DASHBOARD'!A1" TargetMode="External" Id="rId12" /><Relationship Type="http://schemas.openxmlformats.org/officeDocument/2006/relationships/hyperlink" Target="#'TRANSPORT DASHBOARD'!A1" TargetMode="External" Id="rId13" /><Relationship Type="http://schemas.openxmlformats.org/officeDocument/2006/relationships/hyperlink" Target="#'AREA SCORECARD'!A1" TargetMode="External" Id="rId14" /><Relationship Type="http://schemas.openxmlformats.org/officeDocument/2006/relationships/hyperlink" Target="#'ZONE SCORECARD'!A1" TargetMode="External" Id="rId15" /><Relationship Type="http://schemas.openxmlformats.org/officeDocument/2006/relationships/hyperlink" Target="#'DATA QUALITY'!A1" TargetMode="External" Id="rId16" /><Relationship Type="http://schemas.openxmlformats.org/officeDocument/2006/relationships/hyperlink" Target="#'AREA SCORECARD'!A1" TargetMode="External" Id="rId17" /><Relationship Type="http://schemas.openxmlformats.org/officeDocument/2006/relationships/hyperlink" Target="#'ZONE SCORECARD'!A1" TargetMode="External" Id="rId18" /><Relationship Type="http://schemas.openxmlformats.org/officeDocument/2006/relationships/hyperlink" Target="#'DATA QUALITY'!A1" TargetMode="External" Id="rId19" /></Relationships>
</file>

<file path=xl/worksheets/_rels/sheet2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HOME!A1" TargetMode="External" Id="rId1" /><Relationship Type="http://schemas.openxmlformats.org/officeDocument/2006/relationships/drawing" Target="/xl/drawings/drawing1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HOME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sheet1.xml><?xml version="1.0" encoding="utf-8"?>
<worksheet xmlns="http://schemas.openxmlformats.org/spreadsheetml/2006/main">
  <sheetPr>
    <tabColor rgb="001B2A41"/>
    <outlinePr summaryBelow="1" summaryRight="1"/>
    <pageSetUpPr fitToPage="1"/>
  </sheetPr>
  <dimension ref="A1:N31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2" customWidth="1" min="14" max="14"/>
  </cols>
  <sheetData>
    <row r="1" ht="34" customHeight="1">
      <c r="A1" s="1" t="n"/>
      <c r="B1" s="2" t="inlineStr">
        <is>
          <t>OPERATIONS REPORTING &amp; ANALYSIS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3" t="inlineStr">
        <is>
          <t>⌂ HOME</t>
        </is>
      </c>
      <c r="M1" s="1" t="n"/>
      <c r="N1" s="1" t="n"/>
    </row>
    <row r="2">
      <c r="A2" s="1" t="n"/>
      <c r="B2" s="4" t="inlineStr">
        <is>
          <t>Central · 92 Areas · Zones · Cells · Community Churches · Transport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4" ht="22" customHeight="1">
      <c r="B4" s="5" t="inlineStr">
        <is>
          <t>Dashboards</t>
        </is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</row>
    <row r="6" ht="26" customHeight="1">
      <c r="B6" s="7" t="inlineStr">
        <is>
          <t>MASTER DASHBOARD</t>
        </is>
      </c>
      <c r="C6" s="1" t="n"/>
      <c r="D6" s="1" t="n"/>
      <c r="E6" s="1" t="n"/>
      <c r="F6" s="8" t="inlineStr">
        <is>
          <t>WSF DASHBOARD</t>
        </is>
      </c>
      <c r="G6" s="9" t="n"/>
      <c r="H6" s="9" t="n"/>
      <c r="I6" s="9" t="n"/>
      <c r="J6" s="10" t="inlineStr">
        <is>
          <t>MIDWEEK DASHBOARD</t>
        </is>
      </c>
      <c r="K6" s="11" t="n"/>
      <c r="L6" s="11" t="n"/>
      <c r="M6" s="11" t="n"/>
    </row>
    <row r="7" ht="16" customHeight="1">
      <c r="B7" s="12" t="inlineStr">
        <is>
          <t>All streams side by side</t>
        </is>
      </c>
      <c r="C7" s="1" t="n"/>
      <c r="D7" s="1" t="n"/>
      <c r="E7" s="1" t="n"/>
      <c r="F7" s="13" t="inlineStr">
        <is>
          <t>Saturday cell services</t>
        </is>
      </c>
      <c r="G7" s="9" t="n"/>
      <c r="H7" s="9" t="n"/>
      <c r="I7" s="9" t="n"/>
      <c r="J7" s="14" t="inlineStr">
        <is>
          <t>Zonal midweek services</t>
        </is>
      </c>
      <c r="K7" s="11" t="n"/>
      <c r="L7" s="11" t="n"/>
      <c r="M7" s="11" t="n"/>
    </row>
    <row r="10" ht="26" customHeight="1">
      <c r="B10" s="15" t="inlineStr">
        <is>
          <t>CHOP DASHBOARD</t>
        </is>
      </c>
      <c r="C10" s="16" t="n"/>
      <c r="D10" s="16" t="n"/>
      <c r="E10" s="16" t="n"/>
      <c r="F10" s="17" t="inlineStr">
        <is>
          <t>COMMUNITY CHURCH DASHBOARD</t>
        </is>
      </c>
      <c r="G10" s="18" t="n"/>
      <c r="H10" s="18" t="n"/>
      <c r="I10" s="18" t="n"/>
      <c r="J10" s="19" t="inlineStr">
        <is>
          <t>TRANSPORT DASHBOARD</t>
        </is>
      </c>
      <c r="K10" s="20" t="n"/>
      <c r="L10" s="20" t="n"/>
      <c r="M10" s="20" t="n"/>
    </row>
    <row r="11" ht="16" customHeight="1">
      <c r="B11" s="21" t="inlineStr">
        <is>
          <t>Covenant Hour of Prayer</t>
        </is>
      </c>
      <c r="C11" s="16" t="n"/>
      <c r="D11" s="16" t="n"/>
      <c r="E11" s="16" t="n"/>
      <c r="F11" s="22" t="inlineStr">
        <is>
          <t>Sunday service first</t>
        </is>
      </c>
      <c r="G11" s="18" t="n"/>
      <c r="H11" s="18" t="n"/>
      <c r="I11" s="18" t="n"/>
      <c r="J11" s="23" t="inlineStr">
        <is>
          <t>Operations, finance, optimisation</t>
        </is>
      </c>
      <c r="K11" s="20" t="n"/>
      <c r="L11" s="20" t="n"/>
      <c r="M11" s="20" t="n"/>
    </row>
    <row r="14" ht="26" customHeight="1">
      <c r="B14" s="7" t="inlineStr">
        <is>
          <t>AREA SCORECARD</t>
        </is>
      </c>
      <c r="C14" s="1" t="n"/>
      <c r="D14" s="1" t="n"/>
      <c r="E14" s="1" t="n"/>
      <c r="F14" s="7" t="inlineStr">
        <is>
          <t>ZONE SCORECARD</t>
        </is>
      </c>
      <c r="G14" s="1" t="n"/>
      <c r="H14" s="1" t="n"/>
      <c r="I14" s="1" t="n"/>
      <c r="J14" s="24" t="inlineStr">
        <is>
          <t>DATA QUALITY</t>
        </is>
      </c>
      <c r="K14" s="25" t="n"/>
      <c r="L14" s="25" t="n"/>
      <c r="M14" s="25" t="n"/>
    </row>
    <row r="15" ht="16" customHeight="1">
      <c r="B15" s="12" t="inlineStr">
        <is>
          <t>One Area across every stream</t>
        </is>
      </c>
      <c r="C15" s="1" t="n"/>
      <c r="D15" s="1" t="n"/>
      <c r="E15" s="1" t="n"/>
      <c r="F15" s="12" t="inlineStr">
        <is>
          <t>One Zone across every stream</t>
        </is>
      </c>
      <c r="G15" s="1" t="n"/>
      <c r="H15" s="1" t="n"/>
      <c r="I15" s="1" t="n"/>
      <c r="J15" s="26" t="inlineStr">
        <is>
          <t>Rejected rows and missing weeks</t>
        </is>
      </c>
      <c r="K15" s="25" t="n"/>
      <c r="L15" s="25" t="n"/>
      <c r="M15" s="25" t="n"/>
    </row>
    <row r="19" ht="22" customHeight="1">
      <c r="B19" s="5" t="inlineStr">
        <is>
          <t>Data status</t>
        </is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</row>
    <row r="20">
      <c r="B20" s="27" t="inlineStr">
        <is>
          <t>Last data loaded</t>
        </is>
      </c>
      <c r="E20" s="28">
        <f>IF(MAX(DATA_WSF!$N:$N,DATA_MIDWEEK!$K:$K,DATA_CHOP!$K:$K,DATA_COMMUNITY!$K:$K,DATA_TRANSPORT_OPS!$N:$N,DATA_TRANSPORT_FINANCE!$J:$J)=0,"No data yet",MAX(DATA_WSF!$N:$N,DATA_MIDWEEK!$K:$K,DATA_CHOP!$K:$K,DATA_COMMUNITY!$K:$K,DATA_TRANSPORT_OPS!$N:$N,DATA_TRANSPORT_FINANCE!$J:$J))</f>
        <v/>
      </c>
      <c r="J20" s="27" t="inlineStr">
        <is>
          <t>How to use</t>
        </is>
      </c>
    </row>
    <row r="21" ht="36" customHeight="1">
      <c r="J21" s="29" t="inlineStr">
        <is>
          <t>1.  Choose a dashboard above. Every dashboard has the same control strip at the top.</t>
        </is>
      </c>
    </row>
    <row r="22" ht="36" customHeight="1">
      <c r="B22" s="30" t="inlineStr">
        <is>
          <t>Stream</t>
        </is>
      </c>
      <c r="C22" s="1" t="n"/>
      <c r="D22" s="1" t="n"/>
      <c r="E22" s="30" t="inlineStr">
        <is>
          <t>Latest week</t>
        </is>
      </c>
      <c r="F22" s="1" t="n"/>
      <c r="G22" s="30" t="inlineStr">
        <is>
          <t>Rows in workbook</t>
        </is>
      </c>
      <c r="H22" s="1" t="n"/>
      <c r="J22" s="29" t="inlineStr">
        <is>
          <t>2.  SCOPE: Global for everything, Area for one Area, Zone for one Zone.</t>
        </is>
      </c>
    </row>
    <row r="23" ht="36" customHeight="1">
      <c r="B23" s="31" t="inlineStr">
        <is>
          <t>WSF</t>
        </is>
      </c>
      <c r="E23" s="32">
        <f>IF(MAX(DATA_WSF!$A:$A)=0,"–",MAX(DATA_WSF!$A:$A))</f>
        <v/>
      </c>
      <c r="G23" s="33">
        <f>COUNT(DATA_WSF!$A:$A)</f>
        <v/>
      </c>
      <c r="J23" s="29" t="inlineStr">
        <is>
          <t>3.  SEARCH: type part of a name (e.g. 'ikeja'), then open SELECT: it lists only the matching Areas or Zones.</t>
        </is>
      </c>
    </row>
    <row r="24" ht="36" customHeight="1">
      <c r="B24" s="31" t="inlineStr">
        <is>
          <t>Midweek</t>
        </is>
      </c>
      <c r="E24" s="32">
        <f>IF(MAX(DATA_MIDWEEK!$A:$A)=0,"–",MAX(DATA_MIDWEEK!$A:$A))</f>
        <v/>
      </c>
      <c r="G24" s="33">
        <f>COUNT(DATA_MIDWEEK!$A:$A)</f>
        <v/>
      </c>
      <c r="J24" s="29" t="inlineStr">
        <is>
          <t>4.  WEEK ENDING: 'Latest' follows new data automatically; pick an older week to look back.</t>
        </is>
      </c>
    </row>
    <row r="25" ht="36" customHeight="1">
      <c r="B25" s="31" t="inlineStr">
        <is>
          <t>CHOP</t>
        </is>
      </c>
      <c r="E25" s="32">
        <f>IF(MAX(DATA_CHOP!$A:$A)=0,"–",MAX(DATA_CHOP!$A:$A))</f>
        <v/>
      </c>
      <c r="G25" s="33">
        <f>COUNT(DATA_CHOP!$A:$A)</f>
        <v/>
      </c>
      <c r="J25" s="29" t="inlineStr">
        <is>
          <t>5.  COMPARE (WEEKS): the averaging window, 1 to 52 weeks. '–' means there is no data for that figure.</t>
        </is>
      </c>
    </row>
    <row r="26" ht="36" customHeight="1">
      <c r="B26" s="31" t="inlineStr">
        <is>
          <t>Community Church</t>
        </is>
      </c>
      <c r="E26" s="32">
        <f>IF(MAX(DATA_COMMUNITY!$A:$A)=0,"–",MAX(DATA_COMMUNITY!$A:$A))</f>
        <v/>
      </c>
      <c r="G26" s="33">
        <f>COUNT(DATA_COMMUNITY!$A:$A)</f>
        <v/>
      </c>
      <c r="J26" s="29" t="inlineStr">
        <is>
          <t>6.  New data never goes into these sheets by hand: drop the files in the inbox folder and run ingest.py (see README).</t>
        </is>
      </c>
    </row>
    <row r="27">
      <c r="B27" s="31" t="inlineStr">
        <is>
          <t>Transport operations</t>
        </is>
      </c>
      <c r="E27" s="32">
        <f>IF(MAX(DATA_TRANSPORT_OPS!$A:$A)=0,"–",MAX(DATA_TRANSPORT_OPS!$A:$A))</f>
        <v/>
      </c>
      <c r="G27" s="33">
        <f>COUNT(DATA_TRANSPORT_OPS!$A:$A)</f>
        <v/>
      </c>
    </row>
    <row r="28">
      <c r="B28" s="31" t="inlineStr">
        <is>
          <t>Transport finance</t>
        </is>
      </c>
      <c r="E28" s="32">
        <f>IF(MAX(DATA_TRANSPORT_FINANCE!$A:$A)=0,"–",MAX(DATA_TRANSPORT_FINANCE!$A:$A))</f>
        <v/>
      </c>
      <c r="G28" s="33">
        <f>COUNT(DATA_TRANSPORT_FINANCE!$A:$A)</f>
        <v/>
      </c>
    </row>
    <row r="30">
      <c r="B30" s="34" t="inlineStr">
        <is>
          <t>Review build (stage 1): the WSF DASHBOARD, the data tables, masters, Calendar, SETTINGS and DATA QUALITY are complete. The other dashboards follow once the WSF layout is approved.</t>
        </is>
      </c>
      <c r="C30" s="35" t="n"/>
      <c r="D30" s="35" t="n"/>
      <c r="E30" s="35" t="n"/>
      <c r="F30" s="35" t="n"/>
      <c r="G30" s="35" t="n"/>
      <c r="H30" s="35" t="n"/>
      <c r="I30" s="35" t="n"/>
      <c r="J30" s="35" t="n"/>
      <c r="K30" s="35" t="n"/>
      <c r="L30" s="35" t="n"/>
      <c r="M30" s="35" t="n"/>
    </row>
    <row r="31">
      <c r="B31" s="35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  <c r="L31" s="35" t="n"/>
      <c r="M31" s="35" t="n"/>
    </row>
  </sheetData>
  <mergeCells count="46">
    <mergeCell ref="J22:M22"/>
    <mergeCell ref="B23:D23"/>
    <mergeCell ref="E24:F24"/>
    <mergeCell ref="B6:E6"/>
    <mergeCell ref="G27:H27"/>
    <mergeCell ref="B15:E15"/>
    <mergeCell ref="E23:F23"/>
    <mergeCell ref="G23:H23"/>
    <mergeCell ref="J21:M21"/>
    <mergeCell ref="B30:M31"/>
    <mergeCell ref="B10:E10"/>
    <mergeCell ref="F14:I14"/>
    <mergeCell ref="B28:D28"/>
    <mergeCell ref="J23:M23"/>
    <mergeCell ref="F11:I11"/>
    <mergeCell ref="E28:F28"/>
    <mergeCell ref="B7:E7"/>
    <mergeCell ref="G28:H28"/>
    <mergeCell ref="J14:M14"/>
    <mergeCell ref="F10:I10"/>
    <mergeCell ref="B24:D24"/>
    <mergeCell ref="B20:D20"/>
    <mergeCell ref="F6:I6"/>
    <mergeCell ref="J10:M10"/>
    <mergeCell ref="G24:H24"/>
    <mergeCell ref="F7:I7"/>
    <mergeCell ref="B26:D26"/>
    <mergeCell ref="E27:F27"/>
    <mergeCell ref="B11:E11"/>
    <mergeCell ref="J6:M6"/>
    <mergeCell ref="F15:I15"/>
    <mergeCell ref="J24:M24"/>
    <mergeCell ref="J15:M15"/>
    <mergeCell ref="E26:F26"/>
    <mergeCell ref="B25:D25"/>
    <mergeCell ref="G26:H26"/>
    <mergeCell ref="B14:E14"/>
    <mergeCell ref="J26:M26"/>
    <mergeCell ref="E25:F25"/>
    <mergeCell ref="G25:H25"/>
    <mergeCell ref="J11:M11"/>
    <mergeCell ref="B27:D27"/>
    <mergeCell ref="J20:M20"/>
    <mergeCell ref="J7:M7"/>
    <mergeCell ref="J25:M25"/>
    <mergeCell ref="E20:G20"/>
  </mergeCells>
  <hyperlinks>
    <hyperlink xmlns:r="http://schemas.openxmlformats.org/officeDocument/2006/relationships" ref="L1" r:id="rId1"/>
    <hyperlink xmlns:r="http://schemas.openxmlformats.org/officeDocument/2006/relationships" ref="B6" r:id="rId2"/>
    <hyperlink xmlns:r="http://schemas.openxmlformats.org/officeDocument/2006/relationships" ref="F6" r:id="rId3"/>
    <hyperlink xmlns:r="http://schemas.openxmlformats.org/officeDocument/2006/relationships" ref="J6" r:id="rId4"/>
    <hyperlink xmlns:r="http://schemas.openxmlformats.org/officeDocument/2006/relationships" ref="B7" r:id="rId5"/>
    <hyperlink xmlns:r="http://schemas.openxmlformats.org/officeDocument/2006/relationships" ref="F7" r:id="rId6"/>
    <hyperlink xmlns:r="http://schemas.openxmlformats.org/officeDocument/2006/relationships" ref="J7" r:id="rId7"/>
    <hyperlink xmlns:r="http://schemas.openxmlformats.org/officeDocument/2006/relationships" ref="B10" r:id="rId8"/>
    <hyperlink xmlns:r="http://schemas.openxmlformats.org/officeDocument/2006/relationships" ref="F10" r:id="rId9"/>
    <hyperlink xmlns:r="http://schemas.openxmlformats.org/officeDocument/2006/relationships" ref="J10" r:id="rId10"/>
    <hyperlink xmlns:r="http://schemas.openxmlformats.org/officeDocument/2006/relationships" ref="B11" r:id="rId11"/>
    <hyperlink xmlns:r="http://schemas.openxmlformats.org/officeDocument/2006/relationships" ref="F11" r:id="rId12"/>
    <hyperlink xmlns:r="http://schemas.openxmlformats.org/officeDocument/2006/relationships" ref="J11" r:id="rId13"/>
    <hyperlink xmlns:r="http://schemas.openxmlformats.org/officeDocument/2006/relationships" ref="B14" r:id="rId14"/>
    <hyperlink xmlns:r="http://schemas.openxmlformats.org/officeDocument/2006/relationships" ref="F14" r:id="rId15"/>
    <hyperlink xmlns:r="http://schemas.openxmlformats.org/officeDocument/2006/relationships" ref="J14" r:id="rId16"/>
    <hyperlink xmlns:r="http://schemas.openxmlformats.org/officeDocument/2006/relationships" ref="B15" r:id="rId17"/>
    <hyperlink xmlns:r="http://schemas.openxmlformats.org/officeDocument/2006/relationships" ref="F15" r:id="rId18"/>
    <hyperlink xmlns:r="http://schemas.openxmlformats.org/officeDocument/2006/relationships" ref="J15" r:id="rId19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1B2A41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" t="n"/>
      <c r="B1" s="2" t="inlineStr">
        <is>
          <t>MASTER DASHBOARD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3" t="inlineStr">
        <is>
          <t>⌂ HOME</t>
        </is>
      </c>
      <c r="O1" s="1" t="n"/>
      <c r="P1" s="1" t="n"/>
    </row>
    <row r="2">
      <c r="A2" s="1" t="n"/>
      <c r="B2" s="4" t="inlineStr">
        <is>
          <t>Global view of every stream side by side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all DATA_*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1F5FA8"/>
    <outlinePr summaryBelow="1" summaryRight="1"/>
    <pageSetUpPr fitToPage="1"/>
  </sheetPr>
  <dimension ref="A1:P109"/>
  <sheetViews>
    <sheetView showGridLines="0" tabSelected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9" t="n"/>
      <c r="B1" s="37" t="inlineStr">
        <is>
          <t>WSF DASHBOARD</t>
        </is>
      </c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38" t="inlineStr">
        <is>
          <t>⌂ HOME</t>
        </is>
      </c>
      <c r="O1" s="9" t="n"/>
      <c r="P1" s="9" t="n"/>
    </row>
    <row r="2">
      <c r="A2" s="9" t="n"/>
      <c r="B2" s="39" t="inlineStr">
        <is>
          <t>Worship Service Fellowship · Saturday cell services · attendance and cell reporting compliance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</row>
    <row r="3" ht="16" customHeight="1">
      <c r="B3" s="40" t="inlineStr">
        <is>
          <t>SCOPE</t>
        </is>
      </c>
      <c r="C3" s="40" t="inlineStr">
        <is>
          <t>SEARCH  (type part of a name)</t>
        </is>
      </c>
      <c r="E3" s="40" t="inlineStr">
        <is>
          <t>SELECT AREA / ZONE  ▼</t>
        </is>
      </c>
      <c r="H3" s="40" t="inlineStr">
        <is>
          <t>STREAM</t>
        </is>
      </c>
      <c r="I3" s="40" t="inlineStr">
        <is>
          <t>WEEK ENDING  ▼</t>
        </is>
      </c>
      <c r="K3" s="40" t="inlineStr">
        <is>
          <t>COMPARE (WEEKS)</t>
        </is>
      </c>
      <c r="L3" s="40" t="inlineStr">
        <is>
          <t>SHOWING</t>
        </is>
      </c>
    </row>
    <row r="4" ht="24" customHeight="1">
      <c r="B4" s="41" t="inlineStr">
        <is>
          <t>Global</t>
        </is>
      </c>
      <c r="C4" s="42" t="n"/>
      <c r="D4" s="43" t="n"/>
      <c r="E4" s="42" t="n"/>
      <c r="F4" s="43" t="n"/>
      <c r="G4" s="43" t="n"/>
      <c r="H4" s="44" t="inlineStr">
        <is>
          <t>WSF</t>
        </is>
      </c>
      <c r="I4" s="45" t="inlineStr">
        <is>
          <t>Latest</t>
        </is>
      </c>
      <c r="J4" s="43" t="n"/>
      <c r="K4" s="41" t="n">
        <v>4</v>
      </c>
      <c r="L4" s="46">
        <f>CALC_WSF!$B$16&amp;IF(CALC_WSF!$B$10=0,"","  ·  w/e "&amp;TEXT(CALC_WSF!$B$10,"dd mmm yyyy"))&amp;"  ·  "&amp;CALC_WSF!$B$11&amp;"-wk window"</f>
        <v/>
      </c>
    </row>
    <row r="5" ht="18" customHeight="1">
      <c r="B5" s="47">
        <f>IF(CALC_WSF!$B$9=0,"No WSF data loaded yet. Put files in the inbox folder and run ingest.py.",IF(NOT(CALC_WSF!$B$5),"⚠  Pick "&amp;IF(CALC_WSF!$B$3="Area","an Area","a Zone")&amp;" from SELECT (type part of the name in SEARCH first to narrow the list).",IF(CALC_WSF!$Q$21=0,"No WSF reports in this scope for the selected week.","Numbers compare the selected week with the previous week and with the average of the "&amp;CALC_WSF!$B$11&amp;" weeks before it.")))</f>
        <v/>
      </c>
    </row>
    <row r="7">
      <c r="B7" s="48" t="inlineStr">
        <is>
          <t>GRAND TOTAL ATTENDANCE</t>
        </is>
      </c>
      <c r="C7" s="49" t="n"/>
      <c r="D7" s="48" t="inlineStr">
        <is>
          <t>ADULTS (M + F)</t>
        </is>
      </c>
      <c r="E7" s="49" t="n"/>
      <c r="F7" s="48" t="inlineStr">
        <is>
          <t>CHILDREN</t>
        </is>
      </c>
      <c r="G7" s="49" t="n"/>
      <c r="H7" s="48" t="inlineStr">
        <is>
          <t>% CELLS REPORTING</t>
        </is>
      </c>
      <c r="I7" s="49" t="n"/>
      <c r="J7" s="48" t="inlineStr">
        <is>
          <t>CELLS REPORTED</t>
        </is>
      </c>
      <c r="K7" s="49" t="n"/>
      <c r="L7" s="48" t="inlineStr">
        <is>
          <t>AVG PER REPORTING CELL</t>
        </is>
      </c>
      <c r="M7" s="49" t="n"/>
      <c r="N7" s="48" t="inlineStr">
        <is>
          <t>ZONES WITH NO CELL REPORT</t>
        </is>
      </c>
      <c r="O7" s="49" t="n"/>
    </row>
    <row r="8" ht="34" customHeight="1">
      <c r="B8" s="50">
        <f>IF(CALC_WSF!$B$90="","–",CALC_WSF!$B$90)</f>
        <v/>
      </c>
      <c r="C8" s="51" t="n"/>
      <c r="D8" s="50">
        <f>IF(CALC_WSF!$B$91="","–",CALC_WSF!$B$91)</f>
        <v/>
      </c>
      <c r="E8" s="51" t="n"/>
      <c r="F8" s="50">
        <f>IF(CALC_WSF!$B$94="","–",CALC_WSF!$B$94)</f>
        <v/>
      </c>
      <c r="G8" s="51" t="n"/>
      <c r="H8" s="52">
        <f>IF(CALC_WSF!$B$98="","–",CALC_WSF!$B$98)</f>
        <v/>
      </c>
      <c r="I8" s="51" t="n"/>
      <c r="J8" s="50">
        <f>IF(CALC_WSF!$B$96="","–",CALC_WSF!$B$96)</f>
        <v/>
      </c>
      <c r="K8" s="51" t="n"/>
      <c r="L8" s="53">
        <f>IF(CALC_WSF!$B$100="","–",CALC_WSF!$B$100)</f>
        <v/>
      </c>
      <c r="M8" s="51" t="n"/>
      <c r="N8" s="50">
        <f>IF(CALC_WSF!$Q$21=0,"–",CALC_WSF!$B$17)</f>
        <v/>
      </c>
      <c r="O8" s="51" t="n"/>
    </row>
    <row r="9">
      <c r="B9" s="54">
        <f>IF(CALC_WSF!$E$90="","– vs prev wk",IF(CALC_WSF!$E$90&gt;=0,"▲ ","▼ ")&amp;TEXT(ABS(CALC_WSF!$E$90),"0.0%")&amp;" vs prev wk")</f>
        <v/>
      </c>
      <c r="C9" s="51" t="n"/>
      <c r="D9" s="54">
        <f>IF(CALC_WSF!$E$91="","– vs prev wk",IF(CALC_WSF!$E$91&gt;=0,"▲ ","▼ ")&amp;TEXT(ABS(CALC_WSF!$E$91),"0.0%")&amp;" vs prev wk")</f>
        <v/>
      </c>
      <c r="E9" s="51" t="n"/>
      <c r="F9" s="54">
        <f>IF(CALC_WSF!$E$94="","– vs prev wk",IF(CALC_WSF!$E$94&gt;=0,"▲ ","▼ ")&amp;TEXT(ABS(CALC_WSF!$E$94),"0.0%")&amp;" vs prev wk")</f>
        <v/>
      </c>
      <c r="G9" s="51" t="n"/>
      <c r="H9" s="54">
        <f>IF(CALC_WSF!$D$98="","– vs prev wk",IF(CALC_WSF!$D$98&gt;=0,"▲ ","▼ ")&amp;TEXT(ABS(CALC_WSF!$D$98)*100,"0.0")&amp;" pts vs prev wk")</f>
        <v/>
      </c>
      <c r="I9" s="51" t="n"/>
      <c r="J9" s="54">
        <f>IF(CALC_WSF!$E$96="","– vs prev wk",IF(CALC_WSF!$E$96&gt;=0,"▲ ","▼ ")&amp;TEXT(ABS(CALC_WSF!$E$96),"0.0%")&amp;" vs prev wk")</f>
        <v/>
      </c>
      <c r="K9" s="51" t="n"/>
      <c r="L9" s="54">
        <f>IF(CALC_WSF!$E$100="","– vs prev wk",IF(CALC_WSF!$E$100&gt;=0,"▲ ","▼ ")&amp;TEXT(ABS(CALC_WSF!$E$100),"0.0%")&amp;" vs prev wk")</f>
        <v/>
      </c>
      <c r="M9" s="51" t="n"/>
      <c r="N9" s="54">
        <f>IF(CALC_WSF!$Q$21=0,"","of "&amp;TEXT(COUNTIFS(DATA_WSF!$A:$A,CALC_WSF!$B$10,DATA_WSF!$C:$C,CALC_WSF!$B$6,DATA_WSF!$D:$D,CALC_WSF!$B$7),"#,##0")&amp;" zones")</f>
        <v/>
      </c>
      <c r="O9" s="51" t="n"/>
    </row>
    <row r="10">
      <c r="B10" s="55">
        <f>"Avg last "&amp;CALC_WSF!$B$11&amp;" wks: "&amp;IF(CALC_WSF!$F$90="","–",TEXT(CALC_WSF!$F$90,"#,##0"))</f>
        <v/>
      </c>
      <c r="C10" s="51" t="n"/>
      <c r="D10" s="55">
        <f>"Avg last "&amp;CALC_WSF!$B$11&amp;" wks: "&amp;IF(CALC_WSF!$F$91="","–",TEXT(CALC_WSF!$F$91,"#,##0"))</f>
        <v/>
      </c>
      <c r="E10" s="51" t="n"/>
      <c r="F10" s="55">
        <f>"Avg last "&amp;CALC_WSF!$B$11&amp;" wks: "&amp;IF(CALC_WSF!$F$94="","–",TEXT(CALC_WSF!$F$94,"#,##0"))</f>
        <v/>
      </c>
      <c r="G10" s="51" t="n"/>
      <c r="H10" s="55">
        <f>"Avg last "&amp;CALC_WSF!$B$11&amp;" wks: "&amp;IF(CALC_WSF!$F$98="","–",TEXT(CALC_WSF!$F$98,"0.0%"))</f>
        <v/>
      </c>
      <c r="I10" s="51" t="n"/>
      <c r="J10" s="55">
        <f>"Avg last "&amp;CALC_WSF!$B$11&amp;" wks: "&amp;IF(CALC_WSF!$F$96="","–",TEXT(CALC_WSF!$F$96,"#,##0"))</f>
        <v/>
      </c>
      <c r="K10" s="51" t="n"/>
      <c r="L10" s="55">
        <f>"Avg last "&amp;CALC_WSF!$B$11&amp;" wks: "&amp;IF(CALC_WSF!$F$100="","–",TEXT(CALC_WSF!$F$100,"#,##0.0"))</f>
        <v/>
      </c>
      <c r="M10" s="51" t="n"/>
      <c r="N10" s="55">
        <f>"Zones where not one cell reported"</f>
        <v/>
      </c>
      <c r="O10" s="51" t="n"/>
    </row>
    <row r="12" ht="22" customHeight="1">
      <c r="B12" s="56" t="inlineStr">
        <is>
          <t>Time analysis — selected week against previous week, the N-week average and period-to-date</t>
        </is>
      </c>
      <c r="C12" s="57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</row>
    <row r="13" ht="28" customHeight="1">
      <c r="B13" s="58" t="inlineStr">
        <is>
          <t>KPI</t>
        </is>
      </c>
      <c r="C13" s="9" t="n"/>
      <c r="D13" s="59" t="inlineStr">
        <is>
          <t>Selected week</t>
        </is>
      </c>
      <c r="E13" s="59" t="inlineStr">
        <is>
          <t>Previous week</t>
        </is>
      </c>
      <c r="F13" s="59" t="inlineStr">
        <is>
          <t>Change</t>
        </is>
      </c>
      <c r="G13" s="59" t="inlineStr">
        <is>
          <t>% change</t>
        </is>
      </c>
      <c r="H13" s="59">
        <f>"Avg last "&amp;CALC_WSF!$B$11&amp;" wks"</f>
        <v/>
      </c>
      <c r="I13" s="59">
        <f>"vs "&amp;CALC_WSF!$B$11&amp;"-wk avg"</f>
        <v/>
      </c>
      <c r="J13" s="59" t="inlineStr">
        <is>
          <t>MTD total</t>
        </is>
      </c>
      <c r="K13" s="59" t="inlineStr">
        <is>
          <t>QTD total</t>
        </is>
      </c>
      <c r="L13" s="59" t="inlineStr">
        <is>
          <t>YTD total</t>
        </is>
      </c>
      <c r="M13" s="59" t="inlineStr">
        <is>
          <t>Wkly avg (month)</t>
        </is>
      </c>
      <c r="N13" s="59" t="inlineStr">
        <is>
          <t>Wkly avg (qtr)</t>
        </is>
      </c>
      <c r="O13" s="59" t="inlineStr">
        <is>
          <t>Wkly avg (year)</t>
        </is>
      </c>
    </row>
    <row r="14">
      <c r="B14" s="60" t="inlineStr">
        <is>
          <t>Grand total attendance</t>
        </is>
      </c>
      <c r="C14" s="61" t="n"/>
      <c r="D14" s="62">
        <f>IF(CALC_WSF!$B$90="","–",CALC_WSF!$B$90)</f>
        <v/>
      </c>
      <c r="E14" s="63">
        <f>IF(CALC_WSF!$C$90="","–",CALC_WSF!$C$90)</f>
        <v/>
      </c>
      <c r="F14" s="64">
        <f>IF(CALC_WSF!$D$90="","–",CALC_WSF!$D$90)</f>
        <v/>
      </c>
      <c r="G14" s="65">
        <f>IF(CALC_WSF!$E$90="","–",CALC_WSF!$E$90)</f>
        <v/>
      </c>
      <c r="H14" s="63">
        <f>IF(CALC_WSF!$F$90="","–",CALC_WSF!$F$90)</f>
        <v/>
      </c>
      <c r="I14" s="65">
        <f>IF(CALC_WSF!$G$90="","–",CALC_WSF!$G$90)</f>
        <v/>
      </c>
      <c r="J14" s="63">
        <f>IF(CALC_WSF!$H$90="","–",CALC_WSF!$H$90)</f>
        <v/>
      </c>
      <c r="K14" s="63">
        <f>IF(CALC_WSF!$I$90="","–",CALC_WSF!$I$90)</f>
        <v/>
      </c>
      <c r="L14" s="63">
        <f>IF(CALC_WSF!$J$90="","–",CALC_WSF!$J$90)</f>
        <v/>
      </c>
      <c r="M14" s="63">
        <f>IF(CALC_WSF!$K$90="","–",CALC_WSF!$K$90)</f>
        <v/>
      </c>
      <c r="N14" s="63">
        <f>IF(CALC_WSF!$L$90="","–",CALC_WSF!$L$90)</f>
        <v/>
      </c>
      <c r="O14" s="63">
        <f>IF(CALC_WSF!$M$90="","–",CALC_WSF!$M$90)</f>
        <v/>
      </c>
    </row>
    <row r="15">
      <c r="B15" s="66" t="inlineStr">
        <is>
          <t>Adult total (Male + Female)</t>
        </is>
      </c>
      <c r="D15" s="67">
        <f>IF(CALC_WSF!$B$91="","–",CALC_WSF!$B$91)</f>
        <v/>
      </c>
      <c r="E15" s="68">
        <f>IF(CALC_WSF!$C$91="","–",CALC_WSF!$C$91)</f>
        <v/>
      </c>
      <c r="F15" s="69">
        <f>IF(CALC_WSF!$D$91="","–",CALC_WSF!$D$91)</f>
        <v/>
      </c>
      <c r="G15" s="70">
        <f>IF(CALC_WSF!$E$91="","–",CALC_WSF!$E$91)</f>
        <v/>
      </c>
      <c r="H15" s="68">
        <f>IF(CALC_WSF!$F$91="","–",CALC_WSF!$F$91)</f>
        <v/>
      </c>
      <c r="I15" s="70">
        <f>IF(CALC_WSF!$G$91="","–",CALC_WSF!$G$91)</f>
        <v/>
      </c>
      <c r="J15" s="68">
        <f>IF(CALC_WSF!$H$91="","–",CALC_WSF!$H$91)</f>
        <v/>
      </c>
      <c r="K15" s="68">
        <f>IF(CALC_WSF!$I$91="","–",CALC_WSF!$I$91)</f>
        <v/>
      </c>
      <c r="L15" s="68">
        <f>IF(CALC_WSF!$J$91="","–",CALC_WSF!$J$91)</f>
        <v/>
      </c>
      <c r="M15" s="68">
        <f>IF(CALC_WSF!$K$91="","–",CALC_WSF!$K$91)</f>
        <v/>
      </c>
      <c r="N15" s="68">
        <f>IF(CALC_WSF!$L$91="","–",CALC_WSF!$L$91)</f>
        <v/>
      </c>
      <c r="O15" s="68">
        <f>IF(CALC_WSF!$M$91="","–",CALC_WSF!$M$91)</f>
        <v/>
      </c>
    </row>
    <row r="16">
      <c r="B16" s="71" t="inlineStr">
        <is>
          <t>Male</t>
        </is>
      </c>
      <c r="C16" s="61" t="n"/>
      <c r="D16" s="62">
        <f>IF(CALC_WSF!$B$92="","–",CALC_WSF!$B$92)</f>
        <v/>
      </c>
      <c r="E16" s="63">
        <f>IF(CALC_WSF!$C$92="","–",CALC_WSF!$C$92)</f>
        <v/>
      </c>
      <c r="F16" s="64">
        <f>IF(CALC_WSF!$D$92="","–",CALC_WSF!$D$92)</f>
        <v/>
      </c>
      <c r="G16" s="65">
        <f>IF(CALC_WSF!$E$92="","–",CALC_WSF!$E$92)</f>
        <v/>
      </c>
      <c r="H16" s="63">
        <f>IF(CALC_WSF!$F$92="","–",CALC_WSF!$F$92)</f>
        <v/>
      </c>
      <c r="I16" s="65">
        <f>IF(CALC_WSF!$G$92="","–",CALC_WSF!$G$92)</f>
        <v/>
      </c>
      <c r="J16" s="63">
        <f>IF(CALC_WSF!$H$92="","–",CALC_WSF!$H$92)</f>
        <v/>
      </c>
      <c r="K16" s="63">
        <f>IF(CALC_WSF!$I$92="","–",CALC_WSF!$I$92)</f>
        <v/>
      </c>
      <c r="L16" s="63">
        <f>IF(CALC_WSF!$J$92="","–",CALC_WSF!$J$92)</f>
        <v/>
      </c>
      <c r="M16" s="63">
        <f>IF(CALC_WSF!$K$92="","–",CALC_WSF!$K$92)</f>
        <v/>
      </c>
      <c r="N16" s="63">
        <f>IF(CALC_WSF!$L$92="","–",CALC_WSF!$L$92)</f>
        <v/>
      </c>
      <c r="O16" s="63">
        <f>IF(CALC_WSF!$M$92="","–",CALC_WSF!$M$92)</f>
        <v/>
      </c>
    </row>
    <row r="17">
      <c r="B17" s="66" t="inlineStr">
        <is>
          <t>Female</t>
        </is>
      </c>
      <c r="D17" s="67">
        <f>IF(CALC_WSF!$B$93="","–",CALC_WSF!$B$93)</f>
        <v/>
      </c>
      <c r="E17" s="68">
        <f>IF(CALC_WSF!$C$93="","–",CALC_WSF!$C$93)</f>
        <v/>
      </c>
      <c r="F17" s="69">
        <f>IF(CALC_WSF!$D$93="","–",CALC_WSF!$D$93)</f>
        <v/>
      </c>
      <c r="G17" s="70">
        <f>IF(CALC_WSF!$E$93="","–",CALC_WSF!$E$93)</f>
        <v/>
      </c>
      <c r="H17" s="68">
        <f>IF(CALC_WSF!$F$93="","–",CALC_WSF!$F$93)</f>
        <v/>
      </c>
      <c r="I17" s="70">
        <f>IF(CALC_WSF!$G$93="","–",CALC_WSF!$G$93)</f>
        <v/>
      </c>
      <c r="J17" s="68">
        <f>IF(CALC_WSF!$H$93="","–",CALC_WSF!$H$93)</f>
        <v/>
      </c>
      <c r="K17" s="68">
        <f>IF(CALC_WSF!$I$93="","–",CALC_WSF!$I$93)</f>
        <v/>
      </c>
      <c r="L17" s="68">
        <f>IF(CALC_WSF!$J$93="","–",CALC_WSF!$J$93)</f>
        <v/>
      </c>
      <c r="M17" s="68">
        <f>IF(CALC_WSF!$K$93="","–",CALC_WSF!$K$93)</f>
        <v/>
      </c>
      <c r="N17" s="68">
        <f>IF(CALC_WSF!$L$93="","–",CALC_WSF!$L$93)</f>
        <v/>
      </c>
      <c r="O17" s="68">
        <f>IF(CALC_WSF!$M$93="","–",CALC_WSF!$M$93)</f>
        <v/>
      </c>
    </row>
    <row r="18">
      <c r="B18" s="71" t="inlineStr">
        <is>
          <t>Children</t>
        </is>
      </c>
      <c r="C18" s="61" t="n"/>
      <c r="D18" s="62">
        <f>IF(CALC_WSF!$B$94="","–",CALC_WSF!$B$94)</f>
        <v/>
      </c>
      <c r="E18" s="63">
        <f>IF(CALC_WSF!$C$94="","–",CALC_WSF!$C$94)</f>
        <v/>
      </c>
      <c r="F18" s="64">
        <f>IF(CALC_WSF!$D$94="","–",CALC_WSF!$D$94)</f>
        <v/>
      </c>
      <c r="G18" s="65">
        <f>IF(CALC_WSF!$E$94="","–",CALC_WSF!$E$94)</f>
        <v/>
      </c>
      <c r="H18" s="63">
        <f>IF(CALC_WSF!$F$94="","–",CALC_WSF!$F$94)</f>
        <v/>
      </c>
      <c r="I18" s="65">
        <f>IF(CALC_WSF!$G$94="","–",CALC_WSF!$G$94)</f>
        <v/>
      </c>
      <c r="J18" s="63">
        <f>IF(CALC_WSF!$H$94="","–",CALC_WSF!$H$94)</f>
        <v/>
      </c>
      <c r="K18" s="63">
        <f>IF(CALC_WSF!$I$94="","–",CALC_WSF!$I$94)</f>
        <v/>
      </c>
      <c r="L18" s="63">
        <f>IF(CALC_WSF!$J$94="","–",CALC_WSF!$J$94)</f>
        <v/>
      </c>
      <c r="M18" s="63">
        <f>IF(CALC_WSF!$K$94="","–",CALC_WSF!$K$94)</f>
        <v/>
      </c>
      <c r="N18" s="63">
        <f>IF(CALC_WSF!$L$94="","–",CALC_WSF!$L$94)</f>
        <v/>
      </c>
      <c r="O18" s="63">
        <f>IF(CALC_WSF!$M$94="","–",CALC_WSF!$M$94)</f>
        <v/>
      </c>
    </row>
    <row r="19">
      <c r="B19" s="66" t="inlineStr">
        <is>
          <t>Operational cells</t>
        </is>
      </c>
      <c r="D19" s="67">
        <f>IF(CALC_WSF!$B$95="","–",CALC_WSF!$B$95)</f>
        <v/>
      </c>
      <c r="E19" s="68">
        <f>IF(CALC_WSF!$C$95="","–",CALC_WSF!$C$95)</f>
        <v/>
      </c>
      <c r="F19" s="69">
        <f>IF(CALC_WSF!$D$95="","–",CALC_WSF!$D$95)</f>
        <v/>
      </c>
      <c r="G19" s="70">
        <f>IF(CALC_WSF!$E$95="","–",CALC_WSF!$E$95)</f>
        <v/>
      </c>
      <c r="H19" s="68">
        <f>IF(CALC_WSF!$F$95="","–",CALC_WSF!$F$95)</f>
        <v/>
      </c>
      <c r="I19" s="70">
        <f>IF(CALC_WSF!$G$95="","–",CALC_WSF!$G$95)</f>
        <v/>
      </c>
      <c r="J19" s="68">
        <f>IF(CALC_WSF!$H$95="","–",CALC_WSF!$H$95)</f>
        <v/>
      </c>
      <c r="K19" s="68">
        <f>IF(CALC_WSF!$I$95="","–",CALC_WSF!$I$95)</f>
        <v/>
      </c>
      <c r="L19" s="68">
        <f>IF(CALC_WSF!$J$95="","–",CALC_WSF!$J$95)</f>
        <v/>
      </c>
      <c r="M19" s="68">
        <f>IF(CALC_WSF!$K$95="","–",CALC_WSF!$K$95)</f>
        <v/>
      </c>
      <c r="N19" s="68">
        <f>IF(CALC_WSF!$L$95="","–",CALC_WSF!$L$95)</f>
        <v/>
      </c>
      <c r="O19" s="68">
        <f>IF(CALC_WSF!$M$95="","–",CALC_WSF!$M$95)</f>
        <v/>
      </c>
    </row>
    <row r="20">
      <c r="B20" s="71" t="inlineStr">
        <is>
          <t>Cells that reported</t>
        </is>
      </c>
      <c r="C20" s="61" t="n"/>
      <c r="D20" s="62">
        <f>IF(CALC_WSF!$B$96="","–",CALC_WSF!$B$96)</f>
        <v/>
      </c>
      <c r="E20" s="63">
        <f>IF(CALC_WSF!$C$96="","–",CALC_WSF!$C$96)</f>
        <v/>
      </c>
      <c r="F20" s="64">
        <f>IF(CALC_WSF!$D$96="","–",CALC_WSF!$D$96)</f>
        <v/>
      </c>
      <c r="G20" s="65">
        <f>IF(CALC_WSF!$E$96="","–",CALC_WSF!$E$96)</f>
        <v/>
      </c>
      <c r="H20" s="63">
        <f>IF(CALC_WSF!$F$96="","–",CALC_WSF!$F$96)</f>
        <v/>
      </c>
      <c r="I20" s="65">
        <f>IF(CALC_WSF!$G$96="","–",CALC_WSF!$G$96)</f>
        <v/>
      </c>
      <c r="J20" s="63">
        <f>IF(CALC_WSF!$H$96="","–",CALC_WSF!$H$96)</f>
        <v/>
      </c>
      <c r="K20" s="63">
        <f>IF(CALC_WSF!$I$96="","–",CALC_WSF!$I$96)</f>
        <v/>
      </c>
      <c r="L20" s="63">
        <f>IF(CALC_WSF!$J$96="","–",CALC_WSF!$J$96)</f>
        <v/>
      </c>
      <c r="M20" s="63">
        <f>IF(CALC_WSF!$K$96="","–",CALC_WSF!$K$96)</f>
        <v/>
      </c>
      <c r="N20" s="63">
        <f>IF(CALC_WSF!$L$96="","–",CALC_WSF!$L$96)</f>
        <v/>
      </c>
      <c r="O20" s="63">
        <f>IF(CALC_WSF!$M$96="","–",CALC_WSF!$M$96)</f>
        <v/>
      </c>
    </row>
    <row r="21">
      <c r="B21" s="66" t="inlineStr">
        <is>
          <t>Cells with no report</t>
        </is>
      </c>
      <c r="D21" s="67">
        <f>IF(CALC_WSF!$B$97="","–",CALC_WSF!$B$97)</f>
        <v/>
      </c>
      <c r="E21" s="68">
        <f>IF(CALC_WSF!$C$97="","–",CALC_WSF!$C$97)</f>
        <v/>
      </c>
      <c r="F21" s="69">
        <f>IF(CALC_WSF!$D$97="","–",CALC_WSF!$D$97)</f>
        <v/>
      </c>
      <c r="G21" s="70">
        <f>IF(CALC_WSF!$E$97="","–",CALC_WSF!$E$97)</f>
        <v/>
      </c>
      <c r="H21" s="68">
        <f>IF(CALC_WSF!$F$97="","–",CALC_WSF!$F$97)</f>
        <v/>
      </c>
      <c r="I21" s="70">
        <f>IF(CALC_WSF!$G$97="","–",CALC_WSF!$G$97)</f>
        <v/>
      </c>
      <c r="J21" s="68">
        <f>IF(CALC_WSF!$H$97="","–",CALC_WSF!$H$97)</f>
        <v/>
      </c>
      <c r="K21" s="68">
        <f>IF(CALC_WSF!$I$97="","–",CALC_WSF!$I$97)</f>
        <v/>
      </c>
      <c r="L21" s="68">
        <f>IF(CALC_WSF!$J$97="","–",CALC_WSF!$J$97)</f>
        <v/>
      </c>
      <c r="M21" s="68">
        <f>IF(CALC_WSF!$K$97="","–",CALC_WSF!$K$97)</f>
        <v/>
      </c>
      <c r="N21" s="68">
        <f>IF(CALC_WSF!$L$97="","–",CALC_WSF!$L$97)</f>
        <v/>
      </c>
      <c r="O21" s="68">
        <f>IF(CALC_WSF!$M$97="","–",CALC_WSF!$M$97)</f>
        <v/>
      </c>
    </row>
    <row r="22">
      <c r="B22" s="60" t="inlineStr">
        <is>
          <t>% cells reporting</t>
        </is>
      </c>
      <c r="C22" s="61" t="n"/>
      <c r="D22" s="72">
        <f>IF(CALC_WSF!$B$98="","–",CALC_WSF!$B$98)</f>
        <v/>
      </c>
      <c r="E22" s="73">
        <f>IF(CALC_WSF!$C$98="","–",CALC_WSF!$C$98)</f>
        <v/>
      </c>
      <c r="F22" s="74">
        <f>IF(CALC_WSF!$D$98="","–",CALC_WSF!$D$98*100)</f>
        <v/>
      </c>
      <c r="G22" s="65">
        <f>IF(CALC_WSF!$E$98="","–",CALC_WSF!$E$98)</f>
        <v/>
      </c>
      <c r="H22" s="73">
        <f>IF(CALC_WSF!$F$98="","–",CALC_WSF!$F$98)</f>
        <v/>
      </c>
      <c r="I22" s="65">
        <f>IF(CALC_WSF!$G$98="","–",CALC_WSF!$G$98)</f>
        <v/>
      </c>
      <c r="J22" s="73">
        <f>IF(CALC_WSF!$H$98="","–",CALC_WSF!$H$98)</f>
        <v/>
      </c>
      <c r="K22" s="73">
        <f>IF(CALC_WSF!$I$98="","–",CALC_WSF!$I$98)</f>
        <v/>
      </c>
      <c r="L22" s="73">
        <f>IF(CALC_WSF!$J$98="","–",CALC_WSF!$J$98)</f>
        <v/>
      </c>
      <c r="M22" s="73">
        <f>IF(CALC_WSF!$K$98="","–",CALC_WSF!$K$98)</f>
        <v/>
      </c>
      <c r="N22" s="73">
        <f>IF(CALC_WSF!$L$98="","–",CALC_WSF!$L$98)</f>
        <v/>
      </c>
      <c r="O22" s="73">
        <f>IF(CALC_WSF!$M$98="","–",CALC_WSF!$M$98)</f>
        <v/>
      </c>
    </row>
    <row r="23">
      <c r="B23" s="66" t="inlineStr">
        <is>
          <t>Reporting : non-reporting</t>
        </is>
      </c>
      <c r="D23" s="75">
        <f>IF(CALC_WSF!$B$99="","–",CALC_WSF!$B$99)</f>
        <v/>
      </c>
      <c r="E23" s="76">
        <f>IF(CALC_WSF!$C$99="","–",CALC_WSF!$C$99)</f>
        <v/>
      </c>
      <c r="F23" s="77">
        <f>IF(CALC_WSF!$D$99="","–",CALC_WSF!$D$99)</f>
        <v/>
      </c>
      <c r="G23" s="70">
        <f>IF(CALC_WSF!$E$99="","–",CALC_WSF!$E$99)</f>
        <v/>
      </c>
      <c r="H23" s="76">
        <f>IF(CALC_WSF!$F$99="","–",CALC_WSF!$F$99)</f>
        <v/>
      </c>
      <c r="I23" s="70">
        <f>IF(CALC_WSF!$G$99="","–",CALC_WSF!$G$99)</f>
        <v/>
      </c>
      <c r="J23" s="76">
        <f>IF(CALC_WSF!$H$99="","–",CALC_WSF!$H$99)</f>
        <v/>
      </c>
      <c r="K23" s="76">
        <f>IF(CALC_WSF!$I$99="","–",CALC_WSF!$I$99)</f>
        <v/>
      </c>
      <c r="L23" s="76">
        <f>IF(CALC_WSF!$J$99="","–",CALC_WSF!$J$99)</f>
        <v/>
      </c>
      <c r="M23" s="76">
        <f>IF(CALC_WSF!$K$99="","–",CALC_WSF!$K$99)</f>
        <v/>
      </c>
      <c r="N23" s="76">
        <f>IF(CALC_WSF!$L$99="","–",CALC_WSF!$L$99)</f>
        <v/>
      </c>
      <c r="O23" s="76">
        <f>IF(CALC_WSF!$M$99="","–",CALC_WSF!$M$99)</f>
        <v/>
      </c>
    </row>
    <row r="24">
      <c r="B24" s="71" t="inlineStr">
        <is>
          <t>Avg attendance per reporting cell</t>
        </is>
      </c>
      <c r="C24" s="61" t="n"/>
      <c r="D24" s="78">
        <f>IF(CALC_WSF!$B$100="","–",CALC_WSF!$B$100)</f>
        <v/>
      </c>
      <c r="E24" s="79">
        <f>IF(CALC_WSF!$C$100="","–",CALC_WSF!$C$100)</f>
        <v/>
      </c>
      <c r="F24" s="80">
        <f>IF(CALC_WSF!$D$100="","–",CALC_WSF!$D$100)</f>
        <v/>
      </c>
      <c r="G24" s="65">
        <f>IF(CALC_WSF!$E$100="","–",CALC_WSF!$E$100)</f>
        <v/>
      </c>
      <c r="H24" s="79">
        <f>IF(CALC_WSF!$F$100="","–",CALC_WSF!$F$100)</f>
        <v/>
      </c>
      <c r="I24" s="65">
        <f>IF(CALC_WSF!$G$100="","–",CALC_WSF!$G$100)</f>
        <v/>
      </c>
      <c r="J24" s="79">
        <f>IF(CALC_WSF!$H$100="","–",CALC_WSF!$H$100)</f>
        <v/>
      </c>
      <c r="K24" s="79">
        <f>IF(CALC_WSF!$I$100="","–",CALC_WSF!$I$100)</f>
        <v/>
      </c>
      <c r="L24" s="79">
        <f>IF(CALC_WSF!$J$100="","–",CALC_WSF!$J$100)</f>
        <v/>
      </c>
      <c r="M24" s="79">
        <f>IF(CALC_WSF!$K$100="","–",CALC_WSF!$K$100)</f>
        <v/>
      </c>
      <c r="N24" s="79">
        <f>IF(CALC_WSF!$L$100="","–",CALC_WSF!$L$100)</f>
        <v/>
      </c>
      <c r="O24" s="79">
        <f>IF(CALC_WSF!$M$100="","–",CALC_WSF!$M$100)</f>
        <v/>
      </c>
    </row>
    <row r="25">
      <c r="B25" s="81" t="inlineStr">
        <is>
          <t>Averages use only weeks that have data. MTD/QTD/YTD run to the selected week; for ratio rows the period columns show the ratio of the period's totals. Cell counts in period columns are cell-weeks.</t>
        </is>
      </c>
    </row>
    <row r="27" ht="22" customHeight="1">
      <c r="B27" s="56" t="inlineStr">
        <is>
          <t>Trends</t>
        </is>
      </c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</row>
    <row r="44" ht="22" customHeight="1">
      <c r="B44" s="56" t="inlineStr">
        <is>
          <t>Area rankings — selected week</t>
        </is>
      </c>
      <c r="C44" s="57" t="n"/>
      <c r="D44" s="57" t="n"/>
      <c r="E44" s="57" t="n"/>
      <c r="F44" s="57" t="n"/>
      <c r="G44" s="57" t="n"/>
      <c r="H44" s="57" t="n"/>
      <c r="I44" s="57" t="n"/>
      <c r="J44" s="57" t="n"/>
      <c r="K44" s="57" t="n"/>
      <c r="L44" s="57" t="n"/>
      <c r="M44" s="57" t="n"/>
      <c r="N44" s="57" t="n"/>
      <c r="O44" s="82" t="inlineStr">
        <is>
          <t>Growth = selected week vs previous week</t>
        </is>
      </c>
    </row>
    <row r="45">
      <c r="B45" s="59" t="inlineStr">
        <is>
          <t>Top 10 · attendance</t>
        </is>
      </c>
      <c r="C45" s="9" t="n"/>
      <c r="D45" s="59" t="inlineStr">
        <is>
          <t>Bottom 10 · attendance</t>
        </is>
      </c>
      <c r="E45" s="9" t="n"/>
      <c r="F45" s="59" t="inlineStr">
        <is>
          <t>Top 10 · % reporting</t>
        </is>
      </c>
      <c r="G45" s="9" t="n"/>
      <c r="H45" s="59" t="inlineStr">
        <is>
          <t>Bottom 10 · % reporting</t>
        </is>
      </c>
      <c r="I45" s="9" t="n"/>
      <c r="J45" s="59" t="inlineStr">
        <is>
          <t>Top 10 · growth</t>
        </is>
      </c>
      <c r="K45" s="9" t="n"/>
      <c r="L45" s="59" t="inlineStr">
        <is>
          <t>Bottom 10 · growth</t>
        </is>
      </c>
      <c r="M45" s="9" t="n"/>
      <c r="N45" s="59" t="inlineStr">
        <is>
          <t>Selected Area rank</t>
        </is>
      </c>
      <c r="O45" s="9" t="n"/>
    </row>
    <row r="46">
      <c r="B46" s="83">
        <f>IF(CALC_WSF!$B$3="Zone","n/a at Zone scope",IF(CALC_WSF!$AJ$3="","–",1&amp;". "&amp;CALC_WSF!$AJ$3))</f>
        <v/>
      </c>
      <c r="C46" s="84">
        <f>IF(OR(CALC_WSF!$B$3="Zone",CALC_WSF!$AJ$3=""),"",CALC_WSF!$AK$3)</f>
        <v/>
      </c>
      <c r="D46" s="83">
        <f>IF(CALC_WSF!$B$3="Zone","n/a at Zone scope",IF(CALC_WSF!$AL$3="","–",1&amp;". "&amp;CALC_WSF!$AL$3))</f>
        <v/>
      </c>
      <c r="E46" s="84">
        <f>IF(OR(CALC_WSF!$B$3="Zone",CALC_WSF!$AL$3=""),"",CALC_WSF!$AM$3)</f>
        <v/>
      </c>
      <c r="F46" s="83">
        <f>IF(CALC_WSF!$B$3="Zone","n/a at Zone scope",IF(CALC_WSF!$AN$3="","–",1&amp;". "&amp;CALC_WSF!$AN$3))</f>
        <v/>
      </c>
      <c r="G46" s="85">
        <f>IF(OR(CALC_WSF!$B$3="Zone",CALC_WSF!$AN$3=""),"",CALC_WSF!$AO$3)</f>
        <v/>
      </c>
      <c r="H46" s="83">
        <f>IF(CALC_WSF!$B$3="Zone","n/a at Zone scope",IF(CALC_WSF!$AP$3="","–",1&amp;". "&amp;CALC_WSF!$AP$3))</f>
        <v/>
      </c>
      <c r="I46" s="85">
        <f>IF(OR(CALC_WSF!$B$3="Zone",CALC_WSF!$AP$3=""),"",CALC_WSF!$AQ$3)</f>
        <v/>
      </c>
      <c r="J46" s="83">
        <f>IF(CALC_WSF!$B$3="Zone","n/a at Zone scope",IF(CALC_WSF!$AR$3="","–",1&amp;". "&amp;CALC_WSF!$AR$3))</f>
        <v/>
      </c>
      <c r="K46" s="86">
        <f>IF(OR(CALC_WSF!$B$3="Zone",CALC_WSF!$AR$3=""),"",CALC_WSF!$AS$3)</f>
        <v/>
      </c>
      <c r="L46" s="83">
        <f>IF(CALC_WSF!$B$3="Zone","n/a at Zone scope",IF(CALC_WSF!$AT$3="","–",1&amp;". "&amp;CALC_WSF!$AT$3))</f>
        <v/>
      </c>
      <c r="M46" s="86">
        <f>IF(OR(CALC_WSF!$B$3="Zone",CALC_WSF!$AT$3=""),"",CALC_WSF!$AU$3)</f>
        <v/>
      </c>
      <c r="N46" s="87" t="inlineStr">
        <is>
          <t>Attendance</t>
        </is>
      </c>
      <c r="O46" s="88">
        <f>IF(CALC_WSF!$B$3&lt;&gt;"Area","n/a",IF(CALC_WSF!$AJ$15="","–",CALC_WSF!$AJ$15&amp;" of "&amp;CALC_WSF!$AJ$18))</f>
        <v/>
      </c>
    </row>
    <row r="47">
      <c r="B47" s="83">
        <f>IF(CALC_WSF!$B$3="Zone","",IF(CALC_WSF!$AJ$4="","",2&amp;". "&amp;CALC_WSF!$AJ$4))</f>
        <v/>
      </c>
      <c r="C47" s="84">
        <f>IF(OR(CALC_WSF!$B$3="Zone",CALC_WSF!$AJ$4=""),"",CALC_WSF!$AK$4)</f>
        <v/>
      </c>
      <c r="D47" s="83">
        <f>IF(CALC_WSF!$B$3="Zone","",IF(CALC_WSF!$AL$4="","",2&amp;". "&amp;CALC_WSF!$AL$4))</f>
        <v/>
      </c>
      <c r="E47" s="84">
        <f>IF(OR(CALC_WSF!$B$3="Zone",CALC_WSF!$AL$4=""),"",CALC_WSF!$AM$4)</f>
        <v/>
      </c>
      <c r="F47" s="83">
        <f>IF(CALC_WSF!$B$3="Zone","",IF(CALC_WSF!$AN$4="","",2&amp;". "&amp;CALC_WSF!$AN$4))</f>
        <v/>
      </c>
      <c r="G47" s="85">
        <f>IF(OR(CALC_WSF!$B$3="Zone",CALC_WSF!$AN$4=""),"",CALC_WSF!$AO$4)</f>
        <v/>
      </c>
      <c r="H47" s="83">
        <f>IF(CALC_WSF!$B$3="Zone","",IF(CALC_WSF!$AP$4="","",2&amp;". "&amp;CALC_WSF!$AP$4))</f>
        <v/>
      </c>
      <c r="I47" s="85">
        <f>IF(OR(CALC_WSF!$B$3="Zone",CALC_WSF!$AP$4=""),"",CALC_WSF!$AQ$4)</f>
        <v/>
      </c>
      <c r="J47" s="83">
        <f>IF(CALC_WSF!$B$3="Zone","",IF(CALC_WSF!$AR$4="","",2&amp;". "&amp;CALC_WSF!$AR$4))</f>
        <v/>
      </c>
      <c r="K47" s="86">
        <f>IF(OR(CALC_WSF!$B$3="Zone",CALC_WSF!$AR$4=""),"",CALC_WSF!$AS$4)</f>
        <v/>
      </c>
      <c r="L47" s="83">
        <f>IF(CALC_WSF!$B$3="Zone","",IF(CALC_WSF!$AT$4="","",2&amp;". "&amp;CALC_WSF!$AT$4))</f>
        <v/>
      </c>
      <c r="M47" s="86">
        <f>IF(OR(CALC_WSF!$B$3="Zone",CALC_WSF!$AT$4=""),"",CALC_WSF!$AU$4)</f>
        <v/>
      </c>
      <c r="N47" s="87" t="inlineStr">
        <is>
          <t>% reporting</t>
        </is>
      </c>
      <c r="O47" s="88">
        <f>IF(CALC_WSF!$B$3&lt;&gt;"Area","n/a",IF(CALC_WSF!$AJ$16="","–",CALC_WSF!$AJ$16&amp;" of "&amp;CALC_WSF!$AJ$18))</f>
        <v/>
      </c>
    </row>
    <row r="48">
      <c r="B48" s="83">
        <f>IF(CALC_WSF!$B$3="Zone","",IF(CALC_WSF!$AJ$5="","",3&amp;". "&amp;CALC_WSF!$AJ$5))</f>
        <v/>
      </c>
      <c r="C48" s="84">
        <f>IF(OR(CALC_WSF!$B$3="Zone",CALC_WSF!$AJ$5=""),"",CALC_WSF!$AK$5)</f>
        <v/>
      </c>
      <c r="D48" s="83">
        <f>IF(CALC_WSF!$B$3="Zone","",IF(CALC_WSF!$AL$5="","",3&amp;". "&amp;CALC_WSF!$AL$5))</f>
        <v/>
      </c>
      <c r="E48" s="84">
        <f>IF(OR(CALC_WSF!$B$3="Zone",CALC_WSF!$AL$5=""),"",CALC_WSF!$AM$5)</f>
        <v/>
      </c>
      <c r="F48" s="83">
        <f>IF(CALC_WSF!$B$3="Zone","",IF(CALC_WSF!$AN$5="","",3&amp;". "&amp;CALC_WSF!$AN$5))</f>
        <v/>
      </c>
      <c r="G48" s="85">
        <f>IF(OR(CALC_WSF!$B$3="Zone",CALC_WSF!$AN$5=""),"",CALC_WSF!$AO$5)</f>
        <v/>
      </c>
      <c r="H48" s="83">
        <f>IF(CALC_WSF!$B$3="Zone","",IF(CALC_WSF!$AP$5="","",3&amp;". "&amp;CALC_WSF!$AP$5))</f>
        <v/>
      </c>
      <c r="I48" s="85">
        <f>IF(OR(CALC_WSF!$B$3="Zone",CALC_WSF!$AP$5=""),"",CALC_WSF!$AQ$5)</f>
        <v/>
      </c>
      <c r="J48" s="83">
        <f>IF(CALC_WSF!$B$3="Zone","",IF(CALC_WSF!$AR$5="","",3&amp;". "&amp;CALC_WSF!$AR$5))</f>
        <v/>
      </c>
      <c r="K48" s="86">
        <f>IF(OR(CALC_WSF!$B$3="Zone",CALC_WSF!$AR$5=""),"",CALC_WSF!$AS$5)</f>
        <v/>
      </c>
      <c r="L48" s="83">
        <f>IF(CALC_WSF!$B$3="Zone","",IF(CALC_WSF!$AT$5="","",3&amp;". "&amp;CALC_WSF!$AT$5))</f>
        <v/>
      </c>
      <c r="M48" s="86">
        <f>IF(OR(CALC_WSF!$B$3="Zone",CALC_WSF!$AT$5=""),"",CALC_WSF!$AU$5)</f>
        <v/>
      </c>
      <c r="N48" s="87" t="inlineStr">
        <is>
          <t>Growth</t>
        </is>
      </c>
      <c r="O48" s="88">
        <f>IF(CALC_WSF!$B$3&lt;&gt;"Area","n/a",IF(CALC_WSF!$AJ$17="","–",CALC_WSF!$AJ$17&amp;" of "&amp;CALC_WSF!$AJ$18))</f>
        <v/>
      </c>
    </row>
    <row r="49">
      <c r="B49" s="83">
        <f>IF(CALC_WSF!$B$3="Zone","",IF(CALC_WSF!$AJ$6="","",4&amp;". "&amp;CALC_WSF!$AJ$6))</f>
        <v/>
      </c>
      <c r="C49" s="84">
        <f>IF(OR(CALC_WSF!$B$3="Zone",CALC_WSF!$AJ$6=""),"",CALC_WSF!$AK$6)</f>
        <v/>
      </c>
      <c r="D49" s="83">
        <f>IF(CALC_WSF!$B$3="Zone","",IF(CALC_WSF!$AL$6="","",4&amp;". "&amp;CALC_WSF!$AL$6))</f>
        <v/>
      </c>
      <c r="E49" s="84">
        <f>IF(OR(CALC_WSF!$B$3="Zone",CALC_WSF!$AL$6=""),"",CALC_WSF!$AM$6)</f>
        <v/>
      </c>
      <c r="F49" s="83">
        <f>IF(CALC_WSF!$B$3="Zone","",IF(CALC_WSF!$AN$6="","",4&amp;". "&amp;CALC_WSF!$AN$6))</f>
        <v/>
      </c>
      <c r="G49" s="85">
        <f>IF(OR(CALC_WSF!$B$3="Zone",CALC_WSF!$AN$6=""),"",CALC_WSF!$AO$6)</f>
        <v/>
      </c>
      <c r="H49" s="83">
        <f>IF(CALC_WSF!$B$3="Zone","",IF(CALC_WSF!$AP$6="","",4&amp;". "&amp;CALC_WSF!$AP$6))</f>
        <v/>
      </c>
      <c r="I49" s="85">
        <f>IF(OR(CALC_WSF!$B$3="Zone",CALC_WSF!$AP$6=""),"",CALC_WSF!$AQ$6)</f>
        <v/>
      </c>
      <c r="J49" s="83">
        <f>IF(CALC_WSF!$B$3="Zone","",IF(CALC_WSF!$AR$6="","",4&amp;". "&amp;CALC_WSF!$AR$6))</f>
        <v/>
      </c>
      <c r="K49" s="86">
        <f>IF(OR(CALC_WSF!$B$3="Zone",CALC_WSF!$AR$6=""),"",CALC_WSF!$AS$6)</f>
        <v/>
      </c>
      <c r="L49" s="83">
        <f>IF(CALC_WSF!$B$3="Zone","",IF(CALC_WSF!$AT$6="","",4&amp;". "&amp;CALC_WSF!$AT$6))</f>
        <v/>
      </c>
      <c r="M49" s="86">
        <f>IF(OR(CALC_WSF!$B$3="Zone",CALC_WSF!$AT$6=""),"",CALC_WSF!$AU$6)</f>
        <v/>
      </c>
    </row>
    <row r="50">
      <c r="B50" s="83">
        <f>IF(CALC_WSF!$B$3="Zone","",IF(CALC_WSF!$AJ$7="","",5&amp;". "&amp;CALC_WSF!$AJ$7))</f>
        <v/>
      </c>
      <c r="C50" s="84">
        <f>IF(OR(CALC_WSF!$B$3="Zone",CALC_WSF!$AJ$7=""),"",CALC_WSF!$AK$7)</f>
        <v/>
      </c>
      <c r="D50" s="83">
        <f>IF(CALC_WSF!$B$3="Zone","",IF(CALC_WSF!$AL$7="","",5&amp;". "&amp;CALC_WSF!$AL$7))</f>
        <v/>
      </c>
      <c r="E50" s="84">
        <f>IF(OR(CALC_WSF!$B$3="Zone",CALC_WSF!$AL$7=""),"",CALC_WSF!$AM$7)</f>
        <v/>
      </c>
      <c r="F50" s="83">
        <f>IF(CALC_WSF!$B$3="Zone","",IF(CALC_WSF!$AN$7="","",5&amp;". "&amp;CALC_WSF!$AN$7))</f>
        <v/>
      </c>
      <c r="G50" s="85">
        <f>IF(OR(CALC_WSF!$B$3="Zone",CALC_WSF!$AN$7=""),"",CALC_WSF!$AO$7)</f>
        <v/>
      </c>
      <c r="H50" s="83">
        <f>IF(CALC_WSF!$B$3="Zone","",IF(CALC_WSF!$AP$7="","",5&amp;". "&amp;CALC_WSF!$AP$7))</f>
        <v/>
      </c>
      <c r="I50" s="85">
        <f>IF(OR(CALC_WSF!$B$3="Zone",CALC_WSF!$AP$7=""),"",CALC_WSF!$AQ$7)</f>
        <v/>
      </c>
      <c r="J50" s="83">
        <f>IF(CALC_WSF!$B$3="Zone","",IF(CALC_WSF!$AR$7="","",5&amp;". "&amp;CALC_WSF!$AR$7))</f>
        <v/>
      </c>
      <c r="K50" s="86">
        <f>IF(OR(CALC_WSF!$B$3="Zone",CALC_WSF!$AR$7=""),"",CALC_WSF!$AS$7)</f>
        <v/>
      </c>
      <c r="L50" s="83">
        <f>IF(CALC_WSF!$B$3="Zone","",IF(CALC_WSF!$AT$7="","",5&amp;". "&amp;CALC_WSF!$AT$7))</f>
        <v/>
      </c>
      <c r="M50" s="86">
        <f>IF(OR(CALC_WSF!$B$3="Zone",CALC_WSF!$AT$7=""),"",CALC_WSF!$AU$7)</f>
        <v/>
      </c>
      <c r="N50" s="89" t="inlineStr">
        <is>
          <t>Shown when Scope = Area. Rank 1 = highest.</t>
        </is>
      </c>
    </row>
    <row r="51">
      <c r="B51" s="83">
        <f>IF(CALC_WSF!$B$3="Zone","",IF(CALC_WSF!$AJ$8="","",6&amp;". "&amp;CALC_WSF!$AJ$8))</f>
        <v/>
      </c>
      <c r="C51" s="84">
        <f>IF(OR(CALC_WSF!$B$3="Zone",CALC_WSF!$AJ$8=""),"",CALC_WSF!$AK$8)</f>
        <v/>
      </c>
      <c r="D51" s="83">
        <f>IF(CALC_WSF!$B$3="Zone","",IF(CALC_WSF!$AL$8="","",6&amp;". "&amp;CALC_WSF!$AL$8))</f>
        <v/>
      </c>
      <c r="E51" s="84">
        <f>IF(OR(CALC_WSF!$B$3="Zone",CALC_WSF!$AL$8=""),"",CALC_WSF!$AM$8)</f>
        <v/>
      </c>
      <c r="F51" s="83">
        <f>IF(CALC_WSF!$B$3="Zone","",IF(CALC_WSF!$AN$8="","",6&amp;". "&amp;CALC_WSF!$AN$8))</f>
        <v/>
      </c>
      <c r="G51" s="85">
        <f>IF(OR(CALC_WSF!$B$3="Zone",CALC_WSF!$AN$8=""),"",CALC_WSF!$AO$8)</f>
        <v/>
      </c>
      <c r="H51" s="83">
        <f>IF(CALC_WSF!$B$3="Zone","",IF(CALC_WSF!$AP$8="","",6&amp;". "&amp;CALC_WSF!$AP$8))</f>
        <v/>
      </c>
      <c r="I51" s="85">
        <f>IF(OR(CALC_WSF!$B$3="Zone",CALC_WSF!$AP$8=""),"",CALC_WSF!$AQ$8)</f>
        <v/>
      </c>
      <c r="J51" s="83">
        <f>IF(CALC_WSF!$B$3="Zone","",IF(CALC_WSF!$AR$8="","",6&amp;". "&amp;CALC_WSF!$AR$8))</f>
        <v/>
      </c>
      <c r="K51" s="86">
        <f>IF(OR(CALC_WSF!$B$3="Zone",CALC_WSF!$AR$8=""),"",CALC_WSF!$AS$8)</f>
        <v/>
      </c>
      <c r="L51" s="83">
        <f>IF(CALC_WSF!$B$3="Zone","",IF(CALC_WSF!$AT$8="","",6&amp;". "&amp;CALC_WSF!$AT$8))</f>
        <v/>
      </c>
      <c r="M51" s="86">
        <f>IF(OR(CALC_WSF!$B$3="Zone",CALC_WSF!$AT$8=""),"",CALC_WSF!$AU$8)</f>
        <v/>
      </c>
    </row>
    <row r="52">
      <c r="B52" s="83">
        <f>IF(CALC_WSF!$B$3="Zone","",IF(CALC_WSF!$AJ$9="","",7&amp;". "&amp;CALC_WSF!$AJ$9))</f>
        <v/>
      </c>
      <c r="C52" s="84">
        <f>IF(OR(CALC_WSF!$B$3="Zone",CALC_WSF!$AJ$9=""),"",CALC_WSF!$AK$9)</f>
        <v/>
      </c>
      <c r="D52" s="83">
        <f>IF(CALC_WSF!$B$3="Zone","",IF(CALC_WSF!$AL$9="","",7&amp;". "&amp;CALC_WSF!$AL$9))</f>
        <v/>
      </c>
      <c r="E52" s="84">
        <f>IF(OR(CALC_WSF!$B$3="Zone",CALC_WSF!$AL$9=""),"",CALC_WSF!$AM$9)</f>
        <v/>
      </c>
      <c r="F52" s="83">
        <f>IF(CALC_WSF!$B$3="Zone","",IF(CALC_WSF!$AN$9="","",7&amp;". "&amp;CALC_WSF!$AN$9))</f>
        <v/>
      </c>
      <c r="G52" s="85">
        <f>IF(OR(CALC_WSF!$B$3="Zone",CALC_WSF!$AN$9=""),"",CALC_WSF!$AO$9)</f>
        <v/>
      </c>
      <c r="H52" s="83">
        <f>IF(CALC_WSF!$B$3="Zone","",IF(CALC_WSF!$AP$9="","",7&amp;". "&amp;CALC_WSF!$AP$9))</f>
        <v/>
      </c>
      <c r="I52" s="85">
        <f>IF(OR(CALC_WSF!$B$3="Zone",CALC_WSF!$AP$9=""),"",CALC_WSF!$AQ$9)</f>
        <v/>
      </c>
      <c r="J52" s="83">
        <f>IF(CALC_WSF!$B$3="Zone","",IF(CALC_WSF!$AR$9="","",7&amp;". "&amp;CALC_WSF!$AR$9))</f>
        <v/>
      </c>
      <c r="K52" s="86">
        <f>IF(OR(CALC_WSF!$B$3="Zone",CALC_WSF!$AR$9=""),"",CALC_WSF!$AS$9)</f>
        <v/>
      </c>
      <c r="L52" s="83">
        <f>IF(CALC_WSF!$B$3="Zone","",IF(CALC_WSF!$AT$9="","",7&amp;". "&amp;CALC_WSF!$AT$9))</f>
        <v/>
      </c>
      <c r="M52" s="86">
        <f>IF(OR(CALC_WSF!$B$3="Zone",CALC_WSF!$AT$9=""),"",CALC_WSF!$AU$9)</f>
        <v/>
      </c>
    </row>
    <row r="53">
      <c r="B53" s="83">
        <f>IF(CALC_WSF!$B$3="Zone","",IF(CALC_WSF!$AJ$10="","",8&amp;". "&amp;CALC_WSF!$AJ$10))</f>
        <v/>
      </c>
      <c r="C53" s="84">
        <f>IF(OR(CALC_WSF!$B$3="Zone",CALC_WSF!$AJ$10=""),"",CALC_WSF!$AK$10)</f>
        <v/>
      </c>
      <c r="D53" s="83">
        <f>IF(CALC_WSF!$B$3="Zone","",IF(CALC_WSF!$AL$10="","",8&amp;". "&amp;CALC_WSF!$AL$10))</f>
        <v/>
      </c>
      <c r="E53" s="84">
        <f>IF(OR(CALC_WSF!$B$3="Zone",CALC_WSF!$AL$10=""),"",CALC_WSF!$AM$10)</f>
        <v/>
      </c>
      <c r="F53" s="83">
        <f>IF(CALC_WSF!$B$3="Zone","",IF(CALC_WSF!$AN$10="","",8&amp;". "&amp;CALC_WSF!$AN$10))</f>
        <v/>
      </c>
      <c r="G53" s="85">
        <f>IF(OR(CALC_WSF!$B$3="Zone",CALC_WSF!$AN$10=""),"",CALC_WSF!$AO$10)</f>
        <v/>
      </c>
      <c r="H53" s="83">
        <f>IF(CALC_WSF!$B$3="Zone","",IF(CALC_WSF!$AP$10="","",8&amp;". "&amp;CALC_WSF!$AP$10))</f>
        <v/>
      </c>
      <c r="I53" s="85">
        <f>IF(OR(CALC_WSF!$B$3="Zone",CALC_WSF!$AP$10=""),"",CALC_WSF!$AQ$10)</f>
        <v/>
      </c>
      <c r="J53" s="83">
        <f>IF(CALC_WSF!$B$3="Zone","",IF(CALC_WSF!$AR$10="","",8&amp;". "&amp;CALC_WSF!$AR$10))</f>
        <v/>
      </c>
      <c r="K53" s="86">
        <f>IF(OR(CALC_WSF!$B$3="Zone",CALC_WSF!$AR$10=""),"",CALC_WSF!$AS$10)</f>
        <v/>
      </c>
      <c r="L53" s="83">
        <f>IF(CALC_WSF!$B$3="Zone","",IF(CALC_WSF!$AT$10="","",8&amp;". "&amp;CALC_WSF!$AT$10))</f>
        <v/>
      </c>
      <c r="M53" s="86">
        <f>IF(OR(CALC_WSF!$B$3="Zone",CALC_WSF!$AT$10=""),"",CALC_WSF!$AU$10)</f>
        <v/>
      </c>
    </row>
    <row r="54">
      <c r="B54" s="83">
        <f>IF(CALC_WSF!$B$3="Zone","",IF(CALC_WSF!$AJ$11="","",9&amp;". "&amp;CALC_WSF!$AJ$11))</f>
        <v/>
      </c>
      <c r="C54" s="84">
        <f>IF(OR(CALC_WSF!$B$3="Zone",CALC_WSF!$AJ$11=""),"",CALC_WSF!$AK$11)</f>
        <v/>
      </c>
      <c r="D54" s="83">
        <f>IF(CALC_WSF!$B$3="Zone","",IF(CALC_WSF!$AL$11="","",9&amp;". "&amp;CALC_WSF!$AL$11))</f>
        <v/>
      </c>
      <c r="E54" s="84">
        <f>IF(OR(CALC_WSF!$B$3="Zone",CALC_WSF!$AL$11=""),"",CALC_WSF!$AM$11)</f>
        <v/>
      </c>
      <c r="F54" s="83">
        <f>IF(CALC_WSF!$B$3="Zone","",IF(CALC_WSF!$AN$11="","",9&amp;". "&amp;CALC_WSF!$AN$11))</f>
        <v/>
      </c>
      <c r="G54" s="85">
        <f>IF(OR(CALC_WSF!$B$3="Zone",CALC_WSF!$AN$11=""),"",CALC_WSF!$AO$11)</f>
        <v/>
      </c>
      <c r="H54" s="83">
        <f>IF(CALC_WSF!$B$3="Zone","",IF(CALC_WSF!$AP$11="","",9&amp;". "&amp;CALC_WSF!$AP$11))</f>
        <v/>
      </c>
      <c r="I54" s="85">
        <f>IF(OR(CALC_WSF!$B$3="Zone",CALC_WSF!$AP$11=""),"",CALC_WSF!$AQ$11)</f>
        <v/>
      </c>
      <c r="J54" s="83">
        <f>IF(CALC_WSF!$B$3="Zone","",IF(CALC_WSF!$AR$11="","",9&amp;". "&amp;CALC_WSF!$AR$11))</f>
        <v/>
      </c>
      <c r="K54" s="86">
        <f>IF(OR(CALC_WSF!$B$3="Zone",CALC_WSF!$AR$11=""),"",CALC_WSF!$AS$11)</f>
        <v/>
      </c>
      <c r="L54" s="83">
        <f>IF(CALC_WSF!$B$3="Zone","",IF(CALC_WSF!$AT$11="","",9&amp;". "&amp;CALC_WSF!$AT$11))</f>
        <v/>
      </c>
      <c r="M54" s="86">
        <f>IF(OR(CALC_WSF!$B$3="Zone",CALC_WSF!$AT$11=""),"",CALC_WSF!$AU$11)</f>
        <v/>
      </c>
    </row>
    <row r="55">
      <c r="B55" s="83">
        <f>IF(CALC_WSF!$B$3="Zone","",IF(CALC_WSF!$AJ$12="","",10&amp;". "&amp;CALC_WSF!$AJ$12))</f>
        <v/>
      </c>
      <c r="C55" s="84">
        <f>IF(OR(CALC_WSF!$B$3="Zone",CALC_WSF!$AJ$12=""),"",CALC_WSF!$AK$12)</f>
        <v/>
      </c>
      <c r="D55" s="83">
        <f>IF(CALC_WSF!$B$3="Zone","",IF(CALC_WSF!$AL$12="","",10&amp;". "&amp;CALC_WSF!$AL$12))</f>
        <v/>
      </c>
      <c r="E55" s="84">
        <f>IF(OR(CALC_WSF!$B$3="Zone",CALC_WSF!$AL$12=""),"",CALC_WSF!$AM$12)</f>
        <v/>
      </c>
      <c r="F55" s="83">
        <f>IF(CALC_WSF!$B$3="Zone","",IF(CALC_WSF!$AN$12="","",10&amp;". "&amp;CALC_WSF!$AN$12))</f>
        <v/>
      </c>
      <c r="G55" s="85">
        <f>IF(OR(CALC_WSF!$B$3="Zone",CALC_WSF!$AN$12=""),"",CALC_WSF!$AO$12)</f>
        <v/>
      </c>
      <c r="H55" s="83">
        <f>IF(CALC_WSF!$B$3="Zone","",IF(CALC_WSF!$AP$12="","",10&amp;". "&amp;CALC_WSF!$AP$12))</f>
        <v/>
      </c>
      <c r="I55" s="85">
        <f>IF(OR(CALC_WSF!$B$3="Zone",CALC_WSF!$AP$12=""),"",CALC_WSF!$AQ$12)</f>
        <v/>
      </c>
      <c r="J55" s="83">
        <f>IF(CALC_WSF!$B$3="Zone","",IF(CALC_WSF!$AR$12="","",10&amp;". "&amp;CALC_WSF!$AR$12))</f>
        <v/>
      </c>
      <c r="K55" s="86">
        <f>IF(OR(CALC_WSF!$B$3="Zone",CALC_WSF!$AR$12=""),"",CALC_WSF!$AS$12)</f>
        <v/>
      </c>
      <c r="L55" s="83">
        <f>IF(CALC_WSF!$B$3="Zone","",IF(CALC_WSF!$AT$12="","",10&amp;". "&amp;CALC_WSF!$AT$12))</f>
        <v/>
      </c>
      <c r="M55" s="86">
        <f>IF(OR(CALC_WSF!$B$3="Zone",CALC_WSF!$AT$12=""),"",CALC_WSF!$AU$12)</f>
        <v/>
      </c>
    </row>
    <row r="57" ht="22" customHeight="1">
      <c r="B57" s="56" t="inlineStr">
        <is>
          <t>Who didn't report — cells with no WSF return for the selected week</t>
        </is>
      </c>
      <c r="C57" s="57" t="n"/>
      <c r="D57" s="57" t="n"/>
      <c r="E57" s="57" t="n"/>
      <c r="F57" s="57" t="n"/>
      <c r="G57" s="57" t="n"/>
      <c r="H57" s="57" t="n"/>
      <c r="I57" s="57" t="n"/>
      <c r="J57" s="57" t="n"/>
      <c r="K57" s="57" t="n"/>
      <c r="L57" s="57" t="n"/>
      <c r="M57" s="57" t="n"/>
      <c r="N57" s="57" t="n"/>
      <c r="O57" s="57" t="n"/>
    </row>
    <row r="58">
      <c r="B58" s="90">
        <f>IF(NOT(CALC_WSF!$AX$2),"Cell-level detail is kept in the workbook for the latest "&amp;8&amp;" weeks only; older weeks are in the archive folder (WSF_cells_YYYY.csv).",TEXT(CALC_WSF!$AX$1,"#,##0")&amp;" cells did not report in this scope"&amp;IF(CALC_WSF!$AX$1&gt;50," — showing the first 50. Narrow with Scope = Area or Zone.",".")&amp;"  Zones where no cell reported: "&amp;TEXT(CALC_WSF!$B$17,"#,##0")&amp;".")</f>
        <v/>
      </c>
    </row>
    <row r="59">
      <c r="B59" s="58" t="inlineStr">
        <is>
          <t>Area</t>
        </is>
      </c>
      <c r="C59" s="9" t="n"/>
      <c r="D59" s="9" t="n"/>
      <c r="E59" s="58" t="inlineStr">
        <is>
          <t>Zone</t>
        </is>
      </c>
      <c r="F59" s="9" t="n"/>
      <c r="G59" s="9" t="n"/>
      <c r="H59" s="9" t="n"/>
      <c r="I59" s="58" t="inlineStr">
        <is>
          <t>Cell</t>
        </is>
      </c>
      <c r="J59" s="9" t="n"/>
      <c r="K59" s="58" t="inlineStr">
        <is>
          <t>Week ending</t>
        </is>
      </c>
      <c r="L59" s="9" t="n"/>
    </row>
    <row r="60">
      <c r="B60" s="91">
        <f>CALC_WSF!$AX$4</f>
        <v/>
      </c>
      <c r="C60" s="61" t="n"/>
      <c r="D60" s="61" t="n"/>
      <c r="E60" s="91">
        <f>CALC_WSF!$AY$4</f>
        <v/>
      </c>
      <c r="F60" s="61" t="n"/>
      <c r="G60" s="61" t="n"/>
      <c r="H60" s="61" t="n"/>
      <c r="I60" s="91">
        <f>CALC_WSF!$AZ$4</f>
        <v/>
      </c>
      <c r="J60" s="61" t="n"/>
      <c r="K60" s="92">
        <f>IF(CALC_WSF!$AW$4="","",CALC_WSF!$B$10)</f>
        <v/>
      </c>
      <c r="L60" s="61" t="n"/>
    </row>
    <row r="61">
      <c r="B61" s="87">
        <f>CALC_WSF!$AX$5</f>
        <v/>
      </c>
      <c r="E61" s="87">
        <f>CALC_WSF!$AY$5</f>
        <v/>
      </c>
      <c r="I61" s="87">
        <f>CALC_WSF!$AZ$5</f>
        <v/>
      </c>
      <c r="K61" s="93">
        <f>IF(CALC_WSF!$AW$5="","",CALC_WSF!$B$10)</f>
        <v/>
      </c>
    </row>
    <row r="62">
      <c r="B62" s="91">
        <f>CALC_WSF!$AX$6</f>
        <v/>
      </c>
      <c r="C62" s="61" t="n"/>
      <c r="D62" s="61" t="n"/>
      <c r="E62" s="91">
        <f>CALC_WSF!$AY$6</f>
        <v/>
      </c>
      <c r="F62" s="61" t="n"/>
      <c r="G62" s="61" t="n"/>
      <c r="H62" s="61" t="n"/>
      <c r="I62" s="91">
        <f>CALC_WSF!$AZ$6</f>
        <v/>
      </c>
      <c r="J62" s="61" t="n"/>
      <c r="K62" s="92">
        <f>IF(CALC_WSF!$AW$6="","",CALC_WSF!$B$10)</f>
        <v/>
      </c>
      <c r="L62" s="61" t="n"/>
    </row>
    <row r="63">
      <c r="B63" s="87">
        <f>CALC_WSF!$AX$7</f>
        <v/>
      </c>
      <c r="E63" s="87">
        <f>CALC_WSF!$AY$7</f>
        <v/>
      </c>
      <c r="I63" s="87">
        <f>CALC_WSF!$AZ$7</f>
        <v/>
      </c>
      <c r="K63" s="93">
        <f>IF(CALC_WSF!$AW$7="","",CALC_WSF!$B$10)</f>
        <v/>
      </c>
    </row>
    <row r="64">
      <c r="B64" s="91">
        <f>CALC_WSF!$AX$8</f>
        <v/>
      </c>
      <c r="C64" s="61" t="n"/>
      <c r="D64" s="61" t="n"/>
      <c r="E64" s="91">
        <f>CALC_WSF!$AY$8</f>
        <v/>
      </c>
      <c r="F64" s="61" t="n"/>
      <c r="G64" s="61" t="n"/>
      <c r="H64" s="61" t="n"/>
      <c r="I64" s="91">
        <f>CALC_WSF!$AZ$8</f>
        <v/>
      </c>
      <c r="J64" s="61" t="n"/>
      <c r="K64" s="92">
        <f>IF(CALC_WSF!$AW$8="","",CALC_WSF!$B$10)</f>
        <v/>
      </c>
      <c r="L64" s="61" t="n"/>
    </row>
    <row r="65">
      <c r="B65" s="87">
        <f>CALC_WSF!$AX$9</f>
        <v/>
      </c>
      <c r="E65" s="87">
        <f>CALC_WSF!$AY$9</f>
        <v/>
      </c>
      <c r="I65" s="87">
        <f>CALC_WSF!$AZ$9</f>
        <v/>
      </c>
      <c r="K65" s="93">
        <f>IF(CALC_WSF!$AW$9="","",CALC_WSF!$B$10)</f>
        <v/>
      </c>
    </row>
    <row r="66">
      <c r="B66" s="91">
        <f>CALC_WSF!$AX$10</f>
        <v/>
      </c>
      <c r="C66" s="61" t="n"/>
      <c r="D66" s="61" t="n"/>
      <c r="E66" s="91">
        <f>CALC_WSF!$AY$10</f>
        <v/>
      </c>
      <c r="F66" s="61" t="n"/>
      <c r="G66" s="61" t="n"/>
      <c r="H66" s="61" t="n"/>
      <c r="I66" s="91">
        <f>CALC_WSF!$AZ$10</f>
        <v/>
      </c>
      <c r="J66" s="61" t="n"/>
      <c r="K66" s="92">
        <f>IF(CALC_WSF!$AW$10="","",CALC_WSF!$B$10)</f>
        <v/>
      </c>
      <c r="L66" s="61" t="n"/>
    </row>
    <row r="67">
      <c r="B67" s="87">
        <f>CALC_WSF!$AX$11</f>
        <v/>
      </c>
      <c r="E67" s="87">
        <f>CALC_WSF!$AY$11</f>
        <v/>
      </c>
      <c r="I67" s="87">
        <f>CALC_WSF!$AZ$11</f>
        <v/>
      </c>
      <c r="K67" s="93">
        <f>IF(CALC_WSF!$AW$11="","",CALC_WSF!$B$10)</f>
        <v/>
      </c>
    </row>
    <row r="68">
      <c r="B68" s="91">
        <f>CALC_WSF!$AX$12</f>
        <v/>
      </c>
      <c r="C68" s="61" t="n"/>
      <c r="D68" s="61" t="n"/>
      <c r="E68" s="91">
        <f>CALC_WSF!$AY$12</f>
        <v/>
      </c>
      <c r="F68" s="61" t="n"/>
      <c r="G68" s="61" t="n"/>
      <c r="H68" s="61" t="n"/>
      <c r="I68" s="91">
        <f>CALC_WSF!$AZ$12</f>
        <v/>
      </c>
      <c r="J68" s="61" t="n"/>
      <c r="K68" s="92">
        <f>IF(CALC_WSF!$AW$12="","",CALC_WSF!$B$10)</f>
        <v/>
      </c>
      <c r="L68" s="61" t="n"/>
    </row>
    <row r="69">
      <c r="B69" s="87">
        <f>CALC_WSF!$AX$13</f>
        <v/>
      </c>
      <c r="E69" s="87">
        <f>CALC_WSF!$AY$13</f>
        <v/>
      </c>
      <c r="I69" s="87">
        <f>CALC_WSF!$AZ$13</f>
        <v/>
      </c>
      <c r="K69" s="93">
        <f>IF(CALC_WSF!$AW$13="","",CALC_WSF!$B$10)</f>
        <v/>
      </c>
    </row>
    <row r="70">
      <c r="B70" s="91">
        <f>CALC_WSF!$AX$14</f>
        <v/>
      </c>
      <c r="C70" s="61" t="n"/>
      <c r="D70" s="61" t="n"/>
      <c r="E70" s="91">
        <f>CALC_WSF!$AY$14</f>
        <v/>
      </c>
      <c r="F70" s="61" t="n"/>
      <c r="G70" s="61" t="n"/>
      <c r="H70" s="61" t="n"/>
      <c r="I70" s="91">
        <f>CALC_WSF!$AZ$14</f>
        <v/>
      </c>
      <c r="J70" s="61" t="n"/>
      <c r="K70" s="92">
        <f>IF(CALC_WSF!$AW$14="","",CALC_WSF!$B$10)</f>
        <v/>
      </c>
      <c r="L70" s="61" t="n"/>
    </row>
    <row r="71">
      <c r="B71" s="87">
        <f>CALC_WSF!$AX$15</f>
        <v/>
      </c>
      <c r="E71" s="87">
        <f>CALC_WSF!$AY$15</f>
        <v/>
      </c>
      <c r="I71" s="87">
        <f>CALC_WSF!$AZ$15</f>
        <v/>
      </c>
      <c r="K71" s="93">
        <f>IF(CALC_WSF!$AW$15="","",CALC_WSF!$B$10)</f>
        <v/>
      </c>
    </row>
    <row r="72">
      <c r="B72" s="91">
        <f>CALC_WSF!$AX$16</f>
        <v/>
      </c>
      <c r="C72" s="61" t="n"/>
      <c r="D72" s="61" t="n"/>
      <c r="E72" s="91">
        <f>CALC_WSF!$AY$16</f>
        <v/>
      </c>
      <c r="F72" s="61" t="n"/>
      <c r="G72" s="61" t="n"/>
      <c r="H72" s="61" t="n"/>
      <c r="I72" s="91">
        <f>CALC_WSF!$AZ$16</f>
        <v/>
      </c>
      <c r="J72" s="61" t="n"/>
      <c r="K72" s="92">
        <f>IF(CALC_WSF!$AW$16="","",CALC_WSF!$B$10)</f>
        <v/>
      </c>
      <c r="L72" s="61" t="n"/>
    </row>
    <row r="73">
      <c r="B73" s="87">
        <f>CALC_WSF!$AX$17</f>
        <v/>
      </c>
      <c r="E73" s="87">
        <f>CALC_WSF!$AY$17</f>
        <v/>
      </c>
      <c r="I73" s="87">
        <f>CALC_WSF!$AZ$17</f>
        <v/>
      </c>
      <c r="K73" s="93">
        <f>IF(CALC_WSF!$AW$17="","",CALC_WSF!$B$10)</f>
        <v/>
      </c>
    </row>
    <row r="74">
      <c r="B74" s="91">
        <f>CALC_WSF!$AX$18</f>
        <v/>
      </c>
      <c r="C74" s="61" t="n"/>
      <c r="D74" s="61" t="n"/>
      <c r="E74" s="91">
        <f>CALC_WSF!$AY$18</f>
        <v/>
      </c>
      <c r="F74" s="61" t="n"/>
      <c r="G74" s="61" t="n"/>
      <c r="H74" s="61" t="n"/>
      <c r="I74" s="91">
        <f>CALC_WSF!$AZ$18</f>
        <v/>
      </c>
      <c r="J74" s="61" t="n"/>
      <c r="K74" s="92">
        <f>IF(CALC_WSF!$AW$18="","",CALC_WSF!$B$10)</f>
        <v/>
      </c>
      <c r="L74" s="61" t="n"/>
    </row>
    <row r="75">
      <c r="B75" s="87">
        <f>CALC_WSF!$AX$19</f>
        <v/>
      </c>
      <c r="E75" s="87">
        <f>CALC_WSF!$AY$19</f>
        <v/>
      </c>
      <c r="I75" s="87">
        <f>CALC_WSF!$AZ$19</f>
        <v/>
      </c>
      <c r="K75" s="93">
        <f>IF(CALC_WSF!$AW$19="","",CALC_WSF!$B$10)</f>
        <v/>
      </c>
    </row>
    <row r="76">
      <c r="B76" s="91">
        <f>CALC_WSF!$AX$20</f>
        <v/>
      </c>
      <c r="C76" s="61" t="n"/>
      <c r="D76" s="61" t="n"/>
      <c r="E76" s="91">
        <f>CALC_WSF!$AY$20</f>
        <v/>
      </c>
      <c r="F76" s="61" t="n"/>
      <c r="G76" s="61" t="n"/>
      <c r="H76" s="61" t="n"/>
      <c r="I76" s="91">
        <f>CALC_WSF!$AZ$20</f>
        <v/>
      </c>
      <c r="J76" s="61" t="n"/>
      <c r="K76" s="92">
        <f>IF(CALC_WSF!$AW$20="","",CALC_WSF!$B$10)</f>
        <v/>
      </c>
      <c r="L76" s="61" t="n"/>
    </row>
    <row r="77">
      <c r="B77" s="87">
        <f>CALC_WSF!$AX$21</f>
        <v/>
      </c>
      <c r="E77" s="87">
        <f>CALC_WSF!$AY$21</f>
        <v/>
      </c>
      <c r="I77" s="87">
        <f>CALC_WSF!$AZ$21</f>
        <v/>
      </c>
      <c r="K77" s="93">
        <f>IF(CALC_WSF!$AW$21="","",CALC_WSF!$B$10)</f>
        <v/>
      </c>
    </row>
    <row r="78">
      <c r="B78" s="91">
        <f>CALC_WSF!$AX$22</f>
        <v/>
      </c>
      <c r="C78" s="61" t="n"/>
      <c r="D78" s="61" t="n"/>
      <c r="E78" s="91">
        <f>CALC_WSF!$AY$22</f>
        <v/>
      </c>
      <c r="F78" s="61" t="n"/>
      <c r="G78" s="61" t="n"/>
      <c r="H78" s="61" t="n"/>
      <c r="I78" s="91">
        <f>CALC_WSF!$AZ$22</f>
        <v/>
      </c>
      <c r="J78" s="61" t="n"/>
      <c r="K78" s="92">
        <f>IF(CALC_WSF!$AW$22="","",CALC_WSF!$B$10)</f>
        <v/>
      </c>
      <c r="L78" s="61" t="n"/>
    </row>
    <row r="79">
      <c r="B79" s="87">
        <f>CALC_WSF!$AX$23</f>
        <v/>
      </c>
      <c r="E79" s="87">
        <f>CALC_WSF!$AY$23</f>
        <v/>
      </c>
      <c r="I79" s="87">
        <f>CALC_WSF!$AZ$23</f>
        <v/>
      </c>
      <c r="K79" s="93">
        <f>IF(CALC_WSF!$AW$23="","",CALC_WSF!$B$10)</f>
        <v/>
      </c>
    </row>
    <row r="80">
      <c r="B80" s="91">
        <f>CALC_WSF!$AX$24</f>
        <v/>
      </c>
      <c r="C80" s="61" t="n"/>
      <c r="D80" s="61" t="n"/>
      <c r="E80" s="91">
        <f>CALC_WSF!$AY$24</f>
        <v/>
      </c>
      <c r="F80" s="61" t="n"/>
      <c r="G80" s="61" t="n"/>
      <c r="H80" s="61" t="n"/>
      <c r="I80" s="91">
        <f>CALC_WSF!$AZ$24</f>
        <v/>
      </c>
      <c r="J80" s="61" t="n"/>
      <c r="K80" s="92">
        <f>IF(CALC_WSF!$AW$24="","",CALC_WSF!$B$10)</f>
        <v/>
      </c>
      <c r="L80" s="61" t="n"/>
    </row>
    <row r="81">
      <c r="B81" s="87">
        <f>CALC_WSF!$AX$25</f>
        <v/>
      </c>
      <c r="E81" s="87">
        <f>CALC_WSF!$AY$25</f>
        <v/>
      </c>
      <c r="I81" s="87">
        <f>CALC_WSF!$AZ$25</f>
        <v/>
      </c>
      <c r="K81" s="93">
        <f>IF(CALC_WSF!$AW$25="","",CALC_WSF!$B$10)</f>
        <v/>
      </c>
    </row>
    <row r="82">
      <c r="B82" s="91">
        <f>CALC_WSF!$AX$26</f>
        <v/>
      </c>
      <c r="C82" s="61" t="n"/>
      <c r="D82" s="61" t="n"/>
      <c r="E82" s="91">
        <f>CALC_WSF!$AY$26</f>
        <v/>
      </c>
      <c r="F82" s="61" t="n"/>
      <c r="G82" s="61" t="n"/>
      <c r="H82" s="61" t="n"/>
      <c r="I82" s="91">
        <f>CALC_WSF!$AZ$26</f>
        <v/>
      </c>
      <c r="J82" s="61" t="n"/>
      <c r="K82" s="92">
        <f>IF(CALC_WSF!$AW$26="","",CALC_WSF!$B$10)</f>
        <v/>
      </c>
      <c r="L82" s="61" t="n"/>
    </row>
    <row r="83">
      <c r="B83" s="87">
        <f>CALC_WSF!$AX$27</f>
        <v/>
      </c>
      <c r="E83" s="87">
        <f>CALC_WSF!$AY$27</f>
        <v/>
      </c>
      <c r="I83" s="87">
        <f>CALC_WSF!$AZ$27</f>
        <v/>
      </c>
      <c r="K83" s="93">
        <f>IF(CALC_WSF!$AW$27="","",CALC_WSF!$B$10)</f>
        <v/>
      </c>
    </row>
    <row r="84">
      <c r="B84" s="91">
        <f>CALC_WSF!$AX$28</f>
        <v/>
      </c>
      <c r="C84" s="61" t="n"/>
      <c r="D84" s="61" t="n"/>
      <c r="E84" s="91">
        <f>CALC_WSF!$AY$28</f>
        <v/>
      </c>
      <c r="F84" s="61" t="n"/>
      <c r="G84" s="61" t="n"/>
      <c r="H84" s="61" t="n"/>
      <c r="I84" s="91">
        <f>CALC_WSF!$AZ$28</f>
        <v/>
      </c>
      <c r="J84" s="61" t="n"/>
      <c r="K84" s="92">
        <f>IF(CALC_WSF!$AW$28="","",CALC_WSF!$B$10)</f>
        <v/>
      </c>
      <c r="L84" s="61" t="n"/>
    </row>
    <row r="85">
      <c r="B85" s="87">
        <f>CALC_WSF!$AX$29</f>
        <v/>
      </c>
      <c r="E85" s="87">
        <f>CALC_WSF!$AY$29</f>
        <v/>
      </c>
      <c r="I85" s="87">
        <f>CALC_WSF!$AZ$29</f>
        <v/>
      </c>
      <c r="K85" s="93">
        <f>IF(CALC_WSF!$AW$29="","",CALC_WSF!$B$10)</f>
        <v/>
      </c>
    </row>
    <row r="86">
      <c r="B86" s="91">
        <f>CALC_WSF!$AX$30</f>
        <v/>
      </c>
      <c r="C86" s="61" t="n"/>
      <c r="D86" s="61" t="n"/>
      <c r="E86" s="91">
        <f>CALC_WSF!$AY$30</f>
        <v/>
      </c>
      <c r="F86" s="61" t="n"/>
      <c r="G86" s="61" t="n"/>
      <c r="H86" s="61" t="n"/>
      <c r="I86" s="91">
        <f>CALC_WSF!$AZ$30</f>
        <v/>
      </c>
      <c r="J86" s="61" t="n"/>
      <c r="K86" s="92">
        <f>IF(CALC_WSF!$AW$30="","",CALC_WSF!$B$10)</f>
        <v/>
      </c>
      <c r="L86" s="61" t="n"/>
    </row>
    <row r="87">
      <c r="B87" s="87">
        <f>CALC_WSF!$AX$31</f>
        <v/>
      </c>
      <c r="E87" s="87">
        <f>CALC_WSF!$AY$31</f>
        <v/>
      </c>
      <c r="I87" s="87">
        <f>CALC_WSF!$AZ$31</f>
        <v/>
      </c>
      <c r="K87" s="93">
        <f>IF(CALC_WSF!$AW$31="","",CALC_WSF!$B$10)</f>
        <v/>
      </c>
    </row>
    <row r="88">
      <c r="B88" s="91">
        <f>CALC_WSF!$AX$32</f>
        <v/>
      </c>
      <c r="C88" s="61" t="n"/>
      <c r="D88" s="61" t="n"/>
      <c r="E88" s="91">
        <f>CALC_WSF!$AY$32</f>
        <v/>
      </c>
      <c r="F88" s="61" t="n"/>
      <c r="G88" s="61" t="n"/>
      <c r="H88" s="61" t="n"/>
      <c r="I88" s="91">
        <f>CALC_WSF!$AZ$32</f>
        <v/>
      </c>
      <c r="J88" s="61" t="n"/>
      <c r="K88" s="92">
        <f>IF(CALC_WSF!$AW$32="","",CALC_WSF!$B$10)</f>
        <v/>
      </c>
      <c r="L88" s="61" t="n"/>
    </row>
    <row r="89">
      <c r="B89" s="87">
        <f>CALC_WSF!$AX$33</f>
        <v/>
      </c>
      <c r="E89" s="87">
        <f>CALC_WSF!$AY$33</f>
        <v/>
      </c>
      <c r="I89" s="87">
        <f>CALC_WSF!$AZ$33</f>
        <v/>
      </c>
      <c r="K89" s="93">
        <f>IF(CALC_WSF!$AW$33="","",CALC_WSF!$B$10)</f>
        <v/>
      </c>
    </row>
    <row r="90">
      <c r="B90" s="91">
        <f>CALC_WSF!$AX$34</f>
        <v/>
      </c>
      <c r="C90" s="61" t="n"/>
      <c r="D90" s="61" t="n"/>
      <c r="E90" s="91">
        <f>CALC_WSF!$AY$34</f>
        <v/>
      </c>
      <c r="F90" s="61" t="n"/>
      <c r="G90" s="61" t="n"/>
      <c r="H90" s="61" t="n"/>
      <c r="I90" s="91">
        <f>CALC_WSF!$AZ$34</f>
        <v/>
      </c>
      <c r="J90" s="61" t="n"/>
      <c r="K90" s="92">
        <f>IF(CALC_WSF!$AW$34="","",CALC_WSF!$B$10)</f>
        <v/>
      </c>
      <c r="L90" s="61" t="n"/>
    </row>
    <row r="91">
      <c r="B91" s="87">
        <f>CALC_WSF!$AX$35</f>
        <v/>
      </c>
      <c r="E91" s="87">
        <f>CALC_WSF!$AY$35</f>
        <v/>
      </c>
      <c r="I91" s="87">
        <f>CALC_WSF!$AZ$35</f>
        <v/>
      </c>
      <c r="K91" s="93">
        <f>IF(CALC_WSF!$AW$35="","",CALC_WSF!$B$10)</f>
        <v/>
      </c>
    </row>
    <row r="92">
      <c r="B92" s="91">
        <f>CALC_WSF!$AX$36</f>
        <v/>
      </c>
      <c r="C92" s="61" t="n"/>
      <c r="D92" s="61" t="n"/>
      <c r="E92" s="91">
        <f>CALC_WSF!$AY$36</f>
        <v/>
      </c>
      <c r="F92" s="61" t="n"/>
      <c r="G92" s="61" t="n"/>
      <c r="H92" s="61" t="n"/>
      <c r="I92" s="91">
        <f>CALC_WSF!$AZ$36</f>
        <v/>
      </c>
      <c r="J92" s="61" t="n"/>
      <c r="K92" s="92">
        <f>IF(CALC_WSF!$AW$36="","",CALC_WSF!$B$10)</f>
        <v/>
      </c>
      <c r="L92" s="61" t="n"/>
    </row>
    <row r="93">
      <c r="B93" s="87">
        <f>CALC_WSF!$AX$37</f>
        <v/>
      </c>
      <c r="E93" s="87">
        <f>CALC_WSF!$AY$37</f>
        <v/>
      </c>
      <c r="I93" s="87">
        <f>CALC_WSF!$AZ$37</f>
        <v/>
      </c>
      <c r="K93" s="93">
        <f>IF(CALC_WSF!$AW$37="","",CALC_WSF!$B$10)</f>
        <v/>
      </c>
    </row>
    <row r="94">
      <c r="B94" s="91">
        <f>CALC_WSF!$AX$38</f>
        <v/>
      </c>
      <c r="C94" s="61" t="n"/>
      <c r="D94" s="61" t="n"/>
      <c r="E94" s="91">
        <f>CALC_WSF!$AY$38</f>
        <v/>
      </c>
      <c r="F94" s="61" t="n"/>
      <c r="G94" s="61" t="n"/>
      <c r="H94" s="61" t="n"/>
      <c r="I94" s="91">
        <f>CALC_WSF!$AZ$38</f>
        <v/>
      </c>
      <c r="J94" s="61" t="n"/>
      <c r="K94" s="92">
        <f>IF(CALC_WSF!$AW$38="","",CALC_WSF!$B$10)</f>
        <v/>
      </c>
      <c r="L94" s="61" t="n"/>
    </row>
    <row r="95">
      <c r="B95" s="87">
        <f>CALC_WSF!$AX$39</f>
        <v/>
      </c>
      <c r="E95" s="87">
        <f>CALC_WSF!$AY$39</f>
        <v/>
      </c>
      <c r="I95" s="87">
        <f>CALC_WSF!$AZ$39</f>
        <v/>
      </c>
      <c r="K95" s="93">
        <f>IF(CALC_WSF!$AW$39="","",CALC_WSF!$B$10)</f>
        <v/>
      </c>
    </row>
    <row r="96">
      <c r="B96" s="91">
        <f>CALC_WSF!$AX$40</f>
        <v/>
      </c>
      <c r="C96" s="61" t="n"/>
      <c r="D96" s="61" t="n"/>
      <c r="E96" s="91">
        <f>CALC_WSF!$AY$40</f>
        <v/>
      </c>
      <c r="F96" s="61" t="n"/>
      <c r="G96" s="61" t="n"/>
      <c r="H96" s="61" t="n"/>
      <c r="I96" s="91">
        <f>CALC_WSF!$AZ$40</f>
        <v/>
      </c>
      <c r="J96" s="61" t="n"/>
      <c r="K96" s="92">
        <f>IF(CALC_WSF!$AW$40="","",CALC_WSF!$B$10)</f>
        <v/>
      </c>
      <c r="L96" s="61" t="n"/>
    </row>
    <row r="97">
      <c r="B97" s="87">
        <f>CALC_WSF!$AX$41</f>
        <v/>
      </c>
      <c r="E97" s="87">
        <f>CALC_WSF!$AY$41</f>
        <v/>
      </c>
      <c r="I97" s="87">
        <f>CALC_WSF!$AZ$41</f>
        <v/>
      </c>
      <c r="K97" s="93">
        <f>IF(CALC_WSF!$AW$41="","",CALC_WSF!$B$10)</f>
        <v/>
      </c>
    </row>
    <row r="98">
      <c r="B98" s="91">
        <f>CALC_WSF!$AX$42</f>
        <v/>
      </c>
      <c r="C98" s="61" t="n"/>
      <c r="D98" s="61" t="n"/>
      <c r="E98" s="91">
        <f>CALC_WSF!$AY$42</f>
        <v/>
      </c>
      <c r="F98" s="61" t="n"/>
      <c r="G98" s="61" t="n"/>
      <c r="H98" s="61" t="n"/>
      <c r="I98" s="91">
        <f>CALC_WSF!$AZ$42</f>
        <v/>
      </c>
      <c r="J98" s="61" t="n"/>
      <c r="K98" s="92">
        <f>IF(CALC_WSF!$AW$42="","",CALC_WSF!$B$10)</f>
        <v/>
      </c>
      <c r="L98" s="61" t="n"/>
    </row>
    <row r="99">
      <c r="B99" s="87">
        <f>CALC_WSF!$AX$43</f>
        <v/>
      </c>
      <c r="E99" s="87">
        <f>CALC_WSF!$AY$43</f>
        <v/>
      </c>
      <c r="I99" s="87">
        <f>CALC_WSF!$AZ$43</f>
        <v/>
      </c>
      <c r="K99" s="93">
        <f>IF(CALC_WSF!$AW$43="","",CALC_WSF!$B$10)</f>
        <v/>
      </c>
    </row>
    <row r="100">
      <c r="B100" s="91">
        <f>CALC_WSF!$AX$44</f>
        <v/>
      </c>
      <c r="C100" s="61" t="n"/>
      <c r="D100" s="61" t="n"/>
      <c r="E100" s="91">
        <f>CALC_WSF!$AY$44</f>
        <v/>
      </c>
      <c r="F100" s="61" t="n"/>
      <c r="G100" s="61" t="n"/>
      <c r="H100" s="61" t="n"/>
      <c r="I100" s="91">
        <f>CALC_WSF!$AZ$44</f>
        <v/>
      </c>
      <c r="J100" s="61" t="n"/>
      <c r="K100" s="92">
        <f>IF(CALC_WSF!$AW$44="","",CALC_WSF!$B$10)</f>
        <v/>
      </c>
      <c r="L100" s="61" t="n"/>
    </row>
    <row r="101">
      <c r="B101" s="87">
        <f>CALC_WSF!$AX$45</f>
        <v/>
      </c>
      <c r="E101" s="87">
        <f>CALC_WSF!$AY$45</f>
        <v/>
      </c>
      <c r="I101" s="87">
        <f>CALC_WSF!$AZ$45</f>
        <v/>
      </c>
      <c r="K101" s="93">
        <f>IF(CALC_WSF!$AW$45="","",CALC_WSF!$B$10)</f>
        <v/>
      </c>
    </row>
    <row r="102">
      <c r="B102" s="91">
        <f>CALC_WSF!$AX$46</f>
        <v/>
      </c>
      <c r="C102" s="61" t="n"/>
      <c r="D102" s="61" t="n"/>
      <c r="E102" s="91">
        <f>CALC_WSF!$AY$46</f>
        <v/>
      </c>
      <c r="F102" s="61" t="n"/>
      <c r="G102" s="61" t="n"/>
      <c r="H102" s="61" t="n"/>
      <c r="I102" s="91">
        <f>CALC_WSF!$AZ$46</f>
        <v/>
      </c>
      <c r="J102" s="61" t="n"/>
      <c r="K102" s="92">
        <f>IF(CALC_WSF!$AW$46="","",CALC_WSF!$B$10)</f>
        <v/>
      </c>
      <c r="L102" s="61" t="n"/>
    </row>
    <row r="103">
      <c r="B103" s="87">
        <f>CALC_WSF!$AX$47</f>
        <v/>
      </c>
      <c r="E103" s="87">
        <f>CALC_WSF!$AY$47</f>
        <v/>
      </c>
      <c r="I103" s="87">
        <f>CALC_WSF!$AZ$47</f>
        <v/>
      </c>
      <c r="K103" s="93">
        <f>IF(CALC_WSF!$AW$47="","",CALC_WSF!$B$10)</f>
        <v/>
      </c>
    </row>
    <row r="104">
      <c r="B104" s="91">
        <f>CALC_WSF!$AX$48</f>
        <v/>
      </c>
      <c r="C104" s="61" t="n"/>
      <c r="D104" s="61" t="n"/>
      <c r="E104" s="91">
        <f>CALC_WSF!$AY$48</f>
        <v/>
      </c>
      <c r="F104" s="61" t="n"/>
      <c r="G104" s="61" t="n"/>
      <c r="H104" s="61" t="n"/>
      <c r="I104" s="91">
        <f>CALC_WSF!$AZ$48</f>
        <v/>
      </c>
      <c r="J104" s="61" t="n"/>
      <c r="K104" s="92">
        <f>IF(CALC_WSF!$AW$48="","",CALC_WSF!$B$10)</f>
        <v/>
      </c>
      <c r="L104" s="61" t="n"/>
    </row>
    <row r="105">
      <c r="B105" s="87">
        <f>CALC_WSF!$AX$49</f>
        <v/>
      </c>
      <c r="E105" s="87">
        <f>CALC_WSF!$AY$49</f>
        <v/>
      </c>
      <c r="I105" s="87">
        <f>CALC_WSF!$AZ$49</f>
        <v/>
      </c>
      <c r="K105" s="93">
        <f>IF(CALC_WSF!$AW$49="","",CALC_WSF!$B$10)</f>
        <v/>
      </c>
    </row>
    <row r="106">
      <c r="B106" s="91">
        <f>CALC_WSF!$AX$50</f>
        <v/>
      </c>
      <c r="C106" s="61" t="n"/>
      <c r="D106" s="61" t="n"/>
      <c r="E106" s="91">
        <f>CALC_WSF!$AY$50</f>
        <v/>
      </c>
      <c r="F106" s="61" t="n"/>
      <c r="G106" s="61" t="n"/>
      <c r="H106" s="61" t="n"/>
      <c r="I106" s="91">
        <f>CALC_WSF!$AZ$50</f>
        <v/>
      </c>
      <c r="J106" s="61" t="n"/>
      <c r="K106" s="92">
        <f>IF(CALC_WSF!$AW$50="","",CALC_WSF!$B$10)</f>
        <v/>
      </c>
      <c r="L106" s="61" t="n"/>
    </row>
    <row r="107">
      <c r="B107" s="87">
        <f>CALC_WSF!$AX$51</f>
        <v/>
      </c>
      <c r="E107" s="87">
        <f>CALC_WSF!$AY$51</f>
        <v/>
      </c>
      <c r="I107" s="87">
        <f>CALC_WSF!$AZ$51</f>
        <v/>
      </c>
      <c r="K107" s="93">
        <f>IF(CALC_WSF!$AW$51="","",CALC_WSF!$B$10)</f>
        <v/>
      </c>
    </row>
    <row r="108">
      <c r="B108" s="91">
        <f>CALC_WSF!$AX$52</f>
        <v/>
      </c>
      <c r="C108" s="61" t="n"/>
      <c r="D108" s="61" t="n"/>
      <c r="E108" s="91">
        <f>CALC_WSF!$AY$52</f>
        <v/>
      </c>
      <c r="F108" s="61" t="n"/>
      <c r="G108" s="61" t="n"/>
      <c r="H108" s="61" t="n"/>
      <c r="I108" s="91">
        <f>CALC_WSF!$AZ$52</f>
        <v/>
      </c>
      <c r="J108" s="61" t="n"/>
      <c r="K108" s="92">
        <f>IF(CALC_WSF!$AW$52="","",CALC_WSF!$B$10)</f>
        <v/>
      </c>
      <c r="L108" s="61" t="n"/>
    </row>
    <row r="109">
      <c r="B109" s="87">
        <f>CALC_WSF!$AX$53</f>
        <v/>
      </c>
      <c r="E109" s="87">
        <f>CALC_WSF!$AY$53</f>
        <v/>
      </c>
      <c r="I109" s="87">
        <f>CALC_WSF!$AZ$53</f>
        <v/>
      </c>
      <c r="K109" s="93">
        <f>IF(CALC_WSF!$AW$53="","",CALC_WSF!$B$10)</f>
        <v/>
      </c>
    </row>
  </sheetData>
  <mergeCells count="263">
    <mergeCell ref="B60:D60"/>
    <mergeCell ref="I81:J81"/>
    <mergeCell ref="E61:H61"/>
    <mergeCell ref="I95:J95"/>
    <mergeCell ref="H10:I10"/>
    <mergeCell ref="I89:J89"/>
    <mergeCell ref="K95:L95"/>
    <mergeCell ref="J10:K10"/>
    <mergeCell ref="K89:L89"/>
    <mergeCell ref="I104:J104"/>
    <mergeCell ref="B25:O25"/>
    <mergeCell ref="B22:C22"/>
    <mergeCell ref="K104:L104"/>
    <mergeCell ref="N50:O52"/>
    <mergeCell ref="H9:I9"/>
    <mergeCell ref="D45:E45"/>
    <mergeCell ref="K88:L88"/>
    <mergeCell ref="J9:K9"/>
    <mergeCell ref="E97:H97"/>
    <mergeCell ref="B58:O58"/>
    <mergeCell ref="I106:J106"/>
    <mergeCell ref="B21:C21"/>
    <mergeCell ref="E109:H109"/>
    <mergeCell ref="B108:D108"/>
    <mergeCell ref="I76:J76"/>
    <mergeCell ref="K81:L81"/>
    <mergeCell ref="K76:L76"/>
    <mergeCell ref="B84:D84"/>
    <mergeCell ref="E96:H96"/>
    <mergeCell ref="K90:L90"/>
    <mergeCell ref="B14:C14"/>
    <mergeCell ref="E62:H62"/>
    <mergeCell ref="B92:D92"/>
    <mergeCell ref="J45:K45"/>
    <mergeCell ref="I66:J66"/>
    <mergeCell ref="E71:H71"/>
    <mergeCell ref="L45:M45"/>
    <mergeCell ref="I71:J71"/>
    <mergeCell ref="K99:L99"/>
    <mergeCell ref="B13:C13"/>
    <mergeCell ref="E98:H98"/>
    <mergeCell ref="K67:L67"/>
    <mergeCell ref="B80:D80"/>
    <mergeCell ref="D7:E7"/>
    <mergeCell ref="B94:D94"/>
    <mergeCell ref="E64:H64"/>
    <mergeCell ref="E79:H79"/>
    <mergeCell ref="H45:I45"/>
    <mergeCell ref="L3:O3"/>
    <mergeCell ref="E73:H73"/>
    <mergeCell ref="E88:H88"/>
    <mergeCell ref="E82:H82"/>
    <mergeCell ref="B62:D62"/>
    <mergeCell ref="I83:J83"/>
    <mergeCell ref="E63:H63"/>
    <mergeCell ref="B72:D72"/>
    <mergeCell ref="B24:C24"/>
    <mergeCell ref="E65:H65"/>
    <mergeCell ref="K101:L101"/>
    <mergeCell ref="E74:H74"/>
    <mergeCell ref="E105:H105"/>
    <mergeCell ref="I94:J94"/>
    <mergeCell ref="E99:H99"/>
    <mergeCell ref="L4:O4"/>
    <mergeCell ref="B96:D96"/>
    <mergeCell ref="B70:D70"/>
    <mergeCell ref="B105:D105"/>
    <mergeCell ref="I69:J69"/>
    <mergeCell ref="I84:J84"/>
    <mergeCell ref="C3:D3"/>
    <mergeCell ref="K69:L69"/>
    <mergeCell ref="K78:L78"/>
    <mergeCell ref="K92:L92"/>
    <mergeCell ref="B16:C16"/>
    <mergeCell ref="B98:D98"/>
    <mergeCell ref="D10:E10"/>
    <mergeCell ref="L7:M7"/>
    <mergeCell ref="I77:J77"/>
    <mergeCell ref="F10:G10"/>
    <mergeCell ref="N7:O7"/>
    <mergeCell ref="E101:H101"/>
    <mergeCell ref="I86:J86"/>
    <mergeCell ref="E91:H91"/>
    <mergeCell ref="B107:D107"/>
    <mergeCell ref="I80:J80"/>
    <mergeCell ref="E85:H85"/>
    <mergeCell ref="B73:D73"/>
    <mergeCell ref="K80:L80"/>
    <mergeCell ref="B88:D88"/>
    <mergeCell ref="E100:H100"/>
    <mergeCell ref="B82:D82"/>
    <mergeCell ref="B18:C18"/>
    <mergeCell ref="I61:J61"/>
    <mergeCell ref="I70:J70"/>
    <mergeCell ref="E75:H75"/>
    <mergeCell ref="K64:L64"/>
    <mergeCell ref="C4:D4"/>
    <mergeCell ref="K79:L79"/>
    <mergeCell ref="E93:H93"/>
    <mergeCell ref="E102:H102"/>
    <mergeCell ref="B99:D99"/>
    <mergeCell ref="I72:J72"/>
    <mergeCell ref="K63:L63"/>
    <mergeCell ref="K72:L72"/>
    <mergeCell ref="F45:G45"/>
    <mergeCell ref="B74:D74"/>
    <mergeCell ref="B68:D68"/>
    <mergeCell ref="B83:D83"/>
    <mergeCell ref="K106:L106"/>
    <mergeCell ref="E67:H67"/>
    <mergeCell ref="I96:J96"/>
    <mergeCell ref="K96:L96"/>
    <mergeCell ref="K105:L105"/>
    <mergeCell ref="B76:D76"/>
    <mergeCell ref="B85:D85"/>
    <mergeCell ref="I98:J98"/>
    <mergeCell ref="K98:L98"/>
    <mergeCell ref="I107:J107"/>
    <mergeCell ref="E87:H87"/>
    <mergeCell ref="B75:D75"/>
    <mergeCell ref="B100:D100"/>
    <mergeCell ref="K107:L107"/>
    <mergeCell ref="D9:E9"/>
    <mergeCell ref="B109:D109"/>
    <mergeCell ref="F9:G9"/>
    <mergeCell ref="I88:J88"/>
    <mergeCell ref="I82:J82"/>
    <mergeCell ref="B59:D59"/>
    <mergeCell ref="K82:L82"/>
    <mergeCell ref="B15:C15"/>
    <mergeCell ref="B102:D102"/>
    <mergeCell ref="K66:L66"/>
    <mergeCell ref="I59:J59"/>
    <mergeCell ref="B5:O5"/>
    <mergeCell ref="E90:H90"/>
    <mergeCell ref="I99:J99"/>
    <mergeCell ref="K93:L93"/>
    <mergeCell ref="E104:H104"/>
    <mergeCell ref="I60:J60"/>
    <mergeCell ref="I74:J74"/>
    <mergeCell ref="K74:L74"/>
    <mergeCell ref="K68:L68"/>
    <mergeCell ref="K83:L83"/>
    <mergeCell ref="B7:C7"/>
    <mergeCell ref="E76:H76"/>
    <mergeCell ref="B78:D78"/>
    <mergeCell ref="B87:D87"/>
    <mergeCell ref="F7:G7"/>
    <mergeCell ref="K60:L60"/>
    <mergeCell ref="E66:H66"/>
    <mergeCell ref="K109:L109"/>
    <mergeCell ref="I103:J103"/>
    <mergeCell ref="E68:H68"/>
    <mergeCell ref="B65:D65"/>
    <mergeCell ref="I97:J97"/>
    <mergeCell ref="B17:C17"/>
    <mergeCell ref="L8:M8"/>
    <mergeCell ref="N8:O8"/>
    <mergeCell ref="F8:G8"/>
    <mergeCell ref="I87:J87"/>
    <mergeCell ref="E92:H92"/>
    <mergeCell ref="B63:D63"/>
    <mergeCell ref="B19:C19"/>
    <mergeCell ref="I62:J62"/>
    <mergeCell ref="L10:M10"/>
    <mergeCell ref="E107:H107"/>
    <mergeCell ref="N10:O10"/>
    <mergeCell ref="K71:L71"/>
    <mergeCell ref="B9:C9"/>
    <mergeCell ref="E77:H77"/>
    <mergeCell ref="B91:D91"/>
    <mergeCell ref="E94:H94"/>
    <mergeCell ref="K97:L97"/>
    <mergeCell ref="E103:H103"/>
    <mergeCell ref="L9:M9"/>
    <mergeCell ref="I64:J64"/>
    <mergeCell ref="I79:J79"/>
    <mergeCell ref="N9:O9"/>
    <mergeCell ref="E84:H84"/>
    <mergeCell ref="I73:J73"/>
    <mergeCell ref="E78:H78"/>
    <mergeCell ref="B66:D66"/>
    <mergeCell ref="K73:L73"/>
    <mergeCell ref="K65:L65"/>
    <mergeCell ref="B20:C20"/>
    <mergeCell ref="B93:D93"/>
    <mergeCell ref="B45:C45"/>
    <mergeCell ref="I63:J63"/>
    <mergeCell ref="E108:H108"/>
    <mergeCell ref="E4:G4"/>
    <mergeCell ref="E86:H86"/>
    <mergeCell ref="N45:O45"/>
    <mergeCell ref="B77:D77"/>
    <mergeCell ref="E80:H80"/>
    <mergeCell ref="E95:H95"/>
    <mergeCell ref="E89:H89"/>
    <mergeCell ref="B86:D86"/>
    <mergeCell ref="I65:J65"/>
    <mergeCell ref="I90:J90"/>
    <mergeCell ref="I105:J105"/>
    <mergeCell ref="E70:H70"/>
    <mergeCell ref="B67:D67"/>
    <mergeCell ref="B61:D61"/>
    <mergeCell ref="B101:D101"/>
    <mergeCell ref="K108:L108"/>
    <mergeCell ref="E72:H72"/>
    <mergeCell ref="E81:H81"/>
    <mergeCell ref="B69:D69"/>
    <mergeCell ref="I101:J101"/>
    <mergeCell ref="B103:D103"/>
    <mergeCell ref="I91:J91"/>
    <mergeCell ref="I85:J85"/>
    <mergeCell ref="K91:L91"/>
    <mergeCell ref="I100:J100"/>
    <mergeCell ref="K85:L85"/>
    <mergeCell ref="K100:L100"/>
    <mergeCell ref="K94:L94"/>
    <mergeCell ref="B23:C23"/>
    <mergeCell ref="I75:J75"/>
    <mergeCell ref="E106:H106"/>
    <mergeCell ref="K75:L75"/>
    <mergeCell ref="K84:L84"/>
    <mergeCell ref="I93:J93"/>
    <mergeCell ref="B8:C8"/>
    <mergeCell ref="I102:J102"/>
    <mergeCell ref="B64:D64"/>
    <mergeCell ref="I3:J3"/>
    <mergeCell ref="B95:D95"/>
    <mergeCell ref="B89:D89"/>
    <mergeCell ref="K102:L102"/>
    <mergeCell ref="K59:L59"/>
    <mergeCell ref="I68:J68"/>
    <mergeCell ref="B104:D104"/>
    <mergeCell ref="K77:L77"/>
    <mergeCell ref="E83:H83"/>
    <mergeCell ref="I92:J92"/>
    <mergeCell ref="B79:D79"/>
    <mergeCell ref="H7:I7"/>
    <mergeCell ref="K86:L86"/>
    <mergeCell ref="B10:C10"/>
    <mergeCell ref="J7:K7"/>
    <mergeCell ref="I67:J67"/>
    <mergeCell ref="B97:D97"/>
    <mergeCell ref="E3:G3"/>
    <mergeCell ref="K61:L61"/>
    <mergeCell ref="B106:D106"/>
    <mergeCell ref="K70:L70"/>
    <mergeCell ref="B81:D81"/>
    <mergeCell ref="D8:E8"/>
    <mergeCell ref="B90:D90"/>
    <mergeCell ref="E60:H60"/>
    <mergeCell ref="I4:J4"/>
    <mergeCell ref="E69:H69"/>
    <mergeCell ref="I108:J108"/>
    <mergeCell ref="I78:J78"/>
    <mergeCell ref="I109:J109"/>
    <mergeCell ref="B71:D71"/>
    <mergeCell ref="K103:L103"/>
    <mergeCell ref="E59:H59"/>
    <mergeCell ref="H8:I8"/>
    <mergeCell ref="K62:L62"/>
    <mergeCell ref="J8:K8"/>
    <mergeCell ref="K87:L87"/>
  </mergeCells>
  <conditionalFormatting sqref="B9">
    <cfRule type="expression" priority="1" dxfId="0">
      <formula>LEFT(B9,1)="▲"</formula>
    </cfRule>
    <cfRule type="expression" priority="2" dxfId="1">
      <formula>LEFT(B9,1)="▼"</formula>
    </cfRule>
  </conditionalFormatting>
  <conditionalFormatting sqref="D9">
    <cfRule type="expression" priority="3" dxfId="0">
      <formula>LEFT(D9,1)="▲"</formula>
    </cfRule>
    <cfRule type="expression" priority="4" dxfId="1">
      <formula>LEFT(D9,1)="▼"</formula>
    </cfRule>
  </conditionalFormatting>
  <conditionalFormatting sqref="F9">
    <cfRule type="expression" priority="5" dxfId="0">
      <formula>LEFT(F9,1)="▲"</formula>
    </cfRule>
    <cfRule type="expression" priority="6" dxfId="1">
      <formula>LEFT(F9,1)="▼"</formula>
    </cfRule>
  </conditionalFormatting>
  <conditionalFormatting sqref="H9">
    <cfRule type="expression" priority="7" dxfId="0">
      <formula>LEFT(H9,1)="▲"</formula>
    </cfRule>
    <cfRule type="expression" priority="8" dxfId="1">
      <formula>LEFT(H9,1)="▼"</formula>
    </cfRule>
  </conditionalFormatting>
  <conditionalFormatting sqref="H8">
    <cfRule type="expression" priority="9" dxfId="2">
      <formula>AND(ISNUMBER(H8),H8&gt;=RAG_Green)</formula>
    </cfRule>
    <cfRule type="expression" priority="10" dxfId="3">
      <formula>AND(ISNUMBER(H8),H8&gt;=RAG_Amber,H8&lt;RAG_Green)</formula>
    </cfRule>
    <cfRule type="expression" priority="11" dxfId="4">
      <formula>AND(ISNUMBER(H8),H8&lt;RAG_Amber)</formula>
    </cfRule>
  </conditionalFormatting>
  <conditionalFormatting sqref="J9">
    <cfRule type="expression" priority="12" dxfId="0">
      <formula>LEFT(J9,1)="▲"</formula>
    </cfRule>
    <cfRule type="expression" priority="13" dxfId="1">
      <formula>LEFT(J9,1)="▼"</formula>
    </cfRule>
  </conditionalFormatting>
  <conditionalFormatting sqref="L9">
    <cfRule type="expression" priority="14" dxfId="0">
      <formula>LEFT(L9,1)="▲"</formula>
    </cfRule>
    <cfRule type="expression" priority="15" dxfId="1">
      <formula>LEFT(L9,1)="▼"</formula>
    </cfRule>
  </conditionalFormatting>
  <conditionalFormatting sqref="N9">
    <cfRule type="expression" priority="16" dxfId="0">
      <formula>LEFT(N9,1)="▲"</formula>
    </cfRule>
    <cfRule type="expression" priority="17" dxfId="1">
      <formula>LEFT(N9,1)="▼"</formula>
    </cfRule>
  </conditionalFormatting>
  <conditionalFormatting sqref="F14">
    <cfRule type="expression" priority="18" dxfId="5">
      <formula>AND(ISNUMBER(F14),F14&gt;0)</formula>
    </cfRule>
    <cfRule type="expression" priority="19" dxfId="6">
      <formula>AND(ISNUMBER(F14),F14&lt;0)</formula>
    </cfRule>
  </conditionalFormatting>
  <conditionalFormatting sqref="G14">
    <cfRule type="expression" priority="20" dxfId="5">
      <formula>AND(ISNUMBER(G14),G14&gt;0)</formula>
    </cfRule>
    <cfRule type="expression" priority="21" dxfId="6">
      <formula>AND(ISNUMBER(G14),G14&lt;0)</formula>
    </cfRule>
  </conditionalFormatting>
  <conditionalFormatting sqref="I14">
    <cfRule type="expression" priority="22" dxfId="5">
      <formula>AND(ISNUMBER(I14),I14&gt;0)</formula>
    </cfRule>
    <cfRule type="expression" priority="23" dxfId="6">
      <formula>AND(ISNUMBER(I14),I14&lt;0)</formula>
    </cfRule>
  </conditionalFormatting>
  <conditionalFormatting sqref="F15">
    <cfRule type="expression" priority="24" dxfId="5">
      <formula>AND(ISNUMBER(F15),F15&gt;0)</formula>
    </cfRule>
    <cfRule type="expression" priority="25" dxfId="6">
      <formula>AND(ISNUMBER(F15),F15&lt;0)</formula>
    </cfRule>
  </conditionalFormatting>
  <conditionalFormatting sqref="G15">
    <cfRule type="expression" priority="26" dxfId="5">
      <formula>AND(ISNUMBER(G15),G15&gt;0)</formula>
    </cfRule>
    <cfRule type="expression" priority="27" dxfId="6">
      <formula>AND(ISNUMBER(G15),G15&lt;0)</formula>
    </cfRule>
  </conditionalFormatting>
  <conditionalFormatting sqref="I15">
    <cfRule type="expression" priority="28" dxfId="5">
      <formula>AND(ISNUMBER(I15),I15&gt;0)</formula>
    </cfRule>
    <cfRule type="expression" priority="29" dxfId="6">
      <formula>AND(ISNUMBER(I15),I15&lt;0)</formula>
    </cfRule>
  </conditionalFormatting>
  <conditionalFormatting sqref="F16">
    <cfRule type="expression" priority="30" dxfId="5">
      <formula>AND(ISNUMBER(F16),F16&gt;0)</formula>
    </cfRule>
    <cfRule type="expression" priority="31" dxfId="6">
      <formula>AND(ISNUMBER(F16),F16&lt;0)</formula>
    </cfRule>
  </conditionalFormatting>
  <conditionalFormatting sqref="G16">
    <cfRule type="expression" priority="32" dxfId="5">
      <formula>AND(ISNUMBER(G16),G16&gt;0)</formula>
    </cfRule>
    <cfRule type="expression" priority="33" dxfId="6">
      <formula>AND(ISNUMBER(G16),G16&lt;0)</formula>
    </cfRule>
  </conditionalFormatting>
  <conditionalFormatting sqref="I16">
    <cfRule type="expression" priority="34" dxfId="5">
      <formula>AND(ISNUMBER(I16),I16&gt;0)</formula>
    </cfRule>
    <cfRule type="expression" priority="35" dxfId="6">
      <formula>AND(ISNUMBER(I16),I16&lt;0)</formula>
    </cfRule>
  </conditionalFormatting>
  <conditionalFormatting sqref="F17">
    <cfRule type="expression" priority="36" dxfId="5">
      <formula>AND(ISNUMBER(F17),F17&gt;0)</formula>
    </cfRule>
    <cfRule type="expression" priority="37" dxfId="6">
      <formula>AND(ISNUMBER(F17),F17&lt;0)</formula>
    </cfRule>
  </conditionalFormatting>
  <conditionalFormatting sqref="G17">
    <cfRule type="expression" priority="38" dxfId="5">
      <formula>AND(ISNUMBER(G17),G17&gt;0)</formula>
    </cfRule>
    <cfRule type="expression" priority="39" dxfId="6">
      <formula>AND(ISNUMBER(G17),G17&lt;0)</formula>
    </cfRule>
  </conditionalFormatting>
  <conditionalFormatting sqref="I17">
    <cfRule type="expression" priority="40" dxfId="5">
      <formula>AND(ISNUMBER(I17),I17&gt;0)</formula>
    </cfRule>
    <cfRule type="expression" priority="41" dxfId="6">
      <formula>AND(ISNUMBER(I17),I17&lt;0)</formula>
    </cfRule>
  </conditionalFormatting>
  <conditionalFormatting sqref="F18">
    <cfRule type="expression" priority="42" dxfId="5">
      <formula>AND(ISNUMBER(F18),F18&gt;0)</formula>
    </cfRule>
    <cfRule type="expression" priority="43" dxfId="6">
      <formula>AND(ISNUMBER(F18),F18&lt;0)</formula>
    </cfRule>
  </conditionalFormatting>
  <conditionalFormatting sqref="G18">
    <cfRule type="expression" priority="44" dxfId="5">
      <formula>AND(ISNUMBER(G18),G18&gt;0)</formula>
    </cfRule>
    <cfRule type="expression" priority="45" dxfId="6">
      <formula>AND(ISNUMBER(G18),G18&lt;0)</formula>
    </cfRule>
  </conditionalFormatting>
  <conditionalFormatting sqref="I18">
    <cfRule type="expression" priority="46" dxfId="5">
      <formula>AND(ISNUMBER(I18),I18&gt;0)</formula>
    </cfRule>
    <cfRule type="expression" priority="47" dxfId="6">
      <formula>AND(ISNUMBER(I18),I18&lt;0)</formula>
    </cfRule>
  </conditionalFormatting>
  <conditionalFormatting sqref="F19">
    <cfRule type="expression" priority="48" dxfId="5">
      <formula>AND(ISNUMBER(F19),F19&gt;0)</formula>
    </cfRule>
    <cfRule type="expression" priority="49" dxfId="6">
      <formula>AND(ISNUMBER(F19),F19&lt;0)</formula>
    </cfRule>
  </conditionalFormatting>
  <conditionalFormatting sqref="G19">
    <cfRule type="expression" priority="50" dxfId="5">
      <formula>AND(ISNUMBER(G19),G19&gt;0)</formula>
    </cfRule>
    <cfRule type="expression" priority="51" dxfId="6">
      <formula>AND(ISNUMBER(G19),G19&lt;0)</formula>
    </cfRule>
  </conditionalFormatting>
  <conditionalFormatting sqref="I19">
    <cfRule type="expression" priority="52" dxfId="5">
      <formula>AND(ISNUMBER(I19),I19&gt;0)</formula>
    </cfRule>
    <cfRule type="expression" priority="53" dxfId="6">
      <formula>AND(ISNUMBER(I19),I19&lt;0)</formula>
    </cfRule>
  </conditionalFormatting>
  <conditionalFormatting sqref="F20">
    <cfRule type="expression" priority="54" dxfId="5">
      <formula>AND(ISNUMBER(F20),F20&gt;0)</formula>
    </cfRule>
    <cfRule type="expression" priority="55" dxfId="6">
      <formula>AND(ISNUMBER(F20),F20&lt;0)</formula>
    </cfRule>
  </conditionalFormatting>
  <conditionalFormatting sqref="G20">
    <cfRule type="expression" priority="56" dxfId="5">
      <formula>AND(ISNUMBER(G20),G20&gt;0)</formula>
    </cfRule>
    <cfRule type="expression" priority="57" dxfId="6">
      <formula>AND(ISNUMBER(G20),G20&lt;0)</formula>
    </cfRule>
  </conditionalFormatting>
  <conditionalFormatting sqref="I20">
    <cfRule type="expression" priority="58" dxfId="5">
      <formula>AND(ISNUMBER(I20),I20&gt;0)</formula>
    </cfRule>
    <cfRule type="expression" priority="59" dxfId="6">
      <formula>AND(ISNUMBER(I20),I20&lt;0)</formula>
    </cfRule>
  </conditionalFormatting>
  <conditionalFormatting sqref="F21">
    <cfRule type="expression" priority="60" dxfId="5">
      <formula>AND(ISNUMBER(F21),F21&gt;0)</formula>
    </cfRule>
    <cfRule type="expression" priority="61" dxfId="6">
      <formula>AND(ISNUMBER(F21),F21&lt;0)</formula>
    </cfRule>
  </conditionalFormatting>
  <conditionalFormatting sqref="G21">
    <cfRule type="expression" priority="62" dxfId="5">
      <formula>AND(ISNUMBER(G21),G21&gt;0)</formula>
    </cfRule>
    <cfRule type="expression" priority="63" dxfId="6">
      <formula>AND(ISNUMBER(G21),G21&lt;0)</formula>
    </cfRule>
  </conditionalFormatting>
  <conditionalFormatting sqref="I21">
    <cfRule type="expression" priority="64" dxfId="5">
      <formula>AND(ISNUMBER(I21),I21&gt;0)</formula>
    </cfRule>
    <cfRule type="expression" priority="65" dxfId="6">
      <formula>AND(ISNUMBER(I21),I21&lt;0)</formula>
    </cfRule>
  </conditionalFormatting>
  <conditionalFormatting sqref="F22">
    <cfRule type="expression" priority="66" dxfId="5">
      <formula>AND(ISNUMBER(F22),F22&gt;0)</formula>
    </cfRule>
    <cfRule type="expression" priority="67" dxfId="6">
      <formula>AND(ISNUMBER(F22),F22&lt;0)</formula>
    </cfRule>
  </conditionalFormatting>
  <conditionalFormatting sqref="G22">
    <cfRule type="expression" priority="68" dxfId="5">
      <formula>AND(ISNUMBER(G22),G22&gt;0)</formula>
    </cfRule>
    <cfRule type="expression" priority="69" dxfId="6">
      <formula>AND(ISNUMBER(G22),G22&lt;0)</formula>
    </cfRule>
  </conditionalFormatting>
  <conditionalFormatting sqref="I22">
    <cfRule type="expression" priority="70" dxfId="5">
      <formula>AND(ISNUMBER(I22),I22&gt;0)</formula>
    </cfRule>
    <cfRule type="expression" priority="71" dxfId="6">
      <formula>AND(ISNUMBER(I22),I22&lt;0)</formula>
    </cfRule>
  </conditionalFormatting>
  <conditionalFormatting sqref="D22:E22">
    <cfRule type="expression" priority="72" dxfId="2">
      <formula>AND(ISNUMBER(D22),D22&gt;=RAG_Green)</formula>
    </cfRule>
    <cfRule type="expression" priority="73" dxfId="3">
      <formula>AND(ISNUMBER(D22),D22&gt;=RAG_Amber,D22&lt;RAG_Green)</formula>
    </cfRule>
    <cfRule type="expression" priority="74" dxfId="4">
      <formula>AND(ISNUMBER(D22),D22&lt;RAG_Amber)</formula>
    </cfRule>
  </conditionalFormatting>
  <conditionalFormatting sqref="H22">
    <cfRule type="expression" priority="75" dxfId="2">
      <formula>AND(ISNUMBER(H22),H22&gt;=RAG_Green)</formula>
    </cfRule>
    <cfRule type="expression" priority="76" dxfId="3">
      <formula>AND(ISNUMBER(H22),H22&gt;=RAG_Amber,H22&lt;RAG_Green)</formula>
    </cfRule>
    <cfRule type="expression" priority="77" dxfId="4">
      <formula>AND(ISNUMBER(H22),H22&lt;RAG_Amber)</formula>
    </cfRule>
  </conditionalFormatting>
  <conditionalFormatting sqref="J22:O22">
    <cfRule type="expression" priority="78" dxfId="2">
      <formula>AND(ISNUMBER(J22),J22&gt;=RAG_Green)</formula>
    </cfRule>
    <cfRule type="expression" priority="79" dxfId="3">
      <formula>AND(ISNUMBER(J22),J22&gt;=RAG_Amber,J22&lt;RAG_Green)</formula>
    </cfRule>
    <cfRule type="expression" priority="80" dxfId="4">
      <formula>AND(ISNUMBER(J22),J22&lt;RAG_Amber)</formula>
    </cfRule>
  </conditionalFormatting>
  <conditionalFormatting sqref="F23">
    <cfRule type="expression" priority="81" dxfId="5">
      <formula>AND(ISNUMBER(F23),F23&gt;0)</formula>
    </cfRule>
    <cfRule type="expression" priority="82" dxfId="6">
      <formula>AND(ISNUMBER(F23),F23&lt;0)</formula>
    </cfRule>
  </conditionalFormatting>
  <conditionalFormatting sqref="G23">
    <cfRule type="expression" priority="83" dxfId="5">
      <formula>AND(ISNUMBER(G23),G23&gt;0)</formula>
    </cfRule>
    <cfRule type="expression" priority="84" dxfId="6">
      <formula>AND(ISNUMBER(G23),G23&lt;0)</formula>
    </cfRule>
  </conditionalFormatting>
  <conditionalFormatting sqref="I23">
    <cfRule type="expression" priority="85" dxfId="5">
      <formula>AND(ISNUMBER(I23),I23&gt;0)</formula>
    </cfRule>
    <cfRule type="expression" priority="86" dxfId="6">
      <formula>AND(ISNUMBER(I23),I23&lt;0)</formula>
    </cfRule>
  </conditionalFormatting>
  <conditionalFormatting sqref="F24">
    <cfRule type="expression" priority="87" dxfId="5">
      <formula>AND(ISNUMBER(F24),F24&gt;0)</formula>
    </cfRule>
    <cfRule type="expression" priority="88" dxfId="6">
      <formula>AND(ISNUMBER(F24),F24&lt;0)</formula>
    </cfRule>
  </conditionalFormatting>
  <conditionalFormatting sqref="G24">
    <cfRule type="expression" priority="89" dxfId="5">
      <formula>AND(ISNUMBER(G24),G24&gt;0)</formula>
    </cfRule>
    <cfRule type="expression" priority="90" dxfId="6">
      <formula>AND(ISNUMBER(G24),G24&lt;0)</formula>
    </cfRule>
  </conditionalFormatting>
  <conditionalFormatting sqref="I24">
    <cfRule type="expression" priority="91" dxfId="5">
      <formula>AND(ISNUMBER(I24),I24&gt;0)</formula>
    </cfRule>
    <cfRule type="expression" priority="92" dxfId="6">
      <formula>AND(ISNUMBER(I24),I24&lt;0)</formula>
    </cfRule>
  </conditionalFormatting>
  <conditionalFormatting sqref="C46:C55">
    <cfRule type="dataBar" priority="93">
      <dataBar>
        <cfvo type="num" val="0"/>
        <cfvo type="max"/>
        <color rgb="006D97C6"/>
      </dataBar>
    </cfRule>
  </conditionalFormatting>
  <conditionalFormatting sqref="E46:E55">
    <cfRule type="dataBar" priority="94">
      <dataBar>
        <cfvo type="num" val="0"/>
        <cfvo type="max"/>
        <color rgb="006D97C6"/>
      </dataBar>
    </cfRule>
  </conditionalFormatting>
  <conditionalFormatting sqref="G46:G55">
    <cfRule type="expression" priority="95" dxfId="2">
      <formula>AND(ISNUMBER(G46),G46&gt;=RAG_Green)</formula>
    </cfRule>
    <cfRule type="expression" priority="96" dxfId="3">
      <formula>AND(ISNUMBER(G46),G46&gt;=RAG_Amber,G46&lt;RAG_Green)</formula>
    </cfRule>
    <cfRule type="expression" priority="97" dxfId="4">
      <formula>AND(ISNUMBER(G46),G46&lt;RAG_Amber)</formula>
    </cfRule>
  </conditionalFormatting>
  <conditionalFormatting sqref="I46:I55">
    <cfRule type="expression" priority="98" dxfId="2">
      <formula>AND(ISNUMBER(I46),I46&gt;=RAG_Green)</formula>
    </cfRule>
    <cfRule type="expression" priority="99" dxfId="3">
      <formula>AND(ISNUMBER(I46),I46&gt;=RAG_Amber,I46&lt;RAG_Green)</formula>
    </cfRule>
    <cfRule type="expression" priority="100" dxfId="4">
      <formula>AND(ISNUMBER(I46),I46&lt;RAG_Amber)</formula>
    </cfRule>
  </conditionalFormatting>
  <conditionalFormatting sqref="K46:K55">
    <cfRule type="expression" priority="101" dxfId="5">
      <formula>AND(ISNUMBER(K46),K46&gt;0)</formula>
    </cfRule>
    <cfRule type="expression" priority="102" dxfId="6">
      <formula>AND(ISNUMBER(K46),K46&lt;0)</formula>
    </cfRule>
  </conditionalFormatting>
  <conditionalFormatting sqref="M46:M55">
    <cfRule type="expression" priority="103" dxfId="5">
      <formula>AND(ISNUMBER(M46),M46&gt;0)</formula>
    </cfRule>
    <cfRule type="expression" priority="104" dxfId="6">
      <formula>AND(ISNUMBER(M46),M46&lt;0)</formula>
    </cfRule>
  </conditionalFormatting>
  <dataValidations count="4">
    <dataValidation sqref="B4" showDropDown="0" showInputMessage="0" showErrorMessage="1" allowBlank="0" errorTitle="Scope" error="Choose Global, Area or Zone." type="list">
      <formula1>"Global,Area,Zone"</formula1>
    </dataValidation>
    <dataValidation sqref="E4" showDropDown="0" showInputMessage="0" showErrorMessage="1" allowBlank="1" errorTitle="Select" error="Pick a name from the list. Type part of the name in SEARCH to narrow it." type="list">
      <formula1>=WSF_SelectList</formula1>
    </dataValidation>
    <dataValidation sqref="I4" showDropDown="0" showInputMessage="0" showErrorMessage="1" allowBlank="1" errorTitle="Week ending" error="Pick 'Latest' or a week from the list." type="list">
      <formula1>=WSF_WeekList</formula1>
    </dataValidation>
    <dataValidation sqref="K4" showDropDown="0" showInputMessage="0" showErrorMessage="1" allowBlank="1" errorTitle="Comparison window" error="Choose 1, 2, 4, 8, 13, 26 or 52." type="list">
      <formula1>"1,2,4,8,13,26,52"</formula1>
    </dataValidation>
  </dataValidation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tabColor rgb="000F7C74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1" t="n"/>
      <c r="B1" s="94" t="inlineStr">
        <is>
          <t>MIDWEEK DASHBOARD</t>
        </is>
      </c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95" t="inlineStr">
        <is>
          <t>⌂ HOME</t>
        </is>
      </c>
      <c r="O1" s="11" t="n"/>
      <c r="P1" s="11" t="n"/>
    </row>
    <row r="2">
      <c r="A2" s="11" t="n"/>
      <c r="B2" s="96" t="inlineStr">
        <is>
          <t>Zonal midweek services</t>
        </is>
      </c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1" t="n"/>
      <c r="O2" s="11" t="n"/>
      <c r="P2" s="11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DATA_MIDWEEK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6A3FA0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6" t="n"/>
      <c r="B1" s="97" t="inlineStr">
        <is>
          <t>CHOP DASHBOARD</t>
        </is>
      </c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98" t="inlineStr">
        <is>
          <t>⌂ HOME</t>
        </is>
      </c>
      <c r="O1" s="16" t="n"/>
      <c r="P1" s="16" t="n"/>
    </row>
    <row r="2">
      <c r="A2" s="16" t="n"/>
      <c r="B2" s="99" t="inlineStr">
        <is>
          <t>Covenant Hour of Prayer (CHOP zones only)</t>
        </is>
      </c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DATA_CHOP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B5446E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8" t="n"/>
      <c r="B1" s="100" t="inlineStr">
        <is>
          <t>COMMUNITY CHURCH DASHBOARD</t>
        </is>
      </c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01" t="inlineStr">
        <is>
          <t>⌂ HOME</t>
        </is>
      </c>
      <c r="O1" s="18" t="n"/>
      <c r="P1" s="18" t="n"/>
    </row>
    <row r="2">
      <c r="A2" s="18" t="n"/>
      <c r="B2" s="102" t="inlineStr">
        <is>
          <t>35 Community Churches · Sunday service first</t>
        </is>
      </c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DATA_COMMUNITY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D9731A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20" t="n"/>
      <c r="B1" s="103" t="inlineStr">
        <is>
          <t>TRANSPORT DASHBOARD</t>
        </is>
      </c>
      <c r="C1" s="20" t="n"/>
      <c r="D1" s="20" t="n"/>
      <c r="E1" s="20" t="n"/>
      <c r="F1" s="20" t="n"/>
      <c r="G1" s="20" t="n"/>
      <c r="H1" s="20" t="n"/>
      <c r="I1" s="20" t="n"/>
      <c r="J1" s="20" t="n"/>
      <c r="K1" s="20" t="n"/>
      <c r="L1" s="20" t="n"/>
      <c r="M1" s="20" t="n"/>
      <c r="N1" s="104" t="inlineStr">
        <is>
          <t>⌂ HOME</t>
        </is>
      </c>
      <c r="O1" s="20" t="n"/>
      <c r="P1" s="20" t="n"/>
    </row>
    <row r="2">
      <c r="A2" s="20" t="n"/>
      <c r="B2" s="105" t="inlineStr">
        <is>
          <t>Fleet operations, finance and optimisation</t>
        </is>
      </c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DATA_TRANSPORT_OPS / DATA_TRANSPORT_FINANCE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tabColor rgb="001B2A41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" t="n"/>
      <c r="B1" s="2" t="inlineStr">
        <is>
          <t>AREA SCORECARD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3" t="inlineStr">
        <is>
          <t>⌂ HOME</t>
        </is>
      </c>
      <c r="O1" s="1" t="n"/>
      <c r="P1" s="1" t="n"/>
    </row>
    <row r="2">
      <c r="A2" s="1" t="n"/>
      <c r="B2" s="4" t="inlineStr">
        <is>
          <t>One Area across every stream, with rank among all Areas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DATA_*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tabColor rgb="001B2A41"/>
    <outlinePr summaryBelow="1" summaryRight="1"/>
    <pageSetUpPr fitToPage="1"/>
  </sheetPr>
  <dimension ref="A1:P6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" customWidth="1" min="16" max="16"/>
  </cols>
  <sheetData>
    <row r="1" ht="34" customHeight="1">
      <c r="A1" s="1" t="n"/>
      <c r="B1" s="2" t="inlineStr">
        <is>
          <t>ZONE SCORECARD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3" t="inlineStr">
        <is>
          <t>⌂ HOME</t>
        </is>
      </c>
      <c r="O1" s="1" t="n"/>
      <c r="P1" s="1" t="n"/>
    </row>
    <row r="2">
      <c r="A2" s="1" t="n"/>
      <c r="B2" s="4" t="inlineStr">
        <is>
          <t>One Zone across every stream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4">
      <c r="B4" s="36" t="inlineStr">
        <is>
          <t>Stage 2: this dashboard is built after the WSF DASHBOARD is reviewed, using the same control strip, KPI cards, time analysis, rankings and non-reporting layout. Its data is already loaded in the DATA_* sheet.</t>
        </is>
      </c>
    </row>
    <row r="5"/>
    <row r="6"/>
  </sheetData>
  <mergeCells count="1">
    <mergeCell ref="B4:O6"/>
  </mergeCells>
  <hyperlinks>
    <hyperlink xmlns:r="http://schemas.openxmlformats.org/officeDocument/2006/relationships" ref="N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tabColor rgb="005B6770"/>
    <outlinePr summaryBelow="1" summaryRight="1"/>
    <pageSetUpPr fitToPage="1"/>
  </sheetPr>
  <dimension ref="A1:K24"/>
  <sheetViews>
    <sheetView showGridLines="0" tabSelected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20" customWidth="1" min="2" max="2"/>
    <col width="11" customWidth="1" min="3" max="3"/>
    <col width="34" customWidth="1" min="4" max="4"/>
    <col width="26" customWidth="1" min="5" max="5"/>
    <col width="7" customWidth="1" min="6" max="6"/>
    <col width="12" customWidth="1" min="7" max="7"/>
    <col width="60" customWidth="1" min="8" max="8"/>
    <col width="17" customWidth="1" min="9" max="9"/>
    <col width="14" customWidth="1" min="10" max="10"/>
    <col width="2" customWidth="1" min="11" max="11"/>
  </cols>
  <sheetData>
    <row r="1" ht="34" customHeight="1">
      <c r="A1" s="25" t="n"/>
      <c r="B1" s="106" t="inlineStr">
        <is>
          <t>DATA QUALITY</t>
        </is>
      </c>
      <c r="C1" s="25" t="n"/>
      <c r="D1" s="25" t="n"/>
      <c r="E1" s="25" t="n"/>
      <c r="F1" s="25" t="n"/>
      <c r="G1" s="25" t="n"/>
      <c r="H1" s="25" t="n"/>
      <c r="I1" s="107" t="inlineStr">
        <is>
          <t>⌂ HOME</t>
        </is>
      </c>
      <c r="J1" s="25" t="n"/>
      <c r="K1" s="25" t="n"/>
    </row>
    <row r="2">
      <c r="A2" s="25" t="n"/>
      <c r="B2" s="108" t="inlineStr">
        <is>
          <t>Rejected rows, mismatched totals, duplicates, unknown Areas/Zones/Cells and missing weeks. Fix the source file and drop it in the inbox again; a re-sent file replaces the old rows.</t>
        </is>
      </c>
      <c r="C2" s="25" t="n"/>
      <c r="D2" s="25" t="n"/>
      <c r="E2" s="25" t="n"/>
      <c r="F2" s="25" t="n"/>
      <c r="G2" s="25" t="n"/>
      <c r="H2" s="25" t="n"/>
      <c r="I2" s="25" t="n"/>
      <c r="J2" s="25" t="n"/>
      <c r="K2" s="25" t="n"/>
    </row>
    <row r="4" ht="22" customHeight="1">
      <c r="B4" s="109" t="inlineStr">
        <is>
          <t>Issues by type</t>
        </is>
      </c>
      <c r="C4" s="110" t="n"/>
      <c r="D4" s="110" t="n"/>
      <c r="E4" s="110" t="n"/>
      <c r="F4" s="110" t="n"/>
      <c r="G4" s="110" t="n"/>
      <c r="H4" s="110" t="n"/>
      <c r="I4" s="110" t="n"/>
    </row>
    <row r="5">
      <c r="B5" s="111" t="inlineStr">
        <is>
          <t>Stream</t>
        </is>
      </c>
      <c r="C5" s="111" t="inlineStr">
        <is>
          <t>Severity</t>
        </is>
      </c>
      <c r="D5" s="111" t="inlineStr">
        <is>
          <t>Issue</t>
        </is>
      </c>
      <c r="E5" s="111" t="inlineStr">
        <is>
          <t>Rows</t>
        </is>
      </c>
    </row>
    <row r="6">
      <c r="B6" s="87" t="inlineStr">
        <is>
          <t>–</t>
        </is>
      </c>
      <c r="C6" s="112" t="inlineStr">
        <is>
          <t>–</t>
        </is>
      </c>
      <c r="D6" s="87" t="inlineStr">
        <is>
          <t>No issues logged</t>
        </is>
      </c>
      <c r="E6" s="113" t="n">
        <v>0</v>
      </c>
    </row>
    <row r="8" ht="22" customHeight="1">
      <c r="B8" s="109" t="inlineStr">
        <is>
          <t>Stream coverage</t>
        </is>
      </c>
      <c r="C8" s="110" t="n"/>
      <c r="D8" s="110" t="n"/>
      <c r="E8" s="110" t="n"/>
      <c r="F8" s="110" t="n"/>
      <c r="G8" s="110" t="n"/>
      <c r="H8" s="110" t="n"/>
      <c r="I8" s="110" t="n"/>
    </row>
    <row r="9">
      <c r="B9" s="111" t="inlineStr">
        <is>
          <t>Stream</t>
        </is>
      </c>
      <c r="C9" s="111" t="inlineStr">
        <is>
          <t>First week</t>
        </is>
      </c>
      <c r="D9" s="111" t="inlineStr">
        <is>
          <t>Latest week</t>
        </is>
      </c>
      <c r="E9" s="111" t="inlineStr">
        <is>
          <t>Weeks loaded</t>
        </is>
      </c>
      <c r="F9" s="111" t="inlineStr">
        <is>
          <t>Rows in workbook</t>
        </is>
      </c>
    </row>
    <row r="10">
      <c r="B10" s="87" t="inlineStr">
        <is>
          <t>WSF</t>
        </is>
      </c>
      <c r="C10" s="93" t="n"/>
      <c r="D10" s="93" t="n"/>
      <c r="E10" s="113" t="n">
        <v>0</v>
      </c>
      <c r="F10" s="113" t="n">
        <v>0</v>
      </c>
    </row>
    <row r="11">
      <c r="B11" s="87" t="inlineStr">
        <is>
          <t>MIDWEEK</t>
        </is>
      </c>
      <c r="C11" s="93" t="n"/>
      <c r="D11" s="93" t="n"/>
      <c r="E11" s="113" t="n">
        <v>0</v>
      </c>
      <c r="F11" s="113" t="n">
        <v>0</v>
      </c>
    </row>
    <row r="12">
      <c r="B12" s="87" t="inlineStr">
        <is>
          <t>CHOP</t>
        </is>
      </c>
      <c r="C12" s="93" t="n"/>
      <c r="D12" s="93" t="n"/>
      <c r="E12" s="113" t="n">
        <v>0</v>
      </c>
      <c r="F12" s="113" t="n">
        <v>0</v>
      </c>
    </row>
    <row r="13">
      <c r="B13" s="87" t="inlineStr">
        <is>
          <t>COMMUNITY</t>
        </is>
      </c>
      <c r="C13" s="93" t="n"/>
      <c r="D13" s="93" t="n"/>
      <c r="E13" s="113" t="n">
        <v>0</v>
      </c>
      <c r="F13" s="113" t="n">
        <v>0</v>
      </c>
    </row>
    <row r="14">
      <c r="B14" s="87" t="inlineStr">
        <is>
          <t>TRANSPORT_OPS</t>
        </is>
      </c>
      <c r="C14" s="93" t="n"/>
      <c r="D14" s="93" t="n"/>
      <c r="E14" s="113" t="n">
        <v>0</v>
      </c>
      <c r="F14" s="113" t="n">
        <v>0</v>
      </c>
    </row>
    <row r="15">
      <c r="B15" s="87" t="inlineStr">
        <is>
          <t>TRANSPORT_FINANCE</t>
        </is>
      </c>
      <c r="C15" s="93" t="n"/>
      <c r="D15" s="93" t="n"/>
      <c r="E15" s="113" t="n">
        <v>0</v>
      </c>
      <c r="F15" s="113" t="n">
        <v>0</v>
      </c>
    </row>
    <row r="17" ht="22" customHeight="1">
      <c r="B17" s="109" t="inlineStr">
        <is>
          <t>Missing weeks (no rows at all between a stream's first and latest week)</t>
        </is>
      </c>
      <c r="C17" s="110" t="n"/>
      <c r="D17" s="110" t="n"/>
      <c r="E17" s="110" t="n"/>
      <c r="F17" s="110" t="n"/>
      <c r="G17" s="110" t="n"/>
      <c r="H17" s="110" t="n"/>
      <c r="I17" s="110" t="n"/>
    </row>
    <row r="18">
      <c r="B18" s="111" t="inlineStr">
        <is>
          <t>Stream</t>
        </is>
      </c>
      <c r="C18" s="111" t="inlineStr">
        <is>
          <t>Week ending</t>
        </is>
      </c>
    </row>
    <row r="19">
      <c r="B19" s="114" t="inlineStr">
        <is>
          <t>None — every stream has data for every week in its range.</t>
        </is>
      </c>
    </row>
    <row r="22" ht="22" customHeight="1">
      <c r="B22" s="109" t="inlineStr">
        <is>
          <t>Issue log (newest first)</t>
        </is>
      </c>
      <c r="C22" s="110" t="n"/>
      <c r="D22" s="110" t="n"/>
      <c r="E22" s="110" t="n"/>
      <c r="F22" s="110" t="n"/>
      <c r="G22" s="110" t="n"/>
      <c r="H22" s="110" t="n"/>
      <c r="I22" s="110" t="n"/>
    </row>
    <row r="23">
      <c r="B23" s="111" t="inlineStr">
        <is>
          <t>Stream</t>
        </is>
      </c>
      <c r="C23" s="111" t="inlineStr">
        <is>
          <t>Severity</t>
        </is>
      </c>
      <c r="D23" s="111" t="inlineStr">
        <is>
          <t>Issue</t>
        </is>
      </c>
      <c r="E23" s="111" t="inlineStr">
        <is>
          <t>Source file</t>
        </is>
      </c>
      <c r="F23" s="111" t="inlineStr">
        <is>
          <t>Row</t>
        </is>
      </c>
      <c r="G23" s="111" t="inlineStr">
        <is>
          <t>Week ending</t>
        </is>
      </c>
      <c r="H23" s="111" t="inlineStr">
        <is>
          <t>Detail</t>
        </is>
      </c>
      <c r="I23" s="111" t="inlineStr">
        <is>
          <t>Logged on</t>
        </is>
      </c>
    </row>
    <row r="24">
      <c r="B24" s="114" t="inlineStr">
        <is>
          <t>No issues logged.</t>
        </is>
      </c>
    </row>
  </sheetData>
  <hyperlinks>
    <hyperlink xmlns:r="http://schemas.openxmlformats.org/officeDocument/2006/relationships" ref="I1" r:id="rId1"/>
  </hyperlinks>
  <printOptions horizontalCentered="1"/>
  <pageMargins left="0.3" right="0.3" top="0.4" bottom="0.4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6D97C6"/>
    <outlinePr summaryBelow="1" summaryRight="1"/>
    <pageSetUpPr/>
  </sheetPr>
  <dimension ref="A1:N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4" customWidth="1" min="4" max="4"/>
    <col width="11" customWidth="1" min="5" max="5"/>
    <col width="13" customWidth="1" min="6" max="6"/>
    <col width="16" customWidth="1" min="7" max="7"/>
    <col width="9" customWidth="1" min="8" max="8"/>
    <col width="9" customWidth="1" min="9" max="9"/>
    <col width="11" customWidth="1" min="10" max="10"/>
    <col width="9" customWidth="1" min="11" max="11"/>
    <col width="11" customWidth="1" min="12" max="12"/>
    <col width="34" customWidth="1" min="13" max="13"/>
    <col width="17" customWidth="1" min="14" max="14"/>
  </cols>
  <sheetData>
    <row r="1">
      <c r="A1" s="115" t="inlineStr">
        <is>
          <t>Week_Ending</t>
        </is>
      </c>
      <c r="B1" s="115" t="inlineStr">
        <is>
          <t>Report_Date</t>
        </is>
      </c>
      <c r="C1" s="115" t="inlineStr">
        <is>
          <t>Area</t>
        </is>
      </c>
      <c r="D1" s="115" t="inlineStr">
        <is>
          <t>Zone</t>
        </is>
      </c>
      <c r="E1" s="115" t="inlineStr">
        <is>
          <t>Cells_Total</t>
        </is>
      </c>
      <c r="F1" s="115" t="inlineStr">
        <is>
          <t>Cells_Reported</t>
        </is>
      </c>
      <c r="G1" s="115" t="inlineStr">
        <is>
          <t>Cells_Not_Reported</t>
        </is>
      </c>
      <c r="H1" s="115" t="inlineStr">
        <is>
          <t>Male</t>
        </is>
      </c>
      <c r="I1" s="115" t="inlineStr">
        <is>
          <t>Female</t>
        </is>
      </c>
      <c r="J1" s="115" t="inlineStr">
        <is>
          <t>Adult_Total</t>
        </is>
      </c>
      <c r="K1" s="115" t="inlineStr">
        <is>
          <t>Children</t>
        </is>
      </c>
      <c r="L1" s="115" t="inlineStr">
        <is>
          <t>Grand_Total</t>
        </is>
      </c>
      <c r="M1" s="115" t="inlineStr">
        <is>
          <t>Source_File</t>
        </is>
      </c>
      <c r="N1" s="115" t="inlineStr">
        <is>
          <t>Loaded_On</t>
        </is>
      </c>
    </row>
    <row r="2">
      <c r="A2" s="116">
        <f>IF(B2="","",B2+MOD(WeekEndDay-WEEKDAY(B2,2),7))</f>
        <v/>
      </c>
      <c r="B2" s="116" t="n"/>
      <c r="E2" s="117" t="n"/>
      <c r="F2" s="117" t="n"/>
      <c r="G2" s="117">
        <f>IF(E2="","",E2-F2)</f>
        <v/>
      </c>
      <c r="H2" s="117" t="n"/>
      <c r="I2" s="117" t="n"/>
      <c r="J2" s="117">
        <f>IF(H2="","",H2+I2)</f>
        <v/>
      </c>
      <c r="K2" s="117" t="n"/>
      <c r="L2" s="117">
        <f>IF(H2="","",J2+K2)</f>
        <v/>
      </c>
      <c r="N2" s="11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6D97C6"/>
    <outlinePr summaryBelow="1" summaryRight="1"/>
    <pageSetUpPr/>
  </sheetPr>
  <dimension ref="A1:N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4" customWidth="1" min="4" max="4"/>
    <col width="15" customWidth="1" min="5" max="5"/>
    <col width="9" customWidth="1" min="6" max="6"/>
    <col width="8" customWidth="1" min="7" max="7"/>
    <col width="8" customWidth="1" min="8" max="8"/>
    <col width="11" customWidth="1" min="9" max="9"/>
    <col width="9" customWidth="1" min="10" max="10"/>
    <col width="11" customWidth="1" min="11" max="11"/>
    <col width="34" customWidth="1" min="12" max="12"/>
    <col width="17" customWidth="1" min="13" max="13"/>
    <col width="10" customWidth="1" min="14" max="14"/>
  </cols>
  <sheetData>
    <row r="1">
      <c r="A1" s="115" t="inlineStr">
        <is>
          <t>Week_Ending</t>
        </is>
      </c>
      <c r="B1" s="115" t="inlineStr">
        <is>
          <t>Report_Date</t>
        </is>
      </c>
      <c r="C1" s="115" t="inlineStr">
        <is>
          <t>Area</t>
        </is>
      </c>
      <c r="D1" s="115" t="inlineStr">
        <is>
          <t>Zone</t>
        </is>
      </c>
      <c r="E1" s="115" t="inlineStr">
        <is>
          <t>Cell</t>
        </is>
      </c>
      <c r="F1" s="115" t="inlineStr">
        <is>
          <t>Reported</t>
        </is>
      </c>
      <c r="G1" s="115" t="inlineStr">
        <is>
          <t>Male</t>
        </is>
      </c>
      <c r="H1" s="115" t="inlineStr">
        <is>
          <t>Female</t>
        </is>
      </c>
      <c r="I1" s="115" t="inlineStr">
        <is>
          <t>Adult_Total</t>
        </is>
      </c>
      <c r="J1" s="115" t="inlineStr">
        <is>
          <t>Children</t>
        </is>
      </c>
      <c r="K1" s="115" t="inlineStr">
        <is>
          <t>Grand_Total</t>
        </is>
      </c>
      <c r="L1" s="115" t="inlineStr">
        <is>
          <t>Source_File</t>
        </is>
      </c>
      <c r="M1" s="115" t="inlineStr">
        <is>
          <t>Loaded_On</t>
        </is>
      </c>
      <c r="N1" s="115" t="inlineStr">
        <is>
          <t>List_Helper</t>
        </is>
      </c>
    </row>
    <row r="2">
      <c r="A2" s="116">
        <f>IF(B2="","",B2+MOD(WeekEndDay-WEEKDAY(B2,2),7))</f>
        <v/>
      </c>
      <c r="B2" s="116" t="n"/>
      <c r="G2" s="117" t="n"/>
      <c r="H2" s="117" t="n"/>
      <c r="I2" s="117">
        <f>IF(G2="","",G2+H2)</f>
        <v/>
      </c>
      <c r="J2" s="117" t="n"/>
      <c r="K2" s="117">
        <f>IF(G2="","",I2+J2)</f>
        <v/>
      </c>
      <c r="M2" s="118" t="n"/>
      <c r="N2">
        <f>IF(AND(F2="N",A2=CALC_WSF!$B$10,OR(CALC_WSF!$B$6="*",C2=CALC_WSF!$B$6),OR(CALC_WSF!$B$7="*",D2=CALC_WSF!$B$7)),ROW(),"")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63A9A4"/>
    <outlinePr summaryBelow="1" summaryRight="1"/>
    <pageSetUpPr/>
  </sheetPr>
  <dimension ref="A1:K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4" customWidth="1" min="4" max="4"/>
    <col width="9" customWidth="1" min="5" max="5"/>
    <col width="9" customWidth="1" min="6" max="6"/>
    <col width="11" customWidth="1" min="7" max="7"/>
    <col width="9" customWidth="1" min="8" max="8"/>
    <col width="11" customWidth="1" min="9" max="9"/>
    <col width="34" customWidth="1" min="10" max="10"/>
    <col width="17" customWidth="1" min="11" max="11"/>
  </cols>
  <sheetData>
    <row r="1">
      <c r="A1" s="119" t="inlineStr">
        <is>
          <t>Week_Ending</t>
        </is>
      </c>
      <c r="B1" s="119" t="inlineStr">
        <is>
          <t>Report_Date</t>
        </is>
      </c>
      <c r="C1" s="119" t="inlineStr">
        <is>
          <t>Area</t>
        </is>
      </c>
      <c r="D1" s="119" t="inlineStr">
        <is>
          <t>Zone</t>
        </is>
      </c>
      <c r="E1" s="119" t="inlineStr">
        <is>
          <t>Male</t>
        </is>
      </c>
      <c r="F1" s="119" t="inlineStr">
        <is>
          <t>Female</t>
        </is>
      </c>
      <c r="G1" s="119" t="inlineStr">
        <is>
          <t>Adult_Total</t>
        </is>
      </c>
      <c r="H1" s="119" t="inlineStr">
        <is>
          <t>Children</t>
        </is>
      </c>
      <c r="I1" s="119" t="inlineStr">
        <is>
          <t>Grand_Total</t>
        </is>
      </c>
      <c r="J1" s="119" t="inlineStr">
        <is>
          <t>Source_File</t>
        </is>
      </c>
      <c r="K1" s="119" t="inlineStr">
        <is>
          <t>Loaded_On</t>
        </is>
      </c>
    </row>
    <row r="2">
      <c r="A2" s="116">
        <f>IF(B2="","",B2+MOD(WeekEndDay-WEEKDAY(B2,2),7))</f>
        <v/>
      </c>
      <c r="B2" s="116" t="n"/>
      <c r="E2" s="117" t="n"/>
      <c r="F2" s="117" t="n"/>
      <c r="G2" s="117">
        <f>IF(E2="","",E2+F2)</f>
        <v/>
      </c>
      <c r="H2" s="117" t="n"/>
      <c r="I2" s="117">
        <f>IF(E2="","",G2+H2)</f>
        <v/>
      </c>
      <c r="K2" s="11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9E82C1"/>
    <outlinePr summaryBelow="1" summaryRight="1"/>
    <pageSetUpPr/>
  </sheetPr>
  <dimension ref="A1:K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4" customWidth="1" min="4" max="4"/>
    <col width="9" customWidth="1" min="5" max="5"/>
    <col width="9" customWidth="1" min="6" max="6"/>
    <col width="11" customWidth="1" min="7" max="7"/>
    <col width="9" customWidth="1" min="8" max="8"/>
    <col width="11" customWidth="1" min="9" max="9"/>
    <col width="34" customWidth="1" min="10" max="10"/>
    <col width="17" customWidth="1" min="11" max="11"/>
  </cols>
  <sheetData>
    <row r="1">
      <c r="A1" s="120" t="inlineStr">
        <is>
          <t>Week_Ending</t>
        </is>
      </c>
      <c r="B1" s="120" t="inlineStr">
        <is>
          <t>Report_Date</t>
        </is>
      </c>
      <c r="C1" s="120" t="inlineStr">
        <is>
          <t>Area</t>
        </is>
      </c>
      <c r="D1" s="120" t="inlineStr">
        <is>
          <t>Zone</t>
        </is>
      </c>
      <c r="E1" s="120" t="inlineStr">
        <is>
          <t>Male</t>
        </is>
      </c>
      <c r="F1" s="120" t="inlineStr">
        <is>
          <t>Female</t>
        </is>
      </c>
      <c r="G1" s="120" t="inlineStr">
        <is>
          <t>Adult_Total</t>
        </is>
      </c>
      <c r="H1" s="120" t="inlineStr">
        <is>
          <t>Children</t>
        </is>
      </c>
      <c r="I1" s="120" t="inlineStr">
        <is>
          <t>Grand_Total</t>
        </is>
      </c>
      <c r="J1" s="120" t="inlineStr">
        <is>
          <t>Source_File</t>
        </is>
      </c>
      <c r="K1" s="120" t="inlineStr">
        <is>
          <t>Loaded_On</t>
        </is>
      </c>
    </row>
    <row r="2">
      <c r="A2" s="116">
        <f>IF(B2="","",B2+MOD(WeekEndDay-WEEKDAY(B2,2),7))</f>
        <v/>
      </c>
      <c r="B2" s="116" t="n"/>
      <c r="E2" s="117" t="n"/>
      <c r="F2" s="117" t="n"/>
      <c r="G2" s="117">
        <f>IF(E2="","",E2+F2)</f>
        <v/>
      </c>
      <c r="H2" s="117" t="n"/>
      <c r="I2" s="117">
        <f>IF(E2="","",G2+H2)</f>
        <v/>
      </c>
      <c r="K2" s="11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CE85A0"/>
    <outlinePr summaryBelow="1" summaryRight="1"/>
    <pageSetUpPr/>
  </sheetPr>
  <dimension ref="A1:K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0" customWidth="1" min="3" max="3"/>
    <col width="12" customWidth="1" min="4" max="4"/>
    <col width="9" customWidth="1" min="5" max="5"/>
    <col width="9" customWidth="1" min="6" max="6"/>
    <col width="11" customWidth="1" min="7" max="7"/>
    <col width="9" customWidth="1" min="8" max="8"/>
    <col width="11" customWidth="1" min="9" max="9"/>
    <col width="34" customWidth="1" min="10" max="10"/>
    <col width="17" customWidth="1" min="11" max="11"/>
  </cols>
  <sheetData>
    <row r="1">
      <c r="A1" s="121" t="inlineStr">
        <is>
          <t>Week_Ending</t>
        </is>
      </c>
      <c r="B1" s="121" t="inlineStr">
        <is>
          <t>Report_Date</t>
        </is>
      </c>
      <c r="C1" s="121" t="inlineStr">
        <is>
          <t>Church</t>
        </is>
      </c>
      <c r="D1" s="121" t="inlineStr">
        <is>
          <t>Service_Type</t>
        </is>
      </c>
      <c r="E1" s="121" t="inlineStr">
        <is>
          <t>Male</t>
        </is>
      </c>
      <c r="F1" s="121" t="inlineStr">
        <is>
          <t>Female</t>
        </is>
      </c>
      <c r="G1" s="121" t="inlineStr">
        <is>
          <t>Adult_Total</t>
        </is>
      </c>
      <c r="H1" s="121" t="inlineStr">
        <is>
          <t>Children</t>
        </is>
      </c>
      <c r="I1" s="121" t="inlineStr">
        <is>
          <t>Grand_Total</t>
        </is>
      </c>
      <c r="J1" s="121" t="inlineStr">
        <is>
          <t>Source_File</t>
        </is>
      </c>
      <c r="K1" s="121" t="inlineStr">
        <is>
          <t>Loaded_On</t>
        </is>
      </c>
    </row>
    <row r="2">
      <c r="A2" s="116">
        <f>IF(B2="","",B2+MOD(WeekEndDay-WEEKDAY(B2,2),7))</f>
        <v/>
      </c>
      <c r="B2" s="116" t="n"/>
      <c r="E2" s="117" t="n"/>
      <c r="F2" s="117" t="n"/>
      <c r="G2" s="117">
        <f>IF(E2="","",E2+F2)</f>
        <v/>
      </c>
      <c r="H2" s="117" t="n"/>
      <c r="I2" s="117">
        <f>IF(E2="","",G2+H2)</f>
        <v/>
      </c>
      <c r="K2" s="11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E6A46A"/>
    <outlinePr summaryBelow="1" summaryRight="1"/>
    <pageSetUpPr/>
  </sheetPr>
  <dimension ref="A1:N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1" customWidth="1" min="4" max="4"/>
    <col width="18" customWidth="1" min="5" max="5"/>
    <col width="24" customWidth="1" min="6" max="6"/>
    <col width="13" customWidth="1" min="7" max="7"/>
    <col width="8" customWidth="1" min="8" max="8"/>
    <col width="10" customWidth="1" min="9" max="9"/>
    <col width="11" customWidth="1" min="10" max="10"/>
    <col width="9" customWidth="1" min="11" max="11"/>
    <col width="12" customWidth="1" min="12" max="12"/>
    <col width="34" customWidth="1" min="13" max="13"/>
    <col width="17" customWidth="1" min="14" max="14"/>
  </cols>
  <sheetData>
    <row r="1">
      <c r="A1" s="122" t="inlineStr">
        <is>
          <t>Week_Ending</t>
        </is>
      </c>
      <c r="B1" s="122" t="inlineStr">
        <is>
          <t>Report_Date</t>
        </is>
      </c>
      <c r="C1" s="122" t="inlineStr">
        <is>
          <t>Category</t>
        </is>
      </c>
      <c r="D1" s="122" t="inlineStr">
        <is>
          <t>Vehicle_ID</t>
        </is>
      </c>
      <c r="E1" s="122" t="inlineStr">
        <is>
          <t>Area</t>
        </is>
      </c>
      <c r="F1" s="122" t="inlineStr">
        <is>
          <t>Zone</t>
        </is>
      </c>
      <c r="G1" s="122" t="inlineStr">
        <is>
          <t>Hired_By_Type</t>
        </is>
      </c>
      <c r="H1" s="122" t="inlineStr">
        <is>
          <t>Trips</t>
        </is>
      </c>
      <c r="I1" s="122" t="inlineStr">
        <is>
          <t>Ridership</t>
        </is>
      </c>
      <c r="J1" s="122" t="inlineStr">
        <is>
          <t>Operational</t>
        </is>
      </c>
      <c r="K1" s="122" t="inlineStr">
        <is>
          <t>Capacity</t>
        </is>
      </c>
      <c r="L1" s="122" t="inlineStr">
        <is>
          <t>Seats_Offered</t>
        </is>
      </c>
      <c r="M1" s="122" t="inlineStr">
        <is>
          <t>Source_File</t>
        </is>
      </c>
      <c r="N1" s="122" t="inlineStr">
        <is>
          <t>Loaded_On</t>
        </is>
      </c>
    </row>
    <row r="2">
      <c r="A2" s="116">
        <f>IF(B2="","",B2+MOD(WeekEndDay-WEEKDAY(B2,2),7))</f>
        <v/>
      </c>
      <c r="B2" s="116" t="n"/>
      <c r="H2" s="117" t="n"/>
      <c r="I2" s="117" t="n"/>
      <c r="K2" s="117">
        <f>IF(D2="","",IFERROR(INDEX(MASTER_FLEET!$C:$C,MATCH(D2,MASTER_FLEET!$A:$A,0)),0))</f>
        <v/>
      </c>
      <c r="L2" s="117">
        <f>IF(D2="","",IF(J2="Y",K2*H2,0))</f>
        <v/>
      </c>
      <c r="N2" s="11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E6A46A"/>
    <outlinePr summaryBelow="1" summaryRight="1"/>
    <pageSetUpPr/>
  </sheetPr>
  <dimension ref="A1:J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8" customWidth="1" min="4" max="4"/>
    <col width="24" customWidth="1" min="5" max="5"/>
    <col width="16" customWidth="1" min="6" max="6"/>
    <col width="13" customWidth="1" min="7" max="7"/>
    <col width="11" customWidth="1" min="8" max="8"/>
    <col width="34" customWidth="1" min="9" max="9"/>
    <col width="17" customWidth="1" min="10" max="10"/>
  </cols>
  <sheetData>
    <row r="1">
      <c r="A1" s="122" t="inlineStr">
        <is>
          <t>Week_Ending</t>
        </is>
      </c>
      <c r="B1" s="122" t="inlineStr">
        <is>
          <t>Report_Date</t>
        </is>
      </c>
      <c r="C1" s="122" t="inlineStr">
        <is>
          <t>Category</t>
        </is>
      </c>
      <c r="D1" s="122" t="inlineStr">
        <is>
          <t>Area</t>
        </is>
      </c>
      <c r="E1" s="122" t="inlineStr">
        <is>
          <t>Zone</t>
        </is>
      </c>
      <c r="F1" s="122" t="inlineStr">
        <is>
          <t>Cost_Type</t>
        </is>
      </c>
      <c r="G1" s="122" t="inlineStr">
        <is>
          <t>Amount</t>
        </is>
      </c>
      <c r="H1" s="122" t="inlineStr">
        <is>
          <t>Paid_By</t>
        </is>
      </c>
      <c r="I1" s="122" t="inlineStr">
        <is>
          <t>Source_File</t>
        </is>
      </c>
      <c r="J1" s="122" t="inlineStr">
        <is>
          <t>Loaded_On</t>
        </is>
      </c>
    </row>
    <row r="2">
      <c r="A2" s="116">
        <f>IF(B2="","",B2+MOD(WeekEndDay-WEEKDAY(B2,2),7))</f>
        <v/>
      </c>
      <c r="B2" s="116" t="n"/>
      <c r="G2" s="123" t="n"/>
      <c r="J2" s="11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ADB3B7"/>
    <outlinePr summaryBelow="1" summaryRight="1"/>
    <pageSetUpPr/>
  </sheetPr>
  <dimension ref="A1:C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</cols>
  <sheetData>
    <row r="1">
      <c r="A1" s="124" t="inlineStr">
        <is>
          <t>Area_ID</t>
        </is>
      </c>
      <c r="B1" s="124" t="inlineStr">
        <is>
          <t>Area_Name</t>
        </is>
      </c>
      <c r="C1" s="124" t="inlineStr">
        <is>
          <t>Active</t>
        </is>
      </c>
    </row>
    <row r="2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ADB3B7"/>
    <outlinePr summaryBelow="1" summaryRight="1"/>
    <pageSetUpPr/>
  </sheetPr>
  <dimension ref="A1:E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10" customWidth="1" min="4" max="4"/>
    <col width="8" customWidth="1" min="5" max="5"/>
  </cols>
  <sheetData>
    <row r="1">
      <c r="A1" s="124" t="inlineStr">
        <is>
          <t>Zone_ID</t>
        </is>
      </c>
      <c r="B1" s="124" t="inlineStr">
        <is>
          <t>Zone_Name</t>
        </is>
      </c>
      <c r="C1" s="124" t="inlineStr">
        <is>
          <t>Area_Name</t>
        </is>
      </c>
      <c r="D1" s="124" t="inlineStr">
        <is>
          <t>Has_CHOP</t>
        </is>
      </c>
      <c r="E1" s="124" t="inlineStr">
        <is>
          <t>Active</t>
        </is>
      </c>
    </row>
    <row r="2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ADB3B7"/>
    <outlinePr summaryBelow="1" summaryRight="1"/>
    <pageSetUpPr/>
  </sheetPr>
  <dimension ref="A1:D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  <col width="12" customWidth="1" min="4" max="4"/>
  </cols>
  <sheetData>
    <row r="1">
      <c r="A1" s="124" t="inlineStr">
        <is>
          <t>Cell</t>
        </is>
      </c>
      <c r="B1" s="124" t="inlineStr">
        <is>
          <t>Zone_Name</t>
        </is>
      </c>
      <c r="C1" s="124" t="inlineStr">
        <is>
          <t>Area_Name</t>
        </is>
      </c>
      <c r="D1" s="124" t="inlineStr">
        <is>
          <t>Operational</t>
        </is>
      </c>
    </row>
    <row r="2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ADB3B7"/>
    <outlinePr summaryBelow="1" summaryRight="1"/>
    <pageSetUpPr/>
  </sheetPr>
  <dimension ref="A1:D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8" customWidth="1" min="3" max="3"/>
    <col width="8" customWidth="1" min="4" max="4"/>
  </cols>
  <sheetData>
    <row r="1">
      <c r="A1" s="124" t="inlineStr">
        <is>
          <t>Church_ID</t>
        </is>
      </c>
      <c r="B1" s="124" t="inlineStr">
        <is>
          <t>Church_Name</t>
        </is>
      </c>
      <c r="C1" s="124" t="inlineStr">
        <is>
          <t>Location</t>
        </is>
      </c>
      <c r="D1" s="124" t="inlineStr">
        <is>
          <t>Active</t>
        </is>
      </c>
    </row>
    <row r="2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ADB3B7"/>
    <outlinePr summaryBelow="1" summaryRight="1"/>
    <pageSetUpPr/>
  </sheetPr>
  <dimension ref="A1:H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10" customWidth="1" min="4" max="4"/>
    <col width="10" customWidth="1" min="5" max="5"/>
    <col width="20" customWidth="1" min="6" max="6"/>
    <col width="24" customWidth="1" min="7" max="7"/>
    <col width="14" customWidth="1" min="8" max="8"/>
  </cols>
  <sheetData>
    <row r="1">
      <c r="A1" s="124" t="inlineStr">
        <is>
          <t>Vehicle_ID</t>
        </is>
      </c>
      <c r="B1" s="124" t="inlineStr">
        <is>
          <t>Category</t>
        </is>
      </c>
      <c r="C1" s="124" t="inlineStr">
        <is>
          <t>Capacity</t>
        </is>
      </c>
      <c r="D1" s="124" t="inlineStr">
        <is>
          <t>Owner</t>
        </is>
      </c>
      <c r="E1" s="124" t="inlineStr">
        <is>
          <t>Status</t>
        </is>
      </c>
      <c r="F1" s="124" t="inlineStr">
        <is>
          <t>Area_Name</t>
        </is>
      </c>
      <c r="G1" s="124" t="inlineStr">
        <is>
          <t>Zone_Name</t>
        </is>
      </c>
      <c r="H1" s="124" t="inlineStr">
        <is>
          <t>Hired_By_Type</t>
        </is>
      </c>
    </row>
    <row r="2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372"/>
  <sheetViews>
    <sheetView tabSelected="0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7" customWidth="1" min="3" max="3"/>
    <col width="11" customWidth="1" min="4" max="4"/>
    <col width="8" customWidth="1" min="5" max="5"/>
    <col width="7" customWidth="1" min="6" max="6"/>
    <col width="11" customWidth="1" min="7" max="7"/>
  </cols>
  <sheetData>
    <row r="1">
      <c r="A1" t="inlineStr">
        <is>
          <t>Week_Ending</t>
        </is>
      </c>
      <c r="B1" t="inlineStr">
        <is>
          <t>Week_No</t>
        </is>
      </c>
      <c r="C1" t="inlineStr">
        <is>
          <t>Month</t>
        </is>
      </c>
      <c r="D1" t="inlineStr">
        <is>
          <t>Month_Name</t>
        </is>
      </c>
      <c r="E1" t="inlineStr">
        <is>
          <t>Quarter</t>
        </is>
      </c>
      <c r="F1" t="inlineStr">
        <is>
          <t>Year</t>
        </is>
      </c>
      <c r="G1" t="inlineStr">
        <is>
          <t>Year_Month</t>
        </is>
      </c>
    </row>
    <row r="2">
      <c r="A2" s="116">
        <f>DATE(2024,1,1)+MOD(WeekEndDay-WEEKDAY(DATE(2024,1,1),2),7)</f>
        <v/>
      </c>
      <c r="B2">
        <f>INT((A2-DATE(YEAR(A2),1,1))/7)+1</f>
        <v/>
      </c>
      <c r="C2">
        <f>MONTH(A2)</f>
        <v/>
      </c>
      <c r="D2">
        <f>TEXT(A2,"mmm")</f>
        <v/>
      </c>
      <c r="E2">
        <f>ROUNDUP(C2/3,0)</f>
        <v/>
      </c>
      <c r="F2">
        <f>YEAR(A2)</f>
        <v/>
      </c>
      <c r="G2">
        <f>F2&amp;"-"&amp;TEXT(C2,"00")</f>
        <v/>
      </c>
    </row>
    <row r="3">
      <c r="A3" s="116">
        <f>A2+7</f>
        <v/>
      </c>
      <c r="B3">
        <f>INT((A3-DATE(YEAR(A3),1,1))/7)+1</f>
        <v/>
      </c>
      <c r="C3">
        <f>MONTH(A3)</f>
        <v/>
      </c>
      <c r="D3">
        <f>TEXT(A3,"mmm")</f>
        <v/>
      </c>
      <c r="E3">
        <f>ROUNDUP(C3/3,0)</f>
        <v/>
      </c>
      <c r="F3">
        <f>YEAR(A3)</f>
        <v/>
      </c>
      <c r="G3">
        <f>F3&amp;"-"&amp;TEXT(C3,"00")</f>
        <v/>
      </c>
    </row>
    <row r="4">
      <c r="A4" s="116">
        <f>A3+7</f>
        <v/>
      </c>
      <c r="B4">
        <f>INT((A4-DATE(YEAR(A4),1,1))/7)+1</f>
        <v/>
      </c>
      <c r="C4">
        <f>MONTH(A4)</f>
        <v/>
      </c>
      <c r="D4">
        <f>TEXT(A4,"mmm")</f>
        <v/>
      </c>
      <c r="E4">
        <f>ROUNDUP(C4/3,0)</f>
        <v/>
      </c>
      <c r="F4">
        <f>YEAR(A4)</f>
        <v/>
      </c>
      <c r="G4">
        <f>F4&amp;"-"&amp;TEXT(C4,"00")</f>
        <v/>
      </c>
    </row>
    <row r="5">
      <c r="A5" s="116">
        <f>A4+7</f>
        <v/>
      </c>
      <c r="B5">
        <f>INT((A5-DATE(YEAR(A5),1,1))/7)+1</f>
        <v/>
      </c>
      <c r="C5">
        <f>MONTH(A5)</f>
        <v/>
      </c>
      <c r="D5">
        <f>TEXT(A5,"mmm")</f>
        <v/>
      </c>
      <c r="E5">
        <f>ROUNDUP(C5/3,0)</f>
        <v/>
      </c>
      <c r="F5">
        <f>YEAR(A5)</f>
        <v/>
      </c>
      <c r="G5">
        <f>F5&amp;"-"&amp;TEXT(C5,"00")</f>
        <v/>
      </c>
    </row>
    <row r="6">
      <c r="A6" s="116">
        <f>A5+7</f>
        <v/>
      </c>
      <c r="B6">
        <f>INT((A6-DATE(YEAR(A6),1,1))/7)+1</f>
        <v/>
      </c>
      <c r="C6">
        <f>MONTH(A6)</f>
        <v/>
      </c>
      <c r="D6">
        <f>TEXT(A6,"mmm")</f>
        <v/>
      </c>
      <c r="E6">
        <f>ROUNDUP(C6/3,0)</f>
        <v/>
      </c>
      <c r="F6">
        <f>YEAR(A6)</f>
        <v/>
      </c>
      <c r="G6">
        <f>F6&amp;"-"&amp;TEXT(C6,"00")</f>
        <v/>
      </c>
    </row>
    <row r="7">
      <c r="A7" s="116">
        <f>A6+7</f>
        <v/>
      </c>
      <c r="B7">
        <f>INT((A7-DATE(YEAR(A7),1,1))/7)+1</f>
        <v/>
      </c>
      <c r="C7">
        <f>MONTH(A7)</f>
        <v/>
      </c>
      <c r="D7">
        <f>TEXT(A7,"mmm")</f>
        <v/>
      </c>
      <c r="E7">
        <f>ROUNDUP(C7/3,0)</f>
        <v/>
      </c>
      <c r="F7">
        <f>YEAR(A7)</f>
        <v/>
      </c>
      <c r="G7">
        <f>F7&amp;"-"&amp;TEXT(C7,"00")</f>
        <v/>
      </c>
    </row>
    <row r="8">
      <c r="A8" s="116">
        <f>A7+7</f>
        <v/>
      </c>
      <c r="B8">
        <f>INT((A8-DATE(YEAR(A8),1,1))/7)+1</f>
        <v/>
      </c>
      <c r="C8">
        <f>MONTH(A8)</f>
        <v/>
      </c>
      <c r="D8">
        <f>TEXT(A8,"mmm")</f>
        <v/>
      </c>
      <c r="E8">
        <f>ROUNDUP(C8/3,0)</f>
        <v/>
      </c>
      <c r="F8">
        <f>YEAR(A8)</f>
        <v/>
      </c>
      <c r="G8">
        <f>F8&amp;"-"&amp;TEXT(C8,"00")</f>
        <v/>
      </c>
    </row>
    <row r="9">
      <c r="A9" s="116">
        <f>A8+7</f>
        <v/>
      </c>
      <c r="B9">
        <f>INT((A9-DATE(YEAR(A9),1,1))/7)+1</f>
        <v/>
      </c>
      <c r="C9">
        <f>MONTH(A9)</f>
        <v/>
      </c>
      <c r="D9">
        <f>TEXT(A9,"mmm")</f>
        <v/>
      </c>
      <c r="E9">
        <f>ROUNDUP(C9/3,0)</f>
        <v/>
      </c>
      <c r="F9">
        <f>YEAR(A9)</f>
        <v/>
      </c>
      <c r="G9">
        <f>F9&amp;"-"&amp;TEXT(C9,"00")</f>
        <v/>
      </c>
    </row>
    <row r="10">
      <c r="A10" s="116">
        <f>A9+7</f>
        <v/>
      </c>
      <c r="B10">
        <f>INT((A10-DATE(YEAR(A10),1,1))/7)+1</f>
        <v/>
      </c>
      <c r="C10">
        <f>MONTH(A10)</f>
        <v/>
      </c>
      <c r="D10">
        <f>TEXT(A10,"mmm")</f>
        <v/>
      </c>
      <c r="E10">
        <f>ROUNDUP(C10/3,0)</f>
        <v/>
      </c>
      <c r="F10">
        <f>YEAR(A10)</f>
        <v/>
      </c>
      <c r="G10">
        <f>F10&amp;"-"&amp;TEXT(C10,"00")</f>
        <v/>
      </c>
    </row>
    <row r="11">
      <c r="A11" s="116">
        <f>A10+7</f>
        <v/>
      </c>
      <c r="B11">
        <f>INT((A11-DATE(YEAR(A11),1,1))/7)+1</f>
        <v/>
      </c>
      <c r="C11">
        <f>MONTH(A11)</f>
        <v/>
      </c>
      <c r="D11">
        <f>TEXT(A11,"mmm")</f>
        <v/>
      </c>
      <c r="E11">
        <f>ROUNDUP(C11/3,0)</f>
        <v/>
      </c>
      <c r="F11">
        <f>YEAR(A11)</f>
        <v/>
      </c>
      <c r="G11">
        <f>F11&amp;"-"&amp;TEXT(C11,"00")</f>
        <v/>
      </c>
    </row>
    <row r="12">
      <c r="A12" s="116">
        <f>A11+7</f>
        <v/>
      </c>
      <c r="B12">
        <f>INT((A12-DATE(YEAR(A12),1,1))/7)+1</f>
        <v/>
      </c>
      <c r="C12">
        <f>MONTH(A12)</f>
        <v/>
      </c>
      <c r="D12">
        <f>TEXT(A12,"mmm")</f>
        <v/>
      </c>
      <c r="E12">
        <f>ROUNDUP(C12/3,0)</f>
        <v/>
      </c>
      <c r="F12">
        <f>YEAR(A12)</f>
        <v/>
      </c>
      <c r="G12">
        <f>F12&amp;"-"&amp;TEXT(C12,"00")</f>
        <v/>
      </c>
    </row>
    <row r="13">
      <c r="A13" s="116">
        <f>A12+7</f>
        <v/>
      </c>
      <c r="B13">
        <f>INT((A13-DATE(YEAR(A13),1,1))/7)+1</f>
        <v/>
      </c>
      <c r="C13">
        <f>MONTH(A13)</f>
        <v/>
      </c>
      <c r="D13">
        <f>TEXT(A13,"mmm")</f>
        <v/>
      </c>
      <c r="E13">
        <f>ROUNDUP(C13/3,0)</f>
        <v/>
      </c>
      <c r="F13">
        <f>YEAR(A13)</f>
        <v/>
      </c>
      <c r="G13">
        <f>F13&amp;"-"&amp;TEXT(C13,"00")</f>
        <v/>
      </c>
    </row>
    <row r="14">
      <c r="A14" s="116">
        <f>A13+7</f>
        <v/>
      </c>
      <c r="B14">
        <f>INT((A14-DATE(YEAR(A14),1,1))/7)+1</f>
        <v/>
      </c>
      <c r="C14">
        <f>MONTH(A14)</f>
        <v/>
      </c>
      <c r="D14">
        <f>TEXT(A14,"mmm")</f>
        <v/>
      </c>
      <c r="E14">
        <f>ROUNDUP(C14/3,0)</f>
        <v/>
      </c>
      <c r="F14">
        <f>YEAR(A14)</f>
        <v/>
      </c>
      <c r="G14">
        <f>F14&amp;"-"&amp;TEXT(C14,"00")</f>
        <v/>
      </c>
    </row>
    <row r="15">
      <c r="A15" s="116">
        <f>A14+7</f>
        <v/>
      </c>
      <c r="B15">
        <f>INT((A15-DATE(YEAR(A15),1,1))/7)+1</f>
        <v/>
      </c>
      <c r="C15">
        <f>MONTH(A15)</f>
        <v/>
      </c>
      <c r="D15">
        <f>TEXT(A15,"mmm")</f>
        <v/>
      </c>
      <c r="E15">
        <f>ROUNDUP(C15/3,0)</f>
        <v/>
      </c>
      <c r="F15">
        <f>YEAR(A15)</f>
        <v/>
      </c>
      <c r="G15">
        <f>F15&amp;"-"&amp;TEXT(C15,"00")</f>
        <v/>
      </c>
    </row>
    <row r="16">
      <c r="A16" s="116">
        <f>A15+7</f>
        <v/>
      </c>
      <c r="B16">
        <f>INT((A16-DATE(YEAR(A16),1,1))/7)+1</f>
        <v/>
      </c>
      <c r="C16">
        <f>MONTH(A16)</f>
        <v/>
      </c>
      <c r="D16">
        <f>TEXT(A16,"mmm")</f>
        <v/>
      </c>
      <c r="E16">
        <f>ROUNDUP(C16/3,0)</f>
        <v/>
      </c>
      <c r="F16">
        <f>YEAR(A16)</f>
        <v/>
      </c>
      <c r="G16">
        <f>F16&amp;"-"&amp;TEXT(C16,"00")</f>
        <v/>
      </c>
    </row>
    <row r="17">
      <c r="A17" s="116">
        <f>A16+7</f>
        <v/>
      </c>
      <c r="B17">
        <f>INT((A17-DATE(YEAR(A17),1,1))/7)+1</f>
        <v/>
      </c>
      <c r="C17">
        <f>MONTH(A17)</f>
        <v/>
      </c>
      <c r="D17">
        <f>TEXT(A17,"mmm")</f>
        <v/>
      </c>
      <c r="E17">
        <f>ROUNDUP(C17/3,0)</f>
        <v/>
      </c>
      <c r="F17">
        <f>YEAR(A17)</f>
        <v/>
      </c>
      <c r="G17">
        <f>F17&amp;"-"&amp;TEXT(C17,"00")</f>
        <v/>
      </c>
    </row>
    <row r="18">
      <c r="A18" s="116">
        <f>A17+7</f>
        <v/>
      </c>
      <c r="B18">
        <f>INT((A18-DATE(YEAR(A18),1,1))/7)+1</f>
        <v/>
      </c>
      <c r="C18">
        <f>MONTH(A18)</f>
        <v/>
      </c>
      <c r="D18">
        <f>TEXT(A18,"mmm")</f>
        <v/>
      </c>
      <c r="E18">
        <f>ROUNDUP(C18/3,0)</f>
        <v/>
      </c>
      <c r="F18">
        <f>YEAR(A18)</f>
        <v/>
      </c>
      <c r="G18">
        <f>F18&amp;"-"&amp;TEXT(C18,"00")</f>
        <v/>
      </c>
    </row>
    <row r="19">
      <c r="A19" s="116">
        <f>A18+7</f>
        <v/>
      </c>
      <c r="B19">
        <f>INT((A19-DATE(YEAR(A19),1,1))/7)+1</f>
        <v/>
      </c>
      <c r="C19">
        <f>MONTH(A19)</f>
        <v/>
      </c>
      <c r="D19">
        <f>TEXT(A19,"mmm")</f>
        <v/>
      </c>
      <c r="E19">
        <f>ROUNDUP(C19/3,0)</f>
        <v/>
      </c>
      <c r="F19">
        <f>YEAR(A19)</f>
        <v/>
      </c>
      <c r="G19">
        <f>F19&amp;"-"&amp;TEXT(C19,"00")</f>
        <v/>
      </c>
    </row>
    <row r="20">
      <c r="A20" s="116">
        <f>A19+7</f>
        <v/>
      </c>
      <c r="B20">
        <f>INT((A20-DATE(YEAR(A20),1,1))/7)+1</f>
        <v/>
      </c>
      <c r="C20">
        <f>MONTH(A20)</f>
        <v/>
      </c>
      <c r="D20">
        <f>TEXT(A20,"mmm")</f>
        <v/>
      </c>
      <c r="E20">
        <f>ROUNDUP(C20/3,0)</f>
        <v/>
      </c>
      <c r="F20">
        <f>YEAR(A20)</f>
        <v/>
      </c>
      <c r="G20">
        <f>F20&amp;"-"&amp;TEXT(C20,"00")</f>
        <v/>
      </c>
    </row>
    <row r="21">
      <c r="A21" s="116">
        <f>A20+7</f>
        <v/>
      </c>
      <c r="B21">
        <f>INT((A21-DATE(YEAR(A21),1,1))/7)+1</f>
        <v/>
      </c>
      <c r="C21">
        <f>MONTH(A21)</f>
        <v/>
      </c>
      <c r="D21">
        <f>TEXT(A21,"mmm")</f>
        <v/>
      </c>
      <c r="E21">
        <f>ROUNDUP(C21/3,0)</f>
        <v/>
      </c>
      <c r="F21">
        <f>YEAR(A21)</f>
        <v/>
      </c>
      <c r="G21">
        <f>F21&amp;"-"&amp;TEXT(C21,"00")</f>
        <v/>
      </c>
    </row>
    <row r="22">
      <c r="A22" s="116">
        <f>A21+7</f>
        <v/>
      </c>
      <c r="B22">
        <f>INT((A22-DATE(YEAR(A22),1,1))/7)+1</f>
        <v/>
      </c>
      <c r="C22">
        <f>MONTH(A22)</f>
        <v/>
      </c>
      <c r="D22">
        <f>TEXT(A22,"mmm")</f>
        <v/>
      </c>
      <c r="E22">
        <f>ROUNDUP(C22/3,0)</f>
        <v/>
      </c>
      <c r="F22">
        <f>YEAR(A22)</f>
        <v/>
      </c>
      <c r="G22">
        <f>F22&amp;"-"&amp;TEXT(C22,"00")</f>
        <v/>
      </c>
    </row>
    <row r="23">
      <c r="A23" s="116">
        <f>A22+7</f>
        <v/>
      </c>
      <c r="B23">
        <f>INT((A23-DATE(YEAR(A23),1,1))/7)+1</f>
        <v/>
      </c>
      <c r="C23">
        <f>MONTH(A23)</f>
        <v/>
      </c>
      <c r="D23">
        <f>TEXT(A23,"mmm")</f>
        <v/>
      </c>
      <c r="E23">
        <f>ROUNDUP(C23/3,0)</f>
        <v/>
      </c>
      <c r="F23">
        <f>YEAR(A23)</f>
        <v/>
      </c>
      <c r="G23">
        <f>F23&amp;"-"&amp;TEXT(C23,"00")</f>
        <v/>
      </c>
    </row>
    <row r="24">
      <c r="A24" s="116">
        <f>A23+7</f>
        <v/>
      </c>
      <c r="B24">
        <f>INT((A24-DATE(YEAR(A24),1,1))/7)+1</f>
        <v/>
      </c>
      <c r="C24">
        <f>MONTH(A24)</f>
        <v/>
      </c>
      <c r="D24">
        <f>TEXT(A24,"mmm")</f>
        <v/>
      </c>
      <c r="E24">
        <f>ROUNDUP(C24/3,0)</f>
        <v/>
      </c>
      <c r="F24">
        <f>YEAR(A24)</f>
        <v/>
      </c>
      <c r="G24">
        <f>F24&amp;"-"&amp;TEXT(C24,"00")</f>
        <v/>
      </c>
    </row>
    <row r="25">
      <c r="A25" s="116">
        <f>A24+7</f>
        <v/>
      </c>
      <c r="B25">
        <f>INT((A25-DATE(YEAR(A25),1,1))/7)+1</f>
        <v/>
      </c>
      <c r="C25">
        <f>MONTH(A25)</f>
        <v/>
      </c>
      <c r="D25">
        <f>TEXT(A25,"mmm")</f>
        <v/>
      </c>
      <c r="E25">
        <f>ROUNDUP(C25/3,0)</f>
        <v/>
      </c>
      <c r="F25">
        <f>YEAR(A25)</f>
        <v/>
      </c>
      <c r="G25">
        <f>F25&amp;"-"&amp;TEXT(C25,"00")</f>
        <v/>
      </c>
    </row>
    <row r="26">
      <c r="A26" s="116">
        <f>A25+7</f>
        <v/>
      </c>
      <c r="B26">
        <f>INT((A26-DATE(YEAR(A26),1,1))/7)+1</f>
        <v/>
      </c>
      <c r="C26">
        <f>MONTH(A26)</f>
        <v/>
      </c>
      <c r="D26">
        <f>TEXT(A26,"mmm")</f>
        <v/>
      </c>
      <c r="E26">
        <f>ROUNDUP(C26/3,0)</f>
        <v/>
      </c>
      <c r="F26">
        <f>YEAR(A26)</f>
        <v/>
      </c>
      <c r="G26">
        <f>F26&amp;"-"&amp;TEXT(C26,"00")</f>
        <v/>
      </c>
    </row>
    <row r="27">
      <c r="A27" s="116">
        <f>A26+7</f>
        <v/>
      </c>
      <c r="B27">
        <f>INT((A27-DATE(YEAR(A27),1,1))/7)+1</f>
        <v/>
      </c>
      <c r="C27">
        <f>MONTH(A27)</f>
        <v/>
      </c>
      <c r="D27">
        <f>TEXT(A27,"mmm")</f>
        <v/>
      </c>
      <c r="E27">
        <f>ROUNDUP(C27/3,0)</f>
        <v/>
      </c>
      <c r="F27">
        <f>YEAR(A27)</f>
        <v/>
      </c>
      <c r="G27">
        <f>F27&amp;"-"&amp;TEXT(C27,"00")</f>
        <v/>
      </c>
    </row>
    <row r="28">
      <c r="A28" s="116">
        <f>A27+7</f>
        <v/>
      </c>
      <c r="B28">
        <f>INT((A28-DATE(YEAR(A28),1,1))/7)+1</f>
        <v/>
      </c>
      <c r="C28">
        <f>MONTH(A28)</f>
        <v/>
      </c>
      <c r="D28">
        <f>TEXT(A28,"mmm")</f>
        <v/>
      </c>
      <c r="E28">
        <f>ROUNDUP(C28/3,0)</f>
        <v/>
      </c>
      <c r="F28">
        <f>YEAR(A28)</f>
        <v/>
      </c>
      <c r="G28">
        <f>F28&amp;"-"&amp;TEXT(C28,"00")</f>
        <v/>
      </c>
    </row>
    <row r="29">
      <c r="A29" s="116">
        <f>A28+7</f>
        <v/>
      </c>
      <c r="B29">
        <f>INT((A29-DATE(YEAR(A29),1,1))/7)+1</f>
        <v/>
      </c>
      <c r="C29">
        <f>MONTH(A29)</f>
        <v/>
      </c>
      <c r="D29">
        <f>TEXT(A29,"mmm")</f>
        <v/>
      </c>
      <c r="E29">
        <f>ROUNDUP(C29/3,0)</f>
        <v/>
      </c>
      <c r="F29">
        <f>YEAR(A29)</f>
        <v/>
      </c>
      <c r="G29">
        <f>F29&amp;"-"&amp;TEXT(C29,"00")</f>
        <v/>
      </c>
    </row>
    <row r="30">
      <c r="A30" s="116">
        <f>A29+7</f>
        <v/>
      </c>
      <c r="B30">
        <f>INT((A30-DATE(YEAR(A30),1,1))/7)+1</f>
        <v/>
      </c>
      <c r="C30">
        <f>MONTH(A30)</f>
        <v/>
      </c>
      <c r="D30">
        <f>TEXT(A30,"mmm")</f>
        <v/>
      </c>
      <c r="E30">
        <f>ROUNDUP(C30/3,0)</f>
        <v/>
      </c>
      <c r="F30">
        <f>YEAR(A30)</f>
        <v/>
      </c>
      <c r="G30">
        <f>F30&amp;"-"&amp;TEXT(C30,"00")</f>
        <v/>
      </c>
    </row>
    <row r="31">
      <c r="A31" s="116">
        <f>A30+7</f>
        <v/>
      </c>
      <c r="B31">
        <f>INT((A31-DATE(YEAR(A31),1,1))/7)+1</f>
        <v/>
      </c>
      <c r="C31">
        <f>MONTH(A31)</f>
        <v/>
      </c>
      <c r="D31">
        <f>TEXT(A31,"mmm")</f>
        <v/>
      </c>
      <c r="E31">
        <f>ROUNDUP(C31/3,0)</f>
        <v/>
      </c>
      <c r="F31">
        <f>YEAR(A31)</f>
        <v/>
      </c>
      <c r="G31">
        <f>F31&amp;"-"&amp;TEXT(C31,"00")</f>
        <v/>
      </c>
    </row>
    <row r="32">
      <c r="A32" s="116">
        <f>A31+7</f>
        <v/>
      </c>
      <c r="B32">
        <f>INT((A32-DATE(YEAR(A32),1,1))/7)+1</f>
        <v/>
      </c>
      <c r="C32">
        <f>MONTH(A32)</f>
        <v/>
      </c>
      <c r="D32">
        <f>TEXT(A32,"mmm")</f>
        <v/>
      </c>
      <c r="E32">
        <f>ROUNDUP(C32/3,0)</f>
        <v/>
      </c>
      <c r="F32">
        <f>YEAR(A32)</f>
        <v/>
      </c>
      <c r="G32">
        <f>F32&amp;"-"&amp;TEXT(C32,"00")</f>
        <v/>
      </c>
    </row>
    <row r="33">
      <c r="A33" s="116">
        <f>A32+7</f>
        <v/>
      </c>
      <c r="B33">
        <f>INT((A33-DATE(YEAR(A33),1,1))/7)+1</f>
        <v/>
      </c>
      <c r="C33">
        <f>MONTH(A33)</f>
        <v/>
      </c>
      <c r="D33">
        <f>TEXT(A33,"mmm")</f>
        <v/>
      </c>
      <c r="E33">
        <f>ROUNDUP(C33/3,0)</f>
        <v/>
      </c>
      <c r="F33">
        <f>YEAR(A33)</f>
        <v/>
      </c>
      <c r="G33">
        <f>F33&amp;"-"&amp;TEXT(C33,"00")</f>
        <v/>
      </c>
    </row>
    <row r="34">
      <c r="A34" s="116">
        <f>A33+7</f>
        <v/>
      </c>
      <c r="B34">
        <f>INT((A34-DATE(YEAR(A34),1,1))/7)+1</f>
        <v/>
      </c>
      <c r="C34">
        <f>MONTH(A34)</f>
        <v/>
      </c>
      <c r="D34">
        <f>TEXT(A34,"mmm")</f>
        <v/>
      </c>
      <c r="E34">
        <f>ROUNDUP(C34/3,0)</f>
        <v/>
      </c>
      <c r="F34">
        <f>YEAR(A34)</f>
        <v/>
      </c>
      <c r="G34">
        <f>F34&amp;"-"&amp;TEXT(C34,"00")</f>
        <v/>
      </c>
    </row>
    <row r="35">
      <c r="A35" s="116">
        <f>A34+7</f>
        <v/>
      </c>
      <c r="B35">
        <f>INT((A35-DATE(YEAR(A35),1,1))/7)+1</f>
        <v/>
      </c>
      <c r="C35">
        <f>MONTH(A35)</f>
        <v/>
      </c>
      <c r="D35">
        <f>TEXT(A35,"mmm")</f>
        <v/>
      </c>
      <c r="E35">
        <f>ROUNDUP(C35/3,0)</f>
        <v/>
      </c>
      <c r="F35">
        <f>YEAR(A35)</f>
        <v/>
      </c>
      <c r="G35">
        <f>F35&amp;"-"&amp;TEXT(C35,"00")</f>
        <v/>
      </c>
    </row>
    <row r="36">
      <c r="A36" s="116">
        <f>A35+7</f>
        <v/>
      </c>
      <c r="B36">
        <f>INT((A36-DATE(YEAR(A36),1,1))/7)+1</f>
        <v/>
      </c>
      <c r="C36">
        <f>MONTH(A36)</f>
        <v/>
      </c>
      <c r="D36">
        <f>TEXT(A36,"mmm")</f>
        <v/>
      </c>
      <c r="E36">
        <f>ROUNDUP(C36/3,0)</f>
        <v/>
      </c>
      <c r="F36">
        <f>YEAR(A36)</f>
        <v/>
      </c>
      <c r="G36">
        <f>F36&amp;"-"&amp;TEXT(C36,"00")</f>
        <v/>
      </c>
    </row>
    <row r="37">
      <c r="A37" s="116">
        <f>A36+7</f>
        <v/>
      </c>
      <c r="B37">
        <f>INT((A37-DATE(YEAR(A37),1,1))/7)+1</f>
        <v/>
      </c>
      <c r="C37">
        <f>MONTH(A37)</f>
        <v/>
      </c>
      <c r="D37">
        <f>TEXT(A37,"mmm")</f>
        <v/>
      </c>
      <c r="E37">
        <f>ROUNDUP(C37/3,0)</f>
        <v/>
      </c>
      <c r="F37">
        <f>YEAR(A37)</f>
        <v/>
      </c>
      <c r="G37">
        <f>F37&amp;"-"&amp;TEXT(C37,"00")</f>
        <v/>
      </c>
    </row>
    <row r="38">
      <c r="A38" s="116">
        <f>A37+7</f>
        <v/>
      </c>
      <c r="B38">
        <f>INT((A38-DATE(YEAR(A38),1,1))/7)+1</f>
        <v/>
      </c>
      <c r="C38">
        <f>MONTH(A38)</f>
        <v/>
      </c>
      <c r="D38">
        <f>TEXT(A38,"mmm")</f>
        <v/>
      </c>
      <c r="E38">
        <f>ROUNDUP(C38/3,0)</f>
        <v/>
      </c>
      <c r="F38">
        <f>YEAR(A38)</f>
        <v/>
      </c>
      <c r="G38">
        <f>F38&amp;"-"&amp;TEXT(C38,"00")</f>
        <v/>
      </c>
    </row>
    <row r="39">
      <c r="A39" s="116">
        <f>A38+7</f>
        <v/>
      </c>
      <c r="B39">
        <f>INT((A39-DATE(YEAR(A39),1,1))/7)+1</f>
        <v/>
      </c>
      <c r="C39">
        <f>MONTH(A39)</f>
        <v/>
      </c>
      <c r="D39">
        <f>TEXT(A39,"mmm")</f>
        <v/>
      </c>
      <c r="E39">
        <f>ROUNDUP(C39/3,0)</f>
        <v/>
      </c>
      <c r="F39">
        <f>YEAR(A39)</f>
        <v/>
      </c>
      <c r="G39">
        <f>F39&amp;"-"&amp;TEXT(C39,"00")</f>
        <v/>
      </c>
    </row>
    <row r="40">
      <c r="A40" s="116">
        <f>A39+7</f>
        <v/>
      </c>
      <c r="B40">
        <f>INT((A40-DATE(YEAR(A40),1,1))/7)+1</f>
        <v/>
      </c>
      <c r="C40">
        <f>MONTH(A40)</f>
        <v/>
      </c>
      <c r="D40">
        <f>TEXT(A40,"mmm")</f>
        <v/>
      </c>
      <c r="E40">
        <f>ROUNDUP(C40/3,0)</f>
        <v/>
      </c>
      <c r="F40">
        <f>YEAR(A40)</f>
        <v/>
      </c>
      <c r="G40">
        <f>F40&amp;"-"&amp;TEXT(C40,"00")</f>
        <v/>
      </c>
    </row>
    <row r="41">
      <c r="A41" s="116">
        <f>A40+7</f>
        <v/>
      </c>
      <c r="B41">
        <f>INT((A41-DATE(YEAR(A41),1,1))/7)+1</f>
        <v/>
      </c>
      <c r="C41">
        <f>MONTH(A41)</f>
        <v/>
      </c>
      <c r="D41">
        <f>TEXT(A41,"mmm")</f>
        <v/>
      </c>
      <c r="E41">
        <f>ROUNDUP(C41/3,0)</f>
        <v/>
      </c>
      <c r="F41">
        <f>YEAR(A41)</f>
        <v/>
      </c>
      <c r="G41">
        <f>F41&amp;"-"&amp;TEXT(C41,"00")</f>
        <v/>
      </c>
    </row>
    <row r="42">
      <c r="A42" s="116">
        <f>A41+7</f>
        <v/>
      </c>
      <c r="B42">
        <f>INT((A42-DATE(YEAR(A42),1,1))/7)+1</f>
        <v/>
      </c>
      <c r="C42">
        <f>MONTH(A42)</f>
        <v/>
      </c>
      <c r="D42">
        <f>TEXT(A42,"mmm")</f>
        <v/>
      </c>
      <c r="E42">
        <f>ROUNDUP(C42/3,0)</f>
        <v/>
      </c>
      <c r="F42">
        <f>YEAR(A42)</f>
        <v/>
      </c>
      <c r="G42">
        <f>F42&amp;"-"&amp;TEXT(C42,"00")</f>
        <v/>
      </c>
    </row>
    <row r="43">
      <c r="A43" s="116">
        <f>A42+7</f>
        <v/>
      </c>
      <c r="B43">
        <f>INT((A43-DATE(YEAR(A43),1,1))/7)+1</f>
        <v/>
      </c>
      <c r="C43">
        <f>MONTH(A43)</f>
        <v/>
      </c>
      <c r="D43">
        <f>TEXT(A43,"mmm")</f>
        <v/>
      </c>
      <c r="E43">
        <f>ROUNDUP(C43/3,0)</f>
        <v/>
      </c>
      <c r="F43">
        <f>YEAR(A43)</f>
        <v/>
      </c>
      <c r="G43">
        <f>F43&amp;"-"&amp;TEXT(C43,"00")</f>
        <v/>
      </c>
    </row>
    <row r="44">
      <c r="A44" s="116">
        <f>A43+7</f>
        <v/>
      </c>
      <c r="B44">
        <f>INT((A44-DATE(YEAR(A44),1,1))/7)+1</f>
        <v/>
      </c>
      <c r="C44">
        <f>MONTH(A44)</f>
        <v/>
      </c>
      <c r="D44">
        <f>TEXT(A44,"mmm")</f>
        <v/>
      </c>
      <c r="E44">
        <f>ROUNDUP(C44/3,0)</f>
        <v/>
      </c>
      <c r="F44">
        <f>YEAR(A44)</f>
        <v/>
      </c>
      <c r="G44">
        <f>F44&amp;"-"&amp;TEXT(C44,"00")</f>
        <v/>
      </c>
    </row>
    <row r="45">
      <c r="A45" s="116">
        <f>A44+7</f>
        <v/>
      </c>
      <c r="B45">
        <f>INT((A45-DATE(YEAR(A45),1,1))/7)+1</f>
        <v/>
      </c>
      <c r="C45">
        <f>MONTH(A45)</f>
        <v/>
      </c>
      <c r="D45">
        <f>TEXT(A45,"mmm")</f>
        <v/>
      </c>
      <c r="E45">
        <f>ROUNDUP(C45/3,0)</f>
        <v/>
      </c>
      <c r="F45">
        <f>YEAR(A45)</f>
        <v/>
      </c>
      <c r="G45">
        <f>F45&amp;"-"&amp;TEXT(C45,"00")</f>
        <v/>
      </c>
    </row>
    <row r="46">
      <c r="A46" s="116">
        <f>A45+7</f>
        <v/>
      </c>
      <c r="B46">
        <f>INT((A46-DATE(YEAR(A46),1,1))/7)+1</f>
        <v/>
      </c>
      <c r="C46">
        <f>MONTH(A46)</f>
        <v/>
      </c>
      <c r="D46">
        <f>TEXT(A46,"mmm")</f>
        <v/>
      </c>
      <c r="E46">
        <f>ROUNDUP(C46/3,0)</f>
        <v/>
      </c>
      <c r="F46">
        <f>YEAR(A46)</f>
        <v/>
      </c>
      <c r="G46">
        <f>F46&amp;"-"&amp;TEXT(C46,"00")</f>
        <v/>
      </c>
    </row>
    <row r="47">
      <c r="A47" s="116">
        <f>A46+7</f>
        <v/>
      </c>
      <c r="B47">
        <f>INT((A47-DATE(YEAR(A47),1,1))/7)+1</f>
        <v/>
      </c>
      <c r="C47">
        <f>MONTH(A47)</f>
        <v/>
      </c>
      <c r="D47">
        <f>TEXT(A47,"mmm")</f>
        <v/>
      </c>
      <c r="E47">
        <f>ROUNDUP(C47/3,0)</f>
        <v/>
      </c>
      <c r="F47">
        <f>YEAR(A47)</f>
        <v/>
      </c>
      <c r="G47">
        <f>F47&amp;"-"&amp;TEXT(C47,"00")</f>
        <v/>
      </c>
    </row>
    <row r="48">
      <c r="A48" s="116">
        <f>A47+7</f>
        <v/>
      </c>
      <c r="B48">
        <f>INT((A48-DATE(YEAR(A48),1,1))/7)+1</f>
        <v/>
      </c>
      <c r="C48">
        <f>MONTH(A48)</f>
        <v/>
      </c>
      <c r="D48">
        <f>TEXT(A48,"mmm")</f>
        <v/>
      </c>
      <c r="E48">
        <f>ROUNDUP(C48/3,0)</f>
        <v/>
      </c>
      <c r="F48">
        <f>YEAR(A48)</f>
        <v/>
      </c>
      <c r="G48">
        <f>F48&amp;"-"&amp;TEXT(C48,"00")</f>
        <v/>
      </c>
    </row>
    <row r="49">
      <c r="A49" s="116">
        <f>A48+7</f>
        <v/>
      </c>
      <c r="B49">
        <f>INT((A49-DATE(YEAR(A49),1,1))/7)+1</f>
        <v/>
      </c>
      <c r="C49">
        <f>MONTH(A49)</f>
        <v/>
      </c>
      <c r="D49">
        <f>TEXT(A49,"mmm")</f>
        <v/>
      </c>
      <c r="E49">
        <f>ROUNDUP(C49/3,0)</f>
        <v/>
      </c>
      <c r="F49">
        <f>YEAR(A49)</f>
        <v/>
      </c>
      <c r="G49">
        <f>F49&amp;"-"&amp;TEXT(C49,"00")</f>
        <v/>
      </c>
    </row>
    <row r="50">
      <c r="A50" s="116">
        <f>A49+7</f>
        <v/>
      </c>
      <c r="B50">
        <f>INT((A50-DATE(YEAR(A50),1,1))/7)+1</f>
        <v/>
      </c>
      <c r="C50">
        <f>MONTH(A50)</f>
        <v/>
      </c>
      <c r="D50">
        <f>TEXT(A50,"mmm")</f>
        <v/>
      </c>
      <c r="E50">
        <f>ROUNDUP(C50/3,0)</f>
        <v/>
      </c>
      <c r="F50">
        <f>YEAR(A50)</f>
        <v/>
      </c>
      <c r="G50">
        <f>F50&amp;"-"&amp;TEXT(C50,"00")</f>
        <v/>
      </c>
    </row>
    <row r="51">
      <c r="A51" s="116">
        <f>A50+7</f>
        <v/>
      </c>
      <c r="B51">
        <f>INT((A51-DATE(YEAR(A51),1,1))/7)+1</f>
        <v/>
      </c>
      <c r="C51">
        <f>MONTH(A51)</f>
        <v/>
      </c>
      <c r="D51">
        <f>TEXT(A51,"mmm")</f>
        <v/>
      </c>
      <c r="E51">
        <f>ROUNDUP(C51/3,0)</f>
        <v/>
      </c>
      <c r="F51">
        <f>YEAR(A51)</f>
        <v/>
      </c>
      <c r="G51">
        <f>F51&amp;"-"&amp;TEXT(C51,"00")</f>
        <v/>
      </c>
    </row>
    <row r="52">
      <c r="A52" s="116">
        <f>A51+7</f>
        <v/>
      </c>
      <c r="B52">
        <f>INT((A52-DATE(YEAR(A52),1,1))/7)+1</f>
        <v/>
      </c>
      <c r="C52">
        <f>MONTH(A52)</f>
        <v/>
      </c>
      <c r="D52">
        <f>TEXT(A52,"mmm")</f>
        <v/>
      </c>
      <c r="E52">
        <f>ROUNDUP(C52/3,0)</f>
        <v/>
      </c>
      <c r="F52">
        <f>YEAR(A52)</f>
        <v/>
      </c>
      <c r="G52">
        <f>F52&amp;"-"&amp;TEXT(C52,"00")</f>
        <v/>
      </c>
    </row>
    <row r="53">
      <c r="A53" s="116">
        <f>A52+7</f>
        <v/>
      </c>
      <c r="B53">
        <f>INT((A53-DATE(YEAR(A53),1,1))/7)+1</f>
        <v/>
      </c>
      <c r="C53">
        <f>MONTH(A53)</f>
        <v/>
      </c>
      <c r="D53">
        <f>TEXT(A53,"mmm")</f>
        <v/>
      </c>
      <c r="E53">
        <f>ROUNDUP(C53/3,0)</f>
        <v/>
      </c>
      <c r="F53">
        <f>YEAR(A53)</f>
        <v/>
      </c>
      <c r="G53">
        <f>F53&amp;"-"&amp;TEXT(C53,"00")</f>
        <v/>
      </c>
    </row>
    <row r="54">
      <c r="A54" s="116">
        <f>A53+7</f>
        <v/>
      </c>
      <c r="B54">
        <f>INT((A54-DATE(YEAR(A54),1,1))/7)+1</f>
        <v/>
      </c>
      <c r="C54">
        <f>MONTH(A54)</f>
        <v/>
      </c>
      <c r="D54">
        <f>TEXT(A54,"mmm")</f>
        <v/>
      </c>
      <c r="E54">
        <f>ROUNDUP(C54/3,0)</f>
        <v/>
      </c>
      <c r="F54">
        <f>YEAR(A54)</f>
        <v/>
      </c>
      <c r="G54">
        <f>F54&amp;"-"&amp;TEXT(C54,"00")</f>
        <v/>
      </c>
    </row>
    <row r="55">
      <c r="A55" s="116">
        <f>A54+7</f>
        <v/>
      </c>
      <c r="B55">
        <f>INT((A55-DATE(YEAR(A55),1,1))/7)+1</f>
        <v/>
      </c>
      <c r="C55">
        <f>MONTH(A55)</f>
        <v/>
      </c>
      <c r="D55">
        <f>TEXT(A55,"mmm")</f>
        <v/>
      </c>
      <c r="E55">
        <f>ROUNDUP(C55/3,0)</f>
        <v/>
      </c>
      <c r="F55">
        <f>YEAR(A55)</f>
        <v/>
      </c>
      <c r="G55">
        <f>F55&amp;"-"&amp;TEXT(C55,"00")</f>
        <v/>
      </c>
    </row>
    <row r="56">
      <c r="A56" s="116">
        <f>A55+7</f>
        <v/>
      </c>
      <c r="B56">
        <f>INT((A56-DATE(YEAR(A56),1,1))/7)+1</f>
        <v/>
      </c>
      <c r="C56">
        <f>MONTH(A56)</f>
        <v/>
      </c>
      <c r="D56">
        <f>TEXT(A56,"mmm")</f>
        <v/>
      </c>
      <c r="E56">
        <f>ROUNDUP(C56/3,0)</f>
        <v/>
      </c>
      <c r="F56">
        <f>YEAR(A56)</f>
        <v/>
      </c>
      <c r="G56">
        <f>F56&amp;"-"&amp;TEXT(C56,"00")</f>
        <v/>
      </c>
    </row>
    <row r="57">
      <c r="A57" s="116">
        <f>A56+7</f>
        <v/>
      </c>
      <c r="B57">
        <f>INT((A57-DATE(YEAR(A57),1,1))/7)+1</f>
        <v/>
      </c>
      <c r="C57">
        <f>MONTH(A57)</f>
        <v/>
      </c>
      <c r="D57">
        <f>TEXT(A57,"mmm")</f>
        <v/>
      </c>
      <c r="E57">
        <f>ROUNDUP(C57/3,0)</f>
        <v/>
      </c>
      <c r="F57">
        <f>YEAR(A57)</f>
        <v/>
      </c>
      <c r="G57">
        <f>F57&amp;"-"&amp;TEXT(C57,"00")</f>
        <v/>
      </c>
    </row>
    <row r="58">
      <c r="A58" s="116">
        <f>A57+7</f>
        <v/>
      </c>
      <c r="B58">
        <f>INT((A58-DATE(YEAR(A58),1,1))/7)+1</f>
        <v/>
      </c>
      <c r="C58">
        <f>MONTH(A58)</f>
        <v/>
      </c>
      <c r="D58">
        <f>TEXT(A58,"mmm")</f>
        <v/>
      </c>
      <c r="E58">
        <f>ROUNDUP(C58/3,0)</f>
        <v/>
      </c>
      <c r="F58">
        <f>YEAR(A58)</f>
        <v/>
      </c>
      <c r="G58">
        <f>F58&amp;"-"&amp;TEXT(C58,"00")</f>
        <v/>
      </c>
    </row>
    <row r="59">
      <c r="A59" s="116">
        <f>A58+7</f>
        <v/>
      </c>
      <c r="B59">
        <f>INT((A59-DATE(YEAR(A59),1,1))/7)+1</f>
        <v/>
      </c>
      <c r="C59">
        <f>MONTH(A59)</f>
        <v/>
      </c>
      <c r="D59">
        <f>TEXT(A59,"mmm")</f>
        <v/>
      </c>
      <c r="E59">
        <f>ROUNDUP(C59/3,0)</f>
        <v/>
      </c>
      <c r="F59">
        <f>YEAR(A59)</f>
        <v/>
      </c>
      <c r="G59">
        <f>F59&amp;"-"&amp;TEXT(C59,"00")</f>
        <v/>
      </c>
    </row>
    <row r="60">
      <c r="A60" s="116">
        <f>A59+7</f>
        <v/>
      </c>
      <c r="B60">
        <f>INT((A60-DATE(YEAR(A60),1,1))/7)+1</f>
        <v/>
      </c>
      <c r="C60">
        <f>MONTH(A60)</f>
        <v/>
      </c>
      <c r="D60">
        <f>TEXT(A60,"mmm")</f>
        <v/>
      </c>
      <c r="E60">
        <f>ROUNDUP(C60/3,0)</f>
        <v/>
      </c>
      <c r="F60">
        <f>YEAR(A60)</f>
        <v/>
      </c>
      <c r="G60">
        <f>F60&amp;"-"&amp;TEXT(C60,"00")</f>
        <v/>
      </c>
    </row>
    <row r="61">
      <c r="A61" s="116">
        <f>A60+7</f>
        <v/>
      </c>
      <c r="B61">
        <f>INT((A61-DATE(YEAR(A61),1,1))/7)+1</f>
        <v/>
      </c>
      <c r="C61">
        <f>MONTH(A61)</f>
        <v/>
      </c>
      <c r="D61">
        <f>TEXT(A61,"mmm")</f>
        <v/>
      </c>
      <c r="E61">
        <f>ROUNDUP(C61/3,0)</f>
        <v/>
      </c>
      <c r="F61">
        <f>YEAR(A61)</f>
        <v/>
      </c>
      <c r="G61">
        <f>F61&amp;"-"&amp;TEXT(C61,"00")</f>
        <v/>
      </c>
    </row>
    <row r="62">
      <c r="A62" s="116">
        <f>A61+7</f>
        <v/>
      </c>
      <c r="B62">
        <f>INT((A62-DATE(YEAR(A62),1,1))/7)+1</f>
        <v/>
      </c>
      <c r="C62">
        <f>MONTH(A62)</f>
        <v/>
      </c>
      <c r="D62">
        <f>TEXT(A62,"mmm")</f>
        <v/>
      </c>
      <c r="E62">
        <f>ROUNDUP(C62/3,0)</f>
        <v/>
      </c>
      <c r="F62">
        <f>YEAR(A62)</f>
        <v/>
      </c>
      <c r="G62">
        <f>F62&amp;"-"&amp;TEXT(C62,"00")</f>
        <v/>
      </c>
    </row>
    <row r="63">
      <c r="A63" s="116">
        <f>A62+7</f>
        <v/>
      </c>
      <c r="B63">
        <f>INT((A63-DATE(YEAR(A63),1,1))/7)+1</f>
        <v/>
      </c>
      <c r="C63">
        <f>MONTH(A63)</f>
        <v/>
      </c>
      <c r="D63">
        <f>TEXT(A63,"mmm")</f>
        <v/>
      </c>
      <c r="E63">
        <f>ROUNDUP(C63/3,0)</f>
        <v/>
      </c>
      <c r="F63">
        <f>YEAR(A63)</f>
        <v/>
      </c>
      <c r="G63">
        <f>F63&amp;"-"&amp;TEXT(C63,"00")</f>
        <v/>
      </c>
    </row>
    <row r="64">
      <c r="A64" s="116">
        <f>A63+7</f>
        <v/>
      </c>
      <c r="B64">
        <f>INT((A64-DATE(YEAR(A64),1,1))/7)+1</f>
        <v/>
      </c>
      <c r="C64">
        <f>MONTH(A64)</f>
        <v/>
      </c>
      <c r="D64">
        <f>TEXT(A64,"mmm")</f>
        <v/>
      </c>
      <c r="E64">
        <f>ROUNDUP(C64/3,0)</f>
        <v/>
      </c>
      <c r="F64">
        <f>YEAR(A64)</f>
        <v/>
      </c>
      <c r="G64">
        <f>F64&amp;"-"&amp;TEXT(C64,"00")</f>
        <v/>
      </c>
    </row>
    <row r="65">
      <c r="A65" s="116">
        <f>A64+7</f>
        <v/>
      </c>
      <c r="B65">
        <f>INT((A65-DATE(YEAR(A65),1,1))/7)+1</f>
        <v/>
      </c>
      <c r="C65">
        <f>MONTH(A65)</f>
        <v/>
      </c>
      <c r="D65">
        <f>TEXT(A65,"mmm")</f>
        <v/>
      </c>
      <c r="E65">
        <f>ROUNDUP(C65/3,0)</f>
        <v/>
      </c>
      <c r="F65">
        <f>YEAR(A65)</f>
        <v/>
      </c>
      <c r="G65">
        <f>F65&amp;"-"&amp;TEXT(C65,"00")</f>
        <v/>
      </c>
    </row>
    <row r="66">
      <c r="A66" s="116">
        <f>A65+7</f>
        <v/>
      </c>
      <c r="B66">
        <f>INT((A66-DATE(YEAR(A66),1,1))/7)+1</f>
        <v/>
      </c>
      <c r="C66">
        <f>MONTH(A66)</f>
        <v/>
      </c>
      <c r="D66">
        <f>TEXT(A66,"mmm")</f>
        <v/>
      </c>
      <c r="E66">
        <f>ROUNDUP(C66/3,0)</f>
        <v/>
      </c>
      <c r="F66">
        <f>YEAR(A66)</f>
        <v/>
      </c>
      <c r="G66">
        <f>F66&amp;"-"&amp;TEXT(C66,"00")</f>
        <v/>
      </c>
    </row>
    <row r="67">
      <c r="A67" s="116">
        <f>A66+7</f>
        <v/>
      </c>
      <c r="B67">
        <f>INT((A67-DATE(YEAR(A67),1,1))/7)+1</f>
        <v/>
      </c>
      <c r="C67">
        <f>MONTH(A67)</f>
        <v/>
      </c>
      <c r="D67">
        <f>TEXT(A67,"mmm")</f>
        <v/>
      </c>
      <c r="E67">
        <f>ROUNDUP(C67/3,0)</f>
        <v/>
      </c>
      <c r="F67">
        <f>YEAR(A67)</f>
        <v/>
      </c>
      <c r="G67">
        <f>F67&amp;"-"&amp;TEXT(C67,"00")</f>
        <v/>
      </c>
    </row>
    <row r="68">
      <c r="A68" s="116">
        <f>A67+7</f>
        <v/>
      </c>
      <c r="B68">
        <f>INT((A68-DATE(YEAR(A68),1,1))/7)+1</f>
        <v/>
      </c>
      <c r="C68">
        <f>MONTH(A68)</f>
        <v/>
      </c>
      <c r="D68">
        <f>TEXT(A68,"mmm")</f>
        <v/>
      </c>
      <c r="E68">
        <f>ROUNDUP(C68/3,0)</f>
        <v/>
      </c>
      <c r="F68">
        <f>YEAR(A68)</f>
        <v/>
      </c>
      <c r="G68">
        <f>F68&amp;"-"&amp;TEXT(C68,"00")</f>
        <v/>
      </c>
    </row>
    <row r="69">
      <c r="A69" s="116">
        <f>A68+7</f>
        <v/>
      </c>
      <c r="B69">
        <f>INT((A69-DATE(YEAR(A69),1,1))/7)+1</f>
        <v/>
      </c>
      <c r="C69">
        <f>MONTH(A69)</f>
        <v/>
      </c>
      <c r="D69">
        <f>TEXT(A69,"mmm")</f>
        <v/>
      </c>
      <c r="E69">
        <f>ROUNDUP(C69/3,0)</f>
        <v/>
      </c>
      <c r="F69">
        <f>YEAR(A69)</f>
        <v/>
      </c>
      <c r="G69">
        <f>F69&amp;"-"&amp;TEXT(C69,"00")</f>
        <v/>
      </c>
    </row>
    <row r="70">
      <c r="A70" s="116">
        <f>A69+7</f>
        <v/>
      </c>
      <c r="B70">
        <f>INT((A70-DATE(YEAR(A70),1,1))/7)+1</f>
        <v/>
      </c>
      <c r="C70">
        <f>MONTH(A70)</f>
        <v/>
      </c>
      <c r="D70">
        <f>TEXT(A70,"mmm")</f>
        <v/>
      </c>
      <c r="E70">
        <f>ROUNDUP(C70/3,0)</f>
        <v/>
      </c>
      <c r="F70">
        <f>YEAR(A70)</f>
        <v/>
      </c>
      <c r="G70">
        <f>F70&amp;"-"&amp;TEXT(C70,"00")</f>
        <v/>
      </c>
    </row>
    <row r="71">
      <c r="A71" s="116">
        <f>A70+7</f>
        <v/>
      </c>
      <c r="B71">
        <f>INT((A71-DATE(YEAR(A71),1,1))/7)+1</f>
        <v/>
      </c>
      <c r="C71">
        <f>MONTH(A71)</f>
        <v/>
      </c>
      <c r="D71">
        <f>TEXT(A71,"mmm")</f>
        <v/>
      </c>
      <c r="E71">
        <f>ROUNDUP(C71/3,0)</f>
        <v/>
      </c>
      <c r="F71">
        <f>YEAR(A71)</f>
        <v/>
      </c>
      <c r="G71">
        <f>F71&amp;"-"&amp;TEXT(C71,"00")</f>
        <v/>
      </c>
    </row>
    <row r="72">
      <c r="A72" s="116">
        <f>A71+7</f>
        <v/>
      </c>
      <c r="B72">
        <f>INT((A72-DATE(YEAR(A72),1,1))/7)+1</f>
        <v/>
      </c>
      <c r="C72">
        <f>MONTH(A72)</f>
        <v/>
      </c>
      <c r="D72">
        <f>TEXT(A72,"mmm")</f>
        <v/>
      </c>
      <c r="E72">
        <f>ROUNDUP(C72/3,0)</f>
        <v/>
      </c>
      <c r="F72">
        <f>YEAR(A72)</f>
        <v/>
      </c>
      <c r="G72">
        <f>F72&amp;"-"&amp;TEXT(C72,"00")</f>
        <v/>
      </c>
    </row>
    <row r="73">
      <c r="A73" s="116">
        <f>A72+7</f>
        <v/>
      </c>
      <c r="B73">
        <f>INT((A73-DATE(YEAR(A73),1,1))/7)+1</f>
        <v/>
      </c>
      <c r="C73">
        <f>MONTH(A73)</f>
        <v/>
      </c>
      <c r="D73">
        <f>TEXT(A73,"mmm")</f>
        <v/>
      </c>
      <c r="E73">
        <f>ROUNDUP(C73/3,0)</f>
        <v/>
      </c>
      <c r="F73">
        <f>YEAR(A73)</f>
        <v/>
      </c>
      <c r="G73">
        <f>F73&amp;"-"&amp;TEXT(C73,"00")</f>
        <v/>
      </c>
    </row>
    <row r="74">
      <c r="A74" s="116">
        <f>A73+7</f>
        <v/>
      </c>
      <c r="B74">
        <f>INT((A74-DATE(YEAR(A74),1,1))/7)+1</f>
        <v/>
      </c>
      <c r="C74">
        <f>MONTH(A74)</f>
        <v/>
      </c>
      <c r="D74">
        <f>TEXT(A74,"mmm")</f>
        <v/>
      </c>
      <c r="E74">
        <f>ROUNDUP(C74/3,0)</f>
        <v/>
      </c>
      <c r="F74">
        <f>YEAR(A74)</f>
        <v/>
      </c>
      <c r="G74">
        <f>F74&amp;"-"&amp;TEXT(C74,"00")</f>
        <v/>
      </c>
    </row>
    <row r="75">
      <c r="A75" s="116">
        <f>A74+7</f>
        <v/>
      </c>
      <c r="B75">
        <f>INT((A75-DATE(YEAR(A75),1,1))/7)+1</f>
        <v/>
      </c>
      <c r="C75">
        <f>MONTH(A75)</f>
        <v/>
      </c>
      <c r="D75">
        <f>TEXT(A75,"mmm")</f>
        <v/>
      </c>
      <c r="E75">
        <f>ROUNDUP(C75/3,0)</f>
        <v/>
      </c>
      <c r="F75">
        <f>YEAR(A75)</f>
        <v/>
      </c>
      <c r="G75">
        <f>F75&amp;"-"&amp;TEXT(C75,"00")</f>
        <v/>
      </c>
    </row>
    <row r="76">
      <c r="A76" s="116">
        <f>A75+7</f>
        <v/>
      </c>
      <c r="B76">
        <f>INT((A76-DATE(YEAR(A76),1,1))/7)+1</f>
        <v/>
      </c>
      <c r="C76">
        <f>MONTH(A76)</f>
        <v/>
      </c>
      <c r="D76">
        <f>TEXT(A76,"mmm")</f>
        <v/>
      </c>
      <c r="E76">
        <f>ROUNDUP(C76/3,0)</f>
        <v/>
      </c>
      <c r="F76">
        <f>YEAR(A76)</f>
        <v/>
      </c>
      <c r="G76">
        <f>F76&amp;"-"&amp;TEXT(C76,"00")</f>
        <v/>
      </c>
    </row>
    <row r="77">
      <c r="A77" s="116">
        <f>A76+7</f>
        <v/>
      </c>
      <c r="B77">
        <f>INT((A77-DATE(YEAR(A77),1,1))/7)+1</f>
        <v/>
      </c>
      <c r="C77">
        <f>MONTH(A77)</f>
        <v/>
      </c>
      <c r="D77">
        <f>TEXT(A77,"mmm")</f>
        <v/>
      </c>
      <c r="E77">
        <f>ROUNDUP(C77/3,0)</f>
        <v/>
      </c>
      <c r="F77">
        <f>YEAR(A77)</f>
        <v/>
      </c>
      <c r="G77">
        <f>F77&amp;"-"&amp;TEXT(C77,"00")</f>
        <v/>
      </c>
    </row>
    <row r="78">
      <c r="A78" s="116">
        <f>A77+7</f>
        <v/>
      </c>
      <c r="B78">
        <f>INT((A78-DATE(YEAR(A78),1,1))/7)+1</f>
        <v/>
      </c>
      <c r="C78">
        <f>MONTH(A78)</f>
        <v/>
      </c>
      <c r="D78">
        <f>TEXT(A78,"mmm")</f>
        <v/>
      </c>
      <c r="E78">
        <f>ROUNDUP(C78/3,0)</f>
        <v/>
      </c>
      <c r="F78">
        <f>YEAR(A78)</f>
        <v/>
      </c>
      <c r="G78">
        <f>F78&amp;"-"&amp;TEXT(C78,"00")</f>
        <v/>
      </c>
    </row>
    <row r="79">
      <c r="A79" s="116">
        <f>A78+7</f>
        <v/>
      </c>
      <c r="B79">
        <f>INT((A79-DATE(YEAR(A79),1,1))/7)+1</f>
        <v/>
      </c>
      <c r="C79">
        <f>MONTH(A79)</f>
        <v/>
      </c>
      <c r="D79">
        <f>TEXT(A79,"mmm")</f>
        <v/>
      </c>
      <c r="E79">
        <f>ROUNDUP(C79/3,0)</f>
        <v/>
      </c>
      <c r="F79">
        <f>YEAR(A79)</f>
        <v/>
      </c>
      <c r="G79">
        <f>F79&amp;"-"&amp;TEXT(C79,"00")</f>
        <v/>
      </c>
    </row>
    <row r="80">
      <c r="A80" s="116">
        <f>A79+7</f>
        <v/>
      </c>
      <c r="B80">
        <f>INT((A80-DATE(YEAR(A80),1,1))/7)+1</f>
        <v/>
      </c>
      <c r="C80">
        <f>MONTH(A80)</f>
        <v/>
      </c>
      <c r="D80">
        <f>TEXT(A80,"mmm")</f>
        <v/>
      </c>
      <c r="E80">
        <f>ROUNDUP(C80/3,0)</f>
        <v/>
      </c>
      <c r="F80">
        <f>YEAR(A80)</f>
        <v/>
      </c>
      <c r="G80">
        <f>F80&amp;"-"&amp;TEXT(C80,"00")</f>
        <v/>
      </c>
    </row>
    <row r="81">
      <c r="A81" s="116">
        <f>A80+7</f>
        <v/>
      </c>
      <c r="B81">
        <f>INT((A81-DATE(YEAR(A81),1,1))/7)+1</f>
        <v/>
      </c>
      <c r="C81">
        <f>MONTH(A81)</f>
        <v/>
      </c>
      <c r="D81">
        <f>TEXT(A81,"mmm")</f>
        <v/>
      </c>
      <c r="E81">
        <f>ROUNDUP(C81/3,0)</f>
        <v/>
      </c>
      <c r="F81">
        <f>YEAR(A81)</f>
        <v/>
      </c>
      <c r="G81">
        <f>F81&amp;"-"&amp;TEXT(C81,"00")</f>
        <v/>
      </c>
    </row>
    <row r="82">
      <c r="A82" s="116">
        <f>A81+7</f>
        <v/>
      </c>
      <c r="B82">
        <f>INT((A82-DATE(YEAR(A82),1,1))/7)+1</f>
        <v/>
      </c>
      <c r="C82">
        <f>MONTH(A82)</f>
        <v/>
      </c>
      <c r="D82">
        <f>TEXT(A82,"mmm")</f>
        <v/>
      </c>
      <c r="E82">
        <f>ROUNDUP(C82/3,0)</f>
        <v/>
      </c>
      <c r="F82">
        <f>YEAR(A82)</f>
        <v/>
      </c>
      <c r="G82">
        <f>F82&amp;"-"&amp;TEXT(C82,"00")</f>
        <v/>
      </c>
    </row>
    <row r="83">
      <c r="A83" s="116">
        <f>A82+7</f>
        <v/>
      </c>
      <c r="B83">
        <f>INT((A83-DATE(YEAR(A83),1,1))/7)+1</f>
        <v/>
      </c>
      <c r="C83">
        <f>MONTH(A83)</f>
        <v/>
      </c>
      <c r="D83">
        <f>TEXT(A83,"mmm")</f>
        <v/>
      </c>
      <c r="E83">
        <f>ROUNDUP(C83/3,0)</f>
        <v/>
      </c>
      <c r="F83">
        <f>YEAR(A83)</f>
        <v/>
      </c>
      <c r="G83">
        <f>F83&amp;"-"&amp;TEXT(C83,"00")</f>
        <v/>
      </c>
    </row>
    <row r="84">
      <c r="A84" s="116">
        <f>A83+7</f>
        <v/>
      </c>
      <c r="B84">
        <f>INT((A84-DATE(YEAR(A84),1,1))/7)+1</f>
        <v/>
      </c>
      <c r="C84">
        <f>MONTH(A84)</f>
        <v/>
      </c>
      <c r="D84">
        <f>TEXT(A84,"mmm")</f>
        <v/>
      </c>
      <c r="E84">
        <f>ROUNDUP(C84/3,0)</f>
        <v/>
      </c>
      <c r="F84">
        <f>YEAR(A84)</f>
        <v/>
      </c>
      <c r="G84">
        <f>F84&amp;"-"&amp;TEXT(C84,"00")</f>
        <v/>
      </c>
    </row>
    <row r="85">
      <c r="A85" s="116">
        <f>A84+7</f>
        <v/>
      </c>
      <c r="B85">
        <f>INT((A85-DATE(YEAR(A85),1,1))/7)+1</f>
        <v/>
      </c>
      <c r="C85">
        <f>MONTH(A85)</f>
        <v/>
      </c>
      <c r="D85">
        <f>TEXT(A85,"mmm")</f>
        <v/>
      </c>
      <c r="E85">
        <f>ROUNDUP(C85/3,0)</f>
        <v/>
      </c>
      <c r="F85">
        <f>YEAR(A85)</f>
        <v/>
      </c>
      <c r="G85">
        <f>F85&amp;"-"&amp;TEXT(C85,"00")</f>
        <v/>
      </c>
    </row>
    <row r="86">
      <c r="A86" s="116">
        <f>A85+7</f>
        <v/>
      </c>
      <c r="B86">
        <f>INT((A86-DATE(YEAR(A86),1,1))/7)+1</f>
        <v/>
      </c>
      <c r="C86">
        <f>MONTH(A86)</f>
        <v/>
      </c>
      <c r="D86">
        <f>TEXT(A86,"mmm")</f>
        <v/>
      </c>
      <c r="E86">
        <f>ROUNDUP(C86/3,0)</f>
        <v/>
      </c>
      <c r="F86">
        <f>YEAR(A86)</f>
        <v/>
      </c>
      <c r="G86">
        <f>F86&amp;"-"&amp;TEXT(C86,"00")</f>
        <v/>
      </c>
    </row>
    <row r="87">
      <c r="A87" s="116">
        <f>A86+7</f>
        <v/>
      </c>
      <c r="B87">
        <f>INT((A87-DATE(YEAR(A87),1,1))/7)+1</f>
        <v/>
      </c>
      <c r="C87">
        <f>MONTH(A87)</f>
        <v/>
      </c>
      <c r="D87">
        <f>TEXT(A87,"mmm")</f>
        <v/>
      </c>
      <c r="E87">
        <f>ROUNDUP(C87/3,0)</f>
        <v/>
      </c>
      <c r="F87">
        <f>YEAR(A87)</f>
        <v/>
      </c>
      <c r="G87">
        <f>F87&amp;"-"&amp;TEXT(C87,"00")</f>
        <v/>
      </c>
    </row>
    <row r="88">
      <c r="A88" s="116">
        <f>A87+7</f>
        <v/>
      </c>
      <c r="B88">
        <f>INT((A88-DATE(YEAR(A88),1,1))/7)+1</f>
        <v/>
      </c>
      <c r="C88">
        <f>MONTH(A88)</f>
        <v/>
      </c>
      <c r="D88">
        <f>TEXT(A88,"mmm")</f>
        <v/>
      </c>
      <c r="E88">
        <f>ROUNDUP(C88/3,0)</f>
        <v/>
      </c>
      <c r="F88">
        <f>YEAR(A88)</f>
        <v/>
      </c>
      <c r="G88">
        <f>F88&amp;"-"&amp;TEXT(C88,"00")</f>
        <v/>
      </c>
    </row>
    <row r="89">
      <c r="A89" s="116">
        <f>A88+7</f>
        <v/>
      </c>
      <c r="B89">
        <f>INT((A89-DATE(YEAR(A89),1,1))/7)+1</f>
        <v/>
      </c>
      <c r="C89">
        <f>MONTH(A89)</f>
        <v/>
      </c>
      <c r="D89">
        <f>TEXT(A89,"mmm")</f>
        <v/>
      </c>
      <c r="E89">
        <f>ROUNDUP(C89/3,0)</f>
        <v/>
      </c>
      <c r="F89">
        <f>YEAR(A89)</f>
        <v/>
      </c>
      <c r="G89">
        <f>F89&amp;"-"&amp;TEXT(C89,"00")</f>
        <v/>
      </c>
    </row>
    <row r="90">
      <c r="A90" s="116">
        <f>A89+7</f>
        <v/>
      </c>
      <c r="B90">
        <f>INT((A90-DATE(YEAR(A90),1,1))/7)+1</f>
        <v/>
      </c>
      <c r="C90">
        <f>MONTH(A90)</f>
        <v/>
      </c>
      <c r="D90">
        <f>TEXT(A90,"mmm")</f>
        <v/>
      </c>
      <c r="E90">
        <f>ROUNDUP(C90/3,0)</f>
        <v/>
      </c>
      <c r="F90">
        <f>YEAR(A90)</f>
        <v/>
      </c>
      <c r="G90">
        <f>F90&amp;"-"&amp;TEXT(C90,"00")</f>
        <v/>
      </c>
    </row>
    <row r="91">
      <c r="A91" s="116">
        <f>A90+7</f>
        <v/>
      </c>
      <c r="B91">
        <f>INT((A91-DATE(YEAR(A91),1,1))/7)+1</f>
        <v/>
      </c>
      <c r="C91">
        <f>MONTH(A91)</f>
        <v/>
      </c>
      <c r="D91">
        <f>TEXT(A91,"mmm")</f>
        <v/>
      </c>
      <c r="E91">
        <f>ROUNDUP(C91/3,0)</f>
        <v/>
      </c>
      <c r="F91">
        <f>YEAR(A91)</f>
        <v/>
      </c>
      <c r="G91">
        <f>F91&amp;"-"&amp;TEXT(C91,"00")</f>
        <v/>
      </c>
    </row>
    <row r="92">
      <c r="A92" s="116">
        <f>A91+7</f>
        <v/>
      </c>
      <c r="B92">
        <f>INT((A92-DATE(YEAR(A92),1,1))/7)+1</f>
        <v/>
      </c>
      <c r="C92">
        <f>MONTH(A92)</f>
        <v/>
      </c>
      <c r="D92">
        <f>TEXT(A92,"mmm")</f>
        <v/>
      </c>
      <c r="E92">
        <f>ROUNDUP(C92/3,0)</f>
        <v/>
      </c>
      <c r="F92">
        <f>YEAR(A92)</f>
        <v/>
      </c>
      <c r="G92">
        <f>F92&amp;"-"&amp;TEXT(C92,"00")</f>
        <v/>
      </c>
    </row>
    <row r="93">
      <c r="A93" s="116">
        <f>A92+7</f>
        <v/>
      </c>
      <c r="B93">
        <f>INT((A93-DATE(YEAR(A93),1,1))/7)+1</f>
        <v/>
      </c>
      <c r="C93">
        <f>MONTH(A93)</f>
        <v/>
      </c>
      <c r="D93">
        <f>TEXT(A93,"mmm")</f>
        <v/>
      </c>
      <c r="E93">
        <f>ROUNDUP(C93/3,0)</f>
        <v/>
      </c>
      <c r="F93">
        <f>YEAR(A93)</f>
        <v/>
      </c>
      <c r="G93">
        <f>F93&amp;"-"&amp;TEXT(C93,"00")</f>
        <v/>
      </c>
    </row>
    <row r="94">
      <c r="A94" s="116">
        <f>A93+7</f>
        <v/>
      </c>
      <c r="B94">
        <f>INT((A94-DATE(YEAR(A94),1,1))/7)+1</f>
        <v/>
      </c>
      <c r="C94">
        <f>MONTH(A94)</f>
        <v/>
      </c>
      <c r="D94">
        <f>TEXT(A94,"mmm")</f>
        <v/>
      </c>
      <c r="E94">
        <f>ROUNDUP(C94/3,0)</f>
        <v/>
      </c>
      <c r="F94">
        <f>YEAR(A94)</f>
        <v/>
      </c>
      <c r="G94">
        <f>F94&amp;"-"&amp;TEXT(C94,"00")</f>
        <v/>
      </c>
    </row>
    <row r="95">
      <c r="A95" s="116">
        <f>A94+7</f>
        <v/>
      </c>
      <c r="B95">
        <f>INT((A95-DATE(YEAR(A95),1,1))/7)+1</f>
        <v/>
      </c>
      <c r="C95">
        <f>MONTH(A95)</f>
        <v/>
      </c>
      <c r="D95">
        <f>TEXT(A95,"mmm")</f>
        <v/>
      </c>
      <c r="E95">
        <f>ROUNDUP(C95/3,0)</f>
        <v/>
      </c>
      <c r="F95">
        <f>YEAR(A95)</f>
        <v/>
      </c>
      <c r="G95">
        <f>F95&amp;"-"&amp;TEXT(C95,"00")</f>
        <v/>
      </c>
    </row>
    <row r="96">
      <c r="A96" s="116">
        <f>A95+7</f>
        <v/>
      </c>
      <c r="B96">
        <f>INT((A96-DATE(YEAR(A96),1,1))/7)+1</f>
        <v/>
      </c>
      <c r="C96">
        <f>MONTH(A96)</f>
        <v/>
      </c>
      <c r="D96">
        <f>TEXT(A96,"mmm")</f>
        <v/>
      </c>
      <c r="E96">
        <f>ROUNDUP(C96/3,0)</f>
        <v/>
      </c>
      <c r="F96">
        <f>YEAR(A96)</f>
        <v/>
      </c>
      <c r="G96">
        <f>F96&amp;"-"&amp;TEXT(C96,"00")</f>
        <v/>
      </c>
    </row>
    <row r="97">
      <c r="A97" s="116">
        <f>A96+7</f>
        <v/>
      </c>
      <c r="B97">
        <f>INT((A97-DATE(YEAR(A97),1,1))/7)+1</f>
        <v/>
      </c>
      <c r="C97">
        <f>MONTH(A97)</f>
        <v/>
      </c>
      <c r="D97">
        <f>TEXT(A97,"mmm")</f>
        <v/>
      </c>
      <c r="E97">
        <f>ROUNDUP(C97/3,0)</f>
        <v/>
      </c>
      <c r="F97">
        <f>YEAR(A97)</f>
        <v/>
      </c>
      <c r="G97">
        <f>F97&amp;"-"&amp;TEXT(C97,"00")</f>
        <v/>
      </c>
    </row>
    <row r="98">
      <c r="A98" s="116">
        <f>A97+7</f>
        <v/>
      </c>
      <c r="B98">
        <f>INT((A98-DATE(YEAR(A98),1,1))/7)+1</f>
        <v/>
      </c>
      <c r="C98">
        <f>MONTH(A98)</f>
        <v/>
      </c>
      <c r="D98">
        <f>TEXT(A98,"mmm")</f>
        <v/>
      </c>
      <c r="E98">
        <f>ROUNDUP(C98/3,0)</f>
        <v/>
      </c>
      <c r="F98">
        <f>YEAR(A98)</f>
        <v/>
      </c>
      <c r="G98">
        <f>F98&amp;"-"&amp;TEXT(C98,"00")</f>
        <v/>
      </c>
    </row>
    <row r="99">
      <c r="A99" s="116">
        <f>A98+7</f>
        <v/>
      </c>
      <c r="B99">
        <f>INT((A99-DATE(YEAR(A99),1,1))/7)+1</f>
        <v/>
      </c>
      <c r="C99">
        <f>MONTH(A99)</f>
        <v/>
      </c>
      <c r="D99">
        <f>TEXT(A99,"mmm")</f>
        <v/>
      </c>
      <c r="E99">
        <f>ROUNDUP(C99/3,0)</f>
        <v/>
      </c>
      <c r="F99">
        <f>YEAR(A99)</f>
        <v/>
      </c>
      <c r="G99">
        <f>F99&amp;"-"&amp;TEXT(C99,"00")</f>
        <v/>
      </c>
    </row>
    <row r="100">
      <c r="A100" s="116">
        <f>A99+7</f>
        <v/>
      </c>
      <c r="B100">
        <f>INT((A100-DATE(YEAR(A100),1,1))/7)+1</f>
        <v/>
      </c>
      <c r="C100">
        <f>MONTH(A100)</f>
        <v/>
      </c>
      <c r="D100">
        <f>TEXT(A100,"mmm")</f>
        <v/>
      </c>
      <c r="E100">
        <f>ROUNDUP(C100/3,0)</f>
        <v/>
      </c>
      <c r="F100">
        <f>YEAR(A100)</f>
        <v/>
      </c>
      <c r="G100">
        <f>F100&amp;"-"&amp;TEXT(C100,"00")</f>
        <v/>
      </c>
    </row>
    <row r="101">
      <c r="A101" s="116">
        <f>A100+7</f>
        <v/>
      </c>
      <c r="B101">
        <f>INT((A101-DATE(YEAR(A101),1,1))/7)+1</f>
        <v/>
      </c>
      <c r="C101">
        <f>MONTH(A101)</f>
        <v/>
      </c>
      <c r="D101">
        <f>TEXT(A101,"mmm")</f>
        <v/>
      </c>
      <c r="E101">
        <f>ROUNDUP(C101/3,0)</f>
        <v/>
      </c>
      <c r="F101">
        <f>YEAR(A101)</f>
        <v/>
      </c>
      <c r="G101">
        <f>F101&amp;"-"&amp;TEXT(C101,"00")</f>
        <v/>
      </c>
    </row>
    <row r="102">
      <c r="A102" s="116">
        <f>A101+7</f>
        <v/>
      </c>
      <c r="B102">
        <f>INT((A102-DATE(YEAR(A102),1,1))/7)+1</f>
        <v/>
      </c>
      <c r="C102">
        <f>MONTH(A102)</f>
        <v/>
      </c>
      <c r="D102">
        <f>TEXT(A102,"mmm")</f>
        <v/>
      </c>
      <c r="E102">
        <f>ROUNDUP(C102/3,0)</f>
        <v/>
      </c>
      <c r="F102">
        <f>YEAR(A102)</f>
        <v/>
      </c>
      <c r="G102">
        <f>F102&amp;"-"&amp;TEXT(C102,"00")</f>
        <v/>
      </c>
    </row>
    <row r="103">
      <c r="A103" s="116">
        <f>A102+7</f>
        <v/>
      </c>
      <c r="B103">
        <f>INT((A103-DATE(YEAR(A103),1,1))/7)+1</f>
        <v/>
      </c>
      <c r="C103">
        <f>MONTH(A103)</f>
        <v/>
      </c>
      <c r="D103">
        <f>TEXT(A103,"mmm")</f>
        <v/>
      </c>
      <c r="E103">
        <f>ROUNDUP(C103/3,0)</f>
        <v/>
      </c>
      <c r="F103">
        <f>YEAR(A103)</f>
        <v/>
      </c>
      <c r="G103">
        <f>F103&amp;"-"&amp;TEXT(C103,"00")</f>
        <v/>
      </c>
    </row>
    <row r="104">
      <c r="A104" s="116">
        <f>A103+7</f>
        <v/>
      </c>
      <c r="B104">
        <f>INT((A104-DATE(YEAR(A104),1,1))/7)+1</f>
        <v/>
      </c>
      <c r="C104">
        <f>MONTH(A104)</f>
        <v/>
      </c>
      <c r="D104">
        <f>TEXT(A104,"mmm")</f>
        <v/>
      </c>
      <c r="E104">
        <f>ROUNDUP(C104/3,0)</f>
        <v/>
      </c>
      <c r="F104">
        <f>YEAR(A104)</f>
        <v/>
      </c>
      <c r="G104">
        <f>F104&amp;"-"&amp;TEXT(C104,"00")</f>
        <v/>
      </c>
    </row>
    <row r="105">
      <c r="A105" s="116">
        <f>A104+7</f>
        <v/>
      </c>
      <c r="B105">
        <f>INT((A105-DATE(YEAR(A105),1,1))/7)+1</f>
        <v/>
      </c>
      <c r="C105">
        <f>MONTH(A105)</f>
        <v/>
      </c>
      <c r="D105">
        <f>TEXT(A105,"mmm")</f>
        <v/>
      </c>
      <c r="E105">
        <f>ROUNDUP(C105/3,0)</f>
        <v/>
      </c>
      <c r="F105">
        <f>YEAR(A105)</f>
        <v/>
      </c>
      <c r="G105">
        <f>F105&amp;"-"&amp;TEXT(C105,"00")</f>
        <v/>
      </c>
    </row>
    <row r="106">
      <c r="A106" s="116">
        <f>A105+7</f>
        <v/>
      </c>
      <c r="B106">
        <f>INT((A106-DATE(YEAR(A106),1,1))/7)+1</f>
        <v/>
      </c>
      <c r="C106">
        <f>MONTH(A106)</f>
        <v/>
      </c>
      <c r="D106">
        <f>TEXT(A106,"mmm")</f>
        <v/>
      </c>
      <c r="E106">
        <f>ROUNDUP(C106/3,0)</f>
        <v/>
      </c>
      <c r="F106">
        <f>YEAR(A106)</f>
        <v/>
      </c>
      <c r="G106">
        <f>F106&amp;"-"&amp;TEXT(C106,"00")</f>
        <v/>
      </c>
    </row>
    <row r="107">
      <c r="A107" s="116">
        <f>A106+7</f>
        <v/>
      </c>
      <c r="B107">
        <f>INT((A107-DATE(YEAR(A107),1,1))/7)+1</f>
        <v/>
      </c>
      <c r="C107">
        <f>MONTH(A107)</f>
        <v/>
      </c>
      <c r="D107">
        <f>TEXT(A107,"mmm")</f>
        <v/>
      </c>
      <c r="E107">
        <f>ROUNDUP(C107/3,0)</f>
        <v/>
      </c>
      <c r="F107">
        <f>YEAR(A107)</f>
        <v/>
      </c>
      <c r="G107">
        <f>F107&amp;"-"&amp;TEXT(C107,"00")</f>
        <v/>
      </c>
    </row>
    <row r="108">
      <c r="A108" s="116">
        <f>A107+7</f>
        <v/>
      </c>
      <c r="B108">
        <f>INT((A108-DATE(YEAR(A108),1,1))/7)+1</f>
        <v/>
      </c>
      <c r="C108">
        <f>MONTH(A108)</f>
        <v/>
      </c>
      <c r="D108">
        <f>TEXT(A108,"mmm")</f>
        <v/>
      </c>
      <c r="E108">
        <f>ROUNDUP(C108/3,0)</f>
        <v/>
      </c>
      <c r="F108">
        <f>YEAR(A108)</f>
        <v/>
      </c>
      <c r="G108">
        <f>F108&amp;"-"&amp;TEXT(C108,"00")</f>
        <v/>
      </c>
    </row>
    <row r="109">
      <c r="A109" s="116">
        <f>A108+7</f>
        <v/>
      </c>
      <c r="B109">
        <f>INT((A109-DATE(YEAR(A109),1,1))/7)+1</f>
        <v/>
      </c>
      <c r="C109">
        <f>MONTH(A109)</f>
        <v/>
      </c>
      <c r="D109">
        <f>TEXT(A109,"mmm")</f>
        <v/>
      </c>
      <c r="E109">
        <f>ROUNDUP(C109/3,0)</f>
        <v/>
      </c>
      <c r="F109">
        <f>YEAR(A109)</f>
        <v/>
      </c>
      <c r="G109">
        <f>F109&amp;"-"&amp;TEXT(C109,"00")</f>
        <v/>
      </c>
    </row>
    <row r="110">
      <c r="A110" s="116">
        <f>A109+7</f>
        <v/>
      </c>
      <c r="B110">
        <f>INT((A110-DATE(YEAR(A110),1,1))/7)+1</f>
        <v/>
      </c>
      <c r="C110">
        <f>MONTH(A110)</f>
        <v/>
      </c>
      <c r="D110">
        <f>TEXT(A110,"mmm")</f>
        <v/>
      </c>
      <c r="E110">
        <f>ROUNDUP(C110/3,0)</f>
        <v/>
      </c>
      <c r="F110">
        <f>YEAR(A110)</f>
        <v/>
      </c>
      <c r="G110">
        <f>F110&amp;"-"&amp;TEXT(C110,"00")</f>
        <v/>
      </c>
    </row>
    <row r="111">
      <c r="A111" s="116">
        <f>A110+7</f>
        <v/>
      </c>
      <c r="B111">
        <f>INT((A111-DATE(YEAR(A111),1,1))/7)+1</f>
        <v/>
      </c>
      <c r="C111">
        <f>MONTH(A111)</f>
        <v/>
      </c>
      <c r="D111">
        <f>TEXT(A111,"mmm")</f>
        <v/>
      </c>
      <c r="E111">
        <f>ROUNDUP(C111/3,0)</f>
        <v/>
      </c>
      <c r="F111">
        <f>YEAR(A111)</f>
        <v/>
      </c>
      <c r="G111">
        <f>F111&amp;"-"&amp;TEXT(C111,"00")</f>
        <v/>
      </c>
    </row>
    <row r="112">
      <c r="A112" s="116">
        <f>A111+7</f>
        <v/>
      </c>
      <c r="B112">
        <f>INT((A112-DATE(YEAR(A112),1,1))/7)+1</f>
        <v/>
      </c>
      <c r="C112">
        <f>MONTH(A112)</f>
        <v/>
      </c>
      <c r="D112">
        <f>TEXT(A112,"mmm")</f>
        <v/>
      </c>
      <c r="E112">
        <f>ROUNDUP(C112/3,0)</f>
        <v/>
      </c>
      <c r="F112">
        <f>YEAR(A112)</f>
        <v/>
      </c>
      <c r="G112">
        <f>F112&amp;"-"&amp;TEXT(C112,"00")</f>
        <v/>
      </c>
    </row>
    <row r="113">
      <c r="A113" s="116">
        <f>A112+7</f>
        <v/>
      </c>
      <c r="B113">
        <f>INT((A113-DATE(YEAR(A113),1,1))/7)+1</f>
        <v/>
      </c>
      <c r="C113">
        <f>MONTH(A113)</f>
        <v/>
      </c>
      <c r="D113">
        <f>TEXT(A113,"mmm")</f>
        <v/>
      </c>
      <c r="E113">
        <f>ROUNDUP(C113/3,0)</f>
        <v/>
      </c>
      <c r="F113">
        <f>YEAR(A113)</f>
        <v/>
      </c>
      <c r="G113">
        <f>F113&amp;"-"&amp;TEXT(C113,"00")</f>
        <v/>
      </c>
    </row>
    <row r="114">
      <c r="A114" s="116">
        <f>A113+7</f>
        <v/>
      </c>
      <c r="B114">
        <f>INT((A114-DATE(YEAR(A114),1,1))/7)+1</f>
        <v/>
      </c>
      <c r="C114">
        <f>MONTH(A114)</f>
        <v/>
      </c>
      <c r="D114">
        <f>TEXT(A114,"mmm")</f>
        <v/>
      </c>
      <c r="E114">
        <f>ROUNDUP(C114/3,0)</f>
        <v/>
      </c>
      <c r="F114">
        <f>YEAR(A114)</f>
        <v/>
      </c>
      <c r="G114">
        <f>F114&amp;"-"&amp;TEXT(C114,"00")</f>
        <v/>
      </c>
    </row>
    <row r="115">
      <c r="A115" s="116">
        <f>A114+7</f>
        <v/>
      </c>
      <c r="B115">
        <f>INT((A115-DATE(YEAR(A115),1,1))/7)+1</f>
        <v/>
      </c>
      <c r="C115">
        <f>MONTH(A115)</f>
        <v/>
      </c>
      <c r="D115">
        <f>TEXT(A115,"mmm")</f>
        <v/>
      </c>
      <c r="E115">
        <f>ROUNDUP(C115/3,0)</f>
        <v/>
      </c>
      <c r="F115">
        <f>YEAR(A115)</f>
        <v/>
      </c>
      <c r="G115">
        <f>F115&amp;"-"&amp;TEXT(C115,"00")</f>
        <v/>
      </c>
    </row>
    <row r="116">
      <c r="A116" s="116">
        <f>A115+7</f>
        <v/>
      </c>
      <c r="B116">
        <f>INT((A116-DATE(YEAR(A116),1,1))/7)+1</f>
        <v/>
      </c>
      <c r="C116">
        <f>MONTH(A116)</f>
        <v/>
      </c>
      <c r="D116">
        <f>TEXT(A116,"mmm")</f>
        <v/>
      </c>
      <c r="E116">
        <f>ROUNDUP(C116/3,0)</f>
        <v/>
      </c>
      <c r="F116">
        <f>YEAR(A116)</f>
        <v/>
      </c>
      <c r="G116">
        <f>F116&amp;"-"&amp;TEXT(C116,"00")</f>
        <v/>
      </c>
    </row>
    <row r="117">
      <c r="A117" s="116">
        <f>A116+7</f>
        <v/>
      </c>
      <c r="B117">
        <f>INT((A117-DATE(YEAR(A117),1,1))/7)+1</f>
        <v/>
      </c>
      <c r="C117">
        <f>MONTH(A117)</f>
        <v/>
      </c>
      <c r="D117">
        <f>TEXT(A117,"mmm")</f>
        <v/>
      </c>
      <c r="E117">
        <f>ROUNDUP(C117/3,0)</f>
        <v/>
      </c>
      <c r="F117">
        <f>YEAR(A117)</f>
        <v/>
      </c>
      <c r="G117">
        <f>F117&amp;"-"&amp;TEXT(C117,"00")</f>
        <v/>
      </c>
    </row>
    <row r="118">
      <c r="A118" s="116">
        <f>A117+7</f>
        <v/>
      </c>
      <c r="B118">
        <f>INT((A118-DATE(YEAR(A118),1,1))/7)+1</f>
        <v/>
      </c>
      <c r="C118">
        <f>MONTH(A118)</f>
        <v/>
      </c>
      <c r="D118">
        <f>TEXT(A118,"mmm")</f>
        <v/>
      </c>
      <c r="E118">
        <f>ROUNDUP(C118/3,0)</f>
        <v/>
      </c>
      <c r="F118">
        <f>YEAR(A118)</f>
        <v/>
      </c>
      <c r="G118">
        <f>F118&amp;"-"&amp;TEXT(C118,"00")</f>
        <v/>
      </c>
    </row>
    <row r="119">
      <c r="A119" s="116">
        <f>A118+7</f>
        <v/>
      </c>
      <c r="B119">
        <f>INT((A119-DATE(YEAR(A119),1,1))/7)+1</f>
        <v/>
      </c>
      <c r="C119">
        <f>MONTH(A119)</f>
        <v/>
      </c>
      <c r="D119">
        <f>TEXT(A119,"mmm")</f>
        <v/>
      </c>
      <c r="E119">
        <f>ROUNDUP(C119/3,0)</f>
        <v/>
      </c>
      <c r="F119">
        <f>YEAR(A119)</f>
        <v/>
      </c>
      <c r="G119">
        <f>F119&amp;"-"&amp;TEXT(C119,"00")</f>
        <v/>
      </c>
    </row>
    <row r="120">
      <c r="A120" s="116">
        <f>A119+7</f>
        <v/>
      </c>
      <c r="B120">
        <f>INT((A120-DATE(YEAR(A120),1,1))/7)+1</f>
        <v/>
      </c>
      <c r="C120">
        <f>MONTH(A120)</f>
        <v/>
      </c>
      <c r="D120">
        <f>TEXT(A120,"mmm")</f>
        <v/>
      </c>
      <c r="E120">
        <f>ROUNDUP(C120/3,0)</f>
        <v/>
      </c>
      <c r="F120">
        <f>YEAR(A120)</f>
        <v/>
      </c>
      <c r="G120">
        <f>F120&amp;"-"&amp;TEXT(C120,"00")</f>
        <v/>
      </c>
    </row>
    <row r="121">
      <c r="A121" s="116">
        <f>A120+7</f>
        <v/>
      </c>
      <c r="B121">
        <f>INT((A121-DATE(YEAR(A121),1,1))/7)+1</f>
        <v/>
      </c>
      <c r="C121">
        <f>MONTH(A121)</f>
        <v/>
      </c>
      <c r="D121">
        <f>TEXT(A121,"mmm")</f>
        <v/>
      </c>
      <c r="E121">
        <f>ROUNDUP(C121/3,0)</f>
        <v/>
      </c>
      <c r="F121">
        <f>YEAR(A121)</f>
        <v/>
      </c>
      <c r="G121">
        <f>F121&amp;"-"&amp;TEXT(C121,"00")</f>
        <v/>
      </c>
    </row>
    <row r="122">
      <c r="A122" s="116">
        <f>A121+7</f>
        <v/>
      </c>
      <c r="B122">
        <f>INT((A122-DATE(YEAR(A122),1,1))/7)+1</f>
        <v/>
      </c>
      <c r="C122">
        <f>MONTH(A122)</f>
        <v/>
      </c>
      <c r="D122">
        <f>TEXT(A122,"mmm")</f>
        <v/>
      </c>
      <c r="E122">
        <f>ROUNDUP(C122/3,0)</f>
        <v/>
      </c>
      <c r="F122">
        <f>YEAR(A122)</f>
        <v/>
      </c>
      <c r="G122">
        <f>F122&amp;"-"&amp;TEXT(C122,"00")</f>
        <v/>
      </c>
    </row>
    <row r="123">
      <c r="A123" s="116">
        <f>A122+7</f>
        <v/>
      </c>
      <c r="B123">
        <f>INT((A123-DATE(YEAR(A123),1,1))/7)+1</f>
        <v/>
      </c>
      <c r="C123">
        <f>MONTH(A123)</f>
        <v/>
      </c>
      <c r="D123">
        <f>TEXT(A123,"mmm")</f>
        <v/>
      </c>
      <c r="E123">
        <f>ROUNDUP(C123/3,0)</f>
        <v/>
      </c>
      <c r="F123">
        <f>YEAR(A123)</f>
        <v/>
      </c>
      <c r="G123">
        <f>F123&amp;"-"&amp;TEXT(C123,"00")</f>
        <v/>
      </c>
    </row>
    <row r="124">
      <c r="A124" s="116">
        <f>A123+7</f>
        <v/>
      </c>
      <c r="B124">
        <f>INT((A124-DATE(YEAR(A124),1,1))/7)+1</f>
        <v/>
      </c>
      <c r="C124">
        <f>MONTH(A124)</f>
        <v/>
      </c>
      <c r="D124">
        <f>TEXT(A124,"mmm")</f>
        <v/>
      </c>
      <c r="E124">
        <f>ROUNDUP(C124/3,0)</f>
        <v/>
      </c>
      <c r="F124">
        <f>YEAR(A124)</f>
        <v/>
      </c>
      <c r="G124">
        <f>F124&amp;"-"&amp;TEXT(C124,"00")</f>
        <v/>
      </c>
    </row>
    <row r="125">
      <c r="A125" s="116">
        <f>A124+7</f>
        <v/>
      </c>
      <c r="B125">
        <f>INT((A125-DATE(YEAR(A125),1,1))/7)+1</f>
        <v/>
      </c>
      <c r="C125">
        <f>MONTH(A125)</f>
        <v/>
      </c>
      <c r="D125">
        <f>TEXT(A125,"mmm")</f>
        <v/>
      </c>
      <c r="E125">
        <f>ROUNDUP(C125/3,0)</f>
        <v/>
      </c>
      <c r="F125">
        <f>YEAR(A125)</f>
        <v/>
      </c>
      <c r="G125">
        <f>F125&amp;"-"&amp;TEXT(C125,"00")</f>
        <v/>
      </c>
    </row>
    <row r="126">
      <c r="A126" s="116">
        <f>A125+7</f>
        <v/>
      </c>
      <c r="B126">
        <f>INT((A126-DATE(YEAR(A126),1,1))/7)+1</f>
        <v/>
      </c>
      <c r="C126">
        <f>MONTH(A126)</f>
        <v/>
      </c>
      <c r="D126">
        <f>TEXT(A126,"mmm")</f>
        <v/>
      </c>
      <c r="E126">
        <f>ROUNDUP(C126/3,0)</f>
        <v/>
      </c>
      <c r="F126">
        <f>YEAR(A126)</f>
        <v/>
      </c>
      <c r="G126">
        <f>F126&amp;"-"&amp;TEXT(C126,"00")</f>
        <v/>
      </c>
    </row>
    <row r="127">
      <c r="A127" s="116">
        <f>A126+7</f>
        <v/>
      </c>
      <c r="B127">
        <f>INT((A127-DATE(YEAR(A127),1,1))/7)+1</f>
        <v/>
      </c>
      <c r="C127">
        <f>MONTH(A127)</f>
        <v/>
      </c>
      <c r="D127">
        <f>TEXT(A127,"mmm")</f>
        <v/>
      </c>
      <c r="E127">
        <f>ROUNDUP(C127/3,0)</f>
        <v/>
      </c>
      <c r="F127">
        <f>YEAR(A127)</f>
        <v/>
      </c>
      <c r="G127">
        <f>F127&amp;"-"&amp;TEXT(C127,"00")</f>
        <v/>
      </c>
    </row>
    <row r="128">
      <c r="A128" s="116">
        <f>A127+7</f>
        <v/>
      </c>
      <c r="B128">
        <f>INT((A128-DATE(YEAR(A128),1,1))/7)+1</f>
        <v/>
      </c>
      <c r="C128">
        <f>MONTH(A128)</f>
        <v/>
      </c>
      <c r="D128">
        <f>TEXT(A128,"mmm")</f>
        <v/>
      </c>
      <c r="E128">
        <f>ROUNDUP(C128/3,0)</f>
        <v/>
      </c>
      <c r="F128">
        <f>YEAR(A128)</f>
        <v/>
      </c>
      <c r="G128">
        <f>F128&amp;"-"&amp;TEXT(C128,"00")</f>
        <v/>
      </c>
    </row>
    <row r="129">
      <c r="A129" s="116">
        <f>A128+7</f>
        <v/>
      </c>
      <c r="B129">
        <f>INT((A129-DATE(YEAR(A129),1,1))/7)+1</f>
        <v/>
      </c>
      <c r="C129">
        <f>MONTH(A129)</f>
        <v/>
      </c>
      <c r="D129">
        <f>TEXT(A129,"mmm")</f>
        <v/>
      </c>
      <c r="E129">
        <f>ROUNDUP(C129/3,0)</f>
        <v/>
      </c>
      <c r="F129">
        <f>YEAR(A129)</f>
        <v/>
      </c>
      <c r="G129">
        <f>F129&amp;"-"&amp;TEXT(C129,"00")</f>
        <v/>
      </c>
    </row>
    <row r="130">
      <c r="A130" s="116">
        <f>A129+7</f>
        <v/>
      </c>
      <c r="B130">
        <f>INT((A130-DATE(YEAR(A130),1,1))/7)+1</f>
        <v/>
      </c>
      <c r="C130">
        <f>MONTH(A130)</f>
        <v/>
      </c>
      <c r="D130">
        <f>TEXT(A130,"mmm")</f>
        <v/>
      </c>
      <c r="E130">
        <f>ROUNDUP(C130/3,0)</f>
        <v/>
      </c>
      <c r="F130">
        <f>YEAR(A130)</f>
        <v/>
      </c>
      <c r="G130">
        <f>F130&amp;"-"&amp;TEXT(C130,"00")</f>
        <v/>
      </c>
    </row>
    <row r="131">
      <c r="A131" s="116">
        <f>A130+7</f>
        <v/>
      </c>
      <c r="B131">
        <f>INT((A131-DATE(YEAR(A131),1,1))/7)+1</f>
        <v/>
      </c>
      <c r="C131">
        <f>MONTH(A131)</f>
        <v/>
      </c>
      <c r="D131">
        <f>TEXT(A131,"mmm")</f>
        <v/>
      </c>
      <c r="E131">
        <f>ROUNDUP(C131/3,0)</f>
        <v/>
      </c>
      <c r="F131">
        <f>YEAR(A131)</f>
        <v/>
      </c>
      <c r="G131">
        <f>F131&amp;"-"&amp;TEXT(C131,"00")</f>
        <v/>
      </c>
    </row>
    <row r="132">
      <c r="A132" s="116">
        <f>A131+7</f>
        <v/>
      </c>
      <c r="B132">
        <f>INT((A132-DATE(YEAR(A132),1,1))/7)+1</f>
        <v/>
      </c>
      <c r="C132">
        <f>MONTH(A132)</f>
        <v/>
      </c>
      <c r="D132">
        <f>TEXT(A132,"mmm")</f>
        <v/>
      </c>
      <c r="E132">
        <f>ROUNDUP(C132/3,0)</f>
        <v/>
      </c>
      <c r="F132">
        <f>YEAR(A132)</f>
        <v/>
      </c>
      <c r="G132">
        <f>F132&amp;"-"&amp;TEXT(C132,"00")</f>
        <v/>
      </c>
    </row>
    <row r="133">
      <c r="A133" s="116">
        <f>A132+7</f>
        <v/>
      </c>
      <c r="B133">
        <f>INT((A133-DATE(YEAR(A133),1,1))/7)+1</f>
        <v/>
      </c>
      <c r="C133">
        <f>MONTH(A133)</f>
        <v/>
      </c>
      <c r="D133">
        <f>TEXT(A133,"mmm")</f>
        <v/>
      </c>
      <c r="E133">
        <f>ROUNDUP(C133/3,0)</f>
        <v/>
      </c>
      <c r="F133">
        <f>YEAR(A133)</f>
        <v/>
      </c>
      <c r="G133">
        <f>F133&amp;"-"&amp;TEXT(C133,"00")</f>
        <v/>
      </c>
    </row>
    <row r="134">
      <c r="A134" s="116">
        <f>A133+7</f>
        <v/>
      </c>
      <c r="B134">
        <f>INT((A134-DATE(YEAR(A134),1,1))/7)+1</f>
        <v/>
      </c>
      <c r="C134">
        <f>MONTH(A134)</f>
        <v/>
      </c>
      <c r="D134">
        <f>TEXT(A134,"mmm")</f>
        <v/>
      </c>
      <c r="E134">
        <f>ROUNDUP(C134/3,0)</f>
        <v/>
      </c>
      <c r="F134">
        <f>YEAR(A134)</f>
        <v/>
      </c>
      <c r="G134">
        <f>F134&amp;"-"&amp;TEXT(C134,"00")</f>
        <v/>
      </c>
    </row>
    <row r="135">
      <c r="A135" s="116">
        <f>A134+7</f>
        <v/>
      </c>
      <c r="B135">
        <f>INT((A135-DATE(YEAR(A135),1,1))/7)+1</f>
        <v/>
      </c>
      <c r="C135">
        <f>MONTH(A135)</f>
        <v/>
      </c>
      <c r="D135">
        <f>TEXT(A135,"mmm")</f>
        <v/>
      </c>
      <c r="E135">
        <f>ROUNDUP(C135/3,0)</f>
        <v/>
      </c>
      <c r="F135">
        <f>YEAR(A135)</f>
        <v/>
      </c>
      <c r="G135">
        <f>F135&amp;"-"&amp;TEXT(C135,"00")</f>
        <v/>
      </c>
    </row>
    <row r="136">
      <c r="A136" s="116">
        <f>A135+7</f>
        <v/>
      </c>
      <c r="B136">
        <f>INT((A136-DATE(YEAR(A136),1,1))/7)+1</f>
        <v/>
      </c>
      <c r="C136">
        <f>MONTH(A136)</f>
        <v/>
      </c>
      <c r="D136">
        <f>TEXT(A136,"mmm")</f>
        <v/>
      </c>
      <c r="E136">
        <f>ROUNDUP(C136/3,0)</f>
        <v/>
      </c>
      <c r="F136">
        <f>YEAR(A136)</f>
        <v/>
      </c>
      <c r="G136">
        <f>F136&amp;"-"&amp;TEXT(C136,"00")</f>
        <v/>
      </c>
    </row>
    <row r="137">
      <c r="A137" s="116">
        <f>A136+7</f>
        <v/>
      </c>
      <c r="B137">
        <f>INT((A137-DATE(YEAR(A137),1,1))/7)+1</f>
        <v/>
      </c>
      <c r="C137">
        <f>MONTH(A137)</f>
        <v/>
      </c>
      <c r="D137">
        <f>TEXT(A137,"mmm")</f>
        <v/>
      </c>
      <c r="E137">
        <f>ROUNDUP(C137/3,0)</f>
        <v/>
      </c>
      <c r="F137">
        <f>YEAR(A137)</f>
        <v/>
      </c>
      <c r="G137">
        <f>F137&amp;"-"&amp;TEXT(C137,"00")</f>
        <v/>
      </c>
    </row>
    <row r="138">
      <c r="A138" s="116">
        <f>A137+7</f>
        <v/>
      </c>
      <c r="B138">
        <f>INT((A138-DATE(YEAR(A138),1,1))/7)+1</f>
        <v/>
      </c>
      <c r="C138">
        <f>MONTH(A138)</f>
        <v/>
      </c>
      <c r="D138">
        <f>TEXT(A138,"mmm")</f>
        <v/>
      </c>
      <c r="E138">
        <f>ROUNDUP(C138/3,0)</f>
        <v/>
      </c>
      <c r="F138">
        <f>YEAR(A138)</f>
        <v/>
      </c>
      <c r="G138">
        <f>F138&amp;"-"&amp;TEXT(C138,"00")</f>
        <v/>
      </c>
    </row>
    <row r="139">
      <c r="A139" s="116">
        <f>A138+7</f>
        <v/>
      </c>
      <c r="B139">
        <f>INT((A139-DATE(YEAR(A139),1,1))/7)+1</f>
        <v/>
      </c>
      <c r="C139">
        <f>MONTH(A139)</f>
        <v/>
      </c>
      <c r="D139">
        <f>TEXT(A139,"mmm")</f>
        <v/>
      </c>
      <c r="E139">
        <f>ROUNDUP(C139/3,0)</f>
        <v/>
      </c>
      <c r="F139">
        <f>YEAR(A139)</f>
        <v/>
      </c>
      <c r="G139">
        <f>F139&amp;"-"&amp;TEXT(C139,"00")</f>
        <v/>
      </c>
    </row>
    <row r="140">
      <c r="A140" s="116">
        <f>A139+7</f>
        <v/>
      </c>
      <c r="B140">
        <f>INT((A140-DATE(YEAR(A140),1,1))/7)+1</f>
        <v/>
      </c>
      <c r="C140">
        <f>MONTH(A140)</f>
        <v/>
      </c>
      <c r="D140">
        <f>TEXT(A140,"mmm")</f>
        <v/>
      </c>
      <c r="E140">
        <f>ROUNDUP(C140/3,0)</f>
        <v/>
      </c>
      <c r="F140">
        <f>YEAR(A140)</f>
        <v/>
      </c>
      <c r="G140">
        <f>F140&amp;"-"&amp;TEXT(C140,"00")</f>
        <v/>
      </c>
    </row>
    <row r="141">
      <c r="A141" s="116">
        <f>A140+7</f>
        <v/>
      </c>
      <c r="B141">
        <f>INT((A141-DATE(YEAR(A141),1,1))/7)+1</f>
        <v/>
      </c>
      <c r="C141">
        <f>MONTH(A141)</f>
        <v/>
      </c>
      <c r="D141">
        <f>TEXT(A141,"mmm")</f>
        <v/>
      </c>
      <c r="E141">
        <f>ROUNDUP(C141/3,0)</f>
        <v/>
      </c>
      <c r="F141">
        <f>YEAR(A141)</f>
        <v/>
      </c>
      <c r="G141">
        <f>F141&amp;"-"&amp;TEXT(C141,"00")</f>
        <v/>
      </c>
    </row>
    <row r="142">
      <c r="A142" s="116">
        <f>A141+7</f>
        <v/>
      </c>
      <c r="B142">
        <f>INT((A142-DATE(YEAR(A142),1,1))/7)+1</f>
        <v/>
      </c>
      <c r="C142">
        <f>MONTH(A142)</f>
        <v/>
      </c>
      <c r="D142">
        <f>TEXT(A142,"mmm")</f>
        <v/>
      </c>
      <c r="E142">
        <f>ROUNDUP(C142/3,0)</f>
        <v/>
      </c>
      <c r="F142">
        <f>YEAR(A142)</f>
        <v/>
      </c>
      <c r="G142">
        <f>F142&amp;"-"&amp;TEXT(C142,"00")</f>
        <v/>
      </c>
    </row>
    <row r="143">
      <c r="A143" s="116">
        <f>A142+7</f>
        <v/>
      </c>
      <c r="B143">
        <f>INT((A143-DATE(YEAR(A143),1,1))/7)+1</f>
        <v/>
      </c>
      <c r="C143">
        <f>MONTH(A143)</f>
        <v/>
      </c>
      <c r="D143">
        <f>TEXT(A143,"mmm")</f>
        <v/>
      </c>
      <c r="E143">
        <f>ROUNDUP(C143/3,0)</f>
        <v/>
      </c>
      <c r="F143">
        <f>YEAR(A143)</f>
        <v/>
      </c>
      <c r="G143">
        <f>F143&amp;"-"&amp;TEXT(C143,"00")</f>
        <v/>
      </c>
    </row>
    <row r="144">
      <c r="A144" s="116">
        <f>A143+7</f>
        <v/>
      </c>
      <c r="B144">
        <f>INT((A144-DATE(YEAR(A144),1,1))/7)+1</f>
        <v/>
      </c>
      <c r="C144">
        <f>MONTH(A144)</f>
        <v/>
      </c>
      <c r="D144">
        <f>TEXT(A144,"mmm")</f>
        <v/>
      </c>
      <c r="E144">
        <f>ROUNDUP(C144/3,0)</f>
        <v/>
      </c>
      <c r="F144">
        <f>YEAR(A144)</f>
        <v/>
      </c>
      <c r="G144">
        <f>F144&amp;"-"&amp;TEXT(C144,"00")</f>
        <v/>
      </c>
    </row>
    <row r="145">
      <c r="A145" s="116">
        <f>A144+7</f>
        <v/>
      </c>
      <c r="B145">
        <f>INT((A145-DATE(YEAR(A145),1,1))/7)+1</f>
        <v/>
      </c>
      <c r="C145">
        <f>MONTH(A145)</f>
        <v/>
      </c>
      <c r="D145">
        <f>TEXT(A145,"mmm")</f>
        <v/>
      </c>
      <c r="E145">
        <f>ROUNDUP(C145/3,0)</f>
        <v/>
      </c>
      <c r="F145">
        <f>YEAR(A145)</f>
        <v/>
      </c>
      <c r="G145">
        <f>F145&amp;"-"&amp;TEXT(C145,"00")</f>
        <v/>
      </c>
    </row>
    <row r="146">
      <c r="A146" s="116">
        <f>A145+7</f>
        <v/>
      </c>
      <c r="B146">
        <f>INT((A146-DATE(YEAR(A146),1,1))/7)+1</f>
        <v/>
      </c>
      <c r="C146">
        <f>MONTH(A146)</f>
        <v/>
      </c>
      <c r="D146">
        <f>TEXT(A146,"mmm")</f>
        <v/>
      </c>
      <c r="E146">
        <f>ROUNDUP(C146/3,0)</f>
        <v/>
      </c>
      <c r="F146">
        <f>YEAR(A146)</f>
        <v/>
      </c>
      <c r="G146">
        <f>F146&amp;"-"&amp;TEXT(C146,"00")</f>
        <v/>
      </c>
    </row>
    <row r="147">
      <c r="A147" s="116">
        <f>A146+7</f>
        <v/>
      </c>
      <c r="B147">
        <f>INT((A147-DATE(YEAR(A147),1,1))/7)+1</f>
        <v/>
      </c>
      <c r="C147">
        <f>MONTH(A147)</f>
        <v/>
      </c>
      <c r="D147">
        <f>TEXT(A147,"mmm")</f>
        <v/>
      </c>
      <c r="E147">
        <f>ROUNDUP(C147/3,0)</f>
        <v/>
      </c>
      <c r="F147">
        <f>YEAR(A147)</f>
        <v/>
      </c>
      <c r="G147">
        <f>F147&amp;"-"&amp;TEXT(C147,"00")</f>
        <v/>
      </c>
    </row>
    <row r="148">
      <c r="A148" s="116">
        <f>A147+7</f>
        <v/>
      </c>
      <c r="B148">
        <f>INT((A148-DATE(YEAR(A148),1,1))/7)+1</f>
        <v/>
      </c>
      <c r="C148">
        <f>MONTH(A148)</f>
        <v/>
      </c>
      <c r="D148">
        <f>TEXT(A148,"mmm")</f>
        <v/>
      </c>
      <c r="E148">
        <f>ROUNDUP(C148/3,0)</f>
        <v/>
      </c>
      <c r="F148">
        <f>YEAR(A148)</f>
        <v/>
      </c>
      <c r="G148">
        <f>F148&amp;"-"&amp;TEXT(C148,"00")</f>
        <v/>
      </c>
    </row>
    <row r="149">
      <c r="A149" s="116">
        <f>A148+7</f>
        <v/>
      </c>
      <c r="B149">
        <f>INT((A149-DATE(YEAR(A149),1,1))/7)+1</f>
        <v/>
      </c>
      <c r="C149">
        <f>MONTH(A149)</f>
        <v/>
      </c>
      <c r="D149">
        <f>TEXT(A149,"mmm")</f>
        <v/>
      </c>
      <c r="E149">
        <f>ROUNDUP(C149/3,0)</f>
        <v/>
      </c>
      <c r="F149">
        <f>YEAR(A149)</f>
        <v/>
      </c>
      <c r="G149">
        <f>F149&amp;"-"&amp;TEXT(C149,"00")</f>
        <v/>
      </c>
    </row>
    <row r="150">
      <c r="A150" s="116">
        <f>A149+7</f>
        <v/>
      </c>
      <c r="B150">
        <f>INT((A150-DATE(YEAR(A150),1,1))/7)+1</f>
        <v/>
      </c>
      <c r="C150">
        <f>MONTH(A150)</f>
        <v/>
      </c>
      <c r="D150">
        <f>TEXT(A150,"mmm")</f>
        <v/>
      </c>
      <c r="E150">
        <f>ROUNDUP(C150/3,0)</f>
        <v/>
      </c>
      <c r="F150">
        <f>YEAR(A150)</f>
        <v/>
      </c>
      <c r="G150">
        <f>F150&amp;"-"&amp;TEXT(C150,"00")</f>
        <v/>
      </c>
    </row>
    <row r="151">
      <c r="A151" s="116">
        <f>A150+7</f>
        <v/>
      </c>
      <c r="B151">
        <f>INT((A151-DATE(YEAR(A151),1,1))/7)+1</f>
        <v/>
      </c>
      <c r="C151">
        <f>MONTH(A151)</f>
        <v/>
      </c>
      <c r="D151">
        <f>TEXT(A151,"mmm")</f>
        <v/>
      </c>
      <c r="E151">
        <f>ROUNDUP(C151/3,0)</f>
        <v/>
      </c>
      <c r="F151">
        <f>YEAR(A151)</f>
        <v/>
      </c>
      <c r="G151">
        <f>F151&amp;"-"&amp;TEXT(C151,"00")</f>
        <v/>
      </c>
    </row>
    <row r="152">
      <c r="A152" s="116">
        <f>A151+7</f>
        <v/>
      </c>
      <c r="B152">
        <f>INT((A152-DATE(YEAR(A152),1,1))/7)+1</f>
        <v/>
      </c>
      <c r="C152">
        <f>MONTH(A152)</f>
        <v/>
      </c>
      <c r="D152">
        <f>TEXT(A152,"mmm")</f>
        <v/>
      </c>
      <c r="E152">
        <f>ROUNDUP(C152/3,0)</f>
        <v/>
      </c>
      <c r="F152">
        <f>YEAR(A152)</f>
        <v/>
      </c>
      <c r="G152">
        <f>F152&amp;"-"&amp;TEXT(C152,"00")</f>
        <v/>
      </c>
    </row>
    <row r="153">
      <c r="A153" s="116">
        <f>A152+7</f>
        <v/>
      </c>
      <c r="B153">
        <f>INT((A153-DATE(YEAR(A153),1,1))/7)+1</f>
        <v/>
      </c>
      <c r="C153">
        <f>MONTH(A153)</f>
        <v/>
      </c>
      <c r="D153">
        <f>TEXT(A153,"mmm")</f>
        <v/>
      </c>
      <c r="E153">
        <f>ROUNDUP(C153/3,0)</f>
        <v/>
      </c>
      <c r="F153">
        <f>YEAR(A153)</f>
        <v/>
      </c>
      <c r="G153">
        <f>F153&amp;"-"&amp;TEXT(C153,"00")</f>
        <v/>
      </c>
    </row>
    <row r="154">
      <c r="A154" s="116">
        <f>A153+7</f>
        <v/>
      </c>
      <c r="B154">
        <f>INT((A154-DATE(YEAR(A154),1,1))/7)+1</f>
        <v/>
      </c>
      <c r="C154">
        <f>MONTH(A154)</f>
        <v/>
      </c>
      <c r="D154">
        <f>TEXT(A154,"mmm")</f>
        <v/>
      </c>
      <c r="E154">
        <f>ROUNDUP(C154/3,0)</f>
        <v/>
      </c>
      <c r="F154">
        <f>YEAR(A154)</f>
        <v/>
      </c>
      <c r="G154">
        <f>F154&amp;"-"&amp;TEXT(C154,"00")</f>
        <v/>
      </c>
    </row>
    <row r="155">
      <c r="A155" s="116">
        <f>A154+7</f>
        <v/>
      </c>
      <c r="B155">
        <f>INT((A155-DATE(YEAR(A155),1,1))/7)+1</f>
        <v/>
      </c>
      <c r="C155">
        <f>MONTH(A155)</f>
        <v/>
      </c>
      <c r="D155">
        <f>TEXT(A155,"mmm")</f>
        <v/>
      </c>
      <c r="E155">
        <f>ROUNDUP(C155/3,0)</f>
        <v/>
      </c>
      <c r="F155">
        <f>YEAR(A155)</f>
        <v/>
      </c>
      <c r="G155">
        <f>F155&amp;"-"&amp;TEXT(C155,"00")</f>
        <v/>
      </c>
    </row>
    <row r="156">
      <c r="A156" s="116">
        <f>A155+7</f>
        <v/>
      </c>
      <c r="B156">
        <f>INT((A156-DATE(YEAR(A156),1,1))/7)+1</f>
        <v/>
      </c>
      <c r="C156">
        <f>MONTH(A156)</f>
        <v/>
      </c>
      <c r="D156">
        <f>TEXT(A156,"mmm")</f>
        <v/>
      </c>
      <c r="E156">
        <f>ROUNDUP(C156/3,0)</f>
        <v/>
      </c>
      <c r="F156">
        <f>YEAR(A156)</f>
        <v/>
      </c>
      <c r="G156">
        <f>F156&amp;"-"&amp;TEXT(C156,"00")</f>
        <v/>
      </c>
    </row>
    <row r="157">
      <c r="A157" s="116">
        <f>A156+7</f>
        <v/>
      </c>
      <c r="B157">
        <f>INT((A157-DATE(YEAR(A157),1,1))/7)+1</f>
        <v/>
      </c>
      <c r="C157">
        <f>MONTH(A157)</f>
        <v/>
      </c>
      <c r="D157">
        <f>TEXT(A157,"mmm")</f>
        <v/>
      </c>
      <c r="E157">
        <f>ROUNDUP(C157/3,0)</f>
        <v/>
      </c>
      <c r="F157">
        <f>YEAR(A157)</f>
        <v/>
      </c>
      <c r="G157">
        <f>F157&amp;"-"&amp;TEXT(C157,"00")</f>
        <v/>
      </c>
    </row>
    <row r="158">
      <c r="A158" s="116">
        <f>A157+7</f>
        <v/>
      </c>
      <c r="B158">
        <f>INT((A158-DATE(YEAR(A158),1,1))/7)+1</f>
        <v/>
      </c>
      <c r="C158">
        <f>MONTH(A158)</f>
        <v/>
      </c>
      <c r="D158">
        <f>TEXT(A158,"mmm")</f>
        <v/>
      </c>
      <c r="E158">
        <f>ROUNDUP(C158/3,0)</f>
        <v/>
      </c>
      <c r="F158">
        <f>YEAR(A158)</f>
        <v/>
      </c>
      <c r="G158">
        <f>F158&amp;"-"&amp;TEXT(C158,"00")</f>
        <v/>
      </c>
    </row>
    <row r="159">
      <c r="A159" s="116">
        <f>A158+7</f>
        <v/>
      </c>
      <c r="B159">
        <f>INT((A159-DATE(YEAR(A159),1,1))/7)+1</f>
        <v/>
      </c>
      <c r="C159">
        <f>MONTH(A159)</f>
        <v/>
      </c>
      <c r="D159">
        <f>TEXT(A159,"mmm")</f>
        <v/>
      </c>
      <c r="E159">
        <f>ROUNDUP(C159/3,0)</f>
        <v/>
      </c>
      <c r="F159">
        <f>YEAR(A159)</f>
        <v/>
      </c>
      <c r="G159">
        <f>F159&amp;"-"&amp;TEXT(C159,"00")</f>
        <v/>
      </c>
    </row>
    <row r="160">
      <c r="A160" s="116">
        <f>A159+7</f>
        <v/>
      </c>
      <c r="B160">
        <f>INT((A160-DATE(YEAR(A160),1,1))/7)+1</f>
        <v/>
      </c>
      <c r="C160">
        <f>MONTH(A160)</f>
        <v/>
      </c>
      <c r="D160">
        <f>TEXT(A160,"mmm")</f>
        <v/>
      </c>
      <c r="E160">
        <f>ROUNDUP(C160/3,0)</f>
        <v/>
      </c>
      <c r="F160">
        <f>YEAR(A160)</f>
        <v/>
      </c>
      <c r="G160">
        <f>F160&amp;"-"&amp;TEXT(C160,"00")</f>
        <v/>
      </c>
    </row>
    <row r="161">
      <c r="A161" s="116">
        <f>A160+7</f>
        <v/>
      </c>
      <c r="B161">
        <f>INT((A161-DATE(YEAR(A161),1,1))/7)+1</f>
        <v/>
      </c>
      <c r="C161">
        <f>MONTH(A161)</f>
        <v/>
      </c>
      <c r="D161">
        <f>TEXT(A161,"mmm")</f>
        <v/>
      </c>
      <c r="E161">
        <f>ROUNDUP(C161/3,0)</f>
        <v/>
      </c>
      <c r="F161">
        <f>YEAR(A161)</f>
        <v/>
      </c>
      <c r="G161">
        <f>F161&amp;"-"&amp;TEXT(C161,"00")</f>
        <v/>
      </c>
    </row>
    <row r="162">
      <c r="A162" s="116">
        <f>A161+7</f>
        <v/>
      </c>
      <c r="B162">
        <f>INT((A162-DATE(YEAR(A162),1,1))/7)+1</f>
        <v/>
      </c>
      <c r="C162">
        <f>MONTH(A162)</f>
        <v/>
      </c>
      <c r="D162">
        <f>TEXT(A162,"mmm")</f>
        <v/>
      </c>
      <c r="E162">
        <f>ROUNDUP(C162/3,0)</f>
        <v/>
      </c>
      <c r="F162">
        <f>YEAR(A162)</f>
        <v/>
      </c>
      <c r="G162">
        <f>F162&amp;"-"&amp;TEXT(C162,"00")</f>
        <v/>
      </c>
    </row>
    <row r="163">
      <c r="A163" s="116">
        <f>A162+7</f>
        <v/>
      </c>
      <c r="B163">
        <f>INT((A163-DATE(YEAR(A163),1,1))/7)+1</f>
        <v/>
      </c>
      <c r="C163">
        <f>MONTH(A163)</f>
        <v/>
      </c>
      <c r="D163">
        <f>TEXT(A163,"mmm")</f>
        <v/>
      </c>
      <c r="E163">
        <f>ROUNDUP(C163/3,0)</f>
        <v/>
      </c>
      <c r="F163">
        <f>YEAR(A163)</f>
        <v/>
      </c>
      <c r="G163">
        <f>F163&amp;"-"&amp;TEXT(C163,"00")</f>
        <v/>
      </c>
    </row>
    <row r="164">
      <c r="A164" s="116">
        <f>A163+7</f>
        <v/>
      </c>
      <c r="B164">
        <f>INT((A164-DATE(YEAR(A164),1,1))/7)+1</f>
        <v/>
      </c>
      <c r="C164">
        <f>MONTH(A164)</f>
        <v/>
      </c>
      <c r="D164">
        <f>TEXT(A164,"mmm")</f>
        <v/>
      </c>
      <c r="E164">
        <f>ROUNDUP(C164/3,0)</f>
        <v/>
      </c>
      <c r="F164">
        <f>YEAR(A164)</f>
        <v/>
      </c>
      <c r="G164">
        <f>F164&amp;"-"&amp;TEXT(C164,"00")</f>
        <v/>
      </c>
    </row>
    <row r="165">
      <c r="A165" s="116">
        <f>A164+7</f>
        <v/>
      </c>
      <c r="B165">
        <f>INT((A165-DATE(YEAR(A165),1,1))/7)+1</f>
        <v/>
      </c>
      <c r="C165">
        <f>MONTH(A165)</f>
        <v/>
      </c>
      <c r="D165">
        <f>TEXT(A165,"mmm")</f>
        <v/>
      </c>
      <c r="E165">
        <f>ROUNDUP(C165/3,0)</f>
        <v/>
      </c>
      <c r="F165">
        <f>YEAR(A165)</f>
        <v/>
      </c>
      <c r="G165">
        <f>F165&amp;"-"&amp;TEXT(C165,"00")</f>
        <v/>
      </c>
    </row>
    <row r="166">
      <c r="A166" s="116">
        <f>A165+7</f>
        <v/>
      </c>
      <c r="B166">
        <f>INT((A166-DATE(YEAR(A166),1,1))/7)+1</f>
        <v/>
      </c>
      <c r="C166">
        <f>MONTH(A166)</f>
        <v/>
      </c>
      <c r="D166">
        <f>TEXT(A166,"mmm")</f>
        <v/>
      </c>
      <c r="E166">
        <f>ROUNDUP(C166/3,0)</f>
        <v/>
      </c>
      <c r="F166">
        <f>YEAR(A166)</f>
        <v/>
      </c>
      <c r="G166">
        <f>F166&amp;"-"&amp;TEXT(C166,"00")</f>
        <v/>
      </c>
    </row>
    <row r="167">
      <c r="A167" s="116">
        <f>A166+7</f>
        <v/>
      </c>
      <c r="B167">
        <f>INT((A167-DATE(YEAR(A167),1,1))/7)+1</f>
        <v/>
      </c>
      <c r="C167">
        <f>MONTH(A167)</f>
        <v/>
      </c>
      <c r="D167">
        <f>TEXT(A167,"mmm")</f>
        <v/>
      </c>
      <c r="E167">
        <f>ROUNDUP(C167/3,0)</f>
        <v/>
      </c>
      <c r="F167">
        <f>YEAR(A167)</f>
        <v/>
      </c>
      <c r="G167">
        <f>F167&amp;"-"&amp;TEXT(C167,"00")</f>
        <v/>
      </c>
    </row>
    <row r="168">
      <c r="A168" s="116">
        <f>A167+7</f>
        <v/>
      </c>
      <c r="B168">
        <f>INT((A168-DATE(YEAR(A168),1,1))/7)+1</f>
        <v/>
      </c>
      <c r="C168">
        <f>MONTH(A168)</f>
        <v/>
      </c>
      <c r="D168">
        <f>TEXT(A168,"mmm")</f>
        <v/>
      </c>
      <c r="E168">
        <f>ROUNDUP(C168/3,0)</f>
        <v/>
      </c>
      <c r="F168">
        <f>YEAR(A168)</f>
        <v/>
      </c>
      <c r="G168">
        <f>F168&amp;"-"&amp;TEXT(C168,"00")</f>
        <v/>
      </c>
    </row>
    <row r="169">
      <c r="A169" s="116">
        <f>A168+7</f>
        <v/>
      </c>
      <c r="B169">
        <f>INT((A169-DATE(YEAR(A169),1,1))/7)+1</f>
        <v/>
      </c>
      <c r="C169">
        <f>MONTH(A169)</f>
        <v/>
      </c>
      <c r="D169">
        <f>TEXT(A169,"mmm")</f>
        <v/>
      </c>
      <c r="E169">
        <f>ROUNDUP(C169/3,0)</f>
        <v/>
      </c>
      <c r="F169">
        <f>YEAR(A169)</f>
        <v/>
      </c>
      <c r="G169">
        <f>F169&amp;"-"&amp;TEXT(C169,"00")</f>
        <v/>
      </c>
    </row>
    <row r="170">
      <c r="A170" s="116">
        <f>A169+7</f>
        <v/>
      </c>
      <c r="B170">
        <f>INT((A170-DATE(YEAR(A170),1,1))/7)+1</f>
        <v/>
      </c>
      <c r="C170">
        <f>MONTH(A170)</f>
        <v/>
      </c>
      <c r="D170">
        <f>TEXT(A170,"mmm")</f>
        <v/>
      </c>
      <c r="E170">
        <f>ROUNDUP(C170/3,0)</f>
        <v/>
      </c>
      <c r="F170">
        <f>YEAR(A170)</f>
        <v/>
      </c>
      <c r="G170">
        <f>F170&amp;"-"&amp;TEXT(C170,"00")</f>
        <v/>
      </c>
    </row>
    <row r="171">
      <c r="A171" s="116">
        <f>A170+7</f>
        <v/>
      </c>
      <c r="B171">
        <f>INT((A171-DATE(YEAR(A171),1,1))/7)+1</f>
        <v/>
      </c>
      <c r="C171">
        <f>MONTH(A171)</f>
        <v/>
      </c>
      <c r="D171">
        <f>TEXT(A171,"mmm")</f>
        <v/>
      </c>
      <c r="E171">
        <f>ROUNDUP(C171/3,0)</f>
        <v/>
      </c>
      <c r="F171">
        <f>YEAR(A171)</f>
        <v/>
      </c>
      <c r="G171">
        <f>F171&amp;"-"&amp;TEXT(C171,"00")</f>
        <v/>
      </c>
    </row>
    <row r="172">
      <c r="A172" s="116">
        <f>A171+7</f>
        <v/>
      </c>
      <c r="B172">
        <f>INT((A172-DATE(YEAR(A172),1,1))/7)+1</f>
        <v/>
      </c>
      <c r="C172">
        <f>MONTH(A172)</f>
        <v/>
      </c>
      <c r="D172">
        <f>TEXT(A172,"mmm")</f>
        <v/>
      </c>
      <c r="E172">
        <f>ROUNDUP(C172/3,0)</f>
        <v/>
      </c>
      <c r="F172">
        <f>YEAR(A172)</f>
        <v/>
      </c>
      <c r="G172">
        <f>F172&amp;"-"&amp;TEXT(C172,"00")</f>
        <v/>
      </c>
    </row>
    <row r="173">
      <c r="A173" s="116">
        <f>A172+7</f>
        <v/>
      </c>
      <c r="B173">
        <f>INT((A173-DATE(YEAR(A173),1,1))/7)+1</f>
        <v/>
      </c>
      <c r="C173">
        <f>MONTH(A173)</f>
        <v/>
      </c>
      <c r="D173">
        <f>TEXT(A173,"mmm")</f>
        <v/>
      </c>
      <c r="E173">
        <f>ROUNDUP(C173/3,0)</f>
        <v/>
      </c>
      <c r="F173">
        <f>YEAR(A173)</f>
        <v/>
      </c>
      <c r="G173">
        <f>F173&amp;"-"&amp;TEXT(C173,"00")</f>
        <v/>
      </c>
    </row>
    <row r="174">
      <c r="A174" s="116">
        <f>A173+7</f>
        <v/>
      </c>
      <c r="B174">
        <f>INT((A174-DATE(YEAR(A174),1,1))/7)+1</f>
        <v/>
      </c>
      <c r="C174">
        <f>MONTH(A174)</f>
        <v/>
      </c>
      <c r="D174">
        <f>TEXT(A174,"mmm")</f>
        <v/>
      </c>
      <c r="E174">
        <f>ROUNDUP(C174/3,0)</f>
        <v/>
      </c>
      <c r="F174">
        <f>YEAR(A174)</f>
        <v/>
      </c>
      <c r="G174">
        <f>F174&amp;"-"&amp;TEXT(C174,"00")</f>
        <v/>
      </c>
    </row>
    <row r="175">
      <c r="A175" s="116">
        <f>A174+7</f>
        <v/>
      </c>
      <c r="B175">
        <f>INT((A175-DATE(YEAR(A175),1,1))/7)+1</f>
        <v/>
      </c>
      <c r="C175">
        <f>MONTH(A175)</f>
        <v/>
      </c>
      <c r="D175">
        <f>TEXT(A175,"mmm")</f>
        <v/>
      </c>
      <c r="E175">
        <f>ROUNDUP(C175/3,0)</f>
        <v/>
      </c>
      <c r="F175">
        <f>YEAR(A175)</f>
        <v/>
      </c>
      <c r="G175">
        <f>F175&amp;"-"&amp;TEXT(C175,"00")</f>
        <v/>
      </c>
    </row>
    <row r="176">
      <c r="A176" s="116">
        <f>A175+7</f>
        <v/>
      </c>
      <c r="B176">
        <f>INT((A176-DATE(YEAR(A176),1,1))/7)+1</f>
        <v/>
      </c>
      <c r="C176">
        <f>MONTH(A176)</f>
        <v/>
      </c>
      <c r="D176">
        <f>TEXT(A176,"mmm")</f>
        <v/>
      </c>
      <c r="E176">
        <f>ROUNDUP(C176/3,0)</f>
        <v/>
      </c>
      <c r="F176">
        <f>YEAR(A176)</f>
        <v/>
      </c>
      <c r="G176">
        <f>F176&amp;"-"&amp;TEXT(C176,"00")</f>
        <v/>
      </c>
    </row>
    <row r="177">
      <c r="A177" s="116">
        <f>A176+7</f>
        <v/>
      </c>
      <c r="B177">
        <f>INT((A177-DATE(YEAR(A177),1,1))/7)+1</f>
        <v/>
      </c>
      <c r="C177">
        <f>MONTH(A177)</f>
        <v/>
      </c>
      <c r="D177">
        <f>TEXT(A177,"mmm")</f>
        <v/>
      </c>
      <c r="E177">
        <f>ROUNDUP(C177/3,0)</f>
        <v/>
      </c>
      <c r="F177">
        <f>YEAR(A177)</f>
        <v/>
      </c>
      <c r="G177">
        <f>F177&amp;"-"&amp;TEXT(C177,"00")</f>
        <v/>
      </c>
    </row>
    <row r="178">
      <c r="A178" s="116">
        <f>A177+7</f>
        <v/>
      </c>
      <c r="B178">
        <f>INT((A178-DATE(YEAR(A178),1,1))/7)+1</f>
        <v/>
      </c>
      <c r="C178">
        <f>MONTH(A178)</f>
        <v/>
      </c>
      <c r="D178">
        <f>TEXT(A178,"mmm")</f>
        <v/>
      </c>
      <c r="E178">
        <f>ROUNDUP(C178/3,0)</f>
        <v/>
      </c>
      <c r="F178">
        <f>YEAR(A178)</f>
        <v/>
      </c>
      <c r="G178">
        <f>F178&amp;"-"&amp;TEXT(C178,"00")</f>
        <v/>
      </c>
    </row>
    <row r="179">
      <c r="A179" s="116">
        <f>A178+7</f>
        <v/>
      </c>
      <c r="B179">
        <f>INT((A179-DATE(YEAR(A179),1,1))/7)+1</f>
        <v/>
      </c>
      <c r="C179">
        <f>MONTH(A179)</f>
        <v/>
      </c>
      <c r="D179">
        <f>TEXT(A179,"mmm")</f>
        <v/>
      </c>
      <c r="E179">
        <f>ROUNDUP(C179/3,0)</f>
        <v/>
      </c>
      <c r="F179">
        <f>YEAR(A179)</f>
        <v/>
      </c>
      <c r="G179">
        <f>F179&amp;"-"&amp;TEXT(C179,"00")</f>
        <v/>
      </c>
    </row>
    <row r="180">
      <c r="A180" s="116">
        <f>A179+7</f>
        <v/>
      </c>
      <c r="B180">
        <f>INT((A180-DATE(YEAR(A180),1,1))/7)+1</f>
        <v/>
      </c>
      <c r="C180">
        <f>MONTH(A180)</f>
        <v/>
      </c>
      <c r="D180">
        <f>TEXT(A180,"mmm")</f>
        <v/>
      </c>
      <c r="E180">
        <f>ROUNDUP(C180/3,0)</f>
        <v/>
      </c>
      <c r="F180">
        <f>YEAR(A180)</f>
        <v/>
      </c>
      <c r="G180">
        <f>F180&amp;"-"&amp;TEXT(C180,"00")</f>
        <v/>
      </c>
    </row>
    <row r="181">
      <c r="A181" s="116">
        <f>A180+7</f>
        <v/>
      </c>
      <c r="B181">
        <f>INT((A181-DATE(YEAR(A181),1,1))/7)+1</f>
        <v/>
      </c>
      <c r="C181">
        <f>MONTH(A181)</f>
        <v/>
      </c>
      <c r="D181">
        <f>TEXT(A181,"mmm")</f>
        <v/>
      </c>
      <c r="E181">
        <f>ROUNDUP(C181/3,0)</f>
        <v/>
      </c>
      <c r="F181">
        <f>YEAR(A181)</f>
        <v/>
      </c>
      <c r="G181">
        <f>F181&amp;"-"&amp;TEXT(C181,"00")</f>
        <v/>
      </c>
    </row>
    <row r="182">
      <c r="A182" s="116">
        <f>A181+7</f>
        <v/>
      </c>
      <c r="B182">
        <f>INT((A182-DATE(YEAR(A182),1,1))/7)+1</f>
        <v/>
      </c>
      <c r="C182">
        <f>MONTH(A182)</f>
        <v/>
      </c>
      <c r="D182">
        <f>TEXT(A182,"mmm")</f>
        <v/>
      </c>
      <c r="E182">
        <f>ROUNDUP(C182/3,0)</f>
        <v/>
      </c>
      <c r="F182">
        <f>YEAR(A182)</f>
        <v/>
      </c>
      <c r="G182">
        <f>F182&amp;"-"&amp;TEXT(C182,"00")</f>
        <v/>
      </c>
    </row>
    <row r="183">
      <c r="A183" s="116">
        <f>A182+7</f>
        <v/>
      </c>
      <c r="B183">
        <f>INT((A183-DATE(YEAR(A183),1,1))/7)+1</f>
        <v/>
      </c>
      <c r="C183">
        <f>MONTH(A183)</f>
        <v/>
      </c>
      <c r="D183">
        <f>TEXT(A183,"mmm")</f>
        <v/>
      </c>
      <c r="E183">
        <f>ROUNDUP(C183/3,0)</f>
        <v/>
      </c>
      <c r="F183">
        <f>YEAR(A183)</f>
        <v/>
      </c>
      <c r="G183">
        <f>F183&amp;"-"&amp;TEXT(C183,"00")</f>
        <v/>
      </c>
    </row>
    <row r="184">
      <c r="A184" s="116">
        <f>A183+7</f>
        <v/>
      </c>
      <c r="B184">
        <f>INT((A184-DATE(YEAR(A184),1,1))/7)+1</f>
        <v/>
      </c>
      <c r="C184">
        <f>MONTH(A184)</f>
        <v/>
      </c>
      <c r="D184">
        <f>TEXT(A184,"mmm")</f>
        <v/>
      </c>
      <c r="E184">
        <f>ROUNDUP(C184/3,0)</f>
        <v/>
      </c>
      <c r="F184">
        <f>YEAR(A184)</f>
        <v/>
      </c>
      <c r="G184">
        <f>F184&amp;"-"&amp;TEXT(C184,"00")</f>
        <v/>
      </c>
    </row>
    <row r="185">
      <c r="A185" s="116">
        <f>A184+7</f>
        <v/>
      </c>
      <c r="B185">
        <f>INT((A185-DATE(YEAR(A185),1,1))/7)+1</f>
        <v/>
      </c>
      <c r="C185">
        <f>MONTH(A185)</f>
        <v/>
      </c>
      <c r="D185">
        <f>TEXT(A185,"mmm")</f>
        <v/>
      </c>
      <c r="E185">
        <f>ROUNDUP(C185/3,0)</f>
        <v/>
      </c>
      <c r="F185">
        <f>YEAR(A185)</f>
        <v/>
      </c>
      <c r="G185">
        <f>F185&amp;"-"&amp;TEXT(C185,"00")</f>
        <v/>
      </c>
    </row>
    <row r="186">
      <c r="A186" s="116">
        <f>A185+7</f>
        <v/>
      </c>
      <c r="B186">
        <f>INT((A186-DATE(YEAR(A186),1,1))/7)+1</f>
        <v/>
      </c>
      <c r="C186">
        <f>MONTH(A186)</f>
        <v/>
      </c>
      <c r="D186">
        <f>TEXT(A186,"mmm")</f>
        <v/>
      </c>
      <c r="E186">
        <f>ROUNDUP(C186/3,0)</f>
        <v/>
      </c>
      <c r="F186">
        <f>YEAR(A186)</f>
        <v/>
      </c>
      <c r="G186">
        <f>F186&amp;"-"&amp;TEXT(C186,"00")</f>
        <v/>
      </c>
    </row>
    <row r="187">
      <c r="A187" s="116">
        <f>A186+7</f>
        <v/>
      </c>
      <c r="B187">
        <f>INT((A187-DATE(YEAR(A187),1,1))/7)+1</f>
        <v/>
      </c>
      <c r="C187">
        <f>MONTH(A187)</f>
        <v/>
      </c>
      <c r="D187">
        <f>TEXT(A187,"mmm")</f>
        <v/>
      </c>
      <c r="E187">
        <f>ROUNDUP(C187/3,0)</f>
        <v/>
      </c>
      <c r="F187">
        <f>YEAR(A187)</f>
        <v/>
      </c>
      <c r="G187">
        <f>F187&amp;"-"&amp;TEXT(C187,"00")</f>
        <v/>
      </c>
    </row>
    <row r="188">
      <c r="A188" s="116">
        <f>A187+7</f>
        <v/>
      </c>
      <c r="B188">
        <f>INT((A188-DATE(YEAR(A188),1,1))/7)+1</f>
        <v/>
      </c>
      <c r="C188">
        <f>MONTH(A188)</f>
        <v/>
      </c>
      <c r="D188">
        <f>TEXT(A188,"mmm")</f>
        <v/>
      </c>
      <c r="E188">
        <f>ROUNDUP(C188/3,0)</f>
        <v/>
      </c>
      <c r="F188">
        <f>YEAR(A188)</f>
        <v/>
      </c>
      <c r="G188">
        <f>F188&amp;"-"&amp;TEXT(C188,"00")</f>
        <v/>
      </c>
    </row>
    <row r="189">
      <c r="A189" s="116">
        <f>A188+7</f>
        <v/>
      </c>
      <c r="B189">
        <f>INT((A189-DATE(YEAR(A189),1,1))/7)+1</f>
        <v/>
      </c>
      <c r="C189">
        <f>MONTH(A189)</f>
        <v/>
      </c>
      <c r="D189">
        <f>TEXT(A189,"mmm")</f>
        <v/>
      </c>
      <c r="E189">
        <f>ROUNDUP(C189/3,0)</f>
        <v/>
      </c>
      <c r="F189">
        <f>YEAR(A189)</f>
        <v/>
      </c>
      <c r="G189">
        <f>F189&amp;"-"&amp;TEXT(C189,"00")</f>
        <v/>
      </c>
    </row>
    <row r="190">
      <c r="A190" s="116">
        <f>A189+7</f>
        <v/>
      </c>
      <c r="B190">
        <f>INT((A190-DATE(YEAR(A190),1,1))/7)+1</f>
        <v/>
      </c>
      <c r="C190">
        <f>MONTH(A190)</f>
        <v/>
      </c>
      <c r="D190">
        <f>TEXT(A190,"mmm")</f>
        <v/>
      </c>
      <c r="E190">
        <f>ROUNDUP(C190/3,0)</f>
        <v/>
      </c>
      <c r="F190">
        <f>YEAR(A190)</f>
        <v/>
      </c>
      <c r="G190">
        <f>F190&amp;"-"&amp;TEXT(C190,"00")</f>
        <v/>
      </c>
    </row>
    <row r="191">
      <c r="A191" s="116">
        <f>A190+7</f>
        <v/>
      </c>
      <c r="B191">
        <f>INT((A191-DATE(YEAR(A191),1,1))/7)+1</f>
        <v/>
      </c>
      <c r="C191">
        <f>MONTH(A191)</f>
        <v/>
      </c>
      <c r="D191">
        <f>TEXT(A191,"mmm")</f>
        <v/>
      </c>
      <c r="E191">
        <f>ROUNDUP(C191/3,0)</f>
        <v/>
      </c>
      <c r="F191">
        <f>YEAR(A191)</f>
        <v/>
      </c>
      <c r="G191">
        <f>F191&amp;"-"&amp;TEXT(C191,"00")</f>
        <v/>
      </c>
    </row>
    <row r="192">
      <c r="A192" s="116">
        <f>A191+7</f>
        <v/>
      </c>
      <c r="B192">
        <f>INT((A192-DATE(YEAR(A192),1,1))/7)+1</f>
        <v/>
      </c>
      <c r="C192">
        <f>MONTH(A192)</f>
        <v/>
      </c>
      <c r="D192">
        <f>TEXT(A192,"mmm")</f>
        <v/>
      </c>
      <c r="E192">
        <f>ROUNDUP(C192/3,0)</f>
        <v/>
      </c>
      <c r="F192">
        <f>YEAR(A192)</f>
        <v/>
      </c>
      <c r="G192">
        <f>F192&amp;"-"&amp;TEXT(C192,"00")</f>
        <v/>
      </c>
    </row>
    <row r="193">
      <c r="A193" s="116">
        <f>A192+7</f>
        <v/>
      </c>
      <c r="B193">
        <f>INT((A193-DATE(YEAR(A193),1,1))/7)+1</f>
        <v/>
      </c>
      <c r="C193">
        <f>MONTH(A193)</f>
        <v/>
      </c>
      <c r="D193">
        <f>TEXT(A193,"mmm")</f>
        <v/>
      </c>
      <c r="E193">
        <f>ROUNDUP(C193/3,0)</f>
        <v/>
      </c>
      <c r="F193">
        <f>YEAR(A193)</f>
        <v/>
      </c>
      <c r="G193">
        <f>F193&amp;"-"&amp;TEXT(C193,"00")</f>
        <v/>
      </c>
    </row>
    <row r="194">
      <c r="A194" s="116">
        <f>A193+7</f>
        <v/>
      </c>
      <c r="B194">
        <f>INT((A194-DATE(YEAR(A194),1,1))/7)+1</f>
        <v/>
      </c>
      <c r="C194">
        <f>MONTH(A194)</f>
        <v/>
      </c>
      <c r="D194">
        <f>TEXT(A194,"mmm")</f>
        <v/>
      </c>
      <c r="E194">
        <f>ROUNDUP(C194/3,0)</f>
        <v/>
      </c>
      <c r="F194">
        <f>YEAR(A194)</f>
        <v/>
      </c>
      <c r="G194">
        <f>F194&amp;"-"&amp;TEXT(C194,"00")</f>
        <v/>
      </c>
    </row>
    <row r="195">
      <c r="A195" s="116">
        <f>A194+7</f>
        <v/>
      </c>
      <c r="B195">
        <f>INT((A195-DATE(YEAR(A195),1,1))/7)+1</f>
        <v/>
      </c>
      <c r="C195">
        <f>MONTH(A195)</f>
        <v/>
      </c>
      <c r="D195">
        <f>TEXT(A195,"mmm")</f>
        <v/>
      </c>
      <c r="E195">
        <f>ROUNDUP(C195/3,0)</f>
        <v/>
      </c>
      <c r="F195">
        <f>YEAR(A195)</f>
        <v/>
      </c>
      <c r="G195">
        <f>F195&amp;"-"&amp;TEXT(C195,"00")</f>
        <v/>
      </c>
    </row>
    <row r="196">
      <c r="A196" s="116">
        <f>A195+7</f>
        <v/>
      </c>
      <c r="B196">
        <f>INT((A196-DATE(YEAR(A196),1,1))/7)+1</f>
        <v/>
      </c>
      <c r="C196">
        <f>MONTH(A196)</f>
        <v/>
      </c>
      <c r="D196">
        <f>TEXT(A196,"mmm")</f>
        <v/>
      </c>
      <c r="E196">
        <f>ROUNDUP(C196/3,0)</f>
        <v/>
      </c>
      <c r="F196">
        <f>YEAR(A196)</f>
        <v/>
      </c>
      <c r="G196">
        <f>F196&amp;"-"&amp;TEXT(C196,"00")</f>
        <v/>
      </c>
    </row>
    <row r="197">
      <c r="A197" s="116">
        <f>A196+7</f>
        <v/>
      </c>
      <c r="B197">
        <f>INT((A197-DATE(YEAR(A197),1,1))/7)+1</f>
        <v/>
      </c>
      <c r="C197">
        <f>MONTH(A197)</f>
        <v/>
      </c>
      <c r="D197">
        <f>TEXT(A197,"mmm")</f>
        <v/>
      </c>
      <c r="E197">
        <f>ROUNDUP(C197/3,0)</f>
        <v/>
      </c>
      <c r="F197">
        <f>YEAR(A197)</f>
        <v/>
      </c>
      <c r="G197">
        <f>F197&amp;"-"&amp;TEXT(C197,"00")</f>
        <v/>
      </c>
    </row>
    <row r="198">
      <c r="A198" s="116">
        <f>A197+7</f>
        <v/>
      </c>
      <c r="B198">
        <f>INT((A198-DATE(YEAR(A198),1,1))/7)+1</f>
        <v/>
      </c>
      <c r="C198">
        <f>MONTH(A198)</f>
        <v/>
      </c>
      <c r="D198">
        <f>TEXT(A198,"mmm")</f>
        <v/>
      </c>
      <c r="E198">
        <f>ROUNDUP(C198/3,0)</f>
        <v/>
      </c>
      <c r="F198">
        <f>YEAR(A198)</f>
        <v/>
      </c>
      <c r="G198">
        <f>F198&amp;"-"&amp;TEXT(C198,"00")</f>
        <v/>
      </c>
    </row>
    <row r="199">
      <c r="A199" s="116">
        <f>A198+7</f>
        <v/>
      </c>
      <c r="B199">
        <f>INT((A199-DATE(YEAR(A199),1,1))/7)+1</f>
        <v/>
      </c>
      <c r="C199">
        <f>MONTH(A199)</f>
        <v/>
      </c>
      <c r="D199">
        <f>TEXT(A199,"mmm")</f>
        <v/>
      </c>
      <c r="E199">
        <f>ROUNDUP(C199/3,0)</f>
        <v/>
      </c>
      <c r="F199">
        <f>YEAR(A199)</f>
        <v/>
      </c>
      <c r="G199">
        <f>F199&amp;"-"&amp;TEXT(C199,"00")</f>
        <v/>
      </c>
    </row>
    <row r="200">
      <c r="A200" s="116">
        <f>A199+7</f>
        <v/>
      </c>
      <c r="B200">
        <f>INT((A200-DATE(YEAR(A200),1,1))/7)+1</f>
        <v/>
      </c>
      <c r="C200">
        <f>MONTH(A200)</f>
        <v/>
      </c>
      <c r="D200">
        <f>TEXT(A200,"mmm")</f>
        <v/>
      </c>
      <c r="E200">
        <f>ROUNDUP(C200/3,0)</f>
        <v/>
      </c>
      <c r="F200">
        <f>YEAR(A200)</f>
        <v/>
      </c>
      <c r="G200">
        <f>F200&amp;"-"&amp;TEXT(C200,"00")</f>
        <v/>
      </c>
    </row>
    <row r="201">
      <c r="A201" s="116">
        <f>A200+7</f>
        <v/>
      </c>
      <c r="B201">
        <f>INT((A201-DATE(YEAR(A201),1,1))/7)+1</f>
        <v/>
      </c>
      <c r="C201">
        <f>MONTH(A201)</f>
        <v/>
      </c>
      <c r="D201">
        <f>TEXT(A201,"mmm")</f>
        <v/>
      </c>
      <c r="E201">
        <f>ROUNDUP(C201/3,0)</f>
        <v/>
      </c>
      <c r="F201">
        <f>YEAR(A201)</f>
        <v/>
      </c>
      <c r="G201">
        <f>F201&amp;"-"&amp;TEXT(C201,"00")</f>
        <v/>
      </c>
    </row>
    <row r="202">
      <c r="A202" s="116">
        <f>A201+7</f>
        <v/>
      </c>
      <c r="B202">
        <f>INT((A202-DATE(YEAR(A202),1,1))/7)+1</f>
        <v/>
      </c>
      <c r="C202">
        <f>MONTH(A202)</f>
        <v/>
      </c>
      <c r="D202">
        <f>TEXT(A202,"mmm")</f>
        <v/>
      </c>
      <c r="E202">
        <f>ROUNDUP(C202/3,0)</f>
        <v/>
      </c>
      <c r="F202">
        <f>YEAR(A202)</f>
        <v/>
      </c>
      <c r="G202">
        <f>F202&amp;"-"&amp;TEXT(C202,"00")</f>
        <v/>
      </c>
    </row>
    <row r="203">
      <c r="A203" s="116">
        <f>A202+7</f>
        <v/>
      </c>
      <c r="B203">
        <f>INT((A203-DATE(YEAR(A203),1,1))/7)+1</f>
        <v/>
      </c>
      <c r="C203">
        <f>MONTH(A203)</f>
        <v/>
      </c>
      <c r="D203">
        <f>TEXT(A203,"mmm")</f>
        <v/>
      </c>
      <c r="E203">
        <f>ROUNDUP(C203/3,0)</f>
        <v/>
      </c>
      <c r="F203">
        <f>YEAR(A203)</f>
        <v/>
      </c>
      <c r="G203">
        <f>F203&amp;"-"&amp;TEXT(C203,"00")</f>
        <v/>
      </c>
    </row>
    <row r="204">
      <c r="A204" s="116">
        <f>A203+7</f>
        <v/>
      </c>
      <c r="B204">
        <f>INT((A204-DATE(YEAR(A204),1,1))/7)+1</f>
        <v/>
      </c>
      <c r="C204">
        <f>MONTH(A204)</f>
        <v/>
      </c>
      <c r="D204">
        <f>TEXT(A204,"mmm")</f>
        <v/>
      </c>
      <c r="E204">
        <f>ROUNDUP(C204/3,0)</f>
        <v/>
      </c>
      <c r="F204">
        <f>YEAR(A204)</f>
        <v/>
      </c>
      <c r="G204">
        <f>F204&amp;"-"&amp;TEXT(C204,"00")</f>
        <v/>
      </c>
    </row>
    <row r="205">
      <c r="A205" s="116">
        <f>A204+7</f>
        <v/>
      </c>
      <c r="B205">
        <f>INT((A205-DATE(YEAR(A205),1,1))/7)+1</f>
        <v/>
      </c>
      <c r="C205">
        <f>MONTH(A205)</f>
        <v/>
      </c>
      <c r="D205">
        <f>TEXT(A205,"mmm")</f>
        <v/>
      </c>
      <c r="E205">
        <f>ROUNDUP(C205/3,0)</f>
        <v/>
      </c>
      <c r="F205">
        <f>YEAR(A205)</f>
        <v/>
      </c>
      <c r="G205">
        <f>F205&amp;"-"&amp;TEXT(C205,"00")</f>
        <v/>
      </c>
    </row>
    <row r="206">
      <c r="A206" s="116">
        <f>A205+7</f>
        <v/>
      </c>
      <c r="B206">
        <f>INT((A206-DATE(YEAR(A206),1,1))/7)+1</f>
        <v/>
      </c>
      <c r="C206">
        <f>MONTH(A206)</f>
        <v/>
      </c>
      <c r="D206">
        <f>TEXT(A206,"mmm")</f>
        <v/>
      </c>
      <c r="E206">
        <f>ROUNDUP(C206/3,0)</f>
        <v/>
      </c>
      <c r="F206">
        <f>YEAR(A206)</f>
        <v/>
      </c>
      <c r="G206">
        <f>F206&amp;"-"&amp;TEXT(C206,"00")</f>
        <v/>
      </c>
    </row>
    <row r="207">
      <c r="A207" s="116">
        <f>A206+7</f>
        <v/>
      </c>
      <c r="B207">
        <f>INT((A207-DATE(YEAR(A207),1,1))/7)+1</f>
        <v/>
      </c>
      <c r="C207">
        <f>MONTH(A207)</f>
        <v/>
      </c>
      <c r="D207">
        <f>TEXT(A207,"mmm")</f>
        <v/>
      </c>
      <c r="E207">
        <f>ROUNDUP(C207/3,0)</f>
        <v/>
      </c>
      <c r="F207">
        <f>YEAR(A207)</f>
        <v/>
      </c>
      <c r="G207">
        <f>F207&amp;"-"&amp;TEXT(C207,"00")</f>
        <v/>
      </c>
    </row>
    <row r="208">
      <c r="A208" s="116">
        <f>A207+7</f>
        <v/>
      </c>
      <c r="B208">
        <f>INT((A208-DATE(YEAR(A208),1,1))/7)+1</f>
        <v/>
      </c>
      <c r="C208">
        <f>MONTH(A208)</f>
        <v/>
      </c>
      <c r="D208">
        <f>TEXT(A208,"mmm")</f>
        <v/>
      </c>
      <c r="E208">
        <f>ROUNDUP(C208/3,0)</f>
        <v/>
      </c>
      <c r="F208">
        <f>YEAR(A208)</f>
        <v/>
      </c>
      <c r="G208">
        <f>F208&amp;"-"&amp;TEXT(C208,"00")</f>
        <v/>
      </c>
    </row>
    <row r="209">
      <c r="A209" s="116">
        <f>A208+7</f>
        <v/>
      </c>
      <c r="B209">
        <f>INT((A209-DATE(YEAR(A209),1,1))/7)+1</f>
        <v/>
      </c>
      <c r="C209">
        <f>MONTH(A209)</f>
        <v/>
      </c>
      <c r="D209">
        <f>TEXT(A209,"mmm")</f>
        <v/>
      </c>
      <c r="E209">
        <f>ROUNDUP(C209/3,0)</f>
        <v/>
      </c>
      <c r="F209">
        <f>YEAR(A209)</f>
        <v/>
      </c>
      <c r="G209">
        <f>F209&amp;"-"&amp;TEXT(C209,"00")</f>
        <v/>
      </c>
    </row>
    <row r="210">
      <c r="A210" s="116">
        <f>A209+7</f>
        <v/>
      </c>
      <c r="B210">
        <f>INT((A210-DATE(YEAR(A210),1,1))/7)+1</f>
        <v/>
      </c>
      <c r="C210">
        <f>MONTH(A210)</f>
        <v/>
      </c>
      <c r="D210">
        <f>TEXT(A210,"mmm")</f>
        <v/>
      </c>
      <c r="E210">
        <f>ROUNDUP(C210/3,0)</f>
        <v/>
      </c>
      <c r="F210">
        <f>YEAR(A210)</f>
        <v/>
      </c>
      <c r="G210">
        <f>F210&amp;"-"&amp;TEXT(C210,"00")</f>
        <v/>
      </c>
    </row>
    <row r="211">
      <c r="A211" s="116">
        <f>A210+7</f>
        <v/>
      </c>
      <c r="B211">
        <f>INT((A211-DATE(YEAR(A211),1,1))/7)+1</f>
        <v/>
      </c>
      <c r="C211">
        <f>MONTH(A211)</f>
        <v/>
      </c>
      <c r="D211">
        <f>TEXT(A211,"mmm")</f>
        <v/>
      </c>
      <c r="E211">
        <f>ROUNDUP(C211/3,0)</f>
        <v/>
      </c>
      <c r="F211">
        <f>YEAR(A211)</f>
        <v/>
      </c>
      <c r="G211">
        <f>F211&amp;"-"&amp;TEXT(C211,"00")</f>
        <v/>
      </c>
    </row>
    <row r="212">
      <c r="A212" s="116">
        <f>A211+7</f>
        <v/>
      </c>
      <c r="B212">
        <f>INT((A212-DATE(YEAR(A212),1,1))/7)+1</f>
        <v/>
      </c>
      <c r="C212">
        <f>MONTH(A212)</f>
        <v/>
      </c>
      <c r="D212">
        <f>TEXT(A212,"mmm")</f>
        <v/>
      </c>
      <c r="E212">
        <f>ROUNDUP(C212/3,0)</f>
        <v/>
      </c>
      <c r="F212">
        <f>YEAR(A212)</f>
        <v/>
      </c>
      <c r="G212">
        <f>F212&amp;"-"&amp;TEXT(C212,"00")</f>
        <v/>
      </c>
    </row>
    <row r="213">
      <c r="A213" s="116">
        <f>A212+7</f>
        <v/>
      </c>
      <c r="B213">
        <f>INT((A213-DATE(YEAR(A213),1,1))/7)+1</f>
        <v/>
      </c>
      <c r="C213">
        <f>MONTH(A213)</f>
        <v/>
      </c>
      <c r="D213">
        <f>TEXT(A213,"mmm")</f>
        <v/>
      </c>
      <c r="E213">
        <f>ROUNDUP(C213/3,0)</f>
        <v/>
      </c>
      <c r="F213">
        <f>YEAR(A213)</f>
        <v/>
      </c>
      <c r="G213">
        <f>F213&amp;"-"&amp;TEXT(C213,"00")</f>
        <v/>
      </c>
    </row>
    <row r="214">
      <c r="A214" s="116">
        <f>A213+7</f>
        <v/>
      </c>
      <c r="B214">
        <f>INT((A214-DATE(YEAR(A214),1,1))/7)+1</f>
        <v/>
      </c>
      <c r="C214">
        <f>MONTH(A214)</f>
        <v/>
      </c>
      <c r="D214">
        <f>TEXT(A214,"mmm")</f>
        <v/>
      </c>
      <c r="E214">
        <f>ROUNDUP(C214/3,0)</f>
        <v/>
      </c>
      <c r="F214">
        <f>YEAR(A214)</f>
        <v/>
      </c>
      <c r="G214">
        <f>F214&amp;"-"&amp;TEXT(C214,"00")</f>
        <v/>
      </c>
    </row>
    <row r="215">
      <c r="A215" s="116">
        <f>A214+7</f>
        <v/>
      </c>
      <c r="B215">
        <f>INT((A215-DATE(YEAR(A215),1,1))/7)+1</f>
        <v/>
      </c>
      <c r="C215">
        <f>MONTH(A215)</f>
        <v/>
      </c>
      <c r="D215">
        <f>TEXT(A215,"mmm")</f>
        <v/>
      </c>
      <c r="E215">
        <f>ROUNDUP(C215/3,0)</f>
        <v/>
      </c>
      <c r="F215">
        <f>YEAR(A215)</f>
        <v/>
      </c>
      <c r="G215">
        <f>F215&amp;"-"&amp;TEXT(C215,"00")</f>
        <v/>
      </c>
    </row>
    <row r="216">
      <c r="A216" s="116">
        <f>A215+7</f>
        <v/>
      </c>
      <c r="B216">
        <f>INT((A216-DATE(YEAR(A216),1,1))/7)+1</f>
        <v/>
      </c>
      <c r="C216">
        <f>MONTH(A216)</f>
        <v/>
      </c>
      <c r="D216">
        <f>TEXT(A216,"mmm")</f>
        <v/>
      </c>
      <c r="E216">
        <f>ROUNDUP(C216/3,0)</f>
        <v/>
      </c>
      <c r="F216">
        <f>YEAR(A216)</f>
        <v/>
      </c>
      <c r="G216">
        <f>F216&amp;"-"&amp;TEXT(C216,"00")</f>
        <v/>
      </c>
    </row>
    <row r="217">
      <c r="A217" s="116">
        <f>A216+7</f>
        <v/>
      </c>
      <c r="B217">
        <f>INT((A217-DATE(YEAR(A217),1,1))/7)+1</f>
        <v/>
      </c>
      <c r="C217">
        <f>MONTH(A217)</f>
        <v/>
      </c>
      <c r="D217">
        <f>TEXT(A217,"mmm")</f>
        <v/>
      </c>
      <c r="E217">
        <f>ROUNDUP(C217/3,0)</f>
        <v/>
      </c>
      <c r="F217">
        <f>YEAR(A217)</f>
        <v/>
      </c>
      <c r="G217">
        <f>F217&amp;"-"&amp;TEXT(C217,"00")</f>
        <v/>
      </c>
    </row>
    <row r="218">
      <c r="A218" s="116">
        <f>A217+7</f>
        <v/>
      </c>
      <c r="B218">
        <f>INT((A218-DATE(YEAR(A218),1,1))/7)+1</f>
        <v/>
      </c>
      <c r="C218">
        <f>MONTH(A218)</f>
        <v/>
      </c>
      <c r="D218">
        <f>TEXT(A218,"mmm")</f>
        <v/>
      </c>
      <c r="E218">
        <f>ROUNDUP(C218/3,0)</f>
        <v/>
      </c>
      <c r="F218">
        <f>YEAR(A218)</f>
        <v/>
      </c>
      <c r="G218">
        <f>F218&amp;"-"&amp;TEXT(C218,"00")</f>
        <v/>
      </c>
    </row>
    <row r="219">
      <c r="A219" s="116">
        <f>A218+7</f>
        <v/>
      </c>
      <c r="B219">
        <f>INT((A219-DATE(YEAR(A219),1,1))/7)+1</f>
        <v/>
      </c>
      <c r="C219">
        <f>MONTH(A219)</f>
        <v/>
      </c>
      <c r="D219">
        <f>TEXT(A219,"mmm")</f>
        <v/>
      </c>
      <c r="E219">
        <f>ROUNDUP(C219/3,0)</f>
        <v/>
      </c>
      <c r="F219">
        <f>YEAR(A219)</f>
        <v/>
      </c>
      <c r="G219">
        <f>F219&amp;"-"&amp;TEXT(C219,"00")</f>
        <v/>
      </c>
    </row>
    <row r="220">
      <c r="A220" s="116">
        <f>A219+7</f>
        <v/>
      </c>
      <c r="B220">
        <f>INT((A220-DATE(YEAR(A220),1,1))/7)+1</f>
        <v/>
      </c>
      <c r="C220">
        <f>MONTH(A220)</f>
        <v/>
      </c>
      <c r="D220">
        <f>TEXT(A220,"mmm")</f>
        <v/>
      </c>
      <c r="E220">
        <f>ROUNDUP(C220/3,0)</f>
        <v/>
      </c>
      <c r="F220">
        <f>YEAR(A220)</f>
        <v/>
      </c>
      <c r="G220">
        <f>F220&amp;"-"&amp;TEXT(C220,"00")</f>
        <v/>
      </c>
    </row>
    <row r="221">
      <c r="A221" s="116">
        <f>A220+7</f>
        <v/>
      </c>
      <c r="B221">
        <f>INT((A221-DATE(YEAR(A221),1,1))/7)+1</f>
        <v/>
      </c>
      <c r="C221">
        <f>MONTH(A221)</f>
        <v/>
      </c>
      <c r="D221">
        <f>TEXT(A221,"mmm")</f>
        <v/>
      </c>
      <c r="E221">
        <f>ROUNDUP(C221/3,0)</f>
        <v/>
      </c>
      <c r="F221">
        <f>YEAR(A221)</f>
        <v/>
      </c>
      <c r="G221">
        <f>F221&amp;"-"&amp;TEXT(C221,"00")</f>
        <v/>
      </c>
    </row>
    <row r="222">
      <c r="A222" s="116">
        <f>A221+7</f>
        <v/>
      </c>
      <c r="B222">
        <f>INT((A222-DATE(YEAR(A222),1,1))/7)+1</f>
        <v/>
      </c>
      <c r="C222">
        <f>MONTH(A222)</f>
        <v/>
      </c>
      <c r="D222">
        <f>TEXT(A222,"mmm")</f>
        <v/>
      </c>
      <c r="E222">
        <f>ROUNDUP(C222/3,0)</f>
        <v/>
      </c>
      <c r="F222">
        <f>YEAR(A222)</f>
        <v/>
      </c>
      <c r="G222">
        <f>F222&amp;"-"&amp;TEXT(C222,"00")</f>
        <v/>
      </c>
    </row>
    <row r="223">
      <c r="A223" s="116">
        <f>A222+7</f>
        <v/>
      </c>
      <c r="B223">
        <f>INT((A223-DATE(YEAR(A223),1,1))/7)+1</f>
        <v/>
      </c>
      <c r="C223">
        <f>MONTH(A223)</f>
        <v/>
      </c>
      <c r="D223">
        <f>TEXT(A223,"mmm")</f>
        <v/>
      </c>
      <c r="E223">
        <f>ROUNDUP(C223/3,0)</f>
        <v/>
      </c>
      <c r="F223">
        <f>YEAR(A223)</f>
        <v/>
      </c>
      <c r="G223">
        <f>F223&amp;"-"&amp;TEXT(C223,"00")</f>
        <v/>
      </c>
    </row>
    <row r="224">
      <c r="A224" s="116">
        <f>A223+7</f>
        <v/>
      </c>
      <c r="B224">
        <f>INT((A224-DATE(YEAR(A224),1,1))/7)+1</f>
        <v/>
      </c>
      <c r="C224">
        <f>MONTH(A224)</f>
        <v/>
      </c>
      <c r="D224">
        <f>TEXT(A224,"mmm")</f>
        <v/>
      </c>
      <c r="E224">
        <f>ROUNDUP(C224/3,0)</f>
        <v/>
      </c>
      <c r="F224">
        <f>YEAR(A224)</f>
        <v/>
      </c>
      <c r="G224">
        <f>F224&amp;"-"&amp;TEXT(C224,"00")</f>
        <v/>
      </c>
    </row>
    <row r="225">
      <c r="A225" s="116">
        <f>A224+7</f>
        <v/>
      </c>
      <c r="B225">
        <f>INT((A225-DATE(YEAR(A225),1,1))/7)+1</f>
        <v/>
      </c>
      <c r="C225">
        <f>MONTH(A225)</f>
        <v/>
      </c>
      <c r="D225">
        <f>TEXT(A225,"mmm")</f>
        <v/>
      </c>
      <c r="E225">
        <f>ROUNDUP(C225/3,0)</f>
        <v/>
      </c>
      <c r="F225">
        <f>YEAR(A225)</f>
        <v/>
      </c>
      <c r="G225">
        <f>F225&amp;"-"&amp;TEXT(C225,"00")</f>
        <v/>
      </c>
    </row>
    <row r="226">
      <c r="A226" s="116">
        <f>A225+7</f>
        <v/>
      </c>
      <c r="B226">
        <f>INT((A226-DATE(YEAR(A226),1,1))/7)+1</f>
        <v/>
      </c>
      <c r="C226">
        <f>MONTH(A226)</f>
        <v/>
      </c>
      <c r="D226">
        <f>TEXT(A226,"mmm")</f>
        <v/>
      </c>
      <c r="E226">
        <f>ROUNDUP(C226/3,0)</f>
        <v/>
      </c>
      <c r="F226">
        <f>YEAR(A226)</f>
        <v/>
      </c>
      <c r="G226">
        <f>F226&amp;"-"&amp;TEXT(C226,"00")</f>
        <v/>
      </c>
    </row>
    <row r="227">
      <c r="A227" s="116">
        <f>A226+7</f>
        <v/>
      </c>
      <c r="B227">
        <f>INT((A227-DATE(YEAR(A227),1,1))/7)+1</f>
        <v/>
      </c>
      <c r="C227">
        <f>MONTH(A227)</f>
        <v/>
      </c>
      <c r="D227">
        <f>TEXT(A227,"mmm")</f>
        <v/>
      </c>
      <c r="E227">
        <f>ROUNDUP(C227/3,0)</f>
        <v/>
      </c>
      <c r="F227">
        <f>YEAR(A227)</f>
        <v/>
      </c>
      <c r="G227">
        <f>F227&amp;"-"&amp;TEXT(C227,"00")</f>
        <v/>
      </c>
    </row>
    <row r="228">
      <c r="A228" s="116">
        <f>A227+7</f>
        <v/>
      </c>
      <c r="B228">
        <f>INT((A228-DATE(YEAR(A228),1,1))/7)+1</f>
        <v/>
      </c>
      <c r="C228">
        <f>MONTH(A228)</f>
        <v/>
      </c>
      <c r="D228">
        <f>TEXT(A228,"mmm")</f>
        <v/>
      </c>
      <c r="E228">
        <f>ROUNDUP(C228/3,0)</f>
        <v/>
      </c>
      <c r="F228">
        <f>YEAR(A228)</f>
        <v/>
      </c>
      <c r="G228">
        <f>F228&amp;"-"&amp;TEXT(C228,"00")</f>
        <v/>
      </c>
    </row>
    <row r="229">
      <c r="A229" s="116">
        <f>A228+7</f>
        <v/>
      </c>
      <c r="B229">
        <f>INT((A229-DATE(YEAR(A229),1,1))/7)+1</f>
        <v/>
      </c>
      <c r="C229">
        <f>MONTH(A229)</f>
        <v/>
      </c>
      <c r="D229">
        <f>TEXT(A229,"mmm")</f>
        <v/>
      </c>
      <c r="E229">
        <f>ROUNDUP(C229/3,0)</f>
        <v/>
      </c>
      <c r="F229">
        <f>YEAR(A229)</f>
        <v/>
      </c>
      <c r="G229">
        <f>F229&amp;"-"&amp;TEXT(C229,"00")</f>
        <v/>
      </c>
    </row>
    <row r="230">
      <c r="A230" s="116">
        <f>A229+7</f>
        <v/>
      </c>
      <c r="B230">
        <f>INT((A230-DATE(YEAR(A230),1,1))/7)+1</f>
        <v/>
      </c>
      <c r="C230">
        <f>MONTH(A230)</f>
        <v/>
      </c>
      <c r="D230">
        <f>TEXT(A230,"mmm")</f>
        <v/>
      </c>
      <c r="E230">
        <f>ROUNDUP(C230/3,0)</f>
        <v/>
      </c>
      <c r="F230">
        <f>YEAR(A230)</f>
        <v/>
      </c>
      <c r="G230">
        <f>F230&amp;"-"&amp;TEXT(C230,"00")</f>
        <v/>
      </c>
    </row>
    <row r="231">
      <c r="A231" s="116">
        <f>A230+7</f>
        <v/>
      </c>
      <c r="B231">
        <f>INT((A231-DATE(YEAR(A231),1,1))/7)+1</f>
        <v/>
      </c>
      <c r="C231">
        <f>MONTH(A231)</f>
        <v/>
      </c>
      <c r="D231">
        <f>TEXT(A231,"mmm")</f>
        <v/>
      </c>
      <c r="E231">
        <f>ROUNDUP(C231/3,0)</f>
        <v/>
      </c>
      <c r="F231">
        <f>YEAR(A231)</f>
        <v/>
      </c>
      <c r="G231">
        <f>F231&amp;"-"&amp;TEXT(C231,"00")</f>
        <v/>
      </c>
    </row>
    <row r="232">
      <c r="A232" s="116">
        <f>A231+7</f>
        <v/>
      </c>
      <c r="B232">
        <f>INT((A232-DATE(YEAR(A232),1,1))/7)+1</f>
        <v/>
      </c>
      <c r="C232">
        <f>MONTH(A232)</f>
        <v/>
      </c>
      <c r="D232">
        <f>TEXT(A232,"mmm")</f>
        <v/>
      </c>
      <c r="E232">
        <f>ROUNDUP(C232/3,0)</f>
        <v/>
      </c>
      <c r="F232">
        <f>YEAR(A232)</f>
        <v/>
      </c>
      <c r="G232">
        <f>F232&amp;"-"&amp;TEXT(C232,"00")</f>
        <v/>
      </c>
    </row>
    <row r="233">
      <c r="A233" s="116">
        <f>A232+7</f>
        <v/>
      </c>
      <c r="B233">
        <f>INT((A233-DATE(YEAR(A233),1,1))/7)+1</f>
        <v/>
      </c>
      <c r="C233">
        <f>MONTH(A233)</f>
        <v/>
      </c>
      <c r="D233">
        <f>TEXT(A233,"mmm")</f>
        <v/>
      </c>
      <c r="E233">
        <f>ROUNDUP(C233/3,0)</f>
        <v/>
      </c>
      <c r="F233">
        <f>YEAR(A233)</f>
        <v/>
      </c>
      <c r="G233">
        <f>F233&amp;"-"&amp;TEXT(C233,"00")</f>
        <v/>
      </c>
    </row>
    <row r="234">
      <c r="A234" s="116">
        <f>A233+7</f>
        <v/>
      </c>
      <c r="B234">
        <f>INT((A234-DATE(YEAR(A234),1,1))/7)+1</f>
        <v/>
      </c>
      <c r="C234">
        <f>MONTH(A234)</f>
        <v/>
      </c>
      <c r="D234">
        <f>TEXT(A234,"mmm")</f>
        <v/>
      </c>
      <c r="E234">
        <f>ROUNDUP(C234/3,0)</f>
        <v/>
      </c>
      <c r="F234">
        <f>YEAR(A234)</f>
        <v/>
      </c>
      <c r="G234">
        <f>F234&amp;"-"&amp;TEXT(C234,"00")</f>
        <v/>
      </c>
    </row>
    <row r="235">
      <c r="A235" s="116">
        <f>A234+7</f>
        <v/>
      </c>
      <c r="B235">
        <f>INT((A235-DATE(YEAR(A235),1,1))/7)+1</f>
        <v/>
      </c>
      <c r="C235">
        <f>MONTH(A235)</f>
        <v/>
      </c>
      <c r="D235">
        <f>TEXT(A235,"mmm")</f>
        <v/>
      </c>
      <c r="E235">
        <f>ROUNDUP(C235/3,0)</f>
        <v/>
      </c>
      <c r="F235">
        <f>YEAR(A235)</f>
        <v/>
      </c>
      <c r="G235">
        <f>F235&amp;"-"&amp;TEXT(C235,"00")</f>
        <v/>
      </c>
    </row>
    <row r="236">
      <c r="A236" s="116">
        <f>A235+7</f>
        <v/>
      </c>
      <c r="B236">
        <f>INT((A236-DATE(YEAR(A236),1,1))/7)+1</f>
        <v/>
      </c>
      <c r="C236">
        <f>MONTH(A236)</f>
        <v/>
      </c>
      <c r="D236">
        <f>TEXT(A236,"mmm")</f>
        <v/>
      </c>
      <c r="E236">
        <f>ROUNDUP(C236/3,0)</f>
        <v/>
      </c>
      <c r="F236">
        <f>YEAR(A236)</f>
        <v/>
      </c>
      <c r="G236">
        <f>F236&amp;"-"&amp;TEXT(C236,"00")</f>
        <v/>
      </c>
    </row>
    <row r="237">
      <c r="A237" s="116">
        <f>A236+7</f>
        <v/>
      </c>
      <c r="B237">
        <f>INT((A237-DATE(YEAR(A237),1,1))/7)+1</f>
        <v/>
      </c>
      <c r="C237">
        <f>MONTH(A237)</f>
        <v/>
      </c>
      <c r="D237">
        <f>TEXT(A237,"mmm")</f>
        <v/>
      </c>
      <c r="E237">
        <f>ROUNDUP(C237/3,0)</f>
        <v/>
      </c>
      <c r="F237">
        <f>YEAR(A237)</f>
        <v/>
      </c>
      <c r="G237">
        <f>F237&amp;"-"&amp;TEXT(C237,"00")</f>
        <v/>
      </c>
    </row>
    <row r="238">
      <c r="A238" s="116">
        <f>A237+7</f>
        <v/>
      </c>
      <c r="B238">
        <f>INT((A238-DATE(YEAR(A238),1,1))/7)+1</f>
        <v/>
      </c>
      <c r="C238">
        <f>MONTH(A238)</f>
        <v/>
      </c>
      <c r="D238">
        <f>TEXT(A238,"mmm")</f>
        <v/>
      </c>
      <c r="E238">
        <f>ROUNDUP(C238/3,0)</f>
        <v/>
      </c>
      <c r="F238">
        <f>YEAR(A238)</f>
        <v/>
      </c>
      <c r="G238">
        <f>F238&amp;"-"&amp;TEXT(C238,"00")</f>
        <v/>
      </c>
    </row>
    <row r="239">
      <c r="A239" s="116">
        <f>A238+7</f>
        <v/>
      </c>
      <c r="B239">
        <f>INT((A239-DATE(YEAR(A239),1,1))/7)+1</f>
        <v/>
      </c>
      <c r="C239">
        <f>MONTH(A239)</f>
        <v/>
      </c>
      <c r="D239">
        <f>TEXT(A239,"mmm")</f>
        <v/>
      </c>
      <c r="E239">
        <f>ROUNDUP(C239/3,0)</f>
        <v/>
      </c>
      <c r="F239">
        <f>YEAR(A239)</f>
        <v/>
      </c>
      <c r="G239">
        <f>F239&amp;"-"&amp;TEXT(C239,"00")</f>
        <v/>
      </c>
    </row>
    <row r="240">
      <c r="A240" s="116">
        <f>A239+7</f>
        <v/>
      </c>
      <c r="B240">
        <f>INT((A240-DATE(YEAR(A240),1,1))/7)+1</f>
        <v/>
      </c>
      <c r="C240">
        <f>MONTH(A240)</f>
        <v/>
      </c>
      <c r="D240">
        <f>TEXT(A240,"mmm")</f>
        <v/>
      </c>
      <c r="E240">
        <f>ROUNDUP(C240/3,0)</f>
        <v/>
      </c>
      <c r="F240">
        <f>YEAR(A240)</f>
        <v/>
      </c>
      <c r="G240">
        <f>F240&amp;"-"&amp;TEXT(C240,"00")</f>
        <v/>
      </c>
    </row>
    <row r="241">
      <c r="A241" s="116">
        <f>A240+7</f>
        <v/>
      </c>
      <c r="B241">
        <f>INT((A241-DATE(YEAR(A241),1,1))/7)+1</f>
        <v/>
      </c>
      <c r="C241">
        <f>MONTH(A241)</f>
        <v/>
      </c>
      <c r="D241">
        <f>TEXT(A241,"mmm")</f>
        <v/>
      </c>
      <c r="E241">
        <f>ROUNDUP(C241/3,0)</f>
        <v/>
      </c>
      <c r="F241">
        <f>YEAR(A241)</f>
        <v/>
      </c>
      <c r="G241">
        <f>F241&amp;"-"&amp;TEXT(C241,"00")</f>
        <v/>
      </c>
    </row>
    <row r="242">
      <c r="A242" s="116">
        <f>A241+7</f>
        <v/>
      </c>
      <c r="B242">
        <f>INT((A242-DATE(YEAR(A242),1,1))/7)+1</f>
        <v/>
      </c>
      <c r="C242">
        <f>MONTH(A242)</f>
        <v/>
      </c>
      <c r="D242">
        <f>TEXT(A242,"mmm")</f>
        <v/>
      </c>
      <c r="E242">
        <f>ROUNDUP(C242/3,0)</f>
        <v/>
      </c>
      <c r="F242">
        <f>YEAR(A242)</f>
        <v/>
      </c>
      <c r="G242">
        <f>F242&amp;"-"&amp;TEXT(C242,"00")</f>
        <v/>
      </c>
    </row>
    <row r="243">
      <c r="A243" s="116">
        <f>A242+7</f>
        <v/>
      </c>
      <c r="B243">
        <f>INT((A243-DATE(YEAR(A243),1,1))/7)+1</f>
        <v/>
      </c>
      <c r="C243">
        <f>MONTH(A243)</f>
        <v/>
      </c>
      <c r="D243">
        <f>TEXT(A243,"mmm")</f>
        <v/>
      </c>
      <c r="E243">
        <f>ROUNDUP(C243/3,0)</f>
        <v/>
      </c>
      <c r="F243">
        <f>YEAR(A243)</f>
        <v/>
      </c>
      <c r="G243">
        <f>F243&amp;"-"&amp;TEXT(C243,"00")</f>
        <v/>
      </c>
    </row>
    <row r="244">
      <c r="A244" s="116">
        <f>A243+7</f>
        <v/>
      </c>
      <c r="B244">
        <f>INT((A244-DATE(YEAR(A244),1,1))/7)+1</f>
        <v/>
      </c>
      <c r="C244">
        <f>MONTH(A244)</f>
        <v/>
      </c>
      <c r="D244">
        <f>TEXT(A244,"mmm")</f>
        <v/>
      </c>
      <c r="E244">
        <f>ROUNDUP(C244/3,0)</f>
        <v/>
      </c>
      <c r="F244">
        <f>YEAR(A244)</f>
        <v/>
      </c>
      <c r="G244">
        <f>F244&amp;"-"&amp;TEXT(C244,"00")</f>
        <v/>
      </c>
    </row>
    <row r="245">
      <c r="A245" s="116">
        <f>A244+7</f>
        <v/>
      </c>
      <c r="B245">
        <f>INT((A245-DATE(YEAR(A245),1,1))/7)+1</f>
        <v/>
      </c>
      <c r="C245">
        <f>MONTH(A245)</f>
        <v/>
      </c>
      <c r="D245">
        <f>TEXT(A245,"mmm")</f>
        <v/>
      </c>
      <c r="E245">
        <f>ROUNDUP(C245/3,0)</f>
        <v/>
      </c>
      <c r="F245">
        <f>YEAR(A245)</f>
        <v/>
      </c>
      <c r="G245">
        <f>F245&amp;"-"&amp;TEXT(C245,"00")</f>
        <v/>
      </c>
    </row>
    <row r="246">
      <c r="A246" s="116">
        <f>A245+7</f>
        <v/>
      </c>
      <c r="B246">
        <f>INT((A246-DATE(YEAR(A246),1,1))/7)+1</f>
        <v/>
      </c>
      <c r="C246">
        <f>MONTH(A246)</f>
        <v/>
      </c>
      <c r="D246">
        <f>TEXT(A246,"mmm")</f>
        <v/>
      </c>
      <c r="E246">
        <f>ROUNDUP(C246/3,0)</f>
        <v/>
      </c>
      <c r="F246">
        <f>YEAR(A246)</f>
        <v/>
      </c>
      <c r="G246">
        <f>F246&amp;"-"&amp;TEXT(C246,"00")</f>
        <v/>
      </c>
    </row>
    <row r="247">
      <c r="A247" s="116">
        <f>A246+7</f>
        <v/>
      </c>
      <c r="B247">
        <f>INT((A247-DATE(YEAR(A247),1,1))/7)+1</f>
        <v/>
      </c>
      <c r="C247">
        <f>MONTH(A247)</f>
        <v/>
      </c>
      <c r="D247">
        <f>TEXT(A247,"mmm")</f>
        <v/>
      </c>
      <c r="E247">
        <f>ROUNDUP(C247/3,0)</f>
        <v/>
      </c>
      <c r="F247">
        <f>YEAR(A247)</f>
        <v/>
      </c>
      <c r="G247">
        <f>F247&amp;"-"&amp;TEXT(C247,"00")</f>
        <v/>
      </c>
    </row>
    <row r="248">
      <c r="A248" s="116">
        <f>A247+7</f>
        <v/>
      </c>
      <c r="B248">
        <f>INT((A248-DATE(YEAR(A248),1,1))/7)+1</f>
        <v/>
      </c>
      <c r="C248">
        <f>MONTH(A248)</f>
        <v/>
      </c>
      <c r="D248">
        <f>TEXT(A248,"mmm")</f>
        <v/>
      </c>
      <c r="E248">
        <f>ROUNDUP(C248/3,0)</f>
        <v/>
      </c>
      <c r="F248">
        <f>YEAR(A248)</f>
        <v/>
      </c>
      <c r="G248">
        <f>F248&amp;"-"&amp;TEXT(C248,"00")</f>
        <v/>
      </c>
    </row>
    <row r="249">
      <c r="A249" s="116">
        <f>A248+7</f>
        <v/>
      </c>
      <c r="B249">
        <f>INT((A249-DATE(YEAR(A249),1,1))/7)+1</f>
        <v/>
      </c>
      <c r="C249">
        <f>MONTH(A249)</f>
        <v/>
      </c>
      <c r="D249">
        <f>TEXT(A249,"mmm")</f>
        <v/>
      </c>
      <c r="E249">
        <f>ROUNDUP(C249/3,0)</f>
        <v/>
      </c>
      <c r="F249">
        <f>YEAR(A249)</f>
        <v/>
      </c>
      <c r="G249">
        <f>F249&amp;"-"&amp;TEXT(C249,"00")</f>
        <v/>
      </c>
    </row>
    <row r="250">
      <c r="A250" s="116">
        <f>A249+7</f>
        <v/>
      </c>
      <c r="B250">
        <f>INT((A250-DATE(YEAR(A250),1,1))/7)+1</f>
        <v/>
      </c>
      <c r="C250">
        <f>MONTH(A250)</f>
        <v/>
      </c>
      <c r="D250">
        <f>TEXT(A250,"mmm")</f>
        <v/>
      </c>
      <c r="E250">
        <f>ROUNDUP(C250/3,0)</f>
        <v/>
      </c>
      <c r="F250">
        <f>YEAR(A250)</f>
        <v/>
      </c>
      <c r="G250">
        <f>F250&amp;"-"&amp;TEXT(C250,"00")</f>
        <v/>
      </c>
    </row>
    <row r="251">
      <c r="A251" s="116">
        <f>A250+7</f>
        <v/>
      </c>
      <c r="B251">
        <f>INT((A251-DATE(YEAR(A251),1,1))/7)+1</f>
        <v/>
      </c>
      <c r="C251">
        <f>MONTH(A251)</f>
        <v/>
      </c>
      <c r="D251">
        <f>TEXT(A251,"mmm")</f>
        <v/>
      </c>
      <c r="E251">
        <f>ROUNDUP(C251/3,0)</f>
        <v/>
      </c>
      <c r="F251">
        <f>YEAR(A251)</f>
        <v/>
      </c>
      <c r="G251">
        <f>F251&amp;"-"&amp;TEXT(C251,"00")</f>
        <v/>
      </c>
    </row>
    <row r="252">
      <c r="A252" s="116">
        <f>A251+7</f>
        <v/>
      </c>
      <c r="B252">
        <f>INT((A252-DATE(YEAR(A252),1,1))/7)+1</f>
        <v/>
      </c>
      <c r="C252">
        <f>MONTH(A252)</f>
        <v/>
      </c>
      <c r="D252">
        <f>TEXT(A252,"mmm")</f>
        <v/>
      </c>
      <c r="E252">
        <f>ROUNDUP(C252/3,0)</f>
        <v/>
      </c>
      <c r="F252">
        <f>YEAR(A252)</f>
        <v/>
      </c>
      <c r="G252">
        <f>F252&amp;"-"&amp;TEXT(C252,"00")</f>
        <v/>
      </c>
    </row>
    <row r="253">
      <c r="A253" s="116">
        <f>A252+7</f>
        <v/>
      </c>
      <c r="B253">
        <f>INT((A253-DATE(YEAR(A253),1,1))/7)+1</f>
        <v/>
      </c>
      <c r="C253">
        <f>MONTH(A253)</f>
        <v/>
      </c>
      <c r="D253">
        <f>TEXT(A253,"mmm")</f>
        <v/>
      </c>
      <c r="E253">
        <f>ROUNDUP(C253/3,0)</f>
        <v/>
      </c>
      <c r="F253">
        <f>YEAR(A253)</f>
        <v/>
      </c>
      <c r="G253">
        <f>F253&amp;"-"&amp;TEXT(C253,"00")</f>
        <v/>
      </c>
    </row>
    <row r="254">
      <c r="A254" s="116">
        <f>A253+7</f>
        <v/>
      </c>
      <c r="B254">
        <f>INT((A254-DATE(YEAR(A254),1,1))/7)+1</f>
        <v/>
      </c>
      <c r="C254">
        <f>MONTH(A254)</f>
        <v/>
      </c>
      <c r="D254">
        <f>TEXT(A254,"mmm")</f>
        <v/>
      </c>
      <c r="E254">
        <f>ROUNDUP(C254/3,0)</f>
        <v/>
      </c>
      <c r="F254">
        <f>YEAR(A254)</f>
        <v/>
      </c>
      <c r="G254">
        <f>F254&amp;"-"&amp;TEXT(C254,"00")</f>
        <v/>
      </c>
    </row>
    <row r="255">
      <c r="A255" s="116">
        <f>A254+7</f>
        <v/>
      </c>
      <c r="B255">
        <f>INT((A255-DATE(YEAR(A255),1,1))/7)+1</f>
        <v/>
      </c>
      <c r="C255">
        <f>MONTH(A255)</f>
        <v/>
      </c>
      <c r="D255">
        <f>TEXT(A255,"mmm")</f>
        <v/>
      </c>
      <c r="E255">
        <f>ROUNDUP(C255/3,0)</f>
        <v/>
      </c>
      <c r="F255">
        <f>YEAR(A255)</f>
        <v/>
      </c>
      <c r="G255">
        <f>F255&amp;"-"&amp;TEXT(C255,"00")</f>
        <v/>
      </c>
    </row>
    <row r="256">
      <c r="A256" s="116">
        <f>A255+7</f>
        <v/>
      </c>
      <c r="B256">
        <f>INT((A256-DATE(YEAR(A256),1,1))/7)+1</f>
        <v/>
      </c>
      <c r="C256">
        <f>MONTH(A256)</f>
        <v/>
      </c>
      <c r="D256">
        <f>TEXT(A256,"mmm")</f>
        <v/>
      </c>
      <c r="E256">
        <f>ROUNDUP(C256/3,0)</f>
        <v/>
      </c>
      <c r="F256">
        <f>YEAR(A256)</f>
        <v/>
      </c>
      <c r="G256">
        <f>F256&amp;"-"&amp;TEXT(C256,"00")</f>
        <v/>
      </c>
    </row>
    <row r="257">
      <c r="A257" s="116">
        <f>A256+7</f>
        <v/>
      </c>
      <c r="B257">
        <f>INT((A257-DATE(YEAR(A257),1,1))/7)+1</f>
        <v/>
      </c>
      <c r="C257">
        <f>MONTH(A257)</f>
        <v/>
      </c>
      <c r="D257">
        <f>TEXT(A257,"mmm")</f>
        <v/>
      </c>
      <c r="E257">
        <f>ROUNDUP(C257/3,0)</f>
        <v/>
      </c>
      <c r="F257">
        <f>YEAR(A257)</f>
        <v/>
      </c>
      <c r="G257">
        <f>F257&amp;"-"&amp;TEXT(C257,"00")</f>
        <v/>
      </c>
    </row>
    <row r="258">
      <c r="A258" s="116">
        <f>A257+7</f>
        <v/>
      </c>
      <c r="B258">
        <f>INT((A258-DATE(YEAR(A258),1,1))/7)+1</f>
        <v/>
      </c>
      <c r="C258">
        <f>MONTH(A258)</f>
        <v/>
      </c>
      <c r="D258">
        <f>TEXT(A258,"mmm")</f>
        <v/>
      </c>
      <c r="E258">
        <f>ROUNDUP(C258/3,0)</f>
        <v/>
      </c>
      <c r="F258">
        <f>YEAR(A258)</f>
        <v/>
      </c>
      <c r="G258">
        <f>F258&amp;"-"&amp;TEXT(C258,"00")</f>
        <v/>
      </c>
    </row>
    <row r="259">
      <c r="A259" s="116">
        <f>A258+7</f>
        <v/>
      </c>
      <c r="B259">
        <f>INT((A259-DATE(YEAR(A259),1,1))/7)+1</f>
        <v/>
      </c>
      <c r="C259">
        <f>MONTH(A259)</f>
        <v/>
      </c>
      <c r="D259">
        <f>TEXT(A259,"mmm")</f>
        <v/>
      </c>
      <c r="E259">
        <f>ROUNDUP(C259/3,0)</f>
        <v/>
      </c>
      <c r="F259">
        <f>YEAR(A259)</f>
        <v/>
      </c>
      <c r="G259">
        <f>F259&amp;"-"&amp;TEXT(C259,"00")</f>
        <v/>
      </c>
    </row>
    <row r="260">
      <c r="A260" s="116">
        <f>A259+7</f>
        <v/>
      </c>
      <c r="B260">
        <f>INT((A260-DATE(YEAR(A260),1,1))/7)+1</f>
        <v/>
      </c>
      <c r="C260">
        <f>MONTH(A260)</f>
        <v/>
      </c>
      <c r="D260">
        <f>TEXT(A260,"mmm")</f>
        <v/>
      </c>
      <c r="E260">
        <f>ROUNDUP(C260/3,0)</f>
        <v/>
      </c>
      <c r="F260">
        <f>YEAR(A260)</f>
        <v/>
      </c>
      <c r="G260">
        <f>F260&amp;"-"&amp;TEXT(C260,"00")</f>
        <v/>
      </c>
    </row>
    <row r="261">
      <c r="A261" s="116">
        <f>A260+7</f>
        <v/>
      </c>
      <c r="B261">
        <f>INT((A261-DATE(YEAR(A261),1,1))/7)+1</f>
        <v/>
      </c>
      <c r="C261">
        <f>MONTH(A261)</f>
        <v/>
      </c>
      <c r="D261">
        <f>TEXT(A261,"mmm")</f>
        <v/>
      </c>
      <c r="E261">
        <f>ROUNDUP(C261/3,0)</f>
        <v/>
      </c>
      <c r="F261">
        <f>YEAR(A261)</f>
        <v/>
      </c>
      <c r="G261">
        <f>F261&amp;"-"&amp;TEXT(C261,"00")</f>
        <v/>
      </c>
    </row>
    <row r="262">
      <c r="A262" s="116">
        <f>A261+7</f>
        <v/>
      </c>
      <c r="B262">
        <f>INT((A262-DATE(YEAR(A262),1,1))/7)+1</f>
        <v/>
      </c>
      <c r="C262">
        <f>MONTH(A262)</f>
        <v/>
      </c>
      <c r="D262">
        <f>TEXT(A262,"mmm")</f>
        <v/>
      </c>
      <c r="E262">
        <f>ROUNDUP(C262/3,0)</f>
        <v/>
      </c>
      <c r="F262">
        <f>YEAR(A262)</f>
        <v/>
      </c>
      <c r="G262">
        <f>F262&amp;"-"&amp;TEXT(C262,"00")</f>
        <v/>
      </c>
    </row>
    <row r="263">
      <c r="A263" s="116">
        <f>A262+7</f>
        <v/>
      </c>
      <c r="B263">
        <f>INT((A263-DATE(YEAR(A263),1,1))/7)+1</f>
        <v/>
      </c>
      <c r="C263">
        <f>MONTH(A263)</f>
        <v/>
      </c>
      <c r="D263">
        <f>TEXT(A263,"mmm")</f>
        <v/>
      </c>
      <c r="E263">
        <f>ROUNDUP(C263/3,0)</f>
        <v/>
      </c>
      <c r="F263">
        <f>YEAR(A263)</f>
        <v/>
      </c>
      <c r="G263">
        <f>F263&amp;"-"&amp;TEXT(C263,"00")</f>
        <v/>
      </c>
    </row>
    <row r="264">
      <c r="A264" s="116">
        <f>A263+7</f>
        <v/>
      </c>
      <c r="B264">
        <f>INT((A264-DATE(YEAR(A264),1,1))/7)+1</f>
        <v/>
      </c>
      <c r="C264">
        <f>MONTH(A264)</f>
        <v/>
      </c>
      <c r="D264">
        <f>TEXT(A264,"mmm")</f>
        <v/>
      </c>
      <c r="E264">
        <f>ROUNDUP(C264/3,0)</f>
        <v/>
      </c>
      <c r="F264">
        <f>YEAR(A264)</f>
        <v/>
      </c>
      <c r="G264">
        <f>F264&amp;"-"&amp;TEXT(C264,"00")</f>
        <v/>
      </c>
    </row>
    <row r="265">
      <c r="A265" s="116">
        <f>A264+7</f>
        <v/>
      </c>
      <c r="B265">
        <f>INT((A265-DATE(YEAR(A265),1,1))/7)+1</f>
        <v/>
      </c>
      <c r="C265">
        <f>MONTH(A265)</f>
        <v/>
      </c>
      <c r="D265">
        <f>TEXT(A265,"mmm")</f>
        <v/>
      </c>
      <c r="E265">
        <f>ROUNDUP(C265/3,0)</f>
        <v/>
      </c>
      <c r="F265">
        <f>YEAR(A265)</f>
        <v/>
      </c>
      <c r="G265">
        <f>F265&amp;"-"&amp;TEXT(C265,"00")</f>
        <v/>
      </c>
    </row>
    <row r="266">
      <c r="A266" s="116">
        <f>A265+7</f>
        <v/>
      </c>
      <c r="B266">
        <f>INT((A266-DATE(YEAR(A266),1,1))/7)+1</f>
        <v/>
      </c>
      <c r="C266">
        <f>MONTH(A266)</f>
        <v/>
      </c>
      <c r="D266">
        <f>TEXT(A266,"mmm")</f>
        <v/>
      </c>
      <c r="E266">
        <f>ROUNDUP(C266/3,0)</f>
        <v/>
      </c>
      <c r="F266">
        <f>YEAR(A266)</f>
        <v/>
      </c>
      <c r="G266">
        <f>F266&amp;"-"&amp;TEXT(C266,"00")</f>
        <v/>
      </c>
    </row>
    <row r="267">
      <c r="A267" s="116">
        <f>A266+7</f>
        <v/>
      </c>
      <c r="B267">
        <f>INT((A267-DATE(YEAR(A267),1,1))/7)+1</f>
        <v/>
      </c>
      <c r="C267">
        <f>MONTH(A267)</f>
        <v/>
      </c>
      <c r="D267">
        <f>TEXT(A267,"mmm")</f>
        <v/>
      </c>
      <c r="E267">
        <f>ROUNDUP(C267/3,0)</f>
        <v/>
      </c>
      <c r="F267">
        <f>YEAR(A267)</f>
        <v/>
      </c>
      <c r="G267">
        <f>F267&amp;"-"&amp;TEXT(C267,"00")</f>
        <v/>
      </c>
    </row>
    <row r="268">
      <c r="A268" s="116">
        <f>A267+7</f>
        <v/>
      </c>
      <c r="B268">
        <f>INT((A268-DATE(YEAR(A268),1,1))/7)+1</f>
        <v/>
      </c>
      <c r="C268">
        <f>MONTH(A268)</f>
        <v/>
      </c>
      <c r="D268">
        <f>TEXT(A268,"mmm")</f>
        <v/>
      </c>
      <c r="E268">
        <f>ROUNDUP(C268/3,0)</f>
        <v/>
      </c>
      <c r="F268">
        <f>YEAR(A268)</f>
        <v/>
      </c>
      <c r="G268">
        <f>F268&amp;"-"&amp;TEXT(C268,"00")</f>
        <v/>
      </c>
    </row>
    <row r="269">
      <c r="A269" s="116">
        <f>A268+7</f>
        <v/>
      </c>
      <c r="B269">
        <f>INT((A269-DATE(YEAR(A269),1,1))/7)+1</f>
        <v/>
      </c>
      <c r="C269">
        <f>MONTH(A269)</f>
        <v/>
      </c>
      <c r="D269">
        <f>TEXT(A269,"mmm")</f>
        <v/>
      </c>
      <c r="E269">
        <f>ROUNDUP(C269/3,0)</f>
        <v/>
      </c>
      <c r="F269">
        <f>YEAR(A269)</f>
        <v/>
      </c>
      <c r="G269">
        <f>F269&amp;"-"&amp;TEXT(C269,"00")</f>
        <v/>
      </c>
    </row>
    <row r="270">
      <c r="A270" s="116">
        <f>A269+7</f>
        <v/>
      </c>
      <c r="B270">
        <f>INT((A270-DATE(YEAR(A270),1,1))/7)+1</f>
        <v/>
      </c>
      <c r="C270">
        <f>MONTH(A270)</f>
        <v/>
      </c>
      <c r="D270">
        <f>TEXT(A270,"mmm")</f>
        <v/>
      </c>
      <c r="E270">
        <f>ROUNDUP(C270/3,0)</f>
        <v/>
      </c>
      <c r="F270">
        <f>YEAR(A270)</f>
        <v/>
      </c>
      <c r="G270">
        <f>F270&amp;"-"&amp;TEXT(C270,"00")</f>
        <v/>
      </c>
    </row>
    <row r="271">
      <c r="A271" s="116">
        <f>A270+7</f>
        <v/>
      </c>
      <c r="B271">
        <f>INT((A271-DATE(YEAR(A271),1,1))/7)+1</f>
        <v/>
      </c>
      <c r="C271">
        <f>MONTH(A271)</f>
        <v/>
      </c>
      <c r="D271">
        <f>TEXT(A271,"mmm")</f>
        <v/>
      </c>
      <c r="E271">
        <f>ROUNDUP(C271/3,0)</f>
        <v/>
      </c>
      <c r="F271">
        <f>YEAR(A271)</f>
        <v/>
      </c>
      <c r="G271">
        <f>F271&amp;"-"&amp;TEXT(C271,"00")</f>
        <v/>
      </c>
    </row>
    <row r="272">
      <c r="A272" s="116">
        <f>A271+7</f>
        <v/>
      </c>
      <c r="B272">
        <f>INT((A272-DATE(YEAR(A272),1,1))/7)+1</f>
        <v/>
      </c>
      <c r="C272">
        <f>MONTH(A272)</f>
        <v/>
      </c>
      <c r="D272">
        <f>TEXT(A272,"mmm")</f>
        <v/>
      </c>
      <c r="E272">
        <f>ROUNDUP(C272/3,0)</f>
        <v/>
      </c>
      <c r="F272">
        <f>YEAR(A272)</f>
        <v/>
      </c>
      <c r="G272">
        <f>F272&amp;"-"&amp;TEXT(C272,"00")</f>
        <v/>
      </c>
    </row>
    <row r="273">
      <c r="A273" s="116">
        <f>A272+7</f>
        <v/>
      </c>
      <c r="B273">
        <f>INT((A273-DATE(YEAR(A273),1,1))/7)+1</f>
        <v/>
      </c>
      <c r="C273">
        <f>MONTH(A273)</f>
        <v/>
      </c>
      <c r="D273">
        <f>TEXT(A273,"mmm")</f>
        <v/>
      </c>
      <c r="E273">
        <f>ROUNDUP(C273/3,0)</f>
        <v/>
      </c>
      <c r="F273">
        <f>YEAR(A273)</f>
        <v/>
      </c>
      <c r="G273">
        <f>F273&amp;"-"&amp;TEXT(C273,"00")</f>
        <v/>
      </c>
    </row>
    <row r="274">
      <c r="A274" s="116">
        <f>A273+7</f>
        <v/>
      </c>
      <c r="B274">
        <f>INT((A274-DATE(YEAR(A274),1,1))/7)+1</f>
        <v/>
      </c>
      <c r="C274">
        <f>MONTH(A274)</f>
        <v/>
      </c>
      <c r="D274">
        <f>TEXT(A274,"mmm")</f>
        <v/>
      </c>
      <c r="E274">
        <f>ROUNDUP(C274/3,0)</f>
        <v/>
      </c>
      <c r="F274">
        <f>YEAR(A274)</f>
        <v/>
      </c>
      <c r="G274">
        <f>F274&amp;"-"&amp;TEXT(C274,"00")</f>
        <v/>
      </c>
    </row>
    <row r="275">
      <c r="A275" s="116">
        <f>A274+7</f>
        <v/>
      </c>
      <c r="B275">
        <f>INT((A275-DATE(YEAR(A275),1,1))/7)+1</f>
        <v/>
      </c>
      <c r="C275">
        <f>MONTH(A275)</f>
        <v/>
      </c>
      <c r="D275">
        <f>TEXT(A275,"mmm")</f>
        <v/>
      </c>
      <c r="E275">
        <f>ROUNDUP(C275/3,0)</f>
        <v/>
      </c>
      <c r="F275">
        <f>YEAR(A275)</f>
        <v/>
      </c>
      <c r="G275">
        <f>F275&amp;"-"&amp;TEXT(C275,"00")</f>
        <v/>
      </c>
    </row>
    <row r="276">
      <c r="A276" s="116">
        <f>A275+7</f>
        <v/>
      </c>
      <c r="B276">
        <f>INT((A276-DATE(YEAR(A276),1,1))/7)+1</f>
        <v/>
      </c>
      <c r="C276">
        <f>MONTH(A276)</f>
        <v/>
      </c>
      <c r="D276">
        <f>TEXT(A276,"mmm")</f>
        <v/>
      </c>
      <c r="E276">
        <f>ROUNDUP(C276/3,0)</f>
        <v/>
      </c>
      <c r="F276">
        <f>YEAR(A276)</f>
        <v/>
      </c>
      <c r="G276">
        <f>F276&amp;"-"&amp;TEXT(C276,"00")</f>
        <v/>
      </c>
    </row>
    <row r="277">
      <c r="A277" s="116">
        <f>A276+7</f>
        <v/>
      </c>
      <c r="B277">
        <f>INT((A277-DATE(YEAR(A277),1,1))/7)+1</f>
        <v/>
      </c>
      <c r="C277">
        <f>MONTH(A277)</f>
        <v/>
      </c>
      <c r="D277">
        <f>TEXT(A277,"mmm")</f>
        <v/>
      </c>
      <c r="E277">
        <f>ROUNDUP(C277/3,0)</f>
        <v/>
      </c>
      <c r="F277">
        <f>YEAR(A277)</f>
        <v/>
      </c>
      <c r="G277">
        <f>F277&amp;"-"&amp;TEXT(C277,"00")</f>
        <v/>
      </c>
    </row>
    <row r="278">
      <c r="A278" s="116">
        <f>A277+7</f>
        <v/>
      </c>
      <c r="B278">
        <f>INT((A278-DATE(YEAR(A278),1,1))/7)+1</f>
        <v/>
      </c>
      <c r="C278">
        <f>MONTH(A278)</f>
        <v/>
      </c>
      <c r="D278">
        <f>TEXT(A278,"mmm")</f>
        <v/>
      </c>
      <c r="E278">
        <f>ROUNDUP(C278/3,0)</f>
        <v/>
      </c>
      <c r="F278">
        <f>YEAR(A278)</f>
        <v/>
      </c>
      <c r="G278">
        <f>F278&amp;"-"&amp;TEXT(C278,"00")</f>
        <v/>
      </c>
    </row>
    <row r="279">
      <c r="A279" s="116">
        <f>A278+7</f>
        <v/>
      </c>
      <c r="B279">
        <f>INT((A279-DATE(YEAR(A279),1,1))/7)+1</f>
        <v/>
      </c>
      <c r="C279">
        <f>MONTH(A279)</f>
        <v/>
      </c>
      <c r="D279">
        <f>TEXT(A279,"mmm")</f>
        <v/>
      </c>
      <c r="E279">
        <f>ROUNDUP(C279/3,0)</f>
        <v/>
      </c>
      <c r="F279">
        <f>YEAR(A279)</f>
        <v/>
      </c>
      <c r="G279">
        <f>F279&amp;"-"&amp;TEXT(C279,"00")</f>
        <v/>
      </c>
    </row>
    <row r="280">
      <c r="A280" s="116">
        <f>A279+7</f>
        <v/>
      </c>
      <c r="B280">
        <f>INT((A280-DATE(YEAR(A280),1,1))/7)+1</f>
        <v/>
      </c>
      <c r="C280">
        <f>MONTH(A280)</f>
        <v/>
      </c>
      <c r="D280">
        <f>TEXT(A280,"mmm")</f>
        <v/>
      </c>
      <c r="E280">
        <f>ROUNDUP(C280/3,0)</f>
        <v/>
      </c>
      <c r="F280">
        <f>YEAR(A280)</f>
        <v/>
      </c>
      <c r="G280">
        <f>F280&amp;"-"&amp;TEXT(C280,"00")</f>
        <v/>
      </c>
    </row>
    <row r="281">
      <c r="A281" s="116">
        <f>A280+7</f>
        <v/>
      </c>
      <c r="B281">
        <f>INT((A281-DATE(YEAR(A281),1,1))/7)+1</f>
        <v/>
      </c>
      <c r="C281">
        <f>MONTH(A281)</f>
        <v/>
      </c>
      <c r="D281">
        <f>TEXT(A281,"mmm")</f>
        <v/>
      </c>
      <c r="E281">
        <f>ROUNDUP(C281/3,0)</f>
        <v/>
      </c>
      <c r="F281">
        <f>YEAR(A281)</f>
        <v/>
      </c>
      <c r="G281">
        <f>F281&amp;"-"&amp;TEXT(C281,"00")</f>
        <v/>
      </c>
    </row>
    <row r="282">
      <c r="A282" s="116">
        <f>A281+7</f>
        <v/>
      </c>
      <c r="B282">
        <f>INT((A282-DATE(YEAR(A282),1,1))/7)+1</f>
        <v/>
      </c>
      <c r="C282">
        <f>MONTH(A282)</f>
        <v/>
      </c>
      <c r="D282">
        <f>TEXT(A282,"mmm")</f>
        <v/>
      </c>
      <c r="E282">
        <f>ROUNDUP(C282/3,0)</f>
        <v/>
      </c>
      <c r="F282">
        <f>YEAR(A282)</f>
        <v/>
      </c>
      <c r="G282">
        <f>F282&amp;"-"&amp;TEXT(C282,"00")</f>
        <v/>
      </c>
    </row>
    <row r="283">
      <c r="A283" s="116">
        <f>A282+7</f>
        <v/>
      </c>
      <c r="B283">
        <f>INT((A283-DATE(YEAR(A283),1,1))/7)+1</f>
        <v/>
      </c>
      <c r="C283">
        <f>MONTH(A283)</f>
        <v/>
      </c>
      <c r="D283">
        <f>TEXT(A283,"mmm")</f>
        <v/>
      </c>
      <c r="E283">
        <f>ROUNDUP(C283/3,0)</f>
        <v/>
      </c>
      <c r="F283">
        <f>YEAR(A283)</f>
        <v/>
      </c>
      <c r="G283">
        <f>F283&amp;"-"&amp;TEXT(C283,"00")</f>
        <v/>
      </c>
    </row>
    <row r="284">
      <c r="A284" s="116">
        <f>A283+7</f>
        <v/>
      </c>
      <c r="B284">
        <f>INT((A284-DATE(YEAR(A284),1,1))/7)+1</f>
        <v/>
      </c>
      <c r="C284">
        <f>MONTH(A284)</f>
        <v/>
      </c>
      <c r="D284">
        <f>TEXT(A284,"mmm")</f>
        <v/>
      </c>
      <c r="E284">
        <f>ROUNDUP(C284/3,0)</f>
        <v/>
      </c>
      <c r="F284">
        <f>YEAR(A284)</f>
        <v/>
      </c>
      <c r="G284">
        <f>F284&amp;"-"&amp;TEXT(C284,"00")</f>
        <v/>
      </c>
    </row>
    <row r="285">
      <c r="A285" s="116">
        <f>A284+7</f>
        <v/>
      </c>
      <c r="B285">
        <f>INT((A285-DATE(YEAR(A285),1,1))/7)+1</f>
        <v/>
      </c>
      <c r="C285">
        <f>MONTH(A285)</f>
        <v/>
      </c>
      <c r="D285">
        <f>TEXT(A285,"mmm")</f>
        <v/>
      </c>
      <c r="E285">
        <f>ROUNDUP(C285/3,0)</f>
        <v/>
      </c>
      <c r="F285">
        <f>YEAR(A285)</f>
        <v/>
      </c>
      <c r="G285">
        <f>F285&amp;"-"&amp;TEXT(C285,"00")</f>
        <v/>
      </c>
    </row>
    <row r="286">
      <c r="A286" s="116">
        <f>A285+7</f>
        <v/>
      </c>
      <c r="B286">
        <f>INT((A286-DATE(YEAR(A286),1,1))/7)+1</f>
        <v/>
      </c>
      <c r="C286">
        <f>MONTH(A286)</f>
        <v/>
      </c>
      <c r="D286">
        <f>TEXT(A286,"mmm")</f>
        <v/>
      </c>
      <c r="E286">
        <f>ROUNDUP(C286/3,0)</f>
        <v/>
      </c>
      <c r="F286">
        <f>YEAR(A286)</f>
        <v/>
      </c>
      <c r="G286">
        <f>F286&amp;"-"&amp;TEXT(C286,"00")</f>
        <v/>
      </c>
    </row>
    <row r="287">
      <c r="A287" s="116">
        <f>A286+7</f>
        <v/>
      </c>
      <c r="B287">
        <f>INT((A287-DATE(YEAR(A287),1,1))/7)+1</f>
        <v/>
      </c>
      <c r="C287">
        <f>MONTH(A287)</f>
        <v/>
      </c>
      <c r="D287">
        <f>TEXT(A287,"mmm")</f>
        <v/>
      </c>
      <c r="E287">
        <f>ROUNDUP(C287/3,0)</f>
        <v/>
      </c>
      <c r="F287">
        <f>YEAR(A287)</f>
        <v/>
      </c>
      <c r="G287">
        <f>F287&amp;"-"&amp;TEXT(C287,"00")</f>
        <v/>
      </c>
    </row>
    <row r="288">
      <c r="A288" s="116">
        <f>A287+7</f>
        <v/>
      </c>
      <c r="B288">
        <f>INT((A288-DATE(YEAR(A288),1,1))/7)+1</f>
        <v/>
      </c>
      <c r="C288">
        <f>MONTH(A288)</f>
        <v/>
      </c>
      <c r="D288">
        <f>TEXT(A288,"mmm")</f>
        <v/>
      </c>
      <c r="E288">
        <f>ROUNDUP(C288/3,0)</f>
        <v/>
      </c>
      <c r="F288">
        <f>YEAR(A288)</f>
        <v/>
      </c>
      <c r="G288">
        <f>F288&amp;"-"&amp;TEXT(C288,"00")</f>
        <v/>
      </c>
    </row>
    <row r="289">
      <c r="A289" s="116">
        <f>A288+7</f>
        <v/>
      </c>
      <c r="B289">
        <f>INT((A289-DATE(YEAR(A289),1,1))/7)+1</f>
        <v/>
      </c>
      <c r="C289">
        <f>MONTH(A289)</f>
        <v/>
      </c>
      <c r="D289">
        <f>TEXT(A289,"mmm")</f>
        <v/>
      </c>
      <c r="E289">
        <f>ROUNDUP(C289/3,0)</f>
        <v/>
      </c>
      <c r="F289">
        <f>YEAR(A289)</f>
        <v/>
      </c>
      <c r="G289">
        <f>F289&amp;"-"&amp;TEXT(C289,"00")</f>
        <v/>
      </c>
    </row>
    <row r="290">
      <c r="A290" s="116">
        <f>A289+7</f>
        <v/>
      </c>
      <c r="B290">
        <f>INT((A290-DATE(YEAR(A290),1,1))/7)+1</f>
        <v/>
      </c>
      <c r="C290">
        <f>MONTH(A290)</f>
        <v/>
      </c>
      <c r="D290">
        <f>TEXT(A290,"mmm")</f>
        <v/>
      </c>
      <c r="E290">
        <f>ROUNDUP(C290/3,0)</f>
        <v/>
      </c>
      <c r="F290">
        <f>YEAR(A290)</f>
        <v/>
      </c>
      <c r="G290">
        <f>F290&amp;"-"&amp;TEXT(C290,"00")</f>
        <v/>
      </c>
    </row>
    <row r="291">
      <c r="A291" s="116">
        <f>A290+7</f>
        <v/>
      </c>
      <c r="B291">
        <f>INT((A291-DATE(YEAR(A291),1,1))/7)+1</f>
        <v/>
      </c>
      <c r="C291">
        <f>MONTH(A291)</f>
        <v/>
      </c>
      <c r="D291">
        <f>TEXT(A291,"mmm")</f>
        <v/>
      </c>
      <c r="E291">
        <f>ROUNDUP(C291/3,0)</f>
        <v/>
      </c>
      <c r="F291">
        <f>YEAR(A291)</f>
        <v/>
      </c>
      <c r="G291">
        <f>F291&amp;"-"&amp;TEXT(C291,"00")</f>
        <v/>
      </c>
    </row>
    <row r="292">
      <c r="A292" s="116">
        <f>A291+7</f>
        <v/>
      </c>
      <c r="B292">
        <f>INT((A292-DATE(YEAR(A292),1,1))/7)+1</f>
        <v/>
      </c>
      <c r="C292">
        <f>MONTH(A292)</f>
        <v/>
      </c>
      <c r="D292">
        <f>TEXT(A292,"mmm")</f>
        <v/>
      </c>
      <c r="E292">
        <f>ROUNDUP(C292/3,0)</f>
        <v/>
      </c>
      <c r="F292">
        <f>YEAR(A292)</f>
        <v/>
      </c>
      <c r="G292">
        <f>F292&amp;"-"&amp;TEXT(C292,"00")</f>
        <v/>
      </c>
    </row>
    <row r="293">
      <c r="A293" s="116">
        <f>A292+7</f>
        <v/>
      </c>
      <c r="B293">
        <f>INT((A293-DATE(YEAR(A293),1,1))/7)+1</f>
        <v/>
      </c>
      <c r="C293">
        <f>MONTH(A293)</f>
        <v/>
      </c>
      <c r="D293">
        <f>TEXT(A293,"mmm")</f>
        <v/>
      </c>
      <c r="E293">
        <f>ROUNDUP(C293/3,0)</f>
        <v/>
      </c>
      <c r="F293">
        <f>YEAR(A293)</f>
        <v/>
      </c>
      <c r="G293">
        <f>F293&amp;"-"&amp;TEXT(C293,"00")</f>
        <v/>
      </c>
    </row>
    <row r="294">
      <c r="A294" s="116">
        <f>A293+7</f>
        <v/>
      </c>
      <c r="B294">
        <f>INT((A294-DATE(YEAR(A294),1,1))/7)+1</f>
        <v/>
      </c>
      <c r="C294">
        <f>MONTH(A294)</f>
        <v/>
      </c>
      <c r="D294">
        <f>TEXT(A294,"mmm")</f>
        <v/>
      </c>
      <c r="E294">
        <f>ROUNDUP(C294/3,0)</f>
        <v/>
      </c>
      <c r="F294">
        <f>YEAR(A294)</f>
        <v/>
      </c>
      <c r="G294">
        <f>F294&amp;"-"&amp;TEXT(C294,"00")</f>
        <v/>
      </c>
    </row>
    <row r="295">
      <c r="A295" s="116">
        <f>A294+7</f>
        <v/>
      </c>
      <c r="B295">
        <f>INT((A295-DATE(YEAR(A295),1,1))/7)+1</f>
        <v/>
      </c>
      <c r="C295">
        <f>MONTH(A295)</f>
        <v/>
      </c>
      <c r="D295">
        <f>TEXT(A295,"mmm")</f>
        <v/>
      </c>
      <c r="E295">
        <f>ROUNDUP(C295/3,0)</f>
        <v/>
      </c>
      <c r="F295">
        <f>YEAR(A295)</f>
        <v/>
      </c>
      <c r="G295">
        <f>F295&amp;"-"&amp;TEXT(C295,"00")</f>
        <v/>
      </c>
    </row>
    <row r="296">
      <c r="A296" s="116">
        <f>A295+7</f>
        <v/>
      </c>
      <c r="B296">
        <f>INT((A296-DATE(YEAR(A296),1,1))/7)+1</f>
        <v/>
      </c>
      <c r="C296">
        <f>MONTH(A296)</f>
        <v/>
      </c>
      <c r="D296">
        <f>TEXT(A296,"mmm")</f>
        <v/>
      </c>
      <c r="E296">
        <f>ROUNDUP(C296/3,0)</f>
        <v/>
      </c>
      <c r="F296">
        <f>YEAR(A296)</f>
        <v/>
      </c>
      <c r="G296">
        <f>F296&amp;"-"&amp;TEXT(C296,"00")</f>
        <v/>
      </c>
    </row>
    <row r="297">
      <c r="A297" s="116">
        <f>A296+7</f>
        <v/>
      </c>
      <c r="B297">
        <f>INT((A297-DATE(YEAR(A297),1,1))/7)+1</f>
        <v/>
      </c>
      <c r="C297">
        <f>MONTH(A297)</f>
        <v/>
      </c>
      <c r="D297">
        <f>TEXT(A297,"mmm")</f>
        <v/>
      </c>
      <c r="E297">
        <f>ROUNDUP(C297/3,0)</f>
        <v/>
      </c>
      <c r="F297">
        <f>YEAR(A297)</f>
        <v/>
      </c>
      <c r="G297">
        <f>F297&amp;"-"&amp;TEXT(C297,"00")</f>
        <v/>
      </c>
    </row>
    <row r="298">
      <c r="A298" s="116">
        <f>A297+7</f>
        <v/>
      </c>
      <c r="B298">
        <f>INT((A298-DATE(YEAR(A298),1,1))/7)+1</f>
        <v/>
      </c>
      <c r="C298">
        <f>MONTH(A298)</f>
        <v/>
      </c>
      <c r="D298">
        <f>TEXT(A298,"mmm")</f>
        <v/>
      </c>
      <c r="E298">
        <f>ROUNDUP(C298/3,0)</f>
        <v/>
      </c>
      <c r="F298">
        <f>YEAR(A298)</f>
        <v/>
      </c>
      <c r="G298">
        <f>F298&amp;"-"&amp;TEXT(C298,"00")</f>
        <v/>
      </c>
    </row>
    <row r="299">
      <c r="A299" s="116">
        <f>A298+7</f>
        <v/>
      </c>
      <c r="B299">
        <f>INT((A299-DATE(YEAR(A299),1,1))/7)+1</f>
        <v/>
      </c>
      <c r="C299">
        <f>MONTH(A299)</f>
        <v/>
      </c>
      <c r="D299">
        <f>TEXT(A299,"mmm")</f>
        <v/>
      </c>
      <c r="E299">
        <f>ROUNDUP(C299/3,0)</f>
        <v/>
      </c>
      <c r="F299">
        <f>YEAR(A299)</f>
        <v/>
      </c>
      <c r="G299">
        <f>F299&amp;"-"&amp;TEXT(C299,"00")</f>
        <v/>
      </c>
    </row>
    <row r="300">
      <c r="A300" s="116">
        <f>A299+7</f>
        <v/>
      </c>
      <c r="B300">
        <f>INT((A300-DATE(YEAR(A300),1,1))/7)+1</f>
        <v/>
      </c>
      <c r="C300">
        <f>MONTH(A300)</f>
        <v/>
      </c>
      <c r="D300">
        <f>TEXT(A300,"mmm")</f>
        <v/>
      </c>
      <c r="E300">
        <f>ROUNDUP(C300/3,0)</f>
        <v/>
      </c>
      <c r="F300">
        <f>YEAR(A300)</f>
        <v/>
      </c>
      <c r="G300">
        <f>F300&amp;"-"&amp;TEXT(C300,"00")</f>
        <v/>
      </c>
    </row>
    <row r="301">
      <c r="A301" s="116">
        <f>A300+7</f>
        <v/>
      </c>
      <c r="B301">
        <f>INT((A301-DATE(YEAR(A301),1,1))/7)+1</f>
        <v/>
      </c>
      <c r="C301">
        <f>MONTH(A301)</f>
        <v/>
      </c>
      <c r="D301">
        <f>TEXT(A301,"mmm")</f>
        <v/>
      </c>
      <c r="E301">
        <f>ROUNDUP(C301/3,0)</f>
        <v/>
      </c>
      <c r="F301">
        <f>YEAR(A301)</f>
        <v/>
      </c>
      <c r="G301">
        <f>F301&amp;"-"&amp;TEXT(C301,"00")</f>
        <v/>
      </c>
    </row>
    <row r="302">
      <c r="A302" s="116">
        <f>A301+7</f>
        <v/>
      </c>
      <c r="B302">
        <f>INT((A302-DATE(YEAR(A302),1,1))/7)+1</f>
        <v/>
      </c>
      <c r="C302">
        <f>MONTH(A302)</f>
        <v/>
      </c>
      <c r="D302">
        <f>TEXT(A302,"mmm")</f>
        <v/>
      </c>
      <c r="E302">
        <f>ROUNDUP(C302/3,0)</f>
        <v/>
      </c>
      <c r="F302">
        <f>YEAR(A302)</f>
        <v/>
      </c>
      <c r="G302">
        <f>F302&amp;"-"&amp;TEXT(C302,"00")</f>
        <v/>
      </c>
    </row>
    <row r="303">
      <c r="A303" s="116">
        <f>A302+7</f>
        <v/>
      </c>
      <c r="B303">
        <f>INT((A303-DATE(YEAR(A303),1,1))/7)+1</f>
        <v/>
      </c>
      <c r="C303">
        <f>MONTH(A303)</f>
        <v/>
      </c>
      <c r="D303">
        <f>TEXT(A303,"mmm")</f>
        <v/>
      </c>
      <c r="E303">
        <f>ROUNDUP(C303/3,0)</f>
        <v/>
      </c>
      <c r="F303">
        <f>YEAR(A303)</f>
        <v/>
      </c>
      <c r="G303">
        <f>F303&amp;"-"&amp;TEXT(C303,"00")</f>
        <v/>
      </c>
    </row>
    <row r="304">
      <c r="A304" s="116">
        <f>A303+7</f>
        <v/>
      </c>
      <c r="B304">
        <f>INT((A304-DATE(YEAR(A304),1,1))/7)+1</f>
        <v/>
      </c>
      <c r="C304">
        <f>MONTH(A304)</f>
        <v/>
      </c>
      <c r="D304">
        <f>TEXT(A304,"mmm")</f>
        <v/>
      </c>
      <c r="E304">
        <f>ROUNDUP(C304/3,0)</f>
        <v/>
      </c>
      <c r="F304">
        <f>YEAR(A304)</f>
        <v/>
      </c>
      <c r="G304">
        <f>F304&amp;"-"&amp;TEXT(C304,"00")</f>
        <v/>
      </c>
    </row>
    <row r="305">
      <c r="A305" s="116">
        <f>A304+7</f>
        <v/>
      </c>
      <c r="B305">
        <f>INT((A305-DATE(YEAR(A305),1,1))/7)+1</f>
        <v/>
      </c>
      <c r="C305">
        <f>MONTH(A305)</f>
        <v/>
      </c>
      <c r="D305">
        <f>TEXT(A305,"mmm")</f>
        <v/>
      </c>
      <c r="E305">
        <f>ROUNDUP(C305/3,0)</f>
        <v/>
      </c>
      <c r="F305">
        <f>YEAR(A305)</f>
        <v/>
      </c>
      <c r="G305">
        <f>F305&amp;"-"&amp;TEXT(C305,"00")</f>
        <v/>
      </c>
    </row>
    <row r="306">
      <c r="A306" s="116">
        <f>A305+7</f>
        <v/>
      </c>
      <c r="B306">
        <f>INT((A306-DATE(YEAR(A306),1,1))/7)+1</f>
        <v/>
      </c>
      <c r="C306">
        <f>MONTH(A306)</f>
        <v/>
      </c>
      <c r="D306">
        <f>TEXT(A306,"mmm")</f>
        <v/>
      </c>
      <c r="E306">
        <f>ROUNDUP(C306/3,0)</f>
        <v/>
      </c>
      <c r="F306">
        <f>YEAR(A306)</f>
        <v/>
      </c>
      <c r="G306">
        <f>F306&amp;"-"&amp;TEXT(C306,"00")</f>
        <v/>
      </c>
    </row>
    <row r="307">
      <c r="A307" s="116">
        <f>A306+7</f>
        <v/>
      </c>
      <c r="B307">
        <f>INT((A307-DATE(YEAR(A307),1,1))/7)+1</f>
        <v/>
      </c>
      <c r="C307">
        <f>MONTH(A307)</f>
        <v/>
      </c>
      <c r="D307">
        <f>TEXT(A307,"mmm")</f>
        <v/>
      </c>
      <c r="E307">
        <f>ROUNDUP(C307/3,0)</f>
        <v/>
      </c>
      <c r="F307">
        <f>YEAR(A307)</f>
        <v/>
      </c>
      <c r="G307">
        <f>F307&amp;"-"&amp;TEXT(C307,"00")</f>
        <v/>
      </c>
    </row>
    <row r="308">
      <c r="A308" s="116">
        <f>A307+7</f>
        <v/>
      </c>
      <c r="B308">
        <f>INT((A308-DATE(YEAR(A308),1,1))/7)+1</f>
        <v/>
      </c>
      <c r="C308">
        <f>MONTH(A308)</f>
        <v/>
      </c>
      <c r="D308">
        <f>TEXT(A308,"mmm")</f>
        <v/>
      </c>
      <c r="E308">
        <f>ROUNDUP(C308/3,0)</f>
        <v/>
      </c>
      <c r="F308">
        <f>YEAR(A308)</f>
        <v/>
      </c>
      <c r="G308">
        <f>F308&amp;"-"&amp;TEXT(C308,"00")</f>
        <v/>
      </c>
    </row>
    <row r="309">
      <c r="A309" s="116">
        <f>A308+7</f>
        <v/>
      </c>
      <c r="B309">
        <f>INT((A309-DATE(YEAR(A309),1,1))/7)+1</f>
        <v/>
      </c>
      <c r="C309">
        <f>MONTH(A309)</f>
        <v/>
      </c>
      <c r="D309">
        <f>TEXT(A309,"mmm")</f>
        <v/>
      </c>
      <c r="E309">
        <f>ROUNDUP(C309/3,0)</f>
        <v/>
      </c>
      <c r="F309">
        <f>YEAR(A309)</f>
        <v/>
      </c>
      <c r="G309">
        <f>F309&amp;"-"&amp;TEXT(C309,"00")</f>
        <v/>
      </c>
    </row>
    <row r="310">
      <c r="A310" s="116">
        <f>A309+7</f>
        <v/>
      </c>
      <c r="B310">
        <f>INT((A310-DATE(YEAR(A310),1,1))/7)+1</f>
        <v/>
      </c>
      <c r="C310">
        <f>MONTH(A310)</f>
        <v/>
      </c>
      <c r="D310">
        <f>TEXT(A310,"mmm")</f>
        <v/>
      </c>
      <c r="E310">
        <f>ROUNDUP(C310/3,0)</f>
        <v/>
      </c>
      <c r="F310">
        <f>YEAR(A310)</f>
        <v/>
      </c>
      <c r="G310">
        <f>F310&amp;"-"&amp;TEXT(C310,"00")</f>
        <v/>
      </c>
    </row>
    <row r="311">
      <c r="A311" s="116">
        <f>A310+7</f>
        <v/>
      </c>
      <c r="B311">
        <f>INT((A311-DATE(YEAR(A311),1,1))/7)+1</f>
        <v/>
      </c>
      <c r="C311">
        <f>MONTH(A311)</f>
        <v/>
      </c>
      <c r="D311">
        <f>TEXT(A311,"mmm")</f>
        <v/>
      </c>
      <c r="E311">
        <f>ROUNDUP(C311/3,0)</f>
        <v/>
      </c>
      <c r="F311">
        <f>YEAR(A311)</f>
        <v/>
      </c>
      <c r="G311">
        <f>F311&amp;"-"&amp;TEXT(C311,"00")</f>
        <v/>
      </c>
    </row>
    <row r="312">
      <c r="A312" s="116">
        <f>A311+7</f>
        <v/>
      </c>
      <c r="B312">
        <f>INT((A312-DATE(YEAR(A312),1,1))/7)+1</f>
        <v/>
      </c>
      <c r="C312">
        <f>MONTH(A312)</f>
        <v/>
      </c>
      <c r="D312">
        <f>TEXT(A312,"mmm")</f>
        <v/>
      </c>
      <c r="E312">
        <f>ROUNDUP(C312/3,0)</f>
        <v/>
      </c>
      <c r="F312">
        <f>YEAR(A312)</f>
        <v/>
      </c>
      <c r="G312">
        <f>F312&amp;"-"&amp;TEXT(C312,"00")</f>
        <v/>
      </c>
    </row>
    <row r="313">
      <c r="A313" s="116">
        <f>A312+7</f>
        <v/>
      </c>
      <c r="B313">
        <f>INT((A313-DATE(YEAR(A313),1,1))/7)+1</f>
        <v/>
      </c>
      <c r="C313">
        <f>MONTH(A313)</f>
        <v/>
      </c>
      <c r="D313">
        <f>TEXT(A313,"mmm")</f>
        <v/>
      </c>
      <c r="E313">
        <f>ROUNDUP(C313/3,0)</f>
        <v/>
      </c>
      <c r="F313">
        <f>YEAR(A313)</f>
        <v/>
      </c>
      <c r="G313">
        <f>F313&amp;"-"&amp;TEXT(C313,"00")</f>
        <v/>
      </c>
    </row>
    <row r="314">
      <c r="A314" s="116">
        <f>A313+7</f>
        <v/>
      </c>
      <c r="B314">
        <f>INT((A314-DATE(YEAR(A314),1,1))/7)+1</f>
        <v/>
      </c>
      <c r="C314">
        <f>MONTH(A314)</f>
        <v/>
      </c>
      <c r="D314">
        <f>TEXT(A314,"mmm")</f>
        <v/>
      </c>
      <c r="E314">
        <f>ROUNDUP(C314/3,0)</f>
        <v/>
      </c>
      <c r="F314">
        <f>YEAR(A314)</f>
        <v/>
      </c>
      <c r="G314">
        <f>F314&amp;"-"&amp;TEXT(C314,"00")</f>
        <v/>
      </c>
    </row>
    <row r="315">
      <c r="A315" s="116">
        <f>A314+7</f>
        <v/>
      </c>
      <c r="B315">
        <f>INT((A315-DATE(YEAR(A315),1,1))/7)+1</f>
        <v/>
      </c>
      <c r="C315">
        <f>MONTH(A315)</f>
        <v/>
      </c>
      <c r="D315">
        <f>TEXT(A315,"mmm")</f>
        <v/>
      </c>
      <c r="E315">
        <f>ROUNDUP(C315/3,0)</f>
        <v/>
      </c>
      <c r="F315">
        <f>YEAR(A315)</f>
        <v/>
      </c>
      <c r="G315">
        <f>F315&amp;"-"&amp;TEXT(C315,"00")</f>
        <v/>
      </c>
    </row>
    <row r="316">
      <c r="A316" s="116">
        <f>A315+7</f>
        <v/>
      </c>
      <c r="B316">
        <f>INT((A316-DATE(YEAR(A316),1,1))/7)+1</f>
        <v/>
      </c>
      <c r="C316">
        <f>MONTH(A316)</f>
        <v/>
      </c>
      <c r="D316">
        <f>TEXT(A316,"mmm")</f>
        <v/>
      </c>
      <c r="E316">
        <f>ROUNDUP(C316/3,0)</f>
        <v/>
      </c>
      <c r="F316">
        <f>YEAR(A316)</f>
        <v/>
      </c>
      <c r="G316">
        <f>F316&amp;"-"&amp;TEXT(C316,"00")</f>
        <v/>
      </c>
    </row>
    <row r="317">
      <c r="A317" s="116">
        <f>A316+7</f>
        <v/>
      </c>
      <c r="B317">
        <f>INT((A317-DATE(YEAR(A317),1,1))/7)+1</f>
        <v/>
      </c>
      <c r="C317">
        <f>MONTH(A317)</f>
        <v/>
      </c>
      <c r="D317">
        <f>TEXT(A317,"mmm")</f>
        <v/>
      </c>
      <c r="E317">
        <f>ROUNDUP(C317/3,0)</f>
        <v/>
      </c>
      <c r="F317">
        <f>YEAR(A317)</f>
        <v/>
      </c>
      <c r="G317">
        <f>F317&amp;"-"&amp;TEXT(C317,"00")</f>
        <v/>
      </c>
    </row>
    <row r="318">
      <c r="A318" s="116">
        <f>A317+7</f>
        <v/>
      </c>
      <c r="B318">
        <f>INT((A318-DATE(YEAR(A318),1,1))/7)+1</f>
        <v/>
      </c>
      <c r="C318">
        <f>MONTH(A318)</f>
        <v/>
      </c>
      <c r="D318">
        <f>TEXT(A318,"mmm")</f>
        <v/>
      </c>
      <c r="E318">
        <f>ROUNDUP(C318/3,0)</f>
        <v/>
      </c>
      <c r="F318">
        <f>YEAR(A318)</f>
        <v/>
      </c>
      <c r="G318">
        <f>F318&amp;"-"&amp;TEXT(C318,"00")</f>
        <v/>
      </c>
    </row>
    <row r="319">
      <c r="A319" s="116">
        <f>A318+7</f>
        <v/>
      </c>
      <c r="B319">
        <f>INT((A319-DATE(YEAR(A319),1,1))/7)+1</f>
        <v/>
      </c>
      <c r="C319">
        <f>MONTH(A319)</f>
        <v/>
      </c>
      <c r="D319">
        <f>TEXT(A319,"mmm")</f>
        <v/>
      </c>
      <c r="E319">
        <f>ROUNDUP(C319/3,0)</f>
        <v/>
      </c>
      <c r="F319">
        <f>YEAR(A319)</f>
        <v/>
      </c>
      <c r="G319">
        <f>F319&amp;"-"&amp;TEXT(C319,"00")</f>
        <v/>
      </c>
    </row>
    <row r="320">
      <c r="A320" s="116">
        <f>A319+7</f>
        <v/>
      </c>
      <c r="B320">
        <f>INT((A320-DATE(YEAR(A320),1,1))/7)+1</f>
        <v/>
      </c>
      <c r="C320">
        <f>MONTH(A320)</f>
        <v/>
      </c>
      <c r="D320">
        <f>TEXT(A320,"mmm")</f>
        <v/>
      </c>
      <c r="E320">
        <f>ROUNDUP(C320/3,0)</f>
        <v/>
      </c>
      <c r="F320">
        <f>YEAR(A320)</f>
        <v/>
      </c>
      <c r="G320">
        <f>F320&amp;"-"&amp;TEXT(C320,"00")</f>
        <v/>
      </c>
    </row>
    <row r="321">
      <c r="A321" s="116">
        <f>A320+7</f>
        <v/>
      </c>
      <c r="B321">
        <f>INT((A321-DATE(YEAR(A321),1,1))/7)+1</f>
        <v/>
      </c>
      <c r="C321">
        <f>MONTH(A321)</f>
        <v/>
      </c>
      <c r="D321">
        <f>TEXT(A321,"mmm")</f>
        <v/>
      </c>
      <c r="E321">
        <f>ROUNDUP(C321/3,0)</f>
        <v/>
      </c>
      <c r="F321">
        <f>YEAR(A321)</f>
        <v/>
      </c>
      <c r="G321">
        <f>F321&amp;"-"&amp;TEXT(C321,"00")</f>
        <v/>
      </c>
    </row>
    <row r="322">
      <c r="A322" s="116">
        <f>A321+7</f>
        <v/>
      </c>
      <c r="B322">
        <f>INT((A322-DATE(YEAR(A322),1,1))/7)+1</f>
        <v/>
      </c>
      <c r="C322">
        <f>MONTH(A322)</f>
        <v/>
      </c>
      <c r="D322">
        <f>TEXT(A322,"mmm")</f>
        <v/>
      </c>
      <c r="E322">
        <f>ROUNDUP(C322/3,0)</f>
        <v/>
      </c>
      <c r="F322">
        <f>YEAR(A322)</f>
        <v/>
      </c>
      <c r="G322">
        <f>F322&amp;"-"&amp;TEXT(C322,"00")</f>
        <v/>
      </c>
    </row>
    <row r="323">
      <c r="A323" s="116">
        <f>A322+7</f>
        <v/>
      </c>
      <c r="B323">
        <f>INT((A323-DATE(YEAR(A323),1,1))/7)+1</f>
        <v/>
      </c>
      <c r="C323">
        <f>MONTH(A323)</f>
        <v/>
      </c>
      <c r="D323">
        <f>TEXT(A323,"mmm")</f>
        <v/>
      </c>
      <c r="E323">
        <f>ROUNDUP(C323/3,0)</f>
        <v/>
      </c>
      <c r="F323">
        <f>YEAR(A323)</f>
        <v/>
      </c>
      <c r="G323">
        <f>F323&amp;"-"&amp;TEXT(C323,"00")</f>
        <v/>
      </c>
    </row>
    <row r="324">
      <c r="A324" s="116">
        <f>A323+7</f>
        <v/>
      </c>
      <c r="B324">
        <f>INT((A324-DATE(YEAR(A324),1,1))/7)+1</f>
        <v/>
      </c>
      <c r="C324">
        <f>MONTH(A324)</f>
        <v/>
      </c>
      <c r="D324">
        <f>TEXT(A324,"mmm")</f>
        <v/>
      </c>
      <c r="E324">
        <f>ROUNDUP(C324/3,0)</f>
        <v/>
      </c>
      <c r="F324">
        <f>YEAR(A324)</f>
        <v/>
      </c>
      <c r="G324">
        <f>F324&amp;"-"&amp;TEXT(C324,"00")</f>
        <v/>
      </c>
    </row>
    <row r="325">
      <c r="A325" s="116">
        <f>A324+7</f>
        <v/>
      </c>
      <c r="B325">
        <f>INT((A325-DATE(YEAR(A325),1,1))/7)+1</f>
        <v/>
      </c>
      <c r="C325">
        <f>MONTH(A325)</f>
        <v/>
      </c>
      <c r="D325">
        <f>TEXT(A325,"mmm")</f>
        <v/>
      </c>
      <c r="E325">
        <f>ROUNDUP(C325/3,0)</f>
        <v/>
      </c>
      <c r="F325">
        <f>YEAR(A325)</f>
        <v/>
      </c>
      <c r="G325">
        <f>F325&amp;"-"&amp;TEXT(C325,"00")</f>
        <v/>
      </c>
    </row>
    <row r="326">
      <c r="A326" s="116">
        <f>A325+7</f>
        <v/>
      </c>
      <c r="B326">
        <f>INT((A326-DATE(YEAR(A326),1,1))/7)+1</f>
        <v/>
      </c>
      <c r="C326">
        <f>MONTH(A326)</f>
        <v/>
      </c>
      <c r="D326">
        <f>TEXT(A326,"mmm")</f>
        <v/>
      </c>
      <c r="E326">
        <f>ROUNDUP(C326/3,0)</f>
        <v/>
      </c>
      <c r="F326">
        <f>YEAR(A326)</f>
        <v/>
      </c>
      <c r="G326">
        <f>F326&amp;"-"&amp;TEXT(C326,"00")</f>
        <v/>
      </c>
    </row>
    <row r="327">
      <c r="A327" s="116">
        <f>A326+7</f>
        <v/>
      </c>
      <c r="B327">
        <f>INT((A327-DATE(YEAR(A327),1,1))/7)+1</f>
        <v/>
      </c>
      <c r="C327">
        <f>MONTH(A327)</f>
        <v/>
      </c>
      <c r="D327">
        <f>TEXT(A327,"mmm")</f>
        <v/>
      </c>
      <c r="E327">
        <f>ROUNDUP(C327/3,0)</f>
        <v/>
      </c>
      <c r="F327">
        <f>YEAR(A327)</f>
        <v/>
      </c>
      <c r="G327">
        <f>F327&amp;"-"&amp;TEXT(C327,"00")</f>
        <v/>
      </c>
    </row>
    <row r="328">
      <c r="A328" s="116">
        <f>A327+7</f>
        <v/>
      </c>
      <c r="B328">
        <f>INT((A328-DATE(YEAR(A328),1,1))/7)+1</f>
        <v/>
      </c>
      <c r="C328">
        <f>MONTH(A328)</f>
        <v/>
      </c>
      <c r="D328">
        <f>TEXT(A328,"mmm")</f>
        <v/>
      </c>
      <c r="E328">
        <f>ROUNDUP(C328/3,0)</f>
        <v/>
      </c>
      <c r="F328">
        <f>YEAR(A328)</f>
        <v/>
      </c>
      <c r="G328">
        <f>F328&amp;"-"&amp;TEXT(C328,"00")</f>
        <v/>
      </c>
    </row>
    <row r="329">
      <c r="A329" s="116">
        <f>A328+7</f>
        <v/>
      </c>
      <c r="B329">
        <f>INT((A329-DATE(YEAR(A329),1,1))/7)+1</f>
        <v/>
      </c>
      <c r="C329">
        <f>MONTH(A329)</f>
        <v/>
      </c>
      <c r="D329">
        <f>TEXT(A329,"mmm")</f>
        <v/>
      </c>
      <c r="E329">
        <f>ROUNDUP(C329/3,0)</f>
        <v/>
      </c>
      <c r="F329">
        <f>YEAR(A329)</f>
        <v/>
      </c>
      <c r="G329">
        <f>F329&amp;"-"&amp;TEXT(C329,"00")</f>
        <v/>
      </c>
    </row>
    <row r="330">
      <c r="A330" s="116">
        <f>A329+7</f>
        <v/>
      </c>
      <c r="B330">
        <f>INT((A330-DATE(YEAR(A330),1,1))/7)+1</f>
        <v/>
      </c>
      <c r="C330">
        <f>MONTH(A330)</f>
        <v/>
      </c>
      <c r="D330">
        <f>TEXT(A330,"mmm")</f>
        <v/>
      </c>
      <c r="E330">
        <f>ROUNDUP(C330/3,0)</f>
        <v/>
      </c>
      <c r="F330">
        <f>YEAR(A330)</f>
        <v/>
      </c>
      <c r="G330">
        <f>F330&amp;"-"&amp;TEXT(C330,"00")</f>
        <v/>
      </c>
    </row>
    <row r="331">
      <c r="A331" s="116">
        <f>A330+7</f>
        <v/>
      </c>
      <c r="B331">
        <f>INT((A331-DATE(YEAR(A331),1,1))/7)+1</f>
        <v/>
      </c>
      <c r="C331">
        <f>MONTH(A331)</f>
        <v/>
      </c>
      <c r="D331">
        <f>TEXT(A331,"mmm")</f>
        <v/>
      </c>
      <c r="E331">
        <f>ROUNDUP(C331/3,0)</f>
        <v/>
      </c>
      <c r="F331">
        <f>YEAR(A331)</f>
        <v/>
      </c>
      <c r="G331">
        <f>F331&amp;"-"&amp;TEXT(C331,"00")</f>
        <v/>
      </c>
    </row>
    <row r="332">
      <c r="A332" s="116">
        <f>A331+7</f>
        <v/>
      </c>
      <c r="B332">
        <f>INT((A332-DATE(YEAR(A332),1,1))/7)+1</f>
        <v/>
      </c>
      <c r="C332">
        <f>MONTH(A332)</f>
        <v/>
      </c>
      <c r="D332">
        <f>TEXT(A332,"mmm")</f>
        <v/>
      </c>
      <c r="E332">
        <f>ROUNDUP(C332/3,0)</f>
        <v/>
      </c>
      <c r="F332">
        <f>YEAR(A332)</f>
        <v/>
      </c>
      <c r="G332">
        <f>F332&amp;"-"&amp;TEXT(C332,"00")</f>
        <v/>
      </c>
    </row>
    <row r="333">
      <c r="A333" s="116">
        <f>A332+7</f>
        <v/>
      </c>
      <c r="B333">
        <f>INT((A333-DATE(YEAR(A333),1,1))/7)+1</f>
        <v/>
      </c>
      <c r="C333">
        <f>MONTH(A333)</f>
        <v/>
      </c>
      <c r="D333">
        <f>TEXT(A333,"mmm")</f>
        <v/>
      </c>
      <c r="E333">
        <f>ROUNDUP(C333/3,0)</f>
        <v/>
      </c>
      <c r="F333">
        <f>YEAR(A333)</f>
        <v/>
      </c>
      <c r="G333">
        <f>F333&amp;"-"&amp;TEXT(C333,"00")</f>
        <v/>
      </c>
    </row>
    <row r="334">
      <c r="A334" s="116">
        <f>A333+7</f>
        <v/>
      </c>
      <c r="B334">
        <f>INT((A334-DATE(YEAR(A334),1,1))/7)+1</f>
        <v/>
      </c>
      <c r="C334">
        <f>MONTH(A334)</f>
        <v/>
      </c>
      <c r="D334">
        <f>TEXT(A334,"mmm")</f>
        <v/>
      </c>
      <c r="E334">
        <f>ROUNDUP(C334/3,0)</f>
        <v/>
      </c>
      <c r="F334">
        <f>YEAR(A334)</f>
        <v/>
      </c>
      <c r="G334">
        <f>F334&amp;"-"&amp;TEXT(C334,"00")</f>
        <v/>
      </c>
    </row>
    <row r="335">
      <c r="A335" s="116">
        <f>A334+7</f>
        <v/>
      </c>
      <c r="B335">
        <f>INT((A335-DATE(YEAR(A335),1,1))/7)+1</f>
        <v/>
      </c>
      <c r="C335">
        <f>MONTH(A335)</f>
        <v/>
      </c>
      <c r="D335">
        <f>TEXT(A335,"mmm")</f>
        <v/>
      </c>
      <c r="E335">
        <f>ROUNDUP(C335/3,0)</f>
        <v/>
      </c>
      <c r="F335">
        <f>YEAR(A335)</f>
        <v/>
      </c>
      <c r="G335">
        <f>F335&amp;"-"&amp;TEXT(C335,"00")</f>
        <v/>
      </c>
    </row>
    <row r="336">
      <c r="A336" s="116">
        <f>A335+7</f>
        <v/>
      </c>
      <c r="B336">
        <f>INT((A336-DATE(YEAR(A336),1,1))/7)+1</f>
        <v/>
      </c>
      <c r="C336">
        <f>MONTH(A336)</f>
        <v/>
      </c>
      <c r="D336">
        <f>TEXT(A336,"mmm")</f>
        <v/>
      </c>
      <c r="E336">
        <f>ROUNDUP(C336/3,0)</f>
        <v/>
      </c>
      <c r="F336">
        <f>YEAR(A336)</f>
        <v/>
      </c>
      <c r="G336">
        <f>F336&amp;"-"&amp;TEXT(C336,"00")</f>
        <v/>
      </c>
    </row>
    <row r="337">
      <c r="A337" s="116">
        <f>A336+7</f>
        <v/>
      </c>
      <c r="B337">
        <f>INT((A337-DATE(YEAR(A337),1,1))/7)+1</f>
        <v/>
      </c>
      <c r="C337">
        <f>MONTH(A337)</f>
        <v/>
      </c>
      <c r="D337">
        <f>TEXT(A337,"mmm")</f>
        <v/>
      </c>
      <c r="E337">
        <f>ROUNDUP(C337/3,0)</f>
        <v/>
      </c>
      <c r="F337">
        <f>YEAR(A337)</f>
        <v/>
      </c>
      <c r="G337">
        <f>F337&amp;"-"&amp;TEXT(C337,"00")</f>
        <v/>
      </c>
    </row>
    <row r="338">
      <c r="A338" s="116">
        <f>A337+7</f>
        <v/>
      </c>
      <c r="B338">
        <f>INT((A338-DATE(YEAR(A338),1,1))/7)+1</f>
        <v/>
      </c>
      <c r="C338">
        <f>MONTH(A338)</f>
        <v/>
      </c>
      <c r="D338">
        <f>TEXT(A338,"mmm")</f>
        <v/>
      </c>
      <c r="E338">
        <f>ROUNDUP(C338/3,0)</f>
        <v/>
      </c>
      <c r="F338">
        <f>YEAR(A338)</f>
        <v/>
      </c>
      <c r="G338">
        <f>F338&amp;"-"&amp;TEXT(C338,"00")</f>
        <v/>
      </c>
    </row>
    <row r="339">
      <c r="A339" s="116">
        <f>A338+7</f>
        <v/>
      </c>
      <c r="B339">
        <f>INT((A339-DATE(YEAR(A339),1,1))/7)+1</f>
        <v/>
      </c>
      <c r="C339">
        <f>MONTH(A339)</f>
        <v/>
      </c>
      <c r="D339">
        <f>TEXT(A339,"mmm")</f>
        <v/>
      </c>
      <c r="E339">
        <f>ROUNDUP(C339/3,0)</f>
        <v/>
      </c>
      <c r="F339">
        <f>YEAR(A339)</f>
        <v/>
      </c>
      <c r="G339">
        <f>F339&amp;"-"&amp;TEXT(C339,"00")</f>
        <v/>
      </c>
    </row>
    <row r="340">
      <c r="A340" s="116">
        <f>A339+7</f>
        <v/>
      </c>
      <c r="B340">
        <f>INT((A340-DATE(YEAR(A340),1,1))/7)+1</f>
        <v/>
      </c>
      <c r="C340">
        <f>MONTH(A340)</f>
        <v/>
      </c>
      <c r="D340">
        <f>TEXT(A340,"mmm")</f>
        <v/>
      </c>
      <c r="E340">
        <f>ROUNDUP(C340/3,0)</f>
        <v/>
      </c>
      <c r="F340">
        <f>YEAR(A340)</f>
        <v/>
      </c>
      <c r="G340">
        <f>F340&amp;"-"&amp;TEXT(C340,"00")</f>
        <v/>
      </c>
    </row>
    <row r="341">
      <c r="A341" s="116">
        <f>A340+7</f>
        <v/>
      </c>
      <c r="B341">
        <f>INT((A341-DATE(YEAR(A341),1,1))/7)+1</f>
        <v/>
      </c>
      <c r="C341">
        <f>MONTH(A341)</f>
        <v/>
      </c>
      <c r="D341">
        <f>TEXT(A341,"mmm")</f>
        <v/>
      </c>
      <c r="E341">
        <f>ROUNDUP(C341/3,0)</f>
        <v/>
      </c>
      <c r="F341">
        <f>YEAR(A341)</f>
        <v/>
      </c>
      <c r="G341">
        <f>F341&amp;"-"&amp;TEXT(C341,"00")</f>
        <v/>
      </c>
    </row>
    <row r="342">
      <c r="A342" s="116">
        <f>A341+7</f>
        <v/>
      </c>
      <c r="B342">
        <f>INT((A342-DATE(YEAR(A342),1,1))/7)+1</f>
        <v/>
      </c>
      <c r="C342">
        <f>MONTH(A342)</f>
        <v/>
      </c>
      <c r="D342">
        <f>TEXT(A342,"mmm")</f>
        <v/>
      </c>
      <c r="E342">
        <f>ROUNDUP(C342/3,0)</f>
        <v/>
      </c>
      <c r="F342">
        <f>YEAR(A342)</f>
        <v/>
      </c>
      <c r="G342">
        <f>F342&amp;"-"&amp;TEXT(C342,"00")</f>
        <v/>
      </c>
    </row>
    <row r="343">
      <c r="A343" s="116">
        <f>A342+7</f>
        <v/>
      </c>
      <c r="B343">
        <f>INT((A343-DATE(YEAR(A343),1,1))/7)+1</f>
        <v/>
      </c>
      <c r="C343">
        <f>MONTH(A343)</f>
        <v/>
      </c>
      <c r="D343">
        <f>TEXT(A343,"mmm")</f>
        <v/>
      </c>
      <c r="E343">
        <f>ROUNDUP(C343/3,0)</f>
        <v/>
      </c>
      <c r="F343">
        <f>YEAR(A343)</f>
        <v/>
      </c>
      <c r="G343">
        <f>F343&amp;"-"&amp;TEXT(C343,"00")</f>
        <v/>
      </c>
    </row>
    <row r="344">
      <c r="A344" s="116">
        <f>A343+7</f>
        <v/>
      </c>
      <c r="B344">
        <f>INT((A344-DATE(YEAR(A344),1,1))/7)+1</f>
        <v/>
      </c>
      <c r="C344">
        <f>MONTH(A344)</f>
        <v/>
      </c>
      <c r="D344">
        <f>TEXT(A344,"mmm")</f>
        <v/>
      </c>
      <c r="E344">
        <f>ROUNDUP(C344/3,0)</f>
        <v/>
      </c>
      <c r="F344">
        <f>YEAR(A344)</f>
        <v/>
      </c>
      <c r="G344">
        <f>F344&amp;"-"&amp;TEXT(C344,"00")</f>
        <v/>
      </c>
    </row>
    <row r="345">
      <c r="A345" s="116">
        <f>A344+7</f>
        <v/>
      </c>
      <c r="B345">
        <f>INT((A345-DATE(YEAR(A345),1,1))/7)+1</f>
        <v/>
      </c>
      <c r="C345">
        <f>MONTH(A345)</f>
        <v/>
      </c>
      <c r="D345">
        <f>TEXT(A345,"mmm")</f>
        <v/>
      </c>
      <c r="E345">
        <f>ROUNDUP(C345/3,0)</f>
        <v/>
      </c>
      <c r="F345">
        <f>YEAR(A345)</f>
        <v/>
      </c>
      <c r="G345">
        <f>F345&amp;"-"&amp;TEXT(C345,"00")</f>
        <v/>
      </c>
    </row>
    <row r="346">
      <c r="A346" s="116">
        <f>A345+7</f>
        <v/>
      </c>
      <c r="B346">
        <f>INT((A346-DATE(YEAR(A346),1,1))/7)+1</f>
        <v/>
      </c>
      <c r="C346">
        <f>MONTH(A346)</f>
        <v/>
      </c>
      <c r="D346">
        <f>TEXT(A346,"mmm")</f>
        <v/>
      </c>
      <c r="E346">
        <f>ROUNDUP(C346/3,0)</f>
        <v/>
      </c>
      <c r="F346">
        <f>YEAR(A346)</f>
        <v/>
      </c>
      <c r="G346">
        <f>F346&amp;"-"&amp;TEXT(C346,"00")</f>
        <v/>
      </c>
    </row>
    <row r="347">
      <c r="A347" s="116">
        <f>A346+7</f>
        <v/>
      </c>
      <c r="B347">
        <f>INT((A347-DATE(YEAR(A347),1,1))/7)+1</f>
        <v/>
      </c>
      <c r="C347">
        <f>MONTH(A347)</f>
        <v/>
      </c>
      <c r="D347">
        <f>TEXT(A347,"mmm")</f>
        <v/>
      </c>
      <c r="E347">
        <f>ROUNDUP(C347/3,0)</f>
        <v/>
      </c>
      <c r="F347">
        <f>YEAR(A347)</f>
        <v/>
      </c>
      <c r="G347">
        <f>F347&amp;"-"&amp;TEXT(C347,"00")</f>
        <v/>
      </c>
    </row>
    <row r="348">
      <c r="A348" s="116">
        <f>A347+7</f>
        <v/>
      </c>
      <c r="B348">
        <f>INT((A348-DATE(YEAR(A348),1,1))/7)+1</f>
        <v/>
      </c>
      <c r="C348">
        <f>MONTH(A348)</f>
        <v/>
      </c>
      <c r="D348">
        <f>TEXT(A348,"mmm")</f>
        <v/>
      </c>
      <c r="E348">
        <f>ROUNDUP(C348/3,0)</f>
        <v/>
      </c>
      <c r="F348">
        <f>YEAR(A348)</f>
        <v/>
      </c>
      <c r="G348">
        <f>F348&amp;"-"&amp;TEXT(C348,"00")</f>
        <v/>
      </c>
    </row>
    <row r="349">
      <c r="A349" s="116">
        <f>A348+7</f>
        <v/>
      </c>
      <c r="B349">
        <f>INT((A349-DATE(YEAR(A349),1,1))/7)+1</f>
        <v/>
      </c>
      <c r="C349">
        <f>MONTH(A349)</f>
        <v/>
      </c>
      <c r="D349">
        <f>TEXT(A349,"mmm")</f>
        <v/>
      </c>
      <c r="E349">
        <f>ROUNDUP(C349/3,0)</f>
        <v/>
      </c>
      <c r="F349">
        <f>YEAR(A349)</f>
        <v/>
      </c>
      <c r="G349">
        <f>F349&amp;"-"&amp;TEXT(C349,"00")</f>
        <v/>
      </c>
    </row>
    <row r="350">
      <c r="A350" s="116">
        <f>A349+7</f>
        <v/>
      </c>
      <c r="B350">
        <f>INT((A350-DATE(YEAR(A350),1,1))/7)+1</f>
        <v/>
      </c>
      <c r="C350">
        <f>MONTH(A350)</f>
        <v/>
      </c>
      <c r="D350">
        <f>TEXT(A350,"mmm")</f>
        <v/>
      </c>
      <c r="E350">
        <f>ROUNDUP(C350/3,0)</f>
        <v/>
      </c>
      <c r="F350">
        <f>YEAR(A350)</f>
        <v/>
      </c>
      <c r="G350">
        <f>F350&amp;"-"&amp;TEXT(C350,"00")</f>
        <v/>
      </c>
    </row>
    <row r="351">
      <c r="A351" s="116">
        <f>A350+7</f>
        <v/>
      </c>
      <c r="B351">
        <f>INT((A351-DATE(YEAR(A351),1,1))/7)+1</f>
        <v/>
      </c>
      <c r="C351">
        <f>MONTH(A351)</f>
        <v/>
      </c>
      <c r="D351">
        <f>TEXT(A351,"mmm")</f>
        <v/>
      </c>
      <c r="E351">
        <f>ROUNDUP(C351/3,0)</f>
        <v/>
      </c>
      <c r="F351">
        <f>YEAR(A351)</f>
        <v/>
      </c>
      <c r="G351">
        <f>F351&amp;"-"&amp;TEXT(C351,"00")</f>
        <v/>
      </c>
    </row>
    <row r="352">
      <c r="A352" s="116">
        <f>A351+7</f>
        <v/>
      </c>
      <c r="B352">
        <f>INT((A352-DATE(YEAR(A352),1,1))/7)+1</f>
        <v/>
      </c>
      <c r="C352">
        <f>MONTH(A352)</f>
        <v/>
      </c>
      <c r="D352">
        <f>TEXT(A352,"mmm")</f>
        <v/>
      </c>
      <c r="E352">
        <f>ROUNDUP(C352/3,0)</f>
        <v/>
      </c>
      <c r="F352">
        <f>YEAR(A352)</f>
        <v/>
      </c>
      <c r="G352">
        <f>F352&amp;"-"&amp;TEXT(C352,"00")</f>
        <v/>
      </c>
    </row>
    <row r="353">
      <c r="A353" s="116">
        <f>A352+7</f>
        <v/>
      </c>
      <c r="B353">
        <f>INT((A353-DATE(YEAR(A353),1,1))/7)+1</f>
        <v/>
      </c>
      <c r="C353">
        <f>MONTH(A353)</f>
        <v/>
      </c>
      <c r="D353">
        <f>TEXT(A353,"mmm")</f>
        <v/>
      </c>
      <c r="E353">
        <f>ROUNDUP(C353/3,0)</f>
        <v/>
      </c>
      <c r="F353">
        <f>YEAR(A353)</f>
        <v/>
      </c>
      <c r="G353">
        <f>F353&amp;"-"&amp;TEXT(C353,"00")</f>
        <v/>
      </c>
    </row>
    <row r="354">
      <c r="A354" s="116">
        <f>A353+7</f>
        <v/>
      </c>
      <c r="B354">
        <f>INT((A354-DATE(YEAR(A354),1,1))/7)+1</f>
        <v/>
      </c>
      <c r="C354">
        <f>MONTH(A354)</f>
        <v/>
      </c>
      <c r="D354">
        <f>TEXT(A354,"mmm")</f>
        <v/>
      </c>
      <c r="E354">
        <f>ROUNDUP(C354/3,0)</f>
        <v/>
      </c>
      <c r="F354">
        <f>YEAR(A354)</f>
        <v/>
      </c>
      <c r="G354">
        <f>F354&amp;"-"&amp;TEXT(C354,"00")</f>
        <v/>
      </c>
    </row>
    <row r="355">
      <c r="A355" s="116">
        <f>A354+7</f>
        <v/>
      </c>
      <c r="B355">
        <f>INT((A355-DATE(YEAR(A355),1,1))/7)+1</f>
        <v/>
      </c>
      <c r="C355">
        <f>MONTH(A355)</f>
        <v/>
      </c>
      <c r="D355">
        <f>TEXT(A355,"mmm")</f>
        <v/>
      </c>
      <c r="E355">
        <f>ROUNDUP(C355/3,0)</f>
        <v/>
      </c>
      <c r="F355">
        <f>YEAR(A355)</f>
        <v/>
      </c>
      <c r="G355">
        <f>F355&amp;"-"&amp;TEXT(C355,"00")</f>
        <v/>
      </c>
    </row>
    <row r="356">
      <c r="A356" s="116">
        <f>A355+7</f>
        <v/>
      </c>
      <c r="B356">
        <f>INT((A356-DATE(YEAR(A356),1,1))/7)+1</f>
        <v/>
      </c>
      <c r="C356">
        <f>MONTH(A356)</f>
        <v/>
      </c>
      <c r="D356">
        <f>TEXT(A356,"mmm")</f>
        <v/>
      </c>
      <c r="E356">
        <f>ROUNDUP(C356/3,0)</f>
        <v/>
      </c>
      <c r="F356">
        <f>YEAR(A356)</f>
        <v/>
      </c>
      <c r="G356">
        <f>F356&amp;"-"&amp;TEXT(C356,"00")</f>
        <v/>
      </c>
    </row>
    <row r="357">
      <c r="A357" s="116">
        <f>A356+7</f>
        <v/>
      </c>
      <c r="B357">
        <f>INT((A357-DATE(YEAR(A357),1,1))/7)+1</f>
        <v/>
      </c>
      <c r="C357">
        <f>MONTH(A357)</f>
        <v/>
      </c>
      <c r="D357">
        <f>TEXT(A357,"mmm")</f>
        <v/>
      </c>
      <c r="E357">
        <f>ROUNDUP(C357/3,0)</f>
        <v/>
      </c>
      <c r="F357">
        <f>YEAR(A357)</f>
        <v/>
      </c>
      <c r="G357">
        <f>F357&amp;"-"&amp;TEXT(C357,"00")</f>
        <v/>
      </c>
    </row>
    <row r="358">
      <c r="A358" s="116">
        <f>A357+7</f>
        <v/>
      </c>
      <c r="B358">
        <f>INT((A358-DATE(YEAR(A358),1,1))/7)+1</f>
        <v/>
      </c>
      <c r="C358">
        <f>MONTH(A358)</f>
        <v/>
      </c>
      <c r="D358">
        <f>TEXT(A358,"mmm")</f>
        <v/>
      </c>
      <c r="E358">
        <f>ROUNDUP(C358/3,0)</f>
        <v/>
      </c>
      <c r="F358">
        <f>YEAR(A358)</f>
        <v/>
      </c>
      <c r="G358">
        <f>F358&amp;"-"&amp;TEXT(C358,"00")</f>
        <v/>
      </c>
    </row>
    <row r="359">
      <c r="A359" s="116">
        <f>A358+7</f>
        <v/>
      </c>
      <c r="B359">
        <f>INT((A359-DATE(YEAR(A359),1,1))/7)+1</f>
        <v/>
      </c>
      <c r="C359">
        <f>MONTH(A359)</f>
        <v/>
      </c>
      <c r="D359">
        <f>TEXT(A359,"mmm")</f>
        <v/>
      </c>
      <c r="E359">
        <f>ROUNDUP(C359/3,0)</f>
        <v/>
      </c>
      <c r="F359">
        <f>YEAR(A359)</f>
        <v/>
      </c>
      <c r="G359">
        <f>F359&amp;"-"&amp;TEXT(C359,"00")</f>
        <v/>
      </c>
    </row>
    <row r="360">
      <c r="A360" s="116">
        <f>A359+7</f>
        <v/>
      </c>
      <c r="B360">
        <f>INT((A360-DATE(YEAR(A360),1,1))/7)+1</f>
        <v/>
      </c>
      <c r="C360">
        <f>MONTH(A360)</f>
        <v/>
      </c>
      <c r="D360">
        <f>TEXT(A360,"mmm")</f>
        <v/>
      </c>
      <c r="E360">
        <f>ROUNDUP(C360/3,0)</f>
        <v/>
      </c>
      <c r="F360">
        <f>YEAR(A360)</f>
        <v/>
      </c>
      <c r="G360">
        <f>F360&amp;"-"&amp;TEXT(C360,"00")</f>
        <v/>
      </c>
    </row>
    <row r="361">
      <c r="A361" s="116">
        <f>A360+7</f>
        <v/>
      </c>
      <c r="B361">
        <f>INT((A361-DATE(YEAR(A361),1,1))/7)+1</f>
        <v/>
      </c>
      <c r="C361">
        <f>MONTH(A361)</f>
        <v/>
      </c>
      <c r="D361">
        <f>TEXT(A361,"mmm")</f>
        <v/>
      </c>
      <c r="E361">
        <f>ROUNDUP(C361/3,0)</f>
        <v/>
      </c>
      <c r="F361">
        <f>YEAR(A361)</f>
        <v/>
      </c>
      <c r="G361">
        <f>F361&amp;"-"&amp;TEXT(C361,"00")</f>
        <v/>
      </c>
    </row>
    <row r="362">
      <c r="A362" s="116">
        <f>A361+7</f>
        <v/>
      </c>
      <c r="B362">
        <f>INT((A362-DATE(YEAR(A362),1,1))/7)+1</f>
        <v/>
      </c>
      <c r="C362">
        <f>MONTH(A362)</f>
        <v/>
      </c>
      <c r="D362">
        <f>TEXT(A362,"mmm")</f>
        <v/>
      </c>
      <c r="E362">
        <f>ROUNDUP(C362/3,0)</f>
        <v/>
      </c>
      <c r="F362">
        <f>YEAR(A362)</f>
        <v/>
      </c>
      <c r="G362">
        <f>F362&amp;"-"&amp;TEXT(C362,"00")</f>
        <v/>
      </c>
    </row>
    <row r="363">
      <c r="A363" s="116">
        <f>A362+7</f>
        <v/>
      </c>
      <c r="B363">
        <f>INT((A363-DATE(YEAR(A363),1,1))/7)+1</f>
        <v/>
      </c>
      <c r="C363">
        <f>MONTH(A363)</f>
        <v/>
      </c>
      <c r="D363">
        <f>TEXT(A363,"mmm")</f>
        <v/>
      </c>
      <c r="E363">
        <f>ROUNDUP(C363/3,0)</f>
        <v/>
      </c>
      <c r="F363">
        <f>YEAR(A363)</f>
        <v/>
      </c>
      <c r="G363">
        <f>F363&amp;"-"&amp;TEXT(C363,"00")</f>
        <v/>
      </c>
    </row>
    <row r="364">
      <c r="A364" s="116">
        <f>A363+7</f>
        <v/>
      </c>
      <c r="B364">
        <f>INT((A364-DATE(YEAR(A364),1,1))/7)+1</f>
        <v/>
      </c>
      <c r="C364">
        <f>MONTH(A364)</f>
        <v/>
      </c>
      <c r="D364">
        <f>TEXT(A364,"mmm")</f>
        <v/>
      </c>
      <c r="E364">
        <f>ROUNDUP(C364/3,0)</f>
        <v/>
      </c>
      <c r="F364">
        <f>YEAR(A364)</f>
        <v/>
      </c>
      <c r="G364">
        <f>F364&amp;"-"&amp;TEXT(C364,"00")</f>
        <v/>
      </c>
    </row>
    <row r="365">
      <c r="A365" s="116">
        <f>A364+7</f>
        <v/>
      </c>
      <c r="B365">
        <f>INT((A365-DATE(YEAR(A365),1,1))/7)+1</f>
        <v/>
      </c>
      <c r="C365">
        <f>MONTH(A365)</f>
        <v/>
      </c>
      <c r="D365">
        <f>TEXT(A365,"mmm")</f>
        <v/>
      </c>
      <c r="E365">
        <f>ROUNDUP(C365/3,0)</f>
        <v/>
      </c>
      <c r="F365">
        <f>YEAR(A365)</f>
        <v/>
      </c>
      <c r="G365">
        <f>F365&amp;"-"&amp;TEXT(C365,"00")</f>
        <v/>
      </c>
    </row>
    <row r="366">
      <c r="A366" s="116">
        <f>A365+7</f>
        <v/>
      </c>
      <c r="B366">
        <f>INT((A366-DATE(YEAR(A366),1,1))/7)+1</f>
        <v/>
      </c>
      <c r="C366">
        <f>MONTH(A366)</f>
        <v/>
      </c>
      <c r="D366">
        <f>TEXT(A366,"mmm")</f>
        <v/>
      </c>
      <c r="E366">
        <f>ROUNDUP(C366/3,0)</f>
        <v/>
      </c>
      <c r="F366">
        <f>YEAR(A366)</f>
        <v/>
      </c>
      <c r="G366">
        <f>F366&amp;"-"&amp;TEXT(C366,"00")</f>
        <v/>
      </c>
    </row>
    <row r="367">
      <c r="A367" s="116">
        <f>A366+7</f>
        <v/>
      </c>
      <c r="B367">
        <f>INT((A367-DATE(YEAR(A367),1,1))/7)+1</f>
        <v/>
      </c>
      <c r="C367">
        <f>MONTH(A367)</f>
        <v/>
      </c>
      <c r="D367">
        <f>TEXT(A367,"mmm")</f>
        <v/>
      </c>
      <c r="E367">
        <f>ROUNDUP(C367/3,0)</f>
        <v/>
      </c>
      <c r="F367">
        <f>YEAR(A367)</f>
        <v/>
      </c>
      <c r="G367">
        <f>F367&amp;"-"&amp;TEXT(C367,"00")</f>
        <v/>
      </c>
    </row>
    <row r="368">
      <c r="A368" s="116">
        <f>A367+7</f>
        <v/>
      </c>
      <c r="B368">
        <f>INT((A368-DATE(YEAR(A368),1,1))/7)+1</f>
        <v/>
      </c>
      <c r="C368">
        <f>MONTH(A368)</f>
        <v/>
      </c>
      <c r="D368">
        <f>TEXT(A368,"mmm")</f>
        <v/>
      </c>
      <c r="E368">
        <f>ROUNDUP(C368/3,0)</f>
        <v/>
      </c>
      <c r="F368">
        <f>YEAR(A368)</f>
        <v/>
      </c>
      <c r="G368">
        <f>F368&amp;"-"&amp;TEXT(C368,"00")</f>
        <v/>
      </c>
    </row>
    <row r="369">
      <c r="A369" s="116">
        <f>A368+7</f>
        <v/>
      </c>
      <c r="B369">
        <f>INT((A369-DATE(YEAR(A369),1,1))/7)+1</f>
        <v/>
      </c>
      <c r="C369">
        <f>MONTH(A369)</f>
        <v/>
      </c>
      <c r="D369">
        <f>TEXT(A369,"mmm")</f>
        <v/>
      </c>
      <c r="E369">
        <f>ROUNDUP(C369/3,0)</f>
        <v/>
      </c>
      <c r="F369">
        <f>YEAR(A369)</f>
        <v/>
      </c>
      <c r="G369">
        <f>F369&amp;"-"&amp;TEXT(C369,"00")</f>
        <v/>
      </c>
    </row>
    <row r="370">
      <c r="A370" s="116">
        <f>A369+7</f>
        <v/>
      </c>
      <c r="B370">
        <f>INT((A370-DATE(YEAR(A370),1,1))/7)+1</f>
        <v/>
      </c>
      <c r="C370">
        <f>MONTH(A370)</f>
        <v/>
      </c>
      <c r="D370">
        <f>TEXT(A370,"mmm")</f>
        <v/>
      </c>
      <c r="E370">
        <f>ROUNDUP(C370/3,0)</f>
        <v/>
      </c>
      <c r="F370">
        <f>YEAR(A370)</f>
        <v/>
      </c>
      <c r="G370">
        <f>F370&amp;"-"&amp;TEXT(C370,"00")</f>
        <v/>
      </c>
    </row>
    <row r="371">
      <c r="A371" s="116">
        <f>A370+7</f>
        <v/>
      </c>
      <c r="B371">
        <f>INT((A371-DATE(YEAR(A371),1,1))/7)+1</f>
        <v/>
      </c>
      <c r="C371">
        <f>MONTH(A371)</f>
        <v/>
      </c>
      <c r="D371">
        <f>TEXT(A371,"mmm")</f>
        <v/>
      </c>
      <c r="E371">
        <f>ROUNDUP(C371/3,0)</f>
        <v/>
      </c>
      <c r="F371">
        <f>YEAR(A371)</f>
        <v/>
      </c>
      <c r="G371">
        <f>F371&amp;"-"&amp;TEXT(C371,"00")</f>
        <v/>
      </c>
    </row>
    <row r="372">
      <c r="A372" s="116">
        <f>A371+7</f>
        <v/>
      </c>
      <c r="B372">
        <f>INT((A372-DATE(YEAR(A372),1,1))/7)+1</f>
        <v/>
      </c>
      <c r="C372">
        <f>MONTH(A372)</f>
        <v/>
      </c>
      <c r="D372">
        <f>TEXT(A372,"mmm")</f>
        <v/>
      </c>
      <c r="E372">
        <f>ROUNDUP(C372/3,0)</f>
        <v/>
      </c>
      <c r="F372">
        <f>YEAR(A372)</f>
        <v/>
      </c>
      <c r="G372">
        <f>F372&amp;"-"&amp;TEXT(C372,"00")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999999"/>
    <outlinePr summaryBelow="1" summaryRight="1"/>
    <pageSetUpPr/>
  </sheetPr>
  <dimension ref="A1:C25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0" customWidth="1" min="3" max="3"/>
  </cols>
  <sheetData>
    <row r="1">
      <c r="A1" s="125" t="inlineStr">
        <is>
          <t>SETTINGS</t>
        </is>
      </c>
    </row>
    <row r="2">
      <c r="A2" s="114" t="inlineStr">
        <is>
          <t>Edit the blue values. They are kept when ingest.py rebuilds the workbook.</t>
        </is>
      </c>
    </row>
    <row r="3">
      <c r="A3" s="126" t="inlineStr">
        <is>
          <t>Setting</t>
        </is>
      </c>
      <c r="B3" s="126" t="inlineStr">
        <is>
          <t>Value</t>
        </is>
      </c>
      <c r="C3" s="126" t="inlineStr">
        <is>
          <t>What it does</t>
        </is>
      </c>
    </row>
    <row r="4">
      <c r="A4" s="27" t="inlineStr">
        <is>
          <t>WeekEndDay</t>
        </is>
      </c>
      <c r="B4" s="127" t="n">
        <v>7</v>
      </c>
      <c r="C4" s="128" t="inlineStr">
        <is>
          <t>Day the reporting week ends: 1=Mon ... 6=Sat, 7=Sun. Change it in settings.yaml, then run ingest.py so stored data and the workbook stay in step.</t>
        </is>
      </c>
    </row>
    <row r="5">
      <c r="A5" s="27" t="inlineStr">
        <is>
          <t>DefaultWindow</t>
        </is>
      </c>
      <c r="B5" s="129" t="n">
        <v>4</v>
      </c>
      <c r="C5" s="128" t="inlineStr">
        <is>
          <t>Comparison window used when a dashboard's window box is empty (1, 2, 4, 8, 13, 26 or 52).</t>
        </is>
      </c>
    </row>
    <row r="6">
      <c r="A6" s="27" t="inlineStr">
        <is>
          <t>RAG_Green</t>
        </is>
      </c>
      <c r="B6" s="130" t="n">
        <v>0.9</v>
      </c>
      <c r="C6" s="128" t="inlineStr">
        <is>
          <t>Reporting / utilisation at or above this is green.</t>
        </is>
      </c>
    </row>
    <row r="7">
      <c r="A7" s="27" t="inlineStr">
        <is>
          <t>RAG_Amber</t>
        </is>
      </c>
      <c r="B7" s="130" t="n">
        <v>0.75</v>
      </c>
      <c r="C7" s="128" t="inlineStr">
        <is>
          <t>At or above this (but below green) is amber; below it is red.</t>
        </is>
      </c>
    </row>
    <row r="8">
      <c r="A8" s="27" t="inlineStr">
        <is>
          <t>UtilLow</t>
        </is>
      </c>
      <c r="B8" s="130" t="n">
        <v>0.5</v>
      </c>
      <c r="C8" s="128" t="inlineStr">
        <is>
          <t>Transport: buses/routes under this utilisation are flagged (X in the spec).</t>
        </is>
      </c>
    </row>
    <row r="9">
      <c r="A9" s="27" t="inlineStr">
        <is>
          <t>UtilHigh</t>
        </is>
      </c>
      <c r="B9" s="130" t="n">
        <v>1</v>
      </c>
      <c r="C9" s="128" t="inlineStr">
        <is>
          <t>Transport: utilisation above this means demand exceeds capacity.</t>
        </is>
      </c>
    </row>
    <row r="10">
      <c r="A10" s="27" t="inlineStr">
        <is>
          <t>UtilLowWeeks</t>
        </is>
      </c>
      <c r="B10" s="129" t="n">
        <v>4</v>
      </c>
      <c r="C10" s="128" t="inlineStr">
        <is>
          <t>Transport: consecutive weeks under UtilLow before a plain-language flag is raised.</t>
        </is>
      </c>
    </row>
    <row r="11">
      <c r="A11" s="27" t="inlineStr">
        <is>
          <t>Cap_FT</t>
        </is>
      </c>
      <c r="B11" s="129" t="n">
        <v>22</v>
      </c>
      <c r="C11" s="128" t="inlineStr">
        <is>
          <t>Seats per trip, FT Procured (LT) buses.</t>
        </is>
      </c>
    </row>
    <row r="12">
      <c r="A12" s="27" t="inlineStr">
        <is>
          <t>Cap_Coaster</t>
        </is>
      </c>
      <c r="B12" s="129" t="n">
        <v>30</v>
      </c>
      <c r="C12" s="128" t="inlineStr">
        <is>
          <t>Seats per trip, church-owned Coasters (assumed 30; confirm).</t>
        </is>
      </c>
    </row>
    <row r="13">
      <c r="A13" s="27" t="inlineStr">
        <is>
          <t>Cap_Electric</t>
        </is>
      </c>
      <c r="B13" s="129" t="n">
        <v>70</v>
      </c>
      <c r="C13" s="128" t="inlineStr">
        <is>
          <t>Riders per trip, electric buses.</t>
        </is>
      </c>
    </row>
    <row r="14">
      <c r="A14" s="27" t="inlineStr">
        <is>
          <t>Cap_Big</t>
        </is>
      </c>
      <c r="B14" s="129" t="n">
        <v>70</v>
      </c>
      <c r="C14" s="128" t="inlineStr">
        <is>
          <t>Riders per trip, big buses.</t>
        </is>
      </c>
    </row>
    <row r="15">
      <c r="A15" s="27" t="inlineStr">
        <is>
          <t>CurrencySymbol</t>
        </is>
      </c>
      <c r="B15" s="131" t="inlineStr">
        <is>
          <t>₦</t>
        </is>
      </c>
      <c r="C15" s="128" t="inlineStr">
        <is>
          <t>Currency shown on finance figures (NGN).</t>
        </is>
      </c>
    </row>
    <row r="18">
      <c r="A18" s="27" t="inlineStr">
        <is>
          <t>Stream colours (used on every sheet)</t>
        </is>
      </c>
    </row>
    <row r="19">
      <c r="A19" s="31" t="inlineStr">
        <is>
          <t>MASTER</t>
        </is>
      </c>
      <c r="B19" s="126" t="inlineStr">
        <is>
          <t>#1B2A41</t>
        </is>
      </c>
    </row>
    <row r="20">
      <c r="A20" s="31" t="inlineStr">
        <is>
          <t>WSF</t>
        </is>
      </c>
      <c r="B20" s="115" t="inlineStr">
        <is>
          <t>#1F5FA8</t>
        </is>
      </c>
    </row>
    <row r="21">
      <c r="A21" s="31" t="inlineStr">
        <is>
          <t>MIDWEEK</t>
        </is>
      </c>
      <c r="B21" s="119" t="inlineStr">
        <is>
          <t>#0F7C74</t>
        </is>
      </c>
    </row>
    <row r="22">
      <c r="A22" s="31" t="inlineStr">
        <is>
          <t>CHOP</t>
        </is>
      </c>
      <c r="B22" s="120" t="inlineStr">
        <is>
          <t>#6A3FA0</t>
        </is>
      </c>
    </row>
    <row r="23">
      <c r="A23" s="31" t="inlineStr">
        <is>
          <t>COMMUNITY</t>
        </is>
      </c>
      <c r="B23" s="121" t="inlineStr">
        <is>
          <t>#B5446E</t>
        </is>
      </c>
    </row>
    <row r="24">
      <c r="A24" s="31" t="inlineStr">
        <is>
          <t>TRANSPORT</t>
        </is>
      </c>
      <c r="B24" s="122" t="inlineStr">
        <is>
          <t>#D9731A</t>
        </is>
      </c>
    </row>
    <row r="25">
      <c r="A25" s="31" t="inlineStr">
        <is>
          <t>QUALITY</t>
        </is>
      </c>
      <c r="B25" s="124" t="inlineStr">
        <is>
          <t>#5B6770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05"/>
  <sheetViews>
    <sheetView tabSelected="0" workbookViewId="0">
      <selection activeCell="A1" sqref="A1"/>
    </sheetView>
  </sheetViews>
  <sheetFormatPr baseColWidth="8" defaultRowHeight="15"/>
  <cols>
    <col width="13" customWidth="1" min="1" max="1"/>
  </cols>
  <sheetData>
    <row r="1">
      <c r="A1" t="inlineStr">
        <is>
          <t>Latest</t>
        </is>
      </c>
      <c r="B1" t="inlineStr">
        <is>
          <t>WSF latest</t>
        </is>
      </c>
    </row>
    <row r="2">
      <c r="A2" s="116">
        <f>IF($B$2=0,"",IF($B$2-0&gt;=$B$4,$B$2-0,""))</f>
        <v/>
      </c>
      <c r="B2">
        <f>MAX(DATA_WSF!$A:$A)</f>
        <v/>
      </c>
    </row>
    <row r="3">
      <c r="A3" s="116">
        <f>IF($B$2=0,"",IF($B$2-7&gt;=$B$4,$B$2-7,""))</f>
        <v/>
      </c>
      <c r="B3" t="inlineStr">
        <is>
          <t>WSF earliest</t>
        </is>
      </c>
    </row>
    <row r="4">
      <c r="A4" s="116">
        <f>IF($B$2=0,"",IF($B$2-14&gt;=$B$4,$B$2-14,""))</f>
        <v/>
      </c>
      <c r="B4">
        <f>MIN(DATA_WSF!$A:$A)</f>
        <v/>
      </c>
    </row>
    <row r="5">
      <c r="A5" s="116">
        <f>IF($B$2=0,"",IF($B$2-21&gt;=$B$4,$B$2-21,""))</f>
        <v/>
      </c>
      <c r="B5" t="inlineStr">
        <is>
          <t>WSF weeks listed</t>
        </is>
      </c>
    </row>
    <row r="6">
      <c r="A6" s="116">
        <f>IF($B$2=0,"",IF($B$2-28&gt;=$B$4,$B$2-28,""))</f>
        <v/>
      </c>
      <c r="B6">
        <f>COUNT(A2:A105)</f>
        <v/>
      </c>
    </row>
    <row r="7">
      <c r="A7" s="116">
        <f>IF($B$2=0,"",IF($B$2-35&gt;=$B$4,$B$2-35,""))</f>
        <v/>
      </c>
    </row>
    <row r="8">
      <c r="A8" s="116">
        <f>IF($B$2=0,"",IF($B$2-42&gt;=$B$4,$B$2-42,""))</f>
        <v/>
      </c>
    </row>
    <row r="9">
      <c r="A9" s="116">
        <f>IF($B$2=0,"",IF($B$2-49&gt;=$B$4,$B$2-49,""))</f>
        <v/>
      </c>
    </row>
    <row r="10">
      <c r="A10" s="116">
        <f>IF($B$2=0,"",IF($B$2-56&gt;=$B$4,$B$2-56,""))</f>
        <v/>
      </c>
    </row>
    <row r="11">
      <c r="A11" s="116">
        <f>IF($B$2=0,"",IF($B$2-63&gt;=$B$4,$B$2-63,""))</f>
        <v/>
      </c>
    </row>
    <row r="12">
      <c r="A12" s="116">
        <f>IF($B$2=0,"",IF($B$2-70&gt;=$B$4,$B$2-70,""))</f>
        <v/>
      </c>
    </row>
    <row r="13">
      <c r="A13" s="116">
        <f>IF($B$2=0,"",IF($B$2-77&gt;=$B$4,$B$2-77,""))</f>
        <v/>
      </c>
    </row>
    <row r="14">
      <c r="A14" s="116">
        <f>IF($B$2=0,"",IF($B$2-84&gt;=$B$4,$B$2-84,""))</f>
        <v/>
      </c>
    </row>
    <row r="15">
      <c r="A15" s="116">
        <f>IF($B$2=0,"",IF($B$2-91&gt;=$B$4,$B$2-91,""))</f>
        <v/>
      </c>
    </row>
    <row r="16">
      <c r="A16" s="116">
        <f>IF($B$2=0,"",IF($B$2-98&gt;=$B$4,$B$2-98,""))</f>
        <v/>
      </c>
    </row>
    <row r="17">
      <c r="A17" s="116">
        <f>IF($B$2=0,"",IF($B$2-105&gt;=$B$4,$B$2-105,""))</f>
        <v/>
      </c>
    </row>
    <row r="18">
      <c r="A18" s="116">
        <f>IF($B$2=0,"",IF($B$2-112&gt;=$B$4,$B$2-112,""))</f>
        <v/>
      </c>
    </row>
    <row r="19">
      <c r="A19" s="116">
        <f>IF($B$2=0,"",IF($B$2-119&gt;=$B$4,$B$2-119,""))</f>
        <v/>
      </c>
    </row>
    <row r="20">
      <c r="A20" s="116">
        <f>IF($B$2=0,"",IF($B$2-126&gt;=$B$4,$B$2-126,""))</f>
        <v/>
      </c>
    </row>
    <row r="21">
      <c r="A21" s="116">
        <f>IF($B$2=0,"",IF($B$2-133&gt;=$B$4,$B$2-133,""))</f>
        <v/>
      </c>
    </row>
    <row r="22">
      <c r="A22" s="116">
        <f>IF($B$2=0,"",IF($B$2-140&gt;=$B$4,$B$2-140,""))</f>
        <v/>
      </c>
    </row>
    <row r="23">
      <c r="A23" s="116">
        <f>IF($B$2=0,"",IF($B$2-147&gt;=$B$4,$B$2-147,""))</f>
        <v/>
      </c>
    </row>
    <row r="24">
      <c r="A24" s="116">
        <f>IF($B$2=0,"",IF($B$2-154&gt;=$B$4,$B$2-154,""))</f>
        <v/>
      </c>
    </row>
    <row r="25">
      <c r="A25" s="116">
        <f>IF($B$2=0,"",IF($B$2-161&gt;=$B$4,$B$2-161,""))</f>
        <v/>
      </c>
    </row>
    <row r="26">
      <c r="A26" s="116">
        <f>IF($B$2=0,"",IF($B$2-168&gt;=$B$4,$B$2-168,""))</f>
        <v/>
      </c>
    </row>
    <row r="27">
      <c r="A27" s="116">
        <f>IF($B$2=0,"",IF($B$2-175&gt;=$B$4,$B$2-175,""))</f>
        <v/>
      </c>
    </row>
    <row r="28">
      <c r="A28" s="116">
        <f>IF($B$2=0,"",IF($B$2-182&gt;=$B$4,$B$2-182,""))</f>
        <v/>
      </c>
    </row>
    <row r="29">
      <c r="A29" s="116">
        <f>IF($B$2=0,"",IF($B$2-189&gt;=$B$4,$B$2-189,""))</f>
        <v/>
      </c>
    </row>
    <row r="30">
      <c r="A30" s="116">
        <f>IF($B$2=0,"",IF($B$2-196&gt;=$B$4,$B$2-196,""))</f>
        <v/>
      </c>
    </row>
    <row r="31">
      <c r="A31" s="116">
        <f>IF($B$2=0,"",IF($B$2-203&gt;=$B$4,$B$2-203,""))</f>
        <v/>
      </c>
    </row>
    <row r="32">
      <c r="A32" s="116">
        <f>IF($B$2=0,"",IF($B$2-210&gt;=$B$4,$B$2-210,""))</f>
        <v/>
      </c>
    </row>
    <row r="33">
      <c r="A33" s="116">
        <f>IF($B$2=0,"",IF($B$2-217&gt;=$B$4,$B$2-217,""))</f>
        <v/>
      </c>
    </row>
    <row r="34">
      <c r="A34" s="116">
        <f>IF($B$2=0,"",IF($B$2-224&gt;=$B$4,$B$2-224,""))</f>
        <v/>
      </c>
    </row>
    <row r="35">
      <c r="A35" s="116">
        <f>IF($B$2=0,"",IF($B$2-231&gt;=$B$4,$B$2-231,""))</f>
        <v/>
      </c>
    </row>
    <row r="36">
      <c r="A36" s="116">
        <f>IF($B$2=0,"",IF($B$2-238&gt;=$B$4,$B$2-238,""))</f>
        <v/>
      </c>
    </row>
    <row r="37">
      <c r="A37" s="116">
        <f>IF($B$2=0,"",IF($B$2-245&gt;=$B$4,$B$2-245,""))</f>
        <v/>
      </c>
    </row>
    <row r="38">
      <c r="A38" s="116">
        <f>IF($B$2=0,"",IF($B$2-252&gt;=$B$4,$B$2-252,""))</f>
        <v/>
      </c>
    </row>
    <row r="39">
      <c r="A39" s="116">
        <f>IF($B$2=0,"",IF($B$2-259&gt;=$B$4,$B$2-259,""))</f>
        <v/>
      </c>
    </row>
    <row r="40">
      <c r="A40" s="116">
        <f>IF($B$2=0,"",IF($B$2-266&gt;=$B$4,$B$2-266,""))</f>
        <v/>
      </c>
    </row>
    <row r="41">
      <c r="A41" s="116">
        <f>IF($B$2=0,"",IF($B$2-273&gt;=$B$4,$B$2-273,""))</f>
        <v/>
      </c>
    </row>
    <row r="42">
      <c r="A42" s="116">
        <f>IF($B$2=0,"",IF($B$2-280&gt;=$B$4,$B$2-280,""))</f>
        <v/>
      </c>
    </row>
    <row r="43">
      <c r="A43" s="116">
        <f>IF($B$2=0,"",IF($B$2-287&gt;=$B$4,$B$2-287,""))</f>
        <v/>
      </c>
    </row>
    <row r="44">
      <c r="A44" s="116">
        <f>IF($B$2=0,"",IF($B$2-294&gt;=$B$4,$B$2-294,""))</f>
        <v/>
      </c>
    </row>
    <row r="45">
      <c r="A45" s="116">
        <f>IF($B$2=0,"",IF($B$2-301&gt;=$B$4,$B$2-301,""))</f>
        <v/>
      </c>
    </row>
    <row r="46">
      <c r="A46" s="116">
        <f>IF($B$2=0,"",IF($B$2-308&gt;=$B$4,$B$2-308,""))</f>
        <v/>
      </c>
    </row>
    <row r="47">
      <c r="A47" s="116">
        <f>IF($B$2=0,"",IF($B$2-315&gt;=$B$4,$B$2-315,""))</f>
        <v/>
      </c>
    </row>
    <row r="48">
      <c r="A48" s="116">
        <f>IF($B$2=0,"",IF($B$2-322&gt;=$B$4,$B$2-322,""))</f>
        <v/>
      </c>
    </row>
    <row r="49">
      <c r="A49" s="116">
        <f>IF($B$2=0,"",IF($B$2-329&gt;=$B$4,$B$2-329,""))</f>
        <v/>
      </c>
    </row>
    <row r="50">
      <c r="A50" s="116">
        <f>IF($B$2=0,"",IF($B$2-336&gt;=$B$4,$B$2-336,""))</f>
        <v/>
      </c>
    </row>
    <row r="51">
      <c r="A51" s="116">
        <f>IF($B$2=0,"",IF($B$2-343&gt;=$B$4,$B$2-343,""))</f>
        <v/>
      </c>
    </row>
    <row r="52">
      <c r="A52" s="116">
        <f>IF($B$2=0,"",IF($B$2-350&gt;=$B$4,$B$2-350,""))</f>
        <v/>
      </c>
    </row>
    <row r="53">
      <c r="A53" s="116">
        <f>IF($B$2=0,"",IF($B$2-357&gt;=$B$4,$B$2-357,""))</f>
        <v/>
      </c>
    </row>
    <row r="54">
      <c r="A54" s="116">
        <f>IF($B$2=0,"",IF($B$2-364&gt;=$B$4,$B$2-364,""))</f>
        <v/>
      </c>
    </row>
    <row r="55">
      <c r="A55" s="116">
        <f>IF($B$2=0,"",IF($B$2-371&gt;=$B$4,$B$2-371,""))</f>
        <v/>
      </c>
    </row>
    <row r="56">
      <c r="A56" s="116">
        <f>IF($B$2=0,"",IF($B$2-378&gt;=$B$4,$B$2-378,""))</f>
        <v/>
      </c>
    </row>
    <row r="57">
      <c r="A57" s="116">
        <f>IF($B$2=0,"",IF($B$2-385&gt;=$B$4,$B$2-385,""))</f>
        <v/>
      </c>
    </row>
    <row r="58">
      <c r="A58" s="116">
        <f>IF($B$2=0,"",IF($B$2-392&gt;=$B$4,$B$2-392,""))</f>
        <v/>
      </c>
    </row>
    <row r="59">
      <c r="A59" s="116">
        <f>IF($B$2=0,"",IF($B$2-399&gt;=$B$4,$B$2-399,""))</f>
        <v/>
      </c>
    </row>
    <row r="60">
      <c r="A60" s="116">
        <f>IF($B$2=0,"",IF($B$2-406&gt;=$B$4,$B$2-406,""))</f>
        <v/>
      </c>
    </row>
    <row r="61">
      <c r="A61" s="116">
        <f>IF($B$2=0,"",IF($B$2-413&gt;=$B$4,$B$2-413,""))</f>
        <v/>
      </c>
    </row>
    <row r="62">
      <c r="A62" s="116">
        <f>IF($B$2=0,"",IF($B$2-420&gt;=$B$4,$B$2-420,""))</f>
        <v/>
      </c>
    </row>
    <row r="63">
      <c r="A63" s="116">
        <f>IF($B$2=0,"",IF($B$2-427&gt;=$B$4,$B$2-427,""))</f>
        <v/>
      </c>
    </row>
    <row r="64">
      <c r="A64" s="116">
        <f>IF($B$2=0,"",IF($B$2-434&gt;=$B$4,$B$2-434,""))</f>
        <v/>
      </c>
    </row>
    <row r="65">
      <c r="A65" s="116">
        <f>IF($B$2=0,"",IF($B$2-441&gt;=$B$4,$B$2-441,""))</f>
        <v/>
      </c>
    </row>
    <row r="66">
      <c r="A66" s="116">
        <f>IF($B$2=0,"",IF($B$2-448&gt;=$B$4,$B$2-448,""))</f>
        <v/>
      </c>
    </row>
    <row r="67">
      <c r="A67" s="116">
        <f>IF($B$2=0,"",IF($B$2-455&gt;=$B$4,$B$2-455,""))</f>
        <v/>
      </c>
    </row>
    <row r="68">
      <c r="A68" s="116">
        <f>IF($B$2=0,"",IF($B$2-462&gt;=$B$4,$B$2-462,""))</f>
        <v/>
      </c>
    </row>
    <row r="69">
      <c r="A69" s="116">
        <f>IF($B$2=0,"",IF($B$2-469&gt;=$B$4,$B$2-469,""))</f>
        <v/>
      </c>
    </row>
    <row r="70">
      <c r="A70" s="116">
        <f>IF($B$2=0,"",IF($B$2-476&gt;=$B$4,$B$2-476,""))</f>
        <v/>
      </c>
    </row>
    <row r="71">
      <c r="A71" s="116">
        <f>IF($B$2=0,"",IF($B$2-483&gt;=$B$4,$B$2-483,""))</f>
        <v/>
      </c>
    </row>
    <row r="72">
      <c r="A72" s="116">
        <f>IF($B$2=0,"",IF($B$2-490&gt;=$B$4,$B$2-490,""))</f>
        <v/>
      </c>
    </row>
    <row r="73">
      <c r="A73" s="116">
        <f>IF($B$2=0,"",IF($B$2-497&gt;=$B$4,$B$2-497,""))</f>
        <v/>
      </c>
    </row>
    <row r="74">
      <c r="A74" s="116">
        <f>IF($B$2=0,"",IF($B$2-504&gt;=$B$4,$B$2-504,""))</f>
        <v/>
      </c>
    </row>
    <row r="75">
      <c r="A75" s="116">
        <f>IF($B$2=0,"",IF($B$2-511&gt;=$B$4,$B$2-511,""))</f>
        <v/>
      </c>
    </row>
    <row r="76">
      <c r="A76" s="116">
        <f>IF($B$2=0,"",IF($B$2-518&gt;=$B$4,$B$2-518,""))</f>
        <v/>
      </c>
    </row>
    <row r="77">
      <c r="A77" s="116">
        <f>IF($B$2=0,"",IF($B$2-525&gt;=$B$4,$B$2-525,""))</f>
        <v/>
      </c>
    </row>
    <row r="78">
      <c r="A78" s="116">
        <f>IF($B$2=0,"",IF($B$2-532&gt;=$B$4,$B$2-532,""))</f>
        <v/>
      </c>
    </row>
    <row r="79">
      <c r="A79" s="116">
        <f>IF($B$2=0,"",IF($B$2-539&gt;=$B$4,$B$2-539,""))</f>
        <v/>
      </c>
    </row>
    <row r="80">
      <c r="A80" s="116">
        <f>IF($B$2=0,"",IF($B$2-546&gt;=$B$4,$B$2-546,""))</f>
        <v/>
      </c>
    </row>
    <row r="81">
      <c r="A81" s="116">
        <f>IF($B$2=0,"",IF($B$2-553&gt;=$B$4,$B$2-553,""))</f>
        <v/>
      </c>
    </row>
    <row r="82">
      <c r="A82" s="116">
        <f>IF($B$2=0,"",IF($B$2-560&gt;=$B$4,$B$2-560,""))</f>
        <v/>
      </c>
    </row>
    <row r="83">
      <c r="A83" s="116">
        <f>IF($B$2=0,"",IF($B$2-567&gt;=$B$4,$B$2-567,""))</f>
        <v/>
      </c>
    </row>
    <row r="84">
      <c r="A84" s="116">
        <f>IF($B$2=0,"",IF($B$2-574&gt;=$B$4,$B$2-574,""))</f>
        <v/>
      </c>
    </row>
    <row r="85">
      <c r="A85" s="116">
        <f>IF($B$2=0,"",IF($B$2-581&gt;=$B$4,$B$2-581,""))</f>
        <v/>
      </c>
    </row>
    <row r="86">
      <c r="A86" s="116">
        <f>IF($B$2=0,"",IF($B$2-588&gt;=$B$4,$B$2-588,""))</f>
        <v/>
      </c>
    </row>
    <row r="87">
      <c r="A87" s="116">
        <f>IF($B$2=0,"",IF($B$2-595&gt;=$B$4,$B$2-595,""))</f>
        <v/>
      </c>
    </row>
    <row r="88">
      <c r="A88" s="116">
        <f>IF($B$2=0,"",IF($B$2-602&gt;=$B$4,$B$2-602,""))</f>
        <v/>
      </c>
    </row>
    <row r="89">
      <c r="A89" s="116">
        <f>IF($B$2=0,"",IF($B$2-609&gt;=$B$4,$B$2-609,""))</f>
        <v/>
      </c>
    </row>
    <row r="90">
      <c r="A90" s="116">
        <f>IF($B$2=0,"",IF($B$2-616&gt;=$B$4,$B$2-616,""))</f>
        <v/>
      </c>
    </row>
    <row r="91">
      <c r="A91" s="116">
        <f>IF($B$2=0,"",IF($B$2-623&gt;=$B$4,$B$2-623,""))</f>
        <v/>
      </c>
    </row>
    <row r="92">
      <c r="A92" s="116">
        <f>IF($B$2=0,"",IF($B$2-630&gt;=$B$4,$B$2-630,""))</f>
        <v/>
      </c>
    </row>
    <row r="93">
      <c r="A93" s="116">
        <f>IF($B$2=0,"",IF($B$2-637&gt;=$B$4,$B$2-637,""))</f>
        <v/>
      </c>
    </row>
    <row r="94">
      <c r="A94" s="116">
        <f>IF($B$2=0,"",IF($B$2-644&gt;=$B$4,$B$2-644,""))</f>
        <v/>
      </c>
    </row>
    <row r="95">
      <c r="A95" s="116">
        <f>IF($B$2=0,"",IF($B$2-651&gt;=$B$4,$B$2-651,""))</f>
        <v/>
      </c>
    </row>
    <row r="96">
      <c r="A96" s="116">
        <f>IF($B$2=0,"",IF($B$2-658&gt;=$B$4,$B$2-658,""))</f>
        <v/>
      </c>
    </row>
    <row r="97">
      <c r="A97" s="116">
        <f>IF($B$2=0,"",IF($B$2-665&gt;=$B$4,$B$2-665,""))</f>
        <v/>
      </c>
    </row>
    <row r="98">
      <c r="A98" s="116">
        <f>IF($B$2=0,"",IF($B$2-672&gt;=$B$4,$B$2-672,""))</f>
        <v/>
      </c>
    </row>
    <row r="99">
      <c r="A99" s="116">
        <f>IF($B$2=0,"",IF($B$2-679&gt;=$B$4,$B$2-679,""))</f>
        <v/>
      </c>
    </row>
    <row r="100">
      <c r="A100" s="116">
        <f>IF($B$2=0,"",IF($B$2-686&gt;=$B$4,$B$2-686,""))</f>
        <v/>
      </c>
    </row>
    <row r="101">
      <c r="A101" s="116">
        <f>IF($B$2=0,"",IF($B$2-693&gt;=$B$4,$B$2-693,""))</f>
        <v/>
      </c>
    </row>
    <row r="102">
      <c r="A102" s="116">
        <f>IF($B$2=0,"",IF($B$2-700&gt;=$B$4,$B$2-700,""))</f>
        <v/>
      </c>
    </row>
    <row r="103">
      <c r="A103" s="116">
        <f>IF($B$2=0,"",IF($B$2-707&gt;=$B$4,$B$2-707,""))</f>
        <v/>
      </c>
    </row>
    <row r="104">
      <c r="A104" s="116">
        <f>IF($B$2=0,"",IF($B$2-714&gt;=$B$4,$B$2-714,""))</f>
        <v/>
      </c>
    </row>
    <row r="105">
      <c r="A105" s="116">
        <f>IF($B$2=0,"",IF($B$2-721&gt;=$B$4,$B$2-721,""))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251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WSF match row</t>
        </is>
      </c>
      <c r="B1" t="inlineStr">
        <is>
          <t>WSF k-th match</t>
        </is>
      </c>
      <c r="C1" t="inlineStr">
        <is>
          <t>WSF name</t>
        </is>
      </c>
      <c r="D1" t="inlineStr">
        <is>
          <t>WSF matches</t>
        </is>
      </c>
    </row>
    <row r="2">
      <c r="A2">
        <f>IF('WSF DASHBOARD'!$B$4="Area",IF(1&lt;=$D$3,IF(OR('WSF DASHBOARD'!$C$4="",ISNUMBER(SEARCH('WSF DASHBOARD'!$C$4,INDEX(MASTER_AREAS!$B:$B,2)))),1,""),""),IF('WSF DASHBOARD'!$B$4="Zone",IF(1&lt;=$D$4,IF(OR('WSF DASHBOARD'!$C$4="",ISNUMBER(SEARCH('WSF DASHBOARD'!$C$4,INDEX(MASTER_ZONES!$B:$B,2)))),1,""),""),""))</f>
        <v/>
      </c>
      <c r="B2">
        <f>IFERROR(SMALL($A$2:$A$201,1),"")</f>
        <v/>
      </c>
      <c r="C2">
        <f>IF(B2="","",IF('WSF DASHBOARD'!$B$4="Area",INDEX(MASTER_AREAS!$B:$B,B2+1),INDEX(MASTER_ZONES!$B:$B,B2+1)))</f>
        <v/>
      </c>
      <c r="D2">
        <f>COUNT(A2:A201)</f>
        <v/>
      </c>
    </row>
    <row r="3">
      <c r="A3">
        <f>IF('WSF DASHBOARD'!$B$4="Area",IF(2&lt;=$D$3,IF(OR('WSF DASHBOARD'!$C$4="",ISNUMBER(SEARCH('WSF DASHBOARD'!$C$4,INDEX(MASTER_AREAS!$B:$B,3)))),2,""),""),IF('WSF DASHBOARD'!$B$4="Zone",IF(2&lt;=$D$4,IF(OR('WSF DASHBOARD'!$C$4="",ISNUMBER(SEARCH('WSF DASHBOARD'!$C$4,INDEX(MASTER_ZONES!$B:$B,3)))),2,""),""),""))</f>
        <v/>
      </c>
      <c r="B3">
        <f>IFERROR(SMALL($A$2:$A$201,2),"")</f>
        <v/>
      </c>
      <c r="C3">
        <f>IF(B3="","",IF('WSF DASHBOARD'!$B$4="Area",INDEX(MASTER_AREAS!$B:$B,B3+1),INDEX(MASTER_ZONES!$B:$B,B3+1)))</f>
        <v/>
      </c>
      <c r="D3">
        <f>COUNTA(MASTER_AREAS!$B:$B)-1</f>
        <v/>
      </c>
    </row>
    <row r="4">
      <c r="A4">
        <f>IF('WSF DASHBOARD'!$B$4="Area",IF(3&lt;=$D$3,IF(OR('WSF DASHBOARD'!$C$4="",ISNUMBER(SEARCH('WSF DASHBOARD'!$C$4,INDEX(MASTER_AREAS!$B:$B,4)))),3,""),""),IF('WSF DASHBOARD'!$B$4="Zone",IF(3&lt;=$D$4,IF(OR('WSF DASHBOARD'!$C$4="",ISNUMBER(SEARCH('WSF DASHBOARD'!$C$4,INDEX(MASTER_ZONES!$B:$B,4)))),3,""),""),""))</f>
        <v/>
      </c>
      <c r="B4">
        <f>IFERROR(SMALL($A$2:$A$201,3),"")</f>
        <v/>
      </c>
      <c r="C4">
        <f>IF(B4="","",IF('WSF DASHBOARD'!$B$4="Area",INDEX(MASTER_AREAS!$B:$B,B4+1),INDEX(MASTER_ZONES!$B:$B,B4+1)))</f>
        <v/>
      </c>
      <c r="D4">
        <f>COUNTA(MASTER_ZONES!$B:$B)-1</f>
        <v/>
      </c>
    </row>
    <row r="5">
      <c r="A5">
        <f>IF('WSF DASHBOARD'!$B$4="Area",IF(4&lt;=$D$3,IF(OR('WSF DASHBOARD'!$C$4="",ISNUMBER(SEARCH('WSF DASHBOARD'!$C$4,INDEX(MASTER_AREAS!$B:$B,5)))),4,""),""),IF('WSF DASHBOARD'!$B$4="Zone",IF(4&lt;=$D$4,IF(OR('WSF DASHBOARD'!$C$4="",ISNUMBER(SEARCH('WSF DASHBOARD'!$C$4,INDEX(MASTER_ZONES!$B:$B,5)))),4,""),""),""))</f>
        <v/>
      </c>
      <c r="B5">
        <f>IFERROR(SMALL($A$2:$A$201,4),"")</f>
        <v/>
      </c>
      <c r="C5">
        <f>IF(B5="","",IF('WSF DASHBOARD'!$B$4="Area",INDEX(MASTER_AREAS!$B:$B,B5+1),INDEX(MASTER_ZONES!$B:$B,B5+1)))</f>
        <v/>
      </c>
    </row>
    <row r="6">
      <c r="A6">
        <f>IF('WSF DASHBOARD'!$B$4="Area",IF(5&lt;=$D$3,IF(OR('WSF DASHBOARD'!$C$4="",ISNUMBER(SEARCH('WSF DASHBOARD'!$C$4,INDEX(MASTER_AREAS!$B:$B,6)))),5,""),""),IF('WSF DASHBOARD'!$B$4="Zone",IF(5&lt;=$D$4,IF(OR('WSF DASHBOARD'!$C$4="",ISNUMBER(SEARCH('WSF DASHBOARD'!$C$4,INDEX(MASTER_ZONES!$B:$B,6)))),5,""),""),""))</f>
        <v/>
      </c>
      <c r="B6">
        <f>IFERROR(SMALL($A$2:$A$201,5),"")</f>
        <v/>
      </c>
      <c r="C6">
        <f>IF(B6="","",IF('WSF DASHBOARD'!$B$4="Area",INDEX(MASTER_AREAS!$B:$B,B6+1),INDEX(MASTER_ZONES!$B:$B,B6+1)))</f>
        <v/>
      </c>
    </row>
    <row r="7">
      <c r="A7">
        <f>IF('WSF DASHBOARD'!$B$4="Area",IF(6&lt;=$D$3,IF(OR('WSF DASHBOARD'!$C$4="",ISNUMBER(SEARCH('WSF DASHBOARD'!$C$4,INDEX(MASTER_AREAS!$B:$B,7)))),6,""),""),IF('WSF DASHBOARD'!$B$4="Zone",IF(6&lt;=$D$4,IF(OR('WSF DASHBOARD'!$C$4="",ISNUMBER(SEARCH('WSF DASHBOARD'!$C$4,INDEX(MASTER_ZONES!$B:$B,7)))),6,""),""),""))</f>
        <v/>
      </c>
      <c r="B7">
        <f>IFERROR(SMALL($A$2:$A$201,6),"")</f>
        <v/>
      </c>
      <c r="C7">
        <f>IF(B7="","",IF('WSF DASHBOARD'!$B$4="Area",INDEX(MASTER_AREAS!$B:$B,B7+1),INDEX(MASTER_ZONES!$B:$B,B7+1)))</f>
        <v/>
      </c>
    </row>
    <row r="8">
      <c r="A8">
        <f>IF('WSF DASHBOARD'!$B$4="Area",IF(7&lt;=$D$3,IF(OR('WSF DASHBOARD'!$C$4="",ISNUMBER(SEARCH('WSF DASHBOARD'!$C$4,INDEX(MASTER_AREAS!$B:$B,8)))),7,""),""),IF('WSF DASHBOARD'!$B$4="Zone",IF(7&lt;=$D$4,IF(OR('WSF DASHBOARD'!$C$4="",ISNUMBER(SEARCH('WSF DASHBOARD'!$C$4,INDEX(MASTER_ZONES!$B:$B,8)))),7,""),""),""))</f>
        <v/>
      </c>
      <c r="B8">
        <f>IFERROR(SMALL($A$2:$A$201,7),"")</f>
        <v/>
      </c>
      <c r="C8">
        <f>IF(B8="","",IF('WSF DASHBOARD'!$B$4="Area",INDEX(MASTER_AREAS!$B:$B,B8+1),INDEX(MASTER_ZONES!$B:$B,B8+1)))</f>
        <v/>
      </c>
    </row>
    <row r="9">
      <c r="A9">
        <f>IF('WSF DASHBOARD'!$B$4="Area",IF(8&lt;=$D$3,IF(OR('WSF DASHBOARD'!$C$4="",ISNUMBER(SEARCH('WSF DASHBOARD'!$C$4,INDEX(MASTER_AREAS!$B:$B,9)))),8,""),""),IF('WSF DASHBOARD'!$B$4="Zone",IF(8&lt;=$D$4,IF(OR('WSF DASHBOARD'!$C$4="",ISNUMBER(SEARCH('WSF DASHBOARD'!$C$4,INDEX(MASTER_ZONES!$B:$B,9)))),8,""),""),""))</f>
        <v/>
      </c>
      <c r="B9">
        <f>IFERROR(SMALL($A$2:$A$201,8),"")</f>
        <v/>
      </c>
      <c r="C9">
        <f>IF(B9="","",IF('WSF DASHBOARD'!$B$4="Area",INDEX(MASTER_AREAS!$B:$B,B9+1),INDEX(MASTER_ZONES!$B:$B,B9+1)))</f>
        <v/>
      </c>
    </row>
    <row r="10">
      <c r="A10">
        <f>IF('WSF DASHBOARD'!$B$4="Area",IF(9&lt;=$D$3,IF(OR('WSF DASHBOARD'!$C$4="",ISNUMBER(SEARCH('WSF DASHBOARD'!$C$4,INDEX(MASTER_AREAS!$B:$B,10)))),9,""),""),IF('WSF DASHBOARD'!$B$4="Zone",IF(9&lt;=$D$4,IF(OR('WSF DASHBOARD'!$C$4="",ISNUMBER(SEARCH('WSF DASHBOARD'!$C$4,INDEX(MASTER_ZONES!$B:$B,10)))),9,""),""),""))</f>
        <v/>
      </c>
      <c r="B10">
        <f>IFERROR(SMALL($A$2:$A$201,9),"")</f>
        <v/>
      </c>
      <c r="C10">
        <f>IF(B10="","",IF('WSF DASHBOARD'!$B$4="Area",INDEX(MASTER_AREAS!$B:$B,B10+1),INDEX(MASTER_ZONES!$B:$B,B10+1)))</f>
        <v/>
      </c>
    </row>
    <row r="11">
      <c r="A11">
        <f>IF('WSF DASHBOARD'!$B$4="Area",IF(10&lt;=$D$3,IF(OR('WSF DASHBOARD'!$C$4="",ISNUMBER(SEARCH('WSF DASHBOARD'!$C$4,INDEX(MASTER_AREAS!$B:$B,11)))),10,""),""),IF('WSF DASHBOARD'!$B$4="Zone",IF(10&lt;=$D$4,IF(OR('WSF DASHBOARD'!$C$4="",ISNUMBER(SEARCH('WSF DASHBOARD'!$C$4,INDEX(MASTER_ZONES!$B:$B,11)))),10,""),""),""))</f>
        <v/>
      </c>
      <c r="B11">
        <f>IFERROR(SMALL($A$2:$A$201,10),"")</f>
        <v/>
      </c>
      <c r="C11">
        <f>IF(B11="","",IF('WSF DASHBOARD'!$B$4="Area",INDEX(MASTER_AREAS!$B:$B,B11+1),INDEX(MASTER_ZONES!$B:$B,B11+1)))</f>
        <v/>
      </c>
    </row>
    <row r="12">
      <c r="A12">
        <f>IF('WSF DASHBOARD'!$B$4="Area",IF(11&lt;=$D$3,IF(OR('WSF DASHBOARD'!$C$4="",ISNUMBER(SEARCH('WSF DASHBOARD'!$C$4,INDEX(MASTER_AREAS!$B:$B,12)))),11,""),""),IF('WSF DASHBOARD'!$B$4="Zone",IF(11&lt;=$D$4,IF(OR('WSF DASHBOARD'!$C$4="",ISNUMBER(SEARCH('WSF DASHBOARD'!$C$4,INDEX(MASTER_ZONES!$B:$B,12)))),11,""),""),""))</f>
        <v/>
      </c>
      <c r="B12">
        <f>IFERROR(SMALL($A$2:$A$201,11),"")</f>
        <v/>
      </c>
      <c r="C12">
        <f>IF(B12="","",IF('WSF DASHBOARD'!$B$4="Area",INDEX(MASTER_AREAS!$B:$B,B12+1),INDEX(MASTER_ZONES!$B:$B,B12+1)))</f>
        <v/>
      </c>
    </row>
    <row r="13">
      <c r="A13">
        <f>IF('WSF DASHBOARD'!$B$4="Area",IF(12&lt;=$D$3,IF(OR('WSF DASHBOARD'!$C$4="",ISNUMBER(SEARCH('WSF DASHBOARD'!$C$4,INDEX(MASTER_AREAS!$B:$B,13)))),12,""),""),IF('WSF DASHBOARD'!$B$4="Zone",IF(12&lt;=$D$4,IF(OR('WSF DASHBOARD'!$C$4="",ISNUMBER(SEARCH('WSF DASHBOARD'!$C$4,INDEX(MASTER_ZONES!$B:$B,13)))),12,""),""),""))</f>
        <v/>
      </c>
      <c r="B13">
        <f>IFERROR(SMALL($A$2:$A$201,12),"")</f>
        <v/>
      </c>
      <c r="C13">
        <f>IF(B13="","",IF('WSF DASHBOARD'!$B$4="Area",INDEX(MASTER_AREAS!$B:$B,B13+1),INDEX(MASTER_ZONES!$B:$B,B13+1)))</f>
        <v/>
      </c>
    </row>
    <row r="14">
      <c r="A14">
        <f>IF('WSF DASHBOARD'!$B$4="Area",IF(13&lt;=$D$3,IF(OR('WSF DASHBOARD'!$C$4="",ISNUMBER(SEARCH('WSF DASHBOARD'!$C$4,INDEX(MASTER_AREAS!$B:$B,14)))),13,""),""),IF('WSF DASHBOARD'!$B$4="Zone",IF(13&lt;=$D$4,IF(OR('WSF DASHBOARD'!$C$4="",ISNUMBER(SEARCH('WSF DASHBOARD'!$C$4,INDEX(MASTER_ZONES!$B:$B,14)))),13,""),""),""))</f>
        <v/>
      </c>
      <c r="B14">
        <f>IFERROR(SMALL($A$2:$A$201,13),"")</f>
        <v/>
      </c>
      <c r="C14">
        <f>IF(B14="","",IF('WSF DASHBOARD'!$B$4="Area",INDEX(MASTER_AREAS!$B:$B,B14+1),INDEX(MASTER_ZONES!$B:$B,B14+1)))</f>
        <v/>
      </c>
    </row>
    <row r="15">
      <c r="A15">
        <f>IF('WSF DASHBOARD'!$B$4="Area",IF(14&lt;=$D$3,IF(OR('WSF DASHBOARD'!$C$4="",ISNUMBER(SEARCH('WSF DASHBOARD'!$C$4,INDEX(MASTER_AREAS!$B:$B,15)))),14,""),""),IF('WSF DASHBOARD'!$B$4="Zone",IF(14&lt;=$D$4,IF(OR('WSF DASHBOARD'!$C$4="",ISNUMBER(SEARCH('WSF DASHBOARD'!$C$4,INDEX(MASTER_ZONES!$B:$B,15)))),14,""),""),""))</f>
        <v/>
      </c>
      <c r="B15">
        <f>IFERROR(SMALL($A$2:$A$201,14),"")</f>
        <v/>
      </c>
      <c r="C15">
        <f>IF(B15="","",IF('WSF DASHBOARD'!$B$4="Area",INDEX(MASTER_AREAS!$B:$B,B15+1),INDEX(MASTER_ZONES!$B:$B,B15+1)))</f>
        <v/>
      </c>
    </row>
    <row r="16">
      <c r="A16">
        <f>IF('WSF DASHBOARD'!$B$4="Area",IF(15&lt;=$D$3,IF(OR('WSF DASHBOARD'!$C$4="",ISNUMBER(SEARCH('WSF DASHBOARD'!$C$4,INDEX(MASTER_AREAS!$B:$B,16)))),15,""),""),IF('WSF DASHBOARD'!$B$4="Zone",IF(15&lt;=$D$4,IF(OR('WSF DASHBOARD'!$C$4="",ISNUMBER(SEARCH('WSF DASHBOARD'!$C$4,INDEX(MASTER_ZONES!$B:$B,16)))),15,""),""),""))</f>
        <v/>
      </c>
      <c r="B16">
        <f>IFERROR(SMALL($A$2:$A$201,15),"")</f>
        <v/>
      </c>
      <c r="C16">
        <f>IF(B16="","",IF('WSF DASHBOARD'!$B$4="Area",INDEX(MASTER_AREAS!$B:$B,B16+1),INDEX(MASTER_ZONES!$B:$B,B16+1)))</f>
        <v/>
      </c>
    </row>
    <row r="17">
      <c r="A17">
        <f>IF('WSF DASHBOARD'!$B$4="Area",IF(16&lt;=$D$3,IF(OR('WSF DASHBOARD'!$C$4="",ISNUMBER(SEARCH('WSF DASHBOARD'!$C$4,INDEX(MASTER_AREAS!$B:$B,17)))),16,""),""),IF('WSF DASHBOARD'!$B$4="Zone",IF(16&lt;=$D$4,IF(OR('WSF DASHBOARD'!$C$4="",ISNUMBER(SEARCH('WSF DASHBOARD'!$C$4,INDEX(MASTER_ZONES!$B:$B,17)))),16,""),""),""))</f>
        <v/>
      </c>
      <c r="B17">
        <f>IFERROR(SMALL($A$2:$A$201,16),"")</f>
        <v/>
      </c>
      <c r="C17">
        <f>IF(B17="","",IF('WSF DASHBOARD'!$B$4="Area",INDEX(MASTER_AREAS!$B:$B,B17+1),INDEX(MASTER_ZONES!$B:$B,B17+1)))</f>
        <v/>
      </c>
    </row>
    <row r="18">
      <c r="A18">
        <f>IF('WSF DASHBOARD'!$B$4="Area",IF(17&lt;=$D$3,IF(OR('WSF DASHBOARD'!$C$4="",ISNUMBER(SEARCH('WSF DASHBOARD'!$C$4,INDEX(MASTER_AREAS!$B:$B,18)))),17,""),""),IF('WSF DASHBOARD'!$B$4="Zone",IF(17&lt;=$D$4,IF(OR('WSF DASHBOARD'!$C$4="",ISNUMBER(SEARCH('WSF DASHBOARD'!$C$4,INDEX(MASTER_ZONES!$B:$B,18)))),17,""),""),""))</f>
        <v/>
      </c>
      <c r="B18">
        <f>IFERROR(SMALL($A$2:$A$201,17),"")</f>
        <v/>
      </c>
      <c r="C18">
        <f>IF(B18="","",IF('WSF DASHBOARD'!$B$4="Area",INDEX(MASTER_AREAS!$B:$B,B18+1),INDEX(MASTER_ZONES!$B:$B,B18+1)))</f>
        <v/>
      </c>
    </row>
    <row r="19">
      <c r="A19">
        <f>IF('WSF DASHBOARD'!$B$4="Area",IF(18&lt;=$D$3,IF(OR('WSF DASHBOARD'!$C$4="",ISNUMBER(SEARCH('WSF DASHBOARD'!$C$4,INDEX(MASTER_AREAS!$B:$B,19)))),18,""),""),IF('WSF DASHBOARD'!$B$4="Zone",IF(18&lt;=$D$4,IF(OR('WSF DASHBOARD'!$C$4="",ISNUMBER(SEARCH('WSF DASHBOARD'!$C$4,INDEX(MASTER_ZONES!$B:$B,19)))),18,""),""),""))</f>
        <v/>
      </c>
      <c r="B19">
        <f>IFERROR(SMALL($A$2:$A$201,18),"")</f>
        <v/>
      </c>
      <c r="C19">
        <f>IF(B19="","",IF('WSF DASHBOARD'!$B$4="Area",INDEX(MASTER_AREAS!$B:$B,B19+1),INDEX(MASTER_ZONES!$B:$B,B19+1)))</f>
        <v/>
      </c>
    </row>
    <row r="20">
      <c r="A20">
        <f>IF('WSF DASHBOARD'!$B$4="Area",IF(19&lt;=$D$3,IF(OR('WSF DASHBOARD'!$C$4="",ISNUMBER(SEARCH('WSF DASHBOARD'!$C$4,INDEX(MASTER_AREAS!$B:$B,20)))),19,""),""),IF('WSF DASHBOARD'!$B$4="Zone",IF(19&lt;=$D$4,IF(OR('WSF DASHBOARD'!$C$4="",ISNUMBER(SEARCH('WSF DASHBOARD'!$C$4,INDEX(MASTER_ZONES!$B:$B,20)))),19,""),""),""))</f>
        <v/>
      </c>
      <c r="B20">
        <f>IFERROR(SMALL($A$2:$A$201,19),"")</f>
        <v/>
      </c>
      <c r="C20">
        <f>IF(B20="","",IF('WSF DASHBOARD'!$B$4="Area",INDEX(MASTER_AREAS!$B:$B,B20+1),INDEX(MASTER_ZONES!$B:$B,B20+1)))</f>
        <v/>
      </c>
    </row>
    <row r="21">
      <c r="A21">
        <f>IF('WSF DASHBOARD'!$B$4="Area",IF(20&lt;=$D$3,IF(OR('WSF DASHBOARD'!$C$4="",ISNUMBER(SEARCH('WSF DASHBOARD'!$C$4,INDEX(MASTER_AREAS!$B:$B,21)))),20,""),""),IF('WSF DASHBOARD'!$B$4="Zone",IF(20&lt;=$D$4,IF(OR('WSF DASHBOARD'!$C$4="",ISNUMBER(SEARCH('WSF DASHBOARD'!$C$4,INDEX(MASTER_ZONES!$B:$B,21)))),20,""),""),""))</f>
        <v/>
      </c>
      <c r="B21">
        <f>IFERROR(SMALL($A$2:$A$201,20),"")</f>
        <v/>
      </c>
      <c r="C21">
        <f>IF(B21="","",IF('WSF DASHBOARD'!$B$4="Area",INDEX(MASTER_AREAS!$B:$B,B21+1),INDEX(MASTER_ZONES!$B:$B,B21+1)))</f>
        <v/>
      </c>
    </row>
    <row r="22">
      <c r="A22">
        <f>IF('WSF DASHBOARD'!$B$4="Area",IF(21&lt;=$D$3,IF(OR('WSF DASHBOARD'!$C$4="",ISNUMBER(SEARCH('WSF DASHBOARD'!$C$4,INDEX(MASTER_AREAS!$B:$B,22)))),21,""),""),IF('WSF DASHBOARD'!$B$4="Zone",IF(21&lt;=$D$4,IF(OR('WSF DASHBOARD'!$C$4="",ISNUMBER(SEARCH('WSF DASHBOARD'!$C$4,INDEX(MASTER_ZONES!$B:$B,22)))),21,""),""),""))</f>
        <v/>
      </c>
      <c r="B22">
        <f>IFERROR(SMALL($A$2:$A$201,21),"")</f>
        <v/>
      </c>
      <c r="C22">
        <f>IF(B22="","",IF('WSF DASHBOARD'!$B$4="Area",INDEX(MASTER_AREAS!$B:$B,B22+1),INDEX(MASTER_ZONES!$B:$B,B22+1)))</f>
        <v/>
      </c>
    </row>
    <row r="23">
      <c r="A23">
        <f>IF('WSF DASHBOARD'!$B$4="Area",IF(22&lt;=$D$3,IF(OR('WSF DASHBOARD'!$C$4="",ISNUMBER(SEARCH('WSF DASHBOARD'!$C$4,INDEX(MASTER_AREAS!$B:$B,23)))),22,""),""),IF('WSF DASHBOARD'!$B$4="Zone",IF(22&lt;=$D$4,IF(OR('WSF DASHBOARD'!$C$4="",ISNUMBER(SEARCH('WSF DASHBOARD'!$C$4,INDEX(MASTER_ZONES!$B:$B,23)))),22,""),""),""))</f>
        <v/>
      </c>
      <c r="B23">
        <f>IFERROR(SMALL($A$2:$A$201,22),"")</f>
        <v/>
      </c>
      <c r="C23">
        <f>IF(B23="","",IF('WSF DASHBOARD'!$B$4="Area",INDEX(MASTER_AREAS!$B:$B,B23+1),INDEX(MASTER_ZONES!$B:$B,B23+1)))</f>
        <v/>
      </c>
    </row>
    <row r="24">
      <c r="A24">
        <f>IF('WSF DASHBOARD'!$B$4="Area",IF(23&lt;=$D$3,IF(OR('WSF DASHBOARD'!$C$4="",ISNUMBER(SEARCH('WSF DASHBOARD'!$C$4,INDEX(MASTER_AREAS!$B:$B,24)))),23,""),""),IF('WSF DASHBOARD'!$B$4="Zone",IF(23&lt;=$D$4,IF(OR('WSF DASHBOARD'!$C$4="",ISNUMBER(SEARCH('WSF DASHBOARD'!$C$4,INDEX(MASTER_ZONES!$B:$B,24)))),23,""),""),""))</f>
        <v/>
      </c>
      <c r="B24">
        <f>IFERROR(SMALL($A$2:$A$201,23),"")</f>
        <v/>
      </c>
      <c r="C24">
        <f>IF(B24="","",IF('WSF DASHBOARD'!$B$4="Area",INDEX(MASTER_AREAS!$B:$B,B24+1),INDEX(MASTER_ZONES!$B:$B,B24+1)))</f>
        <v/>
      </c>
    </row>
    <row r="25">
      <c r="A25">
        <f>IF('WSF DASHBOARD'!$B$4="Area",IF(24&lt;=$D$3,IF(OR('WSF DASHBOARD'!$C$4="",ISNUMBER(SEARCH('WSF DASHBOARD'!$C$4,INDEX(MASTER_AREAS!$B:$B,25)))),24,""),""),IF('WSF DASHBOARD'!$B$4="Zone",IF(24&lt;=$D$4,IF(OR('WSF DASHBOARD'!$C$4="",ISNUMBER(SEARCH('WSF DASHBOARD'!$C$4,INDEX(MASTER_ZONES!$B:$B,25)))),24,""),""),""))</f>
        <v/>
      </c>
      <c r="B25">
        <f>IFERROR(SMALL($A$2:$A$201,24),"")</f>
        <v/>
      </c>
      <c r="C25">
        <f>IF(B25="","",IF('WSF DASHBOARD'!$B$4="Area",INDEX(MASTER_AREAS!$B:$B,B25+1),INDEX(MASTER_ZONES!$B:$B,B25+1)))</f>
        <v/>
      </c>
    </row>
    <row r="26">
      <c r="A26">
        <f>IF('WSF DASHBOARD'!$B$4="Area",IF(25&lt;=$D$3,IF(OR('WSF DASHBOARD'!$C$4="",ISNUMBER(SEARCH('WSF DASHBOARD'!$C$4,INDEX(MASTER_AREAS!$B:$B,26)))),25,""),""),IF('WSF DASHBOARD'!$B$4="Zone",IF(25&lt;=$D$4,IF(OR('WSF DASHBOARD'!$C$4="",ISNUMBER(SEARCH('WSF DASHBOARD'!$C$4,INDEX(MASTER_ZONES!$B:$B,26)))),25,""),""),""))</f>
        <v/>
      </c>
      <c r="B26">
        <f>IFERROR(SMALL($A$2:$A$201,25),"")</f>
        <v/>
      </c>
      <c r="C26">
        <f>IF(B26="","",IF('WSF DASHBOARD'!$B$4="Area",INDEX(MASTER_AREAS!$B:$B,B26+1),INDEX(MASTER_ZONES!$B:$B,B26+1)))</f>
        <v/>
      </c>
    </row>
    <row r="27">
      <c r="A27">
        <f>IF('WSF DASHBOARD'!$B$4="Area",IF(26&lt;=$D$3,IF(OR('WSF DASHBOARD'!$C$4="",ISNUMBER(SEARCH('WSF DASHBOARD'!$C$4,INDEX(MASTER_AREAS!$B:$B,27)))),26,""),""),IF('WSF DASHBOARD'!$B$4="Zone",IF(26&lt;=$D$4,IF(OR('WSF DASHBOARD'!$C$4="",ISNUMBER(SEARCH('WSF DASHBOARD'!$C$4,INDEX(MASTER_ZONES!$B:$B,27)))),26,""),""),""))</f>
        <v/>
      </c>
      <c r="B27">
        <f>IFERROR(SMALL($A$2:$A$201,26),"")</f>
        <v/>
      </c>
      <c r="C27">
        <f>IF(B27="","",IF('WSF DASHBOARD'!$B$4="Area",INDEX(MASTER_AREAS!$B:$B,B27+1),INDEX(MASTER_ZONES!$B:$B,B27+1)))</f>
        <v/>
      </c>
    </row>
    <row r="28">
      <c r="A28">
        <f>IF('WSF DASHBOARD'!$B$4="Area",IF(27&lt;=$D$3,IF(OR('WSF DASHBOARD'!$C$4="",ISNUMBER(SEARCH('WSF DASHBOARD'!$C$4,INDEX(MASTER_AREAS!$B:$B,28)))),27,""),""),IF('WSF DASHBOARD'!$B$4="Zone",IF(27&lt;=$D$4,IF(OR('WSF DASHBOARD'!$C$4="",ISNUMBER(SEARCH('WSF DASHBOARD'!$C$4,INDEX(MASTER_ZONES!$B:$B,28)))),27,""),""),""))</f>
        <v/>
      </c>
      <c r="B28">
        <f>IFERROR(SMALL($A$2:$A$201,27),"")</f>
        <v/>
      </c>
      <c r="C28">
        <f>IF(B28="","",IF('WSF DASHBOARD'!$B$4="Area",INDEX(MASTER_AREAS!$B:$B,B28+1),INDEX(MASTER_ZONES!$B:$B,B28+1)))</f>
        <v/>
      </c>
    </row>
    <row r="29">
      <c r="A29">
        <f>IF('WSF DASHBOARD'!$B$4="Area",IF(28&lt;=$D$3,IF(OR('WSF DASHBOARD'!$C$4="",ISNUMBER(SEARCH('WSF DASHBOARD'!$C$4,INDEX(MASTER_AREAS!$B:$B,29)))),28,""),""),IF('WSF DASHBOARD'!$B$4="Zone",IF(28&lt;=$D$4,IF(OR('WSF DASHBOARD'!$C$4="",ISNUMBER(SEARCH('WSF DASHBOARD'!$C$4,INDEX(MASTER_ZONES!$B:$B,29)))),28,""),""),""))</f>
        <v/>
      </c>
      <c r="B29">
        <f>IFERROR(SMALL($A$2:$A$201,28),"")</f>
        <v/>
      </c>
      <c r="C29">
        <f>IF(B29="","",IF('WSF DASHBOARD'!$B$4="Area",INDEX(MASTER_AREAS!$B:$B,B29+1),INDEX(MASTER_ZONES!$B:$B,B29+1)))</f>
        <v/>
      </c>
    </row>
    <row r="30">
      <c r="A30">
        <f>IF('WSF DASHBOARD'!$B$4="Area",IF(29&lt;=$D$3,IF(OR('WSF DASHBOARD'!$C$4="",ISNUMBER(SEARCH('WSF DASHBOARD'!$C$4,INDEX(MASTER_AREAS!$B:$B,30)))),29,""),""),IF('WSF DASHBOARD'!$B$4="Zone",IF(29&lt;=$D$4,IF(OR('WSF DASHBOARD'!$C$4="",ISNUMBER(SEARCH('WSF DASHBOARD'!$C$4,INDEX(MASTER_ZONES!$B:$B,30)))),29,""),""),""))</f>
        <v/>
      </c>
      <c r="B30">
        <f>IFERROR(SMALL($A$2:$A$201,29),"")</f>
        <v/>
      </c>
      <c r="C30">
        <f>IF(B30="","",IF('WSF DASHBOARD'!$B$4="Area",INDEX(MASTER_AREAS!$B:$B,B30+1),INDEX(MASTER_ZONES!$B:$B,B30+1)))</f>
        <v/>
      </c>
    </row>
    <row r="31">
      <c r="A31">
        <f>IF('WSF DASHBOARD'!$B$4="Area",IF(30&lt;=$D$3,IF(OR('WSF DASHBOARD'!$C$4="",ISNUMBER(SEARCH('WSF DASHBOARD'!$C$4,INDEX(MASTER_AREAS!$B:$B,31)))),30,""),""),IF('WSF DASHBOARD'!$B$4="Zone",IF(30&lt;=$D$4,IF(OR('WSF DASHBOARD'!$C$4="",ISNUMBER(SEARCH('WSF DASHBOARD'!$C$4,INDEX(MASTER_ZONES!$B:$B,31)))),30,""),""),""))</f>
        <v/>
      </c>
      <c r="B31">
        <f>IFERROR(SMALL($A$2:$A$201,30),"")</f>
        <v/>
      </c>
      <c r="C31">
        <f>IF(B31="","",IF('WSF DASHBOARD'!$B$4="Area",INDEX(MASTER_AREAS!$B:$B,B31+1),INDEX(MASTER_ZONES!$B:$B,B31+1)))</f>
        <v/>
      </c>
    </row>
    <row r="32">
      <c r="A32">
        <f>IF('WSF DASHBOARD'!$B$4="Area",IF(31&lt;=$D$3,IF(OR('WSF DASHBOARD'!$C$4="",ISNUMBER(SEARCH('WSF DASHBOARD'!$C$4,INDEX(MASTER_AREAS!$B:$B,32)))),31,""),""),IF('WSF DASHBOARD'!$B$4="Zone",IF(31&lt;=$D$4,IF(OR('WSF DASHBOARD'!$C$4="",ISNUMBER(SEARCH('WSF DASHBOARD'!$C$4,INDEX(MASTER_ZONES!$B:$B,32)))),31,""),""),""))</f>
        <v/>
      </c>
      <c r="B32">
        <f>IFERROR(SMALL($A$2:$A$201,31),"")</f>
        <v/>
      </c>
      <c r="C32">
        <f>IF(B32="","",IF('WSF DASHBOARD'!$B$4="Area",INDEX(MASTER_AREAS!$B:$B,B32+1),INDEX(MASTER_ZONES!$B:$B,B32+1)))</f>
        <v/>
      </c>
    </row>
    <row r="33">
      <c r="A33">
        <f>IF('WSF DASHBOARD'!$B$4="Area",IF(32&lt;=$D$3,IF(OR('WSF DASHBOARD'!$C$4="",ISNUMBER(SEARCH('WSF DASHBOARD'!$C$4,INDEX(MASTER_AREAS!$B:$B,33)))),32,""),""),IF('WSF DASHBOARD'!$B$4="Zone",IF(32&lt;=$D$4,IF(OR('WSF DASHBOARD'!$C$4="",ISNUMBER(SEARCH('WSF DASHBOARD'!$C$4,INDEX(MASTER_ZONES!$B:$B,33)))),32,""),""),""))</f>
        <v/>
      </c>
      <c r="B33">
        <f>IFERROR(SMALL($A$2:$A$201,32),"")</f>
        <v/>
      </c>
      <c r="C33">
        <f>IF(B33="","",IF('WSF DASHBOARD'!$B$4="Area",INDEX(MASTER_AREAS!$B:$B,B33+1),INDEX(MASTER_ZONES!$B:$B,B33+1)))</f>
        <v/>
      </c>
    </row>
    <row r="34">
      <c r="A34">
        <f>IF('WSF DASHBOARD'!$B$4="Area",IF(33&lt;=$D$3,IF(OR('WSF DASHBOARD'!$C$4="",ISNUMBER(SEARCH('WSF DASHBOARD'!$C$4,INDEX(MASTER_AREAS!$B:$B,34)))),33,""),""),IF('WSF DASHBOARD'!$B$4="Zone",IF(33&lt;=$D$4,IF(OR('WSF DASHBOARD'!$C$4="",ISNUMBER(SEARCH('WSF DASHBOARD'!$C$4,INDEX(MASTER_ZONES!$B:$B,34)))),33,""),""),""))</f>
        <v/>
      </c>
      <c r="B34">
        <f>IFERROR(SMALL($A$2:$A$201,33),"")</f>
        <v/>
      </c>
      <c r="C34">
        <f>IF(B34="","",IF('WSF DASHBOARD'!$B$4="Area",INDEX(MASTER_AREAS!$B:$B,B34+1),INDEX(MASTER_ZONES!$B:$B,B34+1)))</f>
        <v/>
      </c>
    </row>
    <row r="35">
      <c r="A35">
        <f>IF('WSF DASHBOARD'!$B$4="Area",IF(34&lt;=$D$3,IF(OR('WSF DASHBOARD'!$C$4="",ISNUMBER(SEARCH('WSF DASHBOARD'!$C$4,INDEX(MASTER_AREAS!$B:$B,35)))),34,""),""),IF('WSF DASHBOARD'!$B$4="Zone",IF(34&lt;=$D$4,IF(OR('WSF DASHBOARD'!$C$4="",ISNUMBER(SEARCH('WSF DASHBOARD'!$C$4,INDEX(MASTER_ZONES!$B:$B,35)))),34,""),""),""))</f>
        <v/>
      </c>
      <c r="B35">
        <f>IFERROR(SMALL($A$2:$A$201,34),"")</f>
        <v/>
      </c>
      <c r="C35">
        <f>IF(B35="","",IF('WSF DASHBOARD'!$B$4="Area",INDEX(MASTER_AREAS!$B:$B,B35+1),INDEX(MASTER_ZONES!$B:$B,B35+1)))</f>
        <v/>
      </c>
    </row>
    <row r="36">
      <c r="A36">
        <f>IF('WSF DASHBOARD'!$B$4="Area",IF(35&lt;=$D$3,IF(OR('WSF DASHBOARD'!$C$4="",ISNUMBER(SEARCH('WSF DASHBOARD'!$C$4,INDEX(MASTER_AREAS!$B:$B,36)))),35,""),""),IF('WSF DASHBOARD'!$B$4="Zone",IF(35&lt;=$D$4,IF(OR('WSF DASHBOARD'!$C$4="",ISNUMBER(SEARCH('WSF DASHBOARD'!$C$4,INDEX(MASTER_ZONES!$B:$B,36)))),35,""),""),""))</f>
        <v/>
      </c>
      <c r="B36">
        <f>IFERROR(SMALL($A$2:$A$201,35),"")</f>
        <v/>
      </c>
      <c r="C36">
        <f>IF(B36="","",IF('WSF DASHBOARD'!$B$4="Area",INDEX(MASTER_AREAS!$B:$B,B36+1),INDEX(MASTER_ZONES!$B:$B,B36+1)))</f>
        <v/>
      </c>
    </row>
    <row r="37">
      <c r="A37">
        <f>IF('WSF DASHBOARD'!$B$4="Area",IF(36&lt;=$D$3,IF(OR('WSF DASHBOARD'!$C$4="",ISNUMBER(SEARCH('WSF DASHBOARD'!$C$4,INDEX(MASTER_AREAS!$B:$B,37)))),36,""),""),IF('WSF DASHBOARD'!$B$4="Zone",IF(36&lt;=$D$4,IF(OR('WSF DASHBOARD'!$C$4="",ISNUMBER(SEARCH('WSF DASHBOARD'!$C$4,INDEX(MASTER_ZONES!$B:$B,37)))),36,""),""),""))</f>
        <v/>
      </c>
      <c r="B37">
        <f>IFERROR(SMALL($A$2:$A$201,36),"")</f>
        <v/>
      </c>
      <c r="C37">
        <f>IF(B37="","",IF('WSF DASHBOARD'!$B$4="Area",INDEX(MASTER_AREAS!$B:$B,B37+1),INDEX(MASTER_ZONES!$B:$B,B37+1)))</f>
        <v/>
      </c>
    </row>
    <row r="38">
      <c r="A38">
        <f>IF('WSF DASHBOARD'!$B$4="Area",IF(37&lt;=$D$3,IF(OR('WSF DASHBOARD'!$C$4="",ISNUMBER(SEARCH('WSF DASHBOARD'!$C$4,INDEX(MASTER_AREAS!$B:$B,38)))),37,""),""),IF('WSF DASHBOARD'!$B$4="Zone",IF(37&lt;=$D$4,IF(OR('WSF DASHBOARD'!$C$4="",ISNUMBER(SEARCH('WSF DASHBOARD'!$C$4,INDEX(MASTER_ZONES!$B:$B,38)))),37,""),""),""))</f>
        <v/>
      </c>
      <c r="B38">
        <f>IFERROR(SMALL($A$2:$A$201,37),"")</f>
        <v/>
      </c>
      <c r="C38">
        <f>IF(B38="","",IF('WSF DASHBOARD'!$B$4="Area",INDEX(MASTER_AREAS!$B:$B,B38+1),INDEX(MASTER_ZONES!$B:$B,B38+1)))</f>
        <v/>
      </c>
    </row>
    <row r="39">
      <c r="A39">
        <f>IF('WSF DASHBOARD'!$B$4="Area",IF(38&lt;=$D$3,IF(OR('WSF DASHBOARD'!$C$4="",ISNUMBER(SEARCH('WSF DASHBOARD'!$C$4,INDEX(MASTER_AREAS!$B:$B,39)))),38,""),""),IF('WSF DASHBOARD'!$B$4="Zone",IF(38&lt;=$D$4,IF(OR('WSF DASHBOARD'!$C$4="",ISNUMBER(SEARCH('WSF DASHBOARD'!$C$4,INDEX(MASTER_ZONES!$B:$B,39)))),38,""),""),""))</f>
        <v/>
      </c>
      <c r="B39">
        <f>IFERROR(SMALL($A$2:$A$201,38),"")</f>
        <v/>
      </c>
      <c r="C39">
        <f>IF(B39="","",IF('WSF DASHBOARD'!$B$4="Area",INDEX(MASTER_AREAS!$B:$B,B39+1),INDEX(MASTER_ZONES!$B:$B,B39+1)))</f>
        <v/>
      </c>
    </row>
    <row r="40">
      <c r="A40">
        <f>IF('WSF DASHBOARD'!$B$4="Area",IF(39&lt;=$D$3,IF(OR('WSF DASHBOARD'!$C$4="",ISNUMBER(SEARCH('WSF DASHBOARD'!$C$4,INDEX(MASTER_AREAS!$B:$B,40)))),39,""),""),IF('WSF DASHBOARD'!$B$4="Zone",IF(39&lt;=$D$4,IF(OR('WSF DASHBOARD'!$C$4="",ISNUMBER(SEARCH('WSF DASHBOARD'!$C$4,INDEX(MASTER_ZONES!$B:$B,40)))),39,""),""),""))</f>
        <v/>
      </c>
      <c r="B40">
        <f>IFERROR(SMALL($A$2:$A$201,39),"")</f>
        <v/>
      </c>
      <c r="C40">
        <f>IF(B40="","",IF('WSF DASHBOARD'!$B$4="Area",INDEX(MASTER_AREAS!$B:$B,B40+1),INDEX(MASTER_ZONES!$B:$B,B40+1)))</f>
        <v/>
      </c>
    </row>
    <row r="41">
      <c r="A41">
        <f>IF('WSF DASHBOARD'!$B$4="Area",IF(40&lt;=$D$3,IF(OR('WSF DASHBOARD'!$C$4="",ISNUMBER(SEARCH('WSF DASHBOARD'!$C$4,INDEX(MASTER_AREAS!$B:$B,41)))),40,""),""),IF('WSF DASHBOARD'!$B$4="Zone",IF(40&lt;=$D$4,IF(OR('WSF DASHBOARD'!$C$4="",ISNUMBER(SEARCH('WSF DASHBOARD'!$C$4,INDEX(MASTER_ZONES!$B:$B,41)))),40,""),""),""))</f>
        <v/>
      </c>
      <c r="B41">
        <f>IFERROR(SMALL($A$2:$A$201,40),"")</f>
        <v/>
      </c>
      <c r="C41">
        <f>IF(B41="","",IF('WSF DASHBOARD'!$B$4="Area",INDEX(MASTER_AREAS!$B:$B,B41+1),INDEX(MASTER_ZONES!$B:$B,B41+1)))</f>
        <v/>
      </c>
    </row>
    <row r="42">
      <c r="A42">
        <f>IF('WSF DASHBOARD'!$B$4="Area",IF(41&lt;=$D$3,IF(OR('WSF DASHBOARD'!$C$4="",ISNUMBER(SEARCH('WSF DASHBOARD'!$C$4,INDEX(MASTER_AREAS!$B:$B,42)))),41,""),""),IF('WSF DASHBOARD'!$B$4="Zone",IF(41&lt;=$D$4,IF(OR('WSF DASHBOARD'!$C$4="",ISNUMBER(SEARCH('WSF DASHBOARD'!$C$4,INDEX(MASTER_ZONES!$B:$B,42)))),41,""),""),""))</f>
        <v/>
      </c>
      <c r="B42">
        <f>IFERROR(SMALL($A$2:$A$201,41),"")</f>
        <v/>
      </c>
      <c r="C42">
        <f>IF(B42="","",IF('WSF DASHBOARD'!$B$4="Area",INDEX(MASTER_AREAS!$B:$B,B42+1),INDEX(MASTER_ZONES!$B:$B,B42+1)))</f>
        <v/>
      </c>
    </row>
    <row r="43">
      <c r="A43">
        <f>IF('WSF DASHBOARD'!$B$4="Area",IF(42&lt;=$D$3,IF(OR('WSF DASHBOARD'!$C$4="",ISNUMBER(SEARCH('WSF DASHBOARD'!$C$4,INDEX(MASTER_AREAS!$B:$B,43)))),42,""),""),IF('WSF DASHBOARD'!$B$4="Zone",IF(42&lt;=$D$4,IF(OR('WSF DASHBOARD'!$C$4="",ISNUMBER(SEARCH('WSF DASHBOARD'!$C$4,INDEX(MASTER_ZONES!$B:$B,43)))),42,""),""),""))</f>
        <v/>
      </c>
      <c r="B43">
        <f>IFERROR(SMALL($A$2:$A$201,42),"")</f>
        <v/>
      </c>
      <c r="C43">
        <f>IF(B43="","",IF('WSF DASHBOARD'!$B$4="Area",INDEX(MASTER_AREAS!$B:$B,B43+1),INDEX(MASTER_ZONES!$B:$B,B43+1)))</f>
        <v/>
      </c>
    </row>
    <row r="44">
      <c r="A44">
        <f>IF('WSF DASHBOARD'!$B$4="Area",IF(43&lt;=$D$3,IF(OR('WSF DASHBOARD'!$C$4="",ISNUMBER(SEARCH('WSF DASHBOARD'!$C$4,INDEX(MASTER_AREAS!$B:$B,44)))),43,""),""),IF('WSF DASHBOARD'!$B$4="Zone",IF(43&lt;=$D$4,IF(OR('WSF DASHBOARD'!$C$4="",ISNUMBER(SEARCH('WSF DASHBOARD'!$C$4,INDEX(MASTER_ZONES!$B:$B,44)))),43,""),""),""))</f>
        <v/>
      </c>
      <c r="B44">
        <f>IFERROR(SMALL($A$2:$A$201,43),"")</f>
        <v/>
      </c>
      <c r="C44">
        <f>IF(B44="","",IF('WSF DASHBOARD'!$B$4="Area",INDEX(MASTER_AREAS!$B:$B,B44+1),INDEX(MASTER_ZONES!$B:$B,B44+1)))</f>
        <v/>
      </c>
    </row>
    <row r="45">
      <c r="A45">
        <f>IF('WSF DASHBOARD'!$B$4="Area",IF(44&lt;=$D$3,IF(OR('WSF DASHBOARD'!$C$4="",ISNUMBER(SEARCH('WSF DASHBOARD'!$C$4,INDEX(MASTER_AREAS!$B:$B,45)))),44,""),""),IF('WSF DASHBOARD'!$B$4="Zone",IF(44&lt;=$D$4,IF(OR('WSF DASHBOARD'!$C$4="",ISNUMBER(SEARCH('WSF DASHBOARD'!$C$4,INDEX(MASTER_ZONES!$B:$B,45)))),44,""),""),""))</f>
        <v/>
      </c>
      <c r="B45">
        <f>IFERROR(SMALL($A$2:$A$201,44),"")</f>
        <v/>
      </c>
      <c r="C45">
        <f>IF(B45="","",IF('WSF DASHBOARD'!$B$4="Area",INDEX(MASTER_AREAS!$B:$B,B45+1),INDEX(MASTER_ZONES!$B:$B,B45+1)))</f>
        <v/>
      </c>
    </row>
    <row r="46">
      <c r="A46">
        <f>IF('WSF DASHBOARD'!$B$4="Area",IF(45&lt;=$D$3,IF(OR('WSF DASHBOARD'!$C$4="",ISNUMBER(SEARCH('WSF DASHBOARD'!$C$4,INDEX(MASTER_AREAS!$B:$B,46)))),45,""),""),IF('WSF DASHBOARD'!$B$4="Zone",IF(45&lt;=$D$4,IF(OR('WSF DASHBOARD'!$C$4="",ISNUMBER(SEARCH('WSF DASHBOARD'!$C$4,INDEX(MASTER_ZONES!$B:$B,46)))),45,""),""),""))</f>
        <v/>
      </c>
      <c r="B46">
        <f>IFERROR(SMALL($A$2:$A$201,45),"")</f>
        <v/>
      </c>
      <c r="C46">
        <f>IF(B46="","",IF('WSF DASHBOARD'!$B$4="Area",INDEX(MASTER_AREAS!$B:$B,B46+1),INDEX(MASTER_ZONES!$B:$B,B46+1)))</f>
        <v/>
      </c>
    </row>
    <row r="47">
      <c r="A47">
        <f>IF('WSF DASHBOARD'!$B$4="Area",IF(46&lt;=$D$3,IF(OR('WSF DASHBOARD'!$C$4="",ISNUMBER(SEARCH('WSF DASHBOARD'!$C$4,INDEX(MASTER_AREAS!$B:$B,47)))),46,""),""),IF('WSF DASHBOARD'!$B$4="Zone",IF(46&lt;=$D$4,IF(OR('WSF DASHBOARD'!$C$4="",ISNUMBER(SEARCH('WSF DASHBOARD'!$C$4,INDEX(MASTER_ZONES!$B:$B,47)))),46,""),""),""))</f>
        <v/>
      </c>
      <c r="B47">
        <f>IFERROR(SMALL($A$2:$A$201,46),"")</f>
        <v/>
      </c>
      <c r="C47">
        <f>IF(B47="","",IF('WSF DASHBOARD'!$B$4="Area",INDEX(MASTER_AREAS!$B:$B,B47+1),INDEX(MASTER_ZONES!$B:$B,B47+1)))</f>
        <v/>
      </c>
    </row>
    <row r="48">
      <c r="A48">
        <f>IF('WSF DASHBOARD'!$B$4="Area",IF(47&lt;=$D$3,IF(OR('WSF DASHBOARD'!$C$4="",ISNUMBER(SEARCH('WSF DASHBOARD'!$C$4,INDEX(MASTER_AREAS!$B:$B,48)))),47,""),""),IF('WSF DASHBOARD'!$B$4="Zone",IF(47&lt;=$D$4,IF(OR('WSF DASHBOARD'!$C$4="",ISNUMBER(SEARCH('WSF DASHBOARD'!$C$4,INDEX(MASTER_ZONES!$B:$B,48)))),47,""),""),""))</f>
        <v/>
      </c>
      <c r="B48">
        <f>IFERROR(SMALL($A$2:$A$201,47),"")</f>
        <v/>
      </c>
      <c r="C48">
        <f>IF(B48="","",IF('WSF DASHBOARD'!$B$4="Area",INDEX(MASTER_AREAS!$B:$B,B48+1),INDEX(MASTER_ZONES!$B:$B,B48+1)))</f>
        <v/>
      </c>
    </row>
    <row r="49">
      <c r="A49">
        <f>IF('WSF DASHBOARD'!$B$4="Area",IF(48&lt;=$D$3,IF(OR('WSF DASHBOARD'!$C$4="",ISNUMBER(SEARCH('WSF DASHBOARD'!$C$4,INDEX(MASTER_AREAS!$B:$B,49)))),48,""),""),IF('WSF DASHBOARD'!$B$4="Zone",IF(48&lt;=$D$4,IF(OR('WSF DASHBOARD'!$C$4="",ISNUMBER(SEARCH('WSF DASHBOARD'!$C$4,INDEX(MASTER_ZONES!$B:$B,49)))),48,""),""),""))</f>
        <v/>
      </c>
      <c r="B49">
        <f>IFERROR(SMALL($A$2:$A$201,48),"")</f>
        <v/>
      </c>
      <c r="C49">
        <f>IF(B49="","",IF('WSF DASHBOARD'!$B$4="Area",INDEX(MASTER_AREAS!$B:$B,B49+1),INDEX(MASTER_ZONES!$B:$B,B49+1)))</f>
        <v/>
      </c>
    </row>
    <row r="50">
      <c r="A50">
        <f>IF('WSF DASHBOARD'!$B$4="Area",IF(49&lt;=$D$3,IF(OR('WSF DASHBOARD'!$C$4="",ISNUMBER(SEARCH('WSF DASHBOARD'!$C$4,INDEX(MASTER_AREAS!$B:$B,50)))),49,""),""),IF('WSF DASHBOARD'!$B$4="Zone",IF(49&lt;=$D$4,IF(OR('WSF DASHBOARD'!$C$4="",ISNUMBER(SEARCH('WSF DASHBOARD'!$C$4,INDEX(MASTER_ZONES!$B:$B,50)))),49,""),""),""))</f>
        <v/>
      </c>
      <c r="B50">
        <f>IFERROR(SMALL($A$2:$A$201,49),"")</f>
        <v/>
      </c>
      <c r="C50">
        <f>IF(B50="","",IF('WSF DASHBOARD'!$B$4="Area",INDEX(MASTER_AREAS!$B:$B,B50+1),INDEX(MASTER_ZONES!$B:$B,B50+1)))</f>
        <v/>
      </c>
    </row>
    <row r="51">
      <c r="A51">
        <f>IF('WSF DASHBOARD'!$B$4="Area",IF(50&lt;=$D$3,IF(OR('WSF DASHBOARD'!$C$4="",ISNUMBER(SEARCH('WSF DASHBOARD'!$C$4,INDEX(MASTER_AREAS!$B:$B,51)))),50,""),""),IF('WSF DASHBOARD'!$B$4="Zone",IF(50&lt;=$D$4,IF(OR('WSF DASHBOARD'!$C$4="",ISNUMBER(SEARCH('WSF DASHBOARD'!$C$4,INDEX(MASTER_ZONES!$B:$B,51)))),50,""),""),""))</f>
        <v/>
      </c>
      <c r="B51">
        <f>IFERROR(SMALL($A$2:$A$201,50),"")</f>
        <v/>
      </c>
      <c r="C51">
        <f>IF(B51="","",IF('WSF DASHBOARD'!$B$4="Area",INDEX(MASTER_AREAS!$B:$B,B51+1),INDEX(MASTER_ZONES!$B:$B,B51+1)))</f>
        <v/>
      </c>
    </row>
    <row r="52">
      <c r="A52">
        <f>IF('WSF DASHBOARD'!$B$4="Area",IF(51&lt;=$D$3,IF(OR('WSF DASHBOARD'!$C$4="",ISNUMBER(SEARCH('WSF DASHBOARD'!$C$4,INDEX(MASTER_AREAS!$B:$B,52)))),51,""),""),IF('WSF DASHBOARD'!$B$4="Zone",IF(51&lt;=$D$4,IF(OR('WSF DASHBOARD'!$C$4="",ISNUMBER(SEARCH('WSF DASHBOARD'!$C$4,INDEX(MASTER_ZONES!$B:$B,52)))),51,""),""),""))</f>
        <v/>
      </c>
      <c r="B52">
        <f>IFERROR(SMALL($A$2:$A$201,51),"")</f>
        <v/>
      </c>
      <c r="C52">
        <f>IF(B52="","",IF('WSF DASHBOARD'!$B$4="Area",INDEX(MASTER_AREAS!$B:$B,B52+1),INDEX(MASTER_ZONES!$B:$B,B52+1)))</f>
        <v/>
      </c>
    </row>
    <row r="53">
      <c r="A53">
        <f>IF('WSF DASHBOARD'!$B$4="Area",IF(52&lt;=$D$3,IF(OR('WSF DASHBOARD'!$C$4="",ISNUMBER(SEARCH('WSF DASHBOARD'!$C$4,INDEX(MASTER_AREAS!$B:$B,53)))),52,""),""),IF('WSF DASHBOARD'!$B$4="Zone",IF(52&lt;=$D$4,IF(OR('WSF DASHBOARD'!$C$4="",ISNUMBER(SEARCH('WSF DASHBOARD'!$C$4,INDEX(MASTER_ZONES!$B:$B,53)))),52,""),""),""))</f>
        <v/>
      </c>
      <c r="B53">
        <f>IFERROR(SMALL($A$2:$A$201,52),"")</f>
        <v/>
      </c>
      <c r="C53">
        <f>IF(B53="","",IF('WSF DASHBOARD'!$B$4="Area",INDEX(MASTER_AREAS!$B:$B,B53+1),INDEX(MASTER_ZONES!$B:$B,B53+1)))</f>
        <v/>
      </c>
    </row>
    <row r="54">
      <c r="A54">
        <f>IF('WSF DASHBOARD'!$B$4="Area",IF(53&lt;=$D$3,IF(OR('WSF DASHBOARD'!$C$4="",ISNUMBER(SEARCH('WSF DASHBOARD'!$C$4,INDEX(MASTER_AREAS!$B:$B,54)))),53,""),""),IF('WSF DASHBOARD'!$B$4="Zone",IF(53&lt;=$D$4,IF(OR('WSF DASHBOARD'!$C$4="",ISNUMBER(SEARCH('WSF DASHBOARD'!$C$4,INDEX(MASTER_ZONES!$B:$B,54)))),53,""),""),""))</f>
        <v/>
      </c>
      <c r="B54">
        <f>IFERROR(SMALL($A$2:$A$201,53),"")</f>
        <v/>
      </c>
      <c r="C54">
        <f>IF(B54="","",IF('WSF DASHBOARD'!$B$4="Area",INDEX(MASTER_AREAS!$B:$B,B54+1),INDEX(MASTER_ZONES!$B:$B,B54+1)))</f>
        <v/>
      </c>
    </row>
    <row r="55">
      <c r="A55">
        <f>IF('WSF DASHBOARD'!$B$4="Area",IF(54&lt;=$D$3,IF(OR('WSF DASHBOARD'!$C$4="",ISNUMBER(SEARCH('WSF DASHBOARD'!$C$4,INDEX(MASTER_AREAS!$B:$B,55)))),54,""),""),IF('WSF DASHBOARD'!$B$4="Zone",IF(54&lt;=$D$4,IF(OR('WSF DASHBOARD'!$C$4="",ISNUMBER(SEARCH('WSF DASHBOARD'!$C$4,INDEX(MASTER_ZONES!$B:$B,55)))),54,""),""),""))</f>
        <v/>
      </c>
      <c r="B55">
        <f>IFERROR(SMALL($A$2:$A$201,54),"")</f>
        <v/>
      </c>
      <c r="C55">
        <f>IF(B55="","",IF('WSF DASHBOARD'!$B$4="Area",INDEX(MASTER_AREAS!$B:$B,B55+1),INDEX(MASTER_ZONES!$B:$B,B55+1)))</f>
        <v/>
      </c>
    </row>
    <row r="56">
      <c r="A56">
        <f>IF('WSF DASHBOARD'!$B$4="Area",IF(55&lt;=$D$3,IF(OR('WSF DASHBOARD'!$C$4="",ISNUMBER(SEARCH('WSF DASHBOARD'!$C$4,INDEX(MASTER_AREAS!$B:$B,56)))),55,""),""),IF('WSF DASHBOARD'!$B$4="Zone",IF(55&lt;=$D$4,IF(OR('WSF DASHBOARD'!$C$4="",ISNUMBER(SEARCH('WSF DASHBOARD'!$C$4,INDEX(MASTER_ZONES!$B:$B,56)))),55,""),""),""))</f>
        <v/>
      </c>
      <c r="B56">
        <f>IFERROR(SMALL($A$2:$A$201,55),"")</f>
        <v/>
      </c>
      <c r="C56">
        <f>IF(B56="","",IF('WSF DASHBOARD'!$B$4="Area",INDEX(MASTER_AREAS!$B:$B,B56+1),INDEX(MASTER_ZONES!$B:$B,B56+1)))</f>
        <v/>
      </c>
    </row>
    <row r="57">
      <c r="A57">
        <f>IF('WSF DASHBOARD'!$B$4="Area",IF(56&lt;=$D$3,IF(OR('WSF DASHBOARD'!$C$4="",ISNUMBER(SEARCH('WSF DASHBOARD'!$C$4,INDEX(MASTER_AREAS!$B:$B,57)))),56,""),""),IF('WSF DASHBOARD'!$B$4="Zone",IF(56&lt;=$D$4,IF(OR('WSF DASHBOARD'!$C$4="",ISNUMBER(SEARCH('WSF DASHBOARD'!$C$4,INDEX(MASTER_ZONES!$B:$B,57)))),56,""),""),""))</f>
        <v/>
      </c>
      <c r="B57">
        <f>IFERROR(SMALL($A$2:$A$201,56),"")</f>
        <v/>
      </c>
      <c r="C57">
        <f>IF(B57="","",IF('WSF DASHBOARD'!$B$4="Area",INDEX(MASTER_AREAS!$B:$B,B57+1),INDEX(MASTER_ZONES!$B:$B,B57+1)))</f>
        <v/>
      </c>
    </row>
    <row r="58">
      <c r="A58">
        <f>IF('WSF DASHBOARD'!$B$4="Area",IF(57&lt;=$D$3,IF(OR('WSF DASHBOARD'!$C$4="",ISNUMBER(SEARCH('WSF DASHBOARD'!$C$4,INDEX(MASTER_AREAS!$B:$B,58)))),57,""),""),IF('WSF DASHBOARD'!$B$4="Zone",IF(57&lt;=$D$4,IF(OR('WSF DASHBOARD'!$C$4="",ISNUMBER(SEARCH('WSF DASHBOARD'!$C$4,INDEX(MASTER_ZONES!$B:$B,58)))),57,""),""),""))</f>
        <v/>
      </c>
      <c r="B58">
        <f>IFERROR(SMALL($A$2:$A$201,57),"")</f>
        <v/>
      </c>
      <c r="C58">
        <f>IF(B58="","",IF('WSF DASHBOARD'!$B$4="Area",INDEX(MASTER_AREAS!$B:$B,B58+1),INDEX(MASTER_ZONES!$B:$B,B58+1)))</f>
        <v/>
      </c>
    </row>
    <row r="59">
      <c r="A59">
        <f>IF('WSF DASHBOARD'!$B$4="Area",IF(58&lt;=$D$3,IF(OR('WSF DASHBOARD'!$C$4="",ISNUMBER(SEARCH('WSF DASHBOARD'!$C$4,INDEX(MASTER_AREAS!$B:$B,59)))),58,""),""),IF('WSF DASHBOARD'!$B$4="Zone",IF(58&lt;=$D$4,IF(OR('WSF DASHBOARD'!$C$4="",ISNUMBER(SEARCH('WSF DASHBOARD'!$C$4,INDEX(MASTER_ZONES!$B:$B,59)))),58,""),""),""))</f>
        <v/>
      </c>
      <c r="B59">
        <f>IFERROR(SMALL($A$2:$A$201,58),"")</f>
        <v/>
      </c>
      <c r="C59">
        <f>IF(B59="","",IF('WSF DASHBOARD'!$B$4="Area",INDEX(MASTER_AREAS!$B:$B,B59+1),INDEX(MASTER_ZONES!$B:$B,B59+1)))</f>
        <v/>
      </c>
    </row>
    <row r="60">
      <c r="A60">
        <f>IF('WSF DASHBOARD'!$B$4="Area",IF(59&lt;=$D$3,IF(OR('WSF DASHBOARD'!$C$4="",ISNUMBER(SEARCH('WSF DASHBOARD'!$C$4,INDEX(MASTER_AREAS!$B:$B,60)))),59,""),""),IF('WSF DASHBOARD'!$B$4="Zone",IF(59&lt;=$D$4,IF(OR('WSF DASHBOARD'!$C$4="",ISNUMBER(SEARCH('WSF DASHBOARD'!$C$4,INDEX(MASTER_ZONES!$B:$B,60)))),59,""),""),""))</f>
        <v/>
      </c>
      <c r="B60">
        <f>IFERROR(SMALL($A$2:$A$201,59),"")</f>
        <v/>
      </c>
      <c r="C60">
        <f>IF(B60="","",IF('WSF DASHBOARD'!$B$4="Area",INDEX(MASTER_AREAS!$B:$B,B60+1),INDEX(MASTER_ZONES!$B:$B,B60+1)))</f>
        <v/>
      </c>
    </row>
    <row r="61">
      <c r="A61">
        <f>IF('WSF DASHBOARD'!$B$4="Area",IF(60&lt;=$D$3,IF(OR('WSF DASHBOARD'!$C$4="",ISNUMBER(SEARCH('WSF DASHBOARD'!$C$4,INDEX(MASTER_AREAS!$B:$B,61)))),60,""),""),IF('WSF DASHBOARD'!$B$4="Zone",IF(60&lt;=$D$4,IF(OR('WSF DASHBOARD'!$C$4="",ISNUMBER(SEARCH('WSF DASHBOARD'!$C$4,INDEX(MASTER_ZONES!$B:$B,61)))),60,""),""),""))</f>
        <v/>
      </c>
      <c r="B61">
        <f>IFERROR(SMALL($A$2:$A$201,60),"")</f>
        <v/>
      </c>
      <c r="C61">
        <f>IF(B61="","",IF('WSF DASHBOARD'!$B$4="Area",INDEX(MASTER_AREAS!$B:$B,B61+1),INDEX(MASTER_ZONES!$B:$B,B61+1)))</f>
        <v/>
      </c>
    </row>
    <row r="62">
      <c r="A62">
        <f>IF('WSF DASHBOARD'!$B$4="Area",IF(61&lt;=$D$3,IF(OR('WSF DASHBOARD'!$C$4="",ISNUMBER(SEARCH('WSF DASHBOARD'!$C$4,INDEX(MASTER_AREAS!$B:$B,62)))),61,""),""),IF('WSF DASHBOARD'!$B$4="Zone",IF(61&lt;=$D$4,IF(OR('WSF DASHBOARD'!$C$4="",ISNUMBER(SEARCH('WSF DASHBOARD'!$C$4,INDEX(MASTER_ZONES!$B:$B,62)))),61,""),""),""))</f>
        <v/>
      </c>
      <c r="B62">
        <f>IFERROR(SMALL($A$2:$A$201,61),"")</f>
        <v/>
      </c>
      <c r="C62">
        <f>IF(B62="","",IF('WSF DASHBOARD'!$B$4="Area",INDEX(MASTER_AREAS!$B:$B,B62+1),INDEX(MASTER_ZONES!$B:$B,B62+1)))</f>
        <v/>
      </c>
    </row>
    <row r="63">
      <c r="A63">
        <f>IF('WSF DASHBOARD'!$B$4="Area",IF(62&lt;=$D$3,IF(OR('WSF DASHBOARD'!$C$4="",ISNUMBER(SEARCH('WSF DASHBOARD'!$C$4,INDEX(MASTER_AREAS!$B:$B,63)))),62,""),""),IF('WSF DASHBOARD'!$B$4="Zone",IF(62&lt;=$D$4,IF(OR('WSF DASHBOARD'!$C$4="",ISNUMBER(SEARCH('WSF DASHBOARD'!$C$4,INDEX(MASTER_ZONES!$B:$B,63)))),62,""),""),""))</f>
        <v/>
      </c>
      <c r="B63">
        <f>IFERROR(SMALL($A$2:$A$201,62),"")</f>
        <v/>
      </c>
      <c r="C63">
        <f>IF(B63="","",IF('WSF DASHBOARD'!$B$4="Area",INDEX(MASTER_AREAS!$B:$B,B63+1),INDEX(MASTER_ZONES!$B:$B,B63+1)))</f>
        <v/>
      </c>
    </row>
    <row r="64">
      <c r="A64">
        <f>IF('WSF DASHBOARD'!$B$4="Area",IF(63&lt;=$D$3,IF(OR('WSF DASHBOARD'!$C$4="",ISNUMBER(SEARCH('WSF DASHBOARD'!$C$4,INDEX(MASTER_AREAS!$B:$B,64)))),63,""),""),IF('WSF DASHBOARD'!$B$4="Zone",IF(63&lt;=$D$4,IF(OR('WSF DASHBOARD'!$C$4="",ISNUMBER(SEARCH('WSF DASHBOARD'!$C$4,INDEX(MASTER_ZONES!$B:$B,64)))),63,""),""),""))</f>
        <v/>
      </c>
      <c r="B64">
        <f>IFERROR(SMALL($A$2:$A$201,63),"")</f>
        <v/>
      </c>
      <c r="C64">
        <f>IF(B64="","",IF('WSF DASHBOARD'!$B$4="Area",INDEX(MASTER_AREAS!$B:$B,B64+1),INDEX(MASTER_ZONES!$B:$B,B64+1)))</f>
        <v/>
      </c>
    </row>
    <row r="65">
      <c r="A65">
        <f>IF('WSF DASHBOARD'!$B$4="Area",IF(64&lt;=$D$3,IF(OR('WSF DASHBOARD'!$C$4="",ISNUMBER(SEARCH('WSF DASHBOARD'!$C$4,INDEX(MASTER_AREAS!$B:$B,65)))),64,""),""),IF('WSF DASHBOARD'!$B$4="Zone",IF(64&lt;=$D$4,IF(OR('WSF DASHBOARD'!$C$4="",ISNUMBER(SEARCH('WSF DASHBOARD'!$C$4,INDEX(MASTER_ZONES!$B:$B,65)))),64,""),""),""))</f>
        <v/>
      </c>
      <c r="B65">
        <f>IFERROR(SMALL($A$2:$A$201,64),"")</f>
        <v/>
      </c>
      <c r="C65">
        <f>IF(B65="","",IF('WSF DASHBOARD'!$B$4="Area",INDEX(MASTER_AREAS!$B:$B,B65+1),INDEX(MASTER_ZONES!$B:$B,B65+1)))</f>
        <v/>
      </c>
    </row>
    <row r="66">
      <c r="A66">
        <f>IF('WSF DASHBOARD'!$B$4="Area",IF(65&lt;=$D$3,IF(OR('WSF DASHBOARD'!$C$4="",ISNUMBER(SEARCH('WSF DASHBOARD'!$C$4,INDEX(MASTER_AREAS!$B:$B,66)))),65,""),""),IF('WSF DASHBOARD'!$B$4="Zone",IF(65&lt;=$D$4,IF(OR('WSF DASHBOARD'!$C$4="",ISNUMBER(SEARCH('WSF DASHBOARD'!$C$4,INDEX(MASTER_ZONES!$B:$B,66)))),65,""),""),""))</f>
        <v/>
      </c>
      <c r="B66">
        <f>IFERROR(SMALL($A$2:$A$201,65),"")</f>
        <v/>
      </c>
      <c r="C66">
        <f>IF(B66="","",IF('WSF DASHBOARD'!$B$4="Area",INDEX(MASTER_AREAS!$B:$B,B66+1),INDEX(MASTER_ZONES!$B:$B,B66+1)))</f>
        <v/>
      </c>
    </row>
    <row r="67">
      <c r="A67">
        <f>IF('WSF DASHBOARD'!$B$4="Area",IF(66&lt;=$D$3,IF(OR('WSF DASHBOARD'!$C$4="",ISNUMBER(SEARCH('WSF DASHBOARD'!$C$4,INDEX(MASTER_AREAS!$B:$B,67)))),66,""),""),IF('WSF DASHBOARD'!$B$4="Zone",IF(66&lt;=$D$4,IF(OR('WSF DASHBOARD'!$C$4="",ISNUMBER(SEARCH('WSF DASHBOARD'!$C$4,INDEX(MASTER_ZONES!$B:$B,67)))),66,""),""),""))</f>
        <v/>
      </c>
      <c r="B67">
        <f>IFERROR(SMALL($A$2:$A$201,66),"")</f>
        <v/>
      </c>
      <c r="C67">
        <f>IF(B67="","",IF('WSF DASHBOARD'!$B$4="Area",INDEX(MASTER_AREAS!$B:$B,B67+1),INDEX(MASTER_ZONES!$B:$B,B67+1)))</f>
        <v/>
      </c>
    </row>
    <row r="68">
      <c r="A68">
        <f>IF('WSF DASHBOARD'!$B$4="Area",IF(67&lt;=$D$3,IF(OR('WSF DASHBOARD'!$C$4="",ISNUMBER(SEARCH('WSF DASHBOARD'!$C$4,INDEX(MASTER_AREAS!$B:$B,68)))),67,""),""),IF('WSF DASHBOARD'!$B$4="Zone",IF(67&lt;=$D$4,IF(OR('WSF DASHBOARD'!$C$4="",ISNUMBER(SEARCH('WSF DASHBOARD'!$C$4,INDEX(MASTER_ZONES!$B:$B,68)))),67,""),""),""))</f>
        <v/>
      </c>
      <c r="B68">
        <f>IFERROR(SMALL($A$2:$A$201,67),"")</f>
        <v/>
      </c>
      <c r="C68">
        <f>IF(B68="","",IF('WSF DASHBOARD'!$B$4="Area",INDEX(MASTER_AREAS!$B:$B,B68+1),INDEX(MASTER_ZONES!$B:$B,B68+1)))</f>
        <v/>
      </c>
    </row>
    <row r="69">
      <c r="A69">
        <f>IF('WSF DASHBOARD'!$B$4="Area",IF(68&lt;=$D$3,IF(OR('WSF DASHBOARD'!$C$4="",ISNUMBER(SEARCH('WSF DASHBOARD'!$C$4,INDEX(MASTER_AREAS!$B:$B,69)))),68,""),""),IF('WSF DASHBOARD'!$B$4="Zone",IF(68&lt;=$D$4,IF(OR('WSF DASHBOARD'!$C$4="",ISNUMBER(SEARCH('WSF DASHBOARD'!$C$4,INDEX(MASTER_ZONES!$B:$B,69)))),68,""),""),""))</f>
        <v/>
      </c>
      <c r="B69">
        <f>IFERROR(SMALL($A$2:$A$201,68),"")</f>
        <v/>
      </c>
      <c r="C69">
        <f>IF(B69="","",IF('WSF DASHBOARD'!$B$4="Area",INDEX(MASTER_AREAS!$B:$B,B69+1),INDEX(MASTER_ZONES!$B:$B,B69+1)))</f>
        <v/>
      </c>
    </row>
    <row r="70">
      <c r="A70">
        <f>IF('WSF DASHBOARD'!$B$4="Area",IF(69&lt;=$D$3,IF(OR('WSF DASHBOARD'!$C$4="",ISNUMBER(SEARCH('WSF DASHBOARD'!$C$4,INDEX(MASTER_AREAS!$B:$B,70)))),69,""),""),IF('WSF DASHBOARD'!$B$4="Zone",IF(69&lt;=$D$4,IF(OR('WSF DASHBOARD'!$C$4="",ISNUMBER(SEARCH('WSF DASHBOARD'!$C$4,INDEX(MASTER_ZONES!$B:$B,70)))),69,""),""),""))</f>
        <v/>
      </c>
      <c r="B70">
        <f>IFERROR(SMALL($A$2:$A$201,69),"")</f>
        <v/>
      </c>
      <c r="C70">
        <f>IF(B70="","",IF('WSF DASHBOARD'!$B$4="Area",INDEX(MASTER_AREAS!$B:$B,B70+1),INDEX(MASTER_ZONES!$B:$B,B70+1)))</f>
        <v/>
      </c>
    </row>
    <row r="71">
      <c r="A71">
        <f>IF('WSF DASHBOARD'!$B$4="Area",IF(70&lt;=$D$3,IF(OR('WSF DASHBOARD'!$C$4="",ISNUMBER(SEARCH('WSF DASHBOARD'!$C$4,INDEX(MASTER_AREAS!$B:$B,71)))),70,""),""),IF('WSF DASHBOARD'!$B$4="Zone",IF(70&lt;=$D$4,IF(OR('WSF DASHBOARD'!$C$4="",ISNUMBER(SEARCH('WSF DASHBOARD'!$C$4,INDEX(MASTER_ZONES!$B:$B,71)))),70,""),""),""))</f>
        <v/>
      </c>
      <c r="B71">
        <f>IFERROR(SMALL($A$2:$A$201,70),"")</f>
        <v/>
      </c>
      <c r="C71">
        <f>IF(B71="","",IF('WSF DASHBOARD'!$B$4="Area",INDEX(MASTER_AREAS!$B:$B,B71+1),INDEX(MASTER_ZONES!$B:$B,B71+1)))</f>
        <v/>
      </c>
    </row>
    <row r="72">
      <c r="A72">
        <f>IF('WSF DASHBOARD'!$B$4="Area",IF(71&lt;=$D$3,IF(OR('WSF DASHBOARD'!$C$4="",ISNUMBER(SEARCH('WSF DASHBOARD'!$C$4,INDEX(MASTER_AREAS!$B:$B,72)))),71,""),""),IF('WSF DASHBOARD'!$B$4="Zone",IF(71&lt;=$D$4,IF(OR('WSF DASHBOARD'!$C$4="",ISNUMBER(SEARCH('WSF DASHBOARD'!$C$4,INDEX(MASTER_ZONES!$B:$B,72)))),71,""),""),""))</f>
        <v/>
      </c>
      <c r="B72">
        <f>IFERROR(SMALL($A$2:$A$201,71),"")</f>
        <v/>
      </c>
      <c r="C72">
        <f>IF(B72="","",IF('WSF DASHBOARD'!$B$4="Area",INDEX(MASTER_AREAS!$B:$B,B72+1),INDEX(MASTER_ZONES!$B:$B,B72+1)))</f>
        <v/>
      </c>
    </row>
    <row r="73">
      <c r="A73">
        <f>IF('WSF DASHBOARD'!$B$4="Area",IF(72&lt;=$D$3,IF(OR('WSF DASHBOARD'!$C$4="",ISNUMBER(SEARCH('WSF DASHBOARD'!$C$4,INDEX(MASTER_AREAS!$B:$B,73)))),72,""),""),IF('WSF DASHBOARD'!$B$4="Zone",IF(72&lt;=$D$4,IF(OR('WSF DASHBOARD'!$C$4="",ISNUMBER(SEARCH('WSF DASHBOARD'!$C$4,INDEX(MASTER_ZONES!$B:$B,73)))),72,""),""),""))</f>
        <v/>
      </c>
      <c r="B73">
        <f>IFERROR(SMALL($A$2:$A$201,72),"")</f>
        <v/>
      </c>
      <c r="C73">
        <f>IF(B73="","",IF('WSF DASHBOARD'!$B$4="Area",INDEX(MASTER_AREAS!$B:$B,B73+1),INDEX(MASTER_ZONES!$B:$B,B73+1)))</f>
        <v/>
      </c>
    </row>
    <row r="74">
      <c r="A74">
        <f>IF('WSF DASHBOARD'!$B$4="Area",IF(73&lt;=$D$3,IF(OR('WSF DASHBOARD'!$C$4="",ISNUMBER(SEARCH('WSF DASHBOARD'!$C$4,INDEX(MASTER_AREAS!$B:$B,74)))),73,""),""),IF('WSF DASHBOARD'!$B$4="Zone",IF(73&lt;=$D$4,IF(OR('WSF DASHBOARD'!$C$4="",ISNUMBER(SEARCH('WSF DASHBOARD'!$C$4,INDEX(MASTER_ZONES!$B:$B,74)))),73,""),""),""))</f>
        <v/>
      </c>
      <c r="B74">
        <f>IFERROR(SMALL($A$2:$A$201,73),"")</f>
        <v/>
      </c>
      <c r="C74">
        <f>IF(B74="","",IF('WSF DASHBOARD'!$B$4="Area",INDEX(MASTER_AREAS!$B:$B,B74+1),INDEX(MASTER_ZONES!$B:$B,B74+1)))</f>
        <v/>
      </c>
    </row>
    <row r="75">
      <c r="A75">
        <f>IF('WSF DASHBOARD'!$B$4="Area",IF(74&lt;=$D$3,IF(OR('WSF DASHBOARD'!$C$4="",ISNUMBER(SEARCH('WSF DASHBOARD'!$C$4,INDEX(MASTER_AREAS!$B:$B,75)))),74,""),""),IF('WSF DASHBOARD'!$B$4="Zone",IF(74&lt;=$D$4,IF(OR('WSF DASHBOARD'!$C$4="",ISNUMBER(SEARCH('WSF DASHBOARD'!$C$4,INDEX(MASTER_ZONES!$B:$B,75)))),74,""),""),""))</f>
        <v/>
      </c>
      <c r="B75">
        <f>IFERROR(SMALL($A$2:$A$201,74),"")</f>
        <v/>
      </c>
      <c r="C75">
        <f>IF(B75="","",IF('WSF DASHBOARD'!$B$4="Area",INDEX(MASTER_AREAS!$B:$B,B75+1),INDEX(MASTER_ZONES!$B:$B,B75+1)))</f>
        <v/>
      </c>
    </row>
    <row r="76">
      <c r="A76">
        <f>IF('WSF DASHBOARD'!$B$4="Area",IF(75&lt;=$D$3,IF(OR('WSF DASHBOARD'!$C$4="",ISNUMBER(SEARCH('WSF DASHBOARD'!$C$4,INDEX(MASTER_AREAS!$B:$B,76)))),75,""),""),IF('WSF DASHBOARD'!$B$4="Zone",IF(75&lt;=$D$4,IF(OR('WSF DASHBOARD'!$C$4="",ISNUMBER(SEARCH('WSF DASHBOARD'!$C$4,INDEX(MASTER_ZONES!$B:$B,76)))),75,""),""),""))</f>
        <v/>
      </c>
      <c r="B76">
        <f>IFERROR(SMALL($A$2:$A$201,75),"")</f>
        <v/>
      </c>
      <c r="C76">
        <f>IF(B76="","",IF('WSF DASHBOARD'!$B$4="Area",INDEX(MASTER_AREAS!$B:$B,B76+1),INDEX(MASTER_ZONES!$B:$B,B76+1)))</f>
        <v/>
      </c>
    </row>
    <row r="77">
      <c r="A77">
        <f>IF('WSF DASHBOARD'!$B$4="Area",IF(76&lt;=$D$3,IF(OR('WSF DASHBOARD'!$C$4="",ISNUMBER(SEARCH('WSF DASHBOARD'!$C$4,INDEX(MASTER_AREAS!$B:$B,77)))),76,""),""),IF('WSF DASHBOARD'!$B$4="Zone",IF(76&lt;=$D$4,IF(OR('WSF DASHBOARD'!$C$4="",ISNUMBER(SEARCH('WSF DASHBOARD'!$C$4,INDEX(MASTER_ZONES!$B:$B,77)))),76,""),""),""))</f>
        <v/>
      </c>
      <c r="B77">
        <f>IFERROR(SMALL($A$2:$A$201,76),"")</f>
        <v/>
      </c>
      <c r="C77">
        <f>IF(B77="","",IF('WSF DASHBOARD'!$B$4="Area",INDEX(MASTER_AREAS!$B:$B,B77+1),INDEX(MASTER_ZONES!$B:$B,B77+1)))</f>
        <v/>
      </c>
    </row>
    <row r="78">
      <c r="A78">
        <f>IF('WSF DASHBOARD'!$B$4="Area",IF(77&lt;=$D$3,IF(OR('WSF DASHBOARD'!$C$4="",ISNUMBER(SEARCH('WSF DASHBOARD'!$C$4,INDEX(MASTER_AREAS!$B:$B,78)))),77,""),""),IF('WSF DASHBOARD'!$B$4="Zone",IF(77&lt;=$D$4,IF(OR('WSF DASHBOARD'!$C$4="",ISNUMBER(SEARCH('WSF DASHBOARD'!$C$4,INDEX(MASTER_ZONES!$B:$B,78)))),77,""),""),""))</f>
        <v/>
      </c>
      <c r="B78">
        <f>IFERROR(SMALL($A$2:$A$201,77),"")</f>
        <v/>
      </c>
      <c r="C78">
        <f>IF(B78="","",IF('WSF DASHBOARD'!$B$4="Area",INDEX(MASTER_AREAS!$B:$B,B78+1),INDEX(MASTER_ZONES!$B:$B,B78+1)))</f>
        <v/>
      </c>
    </row>
    <row r="79">
      <c r="A79">
        <f>IF('WSF DASHBOARD'!$B$4="Area",IF(78&lt;=$D$3,IF(OR('WSF DASHBOARD'!$C$4="",ISNUMBER(SEARCH('WSF DASHBOARD'!$C$4,INDEX(MASTER_AREAS!$B:$B,79)))),78,""),""),IF('WSF DASHBOARD'!$B$4="Zone",IF(78&lt;=$D$4,IF(OR('WSF DASHBOARD'!$C$4="",ISNUMBER(SEARCH('WSF DASHBOARD'!$C$4,INDEX(MASTER_ZONES!$B:$B,79)))),78,""),""),""))</f>
        <v/>
      </c>
      <c r="B79">
        <f>IFERROR(SMALL($A$2:$A$201,78),"")</f>
        <v/>
      </c>
      <c r="C79">
        <f>IF(B79="","",IF('WSF DASHBOARD'!$B$4="Area",INDEX(MASTER_AREAS!$B:$B,B79+1),INDEX(MASTER_ZONES!$B:$B,B79+1)))</f>
        <v/>
      </c>
    </row>
    <row r="80">
      <c r="A80">
        <f>IF('WSF DASHBOARD'!$B$4="Area",IF(79&lt;=$D$3,IF(OR('WSF DASHBOARD'!$C$4="",ISNUMBER(SEARCH('WSF DASHBOARD'!$C$4,INDEX(MASTER_AREAS!$B:$B,80)))),79,""),""),IF('WSF DASHBOARD'!$B$4="Zone",IF(79&lt;=$D$4,IF(OR('WSF DASHBOARD'!$C$4="",ISNUMBER(SEARCH('WSF DASHBOARD'!$C$4,INDEX(MASTER_ZONES!$B:$B,80)))),79,""),""),""))</f>
        <v/>
      </c>
      <c r="B80">
        <f>IFERROR(SMALL($A$2:$A$201,79),"")</f>
        <v/>
      </c>
      <c r="C80">
        <f>IF(B80="","",IF('WSF DASHBOARD'!$B$4="Area",INDEX(MASTER_AREAS!$B:$B,B80+1),INDEX(MASTER_ZONES!$B:$B,B80+1)))</f>
        <v/>
      </c>
    </row>
    <row r="81">
      <c r="A81">
        <f>IF('WSF DASHBOARD'!$B$4="Area",IF(80&lt;=$D$3,IF(OR('WSF DASHBOARD'!$C$4="",ISNUMBER(SEARCH('WSF DASHBOARD'!$C$4,INDEX(MASTER_AREAS!$B:$B,81)))),80,""),""),IF('WSF DASHBOARD'!$B$4="Zone",IF(80&lt;=$D$4,IF(OR('WSF DASHBOARD'!$C$4="",ISNUMBER(SEARCH('WSF DASHBOARD'!$C$4,INDEX(MASTER_ZONES!$B:$B,81)))),80,""),""),""))</f>
        <v/>
      </c>
      <c r="B81">
        <f>IFERROR(SMALL($A$2:$A$201,80),"")</f>
        <v/>
      </c>
      <c r="C81">
        <f>IF(B81="","",IF('WSF DASHBOARD'!$B$4="Area",INDEX(MASTER_AREAS!$B:$B,B81+1),INDEX(MASTER_ZONES!$B:$B,B81+1)))</f>
        <v/>
      </c>
    </row>
    <row r="82">
      <c r="A82">
        <f>IF('WSF DASHBOARD'!$B$4="Area",IF(81&lt;=$D$3,IF(OR('WSF DASHBOARD'!$C$4="",ISNUMBER(SEARCH('WSF DASHBOARD'!$C$4,INDEX(MASTER_AREAS!$B:$B,82)))),81,""),""),IF('WSF DASHBOARD'!$B$4="Zone",IF(81&lt;=$D$4,IF(OR('WSF DASHBOARD'!$C$4="",ISNUMBER(SEARCH('WSF DASHBOARD'!$C$4,INDEX(MASTER_ZONES!$B:$B,82)))),81,""),""),""))</f>
        <v/>
      </c>
      <c r="B82">
        <f>IFERROR(SMALL($A$2:$A$201,81),"")</f>
        <v/>
      </c>
      <c r="C82">
        <f>IF(B82="","",IF('WSF DASHBOARD'!$B$4="Area",INDEX(MASTER_AREAS!$B:$B,B82+1),INDEX(MASTER_ZONES!$B:$B,B82+1)))</f>
        <v/>
      </c>
    </row>
    <row r="83">
      <c r="A83">
        <f>IF('WSF DASHBOARD'!$B$4="Area",IF(82&lt;=$D$3,IF(OR('WSF DASHBOARD'!$C$4="",ISNUMBER(SEARCH('WSF DASHBOARD'!$C$4,INDEX(MASTER_AREAS!$B:$B,83)))),82,""),""),IF('WSF DASHBOARD'!$B$4="Zone",IF(82&lt;=$D$4,IF(OR('WSF DASHBOARD'!$C$4="",ISNUMBER(SEARCH('WSF DASHBOARD'!$C$4,INDEX(MASTER_ZONES!$B:$B,83)))),82,""),""),""))</f>
        <v/>
      </c>
      <c r="B83">
        <f>IFERROR(SMALL($A$2:$A$201,82),"")</f>
        <v/>
      </c>
      <c r="C83">
        <f>IF(B83="","",IF('WSF DASHBOARD'!$B$4="Area",INDEX(MASTER_AREAS!$B:$B,B83+1),INDEX(MASTER_ZONES!$B:$B,B83+1)))</f>
        <v/>
      </c>
    </row>
    <row r="84">
      <c r="A84">
        <f>IF('WSF DASHBOARD'!$B$4="Area",IF(83&lt;=$D$3,IF(OR('WSF DASHBOARD'!$C$4="",ISNUMBER(SEARCH('WSF DASHBOARD'!$C$4,INDEX(MASTER_AREAS!$B:$B,84)))),83,""),""),IF('WSF DASHBOARD'!$B$4="Zone",IF(83&lt;=$D$4,IF(OR('WSF DASHBOARD'!$C$4="",ISNUMBER(SEARCH('WSF DASHBOARD'!$C$4,INDEX(MASTER_ZONES!$B:$B,84)))),83,""),""),""))</f>
        <v/>
      </c>
      <c r="B84">
        <f>IFERROR(SMALL($A$2:$A$201,83),"")</f>
        <v/>
      </c>
      <c r="C84">
        <f>IF(B84="","",IF('WSF DASHBOARD'!$B$4="Area",INDEX(MASTER_AREAS!$B:$B,B84+1),INDEX(MASTER_ZONES!$B:$B,B84+1)))</f>
        <v/>
      </c>
    </row>
    <row r="85">
      <c r="A85">
        <f>IF('WSF DASHBOARD'!$B$4="Area",IF(84&lt;=$D$3,IF(OR('WSF DASHBOARD'!$C$4="",ISNUMBER(SEARCH('WSF DASHBOARD'!$C$4,INDEX(MASTER_AREAS!$B:$B,85)))),84,""),""),IF('WSF DASHBOARD'!$B$4="Zone",IF(84&lt;=$D$4,IF(OR('WSF DASHBOARD'!$C$4="",ISNUMBER(SEARCH('WSF DASHBOARD'!$C$4,INDEX(MASTER_ZONES!$B:$B,85)))),84,""),""),""))</f>
        <v/>
      </c>
      <c r="B85">
        <f>IFERROR(SMALL($A$2:$A$201,84),"")</f>
        <v/>
      </c>
      <c r="C85">
        <f>IF(B85="","",IF('WSF DASHBOARD'!$B$4="Area",INDEX(MASTER_AREAS!$B:$B,B85+1),INDEX(MASTER_ZONES!$B:$B,B85+1)))</f>
        <v/>
      </c>
    </row>
    <row r="86">
      <c r="A86">
        <f>IF('WSF DASHBOARD'!$B$4="Area",IF(85&lt;=$D$3,IF(OR('WSF DASHBOARD'!$C$4="",ISNUMBER(SEARCH('WSF DASHBOARD'!$C$4,INDEX(MASTER_AREAS!$B:$B,86)))),85,""),""),IF('WSF DASHBOARD'!$B$4="Zone",IF(85&lt;=$D$4,IF(OR('WSF DASHBOARD'!$C$4="",ISNUMBER(SEARCH('WSF DASHBOARD'!$C$4,INDEX(MASTER_ZONES!$B:$B,86)))),85,""),""),""))</f>
        <v/>
      </c>
      <c r="B86">
        <f>IFERROR(SMALL($A$2:$A$201,85),"")</f>
        <v/>
      </c>
      <c r="C86">
        <f>IF(B86="","",IF('WSF DASHBOARD'!$B$4="Area",INDEX(MASTER_AREAS!$B:$B,B86+1),INDEX(MASTER_ZONES!$B:$B,B86+1)))</f>
        <v/>
      </c>
    </row>
    <row r="87">
      <c r="A87">
        <f>IF('WSF DASHBOARD'!$B$4="Area",IF(86&lt;=$D$3,IF(OR('WSF DASHBOARD'!$C$4="",ISNUMBER(SEARCH('WSF DASHBOARD'!$C$4,INDEX(MASTER_AREAS!$B:$B,87)))),86,""),""),IF('WSF DASHBOARD'!$B$4="Zone",IF(86&lt;=$D$4,IF(OR('WSF DASHBOARD'!$C$4="",ISNUMBER(SEARCH('WSF DASHBOARD'!$C$4,INDEX(MASTER_ZONES!$B:$B,87)))),86,""),""),""))</f>
        <v/>
      </c>
      <c r="B87">
        <f>IFERROR(SMALL($A$2:$A$201,86),"")</f>
        <v/>
      </c>
      <c r="C87">
        <f>IF(B87="","",IF('WSF DASHBOARD'!$B$4="Area",INDEX(MASTER_AREAS!$B:$B,B87+1),INDEX(MASTER_ZONES!$B:$B,B87+1)))</f>
        <v/>
      </c>
    </row>
    <row r="88">
      <c r="A88">
        <f>IF('WSF DASHBOARD'!$B$4="Area",IF(87&lt;=$D$3,IF(OR('WSF DASHBOARD'!$C$4="",ISNUMBER(SEARCH('WSF DASHBOARD'!$C$4,INDEX(MASTER_AREAS!$B:$B,88)))),87,""),""),IF('WSF DASHBOARD'!$B$4="Zone",IF(87&lt;=$D$4,IF(OR('WSF DASHBOARD'!$C$4="",ISNUMBER(SEARCH('WSF DASHBOARD'!$C$4,INDEX(MASTER_ZONES!$B:$B,88)))),87,""),""),""))</f>
        <v/>
      </c>
      <c r="B88">
        <f>IFERROR(SMALL($A$2:$A$201,87),"")</f>
        <v/>
      </c>
      <c r="C88">
        <f>IF(B88="","",IF('WSF DASHBOARD'!$B$4="Area",INDEX(MASTER_AREAS!$B:$B,B88+1),INDEX(MASTER_ZONES!$B:$B,B88+1)))</f>
        <v/>
      </c>
    </row>
    <row r="89">
      <c r="A89">
        <f>IF('WSF DASHBOARD'!$B$4="Area",IF(88&lt;=$D$3,IF(OR('WSF DASHBOARD'!$C$4="",ISNUMBER(SEARCH('WSF DASHBOARD'!$C$4,INDEX(MASTER_AREAS!$B:$B,89)))),88,""),""),IF('WSF DASHBOARD'!$B$4="Zone",IF(88&lt;=$D$4,IF(OR('WSF DASHBOARD'!$C$4="",ISNUMBER(SEARCH('WSF DASHBOARD'!$C$4,INDEX(MASTER_ZONES!$B:$B,89)))),88,""),""),""))</f>
        <v/>
      </c>
      <c r="B89">
        <f>IFERROR(SMALL($A$2:$A$201,88),"")</f>
        <v/>
      </c>
      <c r="C89">
        <f>IF(B89="","",IF('WSF DASHBOARD'!$B$4="Area",INDEX(MASTER_AREAS!$B:$B,B89+1),INDEX(MASTER_ZONES!$B:$B,B89+1)))</f>
        <v/>
      </c>
    </row>
    <row r="90">
      <c r="A90">
        <f>IF('WSF DASHBOARD'!$B$4="Area",IF(89&lt;=$D$3,IF(OR('WSF DASHBOARD'!$C$4="",ISNUMBER(SEARCH('WSF DASHBOARD'!$C$4,INDEX(MASTER_AREAS!$B:$B,90)))),89,""),""),IF('WSF DASHBOARD'!$B$4="Zone",IF(89&lt;=$D$4,IF(OR('WSF DASHBOARD'!$C$4="",ISNUMBER(SEARCH('WSF DASHBOARD'!$C$4,INDEX(MASTER_ZONES!$B:$B,90)))),89,""),""),""))</f>
        <v/>
      </c>
      <c r="B90">
        <f>IFERROR(SMALL($A$2:$A$201,89),"")</f>
        <v/>
      </c>
      <c r="C90">
        <f>IF(B90="","",IF('WSF DASHBOARD'!$B$4="Area",INDEX(MASTER_AREAS!$B:$B,B90+1),INDEX(MASTER_ZONES!$B:$B,B90+1)))</f>
        <v/>
      </c>
    </row>
    <row r="91">
      <c r="A91">
        <f>IF('WSF DASHBOARD'!$B$4="Area",IF(90&lt;=$D$3,IF(OR('WSF DASHBOARD'!$C$4="",ISNUMBER(SEARCH('WSF DASHBOARD'!$C$4,INDEX(MASTER_AREAS!$B:$B,91)))),90,""),""),IF('WSF DASHBOARD'!$B$4="Zone",IF(90&lt;=$D$4,IF(OR('WSF DASHBOARD'!$C$4="",ISNUMBER(SEARCH('WSF DASHBOARD'!$C$4,INDEX(MASTER_ZONES!$B:$B,91)))),90,""),""),""))</f>
        <v/>
      </c>
      <c r="B91">
        <f>IFERROR(SMALL($A$2:$A$201,90),"")</f>
        <v/>
      </c>
      <c r="C91">
        <f>IF(B91="","",IF('WSF DASHBOARD'!$B$4="Area",INDEX(MASTER_AREAS!$B:$B,B91+1),INDEX(MASTER_ZONES!$B:$B,B91+1)))</f>
        <v/>
      </c>
    </row>
    <row r="92">
      <c r="A92">
        <f>IF('WSF DASHBOARD'!$B$4="Area",IF(91&lt;=$D$3,IF(OR('WSF DASHBOARD'!$C$4="",ISNUMBER(SEARCH('WSF DASHBOARD'!$C$4,INDEX(MASTER_AREAS!$B:$B,92)))),91,""),""),IF('WSF DASHBOARD'!$B$4="Zone",IF(91&lt;=$D$4,IF(OR('WSF DASHBOARD'!$C$4="",ISNUMBER(SEARCH('WSF DASHBOARD'!$C$4,INDEX(MASTER_ZONES!$B:$B,92)))),91,""),""),""))</f>
        <v/>
      </c>
      <c r="B92">
        <f>IFERROR(SMALL($A$2:$A$201,91),"")</f>
        <v/>
      </c>
      <c r="C92">
        <f>IF(B92="","",IF('WSF DASHBOARD'!$B$4="Area",INDEX(MASTER_AREAS!$B:$B,B92+1),INDEX(MASTER_ZONES!$B:$B,B92+1)))</f>
        <v/>
      </c>
    </row>
    <row r="93">
      <c r="A93">
        <f>IF('WSF DASHBOARD'!$B$4="Area",IF(92&lt;=$D$3,IF(OR('WSF DASHBOARD'!$C$4="",ISNUMBER(SEARCH('WSF DASHBOARD'!$C$4,INDEX(MASTER_AREAS!$B:$B,93)))),92,""),""),IF('WSF DASHBOARD'!$B$4="Zone",IF(92&lt;=$D$4,IF(OR('WSF DASHBOARD'!$C$4="",ISNUMBER(SEARCH('WSF DASHBOARD'!$C$4,INDEX(MASTER_ZONES!$B:$B,93)))),92,""),""),""))</f>
        <v/>
      </c>
      <c r="B93">
        <f>IFERROR(SMALL($A$2:$A$201,92),"")</f>
        <v/>
      </c>
      <c r="C93">
        <f>IF(B93="","",IF('WSF DASHBOARD'!$B$4="Area",INDEX(MASTER_AREAS!$B:$B,B93+1),INDEX(MASTER_ZONES!$B:$B,B93+1)))</f>
        <v/>
      </c>
    </row>
    <row r="94">
      <c r="A94">
        <f>IF('WSF DASHBOARD'!$B$4="Area",IF(93&lt;=$D$3,IF(OR('WSF DASHBOARD'!$C$4="",ISNUMBER(SEARCH('WSF DASHBOARD'!$C$4,INDEX(MASTER_AREAS!$B:$B,94)))),93,""),""),IF('WSF DASHBOARD'!$B$4="Zone",IF(93&lt;=$D$4,IF(OR('WSF DASHBOARD'!$C$4="",ISNUMBER(SEARCH('WSF DASHBOARD'!$C$4,INDEX(MASTER_ZONES!$B:$B,94)))),93,""),""),""))</f>
        <v/>
      </c>
      <c r="B94">
        <f>IFERROR(SMALL($A$2:$A$201,93),"")</f>
        <v/>
      </c>
      <c r="C94">
        <f>IF(B94="","",IF('WSF DASHBOARD'!$B$4="Area",INDEX(MASTER_AREAS!$B:$B,B94+1),INDEX(MASTER_ZONES!$B:$B,B94+1)))</f>
        <v/>
      </c>
    </row>
    <row r="95">
      <c r="A95">
        <f>IF('WSF DASHBOARD'!$B$4="Area",IF(94&lt;=$D$3,IF(OR('WSF DASHBOARD'!$C$4="",ISNUMBER(SEARCH('WSF DASHBOARD'!$C$4,INDEX(MASTER_AREAS!$B:$B,95)))),94,""),""),IF('WSF DASHBOARD'!$B$4="Zone",IF(94&lt;=$D$4,IF(OR('WSF DASHBOARD'!$C$4="",ISNUMBER(SEARCH('WSF DASHBOARD'!$C$4,INDEX(MASTER_ZONES!$B:$B,95)))),94,""),""),""))</f>
        <v/>
      </c>
      <c r="B95">
        <f>IFERROR(SMALL($A$2:$A$201,94),"")</f>
        <v/>
      </c>
      <c r="C95">
        <f>IF(B95="","",IF('WSF DASHBOARD'!$B$4="Area",INDEX(MASTER_AREAS!$B:$B,B95+1),INDEX(MASTER_ZONES!$B:$B,B95+1)))</f>
        <v/>
      </c>
    </row>
    <row r="96">
      <c r="A96">
        <f>IF('WSF DASHBOARD'!$B$4="Area",IF(95&lt;=$D$3,IF(OR('WSF DASHBOARD'!$C$4="",ISNUMBER(SEARCH('WSF DASHBOARD'!$C$4,INDEX(MASTER_AREAS!$B:$B,96)))),95,""),""),IF('WSF DASHBOARD'!$B$4="Zone",IF(95&lt;=$D$4,IF(OR('WSF DASHBOARD'!$C$4="",ISNUMBER(SEARCH('WSF DASHBOARD'!$C$4,INDEX(MASTER_ZONES!$B:$B,96)))),95,""),""),""))</f>
        <v/>
      </c>
      <c r="B96">
        <f>IFERROR(SMALL($A$2:$A$201,95),"")</f>
        <v/>
      </c>
      <c r="C96">
        <f>IF(B96="","",IF('WSF DASHBOARD'!$B$4="Area",INDEX(MASTER_AREAS!$B:$B,B96+1),INDEX(MASTER_ZONES!$B:$B,B96+1)))</f>
        <v/>
      </c>
    </row>
    <row r="97">
      <c r="A97">
        <f>IF('WSF DASHBOARD'!$B$4="Area",IF(96&lt;=$D$3,IF(OR('WSF DASHBOARD'!$C$4="",ISNUMBER(SEARCH('WSF DASHBOARD'!$C$4,INDEX(MASTER_AREAS!$B:$B,97)))),96,""),""),IF('WSF DASHBOARD'!$B$4="Zone",IF(96&lt;=$D$4,IF(OR('WSF DASHBOARD'!$C$4="",ISNUMBER(SEARCH('WSF DASHBOARD'!$C$4,INDEX(MASTER_ZONES!$B:$B,97)))),96,""),""),""))</f>
        <v/>
      </c>
      <c r="B97">
        <f>IFERROR(SMALL($A$2:$A$201,96),"")</f>
        <v/>
      </c>
      <c r="C97">
        <f>IF(B97="","",IF('WSF DASHBOARD'!$B$4="Area",INDEX(MASTER_AREAS!$B:$B,B97+1),INDEX(MASTER_ZONES!$B:$B,B97+1)))</f>
        <v/>
      </c>
    </row>
    <row r="98">
      <c r="A98">
        <f>IF('WSF DASHBOARD'!$B$4="Area",IF(97&lt;=$D$3,IF(OR('WSF DASHBOARD'!$C$4="",ISNUMBER(SEARCH('WSF DASHBOARD'!$C$4,INDEX(MASTER_AREAS!$B:$B,98)))),97,""),""),IF('WSF DASHBOARD'!$B$4="Zone",IF(97&lt;=$D$4,IF(OR('WSF DASHBOARD'!$C$4="",ISNUMBER(SEARCH('WSF DASHBOARD'!$C$4,INDEX(MASTER_ZONES!$B:$B,98)))),97,""),""),""))</f>
        <v/>
      </c>
      <c r="B98">
        <f>IFERROR(SMALL($A$2:$A$201,97),"")</f>
        <v/>
      </c>
      <c r="C98">
        <f>IF(B98="","",IF('WSF DASHBOARD'!$B$4="Area",INDEX(MASTER_AREAS!$B:$B,B98+1),INDEX(MASTER_ZONES!$B:$B,B98+1)))</f>
        <v/>
      </c>
    </row>
    <row r="99">
      <c r="A99">
        <f>IF('WSF DASHBOARD'!$B$4="Area",IF(98&lt;=$D$3,IF(OR('WSF DASHBOARD'!$C$4="",ISNUMBER(SEARCH('WSF DASHBOARD'!$C$4,INDEX(MASTER_AREAS!$B:$B,99)))),98,""),""),IF('WSF DASHBOARD'!$B$4="Zone",IF(98&lt;=$D$4,IF(OR('WSF DASHBOARD'!$C$4="",ISNUMBER(SEARCH('WSF DASHBOARD'!$C$4,INDEX(MASTER_ZONES!$B:$B,99)))),98,""),""),""))</f>
        <v/>
      </c>
      <c r="B99">
        <f>IFERROR(SMALL($A$2:$A$201,98),"")</f>
        <v/>
      </c>
      <c r="C99">
        <f>IF(B99="","",IF('WSF DASHBOARD'!$B$4="Area",INDEX(MASTER_AREAS!$B:$B,B99+1),INDEX(MASTER_ZONES!$B:$B,B99+1)))</f>
        <v/>
      </c>
    </row>
    <row r="100">
      <c r="A100">
        <f>IF('WSF DASHBOARD'!$B$4="Area",IF(99&lt;=$D$3,IF(OR('WSF DASHBOARD'!$C$4="",ISNUMBER(SEARCH('WSF DASHBOARD'!$C$4,INDEX(MASTER_AREAS!$B:$B,100)))),99,""),""),IF('WSF DASHBOARD'!$B$4="Zone",IF(99&lt;=$D$4,IF(OR('WSF DASHBOARD'!$C$4="",ISNUMBER(SEARCH('WSF DASHBOARD'!$C$4,INDEX(MASTER_ZONES!$B:$B,100)))),99,""),""),""))</f>
        <v/>
      </c>
      <c r="B100">
        <f>IFERROR(SMALL($A$2:$A$201,99),"")</f>
        <v/>
      </c>
      <c r="C100">
        <f>IF(B100="","",IF('WSF DASHBOARD'!$B$4="Area",INDEX(MASTER_AREAS!$B:$B,B100+1),INDEX(MASTER_ZONES!$B:$B,B100+1)))</f>
        <v/>
      </c>
    </row>
    <row r="101">
      <c r="A101">
        <f>IF('WSF DASHBOARD'!$B$4="Area",IF(100&lt;=$D$3,IF(OR('WSF DASHBOARD'!$C$4="",ISNUMBER(SEARCH('WSF DASHBOARD'!$C$4,INDEX(MASTER_AREAS!$B:$B,101)))),100,""),""),IF('WSF DASHBOARD'!$B$4="Zone",IF(100&lt;=$D$4,IF(OR('WSF DASHBOARD'!$C$4="",ISNUMBER(SEARCH('WSF DASHBOARD'!$C$4,INDEX(MASTER_ZONES!$B:$B,101)))),100,""),""),""))</f>
        <v/>
      </c>
      <c r="B101">
        <f>IFERROR(SMALL($A$2:$A$201,100),"")</f>
        <v/>
      </c>
      <c r="C101">
        <f>IF(B101="","",IF('WSF DASHBOARD'!$B$4="Area",INDEX(MASTER_AREAS!$B:$B,B101+1),INDEX(MASTER_ZONES!$B:$B,B101+1)))</f>
        <v/>
      </c>
    </row>
    <row r="102">
      <c r="A102">
        <f>IF('WSF DASHBOARD'!$B$4="Area",IF(101&lt;=$D$3,IF(OR('WSF DASHBOARD'!$C$4="",ISNUMBER(SEARCH('WSF DASHBOARD'!$C$4,INDEX(MASTER_AREAS!$B:$B,102)))),101,""),""),IF('WSF DASHBOARD'!$B$4="Zone",IF(101&lt;=$D$4,IF(OR('WSF DASHBOARD'!$C$4="",ISNUMBER(SEARCH('WSF DASHBOARD'!$C$4,INDEX(MASTER_ZONES!$B:$B,102)))),101,""),""),""))</f>
        <v/>
      </c>
      <c r="B102">
        <f>IFERROR(SMALL($A$2:$A$201,101),"")</f>
        <v/>
      </c>
      <c r="C102">
        <f>IF(B102="","",IF('WSF DASHBOARD'!$B$4="Area",INDEX(MASTER_AREAS!$B:$B,B102+1),INDEX(MASTER_ZONES!$B:$B,B102+1)))</f>
        <v/>
      </c>
    </row>
    <row r="103">
      <c r="A103">
        <f>IF('WSF DASHBOARD'!$B$4="Area",IF(102&lt;=$D$3,IF(OR('WSF DASHBOARD'!$C$4="",ISNUMBER(SEARCH('WSF DASHBOARD'!$C$4,INDEX(MASTER_AREAS!$B:$B,103)))),102,""),""),IF('WSF DASHBOARD'!$B$4="Zone",IF(102&lt;=$D$4,IF(OR('WSF DASHBOARD'!$C$4="",ISNUMBER(SEARCH('WSF DASHBOARD'!$C$4,INDEX(MASTER_ZONES!$B:$B,103)))),102,""),""),""))</f>
        <v/>
      </c>
      <c r="B103">
        <f>IFERROR(SMALL($A$2:$A$201,102),"")</f>
        <v/>
      </c>
      <c r="C103">
        <f>IF(B103="","",IF('WSF DASHBOARD'!$B$4="Area",INDEX(MASTER_AREAS!$B:$B,B103+1),INDEX(MASTER_ZONES!$B:$B,B103+1)))</f>
        <v/>
      </c>
    </row>
    <row r="104">
      <c r="A104">
        <f>IF('WSF DASHBOARD'!$B$4="Area",IF(103&lt;=$D$3,IF(OR('WSF DASHBOARD'!$C$4="",ISNUMBER(SEARCH('WSF DASHBOARD'!$C$4,INDEX(MASTER_AREAS!$B:$B,104)))),103,""),""),IF('WSF DASHBOARD'!$B$4="Zone",IF(103&lt;=$D$4,IF(OR('WSF DASHBOARD'!$C$4="",ISNUMBER(SEARCH('WSF DASHBOARD'!$C$4,INDEX(MASTER_ZONES!$B:$B,104)))),103,""),""),""))</f>
        <v/>
      </c>
      <c r="B104">
        <f>IFERROR(SMALL($A$2:$A$201,103),"")</f>
        <v/>
      </c>
      <c r="C104">
        <f>IF(B104="","",IF('WSF DASHBOARD'!$B$4="Area",INDEX(MASTER_AREAS!$B:$B,B104+1),INDEX(MASTER_ZONES!$B:$B,B104+1)))</f>
        <v/>
      </c>
    </row>
    <row r="105">
      <c r="A105">
        <f>IF('WSF DASHBOARD'!$B$4="Area",IF(104&lt;=$D$3,IF(OR('WSF DASHBOARD'!$C$4="",ISNUMBER(SEARCH('WSF DASHBOARD'!$C$4,INDEX(MASTER_AREAS!$B:$B,105)))),104,""),""),IF('WSF DASHBOARD'!$B$4="Zone",IF(104&lt;=$D$4,IF(OR('WSF DASHBOARD'!$C$4="",ISNUMBER(SEARCH('WSF DASHBOARD'!$C$4,INDEX(MASTER_ZONES!$B:$B,105)))),104,""),""),""))</f>
        <v/>
      </c>
      <c r="B105">
        <f>IFERROR(SMALL($A$2:$A$201,104),"")</f>
        <v/>
      </c>
      <c r="C105">
        <f>IF(B105="","",IF('WSF DASHBOARD'!$B$4="Area",INDEX(MASTER_AREAS!$B:$B,B105+1),INDEX(MASTER_ZONES!$B:$B,B105+1)))</f>
        <v/>
      </c>
    </row>
    <row r="106">
      <c r="A106">
        <f>IF('WSF DASHBOARD'!$B$4="Area",IF(105&lt;=$D$3,IF(OR('WSF DASHBOARD'!$C$4="",ISNUMBER(SEARCH('WSF DASHBOARD'!$C$4,INDEX(MASTER_AREAS!$B:$B,106)))),105,""),""),IF('WSF DASHBOARD'!$B$4="Zone",IF(105&lt;=$D$4,IF(OR('WSF DASHBOARD'!$C$4="",ISNUMBER(SEARCH('WSF DASHBOARD'!$C$4,INDEX(MASTER_ZONES!$B:$B,106)))),105,""),""),""))</f>
        <v/>
      </c>
      <c r="B106">
        <f>IFERROR(SMALL($A$2:$A$201,105),"")</f>
        <v/>
      </c>
      <c r="C106">
        <f>IF(B106="","",IF('WSF DASHBOARD'!$B$4="Area",INDEX(MASTER_AREAS!$B:$B,B106+1),INDEX(MASTER_ZONES!$B:$B,B106+1)))</f>
        <v/>
      </c>
    </row>
    <row r="107">
      <c r="A107">
        <f>IF('WSF DASHBOARD'!$B$4="Area",IF(106&lt;=$D$3,IF(OR('WSF DASHBOARD'!$C$4="",ISNUMBER(SEARCH('WSF DASHBOARD'!$C$4,INDEX(MASTER_AREAS!$B:$B,107)))),106,""),""),IF('WSF DASHBOARD'!$B$4="Zone",IF(106&lt;=$D$4,IF(OR('WSF DASHBOARD'!$C$4="",ISNUMBER(SEARCH('WSF DASHBOARD'!$C$4,INDEX(MASTER_ZONES!$B:$B,107)))),106,""),""),""))</f>
        <v/>
      </c>
      <c r="B107">
        <f>IFERROR(SMALL($A$2:$A$201,106),"")</f>
        <v/>
      </c>
      <c r="C107">
        <f>IF(B107="","",IF('WSF DASHBOARD'!$B$4="Area",INDEX(MASTER_AREAS!$B:$B,B107+1),INDEX(MASTER_ZONES!$B:$B,B107+1)))</f>
        <v/>
      </c>
    </row>
    <row r="108">
      <c r="A108">
        <f>IF('WSF DASHBOARD'!$B$4="Area",IF(107&lt;=$D$3,IF(OR('WSF DASHBOARD'!$C$4="",ISNUMBER(SEARCH('WSF DASHBOARD'!$C$4,INDEX(MASTER_AREAS!$B:$B,108)))),107,""),""),IF('WSF DASHBOARD'!$B$4="Zone",IF(107&lt;=$D$4,IF(OR('WSF DASHBOARD'!$C$4="",ISNUMBER(SEARCH('WSF DASHBOARD'!$C$4,INDEX(MASTER_ZONES!$B:$B,108)))),107,""),""),""))</f>
        <v/>
      </c>
      <c r="B108">
        <f>IFERROR(SMALL($A$2:$A$201,107),"")</f>
        <v/>
      </c>
      <c r="C108">
        <f>IF(B108="","",IF('WSF DASHBOARD'!$B$4="Area",INDEX(MASTER_AREAS!$B:$B,B108+1),INDEX(MASTER_ZONES!$B:$B,B108+1)))</f>
        <v/>
      </c>
    </row>
    <row r="109">
      <c r="A109">
        <f>IF('WSF DASHBOARD'!$B$4="Area",IF(108&lt;=$D$3,IF(OR('WSF DASHBOARD'!$C$4="",ISNUMBER(SEARCH('WSF DASHBOARD'!$C$4,INDEX(MASTER_AREAS!$B:$B,109)))),108,""),""),IF('WSF DASHBOARD'!$B$4="Zone",IF(108&lt;=$D$4,IF(OR('WSF DASHBOARD'!$C$4="",ISNUMBER(SEARCH('WSF DASHBOARD'!$C$4,INDEX(MASTER_ZONES!$B:$B,109)))),108,""),""),""))</f>
        <v/>
      </c>
      <c r="B109">
        <f>IFERROR(SMALL($A$2:$A$201,108),"")</f>
        <v/>
      </c>
      <c r="C109">
        <f>IF(B109="","",IF('WSF DASHBOARD'!$B$4="Area",INDEX(MASTER_AREAS!$B:$B,B109+1),INDEX(MASTER_ZONES!$B:$B,B109+1)))</f>
        <v/>
      </c>
    </row>
    <row r="110">
      <c r="A110">
        <f>IF('WSF DASHBOARD'!$B$4="Area",IF(109&lt;=$D$3,IF(OR('WSF DASHBOARD'!$C$4="",ISNUMBER(SEARCH('WSF DASHBOARD'!$C$4,INDEX(MASTER_AREAS!$B:$B,110)))),109,""),""),IF('WSF DASHBOARD'!$B$4="Zone",IF(109&lt;=$D$4,IF(OR('WSF DASHBOARD'!$C$4="",ISNUMBER(SEARCH('WSF DASHBOARD'!$C$4,INDEX(MASTER_ZONES!$B:$B,110)))),109,""),""),""))</f>
        <v/>
      </c>
      <c r="B110">
        <f>IFERROR(SMALL($A$2:$A$201,109),"")</f>
        <v/>
      </c>
      <c r="C110">
        <f>IF(B110="","",IF('WSF DASHBOARD'!$B$4="Area",INDEX(MASTER_AREAS!$B:$B,B110+1),INDEX(MASTER_ZONES!$B:$B,B110+1)))</f>
        <v/>
      </c>
    </row>
    <row r="111">
      <c r="A111">
        <f>IF('WSF DASHBOARD'!$B$4="Area",IF(110&lt;=$D$3,IF(OR('WSF DASHBOARD'!$C$4="",ISNUMBER(SEARCH('WSF DASHBOARD'!$C$4,INDEX(MASTER_AREAS!$B:$B,111)))),110,""),""),IF('WSF DASHBOARD'!$B$4="Zone",IF(110&lt;=$D$4,IF(OR('WSF DASHBOARD'!$C$4="",ISNUMBER(SEARCH('WSF DASHBOARD'!$C$4,INDEX(MASTER_ZONES!$B:$B,111)))),110,""),""),""))</f>
        <v/>
      </c>
      <c r="B111">
        <f>IFERROR(SMALL($A$2:$A$201,110),"")</f>
        <v/>
      </c>
      <c r="C111">
        <f>IF(B111="","",IF('WSF DASHBOARD'!$B$4="Area",INDEX(MASTER_AREAS!$B:$B,B111+1),INDEX(MASTER_ZONES!$B:$B,B111+1)))</f>
        <v/>
      </c>
    </row>
    <row r="112">
      <c r="A112">
        <f>IF('WSF DASHBOARD'!$B$4="Area",IF(111&lt;=$D$3,IF(OR('WSF DASHBOARD'!$C$4="",ISNUMBER(SEARCH('WSF DASHBOARD'!$C$4,INDEX(MASTER_AREAS!$B:$B,112)))),111,""),""),IF('WSF DASHBOARD'!$B$4="Zone",IF(111&lt;=$D$4,IF(OR('WSF DASHBOARD'!$C$4="",ISNUMBER(SEARCH('WSF DASHBOARD'!$C$4,INDEX(MASTER_ZONES!$B:$B,112)))),111,""),""),""))</f>
        <v/>
      </c>
      <c r="B112">
        <f>IFERROR(SMALL($A$2:$A$201,111),"")</f>
        <v/>
      </c>
      <c r="C112">
        <f>IF(B112="","",IF('WSF DASHBOARD'!$B$4="Area",INDEX(MASTER_AREAS!$B:$B,B112+1),INDEX(MASTER_ZONES!$B:$B,B112+1)))</f>
        <v/>
      </c>
    </row>
    <row r="113">
      <c r="A113">
        <f>IF('WSF DASHBOARD'!$B$4="Area",IF(112&lt;=$D$3,IF(OR('WSF DASHBOARD'!$C$4="",ISNUMBER(SEARCH('WSF DASHBOARD'!$C$4,INDEX(MASTER_AREAS!$B:$B,113)))),112,""),""),IF('WSF DASHBOARD'!$B$4="Zone",IF(112&lt;=$D$4,IF(OR('WSF DASHBOARD'!$C$4="",ISNUMBER(SEARCH('WSF DASHBOARD'!$C$4,INDEX(MASTER_ZONES!$B:$B,113)))),112,""),""),""))</f>
        <v/>
      </c>
      <c r="B113">
        <f>IFERROR(SMALL($A$2:$A$201,112),"")</f>
        <v/>
      </c>
      <c r="C113">
        <f>IF(B113="","",IF('WSF DASHBOARD'!$B$4="Area",INDEX(MASTER_AREAS!$B:$B,B113+1),INDEX(MASTER_ZONES!$B:$B,B113+1)))</f>
        <v/>
      </c>
    </row>
    <row r="114">
      <c r="A114">
        <f>IF('WSF DASHBOARD'!$B$4="Area",IF(113&lt;=$D$3,IF(OR('WSF DASHBOARD'!$C$4="",ISNUMBER(SEARCH('WSF DASHBOARD'!$C$4,INDEX(MASTER_AREAS!$B:$B,114)))),113,""),""),IF('WSF DASHBOARD'!$B$4="Zone",IF(113&lt;=$D$4,IF(OR('WSF DASHBOARD'!$C$4="",ISNUMBER(SEARCH('WSF DASHBOARD'!$C$4,INDEX(MASTER_ZONES!$B:$B,114)))),113,""),""),""))</f>
        <v/>
      </c>
      <c r="B114">
        <f>IFERROR(SMALL($A$2:$A$201,113),"")</f>
        <v/>
      </c>
      <c r="C114">
        <f>IF(B114="","",IF('WSF DASHBOARD'!$B$4="Area",INDEX(MASTER_AREAS!$B:$B,B114+1),INDEX(MASTER_ZONES!$B:$B,B114+1)))</f>
        <v/>
      </c>
    </row>
    <row r="115">
      <c r="A115">
        <f>IF('WSF DASHBOARD'!$B$4="Area",IF(114&lt;=$D$3,IF(OR('WSF DASHBOARD'!$C$4="",ISNUMBER(SEARCH('WSF DASHBOARD'!$C$4,INDEX(MASTER_AREAS!$B:$B,115)))),114,""),""),IF('WSF DASHBOARD'!$B$4="Zone",IF(114&lt;=$D$4,IF(OR('WSF DASHBOARD'!$C$4="",ISNUMBER(SEARCH('WSF DASHBOARD'!$C$4,INDEX(MASTER_ZONES!$B:$B,115)))),114,""),""),""))</f>
        <v/>
      </c>
      <c r="B115">
        <f>IFERROR(SMALL($A$2:$A$201,114),"")</f>
        <v/>
      </c>
      <c r="C115">
        <f>IF(B115="","",IF('WSF DASHBOARD'!$B$4="Area",INDEX(MASTER_AREAS!$B:$B,B115+1),INDEX(MASTER_ZONES!$B:$B,B115+1)))</f>
        <v/>
      </c>
    </row>
    <row r="116">
      <c r="A116">
        <f>IF('WSF DASHBOARD'!$B$4="Area",IF(115&lt;=$D$3,IF(OR('WSF DASHBOARD'!$C$4="",ISNUMBER(SEARCH('WSF DASHBOARD'!$C$4,INDEX(MASTER_AREAS!$B:$B,116)))),115,""),""),IF('WSF DASHBOARD'!$B$4="Zone",IF(115&lt;=$D$4,IF(OR('WSF DASHBOARD'!$C$4="",ISNUMBER(SEARCH('WSF DASHBOARD'!$C$4,INDEX(MASTER_ZONES!$B:$B,116)))),115,""),""),""))</f>
        <v/>
      </c>
      <c r="B116">
        <f>IFERROR(SMALL($A$2:$A$201,115),"")</f>
        <v/>
      </c>
      <c r="C116">
        <f>IF(B116="","",IF('WSF DASHBOARD'!$B$4="Area",INDEX(MASTER_AREAS!$B:$B,B116+1),INDEX(MASTER_ZONES!$B:$B,B116+1)))</f>
        <v/>
      </c>
    </row>
    <row r="117">
      <c r="A117">
        <f>IF('WSF DASHBOARD'!$B$4="Area",IF(116&lt;=$D$3,IF(OR('WSF DASHBOARD'!$C$4="",ISNUMBER(SEARCH('WSF DASHBOARD'!$C$4,INDEX(MASTER_AREAS!$B:$B,117)))),116,""),""),IF('WSF DASHBOARD'!$B$4="Zone",IF(116&lt;=$D$4,IF(OR('WSF DASHBOARD'!$C$4="",ISNUMBER(SEARCH('WSF DASHBOARD'!$C$4,INDEX(MASTER_ZONES!$B:$B,117)))),116,""),""),""))</f>
        <v/>
      </c>
      <c r="B117">
        <f>IFERROR(SMALL($A$2:$A$201,116),"")</f>
        <v/>
      </c>
      <c r="C117">
        <f>IF(B117="","",IF('WSF DASHBOARD'!$B$4="Area",INDEX(MASTER_AREAS!$B:$B,B117+1),INDEX(MASTER_ZONES!$B:$B,B117+1)))</f>
        <v/>
      </c>
    </row>
    <row r="118">
      <c r="A118">
        <f>IF('WSF DASHBOARD'!$B$4="Area",IF(117&lt;=$D$3,IF(OR('WSF DASHBOARD'!$C$4="",ISNUMBER(SEARCH('WSF DASHBOARD'!$C$4,INDEX(MASTER_AREAS!$B:$B,118)))),117,""),""),IF('WSF DASHBOARD'!$B$4="Zone",IF(117&lt;=$D$4,IF(OR('WSF DASHBOARD'!$C$4="",ISNUMBER(SEARCH('WSF DASHBOARD'!$C$4,INDEX(MASTER_ZONES!$B:$B,118)))),117,""),""),""))</f>
        <v/>
      </c>
      <c r="B118">
        <f>IFERROR(SMALL($A$2:$A$201,117),"")</f>
        <v/>
      </c>
      <c r="C118">
        <f>IF(B118="","",IF('WSF DASHBOARD'!$B$4="Area",INDEX(MASTER_AREAS!$B:$B,B118+1),INDEX(MASTER_ZONES!$B:$B,B118+1)))</f>
        <v/>
      </c>
    </row>
    <row r="119">
      <c r="A119">
        <f>IF('WSF DASHBOARD'!$B$4="Area",IF(118&lt;=$D$3,IF(OR('WSF DASHBOARD'!$C$4="",ISNUMBER(SEARCH('WSF DASHBOARD'!$C$4,INDEX(MASTER_AREAS!$B:$B,119)))),118,""),""),IF('WSF DASHBOARD'!$B$4="Zone",IF(118&lt;=$D$4,IF(OR('WSF DASHBOARD'!$C$4="",ISNUMBER(SEARCH('WSF DASHBOARD'!$C$4,INDEX(MASTER_ZONES!$B:$B,119)))),118,""),""),""))</f>
        <v/>
      </c>
      <c r="B119">
        <f>IFERROR(SMALL($A$2:$A$201,118),"")</f>
        <v/>
      </c>
      <c r="C119">
        <f>IF(B119="","",IF('WSF DASHBOARD'!$B$4="Area",INDEX(MASTER_AREAS!$B:$B,B119+1),INDEX(MASTER_ZONES!$B:$B,B119+1)))</f>
        <v/>
      </c>
    </row>
    <row r="120">
      <c r="A120">
        <f>IF('WSF DASHBOARD'!$B$4="Area",IF(119&lt;=$D$3,IF(OR('WSF DASHBOARD'!$C$4="",ISNUMBER(SEARCH('WSF DASHBOARD'!$C$4,INDEX(MASTER_AREAS!$B:$B,120)))),119,""),""),IF('WSF DASHBOARD'!$B$4="Zone",IF(119&lt;=$D$4,IF(OR('WSF DASHBOARD'!$C$4="",ISNUMBER(SEARCH('WSF DASHBOARD'!$C$4,INDEX(MASTER_ZONES!$B:$B,120)))),119,""),""),""))</f>
        <v/>
      </c>
      <c r="B120">
        <f>IFERROR(SMALL($A$2:$A$201,119),"")</f>
        <v/>
      </c>
      <c r="C120">
        <f>IF(B120="","",IF('WSF DASHBOARD'!$B$4="Area",INDEX(MASTER_AREAS!$B:$B,B120+1),INDEX(MASTER_ZONES!$B:$B,B120+1)))</f>
        <v/>
      </c>
    </row>
    <row r="121">
      <c r="A121">
        <f>IF('WSF DASHBOARD'!$B$4="Area",IF(120&lt;=$D$3,IF(OR('WSF DASHBOARD'!$C$4="",ISNUMBER(SEARCH('WSF DASHBOARD'!$C$4,INDEX(MASTER_AREAS!$B:$B,121)))),120,""),""),IF('WSF DASHBOARD'!$B$4="Zone",IF(120&lt;=$D$4,IF(OR('WSF DASHBOARD'!$C$4="",ISNUMBER(SEARCH('WSF DASHBOARD'!$C$4,INDEX(MASTER_ZONES!$B:$B,121)))),120,""),""),""))</f>
        <v/>
      </c>
      <c r="B121">
        <f>IFERROR(SMALL($A$2:$A$201,120),"")</f>
        <v/>
      </c>
      <c r="C121">
        <f>IF(B121="","",IF('WSF DASHBOARD'!$B$4="Area",INDEX(MASTER_AREAS!$B:$B,B121+1),INDEX(MASTER_ZONES!$B:$B,B121+1)))</f>
        <v/>
      </c>
    </row>
    <row r="122">
      <c r="A122">
        <f>IF('WSF DASHBOARD'!$B$4="Area",IF(121&lt;=$D$3,IF(OR('WSF DASHBOARD'!$C$4="",ISNUMBER(SEARCH('WSF DASHBOARD'!$C$4,INDEX(MASTER_AREAS!$B:$B,122)))),121,""),""),IF('WSF DASHBOARD'!$B$4="Zone",IF(121&lt;=$D$4,IF(OR('WSF DASHBOARD'!$C$4="",ISNUMBER(SEARCH('WSF DASHBOARD'!$C$4,INDEX(MASTER_ZONES!$B:$B,122)))),121,""),""),""))</f>
        <v/>
      </c>
      <c r="B122">
        <f>IFERROR(SMALL($A$2:$A$201,121),"")</f>
        <v/>
      </c>
      <c r="C122">
        <f>IF(B122="","",IF('WSF DASHBOARD'!$B$4="Area",INDEX(MASTER_AREAS!$B:$B,B122+1),INDEX(MASTER_ZONES!$B:$B,B122+1)))</f>
        <v/>
      </c>
    </row>
    <row r="123">
      <c r="A123">
        <f>IF('WSF DASHBOARD'!$B$4="Area",IF(122&lt;=$D$3,IF(OR('WSF DASHBOARD'!$C$4="",ISNUMBER(SEARCH('WSF DASHBOARD'!$C$4,INDEX(MASTER_AREAS!$B:$B,123)))),122,""),""),IF('WSF DASHBOARD'!$B$4="Zone",IF(122&lt;=$D$4,IF(OR('WSF DASHBOARD'!$C$4="",ISNUMBER(SEARCH('WSF DASHBOARD'!$C$4,INDEX(MASTER_ZONES!$B:$B,123)))),122,""),""),""))</f>
        <v/>
      </c>
      <c r="B123">
        <f>IFERROR(SMALL($A$2:$A$201,122),"")</f>
        <v/>
      </c>
      <c r="C123">
        <f>IF(B123="","",IF('WSF DASHBOARD'!$B$4="Area",INDEX(MASTER_AREAS!$B:$B,B123+1),INDEX(MASTER_ZONES!$B:$B,B123+1)))</f>
        <v/>
      </c>
    </row>
    <row r="124">
      <c r="A124">
        <f>IF('WSF DASHBOARD'!$B$4="Area",IF(123&lt;=$D$3,IF(OR('WSF DASHBOARD'!$C$4="",ISNUMBER(SEARCH('WSF DASHBOARD'!$C$4,INDEX(MASTER_AREAS!$B:$B,124)))),123,""),""),IF('WSF DASHBOARD'!$B$4="Zone",IF(123&lt;=$D$4,IF(OR('WSF DASHBOARD'!$C$4="",ISNUMBER(SEARCH('WSF DASHBOARD'!$C$4,INDEX(MASTER_ZONES!$B:$B,124)))),123,""),""),""))</f>
        <v/>
      </c>
      <c r="B124">
        <f>IFERROR(SMALL($A$2:$A$201,123),"")</f>
        <v/>
      </c>
      <c r="C124">
        <f>IF(B124="","",IF('WSF DASHBOARD'!$B$4="Area",INDEX(MASTER_AREAS!$B:$B,B124+1),INDEX(MASTER_ZONES!$B:$B,B124+1)))</f>
        <v/>
      </c>
    </row>
    <row r="125">
      <c r="A125">
        <f>IF('WSF DASHBOARD'!$B$4="Area",IF(124&lt;=$D$3,IF(OR('WSF DASHBOARD'!$C$4="",ISNUMBER(SEARCH('WSF DASHBOARD'!$C$4,INDEX(MASTER_AREAS!$B:$B,125)))),124,""),""),IF('WSF DASHBOARD'!$B$4="Zone",IF(124&lt;=$D$4,IF(OR('WSF DASHBOARD'!$C$4="",ISNUMBER(SEARCH('WSF DASHBOARD'!$C$4,INDEX(MASTER_ZONES!$B:$B,125)))),124,""),""),""))</f>
        <v/>
      </c>
      <c r="B125">
        <f>IFERROR(SMALL($A$2:$A$201,124),"")</f>
        <v/>
      </c>
      <c r="C125">
        <f>IF(B125="","",IF('WSF DASHBOARD'!$B$4="Area",INDEX(MASTER_AREAS!$B:$B,B125+1),INDEX(MASTER_ZONES!$B:$B,B125+1)))</f>
        <v/>
      </c>
    </row>
    <row r="126">
      <c r="A126">
        <f>IF('WSF DASHBOARD'!$B$4="Area",IF(125&lt;=$D$3,IF(OR('WSF DASHBOARD'!$C$4="",ISNUMBER(SEARCH('WSF DASHBOARD'!$C$4,INDEX(MASTER_AREAS!$B:$B,126)))),125,""),""),IF('WSF DASHBOARD'!$B$4="Zone",IF(125&lt;=$D$4,IF(OR('WSF DASHBOARD'!$C$4="",ISNUMBER(SEARCH('WSF DASHBOARD'!$C$4,INDEX(MASTER_ZONES!$B:$B,126)))),125,""),""),""))</f>
        <v/>
      </c>
      <c r="B126">
        <f>IFERROR(SMALL($A$2:$A$201,125),"")</f>
        <v/>
      </c>
      <c r="C126">
        <f>IF(B126="","",IF('WSF DASHBOARD'!$B$4="Area",INDEX(MASTER_AREAS!$B:$B,B126+1),INDEX(MASTER_ZONES!$B:$B,B126+1)))</f>
        <v/>
      </c>
    </row>
    <row r="127">
      <c r="A127">
        <f>IF('WSF DASHBOARD'!$B$4="Area",IF(126&lt;=$D$3,IF(OR('WSF DASHBOARD'!$C$4="",ISNUMBER(SEARCH('WSF DASHBOARD'!$C$4,INDEX(MASTER_AREAS!$B:$B,127)))),126,""),""),IF('WSF DASHBOARD'!$B$4="Zone",IF(126&lt;=$D$4,IF(OR('WSF DASHBOARD'!$C$4="",ISNUMBER(SEARCH('WSF DASHBOARD'!$C$4,INDEX(MASTER_ZONES!$B:$B,127)))),126,""),""),""))</f>
        <v/>
      </c>
      <c r="B127">
        <f>IFERROR(SMALL($A$2:$A$201,126),"")</f>
        <v/>
      </c>
      <c r="C127">
        <f>IF(B127="","",IF('WSF DASHBOARD'!$B$4="Area",INDEX(MASTER_AREAS!$B:$B,B127+1),INDEX(MASTER_ZONES!$B:$B,B127+1)))</f>
        <v/>
      </c>
    </row>
    <row r="128">
      <c r="A128">
        <f>IF('WSF DASHBOARD'!$B$4="Area",IF(127&lt;=$D$3,IF(OR('WSF DASHBOARD'!$C$4="",ISNUMBER(SEARCH('WSF DASHBOARD'!$C$4,INDEX(MASTER_AREAS!$B:$B,128)))),127,""),""),IF('WSF DASHBOARD'!$B$4="Zone",IF(127&lt;=$D$4,IF(OR('WSF DASHBOARD'!$C$4="",ISNUMBER(SEARCH('WSF DASHBOARD'!$C$4,INDEX(MASTER_ZONES!$B:$B,128)))),127,""),""),""))</f>
        <v/>
      </c>
      <c r="B128">
        <f>IFERROR(SMALL($A$2:$A$201,127),"")</f>
        <v/>
      </c>
      <c r="C128">
        <f>IF(B128="","",IF('WSF DASHBOARD'!$B$4="Area",INDEX(MASTER_AREAS!$B:$B,B128+1),INDEX(MASTER_ZONES!$B:$B,B128+1)))</f>
        <v/>
      </c>
    </row>
    <row r="129">
      <c r="A129">
        <f>IF('WSF DASHBOARD'!$B$4="Area",IF(128&lt;=$D$3,IF(OR('WSF DASHBOARD'!$C$4="",ISNUMBER(SEARCH('WSF DASHBOARD'!$C$4,INDEX(MASTER_AREAS!$B:$B,129)))),128,""),""),IF('WSF DASHBOARD'!$B$4="Zone",IF(128&lt;=$D$4,IF(OR('WSF DASHBOARD'!$C$4="",ISNUMBER(SEARCH('WSF DASHBOARD'!$C$4,INDEX(MASTER_ZONES!$B:$B,129)))),128,""),""),""))</f>
        <v/>
      </c>
      <c r="B129">
        <f>IFERROR(SMALL($A$2:$A$201,128),"")</f>
        <v/>
      </c>
      <c r="C129">
        <f>IF(B129="","",IF('WSF DASHBOARD'!$B$4="Area",INDEX(MASTER_AREAS!$B:$B,B129+1),INDEX(MASTER_ZONES!$B:$B,B129+1)))</f>
        <v/>
      </c>
    </row>
    <row r="130">
      <c r="A130">
        <f>IF('WSF DASHBOARD'!$B$4="Area",IF(129&lt;=$D$3,IF(OR('WSF DASHBOARD'!$C$4="",ISNUMBER(SEARCH('WSF DASHBOARD'!$C$4,INDEX(MASTER_AREAS!$B:$B,130)))),129,""),""),IF('WSF DASHBOARD'!$B$4="Zone",IF(129&lt;=$D$4,IF(OR('WSF DASHBOARD'!$C$4="",ISNUMBER(SEARCH('WSF DASHBOARD'!$C$4,INDEX(MASTER_ZONES!$B:$B,130)))),129,""),""),""))</f>
        <v/>
      </c>
      <c r="B130">
        <f>IFERROR(SMALL($A$2:$A$201,129),"")</f>
        <v/>
      </c>
      <c r="C130">
        <f>IF(B130="","",IF('WSF DASHBOARD'!$B$4="Area",INDEX(MASTER_AREAS!$B:$B,B130+1),INDEX(MASTER_ZONES!$B:$B,B130+1)))</f>
        <v/>
      </c>
    </row>
    <row r="131">
      <c r="A131">
        <f>IF('WSF DASHBOARD'!$B$4="Area",IF(130&lt;=$D$3,IF(OR('WSF DASHBOARD'!$C$4="",ISNUMBER(SEARCH('WSF DASHBOARD'!$C$4,INDEX(MASTER_AREAS!$B:$B,131)))),130,""),""),IF('WSF DASHBOARD'!$B$4="Zone",IF(130&lt;=$D$4,IF(OR('WSF DASHBOARD'!$C$4="",ISNUMBER(SEARCH('WSF DASHBOARD'!$C$4,INDEX(MASTER_ZONES!$B:$B,131)))),130,""),""),""))</f>
        <v/>
      </c>
      <c r="B131">
        <f>IFERROR(SMALL($A$2:$A$201,130),"")</f>
        <v/>
      </c>
      <c r="C131">
        <f>IF(B131="","",IF('WSF DASHBOARD'!$B$4="Area",INDEX(MASTER_AREAS!$B:$B,B131+1),INDEX(MASTER_ZONES!$B:$B,B131+1)))</f>
        <v/>
      </c>
    </row>
    <row r="132">
      <c r="A132">
        <f>IF('WSF DASHBOARD'!$B$4="Area",IF(131&lt;=$D$3,IF(OR('WSF DASHBOARD'!$C$4="",ISNUMBER(SEARCH('WSF DASHBOARD'!$C$4,INDEX(MASTER_AREAS!$B:$B,132)))),131,""),""),IF('WSF DASHBOARD'!$B$4="Zone",IF(131&lt;=$D$4,IF(OR('WSF DASHBOARD'!$C$4="",ISNUMBER(SEARCH('WSF DASHBOARD'!$C$4,INDEX(MASTER_ZONES!$B:$B,132)))),131,""),""),""))</f>
        <v/>
      </c>
      <c r="B132">
        <f>IFERROR(SMALL($A$2:$A$201,131),"")</f>
        <v/>
      </c>
      <c r="C132">
        <f>IF(B132="","",IF('WSF DASHBOARD'!$B$4="Area",INDEX(MASTER_AREAS!$B:$B,B132+1),INDEX(MASTER_ZONES!$B:$B,B132+1)))</f>
        <v/>
      </c>
    </row>
    <row r="133">
      <c r="A133">
        <f>IF('WSF DASHBOARD'!$B$4="Area",IF(132&lt;=$D$3,IF(OR('WSF DASHBOARD'!$C$4="",ISNUMBER(SEARCH('WSF DASHBOARD'!$C$4,INDEX(MASTER_AREAS!$B:$B,133)))),132,""),""),IF('WSF DASHBOARD'!$B$4="Zone",IF(132&lt;=$D$4,IF(OR('WSF DASHBOARD'!$C$4="",ISNUMBER(SEARCH('WSF DASHBOARD'!$C$4,INDEX(MASTER_ZONES!$B:$B,133)))),132,""),""),""))</f>
        <v/>
      </c>
      <c r="B133">
        <f>IFERROR(SMALL($A$2:$A$201,132),"")</f>
        <v/>
      </c>
      <c r="C133">
        <f>IF(B133="","",IF('WSF DASHBOARD'!$B$4="Area",INDEX(MASTER_AREAS!$B:$B,B133+1),INDEX(MASTER_ZONES!$B:$B,B133+1)))</f>
        <v/>
      </c>
    </row>
    <row r="134">
      <c r="A134">
        <f>IF('WSF DASHBOARD'!$B$4="Area",IF(133&lt;=$D$3,IF(OR('WSF DASHBOARD'!$C$4="",ISNUMBER(SEARCH('WSF DASHBOARD'!$C$4,INDEX(MASTER_AREAS!$B:$B,134)))),133,""),""),IF('WSF DASHBOARD'!$B$4="Zone",IF(133&lt;=$D$4,IF(OR('WSF DASHBOARD'!$C$4="",ISNUMBER(SEARCH('WSF DASHBOARD'!$C$4,INDEX(MASTER_ZONES!$B:$B,134)))),133,""),""),""))</f>
        <v/>
      </c>
      <c r="B134">
        <f>IFERROR(SMALL($A$2:$A$201,133),"")</f>
        <v/>
      </c>
      <c r="C134">
        <f>IF(B134="","",IF('WSF DASHBOARD'!$B$4="Area",INDEX(MASTER_AREAS!$B:$B,B134+1),INDEX(MASTER_ZONES!$B:$B,B134+1)))</f>
        <v/>
      </c>
    </row>
    <row r="135">
      <c r="A135">
        <f>IF('WSF DASHBOARD'!$B$4="Area",IF(134&lt;=$D$3,IF(OR('WSF DASHBOARD'!$C$4="",ISNUMBER(SEARCH('WSF DASHBOARD'!$C$4,INDEX(MASTER_AREAS!$B:$B,135)))),134,""),""),IF('WSF DASHBOARD'!$B$4="Zone",IF(134&lt;=$D$4,IF(OR('WSF DASHBOARD'!$C$4="",ISNUMBER(SEARCH('WSF DASHBOARD'!$C$4,INDEX(MASTER_ZONES!$B:$B,135)))),134,""),""),""))</f>
        <v/>
      </c>
      <c r="B135">
        <f>IFERROR(SMALL($A$2:$A$201,134),"")</f>
        <v/>
      </c>
      <c r="C135">
        <f>IF(B135="","",IF('WSF DASHBOARD'!$B$4="Area",INDEX(MASTER_AREAS!$B:$B,B135+1),INDEX(MASTER_ZONES!$B:$B,B135+1)))</f>
        <v/>
      </c>
    </row>
    <row r="136">
      <c r="A136">
        <f>IF('WSF DASHBOARD'!$B$4="Area",IF(135&lt;=$D$3,IF(OR('WSF DASHBOARD'!$C$4="",ISNUMBER(SEARCH('WSF DASHBOARD'!$C$4,INDEX(MASTER_AREAS!$B:$B,136)))),135,""),""),IF('WSF DASHBOARD'!$B$4="Zone",IF(135&lt;=$D$4,IF(OR('WSF DASHBOARD'!$C$4="",ISNUMBER(SEARCH('WSF DASHBOARD'!$C$4,INDEX(MASTER_ZONES!$B:$B,136)))),135,""),""),""))</f>
        <v/>
      </c>
      <c r="B136">
        <f>IFERROR(SMALL($A$2:$A$201,135),"")</f>
        <v/>
      </c>
      <c r="C136">
        <f>IF(B136="","",IF('WSF DASHBOARD'!$B$4="Area",INDEX(MASTER_AREAS!$B:$B,B136+1),INDEX(MASTER_ZONES!$B:$B,B136+1)))</f>
        <v/>
      </c>
    </row>
    <row r="137">
      <c r="A137">
        <f>IF('WSF DASHBOARD'!$B$4="Area",IF(136&lt;=$D$3,IF(OR('WSF DASHBOARD'!$C$4="",ISNUMBER(SEARCH('WSF DASHBOARD'!$C$4,INDEX(MASTER_AREAS!$B:$B,137)))),136,""),""),IF('WSF DASHBOARD'!$B$4="Zone",IF(136&lt;=$D$4,IF(OR('WSF DASHBOARD'!$C$4="",ISNUMBER(SEARCH('WSF DASHBOARD'!$C$4,INDEX(MASTER_ZONES!$B:$B,137)))),136,""),""),""))</f>
        <v/>
      </c>
      <c r="B137">
        <f>IFERROR(SMALL($A$2:$A$201,136),"")</f>
        <v/>
      </c>
      <c r="C137">
        <f>IF(B137="","",IF('WSF DASHBOARD'!$B$4="Area",INDEX(MASTER_AREAS!$B:$B,B137+1),INDEX(MASTER_ZONES!$B:$B,B137+1)))</f>
        <v/>
      </c>
    </row>
    <row r="138">
      <c r="A138">
        <f>IF('WSF DASHBOARD'!$B$4="Area",IF(137&lt;=$D$3,IF(OR('WSF DASHBOARD'!$C$4="",ISNUMBER(SEARCH('WSF DASHBOARD'!$C$4,INDEX(MASTER_AREAS!$B:$B,138)))),137,""),""),IF('WSF DASHBOARD'!$B$4="Zone",IF(137&lt;=$D$4,IF(OR('WSF DASHBOARD'!$C$4="",ISNUMBER(SEARCH('WSF DASHBOARD'!$C$4,INDEX(MASTER_ZONES!$B:$B,138)))),137,""),""),""))</f>
        <v/>
      </c>
      <c r="B138">
        <f>IFERROR(SMALL($A$2:$A$201,137),"")</f>
        <v/>
      </c>
      <c r="C138">
        <f>IF(B138="","",IF('WSF DASHBOARD'!$B$4="Area",INDEX(MASTER_AREAS!$B:$B,B138+1),INDEX(MASTER_ZONES!$B:$B,B138+1)))</f>
        <v/>
      </c>
    </row>
    <row r="139">
      <c r="A139">
        <f>IF('WSF DASHBOARD'!$B$4="Area",IF(138&lt;=$D$3,IF(OR('WSF DASHBOARD'!$C$4="",ISNUMBER(SEARCH('WSF DASHBOARD'!$C$4,INDEX(MASTER_AREAS!$B:$B,139)))),138,""),""),IF('WSF DASHBOARD'!$B$4="Zone",IF(138&lt;=$D$4,IF(OR('WSF DASHBOARD'!$C$4="",ISNUMBER(SEARCH('WSF DASHBOARD'!$C$4,INDEX(MASTER_ZONES!$B:$B,139)))),138,""),""),""))</f>
        <v/>
      </c>
      <c r="B139">
        <f>IFERROR(SMALL($A$2:$A$201,138),"")</f>
        <v/>
      </c>
      <c r="C139">
        <f>IF(B139="","",IF('WSF DASHBOARD'!$B$4="Area",INDEX(MASTER_AREAS!$B:$B,B139+1),INDEX(MASTER_ZONES!$B:$B,B139+1)))</f>
        <v/>
      </c>
    </row>
    <row r="140">
      <c r="A140">
        <f>IF('WSF DASHBOARD'!$B$4="Area",IF(139&lt;=$D$3,IF(OR('WSF DASHBOARD'!$C$4="",ISNUMBER(SEARCH('WSF DASHBOARD'!$C$4,INDEX(MASTER_AREAS!$B:$B,140)))),139,""),""),IF('WSF DASHBOARD'!$B$4="Zone",IF(139&lt;=$D$4,IF(OR('WSF DASHBOARD'!$C$4="",ISNUMBER(SEARCH('WSF DASHBOARD'!$C$4,INDEX(MASTER_ZONES!$B:$B,140)))),139,""),""),""))</f>
        <v/>
      </c>
      <c r="B140">
        <f>IFERROR(SMALL($A$2:$A$201,139),"")</f>
        <v/>
      </c>
      <c r="C140">
        <f>IF(B140="","",IF('WSF DASHBOARD'!$B$4="Area",INDEX(MASTER_AREAS!$B:$B,B140+1),INDEX(MASTER_ZONES!$B:$B,B140+1)))</f>
        <v/>
      </c>
    </row>
    <row r="141">
      <c r="A141">
        <f>IF('WSF DASHBOARD'!$B$4="Area",IF(140&lt;=$D$3,IF(OR('WSF DASHBOARD'!$C$4="",ISNUMBER(SEARCH('WSF DASHBOARD'!$C$4,INDEX(MASTER_AREAS!$B:$B,141)))),140,""),""),IF('WSF DASHBOARD'!$B$4="Zone",IF(140&lt;=$D$4,IF(OR('WSF DASHBOARD'!$C$4="",ISNUMBER(SEARCH('WSF DASHBOARD'!$C$4,INDEX(MASTER_ZONES!$B:$B,141)))),140,""),""),""))</f>
        <v/>
      </c>
      <c r="B141">
        <f>IFERROR(SMALL($A$2:$A$201,140),"")</f>
        <v/>
      </c>
      <c r="C141">
        <f>IF(B141="","",IF('WSF DASHBOARD'!$B$4="Area",INDEX(MASTER_AREAS!$B:$B,B141+1),INDEX(MASTER_ZONES!$B:$B,B141+1)))</f>
        <v/>
      </c>
    </row>
    <row r="142">
      <c r="A142">
        <f>IF('WSF DASHBOARD'!$B$4="Area",IF(141&lt;=$D$3,IF(OR('WSF DASHBOARD'!$C$4="",ISNUMBER(SEARCH('WSF DASHBOARD'!$C$4,INDEX(MASTER_AREAS!$B:$B,142)))),141,""),""),IF('WSF DASHBOARD'!$B$4="Zone",IF(141&lt;=$D$4,IF(OR('WSF DASHBOARD'!$C$4="",ISNUMBER(SEARCH('WSF DASHBOARD'!$C$4,INDEX(MASTER_ZONES!$B:$B,142)))),141,""),""),""))</f>
        <v/>
      </c>
      <c r="B142">
        <f>IFERROR(SMALL($A$2:$A$201,141),"")</f>
        <v/>
      </c>
      <c r="C142">
        <f>IF(B142="","",IF('WSF DASHBOARD'!$B$4="Area",INDEX(MASTER_AREAS!$B:$B,B142+1),INDEX(MASTER_ZONES!$B:$B,B142+1)))</f>
        <v/>
      </c>
    </row>
    <row r="143">
      <c r="A143">
        <f>IF('WSF DASHBOARD'!$B$4="Area",IF(142&lt;=$D$3,IF(OR('WSF DASHBOARD'!$C$4="",ISNUMBER(SEARCH('WSF DASHBOARD'!$C$4,INDEX(MASTER_AREAS!$B:$B,143)))),142,""),""),IF('WSF DASHBOARD'!$B$4="Zone",IF(142&lt;=$D$4,IF(OR('WSF DASHBOARD'!$C$4="",ISNUMBER(SEARCH('WSF DASHBOARD'!$C$4,INDEX(MASTER_ZONES!$B:$B,143)))),142,""),""),""))</f>
        <v/>
      </c>
      <c r="B143">
        <f>IFERROR(SMALL($A$2:$A$201,142),"")</f>
        <v/>
      </c>
      <c r="C143">
        <f>IF(B143="","",IF('WSF DASHBOARD'!$B$4="Area",INDEX(MASTER_AREAS!$B:$B,B143+1),INDEX(MASTER_ZONES!$B:$B,B143+1)))</f>
        <v/>
      </c>
    </row>
    <row r="144">
      <c r="A144">
        <f>IF('WSF DASHBOARD'!$B$4="Area",IF(143&lt;=$D$3,IF(OR('WSF DASHBOARD'!$C$4="",ISNUMBER(SEARCH('WSF DASHBOARD'!$C$4,INDEX(MASTER_AREAS!$B:$B,144)))),143,""),""),IF('WSF DASHBOARD'!$B$4="Zone",IF(143&lt;=$D$4,IF(OR('WSF DASHBOARD'!$C$4="",ISNUMBER(SEARCH('WSF DASHBOARD'!$C$4,INDEX(MASTER_ZONES!$B:$B,144)))),143,""),""),""))</f>
        <v/>
      </c>
      <c r="B144">
        <f>IFERROR(SMALL($A$2:$A$201,143),"")</f>
        <v/>
      </c>
      <c r="C144">
        <f>IF(B144="","",IF('WSF DASHBOARD'!$B$4="Area",INDEX(MASTER_AREAS!$B:$B,B144+1),INDEX(MASTER_ZONES!$B:$B,B144+1)))</f>
        <v/>
      </c>
    </row>
    <row r="145">
      <c r="A145">
        <f>IF('WSF DASHBOARD'!$B$4="Area",IF(144&lt;=$D$3,IF(OR('WSF DASHBOARD'!$C$4="",ISNUMBER(SEARCH('WSF DASHBOARD'!$C$4,INDEX(MASTER_AREAS!$B:$B,145)))),144,""),""),IF('WSF DASHBOARD'!$B$4="Zone",IF(144&lt;=$D$4,IF(OR('WSF DASHBOARD'!$C$4="",ISNUMBER(SEARCH('WSF DASHBOARD'!$C$4,INDEX(MASTER_ZONES!$B:$B,145)))),144,""),""),""))</f>
        <v/>
      </c>
      <c r="B145">
        <f>IFERROR(SMALL($A$2:$A$201,144),"")</f>
        <v/>
      </c>
      <c r="C145">
        <f>IF(B145="","",IF('WSF DASHBOARD'!$B$4="Area",INDEX(MASTER_AREAS!$B:$B,B145+1),INDEX(MASTER_ZONES!$B:$B,B145+1)))</f>
        <v/>
      </c>
    </row>
    <row r="146">
      <c r="A146">
        <f>IF('WSF DASHBOARD'!$B$4="Area",IF(145&lt;=$D$3,IF(OR('WSF DASHBOARD'!$C$4="",ISNUMBER(SEARCH('WSF DASHBOARD'!$C$4,INDEX(MASTER_AREAS!$B:$B,146)))),145,""),""),IF('WSF DASHBOARD'!$B$4="Zone",IF(145&lt;=$D$4,IF(OR('WSF DASHBOARD'!$C$4="",ISNUMBER(SEARCH('WSF DASHBOARD'!$C$4,INDEX(MASTER_ZONES!$B:$B,146)))),145,""),""),""))</f>
        <v/>
      </c>
      <c r="B146">
        <f>IFERROR(SMALL($A$2:$A$201,145),"")</f>
        <v/>
      </c>
      <c r="C146">
        <f>IF(B146="","",IF('WSF DASHBOARD'!$B$4="Area",INDEX(MASTER_AREAS!$B:$B,B146+1),INDEX(MASTER_ZONES!$B:$B,B146+1)))</f>
        <v/>
      </c>
    </row>
    <row r="147">
      <c r="A147">
        <f>IF('WSF DASHBOARD'!$B$4="Area",IF(146&lt;=$D$3,IF(OR('WSF DASHBOARD'!$C$4="",ISNUMBER(SEARCH('WSF DASHBOARD'!$C$4,INDEX(MASTER_AREAS!$B:$B,147)))),146,""),""),IF('WSF DASHBOARD'!$B$4="Zone",IF(146&lt;=$D$4,IF(OR('WSF DASHBOARD'!$C$4="",ISNUMBER(SEARCH('WSF DASHBOARD'!$C$4,INDEX(MASTER_ZONES!$B:$B,147)))),146,""),""),""))</f>
        <v/>
      </c>
      <c r="B147">
        <f>IFERROR(SMALL($A$2:$A$201,146),"")</f>
        <v/>
      </c>
      <c r="C147">
        <f>IF(B147="","",IF('WSF DASHBOARD'!$B$4="Area",INDEX(MASTER_AREAS!$B:$B,B147+1),INDEX(MASTER_ZONES!$B:$B,B147+1)))</f>
        <v/>
      </c>
    </row>
    <row r="148">
      <c r="A148">
        <f>IF('WSF DASHBOARD'!$B$4="Area",IF(147&lt;=$D$3,IF(OR('WSF DASHBOARD'!$C$4="",ISNUMBER(SEARCH('WSF DASHBOARD'!$C$4,INDEX(MASTER_AREAS!$B:$B,148)))),147,""),""),IF('WSF DASHBOARD'!$B$4="Zone",IF(147&lt;=$D$4,IF(OR('WSF DASHBOARD'!$C$4="",ISNUMBER(SEARCH('WSF DASHBOARD'!$C$4,INDEX(MASTER_ZONES!$B:$B,148)))),147,""),""),""))</f>
        <v/>
      </c>
      <c r="B148">
        <f>IFERROR(SMALL($A$2:$A$201,147),"")</f>
        <v/>
      </c>
      <c r="C148">
        <f>IF(B148="","",IF('WSF DASHBOARD'!$B$4="Area",INDEX(MASTER_AREAS!$B:$B,B148+1),INDEX(MASTER_ZONES!$B:$B,B148+1)))</f>
        <v/>
      </c>
    </row>
    <row r="149">
      <c r="A149">
        <f>IF('WSF DASHBOARD'!$B$4="Area",IF(148&lt;=$D$3,IF(OR('WSF DASHBOARD'!$C$4="",ISNUMBER(SEARCH('WSF DASHBOARD'!$C$4,INDEX(MASTER_AREAS!$B:$B,149)))),148,""),""),IF('WSF DASHBOARD'!$B$4="Zone",IF(148&lt;=$D$4,IF(OR('WSF DASHBOARD'!$C$4="",ISNUMBER(SEARCH('WSF DASHBOARD'!$C$4,INDEX(MASTER_ZONES!$B:$B,149)))),148,""),""),""))</f>
        <v/>
      </c>
      <c r="B149">
        <f>IFERROR(SMALL($A$2:$A$201,148),"")</f>
        <v/>
      </c>
      <c r="C149">
        <f>IF(B149="","",IF('WSF DASHBOARD'!$B$4="Area",INDEX(MASTER_AREAS!$B:$B,B149+1),INDEX(MASTER_ZONES!$B:$B,B149+1)))</f>
        <v/>
      </c>
    </row>
    <row r="150">
      <c r="A150">
        <f>IF('WSF DASHBOARD'!$B$4="Area",IF(149&lt;=$D$3,IF(OR('WSF DASHBOARD'!$C$4="",ISNUMBER(SEARCH('WSF DASHBOARD'!$C$4,INDEX(MASTER_AREAS!$B:$B,150)))),149,""),""),IF('WSF DASHBOARD'!$B$4="Zone",IF(149&lt;=$D$4,IF(OR('WSF DASHBOARD'!$C$4="",ISNUMBER(SEARCH('WSF DASHBOARD'!$C$4,INDEX(MASTER_ZONES!$B:$B,150)))),149,""),""),""))</f>
        <v/>
      </c>
      <c r="B150">
        <f>IFERROR(SMALL($A$2:$A$201,149),"")</f>
        <v/>
      </c>
      <c r="C150">
        <f>IF(B150="","",IF('WSF DASHBOARD'!$B$4="Area",INDEX(MASTER_AREAS!$B:$B,B150+1),INDEX(MASTER_ZONES!$B:$B,B150+1)))</f>
        <v/>
      </c>
    </row>
    <row r="151">
      <c r="A151">
        <f>IF('WSF DASHBOARD'!$B$4="Area",IF(150&lt;=$D$3,IF(OR('WSF DASHBOARD'!$C$4="",ISNUMBER(SEARCH('WSF DASHBOARD'!$C$4,INDEX(MASTER_AREAS!$B:$B,151)))),150,""),""),IF('WSF DASHBOARD'!$B$4="Zone",IF(150&lt;=$D$4,IF(OR('WSF DASHBOARD'!$C$4="",ISNUMBER(SEARCH('WSF DASHBOARD'!$C$4,INDEX(MASTER_ZONES!$B:$B,151)))),150,""),""),""))</f>
        <v/>
      </c>
      <c r="B151">
        <f>IFERROR(SMALL($A$2:$A$201,150),"")</f>
        <v/>
      </c>
      <c r="C151">
        <f>IF(B151="","",IF('WSF DASHBOARD'!$B$4="Area",INDEX(MASTER_AREAS!$B:$B,B151+1),INDEX(MASTER_ZONES!$B:$B,B151+1)))</f>
        <v/>
      </c>
    </row>
    <row r="152">
      <c r="A152">
        <f>IF('WSF DASHBOARD'!$B$4="Area",IF(151&lt;=$D$3,IF(OR('WSF DASHBOARD'!$C$4="",ISNUMBER(SEARCH('WSF DASHBOARD'!$C$4,INDEX(MASTER_AREAS!$B:$B,152)))),151,""),""),IF('WSF DASHBOARD'!$B$4="Zone",IF(151&lt;=$D$4,IF(OR('WSF DASHBOARD'!$C$4="",ISNUMBER(SEARCH('WSF DASHBOARD'!$C$4,INDEX(MASTER_ZONES!$B:$B,152)))),151,""),""),""))</f>
        <v/>
      </c>
      <c r="B152">
        <f>IFERROR(SMALL($A$2:$A$201,151),"")</f>
        <v/>
      </c>
      <c r="C152">
        <f>IF(B152="","",IF('WSF DASHBOARD'!$B$4="Area",INDEX(MASTER_AREAS!$B:$B,B152+1),INDEX(MASTER_ZONES!$B:$B,B152+1)))</f>
        <v/>
      </c>
    </row>
    <row r="153">
      <c r="A153">
        <f>IF('WSF DASHBOARD'!$B$4="Area",IF(152&lt;=$D$3,IF(OR('WSF DASHBOARD'!$C$4="",ISNUMBER(SEARCH('WSF DASHBOARD'!$C$4,INDEX(MASTER_AREAS!$B:$B,153)))),152,""),""),IF('WSF DASHBOARD'!$B$4="Zone",IF(152&lt;=$D$4,IF(OR('WSF DASHBOARD'!$C$4="",ISNUMBER(SEARCH('WSF DASHBOARD'!$C$4,INDEX(MASTER_ZONES!$B:$B,153)))),152,""),""),""))</f>
        <v/>
      </c>
      <c r="B153">
        <f>IFERROR(SMALL($A$2:$A$201,152),"")</f>
        <v/>
      </c>
      <c r="C153">
        <f>IF(B153="","",IF('WSF DASHBOARD'!$B$4="Area",INDEX(MASTER_AREAS!$B:$B,B153+1),INDEX(MASTER_ZONES!$B:$B,B153+1)))</f>
        <v/>
      </c>
    </row>
    <row r="154">
      <c r="A154">
        <f>IF('WSF DASHBOARD'!$B$4="Area",IF(153&lt;=$D$3,IF(OR('WSF DASHBOARD'!$C$4="",ISNUMBER(SEARCH('WSF DASHBOARD'!$C$4,INDEX(MASTER_AREAS!$B:$B,154)))),153,""),""),IF('WSF DASHBOARD'!$B$4="Zone",IF(153&lt;=$D$4,IF(OR('WSF DASHBOARD'!$C$4="",ISNUMBER(SEARCH('WSF DASHBOARD'!$C$4,INDEX(MASTER_ZONES!$B:$B,154)))),153,""),""),""))</f>
        <v/>
      </c>
      <c r="B154">
        <f>IFERROR(SMALL($A$2:$A$201,153),"")</f>
        <v/>
      </c>
      <c r="C154">
        <f>IF(B154="","",IF('WSF DASHBOARD'!$B$4="Area",INDEX(MASTER_AREAS!$B:$B,B154+1),INDEX(MASTER_ZONES!$B:$B,B154+1)))</f>
        <v/>
      </c>
    </row>
    <row r="155">
      <c r="A155">
        <f>IF('WSF DASHBOARD'!$B$4="Area",IF(154&lt;=$D$3,IF(OR('WSF DASHBOARD'!$C$4="",ISNUMBER(SEARCH('WSF DASHBOARD'!$C$4,INDEX(MASTER_AREAS!$B:$B,155)))),154,""),""),IF('WSF DASHBOARD'!$B$4="Zone",IF(154&lt;=$D$4,IF(OR('WSF DASHBOARD'!$C$4="",ISNUMBER(SEARCH('WSF DASHBOARD'!$C$4,INDEX(MASTER_ZONES!$B:$B,155)))),154,""),""),""))</f>
        <v/>
      </c>
      <c r="B155">
        <f>IFERROR(SMALL($A$2:$A$201,154),"")</f>
        <v/>
      </c>
      <c r="C155">
        <f>IF(B155="","",IF('WSF DASHBOARD'!$B$4="Area",INDEX(MASTER_AREAS!$B:$B,B155+1),INDEX(MASTER_ZONES!$B:$B,B155+1)))</f>
        <v/>
      </c>
    </row>
    <row r="156">
      <c r="A156">
        <f>IF('WSF DASHBOARD'!$B$4="Area",IF(155&lt;=$D$3,IF(OR('WSF DASHBOARD'!$C$4="",ISNUMBER(SEARCH('WSF DASHBOARD'!$C$4,INDEX(MASTER_AREAS!$B:$B,156)))),155,""),""),IF('WSF DASHBOARD'!$B$4="Zone",IF(155&lt;=$D$4,IF(OR('WSF DASHBOARD'!$C$4="",ISNUMBER(SEARCH('WSF DASHBOARD'!$C$4,INDEX(MASTER_ZONES!$B:$B,156)))),155,""),""),""))</f>
        <v/>
      </c>
      <c r="B156">
        <f>IFERROR(SMALL($A$2:$A$201,155),"")</f>
        <v/>
      </c>
      <c r="C156">
        <f>IF(B156="","",IF('WSF DASHBOARD'!$B$4="Area",INDEX(MASTER_AREAS!$B:$B,B156+1),INDEX(MASTER_ZONES!$B:$B,B156+1)))</f>
        <v/>
      </c>
    </row>
    <row r="157">
      <c r="A157">
        <f>IF('WSF DASHBOARD'!$B$4="Area",IF(156&lt;=$D$3,IF(OR('WSF DASHBOARD'!$C$4="",ISNUMBER(SEARCH('WSF DASHBOARD'!$C$4,INDEX(MASTER_AREAS!$B:$B,157)))),156,""),""),IF('WSF DASHBOARD'!$B$4="Zone",IF(156&lt;=$D$4,IF(OR('WSF DASHBOARD'!$C$4="",ISNUMBER(SEARCH('WSF DASHBOARD'!$C$4,INDEX(MASTER_ZONES!$B:$B,157)))),156,""),""),""))</f>
        <v/>
      </c>
      <c r="B157">
        <f>IFERROR(SMALL($A$2:$A$201,156),"")</f>
        <v/>
      </c>
      <c r="C157">
        <f>IF(B157="","",IF('WSF DASHBOARD'!$B$4="Area",INDEX(MASTER_AREAS!$B:$B,B157+1),INDEX(MASTER_ZONES!$B:$B,B157+1)))</f>
        <v/>
      </c>
    </row>
    <row r="158">
      <c r="A158">
        <f>IF('WSF DASHBOARD'!$B$4="Area",IF(157&lt;=$D$3,IF(OR('WSF DASHBOARD'!$C$4="",ISNUMBER(SEARCH('WSF DASHBOARD'!$C$4,INDEX(MASTER_AREAS!$B:$B,158)))),157,""),""),IF('WSF DASHBOARD'!$B$4="Zone",IF(157&lt;=$D$4,IF(OR('WSF DASHBOARD'!$C$4="",ISNUMBER(SEARCH('WSF DASHBOARD'!$C$4,INDEX(MASTER_ZONES!$B:$B,158)))),157,""),""),""))</f>
        <v/>
      </c>
      <c r="B158">
        <f>IFERROR(SMALL($A$2:$A$201,157),"")</f>
        <v/>
      </c>
      <c r="C158">
        <f>IF(B158="","",IF('WSF DASHBOARD'!$B$4="Area",INDEX(MASTER_AREAS!$B:$B,B158+1),INDEX(MASTER_ZONES!$B:$B,B158+1)))</f>
        <v/>
      </c>
    </row>
    <row r="159">
      <c r="A159">
        <f>IF('WSF DASHBOARD'!$B$4="Area",IF(158&lt;=$D$3,IF(OR('WSF DASHBOARD'!$C$4="",ISNUMBER(SEARCH('WSF DASHBOARD'!$C$4,INDEX(MASTER_AREAS!$B:$B,159)))),158,""),""),IF('WSF DASHBOARD'!$B$4="Zone",IF(158&lt;=$D$4,IF(OR('WSF DASHBOARD'!$C$4="",ISNUMBER(SEARCH('WSF DASHBOARD'!$C$4,INDEX(MASTER_ZONES!$B:$B,159)))),158,""),""),""))</f>
        <v/>
      </c>
      <c r="B159">
        <f>IFERROR(SMALL($A$2:$A$201,158),"")</f>
        <v/>
      </c>
      <c r="C159">
        <f>IF(B159="","",IF('WSF DASHBOARD'!$B$4="Area",INDEX(MASTER_AREAS!$B:$B,B159+1),INDEX(MASTER_ZONES!$B:$B,B159+1)))</f>
        <v/>
      </c>
    </row>
    <row r="160">
      <c r="A160">
        <f>IF('WSF DASHBOARD'!$B$4="Area",IF(159&lt;=$D$3,IF(OR('WSF DASHBOARD'!$C$4="",ISNUMBER(SEARCH('WSF DASHBOARD'!$C$4,INDEX(MASTER_AREAS!$B:$B,160)))),159,""),""),IF('WSF DASHBOARD'!$B$4="Zone",IF(159&lt;=$D$4,IF(OR('WSF DASHBOARD'!$C$4="",ISNUMBER(SEARCH('WSF DASHBOARD'!$C$4,INDEX(MASTER_ZONES!$B:$B,160)))),159,""),""),""))</f>
        <v/>
      </c>
      <c r="B160">
        <f>IFERROR(SMALL($A$2:$A$201,159),"")</f>
        <v/>
      </c>
      <c r="C160">
        <f>IF(B160="","",IF('WSF DASHBOARD'!$B$4="Area",INDEX(MASTER_AREAS!$B:$B,B160+1),INDEX(MASTER_ZONES!$B:$B,B160+1)))</f>
        <v/>
      </c>
    </row>
    <row r="161">
      <c r="A161">
        <f>IF('WSF DASHBOARD'!$B$4="Area",IF(160&lt;=$D$3,IF(OR('WSF DASHBOARD'!$C$4="",ISNUMBER(SEARCH('WSF DASHBOARD'!$C$4,INDEX(MASTER_AREAS!$B:$B,161)))),160,""),""),IF('WSF DASHBOARD'!$B$4="Zone",IF(160&lt;=$D$4,IF(OR('WSF DASHBOARD'!$C$4="",ISNUMBER(SEARCH('WSF DASHBOARD'!$C$4,INDEX(MASTER_ZONES!$B:$B,161)))),160,""),""),""))</f>
        <v/>
      </c>
      <c r="B161">
        <f>IFERROR(SMALL($A$2:$A$201,160),"")</f>
        <v/>
      </c>
      <c r="C161">
        <f>IF(B161="","",IF('WSF DASHBOARD'!$B$4="Area",INDEX(MASTER_AREAS!$B:$B,B161+1),INDEX(MASTER_ZONES!$B:$B,B161+1)))</f>
        <v/>
      </c>
    </row>
    <row r="162">
      <c r="A162">
        <f>IF('WSF DASHBOARD'!$B$4="Area",IF(161&lt;=$D$3,IF(OR('WSF DASHBOARD'!$C$4="",ISNUMBER(SEARCH('WSF DASHBOARD'!$C$4,INDEX(MASTER_AREAS!$B:$B,162)))),161,""),""),IF('WSF DASHBOARD'!$B$4="Zone",IF(161&lt;=$D$4,IF(OR('WSF DASHBOARD'!$C$4="",ISNUMBER(SEARCH('WSF DASHBOARD'!$C$4,INDEX(MASTER_ZONES!$B:$B,162)))),161,""),""),""))</f>
        <v/>
      </c>
      <c r="B162">
        <f>IFERROR(SMALL($A$2:$A$201,161),"")</f>
        <v/>
      </c>
      <c r="C162">
        <f>IF(B162="","",IF('WSF DASHBOARD'!$B$4="Area",INDEX(MASTER_AREAS!$B:$B,B162+1),INDEX(MASTER_ZONES!$B:$B,B162+1)))</f>
        <v/>
      </c>
    </row>
    <row r="163">
      <c r="A163">
        <f>IF('WSF DASHBOARD'!$B$4="Area",IF(162&lt;=$D$3,IF(OR('WSF DASHBOARD'!$C$4="",ISNUMBER(SEARCH('WSF DASHBOARD'!$C$4,INDEX(MASTER_AREAS!$B:$B,163)))),162,""),""),IF('WSF DASHBOARD'!$B$4="Zone",IF(162&lt;=$D$4,IF(OR('WSF DASHBOARD'!$C$4="",ISNUMBER(SEARCH('WSF DASHBOARD'!$C$4,INDEX(MASTER_ZONES!$B:$B,163)))),162,""),""),""))</f>
        <v/>
      </c>
      <c r="B163">
        <f>IFERROR(SMALL($A$2:$A$201,162),"")</f>
        <v/>
      </c>
      <c r="C163">
        <f>IF(B163="","",IF('WSF DASHBOARD'!$B$4="Area",INDEX(MASTER_AREAS!$B:$B,B163+1),INDEX(MASTER_ZONES!$B:$B,B163+1)))</f>
        <v/>
      </c>
    </row>
    <row r="164">
      <c r="A164">
        <f>IF('WSF DASHBOARD'!$B$4="Area",IF(163&lt;=$D$3,IF(OR('WSF DASHBOARD'!$C$4="",ISNUMBER(SEARCH('WSF DASHBOARD'!$C$4,INDEX(MASTER_AREAS!$B:$B,164)))),163,""),""),IF('WSF DASHBOARD'!$B$4="Zone",IF(163&lt;=$D$4,IF(OR('WSF DASHBOARD'!$C$4="",ISNUMBER(SEARCH('WSF DASHBOARD'!$C$4,INDEX(MASTER_ZONES!$B:$B,164)))),163,""),""),""))</f>
        <v/>
      </c>
      <c r="B164">
        <f>IFERROR(SMALL($A$2:$A$201,163),"")</f>
        <v/>
      </c>
      <c r="C164">
        <f>IF(B164="","",IF('WSF DASHBOARD'!$B$4="Area",INDEX(MASTER_AREAS!$B:$B,B164+1),INDEX(MASTER_ZONES!$B:$B,B164+1)))</f>
        <v/>
      </c>
    </row>
    <row r="165">
      <c r="A165">
        <f>IF('WSF DASHBOARD'!$B$4="Area",IF(164&lt;=$D$3,IF(OR('WSF DASHBOARD'!$C$4="",ISNUMBER(SEARCH('WSF DASHBOARD'!$C$4,INDEX(MASTER_AREAS!$B:$B,165)))),164,""),""),IF('WSF DASHBOARD'!$B$4="Zone",IF(164&lt;=$D$4,IF(OR('WSF DASHBOARD'!$C$4="",ISNUMBER(SEARCH('WSF DASHBOARD'!$C$4,INDEX(MASTER_ZONES!$B:$B,165)))),164,""),""),""))</f>
        <v/>
      </c>
      <c r="B165">
        <f>IFERROR(SMALL($A$2:$A$201,164),"")</f>
        <v/>
      </c>
      <c r="C165">
        <f>IF(B165="","",IF('WSF DASHBOARD'!$B$4="Area",INDEX(MASTER_AREAS!$B:$B,B165+1),INDEX(MASTER_ZONES!$B:$B,B165+1)))</f>
        <v/>
      </c>
    </row>
    <row r="166">
      <c r="A166">
        <f>IF('WSF DASHBOARD'!$B$4="Area",IF(165&lt;=$D$3,IF(OR('WSF DASHBOARD'!$C$4="",ISNUMBER(SEARCH('WSF DASHBOARD'!$C$4,INDEX(MASTER_AREAS!$B:$B,166)))),165,""),""),IF('WSF DASHBOARD'!$B$4="Zone",IF(165&lt;=$D$4,IF(OR('WSF DASHBOARD'!$C$4="",ISNUMBER(SEARCH('WSF DASHBOARD'!$C$4,INDEX(MASTER_ZONES!$B:$B,166)))),165,""),""),""))</f>
        <v/>
      </c>
      <c r="B166">
        <f>IFERROR(SMALL($A$2:$A$201,165),"")</f>
        <v/>
      </c>
      <c r="C166">
        <f>IF(B166="","",IF('WSF DASHBOARD'!$B$4="Area",INDEX(MASTER_AREAS!$B:$B,B166+1),INDEX(MASTER_ZONES!$B:$B,B166+1)))</f>
        <v/>
      </c>
    </row>
    <row r="167">
      <c r="A167">
        <f>IF('WSF DASHBOARD'!$B$4="Area",IF(166&lt;=$D$3,IF(OR('WSF DASHBOARD'!$C$4="",ISNUMBER(SEARCH('WSF DASHBOARD'!$C$4,INDEX(MASTER_AREAS!$B:$B,167)))),166,""),""),IF('WSF DASHBOARD'!$B$4="Zone",IF(166&lt;=$D$4,IF(OR('WSF DASHBOARD'!$C$4="",ISNUMBER(SEARCH('WSF DASHBOARD'!$C$4,INDEX(MASTER_ZONES!$B:$B,167)))),166,""),""),""))</f>
        <v/>
      </c>
      <c r="B167">
        <f>IFERROR(SMALL($A$2:$A$201,166),"")</f>
        <v/>
      </c>
      <c r="C167">
        <f>IF(B167="","",IF('WSF DASHBOARD'!$B$4="Area",INDEX(MASTER_AREAS!$B:$B,B167+1),INDEX(MASTER_ZONES!$B:$B,B167+1)))</f>
        <v/>
      </c>
    </row>
    <row r="168">
      <c r="A168">
        <f>IF('WSF DASHBOARD'!$B$4="Area",IF(167&lt;=$D$3,IF(OR('WSF DASHBOARD'!$C$4="",ISNUMBER(SEARCH('WSF DASHBOARD'!$C$4,INDEX(MASTER_AREAS!$B:$B,168)))),167,""),""),IF('WSF DASHBOARD'!$B$4="Zone",IF(167&lt;=$D$4,IF(OR('WSF DASHBOARD'!$C$4="",ISNUMBER(SEARCH('WSF DASHBOARD'!$C$4,INDEX(MASTER_ZONES!$B:$B,168)))),167,""),""),""))</f>
        <v/>
      </c>
      <c r="B168">
        <f>IFERROR(SMALL($A$2:$A$201,167),"")</f>
        <v/>
      </c>
      <c r="C168">
        <f>IF(B168="","",IF('WSF DASHBOARD'!$B$4="Area",INDEX(MASTER_AREAS!$B:$B,B168+1),INDEX(MASTER_ZONES!$B:$B,B168+1)))</f>
        <v/>
      </c>
    </row>
    <row r="169">
      <c r="A169">
        <f>IF('WSF DASHBOARD'!$B$4="Area",IF(168&lt;=$D$3,IF(OR('WSF DASHBOARD'!$C$4="",ISNUMBER(SEARCH('WSF DASHBOARD'!$C$4,INDEX(MASTER_AREAS!$B:$B,169)))),168,""),""),IF('WSF DASHBOARD'!$B$4="Zone",IF(168&lt;=$D$4,IF(OR('WSF DASHBOARD'!$C$4="",ISNUMBER(SEARCH('WSF DASHBOARD'!$C$4,INDEX(MASTER_ZONES!$B:$B,169)))),168,""),""),""))</f>
        <v/>
      </c>
      <c r="B169">
        <f>IFERROR(SMALL($A$2:$A$201,168),"")</f>
        <v/>
      </c>
      <c r="C169">
        <f>IF(B169="","",IF('WSF DASHBOARD'!$B$4="Area",INDEX(MASTER_AREAS!$B:$B,B169+1),INDEX(MASTER_ZONES!$B:$B,B169+1)))</f>
        <v/>
      </c>
    </row>
    <row r="170">
      <c r="A170">
        <f>IF('WSF DASHBOARD'!$B$4="Area",IF(169&lt;=$D$3,IF(OR('WSF DASHBOARD'!$C$4="",ISNUMBER(SEARCH('WSF DASHBOARD'!$C$4,INDEX(MASTER_AREAS!$B:$B,170)))),169,""),""),IF('WSF DASHBOARD'!$B$4="Zone",IF(169&lt;=$D$4,IF(OR('WSF DASHBOARD'!$C$4="",ISNUMBER(SEARCH('WSF DASHBOARD'!$C$4,INDEX(MASTER_ZONES!$B:$B,170)))),169,""),""),""))</f>
        <v/>
      </c>
      <c r="B170">
        <f>IFERROR(SMALL($A$2:$A$201,169),"")</f>
        <v/>
      </c>
      <c r="C170">
        <f>IF(B170="","",IF('WSF DASHBOARD'!$B$4="Area",INDEX(MASTER_AREAS!$B:$B,B170+1),INDEX(MASTER_ZONES!$B:$B,B170+1)))</f>
        <v/>
      </c>
    </row>
    <row r="171">
      <c r="A171">
        <f>IF('WSF DASHBOARD'!$B$4="Area",IF(170&lt;=$D$3,IF(OR('WSF DASHBOARD'!$C$4="",ISNUMBER(SEARCH('WSF DASHBOARD'!$C$4,INDEX(MASTER_AREAS!$B:$B,171)))),170,""),""),IF('WSF DASHBOARD'!$B$4="Zone",IF(170&lt;=$D$4,IF(OR('WSF DASHBOARD'!$C$4="",ISNUMBER(SEARCH('WSF DASHBOARD'!$C$4,INDEX(MASTER_ZONES!$B:$B,171)))),170,""),""),""))</f>
        <v/>
      </c>
      <c r="B171">
        <f>IFERROR(SMALL($A$2:$A$201,170),"")</f>
        <v/>
      </c>
      <c r="C171">
        <f>IF(B171="","",IF('WSF DASHBOARD'!$B$4="Area",INDEX(MASTER_AREAS!$B:$B,B171+1),INDEX(MASTER_ZONES!$B:$B,B171+1)))</f>
        <v/>
      </c>
    </row>
    <row r="172">
      <c r="A172">
        <f>IF('WSF DASHBOARD'!$B$4="Area",IF(171&lt;=$D$3,IF(OR('WSF DASHBOARD'!$C$4="",ISNUMBER(SEARCH('WSF DASHBOARD'!$C$4,INDEX(MASTER_AREAS!$B:$B,172)))),171,""),""),IF('WSF DASHBOARD'!$B$4="Zone",IF(171&lt;=$D$4,IF(OR('WSF DASHBOARD'!$C$4="",ISNUMBER(SEARCH('WSF DASHBOARD'!$C$4,INDEX(MASTER_ZONES!$B:$B,172)))),171,""),""),""))</f>
        <v/>
      </c>
      <c r="B172">
        <f>IFERROR(SMALL($A$2:$A$201,171),"")</f>
        <v/>
      </c>
      <c r="C172">
        <f>IF(B172="","",IF('WSF DASHBOARD'!$B$4="Area",INDEX(MASTER_AREAS!$B:$B,B172+1),INDEX(MASTER_ZONES!$B:$B,B172+1)))</f>
        <v/>
      </c>
    </row>
    <row r="173">
      <c r="A173">
        <f>IF('WSF DASHBOARD'!$B$4="Area",IF(172&lt;=$D$3,IF(OR('WSF DASHBOARD'!$C$4="",ISNUMBER(SEARCH('WSF DASHBOARD'!$C$4,INDEX(MASTER_AREAS!$B:$B,173)))),172,""),""),IF('WSF DASHBOARD'!$B$4="Zone",IF(172&lt;=$D$4,IF(OR('WSF DASHBOARD'!$C$4="",ISNUMBER(SEARCH('WSF DASHBOARD'!$C$4,INDEX(MASTER_ZONES!$B:$B,173)))),172,""),""),""))</f>
        <v/>
      </c>
      <c r="B173">
        <f>IFERROR(SMALL($A$2:$A$201,172),"")</f>
        <v/>
      </c>
      <c r="C173">
        <f>IF(B173="","",IF('WSF DASHBOARD'!$B$4="Area",INDEX(MASTER_AREAS!$B:$B,B173+1),INDEX(MASTER_ZONES!$B:$B,B173+1)))</f>
        <v/>
      </c>
    </row>
    <row r="174">
      <c r="A174">
        <f>IF('WSF DASHBOARD'!$B$4="Area",IF(173&lt;=$D$3,IF(OR('WSF DASHBOARD'!$C$4="",ISNUMBER(SEARCH('WSF DASHBOARD'!$C$4,INDEX(MASTER_AREAS!$B:$B,174)))),173,""),""),IF('WSF DASHBOARD'!$B$4="Zone",IF(173&lt;=$D$4,IF(OR('WSF DASHBOARD'!$C$4="",ISNUMBER(SEARCH('WSF DASHBOARD'!$C$4,INDEX(MASTER_ZONES!$B:$B,174)))),173,""),""),""))</f>
        <v/>
      </c>
      <c r="B174">
        <f>IFERROR(SMALL($A$2:$A$201,173),"")</f>
        <v/>
      </c>
      <c r="C174">
        <f>IF(B174="","",IF('WSF DASHBOARD'!$B$4="Area",INDEX(MASTER_AREAS!$B:$B,B174+1),INDEX(MASTER_ZONES!$B:$B,B174+1)))</f>
        <v/>
      </c>
    </row>
    <row r="175">
      <c r="A175">
        <f>IF('WSF DASHBOARD'!$B$4="Area",IF(174&lt;=$D$3,IF(OR('WSF DASHBOARD'!$C$4="",ISNUMBER(SEARCH('WSF DASHBOARD'!$C$4,INDEX(MASTER_AREAS!$B:$B,175)))),174,""),""),IF('WSF DASHBOARD'!$B$4="Zone",IF(174&lt;=$D$4,IF(OR('WSF DASHBOARD'!$C$4="",ISNUMBER(SEARCH('WSF DASHBOARD'!$C$4,INDEX(MASTER_ZONES!$B:$B,175)))),174,""),""),""))</f>
        <v/>
      </c>
      <c r="B175">
        <f>IFERROR(SMALL($A$2:$A$201,174),"")</f>
        <v/>
      </c>
      <c r="C175">
        <f>IF(B175="","",IF('WSF DASHBOARD'!$B$4="Area",INDEX(MASTER_AREAS!$B:$B,B175+1),INDEX(MASTER_ZONES!$B:$B,B175+1)))</f>
        <v/>
      </c>
    </row>
    <row r="176">
      <c r="A176">
        <f>IF('WSF DASHBOARD'!$B$4="Area",IF(175&lt;=$D$3,IF(OR('WSF DASHBOARD'!$C$4="",ISNUMBER(SEARCH('WSF DASHBOARD'!$C$4,INDEX(MASTER_AREAS!$B:$B,176)))),175,""),""),IF('WSF DASHBOARD'!$B$4="Zone",IF(175&lt;=$D$4,IF(OR('WSF DASHBOARD'!$C$4="",ISNUMBER(SEARCH('WSF DASHBOARD'!$C$4,INDEX(MASTER_ZONES!$B:$B,176)))),175,""),""),""))</f>
        <v/>
      </c>
      <c r="B176">
        <f>IFERROR(SMALL($A$2:$A$201,175),"")</f>
        <v/>
      </c>
      <c r="C176">
        <f>IF(B176="","",IF('WSF DASHBOARD'!$B$4="Area",INDEX(MASTER_AREAS!$B:$B,B176+1),INDEX(MASTER_ZONES!$B:$B,B176+1)))</f>
        <v/>
      </c>
    </row>
    <row r="177">
      <c r="A177">
        <f>IF('WSF DASHBOARD'!$B$4="Area",IF(176&lt;=$D$3,IF(OR('WSF DASHBOARD'!$C$4="",ISNUMBER(SEARCH('WSF DASHBOARD'!$C$4,INDEX(MASTER_AREAS!$B:$B,177)))),176,""),""),IF('WSF DASHBOARD'!$B$4="Zone",IF(176&lt;=$D$4,IF(OR('WSF DASHBOARD'!$C$4="",ISNUMBER(SEARCH('WSF DASHBOARD'!$C$4,INDEX(MASTER_ZONES!$B:$B,177)))),176,""),""),""))</f>
        <v/>
      </c>
      <c r="B177">
        <f>IFERROR(SMALL($A$2:$A$201,176),"")</f>
        <v/>
      </c>
      <c r="C177">
        <f>IF(B177="","",IF('WSF DASHBOARD'!$B$4="Area",INDEX(MASTER_AREAS!$B:$B,B177+1),INDEX(MASTER_ZONES!$B:$B,B177+1)))</f>
        <v/>
      </c>
    </row>
    <row r="178">
      <c r="A178">
        <f>IF('WSF DASHBOARD'!$B$4="Area",IF(177&lt;=$D$3,IF(OR('WSF DASHBOARD'!$C$4="",ISNUMBER(SEARCH('WSF DASHBOARD'!$C$4,INDEX(MASTER_AREAS!$B:$B,178)))),177,""),""),IF('WSF DASHBOARD'!$B$4="Zone",IF(177&lt;=$D$4,IF(OR('WSF DASHBOARD'!$C$4="",ISNUMBER(SEARCH('WSF DASHBOARD'!$C$4,INDEX(MASTER_ZONES!$B:$B,178)))),177,""),""),""))</f>
        <v/>
      </c>
      <c r="B178">
        <f>IFERROR(SMALL($A$2:$A$201,177),"")</f>
        <v/>
      </c>
      <c r="C178">
        <f>IF(B178="","",IF('WSF DASHBOARD'!$B$4="Area",INDEX(MASTER_AREAS!$B:$B,B178+1),INDEX(MASTER_ZONES!$B:$B,B178+1)))</f>
        <v/>
      </c>
    </row>
    <row r="179">
      <c r="A179">
        <f>IF('WSF DASHBOARD'!$B$4="Area",IF(178&lt;=$D$3,IF(OR('WSF DASHBOARD'!$C$4="",ISNUMBER(SEARCH('WSF DASHBOARD'!$C$4,INDEX(MASTER_AREAS!$B:$B,179)))),178,""),""),IF('WSF DASHBOARD'!$B$4="Zone",IF(178&lt;=$D$4,IF(OR('WSF DASHBOARD'!$C$4="",ISNUMBER(SEARCH('WSF DASHBOARD'!$C$4,INDEX(MASTER_ZONES!$B:$B,179)))),178,""),""),""))</f>
        <v/>
      </c>
      <c r="B179">
        <f>IFERROR(SMALL($A$2:$A$201,178),"")</f>
        <v/>
      </c>
      <c r="C179">
        <f>IF(B179="","",IF('WSF DASHBOARD'!$B$4="Area",INDEX(MASTER_AREAS!$B:$B,B179+1),INDEX(MASTER_ZONES!$B:$B,B179+1)))</f>
        <v/>
      </c>
    </row>
    <row r="180">
      <c r="A180">
        <f>IF('WSF DASHBOARD'!$B$4="Area",IF(179&lt;=$D$3,IF(OR('WSF DASHBOARD'!$C$4="",ISNUMBER(SEARCH('WSF DASHBOARD'!$C$4,INDEX(MASTER_AREAS!$B:$B,180)))),179,""),""),IF('WSF DASHBOARD'!$B$4="Zone",IF(179&lt;=$D$4,IF(OR('WSF DASHBOARD'!$C$4="",ISNUMBER(SEARCH('WSF DASHBOARD'!$C$4,INDEX(MASTER_ZONES!$B:$B,180)))),179,""),""),""))</f>
        <v/>
      </c>
      <c r="B180">
        <f>IFERROR(SMALL($A$2:$A$201,179),"")</f>
        <v/>
      </c>
      <c r="C180">
        <f>IF(B180="","",IF('WSF DASHBOARD'!$B$4="Area",INDEX(MASTER_AREAS!$B:$B,B180+1),INDEX(MASTER_ZONES!$B:$B,B180+1)))</f>
        <v/>
      </c>
    </row>
    <row r="181">
      <c r="A181">
        <f>IF('WSF DASHBOARD'!$B$4="Area",IF(180&lt;=$D$3,IF(OR('WSF DASHBOARD'!$C$4="",ISNUMBER(SEARCH('WSF DASHBOARD'!$C$4,INDEX(MASTER_AREAS!$B:$B,181)))),180,""),""),IF('WSF DASHBOARD'!$B$4="Zone",IF(180&lt;=$D$4,IF(OR('WSF DASHBOARD'!$C$4="",ISNUMBER(SEARCH('WSF DASHBOARD'!$C$4,INDEX(MASTER_ZONES!$B:$B,181)))),180,""),""),""))</f>
        <v/>
      </c>
      <c r="B181">
        <f>IFERROR(SMALL($A$2:$A$201,180),"")</f>
        <v/>
      </c>
      <c r="C181">
        <f>IF(B181="","",IF('WSF DASHBOARD'!$B$4="Area",INDEX(MASTER_AREAS!$B:$B,B181+1),INDEX(MASTER_ZONES!$B:$B,B181+1)))</f>
        <v/>
      </c>
    </row>
    <row r="182">
      <c r="A182">
        <f>IF('WSF DASHBOARD'!$B$4="Area",IF(181&lt;=$D$3,IF(OR('WSF DASHBOARD'!$C$4="",ISNUMBER(SEARCH('WSF DASHBOARD'!$C$4,INDEX(MASTER_AREAS!$B:$B,182)))),181,""),""),IF('WSF DASHBOARD'!$B$4="Zone",IF(181&lt;=$D$4,IF(OR('WSF DASHBOARD'!$C$4="",ISNUMBER(SEARCH('WSF DASHBOARD'!$C$4,INDEX(MASTER_ZONES!$B:$B,182)))),181,""),""),""))</f>
        <v/>
      </c>
      <c r="B182">
        <f>IFERROR(SMALL($A$2:$A$201,181),"")</f>
        <v/>
      </c>
      <c r="C182">
        <f>IF(B182="","",IF('WSF DASHBOARD'!$B$4="Area",INDEX(MASTER_AREAS!$B:$B,B182+1),INDEX(MASTER_ZONES!$B:$B,B182+1)))</f>
        <v/>
      </c>
    </row>
    <row r="183">
      <c r="A183">
        <f>IF('WSF DASHBOARD'!$B$4="Area",IF(182&lt;=$D$3,IF(OR('WSF DASHBOARD'!$C$4="",ISNUMBER(SEARCH('WSF DASHBOARD'!$C$4,INDEX(MASTER_AREAS!$B:$B,183)))),182,""),""),IF('WSF DASHBOARD'!$B$4="Zone",IF(182&lt;=$D$4,IF(OR('WSF DASHBOARD'!$C$4="",ISNUMBER(SEARCH('WSF DASHBOARD'!$C$4,INDEX(MASTER_ZONES!$B:$B,183)))),182,""),""),""))</f>
        <v/>
      </c>
      <c r="B183">
        <f>IFERROR(SMALL($A$2:$A$201,182),"")</f>
        <v/>
      </c>
      <c r="C183">
        <f>IF(B183="","",IF('WSF DASHBOARD'!$B$4="Area",INDEX(MASTER_AREAS!$B:$B,B183+1),INDEX(MASTER_ZONES!$B:$B,B183+1)))</f>
        <v/>
      </c>
    </row>
    <row r="184">
      <c r="A184">
        <f>IF('WSF DASHBOARD'!$B$4="Area",IF(183&lt;=$D$3,IF(OR('WSF DASHBOARD'!$C$4="",ISNUMBER(SEARCH('WSF DASHBOARD'!$C$4,INDEX(MASTER_AREAS!$B:$B,184)))),183,""),""),IF('WSF DASHBOARD'!$B$4="Zone",IF(183&lt;=$D$4,IF(OR('WSF DASHBOARD'!$C$4="",ISNUMBER(SEARCH('WSF DASHBOARD'!$C$4,INDEX(MASTER_ZONES!$B:$B,184)))),183,""),""),""))</f>
        <v/>
      </c>
      <c r="B184">
        <f>IFERROR(SMALL($A$2:$A$201,183),"")</f>
        <v/>
      </c>
      <c r="C184">
        <f>IF(B184="","",IF('WSF DASHBOARD'!$B$4="Area",INDEX(MASTER_AREAS!$B:$B,B184+1),INDEX(MASTER_ZONES!$B:$B,B184+1)))</f>
        <v/>
      </c>
    </row>
    <row r="185">
      <c r="A185">
        <f>IF('WSF DASHBOARD'!$B$4="Area",IF(184&lt;=$D$3,IF(OR('WSF DASHBOARD'!$C$4="",ISNUMBER(SEARCH('WSF DASHBOARD'!$C$4,INDEX(MASTER_AREAS!$B:$B,185)))),184,""),""),IF('WSF DASHBOARD'!$B$4="Zone",IF(184&lt;=$D$4,IF(OR('WSF DASHBOARD'!$C$4="",ISNUMBER(SEARCH('WSF DASHBOARD'!$C$4,INDEX(MASTER_ZONES!$B:$B,185)))),184,""),""),""))</f>
        <v/>
      </c>
      <c r="B185">
        <f>IFERROR(SMALL($A$2:$A$201,184),"")</f>
        <v/>
      </c>
      <c r="C185">
        <f>IF(B185="","",IF('WSF DASHBOARD'!$B$4="Area",INDEX(MASTER_AREAS!$B:$B,B185+1),INDEX(MASTER_ZONES!$B:$B,B185+1)))</f>
        <v/>
      </c>
    </row>
    <row r="186">
      <c r="A186">
        <f>IF('WSF DASHBOARD'!$B$4="Area",IF(185&lt;=$D$3,IF(OR('WSF DASHBOARD'!$C$4="",ISNUMBER(SEARCH('WSF DASHBOARD'!$C$4,INDEX(MASTER_AREAS!$B:$B,186)))),185,""),""),IF('WSF DASHBOARD'!$B$4="Zone",IF(185&lt;=$D$4,IF(OR('WSF DASHBOARD'!$C$4="",ISNUMBER(SEARCH('WSF DASHBOARD'!$C$4,INDEX(MASTER_ZONES!$B:$B,186)))),185,""),""),""))</f>
        <v/>
      </c>
      <c r="B186">
        <f>IFERROR(SMALL($A$2:$A$201,185),"")</f>
        <v/>
      </c>
      <c r="C186">
        <f>IF(B186="","",IF('WSF DASHBOARD'!$B$4="Area",INDEX(MASTER_AREAS!$B:$B,B186+1),INDEX(MASTER_ZONES!$B:$B,B186+1)))</f>
        <v/>
      </c>
    </row>
    <row r="187">
      <c r="A187">
        <f>IF('WSF DASHBOARD'!$B$4="Area",IF(186&lt;=$D$3,IF(OR('WSF DASHBOARD'!$C$4="",ISNUMBER(SEARCH('WSF DASHBOARD'!$C$4,INDEX(MASTER_AREAS!$B:$B,187)))),186,""),""),IF('WSF DASHBOARD'!$B$4="Zone",IF(186&lt;=$D$4,IF(OR('WSF DASHBOARD'!$C$4="",ISNUMBER(SEARCH('WSF DASHBOARD'!$C$4,INDEX(MASTER_ZONES!$B:$B,187)))),186,""),""),""))</f>
        <v/>
      </c>
      <c r="B187">
        <f>IFERROR(SMALL($A$2:$A$201,186),"")</f>
        <v/>
      </c>
      <c r="C187">
        <f>IF(B187="","",IF('WSF DASHBOARD'!$B$4="Area",INDEX(MASTER_AREAS!$B:$B,B187+1),INDEX(MASTER_ZONES!$B:$B,B187+1)))</f>
        <v/>
      </c>
    </row>
    <row r="188">
      <c r="A188">
        <f>IF('WSF DASHBOARD'!$B$4="Area",IF(187&lt;=$D$3,IF(OR('WSF DASHBOARD'!$C$4="",ISNUMBER(SEARCH('WSF DASHBOARD'!$C$4,INDEX(MASTER_AREAS!$B:$B,188)))),187,""),""),IF('WSF DASHBOARD'!$B$4="Zone",IF(187&lt;=$D$4,IF(OR('WSF DASHBOARD'!$C$4="",ISNUMBER(SEARCH('WSF DASHBOARD'!$C$4,INDEX(MASTER_ZONES!$B:$B,188)))),187,""),""),""))</f>
        <v/>
      </c>
      <c r="B188">
        <f>IFERROR(SMALL($A$2:$A$201,187),"")</f>
        <v/>
      </c>
      <c r="C188">
        <f>IF(B188="","",IF('WSF DASHBOARD'!$B$4="Area",INDEX(MASTER_AREAS!$B:$B,B188+1),INDEX(MASTER_ZONES!$B:$B,B188+1)))</f>
        <v/>
      </c>
    </row>
    <row r="189">
      <c r="A189">
        <f>IF('WSF DASHBOARD'!$B$4="Area",IF(188&lt;=$D$3,IF(OR('WSF DASHBOARD'!$C$4="",ISNUMBER(SEARCH('WSF DASHBOARD'!$C$4,INDEX(MASTER_AREAS!$B:$B,189)))),188,""),""),IF('WSF DASHBOARD'!$B$4="Zone",IF(188&lt;=$D$4,IF(OR('WSF DASHBOARD'!$C$4="",ISNUMBER(SEARCH('WSF DASHBOARD'!$C$4,INDEX(MASTER_ZONES!$B:$B,189)))),188,""),""),""))</f>
        <v/>
      </c>
      <c r="B189">
        <f>IFERROR(SMALL($A$2:$A$201,188),"")</f>
        <v/>
      </c>
      <c r="C189">
        <f>IF(B189="","",IF('WSF DASHBOARD'!$B$4="Area",INDEX(MASTER_AREAS!$B:$B,B189+1),INDEX(MASTER_ZONES!$B:$B,B189+1)))</f>
        <v/>
      </c>
    </row>
    <row r="190">
      <c r="A190">
        <f>IF('WSF DASHBOARD'!$B$4="Area",IF(189&lt;=$D$3,IF(OR('WSF DASHBOARD'!$C$4="",ISNUMBER(SEARCH('WSF DASHBOARD'!$C$4,INDEX(MASTER_AREAS!$B:$B,190)))),189,""),""),IF('WSF DASHBOARD'!$B$4="Zone",IF(189&lt;=$D$4,IF(OR('WSF DASHBOARD'!$C$4="",ISNUMBER(SEARCH('WSF DASHBOARD'!$C$4,INDEX(MASTER_ZONES!$B:$B,190)))),189,""),""),""))</f>
        <v/>
      </c>
      <c r="B190">
        <f>IFERROR(SMALL($A$2:$A$201,189),"")</f>
        <v/>
      </c>
      <c r="C190">
        <f>IF(B190="","",IF('WSF DASHBOARD'!$B$4="Area",INDEX(MASTER_AREAS!$B:$B,B190+1),INDEX(MASTER_ZONES!$B:$B,B190+1)))</f>
        <v/>
      </c>
    </row>
    <row r="191">
      <c r="A191">
        <f>IF('WSF DASHBOARD'!$B$4="Area",IF(190&lt;=$D$3,IF(OR('WSF DASHBOARD'!$C$4="",ISNUMBER(SEARCH('WSF DASHBOARD'!$C$4,INDEX(MASTER_AREAS!$B:$B,191)))),190,""),""),IF('WSF DASHBOARD'!$B$4="Zone",IF(190&lt;=$D$4,IF(OR('WSF DASHBOARD'!$C$4="",ISNUMBER(SEARCH('WSF DASHBOARD'!$C$4,INDEX(MASTER_ZONES!$B:$B,191)))),190,""),""),""))</f>
        <v/>
      </c>
      <c r="B191">
        <f>IFERROR(SMALL($A$2:$A$201,190),"")</f>
        <v/>
      </c>
      <c r="C191">
        <f>IF(B191="","",IF('WSF DASHBOARD'!$B$4="Area",INDEX(MASTER_AREAS!$B:$B,B191+1),INDEX(MASTER_ZONES!$B:$B,B191+1)))</f>
        <v/>
      </c>
    </row>
    <row r="192">
      <c r="A192">
        <f>IF('WSF DASHBOARD'!$B$4="Area",IF(191&lt;=$D$3,IF(OR('WSF DASHBOARD'!$C$4="",ISNUMBER(SEARCH('WSF DASHBOARD'!$C$4,INDEX(MASTER_AREAS!$B:$B,192)))),191,""),""),IF('WSF DASHBOARD'!$B$4="Zone",IF(191&lt;=$D$4,IF(OR('WSF DASHBOARD'!$C$4="",ISNUMBER(SEARCH('WSF DASHBOARD'!$C$4,INDEX(MASTER_ZONES!$B:$B,192)))),191,""),""),""))</f>
        <v/>
      </c>
      <c r="B192">
        <f>IFERROR(SMALL($A$2:$A$201,191),"")</f>
        <v/>
      </c>
      <c r="C192">
        <f>IF(B192="","",IF('WSF DASHBOARD'!$B$4="Area",INDEX(MASTER_AREAS!$B:$B,B192+1),INDEX(MASTER_ZONES!$B:$B,B192+1)))</f>
        <v/>
      </c>
    </row>
    <row r="193">
      <c r="A193">
        <f>IF('WSF DASHBOARD'!$B$4="Area",IF(192&lt;=$D$3,IF(OR('WSF DASHBOARD'!$C$4="",ISNUMBER(SEARCH('WSF DASHBOARD'!$C$4,INDEX(MASTER_AREAS!$B:$B,193)))),192,""),""),IF('WSF DASHBOARD'!$B$4="Zone",IF(192&lt;=$D$4,IF(OR('WSF DASHBOARD'!$C$4="",ISNUMBER(SEARCH('WSF DASHBOARD'!$C$4,INDEX(MASTER_ZONES!$B:$B,193)))),192,""),""),""))</f>
        <v/>
      </c>
      <c r="B193">
        <f>IFERROR(SMALL($A$2:$A$201,192),"")</f>
        <v/>
      </c>
      <c r="C193">
        <f>IF(B193="","",IF('WSF DASHBOARD'!$B$4="Area",INDEX(MASTER_AREAS!$B:$B,B193+1),INDEX(MASTER_ZONES!$B:$B,B193+1)))</f>
        <v/>
      </c>
    </row>
    <row r="194">
      <c r="A194">
        <f>IF('WSF DASHBOARD'!$B$4="Area",IF(193&lt;=$D$3,IF(OR('WSF DASHBOARD'!$C$4="",ISNUMBER(SEARCH('WSF DASHBOARD'!$C$4,INDEX(MASTER_AREAS!$B:$B,194)))),193,""),""),IF('WSF DASHBOARD'!$B$4="Zone",IF(193&lt;=$D$4,IF(OR('WSF DASHBOARD'!$C$4="",ISNUMBER(SEARCH('WSF DASHBOARD'!$C$4,INDEX(MASTER_ZONES!$B:$B,194)))),193,""),""),""))</f>
        <v/>
      </c>
      <c r="B194">
        <f>IFERROR(SMALL($A$2:$A$201,193),"")</f>
        <v/>
      </c>
      <c r="C194">
        <f>IF(B194="","",IF('WSF DASHBOARD'!$B$4="Area",INDEX(MASTER_AREAS!$B:$B,B194+1),INDEX(MASTER_ZONES!$B:$B,B194+1)))</f>
        <v/>
      </c>
    </row>
    <row r="195">
      <c r="A195">
        <f>IF('WSF DASHBOARD'!$B$4="Area",IF(194&lt;=$D$3,IF(OR('WSF DASHBOARD'!$C$4="",ISNUMBER(SEARCH('WSF DASHBOARD'!$C$4,INDEX(MASTER_AREAS!$B:$B,195)))),194,""),""),IF('WSF DASHBOARD'!$B$4="Zone",IF(194&lt;=$D$4,IF(OR('WSF DASHBOARD'!$C$4="",ISNUMBER(SEARCH('WSF DASHBOARD'!$C$4,INDEX(MASTER_ZONES!$B:$B,195)))),194,""),""),""))</f>
        <v/>
      </c>
      <c r="B195">
        <f>IFERROR(SMALL($A$2:$A$201,194),"")</f>
        <v/>
      </c>
      <c r="C195">
        <f>IF(B195="","",IF('WSF DASHBOARD'!$B$4="Area",INDEX(MASTER_AREAS!$B:$B,B195+1),INDEX(MASTER_ZONES!$B:$B,B195+1)))</f>
        <v/>
      </c>
    </row>
    <row r="196">
      <c r="A196">
        <f>IF('WSF DASHBOARD'!$B$4="Area",IF(195&lt;=$D$3,IF(OR('WSF DASHBOARD'!$C$4="",ISNUMBER(SEARCH('WSF DASHBOARD'!$C$4,INDEX(MASTER_AREAS!$B:$B,196)))),195,""),""),IF('WSF DASHBOARD'!$B$4="Zone",IF(195&lt;=$D$4,IF(OR('WSF DASHBOARD'!$C$4="",ISNUMBER(SEARCH('WSF DASHBOARD'!$C$4,INDEX(MASTER_ZONES!$B:$B,196)))),195,""),""),""))</f>
        <v/>
      </c>
      <c r="B196">
        <f>IFERROR(SMALL($A$2:$A$201,195),"")</f>
        <v/>
      </c>
      <c r="C196">
        <f>IF(B196="","",IF('WSF DASHBOARD'!$B$4="Area",INDEX(MASTER_AREAS!$B:$B,B196+1),INDEX(MASTER_ZONES!$B:$B,B196+1)))</f>
        <v/>
      </c>
    </row>
    <row r="197">
      <c r="A197">
        <f>IF('WSF DASHBOARD'!$B$4="Area",IF(196&lt;=$D$3,IF(OR('WSF DASHBOARD'!$C$4="",ISNUMBER(SEARCH('WSF DASHBOARD'!$C$4,INDEX(MASTER_AREAS!$B:$B,197)))),196,""),""),IF('WSF DASHBOARD'!$B$4="Zone",IF(196&lt;=$D$4,IF(OR('WSF DASHBOARD'!$C$4="",ISNUMBER(SEARCH('WSF DASHBOARD'!$C$4,INDEX(MASTER_ZONES!$B:$B,197)))),196,""),""),""))</f>
        <v/>
      </c>
      <c r="B197">
        <f>IFERROR(SMALL($A$2:$A$201,196),"")</f>
        <v/>
      </c>
      <c r="C197">
        <f>IF(B197="","",IF('WSF DASHBOARD'!$B$4="Area",INDEX(MASTER_AREAS!$B:$B,B197+1),INDEX(MASTER_ZONES!$B:$B,B197+1)))</f>
        <v/>
      </c>
    </row>
    <row r="198">
      <c r="A198">
        <f>IF('WSF DASHBOARD'!$B$4="Area",IF(197&lt;=$D$3,IF(OR('WSF DASHBOARD'!$C$4="",ISNUMBER(SEARCH('WSF DASHBOARD'!$C$4,INDEX(MASTER_AREAS!$B:$B,198)))),197,""),""),IF('WSF DASHBOARD'!$B$4="Zone",IF(197&lt;=$D$4,IF(OR('WSF DASHBOARD'!$C$4="",ISNUMBER(SEARCH('WSF DASHBOARD'!$C$4,INDEX(MASTER_ZONES!$B:$B,198)))),197,""),""),""))</f>
        <v/>
      </c>
      <c r="B198">
        <f>IFERROR(SMALL($A$2:$A$201,197),"")</f>
        <v/>
      </c>
      <c r="C198">
        <f>IF(B198="","",IF('WSF DASHBOARD'!$B$4="Area",INDEX(MASTER_AREAS!$B:$B,B198+1),INDEX(MASTER_ZONES!$B:$B,B198+1)))</f>
        <v/>
      </c>
    </row>
    <row r="199">
      <c r="A199">
        <f>IF('WSF DASHBOARD'!$B$4="Area",IF(198&lt;=$D$3,IF(OR('WSF DASHBOARD'!$C$4="",ISNUMBER(SEARCH('WSF DASHBOARD'!$C$4,INDEX(MASTER_AREAS!$B:$B,199)))),198,""),""),IF('WSF DASHBOARD'!$B$4="Zone",IF(198&lt;=$D$4,IF(OR('WSF DASHBOARD'!$C$4="",ISNUMBER(SEARCH('WSF DASHBOARD'!$C$4,INDEX(MASTER_ZONES!$B:$B,199)))),198,""),""),""))</f>
        <v/>
      </c>
      <c r="B199">
        <f>IFERROR(SMALL($A$2:$A$201,198),"")</f>
        <v/>
      </c>
      <c r="C199">
        <f>IF(B199="","",IF('WSF DASHBOARD'!$B$4="Area",INDEX(MASTER_AREAS!$B:$B,B199+1),INDEX(MASTER_ZONES!$B:$B,B199+1)))</f>
        <v/>
      </c>
    </row>
    <row r="200">
      <c r="A200">
        <f>IF('WSF DASHBOARD'!$B$4="Area",IF(199&lt;=$D$3,IF(OR('WSF DASHBOARD'!$C$4="",ISNUMBER(SEARCH('WSF DASHBOARD'!$C$4,INDEX(MASTER_AREAS!$B:$B,200)))),199,""),""),IF('WSF DASHBOARD'!$B$4="Zone",IF(199&lt;=$D$4,IF(OR('WSF DASHBOARD'!$C$4="",ISNUMBER(SEARCH('WSF DASHBOARD'!$C$4,INDEX(MASTER_ZONES!$B:$B,200)))),199,""),""),""))</f>
        <v/>
      </c>
      <c r="B200">
        <f>IFERROR(SMALL($A$2:$A$201,199),"")</f>
        <v/>
      </c>
      <c r="C200">
        <f>IF(B200="","",IF('WSF DASHBOARD'!$B$4="Area",INDEX(MASTER_AREAS!$B:$B,B200+1),INDEX(MASTER_ZONES!$B:$B,B200+1)))</f>
        <v/>
      </c>
    </row>
    <row r="201">
      <c r="A201">
        <f>IF('WSF DASHBOARD'!$B$4="Area",IF(200&lt;=$D$3,IF(OR('WSF DASHBOARD'!$C$4="",ISNUMBER(SEARCH('WSF DASHBOARD'!$C$4,INDEX(MASTER_AREAS!$B:$B,201)))),200,""),""),IF('WSF DASHBOARD'!$B$4="Zone",IF(200&lt;=$D$4,IF(OR('WSF DASHBOARD'!$C$4="",ISNUMBER(SEARCH('WSF DASHBOARD'!$C$4,INDEX(MASTER_ZONES!$B:$B,201)))),200,""),""),""))</f>
        <v/>
      </c>
      <c r="B201">
        <f>IFERROR(SMALL($A$2:$A$201,200),"")</f>
        <v/>
      </c>
      <c r="C201">
        <f>IF(B201="","",IF('WSF DASHBOARD'!$B$4="Area",INDEX(MASTER_AREAS!$B:$B,B201+1),INDEX(MASTER_ZONES!$B:$B,B201+1)))</f>
        <v/>
      </c>
    </row>
    <row r="202">
      <c r="B202">
        <f>IFERROR(SMALL($A$2:$A$201,201),"")</f>
        <v/>
      </c>
      <c r="C202">
        <f>IF(B202="","",IF('WSF DASHBOARD'!$B$4="Area",INDEX(MASTER_AREAS!$B:$B,B202+1),INDEX(MASTER_ZONES!$B:$B,B202+1)))</f>
        <v/>
      </c>
    </row>
    <row r="203">
      <c r="B203">
        <f>IFERROR(SMALL($A$2:$A$201,202),"")</f>
        <v/>
      </c>
      <c r="C203">
        <f>IF(B203="","",IF('WSF DASHBOARD'!$B$4="Area",INDEX(MASTER_AREAS!$B:$B,B203+1),INDEX(MASTER_ZONES!$B:$B,B203+1)))</f>
        <v/>
      </c>
    </row>
    <row r="204">
      <c r="B204">
        <f>IFERROR(SMALL($A$2:$A$201,203),"")</f>
        <v/>
      </c>
      <c r="C204">
        <f>IF(B204="","",IF('WSF DASHBOARD'!$B$4="Area",INDEX(MASTER_AREAS!$B:$B,B204+1),INDEX(MASTER_ZONES!$B:$B,B204+1)))</f>
        <v/>
      </c>
    </row>
    <row r="205">
      <c r="B205">
        <f>IFERROR(SMALL($A$2:$A$201,204),"")</f>
        <v/>
      </c>
      <c r="C205">
        <f>IF(B205="","",IF('WSF DASHBOARD'!$B$4="Area",INDEX(MASTER_AREAS!$B:$B,B205+1),INDEX(MASTER_ZONES!$B:$B,B205+1)))</f>
        <v/>
      </c>
    </row>
    <row r="206">
      <c r="B206">
        <f>IFERROR(SMALL($A$2:$A$201,205),"")</f>
        <v/>
      </c>
      <c r="C206">
        <f>IF(B206="","",IF('WSF DASHBOARD'!$B$4="Area",INDEX(MASTER_AREAS!$B:$B,B206+1),INDEX(MASTER_ZONES!$B:$B,B206+1)))</f>
        <v/>
      </c>
    </row>
    <row r="207">
      <c r="B207">
        <f>IFERROR(SMALL($A$2:$A$201,206),"")</f>
        <v/>
      </c>
      <c r="C207">
        <f>IF(B207="","",IF('WSF DASHBOARD'!$B$4="Area",INDEX(MASTER_AREAS!$B:$B,B207+1),INDEX(MASTER_ZONES!$B:$B,B207+1)))</f>
        <v/>
      </c>
    </row>
    <row r="208">
      <c r="B208">
        <f>IFERROR(SMALL($A$2:$A$201,207),"")</f>
        <v/>
      </c>
      <c r="C208">
        <f>IF(B208="","",IF('WSF DASHBOARD'!$B$4="Area",INDEX(MASTER_AREAS!$B:$B,B208+1),INDEX(MASTER_ZONES!$B:$B,B208+1)))</f>
        <v/>
      </c>
    </row>
    <row r="209">
      <c r="B209">
        <f>IFERROR(SMALL($A$2:$A$201,208),"")</f>
        <v/>
      </c>
      <c r="C209">
        <f>IF(B209="","",IF('WSF DASHBOARD'!$B$4="Area",INDEX(MASTER_AREAS!$B:$B,B209+1),INDEX(MASTER_ZONES!$B:$B,B209+1)))</f>
        <v/>
      </c>
    </row>
    <row r="210">
      <c r="B210">
        <f>IFERROR(SMALL($A$2:$A$201,209),"")</f>
        <v/>
      </c>
      <c r="C210">
        <f>IF(B210="","",IF('WSF DASHBOARD'!$B$4="Area",INDEX(MASTER_AREAS!$B:$B,B210+1),INDEX(MASTER_ZONES!$B:$B,B210+1)))</f>
        <v/>
      </c>
    </row>
    <row r="211">
      <c r="B211">
        <f>IFERROR(SMALL($A$2:$A$201,210),"")</f>
        <v/>
      </c>
      <c r="C211">
        <f>IF(B211="","",IF('WSF DASHBOARD'!$B$4="Area",INDEX(MASTER_AREAS!$B:$B,B211+1),INDEX(MASTER_ZONES!$B:$B,B211+1)))</f>
        <v/>
      </c>
    </row>
    <row r="212">
      <c r="B212">
        <f>IFERROR(SMALL($A$2:$A$201,211),"")</f>
        <v/>
      </c>
      <c r="C212">
        <f>IF(B212="","",IF('WSF DASHBOARD'!$B$4="Area",INDEX(MASTER_AREAS!$B:$B,B212+1),INDEX(MASTER_ZONES!$B:$B,B212+1)))</f>
        <v/>
      </c>
    </row>
    <row r="213">
      <c r="B213">
        <f>IFERROR(SMALL($A$2:$A$201,212),"")</f>
        <v/>
      </c>
      <c r="C213">
        <f>IF(B213="","",IF('WSF DASHBOARD'!$B$4="Area",INDEX(MASTER_AREAS!$B:$B,B213+1),INDEX(MASTER_ZONES!$B:$B,B213+1)))</f>
        <v/>
      </c>
    </row>
    <row r="214">
      <c r="B214">
        <f>IFERROR(SMALL($A$2:$A$201,213),"")</f>
        <v/>
      </c>
      <c r="C214">
        <f>IF(B214="","",IF('WSF DASHBOARD'!$B$4="Area",INDEX(MASTER_AREAS!$B:$B,B214+1),INDEX(MASTER_ZONES!$B:$B,B214+1)))</f>
        <v/>
      </c>
    </row>
    <row r="215">
      <c r="B215">
        <f>IFERROR(SMALL($A$2:$A$201,214),"")</f>
        <v/>
      </c>
      <c r="C215">
        <f>IF(B215="","",IF('WSF DASHBOARD'!$B$4="Area",INDEX(MASTER_AREAS!$B:$B,B215+1),INDEX(MASTER_ZONES!$B:$B,B215+1)))</f>
        <v/>
      </c>
    </row>
    <row r="216">
      <c r="B216">
        <f>IFERROR(SMALL($A$2:$A$201,215),"")</f>
        <v/>
      </c>
      <c r="C216">
        <f>IF(B216="","",IF('WSF DASHBOARD'!$B$4="Area",INDEX(MASTER_AREAS!$B:$B,B216+1),INDEX(MASTER_ZONES!$B:$B,B216+1)))</f>
        <v/>
      </c>
    </row>
    <row r="217">
      <c r="B217">
        <f>IFERROR(SMALL($A$2:$A$201,216),"")</f>
        <v/>
      </c>
      <c r="C217">
        <f>IF(B217="","",IF('WSF DASHBOARD'!$B$4="Area",INDEX(MASTER_AREAS!$B:$B,B217+1),INDEX(MASTER_ZONES!$B:$B,B217+1)))</f>
        <v/>
      </c>
    </row>
    <row r="218">
      <c r="B218">
        <f>IFERROR(SMALL($A$2:$A$201,217),"")</f>
        <v/>
      </c>
      <c r="C218">
        <f>IF(B218="","",IF('WSF DASHBOARD'!$B$4="Area",INDEX(MASTER_AREAS!$B:$B,B218+1),INDEX(MASTER_ZONES!$B:$B,B218+1)))</f>
        <v/>
      </c>
    </row>
    <row r="219">
      <c r="B219">
        <f>IFERROR(SMALL($A$2:$A$201,218),"")</f>
        <v/>
      </c>
      <c r="C219">
        <f>IF(B219="","",IF('WSF DASHBOARD'!$B$4="Area",INDEX(MASTER_AREAS!$B:$B,B219+1),INDEX(MASTER_ZONES!$B:$B,B219+1)))</f>
        <v/>
      </c>
    </row>
    <row r="220">
      <c r="B220">
        <f>IFERROR(SMALL($A$2:$A$201,219),"")</f>
        <v/>
      </c>
      <c r="C220">
        <f>IF(B220="","",IF('WSF DASHBOARD'!$B$4="Area",INDEX(MASTER_AREAS!$B:$B,B220+1),INDEX(MASTER_ZONES!$B:$B,B220+1)))</f>
        <v/>
      </c>
    </row>
    <row r="221">
      <c r="B221">
        <f>IFERROR(SMALL($A$2:$A$201,220),"")</f>
        <v/>
      </c>
      <c r="C221">
        <f>IF(B221="","",IF('WSF DASHBOARD'!$B$4="Area",INDEX(MASTER_AREAS!$B:$B,B221+1),INDEX(MASTER_ZONES!$B:$B,B221+1)))</f>
        <v/>
      </c>
    </row>
    <row r="222">
      <c r="B222">
        <f>IFERROR(SMALL($A$2:$A$201,221),"")</f>
        <v/>
      </c>
      <c r="C222">
        <f>IF(B222="","",IF('WSF DASHBOARD'!$B$4="Area",INDEX(MASTER_AREAS!$B:$B,B222+1),INDEX(MASTER_ZONES!$B:$B,B222+1)))</f>
        <v/>
      </c>
    </row>
    <row r="223">
      <c r="B223">
        <f>IFERROR(SMALL($A$2:$A$201,222),"")</f>
        <v/>
      </c>
      <c r="C223">
        <f>IF(B223="","",IF('WSF DASHBOARD'!$B$4="Area",INDEX(MASTER_AREAS!$B:$B,B223+1),INDEX(MASTER_ZONES!$B:$B,B223+1)))</f>
        <v/>
      </c>
    </row>
    <row r="224">
      <c r="B224">
        <f>IFERROR(SMALL($A$2:$A$201,223),"")</f>
        <v/>
      </c>
      <c r="C224">
        <f>IF(B224="","",IF('WSF DASHBOARD'!$B$4="Area",INDEX(MASTER_AREAS!$B:$B,B224+1),INDEX(MASTER_ZONES!$B:$B,B224+1)))</f>
        <v/>
      </c>
    </row>
    <row r="225">
      <c r="B225">
        <f>IFERROR(SMALL($A$2:$A$201,224),"")</f>
        <v/>
      </c>
      <c r="C225">
        <f>IF(B225="","",IF('WSF DASHBOARD'!$B$4="Area",INDEX(MASTER_AREAS!$B:$B,B225+1),INDEX(MASTER_ZONES!$B:$B,B225+1)))</f>
        <v/>
      </c>
    </row>
    <row r="226">
      <c r="B226">
        <f>IFERROR(SMALL($A$2:$A$201,225),"")</f>
        <v/>
      </c>
      <c r="C226">
        <f>IF(B226="","",IF('WSF DASHBOARD'!$B$4="Area",INDEX(MASTER_AREAS!$B:$B,B226+1),INDEX(MASTER_ZONES!$B:$B,B226+1)))</f>
        <v/>
      </c>
    </row>
    <row r="227">
      <c r="B227">
        <f>IFERROR(SMALL($A$2:$A$201,226),"")</f>
        <v/>
      </c>
      <c r="C227">
        <f>IF(B227="","",IF('WSF DASHBOARD'!$B$4="Area",INDEX(MASTER_AREAS!$B:$B,B227+1),INDEX(MASTER_ZONES!$B:$B,B227+1)))</f>
        <v/>
      </c>
    </row>
    <row r="228">
      <c r="B228">
        <f>IFERROR(SMALL($A$2:$A$201,227),"")</f>
        <v/>
      </c>
      <c r="C228">
        <f>IF(B228="","",IF('WSF DASHBOARD'!$B$4="Area",INDEX(MASTER_AREAS!$B:$B,B228+1),INDEX(MASTER_ZONES!$B:$B,B228+1)))</f>
        <v/>
      </c>
    </row>
    <row r="229">
      <c r="B229">
        <f>IFERROR(SMALL($A$2:$A$201,228),"")</f>
        <v/>
      </c>
      <c r="C229">
        <f>IF(B229="","",IF('WSF DASHBOARD'!$B$4="Area",INDEX(MASTER_AREAS!$B:$B,B229+1),INDEX(MASTER_ZONES!$B:$B,B229+1)))</f>
        <v/>
      </c>
    </row>
    <row r="230">
      <c r="B230">
        <f>IFERROR(SMALL($A$2:$A$201,229),"")</f>
        <v/>
      </c>
      <c r="C230">
        <f>IF(B230="","",IF('WSF DASHBOARD'!$B$4="Area",INDEX(MASTER_AREAS!$B:$B,B230+1),INDEX(MASTER_ZONES!$B:$B,B230+1)))</f>
        <v/>
      </c>
    </row>
    <row r="231">
      <c r="B231">
        <f>IFERROR(SMALL($A$2:$A$201,230),"")</f>
        <v/>
      </c>
      <c r="C231">
        <f>IF(B231="","",IF('WSF DASHBOARD'!$B$4="Area",INDEX(MASTER_AREAS!$B:$B,B231+1),INDEX(MASTER_ZONES!$B:$B,B231+1)))</f>
        <v/>
      </c>
    </row>
    <row r="232">
      <c r="B232">
        <f>IFERROR(SMALL($A$2:$A$201,231),"")</f>
        <v/>
      </c>
      <c r="C232">
        <f>IF(B232="","",IF('WSF DASHBOARD'!$B$4="Area",INDEX(MASTER_AREAS!$B:$B,B232+1),INDEX(MASTER_ZONES!$B:$B,B232+1)))</f>
        <v/>
      </c>
    </row>
    <row r="233">
      <c r="B233">
        <f>IFERROR(SMALL($A$2:$A$201,232),"")</f>
        <v/>
      </c>
      <c r="C233">
        <f>IF(B233="","",IF('WSF DASHBOARD'!$B$4="Area",INDEX(MASTER_AREAS!$B:$B,B233+1),INDEX(MASTER_ZONES!$B:$B,B233+1)))</f>
        <v/>
      </c>
    </row>
    <row r="234">
      <c r="B234">
        <f>IFERROR(SMALL($A$2:$A$201,233),"")</f>
        <v/>
      </c>
      <c r="C234">
        <f>IF(B234="","",IF('WSF DASHBOARD'!$B$4="Area",INDEX(MASTER_AREAS!$B:$B,B234+1),INDEX(MASTER_ZONES!$B:$B,B234+1)))</f>
        <v/>
      </c>
    </row>
    <row r="235">
      <c r="B235">
        <f>IFERROR(SMALL($A$2:$A$201,234),"")</f>
        <v/>
      </c>
      <c r="C235">
        <f>IF(B235="","",IF('WSF DASHBOARD'!$B$4="Area",INDEX(MASTER_AREAS!$B:$B,B235+1),INDEX(MASTER_ZONES!$B:$B,B235+1)))</f>
        <v/>
      </c>
    </row>
    <row r="236">
      <c r="B236">
        <f>IFERROR(SMALL($A$2:$A$201,235),"")</f>
        <v/>
      </c>
      <c r="C236">
        <f>IF(B236="","",IF('WSF DASHBOARD'!$B$4="Area",INDEX(MASTER_AREAS!$B:$B,B236+1),INDEX(MASTER_ZONES!$B:$B,B236+1)))</f>
        <v/>
      </c>
    </row>
    <row r="237">
      <c r="B237">
        <f>IFERROR(SMALL($A$2:$A$201,236),"")</f>
        <v/>
      </c>
      <c r="C237">
        <f>IF(B237="","",IF('WSF DASHBOARD'!$B$4="Area",INDEX(MASTER_AREAS!$B:$B,B237+1),INDEX(MASTER_ZONES!$B:$B,B237+1)))</f>
        <v/>
      </c>
    </row>
    <row r="238">
      <c r="B238">
        <f>IFERROR(SMALL($A$2:$A$201,237),"")</f>
        <v/>
      </c>
      <c r="C238">
        <f>IF(B238="","",IF('WSF DASHBOARD'!$B$4="Area",INDEX(MASTER_AREAS!$B:$B,B238+1),INDEX(MASTER_ZONES!$B:$B,B238+1)))</f>
        <v/>
      </c>
    </row>
    <row r="239">
      <c r="B239">
        <f>IFERROR(SMALL($A$2:$A$201,238),"")</f>
        <v/>
      </c>
      <c r="C239">
        <f>IF(B239="","",IF('WSF DASHBOARD'!$B$4="Area",INDEX(MASTER_AREAS!$B:$B,B239+1),INDEX(MASTER_ZONES!$B:$B,B239+1)))</f>
        <v/>
      </c>
    </row>
    <row r="240">
      <c r="B240">
        <f>IFERROR(SMALL($A$2:$A$201,239),"")</f>
        <v/>
      </c>
      <c r="C240">
        <f>IF(B240="","",IF('WSF DASHBOARD'!$B$4="Area",INDEX(MASTER_AREAS!$B:$B,B240+1),INDEX(MASTER_ZONES!$B:$B,B240+1)))</f>
        <v/>
      </c>
    </row>
    <row r="241">
      <c r="B241">
        <f>IFERROR(SMALL($A$2:$A$201,240),"")</f>
        <v/>
      </c>
      <c r="C241">
        <f>IF(B241="","",IF('WSF DASHBOARD'!$B$4="Area",INDEX(MASTER_AREAS!$B:$B,B241+1),INDEX(MASTER_ZONES!$B:$B,B241+1)))</f>
        <v/>
      </c>
    </row>
    <row r="242">
      <c r="B242">
        <f>IFERROR(SMALL($A$2:$A$201,241),"")</f>
        <v/>
      </c>
      <c r="C242">
        <f>IF(B242="","",IF('WSF DASHBOARD'!$B$4="Area",INDEX(MASTER_AREAS!$B:$B,B242+1),INDEX(MASTER_ZONES!$B:$B,B242+1)))</f>
        <v/>
      </c>
    </row>
    <row r="243">
      <c r="B243">
        <f>IFERROR(SMALL($A$2:$A$201,242),"")</f>
        <v/>
      </c>
      <c r="C243">
        <f>IF(B243="","",IF('WSF DASHBOARD'!$B$4="Area",INDEX(MASTER_AREAS!$B:$B,B243+1),INDEX(MASTER_ZONES!$B:$B,B243+1)))</f>
        <v/>
      </c>
    </row>
    <row r="244">
      <c r="B244">
        <f>IFERROR(SMALL($A$2:$A$201,243),"")</f>
        <v/>
      </c>
      <c r="C244">
        <f>IF(B244="","",IF('WSF DASHBOARD'!$B$4="Area",INDEX(MASTER_AREAS!$B:$B,B244+1),INDEX(MASTER_ZONES!$B:$B,B244+1)))</f>
        <v/>
      </c>
    </row>
    <row r="245">
      <c r="B245">
        <f>IFERROR(SMALL($A$2:$A$201,244),"")</f>
        <v/>
      </c>
      <c r="C245">
        <f>IF(B245="","",IF('WSF DASHBOARD'!$B$4="Area",INDEX(MASTER_AREAS!$B:$B,B245+1),INDEX(MASTER_ZONES!$B:$B,B245+1)))</f>
        <v/>
      </c>
    </row>
    <row r="246">
      <c r="B246">
        <f>IFERROR(SMALL($A$2:$A$201,245),"")</f>
        <v/>
      </c>
      <c r="C246">
        <f>IF(B246="","",IF('WSF DASHBOARD'!$B$4="Area",INDEX(MASTER_AREAS!$B:$B,B246+1),INDEX(MASTER_ZONES!$B:$B,B246+1)))</f>
        <v/>
      </c>
    </row>
    <row r="247">
      <c r="B247">
        <f>IFERROR(SMALL($A$2:$A$201,246),"")</f>
        <v/>
      </c>
      <c r="C247">
        <f>IF(B247="","",IF('WSF DASHBOARD'!$B$4="Area",INDEX(MASTER_AREAS!$B:$B,B247+1),INDEX(MASTER_ZONES!$B:$B,B247+1)))</f>
        <v/>
      </c>
    </row>
    <row r="248">
      <c r="B248">
        <f>IFERROR(SMALL($A$2:$A$201,247),"")</f>
        <v/>
      </c>
      <c r="C248">
        <f>IF(B248="","",IF('WSF DASHBOARD'!$B$4="Area",INDEX(MASTER_AREAS!$B:$B,B248+1),INDEX(MASTER_ZONES!$B:$B,B248+1)))</f>
        <v/>
      </c>
    </row>
    <row r="249">
      <c r="B249">
        <f>IFERROR(SMALL($A$2:$A$201,248),"")</f>
        <v/>
      </c>
      <c r="C249">
        <f>IF(B249="","",IF('WSF DASHBOARD'!$B$4="Area",INDEX(MASTER_AREAS!$B:$B,B249+1),INDEX(MASTER_ZONES!$B:$B,B249+1)))</f>
        <v/>
      </c>
    </row>
    <row r="250">
      <c r="B250">
        <f>IFERROR(SMALL($A$2:$A$201,249),"")</f>
        <v/>
      </c>
      <c r="C250">
        <f>IF(B250="","",IF('WSF DASHBOARD'!$B$4="Area",INDEX(MASTER_AREAS!$B:$B,B250+1),INDEX(MASTER_ZONES!$B:$B,B250+1)))</f>
        <v/>
      </c>
    </row>
    <row r="251">
      <c r="B251">
        <f>IFERROR(SMALL($A$2:$A$201,250),"")</f>
        <v/>
      </c>
      <c r="C251">
        <f>IF(B251="","",IF('WSF DASHBOARD'!$B$4="Area",INDEX(MASTER_AREAS!$B:$B,B251+1),INDEX(MASTER_ZONES!$B:$B,B251+1)))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Z172"/>
  <sheetViews>
    <sheetView tabSelected="0" workbookViewId="0">
      <selection activeCell="A1" sqref="A1"/>
    </sheetView>
  </sheetViews>
  <sheetFormatPr baseColWidth="8" defaultRowHeight="15"/>
  <sheetData>
    <row r="1">
      <c r="A1" s="132" t="inlineStr">
        <is>
          <t>CALC_WSF — helper calculations for the WSF DASHBOARD (hidden; do not edit)</t>
        </is>
      </c>
      <c r="AW1" t="inlineStr">
        <is>
          <t>Non-reporting cells in scope</t>
        </is>
      </c>
      <c r="AX1">
        <f>COUNT(WSF_CELLS_CURRENT!$N:$N)</f>
        <v/>
      </c>
    </row>
    <row r="2">
      <c r="W2" s="133" t="inlineStr">
        <is>
          <t>Area</t>
        </is>
      </c>
      <c r="X2" s="133" t="inlineStr">
        <is>
          <t>Rows</t>
        </is>
      </c>
      <c r="Y2" s="133" t="inlineStr">
        <is>
          <t>Grand (sel wk)</t>
        </is>
      </c>
      <c r="Z2" s="133" t="inlineStr">
        <is>
          <t>Grand (prev wk)</t>
        </is>
      </c>
      <c r="AA2" s="133" t="inlineStr">
        <is>
          <t>Cells total</t>
        </is>
      </c>
      <c r="AB2" s="133" t="inlineStr">
        <is>
          <t>Cells reported</t>
        </is>
      </c>
      <c r="AC2" s="133" t="inlineStr">
        <is>
          <t>% reporting</t>
        </is>
      </c>
      <c r="AD2" s="133" t="inlineStr">
        <is>
          <t>Growth</t>
        </is>
      </c>
      <c r="AE2" s="133" t="inlineStr">
        <is>
          <t>Score att</t>
        </is>
      </c>
      <c r="AF2" s="133" t="inlineStr">
        <is>
          <t>Score pct</t>
        </is>
      </c>
      <c r="AG2" s="133" t="inlineStr">
        <is>
          <t>Score growth</t>
        </is>
      </c>
      <c r="AI2" t="inlineStr">
        <is>
          <t>k</t>
        </is>
      </c>
      <c r="AJ2" t="inlineStr">
        <is>
          <t>LARGE AE name</t>
        </is>
      </c>
      <c r="AK2" t="inlineStr">
        <is>
          <t>value</t>
        </is>
      </c>
      <c r="AL2" t="inlineStr">
        <is>
          <t>SMALL AE name</t>
        </is>
      </c>
      <c r="AM2" t="inlineStr">
        <is>
          <t>value</t>
        </is>
      </c>
      <c r="AN2" t="inlineStr">
        <is>
          <t>LARGE AF name</t>
        </is>
      </c>
      <c r="AO2" t="inlineStr">
        <is>
          <t>value</t>
        </is>
      </c>
      <c r="AP2" t="inlineStr">
        <is>
          <t>SMALL AF name</t>
        </is>
      </c>
      <c r="AQ2" t="inlineStr">
        <is>
          <t>value</t>
        </is>
      </c>
      <c r="AR2" t="inlineStr">
        <is>
          <t>LARGE AG name</t>
        </is>
      </c>
      <c r="AS2" t="inlineStr">
        <is>
          <t>value</t>
        </is>
      </c>
      <c r="AT2" t="inlineStr">
        <is>
          <t>SMALL AG name</t>
        </is>
      </c>
      <c r="AU2" t="inlineStr">
        <is>
          <t>value</t>
        </is>
      </c>
      <c r="AW2" t="inlineStr">
        <is>
          <t>Cell detail held for selected week</t>
        </is>
      </c>
      <c r="AX2">
        <f>COUNTIF(WSF_CELLS_CURRENT!$A:$A,$B$10)&gt;0</f>
        <v/>
      </c>
    </row>
    <row r="3">
      <c r="A3" t="inlineStr">
        <is>
          <t>Scope</t>
        </is>
      </c>
      <c r="B3">
        <f>'WSF DASHBOARD'!B4</f>
        <v/>
      </c>
      <c r="W3">
        <f>IFERROR(INDEX(MASTER_AREAS!$B:$B,2)&amp;"","")</f>
        <v/>
      </c>
      <c r="X3">
        <f>IF(OR(W3="",$B$10=0),0,COUNTIFS(DATA_WSF!$A:$A,$B$10,DATA_WSF!$C:$C,W3))</f>
        <v/>
      </c>
      <c r="Y3">
        <f>IF(X3=0,0,SUMIFS(DATA_WSF!$L:$L,DATA_WSF!$A:$A,$B$10,DATA_WSF!$C:$C,W3))</f>
        <v/>
      </c>
      <c r="Z3">
        <f>IF(OR(W3="",$B$10=0),0,SUMIFS(DATA_WSF!$L:$L,DATA_WSF!$A:$A,$B$10-7,DATA_WSF!$C:$C,W3))</f>
        <v/>
      </c>
      <c r="AA3">
        <f>IF(X3=0,0,SUMIFS(DATA_WSF!$E:$E,DATA_WSF!$A:$A,$B$10,DATA_WSF!$C:$C,W3))</f>
        <v/>
      </c>
      <c r="AB3">
        <f>IF(X3=0,0,SUMIFS(DATA_WSF!$F:$F,DATA_WSF!$A:$A,$B$10,DATA_WSF!$C:$C,W3))</f>
        <v/>
      </c>
      <c r="AC3">
        <f>IF(AA3=0,"",AB3/AA3)</f>
        <v/>
      </c>
      <c r="AD3">
        <f>IF(OR(X3=0,Z3=0),"",Y3/Z3-1)</f>
        <v/>
      </c>
      <c r="AE3">
        <f>IF(X3=0,"",Y3+ROW()/1000000)</f>
        <v/>
      </c>
      <c r="AF3">
        <f>IF(AC3="","",AC3+ROW()/1000000000)</f>
        <v/>
      </c>
      <c r="AG3">
        <f>IF(AD3="","",AD3+ROW()/1000000000)</f>
        <v/>
      </c>
      <c r="AI3" t="n">
        <v>1</v>
      </c>
      <c r="AJ3">
        <f>IFERROR(INDEX($W$3:$W$3,MATCH(LARGE($AE$3:$AE$3,1),$AE$3:$AE$3,0)),"")</f>
        <v/>
      </c>
      <c r="AK3">
        <f>IFERROR(INDEX($Y$3:$Y$3,MATCH(LARGE($AE$3:$AE$3,1),$AE$3:$AE$3,0)),"")</f>
        <v/>
      </c>
      <c r="AL3">
        <f>IFERROR(INDEX($W$3:$W$3,MATCH(SMALL($AE$3:$AE$3,1),$AE$3:$AE$3,0)),"")</f>
        <v/>
      </c>
      <c r="AM3">
        <f>IFERROR(INDEX($Y$3:$Y$3,MATCH(SMALL($AE$3:$AE$3,1),$AE$3:$AE$3,0)),"")</f>
        <v/>
      </c>
      <c r="AN3">
        <f>IFERROR(INDEX($W$3:$W$3,MATCH(LARGE($AF$3:$AF$3,1),$AF$3:$AF$3,0)),"")</f>
        <v/>
      </c>
      <c r="AO3">
        <f>IFERROR(INDEX($AC$3:$AC$3,MATCH(LARGE($AF$3:$AF$3,1),$AF$3:$AF$3,0)),"")</f>
        <v/>
      </c>
      <c r="AP3">
        <f>IFERROR(INDEX($W$3:$W$3,MATCH(SMALL($AF$3:$AF$3,1),$AF$3:$AF$3,0)),"")</f>
        <v/>
      </c>
      <c r="AQ3">
        <f>IFERROR(INDEX($AC$3:$AC$3,MATCH(SMALL($AF$3:$AF$3,1),$AF$3:$AF$3,0)),"")</f>
        <v/>
      </c>
      <c r="AR3">
        <f>IFERROR(INDEX($W$3:$W$3,MATCH(LARGE($AG$3:$AG$3,1),$AG$3:$AG$3,0)),"")</f>
        <v/>
      </c>
      <c r="AS3">
        <f>IFERROR(INDEX($AD$3:$AD$3,MATCH(LARGE($AG$3:$AG$3,1),$AG$3:$AG$3,0)),"")</f>
        <v/>
      </c>
      <c r="AT3">
        <f>IFERROR(INDEX($W$3:$W$3,MATCH(SMALL($AG$3:$AG$3,1),$AG$3:$AG$3,0)),"")</f>
        <v/>
      </c>
      <c r="AU3">
        <f>IFERROR(INDEX($AD$3:$AD$3,MATCH(SMALL($AG$3:$AG$3,1),$AG$3:$AG$3,0)),"")</f>
        <v/>
      </c>
    </row>
    <row r="4">
      <c r="A4" t="inlineStr">
        <is>
          <t>Selection</t>
        </is>
      </c>
      <c r="B4">
        <f>IF('WSF DASHBOARD'!E4="","",'WSF DASHBOARD'!E4)</f>
        <v/>
      </c>
      <c r="AI4" t="n">
        <v>2</v>
      </c>
      <c r="AJ4">
        <f>IFERROR(INDEX($W$3:$W$3,MATCH(LARGE($AE$3:$AE$3,2),$AE$3:$AE$3,0)),"")</f>
        <v/>
      </c>
      <c r="AK4">
        <f>IFERROR(INDEX($Y$3:$Y$3,MATCH(LARGE($AE$3:$AE$3,2),$AE$3:$AE$3,0)),"")</f>
        <v/>
      </c>
      <c r="AL4">
        <f>IFERROR(INDEX($W$3:$W$3,MATCH(SMALL($AE$3:$AE$3,2),$AE$3:$AE$3,0)),"")</f>
        <v/>
      </c>
      <c r="AM4">
        <f>IFERROR(INDEX($Y$3:$Y$3,MATCH(SMALL($AE$3:$AE$3,2),$AE$3:$AE$3,0)),"")</f>
        <v/>
      </c>
      <c r="AN4">
        <f>IFERROR(INDEX($W$3:$W$3,MATCH(LARGE($AF$3:$AF$3,2),$AF$3:$AF$3,0)),"")</f>
        <v/>
      </c>
      <c r="AO4">
        <f>IFERROR(INDEX($AC$3:$AC$3,MATCH(LARGE($AF$3:$AF$3,2),$AF$3:$AF$3,0)),"")</f>
        <v/>
      </c>
      <c r="AP4">
        <f>IFERROR(INDEX($W$3:$W$3,MATCH(SMALL($AF$3:$AF$3,2),$AF$3:$AF$3,0)),"")</f>
        <v/>
      </c>
      <c r="AQ4">
        <f>IFERROR(INDEX($AC$3:$AC$3,MATCH(SMALL($AF$3:$AF$3,2),$AF$3:$AF$3,0)),"")</f>
        <v/>
      </c>
      <c r="AR4">
        <f>IFERROR(INDEX($W$3:$W$3,MATCH(LARGE($AG$3:$AG$3,2),$AG$3:$AG$3,0)),"")</f>
        <v/>
      </c>
      <c r="AS4">
        <f>IFERROR(INDEX($AD$3:$AD$3,MATCH(LARGE($AG$3:$AG$3,2),$AG$3:$AG$3,0)),"")</f>
        <v/>
      </c>
      <c r="AT4">
        <f>IFERROR(INDEX($W$3:$W$3,MATCH(SMALL($AG$3:$AG$3,2),$AG$3:$AG$3,0)),"")</f>
        <v/>
      </c>
      <c r="AU4">
        <f>IFERROR(INDEX($AD$3:$AD$3,MATCH(SMALL($AG$3:$AG$3,2),$AG$3:$AG$3,0)),"")</f>
        <v/>
      </c>
      <c r="AW4">
        <f>IFERROR(SMALL(WSF_CELLS_CURRENT!$N:$N,1),"")</f>
        <v/>
      </c>
      <c r="AX4">
        <f>IF($AW4="","",INDEX(WSF_CELLS_CURRENT!$C:$C,$AW4))</f>
        <v/>
      </c>
      <c r="AY4">
        <f>IF($AW4="","",INDEX(WSF_CELLS_CURRENT!$D:$D,$AW4))</f>
        <v/>
      </c>
      <c r="AZ4">
        <f>IF($AW4="","",INDEX(WSF_CELLS_CURRENT!$E:$E,$AW4))</f>
        <v/>
      </c>
    </row>
    <row r="5">
      <c r="A5" t="inlineStr">
        <is>
          <t>Selection valid</t>
        </is>
      </c>
      <c r="B5">
        <f>IF(B3="Global",TRUE,IF(B3="Area",COUNTIF(MASTER_AREAS!$B:$B,B4)&gt;0,COUNTIF(MASTER_ZONES!$B:$B,B4)&gt;0))</f>
        <v/>
      </c>
      <c r="AI5" t="n">
        <v>3</v>
      </c>
      <c r="AJ5">
        <f>IFERROR(INDEX($W$3:$W$3,MATCH(LARGE($AE$3:$AE$3,3),$AE$3:$AE$3,0)),"")</f>
        <v/>
      </c>
      <c r="AK5">
        <f>IFERROR(INDEX($Y$3:$Y$3,MATCH(LARGE($AE$3:$AE$3,3),$AE$3:$AE$3,0)),"")</f>
        <v/>
      </c>
      <c r="AL5">
        <f>IFERROR(INDEX($W$3:$W$3,MATCH(SMALL($AE$3:$AE$3,3),$AE$3:$AE$3,0)),"")</f>
        <v/>
      </c>
      <c r="AM5">
        <f>IFERROR(INDEX($Y$3:$Y$3,MATCH(SMALL($AE$3:$AE$3,3),$AE$3:$AE$3,0)),"")</f>
        <v/>
      </c>
      <c r="AN5">
        <f>IFERROR(INDEX($W$3:$W$3,MATCH(LARGE($AF$3:$AF$3,3),$AF$3:$AF$3,0)),"")</f>
        <v/>
      </c>
      <c r="AO5">
        <f>IFERROR(INDEX($AC$3:$AC$3,MATCH(LARGE($AF$3:$AF$3,3),$AF$3:$AF$3,0)),"")</f>
        <v/>
      </c>
      <c r="AP5">
        <f>IFERROR(INDEX($W$3:$W$3,MATCH(SMALL($AF$3:$AF$3,3),$AF$3:$AF$3,0)),"")</f>
        <v/>
      </c>
      <c r="AQ5">
        <f>IFERROR(INDEX($AC$3:$AC$3,MATCH(SMALL($AF$3:$AF$3,3),$AF$3:$AF$3,0)),"")</f>
        <v/>
      </c>
      <c r="AR5">
        <f>IFERROR(INDEX($W$3:$W$3,MATCH(LARGE($AG$3:$AG$3,3),$AG$3:$AG$3,0)),"")</f>
        <v/>
      </c>
      <c r="AS5">
        <f>IFERROR(INDEX($AD$3:$AD$3,MATCH(LARGE($AG$3:$AG$3,3),$AG$3:$AG$3,0)),"")</f>
        <v/>
      </c>
      <c r="AT5">
        <f>IFERROR(INDEX($W$3:$W$3,MATCH(SMALL($AG$3:$AG$3,3),$AG$3:$AG$3,0)),"")</f>
        <v/>
      </c>
      <c r="AU5">
        <f>IFERROR(INDEX($AD$3:$AD$3,MATCH(SMALL($AG$3:$AG$3,3),$AG$3:$AG$3,0)),"")</f>
        <v/>
      </c>
      <c r="AW5">
        <f>IFERROR(SMALL(WSF_CELLS_CURRENT!$N:$N,2),"")</f>
        <v/>
      </c>
      <c r="AX5">
        <f>IF($AW5="","",INDEX(WSF_CELLS_CURRENT!$C:$C,$AW5))</f>
        <v/>
      </c>
      <c r="AY5">
        <f>IF($AW5="","",INDEX(WSF_CELLS_CURRENT!$D:$D,$AW5))</f>
        <v/>
      </c>
      <c r="AZ5">
        <f>IF($AW5="","",INDEX(WSF_CELLS_CURRENT!$E:$E,$AW5))</f>
        <v/>
      </c>
    </row>
    <row r="6">
      <c r="A6" t="inlineStr">
        <is>
          <t>Area criterion</t>
        </is>
      </c>
      <c r="B6">
        <f>IF(B3="Area",B4,"*")</f>
        <v/>
      </c>
      <c r="AI6" t="n">
        <v>4</v>
      </c>
      <c r="AJ6">
        <f>IFERROR(INDEX($W$3:$W$3,MATCH(LARGE($AE$3:$AE$3,4),$AE$3:$AE$3,0)),"")</f>
        <v/>
      </c>
      <c r="AK6">
        <f>IFERROR(INDEX($Y$3:$Y$3,MATCH(LARGE($AE$3:$AE$3,4),$AE$3:$AE$3,0)),"")</f>
        <v/>
      </c>
      <c r="AL6">
        <f>IFERROR(INDEX($W$3:$W$3,MATCH(SMALL($AE$3:$AE$3,4),$AE$3:$AE$3,0)),"")</f>
        <v/>
      </c>
      <c r="AM6">
        <f>IFERROR(INDEX($Y$3:$Y$3,MATCH(SMALL($AE$3:$AE$3,4),$AE$3:$AE$3,0)),"")</f>
        <v/>
      </c>
      <c r="AN6">
        <f>IFERROR(INDEX($W$3:$W$3,MATCH(LARGE($AF$3:$AF$3,4),$AF$3:$AF$3,0)),"")</f>
        <v/>
      </c>
      <c r="AO6">
        <f>IFERROR(INDEX($AC$3:$AC$3,MATCH(LARGE($AF$3:$AF$3,4),$AF$3:$AF$3,0)),"")</f>
        <v/>
      </c>
      <c r="AP6">
        <f>IFERROR(INDEX($W$3:$W$3,MATCH(SMALL($AF$3:$AF$3,4),$AF$3:$AF$3,0)),"")</f>
        <v/>
      </c>
      <c r="AQ6">
        <f>IFERROR(INDEX($AC$3:$AC$3,MATCH(SMALL($AF$3:$AF$3,4),$AF$3:$AF$3,0)),"")</f>
        <v/>
      </c>
      <c r="AR6">
        <f>IFERROR(INDEX($W$3:$W$3,MATCH(LARGE($AG$3:$AG$3,4),$AG$3:$AG$3,0)),"")</f>
        <v/>
      </c>
      <c r="AS6">
        <f>IFERROR(INDEX($AD$3:$AD$3,MATCH(LARGE($AG$3:$AG$3,4),$AG$3:$AG$3,0)),"")</f>
        <v/>
      </c>
      <c r="AT6">
        <f>IFERROR(INDEX($W$3:$W$3,MATCH(SMALL($AG$3:$AG$3,4),$AG$3:$AG$3,0)),"")</f>
        <v/>
      </c>
      <c r="AU6">
        <f>IFERROR(INDEX($AD$3:$AD$3,MATCH(SMALL($AG$3:$AG$3,4),$AG$3:$AG$3,0)),"")</f>
        <v/>
      </c>
      <c r="AW6">
        <f>IFERROR(SMALL(WSF_CELLS_CURRENT!$N:$N,3),"")</f>
        <v/>
      </c>
      <c r="AX6">
        <f>IF($AW6="","",INDEX(WSF_CELLS_CURRENT!$C:$C,$AW6))</f>
        <v/>
      </c>
      <c r="AY6">
        <f>IF($AW6="","",INDEX(WSF_CELLS_CURRENT!$D:$D,$AW6))</f>
        <v/>
      </c>
      <c r="AZ6">
        <f>IF($AW6="","",INDEX(WSF_CELLS_CURRENT!$E:$E,$AW6))</f>
        <v/>
      </c>
    </row>
    <row r="7">
      <c r="A7" t="inlineStr">
        <is>
          <t>Zone criterion</t>
        </is>
      </c>
      <c r="B7">
        <f>IF(B3="Zone",B4,"*")</f>
        <v/>
      </c>
      <c r="AI7" t="n">
        <v>5</v>
      </c>
      <c r="AJ7">
        <f>IFERROR(INDEX($W$3:$W$3,MATCH(LARGE($AE$3:$AE$3,5),$AE$3:$AE$3,0)),"")</f>
        <v/>
      </c>
      <c r="AK7">
        <f>IFERROR(INDEX($Y$3:$Y$3,MATCH(LARGE($AE$3:$AE$3,5),$AE$3:$AE$3,0)),"")</f>
        <v/>
      </c>
      <c r="AL7">
        <f>IFERROR(INDEX($W$3:$W$3,MATCH(SMALL($AE$3:$AE$3,5),$AE$3:$AE$3,0)),"")</f>
        <v/>
      </c>
      <c r="AM7">
        <f>IFERROR(INDEX($Y$3:$Y$3,MATCH(SMALL($AE$3:$AE$3,5),$AE$3:$AE$3,0)),"")</f>
        <v/>
      </c>
      <c r="AN7">
        <f>IFERROR(INDEX($W$3:$W$3,MATCH(LARGE($AF$3:$AF$3,5),$AF$3:$AF$3,0)),"")</f>
        <v/>
      </c>
      <c r="AO7">
        <f>IFERROR(INDEX($AC$3:$AC$3,MATCH(LARGE($AF$3:$AF$3,5),$AF$3:$AF$3,0)),"")</f>
        <v/>
      </c>
      <c r="AP7">
        <f>IFERROR(INDEX($W$3:$W$3,MATCH(SMALL($AF$3:$AF$3,5),$AF$3:$AF$3,0)),"")</f>
        <v/>
      </c>
      <c r="AQ7">
        <f>IFERROR(INDEX($AC$3:$AC$3,MATCH(SMALL($AF$3:$AF$3,5),$AF$3:$AF$3,0)),"")</f>
        <v/>
      </c>
      <c r="AR7">
        <f>IFERROR(INDEX($W$3:$W$3,MATCH(LARGE($AG$3:$AG$3,5),$AG$3:$AG$3,0)),"")</f>
        <v/>
      </c>
      <c r="AS7">
        <f>IFERROR(INDEX($AD$3:$AD$3,MATCH(LARGE($AG$3:$AG$3,5),$AG$3:$AG$3,0)),"")</f>
        <v/>
      </c>
      <c r="AT7">
        <f>IFERROR(INDEX($W$3:$W$3,MATCH(SMALL($AG$3:$AG$3,5),$AG$3:$AG$3,0)),"")</f>
        <v/>
      </c>
      <c r="AU7">
        <f>IFERROR(INDEX($AD$3:$AD$3,MATCH(SMALL($AG$3:$AG$3,5),$AG$3:$AG$3,0)),"")</f>
        <v/>
      </c>
      <c r="AW7">
        <f>IFERROR(SMALL(WSF_CELLS_CURRENT!$N:$N,4),"")</f>
        <v/>
      </c>
      <c r="AX7">
        <f>IF($AW7="","",INDEX(WSF_CELLS_CURRENT!$C:$C,$AW7))</f>
        <v/>
      </c>
      <c r="AY7">
        <f>IF($AW7="","",INDEX(WSF_CELLS_CURRENT!$D:$D,$AW7))</f>
        <v/>
      </c>
      <c r="AZ7">
        <f>IF($AW7="","",INDEX(WSF_CELLS_CURRENT!$E:$E,$AW7))</f>
        <v/>
      </c>
    </row>
    <row r="8">
      <c r="A8" t="inlineStr">
        <is>
          <t>Zone's Area</t>
        </is>
      </c>
      <c r="B8">
        <f>IF(B3="Zone",IFERROR(INDEX(MASTER_ZONES!$C:$C,MATCH(B4,MASTER_ZONES!$B:$B,0)),""),"")</f>
        <v/>
      </c>
      <c r="AI8" t="n">
        <v>6</v>
      </c>
      <c r="AJ8">
        <f>IFERROR(INDEX($W$3:$W$3,MATCH(LARGE($AE$3:$AE$3,6),$AE$3:$AE$3,0)),"")</f>
        <v/>
      </c>
      <c r="AK8">
        <f>IFERROR(INDEX($Y$3:$Y$3,MATCH(LARGE($AE$3:$AE$3,6),$AE$3:$AE$3,0)),"")</f>
        <v/>
      </c>
      <c r="AL8">
        <f>IFERROR(INDEX($W$3:$W$3,MATCH(SMALL($AE$3:$AE$3,6),$AE$3:$AE$3,0)),"")</f>
        <v/>
      </c>
      <c r="AM8">
        <f>IFERROR(INDEX($Y$3:$Y$3,MATCH(SMALL($AE$3:$AE$3,6),$AE$3:$AE$3,0)),"")</f>
        <v/>
      </c>
      <c r="AN8">
        <f>IFERROR(INDEX($W$3:$W$3,MATCH(LARGE($AF$3:$AF$3,6),$AF$3:$AF$3,0)),"")</f>
        <v/>
      </c>
      <c r="AO8">
        <f>IFERROR(INDEX($AC$3:$AC$3,MATCH(LARGE($AF$3:$AF$3,6),$AF$3:$AF$3,0)),"")</f>
        <v/>
      </c>
      <c r="AP8">
        <f>IFERROR(INDEX($W$3:$W$3,MATCH(SMALL($AF$3:$AF$3,6),$AF$3:$AF$3,0)),"")</f>
        <v/>
      </c>
      <c r="AQ8">
        <f>IFERROR(INDEX($AC$3:$AC$3,MATCH(SMALL($AF$3:$AF$3,6),$AF$3:$AF$3,0)),"")</f>
        <v/>
      </c>
      <c r="AR8">
        <f>IFERROR(INDEX($W$3:$W$3,MATCH(LARGE($AG$3:$AG$3,6),$AG$3:$AG$3,0)),"")</f>
        <v/>
      </c>
      <c r="AS8">
        <f>IFERROR(INDEX($AD$3:$AD$3,MATCH(LARGE($AG$3:$AG$3,6),$AG$3:$AG$3,0)),"")</f>
        <v/>
      </c>
      <c r="AT8">
        <f>IFERROR(INDEX($W$3:$W$3,MATCH(SMALL($AG$3:$AG$3,6),$AG$3:$AG$3,0)),"")</f>
        <v/>
      </c>
      <c r="AU8">
        <f>IFERROR(INDEX($AD$3:$AD$3,MATCH(SMALL($AG$3:$AG$3,6),$AG$3:$AG$3,0)),"")</f>
        <v/>
      </c>
      <c r="AW8">
        <f>IFERROR(SMALL(WSF_CELLS_CURRENT!$N:$N,5),"")</f>
        <v/>
      </c>
      <c r="AX8">
        <f>IF($AW8="","",INDEX(WSF_CELLS_CURRENT!$C:$C,$AW8))</f>
        <v/>
      </c>
      <c r="AY8">
        <f>IF($AW8="","",INDEX(WSF_CELLS_CURRENT!$D:$D,$AW8))</f>
        <v/>
      </c>
      <c r="AZ8">
        <f>IF($AW8="","",INDEX(WSF_CELLS_CURRENT!$E:$E,$AW8))</f>
        <v/>
      </c>
    </row>
    <row r="9">
      <c r="A9" t="inlineStr">
        <is>
          <t>Latest week with data</t>
        </is>
      </c>
      <c r="B9" s="116">
        <f>MAX(DATA_WSF!$A:$A)</f>
        <v/>
      </c>
      <c r="AI9" t="n">
        <v>7</v>
      </c>
      <c r="AJ9">
        <f>IFERROR(INDEX($W$3:$W$3,MATCH(LARGE($AE$3:$AE$3,7),$AE$3:$AE$3,0)),"")</f>
        <v/>
      </c>
      <c r="AK9">
        <f>IFERROR(INDEX($Y$3:$Y$3,MATCH(LARGE($AE$3:$AE$3,7),$AE$3:$AE$3,0)),"")</f>
        <v/>
      </c>
      <c r="AL9">
        <f>IFERROR(INDEX($W$3:$W$3,MATCH(SMALL($AE$3:$AE$3,7),$AE$3:$AE$3,0)),"")</f>
        <v/>
      </c>
      <c r="AM9">
        <f>IFERROR(INDEX($Y$3:$Y$3,MATCH(SMALL($AE$3:$AE$3,7),$AE$3:$AE$3,0)),"")</f>
        <v/>
      </c>
      <c r="AN9">
        <f>IFERROR(INDEX($W$3:$W$3,MATCH(LARGE($AF$3:$AF$3,7),$AF$3:$AF$3,0)),"")</f>
        <v/>
      </c>
      <c r="AO9">
        <f>IFERROR(INDEX($AC$3:$AC$3,MATCH(LARGE($AF$3:$AF$3,7),$AF$3:$AF$3,0)),"")</f>
        <v/>
      </c>
      <c r="AP9">
        <f>IFERROR(INDEX($W$3:$W$3,MATCH(SMALL($AF$3:$AF$3,7),$AF$3:$AF$3,0)),"")</f>
        <v/>
      </c>
      <c r="AQ9">
        <f>IFERROR(INDEX($AC$3:$AC$3,MATCH(SMALL($AF$3:$AF$3,7),$AF$3:$AF$3,0)),"")</f>
        <v/>
      </c>
      <c r="AR9">
        <f>IFERROR(INDEX($W$3:$W$3,MATCH(LARGE($AG$3:$AG$3,7),$AG$3:$AG$3,0)),"")</f>
        <v/>
      </c>
      <c r="AS9">
        <f>IFERROR(INDEX($AD$3:$AD$3,MATCH(LARGE($AG$3:$AG$3,7),$AG$3:$AG$3,0)),"")</f>
        <v/>
      </c>
      <c r="AT9">
        <f>IFERROR(INDEX($W$3:$W$3,MATCH(SMALL($AG$3:$AG$3,7),$AG$3:$AG$3,0)),"")</f>
        <v/>
      </c>
      <c r="AU9">
        <f>IFERROR(INDEX($AD$3:$AD$3,MATCH(SMALL($AG$3:$AG$3,7),$AG$3:$AG$3,0)),"")</f>
        <v/>
      </c>
      <c r="AW9">
        <f>IFERROR(SMALL(WSF_CELLS_CURRENT!$N:$N,6),"")</f>
        <v/>
      </c>
      <c r="AX9">
        <f>IF($AW9="","",INDEX(WSF_CELLS_CURRENT!$C:$C,$AW9))</f>
        <v/>
      </c>
      <c r="AY9">
        <f>IF($AW9="","",INDEX(WSF_CELLS_CURRENT!$D:$D,$AW9))</f>
        <v/>
      </c>
      <c r="AZ9">
        <f>IF($AW9="","",INDEX(WSF_CELLS_CURRENT!$E:$E,$AW9))</f>
        <v/>
      </c>
    </row>
    <row r="10">
      <c r="A10" t="inlineStr">
        <is>
          <t>Selected week</t>
        </is>
      </c>
      <c r="B10" s="116">
        <f>IF(ISNUMBER('WSF DASHBOARD'!I4),'WSF DASHBOARD'!I4,B9)</f>
        <v/>
      </c>
      <c r="AI10" t="n">
        <v>8</v>
      </c>
      <c r="AJ10">
        <f>IFERROR(INDEX($W$3:$W$3,MATCH(LARGE($AE$3:$AE$3,8),$AE$3:$AE$3,0)),"")</f>
        <v/>
      </c>
      <c r="AK10">
        <f>IFERROR(INDEX($Y$3:$Y$3,MATCH(LARGE($AE$3:$AE$3,8),$AE$3:$AE$3,0)),"")</f>
        <v/>
      </c>
      <c r="AL10">
        <f>IFERROR(INDEX($W$3:$W$3,MATCH(SMALL($AE$3:$AE$3,8),$AE$3:$AE$3,0)),"")</f>
        <v/>
      </c>
      <c r="AM10">
        <f>IFERROR(INDEX($Y$3:$Y$3,MATCH(SMALL($AE$3:$AE$3,8),$AE$3:$AE$3,0)),"")</f>
        <v/>
      </c>
      <c r="AN10">
        <f>IFERROR(INDEX($W$3:$W$3,MATCH(LARGE($AF$3:$AF$3,8),$AF$3:$AF$3,0)),"")</f>
        <v/>
      </c>
      <c r="AO10">
        <f>IFERROR(INDEX($AC$3:$AC$3,MATCH(LARGE($AF$3:$AF$3,8),$AF$3:$AF$3,0)),"")</f>
        <v/>
      </c>
      <c r="AP10">
        <f>IFERROR(INDEX($W$3:$W$3,MATCH(SMALL($AF$3:$AF$3,8),$AF$3:$AF$3,0)),"")</f>
        <v/>
      </c>
      <c r="AQ10">
        <f>IFERROR(INDEX($AC$3:$AC$3,MATCH(SMALL($AF$3:$AF$3,8),$AF$3:$AF$3,0)),"")</f>
        <v/>
      </c>
      <c r="AR10">
        <f>IFERROR(INDEX($W$3:$W$3,MATCH(LARGE($AG$3:$AG$3,8),$AG$3:$AG$3,0)),"")</f>
        <v/>
      </c>
      <c r="AS10">
        <f>IFERROR(INDEX($AD$3:$AD$3,MATCH(LARGE($AG$3:$AG$3,8),$AG$3:$AG$3,0)),"")</f>
        <v/>
      </c>
      <c r="AT10">
        <f>IFERROR(INDEX($W$3:$W$3,MATCH(SMALL($AG$3:$AG$3,8),$AG$3:$AG$3,0)),"")</f>
        <v/>
      </c>
      <c r="AU10">
        <f>IFERROR(INDEX($AD$3:$AD$3,MATCH(SMALL($AG$3:$AG$3,8),$AG$3:$AG$3,0)),"")</f>
        <v/>
      </c>
      <c r="AW10">
        <f>IFERROR(SMALL(WSF_CELLS_CURRENT!$N:$N,7),"")</f>
        <v/>
      </c>
      <c r="AX10">
        <f>IF($AW10="","",INDEX(WSF_CELLS_CURRENT!$C:$C,$AW10))</f>
        <v/>
      </c>
      <c r="AY10">
        <f>IF($AW10="","",INDEX(WSF_CELLS_CURRENT!$D:$D,$AW10))</f>
        <v/>
      </c>
      <c r="AZ10">
        <f>IF($AW10="","",INDEX(WSF_CELLS_CURRENT!$E:$E,$AW10))</f>
        <v/>
      </c>
    </row>
    <row r="11">
      <c r="A11" t="inlineStr">
        <is>
          <t>Window N (weeks)</t>
        </is>
      </c>
      <c r="B11">
        <f>IF(ISNUMBER('WSF DASHBOARD'!K4),'WSF DASHBOARD'!K4,DefaultWindow)</f>
        <v/>
      </c>
      <c r="AI11" t="n">
        <v>9</v>
      </c>
      <c r="AJ11">
        <f>IFERROR(INDEX($W$3:$W$3,MATCH(LARGE($AE$3:$AE$3,9),$AE$3:$AE$3,0)),"")</f>
        <v/>
      </c>
      <c r="AK11">
        <f>IFERROR(INDEX($Y$3:$Y$3,MATCH(LARGE($AE$3:$AE$3,9),$AE$3:$AE$3,0)),"")</f>
        <v/>
      </c>
      <c r="AL11">
        <f>IFERROR(INDEX($W$3:$W$3,MATCH(SMALL($AE$3:$AE$3,9),$AE$3:$AE$3,0)),"")</f>
        <v/>
      </c>
      <c r="AM11">
        <f>IFERROR(INDEX($Y$3:$Y$3,MATCH(SMALL($AE$3:$AE$3,9),$AE$3:$AE$3,0)),"")</f>
        <v/>
      </c>
      <c r="AN11">
        <f>IFERROR(INDEX($W$3:$W$3,MATCH(LARGE($AF$3:$AF$3,9),$AF$3:$AF$3,0)),"")</f>
        <v/>
      </c>
      <c r="AO11">
        <f>IFERROR(INDEX($AC$3:$AC$3,MATCH(LARGE($AF$3:$AF$3,9),$AF$3:$AF$3,0)),"")</f>
        <v/>
      </c>
      <c r="AP11">
        <f>IFERROR(INDEX($W$3:$W$3,MATCH(SMALL($AF$3:$AF$3,9),$AF$3:$AF$3,0)),"")</f>
        <v/>
      </c>
      <c r="AQ11">
        <f>IFERROR(INDEX($AC$3:$AC$3,MATCH(SMALL($AF$3:$AF$3,9),$AF$3:$AF$3,0)),"")</f>
        <v/>
      </c>
      <c r="AR11">
        <f>IFERROR(INDEX($W$3:$W$3,MATCH(LARGE($AG$3:$AG$3,9),$AG$3:$AG$3,0)),"")</f>
        <v/>
      </c>
      <c r="AS11">
        <f>IFERROR(INDEX($AD$3:$AD$3,MATCH(LARGE($AG$3:$AG$3,9),$AG$3:$AG$3,0)),"")</f>
        <v/>
      </c>
      <c r="AT11">
        <f>IFERROR(INDEX($W$3:$W$3,MATCH(SMALL($AG$3:$AG$3,9),$AG$3:$AG$3,0)),"")</f>
        <v/>
      </c>
      <c r="AU11">
        <f>IFERROR(INDEX($AD$3:$AD$3,MATCH(SMALL($AG$3:$AG$3,9),$AG$3:$AG$3,0)),"")</f>
        <v/>
      </c>
      <c r="AW11">
        <f>IFERROR(SMALL(WSF_CELLS_CURRENT!$N:$N,8),"")</f>
        <v/>
      </c>
      <c r="AX11">
        <f>IF($AW11="","",INDEX(WSF_CELLS_CURRENT!$C:$C,$AW11))</f>
        <v/>
      </c>
      <c r="AY11">
        <f>IF($AW11="","",INDEX(WSF_CELLS_CURRENT!$D:$D,$AW11))</f>
        <v/>
      </c>
      <c r="AZ11">
        <f>IF($AW11="","",INDEX(WSF_CELLS_CURRENT!$E:$E,$AW11))</f>
        <v/>
      </c>
    </row>
    <row r="12">
      <c r="A12" t="inlineStr">
        <is>
          <t>Selected month</t>
        </is>
      </c>
      <c r="B12">
        <f>IF(B10=0,0,MONTH(B10))</f>
        <v/>
      </c>
      <c r="AI12" t="n">
        <v>10</v>
      </c>
      <c r="AJ12">
        <f>IFERROR(INDEX($W$3:$W$3,MATCH(LARGE($AE$3:$AE$3,10),$AE$3:$AE$3,0)),"")</f>
        <v/>
      </c>
      <c r="AK12">
        <f>IFERROR(INDEX($Y$3:$Y$3,MATCH(LARGE($AE$3:$AE$3,10),$AE$3:$AE$3,0)),"")</f>
        <v/>
      </c>
      <c r="AL12">
        <f>IFERROR(INDEX($W$3:$W$3,MATCH(SMALL($AE$3:$AE$3,10),$AE$3:$AE$3,0)),"")</f>
        <v/>
      </c>
      <c r="AM12">
        <f>IFERROR(INDEX($Y$3:$Y$3,MATCH(SMALL($AE$3:$AE$3,10),$AE$3:$AE$3,0)),"")</f>
        <v/>
      </c>
      <c r="AN12">
        <f>IFERROR(INDEX($W$3:$W$3,MATCH(LARGE($AF$3:$AF$3,10),$AF$3:$AF$3,0)),"")</f>
        <v/>
      </c>
      <c r="AO12">
        <f>IFERROR(INDEX($AC$3:$AC$3,MATCH(LARGE($AF$3:$AF$3,10),$AF$3:$AF$3,0)),"")</f>
        <v/>
      </c>
      <c r="AP12">
        <f>IFERROR(INDEX($W$3:$W$3,MATCH(SMALL($AF$3:$AF$3,10),$AF$3:$AF$3,0)),"")</f>
        <v/>
      </c>
      <c r="AQ12">
        <f>IFERROR(INDEX($AC$3:$AC$3,MATCH(SMALL($AF$3:$AF$3,10),$AF$3:$AF$3,0)),"")</f>
        <v/>
      </c>
      <c r="AR12">
        <f>IFERROR(INDEX($W$3:$W$3,MATCH(LARGE($AG$3:$AG$3,10),$AG$3:$AG$3,0)),"")</f>
        <v/>
      </c>
      <c r="AS12">
        <f>IFERROR(INDEX($AD$3:$AD$3,MATCH(LARGE($AG$3:$AG$3,10),$AG$3:$AG$3,0)),"")</f>
        <v/>
      </c>
      <c r="AT12">
        <f>IFERROR(INDEX($W$3:$W$3,MATCH(SMALL($AG$3:$AG$3,10),$AG$3:$AG$3,0)),"")</f>
        <v/>
      </c>
      <c r="AU12">
        <f>IFERROR(INDEX($AD$3:$AD$3,MATCH(SMALL($AG$3:$AG$3,10),$AG$3:$AG$3,0)),"")</f>
        <v/>
      </c>
      <c r="AW12">
        <f>IFERROR(SMALL(WSF_CELLS_CURRENT!$N:$N,9),"")</f>
        <v/>
      </c>
      <c r="AX12">
        <f>IF($AW12="","",INDEX(WSF_CELLS_CURRENT!$C:$C,$AW12))</f>
        <v/>
      </c>
      <c r="AY12">
        <f>IF($AW12="","",INDEX(WSF_CELLS_CURRENT!$D:$D,$AW12))</f>
        <v/>
      </c>
      <c r="AZ12">
        <f>IF($AW12="","",INDEX(WSF_CELLS_CURRENT!$E:$E,$AW12))</f>
        <v/>
      </c>
    </row>
    <row r="13">
      <c r="A13" t="inlineStr">
        <is>
          <t>Selected quarter</t>
        </is>
      </c>
      <c r="B13">
        <f>IF(B10=0,0,ROUNDUP(MONTH(B10)/3,0))</f>
        <v/>
      </c>
      <c r="AW13">
        <f>IFERROR(SMALL(WSF_CELLS_CURRENT!$N:$N,10),"")</f>
        <v/>
      </c>
      <c r="AX13">
        <f>IF($AW13="","",INDEX(WSF_CELLS_CURRENT!$C:$C,$AW13))</f>
        <v/>
      </c>
      <c r="AY13">
        <f>IF($AW13="","",INDEX(WSF_CELLS_CURRENT!$D:$D,$AW13))</f>
        <v/>
      </c>
      <c r="AZ13">
        <f>IF($AW13="","",INDEX(WSF_CELLS_CURRENT!$E:$E,$AW13))</f>
        <v/>
      </c>
    </row>
    <row r="14">
      <c r="A14" t="inlineStr">
        <is>
          <t>Selected year</t>
        </is>
      </c>
      <c r="B14">
        <f>IF(B10=0,0,YEAR(B10))</f>
        <v/>
      </c>
      <c r="AW14">
        <f>IFERROR(SMALL(WSF_CELLS_CURRENT!$N:$N,11),"")</f>
        <v/>
      </c>
      <c r="AX14">
        <f>IF($AW14="","",INDEX(WSF_CELLS_CURRENT!$C:$C,$AW14))</f>
        <v/>
      </c>
      <c r="AY14">
        <f>IF($AW14="","",INDEX(WSF_CELLS_CURRENT!$D:$D,$AW14))</f>
        <v/>
      </c>
      <c r="AZ14">
        <f>IF($AW14="","",INDEX(WSF_CELLS_CURRENT!$E:$E,$AW14))</f>
        <v/>
      </c>
    </row>
    <row r="15">
      <c r="A15" t="inlineStr">
        <is>
          <t>Any WSF data</t>
        </is>
      </c>
      <c r="B15">
        <f>B9&gt;0</f>
        <v/>
      </c>
      <c r="AI15" t="inlineStr">
        <is>
          <t>Selected area rank: attendance</t>
        </is>
      </c>
      <c r="AJ15">
        <f>IF($B$3&lt;&gt;"Area","",IFERROR(COUNTIF($AE$3:$AE$3,"&gt;"&amp;INDEX($AE$3:$AE$3,MATCH($B$4,$W$3:$W$3,0)))+1,""))</f>
        <v/>
      </c>
      <c r="AW15">
        <f>IFERROR(SMALL(WSF_CELLS_CURRENT!$N:$N,12),"")</f>
        <v/>
      </c>
      <c r="AX15">
        <f>IF($AW15="","",INDEX(WSF_CELLS_CURRENT!$C:$C,$AW15))</f>
        <v/>
      </c>
      <c r="AY15">
        <f>IF($AW15="","",INDEX(WSF_CELLS_CURRENT!$D:$D,$AW15))</f>
        <v/>
      </c>
      <c r="AZ15">
        <f>IF($AW15="","",INDEX(WSF_CELLS_CURRENT!$E:$E,$AW15))</f>
        <v/>
      </c>
    </row>
    <row r="16">
      <c r="A16" t="inlineStr">
        <is>
          <t>Scope label</t>
        </is>
      </c>
      <c r="B16">
        <f>IF(B3="Global","All Areas",IF(B3="Area","Area: "&amp;IF(B4="","(none selected)",B4),"Zone: "&amp;IF(B4="","(none selected)",B4&amp;IF(B8="",""," ("&amp;B8&amp;")"))))</f>
        <v/>
      </c>
      <c r="AI16" t="inlineStr">
        <is>
          <t>% reporting</t>
        </is>
      </c>
      <c r="AJ16">
        <f>IF($B$3&lt;&gt;"Area","",IFERROR(COUNTIF($AF$3:$AF$3,"&gt;"&amp;INDEX($AF$3:$AF$3,MATCH($B$4,$W$3:$W$3,0)))+1,""))</f>
        <v/>
      </c>
      <c r="AW16">
        <f>IFERROR(SMALL(WSF_CELLS_CURRENT!$N:$N,13),"")</f>
        <v/>
      </c>
      <c r="AX16">
        <f>IF($AW16="","",INDEX(WSF_CELLS_CURRENT!$C:$C,$AW16))</f>
        <v/>
      </c>
      <c r="AY16">
        <f>IF($AW16="","",INDEX(WSF_CELLS_CURRENT!$D:$D,$AW16))</f>
        <v/>
      </c>
      <c r="AZ16">
        <f>IF($AW16="","",INDEX(WSF_CELLS_CURRENT!$E:$E,$AW16))</f>
        <v/>
      </c>
    </row>
    <row r="17">
      <c r="A17" t="inlineStr">
        <is>
          <t>Zones with zero cells reporting</t>
        </is>
      </c>
      <c r="B17">
        <f>IF(B10=0,0,COUNTIFS(DATA_WSF!$A:$A,B10,DATA_WSF!$C:$C,B6,DATA_WSF!$D:$D,B7,DATA_WSF!$F:$F,0))</f>
        <v/>
      </c>
      <c r="AI17" t="inlineStr">
        <is>
          <t>growth</t>
        </is>
      </c>
      <c r="AJ17">
        <f>IF($B$3&lt;&gt;"Area","",IFERROR(COUNTIF($AG$3:$AG$3,"&gt;"&amp;INDEX($AG$3:$AG$3,MATCH($B$4,$W$3:$W$3,0)))+1,""))</f>
        <v/>
      </c>
      <c r="AW17">
        <f>IFERROR(SMALL(WSF_CELLS_CURRENT!$N:$N,14),"")</f>
        <v/>
      </c>
      <c r="AX17">
        <f>IF($AW17="","",INDEX(WSF_CELLS_CURRENT!$C:$C,$AW17))</f>
        <v/>
      </c>
      <c r="AY17">
        <f>IF($AW17="","",INDEX(WSF_CELLS_CURRENT!$D:$D,$AW17))</f>
        <v/>
      </c>
      <c r="AZ17">
        <f>IF($AW17="","",INDEX(WSF_CELLS_CURRENT!$E:$E,$AW17))</f>
        <v/>
      </c>
    </row>
    <row r="18">
      <c r="AI18" t="inlineStr">
        <is>
          <t>Areas ranked</t>
        </is>
      </c>
      <c r="AJ18">
        <f>COUNT($AE$3:$AE$3)</f>
        <v/>
      </c>
      <c r="AW18">
        <f>IFERROR(SMALL(WSF_CELLS_CURRENT!$N:$N,15),"")</f>
        <v/>
      </c>
      <c r="AX18">
        <f>IF($AW18="","",INDEX(WSF_CELLS_CURRENT!$C:$C,$AW18))</f>
        <v/>
      </c>
      <c r="AY18">
        <f>IF($AW18="","",INDEX(WSF_CELLS_CURRENT!$D:$D,$AW18))</f>
        <v/>
      </c>
      <c r="AZ18">
        <f>IF($AW18="","",INDEX(WSF_CELLS_CURRENT!$E:$E,$AW18))</f>
        <v/>
      </c>
    </row>
    <row r="19">
      <c r="AW19">
        <f>IFERROR(SMALL(WSF_CELLS_CURRENT!$N:$N,16),"")</f>
        <v/>
      </c>
      <c r="AX19">
        <f>IF($AW19="","",INDEX(WSF_CELLS_CURRENT!$C:$C,$AW19))</f>
        <v/>
      </c>
      <c r="AY19">
        <f>IF($AW19="","",INDEX(WSF_CELLS_CURRENT!$D:$D,$AW19))</f>
        <v/>
      </c>
      <c r="AZ19">
        <f>IF($AW19="","",INDEX(WSF_CELLS_CURRENT!$E:$E,$AW19))</f>
        <v/>
      </c>
    </row>
    <row r="20">
      <c r="A20" s="133" t="inlineStr">
        <is>
          <t>k</t>
        </is>
      </c>
      <c r="B20" s="133" t="inlineStr">
        <is>
          <t>Week</t>
        </is>
      </c>
      <c r="C20" s="133" t="inlineStr">
        <is>
          <t>Month</t>
        </is>
      </c>
      <c r="D20" s="133" t="inlineStr">
        <is>
          <t>Quarter</t>
        </is>
      </c>
      <c r="E20" s="133" t="inlineStr">
        <is>
          <t>Year</t>
        </is>
      </c>
      <c r="F20" s="133" t="inlineStr">
        <is>
          <t>Rows</t>
        </is>
      </c>
      <c r="G20" s="133" t="inlineStr">
        <is>
          <t>Male</t>
        </is>
      </c>
      <c r="H20" s="133" t="inlineStr">
        <is>
          <t>Female</t>
        </is>
      </c>
      <c r="I20" s="133" t="inlineStr">
        <is>
          <t>Children</t>
        </is>
      </c>
      <c r="J20" s="133" t="inlineStr">
        <is>
          <t>Adult</t>
        </is>
      </c>
      <c r="K20" s="133" t="inlineStr">
        <is>
          <t>Grand</t>
        </is>
      </c>
      <c r="L20" s="133" t="inlineStr">
        <is>
          <t>Cells total</t>
        </is>
      </c>
      <c r="M20" s="133" t="inlineStr">
        <is>
          <t>Cells reported</t>
        </is>
      </c>
      <c r="N20" s="133" t="inlineStr">
        <is>
          <t>Not reported</t>
        </is>
      </c>
      <c r="O20" s="133" t="inlineStr">
        <is>
          <t>% reporting</t>
        </is>
      </c>
      <c r="P20" s="133" t="inlineStr">
        <is>
          <t>Avg / cell</t>
        </is>
      </c>
      <c r="Q20" s="133" t="inlineStr">
        <is>
          <t>Has data</t>
        </is>
      </c>
      <c r="R20" s="133" t="inlineStr">
        <is>
          <t>In window</t>
        </is>
      </c>
      <c r="S20" s="133" t="inlineStr">
        <is>
          <t>In MTD</t>
        </is>
      </c>
      <c r="T20" s="133" t="inlineStr">
        <is>
          <t>In QTD</t>
        </is>
      </c>
      <c r="U20" s="133" t="inlineStr">
        <is>
          <t>In YTD</t>
        </is>
      </c>
      <c r="AW20">
        <f>IFERROR(SMALL(WSF_CELLS_CURRENT!$N:$N,17),"")</f>
        <v/>
      </c>
      <c r="AX20">
        <f>IF($AW20="","",INDEX(WSF_CELLS_CURRENT!$C:$C,$AW20))</f>
        <v/>
      </c>
      <c r="AY20">
        <f>IF($AW20="","",INDEX(WSF_CELLS_CURRENT!$D:$D,$AW20))</f>
        <v/>
      </c>
      <c r="AZ20">
        <f>IF($AW20="","",INDEX(WSF_CELLS_CURRENT!$E:$E,$AW20))</f>
        <v/>
      </c>
    </row>
    <row r="21">
      <c r="A21" t="n">
        <v>0</v>
      </c>
      <c r="B21" s="116">
        <f>IF($B$10=0,"",$B$10-7*A21)</f>
        <v/>
      </c>
      <c r="C21">
        <f>IF(B21="","",MONTH(B21))</f>
        <v/>
      </c>
      <c r="D21">
        <f>IF(B21="","",ROUNDUP(MONTH(B21)/3,0))</f>
        <v/>
      </c>
      <c r="E21">
        <f>IF(B21="","",YEAR(B21))</f>
        <v/>
      </c>
      <c r="F21">
        <f>IF(B21="",0,COUNTIFS(DATA_WSF!$A:$A,B21,DATA_WSF!$C:$C,$B$6,DATA_WSF!$D:$D,$B$7))</f>
        <v/>
      </c>
      <c r="G21">
        <f>IF(F21=0,0,SUMIFS(DATA_WSF!$H:$H,DATA_WSF!$A:$A,B21,DATA_WSF!$C:$C,$B$6,DATA_WSF!$D:$D,$B$7))</f>
        <v/>
      </c>
      <c r="H21">
        <f>IF(F21=0,0,SUMIFS(DATA_WSF!$I:$I,DATA_WSF!$A:$A,B21,DATA_WSF!$C:$C,$B$6,DATA_WSF!$D:$D,$B$7))</f>
        <v/>
      </c>
      <c r="I21">
        <f>IF(F21=0,0,SUMIFS(DATA_WSF!$K:$K,DATA_WSF!$A:$A,B21,DATA_WSF!$C:$C,$B$6,DATA_WSF!$D:$D,$B$7))</f>
        <v/>
      </c>
      <c r="J21">
        <f>G21+H21</f>
        <v/>
      </c>
      <c r="K21">
        <f>J21+I21</f>
        <v/>
      </c>
      <c r="L21">
        <f>IF(F21=0,0,SUMIFS(DATA_WSF!$E:$E,DATA_WSF!$A:$A,B21,DATA_WSF!$C:$C,$B$6,DATA_WSF!$D:$D,$B$7))</f>
        <v/>
      </c>
      <c r="M21">
        <f>IF(F21=0,0,SUMIFS(DATA_WSF!$F:$F,DATA_WSF!$A:$A,B21,DATA_WSF!$C:$C,$B$6,DATA_WSF!$D:$D,$B$7))</f>
        <v/>
      </c>
      <c r="N21">
        <f>L21-M21</f>
        <v/>
      </c>
      <c r="O21">
        <f>IF(L21=0,0,M21/L21)</f>
        <v/>
      </c>
      <c r="P21">
        <f>IF(M21=0,0,K21/M21)</f>
        <v/>
      </c>
      <c r="Q21">
        <f>IF(F21&gt;0,1,0)</f>
        <v/>
      </c>
      <c r="R21">
        <f>IF(AND(A21&gt;=1,A21&lt;=$B$11),Q21,0)</f>
        <v/>
      </c>
      <c r="S21">
        <f>IF(AND(C21=$B$12,E21=$B$14),Q21,0)</f>
        <v/>
      </c>
      <c r="T21">
        <f>IF(AND(D21=$B$13,E21=$B$14),Q21,0)</f>
        <v/>
      </c>
      <c r="U21">
        <f>IF(E21=$B$14,Q21,0)</f>
        <v/>
      </c>
      <c r="AW21">
        <f>IFERROR(SMALL(WSF_CELLS_CURRENT!$N:$N,18),"")</f>
        <v/>
      </c>
      <c r="AX21">
        <f>IF($AW21="","",INDEX(WSF_CELLS_CURRENT!$C:$C,$AW21))</f>
        <v/>
      </c>
      <c r="AY21">
        <f>IF($AW21="","",INDEX(WSF_CELLS_CURRENT!$D:$D,$AW21))</f>
        <v/>
      </c>
      <c r="AZ21">
        <f>IF($AW21="","",INDEX(WSF_CELLS_CURRENT!$E:$E,$AW21))</f>
        <v/>
      </c>
    </row>
    <row r="22">
      <c r="A22" t="n">
        <v>1</v>
      </c>
      <c r="B22" s="116">
        <f>IF($B$10=0,"",$B$10-7*A22)</f>
        <v/>
      </c>
      <c r="C22">
        <f>IF(B22="","",MONTH(B22))</f>
        <v/>
      </c>
      <c r="D22">
        <f>IF(B22="","",ROUNDUP(MONTH(B22)/3,0))</f>
        <v/>
      </c>
      <c r="E22">
        <f>IF(B22="","",YEAR(B22))</f>
        <v/>
      </c>
      <c r="F22">
        <f>IF(B22="",0,COUNTIFS(DATA_WSF!$A:$A,B22,DATA_WSF!$C:$C,$B$6,DATA_WSF!$D:$D,$B$7))</f>
        <v/>
      </c>
      <c r="G22">
        <f>IF(F22=0,0,SUMIFS(DATA_WSF!$H:$H,DATA_WSF!$A:$A,B22,DATA_WSF!$C:$C,$B$6,DATA_WSF!$D:$D,$B$7))</f>
        <v/>
      </c>
      <c r="H22">
        <f>IF(F22=0,0,SUMIFS(DATA_WSF!$I:$I,DATA_WSF!$A:$A,B22,DATA_WSF!$C:$C,$B$6,DATA_WSF!$D:$D,$B$7))</f>
        <v/>
      </c>
      <c r="I22">
        <f>IF(F22=0,0,SUMIFS(DATA_WSF!$K:$K,DATA_WSF!$A:$A,B22,DATA_WSF!$C:$C,$B$6,DATA_WSF!$D:$D,$B$7))</f>
        <v/>
      </c>
      <c r="J22">
        <f>G22+H22</f>
        <v/>
      </c>
      <c r="K22">
        <f>J22+I22</f>
        <v/>
      </c>
      <c r="L22">
        <f>IF(F22=0,0,SUMIFS(DATA_WSF!$E:$E,DATA_WSF!$A:$A,B22,DATA_WSF!$C:$C,$B$6,DATA_WSF!$D:$D,$B$7))</f>
        <v/>
      </c>
      <c r="M22">
        <f>IF(F22=0,0,SUMIFS(DATA_WSF!$F:$F,DATA_WSF!$A:$A,B22,DATA_WSF!$C:$C,$B$6,DATA_WSF!$D:$D,$B$7))</f>
        <v/>
      </c>
      <c r="N22">
        <f>L22-M22</f>
        <v/>
      </c>
      <c r="O22">
        <f>IF(L22=0,0,M22/L22)</f>
        <v/>
      </c>
      <c r="P22">
        <f>IF(M22=0,0,K22/M22)</f>
        <v/>
      </c>
      <c r="Q22">
        <f>IF(F22&gt;0,1,0)</f>
        <v/>
      </c>
      <c r="R22">
        <f>IF(AND(A22&gt;=1,A22&lt;=$B$11),Q22,0)</f>
        <v/>
      </c>
      <c r="S22">
        <f>IF(AND(C22=$B$12,E22=$B$14),Q22,0)</f>
        <v/>
      </c>
      <c r="T22">
        <f>IF(AND(D22=$B$13,E22=$B$14),Q22,0)</f>
        <v/>
      </c>
      <c r="U22">
        <f>IF(E22=$B$14,Q22,0)</f>
        <v/>
      </c>
      <c r="AW22">
        <f>IFERROR(SMALL(WSF_CELLS_CURRENT!$N:$N,19),"")</f>
        <v/>
      </c>
      <c r="AX22">
        <f>IF($AW22="","",INDEX(WSF_CELLS_CURRENT!$C:$C,$AW22))</f>
        <v/>
      </c>
      <c r="AY22">
        <f>IF($AW22="","",INDEX(WSF_CELLS_CURRENT!$D:$D,$AW22))</f>
        <v/>
      </c>
      <c r="AZ22">
        <f>IF($AW22="","",INDEX(WSF_CELLS_CURRENT!$E:$E,$AW22))</f>
        <v/>
      </c>
    </row>
    <row r="23">
      <c r="A23" t="n">
        <v>2</v>
      </c>
      <c r="B23" s="116">
        <f>IF($B$10=0,"",$B$10-7*A23)</f>
        <v/>
      </c>
      <c r="C23">
        <f>IF(B23="","",MONTH(B23))</f>
        <v/>
      </c>
      <c r="D23">
        <f>IF(B23="","",ROUNDUP(MONTH(B23)/3,0))</f>
        <v/>
      </c>
      <c r="E23">
        <f>IF(B23="","",YEAR(B23))</f>
        <v/>
      </c>
      <c r="F23">
        <f>IF(B23="",0,COUNTIFS(DATA_WSF!$A:$A,B23,DATA_WSF!$C:$C,$B$6,DATA_WSF!$D:$D,$B$7))</f>
        <v/>
      </c>
      <c r="G23">
        <f>IF(F23=0,0,SUMIFS(DATA_WSF!$H:$H,DATA_WSF!$A:$A,B23,DATA_WSF!$C:$C,$B$6,DATA_WSF!$D:$D,$B$7))</f>
        <v/>
      </c>
      <c r="H23">
        <f>IF(F23=0,0,SUMIFS(DATA_WSF!$I:$I,DATA_WSF!$A:$A,B23,DATA_WSF!$C:$C,$B$6,DATA_WSF!$D:$D,$B$7))</f>
        <v/>
      </c>
      <c r="I23">
        <f>IF(F23=0,0,SUMIFS(DATA_WSF!$K:$K,DATA_WSF!$A:$A,B23,DATA_WSF!$C:$C,$B$6,DATA_WSF!$D:$D,$B$7))</f>
        <v/>
      </c>
      <c r="J23">
        <f>G23+H23</f>
        <v/>
      </c>
      <c r="K23">
        <f>J23+I23</f>
        <v/>
      </c>
      <c r="L23">
        <f>IF(F23=0,0,SUMIFS(DATA_WSF!$E:$E,DATA_WSF!$A:$A,B23,DATA_WSF!$C:$C,$B$6,DATA_WSF!$D:$D,$B$7))</f>
        <v/>
      </c>
      <c r="M23">
        <f>IF(F23=0,0,SUMIFS(DATA_WSF!$F:$F,DATA_WSF!$A:$A,B23,DATA_WSF!$C:$C,$B$6,DATA_WSF!$D:$D,$B$7))</f>
        <v/>
      </c>
      <c r="N23">
        <f>L23-M23</f>
        <v/>
      </c>
      <c r="O23">
        <f>IF(L23=0,0,M23/L23)</f>
        <v/>
      </c>
      <c r="P23">
        <f>IF(M23=0,0,K23/M23)</f>
        <v/>
      </c>
      <c r="Q23">
        <f>IF(F23&gt;0,1,0)</f>
        <v/>
      </c>
      <c r="R23">
        <f>IF(AND(A23&gt;=1,A23&lt;=$B$11),Q23,0)</f>
        <v/>
      </c>
      <c r="S23">
        <f>IF(AND(C23=$B$12,E23=$B$14),Q23,0)</f>
        <v/>
      </c>
      <c r="T23">
        <f>IF(AND(D23=$B$13,E23=$B$14),Q23,0)</f>
        <v/>
      </c>
      <c r="U23">
        <f>IF(E23=$B$14,Q23,0)</f>
        <v/>
      </c>
      <c r="AW23">
        <f>IFERROR(SMALL(WSF_CELLS_CURRENT!$N:$N,20),"")</f>
        <v/>
      </c>
      <c r="AX23">
        <f>IF($AW23="","",INDEX(WSF_CELLS_CURRENT!$C:$C,$AW23))</f>
        <v/>
      </c>
      <c r="AY23">
        <f>IF($AW23="","",INDEX(WSF_CELLS_CURRENT!$D:$D,$AW23))</f>
        <v/>
      </c>
      <c r="AZ23">
        <f>IF($AW23="","",INDEX(WSF_CELLS_CURRENT!$E:$E,$AW23))</f>
        <v/>
      </c>
    </row>
    <row r="24">
      <c r="A24" t="n">
        <v>3</v>
      </c>
      <c r="B24" s="116">
        <f>IF($B$10=0,"",$B$10-7*A24)</f>
        <v/>
      </c>
      <c r="C24">
        <f>IF(B24="","",MONTH(B24))</f>
        <v/>
      </c>
      <c r="D24">
        <f>IF(B24="","",ROUNDUP(MONTH(B24)/3,0))</f>
        <v/>
      </c>
      <c r="E24">
        <f>IF(B24="","",YEAR(B24))</f>
        <v/>
      </c>
      <c r="F24">
        <f>IF(B24="",0,COUNTIFS(DATA_WSF!$A:$A,B24,DATA_WSF!$C:$C,$B$6,DATA_WSF!$D:$D,$B$7))</f>
        <v/>
      </c>
      <c r="G24">
        <f>IF(F24=0,0,SUMIFS(DATA_WSF!$H:$H,DATA_WSF!$A:$A,B24,DATA_WSF!$C:$C,$B$6,DATA_WSF!$D:$D,$B$7))</f>
        <v/>
      </c>
      <c r="H24">
        <f>IF(F24=0,0,SUMIFS(DATA_WSF!$I:$I,DATA_WSF!$A:$A,B24,DATA_WSF!$C:$C,$B$6,DATA_WSF!$D:$D,$B$7))</f>
        <v/>
      </c>
      <c r="I24">
        <f>IF(F24=0,0,SUMIFS(DATA_WSF!$K:$K,DATA_WSF!$A:$A,B24,DATA_WSF!$C:$C,$B$6,DATA_WSF!$D:$D,$B$7))</f>
        <v/>
      </c>
      <c r="J24">
        <f>G24+H24</f>
        <v/>
      </c>
      <c r="K24">
        <f>J24+I24</f>
        <v/>
      </c>
      <c r="L24">
        <f>IF(F24=0,0,SUMIFS(DATA_WSF!$E:$E,DATA_WSF!$A:$A,B24,DATA_WSF!$C:$C,$B$6,DATA_WSF!$D:$D,$B$7))</f>
        <v/>
      </c>
      <c r="M24">
        <f>IF(F24=0,0,SUMIFS(DATA_WSF!$F:$F,DATA_WSF!$A:$A,B24,DATA_WSF!$C:$C,$B$6,DATA_WSF!$D:$D,$B$7))</f>
        <v/>
      </c>
      <c r="N24">
        <f>L24-M24</f>
        <v/>
      </c>
      <c r="O24">
        <f>IF(L24=0,0,M24/L24)</f>
        <v/>
      </c>
      <c r="P24">
        <f>IF(M24=0,0,K24/M24)</f>
        <v/>
      </c>
      <c r="Q24">
        <f>IF(F24&gt;0,1,0)</f>
        <v/>
      </c>
      <c r="R24">
        <f>IF(AND(A24&gt;=1,A24&lt;=$B$11),Q24,0)</f>
        <v/>
      </c>
      <c r="S24">
        <f>IF(AND(C24=$B$12,E24=$B$14),Q24,0)</f>
        <v/>
      </c>
      <c r="T24">
        <f>IF(AND(D24=$B$13,E24=$B$14),Q24,0)</f>
        <v/>
      </c>
      <c r="U24">
        <f>IF(E24=$B$14,Q24,0)</f>
        <v/>
      </c>
      <c r="AW24">
        <f>IFERROR(SMALL(WSF_CELLS_CURRENT!$N:$N,21),"")</f>
        <v/>
      </c>
      <c r="AX24">
        <f>IF($AW24="","",INDEX(WSF_CELLS_CURRENT!$C:$C,$AW24))</f>
        <v/>
      </c>
      <c r="AY24">
        <f>IF($AW24="","",INDEX(WSF_CELLS_CURRENT!$D:$D,$AW24))</f>
        <v/>
      </c>
      <c r="AZ24">
        <f>IF($AW24="","",INDEX(WSF_CELLS_CURRENT!$E:$E,$AW24))</f>
        <v/>
      </c>
    </row>
    <row r="25">
      <c r="A25" t="n">
        <v>4</v>
      </c>
      <c r="B25" s="116">
        <f>IF($B$10=0,"",$B$10-7*A25)</f>
        <v/>
      </c>
      <c r="C25">
        <f>IF(B25="","",MONTH(B25))</f>
        <v/>
      </c>
      <c r="D25">
        <f>IF(B25="","",ROUNDUP(MONTH(B25)/3,0))</f>
        <v/>
      </c>
      <c r="E25">
        <f>IF(B25="","",YEAR(B25))</f>
        <v/>
      </c>
      <c r="F25">
        <f>IF(B25="",0,COUNTIFS(DATA_WSF!$A:$A,B25,DATA_WSF!$C:$C,$B$6,DATA_WSF!$D:$D,$B$7))</f>
        <v/>
      </c>
      <c r="G25">
        <f>IF(F25=0,0,SUMIFS(DATA_WSF!$H:$H,DATA_WSF!$A:$A,B25,DATA_WSF!$C:$C,$B$6,DATA_WSF!$D:$D,$B$7))</f>
        <v/>
      </c>
      <c r="H25">
        <f>IF(F25=0,0,SUMIFS(DATA_WSF!$I:$I,DATA_WSF!$A:$A,B25,DATA_WSF!$C:$C,$B$6,DATA_WSF!$D:$D,$B$7))</f>
        <v/>
      </c>
      <c r="I25">
        <f>IF(F25=0,0,SUMIFS(DATA_WSF!$K:$K,DATA_WSF!$A:$A,B25,DATA_WSF!$C:$C,$B$6,DATA_WSF!$D:$D,$B$7))</f>
        <v/>
      </c>
      <c r="J25">
        <f>G25+H25</f>
        <v/>
      </c>
      <c r="K25">
        <f>J25+I25</f>
        <v/>
      </c>
      <c r="L25">
        <f>IF(F25=0,0,SUMIFS(DATA_WSF!$E:$E,DATA_WSF!$A:$A,B25,DATA_WSF!$C:$C,$B$6,DATA_WSF!$D:$D,$B$7))</f>
        <v/>
      </c>
      <c r="M25">
        <f>IF(F25=0,0,SUMIFS(DATA_WSF!$F:$F,DATA_WSF!$A:$A,B25,DATA_WSF!$C:$C,$B$6,DATA_WSF!$D:$D,$B$7))</f>
        <v/>
      </c>
      <c r="N25">
        <f>L25-M25</f>
        <v/>
      </c>
      <c r="O25">
        <f>IF(L25=0,0,M25/L25)</f>
        <v/>
      </c>
      <c r="P25">
        <f>IF(M25=0,0,K25/M25)</f>
        <v/>
      </c>
      <c r="Q25">
        <f>IF(F25&gt;0,1,0)</f>
        <v/>
      </c>
      <c r="R25">
        <f>IF(AND(A25&gt;=1,A25&lt;=$B$11),Q25,0)</f>
        <v/>
      </c>
      <c r="S25">
        <f>IF(AND(C25=$B$12,E25=$B$14),Q25,0)</f>
        <v/>
      </c>
      <c r="T25">
        <f>IF(AND(D25=$B$13,E25=$B$14),Q25,0)</f>
        <v/>
      </c>
      <c r="U25">
        <f>IF(E25=$B$14,Q25,0)</f>
        <v/>
      </c>
      <c r="AW25">
        <f>IFERROR(SMALL(WSF_CELLS_CURRENT!$N:$N,22),"")</f>
        <v/>
      </c>
      <c r="AX25">
        <f>IF($AW25="","",INDEX(WSF_CELLS_CURRENT!$C:$C,$AW25))</f>
        <v/>
      </c>
      <c r="AY25">
        <f>IF($AW25="","",INDEX(WSF_CELLS_CURRENT!$D:$D,$AW25))</f>
        <v/>
      </c>
      <c r="AZ25">
        <f>IF($AW25="","",INDEX(WSF_CELLS_CURRENT!$E:$E,$AW25))</f>
        <v/>
      </c>
    </row>
    <row r="26">
      <c r="A26" t="n">
        <v>5</v>
      </c>
      <c r="B26" s="116">
        <f>IF($B$10=0,"",$B$10-7*A26)</f>
        <v/>
      </c>
      <c r="C26">
        <f>IF(B26="","",MONTH(B26))</f>
        <v/>
      </c>
      <c r="D26">
        <f>IF(B26="","",ROUNDUP(MONTH(B26)/3,0))</f>
        <v/>
      </c>
      <c r="E26">
        <f>IF(B26="","",YEAR(B26))</f>
        <v/>
      </c>
      <c r="F26">
        <f>IF(B26="",0,COUNTIFS(DATA_WSF!$A:$A,B26,DATA_WSF!$C:$C,$B$6,DATA_WSF!$D:$D,$B$7))</f>
        <v/>
      </c>
      <c r="G26">
        <f>IF(F26=0,0,SUMIFS(DATA_WSF!$H:$H,DATA_WSF!$A:$A,B26,DATA_WSF!$C:$C,$B$6,DATA_WSF!$D:$D,$B$7))</f>
        <v/>
      </c>
      <c r="H26">
        <f>IF(F26=0,0,SUMIFS(DATA_WSF!$I:$I,DATA_WSF!$A:$A,B26,DATA_WSF!$C:$C,$B$6,DATA_WSF!$D:$D,$B$7))</f>
        <v/>
      </c>
      <c r="I26">
        <f>IF(F26=0,0,SUMIFS(DATA_WSF!$K:$K,DATA_WSF!$A:$A,B26,DATA_WSF!$C:$C,$B$6,DATA_WSF!$D:$D,$B$7))</f>
        <v/>
      </c>
      <c r="J26">
        <f>G26+H26</f>
        <v/>
      </c>
      <c r="K26">
        <f>J26+I26</f>
        <v/>
      </c>
      <c r="L26">
        <f>IF(F26=0,0,SUMIFS(DATA_WSF!$E:$E,DATA_WSF!$A:$A,B26,DATA_WSF!$C:$C,$B$6,DATA_WSF!$D:$D,$B$7))</f>
        <v/>
      </c>
      <c r="M26">
        <f>IF(F26=0,0,SUMIFS(DATA_WSF!$F:$F,DATA_WSF!$A:$A,B26,DATA_WSF!$C:$C,$B$6,DATA_WSF!$D:$D,$B$7))</f>
        <v/>
      </c>
      <c r="N26">
        <f>L26-M26</f>
        <v/>
      </c>
      <c r="O26">
        <f>IF(L26=0,0,M26/L26)</f>
        <v/>
      </c>
      <c r="P26">
        <f>IF(M26=0,0,K26/M26)</f>
        <v/>
      </c>
      <c r="Q26">
        <f>IF(F26&gt;0,1,0)</f>
        <v/>
      </c>
      <c r="R26">
        <f>IF(AND(A26&gt;=1,A26&lt;=$B$11),Q26,0)</f>
        <v/>
      </c>
      <c r="S26">
        <f>IF(AND(C26=$B$12,E26=$B$14),Q26,0)</f>
        <v/>
      </c>
      <c r="T26">
        <f>IF(AND(D26=$B$13,E26=$B$14),Q26,0)</f>
        <v/>
      </c>
      <c r="U26">
        <f>IF(E26=$B$14,Q26,0)</f>
        <v/>
      </c>
      <c r="AW26">
        <f>IFERROR(SMALL(WSF_CELLS_CURRENT!$N:$N,23),"")</f>
        <v/>
      </c>
      <c r="AX26">
        <f>IF($AW26="","",INDEX(WSF_CELLS_CURRENT!$C:$C,$AW26))</f>
        <v/>
      </c>
      <c r="AY26">
        <f>IF($AW26="","",INDEX(WSF_CELLS_CURRENT!$D:$D,$AW26))</f>
        <v/>
      </c>
      <c r="AZ26">
        <f>IF($AW26="","",INDEX(WSF_CELLS_CURRENT!$E:$E,$AW26))</f>
        <v/>
      </c>
    </row>
    <row r="27">
      <c r="A27" t="n">
        <v>6</v>
      </c>
      <c r="B27" s="116">
        <f>IF($B$10=0,"",$B$10-7*A27)</f>
        <v/>
      </c>
      <c r="C27">
        <f>IF(B27="","",MONTH(B27))</f>
        <v/>
      </c>
      <c r="D27">
        <f>IF(B27="","",ROUNDUP(MONTH(B27)/3,0))</f>
        <v/>
      </c>
      <c r="E27">
        <f>IF(B27="","",YEAR(B27))</f>
        <v/>
      </c>
      <c r="F27">
        <f>IF(B27="",0,COUNTIFS(DATA_WSF!$A:$A,B27,DATA_WSF!$C:$C,$B$6,DATA_WSF!$D:$D,$B$7))</f>
        <v/>
      </c>
      <c r="G27">
        <f>IF(F27=0,0,SUMIFS(DATA_WSF!$H:$H,DATA_WSF!$A:$A,B27,DATA_WSF!$C:$C,$B$6,DATA_WSF!$D:$D,$B$7))</f>
        <v/>
      </c>
      <c r="H27">
        <f>IF(F27=0,0,SUMIFS(DATA_WSF!$I:$I,DATA_WSF!$A:$A,B27,DATA_WSF!$C:$C,$B$6,DATA_WSF!$D:$D,$B$7))</f>
        <v/>
      </c>
      <c r="I27">
        <f>IF(F27=0,0,SUMIFS(DATA_WSF!$K:$K,DATA_WSF!$A:$A,B27,DATA_WSF!$C:$C,$B$6,DATA_WSF!$D:$D,$B$7))</f>
        <v/>
      </c>
      <c r="J27">
        <f>G27+H27</f>
        <v/>
      </c>
      <c r="K27">
        <f>J27+I27</f>
        <v/>
      </c>
      <c r="L27">
        <f>IF(F27=0,0,SUMIFS(DATA_WSF!$E:$E,DATA_WSF!$A:$A,B27,DATA_WSF!$C:$C,$B$6,DATA_WSF!$D:$D,$B$7))</f>
        <v/>
      </c>
      <c r="M27">
        <f>IF(F27=0,0,SUMIFS(DATA_WSF!$F:$F,DATA_WSF!$A:$A,B27,DATA_WSF!$C:$C,$B$6,DATA_WSF!$D:$D,$B$7))</f>
        <v/>
      </c>
      <c r="N27">
        <f>L27-M27</f>
        <v/>
      </c>
      <c r="O27">
        <f>IF(L27=0,0,M27/L27)</f>
        <v/>
      </c>
      <c r="P27">
        <f>IF(M27=0,0,K27/M27)</f>
        <v/>
      </c>
      <c r="Q27">
        <f>IF(F27&gt;0,1,0)</f>
        <v/>
      </c>
      <c r="R27">
        <f>IF(AND(A27&gt;=1,A27&lt;=$B$11),Q27,0)</f>
        <v/>
      </c>
      <c r="S27">
        <f>IF(AND(C27=$B$12,E27=$B$14),Q27,0)</f>
        <v/>
      </c>
      <c r="T27">
        <f>IF(AND(D27=$B$13,E27=$B$14),Q27,0)</f>
        <v/>
      </c>
      <c r="U27">
        <f>IF(E27=$B$14,Q27,0)</f>
        <v/>
      </c>
      <c r="AW27">
        <f>IFERROR(SMALL(WSF_CELLS_CURRENT!$N:$N,24),"")</f>
        <v/>
      </c>
      <c r="AX27">
        <f>IF($AW27="","",INDEX(WSF_CELLS_CURRENT!$C:$C,$AW27))</f>
        <v/>
      </c>
      <c r="AY27">
        <f>IF($AW27="","",INDEX(WSF_CELLS_CURRENT!$D:$D,$AW27))</f>
        <v/>
      </c>
      <c r="AZ27">
        <f>IF($AW27="","",INDEX(WSF_CELLS_CURRENT!$E:$E,$AW27))</f>
        <v/>
      </c>
    </row>
    <row r="28">
      <c r="A28" t="n">
        <v>7</v>
      </c>
      <c r="B28" s="116">
        <f>IF($B$10=0,"",$B$10-7*A28)</f>
        <v/>
      </c>
      <c r="C28">
        <f>IF(B28="","",MONTH(B28))</f>
        <v/>
      </c>
      <c r="D28">
        <f>IF(B28="","",ROUNDUP(MONTH(B28)/3,0))</f>
        <v/>
      </c>
      <c r="E28">
        <f>IF(B28="","",YEAR(B28))</f>
        <v/>
      </c>
      <c r="F28">
        <f>IF(B28="",0,COUNTIFS(DATA_WSF!$A:$A,B28,DATA_WSF!$C:$C,$B$6,DATA_WSF!$D:$D,$B$7))</f>
        <v/>
      </c>
      <c r="G28">
        <f>IF(F28=0,0,SUMIFS(DATA_WSF!$H:$H,DATA_WSF!$A:$A,B28,DATA_WSF!$C:$C,$B$6,DATA_WSF!$D:$D,$B$7))</f>
        <v/>
      </c>
      <c r="H28">
        <f>IF(F28=0,0,SUMIFS(DATA_WSF!$I:$I,DATA_WSF!$A:$A,B28,DATA_WSF!$C:$C,$B$6,DATA_WSF!$D:$D,$B$7))</f>
        <v/>
      </c>
      <c r="I28">
        <f>IF(F28=0,0,SUMIFS(DATA_WSF!$K:$K,DATA_WSF!$A:$A,B28,DATA_WSF!$C:$C,$B$6,DATA_WSF!$D:$D,$B$7))</f>
        <v/>
      </c>
      <c r="J28">
        <f>G28+H28</f>
        <v/>
      </c>
      <c r="K28">
        <f>J28+I28</f>
        <v/>
      </c>
      <c r="L28">
        <f>IF(F28=0,0,SUMIFS(DATA_WSF!$E:$E,DATA_WSF!$A:$A,B28,DATA_WSF!$C:$C,$B$6,DATA_WSF!$D:$D,$B$7))</f>
        <v/>
      </c>
      <c r="M28">
        <f>IF(F28=0,0,SUMIFS(DATA_WSF!$F:$F,DATA_WSF!$A:$A,B28,DATA_WSF!$C:$C,$B$6,DATA_WSF!$D:$D,$B$7))</f>
        <v/>
      </c>
      <c r="N28">
        <f>L28-M28</f>
        <v/>
      </c>
      <c r="O28">
        <f>IF(L28=0,0,M28/L28)</f>
        <v/>
      </c>
      <c r="P28">
        <f>IF(M28=0,0,K28/M28)</f>
        <v/>
      </c>
      <c r="Q28">
        <f>IF(F28&gt;0,1,0)</f>
        <v/>
      </c>
      <c r="R28">
        <f>IF(AND(A28&gt;=1,A28&lt;=$B$11),Q28,0)</f>
        <v/>
      </c>
      <c r="S28">
        <f>IF(AND(C28=$B$12,E28=$B$14),Q28,0)</f>
        <v/>
      </c>
      <c r="T28">
        <f>IF(AND(D28=$B$13,E28=$B$14),Q28,0)</f>
        <v/>
      </c>
      <c r="U28">
        <f>IF(E28=$B$14,Q28,0)</f>
        <v/>
      </c>
      <c r="AW28">
        <f>IFERROR(SMALL(WSF_CELLS_CURRENT!$N:$N,25),"")</f>
        <v/>
      </c>
      <c r="AX28">
        <f>IF($AW28="","",INDEX(WSF_CELLS_CURRENT!$C:$C,$AW28))</f>
        <v/>
      </c>
      <c r="AY28">
        <f>IF($AW28="","",INDEX(WSF_CELLS_CURRENT!$D:$D,$AW28))</f>
        <v/>
      </c>
      <c r="AZ28">
        <f>IF($AW28="","",INDEX(WSF_CELLS_CURRENT!$E:$E,$AW28))</f>
        <v/>
      </c>
    </row>
    <row r="29">
      <c r="A29" t="n">
        <v>8</v>
      </c>
      <c r="B29" s="116">
        <f>IF($B$10=0,"",$B$10-7*A29)</f>
        <v/>
      </c>
      <c r="C29">
        <f>IF(B29="","",MONTH(B29))</f>
        <v/>
      </c>
      <c r="D29">
        <f>IF(B29="","",ROUNDUP(MONTH(B29)/3,0))</f>
        <v/>
      </c>
      <c r="E29">
        <f>IF(B29="","",YEAR(B29))</f>
        <v/>
      </c>
      <c r="F29">
        <f>IF(B29="",0,COUNTIFS(DATA_WSF!$A:$A,B29,DATA_WSF!$C:$C,$B$6,DATA_WSF!$D:$D,$B$7))</f>
        <v/>
      </c>
      <c r="G29">
        <f>IF(F29=0,0,SUMIFS(DATA_WSF!$H:$H,DATA_WSF!$A:$A,B29,DATA_WSF!$C:$C,$B$6,DATA_WSF!$D:$D,$B$7))</f>
        <v/>
      </c>
      <c r="H29">
        <f>IF(F29=0,0,SUMIFS(DATA_WSF!$I:$I,DATA_WSF!$A:$A,B29,DATA_WSF!$C:$C,$B$6,DATA_WSF!$D:$D,$B$7))</f>
        <v/>
      </c>
      <c r="I29">
        <f>IF(F29=0,0,SUMIFS(DATA_WSF!$K:$K,DATA_WSF!$A:$A,B29,DATA_WSF!$C:$C,$B$6,DATA_WSF!$D:$D,$B$7))</f>
        <v/>
      </c>
      <c r="J29">
        <f>G29+H29</f>
        <v/>
      </c>
      <c r="K29">
        <f>J29+I29</f>
        <v/>
      </c>
      <c r="L29">
        <f>IF(F29=0,0,SUMIFS(DATA_WSF!$E:$E,DATA_WSF!$A:$A,B29,DATA_WSF!$C:$C,$B$6,DATA_WSF!$D:$D,$B$7))</f>
        <v/>
      </c>
      <c r="M29">
        <f>IF(F29=0,0,SUMIFS(DATA_WSF!$F:$F,DATA_WSF!$A:$A,B29,DATA_WSF!$C:$C,$B$6,DATA_WSF!$D:$D,$B$7))</f>
        <v/>
      </c>
      <c r="N29">
        <f>L29-M29</f>
        <v/>
      </c>
      <c r="O29">
        <f>IF(L29=0,0,M29/L29)</f>
        <v/>
      </c>
      <c r="P29">
        <f>IF(M29=0,0,K29/M29)</f>
        <v/>
      </c>
      <c r="Q29">
        <f>IF(F29&gt;0,1,0)</f>
        <v/>
      </c>
      <c r="R29">
        <f>IF(AND(A29&gt;=1,A29&lt;=$B$11),Q29,0)</f>
        <v/>
      </c>
      <c r="S29">
        <f>IF(AND(C29=$B$12,E29=$B$14),Q29,0)</f>
        <v/>
      </c>
      <c r="T29">
        <f>IF(AND(D29=$B$13,E29=$B$14),Q29,0)</f>
        <v/>
      </c>
      <c r="U29">
        <f>IF(E29=$B$14,Q29,0)</f>
        <v/>
      </c>
      <c r="AW29">
        <f>IFERROR(SMALL(WSF_CELLS_CURRENT!$N:$N,26),"")</f>
        <v/>
      </c>
      <c r="AX29">
        <f>IF($AW29="","",INDEX(WSF_CELLS_CURRENT!$C:$C,$AW29))</f>
        <v/>
      </c>
      <c r="AY29">
        <f>IF($AW29="","",INDEX(WSF_CELLS_CURRENT!$D:$D,$AW29))</f>
        <v/>
      </c>
      <c r="AZ29">
        <f>IF($AW29="","",INDEX(WSF_CELLS_CURRENT!$E:$E,$AW29))</f>
        <v/>
      </c>
    </row>
    <row r="30">
      <c r="A30" t="n">
        <v>9</v>
      </c>
      <c r="B30" s="116">
        <f>IF($B$10=0,"",$B$10-7*A30)</f>
        <v/>
      </c>
      <c r="C30">
        <f>IF(B30="","",MONTH(B30))</f>
        <v/>
      </c>
      <c r="D30">
        <f>IF(B30="","",ROUNDUP(MONTH(B30)/3,0))</f>
        <v/>
      </c>
      <c r="E30">
        <f>IF(B30="","",YEAR(B30))</f>
        <v/>
      </c>
      <c r="F30">
        <f>IF(B30="",0,COUNTIFS(DATA_WSF!$A:$A,B30,DATA_WSF!$C:$C,$B$6,DATA_WSF!$D:$D,$B$7))</f>
        <v/>
      </c>
      <c r="G30">
        <f>IF(F30=0,0,SUMIFS(DATA_WSF!$H:$H,DATA_WSF!$A:$A,B30,DATA_WSF!$C:$C,$B$6,DATA_WSF!$D:$D,$B$7))</f>
        <v/>
      </c>
      <c r="H30">
        <f>IF(F30=0,0,SUMIFS(DATA_WSF!$I:$I,DATA_WSF!$A:$A,B30,DATA_WSF!$C:$C,$B$6,DATA_WSF!$D:$D,$B$7))</f>
        <v/>
      </c>
      <c r="I30">
        <f>IF(F30=0,0,SUMIFS(DATA_WSF!$K:$K,DATA_WSF!$A:$A,B30,DATA_WSF!$C:$C,$B$6,DATA_WSF!$D:$D,$B$7))</f>
        <v/>
      </c>
      <c r="J30">
        <f>G30+H30</f>
        <v/>
      </c>
      <c r="K30">
        <f>J30+I30</f>
        <v/>
      </c>
      <c r="L30">
        <f>IF(F30=0,0,SUMIFS(DATA_WSF!$E:$E,DATA_WSF!$A:$A,B30,DATA_WSF!$C:$C,$B$6,DATA_WSF!$D:$D,$B$7))</f>
        <v/>
      </c>
      <c r="M30">
        <f>IF(F30=0,0,SUMIFS(DATA_WSF!$F:$F,DATA_WSF!$A:$A,B30,DATA_WSF!$C:$C,$B$6,DATA_WSF!$D:$D,$B$7))</f>
        <v/>
      </c>
      <c r="N30">
        <f>L30-M30</f>
        <v/>
      </c>
      <c r="O30">
        <f>IF(L30=0,0,M30/L30)</f>
        <v/>
      </c>
      <c r="P30">
        <f>IF(M30=0,0,K30/M30)</f>
        <v/>
      </c>
      <c r="Q30">
        <f>IF(F30&gt;0,1,0)</f>
        <v/>
      </c>
      <c r="R30">
        <f>IF(AND(A30&gt;=1,A30&lt;=$B$11),Q30,0)</f>
        <v/>
      </c>
      <c r="S30">
        <f>IF(AND(C30=$B$12,E30=$B$14),Q30,0)</f>
        <v/>
      </c>
      <c r="T30">
        <f>IF(AND(D30=$B$13,E30=$B$14),Q30,0)</f>
        <v/>
      </c>
      <c r="U30">
        <f>IF(E30=$B$14,Q30,0)</f>
        <v/>
      </c>
      <c r="AW30">
        <f>IFERROR(SMALL(WSF_CELLS_CURRENT!$N:$N,27),"")</f>
        <v/>
      </c>
      <c r="AX30">
        <f>IF($AW30="","",INDEX(WSF_CELLS_CURRENT!$C:$C,$AW30))</f>
        <v/>
      </c>
      <c r="AY30">
        <f>IF($AW30="","",INDEX(WSF_CELLS_CURRENT!$D:$D,$AW30))</f>
        <v/>
      </c>
      <c r="AZ30">
        <f>IF($AW30="","",INDEX(WSF_CELLS_CURRENT!$E:$E,$AW30))</f>
        <v/>
      </c>
    </row>
    <row r="31">
      <c r="A31" t="n">
        <v>10</v>
      </c>
      <c r="B31" s="116">
        <f>IF($B$10=0,"",$B$10-7*A31)</f>
        <v/>
      </c>
      <c r="C31">
        <f>IF(B31="","",MONTH(B31))</f>
        <v/>
      </c>
      <c r="D31">
        <f>IF(B31="","",ROUNDUP(MONTH(B31)/3,0))</f>
        <v/>
      </c>
      <c r="E31">
        <f>IF(B31="","",YEAR(B31))</f>
        <v/>
      </c>
      <c r="F31">
        <f>IF(B31="",0,COUNTIFS(DATA_WSF!$A:$A,B31,DATA_WSF!$C:$C,$B$6,DATA_WSF!$D:$D,$B$7))</f>
        <v/>
      </c>
      <c r="G31">
        <f>IF(F31=0,0,SUMIFS(DATA_WSF!$H:$H,DATA_WSF!$A:$A,B31,DATA_WSF!$C:$C,$B$6,DATA_WSF!$D:$D,$B$7))</f>
        <v/>
      </c>
      <c r="H31">
        <f>IF(F31=0,0,SUMIFS(DATA_WSF!$I:$I,DATA_WSF!$A:$A,B31,DATA_WSF!$C:$C,$B$6,DATA_WSF!$D:$D,$B$7))</f>
        <v/>
      </c>
      <c r="I31">
        <f>IF(F31=0,0,SUMIFS(DATA_WSF!$K:$K,DATA_WSF!$A:$A,B31,DATA_WSF!$C:$C,$B$6,DATA_WSF!$D:$D,$B$7))</f>
        <v/>
      </c>
      <c r="J31">
        <f>G31+H31</f>
        <v/>
      </c>
      <c r="K31">
        <f>J31+I31</f>
        <v/>
      </c>
      <c r="L31">
        <f>IF(F31=0,0,SUMIFS(DATA_WSF!$E:$E,DATA_WSF!$A:$A,B31,DATA_WSF!$C:$C,$B$6,DATA_WSF!$D:$D,$B$7))</f>
        <v/>
      </c>
      <c r="M31">
        <f>IF(F31=0,0,SUMIFS(DATA_WSF!$F:$F,DATA_WSF!$A:$A,B31,DATA_WSF!$C:$C,$B$6,DATA_WSF!$D:$D,$B$7))</f>
        <v/>
      </c>
      <c r="N31">
        <f>L31-M31</f>
        <v/>
      </c>
      <c r="O31">
        <f>IF(L31=0,0,M31/L31)</f>
        <v/>
      </c>
      <c r="P31">
        <f>IF(M31=0,0,K31/M31)</f>
        <v/>
      </c>
      <c r="Q31">
        <f>IF(F31&gt;0,1,0)</f>
        <v/>
      </c>
      <c r="R31">
        <f>IF(AND(A31&gt;=1,A31&lt;=$B$11),Q31,0)</f>
        <v/>
      </c>
      <c r="S31">
        <f>IF(AND(C31=$B$12,E31=$B$14),Q31,0)</f>
        <v/>
      </c>
      <c r="T31">
        <f>IF(AND(D31=$B$13,E31=$B$14),Q31,0)</f>
        <v/>
      </c>
      <c r="U31">
        <f>IF(E31=$B$14,Q31,0)</f>
        <v/>
      </c>
      <c r="AW31">
        <f>IFERROR(SMALL(WSF_CELLS_CURRENT!$N:$N,28),"")</f>
        <v/>
      </c>
      <c r="AX31">
        <f>IF($AW31="","",INDEX(WSF_CELLS_CURRENT!$C:$C,$AW31))</f>
        <v/>
      </c>
      <c r="AY31">
        <f>IF($AW31="","",INDEX(WSF_CELLS_CURRENT!$D:$D,$AW31))</f>
        <v/>
      </c>
      <c r="AZ31">
        <f>IF($AW31="","",INDEX(WSF_CELLS_CURRENT!$E:$E,$AW31))</f>
        <v/>
      </c>
    </row>
    <row r="32">
      <c r="A32" t="n">
        <v>11</v>
      </c>
      <c r="B32" s="116">
        <f>IF($B$10=0,"",$B$10-7*A32)</f>
        <v/>
      </c>
      <c r="C32">
        <f>IF(B32="","",MONTH(B32))</f>
        <v/>
      </c>
      <c r="D32">
        <f>IF(B32="","",ROUNDUP(MONTH(B32)/3,0))</f>
        <v/>
      </c>
      <c r="E32">
        <f>IF(B32="","",YEAR(B32))</f>
        <v/>
      </c>
      <c r="F32">
        <f>IF(B32="",0,COUNTIFS(DATA_WSF!$A:$A,B32,DATA_WSF!$C:$C,$B$6,DATA_WSF!$D:$D,$B$7))</f>
        <v/>
      </c>
      <c r="G32">
        <f>IF(F32=0,0,SUMIFS(DATA_WSF!$H:$H,DATA_WSF!$A:$A,B32,DATA_WSF!$C:$C,$B$6,DATA_WSF!$D:$D,$B$7))</f>
        <v/>
      </c>
      <c r="H32">
        <f>IF(F32=0,0,SUMIFS(DATA_WSF!$I:$I,DATA_WSF!$A:$A,B32,DATA_WSF!$C:$C,$B$6,DATA_WSF!$D:$D,$B$7))</f>
        <v/>
      </c>
      <c r="I32">
        <f>IF(F32=0,0,SUMIFS(DATA_WSF!$K:$K,DATA_WSF!$A:$A,B32,DATA_WSF!$C:$C,$B$6,DATA_WSF!$D:$D,$B$7))</f>
        <v/>
      </c>
      <c r="J32">
        <f>G32+H32</f>
        <v/>
      </c>
      <c r="K32">
        <f>J32+I32</f>
        <v/>
      </c>
      <c r="L32">
        <f>IF(F32=0,0,SUMIFS(DATA_WSF!$E:$E,DATA_WSF!$A:$A,B32,DATA_WSF!$C:$C,$B$6,DATA_WSF!$D:$D,$B$7))</f>
        <v/>
      </c>
      <c r="M32">
        <f>IF(F32=0,0,SUMIFS(DATA_WSF!$F:$F,DATA_WSF!$A:$A,B32,DATA_WSF!$C:$C,$B$6,DATA_WSF!$D:$D,$B$7))</f>
        <v/>
      </c>
      <c r="N32">
        <f>L32-M32</f>
        <v/>
      </c>
      <c r="O32">
        <f>IF(L32=0,0,M32/L32)</f>
        <v/>
      </c>
      <c r="P32">
        <f>IF(M32=0,0,K32/M32)</f>
        <v/>
      </c>
      <c r="Q32">
        <f>IF(F32&gt;0,1,0)</f>
        <v/>
      </c>
      <c r="R32">
        <f>IF(AND(A32&gt;=1,A32&lt;=$B$11),Q32,0)</f>
        <v/>
      </c>
      <c r="S32">
        <f>IF(AND(C32=$B$12,E32=$B$14),Q32,0)</f>
        <v/>
      </c>
      <c r="T32">
        <f>IF(AND(D32=$B$13,E32=$B$14),Q32,0)</f>
        <v/>
      </c>
      <c r="U32">
        <f>IF(E32=$B$14,Q32,0)</f>
        <v/>
      </c>
      <c r="AW32">
        <f>IFERROR(SMALL(WSF_CELLS_CURRENT!$N:$N,29),"")</f>
        <v/>
      </c>
      <c r="AX32">
        <f>IF($AW32="","",INDEX(WSF_CELLS_CURRENT!$C:$C,$AW32))</f>
        <v/>
      </c>
      <c r="AY32">
        <f>IF($AW32="","",INDEX(WSF_CELLS_CURRENT!$D:$D,$AW32))</f>
        <v/>
      </c>
      <c r="AZ32">
        <f>IF($AW32="","",INDEX(WSF_CELLS_CURRENT!$E:$E,$AW32))</f>
        <v/>
      </c>
    </row>
    <row r="33">
      <c r="A33" t="n">
        <v>12</v>
      </c>
      <c r="B33" s="116">
        <f>IF($B$10=0,"",$B$10-7*A33)</f>
        <v/>
      </c>
      <c r="C33">
        <f>IF(B33="","",MONTH(B33))</f>
        <v/>
      </c>
      <c r="D33">
        <f>IF(B33="","",ROUNDUP(MONTH(B33)/3,0))</f>
        <v/>
      </c>
      <c r="E33">
        <f>IF(B33="","",YEAR(B33))</f>
        <v/>
      </c>
      <c r="F33">
        <f>IF(B33="",0,COUNTIFS(DATA_WSF!$A:$A,B33,DATA_WSF!$C:$C,$B$6,DATA_WSF!$D:$D,$B$7))</f>
        <v/>
      </c>
      <c r="G33">
        <f>IF(F33=0,0,SUMIFS(DATA_WSF!$H:$H,DATA_WSF!$A:$A,B33,DATA_WSF!$C:$C,$B$6,DATA_WSF!$D:$D,$B$7))</f>
        <v/>
      </c>
      <c r="H33">
        <f>IF(F33=0,0,SUMIFS(DATA_WSF!$I:$I,DATA_WSF!$A:$A,B33,DATA_WSF!$C:$C,$B$6,DATA_WSF!$D:$D,$B$7))</f>
        <v/>
      </c>
      <c r="I33">
        <f>IF(F33=0,0,SUMIFS(DATA_WSF!$K:$K,DATA_WSF!$A:$A,B33,DATA_WSF!$C:$C,$B$6,DATA_WSF!$D:$D,$B$7))</f>
        <v/>
      </c>
      <c r="J33">
        <f>G33+H33</f>
        <v/>
      </c>
      <c r="K33">
        <f>J33+I33</f>
        <v/>
      </c>
      <c r="L33">
        <f>IF(F33=0,0,SUMIFS(DATA_WSF!$E:$E,DATA_WSF!$A:$A,B33,DATA_WSF!$C:$C,$B$6,DATA_WSF!$D:$D,$B$7))</f>
        <v/>
      </c>
      <c r="M33">
        <f>IF(F33=0,0,SUMIFS(DATA_WSF!$F:$F,DATA_WSF!$A:$A,B33,DATA_WSF!$C:$C,$B$6,DATA_WSF!$D:$D,$B$7))</f>
        <v/>
      </c>
      <c r="N33">
        <f>L33-M33</f>
        <v/>
      </c>
      <c r="O33">
        <f>IF(L33=0,0,M33/L33)</f>
        <v/>
      </c>
      <c r="P33">
        <f>IF(M33=0,0,K33/M33)</f>
        <v/>
      </c>
      <c r="Q33">
        <f>IF(F33&gt;0,1,0)</f>
        <v/>
      </c>
      <c r="R33">
        <f>IF(AND(A33&gt;=1,A33&lt;=$B$11),Q33,0)</f>
        <v/>
      </c>
      <c r="S33">
        <f>IF(AND(C33=$B$12,E33=$B$14),Q33,0)</f>
        <v/>
      </c>
      <c r="T33">
        <f>IF(AND(D33=$B$13,E33=$B$14),Q33,0)</f>
        <v/>
      </c>
      <c r="U33">
        <f>IF(E33=$B$14,Q33,0)</f>
        <v/>
      </c>
      <c r="AW33">
        <f>IFERROR(SMALL(WSF_CELLS_CURRENT!$N:$N,30),"")</f>
        <v/>
      </c>
      <c r="AX33">
        <f>IF($AW33="","",INDEX(WSF_CELLS_CURRENT!$C:$C,$AW33))</f>
        <v/>
      </c>
      <c r="AY33">
        <f>IF($AW33="","",INDEX(WSF_CELLS_CURRENT!$D:$D,$AW33))</f>
        <v/>
      </c>
      <c r="AZ33">
        <f>IF($AW33="","",INDEX(WSF_CELLS_CURRENT!$E:$E,$AW33))</f>
        <v/>
      </c>
    </row>
    <row r="34">
      <c r="A34" t="n">
        <v>13</v>
      </c>
      <c r="B34" s="116">
        <f>IF($B$10=0,"",$B$10-7*A34)</f>
        <v/>
      </c>
      <c r="C34">
        <f>IF(B34="","",MONTH(B34))</f>
        <v/>
      </c>
      <c r="D34">
        <f>IF(B34="","",ROUNDUP(MONTH(B34)/3,0))</f>
        <v/>
      </c>
      <c r="E34">
        <f>IF(B34="","",YEAR(B34))</f>
        <v/>
      </c>
      <c r="F34">
        <f>IF(B34="",0,COUNTIFS(DATA_WSF!$A:$A,B34,DATA_WSF!$C:$C,$B$6,DATA_WSF!$D:$D,$B$7))</f>
        <v/>
      </c>
      <c r="G34">
        <f>IF(F34=0,0,SUMIFS(DATA_WSF!$H:$H,DATA_WSF!$A:$A,B34,DATA_WSF!$C:$C,$B$6,DATA_WSF!$D:$D,$B$7))</f>
        <v/>
      </c>
      <c r="H34">
        <f>IF(F34=0,0,SUMIFS(DATA_WSF!$I:$I,DATA_WSF!$A:$A,B34,DATA_WSF!$C:$C,$B$6,DATA_WSF!$D:$D,$B$7))</f>
        <v/>
      </c>
      <c r="I34">
        <f>IF(F34=0,0,SUMIFS(DATA_WSF!$K:$K,DATA_WSF!$A:$A,B34,DATA_WSF!$C:$C,$B$6,DATA_WSF!$D:$D,$B$7))</f>
        <v/>
      </c>
      <c r="J34">
        <f>G34+H34</f>
        <v/>
      </c>
      <c r="K34">
        <f>J34+I34</f>
        <v/>
      </c>
      <c r="L34">
        <f>IF(F34=0,0,SUMIFS(DATA_WSF!$E:$E,DATA_WSF!$A:$A,B34,DATA_WSF!$C:$C,$B$6,DATA_WSF!$D:$D,$B$7))</f>
        <v/>
      </c>
      <c r="M34">
        <f>IF(F34=0,0,SUMIFS(DATA_WSF!$F:$F,DATA_WSF!$A:$A,B34,DATA_WSF!$C:$C,$B$6,DATA_WSF!$D:$D,$B$7))</f>
        <v/>
      </c>
      <c r="N34">
        <f>L34-M34</f>
        <v/>
      </c>
      <c r="O34">
        <f>IF(L34=0,0,M34/L34)</f>
        <v/>
      </c>
      <c r="P34">
        <f>IF(M34=0,0,K34/M34)</f>
        <v/>
      </c>
      <c r="Q34">
        <f>IF(F34&gt;0,1,0)</f>
        <v/>
      </c>
      <c r="R34">
        <f>IF(AND(A34&gt;=1,A34&lt;=$B$11),Q34,0)</f>
        <v/>
      </c>
      <c r="S34">
        <f>IF(AND(C34=$B$12,E34=$B$14),Q34,0)</f>
        <v/>
      </c>
      <c r="T34">
        <f>IF(AND(D34=$B$13,E34=$B$14),Q34,0)</f>
        <v/>
      </c>
      <c r="U34">
        <f>IF(E34=$B$14,Q34,0)</f>
        <v/>
      </c>
      <c r="AW34">
        <f>IFERROR(SMALL(WSF_CELLS_CURRENT!$N:$N,31),"")</f>
        <v/>
      </c>
      <c r="AX34">
        <f>IF($AW34="","",INDEX(WSF_CELLS_CURRENT!$C:$C,$AW34))</f>
        <v/>
      </c>
      <c r="AY34">
        <f>IF($AW34="","",INDEX(WSF_CELLS_CURRENT!$D:$D,$AW34))</f>
        <v/>
      </c>
      <c r="AZ34">
        <f>IF($AW34="","",INDEX(WSF_CELLS_CURRENT!$E:$E,$AW34))</f>
        <v/>
      </c>
    </row>
    <row r="35">
      <c r="A35" t="n">
        <v>14</v>
      </c>
      <c r="B35" s="116">
        <f>IF($B$10=0,"",$B$10-7*A35)</f>
        <v/>
      </c>
      <c r="C35">
        <f>IF(B35="","",MONTH(B35))</f>
        <v/>
      </c>
      <c r="D35">
        <f>IF(B35="","",ROUNDUP(MONTH(B35)/3,0))</f>
        <v/>
      </c>
      <c r="E35">
        <f>IF(B35="","",YEAR(B35))</f>
        <v/>
      </c>
      <c r="F35">
        <f>IF(B35="",0,COUNTIFS(DATA_WSF!$A:$A,B35,DATA_WSF!$C:$C,$B$6,DATA_WSF!$D:$D,$B$7))</f>
        <v/>
      </c>
      <c r="G35">
        <f>IF(F35=0,0,SUMIFS(DATA_WSF!$H:$H,DATA_WSF!$A:$A,B35,DATA_WSF!$C:$C,$B$6,DATA_WSF!$D:$D,$B$7))</f>
        <v/>
      </c>
      <c r="H35">
        <f>IF(F35=0,0,SUMIFS(DATA_WSF!$I:$I,DATA_WSF!$A:$A,B35,DATA_WSF!$C:$C,$B$6,DATA_WSF!$D:$D,$B$7))</f>
        <v/>
      </c>
      <c r="I35">
        <f>IF(F35=0,0,SUMIFS(DATA_WSF!$K:$K,DATA_WSF!$A:$A,B35,DATA_WSF!$C:$C,$B$6,DATA_WSF!$D:$D,$B$7))</f>
        <v/>
      </c>
      <c r="J35">
        <f>G35+H35</f>
        <v/>
      </c>
      <c r="K35">
        <f>J35+I35</f>
        <v/>
      </c>
      <c r="L35">
        <f>IF(F35=0,0,SUMIFS(DATA_WSF!$E:$E,DATA_WSF!$A:$A,B35,DATA_WSF!$C:$C,$B$6,DATA_WSF!$D:$D,$B$7))</f>
        <v/>
      </c>
      <c r="M35">
        <f>IF(F35=0,0,SUMIFS(DATA_WSF!$F:$F,DATA_WSF!$A:$A,B35,DATA_WSF!$C:$C,$B$6,DATA_WSF!$D:$D,$B$7))</f>
        <v/>
      </c>
      <c r="N35">
        <f>L35-M35</f>
        <v/>
      </c>
      <c r="O35">
        <f>IF(L35=0,0,M35/L35)</f>
        <v/>
      </c>
      <c r="P35">
        <f>IF(M35=0,0,K35/M35)</f>
        <v/>
      </c>
      <c r="Q35">
        <f>IF(F35&gt;0,1,0)</f>
        <v/>
      </c>
      <c r="R35">
        <f>IF(AND(A35&gt;=1,A35&lt;=$B$11),Q35,0)</f>
        <v/>
      </c>
      <c r="S35">
        <f>IF(AND(C35=$B$12,E35=$B$14),Q35,0)</f>
        <v/>
      </c>
      <c r="T35">
        <f>IF(AND(D35=$B$13,E35=$B$14),Q35,0)</f>
        <v/>
      </c>
      <c r="U35">
        <f>IF(E35=$B$14,Q35,0)</f>
        <v/>
      </c>
      <c r="AW35">
        <f>IFERROR(SMALL(WSF_CELLS_CURRENT!$N:$N,32),"")</f>
        <v/>
      </c>
      <c r="AX35">
        <f>IF($AW35="","",INDEX(WSF_CELLS_CURRENT!$C:$C,$AW35))</f>
        <v/>
      </c>
      <c r="AY35">
        <f>IF($AW35="","",INDEX(WSF_CELLS_CURRENT!$D:$D,$AW35))</f>
        <v/>
      </c>
      <c r="AZ35">
        <f>IF($AW35="","",INDEX(WSF_CELLS_CURRENT!$E:$E,$AW35))</f>
        <v/>
      </c>
    </row>
    <row r="36">
      <c r="A36" t="n">
        <v>15</v>
      </c>
      <c r="B36" s="116">
        <f>IF($B$10=0,"",$B$10-7*A36)</f>
        <v/>
      </c>
      <c r="C36">
        <f>IF(B36="","",MONTH(B36))</f>
        <v/>
      </c>
      <c r="D36">
        <f>IF(B36="","",ROUNDUP(MONTH(B36)/3,0))</f>
        <v/>
      </c>
      <c r="E36">
        <f>IF(B36="","",YEAR(B36))</f>
        <v/>
      </c>
      <c r="F36">
        <f>IF(B36="",0,COUNTIFS(DATA_WSF!$A:$A,B36,DATA_WSF!$C:$C,$B$6,DATA_WSF!$D:$D,$B$7))</f>
        <v/>
      </c>
      <c r="G36">
        <f>IF(F36=0,0,SUMIFS(DATA_WSF!$H:$H,DATA_WSF!$A:$A,B36,DATA_WSF!$C:$C,$B$6,DATA_WSF!$D:$D,$B$7))</f>
        <v/>
      </c>
      <c r="H36">
        <f>IF(F36=0,0,SUMIFS(DATA_WSF!$I:$I,DATA_WSF!$A:$A,B36,DATA_WSF!$C:$C,$B$6,DATA_WSF!$D:$D,$B$7))</f>
        <v/>
      </c>
      <c r="I36">
        <f>IF(F36=0,0,SUMIFS(DATA_WSF!$K:$K,DATA_WSF!$A:$A,B36,DATA_WSF!$C:$C,$B$6,DATA_WSF!$D:$D,$B$7))</f>
        <v/>
      </c>
      <c r="J36">
        <f>G36+H36</f>
        <v/>
      </c>
      <c r="K36">
        <f>J36+I36</f>
        <v/>
      </c>
      <c r="L36">
        <f>IF(F36=0,0,SUMIFS(DATA_WSF!$E:$E,DATA_WSF!$A:$A,B36,DATA_WSF!$C:$C,$B$6,DATA_WSF!$D:$D,$B$7))</f>
        <v/>
      </c>
      <c r="M36">
        <f>IF(F36=0,0,SUMIFS(DATA_WSF!$F:$F,DATA_WSF!$A:$A,B36,DATA_WSF!$C:$C,$B$6,DATA_WSF!$D:$D,$B$7))</f>
        <v/>
      </c>
      <c r="N36">
        <f>L36-M36</f>
        <v/>
      </c>
      <c r="O36">
        <f>IF(L36=0,0,M36/L36)</f>
        <v/>
      </c>
      <c r="P36">
        <f>IF(M36=0,0,K36/M36)</f>
        <v/>
      </c>
      <c r="Q36">
        <f>IF(F36&gt;0,1,0)</f>
        <v/>
      </c>
      <c r="R36">
        <f>IF(AND(A36&gt;=1,A36&lt;=$B$11),Q36,0)</f>
        <v/>
      </c>
      <c r="S36">
        <f>IF(AND(C36=$B$12,E36=$B$14),Q36,0)</f>
        <v/>
      </c>
      <c r="T36">
        <f>IF(AND(D36=$B$13,E36=$B$14),Q36,0)</f>
        <v/>
      </c>
      <c r="U36">
        <f>IF(E36=$B$14,Q36,0)</f>
        <v/>
      </c>
      <c r="AW36">
        <f>IFERROR(SMALL(WSF_CELLS_CURRENT!$N:$N,33),"")</f>
        <v/>
      </c>
      <c r="AX36">
        <f>IF($AW36="","",INDEX(WSF_CELLS_CURRENT!$C:$C,$AW36))</f>
        <v/>
      </c>
      <c r="AY36">
        <f>IF($AW36="","",INDEX(WSF_CELLS_CURRENT!$D:$D,$AW36))</f>
        <v/>
      </c>
      <c r="AZ36">
        <f>IF($AW36="","",INDEX(WSF_CELLS_CURRENT!$E:$E,$AW36))</f>
        <v/>
      </c>
    </row>
    <row r="37">
      <c r="A37" t="n">
        <v>16</v>
      </c>
      <c r="B37" s="116">
        <f>IF($B$10=0,"",$B$10-7*A37)</f>
        <v/>
      </c>
      <c r="C37">
        <f>IF(B37="","",MONTH(B37))</f>
        <v/>
      </c>
      <c r="D37">
        <f>IF(B37="","",ROUNDUP(MONTH(B37)/3,0))</f>
        <v/>
      </c>
      <c r="E37">
        <f>IF(B37="","",YEAR(B37))</f>
        <v/>
      </c>
      <c r="F37">
        <f>IF(B37="",0,COUNTIFS(DATA_WSF!$A:$A,B37,DATA_WSF!$C:$C,$B$6,DATA_WSF!$D:$D,$B$7))</f>
        <v/>
      </c>
      <c r="G37">
        <f>IF(F37=0,0,SUMIFS(DATA_WSF!$H:$H,DATA_WSF!$A:$A,B37,DATA_WSF!$C:$C,$B$6,DATA_WSF!$D:$D,$B$7))</f>
        <v/>
      </c>
      <c r="H37">
        <f>IF(F37=0,0,SUMIFS(DATA_WSF!$I:$I,DATA_WSF!$A:$A,B37,DATA_WSF!$C:$C,$B$6,DATA_WSF!$D:$D,$B$7))</f>
        <v/>
      </c>
      <c r="I37">
        <f>IF(F37=0,0,SUMIFS(DATA_WSF!$K:$K,DATA_WSF!$A:$A,B37,DATA_WSF!$C:$C,$B$6,DATA_WSF!$D:$D,$B$7))</f>
        <v/>
      </c>
      <c r="J37">
        <f>G37+H37</f>
        <v/>
      </c>
      <c r="K37">
        <f>J37+I37</f>
        <v/>
      </c>
      <c r="L37">
        <f>IF(F37=0,0,SUMIFS(DATA_WSF!$E:$E,DATA_WSF!$A:$A,B37,DATA_WSF!$C:$C,$B$6,DATA_WSF!$D:$D,$B$7))</f>
        <v/>
      </c>
      <c r="M37">
        <f>IF(F37=0,0,SUMIFS(DATA_WSF!$F:$F,DATA_WSF!$A:$A,B37,DATA_WSF!$C:$C,$B$6,DATA_WSF!$D:$D,$B$7))</f>
        <v/>
      </c>
      <c r="N37">
        <f>L37-M37</f>
        <v/>
      </c>
      <c r="O37">
        <f>IF(L37=0,0,M37/L37)</f>
        <v/>
      </c>
      <c r="P37">
        <f>IF(M37=0,0,K37/M37)</f>
        <v/>
      </c>
      <c r="Q37">
        <f>IF(F37&gt;0,1,0)</f>
        <v/>
      </c>
      <c r="R37">
        <f>IF(AND(A37&gt;=1,A37&lt;=$B$11),Q37,0)</f>
        <v/>
      </c>
      <c r="S37">
        <f>IF(AND(C37=$B$12,E37=$B$14),Q37,0)</f>
        <v/>
      </c>
      <c r="T37">
        <f>IF(AND(D37=$B$13,E37=$B$14),Q37,0)</f>
        <v/>
      </c>
      <c r="U37">
        <f>IF(E37=$B$14,Q37,0)</f>
        <v/>
      </c>
      <c r="AW37">
        <f>IFERROR(SMALL(WSF_CELLS_CURRENT!$N:$N,34),"")</f>
        <v/>
      </c>
      <c r="AX37">
        <f>IF($AW37="","",INDEX(WSF_CELLS_CURRENT!$C:$C,$AW37))</f>
        <v/>
      </c>
      <c r="AY37">
        <f>IF($AW37="","",INDEX(WSF_CELLS_CURRENT!$D:$D,$AW37))</f>
        <v/>
      </c>
      <c r="AZ37">
        <f>IF($AW37="","",INDEX(WSF_CELLS_CURRENT!$E:$E,$AW37))</f>
        <v/>
      </c>
    </row>
    <row r="38">
      <c r="A38" t="n">
        <v>17</v>
      </c>
      <c r="B38" s="116">
        <f>IF($B$10=0,"",$B$10-7*A38)</f>
        <v/>
      </c>
      <c r="C38">
        <f>IF(B38="","",MONTH(B38))</f>
        <v/>
      </c>
      <c r="D38">
        <f>IF(B38="","",ROUNDUP(MONTH(B38)/3,0))</f>
        <v/>
      </c>
      <c r="E38">
        <f>IF(B38="","",YEAR(B38))</f>
        <v/>
      </c>
      <c r="F38">
        <f>IF(B38="",0,COUNTIFS(DATA_WSF!$A:$A,B38,DATA_WSF!$C:$C,$B$6,DATA_WSF!$D:$D,$B$7))</f>
        <v/>
      </c>
      <c r="G38">
        <f>IF(F38=0,0,SUMIFS(DATA_WSF!$H:$H,DATA_WSF!$A:$A,B38,DATA_WSF!$C:$C,$B$6,DATA_WSF!$D:$D,$B$7))</f>
        <v/>
      </c>
      <c r="H38">
        <f>IF(F38=0,0,SUMIFS(DATA_WSF!$I:$I,DATA_WSF!$A:$A,B38,DATA_WSF!$C:$C,$B$6,DATA_WSF!$D:$D,$B$7))</f>
        <v/>
      </c>
      <c r="I38">
        <f>IF(F38=0,0,SUMIFS(DATA_WSF!$K:$K,DATA_WSF!$A:$A,B38,DATA_WSF!$C:$C,$B$6,DATA_WSF!$D:$D,$B$7))</f>
        <v/>
      </c>
      <c r="J38">
        <f>G38+H38</f>
        <v/>
      </c>
      <c r="K38">
        <f>J38+I38</f>
        <v/>
      </c>
      <c r="L38">
        <f>IF(F38=0,0,SUMIFS(DATA_WSF!$E:$E,DATA_WSF!$A:$A,B38,DATA_WSF!$C:$C,$B$6,DATA_WSF!$D:$D,$B$7))</f>
        <v/>
      </c>
      <c r="M38">
        <f>IF(F38=0,0,SUMIFS(DATA_WSF!$F:$F,DATA_WSF!$A:$A,B38,DATA_WSF!$C:$C,$B$6,DATA_WSF!$D:$D,$B$7))</f>
        <v/>
      </c>
      <c r="N38">
        <f>L38-M38</f>
        <v/>
      </c>
      <c r="O38">
        <f>IF(L38=0,0,M38/L38)</f>
        <v/>
      </c>
      <c r="P38">
        <f>IF(M38=0,0,K38/M38)</f>
        <v/>
      </c>
      <c r="Q38">
        <f>IF(F38&gt;0,1,0)</f>
        <v/>
      </c>
      <c r="R38">
        <f>IF(AND(A38&gt;=1,A38&lt;=$B$11),Q38,0)</f>
        <v/>
      </c>
      <c r="S38">
        <f>IF(AND(C38=$B$12,E38=$B$14),Q38,0)</f>
        <v/>
      </c>
      <c r="T38">
        <f>IF(AND(D38=$B$13,E38=$B$14),Q38,0)</f>
        <v/>
      </c>
      <c r="U38">
        <f>IF(E38=$B$14,Q38,0)</f>
        <v/>
      </c>
      <c r="AW38">
        <f>IFERROR(SMALL(WSF_CELLS_CURRENT!$N:$N,35),"")</f>
        <v/>
      </c>
      <c r="AX38">
        <f>IF($AW38="","",INDEX(WSF_CELLS_CURRENT!$C:$C,$AW38))</f>
        <v/>
      </c>
      <c r="AY38">
        <f>IF($AW38="","",INDEX(WSF_CELLS_CURRENT!$D:$D,$AW38))</f>
        <v/>
      </c>
      <c r="AZ38">
        <f>IF($AW38="","",INDEX(WSF_CELLS_CURRENT!$E:$E,$AW38))</f>
        <v/>
      </c>
    </row>
    <row r="39">
      <c r="A39" t="n">
        <v>18</v>
      </c>
      <c r="B39" s="116">
        <f>IF($B$10=0,"",$B$10-7*A39)</f>
        <v/>
      </c>
      <c r="C39">
        <f>IF(B39="","",MONTH(B39))</f>
        <v/>
      </c>
      <c r="D39">
        <f>IF(B39="","",ROUNDUP(MONTH(B39)/3,0))</f>
        <v/>
      </c>
      <c r="E39">
        <f>IF(B39="","",YEAR(B39))</f>
        <v/>
      </c>
      <c r="F39">
        <f>IF(B39="",0,COUNTIFS(DATA_WSF!$A:$A,B39,DATA_WSF!$C:$C,$B$6,DATA_WSF!$D:$D,$B$7))</f>
        <v/>
      </c>
      <c r="G39">
        <f>IF(F39=0,0,SUMIFS(DATA_WSF!$H:$H,DATA_WSF!$A:$A,B39,DATA_WSF!$C:$C,$B$6,DATA_WSF!$D:$D,$B$7))</f>
        <v/>
      </c>
      <c r="H39">
        <f>IF(F39=0,0,SUMIFS(DATA_WSF!$I:$I,DATA_WSF!$A:$A,B39,DATA_WSF!$C:$C,$B$6,DATA_WSF!$D:$D,$B$7))</f>
        <v/>
      </c>
      <c r="I39">
        <f>IF(F39=0,0,SUMIFS(DATA_WSF!$K:$K,DATA_WSF!$A:$A,B39,DATA_WSF!$C:$C,$B$6,DATA_WSF!$D:$D,$B$7))</f>
        <v/>
      </c>
      <c r="J39">
        <f>G39+H39</f>
        <v/>
      </c>
      <c r="K39">
        <f>J39+I39</f>
        <v/>
      </c>
      <c r="L39">
        <f>IF(F39=0,0,SUMIFS(DATA_WSF!$E:$E,DATA_WSF!$A:$A,B39,DATA_WSF!$C:$C,$B$6,DATA_WSF!$D:$D,$B$7))</f>
        <v/>
      </c>
      <c r="M39">
        <f>IF(F39=0,0,SUMIFS(DATA_WSF!$F:$F,DATA_WSF!$A:$A,B39,DATA_WSF!$C:$C,$B$6,DATA_WSF!$D:$D,$B$7))</f>
        <v/>
      </c>
      <c r="N39">
        <f>L39-M39</f>
        <v/>
      </c>
      <c r="O39">
        <f>IF(L39=0,0,M39/L39)</f>
        <v/>
      </c>
      <c r="P39">
        <f>IF(M39=0,0,K39/M39)</f>
        <v/>
      </c>
      <c r="Q39">
        <f>IF(F39&gt;0,1,0)</f>
        <v/>
      </c>
      <c r="R39">
        <f>IF(AND(A39&gt;=1,A39&lt;=$B$11),Q39,0)</f>
        <v/>
      </c>
      <c r="S39">
        <f>IF(AND(C39=$B$12,E39=$B$14),Q39,0)</f>
        <v/>
      </c>
      <c r="T39">
        <f>IF(AND(D39=$B$13,E39=$B$14),Q39,0)</f>
        <v/>
      </c>
      <c r="U39">
        <f>IF(E39=$B$14,Q39,0)</f>
        <v/>
      </c>
      <c r="AW39">
        <f>IFERROR(SMALL(WSF_CELLS_CURRENT!$N:$N,36),"")</f>
        <v/>
      </c>
      <c r="AX39">
        <f>IF($AW39="","",INDEX(WSF_CELLS_CURRENT!$C:$C,$AW39))</f>
        <v/>
      </c>
      <c r="AY39">
        <f>IF($AW39="","",INDEX(WSF_CELLS_CURRENT!$D:$D,$AW39))</f>
        <v/>
      </c>
      <c r="AZ39">
        <f>IF($AW39="","",INDEX(WSF_CELLS_CURRENT!$E:$E,$AW39))</f>
        <v/>
      </c>
    </row>
    <row r="40">
      <c r="A40" t="n">
        <v>19</v>
      </c>
      <c r="B40" s="116">
        <f>IF($B$10=0,"",$B$10-7*A40)</f>
        <v/>
      </c>
      <c r="C40">
        <f>IF(B40="","",MONTH(B40))</f>
        <v/>
      </c>
      <c r="D40">
        <f>IF(B40="","",ROUNDUP(MONTH(B40)/3,0))</f>
        <v/>
      </c>
      <c r="E40">
        <f>IF(B40="","",YEAR(B40))</f>
        <v/>
      </c>
      <c r="F40">
        <f>IF(B40="",0,COUNTIFS(DATA_WSF!$A:$A,B40,DATA_WSF!$C:$C,$B$6,DATA_WSF!$D:$D,$B$7))</f>
        <v/>
      </c>
      <c r="G40">
        <f>IF(F40=0,0,SUMIFS(DATA_WSF!$H:$H,DATA_WSF!$A:$A,B40,DATA_WSF!$C:$C,$B$6,DATA_WSF!$D:$D,$B$7))</f>
        <v/>
      </c>
      <c r="H40">
        <f>IF(F40=0,0,SUMIFS(DATA_WSF!$I:$I,DATA_WSF!$A:$A,B40,DATA_WSF!$C:$C,$B$6,DATA_WSF!$D:$D,$B$7))</f>
        <v/>
      </c>
      <c r="I40">
        <f>IF(F40=0,0,SUMIFS(DATA_WSF!$K:$K,DATA_WSF!$A:$A,B40,DATA_WSF!$C:$C,$B$6,DATA_WSF!$D:$D,$B$7))</f>
        <v/>
      </c>
      <c r="J40">
        <f>G40+H40</f>
        <v/>
      </c>
      <c r="K40">
        <f>J40+I40</f>
        <v/>
      </c>
      <c r="L40">
        <f>IF(F40=0,0,SUMIFS(DATA_WSF!$E:$E,DATA_WSF!$A:$A,B40,DATA_WSF!$C:$C,$B$6,DATA_WSF!$D:$D,$B$7))</f>
        <v/>
      </c>
      <c r="M40">
        <f>IF(F40=0,0,SUMIFS(DATA_WSF!$F:$F,DATA_WSF!$A:$A,B40,DATA_WSF!$C:$C,$B$6,DATA_WSF!$D:$D,$B$7))</f>
        <v/>
      </c>
      <c r="N40">
        <f>L40-M40</f>
        <v/>
      </c>
      <c r="O40">
        <f>IF(L40=0,0,M40/L40)</f>
        <v/>
      </c>
      <c r="P40">
        <f>IF(M40=0,0,K40/M40)</f>
        <v/>
      </c>
      <c r="Q40">
        <f>IF(F40&gt;0,1,0)</f>
        <v/>
      </c>
      <c r="R40">
        <f>IF(AND(A40&gt;=1,A40&lt;=$B$11),Q40,0)</f>
        <v/>
      </c>
      <c r="S40">
        <f>IF(AND(C40=$B$12,E40=$B$14),Q40,0)</f>
        <v/>
      </c>
      <c r="T40">
        <f>IF(AND(D40=$B$13,E40=$B$14),Q40,0)</f>
        <v/>
      </c>
      <c r="U40">
        <f>IF(E40=$B$14,Q40,0)</f>
        <v/>
      </c>
      <c r="AW40">
        <f>IFERROR(SMALL(WSF_CELLS_CURRENT!$N:$N,37),"")</f>
        <v/>
      </c>
      <c r="AX40">
        <f>IF($AW40="","",INDEX(WSF_CELLS_CURRENT!$C:$C,$AW40))</f>
        <v/>
      </c>
      <c r="AY40">
        <f>IF($AW40="","",INDEX(WSF_CELLS_CURRENT!$D:$D,$AW40))</f>
        <v/>
      </c>
      <c r="AZ40">
        <f>IF($AW40="","",INDEX(WSF_CELLS_CURRENT!$E:$E,$AW40))</f>
        <v/>
      </c>
    </row>
    <row r="41">
      <c r="A41" t="n">
        <v>20</v>
      </c>
      <c r="B41" s="116">
        <f>IF($B$10=0,"",$B$10-7*A41)</f>
        <v/>
      </c>
      <c r="C41">
        <f>IF(B41="","",MONTH(B41))</f>
        <v/>
      </c>
      <c r="D41">
        <f>IF(B41="","",ROUNDUP(MONTH(B41)/3,0))</f>
        <v/>
      </c>
      <c r="E41">
        <f>IF(B41="","",YEAR(B41))</f>
        <v/>
      </c>
      <c r="F41">
        <f>IF(B41="",0,COUNTIFS(DATA_WSF!$A:$A,B41,DATA_WSF!$C:$C,$B$6,DATA_WSF!$D:$D,$B$7))</f>
        <v/>
      </c>
      <c r="G41">
        <f>IF(F41=0,0,SUMIFS(DATA_WSF!$H:$H,DATA_WSF!$A:$A,B41,DATA_WSF!$C:$C,$B$6,DATA_WSF!$D:$D,$B$7))</f>
        <v/>
      </c>
      <c r="H41">
        <f>IF(F41=0,0,SUMIFS(DATA_WSF!$I:$I,DATA_WSF!$A:$A,B41,DATA_WSF!$C:$C,$B$6,DATA_WSF!$D:$D,$B$7))</f>
        <v/>
      </c>
      <c r="I41">
        <f>IF(F41=0,0,SUMIFS(DATA_WSF!$K:$K,DATA_WSF!$A:$A,B41,DATA_WSF!$C:$C,$B$6,DATA_WSF!$D:$D,$B$7))</f>
        <v/>
      </c>
      <c r="J41">
        <f>G41+H41</f>
        <v/>
      </c>
      <c r="K41">
        <f>J41+I41</f>
        <v/>
      </c>
      <c r="L41">
        <f>IF(F41=0,0,SUMIFS(DATA_WSF!$E:$E,DATA_WSF!$A:$A,B41,DATA_WSF!$C:$C,$B$6,DATA_WSF!$D:$D,$B$7))</f>
        <v/>
      </c>
      <c r="M41">
        <f>IF(F41=0,0,SUMIFS(DATA_WSF!$F:$F,DATA_WSF!$A:$A,B41,DATA_WSF!$C:$C,$B$6,DATA_WSF!$D:$D,$B$7))</f>
        <v/>
      </c>
      <c r="N41">
        <f>L41-M41</f>
        <v/>
      </c>
      <c r="O41">
        <f>IF(L41=0,0,M41/L41)</f>
        <v/>
      </c>
      <c r="P41">
        <f>IF(M41=0,0,K41/M41)</f>
        <v/>
      </c>
      <c r="Q41">
        <f>IF(F41&gt;0,1,0)</f>
        <v/>
      </c>
      <c r="R41">
        <f>IF(AND(A41&gt;=1,A41&lt;=$B$11),Q41,0)</f>
        <v/>
      </c>
      <c r="S41">
        <f>IF(AND(C41=$B$12,E41=$B$14),Q41,0)</f>
        <v/>
      </c>
      <c r="T41">
        <f>IF(AND(D41=$B$13,E41=$B$14),Q41,0)</f>
        <v/>
      </c>
      <c r="U41">
        <f>IF(E41=$B$14,Q41,0)</f>
        <v/>
      </c>
      <c r="AW41">
        <f>IFERROR(SMALL(WSF_CELLS_CURRENT!$N:$N,38),"")</f>
        <v/>
      </c>
      <c r="AX41">
        <f>IF($AW41="","",INDEX(WSF_CELLS_CURRENT!$C:$C,$AW41))</f>
        <v/>
      </c>
      <c r="AY41">
        <f>IF($AW41="","",INDEX(WSF_CELLS_CURRENT!$D:$D,$AW41))</f>
        <v/>
      </c>
      <c r="AZ41">
        <f>IF($AW41="","",INDEX(WSF_CELLS_CURRENT!$E:$E,$AW41))</f>
        <v/>
      </c>
    </row>
    <row r="42">
      <c r="A42" t="n">
        <v>21</v>
      </c>
      <c r="B42" s="116">
        <f>IF($B$10=0,"",$B$10-7*A42)</f>
        <v/>
      </c>
      <c r="C42">
        <f>IF(B42="","",MONTH(B42))</f>
        <v/>
      </c>
      <c r="D42">
        <f>IF(B42="","",ROUNDUP(MONTH(B42)/3,0))</f>
        <v/>
      </c>
      <c r="E42">
        <f>IF(B42="","",YEAR(B42))</f>
        <v/>
      </c>
      <c r="F42">
        <f>IF(B42="",0,COUNTIFS(DATA_WSF!$A:$A,B42,DATA_WSF!$C:$C,$B$6,DATA_WSF!$D:$D,$B$7))</f>
        <v/>
      </c>
      <c r="G42">
        <f>IF(F42=0,0,SUMIFS(DATA_WSF!$H:$H,DATA_WSF!$A:$A,B42,DATA_WSF!$C:$C,$B$6,DATA_WSF!$D:$D,$B$7))</f>
        <v/>
      </c>
      <c r="H42">
        <f>IF(F42=0,0,SUMIFS(DATA_WSF!$I:$I,DATA_WSF!$A:$A,B42,DATA_WSF!$C:$C,$B$6,DATA_WSF!$D:$D,$B$7))</f>
        <v/>
      </c>
      <c r="I42">
        <f>IF(F42=0,0,SUMIFS(DATA_WSF!$K:$K,DATA_WSF!$A:$A,B42,DATA_WSF!$C:$C,$B$6,DATA_WSF!$D:$D,$B$7))</f>
        <v/>
      </c>
      <c r="J42">
        <f>G42+H42</f>
        <v/>
      </c>
      <c r="K42">
        <f>J42+I42</f>
        <v/>
      </c>
      <c r="L42">
        <f>IF(F42=0,0,SUMIFS(DATA_WSF!$E:$E,DATA_WSF!$A:$A,B42,DATA_WSF!$C:$C,$B$6,DATA_WSF!$D:$D,$B$7))</f>
        <v/>
      </c>
      <c r="M42">
        <f>IF(F42=0,0,SUMIFS(DATA_WSF!$F:$F,DATA_WSF!$A:$A,B42,DATA_WSF!$C:$C,$B$6,DATA_WSF!$D:$D,$B$7))</f>
        <v/>
      </c>
      <c r="N42">
        <f>L42-M42</f>
        <v/>
      </c>
      <c r="O42">
        <f>IF(L42=0,0,M42/L42)</f>
        <v/>
      </c>
      <c r="P42">
        <f>IF(M42=0,0,K42/M42)</f>
        <v/>
      </c>
      <c r="Q42">
        <f>IF(F42&gt;0,1,0)</f>
        <v/>
      </c>
      <c r="R42">
        <f>IF(AND(A42&gt;=1,A42&lt;=$B$11),Q42,0)</f>
        <v/>
      </c>
      <c r="S42">
        <f>IF(AND(C42=$B$12,E42=$B$14),Q42,0)</f>
        <v/>
      </c>
      <c r="T42">
        <f>IF(AND(D42=$B$13,E42=$B$14),Q42,0)</f>
        <v/>
      </c>
      <c r="U42">
        <f>IF(E42=$B$14,Q42,0)</f>
        <v/>
      </c>
      <c r="AW42">
        <f>IFERROR(SMALL(WSF_CELLS_CURRENT!$N:$N,39),"")</f>
        <v/>
      </c>
      <c r="AX42">
        <f>IF($AW42="","",INDEX(WSF_CELLS_CURRENT!$C:$C,$AW42))</f>
        <v/>
      </c>
      <c r="AY42">
        <f>IF($AW42="","",INDEX(WSF_CELLS_CURRENT!$D:$D,$AW42))</f>
        <v/>
      </c>
      <c r="AZ42">
        <f>IF($AW42="","",INDEX(WSF_CELLS_CURRENT!$E:$E,$AW42))</f>
        <v/>
      </c>
    </row>
    <row r="43">
      <c r="A43" t="n">
        <v>22</v>
      </c>
      <c r="B43" s="116">
        <f>IF($B$10=0,"",$B$10-7*A43)</f>
        <v/>
      </c>
      <c r="C43">
        <f>IF(B43="","",MONTH(B43))</f>
        <v/>
      </c>
      <c r="D43">
        <f>IF(B43="","",ROUNDUP(MONTH(B43)/3,0))</f>
        <v/>
      </c>
      <c r="E43">
        <f>IF(B43="","",YEAR(B43))</f>
        <v/>
      </c>
      <c r="F43">
        <f>IF(B43="",0,COUNTIFS(DATA_WSF!$A:$A,B43,DATA_WSF!$C:$C,$B$6,DATA_WSF!$D:$D,$B$7))</f>
        <v/>
      </c>
      <c r="G43">
        <f>IF(F43=0,0,SUMIFS(DATA_WSF!$H:$H,DATA_WSF!$A:$A,B43,DATA_WSF!$C:$C,$B$6,DATA_WSF!$D:$D,$B$7))</f>
        <v/>
      </c>
      <c r="H43">
        <f>IF(F43=0,0,SUMIFS(DATA_WSF!$I:$I,DATA_WSF!$A:$A,B43,DATA_WSF!$C:$C,$B$6,DATA_WSF!$D:$D,$B$7))</f>
        <v/>
      </c>
      <c r="I43">
        <f>IF(F43=0,0,SUMIFS(DATA_WSF!$K:$K,DATA_WSF!$A:$A,B43,DATA_WSF!$C:$C,$B$6,DATA_WSF!$D:$D,$B$7))</f>
        <v/>
      </c>
      <c r="J43">
        <f>G43+H43</f>
        <v/>
      </c>
      <c r="K43">
        <f>J43+I43</f>
        <v/>
      </c>
      <c r="L43">
        <f>IF(F43=0,0,SUMIFS(DATA_WSF!$E:$E,DATA_WSF!$A:$A,B43,DATA_WSF!$C:$C,$B$6,DATA_WSF!$D:$D,$B$7))</f>
        <v/>
      </c>
      <c r="M43">
        <f>IF(F43=0,0,SUMIFS(DATA_WSF!$F:$F,DATA_WSF!$A:$A,B43,DATA_WSF!$C:$C,$B$6,DATA_WSF!$D:$D,$B$7))</f>
        <v/>
      </c>
      <c r="N43">
        <f>L43-M43</f>
        <v/>
      </c>
      <c r="O43">
        <f>IF(L43=0,0,M43/L43)</f>
        <v/>
      </c>
      <c r="P43">
        <f>IF(M43=0,0,K43/M43)</f>
        <v/>
      </c>
      <c r="Q43">
        <f>IF(F43&gt;0,1,0)</f>
        <v/>
      </c>
      <c r="R43">
        <f>IF(AND(A43&gt;=1,A43&lt;=$B$11),Q43,0)</f>
        <v/>
      </c>
      <c r="S43">
        <f>IF(AND(C43=$B$12,E43=$B$14),Q43,0)</f>
        <v/>
      </c>
      <c r="T43">
        <f>IF(AND(D43=$B$13,E43=$B$14),Q43,0)</f>
        <v/>
      </c>
      <c r="U43">
        <f>IF(E43=$B$14,Q43,0)</f>
        <v/>
      </c>
      <c r="AW43">
        <f>IFERROR(SMALL(WSF_CELLS_CURRENT!$N:$N,40),"")</f>
        <v/>
      </c>
      <c r="AX43">
        <f>IF($AW43="","",INDEX(WSF_CELLS_CURRENT!$C:$C,$AW43))</f>
        <v/>
      </c>
      <c r="AY43">
        <f>IF($AW43="","",INDEX(WSF_CELLS_CURRENT!$D:$D,$AW43))</f>
        <v/>
      </c>
      <c r="AZ43">
        <f>IF($AW43="","",INDEX(WSF_CELLS_CURRENT!$E:$E,$AW43))</f>
        <v/>
      </c>
    </row>
    <row r="44">
      <c r="A44" t="n">
        <v>23</v>
      </c>
      <c r="B44" s="116">
        <f>IF($B$10=0,"",$B$10-7*A44)</f>
        <v/>
      </c>
      <c r="C44">
        <f>IF(B44="","",MONTH(B44))</f>
        <v/>
      </c>
      <c r="D44">
        <f>IF(B44="","",ROUNDUP(MONTH(B44)/3,0))</f>
        <v/>
      </c>
      <c r="E44">
        <f>IF(B44="","",YEAR(B44))</f>
        <v/>
      </c>
      <c r="F44">
        <f>IF(B44="",0,COUNTIFS(DATA_WSF!$A:$A,B44,DATA_WSF!$C:$C,$B$6,DATA_WSF!$D:$D,$B$7))</f>
        <v/>
      </c>
      <c r="G44">
        <f>IF(F44=0,0,SUMIFS(DATA_WSF!$H:$H,DATA_WSF!$A:$A,B44,DATA_WSF!$C:$C,$B$6,DATA_WSF!$D:$D,$B$7))</f>
        <v/>
      </c>
      <c r="H44">
        <f>IF(F44=0,0,SUMIFS(DATA_WSF!$I:$I,DATA_WSF!$A:$A,B44,DATA_WSF!$C:$C,$B$6,DATA_WSF!$D:$D,$B$7))</f>
        <v/>
      </c>
      <c r="I44">
        <f>IF(F44=0,0,SUMIFS(DATA_WSF!$K:$K,DATA_WSF!$A:$A,B44,DATA_WSF!$C:$C,$B$6,DATA_WSF!$D:$D,$B$7))</f>
        <v/>
      </c>
      <c r="J44">
        <f>G44+H44</f>
        <v/>
      </c>
      <c r="K44">
        <f>J44+I44</f>
        <v/>
      </c>
      <c r="L44">
        <f>IF(F44=0,0,SUMIFS(DATA_WSF!$E:$E,DATA_WSF!$A:$A,B44,DATA_WSF!$C:$C,$B$6,DATA_WSF!$D:$D,$B$7))</f>
        <v/>
      </c>
      <c r="M44">
        <f>IF(F44=0,0,SUMIFS(DATA_WSF!$F:$F,DATA_WSF!$A:$A,B44,DATA_WSF!$C:$C,$B$6,DATA_WSF!$D:$D,$B$7))</f>
        <v/>
      </c>
      <c r="N44">
        <f>L44-M44</f>
        <v/>
      </c>
      <c r="O44">
        <f>IF(L44=0,0,M44/L44)</f>
        <v/>
      </c>
      <c r="P44">
        <f>IF(M44=0,0,K44/M44)</f>
        <v/>
      </c>
      <c r="Q44">
        <f>IF(F44&gt;0,1,0)</f>
        <v/>
      </c>
      <c r="R44">
        <f>IF(AND(A44&gt;=1,A44&lt;=$B$11),Q44,0)</f>
        <v/>
      </c>
      <c r="S44">
        <f>IF(AND(C44=$B$12,E44=$B$14),Q44,0)</f>
        <v/>
      </c>
      <c r="T44">
        <f>IF(AND(D44=$B$13,E44=$B$14),Q44,0)</f>
        <v/>
      </c>
      <c r="U44">
        <f>IF(E44=$B$14,Q44,0)</f>
        <v/>
      </c>
      <c r="AW44">
        <f>IFERROR(SMALL(WSF_CELLS_CURRENT!$N:$N,41),"")</f>
        <v/>
      </c>
      <c r="AX44">
        <f>IF($AW44="","",INDEX(WSF_CELLS_CURRENT!$C:$C,$AW44))</f>
        <v/>
      </c>
      <c r="AY44">
        <f>IF($AW44="","",INDEX(WSF_CELLS_CURRENT!$D:$D,$AW44))</f>
        <v/>
      </c>
      <c r="AZ44">
        <f>IF($AW44="","",INDEX(WSF_CELLS_CURRENT!$E:$E,$AW44))</f>
        <v/>
      </c>
    </row>
    <row r="45">
      <c r="A45" t="n">
        <v>24</v>
      </c>
      <c r="B45" s="116">
        <f>IF($B$10=0,"",$B$10-7*A45)</f>
        <v/>
      </c>
      <c r="C45">
        <f>IF(B45="","",MONTH(B45))</f>
        <v/>
      </c>
      <c r="D45">
        <f>IF(B45="","",ROUNDUP(MONTH(B45)/3,0))</f>
        <v/>
      </c>
      <c r="E45">
        <f>IF(B45="","",YEAR(B45))</f>
        <v/>
      </c>
      <c r="F45">
        <f>IF(B45="",0,COUNTIFS(DATA_WSF!$A:$A,B45,DATA_WSF!$C:$C,$B$6,DATA_WSF!$D:$D,$B$7))</f>
        <v/>
      </c>
      <c r="G45">
        <f>IF(F45=0,0,SUMIFS(DATA_WSF!$H:$H,DATA_WSF!$A:$A,B45,DATA_WSF!$C:$C,$B$6,DATA_WSF!$D:$D,$B$7))</f>
        <v/>
      </c>
      <c r="H45">
        <f>IF(F45=0,0,SUMIFS(DATA_WSF!$I:$I,DATA_WSF!$A:$A,B45,DATA_WSF!$C:$C,$B$6,DATA_WSF!$D:$D,$B$7))</f>
        <v/>
      </c>
      <c r="I45">
        <f>IF(F45=0,0,SUMIFS(DATA_WSF!$K:$K,DATA_WSF!$A:$A,B45,DATA_WSF!$C:$C,$B$6,DATA_WSF!$D:$D,$B$7))</f>
        <v/>
      </c>
      <c r="J45">
        <f>G45+H45</f>
        <v/>
      </c>
      <c r="K45">
        <f>J45+I45</f>
        <v/>
      </c>
      <c r="L45">
        <f>IF(F45=0,0,SUMIFS(DATA_WSF!$E:$E,DATA_WSF!$A:$A,B45,DATA_WSF!$C:$C,$B$6,DATA_WSF!$D:$D,$B$7))</f>
        <v/>
      </c>
      <c r="M45">
        <f>IF(F45=0,0,SUMIFS(DATA_WSF!$F:$F,DATA_WSF!$A:$A,B45,DATA_WSF!$C:$C,$B$6,DATA_WSF!$D:$D,$B$7))</f>
        <v/>
      </c>
      <c r="N45">
        <f>L45-M45</f>
        <v/>
      </c>
      <c r="O45">
        <f>IF(L45=0,0,M45/L45)</f>
        <v/>
      </c>
      <c r="P45">
        <f>IF(M45=0,0,K45/M45)</f>
        <v/>
      </c>
      <c r="Q45">
        <f>IF(F45&gt;0,1,0)</f>
        <v/>
      </c>
      <c r="R45">
        <f>IF(AND(A45&gt;=1,A45&lt;=$B$11),Q45,0)</f>
        <v/>
      </c>
      <c r="S45">
        <f>IF(AND(C45=$B$12,E45=$B$14),Q45,0)</f>
        <v/>
      </c>
      <c r="T45">
        <f>IF(AND(D45=$B$13,E45=$B$14),Q45,0)</f>
        <v/>
      </c>
      <c r="U45">
        <f>IF(E45=$B$14,Q45,0)</f>
        <v/>
      </c>
      <c r="AW45">
        <f>IFERROR(SMALL(WSF_CELLS_CURRENT!$N:$N,42),"")</f>
        <v/>
      </c>
      <c r="AX45">
        <f>IF($AW45="","",INDEX(WSF_CELLS_CURRENT!$C:$C,$AW45))</f>
        <v/>
      </c>
      <c r="AY45">
        <f>IF($AW45="","",INDEX(WSF_CELLS_CURRENT!$D:$D,$AW45))</f>
        <v/>
      </c>
      <c r="AZ45">
        <f>IF($AW45="","",INDEX(WSF_CELLS_CURRENT!$E:$E,$AW45))</f>
        <v/>
      </c>
    </row>
    <row r="46">
      <c r="A46" t="n">
        <v>25</v>
      </c>
      <c r="B46" s="116">
        <f>IF($B$10=0,"",$B$10-7*A46)</f>
        <v/>
      </c>
      <c r="C46">
        <f>IF(B46="","",MONTH(B46))</f>
        <v/>
      </c>
      <c r="D46">
        <f>IF(B46="","",ROUNDUP(MONTH(B46)/3,0))</f>
        <v/>
      </c>
      <c r="E46">
        <f>IF(B46="","",YEAR(B46))</f>
        <v/>
      </c>
      <c r="F46">
        <f>IF(B46="",0,COUNTIFS(DATA_WSF!$A:$A,B46,DATA_WSF!$C:$C,$B$6,DATA_WSF!$D:$D,$B$7))</f>
        <v/>
      </c>
      <c r="G46">
        <f>IF(F46=0,0,SUMIFS(DATA_WSF!$H:$H,DATA_WSF!$A:$A,B46,DATA_WSF!$C:$C,$B$6,DATA_WSF!$D:$D,$B$7))</f>
        <v/>
      </c>
      <c r="H46">
        <f>IF(F46=0,0,SUMIFS(DATA_WSF!$I:$I,DATA_WSF!$A:$A,B46,DATA_WSF!$C:$C,$B$6,DATA_WSF!$D:$D,$B$7))</f>
        <v/>
      </c>
      <c r="I46">
        <f>IF(F46=0,0,SUMIFS(DATA_WSF!$K:$K,DATA_WSF!$A:$A,B46,DATA_WSF!$C:$C,$B$6,DATA_WSF!$D:$D,$B$7))</f>
        <v/>
      </c>
      <c r="J46">
        <f>G46+H46</f>
        <v/>
      </c>
      <c r="K46">
        <f>J46+I46</f>
        <v/>
      </c>
      <c r="L46">
        <f>IF(F46=0,0,SUMIFS(DATA_WSF!$E:$E,DATA_WSF!$A:$A,B46,DATA_WSF!$C:$C,$B$6,DATA_WSF!$D:$D,$B$7))</f>
        <v/>
      </c>
      <c r="M46">
        <f>IF(F46=0,0,SUMIFS(DATA_WSF!$F:$F,DATA_WSF!$A:$A,B46,DATA_WSF!$C:$C,$B$6,DATA_WSF!$D:$D,$B$7))</f>
        <v/>
      </c>
      <c r="N46">
        <f>L46-M46</f>
        <v/>
      </c>
      <c r="O46">
        <f>IF(L46=0,0,M46/L46)</f>
        <v/>
      </c>
      <c r="P46">
        <f>IF(M46=0,0,K46/M46)</f>
        <v/>
      </c>
      <c r="Q46">
        <f>IF(F46&gt;0,1,0)</f>
        <v/>
      </c>
      <c r="R46">
        <f>IF(AND(A46&gt;=1,A46&lt;=$B$11),Q46,0)</f>
        <v/>
      </c>
      <c r="S46">
        <f>IF(AND(C46=$B$12,E46=$B$14),Q46,0)</f>
        <v/>
      </c>
      <c r="T46">
        <f>IF(AND(D46=$B$13,E46=$B$14),Q46,0)</f>
        <v/>
      </c>
      <c r="U46">
        <f>IF(E46=$B$14,Q46,0)</f>
        <v/>
      </c>
      <c r="AW46">
        <f>IFERROR(SMALL(WSF_CELLS_CURRENT!$N:$N,43),"")</f>
        <v/>
      </c>
      <c r="AX46">
        <f>IF($AW46="","",INDEX(WSF_CELLS_CURRENT!$C:$C,$AW46))</f>
        <v/>
      </c>
      <c r="AY46">
        <f>IF($AW46="","",INDEX(WSF_CELLS_CURRENT!$D:$D,$AW46))</f>
        <v/>
      </c>
      <c r="AZ46">
        <f>IF($AW46="","",INDEX(WSF_CELLS_CURRENT!$E:$E,$AW46))</f>
        <v/>
      </c>
    </row>
    <row r="47">
      <c r="A47" t="n">
        <v>26</v>
      </c>
      <c r="B47" s="116">
        <f>IF($B$10=0,"",$B$10-7*A47)</f>
        <v/>
      </c>
      <c r="C47">
        <f>IF(B47="","",MONTH(B47))</f>
        <v/>
      </c>
      <c r="D47">
        <f>IF(B47="","",ROUNDUP(MONTH(B47)/3,0))</f>
        <v/>
      </c>
      <c r="E47">
        <f>IF(B47="","",YEAR(B47))</f>
        <v/>
      </c>
      <c r="F47">
        <f>IF(B47="",0,COUNTIFS(DATA_WSF!$A:$A,B47,DATA_WSF!$C:$C,$B$6,DATA_WSF!$D:$D,$B$7))</f>
        <v/>
      </c>
      <c r="G47">
        <f>IF(F47=0,0,SUMIFS(DATA_WSF!$H:$H,DATA_WSF!$A:$A,B47,DATA_WSF!$C:$C,$B$6,DATA_WSF!$D:$D,$B$7))</f>
        <v/>
      </c>
      <c r="H47">
        <f>IF(F47=0,0,SUMIFS(DATA_WSF!$I:$I,DATA_WSF!$A:$A,B47,DATA_WSF!$C:$C,$B$6,DATA_WSF!$D:$D,$B$7))</f>
        <v/>
      </c>
      <c r="I47">
        <f>IF(F47=0,0,SUMIFS(DATA_WSF!$K:$K,DATA_WSF!$A:$A,B47,DATA_WSF!$C:$C,$B$6,DATA_WSF!$D:$D,$B$7))</f>
        <v/>
      </c>
      <c r="J47">
        <f>G47+H47</f>
        <v/>
      </c>
      <c r="K47">
        <f>J47+I47</f>
        <v/>
      </c>
      <c r="L47">
        <f>IF(F47=0,0,SUMIFS(DATA_WSF!$E:$E,DATA_WSF!$A:$A,B47,DATA_WSF!$C:$C,$B$6,DATA_WSF!$D:$D,$B$7))</f>
        <v/>
      </c>
      <c r="M47">
        <f>IF(F47=0,0,SUMIFS(DATA_WSF!$F:$F,DATA_WSF!$A:$A,B47,DATA_WSF!$C:$C,$B$6,DATA_WSF!$D:$D,$B$7))</f>
        <v/>
      </c>
      <c r="N47">
        <f>L47-M47</f>
        <v/>
      </c>
      <c r="O47">
        <f>IF(L47=0,0,M47/L47)</f>
        <v/>
      </c>
      <c r="P47">
        <f>IF(M47=0,0,K47/M47)</f>
        <v/>
      </c>
      <c r="Q47">
        <f>IF(F47&gt;0,1,0)</f>
        <v/>
      </c>
      <c r="R47">
        <f>IF(AND(A47&gt;=1,A47&lt;=$B$11),Q47,0)</f>
        <v/>
      </c>
      <c r="S47">
        <f>IF(AND(C47=$B$12,E47=$B$14),Q47,0)</f>
        <v/>
      </c>
      <c r="T47">
        <f>IF(AND(D47=$B$13,E47=$B$14),Q47,0)</f>
        <v/>
      </c>
      <c r="U47">
        <f>IF(E47=$B$14,Q47,0)</f>
        <v/>
      </c>
      <c r="AW47">
        <f>IFERROR(SMALL(WSF_CELLS_CURRENT!$N:$N,44),"")</f>
        <v/>
      </c>
      <c r="AX47">
        <f>IF($AW47="","",INDEX(WSF_CELLS_CURRENT!$C:$C,$AW47))</f>
        <v/>
      </c>
      <c r="AY47">
        <f>IF($AW47="","",INDEX(WSF_CELLS_CURRENT!$D:$D,$AW47))</f>
        <v/>
      </c>
      <c r="AZ47">
        <f>IF($AW47="","",INDEX(WSF_CELLS_CURRENT!$E:$E,$AW47))</f>
        <v/>
      </c>
    </row>
    <row r="48">
      <c r="A48" t="n">
        <v>27</v>
      </c>
      <c r="B48" s="116">
        <f>IF($B$10=0,"",$B$10-7*A48)</f>
        <v/>
      </c>
      <c r="C48">
        <f>IF(B48="","",MONTH(B48))</f>
        <v/>
      </c>
      <c r="D48">
        <f>IF(B48="","",ROUNDUP(MONTH(B48)/3,0))</f>
        <v/>
      </c>
      <c r="E48">
        <f>IF(B48="","",YEAR(B48))</f>
        <v/>
      </c>
      <c r="F48">
        <f>IF(B48="",0,COUNTIFS(DATA_WSF!$A:$A,B48,DATA_WSF!$C:$C,$B$6,DATA_WSF!$D:$D,$B$7))</f>
        <v/>
      </c>
      <c r="G48">
        <f>IF(F48=0,0,SUMIFS(DATA_WSF!$H:$H,DATA_WSF!$A:$A,B48,DATA_WSF!$C:$C,$B$6,DATA_WSF!$D:$D,$B$7))</f>
        <v/>
      </c>
      <c r="H48">
        <f>IF(F48=0,0,SUMIFS(DATA_WSF!$I:$I,DATA_WSF!$A:$A,B48,DATA_WSF!$C:$C,$B$6,DATA_WSF!$D:$D,$B$7))</f>
        <v/>
      </c>
      <c r="I48">
        <f>IF(F48=0,0,SUMIFS(DATA_WSF!$K:$K,DATA_WSF!$A:$A,B48,DATA_WSF!$C:$C,$B$6,DATA_WSF!$D:$D,$B$7))</f>
        <v/>
      </c>
      <c r="J48">
        <f>G48+H48</f>
        <v/>
      </c>
      <c r="K48">
        <f>J48+I48</f>
        <v/>
      </c>
      <c r="L48">
        <f>IF(F48=0,0,SUMIFS(DATA_WSF!$E:$E,DATA_WSF!$A:$A,B48,DATA_WSF!$C:$C,$B$6,DATA_WSF!$D:$D,$B$7))</f>
        <v/>
      </c>
      <c r="M48">
        <f>IF(F48=0,0,SUMIFS(DATA_WSF!$F:$F,DATA_WSF!$A:$A,B48,DATA_WSF!$C:$C,$B$6,DATA_WSF!$D:$D,$B$7))</f>
        <v/>
      </c>
      <c r="N48">
        <f>L48-M48</f>
        <v/>
      </c>
      <c r="O48">
        <f>IF(L48=0,0,M48/L48)</f>
        <v/>
      </c>
      <c r="P48">
        <f>IF(M48=0,0,K48/M48)</f>
        <v/>
      </c>
      <c r="Q48">
        <f>IF(F48&gt;0,1,0)</f>
        <v/>
      </c>
      <c r="R48">
        <f>IF(AND(A48&gt;=1,A48&lt;=$B$11),Q48,0)</f>
        <v/>
      </c>
      <c r="S48">
        <f>IF(AND(C48=$B$12,E48=$B$14),Q48,0)</f>
        <v/>
      </c>
      <c r="T48">
        <f>IF(AND(D48=$B$13,E48=$B$14),Q48,0)</f>
        <v/>
      </c>
      <c r="U48">
        <f>IF(E48=$B$14,Q48,0)</f>
        <v/>
      </c>
      <c r="AW48">
        <f>IFERROR(SMALL(WSF_CELLS_CURRENT!$N:$N,45),"")</f>
        <v/>
      </c>
      <c r="AX48">
        <f>IF($AW48="","",INDEX(WSF_CELLS_CURRENT!$C:$C,$AW48))</f>
        <v/>
      </c>
      <c r="AY48">
        <f>IF($AW48="","",INDEX(WSF_CELLS_CURRENT!$D:$D,$AW48))</f>
        <v/>
      </c>
      <c r="AZ48">
        <f>IF($AW48="","",INDEX(WSF_CELLS_CURRENT!$E:$E,$AW48))</f>
        <v/>
      </c>
    </row>
    <row r="49">
      <c r="A49" t="n">
        <v>28</v>
      </c>
      <c r="B49" s="116">
        <f>IF($B$10=0,"",$B$10-7*A49)</f>
        <v/>
      </c>
      <c r="C49">
        <f>IF(B49="","",MONTH(B49))</f>
        <v/>
      </c>
      <c r="D49">
        <f>IF(B49="","",ROUNDUP(MONTH(B49)/3,0))</f>
        <v/>
      </c>
      <c r="E49">
        <f>IF(B49="","",YEAR(B49))</f>
        <v/>
      </c>
      <c r="F49">
        <f>IF(B49="",0,COUNTIFS(DATA_WSF!$A:$A,B49,DATA_WSF!$C:$C,$B$6,DATA_WSF!$D:$D,$B$7))</f>
        <v/>
      </c>
      <c r="G49">
        <f>IF(F49=0,0,SUMIFS(DATA_WSF!$H:$H,DATA_WSF!$A:$A,B49,DATA_WSF!$C:$C,$B$6,DATA_WSF!$D:$D,$B$7))</f>
        <v/>
      </c>
      <c r="H49">
        <f>IF(F49=0,0,SUMIFS(DATA_WSF!$I:$I,DATA_WSF!$A:$A,B49,DATA_WSF!$C:$C,$B$6,DATA_WSF!$D:$D,$B$7))</f>
        <v/>
      </c>
      <c r="I49">
        <f>IF(F49=0,0,SUMIFS(DATA_WSF!$K:$K,DATA_WSF!$A:$A,B49,DATA_WSF!$C:$C,$B$6,DATA_WSF!$D:$D,$B$7))</f>
        <v/>
      </c>
      <c r="J49">
        <f>G49+H49</f>
        <v/>
      </c>
      <c r="K49">
        <f>J49+I49</f>
        <v/>
      </c>
      <c r="L49">
        <f>IF(F49=0,0,SUMIFS(DATA_WSF!$E:$E,DATA_WSF!$A:$A,B49,DATA_WSF!$C:$C,$B$6,DATA_WSF!$D:$D,$B$7))</f>
        <v/>
      </c>
      <c r="M49">
        <f>IF(F49=0,0,SUMIFS(DATA_WSF!$F:$F,DATA_WSF!$A:$A,B49,DATA_WSF!$C:$C,$B$6,DATA_WSF!$D:$D,$B$7))</f>
        <v/>
      </c>
      <c r="N49">
        <f>L49-M49</f>
        <v/>
      </c>
      <c r="O49">
        <f>IF(L49=0,0,M49/L49)</f>
        <v/>
      </c>
      <c r="P49">
        <f>IF(M49=0,0,K49/M49)</f>
        <v/>
      </c>
      <c r="Q49">
        <f>IF(F49&gt;0,1,0)</f>
        <v/>
      </c>
      <c r="R49">
        <f>IF(AND(A49&gt;=1,A49&lt;=$B$11),Q49,0)</f>
        <v/>
      </c>
      <c r="S49">
        <f>IF(AND(C49=$B$12,E49=$B$14),Q49,0)</f>
        <v/>
      </c>
      <c r="T49">
        <f>IF(AND(D49=$B$13,E49=$B$14),Q49,0)</f>
        <v/>
      </c>
      <c r="U49">
        <f>IF(E49=$B$14,Q49,0)</f>
        <v/>
      </c>
      <c r="AW49">
        <f>IFERROR(SMALL(WSF_CELLS_CURRENT!$N:$N,46),"")</f>
        <v/>
      </c>
      <c r="AX49">
        <f>IF($AW49="","",INDEX(WSF_CELLS_CURRENT!$C:$C,$AW49))</f>
        <v/>
      </c>
      <c r="AY49">
        <f>IF($AW49="","",INDEX(WSF_CELLS_CURRENT!$D:$D,$AW49))</f>
        <v/>
      </c>
      <c r="AZ49">
        <f>IF($AW49="","",INDEX(WSF_CELLS_CURRENT!$E:$E,$AW49))</f>
        <v/>
      </c>
    </row>
    <row r="50">
      <c r="A50" t="n">
        <v>29</v>
      </c>
      <c r="B50" s="116">
        <f>IF($B$10=0,"",$B$10-7*A50)</f>
        <v/>
      </c>
      <c r="C50">
        <f>IF(B50="","",MONTH(B50))</f>
        <v/>
      </c>
      <c r="D50">
        <f>IF(B50="","",ROUNDUP(MONTH(B50)/3,0))</f>
        <v/>
      </c>
      <c r="E50">
        <f>IF(B50="","",YEAR(B50))</f>
        <v/>
      </c>
      <c r="F50">
        <f>IF(B50="",0,COUNTIFS(DATA_WSF!$A:$A,B50,DATA_WSF!$C:$C,$B$6,DATA_WSF!$D:$D,$B$7))</f>
        <v/>
      </c>
      <c r="G50">
        <f>IF(F50=0,0,SUMIFS(DATA_WSF!$H:$H,DATA_WSF!$A:$A,B50,DATA_WSF!$C:$C,$B$6,DATA_WSF!$D:$D,$B$7))</f>
        <v/>
      </c>
      <c r="H50">
        <f>IF(F50=0,0,SUMIFS(DATA_WSF!$I:$I,DATA_WSF!$A:$A,B50,DATA_WSF!$C:$C,$B$6,DATA_WSF!$D:$D,$B$7))</f>
        <v/>
      </c>
      <c r="I50">
        <f>IF(F50=0,0,SUMIFS(DATA_WSF!$K:$K,DATA_WSF!$A:$A,B50,DATA_WSF!$C:$C,$B$6,DATA_WSF!$D:$D,$B$7))</f>
        <v/>
      </c>
      <c r="J50">
        <f>G50+H50</f>
        <v/>
      </c>
      <c r="K50">
        <f>J50+I50</f>
        <v/>
      </c>
      <c r="L50">
        <f>IF(F50=0,0,SUMIFS(DATA_WSF!$E:$E,DATA_WSF!$A:$A,B50,DATA_WSF!$C:$C,$B$6,DATA_WSF!$D:$D,$B$7))</f>
        <v/>
      </c>
      <c r="M50">
        <f>IF(F50=0,0,SUMIFS(DATA_WSF!$F:$F,DATA_WSF!$A:$A,B50,DATA_WSF!$C:$C,$B$6,DATA_WSF!$D:$D,$B$7))</f>
        <v/>
      </c>
      <c r="N50">
        <f>L50-M50</f>
        <v/>
      </c>
      <c r="O50">
        <f>IF(L50=0,0,M50/L50)</f>
        <v/>
      </c>
      <c r="P50">
        <f>IF(M50=0,0,K50/M50)</f>
        <v/>
      </c>
      <c r="Q50">
        <f>IF(F50&gt;0,1,0)</f>
        <v/>
      </c>
      <c r="R50">
        <f>IF(AND(A50&gt;=1,A50&lt;=$B$11),Q50,0)</f>
        <v/>
      </c>
      <c r="S50">
        <f>IF(AND(C50=$B$12,E50=$B$14),Q50,0)</f>
        <v/>
      </c>
      <c r="T50">
        <f>IF(AND(D50=$B$13,E50=$B$14),Q50,0)</f>
        <v/>
      </c>
      <c r="U50">
        <f>IF(E50=$B$14,Q50,0)</f>
        <v/>
      </c>
      <c r="AW50">
        <f>IFERROR(SMALL(WSF_CELLS_CURRENT!$N:$N,47),"")</f>
        <v/>
      </c>
      <c r="AX50">
        <f>IF($AW50="","",INDEX(WSF_CELLS_CURRENT!$C:$C,$AW50))</f>
        <v/>
      </c>
      <c r="AY50">
        <f>IF($AW50="","",INDEX(WSF_CELLS_CURRENT!$D:$D,$AW50))</f>
        <v/>
      </c>
      <c r="AZ50">
        <f>IF($AW50="","",INDEX(WSF_CELLS_CURRENT!$E:$E,$AW50))</f>
        <v/>
      </c>
    </row>
    <row r="51">
      <c r="A51" t="n">
        <v>30</v>
      </c>
      <c r="B51" s="116">
        <f>IF($B$10=0,"",$B$10-7*A51)</f>
        <v/>
      </c>
      <c r="C51">
        <f>IF(B51="","",MONTH(B51))</f>
        <v/>
      </c>
      <c r="D51">
        <f>IF(B51="","",ROUNDUP(MONTH(B51)/3,0))</f>
        <v/>
      </c>
      <c r="E51">
        <f>IF(B51="","",YEAR(B51))</f>
        <v/>
      </c>
      <c r="F51">
        <f>IF(B51="",0,COUNTIFS(DATA_WSF!$A:$A,B51,DATA_WSF!$C:$C,$B$6,DATA_WSF!$D:$D,$B$7))</f>
        <v/>
      </c>
      <c r="G51">
        <f>IF(F51=0,0,SUMIFS(DATA_WSF!$H:$H,DATA_WSF!$A:$A,B51,DATA_WSF!$C:$C,$B$6,DATA_WSF!$D:$D,$B$7))</f>
        <v/>
      </c>
      <c r="H51">
        <f>IF(F51=0,0,SUMIFS(DATA_WSF!$I:$I,DATA_WSF!$A:$A,B51,DATA_WSF!$C:$C,$B$6,DATA_WSF!$D:$D,$B$7))</f>
        <v/>
      </c>
      <c r="I51">
        <f>IF(F51=0,0,SUMIFS(DATA_WSF!$K:$K,DATA_WSF!$A:$A,B51,DATA_WSF!$C:$C,$B$6,DATA_WSF!$D:$D,$B$7))</f>
        <v/>
      </c>
      <c r="J51">
        <f>G51+H51</f>
        <v/>
      </c>
      <c r="K51">
        <f>J51+I51</f>
        <v/>
      </c>
      <c r="L51">
        <f>IF(F51=0,0,SUMIFS(DATA_WSF!$E:$E,DATA_WSF!$A:$A,B51,DATA_WSF!$C:$C,$B$6,DATA_WSF!$D:$D,$B$7))</f>
        <v/>
      </c>
      <c r="M51">
        <f>IF(F51=0,0,SUMIFS(DATA_WSF!$F:$F,DATA_WSF!$A:$A,B51,DATA_WSF!$C:$C,$B$6,DATA_WSF!$D:$D,$B$7))</f>
        <v/>
      </c>
      <c r="N51">
        <f>L51-M51</f>
        <v/>
      </c>
      <c r="O51">
        <f>IF(L51=0,0,M51/L51)</f>
        <v/>
      </c>
      <c r="P51">
        <f>IF(M51=0,0,K51/M51)</f>
        <v/>
      </c>
      <c r="Q51">
        <f>IF(F51&gt;0,1,0)</f>
        <v/>
      </c>
      <c r="R51">
        <f>IF(AND(A51&gt;=1,A51&lt;=$B$11),Q51,0)</f>
        <v/>
      </c>
      <c r="S51">
        <f>IF(AND(C51=$B$12,E51=$B$14),Q51,0)</f>
        <v/>
      </c>
      <c r="T51">
        <f>IF(AND(D51=$B$13,E51=$B$14),Q51,0)</f>
        <v/>
      </c>
      <c r="U51">
        <f>IF(E51=$B$14,Q51,0)</f>
        <v/>
      </c>
      <c r="AW51">
        <f>IFERROR(SMALL(WSF_CELLS_CURRENT!$N:$N,48),"")</f>
        <v/>
      </c>
      <c r="AX51">
        <f>IF($AW51="","",INDEX(WSF_CELLS_CURRENT!$C:$C,$AW51))</f>
        <v/>
      </c>
      <c r="AY51">
        <f>IF($AW51="","",INDEX(WSF_CELLS_CURRENT!$D:$D,$AW51))</f>
        <v/>
      </c>
      <c r="AZ51">
        <f>IF($AW51="","",INDEX(WSF_CELLS_CURRENT!$E:$E,$AW51))</f>
        <v/>
      </c>
    </row>
    <row r="52">
      <c r="A52" t="n">
        <v>31</v>
      </c>
      <c r="B52" s="116">
        <f>IF($B$10=0,"",$B$10-7*A52)</f>
        <v/>
      </c>
      <c r="C52">
        <f>IF(B52="","",MONTH(B52))</f>
        <v/>
      </c>
      <c r="D52">
        <f>IF(B52="","",ROUNDUP(MONTH(B52)/3,0))</f>
        <v/>
      </c>
      <c r="E52">
        <f>IF(B52="","",YEAR(B52))</f>
        <v/>
      </c>
      <c r="F52">
        <f>IF(B52="",0,COUNTIFS(DATA_WSF!$A:$A,B52,DATA_WSF!$C:$C,$B$6,DATA_WSF!$D:$D,$B$7))</f>
        <v/>
      </c>
      <c r="G52">
        <f>IF(F52=0,0,SUMIFS(DATA_WSF!$H:$H,DATA_WSF!$A:$A,B52,DATA_WSF!$C:$C,$B$6,DATA_WSF!$D:$D,$B$7))</f>
        <v/>
      </c>
      <c r="H52">
        <f>IF(F52=0,0,SUMIFS(DATA_WSF!$I:$I,DATA_WSF!$A:$A,B52,DATA_WSF!$C:$C,$B$6,DATA_WSF!$D:$D,$B$7))</f>
        <v/>
      </c>
      <c r="I52">
        <f>IF(F52=0,0,SUMIFS(DATA_WSF!$K:$K,DATA_WSF!$A:$A,B52,DATA_WSF!$C:$C,$B$6,DATA_WSF!$D:$D,$B$7))</f>
        <v/>
      </c>
      <c r="J52">
        <f>G52+H52</f>
        <v/>
      </c>
      <c r="K52">
        <f>J52+I52</f>
        <v/>
      </c>
      <c r="L52">
        <f>IF(F52=0,0,SUMIFS(DATA_WSF!$E:$E,DATA_WSF!$A:$A,B52,DATA_WSF!$C:$C,$B$6,DATA_WSF!$D:$D,$B$7))</f>
        <v/>
      </c>
      <c r="M52">
        <f>IF(F52=0,0,SUMIFS(DATA_WSF!$F:$F,DATA_WSF!$A:$A,B52,DATA_WSF!$C:$C,$B$6,DATA_WSF!$D:$D,$B$7))</f>
        <v/>
      </c>
      <c r="N52">
        <f>L52-M52</f>
        <v/>
      </c>
      <c r="O52">
        <f>IF(L52=0,0,M52/L52)</f>
        <v/>
      </c>
      <c r="P52">
        <f>IF(M52=0,0,K52/M52)</f>
        <v/>
      </c>
      <c r="Q52">
        <f>IF(F52&gt;0,1,0)</f>
        <v/>
      </c>
      <c r="R52">
        <f>IF(AND(A52&gt;=1,A52&lt;=$B$11),Q52,0)</f>
        <v/>
      </c>
      <c r="S52">
        <f>IF(AND(C52=$B$12,E52=$B$14),Q52,0)</f>
        <v/>
      </c>
      <c r="T52">
        <f>IF(AND(D52=$B$13,E52=$B$14),Q52,0)</f>
        <v/>
      </c>
      <c r="U52">
        <f>IF(E52=$B$14,Q52,0)</f>
        <v/>
      </c>
      <c r="AW52">
        <f>IFERROR(SMALL(WSF_CELLS_CURRENT!$N:$N,49),"")</f>
        <v/>
      </c>
      <c r="AX52">
        <f>IF($AW52="","",INDEX(WSF_CELLS_CURRENT!$C:$C,$AW52))</f>
        <v/>
      </c>
      <c r="AY52">
        <f>IF($AW52="","",INDEX(WSF_CELLS_CURRENT!$D:$D,$AW52))</f>
        <v/>
      </c>
      <c r="AZ52">
        <f>IF($AW52="","",INDEX(WSF_CELLS_CURRENT!$E:$E,$AW52))</f>
        <v/>
      </c>
    </row>
    <row r="53">
      <c r="A53" t="n">
        <v>32</v>
      </c>
      <c r="B53" s="116">
        <f>IF($B$10=0,"",$B$10-7*A53)</f>
        <v/>
      </c>
      <c r="C53">
        <f>IF(B53="","",MONTH(B53))</f>
        <v/>
      </c>
      <c r="D53">
        <f>IF(B53="","",ROUNDUP(MONTH(B53)/3,0))</f>
        <v/>
      </c>
      <c r="E53">
        <f>IF(B53="","",YEAR(B53))</f>
        <v/>
      </c>
      <c r="F53">
        <f>IF(B53="",0,COUNTIFS(DATA_WSF!$A:$A,B53,DATA_WSF!$C:$C,$B$6,DATA_WSF!$D:$D,$B$7))</f>
        <v/>
      </c>
      <c r="G53">
        <f>IF(F53=0,0,SUMIFS(DATA_WSF!$H:$H,DATA_WSF!$A:$A,B53,DATA_WSF!$C:$C,$B$6,DATA_WSF!$D:$D,$B$7))</f>
        <v/>
      </c>
      <c r="H53">
        <f>IF(F53=0,0,SUMIFS(DATA_WSF!$I:$I,DATA_WSF!$A:$A,B53,DATA_WSF!$C:$C,$B$6,DATA_WSF!$D:$D,$B$7))</f>
        <v/>
      </c>
      <c r="I53">
        <f>IF(F53=0,0,SUMIFS(DATA_WSF!$K:$K,DATA_WSF!$A:$A,B53,DATA_WSF!$C:$C,$B$6,DATA_WSF!$D:$D,$B$7))</f>
        <v/>
      </c>
      <c r="J53">
        <f>G53+H53</f>
        <v/>
      </c>
      <c r="K53">
        <f>J53+I53</f>
        <v/>
      </c>
      <c r="L53">
        <f>IF(F53=0,0,SUMIFS(DATA_WSF!$E:$E,DATA_WSF!$A:$A,B53,DATA_WSF!$C:$C,$B$6,DATA_WSF!$D:$D,$B$7))</f>
        <v/>
      </c>
      <c r="M53">
        <f>IF(F53=0,0,SUMIFS(DATA_WSF!$F:$F,DATA_WSF!$A:$A,B53,DATA_WSF!$C:$C,$B$6,DATA_WSF!$D:$D,$B$7))</f>
        <v/>
      </c>
      <c r="N53">
        <f>L53-M53</f>
        <v/>
      </c>
      <c r="O53">
        <f>IF(L53=0,0,M53/L53)</f>
        <v/>
      </c>
      <c r="P53">
        <f>IF(M53=0,0,K53/M53)</f>
        <v/>
      </c>
      <c r="Q53">
        <f>IF(F53&gt;0,1,0)</f>
        <v/>
      </c>
      <c r="R53">
        <f>IF(AND(A53&gt;=1,A53&lt;=$B$11),Q53,0)</f>
        <v/>
      </c>
      <c r="S53">
        <f>IF(AND(C53=$B$12,E53=$B$14),Q53,0)</f>
        <v/>
      </c>
      <c r="T53">
        <f>IF(AND(D53=$B$13,E53=$B$14),Q53,0)</f>
        <v/>
      </c>
      <c r="U53">
        <f>IF(E53=$B$14,Q53,0)</f>
        <v/>
      </c>
      <c r="AW53">
        <f>IFERROR(SMALL(WSF_CELLS_CURRENT!$N:$N,50),"")</f>
        <v/>
      </c>
      <c r="AX53">
        <f>IF($AW53="","",INDEX(WSF_CELLS_CURRENT!$C:$C,$AW53))</f>
        <v/>
      </c>
      <c r="AY53">
        <f>IF($AW53="","",INDEX(WSF_CELLS_CURRENT!$D:$D,$AW53))</f>
        <v/>
      </c>
      <c r="AZ53">
        <f>IF($AW53="","",INDEX(WSF_CELLS_CURRENT!$E:$E,$AW53))</f>
        <v/>
      </c>
    </row>
    <row r="54">
      <c r="A54" t="n">
        <v>33</v>
      </c>
      <c r="B54" s="116">
        <f>IF($B$10=0,"",$B$10-7*A54)</f>
        <v/>
      </c>
      <c r="C54">
        <f>IF(B54="","",MONTH(B54))</f>
        <v/>
      </c>
      <c r="D54">
        <f>IF(B54="","",ROUNDUP(MONTH(B54)/3,0))</f>
        <v/>
      </c>
      <c r="E54">
        <f>IF(B54="","",YEAR(B54))</f>
        <v/>
      </c>
      <c r="F54">
        <f>IF(B54="",0,COUNTIFS(DATA_WSF!$A:$A,B54,DATA_WSF!$C:$C,$B$6,DATA_WSF!$D:$D,$B$7))</f>
        <v/>
      </c>
      <c r="G54">
        <f>IF(F54=0,0,SUMIFS(DATA_WSF!$H:$H,DATA_WSF!$A:$A,B54,DATA_WSF!$C:$C,$B$6,DATA_WSF!$D:$D,$B$7))</f>
        <v/>
      </c>
      <c r="H54">
        <f>IF(F54=0,0,SUMIFS(DATA_WSF!$I:$I,DATA_WSF!$A:$A,B54,DATA_WSF!$C:$C,$B$6,DATA_WSF!$D:$D,$B$7))</f>
        <v/>
      </c>
      <c r="I54">
        <f>IF(F54=0,0,SUMIFS(DATA_WSF!$K:$K,DATA_WSF!$A:$A,B54,DATA_WSF!$C:$C,$B$6,DATA_WSF!$D:$D,$B$7))</f>
        <v/>
      </c>
      <c r="J54">
        <f>G54+H54</f>
        <v/>
      </c>
      <c r="K54">
        <f>J54+I54</f>
        <v/>
      </c>
      <c r="L54">
        <f>IF(F54=0,0,SUMIFS(DATA_WSF!$E:$E,DATA_WSF!$A:$A,B54,DATA_WSF!$C:$C,$B$6,DATA_WSF!$D:$D,$B$7))</f>
        <v/>
      </c>
      <c r="M54">
        <f>IF(F54=0,0,SUMIFS(DATA_WSF!$F:$F,DATA_WSF!$A:$A,B54,DATA_WSF!$C:$C,$B$6,DATA_WSF!$D:$D,$B$7))</f>
        <v/>
      </c>
      <c r="N54">
        <f>L54-M54</f>
        <v/>
      </c>
      <c r="O54">
        <f>IF(L54=0,0,M54/L54)</f>
        <v/>
      </c>
      <c r="P54">
        <f>IF(M54=0,0,K54/M54)</f>
        <v/>
      </c>
      <c r="Q54">
        <f>IF(F54&gt;0,1,0)</f>
        <v/>
      </c>
      <c r="R54">
        <f>IF(AND(A54&gt;=1,A54&lt;=$B$11),Q54,0)</f>
        <v/>
      </c>
      <c r="S54">
        <f>IF(AND(C54=$B$12,E54=$B$14),Q54,0)</f>
        <v/>
      </c>
      <c r="T54">
        <f>IF(AND(D54=$B$13,E54=$B$14),Q54,0)</f>
        <v/>
      </c>
      <c r="U54">
        <f>IF(E54=$B$14,Q54,0)</f>
        <v/>
      </c>
    </row>
    <row r="55">
      <c r="A55" t="n">
        <v>34</v>
      </c>
      <c r="B55" s="116">
        <f>IF($B$10=0,"",$B$10-7*A55)</f>
        <v/>
      </c>
      <c r="C55">
        <f>IF(B55="","",MONTH(B55))</f>
        <v/>
      </c>
      <c r="D55">
        <f>IF(B55="","",ROUNDUP(MONTH(B55)/3,0))</f>
        <v/>
      </c>
      <c r="E55">
        <f>IF(B55="","",YEAR(B55))</f>
        <v/>
      </c>
      <c r="F55">
        <f>IF(B55="",0,COUNTIFS(DATA_WSF!$A:$A,B55,DATA_WSF!$C:$C,$B$6,DATA_WSF!$D:$D,$B$7))</f>
        <v/>
      </c>
      <c r="G55">
        <f>IF(F55=0,0,SUMIFS(DATA_WSF!$H:$H,DATA_WSF!$A:$A,B55,DATA_WSF!$C:$C,$B$6,DATA_WSF!$D:$D,$B$7))</f>
        <v/>
      </c>
      <c r="H55">
        <f>IF(F55=0,0,SUMIFS(DATA_WSF!$I:$I,DATA_WSF!$A:$A,B55,DATA_WSF!$C:$C,$B$6,DATA_WSF!$D:$D,$B$7))</f>
        <v/>
      </c>
      <c r="I55">
        <f>IF(F55=0,0,SUMIFS(DATA_WSF!$K:$K,DATA_WSF!$A:$A,B55,DATA_WSF!$C:$C,$B$6,DATA_WSF!$D:$D,$B$7))</f>
        <v/>
      </c>
      <c r="J55">
        <f>G55+H55</f>
        <v/>
      </c>
      <c r="K55">
        <f>J55+I55</f>
        <v/>
      </c>
      <c r="L55">
        <f>IF(F55=0,0,SUMIFS(DATA_WSF!$E:$E,DATA_WSF!$A:$A,B55,DATA_WSF!$C:$C,$B$6,DATA_WSF!$D:$D,$B$7))</f>
        <v/>
      </c>
      <c r="M55">
        <f>IF(F55=0,0,SUMIFS(DATA_WSF!$F:$F,DATA_WSF!$A:$A,B55,DATA_WSF!$C:$C,$B$6,DATA_WSF!$D:$D,$B$7))</f>
        <v/>
      </c>
      <c r="N55">
        <f>L55-M55</f>
        <v/>
      </c>
      <c r="O55">
        <f>IF(L55=0,0,M55/L55)</f>
        <v/>
      </c>
      <c r="P55">
        <f>IF(M55=0,0,K55/M55)</f>
        <v/>
      </c>
      <c r="Q55">
        <f>IF(F55&gt;0,1,0)</f>
        <v/>
      </c>
      <c r="R55">
        <f>IF(AND(A55&gt;=1,A55&lt;=$B$11),Q55,0)</f>
        <v/>
      </c>
      <c r="S55">
        <f>IF(AND(C55=$B$12,E55=$B$14),Q55,0)</f>
        <v/>
      </c>
      <c r="T55">
        <f>IF(AND(D55=$B$13,E55=$B$14),Q55,0)</f>
        <v/>
      </c>
      <c r="U55">
        <f>IF(E55=$B$14,Q55,0)</f>
        <v/>
      </c>
    </row>
    <row r="56">
      <c r="A56" t="n">
        <v>35</v>
      </c>
      <c r="B56" s="116">
        <f>IF($B$10=0,"",$B$10-7*A56)</f>
        <v/>
      </c>
      <c r="C56">
        <f>IF(B56="","",MONTH(B56))</f>
        <v/>
      </c>
      <c r="D56">
        <f>IF(B56="","",ROUNDUP(MONTH(B56)/3,0))</f>
        <v/>
      </c>
      <c r="E56">
        <f>IF(B56="","",YEAR(B56))</f>
        <v/>
      </c>
      <c r="F56">
        <f>IF(B56="",0,COUNTIFS(DATA_WSF!$A:$A,B56,DATA_WSF!$C:$C,$B$6,DATA_WSF!$D:$D,$B$7))</f>
        <v/>
      </c>
      <c r="G56">
        <f>IF(F56=0,0,SUMIFS(DATA_WSF!$H:$H,DATA_WSF!$A:$A,B56,DATA_WSF!$C:$C,$B$6,DATA_WSF!$D:$D,$B$7))</f>
        <v/>
      </c>
      <c r="H56">
        <f>IF(F56=0,0,SUMIFS(DATA_WSF!$I:$I,DATA_WSF!$A:$A,B56,DATA_WSF!$C:$C,$B$6,DATA_WSF!$D:$D,$B$7))</f>
        <v/>
      </c>
      <c r="I56">
        <f>IF(F56=0,0,SUMIFS(DATA_WSF!$K:$K,DATA_WSF!$A:$A,B56,DATA_WSF!$C:$C,$B$6,DATA_WSF!$D:$D,$B$7))</f>
        <v/>
      </c>
      <c r="J56">
        <f>G56+H56</f>
        <v/>
      </c>
      <c r="K56">
        <f>J56+I56</f>
        <v/>
      </c>
      <c r="L56">
        <f>IF(F56=0,0,SUMIFS(DATA_WSF!$E:$E,DATA_WSF!$A:$A,B56,DATA_WSF!$C:$C,$B$6,DATA_WSF!$D:$D,$B$7))</f>
        <v/>
      </c>
      <c r="M56">
        <f>IF(F56=0,0,SUMIFS(DATA_WSF!$F:$F,DATA_WSF!$A:$A,B56,DATA_WSF!$C:$C,$B$6,DATA_WSF!$D:$D,$B$7))</f>
        <v/>
      </c>
      <c r="N56">
        <f>L56-M56</f>
        <v/>
      </c>
      <c r="O56">
        <f>IF(L56=0,0,M56/L56)</f>
        <v/>
      </c>
      <c r="P56">
        <f>IF(M56=0,0,K56/M56)</f>
        <v/>
      </c>
      <c r="Q56">
        <f>IF(F56&gt;0,1,0)</f>
        <v/>
      </c>
      <c r="R56">
        <f>IF(AND(A56&gt;=1,A56&lt;=$B$11),Q56,0)</f>
        <v/>
      </c>
      <c r="S56">
        <f>IF(AND(C56=$B$12,E56=$B$14),Q56,0)</f>
        <v/>
      </c>
      <c r="T56">
        <f>IF(AND(D56=$B$13,E56=$B$14),Q56,0)</f>
        <v/>
      </c>
      <c r="U56">
        <f>IF(E56=$B$14,Q56,0)</f>
        <v/>
      </c>
    </row>
    <row r="57">
      <c r="A57" t="n">
        <v>36</v>
      </c>
      <c r="B57" s="116">
        <f>IF($B$10=0,"",$B$10-7*A57)</f>
        <v/>
      </c>
      <c r="C57">
        <f>IF(B57="","",MONTH(B57))</f>
        <v/>
      </c>
      <c r="D57">
        <f>IF(B57="","",ROUNDUP(MONTH(B57)/3,0))</f>
        <v/>
      </c>
      <c r="E57">
        <f>IF(B57="","",YEAR(B57))</f>
        <v/>
      </c>
      <c r="F57">
        <f>IF(B57="",0,COUNTIFS(DATA_WSF!$A:$A,B57,DATA_WSF!$C:$C,$B$6,DATA_WSF!$D:$D,$B$7))</f>
        <v/>
      </c>
      <c r="G57">
        <f>IF(F57=0,0,SUMIFS(DATA_WSF!$H:$H,DATA_WSF!$A:$A,B57,DATA_WSF!$C:$C,$B$6,DATA_WSF!$D:$D,$B$7))</f>
        <v/>
      </c>
      <c r="H57">
        <f>IF(F57=0,0,SUMIFS(DATA_WSF!$I:$I,DATA_WSF!$A:$A,B57,DATA_WSF!$C:$C,$B$6,DATA_WSF!$D:$D,$B$7))</f>
        <v/>
      </c>
      <c r="I57">
        <f>IF(F57=0,0,SUMIFS(DATA_WSF!$K:$K,DATA_WSF!$A:$A,B57,DATA_WSF!$C:$C,$B$6,DATA_WSF!$D:$D,$B$7))</f>
        <v/>
      </c>
      <c r="J57">
        <f>G57+H57</f>
        <v/>
      </c>
      <c r="K57">
        <f>J57+I57</f>
        <v/>
      </c>
      <c r="L57">
        <f>IF(F57=0,0,SUMIFS(DATA_WSF!$E:$E,DATA_WSF!$A:$A,B57,DATA_WSF!$C:$C,$B$6,DATA_WSF!$D:$D,$B$7))</f>
        <v/>
      </c>
      <c r="M57">
        <f>IF(F57=0,0,SUMIFS(DATA_WSF!$F:$F,DATA_WSF!$A:$A,B57,DATA_WSF!$C:$C,$B$6,DATA_WSF!$D:$D,$B$7))</f>
        <v/>
      </c>
      <c r="N57">
        <f>L57-M57</f>
        <v/>
      </c>
      <c r="O57">
        <f>IF(L57=0,0,M57/L57)</f>
        <v/>
      </c>
      <c r="P57">
        <f>IF(M57=0,0,K57/M57)</f>
        <v/>
      </c>
      <c r="Q57">
        <f>IF(F57&gt;0,1,0)</f>
        <v/>
      </c>
      <c r="R57">
        <f>IF(AND(A57&gt;=1,A57&lt;=$B$11),Q57,0)</f>
        <v/>
      </c>
      <c r="S57">
        <f>IF(AND(C57=$B$12,E57=$B$14),Q57,0)</f>
        <v/>
      </c>
      <c r="T57">
        <f>IF(AND(D57=$B$13,E57=$B$14),Q57,0)</f>
        <v/>
      </c>
      <c r="U57">
        <f>IF(E57=$B$14,Q57,0)</f>
        <v/>
      </c>
    </row>
    <row r="58">
      <c r="A58" t="n">
        <v>37</v>
      </c>
      <c r="B58" s="116">
        <f>IF($B$10=0,"",$B$10-7*A58)</f>
        <v/>
      </c>
      <c r="C58">
        <f>IF(B58="","",MONTH(B58))</f>
        <v/>
      </c>
      <c r="D58">
        <f>IF(B58="","",ROUNDUP(MONTH(B58)/3,0))</f>
        <v/>
      </c>
      <c r="E58">
        <f>IF(B58="","",YEAR(B58))</f>
        <v/>
      </c>
      <c r="F58">
        <f>IF(B58="",0,COUNTIFS(DATA_WSF!$A:$A,B58,DATA_WSF!$C:$C,$B$6,DATA_WSF!$D:$D,$B$7))</f>
        <v/>
      </c>
      <c r="G58">
        <f>IF(F58=0,0,SUMIFS(DATA_WSF!$H:$H,DATA_WSF!$A:$A,B58,DATA_WSF!$C:$C,$B$6,DATA_WSF!$D:$D,$B$7))</f>
        <v/>
      </c>
      <c r="H58">
        <f>IF(F58=0,0,SUMIFS(DATA_WSF!$I:$I,DATA_WSF!$A:$A,B58,DATA_WSF!$C:$C,$B$6,DATA_WSF!$D:$D,$B$7))</f>
        <v/>
      </c>
      <c r="I58">
        <f>IF(F58=0,0,SUMIFS(DATA_WSF!$K:$K,DATA_WSF!$A:$A,B58,DATA_WSF!$C:$C,$B$6,DATA_WSF!$D:$D,$B$7))</f>
        <v/>
      </c>
      <c r="J58">
        <f>G58+H58</f>
        <v/>
      </c>
      <c r="K58">
        <f>J58+I58</f>
        <v/>
      </c>
      <c r="L58">
        <f>IF(F58=0,0,SUMIFS(DATA_WSF!$E:$E,DATA_WSF!$A:$A,B58,DATA_WSF!$C:$C,$B$6,DATA_WSF!$D:$D,$B$7))</f>
        <v/>
      </c>
      <c r="M58">
        <f>IF(F58=0,0,SUMIFS(DATA_WSF!$F:$F,DATA_WSF!$A:$A,B58,DATA_WSF!$C:$C,$B$6,DATA_WSF!$D:$D,$B$7))</f>
        <v/>
      </c>
      <c r="N58">
        <f>L58-M58</f>
        <v/>
      </c>
      <c r="O58">
        <f>IF(L58=0,0,M58/L58)</f>
        <v/>
      </c>
      <c r="P58">
        <f>IF(M58=0,0,K58/M58)</f>
        <v/>
      </c>
      <c r="Q58">
        <f>IF(F58&gt;0,1,0)</f>
        <v/>
      </c>
      <c r="R58">
        <f>IF(AND(A58&gt;=1,A58&lt;=$B$11),Q58,0)</f>
        <v/>
      </c>
      <c r="S58">
        <f>IF(AND(C58=$B$12,E58=$B$14),Q58,0)</f>
        <v/>
      </c>
      <c r="T58">
        <f>IF(AND(D58=$B$13,E58=$B$14),Q58,0)</f>
        <v/>
      </c>
      <c r="U58">
        <f>IF(E58=$B$14,Q58,0)</f>
        <v/>
      </c>
    </row>
    <row r="59">
      <c r="A59" t="n">
        <v>38</v>
      </c>
      <c r="B59" s="116">
        <f>IF($B$10=0,"",$B$10-7*A59)</f>
        <v/>
      </c>
      <c r="C59">
        <f>IF(B59="","",MONTH(B59))</f>
        <v/>
      </c>
      <c r="D59">
        <f>IF(B59="","",ROUNDUP(MONTH(B59)/3,0))</f>
        <v/>
      </c>
      <c r="E59">
        <f>IF(B59="","",YEAR(B59))</f>
        <v/>
      </c>
      <c r="F59">
        <f>IF(B59="",0,COUNTIFS(DATA_WSF!$A:$A,B59,DATA_WSF!$C:$C,$B$6,DATA_WSF!$D:$D,$B$7))</f>
        <v/>
      </c>
      <c r="G59">
        <f>IF(F59=0,0,SUMIFS(DATA_WSF!$H:$H,DATA_WSF!$A:$A,B59,DATA_WSF!$C:$C,$B$6,DATA_WSF!$D:$D,$B$7))</f>
        <v/>
      </c>
      <c r="H59">
        <f>IF(F59=0,0,SUMIFS(DATA_WSF!$I:$I,DATA_WSF!$A:$A,B59,DATA_WSF!$C:$C,$B$6,DATA_WSF!$D:$D,$B$7))</f>
        <v/>
      </c>
      <c r="I59">
        <f>IF(F59=0,0,SUMIFS(DATA_WSF!$K:$K,DATA_WSF!$A:$A,B59,DATA_WSF!$C:$C,$B$6,DATA_WSF!$D:$D,$B$7))</f>
        <v/>
      </c>
      <c r="J59">
        <f>G59+H59</f>
        <v/>
      </c>
      <c r="K59">
        <f>J59+I59</f>
        <v/>
      </c>
      <c r="L59">
        <f>IF(F59=0,0,SUMIFS(DATA_WSF!$E:$E,DATA_WSF!$A:$A,B59,DATA_WSF!$C:$C,$B$6,DATA_WSF!$D:$D,$B$7))</f>
        <v/>
      </c>
      <c r="M59">
        <f>IF(F59=0,0,SUMIFS(DATA_WSF!$F:$F,DATA_WSF!$A:$A,B59,DATA_WSF!$C:$C,$B$6,DATA_WSF!$D:$D,$B$7))</f>
        <v/>
      </c>
      <c r="N59">
        <f>L59-M59</f>
        <v/>
      </c>
      <c r="O59">
        <f>IF(L59=0,0,M59/L59)</f>
        <v/>
      </c>
      <c r="P59">
        <f>IF(M59=0,0,K59/M59)</f>
        <v/>
      </c>
      <c r="Q59">
        <f>IF(F59&gt;0,1,0)</f>
        <v/>
      </c>
      <c r="R59">
        <f>IF(AND(A59&gt;=1,A59&lt;=$B$11),Q59,0)</f>
        <v/>
      </c>
      <c r="S59">
        <f>IF(AND(C59=$B$12,E59=$B$14),Q59,0)</f>
        <v/>
      </c>
      <c r="T59">
        <f>IF(AND(D59=$B$13,E59=$B$14),Q59,0)</f>
        <v/>
      </c>
      <c r="U59">
        <f>IF(E59=$B$14,Q59,0)</f>
        <v/>
      </c>
    </row>
    <row r="60">
      <c r="A60" t="n">
        <v>39</v>
      </c>
      <c r="B60" s="116">
        <f>IF($B$10=0,"",$B$10-7*A60)</f>
        <v/>
      </c>
      <c r="C60">
        <f>IF(B60="","",MONTH(B60))</f>
        <v/>
      </c>
      <c r="D60">
        <f>IF(B60="","",ROUNDUP(MONTH(B60)/3,0))</f>
        <v/>
      </c>
      <c r="E60">
        <f>IF(B60="","",YEAR(B60))</f>
        <v/>
      </c>
      <c r="F60">
        <f>IF(B60="",0,COUNTIFS(DATA_WSF!$A:$A,B60,DATA_WSF!$C:$C,$B$6,DATA_WSF!$D:$D,$B$7))</f>
        <v/>
      </c>
      <c r="G60">
        <f>IF(F60=0,0,SUMIFS(DATA_WSF!$H:$H,DATA_WSF!$A:$A,B60,DATA_WSF!$C:$C,$B$6,DATA_WSF!$D:$D,$B$7))</f>
        <v/>
      </c>
      <c r="H60">
        <f>IF(F60=0,0,SUMIFS(DATA_WSF!$I:$I,DATA_WSF!$A:$A,B60,DATA_WSF!$C:$C,$B$6,DATA_WSF!$D:$D,$B$7))</f>
        <v/>
      </c>
      <c r="I60">
        <f>IF(F60=0,0,SUMIFS(DATA_WSF!$K:$K,DATA_WSF!$A:$A,B60,DATA_WSF!$C:$C,$B$6,DATA_WSF!$D:$D,$B$7))</f>
        <v/>
      </c>
      <c r="J60">
        <f>G60+H60</f>
        <v/>
      </c>
      <c r="K60">
        <f>J60+I60</f>
        <v/>
      </c>
      <c r="L60">
        <f>IF(F60=0,0,SUMIFS(DATA_WSF!$E:$E,DATA_WSF!$A:$A,B60,DATA_WSF!$C:$C,$B$6,DATA_WSF!$D:$D,$B$7))</f>
        <v/>
      </c>
      <c r="M60">
        <f>IF(F60=0,0,SUMIFS(DATA_WSF!$F:$F,DATA_WSF!$A:$A,B60,DATA_WSF!$C:$C,$B$6,DATA_WSF!$D:$D,$B$7))</f>
        <v/>
      </c>
      <c r="N60">
        <f>L60-M60</f>
        <v/>
      </c>
      <c r="O60">
        <f>IF(L60=0,0,M60/L60)</f>
        <v/>
      </c>
      <c r="P60">
        <f>IF(M60=0,0,K60/M60)</f>
        <v/>
      </c>
      <c r="Q60">
        <f>IF(F60&gt;0,1,0)</f>
        <v/>
      </c>
      <c r="R60">
        <f>IF(AND(A60&gt;=1,A60&lt;=$B$11),Q60,0)</f>
        <v/>
      </c>
      <c r="S60">
        <f>IF(AND(C60=$B$12,E60=$B$14),Q60,0)</f>
        <v/>
      </c>
      <c r="T60">
        <f>IF(AND(D60=$B$13,E60=$B$14),Q60,0)</f>
        <v/>
      </c>
      <c r="U60">
        <f>IF(E60=$B$14,Q60,0)</f>
        <v/>
      </c>
    </row>
    <row r="61">
      <c r="A61" t="n">
        <v>40</v>
      </c>
      <c r="B61" s="116">
        <f>IF($B$10=0,"",$B$10-7*A61)</f>
        <v/>
      </c>
      <c r="C61">
        <f>IF(B61="","",MONTH(B61))</f>
        <v/>
      </c>
      <c r="D61">
        <f>IF(B61="","",ROUNDUP(MONTH(B61)/3,0))</f>
        <v/>
      </c>
      <c r="E61">
        <f>IF(B61="","",YEAR(B61))</f>
        <v/>
      </c>
      <c r="F61">
        <f>IF(B61="",0,COUNTIFS(DATA_WSF!$A:$A,B61,DATA_WSF!$C:$C,$B$6,DATA_WSF!$D:$D,$B$7))</f>
        <v/>
      </c>
      <c r="G61">
        <f>IF(F61=0,0,SUMIFS(DATA_WSF!$H:$H,DATA_WSF!$A:$A,B61,DATA_WSF!$C:$C,$B$6,DATA_WSF!$D:$D,$B$7))</f>
        <v/>
      </c>
      <c r="H61">
        <f>IF(F61=0,0,SUMIFS(DATA_WSF!$I:$I,DATA_WSF!$A:$A,B61,DATA_WSF!$C:$C,$B$6,DATA_WSF!$D:$D,$B$7))</f>
        <v/>
      </c>
      <c r="I61">
        <f>IF(F61=0,0,SUMIFS(DATA_WSF!$K:$K,DATA_WSF!$A:$A,B61,DATA_WSF!$C:$C,$B$6,DATA_WSF!$D:$D,$B$7))</f>
        <v/>
      </c>
      <c r="J61">
        <f>G61+H61</f>
        <v/>
      </c>
      <c r="K61">
        <f>J61+I61</f>
        <v/>
      </c>
      <c r="L61">
        <f>IF(F61=0,0,SUMIFS(DATA_WSF!$E:$E,DATA_WSF!$A:$A,B61,DATA_WSF!$C:$C,$B$6,DATA_WSF!$D:$D,$B$7))</f>
        <v/>
      </c>
      <c r="M61">
        <f>IF(F61=0,0,SUMIFS(DATA_WSF!$F:$F,DATA_WSF!$A:$A,B61,DATA_WSF!$C:$C,$B$6,DATA_WSF!$D:$D,$B$7))</f>
        <v/>
      </c>
      <c r="N61">
        <f>L61-M61</f>
        <v/>
      </c>
      <c r="O61">
        <f>IF(L61=0,0,M61/L61)</f>
        <v/>
      </c>
      <c r="P61">
        <f>IF(M61=0,0,K61/M61)</f>
        <v/>
      </c>
      <c r="Q61">
        <f>IF(F61&gt;0,1,0)</f>
        <v/>
      </c>
      <c r="R61">
        <f>IF(AND(A61&gt;=1,A61&lt;=$B$11),Q61,0)</f>
        <v/>
      </c>
      <c r="S61">
        <f>IF(AND(C61=$B$12,E61=$B$14),Q61,0)</f>
        <v/>
      </c>
      <c r="T61">
        <f>IF(AND(D61=$B$13,E61=$B$14),Q61,0)</f>
        <v/>
      </c>
      <c r="U61">
        <f>IF(E61=$B$14,Q61,0)</f>
        <v/>
      </c>
    </row>
    <row r="62">
      <c r="A62" t="n">
        <v>41</v>
      </c>
      <c r="B62" s="116">
        <f>IF($B$10=0,"",$B$10-7*A62)</f>
        <v/>
      </c>
      <c r="C62">
        <f>IF(B62="","",MONTH(B62))</f>
        <v/>
      </c>
      <c r="D62">
        <f>IF(B62="","",ROUNDUP(MONTH(B62)/3,0))</f>
        <v/>
      </c>
      <c r="E62">
        <f>IF(B62="","",YEAR(B62))</f>
        <v/>
      </c>
      <c r="F62">
        <f>IF(B62="",0,COUNTIFS(DATA_WSF!$A:$A,B62,DATA_WSF!$C:$C,$B$6,DATA_WSF!$D:$D,$B$7))</f>
        <v/>
      </c>
      <c r="G62">
        <f>IF(F62=0,0,SUMIFS(DATA_WSF!$H:$H,DATA_WSF!$A:$A,B62,DATA_WSF!$C:$C,$B$6,DATA_WSF!$D:$D,$B$7))</f>
        <v/>
      </c>
      <c r="H62">
        <f>IF(F62=0,0,SUMIFS(DATA_WSF!$I:$I,DATA_WSF!$A:$A,B62,DATA_WSF!$C:$C,$B$6,DATA_WSF!$D:$D,$B$7))</f>
        <v/>
      </c>
      <c r="I62">
        <f>IF(F62=0,0,SUMIFS(DATA_WSF!$K:$K,DATA_WSF!$A:$A,B62,DATA_WSF!$C:$C,$B$6,DATA_WSF!$D:$D,$B$7))</f>
        <v/>
      </c>
      <c r="J62">
        <f>G62+H62</f>
        <v/>
      </c>
      <c r="K62">
        <f>J62+I62</f>
        <v/>
      </c>
      <c r="L62">
        <f>IF(F62=0,0,SUMIFS(DATA_WSF!$E:$E,DATA_WSF!$A:$A,B62,DATA_WSF!$C:$C,$B$6,DATA_WSF!$D:$D,$B$7))</f>
        <v/>
      </c>
      <c r="M62">
        <f>IF(F62=0,0,SUMIFS(DATA_WSF!$F:$F,DATA_WSF!$A:$A,B62,DATA_WSF!$C:$C,$B$6,DATA_WSF!$D:$D,$B$7))</f>
        <v/>
      </c>
      <c r="N62">
        <f>L62-M62</f>
        <v/>
      </c>
      <c r="O62">
        <f>IF(L62=0,0,M62/L62)</f>
        <v/>
      </c>
      <c r="P62">
        <f>IF(M62=0,0,K62/M62)</f>
        <v/>
      </c>
      <c r="Q62">
        <f>IF(F62&gt;0,1,0)</f>
        <v/>
      </c>
      <c r="R62">
        <f>IF(AND(A62&gt;=1,A62&lt;=$B$11),Q62,0)</f>
        <v/>
      </c>
      <c r="S62">
        <f>IF(AND(C62=$B$12,E62=$B$14),Q62,0)</f>
        <v/>
      </c>
      <c r="T62">
        <f>IF(AND(D62=$B$13,E62=$B$14),Q62,0)</f>
        <v/>
      </c>
      <c r="U62">
        <f>IF(E62=$B$14,Q62,0)</f>
        <v/>
      </c>
    </row>
    <row r="63">
      <c r="A63" t="n">
        <v>42</v>
      </c>
      <c r="B63" s="116">
        <f>IF($B$10=0,"",$B$10-7*A63)</f>
        <v/>
      </c>
      <c r="C63">
        <f>IF(B63="","",MONTH(B63))</f>
        <v/>
      </c>
      <c r="D63">
        <f>IF(B63="","",ROUNDUP(MONTH(B63)/3,0))</f>
        <v/>
      </c>
      <c r="E63">
        <f>IF(B63="","",YEAR(B63))</f>
        <v/>
      </c>
      <c r="F63">
        <f>IF(B63="",0,COUNTIFS(DATA_WSF!$A:$A,B63,DATA_WSF!$C:$C,$B$6,DATA_WSF!$D:$D,$B$7))</f>
        <v/>
      </c>
      <c r="G63">
        <f>IF(F63=0,0,SUMIFS(DATA_WSF!$H:$H,DATA_WSF!$A:$A,B63,DATA_WSF!$C:$C,$B$6,DATA_WSF!$D:$D,$B$7))</f>
        <v/>
      </c>
      <c r="H63">
        <f>IF(F63=0,0,SUMIFS(DATA_WSF!$I:$I,DATA_WSF!$A:$A,B63,DATA_WSF!$C:$C,$B$6,DATA_WSF!$D:$D,$B$7))</f>
        <v/>
      </c>
      <c r="I63">
        <f>IF(F63=0,0,SUMIFS(DATA_WSF!$K:$K,DATA_WSF!$A:$A,B63,DATA_WSF!$C:$C,$B$6,DATA_WSF!$D:$D,$B$7))</f>
        <v/>
      </c>
      <c r="J63">
        <f>G63+H63</f>
        <v/>
      </c>
      <c r="K63">
        <f>J63+I63</f>
        <v/>
      </c>
      <c r="L63">
        <f>IF(F63=0,0,SUMIFS(DATA_WSF!$E:$E,DATA_WSF!$A:$A,B63,DATA_WSF!$C:$C,$B$6,DATA_WSF!$D:$D,$B$7))</f>
        <v/>
      </c>
      <c r="M63">
        <f>IF(F63=0,0,SUMIFS(DATA_WSF!$F:$F,DATA_WSF!$A:$A,B63,DATA_WSF!$C:$C,$B$6,DATA_WSF!$D:$D,$B$7))</f>
        <v/>
      </c>
      <c r="N63">
        <f>L63-M63</f>
        <v/>
      </c>
      <c r="O63">
        <f>IF(L63=0,0,M63/L63)</f>
        <v/>
      </c>
      <c r="P63">
        <f>IF(M63=0,0,K63/M63)</f>
        <v/>
      </c>
      <c r="Q63">
        <f>IF(F63&gt;0,1,0)</f>
        <v/>
      </c>
      <c r="R63">
        <f>IF(AND(A63&gt;=1,A63&lt;=$B$11),Q63,0)</f>
        <v/>
      </c>
      <c r="S63">
        <f>IF(AND(C63=$B$12,E63=$B$14),Q63,0)</f>
        <v/>
      </c>
      <c r="T63">
        <f>IF(AND(D63=$B$13,E63=$B$14),Q63,0)</f>
        <v/>
      </c>
      <c r="U63">
        <f>IF(E63=$B$14,Q63,0)</f>
        <v/>
      </c>
    </row>
    <row r="64">
      <c r="A64" t="n">
        <v>43</v>
      </c>
      <c r="B64" s="116">
        <f>IF($B$10=0,"",$B$10-7*A64)</f>
        <v/>
      </c>
      <c r="C64">
        <f>IF(B64="","",MONTH(B64))</f>
        <v/>
      </c>
      <c r="D64">
        <f>IF(B64="","",ROUNDUP(MONTH(B64)/3,0))</f>
        <v/>
      </c>
      <c r="E64">
        <f>IF(B64="","",YEAR(B64))</f>
        <v/>
      </c>
      <c r="F64">
        <f>IF(B64="",0,COUNTIFS(DATA_WSF!$A:$A,B64,DATA_WSF!$C:$C,$B$6,DATA_WSF!$D:$D,$B$7))</f>
        <v/>
      </c>
      <c r="G64">
        <f>IF(F64=0,0,SUMIFS(DATA_WSF!$H:$H,DATA_WSF!$A:$A,B64,DATA_WSF!$C:$C,$B$6,DATA_WSF!$D:$D,$B$7))</f>
        <v/>
      </c>
      <c r="H64">
        <f>IF(F64=0,0,SUMIFS(DATA_WSF!$I:$I,DATA_WSF!$A:$A,B64,DATA_WSF!$C:$C,$B$6,DATA_WSF!$D:$D,$B$7))</f>
        <v/>
      </c>
      <c r="I64">
        <f>IF(F64=0,0,SUMIFS(DATA_WSF!$K:$K,DATA_WSF!$A:$A,B64,DATA_WSF!$C:$C,$B$6,DATA_WSF!$D:$D,$B$7))</f>
        <v/>
      </c>
      <c r="J64">
        <f>G64+H64</f>
        <v/>
      </c>
      <c r="K64">
        <f>J64+I64</f>
        <v/>
      </c>
      <c r="L64">
        <f>IF(F64=0,0,SUMIFS(DATA_WSF!$E:$E,DATA_WSF!$A:$A,B64,DATA_WSF!$C:$C,$B$6,DATA_WSF!$D:$D,$B$7))</f>
        <v/>
      </c>
      <c r="M64">
        <f>IF(F64=0,0,SUMIFS(DATA_WSF!$F:$F,DATA_WSF!$A:$A,B64,DATA_WSF!$C:$C,$B$6,DATA_WSF!$D:$D,$B$7))</f>
        <v/>
      </c>
      <c r="N64">
        <f>L64-M64</f>
        <v/>
      </c>
      <c r="O64">
        <f>IF(L64=0,0,M64/L64)</f>
        <v/>
      </c>
      <c r="P64">
        <f>IF(M64=0,0,K64/M64)</f>
        <v/>
      </c>
      <c r="Q64">
        <f>IF(F64&gt;0,1,0)</f>
        <v/>
      </c>
      <c r="R64">
        <f>IF(AND(A64&gt;=1,A64&lt;=$B$11),Q64,0)</f>
        <v/>
      </c>
      <c r="S64">
        <f>IF(AND(C64=$B$12,E64=$B$14),Q64,0)</f>
        <v/>
      </c>
      <c r="T64">
        <f>IF(AND(D64=$B$13,E64=$B$14),Q64,0)</f>
        <v/>
      </c>
      <c r="U64">
        <f>IF(E64=$B$14,Q64,0)</f>
        <v/>
      </c>
    </row>
    <row r="65">
      <c r="A65" t="n">
        <v>44</v>
      </c>
      <c r="B65" s="116">
        <f>IF($B$10=0,"",$B$10-7*A65)</f>
        <v/>
      </c>
      <c r="C65">
        <f>IF(B65="","",MONTH(B65))</f>
        <v/>
      </c>
      <c r="D65">
        <f>IF(B65="","",ROUNDUP(MONTH(B65)/3,0))</f>
        <v/>
      </c>
      <c r="E65">
        <f>IF(B65="","",YEAR(B65))</f>
        <v/>
      </c>
      <c r="F65">
        <f>IF(B65="",0,COUNTIFS(DATA_WSF!$A:$A,B65,DATA_WSF!$C:$C,$B$6,DATA_WSF!$D:$D,$B$7))</f>
        <v/>
      </c>
      <c r="G65">
        <f>IF(F65=0,0,SUMIFS(DATA_WSF!$H:$H,DATA_WSF!$A:$A,B65,DATA_WSF!$C:$C,$B$6,DATA_WSF!$D:$D,$B$7))</f>
        <v/>
      </c>
      <c r="H65">
        <f>IF(F65=0,0,SUMIFS(DATA_WSF!$I:$I,DATA_WSF!$A:$A,B65,DATA_WSF!$C:$C,$B$6,DATA_WSF!$D:$D,$B$7))</f>
        <v/>
      </c>
      <c r="I65">
        <f>IF(F65=0,0,SUMIFS(DATA_WSF!$K:$K,DATA_WSF!$A:$A,B65,DATA_WSF!$C:$C,$B$6,DATA_WSF!$D:$D,$B$7))</f>
        <v/>
      </c>
      <c r="J65">
        <f>G65+H65</f>
        <v/>
      </c>
      <c r="K65">
        <f>J65+I65</f>
        <v/>
      </c>
      <c r="L65">
        <f>IF(F65=0,0,SUMIFS(DATA_WSF!$E:$E,DATA_WSF!$A:$A,B65,DATA_WSF!$C:$C,$B$6,DATA_WSF!$D:$D,$B$7))</f>
        <v/>
      </c>
      <c r="M65">
        <f>IF(F65=0,0,SUMIFS(DATA_WSF!$F:$F,DATA_WSF!$A:$A,B65,DATA_WSF!$C:$C,$B$6,DATA_WSF!$D:$D,$B$7))</f>
        <v/>
      </c>
      <c r="N65">
        <f>L65-M65</f>
        <v/>
      </c>
      <c r="O65">
        <f>IF(L65=0,0,M65/L65)</f>
        <v/>
      </c>
      <c r="P65">
        <f>IF(M65=0,0,K65/M65)</f>
        <v/>
      </c>
      <c r="Q65">
        <f>IF(F65&gt;0,1,0)</f>
        <v/>
      </c>
      <c r="R65">
        <f>IF(AND(A65&gt;=1,A65&lt;=$B$11),Q65,0)</f>
        <v/>
      </c>
      <c r="S65">
        <f>IF(AND(C65=$B$12,E65=$B$14),Q65,0)</f>
        <v/>
      </c>
      <c r="T65">
        <f>IF(AND(D65=$B$13,E65=$B$14),Q65,0)</f>
        <v/>
      </c>
      <c r="U65">
        <f>IF(E65=$B$14,Q65,0)</f>
        <v/>
      </c>
    </row>
    <row r="66">
      <c r="A66" t="n">
        <v>45</v>
      </c>
      <c r="B66" s="116">
        <f>IF($B$10=0,"",$B$10-7*A66)</f>
        <v/>
      </c>
      <c r="C66">
        <f>IF(B66="","",MONTH(B66))</f>
        <v/>
      </c>
      <c r="D66">
        <f>IF(B66="","",ROUNDUP(MONTH(B66)/3,0))</f>
        <v/>
      </c>
      <c r="E66">
        <f>IF(B66="","",YEAR(B66))</f>
        <v/>
      </c>
      <c r="F66">
        <f>IF(B66="",0,COUNTIFS(DATA_WSF!$A:$A,B66,DATA_WSF!$C:$C,$B$6,DATA_WSF!$D:$D,$B$7))</f>
        <v/>
      </c>
      <c r="G66">
        <f>IF(F66=0,0,SUMIFS(DATA_WSF!$H:$H,DATA_WSF!$A:$A,B66,DATA_WSF!$C:$C,$B$6,DATA_WSF!$D:$D,$B$7))</f>
        <v/>
      </c>
      <c r="H66">
        <f>IF(F66=0,0,SUMIFS(DATA_WSF!$I:$I,DATA_WSF!$A:$A,B66,DATA_WSF!$C:$C,$B$6,DATA_WSF!$D:$D,$B$7))</f>
        <v/>
      </c>
      <c r="I66">
        <f>IF(F66=0,0,SUMIFS(DATA_WSF!$K:$K,DATA_WSF!$A:$A,B66,DATA_WSF!$C:$C,$B$6,DATA_WSF!$D:$D,$B$7))</f>
        <v/>
      </c>
      <c r="J66">
        <f>G66+H66</f>
        <v/>
      </c>
      <c r="K66">
        <f>J66+I66</f>
        <v/>
      </c>
      <c r="L66">
        <f>IF(F66=0,0,SUMIFS(DATA_WSF!$E:$E,DATA_WSF!$A:$A,B66,DATA_WSF!$C:$C,$B$6,DATA_WSF!$D:$D,$B$7))</f>
        <v/>
      </c>
      <c r="M66">
        <f>IF(F66=0,0,SUMIFS(DATA_WSF!$F:$F,DATA_WSF!$A:$A,B66,DATA_WSF!$C:$C,$B$6,DATA_WSF!$D:$D,$B$7))</f>
        <v/>
      </c>
      <c r="N66">
        <f>L66-M66</f>
        <v/>
      </c>
      <c r="O66">
        <f>IF(L66=0,0,M66/L66)</f>
        <v/>
      </c>
      <c r="P66">
        <f>IF(M66=0,0,K66/M66)</f>
        <v/>
      </c>
      <c r="Q66">
        <f>IF(F66&gt;0,1,0)</f>
        <v/>
      </c>
      <c r="R66">
        <f>IF(AND(A66&gt;=1,A66&lt;=$B$11),Q66,0)</f>
        <v/>
      </c>
      <c r="S66">
        <f>IF(AND(C66=$B$12,E66=$B$14),Q66,0)</f>
        <v/>
      </c>
      <c r="T66">
        <f>IF(AND(D66=$B$13,E66=$B$14),Q66,0)</f>
        <v/>
      </c>
      <c r="U66">
        <f>IF(E66=$B$14,Q66,0)</f>
        <v/>
      </c>
    </row>
    <row r="67">
      <c r="A67" t="n">
        <v>46</v>
      </c>
      <c r="B67" s="116">
        <f>IF($B$10=0,"",$B$10-7*A67)</f>
        <v/>
      </c>
      <c r="C67">
        <f>IF(B67="","",MONTH(B67))</f>
        <v/>
      </c>
      <c r="D67">
        <f>IF(B67="","",ROUNDUP(MONTH(B67)/3,0))</f>
        <v/>
      </c>
      <c r="E67">
        <f>IF(B67="","",YEAR(B67))</f>
        <v/>
      </c>
      <c r="F67">
        <f>IF(B67="",0,COUNTIFS(DATA_WSF!$A:$A,B67,DATA_WSF!$C:$C,$B$6,DATA_WSF!$D:$D,$B$7))</f>
        <v/>
      </c>
      <c r="G67">
        <f>IF(F67=0,0,SUMIFS(DATA_WSF!$H:$H,DATA_WSF!$A:$A,B67,DATA_WSF!$C:$C,$B$6,DATA_WSF!$D:$D,$B$7))</f>
        <v/>
      </c>
      <c r="H67">
        <f>IF(F67=0,0,SUMIFS(DATA_WSF!$I:$I,DATA_WSF!$A:$A,B67,DATA_WSF!$C:$C,$B$6,DATA_WSF!$D:$D,$B$7))</f>
        <v/>
      </c>
      <c r="I67">
        <f>IF(F67=0,0,SUMIFS(DATA_WSF!$K:$K,DATA_WSF!$A:$A,B67,DATA_WSF!$C:$C,$B$6,DATA_WSF!$D:$D,$B$7))</f>
        <v/>
      </c>
      <c r="J67">
        <f>G67+H67</f>
        <v/>
      </c>
      <c r="K67">
        <f>J67+I67</f>
        <v/>
      </c>
      <c r="L67">
        <f>IF(F67=0,0,SUMIFS(DATA_WSF!$E:$E,DATA_WSF!$A:$A,B67,DATA_WSF!$C:$C,$B$6,DATA_WSF!$D:$D,$B$7))</f>
        <v/>
      </c>
      <c r="M67">
        <f>IF(F67=0,0,SUMIFS(DATA_WSF!$F:$F,DATA_WSF!$A:$A,B67,DATA_WSF!$C:$C,$B$6,DATA_WSF!$D:$D,$B$7))</f>
        <v/>
      </c>
      <c r="N67">
        <f>L67-M67</f>
        <v/>
      </c>
      <c r="O67">
        <f>IF(L67=0,0,M67/L67)</f>
        <v/>
      </c>
      <c r="P67">
        <f>IF(M67=0,0,K67/M67)</f>
        <v/>
      </c>
      <c r="Q67">
        <f>IF(F67&gt;0,1,0)</f>
        <v/>
      </c>
      <c r="R67">
        <f>IF(AND(A67&gt;=1,A67&lt;=$B$11),Q67,0)</f>
        <v/>
      </c>
      <c r="S67">
        <f>IF(AND(C67=$B$12,E67=$B$14),Q67,0)</f>
        <v/>
      </c>
      <c r="T67">
        <f>IF(AND(D67=$B$13,E67=$B$14),Q67,0)</f>
        <v/>
      </c>
      <c r="U67">
        <f>IF(E67=$B$14,Q67,0)</f>
        <v/>
      </c>
    </row>
    <row r="68">
      <c r="A68" t="n">
        <v>47</v>
      </c>
      <c r="B68" s="116">
        <f>IF($B$10=0,"",$B$10-7*A68)</f>
        <v/>
      </c>
      <c r="C68">
        <f>IF(B68="","",MONTH(B68))</f>
        <v/>
      </c>
      <c r="D68">
        <f>IF(B68="","",ROUNDUP(MONTH(B68)/3,0))</f>
        <v/>
      </c>
      <c r="E68">
        <f>IF(B68="","",YEAR(B68))</f>
        <v/>
      </c>
      <c r="F68">
        <f>IF(B68="",0,COUNTIFS(DATA_WSF!$A:$A,B68,DATA_WSF!$C:$C,$B$6,DATA_WSF!$D:$D,$B$7))</f>
        <v/>
      </c>
      <c r="G68">
        <f>IF(F68=0,0,SUMIFS(DATA_WSF!$H:$H,DATA_WSF!$A:$A,B68,DATA_WSF!$C:$C,$B$6,DATA_WSF!$D:$D,$B$7))</f>
        <v/>
      </c>
      <c r="H68">
        <f>IF(F68=0,0,SUMIFS(DATA_WSF!$I:$I,DATA_WSF!$A:$A,B68,DATA_WSF!$C:$C,$B$6,DATA_WSF!$D:$D,$B$7))</f>
        <v/>
      </c>
      <c r="I68">
        <f>IF(F68=0,0,SUMIFS(DATA_WSF!$K:$K,DATA_WSF!$A:$A,B68,DATA_WSF!$C:$C,$B$6,DATA_WSF!$D:$D,$B$7))</f>
        <v/>
      </c>
      <c r="J68">
        <f>G68+H68</f>
        <v/>
      </c>
      <c r="K68">
        <f>J68+I68</f>
        <v/>
      </c>
      <c r="L68">
        <f>IF(F68=0,0,SUMIFS(DATA_WSF!$E:$E,DATA_WSF!$A:$A,B68,DATA_WSF!$C:$C,$B$6,DATA_WSF!$D:$D,$B$7))</f>
        <v/>
      </c>
      <c r="M68">
        <f>IF(F68=0,0,SUMIFS(DATA_WSF!$F:$F,DATA_WSF!$A:$A,B68,DATA_WSF!$C:$C,$B$6,DATA_WSF!$D:$D,$B$7))</f>
        <v/>
      </c>
      <c r="N68">
        <f>L68-M68</f>
        <v/>
      </c>
      <c r="O68">
        <f>IF(L68=0,0,M68/L68)</f>
        <v/>
      </c>
      <c r="P68">
        <f>IF(M68=0,0,K68/M68)</f>
        <v/>
      </c>
      <c r="Q68">
        <f>IF(F68&gt;0,1,0)</f>
        <v/>
      </c>
      <c r="R68">
        <f>IF(AND(A68&gt;=1,A68&lt;=$B$11),Q68,0)</f>
        <v/>
      </c>
      <c r="S68">
        <f>IF(AND(C68=$B$12,E68=$B$14),Q68,0)</f>
        <v/>
      </c>
      <c r="T68">
        <f>IF(AND(D68=$B$13,E68=$B$14),Q68,0)</f>
        <v/>
      </c>
      <c r="U68">
        <f>IF(E68=$B$14,Q68,0)</f>
        <v/>
      </c>
    </row>
    <row r="69">
      <c r="A69" t="n">
        <v>48</v>
      </c>
      <c r="B69" s="116">
        <f>IF($B$10=0,"",$B$10-7*A69)</f>
        <v/>
      </c>
      <c r="C69">
        <f>IF(B69="","",MONTH(B69))</f>
        <v/>
      </c>
      <c r="D69">
        <f>IF(B69="","",ROUNDUP(MONTH(B69)/3,0))</f>
        <v/>
      </c>
      <c r="E69">
        <f>IF(B69="","",YEAR(B69))</f>
        <v/>
      </c>
      <c r="F69">
        <f>IF(B69="",0,COUNTIFS(DATA_WSF!$A:$A,B69,DATA_WSF!$C:$C,$B$6,DATA_WSF!$D:$D,$B$7))</f>
        <v/>
      </c>
      <c r="G69">
        <f>IF(F69=0,0,SUMIFS(DATA_WSF!$H:$H,DATA_WSF!$A:$A,B69,DATA_WSF!$C:$C,$B$6,DATA_WSF!$D:$D,$B$7))</f>
        <v/>
      </c>
      <c r="H69">
        <f>IF(F69=0,0,SUMIFS(DATA_WSF!$I:$I,DATA_WSF!$A:$A,B69,DATA_WSF!$C:$C,$B$6,DATA_WSF!$D:$D,$B$7))</f>
        <v/>
      </c>
      <c r="I69">
        <f>IF(F69=0,0,SUMIFS(DATA_WSF!$K:$K,DATA_WSF!$A:$A,B69,DATA_WSF!$C:$C,$B$6,DATA_WSF!$D:$D,$B$7))</f>
        <v/>
      </c>
      <c r="J69">
        <f>G69+H69</f>
        <v/>
      </c>
      <c r="K69">
        <f>J69+I69</f>
        <v/>
      </c>
      <c r="L69">
        <f>IF(F69=0,0,SUMIFS(DATA_WSF!$E:$E,DATA_WSF!$A:$A,B69,DATA_WSF!$C:$C,$B$6,DATA_WSF!$D:$D,$B$7))</f>
        <v/>
      </c>
      <c r="M69">
        <f>IF(F69=0,0,SUMIFS(DATA_WSF!$F:$F,DATA_WSF!$A:$A,B69,DATA_WSF!$C:$C,$B$6,DATA_WSF!$D:$D,$B$7))</f>
        <v/>
      </c>
      <c r="N69">
        <f>L69-M69</f>
        <v/>
      </c>
      <c r="O69">
        <f>IF(L69=0,0,M69/L69)</f>
        <v/>
      </c>
      <c r="P69">
        <f>IF(M69=0,0,K69/M69)</f>
        <v/>
      </c>
      <c r="Q69">
        <f>IF(F69&gt;0,1,0)</f>
        <v/>
      </c>
      <c r="R69">
        <f>IF(AND(A69&gt;=1,A69&lt;=$B$11),Q69,0)</f>
        <v/>
      </c>
      <c r="S69">
        <f>IF(AND(C69=$B$12,E69=$B$14),Q69,0)</f>
        <v/>
      </c>
      <c r="T69">
        <f>IF(AND(D69=$B$13,E69=$B$14),Q69,0)</f>
        <v/>
      </c>
      <c r="U69">
        <f>IF(E69=$B$14,Q69,0)</f>
        <v/>
      </c>
    </row>
    <row r="70">
      <c r="A70" t="n">
        <v>49</v>
      </c>
      <c r="B70" s="116">
        <f>IF($B$10=0,"",$B$10-7*A70)</f>
        <v/>
      </c>
      <c r="C70">
        <f>IF(B70="","",MONTH(B70))</f>
        <v/>
      </c>
      <c r="D70">
        <f>IF(B70="","",ROUNDUP(MONTH(B70)/3,0))</f>
        <v/>
      </c>
      <c r="E70">
        <f>IF(B70="","",YEAR(B70))</f>
        <v/>
      </c>
      <c r="F70">
        <f>IF(B70="",0,COUNTIFS(DATA_WSF!$A:$A,B70,DATA_WSF!$C:$C,$B$6,DATA_WSF!$D:$D,$B$7))</f>
        <v/>
      </c>
      <c r="G70">
        <f>IF(F70=0,0,SUMIFS(DATA_WSF!$H:$H,DATA_WSF!$A:$A,B70,DATA_WSF!$C:$C,$B$6,DATA_WSF!$D:$D,$B$7))</f>
        <v/>
      </c>
      <c r="H70">
        <f>IF(F70=0,0,SUMIFS(DATA_WSF!$I:$I,DATA_WSF!$A:$A,B70,DATA_WSF!$C:$C,$B$6,DATA_WSF!$D:$D,$B$7))</f>
        <v/>
      </c>
      <c r="I70">
        <f>IF(F70=0,0,SUMIFS(DATA_WSF!$K:$K,DATA_WSF!$A:$A,B70,DATA_WSF!$C:$C,$B$6,DATA_WSF!$D:$D,$B$7))</f>
        <v/>
      </c>
      <c r="J70">
        <f>G70+H70</f>
        <v/>
      </c>
      <c r="K70">
        <f>J70+I70</f>
        <v/>
      </c>
      <c r="L70">
        <f>IF(F70=0,0,SUMIFS(DATA_WSF!$E:$E,DATA_WSF!$A:$A,B70,DATA_WSF!$C:$C,$B$6,DATA_WSF!$D:$D,$B$7))</f>
        <v/>
      </c>
      <c r="M70">
        <f>IF(F70=0,0,SUMIFS(DATA_WSF!$F:$F,DATA_WSF!$A:$A,B70,DATA_WSF!$C:$C,$B$6,DATA_WSF!$D:$D,$B$7))</f>
        <v/>
      </c>
      <c r="N70">
        <f>L70-M70</f>
        <v/>
      </c>
      <c r="O70">
        <f>IF(L70=0,0,M70/L70)</f>
        <v/>
      </c>
      <c r="P70">
        <f>IF(M70=0,0,K70/M70)</f>
        <v/>
      </c>
      <c r="Q70">
        <f>IF(F70&gt;0,1,0)</f>
        <v/>
      </c>
      <c r="R70">
        <f>IF(AND(A70&gt;=1,A70&lt;=$B$11),Q70,0)</f>
        <v/>
      </c>
      <c r="S70">
        <f>IF(AND(C70=$B$12,E70=$B$14),Q70,0)</f>
        <v/>
      </c>
      <c r="T70">
        <f>IF(AND(D70=$B$13,E70=$B$14),Q70,0)</f>
        <v/>
      </c>
      <c r="U70">
        <f>IF(E70=$B$14,Q70,0)</f>
        <v/>
      </c>
    </row>
    <row r="71">
      <c r="A71" t="n">
        <v>50</v>
      </c>
      <c r="B71" s="116">
        <f>IF($B$10=0,"",$B$10-7*A71)</f>
        <v/>
      </c>
      <c r="C71">
        <f>IF(B71="","",MONTH(B71))</f>
        <v/>
      </c>
      <c r="D71">
        <f>IF(B71="","",ROUNDUP(MONTH(B71)/3,0))</f>
        <v/>
      </c>
      <c r="E71">
        <f>IF(B71="","",YEAR(B71))</f>
        <v/>
      </c>
      <c r="F71">
        <f>IF(B71="",0,COUNTIFS(DATA_WSF!$A:$A,B71,DATA_WSF!$C:$C,$B$6,DATA_WSF!$D:$D,$B$7))</f>
        <v/>
      </c>
      <c r="G71">
        <f>IF(F71=0,0,SUMIFS(DATA_WSF!$H:$H,DATA_WSF!$A:$A,B71,DATA_WSF!$C:$C,$B$6,DATA_WSF!$D:$D,$B$7))</f>
        <v/>
      </c>
      <c r="H71">
        <f>IF(F71=0,0,SUMIFS(DATA_WSF!$I:$I,DATA_WSF!$A:$A,B71,DATA_WSF!$C:$C,$B$6,DATA_WSF!$D:$D,$B$7))</f>
        <v/>
      </c>
      <c r="I71">
        <f>IF(F71=0,0,SUMIFS(DATA_WSF!$K:$K,DATA_WSF!$A:$A,B71,DATA_WSF!$C:$C,$B$6,DATA_WSF!$D:$D,$B$7))</f>
        <v/>
      </c>
      <c r="J71">
        <f>G71+H71</f>
        <v/>
      </c>
      <c r="K71">
        <f>J71+I71</f>
        <v/>
      </c>
      <c r="L71">
        <f>IF(F71=0,0,SUMIFS(DATA_WSF!$E:$E,DATA_WSF!$A:$A,B71,DATA_WSF!$C:$C,$B$6,DATA_WSF!$D:$D,$B$7))</f>
        <v/>
      </c>
      <c r="M71">
        <f>IF(F71=0,0,SUMIFS(DATA_WSF!$F:$F,DATA_WSF!$A:$A,B71,DATA_WSF!$C:$C,$B$6,DATA_WSF!$D:$D,$B$7))</f>
        <v/>
      </c>
      <c r="N71">
        <f>L71-M71</f>
        <v/>
      </c>
      <c r="O71">
        <f>IF(L71=0,0,M71/L71)</f>
        <v/>
      </c>
      <c r="P71">
        <f>IF(M71=0,0,K71/M71)</f>
        <v/>
      </c>
      <c r="Q71">
        <f>IF(F71&gt;0,1,0)</f>
        <v/>
      </c>
      <c r="R71">
        <f>IF(AND(A71&gt;=1,A71&lt;=$B$11),Q71,0)</f>
        <v/>
      </c>
      <c r="S71">
        <f>IF(AND(C71=$B$12,E71=$B$14),Q71,0)</f>
        <v/>
      </c>
      <c r="T71">
        <f>IF(AND(D71=$B$13,E71=$B$14),Q71,0)</f>
        <v/>
      </c>
      <c r="U71">
        <f>IF(E71=$B$14,Q71,0)</f>
        <v/>
      </c>
    </row>
    <row r="72">
      <c r="A72" t="n">
        <v>51</v>
      </c>
      <c r="B72" s="116">
        <f>IF($B$10=0,"",$B$10-7*A72)</f>
        <v/>
      </c>
      <c r="C72">
        <f>IF(B72="","",MONTH(B72))</f>
        <v/>
      </c>
      <c r="D72">
        <f>IF(B72="","",ROUNDUP(MONTH(B72)/3,0))</f>
        <v/>
      </c>
      <c r="E72">
        <f>IF(B72="","",YEAR(B72))</f>
        <v/>
      </c>
      <c r="F72">
        <f>IF(B72="",0,COUNTIFS(DATA_WSF!$A:$A,B72,DATA_WSF!$C:$C,$B$6,DATA_WSF!$D:$D,$B$7))</f>
        <v/>
      </c>
      <c r="G72">
        <f>IF(F72=0,0,SUMIFS(DATA_WSF!$H:$H,DATA_WSF!$A:$A,B72,DATA_WSF!$C:$C,$B$6,DATA_WSF!$D:$D,$B$7))</f>
        <v/>
      </c>
      <c r="H72">
        <f>IF(F72=0,0,SUMIFS(DATA_WSF!$I:$I,DATA_WSF!$A:$A,B72,DATA_WSF!$C:$C,$B$6,DATA_WSF!$D:$D,$B$7))</f>
        <v/>
      </c>
      <c r="I72">
        <f>IF(F72=0,0,SUMIFS(DATA_WSF!$K:$K,DATA_WSF!$A:$A,B72,DATA_WSF!$C:$C,$B$6,DATA_WSF!$D:$D,$B$7))</f>
        <v/>
      </c>
      <c r="J72">
        <f>G72+H72</f>
        <v/>
      </c>
      <c r="K72">
        <f>J72+I72</f>
        <v/>
      </c>
      <c r="L72">
        <f>IF(F72=0,0,SUMIFS(DATA_WSF!$E:$E,DATA_WSF!$A:$A,B72,DATA_WSF!$C:$C,$B$6,DATA_WSF!$D:$D,$B$7))</f>
        <v/>
      </c>
      <c r="M72">
        <f>IF(F72=0,0,SUMIFS(DATA_WSF!$F:$F,DATA_WSF!$A:$A,B72,DATA_WSF!$C:$C,$B$6,DATA_WSF!$D:$D,$B$7))</f>
        <v/>
      </c>
      <c r="N72">
        <f>L72-M72</f>
        <v/>
      </c>
      <c r="O72">
        <f>IF(L72=0,0,M72/L72)</f>
        <v/>
      </c>
      <c r="P72">
        <f>IF(M72=0,0,K72/M72)</f>
        <v/>
      </c>
      <c r="Q72">
        <f>IF(F72&gt;0,1,0)</f>
        <v/>
      </c>
      <c r="R72">
        <f>IF(AND(A72&gt;=1,A72&lt;=$B$11),Q72,0)</f>
        <v/>
      </c>
      <c r="S72">
        <f>IF(AND(C72=$B$12,E72=$B$14),Q72,0)</f>
        <v/>
      </c>
      <c r="T72">
        <f>IF(AND(D72=$B$13,E72=$B$14),Q72,0)</f>
        <v/>
      </c>
      <c r="U72">
        <f>IF(E72=$B$14,Q72,0)</f>
        <v/>
      </c>
    </row>
    <row r="73">
      <c r="A73" t="n">
        <v>52</v>
      </c>
      <c r="B73" s="116">
        <f>IF($B$10=0,"",$B$10-7*A73)</f>
        <v/>
      </c>
      <c r="C73">
        <f>IF(B73="","",MONTH(B73))</f>
        <v/>
      </c>
      <c r="D73">
        <f>IF(B73="","",ROUNDUP(MONTH(B73)/3,0))</f>
        <v/>
      </c>
      <c r="E73">
        <f>IF(B73="","",YEAR(B73))</f>
        <v/>
      </c>
      <c r="F73">
        <f>IF(B73="",0,COUNTIFS(DATA_WSF!$A:$A,B73,DATA_WSF!$C:$C,$B$6,DATA_WSF!$D:$D,$B$7))</f>
        <v/>
      </c>
      <c r="G73">
        <f>IF(F73=0,0,SUMIFS(DATA_WSF!$H:$H,DATA_WSF!$A:$A,B73,DATA_WSF!$C:$C,$B$6,DATA_WSF!$D:$D,$B$7))</f>
        <v/>
      </c>
      <c r="H73">
        <f>IF(F73=0,0,SUMIFS(DATA_WSF!$I:$I,DATA_WSF!$A:$A,B73,DATA_WSF!$C:$C,$B$6,DATA_WSF!$D:$D,$B$7))</f>
        <v/>
      </c>
      <c r="I73">
        <f>IF(F73=0,0,SUMIFS(DATA_WSF!$K:$K,DATA_WSF!$A:$A,B73,DATA_WSF!$C:$C,$B$6,DATA_WSF!$D:$D,$B$7))</f>
        <v/>
      </c>
      <c r="J73">
        <f>G73+H73</f>
        <v/>
      </c>
      <c r="K73">
        <f>J73+I73</f>
        <v/>
      </c>
      <c r="L73">
        <f>IF(F73=0,0,SUMIFS(DATA_WSF!$E:$E,DATA_WSF!$A:$A,B73,DATA_WSF!$C:$C,$B$6,DATA_WSF!$D:$D,$B$7))</f>
        <v/>
      </c>
      <c r="M73">
        <f>IF(F73=0,0,SUMIFS(DATA_WSF!$F:$F,DATA_WSF!$A:$A,B73,DATA_WSF!$C:$C,$B$6,DATA_WSF!$D:$D,$B$7))</f>
        <v/>
      </c>
      <c r="N73">
        <f>L73-M73</f>
        <v/>
      </c>
      <c r="O73">
        <f>IF(L73=0,0,M73/L73)</f>
        <v/>
      </c>
      <c r="P73">
        <f>IF(M73=0,0,K73/M73)</f>
        <v/>
      </c>
      <c r="Q73">
        <f>IF(F73&gt;0,1,0)</f>
        <v/>
      </c>
      <c r="R73">
        <f>IF(AND(A73&gt;=1,A73&lt;=$B$11),Q73,0)</f>
        <v/>
      </c>
      <c r="S73">
        <f>IF(AND(C73=$B$12,E73=$B$14),Q73,0)</f>
        <v/>
      </c>
      <c r="T73">
        <f>IF(AND(D73=$B$13,E73=$B$14),Q73,0)</f>
        <v/>
      </c>
      <c r="U73">
        <f>IF(E73=$B$14,Q73,0)</f>
        <v/>
      </c>
    </row>
    <row r="74">
      <c r="A74" t="n">
        <v>53</v>
      </c>
      <c r="B74" s="116">
        <f>IF($B$10=0,"",$B$10-7*A74)</f>
        <v/>
      </c>
      <c r="C74">
        <f>IF(B74="","",MONTH(B74))</f>
        <v/>
      </c>
      <c r="D74">
        <f>IF(B74="","",ROUNDUP(MONTH(B74)/3,0))</f>
        <v/>
      </c>
      <c r="E74">
        <f>IF(B74="","",YEAR(B74))</f>
        <v/>
      </c>
      <c r="F74">
        <f>IF(B74="",0,COUNTIFS(DATA_WSF!$A:$A,B74,DATA_WSF!$C:$C,$B$6,DATA_WSF!$D:$D,$B$7))</f>
        <v/>
      </c>
      <c r="G74">
        <f>IF(F74=0,0,SUMIFS(DATA_WSF!$H:$H,DATA_WSF!$A:$A,B74,DATA_WSF!$C:$C,$B$6,DATA_WSF!$D:$D,$B$7))</f>
        <v/>
      </c>
      <c r="H74">
        <f>IF(F74=0,0,SUMIFS(DATA_WSF!$I:$I,DATA_WSF!$A:$A,B74,DATA_WSF!$C:$C,$B$6,DATA_WSF!$D:$D,$B$7))</f>
        <v/>
      </c>
      <c r="I74">
        <f>IF(F74=0,0,SUMIFS(DATA_WSF!$K:$K,DATA_WSF!$A:$A,B74,DATA_WSF!$C:$C,$B$6,DATA_WSF!$D:$D,$B$7))</f>
        <v/>
      </c>
      <c r="J74">
        <f>G74+H74</f>
        <v/>
      </c>
      <c r="K74">
        <f>J74+I74</f>
        <v/>
      </c>
      <c r="L74">
        <f>IF(F74=0,0,SUMIFS(DATA_WSF!$E:$E,DATA_WSF!$A:$A,B74,DATA_WSF!$C:$C,$B$6,DATA_WSF!$D:$D,$B$7))</f>
        <v/>
      </c>
      <c r="M74">
        <f>IF(F74=0,0,SUMIFS(DATA_WSF!$F:$F,DATA_WSF!$A:$A,B74,DATA_WSF!$C:$C,$B$6,DATA_WSF!$D:$D,$B$7))</f>
        <v/>
      </c>
      <c r="N74">
        <f>L74-M74</f>
        <v/>
      </c>
      <c r="O74">
        <f>IF(L74=0,0,M74/L74)</f>
        <v/>
      </c>
      <c r="P74">
        <f>IF(M74=0,0,K74/M74)</f>
        <v/>
      </c>
      <c r="Q74">
        <f>IF(F74&gt;0,1,0)</f>
        <v/>
      </c>
      <c r="R74">
        <f>IF(AND(A74&gt;=1,A74&lt;=$B$11),Q74,0)</f>
        <v/>
      </c>
      <c r="S74">
        <f>IF(AND(C74=$B$12,E74=$B$14),Q74,0)</f>
        <v/>
      </c>
      <c r="T74">
        <f>IF(AND(D74=$B$13,E74=$B$14),Q74,0)</f>
        <v/>
      </c>
      <c r="U74">
        <f>IF(E74=$B$14,Q74,0)</f>
        <v/>
      </c>
    </row>
    <row r="75">
      <c r="A75" t="n">
        <v>54</v>
      </c>
      <c r="B75" s="116">
        <f>IF($B$10=0,"",$B$10-7*A75)</f>
        <v/>
      </c>
      <c r="C75">
        <f>IF(B75="","",MONTH(B75))</f>
        <v/>
      </c>
      <c r="D75">
        <f>IF(B75="","",ROUNDUP(MONTH(B75)/3,0))</f>
        <v/>
      </c>
      <c r="E75">
        <f>IF(B75="","",YEAR(B75))</f>
        <v/>
      </c>
      <c r="F75">
        <f>IF(B75="",0,COUNTIFS(DATA_WSF!$A:$A,B75,DATA_WSF!$C:$C,$B$6,DATA_WSF!$D:$D,$B$7))</f>
        <v/>
      </c>
      <c r="G75">
        <f>IF(F75=0,0,SUMIFS(DATA_WSF!$H:$H,DATA_WSF!$A:$A,B75,DATA_WSF!$C:$C,$B$6,DATA_WSF!$D:$D,$B$7))</f>
        <v/>
      </c>
      <c r="H75">
        <f>IF(F75=0,0,SUMIFS(DATA_WSF!$I:$I,DATA_WSF!$A:$A,B75,DATA_WSF!$C:$C,$B$6,DATA_WSF!$D:$D,$B$7))</f>
        <v/>
      </c>
      <c r="I75">
        <f>IF(F75=0,0,SUMIFS(DATA_WSF!$K:$K,DATA_WSF!$A:$A,B75,DATA_WSF!$C:$C,$B$6,DATA_WSF!$D:$D,$B$7))</f>
        <v/>
      </c>
      <c r="J75">
        <f>G75+H75</f>
        <v/>
      </c>
      <c r="K75">
        <f>J75+I75</f>
        <v/>
      </c>
      <c r="L75">
        <f>IF(F75=0,0,SUMIFS(DATA_WSF!$E:$E,DATA_WSF!$A:$A,B75,DATA_WSF!$C:$C,$B$6,DATA_WSF!$D:$D,$B$7))</f>
        <v/>
      </c>
      <c r="M75">
        <f>IF(F75=0,0,SUMIFS(DATA_WSF!$F:$F,DATA_WSF!$A:$A,B75,DATA_WSF!$C:$C,$B$6,DATA_WSF!$D:$D,$B$7))</f>
        <v/>
      </c>
      <c r="N75">
        <f>L75-M75</f>
        <v/>
      </c>
      <c r="O75">
        <f>IF(L75=0,0,M75/L75)</f>
        <v/>
      </c>
      <c r="P75">
        <f>IF(M75=0,0,K75/M75)</f>
        <v/>
      </c>
      <c r="Q75">
        <f>IF(F75&gt;0,1,0)</f>
        <v/>
      </c>
      <c r="R75">
        <f>IF(AND(A75&gt;=1,A75&lt;=$B$11),Q75,0)</f>
        <v/>
      </c>
      <c r="S75">
        <f>IF(AND(C75=$B$12,E75=$B$14),Q75,0)</f>
        <v/>
      </c>
      <c r="T75">
        <f>IF(AND(D75=$B$13,E75=$B$14),Q75,0)</f>
        <v/>
      </c>
      <c r="U75">
        <f>IF(E75=$B$14,Q75,0)</f>
        <v/>
      </c>
    </row>
    <row r="76">
      <c r="A76" t="n">
        <v>55</v>
      </c>
      <c r="B76" s="116">
        <f>IF($B$10=0,"",$B$10-7*A76)</f>
        <v/>
      </c>
      <c r="C76">
        <f>IF(B76="","",MONTH(B76))</f>
        <v/>
      </c>
      <c r="D76">
        <f>IF(B76="","",ROUNDUP(MONTH(B76)/3,0))</f>
        <v/>
      </c>
      <c r="E76">
        <f>IF(B76="","",YEAR(B76))</f>
        <v/>
      </c>
      <c r="F76">
        <f>IF(B76="",0,COUNTIFS(DATA_WSF!$A:$A,B76,DATA_WSF!$C:$C,$B$6,DATA_WSF!$D:$D,$B$7))</f>
        <v/>
      </c>
      <c r="G76">
        <f>IF(F76=0,0,SUMIFS(DATA_WSF!$H:$H,DATA_WSF!$A:$A,B76,DATA_WSF!$C:$C,$B$6,DATA_WSF!$D:$D,$B$7))</f>
        <v/>
      </c>
      <c r="H76">
        <f>IF(F76=0,0,SUMIFS(DATA_WSF!$I:$I,DATA_WSF!$A:$A,B76,DATA_WSF!$C:$C,$B$6,DATA_WSF!$D:$D,$B$7))</f>
        <v/>
      </c>
      <c r="I76">
        <f>IF(F76=0,0,SUMIFS(DATA_WSF!$K:$K,DATA_WSF!$A:$A,B76,DATA_WSF!$C:$C,$B$6,DATA_WSF!$D:$D,$B$7))</f>
        <v/>
      </c>
      <c r="J76">
        <f>G76+H76</f>
        <v/>
      </c>
      <c r="K76">
        <f>J76+I76</f>
        <v/>
      </c>
      <c r="L76">
        <f>IF(F76=0,0,SUMIFS(DATA_WSF!$E:$E,DATA_WSF!$A:$A,B76,DATA_WSF!$C:$C,$B$6,DATA_WSF!$D:$D,$B$7))</f>
        <v/>
      </c>
      <c r="M76">
        <f>IF(F76=0,0,SUMIFS(DATA_WSF!$F:$F,DATA_WSF!$A:$A,B76,DATA_WSF!$C:$C,$B$6,DATA_WSF!$D:$D,$B$7))</f>
        <v/>
      </c>
      <c r="N76">
        <f>L76-M76</f>
        <v/>
      </c>
      <c r="O76">
        <f>IF(L76=0,0,M76/L76)</f>
        <v/>
      </c>
      <c r="P76">
        <f>IF(M76=0,0,K76/M76)</f>
        <v/>
      </c>
      <c r="Q76">
        <f>IF(F76&gt;0,1,0)</f>
        <v/>
      </c>
      <c r="R76">
        <f>IF(AND(A76&gt;=1,A76&lt;=$B$11),Q76,0)</f>
        <v/>
      </c>
      <c r="S76">
        <f>IF(AND(C76=$B$12,E76=$B$14),Q76,0)</f>
        <v/>
      </c>
      <c r="T76">
        <f>IF(AND(D76=$B$13,E76=$B$14),Q76,0)</f>
        <v/>
      </c>
      <c r="U76">
        <f>IF(E76=$B$14,Q76,0)</f>
        <v/>
      </c>
    </row>
    <row r="77">
      <c r="A77" t="n">
        <v>56</v>
      </c>
      <c r="B77" s="116">
        <f>IF($B$10=0,"",$B$10-7*A77)</f>
        <v/>
      </c>
      <c r="C77">
        <f>IF(B77="","",MONTH(B77))</f>
        <v/>
      </c>
      <c r="D77">
        <f>IF(B77="","",ROUNDUP(MONTH(B77)/3,0))</f>
        <v/>
      </c>
      <c r="E77">
        <f>IF(B77="","",YEAR(B77))</f>
        <v/>
      </c>
      <c r="F77">
        <f>IF(B77="",0,COUNTIFS(DATA_WSF!$A:$A,B77,DATA_WSF!$C:$C,$B$6,DATA_WSF!$D:$D,$B$7))</f>
        <v/>
      </c>
      <c r="G77">
        <f>IF(F77=0,0,SUMIFS(DATA_WSF!$H:$H,DATA_WSF!$A:$A,B77,DATA_WSF!$C:$C,$B$6,DATA_WSF!$D:$D,$B$7))</f>
        <v/>
      </c>
      <c r="H77">
        <f>IF(F77=0,0,SUMIFS(DATA_WSF!$I:$I,DATA_WSF!$A:$A,B77,DATA_WSF!$C:$C,$B$6,DATA_WSF!$D:$D,$B$7))</f>
        <v/>
      </c>
      <c r="I77">
        <f>IF(F77=0,0,SUMIFS(DATA_WSF!$K:$K,DATA_WSF!$A:$A,B77,DATA_WSF!$C:$C,$B$6,DATA_WSF!$D:$D,$B$7))</f>
        <v/>
      </c>
      <c r="J77">
        <f>G77+H77</f>
        <v/>
      </c>
      <c r="K77">
        <f>J77+I77</f>
        <v/>
      </c>
      <c r="L77">
        <f>IF(F77=0,0,SUMIFS(DATA_WSF!$E:$E,DATA_WSF!$A:$A,B77,DATA_WSF!$C:$C,$B$6,DATA_WSF!$D:$D,$B$7))</f>
        <v/>
      </c>
      <c r="M77">
        <f>IF(F77=0,0,SUMIFS(DATA_WSF!$F:$F,DATA_WSF!$A:$A,B77,DATA_WSF!$C:$C,$B$6,DATA_WSF!$D:$D,$B$7))</f>
        <v/>
      </c>
      <c r="N77">
        <f>L77-M77</f>
        <v/>
      </c>
      <c r="O77">
        <f>IF(L77=0,0,M77/L77)</f>
        <v/>
      </c>
      <c r="P77">
        <f>IF(M77=0,0,K77/M77)</f>
        <v/>
      </c>
      <c r="Q77">
        <f>IF(F77&gt;0,1,0)</f>
        <v/>
      </c>
      <c r="R77">
        <f>IF(AND(A77&gt;=1,A77&lt;=$B$11),Q77,0)</f>
        <v/>
      </c>
      <c r="S77">
        <f>IF(AND(C77=$B$12,E77=$B$14),Q77,0)</f>
        <v/>
      </c>
      <c r="T77">
        <f>IF(AND(D77=$B$13,E77=$B$14),Q77,0)</f>
        <v/>
      </c>
      <c r="U77">
        <f>IF(E77=$B$14,Q77,0)</f>
        <v/>
      </c>
    </row>
    <row r="78">
      <c r="A78" t="n">
        <v>57</v>
      </c>
      <c r="B78" s="116">
        <f>IF($B$10=0,"",$B$10-7*A78)</f>
        <v/>
      </c>
      <c r="C78">
        <f>IF(B78="","",MONTH(B78))</f>
        <v/>
      </c>
      <c r="D78">
        <f>IF(B78="","",ROUNDUP(MONTH(B78)/3,0))</f>
        <v/>
      </c>
      <c r="E78">
        <f>IF(B78="","",YEAR(B78))</f>
        <v/>
      </c>
      <c r="F78">
        <f>IF(B78="",0,COUNTIFS(DATA_WSF!$A:$A,B78,DATA_WSF!$C:$C,$B$6,DATA_WSF!$D:$D,$B$7))</f>
        <v/>
      </c>
      <c r="G78">
        <f>IF(F78=0,0,SUMIFS(DATA_WSF!$H:$H,DATA_WSF!$A:$A,B78,DATA_WSF!$C:$C,$B$6,DATA_WSF!$D:$D,$B$7))</f>
        <v/>
      </c>
      <c r="H78">
        <f>IF(F78=0,0,SUMIFS(DATA_WSF!$I:$I,DATA_WSF!$A:$A,B78,DATA_WSF!$C:$C,$B$6,DATA_WSF!$D:$D,$B$7))</f>
        <v/>
      </c>
      <c r="I78">
        <f>IF(F78=0,0,SUMIFS(DATA_WSF!$K:$K,DATA_WSF!$A:$A,B78,DATA_WSF!$C:$C,$B$6,DATA_WSF!$D:$D,$B$7))</f>
        <v/>
      </c>
      <c r="J78">
        <f>G78+H78</f>
        <v/>
      </c>
      <c r="K78">
        <f>J78+I78</f>
        <v/>
      </c>
      <c r="L78">
        <f>IF(F78=0,0,SUMIFS(DATA_WSF!$E:$E,DATA_WSF!$A:$A,B78,DATA_WSF!$C:$C,$B$6,DATA_WSF!$D:$D,$B$7))</f>
        <v/>
      </c>
      <c r="M78">
        <f>IF(F78=0,0,SUMIFS(DATA_WSF!$F:$F,DATA_WSF!$A:$A,B78,DATA_WSF!$C:$C,$B$6,DATA_WSF!$D:$D,$B$7))</f>
        <v/>
      </c>
      <c r="N78">
        <f>L78-M78</f>
        <v/>
      </c>
      <c r="O78">
        <f>IF(L78=0,0,M78/L78)</f>
        <v/>
      </c>
      <c r="P78">
        <f>IF(M78=0,0,K78/M78)</f>
        <v/>
      </c>
      <c r="Q78">
        <f>IF(F78&gt;0,1,0)</f>
        <v/>
      </c>
      <c r="R78">
        <f>IF(AND(A78&gt;=1,A78&lt;=$B$11),Q78,0)</f>
        <v/>
      </c>
      <c r="S78">
        <f>IF(AND(C78=$B$12,E78=$B$14),Q78,0)</f>
        <v/>
      </c>
      <c r="T78">
        <f>IF(AND(D78=$B$13,E78=$B$14),Q78,0)</f>
        <v/>
      </c>
      <c r="U78">
        <f>IF(E78=$B$14,Q78,0)</f>
        <v/>
      </c>
    </row>
    <row r="79">
      <c r="A79" t="n">
        <v>58</v>
      </c>
      <c r="B79" s="116">
        <f>IF($B$10=0,"",$B$10-7*A79)</f>
        <v/>
      </c>
      <c r="C79">
        <f>IF(B79="","",MONTH(B79))</f>
        <v/>
      </c>
      <c r="D79">
        <f>IF(B79="","",ROUNDUP(MONTH(B79)/3,0))</f>
        <v/>
      </c>
      <c r="E79">
        <f>IF(B79="","",YEAR(B79))</f>
        <v/>
      </c>
      <c r="F79">
        <f>IF(B79="",0,COUNTIFS(DATA_WSF!$A:$A,B79,DATA_WSF!$C:$C,$B$6,DATA_WSF!$D:$D,$B$7))</f>
        <v/>
      </c>
      <c r="G79">
        <f>IF(F79=0,0,SUMIFS(DATA_WSF!$H:$H,DATA_WSF!$A:$A,B79,DATA_WSF!$C:$C,$B$6,DATA_WSF!$D:$D,$B$7))</f>
        <v/>
      </c>
      <c r="H79">
        <f>IF(F79=0,0,SUMIFS(DATA_WSF!$I:$I,DATA_WSF!$A:$A,B79,DATA_WSF!$C:$C,$B$6,DATA_WSF!$D:$D,$B$7))</f>
        <v/>
      </c>
      <c r="I79">
        <f>IF(F79=0,0,SUMIFS(DATA_WSF!$K:$K,DATA_WSF!$A:$A,B79,DATA_WSF!$C:$C,$B$6,DATA_WSF!$D:$D,$B$7))</f>
        <v/>
      </c>
      <c r="J79">
        <f>G79+H79</f>
        <v/>
      </c>
      <c r="K79">
        <f>J79+I79</f>
        <v/>
      </c>
      <c r="L79">
        <f>IF(F79=0,0,SUMIFS(DATA_WSF!$E:$E,DATA_WSF!$A:$A,B79,DATA_WSF!$C:$C,$B$6,DATA_WSF!$D:$D,$B$7))</f>
        <v/>
      </c>
      <c r="M79">
        <f>IF(F79=0,0,SUMIFS(DATA_WSF!$F:$F,DATA_WSF!$A:$A,B79,DATA_WSF!$C:$C,$B$6,DATA_WSF!$D:$D,$B$7))</f>
        <v/>
      </c>
      <c r="N79">
        <f>L79-M79</f>
        <v/>
      </c>
      <c r="O79">
        <f>IF(L79=0,0,M79/L79)</f>
        <v/>
      </c>
      <c r="P79">
        <f>IF(M79=0,0,K79/M79)</f>
        <v/>
      </c>
      <c r="Q79">
        <f>IF(F79&gt;0,1,0)</f>
        <v/>
      </c>
      <c r="R79">
        <f>IF(AND(A79&gt;=1,A79&lt;=$B$11),Q79,0)</f>
        <v/>
      </c>
      <c r="S79">
        <f>IF(AND(C79=$B$12,E79=$B$14),Q79,0)</f>
        <v/>
      </c>
      <c r="T79">
        <f>IF(AND(D79=$B$13,E79=$B$14),Q79,0)</f>
        <v/>
      </c>
      <c r="U79">
        <f>IF(E79=$B$14,Q79,0)</f>
        <v/>
      </c>
    </row>
    <row r="80">
      <c r="A80" t="n">
        <v>59</v>
      </c>
      <c r="B80" s="116">
        <f>IF($B$10=0,"",$B$10-7*A80)</f>
        <v/>
      </c>
      <c r="C80">
        <f>IF(B80="","",MONTH(B80))</f>
        <v/>
      </c>
      <c r="D80">
        <f>IF(B80="","",ROUNDUP(MONTH(B80)/3,0))</f>
        <v/>
      </c>
      <c r="E80">
        <f>IF(B80="","",YEAR(B80))</f>
        <v/>
      </c>
      <c r="F80">
        <f>IF(B80="",0,COUNTIFS(DATA_WSF!$A:$A,B80,DATA_WSF!$C:$C,$B$6,DATA_WSF!$D:$D,$B$7))</f>
        <v/>
      </c>
      <c r="G80">
        <f>IF(F80=0,0,SUMIFS(DATA_WSF!$H:$H,DATA_WSF!$A:$A,B80,DATA_WSF!$C:$C,$B$6,DATA_WSF!$D:$D,$B$7))</f>
        <v/>
      </c>
      <c r="H80">
        <f>IF(F80=0,0,SUMIFS(DATA_WSF!$I:$I,DATA_WSF!$A:$A,B80,DATA_WSF!$C:$C,$B$6,DATA_WSF!$D:$D,$B$7))</f>
        <v/>
      </c>
      <c r="I80">
        <f>IF(F80=0,0,SUMIFS(DATA_WSF!$K:$K,DATA_WSF!$A:$A,B80,DATA_WSF!$C:$C,$B$6,DATA_WSF!$D:$D,$B$7))</f>
        <v/>
      </c>
      <c r="J80">
        <f>G80+H80</f>
        <v/>
      </c>
      <c r="K80">
        <f>J80+I80</f>
        <v/>
      </c>
      <c r="L80">
        <f>IF(F80=0,0,SUMIFS(DATA_WSF!$E:$E,DATA_WSF!$A:$A,B80,DATA_WSF!$C:$C,$B$6,DATA_WSF!$D:$D,$B$7))</f>
        <v/>
      </c>
      <c r="M80">
        <f>IF(F80=0,0,SUMIFS(DATA_WSF!$F:$F,DATA_WSF!$A:$A,B80,DATA_WSF!$C:$C,$B$6,DATA_WSF!$D:$D,$B$7))</f>
        <v/>
      </c>
      <c r="N80">
        <f>L80-M80</f>
        <v/>
      </c>
      <c r="O80">
        <f>IF(L80=0,0,M80/L80)</f>
        <v/>
      </c>
      <c r="P80">
        <f>IF(M80=0,0,K80/M80)</f>
        <v/>
      </c>
      <c r="Q80">
        <f>IF(F80&gt;0,1,0)</f>
        <v/>
      </c>
      <c r="R80">
        <f>IF(AND(A80&gt;=1,A80&lt;=$B$11),Q80,0)</f>
        <v/>
      </c>
      <c r="S80">
        <f>IF(AND(C80=$B$12,E80=$B$14),Q80,0)</f>
        <v/>
      </c>
      <c r="T80">
        <f>IF(AND(D80=$B$13,E80=$B$14),Q80,0)</f>
        <v/>
      </c>
      <c r="U80">
        <f>IF(E80=$B$14,Q80,0)</f>
        <v/>
      </c>
    </row>
    <row r="89">
      <c r="A89" s="133" t="inlineStr">
        <is>
          <t>KPI</t>
        </is>
      </c>
      <c r="B89" s="133" t="inlineStr">
        <is>
          <t>Selected week</t>
        </is>
      </c>
      <c r="C89" s="133" t="inlineStr">
        <is>
          <t>Previous week</t>
        </is>
      </c>
      <c r="D89" s="133" t="inlineStr">
        <is>
          <t>Change</t>
        </is>
      </c>
      <c r="E89" s="133" t="inlineStr">
        <is>
          <t>% change</t>
        </is>
      </c>
      <c r="F89" s="133" t="inlineStr">
        <is>
          <t>Avg last N wks</t>
        </is>
      </c>
      <c r="G89" s="133" t="inlineStr">
        <is>
          <t>vs N-wk avg</t>
        </is>
      </c>
      <c r="H89" s="133" t="inlineStr">
        <is>
          <t>MTD total</t>
        </is>
      </c>
      <c r="I89" s="133" t="inlineStr">
        <is>
          <t>QTD total</t>
        </is>
      </c>
      <c r="J89" s="133" t="inlineStr">
        <is>
          <t>YTD total</t>
        </is>
      </c>
      <c r="K89" s="133" t="inlineStr">
        <is>
          <t>Wkly avg (month)</t>
        </is>
      </c>
      <c r="L89" s="133" t="inlineStr">
        <is>
          <t>Wkly avg (qtr)</t>
        </is>
      </c>
      <c r="M89" s="133" t="inlineStr">
        <is>
          <t>Wkly avg (year)</t>
        </is>
      </c>
    </row>
    <row r="90">
      <c r="A90" t="inlineStr">
        <is>
          <t>Grand total attendance</t>
        </is>
      </c>
      <c r="B90">
        <f>IF($Q$21=0,"",K21)</f>
        <v/>
      </c>
      <c r="C90">
        <f>IF($Q$22=0,"",K22)</f>
        <v/>
      </c>
      <c r="D90">
        <f>IF(OR(B90="",C90=""),"",B90-C90)</f>
        <v/>
      </c>
      <c r="E90">
        <f>IF(OR(B90="",C90=""),"",IF(C90=0,"",B90/C90-1))</f>
        <v/>
      </c>
      <c r="F90">
        <f>IF(SUM($R$21:$R$80)=0,"",SUMPRODUCT($K$21:$K$80,$R$21:$R$80)/SUM($R$21:$R$80))</f>
        <v/>
      </c>
      <c r="G90">
        <f>IF(OR(B90="",F90=""),"",IF(F90=0,"",B90/F90-1))</f>
        <v/>
      </c>
      <c r="H90">
        <f>IF(SUM($S$21:$S$80)=0,"",SUMPRODUCT($K$21:$K$80,$S$21:$S$80))</f>
        <v/>
      </c>
      <c r="I90">
        <f>IF(SUM($T$21:$T$80)=0,"",SUMPRODUCT($K$21:$K$80,$T$21:$T$80))</f>
        <v/>
      </c>
      <c r="J90">
        <f>IF(SUM($U$21:$U$80)=0,"",SUMPRODUCT($K$21:$K$80,$U$21:$U$80))</f>
        <v/>
      </c>
      <c r="K90">
        <f>IF(H90="","",H90/SUM($S$21:$S$80))</f>
        <v/>
      </c>
      <c r="L90">
        <f>IF(I90="","",I90/SUM($T$21:$T$80))</f>
        <v/>
      </c>
      <c r="M90">
        <f>IF(J90="","",J90/SUM($U$21:$U$80))</f>
        <v/>
      </c>
    </row>
    <row r="91">
      <c r="A91" t="inlineStr">
        <is>
          <t>Adult total (Male + Female)</t>
        </is>
      </c>
      <c r="B91">
        <f>IF($Q$21=0,"",J21)</f>
        <v/>
      </c>
      <c r="C91">
        <f>IF($Q$22=0,"",J22)</f>
        <v/>
      </c>
      <c r="D91">
        <f>IF(OR(B91="",C91=""),"",B91-C91)</f>
        <v/>
      </c>
      <c r="E91">
        <f>IF(OR(B91="",C91=""),"",IF(C91=0,"",B91/C91-1))</f>
        <v/>
      </c>
      <c r="F91">
        <f>IF(SUM($R$21:$R$80)=0,"",SUMPRODUCT($J$21:$J$80,$R$21:$R$80)/SUM($R$21:$R$80))</f>
        <v/>
      </c>
      <c r="G91">
        <f>IF(OR(B91="",F91=""),"",IF(F91=0,"",B91/F91-1))</f>
        <v/>
      </c>
      <c r="H91">
        <f>IF(SUM($S$21:$S$80)=0,"",SUMPRODUCT($J$21:$J$80,$S$21:$S$80))</f>
        <v/>
      </c>
      <c r="I91">
        <f>IF(SUM($T$21:$T$80)=0,"",SUMPRODUCT($J$21:$J$80,$T$21:$T$80))</f>
        <v/>
      </c>
      <c r="J91">
        <f>IF(SUM($U$21:$U$80)=0,"",SUMPRODUCT($J$21:$J$80,$U$21:$U$80))</f>
        <v/>
      </c>
      <c r="K91">
        <f>IF(H91="","",H91/SUM($S$21:$S$80))</f>
        <v/>
      </c>
      <c r="L91">
        <f>IF(I91="","",I91/SUM($T$21:$T$80))</f>
        <v/>
      </c>
      <c r="M91">
        <f>IF(J91="","",J91/SUM($U$21:$U$80))</f>
        <v/>
      </c>
    </row>
    <row r="92">
      <c r="A92" t="inlineStr">
        <is>
          <t>Male</t>
        </is>
      </c>
      <c r="B92">
        <f>IF($Q$21=0,"",G21)</f>
        <v/>
      </c>
      <c r="C92">
        <f>IF($Q$22=0,"",G22)</f>
        <v/>
      </c>
      <c r="D92">
        <f>IF(OR(B92="",C92=""),"",B92-C92)</f>
        <v/>
      </c>
      <c r="E92">
        <f>IF(OR(B92="",C92=""),"",IF(C92=0,"",B92/C92-1))</f>
        <v/>
      </c>
      <c r="F92">
        <f>IF(SUM($R$21:$R$80)=0,"",SUMPRODUCT($G$21:$G$80,$R$21:$R$80)/SUM($R$21:$R$80))</f>
        <v/>
      </c>
      <c r="G92">
        <f>IF(OR(B92="",F92=""),"",IF(F92=0,"",B92/F92-1))</f>
        <v/>
      </c>
      <c r="H92">
        <f>IF(SUM($S$21:$S$80)=0,"",SUMPRODUCT($G$21:$G$80,$S$21:$S$80))</f>
        <v/>
      </c>
      <c r="I92">
        <f>IF(SUM($T$21:$T$80)=0,"",SUMPRODUCT($G$21:$G$80,$T$21:$T$80))</f>
        <v/>
      </c>
      <c r="J92">
        <f>IF(SUM($U$21:$U$80)=0,"",SUMPRODUCT($G$21:$G$80,$U$21:$U$80))</f>
        <v/>
      </c>
      <c r="K92">
        <f>IF(H92="","",H92/SUM($S$21:$S$80))</f>
        <v/>
      </c>
      <c r="L92">
        <f>IF(I92="","",I92/SUM($T$21:$T$80))</f>
        <v/>
      </c>
      <c r="M92">
        <f>IF(J92="","",J92/SUM($U$21:$U$80))</f>
        <v/>
      </c>
    </row>
    <row r="93">
      <c r="A93" t="inlineStr">
        <is>
          <t>Female</t>
        </is>
      </c>
      <c r="B93">
        <f>IF($Q$21=0,"",H21)</f>
        <v/>
      </c>
      <c r="C93">
        <f>IF($Q$22=0,"",H22)</f>
        <v/>
      </c>
      <c r="D93">
        <f>IF(OR(B93="",C93=""),"",B93-C93)</f>
        <v/>
      </c>
      <c r="E93">
        <f>IF(OR(B93="",C93=""),"",IF(C93=0,"",B93/C93-1))</f>
        <v/>
      </c>
      <c r="F93">
        <f>IF(SUM($R$21:$R$80)=0,"",SUMPRODUCT($H$21:$H$80,$R$21:$R$80)/SUM($R$21:$R$80))</f>
        <v/>
      </c>
      <c r="G93">
        <f>IF(OR(B93="",F93=""),"",IF(F93=0,"",B93/F93-1))</f>
        <v/>
      </c>
      <c r="H93">
        <f>IF(SUM($S$21:$S$80)=0,"",SUMPRODUCT($H$21:$H$80,$S$21:$S$80))</f>
        <v/>
      </c>
      <c r="I93">
        <f>IF(SUM($T$21:$T$80)=0,"",SUMPRODUCT($H$21:$H$80,$T$21:$T$80))</f>
        <v/>
      </c>
      <c r="J93">
        <f>IF(SUM($U$21:$U$80)=0,"",SUMPRODUCT($H$21:$H$80,$U$21:$U$80))</f>
        <v/>
      </c>
      <c r="K93">
        <f>IF(H93="","",H93/SUM($S$21:$S$80))</f>
        <v/>
      </c>
      <c r="L93">
        <f>IF(I93="","",I93/SUM($T$21:$T$80))</f>
        <v/>
      </c>
      <c r="M93">
        <f>IF(J93="","",J93/SUM($U$21:$U$80))</f>
        <v/>
      </c>
    </row>
    <row r="94">
      <c r="A94" t="inlineStr">
        <is>
          <t>Children</t>
        </is>
      </c>
      <c r="B94">
        <f>IF($Q$21=0,"",I21)</f>
        <v/>
      </c>
      <c r="C94">
        <f>IF($Q$22=0,"",I22)</f>
        <v/>
      </c>
      <c r="D94">
        <f>IF(OR(B94="",C94=""),"",B94-C94)</f>
        <v/>
      </c>
      <c r="E94">
        <f>IF(OR(B94="",C94=""),"",IF(C94=0,"",B94/C94-1))</f>
        <v/>
      </c>
      <c r="F94">
        <f>IF(SUM($R$21:$R$80)=0,"",SUMPRODUCT($I$21:$I$80,$R$21:$R$80)/SUM($R$21:$R$80))</f>
        <v/>
      </c>
      <c r="G94">
        <f>IF(OR(B94="",F94=""),"",IF(F94=0,"",B94/F94-1))</f>
        <v/>
      </c>
      <c r="H94">
        <f>IF(SUM($S$21:$S$80)=0,"",SUMPRODUCT($I$21:$I$80,$S$21:$S$80))</f>
        <v/>
      </c>
      <c r="I94">
        <f>IF(SUM($T$21:$T$80)=0,"",SUMPRODUCT($I$21:$I$80,$T$21:$T$80))</f>
        <v/>
      </c>
      <c r="J94">
        <f>IF(SUM($U$21:$U$80)=0,"",SUMPRODUCT($I$21:$I$80,$U$21:$U$80))</f>
        <v/>
      </c>
      <c r="K94">
        <f>IF(H94="","",H94/SUM($S$21:$S$80))</f>
        <v/>
      </c>
      <c r="L94">
        <f>IF(I94="","",I94/SUM($T$21:$T$80))</f>
        <v/>
      </c>
      <c r="M94">
        <f>IF(J94="","",J94/SUM($U$21:$U$80))</f>
        <v/>
      </c>
    </row>
    <row r="95">
      <c r="A95" t="inlineStr">
        <is>
          <t>Operational cells</t>
        </is>
      </c>
      <c r="B95">
        <f>IF($Q$21=0,"",L21)</f>
        <v/>
      </c>
      <c r="C95">
        <f>IF($Q$22=0,"",L22)</f>
        <v/>
      </c>
      <c r="D95">
        <f>IF(OR(B95="",C95=""),"",B95-C95)</f>
        <v/>
      </c>
      <c r="E95">
        <f>IF(OR(B95="",C95=""),"",IF(C95=0,"",B95/C95-1))</f>
        <v/>
      </c>
      <c r="F95">
        <f>IF(SUM($R$21:$R$80)=0,"",SUMPRODUCT($L$21:$L$80,$R$21:$R$80)/SUM($R$21:$R$80))</f>
        <v/>
      </c>
      <c r="G95">
        <f>IF(OR(B95="",F95=""),"",IF(F95=0,"",B95/F95-1))</f>
        <v/>
      </c>
      <c r="H95">
        <f>IF(SUM($S$21:$S$80)=0,"",SUMPRODUCT($L$21:$L$80,$S$21:$S$80))</f>
        <v/>
      </c>
      <c r="I95">
        <f>IF(SUM($T$21:$T$80)=0,"",SUMPRODUCT($L$21:$L$80,$T$21:$T$80))</f>
        <v/>
      </c>
      <c r="J95">
        <f>IF(SUM($U$21:$U$80)=0,"",SUMPRODUCT($L$21:$L$80,$U$21:$U$80))</f>
        <v/>
      </c>
      <c r="K95">
        <f>IF(H95="","",H95/SUM($S$21:$S$80))</f>
        <v/>
      </c>
      <c r="L95">
        <f>IF(I95="","",I95/SUM($T$21:$T$80))</f>
        <v/>
      </c>
      <c r="M95">
        <f>IF(J95="","",J95/SUM($U$21:$U$80))</f>
        <v/>
      </c>
    </row>
    <row r="96">
      <c r="A96" t="inlineStr">
        <is>
          <t>Cells that reported</t>
        </is>
      </c>
      <c r="B96">
        <f>IF($Q$21=0,"",M21)</f>
        <v/>
      </c>
      <c r="C96">
        <f>IF($Q$22=0,"",M22)</f>
        <v/>
      </c>
      <c r="D96">
        <f>IF(OR(B96="",C96=""),"",B96-C96)</f>
        <v/>
      </c>
      <c r="E96">
        <f>IF(OR(B96="",C96=""),"",IF(C96=0,"",B96/C96-1))</f>
        <v/>
      </c>
      <c r="F96">
        <f>IF(SUM($R$21:$R$80)=0,"",SUMPRODUCT($M$21:$M$80,$R$21:$R$80)/SUM($R$21:$R$80))</f>
        <v/>
      </c>
      <c r="G96">
        <f>IF(OR(B96="",F96=""),"",IF(F96=0,"",B96/F96-1))</f>
        <v/>
      </c>
      <c r="H96">
        <f>IF(SUM($S$21:$S$80)=0,"",SUMPRODUCT($M$21:$M$80,$S$21:$S$80))</f>
        <v/>
      </c>
      <c r="I96">
        <f>IF(SUM($T$21:$T$80)=0,"",SUMPRODUCT($M$21:$M$80,$T$21:$T$80))</f>
        <v/>
      </c>
      <c r="J96">
        <f>IF(SUM($U$21:$U$80)=0,"",SUMPRODUCT($M$21:$M$80,$U$21:$U$80))</f>
        <v/>
      </c>
      <c r="K96">
        <f>IF(H96="","",H96/SUM($S$21:$S$80))</f>
        <v/>
      </c>
      <c r="L96">
        <f>IF(I96="","",I96/SUM($T$21:$T$80))</f>
        <v/>
      </c>
      <c r="M96">
        <f>IF(J96="","",J96/SUM($U$21:$U$80))</f>
        <v/>
      </c>
    </row>
    <row r="97">
      <c r="A97" t="inlineStr">
        <is>
          <t>Cells with no report</t>
        </is>
      </c>
      <c r="B97">
        <f>IF($Q$21=0,"",N21)</f>
        <v/>
      </c>
      <c r="C97">
        <f>IF($Q$22=0,"",N22)</f>
        <v/>
      </c>
      <c r="D97">
        <f>IF(OR(B97="",C97=""),"",B97-C97)</f>
        <v/>
      </c>
      <c r="E97">
        <f>IF(OR(B97="",C97=""),"",IF(C97=0,"",B97/C97-1))</f>
        <v/>
      </c>
      <c r="F97">
        <f>IF(SUM($R$21:$R$80)=0,"",SUMPRODUCT($N$21:$N$80,$R$21:$R$80)/SUM($R$21:$R$80))</f>
        <v/>
      </c>
      <c r="G97">
        <f>IF(OR(B97="",F97=""),"",IF(F97=0,"",B97/F97-1))</f>
        <v/>
      </c>
      <c r="H97">
        <f>IF(SUM($S$21:$S$80)=0,"",SUMPRODUCT($N$21:$N$80,$S$21:$S$80))</f>
        <v/>
      </c>
      <c r="I97">
        <f>IF(SUM($T$21:$T$80)=0,"",SUMPRODUCT($N$21:$N$80,$T$21:$T$80))</f>
        <v/>
      </c>
      <c r="J97">
        <f>IF(SUM($U$21:$U$80)=0,"",SUMPRODUCT($N$21:$N$80,$U$21:$U$80))</f>
        <v/>
      </c>
      <c r="K97">
        <f>IF(H97="","",H97/SUM($S$21:$S$80))</f>
        <v/>
      </c>
      <c r="L97">
        <f>IF(I97="","",I97/SUM($T$21:$T$80))</f>
        <v/>
      </c>
      <c r="M97">
        <f>IF(J97="","",J97/SUM($U$21:$U$80))</f>
        <v/>
      </c>
    </row>
    <row r="98">
      <c r="A98" t="inlineStr">
        <is>
          <t>% cells reporting</t>
        </is>
      </c>
      <c r="B98">
        <f>IF(OR($Q$21=0,L21=0),"",M21/L21)</f>
        <v/>
      </c>
      <c r="C98">
        <f>IF(OR($Q$22=0,L22=0),"",M22/L22)</f>
        <v/>
      </c>
      <c r="D98">
        <f>IF(OR(B98="",C98=""),"",B98-C98)</f>
        <v/>
      </c>
      <c r="E98">
        <f>IF(OR(B98="",C98=""),"",IF(C98=0,"",B98/C98-1))</f>
        <v/>
      </c>
      <c r="F98">
        <f>IF(SUMPRODUCT($L$21:$L$80,$R$21:$R$80)=0,"",SUMPRODUCT($M$21:$M$80,$R$21:$R$80)/SUMPRODUCT($L$21:$L$80,$R$21:$R$80))</f>
        <v/>
      </c>
      <c r="G98">
        <f>IF(OR(B98="",F98=""),"",IF(F98=0,"",B98/F98-1))</f>
        <v/>
      </c>
      <c r="H98">
        <f>IF(SUMPRODUCT($L$21:$L$80,$S$21:$S$80)=0,"",SUMPRODUCT($M$21:$M$80,$S$21:$S$80)/SUMPRODUCT($L$21:$L$80,$S$21:$S$80))</f>
        <v/>
      </c>
      <c r="I98">
        <f>IF(SUMPRODUCT($L$21:$L$80,$T$21:$T$80)=0,"",SUMPRODUCT($M$21:$M$80,$T$21:$T$80)/SUMPRODUCT($L$21:$L$80,$T$21:$T$80))</f>
        <v/>
      </c>
      <c r="J98">
        <f>IF(SUMPRODUCT($L$21:$L$80,$U$21:$U$80)=0,"",SUMPRODUCT($M$21:$M$80,$U$21:$U$80)/SUMPRODUCT($L$21:$L$80,$U$21:$U$80))</f>
        <v/>
      </c>
      <c r="K98">
        <f>H98</f>
        <v/>
      </c>
      <c r="L98">
        <f>I98</f>
        <v/>
      </c>
      <c r="M98">
        <f>J98</f>
        <v/>
      </c>
    </row>
    <row r="99">
      <c r="A99" t="inlineStr">
        <is>
          <t>Reporting : non-reporting</t>
        </is>
      </c>
      <c r="B99">
        <f>IF(OR($Q$21=0,N21=0),"",M21/N21)</f>
        <v/>
      </c>
      <c r="C99">
        <f>IF(OR($Q$22=0,N22=0),"",M22/N22)</f>
        <v/>
      </c>
      <c r="D99">
        <f>IF(OR(B99="",C99=""),"",B99-C99)</f>
        <v/>
      </c>
      <c r="E99">
        <f>IF(OR(B99="",C99=""),"",IF(C99=0,"",B99/C99-1))</f>
        <v/>
      </c>
      <c r="F99">
        <f>IF(SUMPRODUCT($N$21:$N$80,$R$21:$R$80)=0,"",SUMPRODUCT($M$21:$M$80,$R$21:$R$80)/SUMPRODUCT($N$21:$N$80,$R$21:$R$80))</f>
        <v/>
      </c>
      <c r="G99">
        <f>IF(OR(B99="",F99=""),"",IF(F99=0,"",B99/F99-1))</f>
        <v/>
      </c>
      <c r="H99">
        <f>IF(SUMPRODUCT($N$21:$N$80,$S$21:$S$80)=0,"",SUMPRODUCT($M$21:$M$80,$S$21:$S$80)/SUMPRODUCT($N$21:$N$80,$S$21:$S$80))</f>
        <v/>
      </c>
      <c r="I99">
        <f>IF(SUMPRODUCT($N$21:$N$80,$T$21:$T$80)=0,"",SUMPRODUCT($M$21:$M$80,$T$21:$T$80)/SUMPRODUCT($N$21:$N$80,$T$21:$T$80))</f>
        <v/>
      </c>
      <c r="J99">
        <f>IF(SUMPRODUCT($N$21:$N$80,$U$21:$U$80)=0,"",SUMPRODUCT($M$21:$M$80,$U$21:$U$80)/SUMPRODUCT($N$21:$N$80,$U$21:$U$80))</f>
        <v/>
      </c>
      <c r="K99">
        <f>H99</f>
        <v/>
      </c>
      <c r="L99">
        <f>I99</f>
        <v/>
      </c>
      <c r="M99">
        <f>J99</f>
        <v/>
      </c>
    </row>
    <row r="100">
      <c r="A100" t="inlineStr">
        <is>
          <t>Avg attendance per reporting cell</t>
        </is>
      </c>
      <c r="B100">
        <f>IF(OR($Q$21=0,M21=0),"",K21/M21)</f>
        <v/>
      </c>
      <c r="C100">
        <f>IF(OR($Q$22=0,M22=0),"",K22/M22)</f>
        <v/>
      </c>
      <c r="D100">
        <f>IF(OR(B100="",C100=""),"",B100-C100)</f>
        <v/>
      </c>
      <c r="E100">
        <f>IF(OR(B100="",C100=""),"",IF(C100=0,"",B100/C100-1))</f>
        <v/>
      </c>
      <c r="F100">
        <f>IF(SUMPRODUCT($M$21:$M$80,$R$21:$R$80)=0,"",SUMPRODUCT($K$21:$K$80,$R$21:$R$80)/SUMPRODUCT($M$21:$M$80,$R$21:$R$80))</f>
        <v/>
      </c>
      <c r="G100">
        <f>IF(OR(B100="",F100=""),"",IF(F100=0,"",B100/F100-1))</f>
        <v/>
      </c>
      <c r="H100">
        <f>IF(SUMPRODUCT($M$21:$M$80,$S$21:$S$80)=0,"",SUMPRODUCT($K$21:$K$80,$S$21:$S$80)/SUMPRODUCT($M$21:$M$80,$S$21:$S$80))</f>
        <v/>
      </c>
      <c r="I100">
        <f>IF(SUMPRODUCT($M$21:$M$80,$T$21:$T$80)=0,"",SUMPRODUCT($K$21:$K$80,$T$21:$T$80)/SUMPRODUCT($M$21:$M$80,$T$21:$T$80))</f>
        <v/>
      </c>
      <c r="J100">
        <f>IF(SUMPRODUCT($M$21:$M$80,$U$21:$U$80)=0,"",SUMPRODUCT($K$21:$K$80,$U$21:$U$80)/SUMPRODUCT($M$21:$M$80,$U$21:$U$80))</f>
        <v/>
      </c>
      <c r="K100">
        <f>H100</f>
        <v/>
      </c>
      <c r="L100">
        <f>I100</f>
        <v/>
      </c>
      <c r="M100">
        <f>J100</f>
        <v/>
      </c>
    </row>
    <row r="104">
      <c r="A104" t="inlineStr">
        <is>
          <t>Week</t>
        </is>
      </c>
      <c r="B104" t="inlineStr">
        <is>
          <t>Male</t>
        </is>
      </c>
      <c r="C104" t="inlineStr">
        <is>
          <t>Female</t>
        </is>
      </c>
      <c r="D104" t="inlineStr">
        <is>
          <t>Children</t>
        </is>
      </c>
      <c r="E104" t="inlineStr">
        <is>
          <t>% reporting</t>
        </is>
      </c>
    </row>
    <row r="105">
      <c r="A105">
        <f>IF(B33="","",TEXT(B33,"dd mmm"))</f>
        <v/>
      </c>
      <c r="B105">
        <f>G33</f>
        <v/>
      </c>
      <c r="C105">
        <f>H33</f>
        <v/>
      </c>
      <c r="D105">
        <f>I33</f>
        <v/>
      </c>
      <c r="E105">
        <f>O33</f>
        <v/>
      </c>
    </row>
    <row r="106">
      <c r="A106">
        <f>IF(B32="","",TEXT(B32,"dd mmm"))</f>
        <v/>
      </c>
      <c r="B106">
        <f>G32</f>
        <v/>
      </c>
      <c r="C106">
        <f>H32</f>
        <v/>
      </c>
      <c r="D106">
        <f>I32</f>
        <v/>
      </c>
      <c r="E106">
        <f>O32</f>
        <v/>
      </c>
    </row>
    <row r="107">
      <c r="A107">
        <f>IF(B31="","",TEXT(B31,"dd mmm"))</f>
        <v/>
      </c>
      <c r="B107">
        <f>G31</f>
        <v/>
      </c>
      <c r="C107">
        <f>H31</f>
        <v/>
      </c>
      <c r="D107">
        <f>I31</f>
        <v/>
      </c>
      <c r="E107">
        <f>O31</f>
        <v/>
      </c>
    </row>
    <row r="108">
      <c r="A108">
        <f>IF(B30="","",TEXT(B30,"dd mmm"))</f>
        <v/>
      </c>
      <c r="B108">
        <f>G30</f>
        <v/>
      </c>
      <c r="C108">
        <f>H30</f>
        <v/>
      </c>
      <c r="D108">
        <f>I30</f>
        <v/>
      </c>
      <c r="E108">
        <f>O30</f>
        <v/>
      </c>
    </row>
    <row r="109">
      <c r="A109">
        <f>IF(B29="","",TEXT(B29,"dd mmm"))</f>
        <v/>
      </c>
      <c r="B109">
        <f>G29</f>
        <v/>
      </c>
      <c r="C109">
        <f>H29</f>
        <v/>
      </c>
      <c r="D109">
        <f>I29</f>
        <v/>
      </c>
      <c r="E109">
        <f>O29</f>
        <v/>
      </c>
    </row>
    <row r="110">
      <c r="A110">
        <f>IF(B28="","",TEXT(B28,"dd mmm"))</f>
        <v/>
      </c>
      <c r="B110">
        <f>G28</f>
        <v/>
      </c>
      <c r="C110">
        <f>H28</f>
        <v/>
      </c>
      <c r="D110">
        <f>I28</f>
        <v/>
      </c>
      <c r="E110">
        <f>O28</f>
        <v/>
      </c>
    </row>
    <row r="111">
      <c r="A111">
        <f>IF(B27="","",TEXT(B27,"dd mmm"))</f>
        <v/>
      </c>
      <c r="B111">
        <f>G27</f>
        <v/>
      </c>
      <c r="C111">
        <f>H27</f>
        <v/>
      </c>
      <c r="D111">
        <f>I27</f>
        <v/>
      </c>
      <c r="E111">
        <f>O27</f>
        <v/>
      </c>
    </row>
    <row r="112">
      <c r="A112">
        <f>IF(B26="","",TEXT(B26,"dd mmm"))</f>
        <v/>
      </c>
      <c r="B112">
        <f>G26</f>
        <v/>
      </c>
      <c r="C112">
        <f>H26</f>
        <v/>
      </c>
      <c r="D112">
        <f>I26</f>
        <v/>
      </c>
      <c r="E112">
        <f>O26</f>
        <v/>
      </c>
    </row>
    <row r="113">
      <c r="A113">
        <f>IF(B25="","",TEXT(B25,"dd mmm"))</f>
        <v/>
      </c>
      <c r="B113">
        <f>G25</f>
        <v/>
      </c>
      <c r="C113">
        <f>H25</f>
        <v/>
      </c>
      <c r="D113">
        <f>I25</f>
        <v/>
      </c>
      <c r="E113">
        <f>O25</f>
        <v/>
      </c>
    </row>
    <row r="114">
      <c r="A114">
        <f>IF(B24="","",TEXT(B24,"dd mmm"))</f>
        <v/>
      </c>
      <c r="B114">
        <f>G24</f>
        <v/>
      </c>
      <c r="C114">
        <f>H24</f>
        <v/>
      </c>
      <c r="D114">
        <f>I24</f>
        <v/>
      </c>
      <c r="E114">
        <f>O24</f>
        <v/>
      </c>
    </row>
    <row r="115">
      <c r="A115">
        <f>IF(B23="","",TEXT(B23,"dd mmm"))</f>
        <v/>
      </c>
      <c r="B115">
        <f>G23</f>
        <v/>
      </c>
      <c r="C115">
        <f>H23</f>
        <v/>
      </c>
      <c r="D115">
        <f>I23</f>
        <v/>
      </c>
      <c r="E115">
        <f>O23</f>
        <v/>
      </c>
    </row>
    <row r="116">
      <c r="A116">
        <f>IF(B22="","",TEXT(B22,"dd mmm"))</f>
        <v/>
      </c>
      <c r="B116">
        <f>G22</f>
        <v/>
      </c>
      <c r="C116">
        <f>H22</f>
        <v/>
      </c>
      <c r="D116">
        <f>I22</f>
        <v/>
      </c>
      <c r="E116">
        <f>O22</f>
        <v/>
      </c>
    </row>
    <row r="117">
      <c r="A117">
        <f>IF(B21="","",TEXT(B21,"dd mmm"))</f>
        <v/>
      </c>
      <c r="B117">
        <f>G21</f>
        <v/>
      </c>
      <c r="C117">
        <f>H21</f>
        <v/>
      </c>
      <c r="D117">
        <f>I21</f>
        <v/>
      </c>
      <c r="E117">
        <f>O21</f>
        <v/>
      </c>
    </row>
    <row r="120">
      <c r="A120" t="inlineStr">
        <is>
          <t>Week</t>
        </is>
      </c>
      <c r="B120" t="inlineStr">
        <is>
          <t>Grand total</t>
        </is>
      </c>
    </row>
    <row r="121">
      <c r="A121">
        <f>IF(B72="","",TEXT(B72,"dd mmm yy"))</f>
        <v/>
      </c>
      <c r="B121">
        <f>K72</f>
        <v/>
      </c>
    </row>
    <row r="122">
      <c r="A122">
        <f>IF(B71="","",TEXT(B71,"dd mmm yy"))</f>
        <v/>
      </c>
      <c r="B122">
        <f>K71</f>
        <v/>
      </c>
    </row>
    <row r="123">
      <c r="A123">
        <f>IF(B70="","",TEXT(B70,"dd mmm yy"))</f>
        <v/>
      </c>
      <c r="B123">
        <f>K70</f>
        <v/>
      </c>
    </row>
    <row r="124">
      <c r="A124">
        <f>IF(B69="","",TEXT(B69,"dd mmm yy"))</f>
        <v/>
      </c>
      <c r="B124">
        <f>K69</f>
        <v/>
      </c>
    </row>
    <row r="125">
      <c r="A125">
        <f>IF(B68="","",TEXT(B68,"dd mmm yy"))</f>
        <v/>
      </c>
      <c r="B125">
        <f>K68</f>
        <v/>
      </c>
    </row>
    <row r="126">
      <c r="A126">
        <f>IF(B67="","",TEXT(B67,"dd mmm yy"))</f>
        <v/>
      </c>
      <c r="B126">
        <f>K67</f>
        <v/>
      </c>
    </row>
    <row r="127">
      <c r="A127">
        <f>IF(B66="","",TEXT(B66,"dd mmm yy"))</f>
        <v/>
      </c>
      <c r="B127">
        <f>K66</f>
        <v/>
      </c>
    </row>
    <row r="128">
      <c r="A128">
        <f>IF(B65="","",TEXT(B65,"dd mmm yy"))</f>
        <v/>
      </c>
      <c r="B128">
        <f>K65</f>
        <v/>
      </c>
    </row>
    <row r="129">
      <c r="A129">
        <f>IF(B64="","",TEXT(B64,"dd mmm yy"))</f>
        <v/>
      </c>
      <c r="B129">
        <f>K64</f>
        <v/>
      </c>
    </row>
    <row r="130">
      <c r="A130">
        <f>IF(B63="","",TEXT(B63,"dd mmm yy"))</f>
        <v/>
      </c>
      <c r="B130">
        <f>K63</f>
        <v/>
      </c>
    </row>
    <row r="131">
      <c r="A131">
        <f>IF(B62="","",TEXT(B62,"dd mmm yy"))</f>
        <v/>
      </c>
      <c r="B131">
        <f>K62</f>
        <v/>
      </c>
    </row>
    <row r="132">
      <c r="A132">
        <f>IF(B61="","",TEXT(B61,"dd mmm yy"))</f>
        <v/>
      </c>
      <c r="B132">
        <f>K61</f>
        <v/>
      </c>
    </row>
    <row r="133">
      <c r="A133">
        <f>IF(B60="","",TEXT(B60,"dd mmm yy"))</f>
        <v/>
      </c>
      <c r="B133">
        <f>K60</f>
        <v/>
      </c>
    </row>
    <row r="134">
      <c r="A134">
        <f>IF(B59="","",TEXT(B59,"dd mmm yy"))</f>
        <v/>
      </c>
      <c r="B134">
        <f>K59</f>
        <v/>
      </c>
    </row>
    <row r="135">
      <c r="A135">
        <f>IF(B58="","",TEXT(B58,"dd mmm yy"))</f>
        <v/>
      </c>
      <c r="B135">
        <f>K58</f>
        <v/>
      </c>
    </row>
    <row r="136">
      <c r="A136">
        <f>IF(B57="","",TEXT(B57,"dd mmm yy"))</f>
        <v/>
      </c>
      <c r="B136">
        <f>K57</f>
        <v/>
      </c>
    </row>
    <row r="137">
      <c r="A137">
        <f>IF(B56="","",TEXT(B56,"dd mmm yy"))</f>
        <v/>
      </c>
      <c r="B137">
        <f>K56</f>
        <v/>
      </c>
    </row>
    <row r="138">
      <c r="A138">
        <f>IF(B55="","",TEXT(B55,"dd mmm yy"))</f>
        <v/>
      </c>
      <c r="B138">
        <f>K55</f>
        <v/>
      </c>
    </row>
    <row r="139">
      <c r="A139">
        <f>IF(B54="","",TEXT(B54,"dd mmm yy"))</f>
        <v/>
      </c>
      <c r="B139">
        <f>K54</f>
        <v/>
      </c>
    </row>
    <row r="140">
      <c r="A140">
        <f>IF(B53="","",TEXT(B53,"dd mmm yy"))</f>
        <v/>
      </c>
      <c r="B140">
        <f>K53</f>
        <v/>
      </c>
    </row>
    <row r="141">
      <c r="A141">
        <f>IF(B52="","",TEXT(B52,"dd mmm yy"))</f>
        <v/>
      </c>
      <c r="B141">
        <f>K52</f>
        <v/>
      </c>
    </row>
    <row r="142">
      <c r="A142">
        <f>IF(B51="","",TEXT(B51,"dd mmm yy"))</f>
        <v/>
      </c>
      <c r="B142">
        <f>K51</f>
        <v/>
      </c>
    </row>
    <row r="143">
      <c r="A143">
        <f>IF(B50="","",TEXT(B50,"dd mmm yy"))</f>
        <v/>
      </c>
      <c r="B143">
        <f>K50</f>
        <v/>
      </c>
    </row>
    <row r="144">
      <c r="A144">
        <f>IF(B49="","",TEXT(B49,"dd mmm yy"))</f>
        <v/>
      </c>
      <c r="B144">
        <f>K49</f>
        <v/>
      </c>
    </row>
    <row r="145">
      <c r="A145">
        <f>IF(B48="","",TEXT(B48,"dd mmm yy"))</f>
        <v/>
      </c>
      <c r="B145">
        <f>K48</f>
        <v/>
      </c>
    </row>
    <row r="146">
      <c r="A146">
        <f>IF(B47="","",TEXT(B47,"dd mmm yy"))</f>
        <v/>
      </c>
      <c r="B146">
        <f>K47</f>
        <v/>
      </c>
    </row>
    <row r="147">
      <c r="A147">
        <f>IF(B46="","",TEXT(B46,"dd mmm yy"))</f>
        <v/>
      </c>
      <c r="B147">
        <f>K46</f>
        <v/>
      </c>
    </row>
    <row r="148">
      <c r="A148">
        <f>IF(B45="","",TEXT(B45,"dd mmm yy"))</f>
        <v/>
      </c>
      <c r="B148">
        <f>K45</f>
        <v/>
      </c>
    </row>
    <row r="149">
      <c r="A149">
        <f>IF(B44="","",TEXT(B44,"dd mmm yy"))</f>
        <v/>
      </c>
      <c r="B149">
        <f>K44</f>
        <v/>
      </c>
    </row>
    <row r="150">
      <c r="A150">
        <f>IF(B43="","",TEXT(B43,"dd mmm yy"))</f>
        <v/>
      </c>
      <c r="B150">
        <f>K43</f>
        <v/>
      </c>
    </row>
    <row r="151">
      <c r="A151">
        <f>IF(B42="","",TEXT(B42,"dd mmm yy"))</f>
        <v/>
      </c>
      <c r="B151">
        <f>K42</f>
        <v/>
      </c>
    </row>
    <row r="152">
      <c r="A152">
        <f>IF(B41="","",TEXT(B41,"dd mmm yy"))</f>
        <v/>
      </c>
      <c r="B152">
        <f>K41</f>
        <v/>
      </c>
    </row>
    <row r="153">
      <c r="A153">
        <f>IF(B40="","",TEXT(B40,"dd mmm yy"))</f>
        <v/>
      </c>
      <c r="B153">
        <f>K40</f>
        <v/>
      </c>
    </row>
    <row r="154">
      <c r="A154">
        <f>IF(B39="","",TEXT(B39,"dd mmm yy"))</f>
        <v/>
      </c>
      <c r="B154">
        <f>K39</f>
        <v/>
      </c>
    </row>
    <row r="155">
      <c r="A155">
        <f>IF(B38="","",TEXT(B38,"dd mmm yy"))</f>
        <v/>
      </c>
      <c r="B155">
        <f>K38</f>
        <v/>
      </c>
    </row>
    <row r="156">
      <c r="A156">
        <f>IF(B37="","",TEXT(B37,"dd mmm yy"))</f>
        <v/>
      </c>
      <c r="B156">
        <f>K37</f>
        <v/>
      </c>
    </row>
    <row r="157">
      <c r="A157">
        <f>IF(B36="","",TEXT(B36,"dd mmm yy"))</f>
        <v/>
      </c>
      <c r="B157">
        <f>K36</f>
        <v/>
      </c>
    </row>
    <row r="158">
      <c r="A158">
        <f>IF(B35="","",TEXT(B35,"dd mmm yy"))</f>
        <v/>
      </c>
      <c r="B158">
        <f>K35</f>
        <v/>
      </c>
    </row>
    <row r="159">
      <c r="A159">
        <f>IF(B34="","",TEXT(B34,"dd mmm yy"))</f>
        <v/>
      </c>
      <c r="B159">
        <f>K34</f>
        <v/>
      </c>
    </row>
    <row r="160">
      <c r="A160">
        <f>IF(B33="","",TEXT(B33,"dd mmm yy"))</f>
        <v/>
      </c>
      <c r="B160">
        <f>K33</f>
        <v/>
      </c>
    </row>
    <row r="161">
      <c r="A161">
        <f>IF(B32="","",TEXT(B32,"dd mmm yy"))</f>
        <v/>
      </c>
      <c r="B161">
        <f>K32</f>
        <v/>
      </c>
    </row>
    <row r="162">
      <c r="A162">
        <f>IF(B31="","",TEXT(B31,"dd mmm yy"))</f>
        <v/>
      </c>
      <c r="B162">
        <f>K31</f>
        <v/>
      </c>
    </row>
    <row r="163">
      <c r="A163">
        <f>IF(B30="","",TEXT(B30,"dd mmm yy"))</f>
        <v/>
      </c>
      <c r="B163">
        <f>K30</f>
        <v/>
      </c>
    </row>
    <row r="164">
      <c r="A164">
        <f>IF(B29="","",TEXT(B29,"dd mmm yy"))</f>
        <v/>
      </c>
      <c r="B164">
        <f>K29</f>
        <v/>
      </c>
    </row>
    <row r="165">
      <c r="A165">
        <f>IF(B28="","",TEXT(B28,"dd mmm yy"))</f>
        <v/>
      </c>
      <c r="B165">
        <f>K28</f>
        <v/>
      </c>
    </row>
    <row r="166">
      <c r="A166">
        <f>IF(B27="","",TEXT(B27,"dd mmm yy"))</f>
        <v/>
      </c>
      <c r="B166">
        <f>K27</f>
        <v/>
      </c>
    </row>
    <row r="167">
      <c r="A167">
        <f>IF(B26="","",TEXT(B26,"dd mmm yy"))</f>
        <v/>
      </c>
      <c r="B167">
        <f>K26</f>
        <v/>
      </c>
    </row>
    <row r="168">
      <c r="A168">
        <f>IF(B25="","",TEXT(B25,"dd mmm yy"))</f>
        <v/>
      </c>
      <c r="B168">
        <f>K25</f>
        <v/>
      </c>
    </row>
    <row r="169">
      <c r="A169">
        <f>IF(B24="","",TEXT(B24,"dd mmm yy"))</f>
        <v/>
      </c>
      <c r="B169">
        <f>K24</f>
        <v/>
      </c>
    </row>
    <row r="170">
      <c r="A170">
        <f>IF(B23="","",TEXT(B23,"dd mmm yy"))</f>
        <v/>
      </c>
      <c r="B170">
        <f>K23</f>
        <v/>
      </c>
    </row>
    <row r="171">
      <c r="A171">
        <f>IF(B22="","",TEXT(B22,"dd mmm yy"))</f>
        <v/>
      </c>
      <c r="B171">
        <f>K22</f>
        <v/>
      </c>
    </row>
    <row r="172">
      <c r="A172">
        <f>IF(B21="","",TEXT(B21,"dd mmm yy"))</f>
        <v/>
      </c>
      <c r="B172">
        <f>K21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2026-09-28T10:46:03Z</dcterms:created>
  <dcterms:modified xsi:type="dcterms:W3CDTF">2026-09-28T10:46:03Z</dcterms:modified>
</cp:coreProperties>
</file>