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" sheetId="16" state="visible" r:id="rId16"/>
    <sheet name="DATA_TRANSPORT_COSTS" sheetId="17" state="visible" r:id="rId17"/>
    <sheet name="DATA_TRANSPORT_BUDGET" sheetId="18" state="visible" r:id="rId18"/>
    <sheet name="DATA_SERVICE_AREAS" sheetId="19" state="visible" r:id="rId19"/>
    <sheet name="MASTER_AREAS" sheetId="20" state="visible" r:id="rId20"/>
    <sheet name="MASTER_ZONES" sheetId="21" state="visible" r:id="rId21"/>
    <sheet name="MASTER_CELLS" sheetId="22" state="visible" r:id="rId22"/>
    <sheet name="MASTER_COMMUNITY" sheetId="23" state="visible" r:id="rId23"/>
    <sheet name="MASTER_FLEET" sheetId="24" state="visible" r:id="rId24"/>
    <sheet name="CALENDAR" sheetId="25" state="hidden" r:id="rId25"/>
    <sheet name="SETTINGS" sheetId="26" state="hidden" r:id="rId26"/>
    <sheet name="CALC_LISTS" sheetId="27" state="hidden" r:id="rId27"/>
    <sheet name="CALC_SEARCH" sheetId="28" state="hidden" r:id="rId28"/>
    <sheet name="CALC_WSF" sheetId="29" state="hidden" r:id="rId29"/>
    <sheet name="CALC_TRANSPORT" sheetId="30" state="hidden" r:id="rId30"/>
    <sheet name="CALC_MIDWEEK" sheetId="31" state="hidden" r:id="rId31"/>
    <sheet name="CALC_CHOP" sheetId="32" state="hidden" r:id="rId32"/>
    <sheet name="CALC_COMMUNITY" sheetId="33" state="hidden" r:id="rId33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ExcessShare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TRANSPORT_SelectList">OFFSET(CALC_SEARCH!$H$2,0,0,MAX(1,MIN(250,CALC_SEARCH!$I$2)),1)</definedName>
    <definedName name="TRANSPORT_WeekList">OFFSET(CALC_LISTS!$C$1,0,0,1+CALC_LISTS!$D$6,1)</definedName>
    <definedName name="MIDWEEK_SelectList">OFFSET(CALC_SEARCH!$M$2,0,0,MAX(1,MIN(250,CALC_SEARCH!$N$2)),1)</definedName>
    <definedName name="MIDWEEK_WeekList">OFFSET(CALC_LISTS!$E$1,0,0,1+CALC_LISTS!$F$6,1)</definedName>
    <definedName name="CHOP_SelectList">OFFSET(CALC_SEARCH!$R$2,0,0,MAX(1,MIN(250,CALC_SEARCH!$S$2)),1)</definedName>
    <definedName name="CHOP_WeekList">OFFSET(CALC_LISTS!$G$1,0,0,1+CALC_LISTS!$H$6,1)</definedName>
    <definedName name="COMMUNITY_SelectList">OFFSET(CALC_SEARCH!$W$2,0,0,MAX(1,MIN(250,CALC_SEARCH!$X$2)),1)</definedName>
    <definedName name="COMMUNITY_WeekList">OFFSET(CALC_LISTS!$I$1,0,0,1+CALC_LISTS!$J$6,1)</definedName>
    <definedName name="_xlnm.Print_Titles" localSheetId="2">'WSF DASHBOARD'!$1:$5</definedName>
    <definedName name="_xlnm.Print_Area" localSheetId="2">'WSF DASHBOARD'!$A$1:$P$110</definedName>
    <definedName name="_xlnm.Print_Titles" localSheetId="3">'MIDWEEK DASHBOARD'!$1:$5</definedName>
    <definedName name="_xlnm.Print_Area" localSheetId="3">'MIDWEEK DASHBOARD'!$A$1:$P$113</definedName>
    <definedName name="_xlnm.Print_Titles" localSheetId="4">'CHOP DASHBOARD'!$1:$5</definedName>
    <definedName name="_xlnm.Print_Area" localSheetId="4">'CHOP DASHBOARD'!$A$1:$P$113</definedName>
    <definedName name="_xlnm.Print_Titles" localSheetId="5">'COMMUNITY CHURCH DASHBOARD'!$1:$5</definedName>
    <definedName name="_xlnm.Print_Area" localSheetId="5">'COMMUNITY CHURCH DASHBOARD'!$A$1:$P$147</definedName>
    <definedName name="_xlnm.Print_Titles" localSheetId="6">'TRANSPORT DASHBOARD'!$1:$5</definedName>
    <definedName name="_xlnm.Print_Area" localSheetId="6">'TRANSPORT DASHBOARD'!$A$1:$P$116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  <numFmt numFmtId="175" formatCode="&quot;₦&quot;#,##0.00"/>
    <numFmt numFmtId="176" formatCode="+&quot;₦&quot;#,##0;-&quot;₦&quot;#,##0;&quot;₦&quot;0"/>
    <numFmt numFmtId="177" formatCode="+&quot;₦&quot;#,##0.00;-&quot;₦&quot;#,##0.00;&quot;₦&quot;0.00"/>
    <numFmt numFmtId="178" formatCode="0.00&quot; of 2&quot;"/>
  </numFmts>
  <fonts count="67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F3D5BA"/>
      <sz val="9"/>
    </font>
    <font>
      <name val="Arial"/>
      <b val="1"/>
      <color rgb="00E29653"/>
      <sz val="8"/>
    </font>
    <font>
      <name val="Arial"/>
      <i val="1"/>
      <color rgb="00E08F47"/>
      <sz val="9"/>
    </font>
    <font>
      <name val="Arial"/>
      <b val="1"/>
      <color rgb="00DE883C"/>
      <sz val="8"/>
    </font>
    <font>
      <name val="Arial"/>
      <b val="1"/>
      <color rgb="00D9731A"/>
      <sz val="18"/>
    </font>
    <font>
      <name val="Arial"/>
      <b val="1"/>
      <color rgb="00D9731A"/>
      <sz val="12"/>
    </font>
    <font>
      <name val="Arial"/>
      <i val="1"/>
      <color rgb="001F2933"/>
      <sz val="9"/>
    </font>
    <font>
      <name val="Arial"/>
      <color rgb="00A61B1B"/>
      <sz val="9"/>
    </font>
    <font>
      <name val="Arial"/>
      <color rgb="00B7D7D5"/>
      <sz val="9"/>
    </font>
    <font>
      <name val="Arial"/>
      <b val="1"/>
      <color rgb="004B9C96"/>
      <sz val="8"/>
    </font>
    <font>
      <name val="Arial"/>
      <i val="1"/>
      <color rgb="003F968F"/>
      <sz val="9"/>
    </font>
    <font>
      <name val="Arial"/>
      <b val="1"/>
      <color rgb="00338F88"/>
      <sz val="8"/>
    </font>
    <font>
      <name val="Arial"/>
      <b val="1"/>
      <color rgb="000F7C74"/>
      <sz val="20"/>
    </font>
    <font>
      <name val="Arial"/>
      <b val="1"/>
      <color rgb="000F7C74"/>
      <sz val="12"/>
    </font>
    <font>
      <name val="Arial"/>
      <b val="1"/>
      <color rgb="000F7C74"/>
      <sz val="9"/>
    </font>
    <font>
      <name val="Arial"/>
      <color rgb="00D2C5E2"/>
      <sz val="9"/>
    </font>
    <font>
      <name val="Arial"/>
      <b val="1"/>
      <color rgb="008F6FB7"/>
      <sz val="8"/>
    </font>
    <font>
      <name val="Arial"/>
      <i val="1"/>
      <color rgb="008765B3"/>
      <sz val="9"/>
    </font>
    <font>
      <name val="Arial"/>
      <b val="1"/>
      <color rgb="00805BAE"/>
      <sz val="8"/>
    </font>
    <font>
      <name val="Arial"/>
      <b val="1"/>
      <color rgb="006A3FA0"/>
      <sz val="20"/>
    </font>
    <font>
      <name val="Arial"/>
      <b val="1"/>
      <color rgb="006A3FA0"/>
      <sz val="12"/>
    </font>
    <font>
      <name val="Arial"/>
      <b val="1"/>
      <color rgb="006A3FA0"/>
      <sz val="9"/>
    </font>
    <font>
      <name val="Arial"/>
      <color rgb="00E8C6D3"/>
      <sz val="9"/>
    </font>
    <font>
      <name val="Arial"/>
      <b val="1"/>
      <color rgb="00C77292"/>
      <sz val="8"/>
    </font>
    <font>
      <name val="Arial"/>
      <i val="1"/>
      <color rgb="00C3698B"/>
      <sz val="9"/>
    </font>
    <font>
      <name val="Arial"/>
      <b val="1"/>
      <color rgb="00C06083"/>
      <sz val="8"/>
    </font>
    <font>
      <name val="Arial"/>
      <b val="1"/>
      <color rgb="00B5446E"/>
      <sz val="20"/>
    </font>
    <font>
      <name val="Arial"/>
      <b val="1"/>
      <color rgb="00B5446E"/>
      <sz val="12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34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BF1E8"/>
        <bgColor rgb="00FBF1E8"/>
      </patternFill>
    </fill>
    <fill>
      <patternFill patternType="solid">
        <fgColor rgb="00F7E3D1"/>
        <bgColor rgb="00F7E3D1"/>
      </patternFill>
    </fill>
    <fill>
      <patternFill patternType="solid">
        <fgColor rgb="00FBF3EC"/>
        <bgColor rgb="00FBF3EC"/>
      </patternFill>
    </fill>
    <fill>
      <patternFill patternType="solid">
        <fgColor rgb="00FCF5EE"/>
        <bgColor rgb="00FCF5EE"/>
      </patternFill>
    </fill>
    <fill>
      <patternFill patternType="solid">
        <fgColor rgb="00FDFAF8"/>
        <bgColor rgb="00FDFAF8"/>
      </patternFill>
    </fill>
    <fill>
      <patternFill patternType="solid">
        <fgColor rgb="00FDF8F3"/>
        <bgColor rgb="00FDF8F3"/>
      </patternFill>
    </fill>
    <fill>
      <patternFill patternType="solid">
        <fgColor rgb="00E7F1F1"/>
        <bgColor rgb="00E7F1F1"/>
      </patternFill>
    </fill>
    <fill>
      <patternFill patternType="solid">
        <fgColor rgb="00CFE4E3"/>
        <bgColor rgb="00CFE4E3"/>
      </patternFill>
    </fill>
    <fill>
      <patternFill patternType="solid">
        <fgColor rgb="00EBF4F3"/>
        <bgColor rgb="00EBF4F3"/>
      </patternFill>
    </fill>
    <fill>
      <patternFill patternType="solid">
        <fgColor rgb="00F3F8F8"/>
        <bgColor rgb="00F3F8F8"/>
      </patternFill>
    </fill>
    <fill>
      <patternFill patternType="solid">
        <fgColor rgb="00F0EBF5"/>
        <bgColor rgb="00F0EBF5"/>
      </patternFill>
    </fill>
    <fill>
      <patternFill patternType="solid">
        <fgColor rgb="00E1D8EC"/>
        <bgColor rgb="00E1D8EC"/>
      </patternFill>
    </fill>
    <fill>
      <patternFill patternType="solid">
        <fgColor rgb="00F3EFF7"/>
        <bgColor rgb="00F3EFF7"/>
      </patternFill>
    </fill>
    <fill>
      <patternFill patternType="solid">
        <fgColor rgb="00F7F5FA"/>
        <bgColor rgb="00F7F5FA"/>
      </patternFill>
    </fill>
    <fill>
      <patternFill patternType="solid">
        <fgColor rgb="00F7ECF0"/>
        <bgColor rgb="00F7ECF0"/>
      </patternFill>
    </fill>
    <fill>
      <patternFill patternType="solid">
        <fgColor rgb="00F0D9E2"/>
        <bgColor rgb="00F0D9E2"/>
      </patternFill>
    </fill>
    <fill>
      <patternFill patternType="solid">
        <fgColor rgb="00F9F0F3"/>
        <bgColor rgb="00F9F0F3"/>
      </patternFill>
    </fill>
    <fill>
      <patternFill patternType="solid">
        <fgColor rgb="00FBF5F7"/>
        <bgColor rgb="00FBF5F7"/>
      </patternFill>
    </fill>
    <fill>
      <patternFill patternType="solid">
        <fgColor rgb="00FFF1CC"/>
        <bgColor rgb="00FFF1CC"/>
      </patternFill>
    </fill>
  </fills>
  <borders count="40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left style="thick">
        <color rgb="00FFFFFF"/>
      </left>
      <top style="thick">
        <color rgb="00D9731A"/>
      </top>
    </border>
    <border>
      <right style="thick">
        <color rgb="00FFFFFF"/>
      </right>
      <top style="thick">
        <color rgb="00D9731A"/>
      </top>
    </border>
    <border>
      <left style="thick">
        <color rgb="00FFFFFF"/>
      </left>
      <right style="thick">
        <color rgb="00FFFFFF"/>
      </right>
      <top style="thick">
        <color rgb="00D9731A"/>
      </top>
    </border>
    <border>
      <left/>
      <right/>
      <top style="thick">
        <color rgb="00D9731A"/>
      </top>
      <bottom/>
      <diagonal/>
    </border>
    <border>
      <left/>
      <right style="thick">
        <color rgb="00FFFFFF"/>
      </right>
      <top style="thick">
        <color rgb="00D9731A"/>
      </top>
      <bottom/>
      <diagonal/>
    </border>
    <border>
      <bottom style="medium">
        <color rgb="00D9731A"/>
      </bottom>
    </border>
    <border>
      <top style="thin">
        <color rgb="00D9731A"/>
      </top>
      <bottom style="thin">
        <color rgb="00D5DAE1"/>
      </bottom>
    </border>
    <border>
      <left style="thick">
        <color rgb="00FFFFFF"/>
      </left>
      <top style="thick">
        <color rgb="000F7C74"/>
      </top>
    </border>
    <border>
      <right style="thick">
        <color rgb="00FFFFFF"/>
      </right>
      <top style="thick">
        <color rgb="000F7C74"/>
      </top>
    </border>
    <border>
      <left style="thick">
        <color rgb="00FFFFFF"/>
      </left>
      <right style="thick">
        <color rgb="00FFFFFF"/>
      </right>
      <top style="thick">
        <color rgb="000F7C74"/>
      </top>
    </border>
    <border>
      <left/>
      <right/>
      <top style="thick">
        <color rgb="000F7C74"/>
      </top>
      <bottom/>
      <diagonal/>
    </border>
    <border>
      <left/>
      <right style="thick">
        <color rgb="00FFFFFF"/>
      </right>
      <top style="thick">
        <color rgb="000F7C74"/>
      </top>
      <bottom/>
      <diagonal/>
    </border>
    <border>
      <bottom style="medium">
        <color rgb="000F7C74"/>
      </bottom>
    </border>
    <border>
      <left style="thick">
        <color rgb="00FFFFFF"/>
      </left>
      <top style="thick">
        <color rgb="006A3FA0"/>
      </top>
    </border>
    <border>
      <right style="thick">
        <color rgb="00FFFFFF"/>
      </right>
      <top style="thick">
        <color rgb="006A3FA0"/>
      </top>
    </border>
    <border>
      <left style="thick">
        <color rgb="00FFFFFF"/>
      </left>
      <right style="thick">
        <color rgb="00FFFFFF"/>
      </right>
      <top style="thick">
        <color rgb="006A3FA0"/>
      </top>
    </border>
    <border>
      <left/>
      <right/>
      <top style="thick">
        <color rgb="006A3FA0"/>
      </top>
      <bottom/>
      <diagonal/>
    </border>
    <border>
      <left/>
      <right style="thick">
        <color rgb="00FFFFFF"/>
      </right>
      <top style="thick">
        <color rgb="006A3FA0"/>
      </top>
      <bottom/>
      <diagonal/>
    </border>
    <border>
      <bottom style="medium">
        <color rgb="006A3FA0"/>
      </bottom>
    </border>
    <border>
      <left style="thick">
        <color rgb="00FFFFFF"/>
      </left>
      <top style="thick">
        <color rgb="00B5446E"/>
      </top>
    </border>
    <border>
      <right style="thick">
        <color rgb="00FFFFFF"/>
      </right>
      <top style="thick">
        <color rgb="00B5446E"/>
      </top>
    </border>
    <border>
      <left style="thick">
        <color rgb="00FFFFFF"/>
      </left>
      <right style="thick">
        <color rgb="00FFFFFF"/>
      </right>
      <top style="thick">
        <color rgb="00B5446E"/>
      </top>
    </border>
    <border>
      <left/>
      <right/>
      <top style="thick">
        <color rgb="00B5446E"/>
      </top>
      <bottom/>
      <diagonal/>
    </border>
    <border>
      <left/>
      <right style="thick">
        <color rgb="00FFFFFF"/>
      </right>
      <top style="thick">
        <color rgb="00B5446E"/>
      </top>
      <bottom/>
      <diagonal/>
    </border>
    <border>
      <bottom style="medium">
        <color rgb="00B5446E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52" fillId="2" borderId="0" applyAlignment="1" pivotButton="0" quotePrefix="0" xfId="0">
      <alignment horizontal="left" vertical="center"/>
    </xf>
    <xf numFmtId="0" fontId="56" fillId="0" borderId="39" applyAlignment="1" pivotButton="0" quotePrefix="0" xfId="0">
      <alignment horizontal="left" vertical="center"/>
    </xf>
    <xf numFmtId="0" fontId="0" fillId="0" borderId="39" pivotButton="0" quotePrefix="0" xfId="0"/>
    <xf numFmtId="0" fontId="57" fillId="2" borderId="0" applyAlignment="1" pivotButton="0" quotePrefix="0" xfId="0">
      <alignment horizontal="center" vertical="center" wrapText="1"/>
    </xf>
    <xf numFmtId="0" fontId="57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8" fillId="2" borderId="0" applyAlignment="1" pivotButton="0" quotePrefix="0" xfId="0">
      <alignment horizontal="center" vertical="center" wrapText="1"/>
    </xf>
    <xf numFmtId="0" fontId="59" fillId="4" borderId="0" applyAlignment="1" pivotButton="0" quotePrefix="0" xfId="0">
      <alignment horizontal="center" vertical="center" wrapText="1"/>
    </xf>
    <xf numFmtId="0" fontId="60" fillId="5" borderId="0" applyAlignment="1" pivotButton="0" quotePrefix="0" xfId="0">
      <alignment horizontal="center" vertical="center" wrapText="1"/>
    </xf>
    <xf numFmtId="0" fontId="57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7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5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61" fillId="6" borderId="0" applyAlignment="1" pivotButton="0" quotePrefix="0" xfId="0">
      <alignment horizontal="center" vertical="center" wrapText="1"/>
    </xf>
    <xf numFmtId="0" fontId="62" fillId="7" borderId="0" applyAlignment="1" pivotButton="0" quotePrefix="0" xfId="0">
      <alignment horizontal="center" vertical="center" wrapText="1"/>
    </xf>
    <xf numFmtId="0" fontId="63" fillId="8" borderId="0" applyAlignment="1" pivotButton="0" quotePrefix="0" xfId="0">
      <alignment horizontal="center" vertical="center" wrapText="1"/>
    </xf>
    <xf numFmtId="0" fontId="57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64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65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66" fillId="33" borderId="0" applyAlignment="1" pivotButton="0" quotePrefix="0" xfId="0">
      <alignment horizontal="left" vertical="top" wrapText="1"/>
    </xf>
    <xf numFmtId="0" fontId="0" fillId="33" borderId="0" pivotButton="0" quotePrefix="0" xfId="0"/>
    <xf numFmtId="0" fontId="53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3" fontId="20" fillId="14" borderId="0" pivotButton="0" quotePrefix="0" xfId="0"/>
    <xf numFmtId="3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32" fillId="5" borderId="0" applyAlignment="1" pivotButton="0" quotePrefix="0" xfId="0">
      <alignment horizontal="left" vertical="center"/>
    </xf>
    <xf numFmtId="0" fontId="33" fillId="21" borderId="0" applyAlignment="1" pivotButton="0" quotePrefix="0" xfId="0">
      <alignment horizontal="left" vertical="center"/>
    </xf>
    <xf numFmtId="0" fontId="8" fillId="22" borderId="1" applyAlignment="1" pivotButton="0" quotePrefix="0" xfId="0">
      <alignment horizontal="center" vertical="center" wrapText="1"/>
    </xf>
    <xf numFmtId="0" fontId="4" fillId="21" borderId="0" applyAlignment="1" pivotButton="0" quotePrefix="0" xfId="0">
      <alignment horizontal="left" vertical="center"/>
    </xf>
    <xf numFmtId="0" fontId="34" fillId="21" borderId="0" applyAlignment="1" pivotButton="0" quotePrefix="0" xfId="0">
      <alignment horizontal="left" vertical="center"/>
    </xf>
    <xf numFmtId="0" fontId="35" fillId="23" borderId="22" applyAlignment="1" pivotButton="0" quotePrefix="0" xfId="0">
      <alignment horizontal="center" vertical="center" wrapText="1"/>
    </xf>
    <xf numFmtId="0" fontId="0" fillId="0" borderId="24" pivotButton="0" quotePrefix="0" xfId="0"/>
    <xf numFmtId="3" fontId="36" fillId="23" borderId="9" applyAlignment="1" pivotButton="0" quotePrefix="0" xfId="0">
      <alignment horizontal="center" vertical="center" wrapText="1"/>
    </xf>
    <xf numFmtId="164" fontId="36" fillId="23" borderId="9" applyAlignment="1" pivotButton="0" quotePrefix="0" xfId="0">
      <alignment horizontal="center" vertical="center" wrapText="1"/>
    </xf>
    <xf numFmtId="168" fontId="36" fillId="23" borderId="9" applyAlignment="1" pivotButton="0" quotePrefix="0" xfId="0">
      <alignment horizontal="center" vertical="center" wrapText="1"/>
    </xf>
    <xf numFmtId="0" fontId="16" fillId="23" borderId="9" applyAlignment="1" pivotButton="0" quotePrefix="0" xfId="0">
      <alignment horizontal="center" vertical="center" wrapText="1"/>
    </xf>
    <xf numFmtId="0" fontId="17" fillId="23" borderId="9" applyAlignment="1" pivotButton="0" quotePrefix="0" xfId="0">
      <alignment horizontal="center" vertical="center" wrapText="1"/>
    </xf>
    <xf numFmtId="0" fontId="37" fillId="0" borderId="25" applyAlignment="1" pivotButton="0" quotePrefix="0" xfId="0">
      <alignment horizontal="left" vertical="center"/>
    </xf>
    <xf numFmtId="0" fontId="0" fillId="0" borderId="25" pivotButton="0" quotePrefix="0" xfId="0"/>
    <xf numFmtId="0" fontId="19" fillId="5" borderId="0" applyAlignment="1" pivotButton="0" quotePrefix="0" xfId="0">
      <alignment horizontal="left" vertical="center"/>
    </xf>
    <xf numFmtId="0" fontId="19" fillId="5" borderId="0" applyAlignment="1" pivotButton="0" quotePrefix="0" xfId="0">
      <alignment horizontal="center" vertical="center" wrapText="1"/>
    </xf>
    <xf numFmtId="0" fontId="9" fillId="24" borderId="0" applyAlignment="1" pivotButton="0" quotePrefix="0" xfId="0">
      <alignment horizontal="left" vertical="center"/>
    </xf>
    <xf numFmtId="0" fontId="0" fillId="24" borderId="0" pivotButton="0" quotePrefix="0" xfId="0"/>
    <xf numFmtId="3" fontId="9" fillId="24" borderId="0" applyAlignment="1" pivotButton="0" quotePrefix="0" xfId="0">
      <alignment horizontal="right" vertical="center"/>
    </xf>
    <xf numFmtId="3" fontId="20" fillId="24" borderId="0" applyAlignment="1" pivotButton="0" quotePrefix="0" xfId="0">
      <alignment horizontal="right" vertical="center"/>
    </xf>
    <xf numFmtId="169" fontId="20" fillId="24" borderId="0" applyAlignment="1" pivotButton="0" quotePrefix="0" xfId="0">
      <alignment horizontal="right" vertical="center"/>
    </xf>
    <xf numFmtId="170" fontId="20" fillId="24" borderId="0" applyAlignment="1" pivotButton="0" quotePrefix="0" xfId="0">
      <alignment horizontal="right" vertical="center"/>
    </xf>
    <xf numFmtId="0" fontId="20" fillId="24" borderId="0" applyAlignment="1" pivotButton="0" quotePrefix="0" xfId="0">
      <alignment horizontal="left" vertical="center"/>
    </xf>
    <xf numFmtId="164" fontId="9" fillId="24" borderId="0" applyAlignment="1" pivotButton="0" quotePrefix="0" xfId="0">
      <alignment horizontal="right" vertical="center"/>
    </xf>
    <xf numFmtId="164" fontId="20" fillId="24" borderId="0" applyAlignment="1" pivotButton="0" quotePrefix="0" xfId="0">
      <alignment horizontal="right" vertical="center"/>
    </xf>
    <xf numFmtId="171" fontId="20" fillId="24" borderId="0" applyAlignment="1" pivotButton="0" quotePrefix="0" xfId="0">
      <alignment horizontal="right" vertical="center"/>
    </xf>
    <xf numFmtId="168" fontId="9" fillId="24" borderId="0" applyAlignment="1" pivotButton="0" quotePrefix="0" xfId="0">
      <alignment horizontal="right" vertical="center"/>
    </xf>
    <xf numFmtId="168" fontId="20" fillId="24" borderId="0" applyAlignment="1" pivotButton="0" quotePrefix="0" xfId="0">
      <alignment horizontal="right" vertical="center"/>
    </xf>
    <xf numFmtId="174" fontId="20" fillId="24" borderId="0" applyAlignment="1" pivotButton="0" quotePrefix="0" xfId="0">
      <alignment horizontal="right" vertical="center"/>
    </xf>
    <xf numFmtId="0" fontId="21" fillId="0" borderId="25" applyAlignment="1" pivotButton="0" quotePrefix="0" xfId="0">
      <alignment horizontal="right" vertical="center"/>
    </xf>
    <xf numFmtId="0" fontId="38" fillId="0" borderId="0" applyAlignment="1" pivotButton="0" quotePrefix="0" xfId="0">
      <alignment horizontal="right" vertical="center"/>
    </xf>
    <xf numFmtId="0" fontId="20" fillId="24" borderId="0" pivotButton="0" quotePrefix="0" xfId="0"/>
    <xf numFmtId="3" fontId="20" fillId="24" borderId="0" pivotButton="0" quotePrefix="0" xfId="0"/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39" fillId="6" borderId="0" applyAlignment="1" pivotButton="0" quotePrefix="0" xfId="0">
      <alignment horizontal="left" vertical="center"/>
    </xf>
    <xf numFmtId="0" fontId="40" fillId="25" borderId="0" applyAlignment="1" pivotButton="0" quotePrefix="0" xfId="0">
      <alignment horizontal="left" vertical="center"/>
    </xf>
    <xf numFmtId="0" fontId="8" fillId="26" borderId="1" applyAlignment="1" pivotButton="0" quotePrefix="0" xfId="0">
      <alignment horizontal="center" vertical="center" wrapText="1"/>
    </xf>
    <xf numFmtId="0" fontId="4" fillId="25" borderId="0" applyAlignment="1" pivotButton="0" quotePrefix="0" xfId="0">
      <alignment horizontal="left" vertical="center"/>
    </xf>
    <xf numFmtId="0" fontId="41" fillId="25" borderId="0" applyAlignment="1" pivotButton="0" quotePrefix="0" xfId="0">
      <alignment horizontal="left" vertical="center"/>
    </xf>
    <xf numFmtId="0" fontId="42" fillId="27" borderId="28" applyAlignment="1" pivotButton="0" quotePrefix="0" xfId="0">
      <alignment horizontal="center" vertical="center" wrapText="1"/>
    </xf>
    <xf numFmtId="0" fontId="0" fillId="0" borderId="30" pivotButton="0" quotePrefix="0" xfId="0"/>
    <xf numFmtId="3" fontId="43" fillId="27" borderId="9" applyAlignment="1" pivotButton="0" quotePrefix="0" xfId="0">
      <alignment horizontal="center" vertical="center" wrapText="1"/>
    </xf>
    <xf numFmtId="164" fontId="43" fillId="27" borderId="9" applyAlignment="1" pivotButton="0" quotePrefix="0" xfId="0">
      <alignment horizontal="center" vertical="center" wrapText="1"/>
    </xf>
    <xf numFmtId="168" fontId="43" fillId="27" borderId="9" applyAlignment="1" pivotButton="0" quotePrefix="0" xfId="0">
      <alignment horizontal="center" vertical="center" wrapText="1"/>
    </xf>
    <xf numFmtId="0" fontId="16" fillId="27" borderId="9" applyAlignment="1" pivotButton="0" quotePrefix="0" xfId="0">
      <alignment horizontal="center" vertical="center" wrapText="1"/>
    </xf>
    <xf numFmtId="0" fontId="17" fillId="27" borderId="9" applyAlignment="1" pivotButton="0" quotePrefix="0" xfId="0">
      <alignment horizontal="center" vertical="center" wrapText="1"/>
    </xf>
    <xf numFmtId="0" fontId="44" fillId="0" borderId="31" applyAlignment="1" pivotButton="0" quotePrefix="0" xfId="0">
      <alignment horizontal="left" vertical="center"/>
    </xf>
    <xf numFmtId="0" fontId="0" fillId="0" borderId="31" pivotButton="0" quotePrefix="0" xfId="0"/>
    <xf numFmtId="0" fontId="19" fillId="6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center" vertical="center" wrapText="1"/>
    </xf>
    <xf numFmtId="0" fontId="9" fillId="28" borderId="0" applyAlignment="1" pivotButton="0" quotePrefix="0" xfId="0">
      <alignment horizontal="left" vertical="center"/>
    </xf>
    <xf numFmtId="0" fontId="0" fillId="28" borderId="0" pivotButton="0" quotePrefix="0" xfId="0"/>
    <xf numFmtId="3" fontId="9" fillId="28" borderId="0" applyAlignment="1" pivotButton="0" quotePrefix="0" xfId="0">
      <alignment horizontal="right" vertical="center"/>
    </xf>
    <xf numFmtId="3" fontId="20" fillId="28" borderId="0" applyAlignment="1" pivotButton="0" quotePrefix="0" xfId="0">
      <alignment horizontal="right" vertical="center"/>
    </xf>
    <xf numFmtId="169" fontId="20" fillId="28" borderId="0" applyAlignment="1" pivotButton="0" quotePrefix="0" xfId="0">
      <alignment horizontal="right" vertical="center"/>
    </xf>
    <xf numFmtId="170" fontId="20" fillId="28" borderId="0" applyAlignment="1" pivotButton="0" quotePrefix="0" xfId="0">
      <alignment horizontal="right" vertical="center"/>
    </xf>
    <xf numFmtId="0" fontId="20" fillId="28" borderId="0" applyAlignment="1" pivotButton="0" quotePrefix="0" xfId="0">
      <alignment horizontal="left" vertical="center"/>
    </xf>
    <xf numFmtId="164" fontId="9" fillId="28" borderId="0" applyAlignment="1" pivotButton="0" quotePrefix="0" xfId="0">
      <alignment horizontal="right" vertical="center"/>
    </xf>
    <xf numFmtId="164" fontId="20" fillId="28" borderId="0" applyAlignment="1" pivotButton="0" quotePrefix="0" xfId="0">
      <alignment horizontal="right" vertical="center"/>
    </xf>
    <xf numFmtId="171" fontId="20" fillId="28" borderId="0" applyAlignment="1" pivotButton="0" quotePrefix="0" xfId="0">
      <alignment horizontal="right" vertical="center"/>
    </xf>
    <xf numFmtId="168" fontId="9" fillId="28" borderId="0" applyAlignment="1" pivotButton="0" quotePrefix="0" xfId="0">
      <alignment horizontal="right" vertical="center"/>
    </xf>
    <xf numFmtId="168" fontId="20" fillId="28" borderId="0" applyAlignment="1" pivotButton="0" quotePrefix="0" xfId="0">
      <alignment horizontal="right" vertical="center"/>
    </xf>
    <xf numFmtId="174" fontId="20" fillId="28" borderId="0" applyAlignment="1" pivotButton="0" quotePrefix="0" xfId="0">
      <alignment horizontal="right" vertical="center"/>
    </xf>
    <xf numFmtId="0" fontId="21" fillId="0" borderId="31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20" fillId="28" borderId="0" pivotButton="0" quotePrefix="0" xfId="0"/>
    <xf numFmtId="3" fontId="20" fillId="28" borderId="0" pivotButton="0" quotePrefix="0" xfId="0"/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46" fillId="7" borderId="0" applyAlignment="1" pivotButton="0" quotePrefix="0" xfId="0">
      <alignment horizontal="left" vertical="center"/>
    </xf>
    <xf numFmtId="0" fontId="47" fillId="29" borderId="0" applyAlignment="1" pivotButton="0" quotePrefix="0" xfId="0">
      <alignment horizontal="left" vertical="center"/>
    </xf>
    <xf numFmtId="0" fontId="8" fillId="30" borderId="1" applyAlignment="1" pivotButton="0" quotePrefix="0" xfId="0">
      <alignment horizontal="center" vertical="center" wrapText="1"/>
    </xf>
    <xf numFmtId="0" fontId="4" fillId="29" borderId="0" applyAlignment="1" pivotButton="0" quotePrefix="0" xfId="0">
      <alignment horizontal="left" vertical="center"/>
    </xf>
    <xf numFmtId="0" fontId="48" fillId="29" borderId="0" applyAlignment="1" pivotButton="0" quotePrefix="0" xfId="0">
      <alignment horizontal="left" vertical="center"/>
    </xf>
    <xf numFmtId="0" fontId="49" fillId="31" borderId="34" applyAlignment="1" pivotButton="0" quotePrefix="0" xfId="0">
      <alignment horizontal="center" vertical="center" wrapText="1"/>
    </xf>
    <xf numFmtId="0" fontId="0" fillId="0" borderId="36" pivotButton="0" quotePrefix="0" xfId="0"/>
    <xf numFmtId="3" fontId="50" fillId="31" borderId="9" applyAlignment="1" pivotButton="0" quotePrefix="0" xfId="0">
      <alignment horizontal="center" vertical="center" wrapText="1"/>
    </xf>
    <xf numFmtId="164" fontId="50" fillId="31" borderId="9" applyAlignment="1" pivotButton="0" quotePrefix="0" xfId="0">
      <alignment horizontal="center" vertical="center" wrapText="1"/>
    </xf>
    <xf numFmtId="168" fontId="50" fillId="31" borderId="9" applyAlignment="1" pivotButton="0" quotePrefix="0" xfId="0">
      <alignment horizontal="center" vertical="center" wrapText="1"/>
    </xf>
    <xf numFmtId="178" fontId="50" fillId="31" borderId="9" applyAlignment="1" pivotButton="0" quotePrefix="0" xfId="0">
      <alignment horizontal="center" vertical="center" wrapText="1"/>
    </xf>
    <xf numFmtId="0" fontId="16" fillId="31" borderId="9" applyAlignment="1" pivotButton="0" quotePrefix="0" xfId="0">
      <alignment horizontal="center" vertical="center" wrapText="1"/>
    </xf>
    <xf numFmtId="0" fontId="17" fillId="31" borderId="9" applyAlignment="1" pivotButton="0" quotePrefix="0" xfId="0">
      <alignment horizontal="center" vertical="center" wrapText="1"/>
    </xf>
    <xf numFmtId="0" fontId="51" fillId="0" borderId="37" applyAlignment="1" pivotButton="0" quotePrefix="0" xfId="0">
      <alignment horizontal="left" vertical="center"/>
    </xf>
    <xf numFmtId="0" fontId="0" fillId="0" borderId="37" pivotButton="0" quotePrefix="0" xfId="0"/>
    <xf numFmtId="0" fontId="19" fillId="7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 wrapText="1"/>
    </xf>
    <xf numFmtId="0" fontId="9" fillId="32" borderId="0" applyAlignment="1" pivotButton="0" quotePrefix="0" xfId="0">
      <alignment horizontal="left" vertical="center"/>
    </xf>
    <xf numFmtId="0" fontId="0" fillId="32" borderId="0" pivotButton="0" quotePrefix="0" xfId="0"/>
    <xf numFmtId="3" fontId="9" fillId="32" borderId="0" applyAlignment="1" pivotButton="0" quotePrefix="0" xfId="0">
      <alignment horizontal="right" vertical="center"/>
    </xf>
    <xf numFmtId="3" fontId="20" fillId="32" borderId="0" applyAlignment="1" pivotButton="0" quotePrefix="0" xfId="0">
      <alignment horizontal="right" vertical="center"/>
    </xf>
    <xf numFmtId="169" fontId="20" fillId="32" borderId="0" applyAlignment="1" pivotButton="0" quotePrefix="0" xfId="0">
      <alignment horizontal="right" vertical="center"/>
    </xf>
    <xf numFmtId="170" fontId="20" fillId="32" borderId="0" applyAlignment="1" pivotButton="0" quotePrefix="0" xfId="0">
      <alignment horizontal="right" vertical="center"/>
    </xf>
    <xf numFmtId="0" fontId="20" fillId="3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171" fontId="20" fillId="0" borderId="0" applyAlignment="1" pivotButton="0" quotePrefix="0" xfId="0">
      <alignment horizontal="right" vertical="center"/>
    </xf>
    <xf numFmtId="168" fontId="9" fillId="32" borderId="0" applyAlignment="1" pivotButton="0" quotePrefix="0" xfId="0">
      <alignment horizontal="right" vertical="center"/>
    </xf>
    <xf numFmtId="168" fontId="20" fillId="32" borderId="0" applyAlignment="1" pivotButton="0" quotePrefix="0" xfId="0">
      <alignment horizontal="right" vertical="center"/>
    </xf>
    <xf numFmtId="174" fontId="20" fillId="32" borderId="0" applyAlignment="1" pivotButton="0" quotePrefix="0" xfId="0">
      <alignment horizontal="right" vertical="center"/>
    </xf>
    <xf numFmtId="178" fontId="9" fillId="0" borderId="0" applyAlignment="1" pivotButton="0" quotePrefix="0" xfId="0">
      <alignment horizontal="right" vertical="center"/>
    </xf>
    <xf numFmtId="178" fontId="20" fillId="0" borderId="0" applyAlignment="1" pivotButton="0" quotePrefix="0" xfId="0">
      <alignment horizontal="right" vertical="center"/>
    </xf>
    <xf numFmtId="174" fontId="20" fillId="0" borderId="0" applyAlignment="1" pivotButton="0" quotePrefix="0" xfId="0">
      <alignment horizontal="right" vertical="center"/>
    </xf>
    <xf numFmtId="0" fontId="21" fillId="0" borderId="37" applyAlignment="1" pivotButton="0" quotePrefix="0" xfId="0">
      <alignment horizontal="right" vertical="center"/>
    </xf>
    <xf numFmtId="0" fontId="9" fillId="0" borderId="0" pivotButton="0" quotePrefix="0" xfId="0"/>
    <xf numFmtId="165" fontId="20" fillId="0" borderId="0" applyAlignment="1" pivotButton="0" quotePrefix="0" xfId="0">
      <alignment horizontal="center" vertical="center" wrapText="1"/>
    </xf>
    <xf numFmtId="1" fontId="20" fillId="32" borderId="0" applyAlignment="1" pivotButton="0" quotePrefix="0" xfId="0">
      <alignment horizontal="right" vertical="center"/>
    </xf>
    <xf numFmtId="1" fontId="20" fillId="0" borderId="0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4" fillId="8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8" fillId="16" borderId="1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left" vertical="center"/>
    </xf>
    <xf numFmtId="0" fontId="27" fillId="17" borderId="15" applyAlignment="1" pivotButton="0" quotePrefix="0" xfId="0">
      <alignment horizontal="center" vertical="center" wrapText="1"/>
    </xf>
    <xf numFmtId="0" fontId="0" fillId="0" borderId="17" pivotButton="0" quotePrefix="0" xfId="0"/>
    <xf numFmtId="3" fontId="28" fillId="17" borderId="9" applyAlignment="1" pivotButton="0" quotePrefix="0" xfId="0">
      <alignment horizontal="center" vertical="center" wrapText="1"/>
    </xf>
    <xf numFmtId="164" fontId="28" fillId="17" borderId="9" applyAlignment="1" pivotButton="0" quotePrefix="0" xfId="0">
      <alignment horizontal="center" vertical="center" wrapText="1"/>
    </xf>
    <xf numFmtId="167" fontId="28" fillId="17" borderId="9" applyAlignment="1" pivotButton="0" quotePrefix="0" xfId="0">
      <alignment horizontal="center" vertical="center" wrapText="1"/>
    </xf>
    <xf numFmtId="175" fontId="28" fillId="17" borderId="9" applyAlignment="1" pivotButton="0" quotePrefix="0" xfId="0">
      <alignment horizontal="center" vertical="center" wrapText="1"/>
    </xf>
    <xf numFmtId="0" fontId="16" fillId="17" borderId="9" applyAlignment="1" pivotButton="0" quotePrefix="0" xfId="0">
      <alignment horizontal="center" vertical="center" wrapText="1"/>
    </xf>
    <xf numFmtId="0" fontId="17" fillId="17" borderId="9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21" fillId="0" borderId="18" applyAlignment="1" pivotButton="0" quotePrefix="0" xfId="0">
      <alignment horizontal="right" vertical="center"/>
    </xf>
    <xf numFmtId="0" fontId="19" fillId="8" borderId="0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left" vertical="center"/>
    </xf>
    <xf numFmtId="3" fontId="20" fillId="0" borderId="12" applyAlignment="1" pivotButton="0" quotePrefix="0" xfId="0">
      <alignment horizontal="right" vertical="center"/>
    </xf>
    <xf numFmtId="164" fontId="20" fillId="0" borderId="12" applyAlignment="1" pivotButton="0" quotePrefix="0" xfId="0">
      <alignment horizontal="right" vertical="center"/>
    </xf>
    <xf numFmtId="167" fontId="20" fillId="0" borderId="12" applyAlignment="1" pivotButton="0" quotePrefix="0" xfId="0">
      <alignment horizontal="right" vertical="center"/>
    </xf>
    <xf numFmtId="175" fontId="20" fillId="0" borderId="12" applyAlignment="1" pivotButton="0" quotePrefix="0" xfId="0">
      <alignment horizontal="right" vertical="center"/>
    </xf>
    <xf numFmtId="170" fontId="20" fillId="0" borderId="12" applyAlignment="1" pivotButton="0" quotePrefix="0" xfId="0">
      <alignment horizontal="right" vertical="center"/>
    </xf>
    <xf numFmtId="0" fontId="9" fillId="18" borderId="12" applyAlignment="1" pivotButton="0" quotePrefix="0" xfId="0">
      <alignment horizontal="left" vertical="center"/>
    </xf>
    <xf numFmtId="0" fontId="0" fillId="18" borderId="0" pivotButton="0" quotePrefix="0" xfId="0"/>
    <xf numFmtId="3" fontId="9" fillId="18" borderId="12" applyAlignment="1" pivotButton="0" quotePrefix="0" xfId="0">
      <alignment horizontal="right" vertical="center"/>
    </xf>
    <xf numFmtId="164" fontId="9" fillId="18" borderId="12" applyAlignment="1" pivotButton="0" quotePrefix="0" xfId="0">
      <alignment horizontal="right" vertical="center"/>
    </xf>
    <xf numFmtId="167" fontId="9" fillId="18" borderId="12" applyAlignment="1" pivotButton="0" quotePrefix="0" xfId="0">
      <alignment horizontal="right" vertical="center"/>
    </xf>
    <xf numFmtId="175" fontId="9" fillId="18" borderId="12" applyAlignment="1" pivotButton="0" quotePrefix="0" xfId="0">
      <alignment horizontal="right" vertical="center"/>
    </xf>
    <xf numFmtId="170" fontId="9" fillId="18" borderId="12" applyAlignment="1" pivotButton="0" quotePrefix="0" xfId="0">
      <alignment horizontal="right" vertical="center"/>
    </xf>
    <xf numFmtId="0" fontId="30" fillId="19" borderId="19" applyAlignment="1" pivotButton="0" quotePrefix="0" xfId="0">
      <alignment horizontal="left" vertical="center"/>
    </xf>
    <xf numFmtId="0" fontId="0" fillId="19" borderId="0" pivotButton="0" quotePrefix="0" xfId="0"/>
    <xf numFmtId="3" fontId="30" fillId="19" borderId="19" applyAlignment="1" pivotButton="0" quotePrefix="0" xfId="0">
      <alignment horizontal="right" vertical="center"/>
    </xf>
    <xf numFmtId="164" fontId="30" fillId="19" borderId="19" applyAlignment="1" pivotButton="0" quotePrefix="0" xfId="0">
      <alignment horizontal="right" vertical="center"/>
    </xf>
    <xf numFmtId="167" fontId="30" fillId="19" borderId="19" applyAlignment="1" pivotButton="0" quotePrefix="0" xfId="0">
      <alignment horizontal="right" vertical="center"/>
    </xf>
    <xf numFmtId="175" fontId="30" fillId="19" borderId="19" applyAlignment="1" pivotButton="0" quotePrefix="0" xfId="0">
      <alignment horizontal="right" vertical="center"/>
    </xf>
    <xf numFmtId="170" fontId="30" fillId="19" borderId="19" applyAlignment="1" pivotButton="0" quotePrefix="0" xfId="0">
      <alignment horizontal="right" vertical="center"/>
    </xf>
    <xf numFmtId="0" fontId="30" fillId="19" borderId="12" applyAlignment="1" pivotButton="0" quotePrefix="0" xfId="0">
      <alignment horizontal="left" vertical="center"/>
    </xf>
    <xf numFmtId="3" fontId="30" fillId="19" borderId="12" applyAlignment="1" pivotButton="0" quotePrefix="0" xfId="0">
      <alignment horizontal="right" vertical="center"/>
    </xf>
    <xf numFmtId="164" fontId="30" fillId="19" borderId="12" applyAlignment="1" pivotButton="0" quotePrefix="0" xfId="0">
      <alignment horizontal="right" vertical="center"/>
    </xf>
    <xf numFmtId="167" fontId="30" fillId="19" borderId="12" applyAlignment="1" pivotButton="0" quotePrefix="0" xfId="0">
      <alignment horizontal="right" vertical="center"/>
    </xf>
    <xf numFmtId="175" fontId="30" fillId="19" borderId="12" applyAlignment="1" pivotButton="0" quotePrefix="0" xfId="0">
      <alignment horizontal="right" vertical="center"/>
    </xf>
    <xf numFmtId="170" fontId="30" fillId="19" borderId="12" applyAlignment="1" pivotButton="0" quotePrefix="0" xfId="0">
      <alignment horizontal="right" vertical="center"/>
    </xf>
    <xf numFmtId="0" fontId="19" fillId="8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0" fillId="20" borderId="0" pivotButton="0" quotePrefix="0" xfId="0"/>
    <xf numFmtId="3" fontId="9" fillId="20" borderId="0" applyAlignment="1" pivotButton="0" quotePrefix="0" xfId="0">
      <alignment horizontal="right" vertical="center"/>
    </xf>
    <xf numFmtId="3" fontId="20" fillId="20" borderId="0" applyAlignment="1" pivotButton="0" quotePrefix="0" xfId="0">
      <alignment horizontal="right" vertical="center"/>
    </xf>
    <xf numFmtId="169" fontId="20" fillId="20" borderId="0" applyAlignment="1" pivotButton="0" quotePrefix="0" xfId="0">
      <alignment horizontal="right" vertical="center"/>
    </xf>
    <xf numFmtId="170" fontId="20" fillId="20" borderId="0" applyAlignment="1" pivotButton="0" quotePrefix="0" xfId="0">
      <alignment horizontal="right" vertical="center"/>
    </xf>
    <xf numFmtId="0" fontId="20" fillId="2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76" fontId="20" fillId="0" borderId="0" applyAlignment="1" pivotButton="0" quotePrefix="0" xfId="0">
      <alignment horizontal="right" vertical="center"/>
    </xf>
    <xf numFmtId="167" fontId="9" fillId="20" borderId="0" applyAlignment="1" pivotButton="0" quotePrefix="0" xfId="0">
      <alignment horizontal="right" vertical="center"/>
    </xf>
    <xf numFmtId="167" fontId="20" fillId="20" borderId="0" applyAlignment="1" pivotButton="0" quotePrefix="0" xfId="0">
      <alignment horizontal="right" vertical="center"/>
    </xf>
    <xf numFmtId="176" fontId="20" fillId="20" borderId="0" applyAlignment="1" pivotButton="0" quotePrefix="0" xfId="0">
      <alignment horizontal="right" vertical="center"/>
    </xf>
    <xf numFmtId="175" fontId="9" fillId="0" borderId="0" applyAlignment="1" pivotButton="0" quotePrefix="0" xfId="0">
      <alignment horizontal="right" vertical="center"/>
    </xf>
    <xf numFmtId="175" fontId="20" fillId="0" borderId="0" applyAlignment="1" pivotButton="0" quotePrefix="0" xfId="0">
      <alignment horizontal="right" vertical="center"/>
    </xf>
    <xf numFmtId="177" fontId="20" fillId="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right" vertical="center"/>
    </xf>
    <xf numFmtId="164" fontId="20" fillId="20" borderId="0" applyAlignment="1" pivotButton="0" quotePrefix="0" xfId="0">
      <alignment horizontal="right" vertical="center"/>
    </xf>
    <xf numFmtId="171" fontId="20" fillId="20" borderId="0" applyAlignment="1" pivotButton="0" quotePrefix="0" xfId="0">
      <alignment horizontal="right" vertical="center"/>
    </xf>
    <xf numFmtId="175" fontId="9" fillId="0" borderId="12" applyAlignment="1" pivotButton="0" quotePrefix="0" xfId="0">
      <alignment horizontal="right" vertical="center"/>
    </xf>
    <xf numFmtId="167" fontId="9" fillId="0" borderId="12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 wrapText="1"/>
    </xf>
    <xf numFmtId="0" fontId="20" fillId="20" borderId="0" pivotButton="0" quotePrefix="0" xfId="0"/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54" fillId="9" borderId="0" applyAlignment="1" pivotButton="0" quotePrefix="0" xfId="0">
      <alignment horizontal="left" vertical="center"/>
    </xf>
    <xf numFmtId="0" fontId="55" fillId="0" borderId="38" applyAlignment="1" pivotButton="0" quotePrefix="0" xfId="0">
      <alignment horizontal="left" vertical="center"/>
    </xf>
    <xf numFmtId="0" fontId="0" fillId="0" borderId="38" pivotButton="0" quotePrefix="0" xfId="0"/>
    <xf numFmtId="0" fontId="19" fillId="9" borderId="0" pivotButton="0" quotePrefix="0" xfId="0"/>
    <xf numFmtId="0" fontId="16" fillId="0" borderId="0" pivotButton="0" quotePrefix="0" xfId="0"/>
    <xf numFmtId="165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'CALC_WSF'!E104</f>
            </strRef>
          </tx>
          <spPr>
            <a:solidFill>
              <a:srgbClr val="5787BD"/>
            </a:solidFill>
            <a:ln>
              <a:solidFill>
                <a:srgbClr val="5787BD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'CALC_MIDWEEK'!B104</f>
            </strRef>
          </tx>
          <spPr>
            <a:solidFill>
              <a:srgbClr val="0F7C74"/>
            </a:solidFill>
            <a:ln>
              <a:solidFill>
                <a:srgbClr val="0F7C74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'CALC_MIDWEEK'!$B$105:$B$117</f>
            </numRef>
          </val>
        </ser>
        <ser>
          <idx val="1"/>
          <order val="1"/>
          <tx>
            <strRef>
              <f>'CALC_MIDWEEK'!C104</f>
            </strRef>
          </tx>
          <spPr>
            <a:solidFill>
              <a:srgbClr val="7BB6B2"/>
            </a:solidFill>
            <a:ln>
              <a:solidFill>
                <a:srgbClr val="7BB6B2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'CALC_MIDWEEK'!$C$105:$C$117</f>
            </numRef>
          </val>
        </ser>
        <ser>
          <idx val="2"/>
          <order val="2"/>
          <tx>
            <strRef>
              <f>'CALC_MIDWEEK'!D104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zones reporting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'CALC_MIDWEEK'!E104</f>
            </strRef>
          </tx>
          <spPr>
            <a:solidFill>
              <a:srgbClr val="4B9C96"/>
            </a:solidFill>
            <a:ln>
              <a:solidFill>
                <a:srgbClr val="4B9C96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'CALC_CHOP'!B104</f>
            </strRef>
          </tx>
          <spPr>
            <a:solidFill>
              <a:srgbClr val="6A3FA0"/>
            </a:solidFill>
            <a:ln>
              <a:solidFill>
                <a:srgbClr val="6A3FA0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'CALC_CHOP'!$B$105:$B$117</f>
            </numRef>
          </val>
        </ser>
        <ser>
          <idx val="1"/>
          <order val="1"/>
          <tx>
            <strRef>
              <f>'CALC_CHOP'!C104</f>
            </strRef>
          </tx>
          <spPr>
            <a:solidFill>
              <a:srgbClr val="AD95CA"/>
            </a:solidFill>
            <a:ln>
              <a:solidFill>
                <a:srgbClr val="AD95CA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'CALC_CHOP'!$C$105:$C$117</f>
            </numRef>
          </val>
        </ser>
        <ser>
          <idx val="2"/>
          <order val="2"/>
          <tx>
            <strRef>
              <f>'CALC_CHOP'!D104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CHOP zones reporting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'CALC_CHOP'!E104</f>
            </strRef>
          </tx>
          <spPr>
            <a:solidFill>
              <a:srgbClr val="8F6FB7"/>
            </a:solidFill>
            <a:ln>
              <a:solidFill>
                <a:srgbClr val="8F6FB7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Sunday 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'CALC_COMMUNITY'!B106</f>
            </strRef>
          </tx>
          <spPr>
            <a:solidFill>
              <a:srgbClr val="B5446E"/>
            </a:solidFill>
            <a:ln>
              <a:solidFill>
                <a:srgbClr val="B5446E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'CALC_COMMUNITY'!$B$107:$B$119</f>
            </numRef>
          </val>
        </ser>
        <ser>
          <idx val="1"/>
          <order val="1"/>
          <tx>
            <strRef>
              <f>'CALC_COMMUNITY'!C106</f>
            </strRef>
          </tx>
          <spPr>
            <a:solidFill>
              <a:srgbClr val="D698AF"/>
            </a:solidFill>
            <a:ln>
              <a:solidFill>
                <a:srgbClr val="D698AF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'CALC_COMMUNITY'!$C$107:$C$119</f>
            </numRef>
          </val>
        </ser>
        <ser>
          <idx val="2"/>
          <order val="2"/>
          <tx>
            <strRef>
              <f>'CALC_COMMUNITY'!D106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'CALC_COMMUNITY'!$D$107:$D$119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Sunday attendance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'CALC_COMMUNITY'!G106</f>
            </strRef>
          </tx>
          <spPr>
            <a:solidFill>
              <a:srgbClr val="B5446E"/>
            </a:solidFill>
            <a:ln>
              <a:solidFill>
                <a:srgbClr val="B5446E"/>
              </a:solidFill>
              <a:prstDash val="solid"/>
            </a:ln>
          </spPr>
          <cat>
            <numRef>
              <f>'CALC_COMMUNITY'!$F$107:$F$158</f>
            </numRef>
          </cat>
          <val>
            <numRef>
              <f>'CALC_COMMUNITY'!$G$107:$G$158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Riders by category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'CALC_TRANSPORT'!B125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'CALC_TRANSPORT'!$B$126:$B$138</f>
            </numRef>
          </val>
        </ser>
        <ser>
          <idx val="1"/>
          <order val="1"/>
          <tx>
            <strRef>
              <f>'CALC_TRANSPORT'!C125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'CALC_TRANSPORT'!$C$126:$C$138</f>
            </numRef>
          </val>
        </ser>
        <ser>
          <idx val="2"/>
          <order val="2"/>
          <tx>
            <strRef>
              <f>'CALC_TRANSPORT'!D125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'CALC_TRANSPORT'!$D$126:$D$138</f>
            </numRef>
          </val>
        </ser>
        <ser>
          <idx val="3"/>
          <order val="3"/>
          <tx>
            <strRef>
              <f>'CALC_TRANSPORT'!E125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'CALC_TRANSPORT'!$E$126:$E$138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Spend by category (₦)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'CALC_TRANSPORT'!G125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'CALC_TRANSPORT'!$G$126:$G$138</f>
            </numRef>
          </val>
        </ser>
        <ser>
          <idx val="1"/>
          <order val="1"/>
          <tx>
            <strRef>
              <f>'CALC_TRANSPORT'!H125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'CALC_TRANSPORT'!$H$126:$H$138</f>
            </numRef>
          </val>
        </ser>
        <ser>
          <idx val="2"/>
          <order val="2"/>
          <tx>
            <strRef>
              <f>'CALC_TRANSPORT'!I125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'CALC_TRANSPORT'!$I$126:$I$138</f>
            </numRef>
          </val>
        </ser>
        <ser>
          <idx val="3"/>
          <order val="3"/>
          <tx>
            <strRef>
              <f>'CALC_TRANSPORT'!J125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'CALC_TRANSPORT'!$J$126:$J$138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Seat utilisation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'CALC_TRANSPORT'!K125</f>
            </strRef>
          </tx>
          <spPr>
            <a:solidFill>
              <a:srgbClr val="E08F47"/>
            </a:solidFill>
            <a:ln>
              <a:solidFill>
                <a:srgbClr val="E08F47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'CALC_TRANSPORT'!$K$126:$K$138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66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29</row>
      <rowOff>0</rowOff>
    </from>
    <ext cx="612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66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29</row>
      <rowOff>0</rowOff>
    </from>
    <ext cx="612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29</row>
      <rowOff>0</rowOff>
    </from>
    <ext cx="720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42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R2" headerRowCount="1">
  <autoFilter ref="A1:R2"/>
  <tableColumns count="18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First_Timers"/>
    <tableColumn id="14" name="New_Converts"/>
    <tableColumn id="15" name="Testimonies"/>
    <tableColumn id="16" name="Source_File"/>
    <tableColumn id="17" name="Loaded_On"/>
    <tableColumn id="18" name="List_Helper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Q2" headerRowCount="1">
  <autoFilter ref="A1:Q2"/>
  <tableColumns count="17">
    <tableColumn id="1" name="Week_Ending"/>
    <tableColumn id="2" name="Report_Date"/>
    <tableColumn id="3" name="Church"/>
    <tableColumn id="4" name="Service_Type"/>
    <tableColumn id="5" name="Area"/>
    <tableColumn id="6" name="Church_Name"/>
    <tableColumn id="7" name="Male"/>
    <tableColumn id="8" name="Female"/>
    <tableColumn id="9" name="Adult_Total"/>
    <tableColumn id="10" name="Children"/>
    <tableColumn id="11" name="Grand_Total"/>
    <tableColumn id="12" name="First_Timers"/>
    <tableColumn id="13" name="New_Converts"/>
    <tableColumn id="14" name="Testimonies"/>
    <tableColumn id="15" name="Pastors_Present"/>
    <tableColumn id="16" name="Source_File"/>
    <tableColumn id="17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" displayName="tblTransport" ref="A1:AE2" headerRowCount="1">
  <autoFilter ref="A1:AE2"/>
  <tableColumns count="31">
    <tableColumn id="1" name="Week_Ending"/>
    <tableColumn id="2" name="Report_Date"/>
    <tableColumn id="3" name="Category"/>
    <tableColumn id="4" name="Vehicle_Type"/>
    <tableColumn id="5" name="Area"/>
    <tableColumn id="6" name="Zone_Code"/>
    <tableColumn id="7" name="Location"/>
    <tableColumn id="8" name="Vehicle_ID"/>
    <tableColumn id="9" name="Buses"/>
    <tableColumn id="10" name="Capacity"/>
    <tableColumn id="11" name="Trips"/>
    <tableColumn id="12" name="Seats_Offered"/>
    <tableColumn id="13" name="Male"/>
    <tableColumn id="14" name="Female"/>
    <tableColumn id="15" name="Adult_Total"/>
    <tableColumn id="16" name="Children"/>
    <tableColumn id="17" name="Grand_Total"/>
    <tableColumn id="18" name="Riders_Seated"/>
    <tableColumn id="19" name="Excess_Riders"/>
    <tableColumn id="20" name="Cost"/>
    <tableColumn id="21" name="Paid_By"/>
    <tableColumn id="22" name="Status"/>
    <tableColumn id="23" name="Service"/>
    <tableColumn id="24" name="Remarks_Category"/>
    <tableColumn id="25" name="Remarks"/>
    <tableColumn id="26" name="In_Church"/>
    <tableColumn id="27" name="Location_Type"/>
    <tableColumn id="28" name="Source_File"/>
    <tableColumn id="29" name="Loaded_On"/>
    <tableColumn id="30" name="Zone_Key"/>
    <tableColumn id="31" name="Note_Helper"/>
  </tableColumns>
  <tableStyleInfo name="TableStyleLight1" showRowStripes="1"/>
</table>
</file>

<file path=xl/tables/table7.xml><?xml version="1.0" encoding="utf-8"?>
<table xmlns="http://schemas.openxmlformats.org/spreadsheetml/2006/main" id="7" name="tblTransportCosts" displayName="tblTransportCosts" ref="A1:P2" headerRowCount="1">
  <autoFilter ref="A1:P2"/>
  <tableColumns count="16">
    <tableColumn id="1" name="Week_Ending"/>
    <tableColumn id="2" name="Report_Date"/>
    <tableColumn id="3" name="Category"/>
    <tableColumn id="4" name="Area"/>
    <tableColumn id="5" name="Vehicle_ID"/>
    <tableColumn id="6" name="Cost_Type"/>
    <tableColumn id="7" name="Hub_Status"/>
    <tableColumn id="8" name="Trips"/>
    <tableColumn id="9" name="Litres"/>
    <tableColumn id="10" name="Unit_Price"/>
    <tableColumn id="11" name="Amount"/>
    <tableColumn id="12" name="Payable"/>
    <tableColumn id="13" name="Paid_Amount"/>
    <tableColumn id="14" name="Paid_By"/>
    <tableColumn id="15" name="Source_File"/>
    <tableColumn id="16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TransportBudget" displayName="tblTransportBudget" ref="A1:J2" headerRowCount="1">
  <autoFilter ref="A1:J2"/>
  <tableColumns count="10">
    <tableColumn id="1" name="Week_Ending"/>
    <tableColumn id="2" name="Report_Date"/>
    <tableColumn id="3" name="Area_No"/>
    <tableColumn id="4" name="Area"/>
    <tableColumn id="5" name="Buses_Allocated"/>
    <tableColumn id="6" name="Cost_Per_Bus"/>
    <tableColumn id="7" name="Expected_Spend"/>
    <tableColumn id="8" name="Payable_This_Week"/>
    <tableColumn id="9" name="Source_File"/>
    <tableColumn id="10" name="Loaded_On"/>
  </tableColumns>
  <tableStyleInfo name="TableStyleLight1" showRowStripes="1"/>
</table>
</file>

<file path=xl/tables/table9.xml><?xml version="1.0" encoding="utf-8"?>
<table xmlns="http://schemas.openxmlformats.org/spreadsheetml/2006/main" id="9" name="tblServiceAreas" displayName="tblServiceAreas" ref="A1:Q2" headerRowCount="1">
  <autoFilter ref="A1:Q2"/>
  <tableColumns count="17">
    <tableColumn id="1" name="Week_Ending"/>
    <tableColumn id="2" name="Report_Date"/>
    <tableColumn id="3" name="Stream"/>
    <tableColumn id="4" name="Area"/>
    <tableColumn id="5" name="Total_Zones"/>
    <tableColumn id="6" name="Zones_With_Report"/>
    <tableColumn id="7" name="CHOP_Zones"/>
    <tableColumn id="8" name="Community_Zones"/>
    <tableColumn id="9" name="Cells_Total"/>
    <tableColumn id="10" name="Cells_Reported"/>
    <tableColumn id="11" name="Male"/>
    <tableColumn id="12" name="Female"/>
    <tableColumn id="13" name="Adult_Total"/>
    <tableColumn id="14" name="Children"/>
    <tableColumn id="15" name="Grand_Total"/>
    <tableColumn id="16" name="Source_File"/>
    <tableColumn id="17" name="Loaded_On"/>
  </tableColumns>
  <tableStyleInfo name="TableStyleLight1" showRowStripes="1"/>
</table>
</file>

<file path=xl/tables/table10.xml><?xml version="1.0" encoding="utf-8"?>
<table xmlns="http://schemas.openxmlformats.org/spreadsheetml/2006/main" id="10" name="tblAreas" displayName="tblAreas" ref="A1:F94" headerRowCount="1">
  <autoFilter ref="A1:F94"/>
  <tableColumns count="6">
    <tableColumn id="1" name="Area_ID"/>
    <tableColumn id="2" name="Area_Name"/>
    <tableColumn id="3" name="Active"/>
    <tableColumn id="4" name="Area_No"/>
    <tableColumn id="5" name="Aliases"/>
    <tableColumn id="6" name="In_Transport"/>
  </tableColumns>
  <tableStyleInfo name="TableStyleLight1" showRowStripes="1"/>
</table>
</file>

<file path=xl/tables/table11.xml><?xml version="1.0" encoding="utf-8"?>
<table xmlns="http://schemas.openxmlformats.org/spreadsheetml/2006/main" id="11" name="tblZones" displayName="tblZones" ref="A1:I1287" headerRowCount="1">
  <autoFilter ref="A1:I1287"/>
  <tableColumns count="9">
    <tableColumn id="1" name="Zone_ID"/>
    <tableColumn id="2" name="Zone_Name"/>
    <tableColumn id="3" name="Area_Name"/>
    <tableColumn id="4" name="Has_CHOP"/>
    <tableColumn id="5" name="Active"/>
    <tableColumn id="6" name="Zone_No"/>
    <tableColumn id="7" name="Address"/>
    <tableColumn id="8" name="Zone_Status"/>
    <tableColumn id="9" name="Is_Community"/>
  </tableColumns>
  <tableStyleInfo name="TableStyleLight1" showRowStripes="1"/>
</table>
</file>

<file path=xl/tables/table12.xml><?xml version="1.0" encoding="utf-8"?>
<table xmlns="http://schemas.openxmlformats.org/spreadsheetml/2006/main" id="12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3.xml><?xml version="1.0" encoding="utf-8"?>
<table xmlns="http://schemas.openxmlformats.org/spreadsheetml/2006/main" id="13" name="tblCommunityMaster" displayName="tblCommunityMaster" ref="A1:D36" headerRowCount="1">
  <autoFilter ref="A1:D36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4.xml><?xml version="1.0" encoding="utf-8"?>
<table xmlns="http://schemas.openxmlformats.org/spreadsheetml/2006/main" id="14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5.xml><?xml version="1.0" encoding="utf-8"?>
<table xmlns="http://schemas.openxmlformats.org/spreadsheetml/2006/main" id="15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2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3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4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5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IF(MAX(DATA_WSF!$Q:$Q,DATA_MIDWEEK!$N:$N,DATA_CHOP!$N:$N,DATA_COMMUNITY!$Q:$Q,DATA_SERVICE_AREAS!$Q:$Q,DATA_TRANSPORT!$AC:$AC,DATA_TRANSPORT_COSTS!$P:$P,DATA_TRANSPORT_BUDGET!$J:$J)=0,"No data yet",MAX(DATA_WSF!$Q:$Q,DATA_MIDWEEK!$N:$N,DATA_CHOP!$N:$N,DATA_COMMUNITY!$Q:$Q,DATA_SERVICE_AREAS!$Q:$Q,DATA_TRANSPORT!$AC:$AC,DATA_TRANSPORT_COSTS!$P:$P,DATA_TRANSPORT_BUDGET!$J:$J))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bus runs</t>
        </is>
      </c>
      <c r="E27" s="32">
        <f>IF(MAX(DATA_TRANSPORT!$A:$A)=0,"–",MAX(DATA_TRANSPORT!$A:$A))</f>
        <v/>
      </c>
      <c r="G27" s="33">
        <f>COUNT(DATA_TRANSPORT!$A:$A)</f>
        <v/>
      </c>
    </row>
    <row r="28">
      <c r="B28" s="31" t="inlineStr">
        <is>
          <t>Transport coaster fuel</t>
        </is>
      </c>
      <c r="E28" s="32">
        <f>IF(MAX(DATA_TRANSPORT_COSTS!$A:$A)=0,"–",MAX(DATA_TRANSPORT_COSTS!$A:$A))</f>
        <v/>
      </c>
      <c r="G28" s="33">
        <f>COUNT(DATA_TRANSPORT_COSTS!$A:$A)</f>
        <v/>
      </c>
    </row>
    <row r="29">
      <c r="B29" s="31" t="inlineStr">
        <is>
          <t>Transport FT budget</t>
        </is>
      </c>
      <c r="E29" s="32">
        <f>IF(MAX(DATA_TRANSPORT_BUDGET!$A:$A)=0,"–",MAX(DATA_TRANSPORT_BUDGET!$A:$A))</f>
        <v/>
      </c>
      <c r="G29" s="33">
        <f>COUNT(DATA_TRANSPORT_BUDGET!$A:$A)</f>
        <v/>
      </c>
    </row>
    <row r="30">
      <c r="B30" s="34" t="inlineStr">
        <is>
          <t>Build in progress: the WSF, MIDWEEK, CHOP, COMMUNITY CHURCH and TRANSPORT dashboards, data tables, masters, Calendar, SETTINGS and DATA QUALITY are complete. The Area and Zone scorecards and the MASTER DASHBOARD come next.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9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29:D29"/>
    <mergeCell ref="B10:E10"/>
    <mergeCell ref="F14:I14"/>
    <mergeCell ref="B28:D28"/>
    <mergeCell ref="J23:M23"/>
    <mergeCell ref="E29:F29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G29:H29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zones with cells missing a WSF report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IF(CALC_WSF!$Q$21=0,"",TEXT(CALC_WSF!$AX$1,"#,##0")&amp;" cells without a report, in "&amp;TEXT(CALC_WSF!$AX$2,"#,##0")&amp;" zones"&amp;IF(CALC_WSF!$AX$2&gt;50,"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58" t="inlineStr">
        <is>
          <t>Zone</t>
        </is>
      </c>
      <c r="E59" s="9" t="n"/>
      <c r="F59" s="58" t="inlineStr">
        <is>
          <t>Zone address</t>
        </is>
      </c>
      <c r="G59" s="9" t="n"/>
      <c r="H59" s="9" t="n"/>
      <c r="I59" s="9" t="n"/>
      <c r="J59" s="9" t="n"/>
      <c r="K59" s="9" t="n"/>
      <c r="L59" s="58" t="inlineStr">
        <is>
          <t>Cells</t>
        </is>
      </c>
      <c r="M59" s="58" t="inlineStr">
        <is>
          <t>Reported</t>
        </is>
      </c>
      <c r="N59" s="58" t="inlineStr">
        <is>
          <t>Missing</t>
        </is>
      </c>
    </row>
    <row r="60">
      <c r="B60" s="91">
        <f>CALC_WSF!$AX$4</f>
        <v/>
      </c>
      <c r="C60" s="61" t="n"/>
      <c r="D60" s="91">
        <f>CALC_WSF!$AY$4</f>
        <v/>
      </c>
      <c r="E60" s="61" t="n"/>
      <c r="F60" s="91">
        <f>CALC_WSF!$AZ$4</f>
        <v/>
      </c>
      <c r="G60" s="61" t="n"/>
      <c r="H60" s="61" t="n"/>
      <c r="I60" s="61" t="n"/>
      <c r="J60" s="61" t="n"/>
      <c r="K60" s="61" t="n"/>
      <c r="L60" s="92">
        <f>CALC_WSF!$BA$4</f>
        <v/>
      </c>
      <c r="M60" s="92">
        <f>CALC_WSF!$BB$4</f>
        <v/>
      </c>
      <c r="N60" s="92">
        <f>CALC_WSF!$BC$4</f>
        <v/>
      </c>
    </row>
    <row r="61">
      <c r="B61" s="87">
        <f>CALC_WSF!$AX$5</f>
        <v/>
      </c>
      <c r="D61" s="87">
        <f>CALC_WSF!$AY$5</f>
        <v/>
      </c>
      <c r="F61" s="87">
        <f>CALC_WSF!$AZ$5</f>
        <v/>
      </c>
      <c r="L61" s="93">
        <f>CALC_WSF!$BA$5</f>
        <v/>
      </c>
      <c r="M61" s="93">
        <f>CALC_WSF!$BB$5</f>
        <v/>
      </c>
      <c r="N61" s="93">
        <f>CALC_WSF!$BC$5</f>
        <v/>
      </c>
    </row>
    <row r="62">
      <c r="B62" s="91">
        <f>CALC_WSF!$AX$6</f>
        <v/>
      </c>
      <c r="C62" s="61" t="n"/>
      <c r="D62" s="91">
        <f>CALC_WSF!$AY$6</f>
        <v/>
      </c>
      <c r="E62" s="61" t="n"/>
      <c r="F62" s="91">
        <f>CALC_WSF!$AZ$6</f>
        <v/>
      </c>
      <c r="G62" s="61" t="n"/>
      <c r="H62" s="61" t="n"/>
      <c r="I62" s="61" t="n"/>
      <c r="J62" s="61" t="n"/>
      <c r="K62" s="61" t="n"/>
      <c r="L62" s="92">
        <f>CALC_WSF!$BA$6</f>
        <v/>
      </c>
      <c r="M62" s="92">
        <f>CALC_WSF!$BB$6</f>
        <v/>
      </c>
      <c r="N62" s="92">
        <f>CALC_WSF!$BC$6</f>
        <v/>
      </c>
    </row>
    <row r="63">
      <c r="B63" s="87">
        <f>CALC_WSF!$AX$7</f>
        <v/>
      </c>
      <c r="D63" s="87">
        <f>CALC_WSF!$AY$7</f>
        <v/>
      </c>
      <c r="F63" s="87">
        <f>CALC_WSF!$AZ$7</f>
        <v/>
      </c>
      <c r="L63" s="93">
        <f>CALC_WSF!$BA$7</f>
        <v/>
      </c>
      <c r="M63" s="93">
        <f>CALC_WSF!$BB$7</f>
        <v/>
      </c>
      <c r="N63" s="93">
        <f>CALC_WSF!$BC$7</f>
        <v/>
      </c>
    </row>
    <row r="64">
      <c r="B64" s="91">
        <f>CALC_WSF!$AX$8</f>
        <v/>
      </c>
      <c r="C64" s="61" t="n"/>
      <c r="D64" s="91">
        <f>CALC_WSF!$AY$8</f>
        <v/>
      </c>
      <c r="E64" s="61" t="n"/>
      <c r="F64" s="91">
        <f>CALC_WSF!$AZ$8</f>
        <v/>
      </c>
      <c r="G64" s="61" t="n"/>
      <c r="H64" s="61" t="n"/>
      <c r="I64" s="61" t="n"/>
      <c r="J64" s="61" t="n"/>
      <c r="K64" s="61" t="n"/>
      <c r="L64" s="92">
        <f>CALC_WSF!$BA$8</f>
        <v/>
      </c>
      <c r="M64" s="92">
        <f>CALC_WSF!$BB$8</f>
        <v/>
      </c>
      <c r="N64" s="92">
        <f>CALC_WSF!$BC$8</f>
        <v/>
      </c>
    </row>
    <row r="65">
      <c r="B65" s="87">
        <f>CALC_WSF!$AX$9</f>
        <v/>
      </c>
      <c r="D65" s="87">
        <f>CALC_WSF!$AY$9</f>
        <v/>
      </c>
      <c r="F65" s="87">
        <f>CALC_WSF!$AZ$9</f>
        <v/>
      </c>
      <c r="L65" s="93">
        <f>CALC_WSF!$BA$9</f>
        <v/>
      </c>
      <c r="M65" s="93">
        <f>CALC_WSF!$BB$9</f>
        <v/>
      </c>
      <c r="N65" s="93">
        <f>CALC_WSF!$BC$9</f>
        <v/>
      </c>
    </row>
    <row r="66">
      <c r="B66" s="91">
        <f>CALC_WSF!$AX$10</f>
        <v/>
      </c>
      <c r="C66" s="61" t="n"/>
      <c r="D66" s="91">
        <f>CALC_WSF!$AY$10</f>
        <v/>
      </c>
      <c r="E66" s="61" t="n"/>
      <c r="F66" s="91">
        <f>CALC_WSF!$AZ$10</f>
        <v/>
      </c>
      <c r="G66" s="61" t="n"/>
      <c r="H66" s="61" t="n"/>
      <c r="I66" s="61" t="n"/>
      <c r="J66" s="61" t="n"/>
      <c r="K66" s="61" t="n"/>
      <c r="L66" s="92">
        <f>CALC_WSF!$BA$10</f>
        <v/>
      </c>
      <c r="M66" s="92">
        <f>CALC_WSF!$BB$10</f>
        <v/>
      </c>
      <c r="N66" s="92">
        <f>CALC_WSF!$BC$10</f>
        <v/>
      </c>
    </row>
    <row r="67">
      <c r="B67" s="87">
        <f>CALC_WSF!$AX$11</f>
        <v/>
      </c>
      <c r="D67" s="87">
        <f>CALC_WSF!$AY$11</f>
        <v/>
      </c>
      <c r="F67" s="87">
        <f>CALC_WSF!$AZ$11</f>
        <v/>
      </c>
      <c r="L67" s="93">
        <f>CALC_WSF!$BA$11</f>
        <v/>
      </c>
      <c r="M67" s="93">
        <f>CALC_WSF!$BB$11</f>
        <v/>
      </c>
      <c r="N67" s="93">
        <f>CALC_WSF!$BC$11</f>
        <v/>
      </c>
    </row>
    <row r="68">
      <c r="B68" s="91">
        <f>CALC_WSF!$AX$12</f>
        <v/>
      </c>
      <c r="C68" s="61" t="n"/>
      <c r="D68" s="91">
        <f>CALC_WSF!$AY$12</f>
        <v/>
      </c>
      <c r="E68" s="61" t="n"/>
      <c r="F68" s="91">
        <f>CALC_WSF!$AZ$12</f>
        <v/>
      </c>
      <c r="G68" s="61" t="n"/>
      <c r="H68" s="61" t="n"/>
      <c r="I68" s="61" t="n"/>
      <c r="J68" s="61" t="n"/>
      <c r="K68" s="61" t="n"/>
      <c r="L68" s="92">
        <f>CALC_WSF!$BA$12</f>
        <v/>
      </c>
      <c r="M68" s="92">
        <f>CALC_WSF!$BB$12</f>
        <v/>
      </c>
      <c r="N68" s="92">
        <f>CALC_WSF!$BC$12</f>
        <v/>
      </c>
    </row>
    <row r="69">
      <c r="B69" s="87">
        <f>CALC_WSF!$AX$13</f>
        <v/>
      </c>
      <c r="D69" s="87">
        <f>CALC_WSF!$AY$13</f>
        <v/>
      </c>
      <c r="F69" s="87">
        <f>CALC_WSF!$AZ$13</f>
        <v/>
      </c>
      <c r="L69" s="93">
        <f>CALC_WSF!$BA$13</f>
        <v/>
      </c>
      <c r="M69" s="93">
        <f>CALC_WSF!$BB$13</f>
        <v/>
      </c>
      <c r="N69" s="93">
        <f>CALC_WSF!$BC$13</f>
        <v/>
      </c>
    </row>
    <row r="70">
      <c r="B70" s="91">
        <f>CALC_WSF!$AX$14</f>
        <v/>
      </c>
      <c r="C70" s="61" t="n"/>
      <c r="D70" s="91">
        <f>CALC_WSF!$AY$14</f>
        <v/>
      </c>
      <c r="E70" s="61" t="n"/>
      <c r="F70" s="91">
        <f>CALC_WSF!$AZ$14</f>
        <v/>
      </c>
      <c r="G70" s="61" t="n"/>
      <c r="H70" s="61" t="n"/>
      <c r="I70" s="61" t="n"/>
      <c r="J70" s="61" t="n"/>
      <c r="K70" s="61" t="n"/>
      <c r="L70" s="92">
        <f>CALC_WSF!$BA$14</f>
        <v/>
      </c>
      <c r="M70" s="92">
        <f>CALC_WSF!$BB$14</f>
        <v/>
      </c>
      <c r="N70" s="92">
        <f>CALC_WSF!$BC$14</f>
        <v/>
      </c>
    </row>
    <row r="71">
      <c r="B71" s="87">
        <f>CALC_WSF!$AX$15</f>
        <v/>
      </c>
      <c r="D71" s="87">
        <f>CALC_WSF!$AY$15</f>
        <v/>
      </c>
      <c r="F71" s="87">
        <f>CALC_WSF!$AZ$15</f>
        <v/>
      </c>
      <c r="L71" s="93">
        <f>CALC_WSF!$BA$15</f>
        <v/>
      </c>
      <c r="M71" s="93">
        <f>CALC_WSF!$BB$15</f>
        <v/>
      </c>
      <c r="N71" s="93">
        <f>CALC_WSF!$BC$15</f>
        <v/>
      </c>
    </row>
    <row r="72">
      <c r="B72" s="91">
        <f>CALC_WSF!$AX$16</f>
        <v/>
      </c>
      <c r="C72" s="61" t="n"/>
      <c r="D72" s="91">
        <f>CALC_WSF!$AY$16</f>
        <v/>
      </c>
      <c r="E72" s="61" t="n"/>
      <c r="F72" s="91">
        <f>CALC_WSF!$AZ$16</f>
        <v/>
      </c>
      <c r="G72" s="61" t="n"/>
      <c r="H72" s="61" t="n"/>
      <c r="I72" s="61" t="n"/>
      <c r="J72" s="61" t="n"/>
      <c r="K72" s="61" t="n"/>
      <c r="L72" s="92">
        <f>CALC_WSF!$BA$16</f>
        <v/>
      </c>
      <c r="M72" s="92">
        <f>CALC_WSF!$BB$16</f>
        <v/>
      </c>
      <c r="N72" s="92">
        <f>CALC_WSF!$BC$16</f>
        <v/>
      </c>
    </row>
    <row r="73">
      <c r="B73" s="87">
        <f>CALC_WSF!$AX$17</f>
        <v/>
      </c>
      <c r="D73" s="87">
        <f>CALC_WSF!$AY$17</f>
        <v/>
      </c>
      <c r="F73" s="87">
        <f>CALC_WSF!$AZ$17</f>
        <v/>
      </c>
      <c r="L73" s="93">
        <f>CALC_WSF!$BA$17</f>
        <v/>
      </c>
      <c r="M73" s="93">
        <f>CALC_WSF!$BB$17</f>
        <v/>
      </c>
      <c r="N73" s="93">
        <f>CALC_WSF!$BC$17</f>
        <v/>
      </c>
    </row>
    <row r="74">
      <c r="B74" s="91">
        <f>CALC_WSF!$AX$18</f>
        <v/>
      </c>
      <c r="C74" s="61" t="n"/>
      <c r="D74" s="91">
        <f>CALC_WSF!$AY$18</f>
        <v/>
      </c>
      <c r="E74" s="61" t="n"/>
      <c r="F74" s="91">
        <f>CALC_WSF!$AZ$18</f>
        <v/>
      </c>
      <c r="G74" s="61" t="n"/>
      <c r="H74" s="61" t="n"/>
      <c r="I74" s="61" t="n"/>
      <c r="J74" s="61" t="n"/>
      <c r="K74" s="61" t="n"/>
      <c r="L74" s="92">
        <f>CALC_WSF!$BA$18</f>
        <v/>
      </c>
      <c r="M74" s="92">
        <f>CALC_WSF!$BB$18</f>
        <v/>
      </c>
      <c r="N74" s="92">
        <f>CALC_WSF!$BC$18</f>
        <v/>
      </c>
    </row>
    <row r="75">
      <c r="B75" s="87">
        <f>CALC_WSF!$AX$19</f>
        <v/>
      </c>
      <c r="D75" s="87">
        <f>CALC_WSF!$AY$19</f>
        <v/>
      </c>
      <c r="F75" s="87">
        <f>CALC_WSF!$AZ$19</f>
        <v/>
      </c>
      <c r="L75" s="93">
        <f>CALC_WSF!$BA$19</f>
        <v/>
      </c>
      <c r="M75" s="93">
        <f>CALC_WSF!$BB$19</f>
        <v/>
      </c>
      <c r="N75" s="93">
        <f>CALC_WSF!$BC$19</f>
        <v/>
      </c>
    </row>
    <row r="76">
      <c r="B76" s="91">
        <f>CALC_WSF!$AX$20</f>
        <v/>
      </c>
      <c r="C76" s="61" t="n"/>
      <c r="D76" s="91">
        <f>CALC_WSF!$AY$20</f>
        <v/>
      </c>
      <c r="E76" s="61" t="n"/>
      <c r="F76" s="91">
        <f>CALC_WSF!$AZ$20</f>
        <v/>
      </c>
      <c r="G76" s="61" t="n"/>
      <c r="H76" s="61" t="n"/>
      <c r="I76" s="61" t="n"/>
      <c r="J76" s="61" t="n"/>
      <c r="K76" s="61" t="n"/>
      <c r="L76" s="92">
        <f>CALC_WSF!$BA$20</f>
        <v/>
      </c>
      <c r="M76" s="92">
        <f>CALC_WSF!$BB$20</f>
        <v/>
      </c>
      <c r="N76" s="92">
        <f>CALC_WSF!$BC$20</f>
        <v/>
      </c>
    </row>
    <row r="77">
      <c r="B77" s="87">
        <f>CALC_WSF!$AX$21</f>
        <v/>
      </c>
      <c r="D77" s="87">
        <f>CALC_WSF!$AY$21</f>
        <v/>
      </c>
      <c r="F77" s="87">
        <f>CALC_WSF!$AZ$21</f>
        <v/>
      </c>
      <c r="L77" s="93">
        <f>CALC_WSF!$BA$21</f>
        <v/>
      </c>
      <c r="M77" s="93">
        <f>CALC_WSF!$BB$21</f>
        <v/>
      </c>
      <c r="N77" s="93">
        <f>CALC_WSF!$BC$21</f>
        <v/>
      </c>
    </row>
    <row r="78">
      <c r="B78" s="91">
        <f>CALC_WSF!$AX$22</f>
        <v/>
      </c>
      <c r="C78" s="61" t="n"/>
      <c r="D78" s="91">
        <f>CALC_WSF!$AY$22</f>
        <v/>
      </c>
      <c r="E78" s="61" t="n"/>
      <c r="F78" s="91">
        <f>CALC_WSF!$AZ$22</f>
        <v/>
      </c>
      <c r="G78" s="61" t="n"/>
      <c r="H78" s="61" t="n"/>
      <c r="I78" s="61" t="n"/>
      <c r="J78" s="61" t="n"/>
      <c r="K78" s="61" t="n"/>
      <c r="L78" s="92">
        <f>CALC_WSF!$BA$22</f>
        <v/>
      </c>
      <c r="M78" s="92">
        <f>CALC_WSF!$BB$22</f>
        <v/>
      </c>
      <c r="N78" s="92">
        <f>CALC_WSF!$BC$22</f>
        <v/>
      </c>
    </row>
    <row r="79">
      <c r="B79" s="87">
        <f>CALC_WSF!$AX$23</f>
        <v/>
      </c>
      <c r="D79" s="87">
        <f>CALC_WSF!$AY$23</f>
        <v/>
      </c>
      <c r="F79" s="87">
        <f>CALC_WSF!$AZ$23</f>
        <v/>
      </c>
      <c r="L79" s="93">
        <f>CALC_WSF!$BA$23</f>
        <v/>
      </c>
      <c r="M79" s="93">
        <f>CALC_WSF!$BB$23</f>
        <v/>
      </c>
      <c r="N79" s="93">
        <f>CALC_WSF!$BC$23</f>
        <v/>
      </c>
    </row>
    <row r="80">
      <c r="B80" s="91">
        <f>CALC_WSF!$AX$24</f>
        <v/>
      </c>
      <c r="C80" s="61" t="n"/>
      <c r="D80" s="91">
        <f>CALC_WSF!$AY$24</f>
        <v/>
      </c>
      <c r="E80" s="61" t="n"/>
      <c r="F80" s="91">
        <f>CALC_WSF!$AZ$24</f>
        <v/>
      </c>
      <c r="G80" s="61" t="n"/>
      <c r="H80" s="61" t="n"/>
      <c r="I80" s="61" t="n"/>
      <c r="J80" s="61" t="n"/>
      <c r="K80" s="61" t="n"/>
      <c r="L80" s="92">
        <f>CALC_WSF!$BA$24</f>
        <v/>
      </c>
      <c r="M80" s="92">
        <f>CALC_WSF!$BB$24</f>
        <v/>
      </c>
      <c r="N80" s="92">
        <f>CALC_WSF!$BC$24</f>
        <v/>
      </c>
    </row>
    <row r="81">
      <c r="B81" s="87">
        <f>CALC_WSF!$AX$25</f>
        <v/>
      </c>
      <c r="D81" s="87">
        <f>CALC_WSF!$AY$25</f>
        <v/>
      </c>
      <c r="F81" s="87">
        <f>CALC_WSF!$AZ$25</f>
        <v/>
      </c>
      <c r="L81" s="93">
        <f>CALC_WSF!$BA$25</f>
        <v/>
      </c>
      <c r="M81" s="93">
        <f>CALC_WSF!$BB$25</f>
        <v/>
      </c>
      <c r="N81" s="93">
        <f>CALC_WSF!$BC$25</f>
        <v/>
      </c>
    </row>
    <row r="82">
      <c r="B82" s="91">
        <f>CALC_WSF!$AX$26</f>
        <v/>
      </c>
      <c r="C82" s="61" t="n"/>
      <c r="D82" s="91">
        <f>CALC_WSF!$AY$26</f>
        <v/>
      </c>
      <c r="E82" s="61" t="n"/>
      <c r="F82" s="91">
        <f>CALC_WSF!$AZ$26</f>
        <v/>
      </c>
      <c r="G82" s="61" t="n"/>
      <c r="H82" s="61" t="n"/>
      <c r="I82" s="61" t="n"/>
      <c r="J82" s="61" t="n"/>
      <c r="K82" s="61" t="n"/>
      <c r="L82" s="92">
        <f>CALC_WSF!$BA$26</f>
        <v/>
      </c>
      <c r="M82" s="92">
        <f>CALC_WSF!$BB$26</f>
        <v/>
      </c>
      <c r="N82" s="92">
        <f>CALC_WSF!$BC$26</f>
        <v/>
      </c>
    </row>
    <row r="83">
      <c r="B83" s="87">
        <f>CALC_WSF!$AX$27</f>
        <v/>
      </c>
      <c r="D83" s="87">
        <f>CALC_WSF!$AY$27</f>
        <v/>
      </c>
      <c r="F83" s="87">
        <f>CALC_WSF!$AZ$27</f>
        <v/>
      </c>
      <c r="L83" s="93">
        <f>CALC_WSF!$BA$27</f>
        <v/>
      </c>
      <c r="M83" s="93">
        <f>CALC_WSF!$BB$27</f>
        <v/>
      </c>
      <c r="N83" s="93">
        <f>CALC_WSF!$BC$27</f>
        <v/>
      </c>
    </row>
    <row r="84">
      <c r="B84" s="91">
        <f>CALC_WSF!$AX$28</f>
        <v/>
      </c>
      <c r="C84" s="61" t="n"/>
      <c r="D84" s="91">
        <f>CALC_WSF!$AY$28</f>
        <v/>
      </c>
      <c r="E84" s="61" t="n"/>
      <c r="F84" s="91">
        <f>CALC_WSF!$AZ$28</f>
        <v/>
      </c>
      <c r="G84" s="61" t="n"/>
      <c r="H84" s="61" t="n"/>
      <c r="I84" s="61" t="n"/>
      <c r="J84" s="61" t="n"/>
      <c r="K84" s="61" t="n"/>
      <c r="L84" s="92">
        <f>CALC_WSF!$BA$28</f>
        <v/>
      </c>
      <c r="M84" s="92">
        <f>CALC_WSF!$BB$28</f>
        <v/>
      </c>
      <c r="N84" s="92">
        <f>CALC_WSF!$BC$28</f>
        <v/>
      </c>
    </row>
    <row r="85">
      <c r="B85" s="87">
        <f>CALC_WSF!$AX$29</f>
        <v/>
      </c>
      <c r="D85" s="87">
        <f>CALC_WSF!$AY$29</f>
        <v/>
      </c>
      <c r="F85" s="87">
        <f>CALC_WSF!$AZ$29</f>
        <v/>
      </c>
      <c r="L85" s="93">
        <f>CALC_WSF!$BA$29</f>
        <v/>
      </c>
      <c r="M85" s="93">
        <f>CALC_WSF!$BB$29</f>
        <v/>
      </c>
      <c r="N85" s="93">
        <f>CALC_WSF!$BC$29</f>
        <v/>
      </c>
    </row>
    <row r="86">
      <c r="B86" s="91">
        <f>CALC_WSF!$AX$30</f>
        <v/>
      </c>
      <c r="C86" s="61" t="n"/>
      <c r="D86" s="91">
        <f>CALC_WSF!$AY$30</f>
        <v/>
      </c>
      <c r="E86" s="61" t="n"/>
      <c r="F86" s="91">
        <f>CALC_WSF!$AZ$30</f>
        <v/>
      </c>
      <c r="G86" s="61" t="n"/>
      <c r="H86" s="61" t="n"/>
      <c r="I86" s="61" t="n"/>
      <c r="J86" s="61" t="n"/>
      <c r="K86" s="61" t="n"/>
      <c r="L86" s="92">
        <f>CALC_WSF!$BA$30</f>
        <v/>
      </c>
      <c r="M86" s="92">
        <f>CALC_WSF!$BB$30</f>
        <v/>
      </c>
      <c r="N86" s="92">
        <f>CALC_WSF!$BC$30</f>
        <v/>
      </c>
    </row>
    <row r="87">
      <c r="B87" s="87">
        <f>CALC_WSF!$AX$31</f>
        <v/>
      </c>
      <c r="D87" s="87">
        <f>CALC_WSF!$AY$31</f>
        <v/>
      </c>
      <c r="F87" s="87">
        <f>CALC_WSF!$AZ$31</f>
        <v/>
      </c>
      <c r="L87" s="93">
        <f>CALC_WSF!$BA$31</f>
        <v/>
      </c>
      <c r="M87" s="93">
        <f>CALC_WSF!$BB$31</f>
        <v/>
      </c>
      <c r="N87" s="93">
        <f>CALC_WSF!$BC$31</f>
        <v/>
      </c>
    </row>
    <row r="88">
      <c r="B88" s="91">
        <f>CALC_WSF!$AX$32</f>
        <v/>
      </c>
      <c r="C88" s="61" t="n"/>
      <c r="D88" s="91">
        <f>CALC_WSF!$AY$32</f>
        <v/>
      </c>
      <c r="E88" s="61" t="n"/>
      <c r="F88" s="91">
        <f>CALC_WSF!$AZ$32</f>
        <v/>
      </c>
      <c r="G88" s="61" t="n"/>
      <c r="H88" s="61" t="n"/>
      <c r="I88" s="61" t="n"/>
      <c r="J88" s="61" t="n"/>
      <c r="K88" s="61" t="n"/>
      <c r="L88" s="92">
        <f>CALC_WSF!$BA$32</f>
        <v/>
      </c>
      <c r="M88" s="92">
        <f>CALC_WSF!$BB$32</f>
        <v/>
      </c>
      <c r="N88" s="92">
        <f>CALC_WSF!$BC$32</f>
        <v/>
      </c>
    </row>
    <row r="89">
      <c r="B89" s="87">
        <f>CALC_WSF!$AX$33</f>
        <v/>
      </c>
      <c r="D89" s="87">
        <f>CALC_WSF!$AY$33</f>
        <v/>
      </c>
      <c r="F89" s="87">
        <f>CALC_WSF!$AZ$33</f>
        <v/>
      </c>
      <c r="L89" s="93">
        <f>CALC_WSF!$BA$33</f>
        <v/>
      </c>
      <c r="M89" s="93">
        <f>CALC_WSF!$BB$33</f>
        <v/>
      </c>
      <c r="N89" s="93">
        <f>CALC_WSF!$BC$33</f>
        <v/>
      </c>
    </row>
    <row r="90">
      <c r="B90" s="91">
        <f>CALC_WSF!$AX$34</f>
        <v/>
      </c>
      <c r="C90" s="61" t="n"/>
      <c r="D90" s="91">
        <f>CALC_WSF!$AY$34</f>
        <v/>
      </c>
      <c r="E90" s="61" t="n"/>
      <c r="F90" s="91">
        <f>CALC_WSF!$AZ$34</f>
        <v/>
      </c>
      <c r="G90" s="61" t="n"/>
      <c r="H90" s="61" t="n"/>
      <c r="I90" s="61" t="n"/>
      <c r="J90" s="61" t="n"/>
      <c r="K90" s="61" t="n"/>
      <c r="L90" s="92">
        <f>CALC_WSF!$BA$34</f>
        <v/>
      </c>
      <c r="M90" s="92">
        <f>CALC_WSF!$BB$34</f>
        <v/>
      </c>
      <c r="N90" s="92">
        <f>CALC_WSF!$BC$34</f>
        <v/>
      </c>
    </row>
    <row r="91">
      <c r="B91" s="87">
        <f>CALC_WSF!$AX$35</f>
        <v/>
      </c>
      <c r="D91" s="87">
        <f>CALC_WSF!$AY$35</f>
        <v/>
      </c>
      <c r="F91" s="87">
        <f>CALC_WSF!$AZ$35</f>
        <v/>
      </c>
      <c r="L91" s="93">
        <f>CALC_WSF!$BA$35</f>
        <v/>
      </c>
      <c r="M91" s="93">
        <f>CALC_WSF!$BB$35</f>
        <v/>
      </c>
      <c r="N91" s="93">
        <f>CALC_WSF!$BC$35</f>
        <v/>
      </c>
    </row>
    <row r="92">
      <c r="B92" s="91">
        <f>CALC_WSF!$AX$36</f>
        <v/>
      </c>
      <c r="C92" s="61" t="n"/>
      <c r="D92" s="91">
        <f>CALC_WSF!$AY$36</f>
        <v/>
      </c>
      <c r="E92" s="61" t="n"/>
      <c r="F92" s="91">
        <f>CALC_WSF!$AZ$36</f>
        <v/>
      </c>
      <c r="G92" s="61" t="n"/>
      <c r="H92" s="61" t="n"/>
      <c r="I92" s="61" t="n"/>
      <c r="J92" s="61" t="n"/>
      <c r="K92" s="61" t="n"/>
      <c r="L92" s="92">
        <f>CALC_WSF!$BA$36</f>
        <v/>
      </c>
      <c r="M92" s="92">
        <f>CALC_WSF!$BB$36</f>
        <v/>
      </c>
      <c r="N92" s="92">
        <f>CALC_WSF!$BC$36</f>
        <v/>
      </c>
    </row>
    <row r="93">
      <c r="B93" s="87">
        <f>CALC_WSF!$AX$37</f>
        <v/>
      </c>
      <c r="D93" s="87">
        <f>CALC_WSF!$AY$37</f>
        <v/>
      </c>
      <c r="F93" s="87">
        <f>CALC_WSF!$AZ$37</f>
        <v/>
      </c>
      <c r="L93" s="93">
        <f>CALC_WSF!$BA$37</f>
        <v/>
      </c>
      <c r="M93" s="93">
        <f>CALC_WSF!$BB$37</f>
        <v/>
      </c>
      <c r="N93" s="93">
        <f>CALC_WSF!$BC$37</f>
        <v/>
      </c>
    </row>
    <row r="94">
      <c r="B94" s="91">
        <f>CALC_WSF!$AX$38</f>
        <v/>
      </c>
      <c r="C94" s="61" t="n"/>
      <c r="D94" s="91">
        <f>CALC_WSF!$AY$38</f>
        <v/>
      </c>
      <c r="E94" s="61" t="n"/>
      <c r="F94" s="91">
        <f>CALC_WSF!$AZ$38</f>
        <v/>
      </c>
      <c r="G94" s="61" t="n"/>
      <c r="H94" s="61" t="n"/>
      <c r="I94" s="61" t="n"/>
      <c r="J94" s="61" t="n"/>
      <c r="K94" s="61" t="n"/>
      <c r="L94" s="92">
        <f>CALC_WSF!$BA$38</f>
        <v/>
      </c>
      <c r="M94" s="92">
        <f>CALC_WSF!$BB$38</f>
        <v/>
      </c>
      <c r="N94" s="92">
        <f>CALC_WSF!$BC$38</f>
        <v/>
      </c>
    </row>
    <row r="95">
      <c r="B95" s="87">
        <f>CALC_WSF!$AX$39</f>
        <v/>
      </c>
      <c r="D95" s="87">
        <f>CALC_WSF!$AY$39</f>
        <v/>
      </c>
      <c r="F95" s="87">
        <f>CALC_WSF!$AZ$39</f>
        <v/>
      </c>
      <c r="L95" s="93">
        <f>CALC_WSF!$BA$39</f>
        <v/>
      </c>
      <c r="M95" s="93">
        <f>CALC_WSF!$BB$39</f>
        <v/>
      </c>
      <c r="N95" s="93">
        <f>CALC_WSF!$BC$39</f>
        <v/>
      </c>
    </row>
    <row r="96">
      <c r="B96" s="91">
        <f>CALC_WSF!$AX$40</f>
        <v/>
      </c>
      <c r="C96" s="61" t="n"/>
      <c r="D96" s="91">
        <f>CALC_WSF!$AY$40</f>
        <v/>
      </c>
      <c r="E96" s="61" t="n"/>
      <c r="F96" s="91">
        <f>CALC_WSF!$AZ$40</f>
        <v/>
      </c>
      <c r="G96" s="61" t="n"/>
      <c r="H96" s="61" t="n"/>
      <c r="I96" s="61" t="n"/>
      <c r="J96" s="61" t="n"/>
      <c r="K96" s="61" t="n"/>
      <c r="L96" s="92">
        <f>CALC_WSF!$BA$40</f>
        <v/>
      </c>
      <c r="M96" s="92">
        <f>CALC_WSF!$BB$40</f>
        <v/>
      </c>
      <c r="N96" s="92">
        <f>CALC_WSF!$BC$40</f>
        <v/>
      </c>
    </row>
    <row r="97">
      <c r="B97" s="87">
        <f>CALC_WSF!$AX$41</f>
        <v/>
      </c>
      <c r="D97" s="87">
        <f>CALC_WSF!$AY$41</f>
        <v/>
      </c>
      <c r="F97" s="87">
        <f>CALC_WSF!$AZ$41</f>
        <v/>
      </c>
      <c r="L97" s="93">
        <f>CALC_WSF!$BA$41</f>
        <v/>
      </c>
      <c r="M97" s="93">
        <f>CALC_WSF!$BB$41</f>
        <v/>
      </c>
      <c r="N97" s="93">
        <f>CALC_WSF!$BC$41</f>
        <v/>
      </c>
    </row>
    <row r="98">
      <c r="B98" s="91">
        <f>CALC_WSF!$AX$42</f>
        <v/>
      </c>
      <c r="C98" s="61" t="n"/>
      <c r="D98" s="91">
        <f>CALC_WSF!$AY$42</f>
        <v/>
      </c>
      <c r="E98" s="61" t="n"/>
      <c r="F98" s="91">
        <f>CALC_WSF!$AZ$42</f>
        <v/>
      </c>
      <c r="G98" s="61" t="n"/>
      <c r="H98" s="61" t="n"/>
      <c r="I98" s="61" t="n"/>
      <c r="J98" s="61" t="n"/>
      <c r="K98" s="61" t="n"/>
      <c r="L98" s="92">
        <f>CALC_WSF!$BA$42</f>
        <v/>
      </c>
      <c r="M98" s="92">
        <f>CALC_WSF!$BB$42</f>
        <v/>
      </c>
      <c r="N98" s="92">
        <f>CALC_WSF!$BC$42</f>
        <v/>
      </c>
    </row>
    <row r="99">
      <c r="B99" s="87">
        <f>CALC_WSF!$AX$43</f>
        <v/>
      </c>
      <c r="D99" s="87">
        <f>CALC_WSF!$AY$43</f>
        <v/>
      </c>
      <c r="F99" s="87">
        <f>CALC_WSF!$AZ$43</f>
        <v/>
      </c>
      <c r="L99" s="93">
        <f>CALC_WSF!$BA$43</f>
        <v/>
      </c>
      <c r="M99" s="93">
        <f>CALC_WSF!$BB$43</f>
        <v/>
      </c>
      <c r="N99" s="93">
        <f>CALC_WSF!$BC$43</f>
        <v/>
      </c>
    </row>
    <row r="100">
      <c r="B100" s="91">
        <f>CALC_WSF!$AX$44</f>
        <v/>
      </c>
      <c r="C100" s="61" t="n"/>
      <c r="D100" s="91">
        <f>CALC_WSF!$AY$44</f>
        <v/>
      </c>
      <c r="E100" s="61" t="n"/>
      <c r="F100" s="91">
        <f>CALC_WSF!$AZ$44</f>
        <v/>
      </c>
      <c r="G100" s="61" t="n"/>
      <c r="H100" s="61" t="n"/>
      <c r="I100" s="61" t="n"/>
      <c r="J100" s="61" t="n"/>
      <c r="K100" s="61" t="n"/>
      <c r="L100" s="92">
        <f>CALC_WSF!$BA$44</f>
        <v/>
      </c>
      <c r="M100" s="92">
        <f>CALC_WSF!$BB$44</f>
        <v/>
      </c>
      <c r="N100" s="92">
        <f>CALC_WSF!$BC$44</f>
        <v/>
      </c>
    </row>
    <row r="101">
      <c r="B101" s="87">
        <f>CALC_WSF!$AX$45</f>
        <v/>
      </c>
      <c r="D101" s="87">
        <f>CALC_WSF!$AY$45</f>
        <v/>
      </c>
      <c r="F101" s="87">
        <f>CALC_WSF!$AZ$45</f>
        <v/>
      </c>
      <c r="L101" s="93">
        <f>CALC_WSF!$BA$45</f>
        <v/>
      </c>
      <c r="M101" s="93">
        <f>CALC_WSF!$BB$45</f>
        <v/>
      </c>
      <c r="N101" s="93">
        <f>CALC_WSF!$BC$45</f>
        <v/>
      </c>
    </row>
    <row r="102">
      <c r="B102" s="91">
        <f>CALC_WSF!$AX$46</f>
        <v/>
      </c>
      <c r="C102" s="61" t="n"/>
      <c r="D102" s="91">
        <f>CALC_WSF!$AY$46</f>
        <v/>
      </c>
      <c r="E102" s="61" t="n"/>
      <c r="F102" s="91">
        <f>CALC_WSF!$AZ$46</f>
        <v/>
      </c>
      <c r="G102" s="61" t="n"/>
      <c r="H102" s="61" t="n"/>
      <c r="I102" s="61" t="n"/>
      <c r="J102" s="61" t="n"/>
      <c r="K102" s="61" t="n"/>
      <c r="L102" s="92">
        <f>CALC_WSF!$BA$46</f>
        <v/>
      </c>
      <c r="M102" s="92">
        <f>CALC_WSF!$BB$46</f>
        <v/>
      </c>
      <c r="N102" s="92">
        <f>CALC_WSF!$BC$46</f>
        <v/>
      </c>
    </row>
    <row r="103">
      <c r="B103" s="87">
        <f>CALC_WSF!$AX$47</f>
        <v/>
      </c>
      <c r="D103" s="87">
        <f>CALC_WSF!$AY$47</f>
        <v/>
      </c>
      <c r="F103" s="87">
        <f>CALC_WSF!$AZ$47</f>
        <v/>
      </c>
      <c r="L103" s="93">
        <f>CALC_WSF!$BA$47</f>
        <v/>
      </c>
      <c r="M103" s="93">
        <f>CALC_WSF!$BB$47</f>
        <v/>
      </c>
      <c r="N103" s="93">
        <f>CALC_WSF!$BC$47</f>
        <v/>
      </c>
    </row>
    <row r="104">
      <c r="B104" s="91">
        <f>CALC_WSF!$AX$48</f>
        <v/>
      </c>
      <c r="C104" s="61" t="n"/>
      <c r="D104" s="91">
        <f>CALC_WSF!$AY$48</f>
        <v/>
      </c>
      <c r="E104" s="61" t="n"/>
      <c r="F104" s="91">
        <f>CALC_WSF!$AZ$48</f>
        <v/>
      </c>
      <c r="G104" s="61" t="n"/>
      <c r="H104" s="61" t="n"/>
      <c r="I104" s="61" t="n"/>
      <c r="J104" s="61" t="n"/>
      <c r="K104" s="61" t="n"/>
      <c r="L104" s="92">
        <f>CALC_WSF!$BA$48</f>
        <v/>
      </c>
      <c r="M104" s="92">
        <f>CALC_WSF!$BB$48</f>
        <v/>
      </c>
      <c r="N104" s="92">
        <f>CALC_WSF!$BC$48</f>
        <v/>
      </c>
    </row>
    <row r="105">
      <c r="B105" s="87">
        <f>CALC_WSF!$AX$49</f>
        <v/>
      </c>
      <c r="D105" s="87">
        <f>CALC_WSF!$AY$49</f>
        <v/>
      </c>
      <c r="F105" s="87">
        <f>CALC_WSF!$AZ$49</f>
        <v/>
      </c>
      <c r="L105" s="93">
        <f>CALC_WSF!$BA$49</f>
        <v/>
      </c>
      <c r="M105" s="93">
        <f>CALC_WSF!$BB$49</f>
        <v/>
      </c>
      <c r="N105" s="93">
        <f>CALC_WSF!$BC$49</f>
        <v/>
      </c>
    </row>
    <row r="106">
      <c r="B106" s="91">
        <f>CALC_WSF!$AX$50</f>
        <v/>
      </c>
      <c r="C106" s="61" t="n"/>
      <c r="D106" s="91">
        <f>CALC_WSF!$AY$50</f>
        <v/>
      </c>
      <c r="E106" s="61" t="n"/>
      <c r="F106" s="91">
        <f>CALC_WSF!$AZ$50</f>
        <v/>
      </c>
      <c r="G106" s="61" t="n"/>
      <c r="H106" s="61" t="n"/>
      <c r="I106" s="61" t="n"/>
      <c r="J106" s="61" t="n"/>
      <c r="K106" s="61" t="n"/>
      <c r="L106" s="92">
        <f>CALC_WSF!$BA$50</f>
        <v/>
      </c>
      <c r="M106" s="92">
        <f>CALC_WSF!$BB$50</f>
        <v/>
      </c>
      <c r="N106" s="92">
        <f>CALC_WSF!$BC$50</f>
        <v/>
      </c>
    </row>
    <row r="107">
      <c r="B107" s="87">
        <f>CALC_WSF!$AX$51</f>
        <v/>
      </c>
      <c r="D107" s="87">
        <f>CALC_WSF!$AY$51</f>
        <v/>
      </c>
      <c r="F107" s="87">
        <f>CALC_WSF!$AZ$51</f>
        <v/>
      </c>
      <c r="L107" s="93">
        <f>CALC_WSF!$BA$51</f>
        <v/>
      </c>
      <c r="M107" s="93">
        <f>CALC_WSF!$BB$51</f>
        <v/>
      </c>
      <c r="N107" s="93">
        <f>CALC_WSF!$BC$51</f>
        <v/>
      </c>
    </row>
    <row r="108">
      <c r="B108" s="91">
        <f>CALC_WSF!$AX$52</f>
        <v/>
      </c>
      <c r="C108" s="61" t="n"/>
      <c r="D108" s="91">
        <f>CALC_WSF!$AY$52</f>
        <v/>
      </c>
      <c r="E108" s="61" t="n"/>
      <c r="F108" s="91">
        <f>CALC_WSF!$AZ$52</f>
        <v/>
      </c>
      <c r="G108" s="61" t="n"/>
      <c r="H108" s="61" t="n"/>
      <c r="I108" s="61" t="n"/>
      <c r="J108" s="61" t="n"/>
      <c r="K108" s="61" t="n"/>
      <c r="L108" s="92">
        <f>CALC_WSF!$BA$52</f>
        <v/>
      </c>
      <c r="M108" s="92">
        <f>CALC_WSF!$BB$52</f>
        <v/>
      </c>
      <c r="N108" s="92">
        <f>CALC_WSF!$BC$52</f>
        <v/>
      </c>
    </row>
    <row r="109">
      <c r="B109" s="87">
        <f>CALC_WSF!$AX$53</f>
        <v/>
      </c>
      <c r="D109" s="87">
        <f>CALC_WSF!$AY$53</f>
        <v/>
      </c>
      <c r="F109" s="87">
        <f>CALC_WSF!$AZ$53</f>
        <v/>
      </c>
      <c r="L109" s="93">
        <f>CALC_WSF!$BA$53</f>
        <v/>
      </c>
      <c r="M109" s="93">
        <f>CALC_WSF!$BB$53</f>
        <v/>
      </c>
      <c r="N109" s="93">
        <f>CALC_WSF!$BC$53</f>
        <v/>
      </c>
    </row>
  </sheetData>
  <mergeCells count="212">
    <mergeCell ref="B91:C91"/>
    <mergeCell ref="F104:K104"/>
    <mergeCell ref="D60:E60"/>
    <mergeCell ref="B100:C100"/>
    <mergeCell ref="D100:E100"/>
    <mergeCell ref="H10:I10"/>
    <mergeCell ref="J10:K10"/>
    <mergeCell ref="B25:O25"/>
    <mergeCell ref="B22:C22"/>
    <mergeCell ref="D84:E84"/>
    <mergeCell ref="B93:C93"/>
    <mergeCell ref="N50:O52"/>
    <mergeCell ref="F106:K106"/>
    <mergeCell ref="B102:C102"/>
    <mergeCell ref="H9:I9"/>
    <mergeCell ref="D45:E45"/>
    <mergeCell ref="J9:K9"/>
    <mergeCell ref="B77:C77"/>
    <mergeCell ref="B58:O58"/>
    <mergeCell ref="F90:K90"/>
    <mergeCell ref="B21:C21"/>
    <mergeCell ref="D77:E77"/>
    <mergeCell ref="B86:C86"/>
    <mergeCell ref="D108:E108"/>
    <mergeCell ref="D86:E86"/>
    <mergeCell ref="B67:C67"/>
    <mergeCell ref="B61:C61"/>
    <mergeCell ref="B101:C101"/>
    <mergeCell ref="B14:C14"/>
    <mergeCell ref="D61:E61"/>
    <mergeCell ref="F67:K67"/>
    <mergeCell ref="J45:K45"/>
    <mergeCell ref="D70:E70"/>
    <mergeCell ref="L45:M45"/>
    <mergeCell ref="F77:K77"/>
    <mergeCell ref="B13:C13"/>
    <mergeCell ref="B69:C69"/>
    <mergeCell ref="F82:K82"/>
    <mergeCell ref="B78:C78"/>
    <mergeCell ref="D7:E7"/>
    <mergeCell ref="D72:E72"/>
    <mergeCell ref="D78:E78"/>
    <mergeCell ref="H45:I45"/>
    <mergeCell ref="L3:O3"/>
    <mergeCell ref="D62:E62"/>
    <mergeCell ref="D71:E71"/>
    <mergeCell ref="B24:C24"/>
    <mergeCell ref="F103:K103"/>
    <mergeCell ref="B64:C64"/>
    <mergeCell ref="D64:E64"/>
    <mergeCell ref="B104:C104"/>
    <mergeCell ref="D98:E98"/>
    <mergeCell ref="D73:E73"/>
    <mergeCell ref="F84:K84"/>
    <mergeCell ref="L4:O4"/>
    <mergeCell ref="B63:C63"/>
    <mergeCell ref="D88:E88"/>
    <mergeCell ref="C3:D3"/>
    <mergeCell ref="B106:C106"/>
    <mergeCell ref="F59:K59"/>
    <mergeCell ref="F86:K86"/>
    <mergeCell ref="F80:K80"/>
    <mergeCell ref="B16:C16"/>
    <mergeCell ref="F95:K95"/>
    <mergeCell ref="D10:E10"/>
    <mergeCell ref="L7:M7"/>
    <mergeCell ref="F10:G10"/>
    <mergeCell ref="N7:O7"/>
    <mergeCell ref="B90:C90"/>
    <mergeCell ref="D90:E90"/>
    <mergeCell ref="F70:K70"/>
    <mergeCell ref="F79:K79"/>
    <mergeCell ref="D99:E99"/>
    <mergeCell ref="B66:C66"/>
    <mergeCell ref="B18:C18"/>
    <mergeCell ref="F97:K97"/>
    <mergeCell ref="C4:D4"/>
    <mergeCell ref="F72:K72"/>
    <mergeCell ref="F81:K81"/>
    <mergeCell ref="D101:E101"/>
    <mergeCell ref="D76:E76"/>
    <mergeCell ref="F45:G45"/>
    <mergeCell ref="F71:K71"/>
    <mergeCell ref="F105:K105"/>
    <mergeCell ref="D66:E66"/>
    <mergeCell ref="D75:E75"/>
    <mergeCell ref="F107:K107"/>
    <mergeCell ref="F60:K60"/>
    <mergeCell ref="B103:C103"/>
    <mergeCell ref="D103:E103"/>
    <mergeCell ref="B84:C84"/>
    <mergeCell ref="D9:E9"/>
    <mergeCell ref="F9:G9"/>
    <mergeCell ref="F63:K63"/>
    <mergeCell ref="B15:C15"/>
    <mergeCell ref="F68:K68"/>
    <mergeCell ref="F99:K99"/>
    <mergeCell ref="B80:C80"/>
    <mergeCell ref="B95:C95"/>
    <mergeCell ref="F108:K108"/>
    <mergeCell ref="B89:C89"/>
    <mergeCell ref="D89:E89"/>
    <mergeCell ref="B5:O5"/>
    <mergeCell ref="F83:K83"/>
    <mergeCell ref="B79:C79"/>
    <mergeCell ref="D79:E79"/>
    <mergeCell ref="B97:C97"/>
    <mergeCell ref="B7:C7"/>
    <mergeCell ref="B72:C72"/>
    <mergeCell ref="F85:K85"/>
    <mergeCell ref="D63:E63"/>
    <mergeCell ref="B81:C81"/>
    <mergeCell ref="F94:K94"/>
    <mergeCell ref="D81:E81"/>
    <mergeCell ref="F75:K75"/>
    <mergeCell ref="B96:C96"/>
    <mergeCell ref="B71:C71"/>
    <mergeCell ref="D65:E65"/>
    <mergeCell ref="F62:K62"/>
    <mergeCell ref="D96:E96"/>
    <mergeCell ref="F7:G7"/>
    <mergeCell ref="B105:C105"/>
    <mergeCell ref="D105:E105"/>
    <mergeCell ref="B98:C98"/>
    <mergeCell ref="B107:C107"/>
    <mergeCell ref="B60:C60"/>
    <mergeCell ref="D107:E107"/>
    <mergeCell ref="F61:K61"/>
    <mergeCell ref="B17:C17"/>
    <mergeCell ref="F96:K96"/>
    <mergeCell ref="L8:M8"/>
    <mergeCell ref="B88:C88"/>
    <mergeCell ref="N8:O8"/>
    <mergeCell ref="B82:C82"/>
    <mergeCell ref="F8:G8"/>
    <mergeCell ref="D91:E91"/>
    <mergeCell ref="B19:C19"/>
    <mergeCell ref="F98:K98"/>
    <mergeCell ref="L10:M10"/>
    <mergeCell ref="D106:E106"/>
    <mergeCell ref="N10:O10"/>
    <mergeCell ref="B99:C99"/>
    <mergeCell ref="D93:E93"/>
    <mergeCell ref="B108:C108"/>
    <mergeCell ref="F73:K73"/>
    <mergeCell ref="B9:C9"/>
    <mergeCell ref="F88:K88"/>
    <mergeCell ref="D102:E102"/>
    <mergeCell ref="B83:C83"/>
    <mergeCell ref="L9:M9"/>
    <mergeCell ref="D83:E83"/>
    <mergeCell ref="N9:O9"/>
    <mergeCell ref="B92:C92"/>
    <mergeCell ref="D92:E92"/>
    <mergeCell ref="B20:C20"/>
    <mergeCell ref="D67:E67"/>
    <mergeCell ref="B76:C76"/>
    <mergeCell ref="B45:C45"/>
    <mergeCell ref="B85:C85"/>
    <mergeCell ref="E4:G4"/>
    <mergeCell ref="D85:E85"/>
    <mergeCell ref="B94:C94"/>
    <mergeCell ref="N45:O45"/>
    <mergeCell ref="F74:K74"/>
    <mergeCell ref="D94:E94"/>
    <mergeCell ref="B75:C75"/>
    <mergeCell ref="D69:E69"/>
    <mergeCell ref="B109:C109"/>
    <mergeCell ref="B62:C62"/>
    <mergeCell ref="D109:E109"/>
    <mergeCell ref="B59:C59"/>
    <mergeCell ref="F76:K76"/>
    <mergeCell ref="F101:K101"/>
    <mergeCell ref="D80:E80"/>
    <mergeCell ref="F66:K66"/>
    <mergeCell ref="F91:K91"/>
    <mergeCell ref="F100:K100"/>
    <mergeCell ref="F109:K109"/>
    <mergeCell ref="B70:C70"/>
    <mergeCell ref="D95:E95"/>
    <mergeCell ref="D104:E104"/>
    <mergeCell ref="F93:K93"/>
    <mergeCell ref="B23:C23"/>
    <mergeCell ref="F102:K102"/>
    <mergeCell ref="D97:E97"/>
    <mergeCell ref="B8:C8"/>
    <mergeCell ref="F92:K92"/>
    <mergeCell ref="I3:J3"/>
    <mergeCell ref="B73:C73"/>
    <mergeCell ref="B87:C87"/>
    <mergeCell ref="D87:E87"/>
    <mergeCell ref="H7:I7"/>
    <mergeCell ref="B10:C10"/>
    <mergeCell ref="J7:K7"/>
    <mergeCell ref="E3:G3"/>
    <mergeCell ref="F69:K69"/>
    <mergeCell ref="F64:K64"/>
    <mergeCell ref="B65:C65"/>
    <mergeCell ref="F78:K78"/>
    <mergeCell ref="D8:E8"/>
    <mergeCell ref="B74:C74"/>
    <mergeCell ref="F87:K87"/>
    <mergeCell ref="F65:K65"/>
    <mergeCell ref="I4:J4"/>
    <mergeCell ref="B68:C68"/>
    <mergeCell ref="D68:E68"/>
    <mergeCell ref="D74:E74"/>
    <mergeCell ref="D82:E82"/>
    <mergeCell ref="F89:K89"/>
    <mergeCell ref="H8:I8"/>
    <mergeCell ref="J8:K8"/>
    <mergeCell ref="D59:E59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112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 · attendance and zone reporting compliance (Community Churches excluded)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3" ht="16" customHeight="1">
      <c r="B3" s="97" t="inlineStr">
        <is>
          <t>SCOPE</t>
        </is>
      </c>
      <c r="C3" s="97" t="inlineStr">
        <is>
          <t>SEARCH  (type part of a name)</t>
        </is>
      </c>
      <c r="E3" s="97" t="inlineStr">
        <is>
          <t>SELECT AREA / ZONE  ▼</t>
        </is>
      </c>
      <c r="H3" s="97" t="inlineStr">
        <is>
          <t>STREAM</t>
        </is>
      </c>
      <c r="I3" s="97" t="inlineStr">
        <is>
          <t>WEEK ENDING  ▼</t>
        </is>
      </c>
      <c r="K3" s="97" t="inlineStr">
        <is>
          <t>COMPARE (WEEKS)</t>
        </is>
      </c>
      <c r="L3" s="97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98" t="inlineStr">
        <is>
          <t>Midweek</t>
        </is>
      </c>
      <c r="I4" s="45" t="inlineStr">
        <is>
          <t>Latest</t>
        </is>
      </c>
      <c r="J4" s="43" t="n"/>
      <c r="K4" s="41" t="n">
        <v>4</v>
      </c>
      <c r="L4" s="99">
        <f>CALC_MIDWEEK!$B$16&amp;IF(CALC_MIDWEEK!$B$10=0,"","  ·  w/e "&amp;TEXT(CALC_MIDWEEK!$B$10,"dd mmm yyyy"))&amp;"  ·  "&amp;CALC_MIDWEEK!$B$11&amp;"-wk window"</f>
        <v/>
      </c>
    </row>
    <row r="5" ht="18" customHeight="1">
      <c r="B5" s="100">
        <f>IF(CALC_MIDWEEK!$B$9=0,"No Midweek data loaded yet. Put the export in the inbox and run ingest.py.",IF(NOT(CALC_MIDWEEK!$B$5),"⚠  Pick "&amp;IF(CALC_MIDWEEK!$B$3="Area","an Area","a Zone")&amp;" from SELECT (type part of the name in SEARCH first).",IF(CALC_MIDWEEK!$B$18,"This zone is a Community Church: see the COMMUNITY CHURCH DASHBOARD.",IF(NOT(CALC_MIDWEEK!$B$17),"This zone is not in this service.","Compliance uses the reporting system's count of zones with a report. Community Churches are excluded."))))</f>
        <v/>
      </c>
    </row>
    <row r="7">
      <c r="B7" s="101" t="inlineStr">
        <is>
          <t>GRAND TOTAL ATTENDANCE</t>
        </is>
      </c>
      <c r="C7" s="102" t="n"/>
      <c r="D7" s="101" t="inlineStr">
        <is>
          <t>ADULTS (M + F)</t>
        </is>
      </c>
      <c r="E7" s="102" t="n"/>
      <c r="F7" s="101" t="inlineStr">
        <is>
          <t>CHILDREN</t>
        </is>
      </c>
      <c r="G7" s="102" t="n"/>
      <c r="H7" s="101" t="inlineStr">
        <is>
          <t>% ZONES REPORTING</t>
        </is>
      </c>
      <c r="I7" s="102" t="n"/>
      <c r="J7" s="101" t="inlineStr">
        <is>
          <t>ZONES REPORTED</t>
        </is>
      </c>
      <c r="K7" s="102" t="n"/>
      <c r="L7" s="101" t="inlineStr">
        <is>
          <t>FIRST TIMERS</t>
        </is>
      </c>
      <c r="M7" s="102" t="n"/>
      <c r="N7" s="101" t="inlineStr">
        <is>
          <t>AVG PER REPORTING ZONE</t>
        </is>
      </c>
      <c r="O7" s="102" t="n"/>
    </row>
    <row r="8" ht="34" customHeight="1">
      <c r="B8" s="103">
        <f>IF(OR(NOT(CALC_MIDWEEK!$B$17),CALC_MIDWEEK!$B$18),"n/a",IF(CALC_MIDWEEK!$B$90="","–",CALC_MIDWEEK!$B$90))</f>
        <v/>
      </c>
      <c r="C8" s="51" t="n"/>
      <c r="D8" s="103">
        <f>IF(OR(NOT(CALC_MIDWEEK!$B$17),CALC_MIDWEEK!$B$18),"n/a",IF(CALC_MIDWEEK!$B$91="","–",CALC_MIDWEEK!$B$91))</f>
        <v/>
      </c>
      <c r="E8" s="51" t="n"/>
      <c r="F8" s="103">
        <f>IF(OR(NOT(CALC_MIDWEEK!$B$17),CALC_MIDWEEK!$B$18),"n/a",IF(CALC_MIDWEEK!$B$94="","–",CALC_MIDWEEK!$B$94))</f>
        <v/>
      </c>
      <c r="G8" s="51" t="n"/>
      <c r="H8" s="104">
        <f>IF(OR(NOT(CALC_MIDWEEK!$B$17),CALC_MIDWEEK!$B$18),"n/a",IF(CALC_MIDWEEK!$B$100="","–",CALC_MIDWEEK!$B$100))</f>
        <v/>
      </c>
      <c r="I8" s="51" t="n"/>
      <c r="J8" s="103">
        <f>IF(OR(NOT(CALC_MIDWEEK!$B$17),CALC_MIDWEEK!$B$18),"n/a",IF(CALC_MIDWEEK!$B$98="","–",CALC_MIDWEEK!$B$98))</f>
        <v/>
      </c>
      <c r="K8" s="51" t="n"/>
      <c r="L8" s="103">
        <f>IF(OR(NOT(CALC_MIDWEEK!$B$17),CALC_MIDWEEK!$B$18),"n/a",IF(CALC_MIDWEEK!$B$95="","–",CALC_MIDWEEK!$B$95))</f>
        <v/>
      </c>
      <c r="M8" s="51" t="n"/>
      <c r="N8" s="105">
        <f>IF(OR(NOT(CALC_MIDWEEK!$B$17),CALC_MIDWEEK!$B$18),"n/a",IF(CALC_MIDWEEK!$B$102="","–",CALC_MIDWEEK!$B$102))</f>
        <v/>
      </c>
      <c r="O8" s="51" t="n"/>
    </row>
    <row r="9">
      <c r="B9" s="106">
        <f>IF(CALC_MIDWEEK!$E$90="","– vs prev wk",IF(CALC_MIDWEEK!$E$90&gt;=0,"▲ ","▼ ")&amp;TEXT(ABS(CALC_MIDWEEK!$E$90),"0.0%")&amp;" vs prev wk")</f>
        <v/>
      </c>
      <c r="C9" s="51" t="n"/>
      <c r="D9" s="106">
        <f>IF(CALC_MIDWEEK!$E$91="","– vs prev wk",IF(CALC_MIDWEEK!$E$91&gt;=0,"▲ ","▼ ")&amp;TEXT(ABS(CALC_MIDWEEK!$E$91),"0.0%")&amp;" vs prev wk")</f>
        <v/>
      </c>
      <c r="E9" s="51" t="n"/>
      <c r="F9" s="106">
        <f>IF(CALC_MIDWEEK!$E$94="","– vs prev wk",IF(CALC_MIDWEEK!$E$94&gt;=0,"▲ ","▼ ")&amp;TEXT(ABS(CALC_MIDWEEK!$E$94),"0.0%")&amp;" vs prev wk")</f>
        <v/>
      </c>
      <c r="G9" s="51" t="n"/>
      <c r="H9" s="106">
        <f>IF(CALC_MIDWEEK!$D$100="","– vs prev wk",IF(CALC_MIDWEEK!$D$100&gt;=0,"▲ ","▼ ")&amp;TEXT(ABS(CALC_MIDWEEK!$D$100)*100,"0.0")&amp;" pts vs prev wk")</f>
        <v/>
      </c>
      <c r="I9" s="51" t="n"/>
      <c r="J9" s="106">
        <f>IF(CALC_MIDWEEK!$E$98="","– vs prev wk",IF(CALC_MIDWEEK!$E$98&gt;=0,"▲ ","▼ ")&amp;TEXT(ABS(CALC_MIDWEEK!$E$98),"0.0%")&amp;" vs prev wk")</f>
        <v/>
      </c>
      <c r="K9" s="51" t="n"/>
      <c r="L9" s="106">
        <f>IF(CALC_MIDWEEK!$E$95="","– vs prev wk",IF(CALC_MIDWEEK!$E$95&gt;=0,"▲ ","▼ ")&amp;TEXT(ABS(CALC_MIDWEEK!$E$95),"0.0%")&amp;" vs prev wk")</f>
        <v/>
      </c>
      <c r="M9" s="51" t="n"/>
      <c r="N9" s="106">
        <f>IF(CALC_MIDWEEK!$E$102="","– vs prev wk",IF(CALC_MIDWEEK!$E$102&gt;=0,"▲ ","▼ ")&amp;TEXT(ABS(CALC_MIDWEEK!$E$102),"0.0%")&amp;" vs prev wk")</f>
        <v/>
      </c>
      <c r="O9" s="51" t="n"/>
    </row>
    <row r="10">
      <c r="B10" s="107">
        <f>"Avg last "&amp;CALC_MIDWEEK!$B$11&amp;" wks: "&amp;IF(CALC_MIDWEEK!$F$90="","–",TEXT(CALC_MIDWEEK!$F$90,"#,##0"))</f>
        <v/>
      </c>
      <c r="C10" s="51" t="n"/>
      <c r="D10" s="107">
        <f>"Avg last "&amp;CALC_MIDWEEK!$B$11&amp;" wks: "&amp;IF(CALC_MIDWEEK!$F$91="","–",TEXT(CALC_MIDWEEK!$F$91,"#,##0"))</f>
        <v/>
      </c>
      <c r="E10" s="51" t="n"/>
      <c r="F10" s="107">
        <f>"Avg last "&amp;CALC_MIDWEEK!$B$11&amp;" wks: "&amp;IF(CALC_MIDWEEK!$F$94="","–",TEXT(CALC_MIDWEEK!$F$94,"#,##0"))</f>
        <v/>
      </c>
      <c r="G10" s="51" t="n"/>
      <c r="H10" s="107">
        <f>"Avg last "&amp;CALC_MIDWEEK!$B$11&amp;" wks: "&amp;IF(CALC_MIDWEEK!$F$100="","–",TEXT(CALC_MIDWEEK!$F$100,"0.0%"))</f>
        <v/>
      </c>
      <c r="I10" s="51" t="n"/>
      <c r="J10" s="107">
        <f>"Avg last "&amp;CALC_MIDWEEK!$B$11&amp;" wks: "&amp;IF(CALC_MIDWEEK!$F$98="","–",TEXT(CALC_MIDWEEK!$F$98,"#,##0"))</f>
        <v/>
      </c>
      <c r="K10" s="51" t="n"/>
      <c r="L10" s="107">
        <f>"Avg last "&amp;CALC_MIDWEEK!$B$11&amp;" wks: "&amp;IF(CALC_MIDWEEK!$F$95="","–",TEXT(CALC_MIDWEEK!$F$95,"#,##0"))</f>
        <v/>
      </c>
      <c r="M10" s="51" t="n"/>
      <c r="N10" s="107">
        <f>"Avg last "&amp;CALC_MIDWEEK!$B$11&amp;" wks: "&amp;IF(CALC_MIDWEEK!$F$102="","–",TEXT(CALC_MIDWEEK!$F$102,"#,##0.0"))</f>
        <v/>
      </c>
      <c r="O10" s="51" t="n"/>
    </row>
    <row r="12" ht="22" customHeight="1">
      <c r="B12" s="108" t="inlineStr">
        <is>
          <t>Time analysis — selected week against previous week, the N-week average and period-to-date</t>
        </is>
      </c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</row>
    <row r="13" ht="28" customHeight="1">
      <c r="B13" s="110" t="inlineStr">
        <is>
          <t>KPI</t>
        </is>
      </c>
      <c r="C13" s="11" t="n"/>
      <c r="D13" s="111" t="inlineStr">
        <is>
          <t>Selected week</t>
        </is>
      </c>
      <c r="E13" s="111" t="inlineStr">
        <is>
          <t>Previous week</t>
        </is>
      </c>
      <c r="F13" s="111" t="inlineStr">
        <is>
          <t>Change</t>
        </is>
      </c>
      <c r="G13" s="111" t="inlineStr">
        <is>
          <t>% change</t>
        </is>
      </c>
      <c r="H13" s="111">
        <f>"Avg last "&amp;CALC_MIDWEEK!$B$11&amp;" wks"</f>
        <v/>
      </c>
      <c r="I13" s="111">
        <f>"vs "&amp;CALC_MIDWEEK!$B$11&amp;"-wk avg"</f>
        <v/>
      </c>
      <c r="J13" s="111" t="inlineStr">
        <is>
          <t>MTD total</t>
        </is>
      </c>
      <c r="K13" s="111" t="inlineStr">
        <is>
          <t>QTD total</t>
        </is>
      </c>
      <c r="L13" s="111" t="inlineStr">
        <is>
          <t>YTD total</t>
        </is>
      </c>
      <c r="M13" s="111" t="inlineStr">
        <is>
          <t>Wkly avg (month)</t>
        </is>
      </c>
      <c r="N13" s="111" t="inlineStr">
        <is>
          <t>Wkly avg (qtr)</t>
        </is>
      </c>
      <c r="O13" s="111" t="inlineStr">
        <is>
          <t>Wkly avg (year)</t>
        </is>
      </c>
    </row>
    <row r="14">
      <c r="B14" s="112" t="inlineStr">
        <is>
          <t>Grand total attendance</t>
        </is>
      </c>
      <c r="C14" s="113" t="n"/>
      <c r="D14" s="114">
        <f>IF(OR(NOT(CALC_MIDWEEK!$B$17),CALC_MIDWEEK!$B$18),"n/a",IF(CALC_MIDWEEK!$B$90="","–",CALC_MIDWEEK!$B$90))</f>
        <v/>
      </c>
      <c r="E14" s="115">
        <f>IF(OR(NOT(CALC_MIDWEEK!$B$17),CALC_MIDWEEK!$B$18),"n/a",IF(CALC_MIDWEEK!$C$90="","–",CALC_MIDWEEK!$C$90))</f>
        <v/>
      </c>
      <c r="F14" s="116">
        <f>IF(OR(NOT(CALC_MIDWEEK!$B$17),CALC_MIDWEEK!$B$18),"n/a",IF(CALC_MIDWEEK!$D$90="","–",CALC_MIDWEEK!$D$90))</f>
        <v/>
      </c>
      <c r="G14" s="117">
        <f>IF(OR(NOT(CALC_MIDWEEK!$B$17),CALC_MIDWEEK!$B$18),"n/a",IF(CALC_MIDWEEK!$E$90="","–",CALC_MIDWEEK!$E$90))</f>
        <v/>
      </c>
      <c r="H14" s="115">
        <f>IF(OR(NOT(CALC_MIDWEEK!$B$17),CALC_MIDWEEK!$B$18),"n/a",IF(CALC_MIDWEEK!$F$90="","–",CALC_MIDWEEK!$F$90))</f>
        <v/>
      </c>
      <c r="I14" s="117">
        <f>IF(OR(NOT(CALC_MIDWEEK!$B$17),CALC_MIDWEEK!$B$18),"n/a",IF(CALC_MIDWEEK!$G$90="","–",CALC_MIDWEEK!$G$90))</f>
        <v/>
      </c>
      <c r="J14" s="115">
        <f>IF(OR(NOT(CALC_MIDWEEK!$B$17),CALC_MIDWEEK!$B$18),"n/a",IF(CALC_MIDWEEK!$H$90="","–",CALC_MIDWEEK!$H$90))</f>
        <v/>
      </c>
      <c r="K14" s="115">
        <f>IF(OR(NOT(CALC_MIDWEEK!$B$17),CALC_MIDWEEK!$B$18),"n/a",IF(CALC_MIDWEEK!$I$90="","–",CALC_MIDWEEK!$I$90))</f>
        <v/>
      </c>
      <c r="L14" s="115">
        <f>IF(OR(NOT(CALC_MIDWEEK!$B$17),CALC_MIDWEEK!$B$18),"n/a",IF(CALC_MIDWEEK!$J$90="","–",CALC_MIDWEEK!$J$90))</f>
        <v/>
      </c>
      <c r="M14" s="115">
        <f>IF(OR(NOT(CALC_MIDWEEK!$B$17),CALC_MIDWEEK!$B$18),"n/a",IF(CALC_MIDWEEK!$K$90="","–",CALC_MIDWEEK!$K$90))</f>
        <v/>
      </c>
      <c r="N14" s="115">
        <f>IF(OR(NOT(CALC_MIDWEEK!$B$17),CALC_MIDWEEK!$B$18),"n/a",IF(CALC_MIDWEEK!$L$90="","–",CALC_MIDWEEK!$L$90))</f>
        <v/>
      </c>
      <c r="O14" s="115">
        <f>IF(OR(NOT(CALC_MIDWEEK!$B$17),CALC_MIDWEEK!$B$18),"n/a",IF(CALC_MIDWEEK!$M$90="","–",CALC_MIDWEEK!$M$90))</f>
        <v/>
      </c>
    </row>
    <row r="15">
      <c r="B15" s="66" t="inlineStr">
        <is>
          <t>Adult total (Male + Female)</t>
        </is>
      </c>
      <c r="D15" s="67">
        <f>IF(OR(NOT(CALC_MIDWEEK!$B$17),CALC_MIDWEEK!$B$18),"n/a",IF(CALC_MIDWEEK!$B$91="","–",CALC_MIDWEEK!$B$91))</f>
        <v/>
      </c>
      <c r="E15" s="68">
        <f>IF(OR(NOT(CALC_MIDWEEK!$B$17),CALC_MIDWEEK!$B$18),"n/a",IF(CALC_MIDWEEK!$C$91="","–",CALC_MIDWEEK!$C$91))</f>
        <v/>
      </c>
      <c r="F15" s="69">
        <f>IF(OR(NOT(CALC_MIDWEEK!$B$17),CALC_MIDWEEK!$B$18),"n/a",IF(CALC_MIDWEEK!$D$91="","–",CALC_MIDWEEK!$D$91))</f>
        <v/>
      </c>
      <c r="G15" s="70">
        <f>IF(OR(NOT(CALC_MIDWEEK!$B$17),CALC_MIDWEEK!$B$18),"n/a",IF(CALC_MIDWEEK!$E$91="","–",CALC_MIDWEEK!$E$91))</f>
        <v/>
      </c>
      <c r="H15" s="68">
        <f>IF(OR(NOT(CALC_MIDWEEK!$B$17),CALC_MIDWEEK!$B$18),"n/a",IF(CALC_MIDWEEK!$F$91="","–",CALC_MIDWEEK!$F$91))</f>
        <v/>
      </c>
      <c r="I15" s="70">
        <f>IF(OR(NOT(CALC_MIDWEEK!$B$17),CALC_MIDWEEK!$B$18),"n/a",IF(CALC_MIDWEEK!$G$91="","–",CALC_MIDWEEK!$G$91))</f>
        <v/>
      </c>
      <c r="J15" s="68">
        <f>IF(OR(NOT(CALC_MIDWEEK!$B$17),CALC_MIDWEEK!$B$18),"n/a",IF(CALC_MIDWEEK!$H$91="","–",CALC_MIDWEEK!$H$91))</f>
        <v/>
      </c>
      <c r="K15" s="68">
        <f>IF(OR(NOT(CALC_MIDWEEK!$B$17),CALC_MIDWEEK!$B$18),"n/a",IF(CALC_MIDWEEK!$I$91="","–",CALC_MIDWEEK!$I$91))</f>
        <v/>
      </c>
      <c r="L15" s="68">
        <f>IF(OR(NOT(CALC_MIDWEEK!$B$17),CALC_MIDWEEK!$B$18),"n/a",IF(CALC_MIDWEEK!$J$91="","–",CALC_MIDWEEK!$J$91))</f>
        <v/>
      </c>
      <c r="M15" s="68">
        <f>IF(OR(NOT(CALC_MIDWEEK!$B$17),CALC_MIDWEEK!$B$18),"n/a",IF(CALC_MIDWEEK!$K$91="","–",CALC_MIDWEEK!$K$91))</f>
        <v/>
      </c>
      <c r="N15" s="68">
        <f>IF(OR(NOT(CALC_MIDWEEK!$B$17),CALC_MIDWEEK!$B$18),"n/a",IF(CALC_MIDWEEK!$L$91="","–",CALC_MIDWEEK!$L$91))</f>
        <v/>
      </c>
      <c r="O15" s="68">
        <f>IF(OR(NOT(CALC_MIDWEEK!$B$17),CALC_MIDWEEK!$B$18),"n/a",IF(CALC_MIDWEEK!$M$91="","–",CALC_MIDWEEK!$M$91))</f>
        <v/>
      </c>
    </row>
    <row r="16">
      <c r="B16" s="118" t="inlineStr">
        <is>
          <t>Male</t>
        </is>
      </c>
      <c r="C16" s="113" t="n"/>
      <c r="D16" s="114">
        <f>IF(OR(NOT(CALC_MIDWEEK!$B$17),CALC_MIDWEEK!$B$18),"n/a",IF(CALC_MIDWEEK!$B$92="","–",CALC_MIDWEEK!$B$92))</f>
        <v/>
      </c>
      <c r="E16" s="115">
        <f>IF(OR(NOT(CALC_MIDWEEK!$B$17),CALC_MIDWEEK!$B$18),"n/a",IF(CALC_MIDWEEK!$C$92="","–",CALC_MIDWEEK!$C$92))</f>
        <v/>
      </c>
      <c r="F16" s="116">
        <f>IF(OR(NOT(CALC_MIDWEEK!$B$17),CALC_MIDWEEK!$B$18),"n/a",IF(CALC_MIDWEEK!$D$92="","–",CALC_MIDWEEK!$D$92))</f>
        <v/>
      </c>
      <c r="G16" s="117">
        <f>IF(OR(NOT(CALC_MIDWEEK!$B$17),CALC_MIDWEEK!$B$18),"n/a",IF(CALC_MIDWEEK!$E$92="","–",CALC_MIDWEEK!$E$92))</f>
        <v/>
      </c>
      <c r="H16" s="115">
        <f>IF(OR(NOT(CALC_MIDWEEK!$B$17),CALC_MIDWEEK!$B$18),"n/a",IF(CALC_MIDWEEK!$F$92="","–",CALC_MIDWEEK!$F$92))</f>
        <v/>
      </c>
      <c r="I16" s="117">
        <f>IF(OR(NOT(CALC_MIDWEEK!$B$17),CALC_MIDWEEK!$B$18),"n/a",IF(CALC_MIDWEEK!$G$92="","–",CALC_MIDWEEK!$G$92))</f>
        <v/>
      </c>
      <c r="J16" s="115">
        <f>IF(OR(NOT(CALC_MIDWEEK!$B$17),CALC_MIDWEEK!$B$18),"n/a",IF(CALC_MIDWEEK!$H$92="","–",CALC_MIDWEEK!$H$92))</f>
        <v/>
      </c>
      <c r="K16" s="115">
        <f>IF(OR(NOT(CALC_MIDWEEK!$B$17),CALC_MIDWEEK!$B$18),"n/a",IF(CALC_MIDWEEK!$I$92="","–",CALC_MIDWEEK!$I$92))</f>
        <v/>
      </c>
      <c r="L16" s="115">
        <f>IF(OR(NOT(CALC_MIDWEEK!$B$17),CALC_MIDWEEK!$B$18),"n/a",IF(CALC_MIDWEEK!$J$92="","–",CALC_MIDWEEK!$J$92))</f>
        <v/>
      </c>
      <c r="M16" s="115">
        <f>IF(OR(NOT(CALC_MIDWEEK!$B$17),CALC_MIDWEEK!$B$18),"n/a",IF(CALC_MIDWEEK!$K$92="","–",CALC_MIDWEEK!$K$92))</f>
        <v/>
      </c>
      <c r="N16" s="115">
        <f>IF(OR(NOT(CALC_MIDWEEK!$B$17),CALC_MIDWEEK!$B$18),"n/a",IF(CALC_MIDWEEK!$L$92="","–",CALC_MIDWEEK!$L$92))</f>
        <v/>
      </c>
      <c r="O16" s="115">
        <f>IF(OR(NOT(CALC_MIDWEEK!$B$17),CALC_MIDWEEK!$B$18),"n/a",IF(CALC_MIDWEEK!$M$92="","–",CALC_MIDWEEK!$M$92))</f>
        <v/>
      </c>
    </row>
    <row r="17">
      <c r="B17" s="66" t="inlineStr">
        <is>
          <t>Female</t>
        </is>
      </c>
      <c r="D17" s="67">
        <f>IF(OR(NOT(CALC_MIDWEEK!$B$17),CALC_MIDWEEK!$B$18),"n/a",IF(CALC_MIDWEEK!$B$93="","–",CALC_MIDWEEK!$B$93))</f>
        <v/>
      </c>
      <c r="E17" s="68">
        <f>IF(OR(NOT(CALC_MIDWEEK!$B$17),CALC_MIDWEEK!$B$18),"n/a",IF(CALC_MIDWEEK!$C$93="","–",CALC_MIDWEEK!$C$93))</f>
        <v/>
      </c>
      <c r="F17" s="69">
        <f>IF(OR(NOT(CALC_MIDWEEK!$B$17),CALC_MIDWEEK!$B$18),"n/a",IF(CALC_MIDWEEK!$D$93="","–",CALC_MIDWEEK!$D$93))</f>
        <v/>
      </c>
      <c r="G17" s="70">
        <f>IF(OR(NOT(CALC_MIDWEEK!$B$17),CALC_MIDWEEK!$B$18),"n/a",IF(CALC_MIDWEEK!$E$93="","–",CALC_MIDWEEK!$E$93))</f>
        <v/>
      </c>
      <c r="H17" s="68">
        <f>IF(OR(NOT(CALC_MIDWEEK!$B$17),CALC_MIDWEEK!$B$18),"n/a",IF(CALC_MIDWEEK!$F$93="","–",CALC_MIDWEEK!$F$93))</f>
        <v/>
      </c>
      <c r="I17" s="70">
        <f>IF(OR(NOT(CALC_MIDWEEK!$B$17),CALC_MIDWEEK!$B$18),"n/a",IF(CALC_MIDWEEK!$G$93="","–",CALC_MIDWEEK!$G$93))</f>
        <v/>
      </c>
      <c r="J17" s="68">
        <f>IF(OR(NOT(CALC_MIDWEEK!$B$17),CALC_MIDWEEK!$B$18),"n/a",IF(CALC_MIDWEEK!$H$93="","–",CALC_MIDWEEK!$H$93))</f>
        <v/>
      </c>
      <c r="K17" s="68">
        <f>IF(OR(NOT(CALC_MIDWEEK!$B$17),CALC_MIDWEEK!$B$18),"n/a",IF(CALC_MIDWEEK!$I$93="","–",CALC_MIDWEEK!$I$93))</f>
        <v/>
      </c>
      <c r="L17" s="68">
        <f>IF(OR(NOT(CALC_MIDWEEK!$B$17),CALC_MIDWEEK!$B$18),"n/a",IF(CALC_MIDWEEK!$J$93="","–",CALC_MIDWEEK!$J$93))</f>
        <v/>
      </c>
      <c r="M17" s="68">
        <f>IF(OR(NOT(CALC_MIDWEEK!$B$17),CALC_MIDWEEK!$B$18),"n/a",IF(CALC_MIDWEEK!$K$93="","–",CALC_MIDWEEK!$K$93))</f>
        <v/>
      </c>
      <c r="N17" s="68">
        <f>IF(OR(NOT(CALC_MIDWEEK!$B$17),CALC_MIDWEEK!$B$18),"n/a",IF(CALC_MIDWEEK!$L$93="","–",CALC_MIDWEEK!$L$93))</f>
        <v/>
      </c>
      <c r="O17" s="68">
        <f>IF(OR(NOT(CALC_MIDWEEK!$B$17),CALC_MIDWEEK!$B$18),"n/a",IF(CALC_MIDWEEK!$M$93="","–",CALC_MIDWEEK!$M$93))</f>
        <v/>
      </c>
    </row>
    <row r="18">
      <c r="B18" s="118" t="inlineStr">
        <is>
          <t>Children</t>
        </is>
      </c>
      <c r="C18" s="113" t="n"/>
      <c r="D18" s="114">
        <f>IF(OR(NOT(CALC_MIDWEEK!$B$17),CALC_MIDWEEK!$B$18),"n/a",IF(CALC_MIDWEEK!$B$94="","–",CALC_MIDWEEK!$B$94))</f>
        <v/>
      </c>
      <c r="E18" s="115">
        <f>IF(OR(NOT(CALC_MIDWEEK!$B$17),CALC_MIDWEEK!$B$18),"n/a",IF(CALC_MIDWEEK!$C$94="","–",CALC_MIDWEEK!$C$94))</f>
        <v/>
      </c>
      <c r="F18" s="116">
        <f>IF(OR(NOT(CALC_MIDWEEK!$B$17),CALC_MIDWEEK!$B$18),"n/a",IF(CALC_MIDWEEK!$D$94="","–",CALC_MIDWEEK!$D$94))</f>
        <v/>
      </c>
      <c r="G18" s="117">
        <f>IF(OR(NOT(CALC_MIDWEEK!$B$17),CALC_MIDWEEK!$B$18),"n/a",IF(CALC_MIDWEEK!$E$94="","–",CALC_MIDWEEK!$E$94))</f>
        <v/>
      </c>
      <c r="H18" s="115">
        <f>IF(OR(NOT(CALC_MIDWEEK!$B$17),CALC_MIDWEEK!$B$18),"n/a",IF(CALC_MIDWEEK!$F$94="","–",CALC_MIDWEEK!$F$94))</f>
        <v/>
      </c>
      <c r="I18" s="117">
        <f>IF(OR(NOT(CALC_MIDWEEK!$B$17),CALC_MIDWEEK!$B$18),"n/a",IF(CALC_MIDWEEK!$G$94="","–",CALC_MIDWEEK!$G$94))</f>
        <v/>
      </c>
      <c r="J18" s="115">
        <f>IF(OR(NOT(CALC_MIDWEEK!$B$17),CALC_MIDWEEK!$B$18),"n/a",IF(CALC_MIDWEEK!$H$94="","–",CALC_MIDWEEK!$H$94))</f>
        <v/>
      </c>
      <c r="K18" s="115">
        <f>IF(OR(NOT(CALC_MIDWEEK!$B$17),CALC_MIDWEEK!$B$18),"n/a",IF(CALC_MIDWEEK!$I$94="","–",CALC_MIDWEEK!$I$94))</f>
        <v/>
      </c>
      <c r="L18" s="115">
        <f>IF(OR(NOT(CALC_MIDWEEK!$B$17),CALC_MIDWEEK!$B$18),"n/a",IF(CALC_MIDWEEK!$J$94="","–",CALC_MIDWEEK!$J$94))</f>
        <v/>
      </c>
      <c r="M18" s="115">
        <f>IF(OR(NOT(CALC_MIDWEEK!$B$17),CALC_MIDWEEK!$B$18),"n/a",IF(CALC_MIDWEEK!$K$94="","–",CALC_MIDWEEK!$K$94))</f>
        <v/>
      </c>
      <c r="N18" s="115">
        <f>IF(OR(NOT(CALC_MIDWEEK!$B$17),CALC_MIDWEEK!$B$18),"n/a",IF(CALC_MIDWEEK!$L$94="","–",CALC_MIDWEEK!$L$94))</f>
        <v/>
      </c>
      <c r="O18" s="115">
        <f>IF(OR(NOT(CALC_MIDWEEK!$B$17),CALC_MIDWEEK!$B$18),"n/a",IF(CALC_MIDWEEK!$M$94="","–",CALC_MIDWEEK!$M$94))</f>
        <v/>
      </c>
    </row>
    <row r="19">
      <c r="B19" s="66" t="inlineStr">
        <is>
          <t>First timers</t>
        </is>
      </c>
      <c r="D19" s="67">
        <f>IF(OR(NOT(CALC_MIDWEEK!$B$17),CALC_MIDWEEK!$B$18),"n/a",IF(CALC_MIDWEEK!$B$95="","–",CALC_MIDWEEK!$B$95))</f>
        <v/>
      </c>
      <c r="E19" s="68">
        <f>IF(OR(NOT(CALC_MIDWEEK!$B$17),CALC_MIDWEEK!$B$18),"n/a",IF(CALC_MIDWEEK!$C$95="","–",CALC_MIDWEEK!$C$95))</f>
        <v/>
      </c>
      <c r="F19" s="69">
        <f>IF(OR(NOT(CALC_MIDWEEK!$B$17),CALC_MIDWEEK!$B$18),"n/a",IF(CALC_MIDWEEK!$D$95="","–",CALC_MIDWEEK!$D$95))</f>
        <v/>
      </c>
      <c r="G19" s="70">
        <f>IF(OR(NOT(CALC_MIDWEEK!$B$17),CALC_MIDWEEK!$B$18),"n/a",IF(CALC_MIDWEEK!$E$95="","–",CALC_MIDWEEK!$E$95))</f>
        <v/>
      </c>
      <c r="H19" s="68">
        <f>IF(OR(NOT(CALC_MIDWEEK!$B$17),CALC_MIDWEEK!$B$18),"n/a",IF(CALC_MIDWEEK!$F$95="","–",CALC_MIDWEEK!$F$95))</f>
        <v/>
      </c>
      <c r="I19" s="70">
        <f>IF(OR(NOT(CALC_MIDWEEK!$B$17),CALC_MIDWEEK!$B$18),"n/a",IF(CALC_MIDWEEK!$G$95="","–",CALC_MIDWEEK!$G$95))</f>
        <v/>
      </c>
      <c r="J19" s="68">
        <f>IF(OR(NOT(CALC_MIDWEEK!$B$17),CALC_MIDWEEK!$B$18),"n/a",IF(CALC_MIDWEEK!$H$95="","–",CALC_MIDWEEK!$H$95))</f>
        <v/>
      </c>
      <c r="K19" s="68">
        <f>IF(OR(NOT(CALC_MIDWEEK!$B$17),CALC_MIDWEEK!$B$18),"n/a",IF(CALC_MIDWEEK!$I$95="","–",CALC_MIDWEEK!$I$95))</f>
        <v/>
      </c>
      <c r="L19" s="68">
        <f>IF(OR(NOT(CALC_MIDWEEK!$B$17),CALC_MIDWEEK!$B$18),"n/a",IF(CALC_MIDWEEK!$J$95="","–",CALC_MIDWEEK!$J$95))</f>
        <v/>
      </c>
      <c r="M19" s="68">
        <f>IF(OR(NOT(CALC_MIDWEEK!$B$17),CALC_MIDWEEK!$B$18),"n/a",IF(CALC_MIDWEEK!$K$95="","–",CALC_MIDWEEK!$K$95))</f>
        <v/>
      </c>
      <c r="N19" s="68">
        <f>IF(OR(NOT(CALC_MIDWEEK!$B$17),CALC_MIDWEEK!$B$18),"n/a",IF(CALC_MIDWEEK!$L$95="","–",CALC_MIDWEEK!$L$95))</f>
        <v/>
      </c>
      <c r="O19" s="68">
        <f>IF(OR(NOT(CALC_MIDWEEK!$B$17),CALC_MIDWEEK!$B$18),"n/a",IF(CALC_MIDWEEK!$M$95="","–",CALC_MIDWEEK!$M$95))</f>
        <v/>
      </c>
    </row>
    <row r="20">
      <c r="B20" s="118" t="inlineStr">
        <is>
          <t>New converts</t>
        </is>
      </c>
      <c r="C20" s="113" t="n"/>
      <c r="D20" s="114">
        <f>IF(OR(NOT(CALC_MIDWEEK!$B$17),CALC_MIDWEEK!$B$18),"n/a",IF(CALC_MIDWEEK!$B$96="","–",CALC_MIDWEEK!$B$96))</f>
        <v/>
      </c>
      <c r="E20" s="115">
        <f>IF(OR(NOT(CALC_MIDWEEK!$B$17),CALC_MIDWEEK!$B$18),"n/a",IF(CALC_MIDWEEK!$C$96="","–",CALC_MIDWEEK!$C$96))</f>
        <v/>
      </c>
      <c r="F20" s="116">
        <f>IF(OR(NOT(CALC_MIDWEEK!$B$17),CALC_MIDWEEK!$B$18),"n/a",IF(CALC_MIDWEEK!$D$96="","–",CALC_MIDWEEK!$D$96))</f>
        <v/>
      </c>
      <c r="G20" s="117">
        <f>IF(OR(NOT(CALC_MIDWEEK!$B$17),CALC_MIDWEEK!$B$18),"n/a",IF(CALC_MIDWEEK!$E$96="","–",CALC_MIDWEEK!$E$96))</f>
        <v/>
      </c>
      <c r="H20" s="115">
        <f>IF(OR(NOT(CALC_MIDWEEK!$B$17),CALC_MIDWEEK!$B$18),"n/a",IF(CALC_MIDWEEK!$F$96="","–",CALC_MIDWEEK!$F$96))</f>
        <v/>
      </c>
      <c r="I20" s="117">
        <f>IF(OR(NOT(CALC_MIDWEEK!$B$17),CALC_MIDWEEK!$B$18),"n/a",IF(CALC_MIDWEEK!$G$96="","–",CALC_MIDWEEK!$G$96))</f>
        <v/>
      </c>
      <c r="J20" s="115">
        <f>IF(OR(NOT(CALC_MIDWEEK!$B$17),CALC_MIDWEEK!$B$18),"n/a",IF(CALC_MIDWEEK!$H$96="","–",CALC_MIDWEEK!$H$96))</f>
        <v/>
      </c>
      <c r="K20" s="115">
        <f>IF(OR(NOT(CALC_MIDWEEK!$B$17),CALC_MIDWEEK!$B$18),"n/a",IF(CALC_MIDWEEK!$I$96="","–",CALC_MIDWEEK!$I$96))</f>
        <v/>
      </c>
      <c r="L20" s="115">
        <f>IF(OR(NOT(CALC_MIDWEEK!$B$17),CALC_MIDWEEK!$B$18),"n/a",IF(CALC_MIDWEEK!$J$96="","–",CALC_MIDWEEK!$J$96))</f>
        <v/>
      </c>
      <c r="M20" s="115">
        <f>IF(OR(NOT(CALC_MIDWEEK!$B$17),CALC_MIDWEEK!$B$18),"n/a",IF(CALC_MIDWEEK!$K$96="","–",CALC_MIDWEEK!$K$96))</f>
        <v/>
      </c>
      <c r="N20" s="115">
        <f>IF(OR(NOT(CALC_MIDWEEK!$B$17),CALC_MIDWEEK!$B$18),"n/a",IF(CALC_MIDWEEK!$L$96="","–",CALC_MIDWEEK!$L$96))</f>
        <v/>
      </c>
      <c r="O20" s="115">
        <f>IF(OR(NOT(CALC_MIDWEEK!$B$17),CALC_MIDWEEK!$B$18),"n/a",IF(CALC_MIDWEEK!$M$96="","–",CALC_MIDWEEK!$M$96))</f>
        <v/>
      </c>
    </row>
    <row r="21">
      <c r="B21" s="66" t="inlineStr">
        <is>
          <t>Zones</t>
        </is>
      </c>
      <c r="D21" s="67">
        <f>IF(OR(NOT(CALC_MIDWEEK!$B$17),CALC_MIDWEEK!$B$18),"n/a",IF(CALC_MIDWEEK!$B$97="","–",CALC_MIDWEEK!$B$97))</f>
        <v/>
      </c>
      <c r="E21" s="68">
        <f>IF(OR(NOT(CALC_MIDWEEK!$B$17),CALC_MIDWEEK!$B$18),"n/a",IF(CALC_MIDWEEK!$C$97="","–",CALC_MIDWEEK!$C$97))</f>
        <v/>
      </c>
      <c r="F21" s="69">
        <f>IF(OR(NOT(CALC_MIDWEEK!$B$17),CALC_MIDWEEK!$B$18),"n/a",IF(CALC_MIDWEEK!$D$97="","–",CALC_MIDWEEK!$D$97))</f>
        <v/>
      </c>
      <c r="G21" s="70">
        <f>IF(OR(NOT(CALC_MIDWEEK!$B$17),CALC_MIDWEEK!$B$18),"n/a",IF(CALC_MIDWEEK!$E$97="","–",CALC_MIDWEEK!$E$97))</f>
        <v/>
      </c>
      <c r="H21" s="68">
        <f>IF(OR(NOT(CALC_MIDWEEK!$B$17),CALC_MIDWEEK!$B$18),"n/a",IF(CALC_MIDWEEK!$F$97="","–",CALC_MIDWEEK!$F$97))</f>
        <v/>
      </c>
      <c r="I21" s="70">
        <f>IF(OR(NOT(CALC_MIDWEEK!$B$17),CALC_MIDWEEK!$B$18),"n/a",IF(CALC_MIDWEEK!$G$97="","–",CALC_MIDWEEK!$G$97))</f>
        <v/>
      </c>
      <c r="J21" s="68">
        <f>IF(OR(NOT(CALC_MIDWEEK!$B$17),CALC_MIDWEEK!$B$18),"n/a",IF(CALC_MIDWEEK!$H$97="","–",CALC_MIDWEEK!$H$97))</f>
        <v/>
      </c>
      <c r="K21" s="68">
        <f>IF(OR(NOT(CALC_MIDWEEK!$B$17),CALC_MIDWEEK!$B$18),"n/a",IF(CALC_MIDWEEK!$I$97="","–",CALC_MIDWEEK!$I$97))</f>
        <v/>
      </c>
      <c r="L21" s="68">
        <f>IF(OR(NOT(CALC_MIDWEEK!$B$17),CALC_MIDWEEK!$B$18),"n/a",IF(CALC_MIDWEEK!$J$97="","–",CALC_MIDWEEK!$J$97))</f>
        <v/>
      </c>
      <c r="M21" s="68">
        <f>IF(OR(NOT(CALC_MIDWEEK!$B$17),CALC_MIDWEEK!$B$18),"n/a",IF(CALC_MIDWEEK!$K$97="","–",CALC_MIDWEEK!$K$97))</f>
        <v/>
      </c>
      <c r="N21" s="68">
        <f>IF(OR(NOT(CALC_MIDWEEK!$B$17),CALC_MIDWEEK!$B$18),"n/a",IF(CALC_MIDWEEK!$L$97="","–",CALC_MIDWEEK!$L$97))</f>
        <v/>
      </c>
      <c r="O21" s="68">
        <f>IF(OR(NOT(CALC_MIDWEEK!$B$17),CALC_MIDWEEK!$B$18),"n/a",IF(CALC_MIDWEEK!$M$97="","–",CALC_MIDWEEK!$M$97))</f>
        <v/>
      </c>
    </row>
    <row r="22">
      <c r="B22" s="118" t="inlineStr">
        <is>
          <t>Zones that reported</t>
        </is>
      </c>
      <c r="C22" s="113" t="n"/>
      <c r="D22" s="114">
        <f>IF(OR(NOT(CALC_MIDWEEK!$B$17),CALC_MIDWEEK!$B$18),"n/a",IF(CALC_MIDWEEK!$B$98="","–",CALC_MIDWEEK!$B$98))</f>
        <v/>
      </c>
      <c r="E22" s="115">
        <f>IF(OR(NOT(CALC_MIDWEEK!$B$17),CALC_MIDWEEK!$B$18),"n/a",IF(CALC_MIDWEEK!$C$98="","–",CALC_MIDWEEK!$C$98))</f>
        <v/>
      </c>
      <c r="F22" s="116">
        <f>IF(OR(NOT(CALC_MIDWEEK!$B$17),CALC_MIDWEEK!$B$18),"n/a",IF(CALC_MIDWEEK!$D$98="","–",CALC_MIDWEEK!$D$98))</f>
        <v/>
      </c>
      <c r="G22" s="117">
        <f>IF(OR(NOT(CALC_MIDWEEK!$B$17),CALC_MIDWEEK!$B$18),"n/a",IF(CALC_MIDWEEK!$E$98="","–",CALC_MIDWEEK!$E$98))</f>
        <v/>
      </c>
      <c r="H22" s="115">
        <f>IF(OR(NOT(CALC_MIDWEEK!$B$17),CALC_MIDWEEK!$B$18),"n/a",IF(CALC_MIDWEEK!$F$98="","–",CALC_MIDWEEK!$F$98))</f>
        <v/>
      </c>
      <c r="I22" s="117">
        <f>IF(OR(NOT(CALC_MIDWEEK!$B$17),CALC_MIDWEEK!$B$18),"n/a",IF(CALC_MIDWEEK!$G$98="","–",CALC_MIDWEEK!$G$98))</f>
        <v/>
      </c>
      <c r="J22" s="115">
        <f>IF(OR(NOT(CALC_MIDWEEK!$B$17),CALC_MIDWEEK!$B$18),"n/a",IF(CALC_MIDWEEK!$H$98="","–",CALC_MIDWEEK!$H$98))</f>
        <v/>
      </c>
      <c r="K22" s="115">
        <f>IF(OR(NOT(CALC_MIDWEEK!$B$17),CALC_MIDWEEK!$B$18),"n/a",IF(CALC_MIDWEEK!$I$98="","–",CALC_MIDWEEK!$I$98))</f>
        <v/>
      </c>
      <c r="L22" s="115">
        <f>IF(OR(NOT(CALC_MIDWEEK!$B$17),CALC_MIDWEEK!$B$18),"n/a",IF(CALC_MIDWEEK!$J$98="","–",CALC_MIDWEEK!$J$98))</f>
        <v/>
      </c>
      <c r="M22" s="115">
        <f>IF(OR(NOT(CALC_MIDWEEK!$B$17),CALC_MIDWEEK!$B$18),"n/a",IF(CALC_MIDWEEK!$K$98="","–",CALC_MIDWEEK!$K$98))</f>
        <v/>
      </c>
      <c r="N22" s="115">
        <f>IF(OR(NOT(CALC_MIDWEEK!$B$17),CALC_MIDWEEK!$B$18),"n/a",IF(CALC_MIDWEEK!$L$98="","–",CALC_MIDWEEK!$L$98))</f>
        <v/>
      </c>
      <c r="O22" s="115">
        <f>IF(OR(NOT(CALC_MIDWEEK!$B$17),CALC_MIDWEEK!$B$18),"n/a",IF(CALC_MIDWEEK!$M$98="","–",CALC_MIDWEEK!$M$98))</f>
        <v/>
      </c>
    </row>
    <row r="23">
      <c r="B23" s="66" t="inlineStr">
        <is>
          <t>Zones with no report</t>
        </is>
      </c>
      <c r="D23" s="67">
        <f>IF(OR(NOT(CALC_MIDWEEK!$B$17),CALC_MIDWEEK!$B$18),"n/a",IF(CALC_MIDWEEK!$B$99="","–",CALC_MIDWEEK!$B$99))</f>
        <v/>
      </c>
      <c r="E23" s="68">
        <f>IF(OR(NOT(CALC_MIDWEEK!$B$17),CALC_MIDWEEK!$B$18),"n/a",IF(CALC_MIDWEEK!$C$99="","–",CALC_MIDWEEK!$C$99))</f>
        <v/>
      </c>
      <c r="F23" s="69">
        <f>IF(OR(NOT(CALC_MIDWEEK!$B$17),CALC_MIDWEEK!$B$18),"n/a",IF(CALC_MIDWEEK!$D$99="","–",CALC_MIDWEEK!$D$99))</f>
        <v/>
      </c>
      <c r="G23" s="70">
        <f>IF(OR(NOT(CALC_MIDWEEK!$B$17),CALC_MIDWEEK!$B$18),"n/a",IF(CALC_MIDWEEK!$E$99="","–",CALC_MIDWEEK!$E$99))</f>
        <v/>
      </c>
      <c r="H23" s="68">
        <f>IF(OR(NOT(CALC_MIDWEEK!$B$17),CALC_MIDWEEK!$B$18),"n/a",IF(CALC_MIDWEEK!$F$99="","–",CALC_MIDWEEK!$F$99))</f>
        <v/>
      </c>
      <c r="I23" s="70">
        <f>IF(OR(NOT(CALC_MIDWEEK!$B$17),CALC_MIDWEEK!$B$18),"n/a",IF(CALC_MIDWEEK!$G$99="","–",CALC_MIDWEEK!$G$99))</f>
        <v/>
      </c>
      <c r="J23" s="68">
        <f>IF(OR(NOT(CALC_MIDWEEK!$B$17),CALC_MIDWEEK!$B$18),"n/a",IF(CALC_MIDWEEK!$H$99="","–",CALC_MIDWEEK!$H$99))</f>
        <v/>
      </c>
      <c r="K23" s="68">
        <f>IF(OR(NOT(CALC_MIDWEEK!$B$17),CALC_MIDWEEK!$B$18),"n/a",IF(CALC_MIDWEEK!$I$99="","–",CALC_MIDWEEK!$I$99))</f>
        <v/>
      </c>
      <c r="L23" s="68">
        <f>IF(OR(NOT(CALC_MIDWEEK!$B$17),CALC_MIDWEEK!$B$18),"n/a",IF(CALC_MIDWEEK!$J$99="","–",CALC_MIDWEEK!$J$99))</f>
        <v/>
      </c>
      <c r="M23" s="68">
        <f>IF(OR(NOT(CALC_MIDWEEK!$B$17),CALC_MIDWEEK!$B$18),"n/a",IF(CALC_MIDWEEK!$K$99="","–",CALC_MIDWEEK!$K$99))</f>
        <v/>
      </c>
      <c r="N23" s="68">
        <f>IF(OR(NOT(CALC_MIDWEEK!$B$17),CALC_MIDWEEK!$B$18),"n/a",IF(CALC_MIDWEEK!$L$99="","–",CALC_MIDWEEK!$L$99))</f>
        <v/>
      </c>
      <c r="O23" s="68">
        <f>IF(OR(NOT(CALC_MIDWEEK!$B$17),CALC_MIDWEEK!$B$18),"n/a",IF(CALC_MIDWEEK!$M$99="","–",CALC_MIDWEEK!$M$99))</f>
        <v/>
      </c>
    </row>
    <row r="24">
      <c r="B24" s="112" t="inlineStr">
        <is>
          <t>% zones reporting</t>
        </is>
      </c>
      <c r="C24" s="113" t="n"/>
      <c r="D24" s="119">
        <f>IF(OR(NOT(CALC_MIDWEEK!$B$17),CALC_MIDWEEK!$B$18),"n/a",IF(CALC_MIDWEEK!$B$100="","–",CALC_MIDWEEK!$B$100))</f>
        <v/>
      </c>
      <c r="E24" s="120">
        <f>IF(OR(NOT(CALC_MIDWEEK!$B$17),CALC_MIDWEEK!$B$18),"n/a",IF(CALC_MIDWEEK!$C$100="","–",CALC_MIDWEEK!$C$100))</f>
        <v/>
      </c>
      <c r="F24" s="121">
        <f>IF(OR(NOT(CALC_MIDWEEK!$B$17),CALC_MIDWEEK!$B$18),"n/a",IF(CALC_MIDWEEK!$D$100="","–",CALC_MIDWEEK!$D$100*100))</f>
        <v/>
      </c>
      <c r="G24" s="117">
        <f>IF(OR(NOT(CALC_MIDWEEK!$B$17),CALC_MIDWEEK!$B$18),"n/a",IF(CALC_MIDWEEK!$E$100="","–",CALC_MIDWEEK!$E$100))</f>
        <v/>
      </c>
      <c r="H24" s="120">
        <f>IF(OR(NOT(CALC_MIDWEEK!$B$17),CALC_MIDWEEK!$B$18),"n/a",IF(CALC_MIDWEEK!$F$100="","–",CALC_MIDWEEK!$F$100))</f>
        <v/>
      </c>
      <c r="I24" s="117">
        <f>IF(OR(NOT(CALC_MIDWEEK!$B$17),CALC_MIDWEEK!$B$18),"n/a",IF(CALC_MIDWEEK!$G$100="","–",CALC_MIDWEEK!$G$100))</f>
        <v/>
      </c>
      <c r="J24" s="120">
        <f>IF(OR(NOT(CALC_MIDWEEK!$B$17),CALC_MIDWEEK!$B$18),"n/a",IF(CALC_MIDWEEK!$H$100="","–",CALC_MIDWEEK!$H$100))</f>
        <v/>
      </c>
      <c r="K24" s="120">
        <f>IF(OR(NOT(CALC_MIDWEEK!$B$17),CALC_MIDWEEK!$B$18),"n/a",IF(CALC_MIDWEEK!$I$100="","–",CALC_MIDWEEK!$I$100))</f>
        <v/>
      </c>
      <c r="L24" s="120">
        <f>IF(OR(NOT(CALC_MIDWEEK!$B$17),CALC_MIDWEEK!$B$18),"n/a",IF(CALC_MIDWEEK!$J$100="","–",CALC_MIDWEEK!$J$100))</f>
        <v/>
      </c>
      <c r="M24" s="120">
        <f>IF(OR(NOT(CALC_MIDWEEK!$B$17),CALC_MIDWEEK!$B$18),"n/a",IF(CALC_MIDWEEK!$K$100="","–",CALC_MIDWEEK!$K$100))</f>
        <v/>
      </c>
      <c r="N24" s="120">
        <f>IF(OR(NOT(CALC_MIDWEEK!$B$17),CALC_MIDWEEK!$B$18),"n/a",IF(CALC_MIDWEEK!$L$100="","–",CALC_MIDWEEK!$L$100))</f>
        <v/>
      </c>
      <c r="O24" s="120">
        <f>IF(OR(NOT(CALC_MIDWEEK!$B$17),CALC_MIDWEEK!$B$18),"n/a",IF(CALC_MIDWEEK!$M$100="","–",CALC_MIDWEEK!$M$100))</f>
        <v/>
      </c>
    </row>
    <row r="25">
      <c r="B25" s="66" t="inlineStr">
        <is>
          <t>Reporting : non-reporting</t>
        </is>
      </c>
      <c r="D25" s="75">
        <f>IF(OR(NOT(CALC_MIDWEEK!$B$17),CALC_MIDWEEK!$B$18),"n/a",IF(CALC_MIDWEEK!$B$101="","–",CALC_MIDWEEK!$B$101))</f>
        <v/>
      </c>
      <c r="E25" s="76">
        <f>IF(OR(NOT(CALC_MIDWEEK!$B$17),CALC_MIDWEEK!$B$18),"n/a",IF(CALC_MIDWEEK!$C$101="","–",CALC_MIDWEEK!$C$101))</f>
        <v/>
      </c>
      <c r="F25" s="77">
        <f>IF(OR(NOT(CALC_MIDWEEK!$B$17),CALC_MIDWEEK!$B$18),"n/a",IF(CALC_MIDWEEK!$D$101="","–",CALC_MIDWEEK!$D$101))</f>
        <v/>
      </c>
      <c r="G25" s="70">
        <f>IF(OR(NOT(CALC_MIDWEEK!$B$17),CALC_MIDWEEK!$B$18),"n/a",IF(CALC_MIDWEEK!$E$101="","–",CALC_MIDWEEK!$E$101))</f>
        <v/>
      </c>
      <c r="H25" s="76">
        <f>IF(OR(NOT(CALC_MIDWEEK!$B$17),CALC_MIDWEEK!$B$18),"n/a",IF(CALC_MIDWEEK!$F$101="","–",CALC_MIDWEEK!$F$101))</f>
        <v/>
      </c>
      <c r="I25" s="70">
        <f>IF(OR(NOT(CALC_MIDWEEK!$B$17),CALC_MIDWEEK!$B$18),"n/a",IF(CALC_MIDWEEK!$G$101="","–",CALC_MIDWEEK!$G$101))</f>
        <v/>
      </c>
      <c r="J25" s="76">
        <f>IF(OR(NOT(CALC_MIDWEEK!$B$17),CALC_MIDWEEK!$B$18),"n/a",IF(CALC_MIDWEEK!$H$101="","–",CALC_MIDWEEK!$H$101))</f>
        <v/>
      </c>
      <c r="K25" s="76">
        <f>IF(OR(NOT(CALC_MIDWEEK!$B$17),CALC_MIDWEEK!$B$18),"n/a",IF(CALC_MIDWEEK!$I$101="","–",CALC_MIDWEEK!$I$101))</f>
        <v/>
      </c>
      <c r="L25" s="76">
        <f>IF(OR(NOT(CALC_MIDWEEK!$B$17),CALC_MIDWEEK!$B$18),"n/a",IF(CALC_MIDWEEK!$J$101="","–",CALC_MIDWEEK!$J$101))</f>
        <v/>
      </c>
      <c r="M25" s="76">
        <f>IF(OR(NOT(CALC_MIDWEEK!$B$17),CALC_MIDWEEK!$B$18),"n/a",IF(CALC_MIDWEEK!$K$101="","–",CALC_MIDWEEK!$K$101))</f>
        <v/>
      </c>
      <c r="N25" s="76">
        <f>IF(OR(NOT(CALC_MIDWEEK!$B$17),CALC_MIDWEEK!$B$18),"n/a",IF(CALC_MIDWEEK!$L$101="","–",CALC_MIDWEEK!$L$101))</f>
        <v/>
      </c>
      <c r="O25" s="76">
        <f>IF(OR(NOT(CALC_MIDWEEK!$B$17),CALC_MIDWEEK!$B$18),"n/a",IF(CALC_MIDWEEK!$M$101="","–",CALC_MIDWEEK!$M$101))</f>
        <v/>
      </c>
    </row>
    <row r="26">
      <c r="B26" s="118" t="inlineStr">
        <is>
          <t>Avg attendance per reporting zone</t>
        </is>
      </c>
      <c r="C26" s="113" t="n"/>
      <c r="D26" s="122">
        <f>IF(OR(NOT(CALC_MIDWEEK!$B$17),CALC_MIDWEEK!$B$18),"n/a",IF(CALC_MIDWEEK!$B$102="","–",CALC_MIDWEEK!$B$102))</f>
        <v/>
      </c>
      <c r="E26" s="123">
        <f>IF(OR(NOT(CALC_MIDWEEK!$B$17),CALC_MIDWEEK!$B$18),"n/a",IF(CALC_MIDWEEK!$C$102="","–",CALC_MIDWEEK!$C$102))</f>
        <v/>
      </c>
      <c r="F26" s="124">
        <f>IF(OR(NOT(CALC_MIDWEEK!$B$17),CALC_MIDWEEK!$B$18),"n/a",IF(CALC_MIDWEEK!$D$102="","–",CALC_MIDWEEK!$D$102))</f>
        <v/>
      </c>
      <c r="G26" s="117">
        <f>IF(OR(NOT(CALC_MIDWEEK!$B$17),CALC_MIDWEEK!$B$18),"n/a",IF(CALC_MIDWEEK!$E$102="","–",CALC_MIDWEEK!$E$102))</f>
        <v/>
      </c>
      <c r="H26" s="123">
        <f>IF(OR(NOT(CALC_MIDWEEK!$B$17),CALC_MIDWEEK!$B$18),"n/a",IF(CALC_MIDWEEK!$F$102="","–",CALC_MIDWEEK!$F$102))</f>
        <v/>
      </c>
      <c r="I26" s="117">
        <f>IF(OR(NOT(CALC_MIDWEEK!$B$17),CALC_MIDWEEK!$B$18),"n/a",IF(CALC_MIDWEEK!$G$102="","–",CALC_MIDWEEK!$G$102))</f>
        <v/>
      </c>
      <c r="J26" s="123">
        <f>IF(OR(NOT(CALC_MIDWEEK!$B$17),CALC_MIDWEEK!$B$18),"n/a",IF(CALC_MIDWEEK!$H$102="","–",CALC_MIDWEEK!$H$102))</f>
        <v/>
      </c>
      <c r="K26" s="123">
        <f>IF(OR(NOT(CALC_MIDWEEK!$B$17),CALC_MIDWEEK!$B$18),"n/a",IF(CALC_MIDWEEK!$I$102="","–",CALC_MIDWEEK!$I$102))</f>
        <v/>
      </c>
      <c r="L26" s="123">
        <f>IF(OR(NOT(CALC_MIDWEEK!$B$17),CALC_MIDWEEK!$B$18),"n/a",IF(CALC_MIDWEEK!$J$102="","–",CALC_MIDWEEK!$J$102))</f>
        <v/>
      </c>
      <c r="M26" s="123">
        <f>IF(OR(NOT(CALC_MIDWEEK!$B$17),CALC_MIDWEEK!$B$18),"n/a",IF(CALC_MIDWEEK!$K$102="","–",CALC_MIDWEEK!$K$102))</f>
        <v/>
      </c>
      <c r="N26" s="123">
        <f>IF(OR(NOT(CALC_MIDWEEK!$B$17),CALC_MIDWEEK!$B$18),"n/a",IF(CALC_MIDWEEK!$L$102="","–",CALC_MIDWEEK!$L$102))</f>
        <v/>
      </c>
      <c r="O26" s="123">
        <f>IF(OR(NOT(CALC_MIDWEEK!$B$17),CALC_MIDWEEK!$B$18),"n/a",IF(CALC_MIDWEEK!$M$102="","–",CALC_MIDWEEK!$M$102))</f>
        <v/>
      </c>
    </row>
    <row r="27">
      <c r="B27" s="81" t="inlineStr">
        <is>
          <t>Averages use only weeks that have data. MTD/QTD/YTD run to the selected week; ratio rows show the ratio of the period's totals.</t>
        </is>
      </c>
    </row>
    <row r="29" ht="22" customHeight="1">
      <c r="B29" s="108" t="inlineStr">
        <is>
          <t>Trends — last 13 weeks</t>
        </is>
      </c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</row>
    <row r="46" ht="22" customHeight="1">
      <c r="B46" s="108" t="inlineStr">
        <is>
          <t>Area rankings — selected week</t>
        </is>
      </c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25" t="inlineStr">
        <is>
          <t>Growth = selected week vs previous week</t>
        </is>
      </c>
    </row>
    <row r="47">
      <c r="B47" s="111" t="inlineStr">
        <is>
          <t>Top 10 · attendance</t>
        </is>
      </c>
      <c r="C47" s="11" t="n"/>
      <c r="D47" s="111" t="inlineStr">
        <is>
          <t>Bottom 10 · attendance</t>
        </is>
      </c>
      <c r="E47" s="11" t="n"/>
      <c r="F47" s="111" t="inlineStr">
        <is>
          <t>Top 10 · % reporting</t>
        </is>
      </c>
      <c r="G47" s="11" t="n"/>
      <c r="H47" s="111" t="inlineStr">
        <is>
          <t>Bottom 10 · % reporting</t>
        </is>
      </c>
      <c r="I47" s="11" t="n"/>
      <c r="J47" s="111" t="inlineStr">
        <is>
          <t>Top 10 · growth</t>
        </is>
      </c>
      <c r="K47" s="11" t="n"/>
      <c r="L47" s="111" t="inlineStr">
        <is>
          <t>Bottom 10 · growth</t>
        </is>
      </c>
      <c r="M47" s="11" t="n"/>
      <c r="N47" s="111" t="inlineStr">
        <is>
          <t>Selected Area rank</t>
        </is>
      </c>
      <c r="O47" s="11" t="n"/>
    </row>
    <row r="48">
      <c r="B48" s="83">
        <f>IF(CALC_MIDWEEK!$B$3="Zone",IF(0=0,"n/a at Zone scope",""),IF(CALC_MIDWEEK!$AO$3="",IF(0=0,"–",""),1&amp;". "&amp;CALC_MIDWEEK!$AO$3))</f>
        <v/>
      </c>
      <c r="C48" s="84">
        <f>IF(OR(CALC_MIDWEEK!$B$3="Zone",CALC_MIDWEEK!$AO$3=""),"",CALC_MIDWEEK!$AP$3)</f>
        <v/>
      </c>
      <c r="D48" s="83">
        <f>IF(CALC_MIDWEEK!$B$3="Zone",IF(0=0,"n/a at Zone scope",""),IF(CALC_MIDWEEK!$AQ$3="",IF(0=0,"–",""),1&amp;". "&amp;CALC_MIDWEEK!$AQ$3))</f>
        <v/>
      </c>
      <c r="E48" s="84">
        <f>IF(OR(CALC_MIDWEEK!$B$3="Zone",CALC_MIDWEEK!$AQ$3=""),"",CALC_MIDWEEK!$AR$3)</f>
        <v/>
      </c>
      <c r="F48" s="83">
        <f>IF(CALC_MIDWEEK!$B$3="Zone",IF(0=0,"n/a at Zone scope",""),IF(CALC_MIDWEEK!$AS$3="",IF(0=0,"–",""),1&amp;". "&amp;CALC_MIDWEEK!$AS$3))</f>
        <v/>
      </c>
      <c r="G48" s="85">
        <f>IF(OR(CALC_MIDWEEK!$B$3="Zone",CALC_MIDWEEK!$AS$3=""),"",CALC_MIDWEEK!$AT$3)</f>
        <v/>
      </c>
      <c r="H48" s="83">
        <f>IF(CALC_MIDWEEK!$B$3="Zone",IF(0=0,"n/a at Zone scope",""),IF(CALC_MIDWEEK!$AU$3="",IF(0=0,"–",""),1&amp;". "&amp;CALC_MIDWEEK!$AU$3))</f>
        <v/>
      </c>
      <c r="I48" s="85">
        <f>IF(OR(CALC_MIDWEEK!$B$3="Zone",CALC_MIDWEEK!$AU$3=""),"",CALC_MIDWEEK!$AV$3)</f>
        <v/>
      </c>
      <c r="J48" s="83">
        <f>IF(CALC_MIDWEEK!$B$3="Zone",IF(0=0,"n/a at Zone scope",""),IF(CALC_MIDWEEK!$AW$3="",IF(0=0,"–",""),1&amp;". "&amp;CALC_MIDWEEK!$AW$3))</f>
        <v/>
      </c>
      <c r="K48" s="86">
        <f>IF(OR(CALC_MIDWEEK!$B$3="Zone",CALC_MIDWEEK!$AW$3=""),"",CALC_MIDWEEK!$AX$3)</f>
        <v/>
      </c>
      <c r="L48" s="83">
        <f>IF(CALC_MIDWEEK!$B$3="Zone",IF(0=0,"n/a at Zone scope",""),IF(CALC_MIDWEEK!$AY$3="",IF(0=0,"–",""),1&amp;". "&amp;CALC_MIDWEEK!$AY$3))</f>
        <v/>
      </c>
      <c r="M48" s="86">
        <f>IF(OR(CALC_MIDWEEK!$B$3="Zone",CALC_MIDWEEK!$AY$3=""),"",CALC_MIDWEEK!$AZ$3)</f>
        <v/>
      </c>
      <c r="N48" s="87" t="inlineStr">
        <is>
          <t>Attendance</t>
        </is>
      </c>
      <c r="O48" s="126">
        <f>IF(CALC_MIDWEEK!$B$3&lt;&gt;"Area","n/a",IF(CALC_MIDWEEK!$BA$3="","–",CALC_MIDWEEK!$BA$3&amp;" of "&amp;CALC_MIDWEEK!$BA$6))</f>
        <v/>
      </c>
    </row>
    <row r="49">
      <c r="B49" s="83">
        <f>IF(CALC_MIDWEEK!$B$3="Zone",IF(1=0,"n/a at Zone scope",""),IF(CALC_MIDWEEK!$AO$4="",IF(1=0,"–",""),2&amp;". "&amp;CALC_MIDWEEK!$AO$4))</f>
        <v/>
      </c>
      <c r="C49" s="84">
        <f>IF(OR(CALC_MIDWEEK!$B$3="Zone",CALC_MIDWEEK!$AO$4=""),"",CALC_MIDWEEK!$AP$4)</f>
        <v/>
      </c>
      <c r="D49" s="83">
        <f>IF(CALC_MIDWEEK!$B$3="Zone",IF(1=0,"n/a at Zone scope",""),IF(CALC_MIDWEEK!$AQ$4="",IF(1=0,"–",""),2&amp;". "&amp;CALC_MIDWEEK!$AQ$4))</f>
        <v/>
      </c>
      <c r="E49" s="84">
        <f>IF(OR(CALC_MIDWEEK!$B$3="Zone",CALC_MIDWEEK!$AQ$4=""),"",CALC_MIDWEEK!$AR$4)</f>
        <v/>
      </c>
      <c r="F49" s="83">
        <f>IF(CALC_MIDWEEK!$B$3="Zone",IF(1=0,"n/a at Zone scope",""),IF(CALC_MIDWEEK!$AS$4="",IF(1=0,"–",""),2&amp;". "&amp;CALC_MIDWEEK!$AS$4))</f>
        <v/>
      </c>
      <c r="G49" s="85">
        <f>IF(OR(CALC_MIDWEEK!$B$3="Zone",CALC_MIDWEEK!$AS$4=""),"",CALC_MIDWEEK!$AT$4)</f>
        <v/>
      </c>
      <c r="H49" s="83">
        <f>IF(CALC_MIDWEEK!$B$3="Zone",IF(1=0,"n/a at Zone scope",""),IF(CALC_MIDWEEK!$AU$4="",IF(1=0,"–",""),2&amp;". "&amp;CALC_MIDWEEK!$AU$4))</f>
        <v/>
      </c>
      <c r="I49" s="85">
        <f>IF(OR(CALC_MIDWEEK!$B$3="Zone",CALC_MIDWEEK!$AU$4=""),"",CALC_MIDWEEK!$AV$4)</f>
        <v/>
      </c>
      <c r="J49" s="83">
        <f>IF(CALC_MIDWEEK!$B$3="Zone",IF(1=0,"n/a at Zone scope",""),IF(CALC_MIDWEEK!$AW$4="",IF(1=0,"–",""),2&amp;". "&amp;CALC_MIDWEEK!$AW$4))</f>
        <v/>
      </c>
      <c r="K49" s="86">
        <f>IF(OR(CALC_MIDWEEK!$B$3="Zone",CALC_MIDWEEK!$AW$4=""),"",CALC_MIDWEEK!$AX$4)</f>
        <v/>
      </c>
      <c r="L49" s="83">
        <f>IF(CALC_MIDWEEK!$B$3="Zone",IF(1=0,"n/a at Zone scope",""),IF(CALC_MIDWEEK!$AY$4="",IF(1=0,"–",""),2&amp;". "&amp;CALC_MIDWEEK!$AY$4))</f>
        <v/>
      </c>
      <c r="M49" s="86">
        <f>IF(OR(CALC_MIDWEEK!$B$3="Zone",CALC_MIDWEEK!$AY$4=""),"",CALC_MIDWEEK!$AZ$4)</f>
        <v/>
      </c>
      <c r="N49" s="87" t="inlineStr">
        <is>
          <t>% reporting</t>
        </is>
      </c>
      <c r="O49" s="126">
        <f>IF(CALC_MIDWEEK!$B$3&lt;&gt;"Area","n/a",IF(CALC_MIDWEEK!$BA$4="","–",CALC_MIDWEEK!$BA$4&amp;" of "&amp;CALC_MIDWEEK!$BA$6))</f>
        <v/>
      </c>
    </row>
    <row r="50">
      <c r="B50" s="83">
        <f>IF(CALC_MIDWEEK!$B$3="Zone",IF(2=0,"n/a at Zone scope",""),IF(CALC_MIDWEEK!$AO$5="",IF(2=0,"–",""),3&amp;". "&amp;CALC_MIDWEEK!$AO$5))</f>
        <v/>
      </c>
      <c r="C50" s="84">
        <f>IF(OR(CALC_MIDWEEK!$B$3="Zone",CALC_MIDWEEK!$AO$5=""),"",CALC_MIDWEEK!$AP$5)</f>
        <v/>
      </c>
      <c r="D50" s="83">
        <f>IF(CALC_MIDWEEK!$B$3="Zone",IF(2=0,"n/a at Zone scope",""),IF(CALC_MIDWEEK!$AQ$5="",IF(2=0,"–",""),3&amp;". "&amp;CALC_MIDWEEK!$AQ$5))</f>
        <v/>
      </c>
      <c r="E50" s="84">
        <f>IF(OR(CALC_MIDWEEK!$B$3="Zone",CALC_MIDWEEK!$AQ$5=""),"",CALC_MIDWEEK!$AR$5)</f>
        <v/>
      </c>
      <c r="F50" s="83">
        <f>IF(CALC_MIDWEEK!$B$3="Zone",IF(2=0,"n/a at Zone scope",""),IF(CALC_MIDWEEK!$AS$5="",IF(2=0,"–",""),3&amp;". "&amp;CALC_MIDWEEK!$AS$5))</f>
        <v/>
      </c>
      <c r="G50" s="85">
        <f>IF(OR(CALC_MIDWEEK!$B$3="Zone",CALC_MIDWEEK!$AS$5=""),"",CALC_MIDWEEK!$AT$5)</f>
        <v/>
      </c>
      <c r="H50" s="83">
        <f>IF(CALC_MIDWEEK!$B$3="Zone",IF(2=0,"n/a at Zone scope",""),IF(CALC_MIDWEEK!$AU$5="",IF(2=0,"–",""),3&amp;". "&amp;CALC_MIDWEEK!$AU$5))</f>
        <v/>
      </c>
      <c r="I50" s="85">
        <f>IF(OR(CALC_MIDWEEK!$B$3="Zone",CALC_MIDWEEK!$AU$5=""),"",CALC_MIDWEEK!$AV$5)</f>
        <v/>
      </c>
      <c r="J50" s="83">
        <f>IF(CALC_MIDWEEK!$B$3="Zone",IF(2=0,"n/a at Zone scope",""),IF(CALC_MIDWEEK!$AW$5="",IF(2=0,"–",""),3&amp;". "&amp;CALC_MIDWEEK!$AW$5))</f>
        <v/>
      </c>
      <c r="K50" s="86">
        <f>IF(OR(CALC_MIDWEEK!$B$3="Zone",CALC_MIDWEEK!$AW$5=""),"",CALC_MIDWEEK!$AX$5)</f>
        <v/>
      </c>
      <c r="L50" s="83">
        <f>IF(CALC_MIDWEEK!$B$3="Zone",IF(2=0,"n/a at Zone scope",""),IF(CALC_MIDWEEK!$AY$5="",IF(2=0,"–",""),3&amp;". "&amp;CALC_MIDWEEK!$AY$5))</f>
        <v/>
      </c>
      <c r="M50" s="86">
        <f>IF(OR(CALC_MIDWEEK!$B$3="Zone",CALC_MIDWEEK!$AY$5=""),"",CALC_MIDWEEK!$AZ$5)</f>
        <v/>
      </c>
      <c r="N50" s="87" t="inlineStr">
        <is>
          <t>Growth</t>
        </is>
      </c>
      <c r="O50" s="126">
        <f>IF(CALC_MIDWEEK!$B$3&lt;&gt;"Area","n/a",IF(CALC_MIDWEEK!$BA$5="","–",CALC_MIDWEEK!$BA$5&amp;" of "&amp;CALC_MIDWEEK!$BA$6))</f>
        <v/>
      </c>
    </row>
    <row r="51">
      <c r="B51" s="83">
        <f>IF(CALC_MIDWEEK!$B$3="Zone",IF(3=0,"n/a at Zone scope",""),IF(CALC_MIDWEEK!$AO$6="",IF(3=0,"–",""),4&amp;". "&amp;CALC_MIDWEEK!$AO$6))</f>
        <v/>
      </c>
      <c r="C51" s="84">
        <f>IF(OR(CALC_MIDWEEK!$B$3="Zone",CALC_MIDWEEK!$AO$6=""),"",CALC_MIDWEEK!$AP$6)</f>
        <v/>
      </c>
      <c r="D51" s="83">
        <f>IF(CALC_MIDWEEK!$B$3="Zone",IF(3=0,"n/a at Zone scope",""),IF(CALC_MIDWEEK!$AQ$6="",IF(3=0,"–",""),4&amp;". "&amp;CALC_MIDWEEK!$AQ$6))</f>
        <v/>
      </c>
      <c r="E51" s="84">
        <f>IF(OR(CALC_MIDWEEK!$B$3="Zone",CALC_MIDWEEK!$AQ$6=""),"",CALC_MIDWEEK!$AR$6)</f>
        <v/>
      </c>
      <c r="F51" s="83">
        <f>IF(CALC_MIDWEEK!$B$3="Zone",IF(3=0,"n/a at Zone scope",""),IF(CALC_MIDWEEK!$AS$6="",IF(3=0,"–",""),4&amp;". "&amp;CALC_MIDWEEK!$AS$6))</f>
        <v/>
      </c>
      <c r="G51" s="85">
        <f>IF(OR(CALC_MIDWEEK!$B$3="Zone",CALC_MIDWEEK!$AS$6=""),"",CALC_MIDWEEK!$AT$6)</f>
        <v/>
      </c>
      <c r="H51" s="83">
        <f>IF(CALC_MIDWEEK!$B$3="Zone",IF(3=0,"n/a at Zone scope",""),IF(CALC_MIDWEEK!$AU$6="",IF(3=0,"–",""),4&amp;". "&amp;CALC_MIDWEEK!$AU$6))</f>
        <v/>
      </c>
      <c r="I51" s="85">
        <f>IF(OR(CALC_MIDWEEK!$B$3="Zone",CALC_MIDWEEK!$AU$6=""),"",CALC_MIDWEEK!$AV$6)</f>
        <v/>
      </c>
      <c r="J51" s="83">
        <f>IF(CALC_MIDWEEK!$B$3="Zone",IF(3=0,"n/a at Zone scope",""),IF(CALC_MIDWEEK!$AW$6="",IF(3=0,"–",""),4&amp;". "&amp;CALC_MIDWEEK!$AW$6))</f>
        <v/>
      </c>
      <c r="K51" s="86">
        <f>IF(OR(CALC_MIDWEEK!$B$3="Zone",CALC_MIDWEEK!$AW$6=""),"",CALC_MIDWEEK!$AX$6)</f>
        <v/>
      </c>
      <c r="L51" s="83">
        <f>IF(CALC_MIDWEEK!$B$3="Zone",IF(3=0,"n/a at Zone scope",""),IF(CALC_MIDWEEK!$AY$6="",IF(3=0,"–",""),4&amp;". "&amp;CALC_MIDWEEK!$AY$6))</f>
        <v/>
      </c>
      <c r="M51" s="86">
        <f>IF(OR(CALC_MIDWEEK!$B$3="Zone",CALC_MIDWEEK!$AY$6=""),"",CALC_MIDWEEK!$AZ$6)</f>
        <v/>
      </c>
    </row>
    <row r="52">
      <c r="B52" s="83">
        <f>IF(CALC_MIDWEEK!$B$3="Zone",IF(4=0,"n/a at Zone scope",""),IF(CALC_MIDWEEK!$AO$7="",IF(4=0,"–",""),5&amp;". "&amp;CALC_MIDWEEK!$AO$7))</f>
        <v/>
      </c>
      <c r="C52" s="84">
        <f>IF(OR(CALC_MIDWEEK!$B$3="Zone",CALC_MIDWEEK!$AO$7=""),"",CALC_MIDWEEK!$AP$7)</f>
        <v/>
      </c>
      <c r="D52" s="83">
        <f>IF(CALC_MIDWEEK!$B$3="Zone",IF(4=0,"n/a at Zone scope",""),IF(CALC_MIDWEEK!$AQ$7="",IF(4=0,"–",""),5&amp;". "&amp;CALC_MIDWEEK!$AQ$7))</f>
        <v/>
      </c>
      <c r="E52" s="84">
        <f>IF(OR(CALC_MIDWEEK!$B$3="Zone",CALC_MIDWEEK!$AQ$7=""),"",CALC_MIDWEEK!$AR$7)</f>
        <v/>
      </c>
      <c r="F52" s="83">
        <f>IF(CALC_MIDWEEK!$B$3="Zone",IF(4=0,"n/a at Zone scope",""),IF(CALC_MIDWEEK!$AS$7="",IF(4=0,"–",""),5&amp;". "&amp;CALC_MIDWEEK!$AS$7))</f>
        <v/>
      </c>
      <c r="G52" s="85">
        <f>IF(OR(CALC_MIDWEEK!$B$3="Zone",CALC_MIDWEEK!$AS$7=""),"",CALC_MIDWEEK!$AT$7)</f>
        <v/>
      </c>
      <c r="H52" s="83">
        <f>IF(CALC_MIDWEEK!$B$3="Zone",IF(4=0,"n/a at Zone scope",""),IF(CALC_MIDWEEK!$AU$7="",IF(4=0,"–",""),5&amp;". "&amp;CALC_MIDWEEK!$AU$7))</f>
        <v/>
      </c>
      <c r="I52" s="85">
        <f>IF(OR(CALC_MIDWEEK!$B$3="Zone",CALC_MIDWEEK!$AU$7=""),"",CALC_MIDWEEK!$AV$7)</f>
        <v/>
      </c>
      <c r="J52" s="83">
        <f>IF(CALC_MIDWEEK!$B$3="Zone",IF(4=0,"n/a at Zone scope",""),IF(CALC_MIDWEEK!$AW$7="",IF(4=0,"–",""),5&amp;". "&amp;CALC_MIDWEEK!$AW$7))</f>
        <v/>
      </c>
      <c r="K52" s="86">
        <f>IF(OR(CALC_MIDWEEK!$B$3="Zone",CALC_MIDWEEK!$AW$7=""),"",CALC_MIDWEEK!$AX$7)</f>
        <v/>
      </c>
      <c r="L52" s="83">
        <f>IF(CALC_MIDWEEK!$B$3="Zone",IF(4=0,"n/a at Zone scope",""),IF(CALC_MIDWEEK!$AY$7="",IF(4=0,"–",""),5&amp;". "&amp;CALC_MIDWEEK!$AY$7))</f>
        <v/>
      </c>
      <c r="M52" s="86">
        <f>IF(OR(CALC_MIDWEEK!$B$3="Zone",CALC_MIDWEEK!$AY$7=""),"",CALC_MIDWEEK!$AZ$7)</f>
        <v/>
      </c>
    </row>
    <row r="53">
      <c r="B53" s="83">
        <f>IF(CALC_MIDWEEK!$B$3="Zone",IF(5=0,"n/a at Zone scope",""),IF(CALC_MIDWEEK!$AO$8="",IF(5=0,"–",""),6&amp;". "&amp;CALC_MIDWEEK!$AO$8))</f>
        <v/>
      </c>
      <c r="C53" s="84">
        <f>IF(OR(CALC_MIDWEEK!$B$3="Zone",CALC_MIDWEEK!$AO$8=""),"",CALC_MIDWEEK!$AP$8)</f>
        <v/>
      </c>
      <c r="D53" s="83">
        <f>IF(CALC_MIDWEEK!$B$3="Zone",IF(5=0,"n/a at Zone scope",""),IF(CALC_MIDWEEK!$AQ$8="",IF(5=0,"–",""),6&amp;". "&amp;CALC_MIDWEEK!$AQ$8))</f>
        <v/>
      </c>
      <c r="E53" s="84">
        <f>IF(OR(CALC_MIDWEEK!$B$3="Zone",CALC_MIDWEEK!$AQ$8=""),"",CALC_MIDWEEK!$AR$8)</f>
        <v/>
      </c>
      <c r="F53" s="83">
        <f>IF(CALC_MIDWEEK!$B$3="Zone",IF(5=0,"n/a at Zone scope",""),IF(CALC_MIDWEEK!$AS$8="",IF(5=0,"–",""),6&amp;". "&amp;CALC_MIDWEEK!$AS$8))</f>
        <v/>
      </c>
      <c r="G53" s="85">
        <f>IF(OR(CALC_MIDWEEK!$B$3="Zone",CALC_MIDWEEK!$AS$8=""),"",CALC_MIDWEEK!$AT$8)</f>
        <v/>
      </c>
      <c r="H53" s="83">
        <f>IF(CALC_MIDWEEK!$B$3="Zone",IF(5=0,"n/a at Zone scope",""),IF(CALC_MIDWEEK!$AU$8="",IF(5=0,"–",""),6&amp;". "&amp;CALC_MIDWEEK!$AU$8))</f>
        <v/>
      </c>
      <c r="I53" s="85">
        <f>IF(OR(CALC_MIDWEEK!$B$3="Zone",CALC_MIDWEEK!$AU$8=""),"",CALC_MIDWEEK!$AV$8)</f>
        <v/>
      </c>
      <c r="J53" s="83">
        <f>IF(CALC_MIDWEEK!$B$3="Zone",IF(5=0,"n/a at Zone scope",""),IF(CALC_MIDWEEK!$AW$8="",IF(5=0,"–",""),6&amp;". "&amp;CALC_MIDWEEK!$AW$8))</f>
        <v/>
      </c>
      <c r="K53" s="86">
        <f>IF(OR(CALC_MIDWEEK!$B$3="Zone",CALC_MIDWEEK!$AW$8=""),"",CALC_MIDWEEK!$AX$8)</f>
        <v/>
      </c>
      <c r="L53" s="83">
        <f>IF(CALC_MIDWEEK!$B$3="Zone",IF(5=0,"n/a at Zone scope",""),IF(CALC_MIDWEEK!$AY$8="",IF(5=0,"–",""),6&amp;". "&amp;CALC_MIDWEEK!$AY$8))</f>
        <v/>
      </c>
      <c r="M53" s="86">
        <f>IF(OR(CALC_MIDWEEK!$B$3="Zone",CALC_MIDWEEK!$AY$8=""),"",CALC_MIDWEEK!$AZ$8)</f>
        <v/>
      </c>
    </row>
    <row r="54">
      <c r="B54" s="83">
        <f>IF(CALC_MIDWEEK!$B$3="Zone",IF(6=0,"n/a at Zone scope",""),IF(CALC_MIDWEEK!$AO$9="",IF(6=0,"–",""),7&amp;". "&amp;CALC_MIDWEEK!$AO$9))</f>
        <v/>
      </c>
      <c r="C54" s="84">
        <f>IF(OR(CALC_MIDWEEK!$B$3="Zone",CALC_MIDWEEK!$AO$9=""),"",CALC_MIDWEEK!$AP$9)</f>
        <v/>
      </c>
      <c r="D54" s="83">
        <f>IF(CALC_MIDWEEK!$B$3="Zone",IF(6=0,"n/a at Zone scope",""),IF(CALC_MIDWEEK!$AQ$9="",IF(6=0,"–",""),7&amp;". "&amp;CALC_MIDWEEK!$AQ$9))</f>
        <v/>
      </c>
      <c r="E54" s="84">
        <f>IF(OR(CALC_MIDWEEK!$B$3="Zone",CALC_MIDWEEK!$AQ$9=""),"",CALC_MIDWEEK!$AR$9)</f>
        <v/>
      </c>
      <c r="F54" s="83">
        <f>IF(CALC_MIDWEEK!$B$3="Zone",IF(6=0,"n/a at Zone scope",""),IF(CALC_MIDWEEK!$AS$9="",IF(6=0,"–",""),7&amp;". "&amp;CALC_MIDWEEK!$AS$9))</f>
        <v/>
      </c>
      <c r="G54" s="85">
        <f>IF(OR(CALC_MIDWEEK!$B$3="Zone",CALC_MIDWEEK!$AS$9=""),"",CALC_MIDWEEK!$AT$9)</f>
        <v/>
      </c>
      <c r="H54" s="83">
        <f>IF(CALC_MIDWEEK!$B$3="Zone",IF(6=0,"n/a at Zone scope",""),IF(CALC_MIDWEEK!$AU$9="",IF(6=0,"–",""),7&amp;". "&amp;CALC_MIDWEEK!$AU$9))</f>
        <v/>
      </c>
      <c r="I54" s="85">
        <f>IF(OR(CALC_MIDWEEK!$B$3="Zone",CALC_MIDWEEK!$AU$9=""),"",CALC_MIDWEEK!$AV$9)</f>
        <v/>
      </c>
      <c r="J54" s="83">
        <f>IF(CALC_MIDWEEK!$B$3="Zone",IF(6=0,"n/a at Zone scope",""),IF(CALC_MIDWEEK!$AW$9="",IF(6=0,"–",""),7&amp;". "&amp;CALC_MIDWEEK!$AW$9))</f>
        <v/>
      </c>
      <c r="K54" s="86">
        <f>IF(OR(CALC_MIDWEEK!$B$3="Zone",CALC_MIDWEEK!$AW$9=""),"",CALC_MIDWEEK!$AX$9)</f>
        <v/>
      </c>
      <c r="L54" s="83">
        <f>IF(CALC_MIDWEEK!$B$3="Zone",IF(6=0,"n/a at Zone scope",""),IF(CALC_MIDWEEK!$AY$9="",IF(6=0,"–",""),7&amp;". "&amp;CALC_MIDWEEK!$AY$9))</f>
        <v/>
      </c>
      <c r="M54" s="86">
        <f>IF(OR(CALC_MIDWEEK!$B$3="Zone",CALC_MIDWEEK!$AY$9=""),"",CALC_MIDWEEK!$AZ$9)</f>
        <v/>
      </c>
    </row>
    <row r="55">
      <c r="B55" s="83">
        <f>IF(CALC_MIDWEEK!$B$3="Zone",IF(7=0,"n/a at Zone scope",""),IF(CALC_MIDWEEK!$AO$10="",IF(7=0,"–",""),8&amp;". "&amp;CALC_MIDWEEK!$AO$10))</f>
        <v/>
      </c>
      <c r="C55" s="84">
        <f>IF(OR(CALC_MIDWEEK!$B$3="Zone",CALC_MIDWEEK!$AO$10=""),"",CALC_MIDWEEK!$AP$10)</f>
        <v/>
      </c>
      <c r="D55" s="83">
        <f>IF(CALC_MIDWEEK!$B$3="Zone",IF(7=0,"n/a at Zone scope",""),IF(CALC_MIDWEEK!$AQ$10="",IF(7=0,"–",""),8&amp;". "&amp;CALC_MIDWEEK!$AQ$10))</f>
        <v/>
      </c>
      <c r="E55" s="84">
        <f>IF(OR(CALC_MIDWEEK!$B$3="Zone",CALC_MIDWEEK!$AQ$10=""),"",CALC_MIDWEEK!$AR$10)</f>
        <v/>
      </c>
      <c r="F55" s="83">
        <f>IF(CALC_MIDWEEK!$B$3="Zone",IF(7=0,"n/a at Zone scope",""),IF(CALC_MIDWEEK!$AS$10="",IF(7=0,"–",""),8&amp;". "&amp;CALC_MIDWEEK!$AS$10))</f>
        <v/>
      </c>
      <c r="G55" s="85">
        <f>IF(OR(CALC_MIDWEEK!$B$3="Zone",CALC_MIDWEEK!$AS$10=""),"",CALC_MIDWEEK!$AT$10)</f>
        <v/>
      </c>
      <c r="H55" s="83">
        <f>IF(CALC_MIDWEEK!$B$3="Zone",IF(7=0,"n/a at Zone scope",""),IF(CALC_MIDWEEK!$AU$10="",IF(7=0,"–",""),8&amp;". "&amp;CALC_MIDWEEK!$AU$10))</f>
        <v/>
      </c>
      <c r="I55" s="85">
        <f>IF(OR(CALC_MIDWEEK!$B$3="Zone",CALC_MIDWEEK!$AU$10=""),"",CALC_MIDWEEK!$AV$10)</f>
        <v/>
      </c>
      <c r="J55" s="83">
        <f>IF(CALC_MIDWEEK!$B$3="Zone",IF(7=0,"n/a at Zone scope",""),IF(CALC_MIDWEEK!$AW$10="",IF(7=0,"–",""),8&amp;". "&amp;CALC_MIDWEEK!$AW$10))</f>
        <v/>
      </c>
      <c r="K55" s="86">
        <f>IF(OR(CALC_MIDWEEK!$B$3="Zone",CALC_MIDWEEK!$AW$10=""),"",CALC_MIDWEEK!$AX$10)</f>
        <v/>
      </c>
      <c r="L55" s="83">
        <f>IF(CALC_MIDWEEK!$B$3="Zone",IF(7=0,"n/a at Zone scope",""),IF(CALC_MIDWEEK!$AY$10="",IF(7=0,"–",""),8&amp;". "&amp;CALC_MIDWEEK!$AY$10))</f>
        <v/>
      </c>
      <c r="M55" s="86">
        <f>IF(OR(CALC_MIDWEEK!$B$3="Zone",CALC_MIDWEEK!$AY$10=""),"",CALC_MIDWEEK!$AZ$10)</f>
        <v/>
      </c>
    </row>
    <row r="56">
      <c r="B56" s="83">
        <f>IF(CALC_MIDWEEK!$B$3="Zone",IF(8=0,"n/a at Zone scope",""),IF(CALC_MIDWEEK!$AO$11="",IF(8=0,"–",""),9&amp;". "&amp;CALC_MIDWEEK!$AO$11))</f>
        <v/>
      </c>
      <c r="C56" s="84">
        <f>IF(OR(CALC_MIDWEEK!$B$3="Zone",CALC_MIDWEEK!$AO$11=""),"",CALC_MIDWEEK!$AP$11)</f>
        <v/>
      </c>
      <c r="D56" s="83">
        <f>IF(CALC_MIDWEEK!$B$3="Zone",IF(8=0,"n/a at Zone scope",""),IF(CALC_MIDWEEK!$AQ$11="",IF(8=0,"–",""),9&amp;". "&amp;CALC_MIDWEEK!$AQ$11))</f>
        <v/>
      </c>
      <c r="E56" s="84">
        <f>IF(OR(CALC_MIDWEEK!$B$3="Zone",CALC_MIDWEEK!$AQ$11=""),"",CALC_MIDWEEK!$AR$11)</f>
        <v/>
      </c>
      <c r="F56" s="83">
        <f>IF(CALC_MIDWEEK!$B$3="Zone",IF(8=0,"n/a at Zone scope",""),IF(CALC_MIDWEEK!$AS$11="",IF(8=0,"–",""),9&amp;". "&amp;CALC_MIDWEEK!$AS$11))</f>
        <v/>
      </c>
      <c r="G56" s="85">
        <f>IF(OR(CALC_MIDWEEK!$B$3="Zone",CALC_MIDWEEK!$AS$11=""),"",CALC_MIDWEEK!$AT$11)</f>
        <v/>
      </c>
      <c r="H56" s="83">
        <f>IF(CALC_MIDWEEK!$B$3="Zone",IF(8=0,"n/a at Zone scope",""),IF(CALC_MIDWEEK!$AU$11="",IF(8=0,"–",""),9&amp;". "&amp;CALC_MIDWEEK!$AU$11))</f>
        <v/>
      </c>
      <c r="I56" s="85">
        <f>IF(OR(CALC_MIDWEEK!$B$3="Zone",CALC_MIDWEEK!$AU$11=""),"",CALC_MIDWEEK!$AV$11)</f>
        <v/>
      </c>
      <c r="J56" s="83">
        <f>IF(CALC_MIDWEEK!$B$3="Zone",IF(8=0,"n/a at Zone scope",""),IF(CALC_MIDWEEK!$AW$11="",IF(8=0,"–",""),9&amp;". "&amp;CALC_MIDWEEK!$AW$11))</f>
        <v/>
      </c>
      <c r="K56" s="86">
        <f>IF(OR(CALC_MIDWEEK!$B$3="Zone",CALC_MIDWEEK!$AW$11=""),"",CALC_MIDWEEK!$AX$11)</f>
        <v/>
      </c>
      <c r="L56" s="83">
        <f>IF(CALC_MIDWEEK!$B$3="Zone",IF(8=0,"n/a at Zone scope",""),IF(CALC_MIDWEEK!$AY$11="",IF(8=0,"–",""),9&amp;". "&amp;CALC_MIDWEEK!$AY$11))</f>
        <v/>
      </c>
      <c r="M56" s="86">
        <f>IF(OR(CALC_MIDWEEK!$B$3="Zone",CALC_MIDWEEK!$AY$11=""),"",CALC_MIDWEEK!$AZ$11)</f>
        <v/>
      </c>
    </row>
    <row r="57">
      <c r="B57" s="83">
        <f>IF(CALC_MIDWEEK!$B$3="Zone",IF(9=0,"n/a at Zone scope",""),IF(CALC_MIDWEEK!$AO$12="",IF(9=0,"–",""),10&amp;". "&amp;CALC_MIDWEEK!$AO$12))</f>
        <v/>
      </c>
      <c r="C57" s="84">
        <f>IF(OR(CALC_MIDWEEK!$B$3="Zone",CALC_MIDWEEK!$AO$12=""),"",CALC_MIDWEEK!$AP$12)</f>
        <v/>
      </c>
      <c r="D57" s="83">
        <f>IF(CALC_MIDWEEK!$B$3="Zone",IF(9=0,"n/a at Zone scope",""),IF(CALC_MIDWEEK!$AQ$12="",IF(9=0,"–",""),10&amp;". "&amp;CALC_MIDWEEK!$AQ$12))</f>
        <v/>
      </c>
      <c r="E57" s="84">
        <f>IF(OR(CALC_MIDWEEK!$B$3="Zone",CALC_MIDWEEK!$AQ$12=""),"",CALC_MIDWEEK!$AR$12)</f>
        <v/>
      </c>
      <c r="F57" s="83">
        <f>IF(CALC_MIDWEEK!$B$3="Zone",IF(9=0,"n/a at Zone scope",""),IF(CALC_MIDWEEK!$AS$12="",IF(9=0,"–",""),10&amp;". "&amp;CALC_MIDWEEK!$AS$12))</f>
        <v/>
      </c>
      <c r="G57" s="85">
        <f>IF(OR(CALC_MIDWEEK!$B$3="Zone",CALC_MIDWEEK!$AS$12=""),"",CALC_MIDWEEK!$AT$12)</f>
        <v/>
      </c>
      <c r="H57" s="83">
        <f>IF(CALC_MIDWEEK!$B$3="Zone",IF(9=0,"n/a at Zone scope",""),IF(CALC_MIDWEEK!$AU$12="",IF(9=0,"–",""),10&amp;". "&amp;CALC_MIDWEEK!$AU$12))</f>
        <v/>
      </c>
      <c r="I57" s="85">
        <f>IF(OR(CALC_MIDWEEK!$B$3="Zone",CALC_MIDWEEK!$AU$12=""),"",CALC_MIDWEEK!$AV$12)</f>
        <v/>
      </c>
      <c r="J57" s="83">
        <f>IF(CALC_MIDWEEK!$B$3="Zone",IF(9=0,"n/a at Zone scope",""),IF(CALC_MIDWEEK!$AW$12="",IF(9=0,"–",""),10&amp;". "&amp;CALC_MIDWEEK!$AW$12))</f>
        <v/>
      </c>
      <c r="K57" s="86">
        <f>IF(OR(CALC_MIDWEEK!$B$3="Zone",CALC_MIDWEEK!$AW$12=""),"",CALC_MIDWEEK!$AX$12)</f>
        <v/>
      </c>
      <c r="L57" s="83">
        <f>IF(CALC_MIDWEEK!$B$3="Zone",IF(9=0,"n/a at Zone scope",""),IF(CALC_MIDWEEK!$AY$12="",IF(9=0,"–",""),10&amp;". "&amp;CALC_MIDWEEK!$AY$12))</f>
        <v/>
      </c>
      <c r="M57" s="86">
        <f>IF(OR(CALC_MIDWEEK!$B$3="Zone",CALC_MIDWEEK!$AY$12=""),"",CALC_MIDWEEK!$AZ$12)</f>
        <v/>
      </c>
    </row>
    <row r="60" ht="22" customHeight="1">
      <c r="B60" s="108" t="inlineStr">
        <is>
          <t>Who didn't report — Areas with zones missing a report for the selected week</t>
        </is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09" t="n"/>
    </row>
    <row r="61">
      <c r="B61" s="90">
        <f>IF(CALC_MIDWEEK!$B$3="Zone",IF(CALC_MIDWEEK!$B$17,IF(CALC_MIDWEEK!$O$21=1,"This zone reported.","This zone has no report for the selected week."),""),IF(CALC_MIDWEEK!$BB$1=0,"Every zone reported.",TEXT(CALC_MIDWEEK!$BC$1,"#,##0")&amp;" zones without a report, across "&amp;CALC_MIDWEEK!$BB$1&amp;" Area(s)."))</f>
        <v/>
      </c>
    </row>
    <row r="62">
      <c r="B62" s="110" t="inlineStr">
        <is>
          <t>Area</t>
        </is>
      </c>
      <c r="C62" s="11" t="n"/>
      <c r="D62" s="11" t="n"/>
      <c r="E62" s="11" t="n"/>
      <c r="F62" s="110" t="inlineStr">
        <is>
          <t>Zones</t>
        </is>
      </c>
      <c r="G62" s="11" t="n"/>
      <c r="H62" s="110" t="inlineStr">
        <is>
          <t>Reported</t>
        </is>
      </c>
      <c r="I62" s="11" t="n"/>
      <c r="J62" s="110" t="inlineStr">
        <is>
          <t>Missing</t>
        </is>
      </c>
      <c r="K62" s="11" t="n"/>
    </row>
    <row r="63">
      <c r="B63" s="127">
        <f>IF(CALC_MIDWEEK!$B$3="Zone","",CALC_MIDWEEK!$BC$3)</f>
        <v/>
      </c>
      <c r="C63" s="113" t="n"/>
      <c r="D63" s="113" t="n"/>
      <c r="E63" s="113" t="n"/>
      <c r="F63" s="128">
        <f>IF(CALC_MIDWEEK!$B$3="Zone","",CALC_MIDWEEK!$BD$3)</f>
        <v/>
      </c>
      <c r="G63" s="113" t="n"/>
      <c r="H63" s="128">
        <f>IF(CALC_MIDWEEK!$B$3="Zone","",CALC_MIDWEEK!$BE$3)</f>
        <v/>
      </c>
      <c r="I63" s="113" t="n"/>
      <c r="J63" s="128">
        <f>IF(CALC_MIDWEEK!$B$3="Zone","",CALC_MIDWEEK!$BF$3)</f>
        <v/>
      </c>
      <c r="K63" s="113" t="n"/>
    </row>
    <row r="64">
      <c r="B64" s="87">
        <f>IF(CALC_MIDWEEK!$B$3="Zone","",CALC_MIDWEEK!$BC$4)</f>
        <v/>
      </c>
      <c r="F64" s="93">
        <f>IF(CALC_MIDWEEK!$B$3="Zone","",CALC_MIDWEEK!$BD$4)</f>
        <v/>
      </c>
      <c r="H64" s="93">
        <f>IF(CALC_MIDWEEK!$B$3="Zone","",CALC_MIDWEEK!$BE$4)</f>
        <v/>
      </c>
      <c r="J64" s="93">
        <f>IF(CALC_MIDWEEK!$B$3="Zone","",CALC_MIDWEEK!$BF$4)</f>
        <v/>
      </c>
    </row>
    <row r="65">
      <c r="B65" s="127">
        <f>IF(CALC_MIDWEEK!$B$3="Zone","",CALC_MIDWEEK!$BC$5)</f>
        <v/>
      </c>
      <c r="C65" s="113" t="n"/>
      <c r="D65" s="113" t="n"/>
      <c r="E65" s="113" t="n"/>
      <c r="F65" s="128">
        <f>IF(CALC_MIDWEEK!$B$3="Zone","",CALC_MIDWEEK!$BD$5)</f>
        <v/>
      </c>
      <c r="G65" s="113" t="n"/>
      <c r="H65" s="128">
        <f>IF(CALC_MIDWEEK!$B$3="Zone","",CALC_MIDWEEK!$BE$5)</f>
        <v/>
      </c>
      <c r="I65" s="113" t="n"/>
      <c r="J65" s="128">
        <f>IF(CALC_MIDWEEK!$B$3="Zone","",CALC_MIDWEEK!$BF$5)</f>
        <v/>
      </c>
      <c r="K65" s="113" t="n"/>
    </row>
    <row r="66">
      <c r="B66" s="87">
        <f>IF(CALC_MIDWEEK!$B$3="Zone","",CALC_MIDWEEK!$BC$6)</f>
        <v/>
      </c>
      <c r="F66" s="93">
        <f>IF(CALC_MIDWEEK!$B$3="Zone","",CALC_MIDWEEK!$BD$6)</f>
        <v/>
      </c>
      <c r="H66" s="93">
        <f>IF(CALC_MIDWEEK!$B$3="Zone","",CALC_MIDWEEK!$BE$6)</f>
        <v/>
      </c>
      <c r="J66" s="93">
        <f>IF(CALC_MIDWEEK!$B$3="Zone","",CALC_MIDWEEK!$BF$6)</f>
        <v/>
      </c>
    </row>
    <row r="67">
      <c r="B67" s="127">
        <f>IF(CALC_MIDWEEK!$B$3="Zone","",CALC_MIDWEEK!$BC$7)</f>
        <v/>
      </c>
      <c r="C67" s="113" t="n"/>
      <c r="D67" s="113" t="n"/>
      <c r="E67" s="113" t="n"/>
      <c r="F67" s="128">
        <f>IF(CALC_MIDWEEK!$B$3="Zone","",CALC_MIDWEEK!$BD$7)</f>
        <v/>
      </c>
      <c r="G67" s="113" t="n"/>
      <c r="H67" s="128">
        <f>IF(CALC_MIDWEEK!$B$3="Zone","",CALC_MIDWEEK!$BE$7)</f>
        <v/>
      </c>
      <c r="I67" s="113" t="n"/>
      <c r="J67" s="128">
        <f>IF(CALC_MIDWEEK!$B$3="Zone","",CALC_MIDWEEK!$BF$7)</f>
        <v/>
      </c>
      <c r="K67" s="113" t="n"/>
    </row>
    <row r="68">
      <c r="B68" s="87">
        <f>IF(CALC_MIDWEEK!$B$3="Zone","",CALC_MIDWEEK!$BC$8)</f>
        <v/>
      </c>
      <c r="F68" s="93">
        <f>IF(CALC_MIDWEEK!$B$3="Zone","",CALC_MIDWEEK!$BD$8)</f>
        <v/>
      </c>
      <c r="H68" s="93">
        <f>IF(CALC_MIDWEEK!$B$3="Zone","",CALC_MIDWEEK!$BE$8)</f>
        <v/>
      </c>
      <c r="J68" s="93">
        <f>IF(CALC_MIDWEEK!$B$3="Zone","",CALC_MIDWEEK!$BF$8)</f>
        <v/>
      </c>
    </row>
    <row r="69">
      <c r="B69" s="127">
        <f>IF(CALC_MIDWEEK!$B$3="Zone","",CALC_MIDWEEK!$BC$9)</f>
        <v/>
      </c>
      <c r="C69" s="113" t="n"/>
      <c r="D69" s="113" t="n"/>
      <c r="E69" s="113" t="n"/>
      <c r="F69" s="128">
        <f>IF(CALC_MIDWEEK!$B$3="Zone","",CALC_MIDWEEK!$BD$9)</f>
        <v/>
      </c>
      <c r="G69" s="113" t="n"/>
      <c r="H69" s="128">
        <f>IF(CALC_MIDWEEK!$B$3="Zone","",CALC_MIDWEEK!$BE$9)</f>
        <v/>
      </c>
      <c r="I69" s="113" t="n"/>
      <c r="J69" s="128">
        <f>IF(CALC_MIDWEEK!$B$3="Zone","",CALC_MIDWEEK!$BF$9)</f>
        <v/>
      </c>
      <c r="K69" s="113" t="n"/>
    </row>
    <row r="70">
      <c r="B70" s="87">
        <f>IF(CALC_MIDWEEK!$B$3="Zone","",CALC_MIDWEEK!$BC$10)</f>
        <v/>
      </c>
      <c r="F70" s="93">
        <f>IF(CALC_MIDWEEK!$B$3="Zone","",CALC_MIDWEEK!$BD$10)</f>
        <v/>
      </c>
      <c r="H70" s="93">
        <f>IF(CALC_MIDWEEK!$B$3="Zone","",CALC_MIDWEEK!$BE$10)</f>
        <v/>
      </c>
      <c r="J70" s="93">
        <f>IF(CALC_MIDWEEK!$B$3="Zone","",CALC_MIDWEEK!$BF$10)</f>
        <v/>
      </c>
    </row>
    <row r="71">
      <c r="B71" s="127">
        <f>IF(CALC_MIDWEEK!$B$3="Zone","",CALC_MIDWEEK!$BC$11)</f>
        <v/>
      </c>
      <c r="C71" s="113" t="n"/>
      <c r="D71" s="113" t="n"/>
      <c r="E71" s="113" t="n"/>
      <c r="F71" s="128">
        <f>IF(CALC_MIDWEEK!$B$3="Zone","",CALC_MIDWEEK!$BD$11)</f>
        <v/>
      </c>
      <c r="G71" s="113" t="n"/>
      <c r="H71" s="128">
        <f>IF(CALC_MIDWEEK!$B$3="Zone","",CALC_MIDWEEK!$BE$11)</f>
        <v/>
      </c>
      <c r="I71" s="113" t="n"/>
      <c r="J71" s="128">
        <f>IF(CALC_MIDWEEK!$B$3="Zone","",CALC_MIDWEEK!$BF$11)</f>
        <v/>
      </c>
      <c r="K71" s="113" t="n"/>
    </row>
    <row r="72">
      <c r="B72" s="87">
        <f>IF(CALC_MIDWEEK!$B$3="Zone","",CALC_MIDWEEK!$BC$12)</f>
        <v/>
      </c>
      <c r="F72" s="93">
        <f>IF(CALC_MIDWEEK!$B$3="Zone","",CALC_MIDWEEK!$BD$12)</f>
        <v/>
      </c>
      <c r="H72" s="93">
        <f>IF(CALC_MIDWEEK!$B$3="Zone","",CALC_MIDWEEK!$BE$12)</f>
        <v/>
      </c>
      <c r="J72" s="93">
        <f>IF(CALC_MIDWEEK!$B$3="Zone","",CALC_MIDWEEK!$BF$12)</f>
        <v/>
      </c>
    </row>
    <row r="73">
      <c r="B73" s="127">
        <f>IF(CALC_MIDWEEK!$B$3="Zone","",CALC_MIDWEEK!$BC$13)</f>
        <v/>
      </c>
      <c r="C73" s="113" t="n"/>
      <c r="D73" s="113" t="n"/>
      <c r="E73" s="113" t="n"/>
      <c r="F73" s="128">
        <f>IF(CALC_MIDWEEK!$B$3="Zone","",CALC_MIDWEEK!$BD$13)</f>
        <v/>
      </c>
      <c r="G73" s="113" t="n"/>
      <c r="H73" s="128">
        <f>IF(CALC_MIDWEEK!$B$3="Zone","",CALC_MIDWEEK!$BE$13)</f>
        <v/>
      </c>
      <c r="I73" s="113" t="n"/>
      <c r="J73" s="128">
        <f>IF(CALC_MIDWEEK!$B$3="Zone","",CALC_MIDWEEK!$BF$13)</f>
        <v/>
      </c>
      <c r="K73" s="113" t="n"/>
    </row>
    <row r="74">
      <c r="B74" s="87">
        <f>IF(CALC_MIDWEEK!$B$3="Zone","",CALC_MIDWEEK!$BC$14)</f>
        <v/>
      </c>
      <c r="F74" s="93">
        <f>IF(CALC_MIDWEEK!$B$3="Zone","",CALC_MIDWEEK!$BD$14)</f>
        <v/>
      </c>
      <c r="H74" s="93">
        <f>IF(CALC_MIDWEEK!$B$3="Zone","",CALC_MIDWEEK!$BE$14)</f>
        <v/>
      </c>
      <c r="J74" s="93">
        <f>IF(CALC_MIDWEEK!$B$3="Zone","",CALC_MIDWEEK!$BF$14)</f>
        <v/>
      </c>
    </row>
    <row r="75">
      <c r="B75" s="127">
        <f>IF(CALC_MIDWEEK!$B$3="Zone","",CALC_MIDWEEK!$BC$15)</f>
        <v/>
      </c>
      <c r="C75" s="113" t="n"/>
      <c r="D75" s="113" t="n"/>
      <c r="E75" s="113" t="n"/>
      <c r="F75" s="128">
        <f>IF(CALC_MIDWEEK!$B$3="Zone","",CALC_MIDWEEK!$BD$15)</f>
        <v/>
      </c>
      <c r="G75" s="113" t="n"/>
      <c r="H75" s="128">
        <f>IF(CALC_MIDWEEK!$B$3="Zone","",CALC_MIDWEEK!$BE$15)</f>
        <v/>
      </c>
      <c r="I75" s="113" t="n"/>
      <c r="J75" s="128">
        <f>IF(CALC_MIDWEEK!$B$3="Zone","",CALC_MIDWEEK!$BF$15)</f>
        <v/>
      </c>
      <c r="K75" s="113" t="n"/>
    </row>
    <row r="76">
      <c r="B76" s="87">
        <f>IF(CALC_MIDWEEK!$B$3="Zone","",CALC_MIDWEEK!$BC$16)</f>
        <v/>
      </c>
      <c r="F76" s="93">
        <f>IF(CALC_MIDWEEK!$B$3="Zone","",CALC_MIDWEEK!$BD$16)</f>
        <v/>
      </c>
      <c r="H76" s="93">
        <f>IF(CALC_MIDWEEK!$B$3="Zone","",CALC_MIDWEEK!$BE$16)</f>
        <v/>
      </c>
      <c r="J76" s="93">
        <f>IF(CALC_MIDWEEK!$B$3="Zone","",CALC_MIDWEEK!$BF$16)</f>
        <v/>
      </c>
    </row>
    <row r="77">
      <c r="B77" s="127">
        <f>IF(CALC_MIDWEEK!$B$3="Zone","",CALC_MIDWEEK!$BC$17)</f>
        <v/>
      </c>
      <c r="C77" s="113" t="n"/>
      <c r="D77" s="113" t="n"/>
      <c r="E77" s="113" t="n"/>
      <c r="F77" s="128">
        <f>IF(CALC_MIDWEEK!$B$3="Zone","",CALC_MIDWEEK!$BD$17)</f>
        <v/>
      </c>
      <c r="G77" s="113" t="n"/>
      <c r="H77" s="128">
        <f>IF(CALC_MIDWEEK!$B$3="Zone","",CALC_MIDWEEK!$BE$17)</f>
        <v/>
      </c>
      <c r="I77" s="113" t="n"/>
      <c r="J77" s="128">
        <f>IF(CALC_MIDWEEK!$B$3="Zone","",CALC_MIDWEEK!$BF$17)</f>
        <v/>
      </c>
      <c r="K77" s="113" t="n"/>
    </row>
    <row r="78">
      <c r="B78" s="87">
        <f>IF(CALC_MIDWEEK!$B$3="Zone","",CALC_MIDWEEK!$BC$18)</f>
        <v/>
      </c>
      <c r="F78" s="93">
        <f>IF(CALC_MIDWEEK!$B$3="Zone","",CALC_MIDWEEK!$BD$18)</f>
        <v/>
      </c>
      <c r="H78" s="93">
        <f>IF(CALC_MIDWEEK!$B$3="Zone","",CALC_MIDWEEK!$BE$18)</f>
        <v/>
      </c>
      <c r="J78" s="93">
        <f>IF(CALC_MIDWEEK!$B$3="Zone","",CALC_MIDWEEK!$BF$18)</f>
        <v/>
      </c>
    </row>
    <row r="79">
      <c r="B79" s="127">
        <f>IF(CALC_MIDWEEK!$B$3="Zone","",CALC_MIDWEEK!$BC$19)</f>
        <v/>
      </c>
      <c r="C79" s="113" t="n"/>
      <c r="D79" s="113" t="n"/>
      <c r="E79" s="113" t="n"/>
      <c r="F79" s="128">
        <f>IF(CALC_MIDWEEK!$B$3="Zone","",CALC_MIDWEEK!$BD$19)</f>
        <v/>
      </c>
      <c r="G79" s="113" t="n"/>
      <c r="H79" s="128">
        <f>IF(CALC_MIDWEEK!$B$3="Zone","",CALC_MIDWEEK!$BE$19)</f>
        <v/>
      </c>
      <c r="I79" s="113" t="n"/>
      <c r="J79" s="128">
        <f>IF(CALC_MIDWEEK!$B$3="Zone","",CALC_MIDWEEK!$BF$19)</f>
        <v/>
      </c>
      <c r="K79" s="113" t="n"/>
    </row>
    <row r="80">
      <c r="B80" s="87">
        <f>IF(CALC_MIDWEEK!$B$3="Zone","",CALC_MIDWEEK!$BC$20)</f>
        <v/>
      </c>
      <c r="F80" s="93">
        <f>IF(CALC_MIDWEEK!$B$3="Zone","",CALC_MIDWEEK!$BD$20)</f>
        <v/>
      </c>
      <c r="H80" s="93">
        <f>IF(CALC_MIDWEEK!$B$3="Zone","",CALC_MIDWEEK!$BE$20)</f>
        <v/>
      </c>
      <c r="J80" s="93">
        <f>IF(CALC_MIDWEEK!$B$3="Zone","",CALC_MIDWEEK!$BF$20)</f>
        <v/>
      </c>
    </row>
    <row r="81">
      <c r="B81" s="127">
        <f>IF(CALC_MIDWEEK!$B$3="Zone","",CALC_MIDWEEK!$BC$21)</f>
        <v/>
      </c>
      <c r="C81" s="113" t="n"/>
      <c r="D81" s="113" t="n"/>
      <c r="E81" s="113" t="n"/>
      <c r="F81" s="128">
        <f>IF(CALC_MIDWEEK!$B$3="Zone","",CALC_MIDWEEK!$BD$21)</f>
        <v/>
      </c>
      <c r="G81" s="113" t="n"/>
      <c r="H81" s="128">
        <f>IF(CALC_MIDWEEK!$B$3="Zone","",CALC_MIDWEEK!$BE$21)</f>
        <v/>
      </c>
      <c r="I81" s="113" t="n"/>
      <c r="J81" s="128">
        <f>IF(CALC_MIDWEEK!$B$3="Zone","",CALC_MIDWEEK!$BF$21)</f>
        <v/>
      </c>
      <c r="K81" s="113" t="n"/>
    </row>
    <row r="82">
      <c r="B82" s="87">
        <f>IF(CALC_MIDWEEK!$B$3="Zone","",CALC_MIDWEEK!$BC$22)</f>
        <v/>
      </c>
      <c r="F82" s="93">
        <f>IF(CALC_MIDWEEK!$B$3="Zone","",CALC_MIDWEEK!$BD$22)</f>
        <v/>
      </c>
      <c r="H82" s="93">
        <f>IF(CALC_MIDWEEK!$B$3="Zone","",CALC_MIDWEEK!$BE$22)</f>
        <v/>
      </c>
      <c r="J82" s="93">
        <f>IF(CALC_MIDWEEK!$B$3="Zone","",CALC_MIDWEEK!$BF$22)</f>
        <v/>
      </c>
    </row>
    <row r="83">
      <c r="B83" s="127">
        <f>IF(CALC_MIDWEEK!$B$3="Zone","",CALC_MIDWEEK!$BC$23)</f>
        <v/>
      </c>
      <c r="C83" s="113" t="n"/>
      <c r="D83" s="113" t="n"/>
      <c r="E83" s="113" t="n"/>
      <c r="F83" s="128">
        <f>IF(CALC_MIDWEEK!$B$3="Zone","",CALC_MIDWEEK!$BD$23)</f>
        <v/>
      </c>
      <c r="G83" s="113" t="n"/>
      <c r="H83" s="128">
        <f>IF(CALC_MIDWEEK!$B$3="Zone","",CALC_MIDWEEK!$BE$23)</f>
        <v/>
      </c>
      <c r="I83" s="113" t="n"/>
      <c r="J83" s="128">
        <f>IF(CALC_MIDWEEK!$B$3="Zone","",CALC_MIDWEEK!$BF$23)</f>
        <v/>
      </c>
      <c r="K83" s="113" t="n"/>
    </row>
    <row r="84">
      <c r="B84" s="87">
        <f>IF(CALC_MIDWEEK!$B$3="Zone","",CALC_MIDWEEK!$BC$24)</f>
        <v/>
      </c>
      <c r="F84" s="93">
        <f>IF(CALC_MIDWEEK!$B$3="Zone","",CALC_MIDWEEK!$BD$24)</f>
        <v/>
      </c>
      <c r="H84" s="93">
        <f>IF(CALC_MIDWEEK!$B$3="Zone","",CALC_MIDWEEK!$BE$24)</f>
        <v/>
      </c>
      <c r="J84" s="93">
        <f>IF(CALC_MIDWEEK!$B$3="Zone","",CALC_MIDWEEK!$BF$24)</f>
        <v/>
      </c>
    </row>
    <row r="85">
      <c r="B85" s="127">
        <f>IF(CALC_MIDWEEK!$B$3="Zone","",CALC_MIDWEEK!$BC$25)</f>
        <v/>
      </c>
      <c r="C85" s="113" t="n"/>
      <c r="D85" s="113" t="n"/>
      <c r="E85" s="113" t="n"/>
      <c r="F85" s="128">
        <f>IF(CALC_MIDWEEK!$B$3="Zone","",CALC_MIDWEEK!$BD$25)</f>
        <v/>
      </c>
      <c r="G85" s="113" t="n"/>
      <c r="H85" s="128">
        <f>IF(CALC_MIDWEEK!$B$3="Zone","",CALC_MIDWEEK!$BE$25)</f>
        <v/>
      </c>
      <c r="I85" s="113" t="n"/>
      <c r="J85" s="128">
        <f>IF(CALC_MIDWEEK!$B$3="Zone","",CALC_MIDWEEK!$BF$25)</f>
        <v/>
      </c>
      <c r="K85" s="113" t="n"/>
    </row>
    <row r="86">
      <c r="B86" s="87">
        <f>IF(CALC_MIDWEEK!$B$3="Zone","",CALC_MIDWEEK!$BC$26)</f>
        <v/>
      </c>
      <c r="F86" s="93">
        <f>IF(CALC_MIDWEEK!$B$3="Zone","",CALC_MIDWEEK!$BD$26)</f>
        <v/>
      </c>
      <c r="H86" s="93">
        <f>IF(CALC_MIDWEEK!$B$3="Zone","",CALC_MIDWEEK!$BE$26)</f>
        <v/>
      </c>
      <c r="J86" s="93">
        <f>IF(CALC_MIDWEEK!$B$3="Zone","",CALC_MIDWEEK!$BF$26)</f>
        <v/>
      </c>
    </row>
    <row r="87">
      <c r="B87" s="127">
        <f>IF(CALC_MIDWEEK!$B$3="Zone","",CALC_MIDWEEK!$BC$27)</f>
        <v/>
      </c>
      <c r="C87" s="113" t="n"/>
      <c r="D87" s="113" t="n"/>
      <c r="E87" s="113" t="n"/>
      <c r="F87" s="128">
        <f>IF(CALC_MIDWEEK!$B$3="Zone","",CALC_MIDWEEK!$BD$27)</f>
        <v/>
      </c>
      <c r="G87" s="113" t="n"/>
      <c r="H87" s="128">
        <f>IF(CALC_MIDWEEK!$B$3="Zone","",CALC_MIDWEEK!$BE$27)</f>
        <v/>
      </c>
      <c r="I87" s="113" t="n"/>
      <c r="J87" s="128">
        <f>IF(CALC_MIDWEEK!$B$3="Zone","",CALC_MIDWEEK!$BF$27)</f>
        <v/>
      </c>
      <c r="K87" s="113" t="n"/>
    </row>
    <row r="88">
      <c r="B88" s="87">
        <f>IF(CALC_MIDWEEK!$B$3="Zone","",CALC_MIDWEEK!$BC$28)</f>
        <v/>
      </c>
      <c r="F88" s="93">
        <f>IF(CALC_MIDWEEK!$B$3="Zone","",CALC_MIDWEEK!$BD$28)</f>
        <v/>
      </c>
      <c r="H88" s="93">
        <f>IF(CALC_MIDWEEK!$B$3="Zone","",CALC_MIDWEEK!$BE$28)</f>
        <v/>
      </c>
      <c r="J88" s="93">
        <f>IF(CALC_MIDWEEK!$B$3="Zone","",CALC_MIDWEEK!$BF$28)</f>
        <v/>
      </c>
    </row>
    <row r="89">
      <c r="B89" s="127">
        <f>IF(CALC_MIDWEEK!$B$3="Zone","",CALC_MIDWEEK!$BC$29)</f>
        <v/>
      </c>
      <c r="C89" s="113" t="n"/>
      <c r="D89" s="113" t="n"/>
      <c r="E89" s="113" t="n"/>
      <c r="F89" s="128">
        <f>IF(CALC_MIDWEEK!$B$3="Zone","",CALC_MIDWEEK!$BD$29)</f>
        <v/>
      </c>
      <c r="G89" s="113" t="n"/>
      <c r="H89" s="128">
        <f>IF(CALC_MIDWEEK!$B$3="Zone","",CALC_MIDWEEK!$BE$29)</f>
        <v/>
      </c>
      <c r="I89" s="113" t="n"/>
      <c r="J89" s="128">
        <f>IF(CALC_MIDWEEK!$B$3="Zone","",CALC_MIDWEEK!$BF$29)</f>
        <v/>
      </c>
      <c r="K89" s="113" t="n"/>
    </row>
    <row r="90">
      <c r="B90" s="87">
        <f>IF(CALC_MIDWEEK!$B$3="Zone","",CALC_MIDWEEK!$BC$30)</f>
        <v/>
      </c>
      <c r="F90" s="93">
        <f>IF(CALC_MIDWEEK!$B$3="Zone","",CALC_MIDWEEK!$BD$30)</f>
        <v/>
      </c>
      <c r="H90" s="93">
        <f>IF(CALC_MIDWEEK!$B$3="Zone","",CALC_MIDWEEK!$BE$30)</f>
        <v/>
      </c>
      <c r="J90" s="93">
        <f>IF(CALC_MIDWEEK!$B$3="Zone","",CALC_MIDWEEK!$BF$30)</f>
        <v/>
      </c>
    </row>
    <row r="91">
      <c r="B91" s="127">
        <f>IF(CALC_MIDWEEK!$B$3="Zone","",CALC_MIDWEEK!$BC$31)</f>
        <v/>
      </c>
      <c r="C91" s="113" t="n"/>
      <c r="D91" s="113" t="n"/>
      <c r="E91" s="113" t="n"/>
      <c r="F91" s="128">
        <f>IF(CALC_MIDWEEK!$B$3="Zone","",CALC_MIDWEEK!$BD$31)</f>
        <v/>
      </c>
      <c r="G91" s="113" t="n"/>
      <c r="H91" s="128">
        <f>IF(CALC_MIDWEEK!$B$3="Zone","",CALC_MIDWEEK!$BE$31)</f>
        <v/>
      </c>
      <c r="I91" s="113" t="n"/>
      <c r="J91" s="128">
        <f>IF(CALC_MIDWEEK!$B$3="Zone","",CALC_MIDWEEK!$BF$31)</f>
        <v/>
      </c>
      <c r="K91" s="113" t="n"/>
    </row>
    <row r="92">
      <c r="B92" s="87">
        <f>IF(CALC_MIDWEEK!$B$3="Zone","",CALC_MIDWEEK!$BC$32)</f>
        <v/>
      </c>
      <c r="F92" s="93">
        <f>IF(CALC_MIDWEEK!$B$3="Zone","",CALC_MIDWEEK!$BD$32)</f>
        <v/>
      </c>
      <c r="H92" s="93">
        <f>IF(CALC_MIDWEEK!$B$3="Zone","",CALC_MIDWEEK!$BE$32)</f>
        <v/>
      </c>
      <c r="J92" s="93">
        <f>IF(CALC_MIDWEEK!$B$3="Zone","",CALC_MIDWEEK!$BF$32)</f>
        <v/>
      </c>
    </row>
    <row r="93">
      <c r="B93" s="127">
        <f>IF(CALC_MIDWEEK!$B$3="Zone","",CALC_MIDWEEK!$BC$33)</f>
        <v/>
      </c>
      <c r="C93" s="113" t="n"/>
      <c r="D93" s="113" t="n"/>
      <c r="E93" s="113" t="n"/>
      <c r="F93" s="128">
        <f>IF(CALC_MIDWEEK!$B$3="Zone","",CALC_MIDWEEK!$BD$33)</f>
        <v/>
      </c>
      <c r="G93" s="113" t="n"/>
      <c r="H93" s="128">
        <f>IF(CALC_MIDWEEK!$B$3="Zone","",CALC_MIDWEEK!$BE$33)</f>
        <v/>
      </c>
      <c r="I93" s="113" t="n"/>
      <c r="J93" s="128">
        <f>IF(CALC_MIDWEEK!$B$3="Zone","",CALC_MIDWEEK!$BF$33)</f>
        <v/>
      </c>
      <c r="K93" s="113" t="n"/>
    </row>
    <row r="94">
      <c r="B94" s="87">
        <f>IF(CALC_MIDWEEK!$B$3="Zone","",CALC_MIDWEEK!$BC$34)</f>
        <v/>
      </c>
      <c r="F94" s="93">
        <f>IF(CALC_MIDWEEK!$B$3="Zone","",CALC_MIDWEEK!$BD$34)</f>
        <v/>
      </c>
      <c r="H94" s="93">
        <f>IF(CALC_MIDWEEK!$B$3="Zone","",CALC_MIDWEEK!$BE$34)</f>
        <v/>
      </c>
      <c r="J94" s="93">
        <f>IF(CALC_MIDWEEK!$B$3="Zone","",CALC_MIDWEEK!$BF$34)</f>
        <v/>
      </c>
    </row>
    <row r="95">
      <c r="B95" s="127">
        <f>IF(CALC_MIDWEEK!$B$3="Zone","",CALC_MIDWEEK!$BC$35)</f>
        <v/>
      </c>
      <c r="C95" s="113" t="n"/>
      <c r="D95" s="113" t="n"/>
      <c r="E95" s="113" t="n"/>
      <c r="F95" s="128">
        <f>IF(CALC_MIDWEEK!$B$3="Zone","",CALC_MIDWEEK!$BD$35)</f>
        <v/>
      </c>
      <c r="G95" s="113" t="n"/>
      <c r="H95" s="128">
        <f>IF(CALC_MIDWEEK!$B$3="Zone","",CALC_MIDWEEK!$BE$35)</f>
        <v/>
      </c>
      <c r="I95" s="113" t="n"/>
      <c r="J95" s="128">
        <f>IF(CALC_MIDWEEK!$B$3="Zone","",CALC_MIDWEEK!$BF$35)</f>
        <v/>
      </c>
      <c r="K95" s="113" t="n"/>
    </row>
    <row r="96">
      <c r="B96" s="87">
        <f>IF(CALC_MIDWEEK!$B$3="Zone","",CALC_MIDWEEK!$BC$36)</f>
        <v/>
      </c>
      <c r="F96" s="93">
        <f>IF(CALC_MIDWEEK!$B$3="Zone","",CALC_MIDWEEK!$BD$36)</f>
        <v/>
      </c>
      <c r="H96" s="93">
        <f>IF(CALC_MIDWEEK!$B$3="Zone","",CALC_MIDWEEK!$BE$36)</f>
        <v/>
      </c>
      <c r="J96" s="93">
        <f>IF(CALC_MIDWEEK!$B$3="Zone","",CALC_MIDWEEK!$BF$36)</f>
        <v/>
      </c>
    </row>
    <row r="97">
      <c r="B97" s="127">
        <f>IF(CALC_MIDWEEK!$B$3="Zone","",CALC_MIDWEEK!$BC$37)</f>
        <v/>
      </c>
      <c r="C97" s="113" t="n"/>
      <c r="D97" s="113" t="n"/>
      <c r="E97" s="113" t="n"/>
      <c r="F97" s="128">
        <f>IF(CALC_MIDWEEK!$B$3="Zone","",CALC_MIDWEEK!$BD$37)</f>
        <v/>
      </c>
      <c r="G97" s="113" t="n"/>
      <c r="H97" s="128">
        <f>IF(CALC_MIDWEEK!$B$3="Zone","",CALC_MIDWEEK!$BE$37)</f>
        <v/>
      </c>
      <c r="I97" s="113" t="n"/>
      <c r="J97" s="128">
        <f>IF(CALC_MIDWEEK!$B$3="Zone","",CALC_MIDWEEK!$BF$37)</f>
        <v/>
      </c>
      <c r="K97" s="113" t="n"/>
    </row>
    <row r="98">
      <c r="B98" s="87">
        <f>IF(CALC_MIDWEEK!$B$3="Zone","",CALC_MIDWEEK!$BC$38)</f>
        <v/>
      </c>
      <c r="F98" s="93">
        <f>IF(CALC_MIDWEEK!$B$3="Zone","",CALC_MIDWEEK!$BD$38)</f>
        <v/>
      </c>
      <c r="H98" s="93">
        <f>IF(CALC_MIDWEEK!$B$3="Zone","",CALC_MIDWEEK!$BE$38)</f>
        <v/>
      </c>
      <c r="J98" s="93">
        <f>IF(CALC_MIDWEEK!$B$3="Zone","",CALC_MIDWEEK!$BF$38)</f>
        <v/>
      </c>
    </row>
    <row r="99">
      <c r="B99" s="127">
        <f>IF(CALC_MIDWEEK!$B$3="Zone","",CALC_MIDWEEK!$BC$39)</f>
        <v/>
      </c>
      <c r="C99" s="113" t="n"/>
      <c r="D99" s="113" t="n"/>
      <c r="E99" s="113" t="n"/>
      <c r="F99" s="128">
        <f>IF(CALC_MIDWEEK!$B$3="Zone","",CALC_MIDWEEK!$BD$39)</f>
        <v/>
      </c>
      <c r="G99" s="113" t="n"/>
      <c r="H99" s="128">
        <f>IF(CALC_MIDWEEK!$B$3="Zone","",CALC_MIDWEEK!$BE$39)</f>
        <v/>
      </c>
      <c r="I99" s="113" t="n"/>
      <c r="J99" s="128">
        <f>IF(CALC_MIDWEEK!$B$3="Zone","",CALC_MIDWEEK!$BF$39)</f>
        <v/>
      </c>
      <c r="K99" s="113" t="n"/>
    </row>
    <row r="100">
      <c r="B100" s="87">
        <f>IF(CALC_MIDWEEK!$B$3="Zone","",CALC_MIDWEEK!$BC$40)</f>
        <v/>
      </c>
      <c r="F100" s="93">
        <f>IF(CALC_MIDWEEK!$B$3="Zone","",CALC_MIDWEEK!$BD$40)</f>
        <v/>
      </c>
      <c r="H100" s="93">
        <f>IF(CALC_MIDWEEK!$B$3="Zone","",CALC_MIDWEEK!$BE$40)</f>
        <v/>
      </c>
      <c r="J100" s="93">
        <f>IF(CALC_MIDWEEK!$B$3="Zone","",CALC_MIDWEEK!$BF$40)</f>
        <v/>
      </c>
    </row>
    <row r="101">
      <c r="B101" s="127">
        <f>IF(CALC_MIDWEEK!$B$3="Zone","",CALC_MIDWEEK!$BC$41)</f>
        <v/>
      </c>
      <c r="C101" s="113" t="n"/>
      <c r="D101" s="113" t="n"/>
      <c r="E101" s="113" t="n"/>
      <c r="F101" s="128">
        <f>IF(CALC_MIDWEEK!$B$3="Zone","",CALC_MIDWEEK!$BD$41)</f>
        <v/>
      </c>
      <c r="G101" s="113" t="n"/>
      <c r="H101" s="128">
        <f>IF(CALC_MIDWEEK!$B$3="Zone","",CALC_MIDWEEK!$BE$41)</f>
        <v/>
      </c>
      <c r="I101" s="113" t="n"/>
      <c r="J101" s="128">
        <f>IF(CALC_MIDWEEK!$B$3="Zone","",CALC_MIDWEEK!$BF$41)</f>
        <v/>
      </c>
      <c r="K101" s="113" t="n"/>
    </row>
    <row r="102">
      <c r="B102" s="87">
        <f>IF(CALC_MIDWEEK!$B$3="Zone","",CALC_MIDWEEK!$BC$42)</f>
        <v/>
      </c>
      <c r="F102" s="93">
        <f>IF(CALC_MIDWEEK!$B$3="Zone","",CALC_MIDWEEK!$BD$42)</f>
        <v/>
      </c>
      <c r="H102" s="93">
        <f>IF(CALC_MIDWEEK!$B$3="Zone","",CALC_MIDWEEK!$BE$42)</f>
        <v/>
      </c>
      <c r="J102" s="93">
        <f>IF(CALC_MIDWEEK!$B$3="Zone","",CALC_MIDWEEK!$BF$42)</f>
        <v/>
      </c>
    </row>
    <row r="103">
      <c r="B103" s="127">
        <f>IF(CALC_MIDWEEK!$B$3="Zone","",CALC_MIDWEEK!$BC$43)</f>
        <v/>
      </c>
      <c r="C103" s="113" t="n"/>
      <c r="D103" s="113" t="n"/>
      <c r="E103" s="113" t="n"/>
      <c r="F103" s="128">
        <f>IF(CALC_MIDWEEK!$B$3="Zone","",CALC_MIDWEEK!$BD$43)</f>
        <v/>
      </c>
      <c r="G103" s="113" t="n"/>
      <c r="H103" s="128">
        <f>IF(CALC_MIDWEEK!$B$3="Zone","",CALC_MIDWEEK!$BE$43)</f>
        <v/>
      </c>
      <c r="I103" s="113" t="n"/>
      <c r="J103" s="128">
        <f>IF(CALC_MIDWEEK!$B$3="Zone","",CALC_MIDWEEK!$BF$43)</f>
        <v/>
      </c>
      <c r="K103" s="113" t="n"/>
    </row>
    <row r="104">
      <c r="B104" s="87">
        <f>IF(CALC_MIDWEEK!$B$3="Zone","",CALC_MIDWEEK!$BC$44)</f>
        <v/>
      </c>
      <c r="F104" s="93">
        <f>IF(CALC_MIDWEEK!$B$3="Zone","",CALC_MIDWEEK!$BD$44)</f>
        <v/>
      </c>
      <c r="H104" s="93">
        <f>IF(CALC_MIDWEEK!$B$3="Zone","",CALC_MIDWEEK!$BE$44)</f>
        <v/>
      </c>
      <c r="J104" s="93">
        <f>IF(CALC_MIDWEEK!$B$3="Zone","",CALC_MIDWEEK!$BF$44)</f>
        <v/>
      </c>
    </row>
    <row r="105">
      <c r="B105" s="127">
        <f>IF(CALC_MIDWEEK!$B$3="Zone","",CALC_MIDWEEK!$BC$45)</f>
        <v/>
      </c>
      <c r="C105" s="113" t="n"/>
      <c r="D105" s="113" t="n"/>
      <c r="E105" s="113" t="n"/>
      <c r="F105" s="128">
        <f>IF(CALC_MIDWEEK!$B$3="Zone","",CALC_MIDWEEK!$BD$45)</f>
        <v/>
      </c>
      <c r="G105" s="113" t="n"/>
      <c r="H105" s="128">
        <f>IF(CALC_MIDWEEK!$B$3="Zone","",CALC_MIDWEEK!$BE$45)</f>
        <v/>
      </c>
      <c r="I105" s="113" t="n"/>
      <c r="J105" s="128">
        <f>IF(CALC_MIDWEEK!$B$3="Zone","",CALC_MIDWEEK!$BF$45)</f>
        <v/>
      </c>
      <c r="K105" s="113" t="n"/>
    </row>
    <row r="106">
      <c r="B106" s="87">
        <f>IF(CALC_MIDWEEK!$B$3="Zone","",CALC_MIDWEEK!$BC$46)</f>
        <v/>
      </c>
      <c r="F106" s="93">
        <f>IF(CALC_MIDWEEK!$B$3="Zone","",CALC_MIDWEEK!$BD$46)</f>
        <v/>
      </c>
      <c r="H106" s="93">
        <f>IF(CALC_MIDWEEK!$B$3="Zone","",CALC_MIDWEEK!$BE$46)</f>
        <v/>
      </c>
      <c r="J106" s="93">
        <f>IF(CALC_MIDWEEK!$B$3="Zone","",CALC_MIDWEEK!$BF$46)</f>
        <v/>
      </c>
    </row>
    <row r="107">
      <c r="B107" s="127">
        <f>IF(CALC_MIDWEEK!$B$3="Zone","",CALC_MIDWEEK!$BC$47)</f>
        <v/>
      </c>
      <c r="C107" s="113" t="n"/>
      <c r="D107" s="113" t="n"/>
      <c r="E107" s="113" t="n"/>
      <c r="F107" s="128">
        <f>IF(CALC_MIDWEEK!$B$3="Zone","",CALC_MIDWEEK!$BD$47)</f>
        <v/>
      </c>
      <c r="G107" s="113" t="n"/>
      <c r="H107" s="128">
        <f>IF(CALC_MIDWEEK!$B$3="Zone","",CALC_MIDWEEK!$BE$47)</f>
        <v/>
      </c>
      <c r="I107" s="113" t="n"/>
      <c r="J107" s="128">
        <f>IF(CALC_MIDWEEK!$B$3="Zone","",CALC_MIDWEEK!$BF$47)</f>
        <v/>
      </c>
      <c r="K107" s="113" t="n"/>
    </row>
    <row r="108">
      <c r="B108" s="87">
        <f>IF(CALC_MIDWEEK!$B$3="Zone","",CALC_MIDWEEK!$BC$48)</f>
        <v/>
      </c>
      <c r="F108" s="93">
        <f>IF(CALC_MIDWEEK!$B$3="Zone","",CALC_MIDWEEK!$BD$48)</f>
        <v/>
      </c>
      <c r="H108" s="93">
        <f>IF(CALC_MIDWEEK!$B$3="Zone","",CALC_MIDWEEK!$BE$48)</f>
        <v/>
      </c>
      <c r="J108" s="93">
        <f>IF(CALC_MIDWEEK!$B$3="Zone","",CALC_MIDWEEK!$BF$48)</f>
        <v/>
      </c>
    </row>
    <row r="109">
      <c r="B109" s="127">
        <f>IF(CALC_MIDWEEK!$B$3="Zone","",CALC_MIDWEEK!$BC$49)</f>
        <v/>
      </c>
      <c r="C109" s="113" t="n"/>
      <c r="D109" s="113" t="n"/>
      <c r="E109" s="113" t="n"/>
      <c r="F109" s="128">
        <f>IF(CALC_MIDWEEK!$B$3="Zone","",CALC_MIDWEEK!$BD$49)</f>
        <v/>
      </c>
      <c r="G109" s="113" t="n"/>
      <c r="H109" s="128">
        <f>IF(CALC_MIDWEEK!$B$3="Zone","",CALC_MIDWEEK!$BE$49)</f>
        <v/>
      </c>
      <c r="I109" s="113" t="n"/>
      <c r="J109" s="128">
        <f>IF(CALC_MIDWEEK!$B$3="Zone","",CALC_MIDWEEK!$BF$49)</f>
        <v/>
      </c>
      <c r="K109" s="113" t="n"/>
    </row>
    <row r="110">
      <c r="B110" s="87">
        <f>IF(CALC_MIDWEEK!$B$3="Zone","",CALC_MIDWEEK!$BC$50)</f>
        <v/>
      </c>
      <c r="F110" s="93">
        <f>IF(CALC_MIDWEEK!$B$3="Zone","",CALC_MIDWEEK!$BD$50)</f>
        <v/>
      </c>
      <c r="H110" s="93">
        <f>IF(CALC_MIDWEEK!$B$3="Zone","",CALC_MIDWEEK!$BE$50)</f>
        <v/>
      </c>
      <c r="J110" s="93">
        <f>IF(CALC_MIDWEEK!$B$3="Zone","",CALC_MIDWEEK!$BF$50)</f>
        <v/>
      </c>
    </row>
    <row r="111">
      <c r="B111" s="127">
        <f>IF(CALC_MIDWEEK!$B$3="Zone","",CALC_MIDWEEK!$BC$51)</f>
        <v/>
      </c>
      <c r="C111" s="113" t="n"/>
      <c r="D111" s="113" t="n"/>
      <c r="E111" s="113" t="n"/>
      <c r="F111" s="128">
        <f>IF(CALC_MIDWEEK!$B$3="Zone","",CALC_MIDWEEK!$BD$51)</f>
        <v/>
      </c>
      <c r="G111" s="113" t="n"/>
      <c r="H111" s="128">
        <f>IF(CALC_MIDWEEK!$B$3="Zone","",CALC_MIDWEEK!$BE$51)</f>
        <v/>
      </c>
      <c r="I111" s="113" t="n"/>
      <c r="J111" s="128">
        <f>IF(CALC_MIDWEEK!$B$3="Zone","",CALC_MIDWEEK!$BF$51)</f>
        <v/>
      </c>
      <c r="K111" s="113" t="n"/>
    </row>
    <row r="112">
      <c r="B112" s="87">
        <f>IF(CALC_MIDWEEK!$B$3="Zone","",CALC_MIDWEEK!$BC$52)</f>
        <v/>
      </c>
      <c r="F112" s="93">
        <f>IF(CALC_MIDWEEK!$B$3="Zone","",CALC_MIDWEEK!$BD$52)</f>
        <v/>
      </c>
      <c r="H112" s="93">
        <f>IF(CALC_MIDWEEK!$B$3="Zone","",CALC_MIDWEEK!$BE$52)</f>
        <v/>
      </c>
      <c r="J112" s="93">
        <f>IF(CALC_MIDWEEK!$B$3="Zone","",CALC_MIDWEEK!$BF$52)</f>
        <v/>
      </c>
    </row>
  </sheetData>
  <mergeCells count="264">
    <mergeCell ref="H82:I82"/>
    <mergeCell ref="J82:K82"/>
    <mergeCell ref="B65:E65"/>
    <mergeCell ref="H10:I10"/>
    <mergeCell ref="F68:G68"/>
    <mergeCell ref="B74:E74"/>
    <mergeCell ref="J10:K10"/>
    <mergeCell ref="B68:E68"/>
    <mergeCell ref="F103:G103"/>
    <mergeCell ref="F108:G108"/>
    <mergeCell ref="B22:C22"/>
    <mergeCell ref="F84:G84"/>
    <mergeCell ref="H9:I9"/>
    <mergeCell ref="J9:K9"/>
    <mergeCell ref="B76:E76"/>
    <mergeCell ref="B27:O27"/>
    <mergeCell ref="B110:E110"/>
    <mergeCell ref="B21:C21"/>
    <mergeCell ref="J68:K68"/>
    <mergeCell ref="F86:G86"/>
    <mergeCell ref="B91:E91"/>
    <mergeCell ref="F80:G80"/>
    <mergeCell ref="B100:E100"/>
    <mergeCell ref="B14:C14"/>
    <mergeCell ref="H89:I89"/>
    <mergeCell ref="H94:I94"/>
    <mergeCell ref="B109:E109"/>
    <mergeCell ref="F70:G70"/>
    <mergeCell ref="F79:G79"/>
    <mergeCell ref="H108:I108"/>
    <mergeCell ref="H79:I79"/>
    <mergeCell ref="B93:E93"/>
    <mergeCell ref="B13:C13"/>
    <mergeCell ref="J86:K86"/>
    <mergeCell ref="J108:K108"/>
    <mergeCell ref="B102:E102"/>
    <mergeCell ref="J95:K95"/>
    <mergeCell ref="D7:E7"/>
    <mergeCell ref="F72:G72"/>
    <mergeCell ref="L3:O3"/>
    <mergeCell ref="H72:I72"/>
    <mergeCell ref="F81:G81"/>
    <mergeCell ref="B86:E86"/>
    <mergeCell ref="H81:I81"/>
    <mergeCell ref="F96:G96"/>
    <mergeCell ref="F71:G71"/>
    <mergeCell ref="H65:I65"/>
    <mergeCell ref="H96:I96"/>
    <mergeCell ref="B101:E101"/>
    <mergeCell ref="F105:G105"/>
    <mergeCell ref="H105:I105"/>
    <mergeCell ref="B24:C24"/>
    <mergeCell ref="H87:I87"/>
    <mergeCell ref="H62:I62"/>
    <mergeCell ref="B69:E69"/>
    <mergeCell ref="J62:K62"/>
    <mergeCell ref="H71:I71"/>
    <mergeCell ref="B78:E78"/>
    <mergeCell ref="L4:O4"/>
    <mergeCell ref="J71:K71"/>
    <mergeCell ref="F98:G98"/>
    <mergeCell ref="B87:E87"/>
    <mergeCell ref="F107:G107"/>
    <mergeCell ref="H107:I107"/>
    <mergeCell ref="B26:C26"/>
    <mergeCell ref="B112:E112"/>
    <mergeCell ref="C3:D3"/>
    <mergeCell ref="F88:G88"/>
    <mergeCell ref="J110:K110"/>
    <mergeCell ref="H91:I91"/>
    <mergeCell ref="J64:K64"/>
    <mergeCell ref="B16:C16"/>
    <mergeCell ref="D10:E10"/>
    <mergeCell ref="L7:M7"/>
    <mergeCell ref="B25:C25"/>
    <mergeCell ref="F10:G10"/>
    <mergeCell ref="N7:O7"/>
    <mergeCell ref="J73:K73"/>
    <mergeCell ref="F63:G63"/>
    <mergeCell ref="H63:I63"/>
    <mergeCell ref="B64:E64"/>
    <mergeCell ref="J88:K88"/>
    <mergeCell ref="F99:G99"/>
    <mergeCell ref="B104:E104"/>
    <mergeCell ref="H93:I93"/>
    <mergeCell ref="B18:C18"/>
    <mergeCell ref="J93:K93"/>
    <mergeCell ref="H102:I102"/>
    <mergeCell ref="F74:G74"/>
    <mergeCell ref="J102:K102"/>
    <mergeCell ref="H74:I74"/>
    <mergeCell ref="C4:D4"/>
    <mergeCell ref="F83:G83"/>
    <mergeCell ref="B63:E63"/>
    <mergeCell ref="H68:I68"/>
    <mergeCell ref="H83:I83"/>
    <mergeCell ref="J77:K77"/>
    <mergeCell ref="B106:E106"/>
    <mergeCell ref="J99:K99"/>
    <mergeCell ref="F76:G76"/>
    <mergeCell ref="F85:G85"/>
    <mergeCell ref="B90:E90"/>
    <mergeCell ref="J83:K83"/>
    <mergeCell ref="H85:I85"/>
    <mergeCell ref="F94:G94"/>
    <mergeCell ref="F66:G66"/>
    <mergeCell ref="B66:E66"/>
    <mergeCell ref="J101:K101"/>
    <mergeCell ref="F75:G75"/>
    <mergeCell ref="D47:E47"/>
    <mergeCell ref="H69:I69"/>
    <mergeCell ref="F109:G109"/>
    <mergeCell ref="F47:G47"/>
    <mergeCell ref="F62:G62"/>
    <mergeCell ref="H109:I109"/>
    <mergeCell ref="J103:K103"/>
    <mergeCell ref="J85:K85"/>
    <mergeCell ref="J100:K100"/>
    <mergeCell ref="J94:K94"/>
    <mergeCell ref="B77:E77"/>
    <mergeCell ref="H75:I75"/>
    <mergeCell ref="J75:K75"/>
    <mergeCell ref="F111:G111"/>
    <mergeCell ref="D9:E9"/>
    <mergeCell ref="H80:I80"/>
    <mergeCell ref="H111:I111"/>
    <mergeCell ref="F9:G9"/>
    <mergeCell ref="B67:E67"/>
    <mergeCell ref="B15:C15"/>
    <mergeCell ref="H95:I95"/>
    <mergeCell ref="H104:I104"/>
    <mergeCell ref="B5:O5"/>
    <mergeCell ref="B103:E103"/>
    <mergeCell ref="H97:I97"/>
    <mergeCell ref="F64:G64"/>
    <mergeCell ref="J97:K97"/>
    <mergeCell ref="B84:E84"/>
    <mergeCell ref="H106:I106"/>
    <mergeCell ref="F73:G73"/>
    <mergeCell ref="F87:G87"/>
    <mergeCell ref="J111:K111"/>
    <mergeCell ref="B7:C7"/>
    <mergeCell ref="J81:K81"/>
    <mergeCell ref="B80:E80"/>
    <mergeCell ref="B95:E95"/>
    <mergeCell ref="F89:G89"/>
    <mergeCell ref="L47:M47"/>
    <mergeCell ref="B89:E89"/>
    <mergeCell ref="F7:G7"/>
    <mergeCell ref="B79:E79"/>
    <mergeCell ref="H73:I73"/>
    <mergeCell ref="B97:E97"/>
    <mergeCell ref="J89:K89"/>
    <mergeCell ref="B72:E72"/>
    <mergeCell ref="J65:K65"/>
    <mergeCell ref="B17:C17"/>
    <mergeCell ref="B81:E81"/>
    <mergeCell ref="L8:M8"/>
    <mergeCell ref="J74:K74"/>
    <mergeCell ref="F101:G101"/>
    <mergeCell ref="N8:O8"/>
    <mergeCell ref="F110:G110"/>
    <mergeCell ref="H110:I110"/>
    <mergeCell ref="F8:G8"/>
    <mergeCell ref="F91:G91"/>
    <mergeCell ref="B71:E71"/>
    <mergeCell ref="F100:G100"/>
    <mergeCell ref="B105:E105"/>
    <mergeCell ref="H100:I100"/>
    <mergeCell ref="B19:C19"/>
    <mergeCell ref="L10:M10"/>
    <mergeCell ref="N10:O10"/>
    <mergeCell ref="H84:I84"/>
    <mergeCell ref="F93:G93"/>
    <mergeCell ref="H66:I66"/>
    <mergeCell ref="B9:C9"/>
    <mergeCell ref="J91:K91"/>
    <mergeCell ref="J66:K66"/>
    <mergeCell ref="F102:G102"/>
    <mergeCell ref="B107:E107"/>
    <mergeCell ref="L9:M9"/>
    <mergeCell ref="N9:O9"/>
    <mergeCell ref="F77:G77"/>
    <mergeCell ref="H77:I77"/>
    <mergeCell ref="F92:G92"/>
    <mergeCell ref="J106:K106"/>
    <mergeCell ref="H86:I86"/>
    <mergeCell ref="B20:C20"/>
    <mergeCell ref="E4:G4"/>
    <mergeCell ref="H92:I92"/>
    <mergeCell ref="B99:E99"/>
    <mergeCell ref="J92:K92"/>
    <mergeCell ref="B108:E108"/>
    <mergeCell ref="B47:C47"/>
    <mergeCell ref="H67:I67"/>
    <mergeCell ref="F69:G69"/>
    <mergeCell ref="J67:K67"/>
    <mergeCell ref="F78:G78"/>
    <mergeCell ref="B83:E83"/>
    <mergeCell ref="H103:I103"/>
    <mergeCell ref="H78:I78"/>
    <mergeCell ref="F112:G112"/>
    <mergeCell ref="N47:O47"/>
    <mergeCell ref="F65:G65"/>
    <mergeCell ref="J72:K72"/>
    <mergeCell ref="B92:E92"/>
    <mergeCell ref="H112:I112"/>
    <mergeCell ref="J112:K112"/>
    <mergeCell ref="J69:K69"/>
    <mergeCell ref="J84:K84"/>
    <mergeCell ref="B85:E85"/>
    <mergeCell ref="J78:K78"/>
    <mergeCell ref="B94:E94"/>
    <mergeCell ref="J87:K87"/>
    <mergeCell ref="F95:G95"/>
    <mergeCell ref="B75:E75"/>
    <mergeCell ref="H64:I64"/>
    <mergeCell ref="F104:G104"/>
    <mergeCell ref="H98:I98"/>
    <mergeCell ref="B62:E62"/>
    <mergeCell ref="B23:C23"/>
    <mergeCell ref="J98:K98"/>
    <mergeCell ref="J80:K80"/>
    <mergeCell ref="J107:K107"/>
    <mergeCell ref="B61:O61"/>
    <mergeCell ref="B8:C8"/>
    <mergeCell ref="H88:I88"/>
    <mergeCell ref="H70:I70"/>
    <mergeCell ref="F97:G97"/>
    <mergeCell ref="I3:J3"/>
    <mergeCell ref="J70:K70"/>
    <mergeCell ref="J79:K79"/>
    <mergeCell ref="J104:K104"/>
    <mergeCell ref="F106:G106"/>
    <mergeCell ref="B96:E96"/>
    <mergeCell ref="H7:I7"/>
    <mergeCell ref="F90:G90"/>
    <mergeCell ref="B70:E70"/>
    <mergeCell ref="B10:C10"/>
    <mergeCell ref="J7:K7"/>
    <mergeCell ref="J63:K63"/>
    <mergeCell ref="H90:I90"/>
    <mergeCell ref="H99:I99"/>
    <mergeCell ref="E3:G3"/>
    <mergeCell ref="H47:I47"/>
    <mergeCell ref="J109:K109"/>
    <mergeCell ref="B111:E111"/>
    <mergeCell ref="J47:K47"/>
    <mergeCell ref="F67:G67"/>
    <mergeCell ref="J96:K96"/>
    <mergeCell ref="D8:E8"/>
    <mergeCell ref="B98:E98"/>
    <mergeCell ref="J90:K90"/>
    <mergeCell ref="J105:K105"/>
    <mergeCell ref="I4:J4"/>
    <mergeCell ref="H101:I101"/>
    <mergeCell ref="B73:E73"/>
    <mergeCell ref="B88:E88"/>
    <mergeCell ref="F82:G82"/>
    <mergeCell ref="H76:I76"/>
    <mergeCell ref="B82:E82"/>
    <mergeCell ref="J76:K76"/>
    <mergeCell ref="H8:I8"/>
    <mergeCell ref="J8:K8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D24:E24">
    <cfRule type="expression" priority="84" dxfId="2">
      <formula>AND(ISNUMBER(D24),D24&gt;=RAG_Green)</formula>
    </cfRule>
    <cfRule type="expression" priority="85" dxfId="3">
      <formula>AND(ISNUMBER(D24),D24&gt;=RAG_Amber,D24&lt;RAG_Green)</formula>
    </cfRule>
    <cfRule type="expression" priority="86" dxfId="4">
      <formula>AND(ISNUMBER(D24),D24&lt;RAG_Amber)</formula>
    </cfRule>
  </conditionalFormatting>
  <conditionalFormatting sqref="H24">
    <cfRule type="expression" priority="87" dxfId="2">
      <formula>AND(ISNUMBER(H24),H24&gt;=RAG_Green)</formula>
    </cfRule>
    <cfRule type="expression" priority="88" dxfId="3">
      <formula>AND(ISNUMBER(H24),H24&gt;=RAG_Amber,H24&lt;RAG_Green)</formula>
    </cfRule>
    <cfRule type="expression" priority="89" dxfId="4">
      <formula>AND(ISNUMBER(H24),H24&lt;RAG_Amber)</formula>
    </cfRule>
  </conditionalFormatting>
  <conditionalFormatting sqref="F25">
    <cfRule type="expression" priority="90" dxfId="5">
      <formula>AND(ISNUMBER(F25),F25&gt;0)</formula>
    </cfRule>
    <cfRule type="expression" priority="91" dxfId="6">
      <formula>AND(ISNUMBER(F25),F25&lt;0)</formula>
    </cfRule>
  </conditionalFormatting>
  <conditionalFormatting sqref="G25">
    <cfRule type="expression" priority="92" dxfId="5">
      <formula>AND(ISNUMBER(G25),G25&gt;0)</formula>
    </cfRule>
    <cfRule type="expression" priority="93" dxfId="6">
      <formula>AND(ISNUMBER(G25),G25&lt;0)</formula>
    </cfRule>
  </conditionalFormatting>
  <conditionalFormatting sqref="I25">
    <cfRule type="expression" priority="94" dxfId="5">
      <formula>AND(ISNUMBER(I25),I25&gt;0)</formula>
    </cfRule>
    <cfRule type="expression" priority="95" dxfId="6">
      <formula>AND(ISNUMBER(I25),I25&lt;0)</formula>
    </cfRule>
  </conditionalFormatting>
  <conditionalFormatting sqref="F26">
    <cfRule type="expression" priority="96" dxfId="5">
      <formula>AND(ISNUMBER(F26),F26&gt;0)</formula>
    </cfRule>
    <cfRule type="expression" priority="97" dxfId="6">
      <formula>AND(ISNUMBER(F26),F26&lt;0)</formula>
    </cfRule>
  </conditionalFormatting>
  <conditionalFormatting sqref="G26">
    <cfRule type="expression" priority="98" dxfId="5">
      <formula>AND(ISNUMBER(G26),G26&gt;0)</formula>
    </cfRule>
    <cfRule type="expression" priority="99" dxfId="6">
      <formula>AND(ISNUMBER(G26),G26&lt;0)</formula>
    </cfRule>
  </conditionalFormatting>
  <conditionalFormatting sqref="I26">
    <cfRule type="expression" priority="100" dxfId="5">
      <formula>AND(ISNUMBER(I26),I26&gt;0)</formula>
    </cfRule>
    <cfRule type="expression" priority="101" dxfId="6">
      <formula>AND(ISNUMBER(I26),I26&lt;0)</formula>
    </cfRule>
  </conditionalFormatting>
  <conditionalFormatting sqref="C48:C57">
    <cfRule type="dataBar" priority="102">
      <dataBar>
        <cfvo type="num" val="0"/>
        <cfvo type="max"/>
        <color rgb="0063A9A4"/>
      </dataBar>
    </cfRule>
  </conditionalFormatting>
  <conditionalFormatting sqref="E48:E57">
    <cfRule type="dataBar" priority="103">
      <dataBar>
        <cfvo type="num" val="0"/>
        <cfvo type="max"/>
        <color rgb="0063A9A4"/>
      </dataBar>
    </cfRule>
  </conditionalFormatting>
  <conditionalFormatting sqref="G48:G57">
    <cfRule type="expression" priority="104" dxfId="2">
      <formula>AND(ISNUMBER(G48),G48&gt;=RAG_Green)</formula>
    </cfRule>
    <cfRule type="expression" priority="105" dxfId="3">
      <formula>AND(ISNUMBER(G48),G48&gt;=RAG_Amber,G48&lt;RAG_Green)</formula>
    </cfRule>
    <cfRule type="expression" priority="106" dxfId="4">
      <formula>AND(ISNUMBER(G48),G48&lt;RAG_Amber)</formula>
    </cfRule>
  </conditionalFormatting>
  <conditionalFormatting sqref="I48:I57">
    <cfRule type="expression" priority="107" dxfId="2">
      <formula>AND(ISNUMBER(I48),I48&gt;=RAG_Green)</formula>
    </cfRule>
    <cfRule type="expression" priority="108" dxfId="3">
      <formula>AND(ISNUMBER(I48),I48&gt;=RAG_Amber,I48&lt;RAG_Green)</formula>
    </cfRule>
    <cfRule type="expression" priority="109" dxfId="4">
      <formula>AND(ISNUMBER(I48),I48&lt;RAG_Amber)</formula>
    </cfRule>
  </conditionalFormatting>
  <conditionalFormatting sqref="K48:K57">
    <cfRule type="expression" priority="110" dxfId="5">
      <formula>AND(ISNUMBER(K48),K48&gt;0)</formula>
    </cfRule>
    <cfRule type="expression" priority="111" dxfId="6">
      <formula>AND(ISNUMBER(K48),K48&lt;0)</formula>
    </cfRule>
  </conditionalFormatting>
  <conditionalFormatting sqref="M48:M57">
    <cfRule type="expression" priority="112" dxfId="5">
      <formula>AND(ISNUMBER(M48),M48&gt;0)</formula>
    </cfRule>
    <cfRule type="expression" priority="113" dxfId="6">
      <formula>AND(ISNUMBER(M48),M48&lt;0)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=MIDWEEK_SelectList</formula1>
    </dataValidation>
    <dataValidation sqref="I4" showDropDown="0" showInputMessage="0" showErrorMessage="1" allowBlank="1" errorTitle="Week ending" error="Pick 'Latest' or a week from the list." type="list">
      <formula1>=MIDWEEK_WeekList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112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129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30" t="inlineStr">
        <is>
          <t>⌂ HOME</t>
        </is>
      </c>
      <c r="O1" s="16" t="n"/>
      <c r="P1" s="16" t="n"/>
    </row>
    <row r="2">
      <c r="A2" s="16" t="n"/>
      <c r="B2" s="131" t="inlineStr">
        <is>
          <t>Covenant Hour of Prayer · held at selected CHOP zones · reported by zone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3" ht="16" customHeight="1">
      <c r="B3" s="132" t="inlineStr">
        <is>
          <t>SCOPE</t>
        </is>
      </c>
      <c r="C3" s="132" t="inlineStr">
        <is>
          <t>SEARCH  (type part of a name)</t>
        </is>
      </c>
      <c r="E3" s="132" t="inlineStr">
        <is>
          <t>SELECT AREA / ZONE  ▼</t>
        </is>
      </c>
      <c r="H3" s="132" t="inlineStr">
        <is>
          <t>STREAM</t>
        </is>
      </c>
      <c r="I3" s="132" t="inlineStr">
        <is>
          <t>WEEK ENDING  ▼</t>
        </is>
      </c>
      <c r="K3" s="132" t="inlineStr">
        <is>
          <t>COMPARE (WEEKS)</t>
        </is>
      </c>
      <c r="L3" s="132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33" t="inlineStr">
        <is>
          <t>CHOP</t>
        </is>
      </c>
      <c r="I4" s="45" t="inlineStr">
        <is>
          <t>Latest</t>
        </is>
      </c>
      <c r="J4" s="43" t="n"/>
      <c r="K4" s="41" t="n">
        <v>4</v>
      </c>
      <c r="L4" s="134">
        <f>CALC_CHOP!$B$16&amp;IF(CALC_CHOP!$B$10=0,"","  ·  w/e "&amp;TEXT(CALC_CHOP!$B$10,"dd mmm yyyy"))&amp;"  ·  "&amp;CALC_CHOP!$B$11&amp;"-wk window"</f>
        <v/>
      </c>
    </row>
    <row r="5" ht="18" customHeight="1">
      <c r="B5" s="135">
        <f>IF(CALC_CHOP!$B$9=0,"No Chop data loaded yet. Put the export in the inbox and run ingest.py.",IF(NOT(CALC_CHOP!$B$5),"⚠  Pick "&amp;IF(CALC_CHOP!$B$3="Area","an Area","a Zone")&amp;" from SELECT (type part of the name in SEARCH first).",IF(CALC_CHOP!$B$18,"This zone is a Community Church: see the COMMUNITY CHURCH DASHBOARD.",IF(NOT(CALC_CHOP!$B$17),"No CHOP in this zone.",IF(CALC_CHOP!$B$3="Zone","The CHOP export gives CHOP-zone attendance as Area totals only, so a single CHOP zone may show no figures; select its Area.","Compliance uses the reporting system's count of CHOP zones with a report. Community Churches are excluded.")))))</f>
        <v/>
      </c>
    </row>
    <row r="7">
      <c r="B7" s="136" t="inlineStr">
        <is>
          <t>GRAND TOTAL ATTENDANCE</t>
        </is>
      </c>
      <c r="C7" s="137" t="n"/>
      <c r="D7" s="136" t="inlineStr">
        <is>
          <t>ADULTS (M + F)</t>
        </is>
      </c>
      <c r="E7" s="137" t="n"/>
      <c r="F7" s="136" t="inlineStr">
        <is>
          <t>CHILDREN</t>
        </is>
      </c>
      <c r="G7" s="137" t="n"/>
      <c r="H7" s="136" t="inlineStr">
        <is>
          <t>% CHOP ZONES REPORTING</t>
        </is>
      </c>
      <c r="I7" s="137" t="n"/>
      <c r="J7" s="136" t="inlineStr">
        <is>
          <t>CHOP ZONES REPORTED</t>
        </is>
      </c>
      <c r="K7" s="137" t="n"/>
      <c r="L7" s="136" t="inlineStr">
        <is>
          <t>FIRST TIMERS</t>
        </is>
      </c>
      <c r="M7" s="137" t="n"/>
      <c r="N7" s="136" t="inlineStr">
        <is>
          <t>AVG PER REPORTING ZONE</t>
        </is>
      </c>
      <c r="O7" s="137" t="n"/>
    </row>
    <row r="8" ht="34" customHeight="1">
      <c r="B8" s="138">
        <f>IF(OR(NOT(CALC_CHOP!$B$17),CALC_CHOP!$B$18),"n/a",IF(CALC_CHOP!$B$90="","–",CALC_CHOP!$B$90))</f>
        <v/>
      </c>
      <c r="C8" s="51" t="n"/>
      <c r="D8" s="138">
        <f>IF(OR(NOT(CALC_CHOP!$B$17),CALC_CHOP!$B$18),"n/a",IF(CALC_CHOP!$B$91="","–",CALC_CHOP!$B$91))</f>
        <v/>
      </c>
      <c r="E8" s="51" t="n"/>
      <c r="F8" s="138">
        <f>IF(OR(NOT(CALC_CHOP!$B$17),CALC_CHOP!$B$18),"n/a",IF(CALC_CHOP!$B$94="","–",CALC_CHOP!$B$94))</f>
        <v/>
      </c>
      <c r="G8" s="51" t="n"/>
      <c r="H8" s="139">
        <f>IF(OR(NOT(CALC_CHOP!$B$17),CALC_CHOP!$B$18),"n/a",IF(CALC_CHOP!$B$100="","–",CALC_CHOP!$B$100))</f>
        <v/>
      </c>
      <c r="I8" s="51" t="n"/>
      <c r="J8" s="138">
        <f>IF(OR(NOT(CALC_CHOP!$B$17),CALC_CHOP!$B$18),"n/a",IF(CALC_CHOP!$B$98="","–",CALC_CHOP!$B$98))</f>
        <v/>
      </c>
      <c r="K8" s="51" t="n"/>
      <c r="L8" s="138">
        <f>IF(OR(NOT(CALC_CHOP!$B$17),CALC_CHOP!$B$18),"n/a",IF(CALC_CHOP!$B$95="","–",CALC_CHOP!$B$95))</f>
        <v/>
      </c>
      <c r="M8" s="51" t="n"/>
      <c r="N8" s="140">
        <f>IF(OR(NOT(CALC_CHOP!$B$17),CALC_CHOP!$B$18),"n/a",IF(CALC_CHOP!$B$102="","–",CALC_CHOP!$B$102))</f>
        <v/>
      </c>
      <c r="O8" s="51" t="n"/>
    </row>
    <row r="9">
      <c r="B9" s="141">
        <f>IF(CALC_CHOP!$E$90="","– vs prev wk",IF(CALC_CHOP!$E$90&gt;=0,"▲ ","▼ ")&amp;TEXT(ABS(CALC_CHOP!$E$90),"0.0%")&amp;" vs prev wk")</f>
        <v/>
      </c>
      <c r="C9" s="51" t="n"/>
      <c r="D9" s="141">
        <f>IF(CALC_CHOP!$E$91="","– vs prev wk",IF(CALC_CHOP!$E$91&gt;=0,"▲ ","▼ ")&amp;TEXT(ABS(CALC_CHOP!$E$91),"0.0%")&amp;" vs prev wk")</f>
        <v/>
      </c>
      <c r="E9" s="51" t="n"/>
      <c r="F9" s="141">
        <f>IF(CALC_CHOP!$E$94="","– vs prev wk",IF(CALC_CHOP!$E$94&gt;=0,"▲ ","▼ ")&amp;TEXT(ABS(CALC_CHOP!$E$94),"0.0%")&amp;" vs prev wk")</f>
        <v/>
      </c>
      <c r="G9" s="51" t="n"/>
      <c r="H9" s="141">
        <f>IF(CALC_CHOP!$D$100="","– vs prev wk",IF(CALC_CHOP!$D$100&gt;=0,"▲ ","▼ ")&amp;TEXT(ABS(CALC_CHOP!$D$100)*100,"0.0")&amp;" pts vs prev wk")</f>
        <v/>
      </c>
      <c r="I9" s="51" t="n"/>
      <c r="J9" s="141">
        <f>IF(CALC_CHOP!$E$98="","– vs prev wk",IF(CALC_CHOP!$E$98&gt;=0,"▲ ","▼ ")&amp;TEXT(ABS(CALC_CHOP!$E$98),"0.0%")&amp;" vs prev wk")</f>
        <v/>
      </c>
      <c r="K9" s="51" t="n"/>
      <c r="L9" s="141">
        <f>IF(CALC_CHOP!$E$95="","– vs prev wk",IF(CALC_CHOP!$E$95&gt;=0,"▲ ","▼ ")&amp;TEXT(ABS(CALC_CHOP!$E$95),"0.0%")&amp;" vs prev wk")</f>
        <v/>
      </c>
      <c r="M9" s="51" t="n"/>
      <c r="N9" s="141">
        <f>IF(CALC_CHOP!$E$102="","– vs prev wk",IF(CALC_CHOP!$E$102&gt;=0,"▲ ","▼ ")&amp;TEXT(ABS(CALC_CHOP!$E$102),"0.0%")&amp;" vs prev wk")</f>
        <v/>
      </c>
      <c r="O9" s="51" t="n"/>
    </row>
    <row r="10">
      <c r="B10" s="142">
        <f>"Avg last "&amp;CALC_CHOP!$B$11&amp;" wks: "&amp;IF(CALC_CHOP!$F$90="","–",TEXT(CALC_CHOP!$F$90,"#,##0"))</f>
        <v/>
      </c>
      <c r="C10" s="51" t="n"/>
      <c r="D10" s="142">
        <f>"Avg last "&amp;CALC_CHOP!$B$11&amp;" wks: "&amp;IF(CALC_CHOP!$F$91="","–",TEXT(CALC_CHOP!$F$91,"#,##0"))</f>
        <v/>
      </c>
      <c r="E10" s="51" t="n"/>
      <c r="F10" s="142">
        <f>"Avg last "&amp;CALC_CHOP!$B$11&amp;" wks: "&amp;IF(CALC_CHOP!$F$94="","–",TEXT(CALC_CHOP!$F$94,"#,##0"))</f>
        <v/>
      </c>
      <c r="G10" s="51" t="n"/>
      <c r="H10" s="142">
        <f>"Avg last "&amp;CALC_CHOP!$B$11&amp;" wks: "&amp;IF(CALC_CHOP!$F$100="","–",TEXT(CALC_CHOP!$F$100,"0.0%"))</f>
        <v/>
      </c>
      <c r="I10" s="51" t="n"/>
      <c r="J10" s="142">
        <f>"Avg last "&amp;CALC_CHOP!$B$11&amp;" wks: "&amp;IF(CALC_CHOP!$F$98="","–",TEXT(CALC_CHOP!$F$98,"#,##0"))</f>
        <v/>
      </c>
      <c r="K10" s="51" t="n"/>
      <c r="L10" s="142">
        <f>"Avg last "&amp;CALC_CHOP!$B$11&amp;" wks: "&amp;IF(CALC_CHOP!$F$95="","–",TEXT(CALC_CHOP!$F$95,"#,##0"))</f>
        <v/>
      </c>
      <c r="M10" s="51" t="n"/>
      <c r="N10" s="142">
        <f>"Avg last "&amp;CALC_CHOP!$B$11&amp;" wks: "&amp;IF(CALC_CHOP!$F$102="","–",TEXT(CALC_CHOP!$F$102,"#,##0.0"))</f>
        <v/>
      </c>
      <c r="O10" s="51" t="n"/>
    </row>
    <row r="12" ht="22" customHeight="1">
      <c r="B12" s="143" t="inlineStr">
        <is>
          <t>Time analysis — selected week against previous week, the N-week average and period-to-date</t>
        </is>
      </c>
      <c r="C12" s="144" t="n"/>
      <c r="D12" s="144" t="n"/>
      <c r="E12" s="144" t="n"/>
      <c r="F12" s="144" t="n"/>
      <c r="G12" s="144" t="n"/>
      <c r="H12" s="144" t="n"/>
      <c r="I12" s="144" t="n"/>
      <c r="J12" s="144" t="n"/>
      <c r="K12" s="144" t="n"/>
      <c r="L12" s="144" t="n"/>
      <c r="M12" s="144" t="n"/>
      <c r="N12" s="144" t="n"/>
      <c r="O12" s="144" t="n"/>
    </row>
    <row r="13" ht="28" customHeight="1">
      <c r="B13" s="145" t="inlineStr">
        <is>
          <t>KPI</t>
        </is>
      </c>
      <c r="C13" s="16" t="n"/>
      <c r="D13" s="146" t="inlineStr">
        <is>
          <t>Selected week</t>
        </is>
      </c>
      <c r="E13" s="146" t="inlineStr">
        <is>
          <t>Previous week</t>
        </is>
      </c>
      <c r="F13" s="146" t="inlineStr">
        <is>
          <t>Change</t>
        </is>
      </c>
      <c r="G13" s="146" t="inlineStr">
        <is>
          <t>% change</t>
        </is>
      </c>
      <c r="H13" s="146">
        <f>"Avg last "&amp;CALC_CHOP!$B$11&amp;" wks"</f>
        <v/>
      </c>
      <c r="I13" s="146">
        <f>"vs "&amp;CALC_CHOP!$B$11&amp;"-wk avg"</f>
        <v/>
      </c>
      <c r="J13" s="146" t="inlineStr">
        <is>
          <t>MTD total</t>
        </is>
      </c>
      <c r="K13" s="146" t="inlineStr">
        <is>
          <t>QTD total</t>
        </is>
      </c>
      <c r="L13" s="146" t="inlineStr">
        <is>
          <t>YTD total</t>
        </is>
      </c>
      <c r="M13" s="146" t="inlineStr">
        <is>
          <t>Wkly avg (month)</t>
        </is>
      </c>
      <c r="N13" s="146" t="inlineStr">
        <is>
          <t>Wkly avg (qtr)</t>
        </is>
      </c>
      <c r="O13" s="146" t="inlineStr">
        <is>
          <t>Wkly avg (year)</t>
        </is>
      </c>
    </row>
    <row r="14">
      <c r="B14" s="147" t="inlineStr">
        <is>
          <t>Grand total attendance</t>
        </is>
      </c>
      <c r="C14" s="148" t="n"/>
      <c r="D14" s="149">
        <f>IF(OR(NOT(CALC_CHOP!$B$17),CALC_CHOP!$B$18),"n/a",IF(CALC_CHOP!$B$90="","–",CALC_CHOP!$B$90))</f>
        <v/>
      </c>
      <c r="E14" s="150">
        <f>IF(OR(NOT(CALC_CHOP!$B$17),CALC_CHOP!$B$18),"n/a",IF(CALC_CHOP!$C$90="","–",CALC_CHOP!$C$90))</f>
        <v/>
      </c>
      <c r="F14" s="151">
        <f>IF(OR(NOT(CALC_CHOP!$B$17),CALC_CHOP!$B$18),"n/a",IF(CALC_CHOP!$D$90="","–",CALC_CHOP!$D$90))</f>
        <v/>
      </c>
      <c r="G14" s="152">
        <f>IF(OR(NOT(CALC_CHOP!$B$17),CALC_CHOP!$B$18),"n/a",IF(CALC_CHOP!$E$90="","–",CALC_CHOP!$E$90))</f>
        <v/>
      </c>
      <c r="H14" s="150">
        <f>IF(OR(NOT(CALC_CHOP!$B$17),CALC_CHOP!$B$18),"n/a",IF(CALC_CHOP!$F$90="","–",CALC_CHOP!$F$90))</f>
        <v/>
      </c>
      <c r="I14" s="152">
        <f>IF(OR(NOT(CALC_CHOP!$B$17),CALC_CHOP!$B$18),"n/a",IF(CALC_CHOP!$G$90="","–",CALC_CHOP!$G$90))</f>
        <v/>
      </c>
      <c r="J14" s="150">
        <f>IF(OR(NOT(CALC_CHOP!$B$17),CALC_CHOP!$B$18),"n/a",IF(CALC_CHOP!$H$90="","–",CALC_CHOP!$H$90))</f>
        <v/>
      </c>
      <c r="K14" s="150">
        <f>IF(OR(NOT(CALC_CHOP!$B$17),CALC_CHOP!$B$18),"n/a",IF(CALC_CHOP!$I$90="","–",CALC_CHOP!$I$90))</f>
        <v/>
      </c>
      <c r="L14" s="150">
        <f>IF(OR(NOT(CALC_CHOP!$B$17),CALC_CHOP!$B$18),"n/a",IF(CALC_CHOP!$J$90="","–",CALC_CHOP!$J$90))</f>
        <v/>
      </c>
      <c r="M14" s="150">
        <f>IF(OR(NOT(CALC_CHOP!$B$17),CALC_CHOP!$B$18),"n/a",IF(CALC_CHOP!$K$90="","–",CALC_CHOP!$K$90))</f>
        <v/>
      </c>
      <c r="N14" s="150">
        <f>IF(OR(NOT(CALC_CHOP!$B$17),CALC_CHOP!$B$18),"n/a",IF(CALC_CHOP!$L$90="","–",CALC_CHOP!$L$90))</f>
        <v/>
      </c>
      <c r="O14" s="150">
        <f>IF(OR(NOT(CALC_CHOP!$B$17),CALC_CHOP!$B$18),"n/a",IF(CALC_CHOP!$M$90="","–",CALC_CHOP!$M$90))</f>
        <v/>
      </c>
    </row>
    <row r="15">
      <c r="B15" s="66" t="inlineStr">
        <is>
          <t>Adult total (Male + Female)</t>
        </is>
      </c>
      <c r="D15" s="67">
        <f>IF(OR(NOT(CALC_CHOP!$B$17),CALC_CHOP!$B$18),"n/a",IF(CALC_CHOP!$B$91="","–",CALC_CHOP!$B$91))</f>
        <v/>
      </c>
      <c r="E15" s="68">
        <f>IF(OR(NOT(CALC_CHOP!$B$17),CALC_CHOP!$B$18),"n/a",IF(CALC_CHOP!$C$91="","–",CALC_CHOP!$C$91))</f>
        <v/>
      </c>
      <c r="F15" s="69">
        <f>IF(OR(NOT(CALC_CHOP!$B$17),CALC_CHOP!$B$18),"n/a",IF(CALC_CHOP!$D$91="","–",CALC_CHOP!$D$91))</f>
        <v/>
      </c>
      <c r="G15" s="70">
        <f>IF(OR(NOT(CALC_CHOP!$B$17),CALC_CHOP!$B$18),"n/a",IF(CALC_CHOP!$E$91="","–",CALC_CHOP!$E$91))</f>
        <v/>
      </c>
      <c r="H15" s="68">
        <f>IF(OR(NOT(CALC_CHOP!$B$17),CALC_CHOP!$B$18),"n/a",IF(CALC_CHOP!$F$91="","–",CALC_CHOP!$F$91))</f>
        <v/>
      </c>
      <c r="I15" s="70">
        <f>IF(OR(NOT(CALC_CHOP!$B$17),CALC_CHOP!$B$18),"n/a",IF(CALC_CHOP!$G$91="","–",CALC_CHOP!$G$91))</f>
        <v/>
      </c>
      <c r="J15" s="68">
        <f>IF(OR(NOT(CALC_CHOP!$B$17),CALC_CHOP!$B$18),"n/a",IF(CALC_CHOP!$H$91="","–",CALC_CHOP!$H$91))</f>
        <v/>
      </c>
      <c r="K15" s="68">
        <f>IF(OR(NOT(CALC_CHOP!$B$17),CALC_CHOP!$B$18),"n/a",IF(CALC_CHOP!$I$91="","–",CALC_CHOP!$I$91))</f>
        <v/>
      </c>
      <c r="L15" s="68">
        <f>IF(OR(NOT(CALC_CHOP!$B$17),CALC_CHOP!$B$18),"n/a",IF(CALC_CHOP!$J$91="","–",CALC_CHOP!$J$91))</f>
        <v/>
      </c>
      <c r="M15" s="68">
        <f>IF(OR(NOT(CALC_CHOP!$B$17),CALC_CHOP!$B$18),"n/a",IF(CALC_CHOP!$K$91="","–",CALC_CHOP!$K$91))</f>
        <v/>
      </c>
      <c r="N15" s="68">
        <f>IF(OR(NOT(CALC_CHOP!$B$17),CALC_CHOP!$B$18),"n/a",IF(CALC_CHOP!$L$91="","–",CALC_CHOP!$L$91))</f>
        <v/>
      </c>
      <c r="O15" s="68">
        <f>IF(OR(NOT(CALC_CHOP!$B$17),CALC_CHOP!$B$18),"n/a",IF(CALC_CHOP!$M$91="","–",CALC_CHOP!$M$91))</f>
        <v/>
      </c>
    </row>
    <row r="16">
      <c r="B16" s="153" t="inlineStr">
        <is>
          <t>Male</t>
        </is>
      </c>
      <c r="C16" s="148" t="n"/>
      <c r="D16" s="149">
        <f>IF(OR(NOT(CALC_CHOP!$B$17),CALC_CHOP!$B$18),"n/a",IF(CALC_CHOP!$B$92="","–",CALC_CHOP!$B$92))</f>
        <v/>
      </c>
      <c r="E16" s="150">
        <f>IF(OR(NOT(CALC_CHOP!$B$17),CALC_CHOP!$B$18),"n/a",IF(CALC_CHOP!$C$92="","–",CALC_CHOP!$C$92))</f>
        <v/>
      </c>
      <c r="F16" s="151">
        <f>IF(OR(NOT(CALC_CHOP!$B$17),CALC_CHOP!$B$18),"n/a",IF(CALC_CHOP!$D$92="","–",CALC_CHOP!$D$92))</f>
        <v/>
      </c>
      <c r="G16" s="152">
        <f>IF(OR(NOT(CALC_CHOP!$B$17),CALC_CHOP!$B$18),"n/a",IF(CALC_CHOP!$E$92="","–",CALC_CHOP!$E$92))</f>
        <v/>
      </c>
      <c r="H16" s="150">
        <f>IF(OR(NOT(CALC_CHOP!$B$17),CALC_CHOP!$B$18),"n/a",IF(CALC_CHOP!$F$92="","–",CALC_CHOP!$F$92))</f>
        <v/>
      </c>
      <c r="I16" s="152">
        <f>IF(OR(NOT(CALC_CHOP!$B$17),CALC_CHOP!$B$18),"n/a",IF(CALC_CHOP!$G$92="","–",CALC_CHOP!$G$92))</f>
        <v/>
      </c>
      <c r="J16" s="150">
        <f>IF(OR(NOT(CALC_CHOP!$B$17),CALC_CHOP!$B$18),"n/a",IF(CALC_CHOP!$H$92="","–",CALC_CHOP!$H$92))</f>
        <v/>
      </c>
      <c r="K16" s="150">
        <f>IF(OR(NOT(CALC_CHOP!$B$17),CALC_CHOP!$B$18),"n/a",IF(CALC_CHOP!$I$92="","–",CALC_CHOP!$I$92))</f>
        <v/>
      </c>
      <c r="L16" s="150">
        <f>IF(OR(NOT(CALC_CHOP!$B$17),CALC_CHOP!$B$18),"n/a",IF(CALC_CHOP!$J$92="","–",CALC_CHOP!$J$92))</f>
        <v/>
      </c>
      <c r="M16" s="150">
        <f>IF(OR(NOT(CALC_CHOP!$B$17),CALC_CHOP!$B$18),"n/a",IF(CALC_CHOP!$K$92="","–",CALC_CHOP!$K$92))</f>
        <v/>
      </c>
      <c r="N16" s="150">
        <f>IF(OR(NOT(CALC_CHOP!$B$17),CALC_CHOP!$B$18),"n/a",IF(CALC_CHOP!$L$92="","–",CALC_CHOP!$L$92))</f>
        <v/>
      </c>
      <c r="O16" s="150">
        <f>IF(OR(NOT(CALC_CHOP!$B$17),CALC_CHOP!$B$18),"n/a",IF(CALC_CHOP!$M$92="","–",CALC_CHOP!$M$92))</f>
        <v/>
      </c>
    </row>
    <row r="17">
      <c r="B17" s="66" t="inlineStr">
        <is>
          <t>Female</t>
        </is>
      </c>
      <c r="D17" s="67">
        <f>IF(OR(NOT(CALC_CHOP!$B$17),CALC_CHOP!$B$18),"n/a",IF(CALC_CHOP!$B$93="","–",CALC_CHOP!$B$93))</f>
        <v/>
      </c>
      <c r="E17" s="68">
        <f>IF(OR(NOT(CALC_CHOP!$B$17),CALC_CHOP!$B$18),"n/a",IF(CALC_CHOP!$C$93="","–",CALC_CHOP!$C$93))</f>
        <v/>
      </c>
      <c r="F17" s="69">
        <f>IF(OR(NOT(CALC_CHOP!$B$17),CALC_CHOP!$B$18),"n/a",IF(CALC_CHOP!$D$93="","–",CALC_CHOP!$D$93))</f>
        <v/>
      </c>
      <c r="G17" s="70">
        <f>IF(OR(NOT(CALC_CHOP!$B$17),CALC_CHOP!$B$18),"n/a",IF(CALC_CHOP!$E$93="","–",CALC_CHOP!$E$93))</f>
        <v/>
      </c>
      <c r="H17" s="68">
        <f>IF(OR(NOT(CALC_CHOP!$B$17),CALC_CHOP!$B$18),"n/a",IF(CALC_CHOP!$F$93="","–",CALC_CHOP!$F$93))</f>
        <v/>
      </c>
      <c r="I17" s="70">
        <f>IF(OR(NOT(CALC_CHOP!$B$17),CALC_CHOP!$B$18),"n/a",IF(CALC_CHOP!$G$93="","–",CALC_CHOP!$G$93))</f>
        <v/>
      </c>
      <c r="J17" s="68">
        <f>IF(OR(NOT(CALC_CHOP!$B$17),CALC_CHOP!$B$18),"n/a",IF(CALC_CHOP!$H$93="","–",CALC_CHOP!$H$93))</f>
        <v/>
      </c>
      <c r="K17" s="68">
        <f>IF(OR(NOT(CALC_CHOP!$B$17),CALC_CHOP!$B$18),"n/a",IF(CALC_CHOP!$I$93="","–",CALC_CHOP!$I$93))</f>
        <v/>
      </c>
      <c r="L17" s="68">
        <f>IF(OR(NOT(CALC_CHOP!$B$17),CALC_CHOP!$B$18),"n/a",IF(CALC_CHOP!$J$93="","–",CALC_CHOP!$J$93))</f>
        <v/>
      </c>
      <c r="M17" s="68">
        <f>IF(OR(NOT(CALC_CHOP!$B$17),CALC_CHOP!$B$18),"n/a",IF(CALC_CHOP!$K$93="","–",CALC_CHOP!$K$93))</f>
        <v/>
      </c>
      <c r="N17" s="68">
        <f>IF(OR(NOT(CALC_CHOP!$B$17),CALC_CHOP!$B$18),"n/a",IF(CALC_CHOP!$L$93="","–",CALC_CHOP!$L$93))</f>
        <v/>
      </c>
      <c r="O17" s="68">
        <f>IF(OR(NOT(CALC_CHOP!$B$17),CALC_CHOP!$B$18),"n/a",IF(CALC_CHOP!$M$93="","–",CALC_CHOP!$M$93))</f>
        <v/>
      </c>
    </row>
    <row r="18">
      <c r="B18" s="153" t="inlineStr">
        <is>
          <t>Children</t>
        </is>
      </c>
      <c r="C18" s="148" t="n"/>
      <c r="D18" s="149">
        <f>IF(OR(NOT(CALC_CHOP!$B$17),CALC_CHOP!$B$18),"n/a",IF(CALC_CHOP!$B$94="","–",CALC_CHOP!$B$94))</f>
        <v/>
      </c>
      <c r="E18" s="150">
        <f>IF(OR(NOT(CALC_CHOP!$B$17),CALC_CHOP!$B$18),"n/a",IF(CALC_CHOP!$C$94="","–",CALC_CHOP!$C$94))</f>
        <v/>
      </c>
      <c r="F18" s="151">
        <f>IF(OR(NOT(CALC_CHOP!$B$17),CALC_CHOP!$B$18),"n/a",IF(CALC_CHOP!$D$94="","–",CALC_CHOP!$D$94))</f>
        <v/>
      </c>
      <c r="G18" s="152">
        <f>IF(OR(NOT(CALC_CHOP!$B$17),CALC_CHOP!$B$18),"n/a",IF(CALC_CHOP!$E$94="","–",CALC_CHOP!$E$94))</f>
        <v/>
      </c>
      <c r="H18" s="150">
        <f>IF(OR(NOT(CALC_CHOP!$B$17),CALC_CHOP!$B$18),"n/a",IF(CALC_CHOP!$F$94="","–",CALC_CHOP!$F$94))</f>
        <v/>
      </c>
      <c r="I18" s="152">
        <f>IF(OR(NOT(CALC_CHOP!$B$17),CALC_CHOP!$B$18),"n/a",IF(CALC_CHOP!$G$94="","–",CALC_CHOP!$G$94))</f>
        <v/>
      </c>
      <c r="J18" s="150">
        <f>IF(OR(NOT(CALC_CHOP!$B$17),CALC_CHOP!$B$18),"n/a",IF(CALC_CHOP!$H$94="","–",CALC_CHOP!$H$94))</f>
        <v/>
      </c>
      <c r="K18" s="150">
        <f>IF(OR(NOT(CALC_CHOP!$B$17),CALC_CHOP!$B$18),"n/a",IF(CALC_CHOP!$I$94="","–",CALC_CHOP!$I$94))</f>
        <v/>
      </c>
      <c r="L18" s="150">
        <f>IF(OR(NOT(CALC_CHOP!$B$17),CALC_CHOP!$B$18),"n/a",IF(CALC_CHOP!$J$94="","–",CALC_CHOP!$J$94))</f>
        <v/>
      </c>
      <c r="M18" s="150">
        <f>IF(OR(NOT(CALC_CHOP!$B$17),CALC_CHOP!$B$18),"n/a",IF(CALC_CHOP!$K$94="","–",CALC_CHOP!$K$94))</f>
        <v/>
      </c>
      <c r="N18" s="150">
        <f>IF(OR(NOT(CALC_CHOP!$B$17),CALC_CHOP!$B$18),"n/a",IF(CALC_CHOP!$L$94="","–",CALC_CHOP!$L$94))</f>
        <v/>
      </c>
      <c r="O18" s="150">
        <f>IF(OR(NOT(CALC_CHOP!$B$17),CALC_CHOP!$B$18),"n/a",IF(CALC_CHOP!$M$94="","–",CALC_CHOP!$M$94))</f>
        <v/>
      </c>
    </row>
    <row r="19">
      <c r="B19" s="66" t="inlineStr">
        <is>
          <t>First timers</t>
        </is>
      </c>
      <c r="D19" s="67">
        <f>IF(OR(NOT(CALC_CHOP!$B$17),CALC_CHOP!$B$18),"n/a",IF(CALC_CHOP!$B$95="","–",CALC_CHOP!$B$95))</f>
        <v/>
      </c>
      <c r="E19" s="68">
        <f>IF(OR(NOT(CALC_CHOP!$B$17),CALC_CHOP!$B$18),"n/a",IF(CALC_CHOP!$C$95="","–",CALC_CHOP!$C$95))</f>
        <v/>
      </c>
      <c r="F19" s="69">
        <f>IF(OR(NOT(CALC_CHOP!$B$17),CALC_CHOP!$B$18),"n/a",IF(CALC_CHOP!$D$95="","–",CALC_CHOP!$D$95))</f>
        <v/>
      </c>
      <c r="G19" s="70">
        <f>IF(OR(NOT(CALC_CHOP!$B$17),CALC_CHOP!$B$18),"n/a",IF(CALC_CHOP!$E$95="","–",CALC_CHOP!$E$95))</f>
        <v/>
      </c>
      <c r="H19" s="68">
        <f>IF(OR(NOT(CALC_CHOP!$B$17),CALC_CHOP!$B$18),"n/a",IF(CALC_CHOP!$F$95="","–",CALC_CHOP!$F$95))</f>
        <v/>
      </c>
      <c r="I19" s="70">
        <f>IF(OR(NOT(CALC_CHOP!$B$17),CALC_CHOP!$B$18),"n/a",IF(CALC_CHOP!$G$95="","–",CALC_CHOP!$G$95))</f>
        <v/>
      </c>
      <c r="J19" s="68">
        <f>IF(OR(NOT(CALC_CHOP!$B$17),CALC_CHOP!$B$18),"n/a",IF(CALC_CHOP!$H$95="","–",CALC_CHOP!$H$95))</f>
        <v/>
      </c>
      <c r="K19" s="68">
        <f>IF(OR(NOT(CALC_CHOP!$B$17),CALC_CHOP!$B$18),"n/a",IF(CALC_CHOP!$I$95="","–",CALC_CHOP!$I$95))</f>
        <v/>
      </c>
      <c r="L19" s="68">
        <f>IF(OR(NOT(CALC_CHOP!$B$17),CALC_CHOP!$B$18),"n/a",IF(CALC_CHOP!$J$95="","–",CALC_CHOP!$J$95))</f>
        <v/>
      </c>
      <c r="M19" s="68">
        <f>IF(OR(NOT(CALC_CHOP!$B$17),CALC_CHOP!$B$18),"n/a",IF(CALC_CHOP!$K$95="","–",CALC_CHOP!$K$95))</f>
        <v/>
      </c>
      <c r="N19" s="68">
        <f>IF(OR(NOT(CALC_CHOP!$B$17),CALC_CHOP!$B$18),"n/a",IF(CALC_CHOP!$L$95="","–",CALC_CHOP!$L$95))</f>
        <v/>
      </c>
      <c r="O19" s="68">
        <f>IF(OR(NOT(CALC_CHOP!$B$17),CALC_CHOP!$B$18),"n/a",IF(CALC_CHOP!$M$95="","–",CALC_CHOP!$M$95))</f>
        <v/>
      </c>
    </row>
    <row r="20">
      <c r="B20" s="153" t="inlineStr">
        <is>
          <t>New converts</t>
        </is>
      </c>
      <c r="C20" s="148" t="n"/>
      <c r="D20" s="149">
        <f>IF(OR(NOT(CALC_CHOP!$B$17),CALC_CHOP!$B$18),"n/a",IF(CALC_CHOP!$B$96="","–",CALC_CHOP!$B$96))</f>
        <v/>
      </c>
      <c r="E20" s="150">
        <f>IF(OR(NOT(CALC_CHOP!$B$17),CALC_CHOP!$B$18),"n/a",IF(CALC_CHOP!$C$96="","–",CALC_CHOP!$C$96))</f>
        <v/>
      </c>
      <c r="F20" s="151">
        <f>IF(OR(NOT(CALC_CHOP!$B$17),CALC_CHOP!$B$18),"n/a",IF(CALC_CHOP!$D$96="","–",CALC_CHOP!$D$96))</f>
        <v/>
      </c>
      <c r="G20" s="152">
        <f>IF(OR(NOT(CALC_CHOP!$B$17),CALC_CHOP!$B$18),"n/a",IF(CALC_CHOP!$E$96="","–",CALC_CHOP!$E$96))</f>
        <v/>
      </c>
      <c r="H20" s="150">
        <f>IF(OR(NOT(CALC_CHOP!$B$17),CALC_CHOP!$B$18),"n/a",IF(CALC_CHOP!$F$96="","–",CALC_CHOP!$F$96))</f>
        <v/>
      </c>
      <c r="I20" s="152">
        <f>IF(OR(NOT(CALC_CHOP!$B$17),CALC_CHOP!$B$18),"n/a",IF(CALC_CHOP!$G$96="","–",CALC_CHOP!$G$96))</f>
        <v/>
      </c>
      <c r="J20" s="150">
        <f>IF(OR(NOT(CALC_CHOP!$B$17),CALC_CHOP!$B$18),"n/a",IF(CALC_CHOP!$H$96="","–",CALC_CHOP!$H$96))</f>
        <v/>
      </c>
      <c r="K20" s="150">
        <f>IF(OR(NOT(CALC_CHOP!$B$17),CALC_CHOP!$B$18),"n/a",IF(CALC_CHOP!$I$96="","–",CALC_CHOP!$I$96))</f>
        <v/>
      </c>
      <c r="L20" s="150">
        <f>IF(OR(NOT(CALC_CHOP!$B$17),CALC_CHOP!$B$18),"n/a",IF(CALC_CHOP!$J$96="","–",CALC_CHOP!$J$96))</f>
        <v/>
      </c>
      <c r="M20" s="150">
        <f>IF(OR(NOT(CALC_CHOP!$B$17),CALC_CHOP!$B$18),"n/a",IF(CALC_CHOP!$K$96="","–",CALC_CHOP!$K$96))</f>
        <v/>
      </c>
      <c r="N20" s="150">
        <f>IF(OR(NOT(CALC_CHOP!$B$17),CALC_CHOP!$B$18),"n/a",IF(CALC_CHOP!$L$96="","–",CALC_CHOP!$L$96))</f>
        <v/>
      </c>
      <c r="O20" s="150">
        <f>IF(OR(NOT(CALC_CHOP!$B$17),CALC_CHOP!$B$18),"n/a",IF(CALC_CHOP!$M$96="","–",CALC_CHOP!$M$96))</f>
        <v/>
      </c>
    </row>
    <row r="21">
      <c r="B21" s="66" t="inlineStr">
        <is>
          <t>CHOP zones</t>
        </is>
      </c>
      <c r="D21" s="67">
        <f>IF(OR(NOT(CALC_CHOP!$B$17),CALC_CHOP!$B$18),"n/a",IF(CALC_CHOP!$B$97="","–",CALC_CHOP!$B$97))</f>
        <v/>
      </c>
      <c r="E21" s="68">
        <f>IF(OR(NOT(CALC_CHOP!$B$17),CALC_CHOP!$B$18),"n/a",IF(CALC_CHOP!$C$97="","–",CALC_CHOP!$C$97))</f>
        <v/>
      </c>
      <c r="F21" s="69">
        <f>IF(OR(NOT(CALC_CHOP!$B$17),CALC_CHOP!$B$18),"n/a",IF(CALC_CHOP!$D$97="","–",CALC_CHOP!$D$97))</f>
        <v/>
      </c>
      <c r="G21" s="70">
        <f>IF(OR(NOT(CALC_CHOP!$B$17),CALC_CHOP!$B$18),"n/a",IF(CALC_CHOP!$E$97="","–",CALC_CHOP!$E$97))</f>
        <v/>
      </c>
      <c r="H21" s="68">
        <f>IF(OR(NOT(CALC_CHOP!$B$17),CALC_CHOP!$B$18),"n/a",IF(CALC_CHOP!$F$97="","–",CALC_CHOP!$F$97))</f>
        <v/>
      </c>
      <c r="I21" s="70">
        <f>IF(OR(NOT(CALC_CHOP!$B$17),CALC_CHOP!$B$18),"n/a",IF(CALC_CHOP!$G$97="","–",CALC_CHOP!$G$97))</f>
        <v/>
      </c>
      <c r="J21" s="68">
        <f>IF(OR(NOT(CALC_CHOP!$B$17),CALC_CHOP!$B$18),"n/a",IF(CALC_CHOP!$H$97="","–",CALC_CHOP!$H$97))</f>
        <v/>
      </c>
      <c r="K21" s="68">
        <f>IF(OR(NOT(CALC_CHOP!$B$17),CALC_CHOP!$B$18),"n/a",IF(CALC_CHOP!$I$97="","–",CALC_CHOP!$I$97))</f>
        <v/>
      </c>
      <c r="L21" s="68">
        <f>IF(OR(NOT(CALC_CHOP!$B$17),CALC_CHOP!$B$18),"n/a",IF(CALC_CHOP!$J$97="","–",CALC_CHOP!$J$97))</f>
        <v/>
      </c>
      <c r="M21" s="68">
        <f>IF(OR(NOT(CALC_CHOP!$B$17),CALC_CHOP!$B$18),"n/a",IF(CALC_CHOP!$K$97="","–",CALC_CHOP!$K$97))</f>
        <v/>
      </c>
      <c r="N21" s="68">
        <f>IF(OR(NOT(CALC_CHOP!$B$17),CALC_CHOP!$B$18),"n/a",IF(CALC_CHOP!$L$97="","–",CALC_CHOP!$L$97))</f>
        <v/>
      </c>
      <c r="O21" s="68">
        <f>IF(OR(NOT(CALC_CHOP!$B$17),CALC_CHOP!$B$18),"n/a",IF(CALC_CHOP!$M$97="","–",CALC_CHOP!$M$97))</f>
        <v/>
      </c>
    </row>
    <row r="22">
      <c r="B22" s="153" t="inlineStr">
        <is>
          <t>CHOP zones that reported</t>
        </is>
      </c>
      <c r="C22" s="148" t="n"/>
      <c r="D22" s="149">
        <f>IF(OR(NOT(CALC_CHOP!$B$17),CALC_CHOP!$B$18),"n/a",IF(CALC_CHOP!$B$98="","–",CALC_CHOP!$B$98))</f>
        <v/>
      </c>
      <c r="E22" s="150">
        <f>IF(OR(NOT(CALC_CHOP!$B$17),CALC_CHOP!$B$18),"n/a",IF(CALC_CHOP!$C$98="","–",CALC_CHOP!$C$98))</f>
        <v/>
      </c>
      <c r="F22" s="151">
        <f>IF(OR(NOT(CALC_CHOP!$B$17),CALC_CHOP!$B$18),"n/a",IF(CALC_CHOP!$D$98="","–",CALC_CHOP!$D$98))</f>
        <v/>
      </c>
      <c r="G22" s="152">
        <f>IF(OR(NOT(CALC_CHOP!$B$17),CALC_CHOP!$B$18),"n/a",IF(CALC_CHOP!$E$98="","–",CALC_CHOP!$E$98))</f>
        <v/>
      </c>
      <c r="H22" s="150">
        <f>IF(OR(NOT(CALC_CHOP!$B$17),CALC_CHOP!$B$18),"n/a",IF(CALC_CHOP!$F$98="","–",CALC_CHOP!$F$98))</f>
        <v/>
      </c>
      <c r="I22" s="152">
        <f>IF(OR(NOT(CALC_CHOP!$B$17),CALC_CHOP!$B$18),"n/a",IF(CALC_CHOP!$G$98="","–",CALC_CHOP!$G$98))</f>
        <v/>
      </c>
      <c r="J22" s="150">
        <f>IF(OR(NOT(CALC_CHOP!$B$17),CALC_CHOP!$B$18),"n/a",IF(CALC_CHOP!$H$98="","–",CALC_CHOP!$H$98))</f>
        <v/>
      </c>
      <c r="K22" s="150">
        <f>IF(OR(NOT(CALC_CHOP!$B$17),CALC_CHOP!$B$18),"n/a",IF(CALC_CHOP!$I$98="","–",CALC_CHOP!$I$98))</f>
        <v/>
      </c>
      <c r="L22" s="150">
        <f>IF(OR(NOT(CALC_CHOP!$B$17),CALC_CHOP!$B$18),"n/a",IF(CALC_CHOP!$J$98="","–",CALC_CHOP!$J$98))</f>
        <v/>
      </c>
      <c r="M22" s="150">
        <f>IF(OR(NOT(CALC_CHOP!$B$17),CALC_CHOP!$B$18),"n/a",IF(CALC_CHOP!$K$98="","–",CALC_CHOP!$K$98))</f>
        <v/>
      </c>
      <c r="N22" s="150">
        <f>IF(OR(NOT(CALC_CHOP!$B$17),CALC_CHOP!$B$18),"n/a",IF(CALC_CHOP!$L$98="","–",CALC_CHOP!$L$98))</f>
        <v/>
      </c>
      <c r="O22" s="150">
        <f>IF(OR(NOT(CALC_CHOP!$B$17),CALC_CHOP!$B$18),"n/a",IF(CALC_CHOP!$M$98="","–",CALC_CHOP!$M$98))</f>
        <v/>
      </c>
    </row>
    <row r="23">
      <c r="B23" s="66" t="inlineStr">
        <is>
          <t>CHOP zones with no report</t>
        </is>
      </c>
      <c r="D23" s="67">
        <f>IF(OR(NOT(CALC_CHOP!$B$17),CALC_CHOP!$B$18),"n/a",IF(CALC_CHOP!$B$99="","–",CALC_CHOP!$B$99))</f>
        <v/>
      </c>
      <c r="E23" s="68">
        <f>IF(OR(NOT(CALC_CHOP!$B$17),CALC_CHOP!$B$18),"n/a",IF(CALC_CHOP!$C$99="","–",CALC_CHOP!$C$99))</f>
        <v/>
      </c>
      <c r="F23" s="69">
        <f>IF(OR(NOT(CALC_CHOP!$B$17),CALC_CHOP!$B$18),"n/a",IF(CALC_CHOP!$D$99="","–",CALC_CHOP!$D$99))</f>
        <v/>
      </c>
      <c r="G23" s="70">
        <f>IF(OR(NOT(CALC_CHOP!$B$17),CALC_CHOP!$B$18),"n/a",IF(CALC_CHOP!$E$99="","–",CALC_CHOP!$E$99))</f>
        <v/>
      </c>
      <c r="H23" s="68">
        <f>IF(OR(NOT(CALC_CHOP!$B$17),CALC_CHOP!$B$18),"n/a",IF(CALC_CHOP!$F$99="","–",CALC_CHOP!$F$99))</f>
        <v/>
      </c>
      <c r="I23" s="70">
        <f>IF(OR(NOT(CALC_CHOP!$B$17),CALC_CHOP!$B$18),"n/a",IF(CALC_CHOP!$G$99="","–",CALC_CHOP!$G$99))</f>
        <v/>
      </c>
      <c r="J23" s="68">
        <f>IF(OR(NOT(CALC_CHOP!$B$17),CALC_CHOP!$B$18),"n/a",IF(CALC_CHOP!$H$99="","–",CALC_CHOP!$H$99))</f>
        <v/>
      </c>
      <c r="K23" s="68">
        <f>IF(OR(NOT(CALC_CHOP!$B$17),CALC_CHOP!$B$18),"n/a",IF(CALC_CHOP!$I$99="","–",CALC_CHOP!$I$99))</f>
        <v/>
      </c>
      <c r="L23" s="68">
        <f>IF(OR(NOT(CALC_CHOP!$B$17),CALC_CHOP!$B$18),"n/a",IF(CALC_CHOP!$J$99="","–",CALC_CHOP!$J$99))</f>
        <v/>
      </c>
      <c r="M23" s="68">
        <f>IF(OR(NOT(CALC_CHOP!$B$17),CALC_CHOP!$B$18),"n/a",IF(CALC_CHOP!$K$99="","–",CALC_CHOP!$K$99))</f>
        <v/>
      </c>
      <c r="N23" s="68">
        <f>IF(OR(NOT(CALC_CHOP!$B$17),CALC_CHOP!$B$18),"n/a",IF(CALC_CHOP!$L$99="","–",CALC_CHOP!$L$99))</f>
        <v/>
      </c>
      <c r="O23" s="68">
        <f>IF(OR(NOT(CALC_CHOP!$B$17),CALC_CHOP!$B$18),"n/a",IF(CALC_CHOP!$M$99="","–",CALC_CHOP!$M$99))</f>
        <v/>
      </c>
    </row>
    <row r="24">
      <c r="B24" s="147" t="inlineStr">
        <is>
          <t>% CHOP zones reporting</t>
        </is>
      </c>
      <c r="C24" s="148" t="n"/>
      <c r="D24" s="154">
        <f>IF(OR(NOT(CALC_CHOP!$B$17),CALC_CHOP!$B$18),"n/a",IF(CALC_CHOP!$B$100="","–",CALC_CHOP!$B$100))</f>
        <v/>
      </c>
      <c r="E24" s="155">
        <f>IF(OR(NOT(CALC_CHOP!$B$17),CALC_CHOP!$B$18),"n/a",IF(CALC_CHOP!$C$100="","–",CALC_CHOP!$C$100))</f>
        <v/>
      </c>
      <c r="F24" s="156">
        <f>IF(OR(NOT(CALC_CHOP!$B$17),CALC_CHOP!$B$18),"n/a",IF(CALC_CHOP!$D$100="","–",CALC_CHOP!$D$100*100))</f>
        <v/>
      </c>
      <c r="G24" s="152">
        <f>IF(OR(NOT(CALC_CHOP!$B$17),CALC_CHOP!$B$18),"n/a",IF(CALC_CHOP!$E$100="","–",CALC_CHOP!$E$100))</f>
        <v/>
      </c>
      <c r="H24" s="155">
        <f>IF(OR(NOT(CALC_CHOP!$B$17),CALC_CHOP!$B$18),"n/a",IF(CALC_CHOP!$F$100="","–",CALC_CHOP!$F$100))</f>
        <v/>
      </c>
      <c r="I24" s="152">
        <f>IF(OR(NOT(CALC_CHOP!$B$17),CALC_CHOP!$B$18),"n/a",IF(CALC_CHOP!$G$100="","–",CALC_CHOP!$G$100))</f>
        <v/>
      </c>
      <c r="J24" s="155">
        <f>IF(OR(NOT(CALC_CHOP!$B$17),CALC_CHOP!$B$18),"n/a",IF(CALC_CHOP!$H$100="","–",CALC_CHOP!$H$100))</f>
        <v/>
      </c>
      <c r="K24" s="155">
        <f>IF(OR(NOT(CALC_CHOP!$B$17),CALC_CHOP!$B$18),"n/a",IF(CALC_CHOP!$I$100="","–",CALC_CHOP!$I$100))</f>
        <v/>
      </c>
      <c r="L24" s="155">
        <f>IF(OR(NOT(CALC_CHOP!$B$17),CALC_CHOP!$B$18),"n/a",IF(CALC_CHOP!$J$100="","–",CALC_CHOP!$J$100))</f>
        <v/>
      </c>
      <c r="M24" s="155">
        <f>IF(OR(NOT(CALC_CHOP!$B$17),CALC_CHOP!$B$18),"n/a",IF(CALC_CHOP!$K$100="","–",CALC_CHOP!$K$100))</f>
        <v/>
      </c>
      <c r="N24" s="155">
        <f>IF(OR(NOT(CALC_CHOP!$B$17),CALC_CHOP!$B$18),"n/a",IF(CALC_CHOP!$L$100="","–",CALC_CHOP!$L$100))</f>
        <v/>
      </c>
      <c r="O24" s="155">
        <f>IF(OR(NOT(CALC_CHOP!$B$17),CALC_CHOP!$B$18),"n/a",IF(CALC_CHOP!$M$100="","–",CALC_CHOP!$M$100))</f>
        <v/>
      </c>
    </row>
    <row r="25">
      <c r="B25" s="66" t="inlineStr">
        <is>
          <t>Reporting : non-reporting</t>
        </is>
      </c>
      <c r="D25" s="75">
        <f>IF(OR(NOT(CALC_CHOP!$B$17),CALC_CHOP!$B$18),"n/a",IF(CALC_CHOP!$B$101="","–",CALC_CHOP!$B$101))</f>
        <v/>
      </c>
      <c r="E25" s="76">
        <f>IF(OR(NOT(CALC_CHOP!$B$17),CALC_CHOP!$B$18),"n/a",IF(CALC_CHOP!$C$101="","–",CALC_CHOP!$C$101))</f>
        <v/>
      </c>
      <c r="F25" s="77">
        <f>IF(OR(NOT(CALC_CHOP!$B$17),CALC_CHOP!$B$18),"n/a",IF(CALC_CHOP!$D$101="","–",CALC_CHOP!$D$101))</f>
        <v/>
      </c>
      <c r="G25" s="70">
        <f>IF(OR(NOT(CALC_CHOP!$B$17),CALC_CHOP!$B$18),"n/a",IF(CALC_CHOP!$E$101="","–",CALC_CHOP!$E$101))</f>
        <v/>
      </c>
      <c r="H25" s="76">
        <f>IF(OR(NOT(CALC_CHOP!$B$17),CALC_CHOP!$B$18),"n/a",IF(CALC_CHOP!$F$101="","–",CALC_CHOP!$F$101))</f>
        <v/>
      </c>
      <c r="I25" s="70">
        <f>IF(OR(NOT(CALC_CHOP!$B$17),CALC_CHOP!$B$18),"n/a",IF(CALC_CHOP!$G$101="","–",CALC_CHOP!$G$101))</f>
        <v/>
      </c>
      <c r="J25" s="76">
        <f>IF(OR(NOT(CALC_CHOP!$B$17),CALC_CHOP!$B$18),"n/a",IF(CALC_CHOP!$H$101="","–",CALC_CHOP!$H$101))</f>
        <v/>
      </c>
      <c r="K25" s="76">
        <f>IF(OR(NOT(CALC_CHOP!$B$17),CALC_CHOP!$B$18),"n/a",IF(CALC_CHOP!$I$101="","–",CALC_CHOP!$I$101))</f>
        <v/>
      </c>
      <c r="L25" s="76">
        <f>IF(OR(NOT(CALC_CHOP!$B$17),CALC_CHOP!$B$18),"n/a",IF(CALC_CHOP!$J$101="","–",CALC_CHOP!$J$101))</f>
        <v/>
      </c>
      <c r="M25" s="76">
        <f>IF(OR(NOT(CALC_CHOP!$B$17),CALC_CHOP!$B$18),"n/a",IF(CALC_CHOP!$K$101="","–",CALC_CHOP!$K$101))</f>
        <v/>
      </c>
      <c r="N25" s="76">
        <f>IF(OR(NOT(CALC_CHOP!$B$17),CALC_CHOP!$B$18),"n/a",IF(CALC_CHOP!$L$101="","–",CALC_CHOP!$L$101))</f>
        <v/>
      </c>
      <c r="O25" s="76">
        <f>IF(OR(NOT(CALC_CHOP!$B$17),CALC_CHOP!$B$18),"n/a",IF(CALC_CHOP!$M$101="","–",CALC_CHOP!$M$101))</f>
        <v/>
      </c>
    </row>
    <row r="26">
      <c r="B26" s="153" t="inlineStr">
        <is>
          <t>Avg attendance per reporting zone</t>
        </is>
      </c>
      <c r="C26" s="148" t="n"/>
      <c r="D26" s="157">
        <f>IF(OR(NOT(CALC_CHOP!$B$17),CALC_CHOP!$B$18),"n/a",IF(CALC_CHOP!$B$102="","–",CALC_CHOP!$B$102))</f>
        <v/>
      </c>
      <c r="E26" s="158">
        <f>IF(OR(NOT(CALC_CHOP!$B$17),CALC_CHOP!$B$18),"n/a",IF(CALC_CHOP!$C$102="","–",CALC_CHOP!$C$102))</f>
        <v/>
      </c>
      <c r="F26" s="159">
        <f>IF(OR(NOT(CALC_CHOP!$B$17),CALC_CHOP!$B$18),"n/a",IF(CALC_CHOP!$D$102="","–",CALC_CHOP!$D$102))</f>
        <v/>
      </c>
      <c r="G26" s="152">
        <f>IF(OR(NOT(CALC_CHOP!$B$17),CALC_CHOP!$B$18),"n/a",IF(CALC_CHOP!$E$102="","–",CALC_CHOP!$E$102))</f>
        <v/>
      </c>
      <c r="H26" s="158">
        <f>IF(OR(NOT(CALC_CHOP!$B$17),CALC_CHOP!$B$18),"n/a",IF(CALC_CHOP!$F$102="","–",CALC_CHOP!$F$102))</f>
        <v/>
      </c>
      <c r="I26" s="152">
        <f>IF(OR(NOT(CALC_CHOP!$B$17),CALC_CHOP!$B$18),"n/a",IF(CALC_CHOP!$G$102="","–",CALC_CHOP!$G$102))</f>
        <v/>
      </c>
      <c r="J26" s="158">
        <f>IF(OR(NOT(CALC_CHOP!$B$17),CALC_CHOP!$B$18),"n/a",IF(CALC_CHOP!$H$102="","–",CALC_CHOP!$H$102))</f>
        <v/>
      </c>
      <c r="K26" s="158">
        <f>IF(OR(NOT(CALC_CHOP!$B$17),CALC_CHOP!$B$18),"n/a",IF(CALC_CHOP!$I$102="","–",CALC_CHOP!$I$102))</f>
        <v/>
      </c>
      <c r="L26" s="158">
        <f>IF(OR(NOT(CALC_CHOP!$B$17),CALC_CHOP!$B$18),"n/a",IF(CALC_CHOP!$J$102="","–",CALC_CHOP!$J$102))</f>
        <v/>
      </c>
      <c r="M26" s="158">
        <f>IF(OR(NOT(CALC_CHOP!$B$17),CALC_CHOP!$B$18),"n/a",IF(CALC_CHOP!$K$102="","–",CALC_CHOP!$K$102))</f>
        <v/>
      </c>
      <c r="N26" s="158">
        <f>IF(OR(NOT(CALC_CHOP!$B$17),CALC_CHOP!$B$18),"n/a",IF(CALC_CHOP!$L$102="","–",CALC_CHOP!$L$102))</f>
        <v/>
      </c>
      <c r="O26" s="158">
        <f>IF(OR(NOT(CALC_CHOP!$B$17),CALC_CHOP!$B$18),"n/a",IF(CALC_CHOP!$M$102="","–",CALC_CHOP!$M$102))</f>
        <v/>
      </c>
    </row>
    <row r="27">
      <c r="B27" s="81" t="inlineStr">
        <is>
          <t>Averages use only weeks that have data. MTD/QTD/YTD run to the selected week; ratio rows show the ratio of the period's totals.</t>
        </is>
      </c>
    </row>
    <row r="29" ht="22" customHeight="1">
      <c r="B29" s="143" t="inlineStr">
        <is>
          <t>Trends — last 13 weeks</t>
        </is>
      </c>
      <c r="C29" s="144" t="n"/>
      <c r="D29" s="144" t="n"/>
      <c r="E29" s="144" t="n"/>
      <c r="F29" s="144" t="n"/>
      <c r="G29" s="144" t="n"/>
      <c r="H29" s="144" t="n"/>
      <c r="I29" s="144" t="n"/>
      <c r="J29" s="144" t="n"/>
      <c r="K29" s="144" t="n"/>
      <c r="L29" s="144" t="n"/>
      <c r="M29" s="144" t="n"/>
      <c r="N29" s="144" t="n"/>
      <c r="O29" s="144" t="n"/>
    </row>
    <row r="46" ht="22" customHeight="1">
      <c r="B46" s="143" t="inlineStr">
        <is>
          <t>Area rankings — selected week</t>
        </is>
      </c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160" t="inlineStr">
        <is>
          <t>Growth = selected week vs previous week</t>
        </is>
      </c>
    </row>
    <row r="47">
      <c r="B47" s="146" t="inlineStr">
        <is>
          <t>Top 10 · attendance</t>
        </is>
      </c>
      <c r="C47" s="16" t="n"/>
      <c r="D47" s="146" t="inlineStr">
        <is>
          <t>Bottom 10 · attendance</t>
        </is>
      </c>
      <c r="E47" s="16" t="n"/>
      <c r="F47" s="146" t="inlineStr">
        <is>
          <t>Top 10 · % reporting</t>
        </is>
      </c>
      <c r="G47" s="16" t="n"/>
      <c r="H47" s="146" t="inlineStr">
        <is>
          <t>Bottom 10 · % reporting</t>
        </is>
      </c>
      <c r="I47" s="16" t="n"/>
      <c r="J47" s="146" t="inlineStr">
        <is>
          <t>Top 10 · growth</t>
        </is>
      </c>
      <c r="K47" s="16" t="n"/>
      <c r="L47" s="146" t="inlineStr">
        <is>
          <t>Bottom 10 · growth</t>
        </is>
      </c>
      <c r="M47" s="16" t="n"/>
      <c r="N47" s="146" t="inlineStr">
        <is>
          <t>Selected Area rank</t>
        </is>
      </c>
      <c r="O47" s="16" t="n"/>
    </row>
    <row r="48">
      <c r="B48" s="83">
        <f>IF(CALC_CHOP!$B$3="Zone",IF(0=0,"n/a at Zone scope",""),IF(CALC_CHOP!$AO$3="",IF(0=0,"–",""),1&amp;". "&amp;CALC_CHOP!$AO$3))</f>
        <v/>
      </c>
      <c r="C48" s="84">
        <f>IF(OR(CALC_CHOP!$B$3="Zone",CALC_CHOP!$AO$3=""),"",CALC_CHOP!$AP$3)</f>
        <v/>
      </c>
      <c r="D48" s="83">
        <f>IF(CALC_CHOP!$B$3="Zone",IF(0=0,"n/a at Zone scope",""),IF(CALC_CHOP!$AQ$3="",IF(0=0,"–",""),1&amp;". "&amp;CALC_CHOP!$AQ$3))</f>
        <v/>
      </c>
      <c r="E48" s="84">
        <f>IF(OR(CALC_CHOP!$B$3="Zone",CALC_CHOP!$AQ$3=""),"",CALC_CHOP!$AR$3)</f>
        <v/>
      </c>
      <c r="F48" s="83">
        <f>IF(CALC_CHOP!$B$3="Zone",IF(0=0,"n/a at Zone scope",""),IF(CALC_CHOP!$AS$3="",IF(0=0,"–",""),1&amp;". "&amp;CALC_CHOP!$AS$3))</f>
        <v/>
      </c>
      <c r="G48" s="85">
        <f>IF(OR(CALC_CHOP!$B$3="Zone",CALC_CHOP!$AS$3=""),"",CALC_CHOP!$AT$3)</f>
        <v/>
      </c>
      <c r="H48" s="83">
        <f>IF(CALC_CHOP!$B$3="Zone",IF(0=0,"n/a at Zone scope",""),IF(CALC_CHOP!$AU$3="",IF(0=0,"–",""),1&amp;". "&amp;CALC_CHOP!$AU$3))</f>
        <v/>
      </c>
      <c r="I48" s="85">
        <f>IF(OR(CALC_CHOP!$B$3="Zone",CALC_CHOP!$AU$3=""),"",CALC_CHOP!$AV$3)</f>
        <v/>
      </c>
      <c r="J48" s="83">
        <f>IF(CALC_CHOP!$B$3="Zone",IF(0=0,"n/a at Zone scope",""),IF(CALC_CHOP!$AW$3="",IF(0=0,"–",""),1&amp;". "&amp;CALC_CHOP!$AW$3))</f>
        <v/>
      </c>
      <c r="K48" s="86">
        <f>IF(OR(CALC_CHOP!$B$3="Zone",CALC_CHOP!$AW$3=""),"",CALC_CHOP!$AX$3)</f>
        <v/>
      </c>
      <c r="L48" s="83">
        <f>IF(CALC_CHOP!$B$3="Zone",IF(0=0,"n/a at Zone scope",""),IF(CALC_CHOP!$AY$3="",IF(0=0,"–",""),1&amp;". "&amp;CALC_CHOP!$AY$3))</f>
        <v/>
      </c>
      <c r="M48" s="86">
        <f>IF(OR(CALC_CHOP!$B$3="Zone",CALC_CHOP!$AY$3=""),"",CALC_CHOP!$AZ$3)</f>
        <v/>
      </c>
      <c r="N48" s="87" t="inlineStr">
        <is>
          <t>Attendance</t>
        </is>
      </c>
      <c r="O48" s="161">
        <f>IF(CALC_CHOP!$B$3&lt;&gt;"Area","n/a",IF(CALC_CHOP!$BA$3="","–",CALC_CHOP!$BA$3&amp;" of "&amp;CALC_CHOP!$BA$6))</f>
        <v/>
      </c>
    </row>
    <row r="49">
      <c r="B49" s="83">
        <f>IF(CALC_CHOP!$B$3="Zone",IF(1=0,"n/a at Zone scope",""),IF(CALC_CHOP!$AO$4="",IF(1=0,"–",""),2&amp;". "&amp;CALC_CHOP!$AO$4))</f>
        <v/>
      </c>
      <c r="C49" s="84">
        <f>IF(OR(CALC_CHOP!$B$3="Zone",CALC_CHOP!$AO$4=""),"",CALC_CHOP!$AP$4)</f>
        <v/>
      </c>
      <c r="D49" s="83">
        <f>IF(CALC_CHOP!$B$3="Zone",IF(1=0,"n/a at Zone scope",""),IF(CALC_CHOP!$AQ$4="",IF(1=0,"–",""),2&amp;". "&amp;CALC_CHOP!$AQ$4))</f>
        <v/>
      </c>
      <c r="E49" s="84">
        <f>IF(OR(CALC_CHOP!$B$3="Zone",CALC_CHOP!$AQ$4=""),"",CALC_CHOP!$AR$4)</f>
        <v/>
      </c>
      <c r="F49" s="83">
        <f>IF(CALC_CHOP!$B$3="Zone",IF(1=0,"n/a at Zone scope",""),IF(CALC_CHOP!$AS$4="",IF(1=0,"–",""),2&amp;". "&amp;CALC_CHOP!$AS$4))</f>
        <v/>
      </c>
      <c r="G49" s="85">
        <f>IF(OR(CALC_CHOP!$B$3="Zone",CALC_CHOP!$AS$4=""),"",CALC_CHOP!$AT$4)</f>
        <v/>
      </c>
      <c r="H49" s="83">
        <f>IF(CALC_CHOP!$B$3="Zone",IF(1=0,"n/a at Zone scope",""),IF(CALC_CHOP!$AU$4="",IF(1=0,"–",""),2&amp;". "&amp;CALC_CHOP!$AU$4))</f>
        <v/>
      </c>
      <c r="I49" s="85">
        <f>IF(OR(CALC_CHOP!$B$3="Zone",CALC_CHOP!$AU$4=""),"",CALC_CHOP!$AV$4)</f>
        <v/>
      </c>
      <c r="J49" s="83">
        <f>IF(CALC_CHOP!$B$3="Zone",IF(1=0,"n/a at Zone scope",""),IF(CALC_CHOP!$AW$4="",IF(1=0,"–",""),2&amp;". "&amp;CALC_CHOP!$AW$4))</f>
        <v/>
      </c>
      <c r="K49" s="86">
        <f>IF(OR(CALC_CHOP!$B$3="Zone",CALC_CHOP!$AW$4=""),"",CALC_CHOP!$AX$4)</f>
        <v/>
      </c>
      <c r="L49" s="83">
        <f>IF(CALC_CHOP!$B$3="Zone",IF(1=0,"n/a at Zone scope",""),IF(CALC_CHOP!$AY$4="",IF(1=0,"–",""),2&amp;". "&amp;CALC_CHOP!$AY$4))</f>
        <v/>
      </c>
      <c r="M49" s="86">
        <f>IF(OR(CALC_CHOP!$B$3="Zone",CALC_CHOP!$AY$4=""),"",CALC_CHOP!$AZ$4)</f>
        <v/>
      </c>
      <c r="N49" s="87" t="inlineStr">
        <is>
          <t>% reporting</t>
        </is>
      </c>
      <c r="O49" s="161">
        <f>IF(CALC_CHOP!$B$3&lt;&gt;"Area","n/a",IF(CALC_CHOP!$BA$4="","–",CALC_CHOP!$BA$4&amp;" of "&amp;CALC_CHOP!$BA$6))</f>
        <v/>
      </c>
    </row>
    <row r="50">
      <c r="B50" s="83">
        <f>IF(CALC_CHOP!$B$3="Zone",IF(2=0,"n/a at Zone scope",""),IF(CALC_CHOP!$AO$5="",IF(2=0,"–",""),3&amp;". "&amp;CALC_CHOP!$AO$5))</f>
        <v/>
      </c>
      <c r="C50" s="84">
        <f>IF(OR(CALC_CHOP!$B$3="Zone",CALC_CHOP!$AO$5=""),"",CALC_CHOP!$AP$5)</f>
        <v/>
      </c>
      <c r="D50" s="83">
        <f>IF(CALC_CHOP!$B$3="Zone",IF(2=0,"n/a at Zone scope",""),IF(CALC_CHOP!$AQ$5="",IF(2=0,"–",""),3&amp;". "&amp;CALC_CHOP!$AQ$5))</f>
        <v/>
      </c>
      <c r="E50" s="84">
        <f>IF(OR(CALC_CHOP!$B$3="Zone",CALC_CHOP!$AQ$5=""),"",CALC_CHOP!$AR$5)</f>
        <v/>
      </c>
      <c r="F50" s="83">
        <f>IF(CALC_CHOP!$B$3="Zone",IF(2=0,"n/a at Zone scope",""),IF(CALC_CHOP!$AS$5="",IF(2=0,"–",""),3&amp;". "&amp;CALC_CHOP!$AS$5))</f>
        <v/>
      </c>
      <c r="G50" s="85">
        <f>IF(OR(CALC_CHOP!$B$3="Zone",CALC_CHOP!$AS$5=""),"",CALC_CHOP!$AT$5)</f>
        <v/>
      </c>
      <c r="H50" s="83">
        <f>IF(CALC_CHOP!$B$3="Zone",IF(2=0,"n/a at Zone scope",""),IF(CALC_CHOP!$AU$5="",IF(2=0,"–",""),3&amp;". "&amp;CALC_CHOP!$AU$5))</f>
        <v/>
      </c>
      <c r="I50" s="85">
        <f>IF(OR(CALC_CHOP!$B$3="Zone",CALC_CHOP!$AU$5=""),"",CALC_CHOP!$AV$5)</f>
        <v/>
      </c>
      <c r="J50" s="83">
        <f>IF(CALC_CHOP!$B$3="Zone",IF(2=0,"n/a at Zone scope",""),IF(CALC_CHOP!$AW$5="",IF(2=0,"–",""),3&amp;". "&amp;CALC_CHOP!$AW$5))</f>
        <v/>
      </c>
      <c r="K50" s="86">
        <f>IF(OR(CALC_CHOP!$B$3="Zone",CALC_CHOP!$AW$5=""),"",CALC_CHOP!$AX$5)</f>
        <v/>
      </c>
      <c r="L50" s="83">
        <f>IF(CALC_CHOP!$B$3="Zone",IF(2=0,"n/a at Zone scope",""),IF(CALC_CHOP!$AY$5="",IF(2=0,"–",""),3&amp;". "&amp;CALC_CHOP!$AY$5))</f>
        <v/>
      </c>
      <c r="M50" s="86">
        <f>IF(OR(CALC_CHOP!$B$3="Zone",CALC_CHOP!$AY$5=""),"",CALC_CHOP!$AZ$5)</f>
        <v/>
      </c>
      <c r="N50" s="87" t="inlineStr">
        <is>
          <t>Growth</t>
        </is>
      </c>
      <c r="O50" s="161">
        <f>IF(CALC_CHOP!$B$3&lt;&gt;"Area","n/a",IF(CALC_CHOP!$BA$5="","–",CALC_CHOP!$BA$5&amp;" of "&amp;CALC_CHOP!$BA$6))</f>
        <v/>
      </c>
    </row>
    <row r="51">
      <c r="B51" s="83">
        <f>IF(CALC_CHOP!$B$3="Zone",IF(3=0,"n/a at Zone scope",""),IF(CALC_CHOP!$AO$6="",IF(3=0,"–",""),4&amp;". "&amp;CALC_CHOP!$AO$6))</f>
        <v/>
      </c>
      <c r="C51" s="84">
        <f>IF(OR(CALC_CHOP!$B$3="Zone",CALC_CHOP!$AO$6=""),"",CALC_CHOP!$AP$6)</f>
        <v/>
      </c>
      <c r="D51" s="83">
        <f>IF(CALC_CHOP!$B$3="Zone",IF(3=0,"n/a at Zone scope",""),IF(CALC_CHOP!$AQ$6="",IF(3=0,"–",""),4&amp;". "&amp;CALC_CHOP!$AQ$6))</f>
        <v/>
      </c>
      <c r="E51" s="84">
        <f>IF(OR(CALC_CHOP!$B$3="Zone",CALC_CHOP!$AQ$6=""),"",CALC_CHOP!$AR$6)</f>
        <v/>
      </c>
      <c r="F51" s="83">
        <f>IF(CALC_CHOP!$B$3="Zone",IF(3=0,"n/a at Zone scope",""),IF(CALC_CHOP!$AS$6="",IF(3=0,"–",""),4&amp;". "&amp;CALC_CHOP!$AS$6))</f>
        <v/>
      </c>
      <c r="G51" s="85">
        <f>IF(OR(CALC_CHOP!$B$3="Zone",CALC_CHOP!$AS$6=""),"",CALC_CHOP!$AT$6)</f>
        <v/>
      </c>
      <c r="H51" s="83">
        <f>IF(CALC_CHOP!$B$3="Zone",IF(3=0,"n/a at Zone scope",""),IF(CALC_CHOP!$AU$6="",IF(3=0,"–",""),4&amp;". "&amp;CALC_CHOP!$AU$6))</f>
        <v/>
      </c>
      <c r="I51" s="85">
        <f>IF(OR(CALC_CHOP!$B$3="Zone",CALC_CHOP!$AU$6=""),"",CALC_CHOP!$AV$6)</f>
        <v/>
      </c>
      <c r="J51" s="83">
        <f>IF(CALC_CHOP!$B$3="Zone",IF(3=0,"n/a at Zone scope",""),IF(CALC_CHOP!$AW$6="",IF(3=0,"–",""),4&amp;". "&amp;CALC_CHOP!$AW$6))</f>
        <v/>
      </c>
      <c r="K51" s="86">
        <f>IF(OR(CALC_CHOP!$B$3="Zone",CALC_CHOP!$AW$6=""),"",CALC_CHOP!$AX$6)</f>
        <v/>
      </c>
      <c r="L51" s="83">
        <f>IF(CALC_CHOP!$B$3="Zone",IF(3=0,"n/a at Zone scope",""),IF(CALC_CHOP!$AY$6="",IF(3=0,"–",""),4&amp;". "&amp;CALC_CHOP!$AY$6))</f>
        <v/>
      </c>
      <c r="M51" s="86">
        <f>IF(OR(CALC_CHOP!$B$3="Zone",CALC_CHOP!$AY$6=""),"",CALC_CHOP!$AZ$6)</f>
        <v/>
      </c>
    </row>
    <row r="52">
      <c r="B52" s="83">
        <f>IF(CALC_CHOP!$B$3="Zone",IF(4=0,"n/a at Zone scope",""),IF(CALC_CHOP!$AO$7="",IF(4=0,"–",""),5&amp;". "&amp;CALC_CHOP!$AO$7))</f>
        <v/>
      </c>
      <c r="C52" s="84">
        <f>IF(OR(CALC_CHOP!$B$3="Zone",CALC_CHOP!$AO$7=""),"",CALC_CHOP!$AP$7)</f>
        <v/>
      </c>
      <c r="D52" s="83">
        <f>IF(CALC_CHOP!$B$3="Zone",IF(4=0,"n/a at Zone scope",""),IF(CALC_CHOP!$AQ$7="",IF(4=0,"–",""),5&amp;". "&amp;CALC_CHOP!$AQ$7))</f>
        <v/>
      </c>
      <c r="E52" s="84">
        <f>IF(OR(CALC_CHOP!$B$3="Zone",CALC_CHOP!$AQ$7=""),"",CALC_CHOP!$AR$7)</f>
        <v/>
      </c>
      <c r="F52" s="83">
        <f>IF(CALC_CHOP!$B$3="Zone",IF(4=0,"n/a at Zone scope",""),IF(CALC_CHOP!$AS$7="",IF(4=0,"–",""),5&amp;". "&amp;CALC_CHOP!$AS$7))</f>
        <v/>
      </c>
      <c r="G52" s="85">
        <f>IF(OR(CALC_CHOP!$B$3="Zone",CALC_CHOP!$AS$7=""),"",CALC_CHOP!$AT$7)</f>
        <v/>
      </c>
      <c r="H52" s="83">
        <f>IF(CALC_CHOP!$B$3="Zone",IF(4=0,"n/a at Zone scope",""),IF(CALC_CHOP!$AU$7="",IF(4=0,"–",""),5&amp;". "&amp;CALC_CHOP!$AU$7))</f>
        <v/>
      </c>
      <c r="I52" s="85">
        <f>IF(OR(CALC_CHOP!$B$3="Zone",CALC_CHOP!$AU$7=""),"",CALC_CHOP!$AV$7)</f>
        <v/>
      </c>
      <c r="J52" s="83">
        <f>IF(CALC_CHOP!$B$3="Zone",IF(4=0,"n/a at Zone scope",""),IF(CALC_CHOP!$AW$7="",IF(4=0,"–",""),5&amp;". "&amp;CALC_CHOP!$AW$7))</f>
        <v/>
      </c>
      <c r="K52" s="86">
        <f>IF(OR(CALC_CHOP!$B$3="Zone",CALC_CHOP!$AW$7=""),"",CALC_CHOP!$AX$7)</f>
        <v/>
      </c>
      <c r="L52" s="83">
        <f>IF(CALC_CHOP!$B$3="Zone",IF(4=0,"n/a at Zone scope",""),IF(CALC_CHOP!$AY$7="",IF(4=0,"–",""),5&amp;". "&amp;CALC_CHOP!$AY$7))</f>
        <v/>
      </c>
      <c r="M52" s="86">
        <f>IF(OR(CALC_CHOP!$B$3="Zone",CALC_CHOP!$AY$7=""),"",CALC_CHOP!$AZ$7)</f>
        <v/>
      </c>
    </row>
    <row r="53">
      <c r="B53" s="83">
        <f>IF(CALC_CHOP!$B$3="Zone",IF(5=0,"n/a at Zone scope",""),IF(CALC_CHOP!$AO$8="",IF(5=0,"–",""),6&amp;". "&amp;CALC_CHOP!$AO$8))</f>
        <v/>
      </c>
      <c r="C53" s="84">
        <f>IF(OR(CALC_CHOP!$B$3="Zone",CALC_CHOP!$AO$8=""),"",CALC_CHOP!$AP$8)</f>
        <v/>
      </c>
      <c r="D53" s="83">
        <f>IF(CALC_CHOP!$B$3="Zone",IF(5=0,"n/a at Zone scope",""),IF(CALC_CHOP!$AQ$8="",IF(5=0,"–",""),6&amp;". "&amp;CALC_CHOP!$AQ$8))</f>
        <v/>
      </c>
      <c r="E53" s="84">
        <f>IF(OR(CALC_CHOP!$B$3="Zone",CALC_CHOP!$AQ$8=""),"",CALC_CHOP!$AR$8)</f>
        <v/>
      </c>
      <c r="F53" s="83">
        <f>IF(CALC_CHOP!$B$3="Zone",IF(5=0,"n/a at Zone scope",""),IF(CALC_CHOP!$AS$8="",IF(5=0,"–",""),6&amp;". "&amp;CALC_CHOP!$AS$8))</f>
        <v/>
      </c>
      <c r="G53" s="85">
        <f>IF(OR(CALC_CHOP!$B$3="Zone",CALC_CHOP!$AS$8=""),"",CALC_CHOP!$AT$8)</f>
        <v/>
      </c>
      <c r="H53" s="83">
        <f>IF(CALC_CHOP!$B$3="Zone",IF(5=0,"n/a at Zone scope",""),IF(CALC_CHOP!$AU$8="",IF(5=0,"–",""),6&amp;". "&amp;CALC_CHOP!$AU$8))</f>
        <v/>
      </c>
      <c r="I53" s="85">
        <f>IF(OR(CALC_CHOP!$B$3="Zone",CALC_CHOP!$AU$8=""),"",CALC_CHOP!$AV$8)</f>
        <v/>
      </c>
      <c r="J53" s="83">
        <f>IF(CALC_CHOP!$B$3="Zone",IF(5=0,"n/a at Zone scope",""),IF(CALC_CHOP!$AW$8="",IF(5=0,"–",""),6&amp;". "&amp;CALC_CHOP!$AW$8))</f>
        <v/>
      </c>
      <c r="K53" s="86">
        <f>IF(OR(CALC_CHOP!$B$3="Zone",CALC_CHOP!$AW$8=""),"",CALC_CHOP!$AX$8)</f>
        <v/>
      </c>
      <c r="L53" s="83">
        <f>IF(CALC_CHOP!$B$3="Zone",IF(5=0,"n/a at Zone scope",""),IF(CALC_CHOP!$AY$8="",IF(5=0,"–",""),6&amp;". "&amp;CALC_CHOP!$AY$8))</f>
        <v/>
      </c>
      <c r="M53" s="86">
        <f>IF(OR(CALC_CHOP!$B$3="Zone",CALC_CHOP!$AY$8=""),"",CALC_CHOP!$AZ$8)</f>
        <v/>
      </c>
    </row>
    <row r="54">
      <c r="B54" s="83">
        <f>IF(CALC_CHOP!$B$3="Zone",IF(6=0,"n/a at Zone scope",""),IF(CALC_CHOP!$AO$9="",IF(6=0,"–",""),7&amp;". "&amp;CALC_CHOP!$AO$9))</f>
        <v/>
      </c>
      <c r="C54" s="84">
        <f>IF(OR(CALC_CHOP!$B$3="Zone",CALC_CHOP!$AO$9=""),"",CALC_CHOP!$AP$9)</f>
        <v/>
      </c>
      <c r="D54" s="83">
        <f>IF(CALC_CHOP!$B$3="Zone",IF(6=0,"n/a at Zone scope",""),IF(CALC_CHOP!$AQ$9="",IF(6=0,"–",""),7&amp;". "&amp;CALC_CHOP!$AQ$9))</f>
        <v/>
      </c>
      <c r="E54" s="84">
        <f>IF(OR(CALC_CHOP!$B$3="Zone",CALC_CHOP!$AQ$9=""),"",CALC_CHOP!$AR$9)</f>
        <v/>
      </c>
      <c r="F54" s="83">
        <f>IF(CALC_CHOP!$B$3="Zone",IF(6=0,"n/a at Zone scope",""),IF(CALC_CHOP!$AS$9="",IF(6=0,"–",""),7&amp;". "&amp;CALC_CHOP!$AS$9))</f>
        <v/>
      </c>
      <c r="G54" s="85">
        <f>IF(OR(CALC_CHOP!$B$3="Zone",CALC_CHOP!$AS$9=""),"",CALC_CHOP!$AT$9)</f>
        <v/>
      </c>
      <c r="H54" s="83">
        <f>IF(CALC_CHOP!$B$3="Zone",IF(6=0,"n/a at Zone scope",""),IF(CALC_CHOP!$AU$9="",IF(6=0,"–",""),7&amp;". "&amp;CALC_CHOP!$AU$9))</f>
        <v/>
      </c>
      <c r="I54" s="85">
        <f>IF(OR(CALC_CHOP!$B$3="Zone",CALC_CHOP!$AU$9=""),"",CALC_CHOP!$AV$9)</f>
        <v/>
      </c>
      <c r="J54" s="83">
        <f>IF(CALC_CHOP!$B$3="Zone",IF(6=0,"n/a at Zone scope",""),IF(CALC_CHOP!$AW$9="",IF(6=0,"–",""),7&amp;". "&amp;CALC_CHOP!$AW$9))</f>
        <v/>
      </c>
      <c r="K54" s="86">
        <f>IF(OR(CALC_CHOP!$B$3="Zone",CALC_CHOP!$AW$9=""),"",CALC_CHOP!$AX$9)</f>
        <v/>
      </c>
      <c r="L54" s="83">
        <f>IF(CALC_CHOP!$B$3="Zone",IF(6=0,"n/a at Zone scope",""),IF(CALC_CHOP!$AY$9="",IF(6=0,"–",""),7&amp;". "&amp;CALC_CHOP!$AY$9))</f>
        <v/>
      </c>
      <c r="M54" s="86">
        <f>IF(OR(CALC_CHOP!$B$3="Zone",CALC_CHOP!$AY$9=""),"",CALC_CHOP!$AZ$9)</f>
        <v/>
      </c>
    </row>
    <row r="55">
      <c r="B55" s="83">
        <f>IF(CALC_CHOP!$B$3="Zone",IF(7=0,"n/a at Zone scope",""),IF(CALC_CHOP!$AO$10="",IF(7=0,"–",""),8&amp;". "&amp;CALC_CHOP!$AO$10))</f>
        <v/>
      </c>
      <c r="C55" s="84">
        <f>IF(OR(CALC_CHOP!$B$3="Zone",CALC_CHOP!$AO$10=""),"",CALC_CHOP!$AP$10)</f>
        <v/>
      </c>
      <c r="D55" s="83">
        <f>IF(CALC_CHOP!$B$3="Zone",IF(7=0,"n/a at Zone scope",""),IF(CALC_CHOP!$AQ$10="",IF(7=0,"–",""),8&amp;". "&amp;CALC_CHOP!$AQ$10))</f>
        <v/>
      </c>
      <c r="E55" s="84">
        <f>IF(OR(CALC_CHOP!$B$3="Zone",CALC_CHOP!$AQ$10=""),"",CALC_CHOP!$AR$10)</f>
        <v/>
      </c>
      <c r="F55" s="83">
        <f>IF(CALC_CHOP!$B$3="Zone",IF(7=0,"n/a at Zone scope",""),IF(CALC_CHOP!$AS$10="",IF(7=0,"–",""),8&amp;". "&amp;CALC_CHOP!$AS$10))</f>
        <v/>
      </c>
      <c r="G55" s="85">
        <f>IF(OR(CALC_CHOP!$B$3="Zone",CALC_CHOP!$AS$10=""),"",CALC_CHOP!$AT$10)</f>
        <v/>
      </c>
      <c r="H55" s="83">
        <f>IF(CALC_CHOP!$B$3="Zone",IF(7=0,"n/a at Zone scope",""),IF(CALC_CHOP!$AU$10="",IF(7=0,"–",""),8&amp;". "&amp;CALC_CHOP!$AU$10))</f>
        <v/>
      </c>
      <c r="I55" s="85">
        <f>IF(OR(CALC_CHOP!$B$3="Zone",CALC_CHOP!$AU$10=""),"",CALC_CHOP!$AV$10)</f>
        <v/>
      </c>
      <c r="J55" s="83">
        <f>IF(CALC_CHOP!$B$3="Zone",IF(7=0,"n/a at Zone scope",""),IF(CALC_CHOP!$AW$10="",IF(7=0,"–",""),8&amp;". "&amp;CALC_CHOP!$AW$10))</f>
        <v/>
      </c>
      <c r="K55" s="86">
        <f>IF(OR(CALC_CHOP!$B$3="Zone",CALC_CHOP!$AW$10=""),"",CALC_CHOP!$AX$10)</f>
        <v/>
      </c>
      <c r="L55" s="83">
        <f>IF(CALC_CHOP!$B$3="Zone",IF(7=0,"n/a at Zone scope",""),IF(CALC_CHOP!$AY$10="",IF(7=0,"–",""),8&amp;". "&amp;CALC_CHOP!$AY$10))</f>
        <v/>
      </c>
      <c r="M55" s="86">
        <f>IF(OR(CALC_CHOP!$B$3="Zone",CALC_CHOP!$AY$10=""),"",CALC_CHOP!$AZ$10)</f>
        <v/>
      </c>
    </row>
    <row r="56">
      <c r="B56" s="83">
        <f>IF(CALC_CHOP!$B$3="Zone",IF(8=0,"n/a at Zone scope",""),IF(CALC_CHOP!$AO$11="",IF(8=0,"–",""),9&amp;". "&amp;CALC_CHOP!$AO$11))</f>
        <v/>
      </c>
      <c r="C56" s="84">
        <f>IF(OR(CALC_CHOP!$B$3="Zone",CALC_CHOP!$AO$11=""),"",CALC_CHOP!$AP$11)</f>
        <v/>
      </c>
      <c r="D56" s="83">
        <f>IF(CALC_CHOP!$B$3="Zone",IF(8=0,"n/a at Zone scope",""),IF(CALC_CHOP!$AQ$11="",IF(8=0,"–",""),9&amp;". "&amp;CALC_CHOP!$AQ$11))</f>
        <v/>
      </c>
      <c r="E56" s="84">
        <f>IF(OR(CALC_CHOP!$B$3="Zone",CALC_CHOP!$AQ$11=""),"",CALC_CHOP!$AR$11)</f>
        <v/>
      </c>
      <c r="F56" s="83">
        <f>IF(CALC_CHOP!$B$3="Zone",IF(8=0,"n/a at Zone scope",""),IF(CALC_CHOP!$AS$11="",IF(8=0,"–",""),9&amp;". "&amp;CALC_CHOP!$AS$11))</f>
        <v/>
      </c>
      <c r="G56" s="85">
        <f>IF(OR(CALC_CHOP!$B$3="Zone",CALC_CHOP!$AS$11=""),"",CALC_CHOP!$AT$11)</f>
        <v/>
      </c>
      <c r="H56" s="83">
        <f>IF(CALC_CHOP!$B$3="Zone",IF(8=0,"n/a at Zone scope",""),IF(CALC_CHOP!$AU$11="",IF(8=0,"–",""),9&amp;". "&amp;CALC_CHOP!$AU$11))</f>
        <v/>
      </c>
      <c r="I56" s="85">
        <f>IF(OR(CALC_CHOP!$B$3="Zone",CALC_CHOP!$AU$11=""),"",CALC_CHOP!$AV$11)</f>
        <v/>
      </c>
      <c r="J56" s="83">
        <f>IF(CALC_CHOP!$B$3="Zone",IF(8=0,"n/a at Zone scope",""),IF(CALC_CHOP!$AW$11="",IF(8=0,"–",""),9&amp;". "&amp;CALC_CHOP!$AW$11))</f>
        <v/>
      </c>
      <c r="K56" s="86">
        <f>IF(OR(CALC_CHOP!$B$3="Zone",CALC_CHOP!$AW$11=""),"",CALC_CHOP!$AX$11)</f>
        <v/>
      </c>
      <c r="L56" s="83">
        <f>IF(CALC_CHOP!$B$3="Zone",IF(8=0,"n/a at Zone scope",""),IF(CALC_CHOP!$AY$11="",IF(8=0,"–",""),9&amp;". "&amp;CALC_CHOP!$AY$11))</f>
        <v/>
      </c>
      <c r="M56" s="86">
        <f>IF(OR(CALC_CHOP!$B$3="Zone",CALC_CHOP!$AY$11=""),"",CALC_CHOP!$AZ$11)</f>
        <v/>
      </c>
    </row>
    <row r="57">
      <c r="B57" s="83">
        <f>IF(CALC_CHOP!$B$3="Zone",IF(9=0,"n/a at Zone scope",""),IF(CALC_CHOP!$AO$12="",IF(9=0,"–",""),10&amp;". "&amp;CALC_CHOP!$AO$12))</f>
        <v/>
      </c>
      <c r="C57" s="84">
        <f>IF(OR(CALC_CHOP!$B$3="Zone",CALC_CHOP!$AO$12=""),"",CALC_CHOP!$AP$12)</f>
        <v/>
      </c>
      <c r="D57" s="83">
        <f>IF(CALC_CHOP!$B$3="Zone",IF(9=0,"n/a at Zone scope",""),IF(CALC_CHOP!$AQ$12="",IF(9=0,"–",""),10&amp;". "&amp;CALC_CHOP!$AQ$12))</f>
        <v/>
      </c>
      <c r="E57" s="84">
        <f>IF(OR(CALC_CHOP!$B$3="Zone",CALC_CHOP!$AQ$12=""),"",CALC_CHOP!$AR$12)</f>
        <v/>
      </c>
      <c r="F57" s="83">
        <f>IF(CALC_CHOP!$B$3="Zone",IF(9=0,"n/a at Zone scope",""),IF(CALC_CHOP!$AS$12="",IF(9=0,"–",""),10&amp;". "&amp;CALC_CHOP!$AS$12))</f>
        <v/>
      </c>
      <c r="G57" s="85">
        <f>IF(OR(CALC_CHOP!$B$3="Zone",CALC_CHOP!$AS$12=""),"",CALC_CHOP!$AT$12)</f>
        <v/>
      </c>
      <c r="H57" s="83">
        <f>IF(CALC_CHOP!$B$3="Zone",IF(9=0,"n/a at Zone scope",""),IF(CALC_CHOP!$AU$12="",IF(9=0,"–",""),10&amp;". "&amp;CALC_CHOP!$AU$12))</f>
        <v/>
      </c>
      <c r="I57" s="85">
        <f>IF(OR(CALC_CHOP!$B$3="Zone",CALC_CHOP!$AU$12=""),"",CALC_CHOP!$AV$12)</f>
        <v/>
      </c>
      <c r="J57" s="83">
        <f>IF(CALC_CHOP!$B$3="Zone",IF(9=0,"n/a at Zone scope",""),IF(CALC_CHOP!$AW$12="",IF(9=0,"–",""),10&amp;". "&amp;CALC_CHOP!$AW$12))</f>
        <v/>
      </c>
      <c r="K57" s="86">
        <f>IF(OR(CALC_CHOP!$B$3="Zone",CALC_CHOP!$AW$12=""),"",CALC_CHOP!$AX$12)</f>
        <v/>
      </c>
      <c r="L57" s="83">
        <f>IF(CALC_CHOP!$B$3="Zone",IF(9=0,"n/a at Zone scope",""),IF(CALC_CHOP!$AY$12="",IF(9=0,"–",""),10&amp;". "&amp;CALC_CHOP!$AY$12))</f>
        <v/>
      </c>
      <c r="M57" s="86">
        <f>IF(OR(CALC_CHOP!$B$3="Zone",CALC_CHOP!$AY$12=""),"",CALC_CHOP!$AZ$12)</f>
        <v/>
      </c>
    </row>
    <row r="60" ht="22" customHeight="1">
      <c r="B60" s="143" t="inlineStr">
        <is>
          <t>Who didn't report — Areas with CHOP zones missing a report for the selected week</t>
        </is>
      </c>
      <c r="C60" s="144" t="n"/>
      <c r="D60" s="144" t="n"/>
      <c r="E60" s="144" t="n"/>
      <c r="F60" s="144" t="n"/>
      <c r="G60" s="144" t="n"/>
      <c r="H60" s="144" t="n"/>
      <c r="I60" s="144" t="n"/>
      <c r="J60" s="144" t="n"/>
      <c r="K60" s="144" t="n"/>
      <c r="L60" s="144" t="n"/>
      <c r="M60" s="144" t="n"/>
      <c r="N60" s="144" t="n"/>
      <c r="O60" s="144" t="n"/>
    </row>
    <row r="61">
      <c r="B61" s="90">
        <f>IF(CALC_CHOP!$B$3="Zone",IF(CALC_CHOP!$B$17,IF(CALC_CHOP!$O$21=1,"This zone reported.","This zone has no report for the selected week."),""),IF(CALC_CHOP!$BB$1=0,"Every CHOP zone reported.",TEXT(CALC_CHOP!$BC$1,"#,##0")&amp;" CHOP zones without a report, across "&amp;CALC_CHOP!$BB$1&amp;" Area(s)."))</f>
        <v/>
      </c>
    </row>
    <row r="62">
      <c r="B62" s="145" t="inlineStr">
        <is>
          <t>Area</t>
        </is>
      </c>
      <c r="C62" s="16" t="n"/>
      <c r="D62" s="16" t="n"/>
      <c r="E62" s="16" t="n"/>
      <c r="F62" s="145" t="inlineStr">
        <is>
          <t>CHOP zones</t>
        </is>
      </c>
      <c r="G62" s="16" t="n"/>
      <c r="H62" s="145" t="inlineStr">
        <is>
          <t>Reported</t>
        </is>
      </c>
      <c r="I62" s="16" t="n"/>
      <c r="J62" s="145" t="inlineStr">
        <is>
          <t>Missing</t>
        </is>
      </c>
      <c r="K62" s="16" t="n"/>
    </row>
    <row r="63">
      <c r="B63" s="162">
        <f>IF(CALC_CHOP!$B$3="Zone","",CALC_CHOP!$BC$3)</f>
        <v/>
      </c>
      <c r="C63" s="148" t="n"/>
      <c r="D63" s="148" t="n"/>
      <c r="E63" s="148" t="n"/>
      <c r="F63" s="163">
        <f>IF(CALC_CHOP!$B$3="Zone","",CALC_CHOP!$BD$3)</f>
        <v/>
      </c>
      <c r="G63" s="148" t="n"/>
      <c r="H63" s="163">
        <f>IF(CALC_CHOP!$B$3="Zone","",CALC_CHOP!$BE$3)</f>
        <v/>
      </c>
      <c r="I63" s="148" t="n"/>
      <c r="J63" s="163">
        <f>IF(CALC_CHOP!$B$3="Zone","",CALC_CHOP!$BF$3)</f>
        <v/>
      </c>
      <c r="K63" s="148" t="n"/>
    </row>
    <row r="64">
      <c r="B64" s="87">
        <f>IF(CALC_CHOP!$B$3="Zone","",CALC_CHOP!$BC$4)</f>
        <v/>
      </c>
      <c r="F64" s="93">
        <f>IF(CALC_CHOP!$B$3="Zone","",CALC_CHOP!$BD$4)</f>
        <v/>
      </c>
      <c r="H64" s="93">
        <f>IF(CALC_CHOP!$B$3="Zone","",CALC_CHOP!$BE$4)</f>
        <v/>
      </c>
      <c r="J64" s="93">
        <f>IF(CALC_CHOP!$B$3="Zone","",CALC_CHOP!$BF$4)</f>
        <v/>
      </c>
    </row>
    <row r="65">
      <c r="B65" s="162">
        <f>IF(CALC_CHOP!$B$3="Zone","",CALC_CHOP!$BC$5)</f>
        <v/>
      </c>
      <c r="C65" s="148" t="n"/>
      <c r="D65" s="148" t="n"/>
      <c r="E65" s="148" t="n"/>
      <c r="F65" s="163">
        <f>IF(CALC_CHOP!$B$3="Zone","",CALC_CHOP!$BD$5)</f>
        <v/>
      </c>
      <c r="G65" s="148" t="n"/>
      <c r="H65" s="163">
        <f>IF(CALC_CHOP!$B$3="Zone","",CALC_CHOP!$BE$5)</f>
        <v/>
      </c>
      <c r="I65" s="148" t="n"/>
      <c r="J65" s="163">
        <f>IF(CALC_CHOP!$B$3="Zone","",CALC_CHOP!$BF$5)</f>
        <v/>
      </c>
      <c r="K65" s="148" t="n"/>
    </row>
    <row r="66">
      <c r="B66" s="87">
        <f>IF(CALC_CHOP!$B$3="Zone","",CALC_CHOP!$BC$6)</f>
        <v/>
      </c>
      <c r="F66" s="93">
        <f>IF(CALC_CHOP!$B$3="Zone","",CALC_CHOP!$BD$6)</f>
        <v/>
      </c>
      <c r="H66" s="93">
        <f>IF(CALC_CHOP!$B$3="Zone","",CALC_CHOP!$BE$6)</f>
        <v/>
      </c>
      <c r="J66" s="93">
        <f>IF(CALC_CHOP!$B$3="Zone","",CALC_CHOP!$BF$6)</f>
        <v/>
      </c>
    </row>
    <row r="67">
      <c r="B67" s="162">
        <f>IF(CALC_CHOP!$B$3="Zone","",CALC_CHOP!$BC$7)</f>
        <v/>
      </c>
      <c r="C67" s="148" t="n"/>
      <c r="D67" s="148" t="n"/>
      <c r="E67" s="148" t="n"/>
      <c r="F67" s="163">
        <f>IF(CALC_CHOP!$B$3="Zone","",CALC_CHOP!$BD$7)</f>
        <v/>
      </c>
      <c r="G67" s="148" t="n"/>
      <c r="H67" s="163">
        <f>IF(CALC_CHOP!$B$3="Zone","",CALC_CHOP!$BE$7)</f>
        <v/>
      </c>
      <c r="I67" s="148" t="n"/>
      <c r="J67" s="163">
        <f>IF(CALC_CHOP!$B$3="Zone","",CALC_CHOP!$BF$7)</f>
        <v/>
      </c>
      <c r="K67" s="148" t="n"/>
    </row>
    <row r="68">
      <c r="B68" s="87">
        <f>IF(CALC_CHOP!$B$3="Zone","",CALC_CHOP!$BC$8)</f>
        <v/>
      </c>
      <c r="F68" s="93">
        <f>IF(CALC_CHOP!$B$3="Zone","",CALC_CHOP!$BD$8)</f>
        <v/>
      </c>
      <c r="H68" s="93">
        <f>IF(CALC_CHOP!$B$3="Zone","",CALC_CHOP!$BE$8)</f>
        <v/>
      </c>
      <c r="J68" s="93">
        <f>IF(CALC_CHOP!$B$3="Zone","",CALC_CHOP!$BF$8)</f>
        <v/>
      </c>
    </row>
    <row r="69">
      <c r="B69" s="162">
        <f>IF(CALC_CHOP!$B$3="Zone","",CALC_CHOP!$BC$9)</f>
        <v/>
      </c>
      <c r="C69" s="148" t="n"/>
      <c r="D69" s="148" t="n"/>
      <c r="E69" s="148" t="n"/>
      <c r="F69" s="163">
        <f>IF(CALC_CHOP!$B$3="Zone","",CALC_CHOP!$BD$9)</f>
        <v/>
      </c>
      <c r="G69" s="148" t="n"/>
      <c r="H69" s="163">
        <f>IF(CALC_CHOP!$B$3="Zone","",CALC_CHOP!$BE$9)</f>
        <v/>
      </c>
      <c r="I69" s="148" t="n"/>
      <c r="J69" s="163">
        <f>IF(CALC_CHOP!$B$3="Zone","",CALC_CHOP!$BF$9)</f>
        <v/>
      </c>
      <c r="K69" s="148" t="n"/>
    </row>
    <row r="70">
      <c r="B70" s="87">
        <f>IF(CALC_CHOP!$B$3="Zone","",CALC_CHOP!$BC$10)</f>
        <v/>
      </c>
      <c r="F70" s="93">
        <f>IF(CALC_CHOP!$B$3="Zone","",CALC_CHOP!$BD$10)</f>
        <v/>
      </c>
      <c r="H70" s="93">
        <f>IF(CALC_CHOP!$B$3="Zone","",CALC_CHOP!$BE$10)</f>
        <v/>
      </c>
      <c r="J70" s="93">
        <f>IF(CALC_CHOP!$B$3="Zone","",CALC_CHOP!$BF$10)</f>
        <v/>
      </c>
    </row>
    <row r="71">
      <c r="B71" s="162">
        <f>IF(CALC_CHOP!$B$3="Zone","",CALC_CHOP!$BC$11)</f>
        <v/>
      </c>
      <c r="C71" s="148" t="n"/>
      <c r="D71" s="148" t="n"/>
      <c r="E71" s="148" t="n"/>
      <c r="F71" s="163">
        <f>IF(CALC_CHOP!$B$3="Zone","",CALC_CHOP!$BD$11)</f>
        <v/>
      </c>
      <c r="G71" s="148" t="n"/>
      <c r="H71" s="163">
        <f>IF(CALC_CHOP!$B$3="Zone","",CALC_CHOP!$BE$11)</f>
        <v/>
      </c>
      <c r="I71" s="148" t="n"/>
      <c r="J71" s="163">
        <f>IF(CALC_CHOP!$B$3="Zone","",CALC_CHOP!$BF$11)</f>
        <v/>
      </c>
      <c r="K71" s="148" t="n"/>
    </row>
    <row r="72">
      <c r="B72" s="87">
        <f>IF(CALC_CHOP!$B$3="Zone","",CALC_CHOP!$BC$12)</f>
        <v/>
      </c>
      <c r="F72" s="93">
        <f>IF(CALC_CHOP!$B$3="Zone","",CALC_CHOP!$BD$12)</f>
        <v/>
      </c>
      <c r="H72" s="93">
        <f>IF(CALC_CHOP!$B$3="Zone","",CALC_CHOP!$BE$12)</f>
        <v/>
      </c>
      <c r="J72" s="93">
        <f>IF(CALC_CHOP!$B$3="Zone","",CALC_CHOP!$BF$12)</f>
        <v/>
      </c>
    </row>
    <row r="73">
      <c r="B73" s="162">
        <f>IF(CALC_CHOP!$B$3="Zone","",CALC_CHOP!$BC$13)</f>
        <v/>
      </c>
      <c r="C73" s="148" t="n"/>
      <c r="D73" s="148" t="n"/>
      <c r="E73" s="148" t="n"/>
      <c r="F73" s="163">
        <f>IF(CALC_CHOP!$B$3="Zone","",CALC_CHOP!$BD$13)</f>
        <v/>
      </c>
      <c r="G73" s="148" t="n"/>
      <c r="H73" s="163">
        <f>IF(CALC_CHOP!$B$3="Zone","",CALC_CHOP!$BE$13)</f>
        <v/>
      </c>
      <c r="I73" s="148" t="n"/>
      <c r="J73" s="163">
        <f>IF(CALC_CHOP!$B$3="Zone","",CALC_CHOP!$BF$13)</f>
        <v/>
      </c>
      <c r="K73" s="148" t="n"/>
    </row>
    <row r="74">
      <c r="B74" s="87">
        <f>IF(CALC_CHOP!$B$3="Zone","",CALC_CHOP!$BC$14)</f>
        <v/>
      </c>
      <c r="F74" s="93">
        <f>IF(CALC_CHOP!$B$3="Zone","",CALC_CHOP!$BD$14)</f>
        <v/>
      </c>
      <c r="H74" s="93">
        <f>IF(CALC_CHOP!$B$3="Zone","",CALC_CHOP!$BE$14)</f>
        <v/>
      </c>
      <c r="J74" s="93">
        <f>IF(CALC_CHOP!$B$3="Zone","",CALC_CHOP!$BF$14)</f>
        <v/>
      </c>
    </row>
    <row r="75">
      <c r="B75" s="162">
        <f>IF(CALC_CHOP!$B$3="Zone","",CALC_CHOP!$BC$15)</f>
        <v/>
      </c>
      <c r="C75" s="148" t="n"/>
      <c r="D75" s="148" t="n"/>
      <c r="E75" s="148" t="n"/>
      <c r="F75" s="163">
        <f>IF(CALC_CHOP!$B$3="Zone","",CALC_CHOP!$BD$15)</f>
        <v/>
      </c>
      <c r="G75" s="148" t="n"/>
      <c r="H75" s="163">
        <f>IF(CALC_CHOP!$B$3="Zone","",CALC_CHOP!$BE$15)</f>
        <v/>
      </c>
      <c r="I75" s="148" t="n"/>
      <c r="J75" s="163">
        <f>IF(CALC_CHOP!$B$3="Zone","",CALC_CHOP!$BF$15)</f>
        <v/>
      </c>
      <c r="K75" s="148" t="n"/>
    </row>
    <row r="76">
      <c r="B76" s="87">
        <f>IF(CALC_CHOP!$B$3="Zone","",CALC_CHOP!$BC$16)</f>
        <v/>
      </c>
      <c r="F76" s="93">
        <f>IF(CALC_CHOP!$B$3="Zone","",CALC_CHOP!$BD$16)</f>
        <v/>
      </c>
      <c r="H76" s="93">
        <f>IF(CALC_CHOP!$B$3="Zone","",CALC_CHOP!$BE$16)</f>
        <v/>
      </c>
      <c r="J76" s="93">
        <f>IF(CALC_CHOP!$B$3="Zone","",CALC_CHOP!$BF$16)</f>
        <v/>
      </c>
    </row>
    <row r="77">
      <c r="B77" s="162">
        <f>IF(CALC_CHOP!$B$3="Zone","",CALC_CHOP!$BC$17)</f>
        <v/>
      </c>
      <c r="C77" s="148" t="n"/>
      <c r="D77" s="148" t="n"/>
      <c r="E77" s="148" t="n"/>
      <c r="F77" s="163">
        <f>IF(CALC_CHOP!$B$3="Zone","",CALC_CHOP!$BD$17)</f>
        <v/>
      </c>
      <c r="G77" s="148" t="n"/>
      <c r="H77" s="163">
        <f>IF(CALC_CHOP!$B$3="Zone","",CALC_CHOP!$BE$17)</f>
        <v/>
      </c>
      <c r="I77" s="148" t="n"/>
      <c r="J77" s="163">
        <f>IF(CALC_CHOP!$B$3="Zone","",CALC_CHOP!$BF$17)</f>
        <v/>
      </c>
      <c r="K77" s="148" t="n"/>
    </row>
    <row r="78">
      <c r="B78" s="87">
        <f>IF(CALC_CHOP!$B$3="Zone","",CALC_CHOP!$BC$18)</f>
        <v/>
      </c>
      <c r="F78" s="93">
        <f>IF(CALC_CHOP!$B$3="Zone","",CALC_CHOP!$BD$18)</f>
        <v/>
      </c>
      <c r="H78" s="93">
        <f>IF(CALC_CHOP!$B$3="Zone","",CALC_CHOP!$BE$18)</f>
        <v/>
      </c>
      <c r="J78" s="93">
        <f>IF(CALC_CHOP!$B$3="Zone","",CALC_CHOP!$BF$18)</f>
        <v/>
      </c>
    </row>
    <row r="79">
      <c r="B79" s="162">
        <f>IF(CALC_CHOP!$B$3="Zone","",CALC_CHOP!$BC$19)</f>
        <v/>
      </c>
      <c r="C79" s="148" t="n"/>
      <c r="D79" s="148" t="n"/>
      <c r="E79" s="148" t="n"/>
      <c r="F79" s="163">
        <f>IF(CALC_CHOP!$B$3="Zone","",CALC_CHOP!$BD$19)</f>
        <v/>
      </c>
      <c r="G79" s="148" t="n"/>
      <c r="H79" s="163">
        <f>IF(CALC_CHOP!$B$3="Zone","",CALC_CHOP!$BE$19)</f>
        <v/>
      </c>
      <c r="I79" s="148" t="n"/>
      <c r="J79" s="163">
        <f>IF(CALC_CHOP!$B$3="Zone","",CALC_CHOP!$BF$19)</f>
        <v/>
      </c>
      <c r="K79" s="148" t="n"/>
    </row>
    <row r="80">
      <c r="B80" s="87">
        <f>IF(CALC_CHOP!$B$3="Zone","",CALC_CHOP!$BC$20)</f>
        <v/>
      </c>
      <c r="F80" s="93">
        <f>IF(CALC_CHOP!$B$3="Zone","",CALC_CHOP!$BD$20)</f>
        <v/>
      </c>
      <c r="H80" s="93">
        <f>IF(CALC_CHOP!$B$3="Zone","",CALC_CHOP!$BE$20)</f>
        <v/>
      </c>
      <c r="J80" s="93">
        <f>IF(CALC_CHOP!$B$3="Zone","",CALC_CHOP!$BF$20)</f>
        <v/>
      </c>
    </row>
    <row r="81">
      <c r="B81" s="162">
        <f>IF(CALC_CHOP!$B$3="Zone","",CALC_CHOP!$BC$21)</f>
        <v/>
      </c>
      <c r="C81" s="148" t="n"/>
      <c r="D81" s="148" t="n"/>
      <c r="E81" s="148" t="n"/>
      <c r="F81" s="163">
        <f>IF(CALC_CHOP!$B$3="Zone","",CALC_CHOP!$BD$21)</f>
        <v/>
      </c>
      <c r="G81" s="148" t="n"/>
      <c r="H81" s="163">
        <f>IF(CALC_CHOP!$B$3="Zone","",CALC_CHOP!$BE$21)</f>
        <v/>
      </c>
      <c r="I81" s="148" t="n"/>
      <c r="J81" s="163">
        <f>IF(CALC_CHOP!$B$3="Zone","",CALC_CHOP!$BF$21)</f>
        <v/>
      </c>
      <c r="K81" s="148" t="n"/>
    </row>
    <row r="82">
      <c r="B82" s="87">
        <f>IF(CALC_CHOP!$B$3="Zone","",CALC_CHOP!$BC$22)</f>
        <v/>
      </c>
      <c r="F82" s="93">
        <f>IF(CALC_CHOP!$B$3="Zone","",CALC_CHOP!$BD$22)</f>
        <v/>
      </c>
      <c r="H82" s="93">
        <f>IF(CALC_CHOP!$B$3="Zone","",CALC_CHOP!$BE$22)</f>
        <v/>
      </c>
      <c r="J82" s="93">
        <f>IF(CALC_CHOP!$B$3="Zone","",CALC_CHOP!$BF$22)</f>
        <v/>
      </c>
    </row>
    <row r="83">
      <c r="B83" s="162">
        <f>IF(CALC_CHOP!$B$3="Zone","",CALC_CHOP!$BC$23)</f>
        <v/>
      </c>
      <c r="C83" s="148" t="n"/>
      <c r="D83" s="148" t="n"/>
      <c r="E83" s="148" t="n"/>
      <c r="F83" s="163">
        <f>IF(CALC_CHOP!$B$3="Zone","",CALC_CHOP!$BD$23)</f>
        <v/>
      </c>
      <c r="G83" s="148" t="n"/>
      <c r="H83" s="163">
        <f>IF(CALC_CHOP!$B$3="Zone","",CALC_CHOP!$BE$23)</f>
        <v/>
      </c>
      <c r="I83" s="148" t="n"/>
      <c r="J83" s="163">
        <f>IF(CALC_CHOP!$B$3="Zone","",CALC_CHOP!$BF$23)</f>
        <v/>
      </c>
      <c r="K83" s="148" t="n"/>
    </row>
    <row r="84">
      <c r="B84" s="87">
        <f>IF(CALC_CHOP!$B$3="Zone","",CALC_CHOP!$BC$24)</f>
        <v/>
      </c>
      <c r="F84" s="93">
        <f>IF(CALC_CHOP!$B$3="Zone","",CALC_CHOP!$BD$24)</f>
        <v/>
      </c>
      <c r="H84" s="93">
        <f>IF(CALC_CHOP!$B$3="Zone","",CALC_CHOP!$BE$24)</f>
        <v/>
      </c>
      <c r="J84" s="93">
        <f>IF(CALC_CHOP!$B$3="Zone","",CALC_CHOP!$BF$24)</f>
        <v/>
      </c>
    </row>
    <row r="85">
      <c r="B85" s="162">
        <f>IF(CALC_CHOP!$B$3="Zone","",CALC_CHOP!$BC$25)</f>
        <v/>
      </c>
      <c r="C85" s="148" t="n"/>
      <c r="D85" s="148" t="n"/>
      <c r="E85" s="148" t="n"/>
      <c r="F85" s="163">
        <f>IF(CALC_CHOP!$B$3="Zone","",CALC_CHOP!$BD$25)</f>
        <v/>
      </c>
      <c r="G85" s="148" t="n"/>
      <c r="H85" s="163">
        <f>IF(CALC_CHOP!$B$3="Zone","",CALC_CHOP!$BE$25)</f>
        <v/>
      </c>
      <c r="I85" s="148" t="n"/>
      <c r="J85" s="163">
        <f>IF(CALC_CHOP!$B$3="Zone","",CALC_CHOP!$BF$25)</f>
        <v/>
      </c>
      <c r="K85" s="148" t="n"/>
    </row>
    <row r="86">
      <c r="B86" s="87">
        <f>IF(CALC_CHOP!$B$3="Zone","",CALC_CHOP!$BC$26)</f>
        <v/>
      </c>
      <c r="F86" s="93">
        <f>IF(CALC_CHOP!$B$3="Zone","",CALC_CHOP!$BD$26)</f>
        <v/>
      </c>
      <c r="H86" s="93">
        <f>IF(CALC_CHOP!$B$3="Zone","",CALC_CHOP!$BE$26)</f>
        <v/>
      </c>
      <c r="J86" s="93">
        <f>IF(CALC_CHOP!$B$3="Zone","",CALC_CHOP!$BF$26)</f>
        <v/>
      </c>
    </row>
    <row r="87">
      <c r="B87" s="162">
        <f>IF(CALC_CHOP!$B$3="Zone","",CALC_CHOP!$BC$27)</f>
        <v/>
      </c>
      <c r="C87" s="148" t="n"/>
      <c r="D87" s="148" t="n"/>
      <c r="E87" s="148" t="n"/>
      <c r="F87" s="163">
        <f>IF(CALC_CHOP!$B$3="Zone","",CALC_CHOP!$BD$27)</f>
        <v/>
      </c>
      <c r="G87" s="148" t="n"/>
      <c r="H87" s="163">
        <f>IF(CALC_CHOP!$B$3="Zone","",CALC_CHOP!$BE$27)</f>
        <v/>
      </c>
      <c r="I87" s="148" t="n"/>
      <c r="J87" s="163">
        <f>IF(CALC_CHOP!$B$3="Zone","",CALC_CHOP!$BF$27)</f>
        <v/>
      </c>
      <c r="K87" s="148" t="n"/>
    </row>
    <row r="88">
      <c r="B88" s="87">
        <f>IF(CALC_CHOP!$B$3="Zone","",CALC_CHOP!$BC$28)</f>
        <v/>
      </c>
      <c r="F88" s="93">
        <f>IF(CALC_CHOP!$B$3="Zone","",CALC_CHOP!$BD$28)</f>
        <v/>
      </c>
      <c r="H88" s="93">
        <f>IF(CALC_CHOP!$B$3="Zone","",CALC_CHOP!$BE$28)</f>
        <v/>
      </c>
      <c r="J88" s="93">
        <f>IF(CALC_CHOP!$B$3="Zone","",CALC_CHOP!$BF$28)</f>
        <v/>
      </c>
    </row>
    <row r="89">
      <c r="B89" s="162">
        <f>IF(CALC_CHOP!$B$3="Zone","",CALC_CHOP!$BC$29)</f>
        <v/>
      </c>
      <c r="C89" s="148" t="n"/>
      <c r="D89" s="148" t="n"/>
      <c r="E89" s="148" t="n"/>
      <c r="F89" s="163">
        <f>IF(CALC_CHOP!$B$3="Zone","",CALC_CHOP!$BD$29)</f>
        <v/>
      </c>
      <c r="G89" s="148" t="n"/>
      <c r="H89" s="163">
        <f>IF(CALC_CHOP!$B$3="Zone","",CALC_CHOP!$BE$29)</f>
        <v/>
      </c>
      <c r="I89" s="148" t="n"/>
      <c r="J89" s="163">
        <f>IF(CALC_CHOP!$B$3="Zone","",CALC_CHOP!$BF$29)</f>
        <v/>
      </c>
      <c r="K89" s="148" t="n"/>
    </row>
    <row r="90">
      <c r="B90" s="87">
        <f>IF(CALC_CHOP!$B$3="Zone","",CALC_CHOP!$BC$30)</f>
        <v/>
      </c>
      <c r="F90" s="93">
        <f>IF(CALC_CHOP!$B$3="Zone","",CALC_CHOP!$BD$30)</f>
        <v/>
      </c>
      <c r="H90" s="93">
        <f>IF(CALC_CHOP!$B$3="Zone","",CALC_CHOP!$BE$30)</f>
        <v/>
      </c>
      <c r="J90" s="93">
        <f>IF(CALC_CHOP!$B$3="Zone","",CALC_CHOP!$BF$30)</f>
        <v/>
      </c>
    </row>
    <row r="91">
      <c r="B91" s="162">
        <f>IF(CALC_CHOP!$B$3="Zone","",CALC_CHOP!$BC$31)</f>
        <v/>
      </c>
      <c r="C91" s="148" t="n"/>
      <c r="D91" s="148" t="n"/>
      <c r="E91" s="148" t="n"/>
      <c r="F91" s="163">
        <f>IF(CALC_CHOP!$B$3="Zone","",CALC_CHOP!$BD$31)</f>
        <v/>
      </c>
      <c r="G91" s="148" t="n"/>
      <c r="H91" s="163">
        <f>IF(CALC_CHOP!$B$3="Zone","",CALC_CHOP!$BE$31)</f>
        <v/>
      </c>
      <c r="I91" s="148" t="n"/>
      <c r="J91" s="163">
        <f>IF(CALC_CHOP!$B$3="Zone","",CALC_CHOP!$BF$31)</f>
        <v/>
      </c>
      <c r="K91" s="148" t="n"/>
    </row>
    <row r="92">
      <c r="B92" s="87">
        <f>IF(CALC_CHOP!$B$3="Zone","",CALC_CHOP!$BC$32)</f>
        <v/>
      </c>
      <c r="F92" s="93">
        <f>IF(CALC_CHOP!$B$3="Zone","",CALC_CHOP!$BD$32)</f>
        <v/>
      </c>
      <c r="H92" s="93">
        <f>IF(CALC_CHOP!$B$3="Zone","",CALC_CHOP!$BE$32)</f>
        <v/>
      </c>
      <c r="J92" s="93">
        <f>IF(CALC_CHOP!$B$3="Zone","",CALC_CHOP!$BF$32)</f>
        <v/>
      </c>
    </row>
    <row r="93">
      <c r="B93" s="162">
        <f>IF(CALC_CHOP!$B$3="Zone","",CALC_CHOP!$BC$33)</f>
        <v/>
      </c>
      <c r="C93" s="148" t="n"/>
      <c r="D93" s="148" t="n"/>
      <c r="E93" s="148" t="n"/>
      <c r="F93" s="163">
        <f>IF(CALC_CHOP!$B$3="Zone","",CALC_CHOP!$BD$33)</f>
        <v/>
      </c>
      <c r="G93" s="148" t="n"/>
      <c r="H93" s="163">
        <f>IF(CALC_CHOP!$B$3="Zone","",CALC_CHOP!$BE$33)</f>
        <v/>
      </c>
      <c r="I93" s="148" t="n"/>
      <c r="J93" s="163">
        <f>IF(CALC_CHOP!$B$3="Zone","",CALC_CHOP!$BF$33)</f>
        <v/>
      </c>
      <c r="K93" s="148" t="n"/>
    </row>
    <row r="94">
      <c r="B94" s="87">
        <f>IF(CALC_CHOP!$B$3="Zone","",CALC_CHOP!$BC$34)</f>
        <v/>
      </c>
      <c r="F94" s="93">
        <f>IF(CALC_CHOP!$B$3="Zone","",CALC_CHOP!$BD$34)</f>
        <v/>
      </c>
      <c r="H94" s="93">
        <f>IF(CALC_CHOP!$B$3="Zone","",CALC_CHOP!$BE$34)</f>
        <v/>
      </c>
      <c r="J94" s="93">
        <f>IF(CALC_CHOP!$B$3="Zone","",CALC_CHOP!$BF$34)</f>
        <v/>
      </c>
    </row>
    <row r="95">
      <c r="B95" s="162">
        <f>IF(CALC_CHOP!$B$3="Zone","",CALC_CHOP!$BC$35)</f>
        <v/>
      </c>
      <c r="C95" s="148" t="n"/>
      <c r="D95" s="148" t="n"/>
      <c r="E95" s="148" t="n"/>
      <c r="F95" s="163">
        <f>IF(CALC_CHOP!$B$3="Zone","",CALC_CHOP!$BD$35)</f>
        <v/>
      </c>
      <c r="G95" s="148" t="n"/>
      <c r="H95" s="163">
        <f>IF(CALC_CHOP!$B$3="Zone","",CALC_CHOP!$BE$35)</f>
        <v/>
      </c>
      <c r="I95" s="148" t="n"/>
      <c r="J95" s="163">
        <f>IF(CALC_CHOP!$B$3="Zone","",CALC_CHOP!$BF$35)</f>
        <v/>
      </c>
      <c r="K95" s="148" t="n"/>
    </row>
    <row r="96">
      <c r="B96" s="87">
        <f>IF(CALC_CHOP!$B$3="Zone","",CALC_CHOP!$BC$36)</f>
        <v/>
      </c>
      <c r="F96" s="93">
        <f>IF(CALC_CHOP!$B$3="Zone","",CALC_CHOP!$BD$36)</f>
        <v/>
      </c>
      <c r="H96" s="93">
        <f>IF(CALC_CHOP!$B$3="Zone","",CALC_CHOP!$BE$36)</f>
        <v/>
      </c>
      <c r="J96" s="93">
        <f>IF(CALC_CHOP!$B$3="Zone","",CALC_CHOP!$BF$36)</f>
        <v/>
      </c>
    </row>
    <row r="97">
      <c r="B97" s="162">
        <f>IF(CALC_CHOP!$B$3="Zone","",CALC_CHOP!$BC$37)</f>
        <v/>
      </c>
      <c r="C97" s="148" t="n"/>
      <c r="D97" s="148" t="n"/>
      <c r="E97" s="148" t="n"/>
      <c r="F97" s="163">
        <f>IF(CALC_CHOP!$B$3="Zone","",CALC_CHOP!$BD$37)</f>
        <v/>
      </c>
      <c r="G97" s="148" t="n"/>
      <c r="H97" s="163">
        <f>IF(CALC_CHOP!$B$3="Zone","",CALC_CHOP!$BE$37)</f>
        <v/>
      </c>
      <c r="I97" s="148" t="n"/>
      <c r="J97" s="163">
        <f>IF(CALC_CHOP!$B$3="Zone","",CALC_CHOP!$BF$37)</f>
        <v/>
      </c>
      <c r="K97" s="148" t="n"/>
    </row>
    <row r="98">
      <c r="B98" s="87">
        <f>IF(CALC_CHOP!$B$3="Zone","",CALC_CHOP!$BC$38)</f>
        <v/>
      </c>
      <c r="F98" s="93">
        <f>IF(CALC_CHOP!$B$3="Zone","",CALC_CHOP!$BD$38)</f>
        <v/>
      </c>
      <c r="H98" s="93">
        <f>IF(CALC_CHOP!$B$3="Zone","",CALC_CHOP!$BE$38)</f>
        <v/>
      </c>
      <c r="J98" s="93">
        <f>IF(CALC_CHOP!$B$3="Zone","",CALC_CHOP!$BF$38)</f>
        <v/>
      </c>
    </row>
    <row r="99">
      <c r="B99" s="162">
        <f>IF(CALC_CHOP!$B$3="Zone","",CALC_CHOP!$BC$39)</f>
        <v/>
      </c>
      <c r="C99" s="148" t="n"/>
      <c r="D99" s="148" t="n"/>
      <c r="E99" s="148" t="n"/>
      <c r="F99" s="163">
        <f>IF(CALC_CHOP!$B$3="Zone","",CALC_CHOP!$BD$39)</f>
        <v/>
      </c>
      <c r="G99" s="148" t="n"/>
      <c r="H99" s="163">
        <f>IF(CALC_CHOP!$B$3="Zone","",CALC_CHOP!$BE$39)</f>
        <v/>
      </c>
      <c r="I99" s="148" t="n"/>
      <c r="J99" s="163">
        <f>IF(CALC_CHOP!$B$3="Zone","",CALC_CHOP!$BF$39)</f>
        <v/>
      </c>
      <c r="K99" s="148" t="n"/>
    </row>
    <row r="100">
      <c r="B100" s="87">
        <f>IF(CALC_CHOP!$B$3="Zone","",CALC_CHOP!$BC$40)</f>
        <v/>
      </c>
      <c r="F100" s="93">
        <f>IF(CALC_CHOP!$B$3="Zone","",CALC_CHOP!$BD$40)</f>
        <v/>
      </c>
      <c r="H100" s="93">
        <f>IF(CALC_CHOP!$B$3="Zone","",CALC_CHOP!$BE$40)</f>
        <v/>
      </c>
      <c r="J100" s="93">
        <f>IF(CALC_CHOP!$B$3="Zone","",CALC_CHOP!$BF$40)</f>
        <v/>
      </c>
    </row>
    <row r="101">
      <c r="B101" s="162">
        <f>IF(CALC_CHOP!$B$3="Zone","",CALC_CHOP!$BC$41)</f>
        <v/>
      </c>
      <c r="C101" s="148" t="n"/>
      <c r="D101" s="148" t="n"/>
      <c r="E101" s="148" t="n"/>
      <c r="F101" s="163">
        <f>IF(CALC_CHOP!$B$3="Zone","",CALC_CHOP!$BD$41)</f>
        <v/>
      </c>
      <c r="G101" s="148" t="n"/>
      <c r="H101" s="163">
        <f>IF(CALC_CHOP!$B$3="Zone","",CALC_CHOP!$BE$41)</f>
        <v/>
      </c>
      <c r="I101" s="148" t="n"/>
      <c r="J101" s="163">
        <f>IF(CALC_CHOP!$B$3="Zone","",CALC_CHOP!$BF$41)</f>
        <v/>
      </c>
      <c r="K101" s="148" t="n"/>
    </row>
    <row r="102">
      <c r="B102" s="87">
        <f>IF(CALC_CHOP!$B$3="Zone","",CALC_CHOP!$BC$42)</f>
        <v/>
      </c>
      <c r="F102" s="93">
        <f>IF(CALC_CHOP!$B$3="Zone","",CALC_CHOP!$BD$42)</f>
        <v/>
      </c>
      <c r="H102" s="93">
        <f>IF(CALC_CHOP!$B$3="Zone","",CALC_CHOP!$BE$42)</f>
        <v/>
      </c>
      <c r="J102" s="93">
        <f>IF(CALC_CHOP!$B$3="Zone","",CALC_CHOP!$BF$42)</f>
        <v/>
      </c>
    </row>
    <row r="103">
      <c r="B103" s="162">
        <f>IF(CALC_CHOP!$B$3="Zone","",CALC_CHOP!$BC$43)</f>
        <v/>
      </c>
      <c r="C103" s="148" t="n"/>
      <c r="D103" s="148" t="n"/>
      <c r="E103" s="148" t="n"/>
      <c r="F103" s="163">
        <f>IF(CALC_CHOP!$B$3="Zone","",CALC_CHOP!$BD$43)</f>
        <v/>
      </c>
      <c r="G103" s="148" t="n"/>
      <c r="H103" s="163">
        <f>IF(CALC_CHOP!$B$3="Zone","",CALC_CHOP!$BE$43)</f>
        <v/>
      </c>
      <c r="I103" s="148" t="n"/>
      <c r="J103" s="163">
        <f>IF(CALC_CHOP!$B$3="Zone","",CALC_CHOP!$BF$43)</f>
        <v/>
      </c>
      <c r="K103" s="148" t="n"/>
    </row>
    <row r="104">
      <c r="B104" s="87">
        <f>IF(CALC_CHOP!$B$3="Zone","",CALC_CHOP!$BC$44)</f>
        <v/>
      </c>
      <c r="F104" s="93">
        <f>IF(CALC_CHOP!$B$3="Zone","",CALC_CHOP!$BD$44)</f>
        <v/>
      </c>
      <c r="H104" s="93">
        <f>IF(CALC_CHOP!$B$3="Zone","",CALC_CHOP!$BE$44)</f>
        <v/>
      </c>
      <c r="J104" s="93">
        <f>IF(CALC_CHOP!$B$3="Zone","",CALC_CHOP!$BF$44)</f>
        <v/>
      </c>
    </row>
    <row r="105">
      <c r="B105" s="162">
        <f>IF(CALC_CHOP!$B$3="Zone","",CALC_CHOP!$BC$45)</f>
        <v/>
      </c>
      <c r="C105" s="148" t="n"/>
      <c r="D105" s="148" t="n"/>
      <c r="E105" s="148" t="n"/>
      <c r="F105" s="163">
        <f>IF(CALC_CHOP!$B$3="Zone","",CALC_CHOP!$BD$45)</f>
        <v/>
      </c>
      <c r="G105" s="148" t="n"/>
      <c r="H105" s="163">
        <f>IF(CALC_CHOP!$B$3="Zone","",CALC_CHOP!$BE$45)</f>
        <v/>
      </c>
      <c r="I105" s="148" t="n"/>
      <c r="J105" s="163">
        <f>IF(CALC_CHOP!$B$3="Zone","",CALC_CHOP!$BF$45)</f>
        <v/>
      </c>
      <c r="K105" s="148" t="n"/>
    </row>
    <row r="106">
      <c r="B106" s="87">
        <f>IF(CALC_CHOP!$B$3="Zone","",CALC_CHOP!$BC$46)</f>
        <v/>
      </c>
      <c r="F106" s="93">
        <f>IF(CALC_CHOP!$B$3="Zone","",CALC_CHOP!$BD$46)</f>
        <v/>
      </c>
      <c r="H106" s="93">
        <f>IF(CALC_CHOP!$B$3="Zone","",CALC_CHOP!$BE$46)</f>
        <v/>
      </c>
      <c r="J106" s="93">
        <f>IF(CALC_CHOP!$B$3="Zone","",CALC_CHOP!$BF$46)</f>
        <v/>
      </c>
    </row>
    <row r="107">
      <c r="B107" s="162">
        <f>IF(CALC_CHOP!$B$3="Zone","",CALC_CHOP!$BC$47)</f>
        <v/>
      </c>
      <c r="C107" s="148" t="n"/>
      <c r="D107" s="148" t="n"/>
      <c r="E107" s="148" t="n"/>
      <c r="F107" s="163">
        <f>IF(CALC_CHOP!$B$3="Zone","",CALC_CHOP!$BD$47)</f>
        <v/>
      </c>
      <c r="G107" s="148" t="n"/>
      <c r="H107" s="163">
        <f>IF(CALC_CHOP!$B$3="Zone","",CALC_CHOP!$BE$47)</f>
        <v/>
      </c>
      <c r="I107" s="148" t="n"/>
      <c r="J107" s="163">
        <f>IF(CALC_CHOP!$B$3="Zone","",CALC_CHOP!$BF$47)</f>
        <v/>
      </c>
      <c r="K107" s="148" t="n"/>
    </row>
    <row r="108">
      <c r="B108" s="87">
        <f>IF(CALC_CHOP!$B$3="Zone","",CALC_CHOP!$BC$48)</f>
        <v/>
      </c>
      <c r="F108" s="93">
        <f>IF(CALC_CHOP!$B$3="Zone","",CALC_CHOP!$BD$48)</f>
        <v/>
      </c>
      <c r="H108" s="93">
        <f>IF(CALC_CHOP!$B$3="Zone","",CALC_CHOP!$BE$48)</f>
        <v/>
      </c>
      <c r="J108" s="93">
        <f>IF(CALC_CHOP!$B$3="Zone","",CALC_CHOP!$BF$48)</f>
        <v/>
      </c>
    </row>
    <row r="109">
      <c r="B109" s="162">
        <f>IF(CALC_CHOP!$B$3="Zone","",CALC_CHOP!$BC$49)</f>
        <v/>
      </c>
      <c r="C109" s="148" t="n"/>
      <c r="D109" s="148" t="n"/>
      <c r="E109" s="148" t="n"/>
      <c r="F109" s="163">
        <f>IF(CALC_CHOP!$B$3="Zone","",CALC_CHOP!$BD$49)</f>
        <v/>
      </c>
      <c r="G109" s="148" t="n"/>
      <c r="H109" s="163">
        <f>IF(CALC_CHOP!$B$3="Zone","",CALC_CHOP!$BE$49)</f>
        <v/>
      </c>
      <c r="I109" s="148" t="n"/>
      <c r="J109" s="163">
        <f>IF(CALC_CHOP!$B$3="Zone","",CALC_CHOP!$BF$49)</f>
        <v/>
      </c>
      <c r="K109" s="148" t="n"/>
    </row>
    <row r="110">
      <c r="B110" s="87">
        <f>IF(CALC_CHOP!$B$3="Zone","",CALC_CHOP!$BC$50)</f>
        <v/>
      </c>
      <c r="F110" s="93">
        <f>IF(CALC_CHOP!$B$3="Zone","",CALC_CHOP!$BD$50)</f>
        <v/>
      </c>
      <c r="H110" s="93">
        <f>IF(CALC_CHOP!$B$3="Zone","",CALC_CHOP!$BE$50)</f>
        <v/>
      </c>
      <c r="J110" s="93">
        <f>IF(CALC_CHOP!$B$3="Zone","",CALC_CHOP!$BF$50)</f>
        <v/>
      </c>
    </row>
    <row r="111">
      <c r="B111" s="162">
        <f>IF(CALC_CHOP!$B$3="Zone","",CALC_CHOP!$BC$51)</f>
        <v/>
      </c>
      <c r="C111" s="148" t="n"/>
      <c r="D111" s="148" t="n"/>
      <c r="E111" s="148" t="n"/>
      <c r="F111" s="163">
        <f>IF(CALC_CHOP!$B$3="Zone","",CALC_CHOP!$BD$51)</f>
        <v/>
      </c>
      <c r="G111" s="148" t="n"/>
      <c r="H111" s="163">
        <f>IF(CALC_CHOP!$B$3="Zone","",CALC_CHOP!$BE$51)</f>
        <v/>
      </c>
      <c r="I111" s="148" t="n"/>
      <c r="J111" s="163">
        <f>IF(CALC_CHOP!$B$3="Zone","",CALC_CHOP!$BF$51)</f>
        <v/>
      </c>
      <c r="K111" s="148" t="n"/>
    </row>
    <row r="112">
      <c r="B112" s="87">
        <f>IF(CALC_CHOP!$B$3="Zone","",CALC_CHOP!$BC$52)</f>
        <v/>
      </c>
      <c r="F112" s="93">
        <f>IF(CALC_CHOP!$B$3="Zone","",CALC_CHOP!$BD$52)</f>
        <v/>
      </c>
      <c r="H112" s="93">
        <f>IF(CALC_CHOP!$B$3="Zone","",CALC_CHOP!$BE$52)</f>
        <v/>
      </c>
      <c r="J112" s="93">
        <f>IF(CALC_CHOP!$B$3="Zone","",CALC_CHOP!$BF$52)</f>
        <v/>
      </c>
    </row>
  </sheetData>
  <mergeCells count="264">
    <mergeCell ref="H82:I82"/>
    <mergeCell ref="J82:K82"/>
    <mergeCell ref="B65:E65"/>
    <mergeCell ref="H10:I10"/>
    <mergeCell ref="F68:G68"/>
    <mergeCell ref="B74:E74"/>
    <mergeCell ref="J10:K10"/>
    <mergeCell ref="B68:E68"/>
    <mergeCell ref="F103:G103"/>
    <mergeCell ref="F108:G108"/>
    <mergeCell ref="B22:C22"/>
    <mergeCell ref="F84:G84"/>
    <mergeCell ref="H9:I9"/>
    <mergeCell ref="J9:K9"/>
    <mergeCell ref="B76:E76"/>
    <mergeCell ref="B27:O27"/>
    <mergeCell ref="B110:E110"/>
    <mergeCell ref="B21:C21"/>
    <mergeCell ref="J68:K68"/>
    <mergeCell ref="F86:G86"/>
    <mergeCell ref="B91:E91"/>
    <mergeCell ref="F80:G80"/>
    <mergeCell ref="B100:E100"/>
    <mergeCell ref="B14:C14"/>
    <mergeCell ref="H89:I89"/>
    <mergeCell ref="H94:I94"/>
    <mergeCell ref="B109:E109"/>
    <mergeCell ref="F70:G70"/>
    <mergeCell ref="F79:G79"/>
    <mergeCell ref="H108:I108"/>
    <mergeCell ref="H79:I79"/>
    <mergeCell ref="B93:E93"/>
    <mergeCell ref="B13:C13"/>
    <mergeCell ref="J86:K86"/>
    <mergeCell ref="J108:K108"/>
    <mergeCell ref="B102:E102"/>
    <mergeCell ref="J95:K95"/>
    <mergeCell ref="D7:E7"/>
    <mergeCell ref="F72:G72"/>
    <mergeCell ref="L3:O3"/>
    <mergeCell ref="H72:I72"/>
    <mergeCell ref="F81:G81"/>
    <mergeCell ref="B86:E86"/>
    <mergeCell ref="H81:I81"/>
    <mergeCell ref="F96:G96"/>
    <mergeCell ref="F71:G71"/>
    <mergeCell ref="H65:I65"/>
    <mergeCell ref="H96:I96"/>
    <mergeCell ref="B101:E101"/>
    <mergeCell ref="F105:G105"/>
    <mergeCell ref="H105:I105"/>
    <mergeCell ref="B24:C24"/>
    <mergeCell ref="H87:I87"/>
    <mergeCell ref="H62:I62"/>
    <mergeCell ref="B69:E69"/>
    <mergeCell ref="J62:K62"/>
    <mergeCell ref="H71:I71"/>
    <mergeCell ref="B78:E78"/>
    <mergeCell ref="L4:O4"/>
    <mergeCell ref="J71:K71"/>
    <mergeCell ref="F98:G98"/>
    <mergeCell ref="B87:E87"/>
    <mergeCell ref="F107:G107"/>
    <mergeCell ref="H107:I107"/>
    <mergeCell ref="B26:C26"/>
    <mergeCell ref="B112:E112"/>
    <mergeCell ref="C3:D3"/>
    <mergeCell ref="F88:G88"/>
    <mergeCell ref="J110:K110"/>
    <mergeCell ref="H91:I91"/>
    <mergeCell ref="J64:K64"/>
    <mergeCell ref="B16:C16"/>
    <mergeCell ref="D10:E10"/>
    <mergeCell ref="L7:M7"/>
    <mergeCell ref="B25:C25"/>
    <mergeCell ref="F10:G10"/>
    <mergeCell ref="N7:O7"/>
    <mergeCell ref="J73:K73"/>
    <mergeCell ref="F63:G63"/>
    <mergeCell ref="H63:I63"/>
    <mergeCell ref="B64:E64"/>
    <mergeCell ref="J88:K88"/>
    <mergeCell ref="F99:G99"/>
    <mergeCell ref="B104:E104"/>
    <mergeCell ref="H93:I93"/>
    <mergeCell ref="B18:C18"/>
    <mergeCell ref="J93:K93"/>
    <mergeCell ref="H102:I102"/>
    <mergeCell ref="F74:G74"/>
    <mergeCell ref="J102:K102"/>
    <mergeCell ref="H74:I74"/>
    <mergeCell ref="C4:D4"/>
    <mergeCell ref="F83:G83"/>
    <mergeCell ref="B63:E63"/>
    <mergeCell ref="H68:I68"/>
    <mergeCell ref="H83:I83"/>
    <mergeCell ref="J77:K77"/>
    <mergeCell ref="B106:E106"/>
    <mergeCell ref="J99:K99"/>
    <mergeCell ref="F76:G76"/>
    <mergeCell ref="F85:G85"/>
    <mergeCell ref="B90:E90"/>
    <mergeCell ref="J83:K83"/>
    <mergeCell ref="H85:I85"/>
    <mergeCell ref="F94:G94"/>
    <mergeCell ref="F66:G66"/>
    <mergeCell ref="B66:E66"/>
    <mergeCell ref="J101:K101"/>
    <mergeCell ref="F75:G75"/>
    <mergeCell ref="D47:E47"/>
    <mergeCell ref="H69:I69"/>
    <mergeCell ref="F109:G109"/>
    <mergeCell ref="F47:G47"/>
    <mergeCell ref="F62:G62"/>
    <mergeCell ref="H109:I109"/>
    <mergeCell ref="J103:K103"/>
    <mergeCell ref="J85:K85"/>
    <mergeCell ref="J100:K100"/>
    <mergeCell ref="J94:K94"/>
    <mergeCell ref="B77:E77"/>
    <mergeCell ref="H75:I75"/>
    <mergeCell ref="J75:K75"/>
    <mergeCell ref="F111:G111"/>
    <mergeCell ref="D9:E9"/>
    <mergeCell ref="H80:I80"/>
    <mergeCell ref="H111:I111"/>
    <mergeCell ref="F9:G9"/>
    <mergeCell ref="B67:E67"/>
    <mergeCell ref="B15:C15"/>
    <mergeCell ref="H95:I95"/>
    <mergeCell ref="H104:I104"/>
    <mergeCell ref="B5:O5"/>
    <mergeCell ref="B103:E103"/>
    <mergeCell ref="H97:I97"/>
    <mergeCell ref="F64:G64"/>
    <mergeCell ref="J97:K97"/>
    <mergeCell ref="B84:E84"/>
    <mergeCell ref="H106:I106"/>
    <mergeCell ref="F73:G73"/>
    <mergeCell ref="F87:G87"/>
    <mergeCell ref="J111:K111"/>
    <mergeCell ref="B7:C7"/>
    <mergeCell ref="J81:K81"/>
    <mergeCell ref="B80:E80"/>
    <mergeCell ref="B95:E95"/>
    <mergeCell ref="F89:G89"/>
    <mergeCell ref="L47:M47"/>
    <mergeCell ref="B89:E89"/>
    <mergeCell ref="F7:G7"/>
    <mergeCell ref="B79:E79"/>
    <mergeCell ref="H73:I73"/>
    <mergeCell ref="B97:E97"/>
    <mergeCell ref="J89:K89"/>
    <mergeCell ref="B72:E72"/>
    <mergeCell ref="J65:K65"/>
    <mergeCell ref="B17:C17"/>
    <mergeCell ref="B81:E81"/>
    <mergeCell ref="L8:M8"/>
    <mergeCell ref="J74:K74"/>
    <mergeCell ref="F101:G101"/>
    <mergeCell ref="N8:O8"/>
    <mergeCell ref="F110:G110"/>
    <mergeCell ref="H110:I110"/>
    <mergeCell ref="F8:G8"/>
    <mergeCell ref="F91:G91"/>
    <mergeCell ref="B71:E71"/>
    <mergeCell ref="F100:G100"/>
    <mergeCell ref="B105:E105"/>
    <mergeCell ref="H100:I100"/>
    <mergeCell ref="B19:C19"/>
    <mergeCell ref="L10:M10"/>
    <mergeCell ref="N10:O10"/>
    <mergeCell ref="H84:I84"/>
    <mergeCell ref="F93:G93"/>
    <mergeCell ref="H66:I66"/>
    <mergeCell ref="B9:C9"/>
    <mergeCell ref="J91:K91"/>
    <mergeCell ref="J66:K66"/>
    <mergeCell ref="F102:G102"/>
    <mergeCell ref="B107:E107"/>
    <mergeCell ref="L9:M9"/>
    <mergeCell ref="N9:O9"/>
    <mergeCell ref="F77:G77"/>
    <mergeCell ref="H77:I77"/>
    <mergeCell ref="F92:G92"/>
    <mergeCell ref="J106:K106"/>
    <mergeCell ref="H86:I86"/>
    <mergeCell ref="B20:C20"/>
    <mergeCell ref="E4:G4"/>
    <mergeCell ref="H92:I92"/>
    <mergeCell ref="B99:E99"/>
    <mergeCell ref="J92:K92"/>
    <mergeCell ref="B108:E108"/>
    <mergeCell ref="B47:C47"/>
    <mergeCell ref="H67:I67"/>
    <mergeCell ref="F69:G69"/>
    <mergeCell ref="J67:K67"/>
    <mergeCell ref="F78:G78"/>
    <mergeCell ref="B83:E83"/>
    <mergeCell ref="H103:I103"/>
    <mergeCell ref="H78:I78"/>
    <mergeCell ref="F112:G112"/>
    <mergeCell ref="N47:O47"/>
    <mergeCell ref="F65:G65"/>
    <mergeCell ref="J72:K72"/>
    <mergeCell ref="B92:E92"/>
    <mergeCell ref="H112:I112"/>
    <mergeCell ref="J112:K112"/>
    <mergeCell ref="J69:K69"/>
    <mergeCell ref="J84:K84"/>
    <mergeCell ref="B85:E85"/>
    <mergeCell ref="J78:K78"/>
    <mergeCell ref="B94:E94"/>
    <mergeCell ref="J87:K87"/>
    <mergeCell ref="F95:G95"/>
    <mergeCell ref="B75:E75"/>
    <mergeCell ref="H64:I64"/>
    <mergeCell ref="F104:G104"/>
    <mergeCell ref="H98:I98"/>
    <mergeCell ref="B62:E62"/>
    <mergeCell ref="B23:C23"/>
    <mergeCell ref="J98:K98"/>
    <mergeCell ref="J80:K80"/>
    <mergeCell ref="J107:K107"/>
    <mergeCell ref="B61:O61"/>
    <mergeCell ref="B8:C8"/>
    <mergeCell ref="H88:I88"/>
    <mergeCell ref="H70:I70"/>
    <mergeCell ref="F97:G97"/>
    <mergeCell ref="I3:J3"/>
    <mergeCell ref="J70:K70"/>
    <mergeCell ref="J79:K79"/>
    <mergeCell ref="J104:K104"/>
    <mergeCell ref="F106:G106"/>
    <mergeCell ref="B96:E96"/>
    <mergeCell ref="H7:I7"/>
    <mergeCell ref="F90:G90"/>
    <mergeCell ref="B70:E70"/>
    <mergeCell ref="B10:C10"/>
    <mergeCell ref="J7:K7"/>
    <mergeCell ref="J63:K63"/>
    <mergeCell ref="H90:I90"/>
    <mergeCell ref="H99:I99"/>
    <mergeCell ref="E3:G3"/>
    <mergeCell ref="H47:I47"/>
    <mergeCell ref="J109:K109"/>
    <mergeCell ref="B111:E111"/>
    <mergeCell ref="J47:K47"/>
    <mergeCell ref="F67:G67"/>
    <mergeCell ref="J96:K96"/>
    <mergeCell ref="D8:E8"/>
    <mergeCell ref="B98:E98"/>
    <mergeCell ref="J90:K90"/>
    <mergeCell ref="J105:K105"/>
    <mergeCell ref="I4:J4"/>
    <mergeCell ref="H101:I101"/>
    <mergeCell ref="B73:E73"/>
    <mergeCell ref="B88:E88"/>
    <mergeCell ref="F82:G82"/>
    <mergeCell ref="H76:I76"/>
    <mergeCell ref="B82:E82"/>
    <mergeCell ref="J76:K76"/>
    <mergeCell ref="H8:I8"/>
    <mergeCell ref="J8:K8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D24:E24">
    <cfRule type="expression" priority="84" dxfId="2">
      <formula>AND(ISNUMBER(D24),D24&gt;=RAG_Green)</formula>
    </cfRule>
    <cfRule type="expression" priority="85" dxfId="3">
      <formula>AND(ISNUMBER(D24),D24&gt;=RAG_Amber,D24&lt;RAG_Green)</formula>
    </cfRule>
    <cfRule type="expression" priority="86" dxfId="4">
      <formula>AND(ISNUMBER(D24),D24&lt;RAG_Amber)</formula>
    </cfRule>
  </conditionalFormatting>
  <conditionalFormatting sqref="H24">
    <cfRule type="expression" priority="87" dxfId="2">
      <formula>AND(ISNUMBER(H24),H24&gt;=RAG_Green)</formula>
    </cfRule>
    <cfRule type="expression" priority="88" dxfId="3">
      <formula>AND(ISNUMBER(H24),H24&gt;=RAG_Amber,H24&lt;RAG_Green)</formula>
    </cfRule>
    <cfRule type="expression" priority="89" dxfId="4">
      <formula>AND(ISNUMBER(H24),H24&lt;RAG_Amber)</formula>
    </cfRule>
  </conditionalFormatting>
  <conditionalFormatting sqref="F25">
    <cfRule type="expression" priority="90" dxfId="5">
      <formula>AND(ISNUMBER(F25),F25&gt;0)</formula>
    </cfRule>
    <cfRule type="expression" priority="91" dxfId="6">
      <formula>AND(ISNUMBER(F25),F25&lt;0)</formula>
    </cfRule>
  </conditionalFormatting>
  <conditionalFormatting sqref="G25">
    <cfRule type="expression" priority="92" dxfId="5">
      <formula>AND(ISNUMBER(G25),G25&gt;0)</formula>
    </cfRule>
    <cfRule type="expression" priority="93" dxfId="6">
      <formula>AND(ISNUMBER(G25),G25&lt;0)</formula>
    </cfRule>
  </conditionalFormatting>
  <conditionalFormatting sqref="I25">
    <cfRule type="expression" priority="94" dxfId="5">
      <formula>AND(ISNUMBER(I25),I25&gt;0)</formula>
    </cfRule>
    <cfRule type="expression" priority="95" dxfId="6">
      <formula>AND(ISNUMBER(I25),I25&lt;0)</formula>
    </cfRule>
  </conditionalFormatting>
  <conditionalFormatting sqref="F26">
    <cfRule type="expression" priority="96" dxfId="5">
      <formula>AND(ISNUMBER(F26),F26&gt;0)</formula>
    </cfRule>
    <cfRule type="expression" priority="97" dxfId="6">
      <formula>AND(ISNUMBER(F26),F26&lt;0)</formula>
    </cfRule>
  </conditionalFormatting>
  <conditionalFormatting sqref="G26">
    <cfRule type="expression" priority="98" dxfId="5">
      <formula>AND(ISNUMBER(G26),G26&gt;0)</formula>
    </cfRule>
    <cfRule type="expression" priority="99" dxfId="6">
      <formula>AND(ISNUMBER(G26),G26&lt;0)</formula>
    </cfRule>
  </conditionalFormatting>
  <conditionalFormatting sqref="I26">
    <cfRule type="expression" priority="100" dxfId="5">
      <formula>AND(ISNUMBER(I26),I26&gt;0)</formula>
    </cfRule>
    <cfRule type="expression" priority="101" dxfId="6">
      <formula>AND(ISNUMBER(I26),I26&lt;0)</formula>
    </cfRule>
  </conditionalFormatting>
  <conditionalFormatting sqref="C48:C57">
    <cfRule type="dataBar" priority="102">
      <dataBar>
        <cfvo type="num" val="0"/>
        <cfvo type="max"/>
        <color rgb="009E82C1"/>
      </dataBar>
    </cfRule>
  </conditionalFormatting>
  <conditionalFormatting sqref="E48:E57">
    <cfRule type="dataBar" priority="103">
      <dataBar>
        <cfvo type="num" val="0"/>
        <cfvo type="max"/>
        <color rgb="009E82C1"/>
      </dataBar>
    </cfRule>
  </conditionalFormatting>
  <conditionalFormatting sqref="G48:G57">
    <cfRule type="expression" priority="104" dxfId="2">
      <formula>AND(ISNUMBER(G48),G48&gt;=RAG_Green)</formula>
    </cfRule>
    <cfRule type="expression" priority="105" dxfId="3">
      <formula>AND(ISNUMBER(G48),G48&gt;=RAG_Amber,G48&lt;RAG_Green)</formula>
    </cfRule>
    <cfRule type="expression" priority="106" dxfId="4">
      <formula>AND(ISNUMBER(G48),G48&lt;RAG_Amber)</formula>
    </cfRule>
  </conditionalFormatting>
  <conditionalFormatting sqref="I48:I57">
    <cfRule type="expression" priority="107" dxfId="2">
      <formula>AND(ISNUMBER(I48),I48&gt;=RAG_Green)</formula>
    </cfRule>
    <cfRule type="expression" priority="108" dxfId="3">
      <formula>AND(ISNUMBER(I48),I48&gt;=RAG_Amber,I48&lt;RAG_Green)</formula>
    </cfRule>
    <cfRule type="expression" priority="109" dxfId="4">
      <formula>AND(ISNUMBER(I48),I48&lt;RAG_Amber)</formula>
    </cfRule>
  </conditionalFormatting>
  <conditionalFormatting sqref="K48:K57">
    <cfRule type="expression" priority="110" dxfId="5">
      <formula>AND(ISNUMBER(K48),K48&gt;0)</formula>
    </cfRule>
    <cfRule type="expression" priority="111" dxfId="6">
      <formula>AND(ISNUMBER(K48),K48&lt;0)</formula>
    </cfRule>
  </conditionalFormatting>
  <conditionalFormatting sqref="M48:M57">
    <cfRule type="expression" priority="112" dxfId="5">
      <formula>AND(ISNUMBER(M48),M48&gt;0)</formula>
    </cfRule>
    <cfRule type="expression" priority="113" dxfId="6">
      <formula>AND(ISNUMBER(M48),M48&lt;0)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=CHOP_SelectList</formula1>
    </dataValidation>
    <dataValidation sqref="I4" showDropDown="0" showInputMessage="0" showErrorMessage="1" allowBlank="1" errorTitle="Week ending" error="Pick 'Latest' or a week from the list." type="list">
      <formula1>=CHOP_WeekList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146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64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65" t="inlineStr">
        <is>
          <t>⌂ HOME</t>
        </is>
      </c>
      <c r="O1" s="18" t="n"/>
      <c r="P1" s="18" t="n"/>
    </row>
    <row r="2">
      <c r="A2" s="18" t="n"/>
      <c r="B2" s="166" t="inlineStr">
        <is>
          <t>35 Community Churches · Sunday service first · reported separately from zonal totals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3" ht="16" customHeight="1">
      <c r="B3" s="167" t="inlineStr">
        <is>
          <t>SCOPE</t>
        </is>
      </c>
      <c r="C3" s="167" t="inlineStr">
        <is>
          <t>SEARCH  (type part of a name)</t>
        </is>
      </c>
      <c r="E3" s="167" t="inlineStr">
        <is>
          <t>SELECT AREA / CHURCH (zincode)  ▼</t>
        </is>
      </c>
      <c r="H3" s="167" t="inlineStr">
        <is>
          <t>STREAM</t>
        </is>
      </c>
      <c r="I3" s="167" t="inlineStr">
        <is>
          <t>WEEK ENDING  ▼</t>
        </is>
      </c>
      <c r="K3" s="167" t="inlineStr">
        <is>
          <t>COMPARE (WEEKS)</t>
        </is>
      </c>
      <c r="L3" s="167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68" t="inlineStr">
        <is>
          <t>Community</t>
        </is>
      </c>
      <c r="I4" s="45" t="inlineStr">
        <is>
          <t>Latest</t>
        </is>
      </c>
      <c r="J4" s="43" t="n"/>
      <c r="K4" s="41" t="n">
        <v>4</v>
      </c>
      <c r="L4" s="169">
        <f>CALC_COMMUNITY!$B$16&amp;IF(CALC_COMMUNITY!$B$10=0,"","  ·  w/e "&amp;TEXT(CALC_COMMUNITY!$B$10,"dd mmm yyyy"))&amp;"  ·  "&amp;CALC_COMMUNITY!$B$11&amp;"-wk window"</f>
        <v/>
      </c>
    </row>
    <row r="5" ht="18" customHeight="1">
      <c r="B5" s="170">
        <f>IF(CALC_COMMUNITY!$B$9=0,"No Community Church reports loaded yet.",IF(CALC_COMMUNITY!$B$18,"That zone is not a Community Church. Pick a church zincode (e.g. LFC0412) or use Scope = Area.",IF(NOT(CALC_COMMUNITY!$B$5),"⚠  Pick "&amp;IF(CALC_COMMUNITY!$B$3="Area","an Area","a church zincode")&amp;" from SELECT.","Community Church figures are never added into zone, Area or global zonal totals.")))</f>
        <v/>
      </c>
    </row>
    <row r="7">
      <c r="B7" s="171" t="inlineStr">
        <is>
          <t>SUNDAY ATTENDANCE</t>
        </is>
      </c>
      <c r="C7" s="172" t="n"/>
      <c r="D7" s="171" t="inlineStr">
        <is>
          <t>CHURCHES REPORTED</t>
        </is>
      </c>
      <c r="E7" s="172" t="n"/>
      <c r="F7" s="171" t="inlineStr">
        <is>
          <t>% CHURCHES REPORTING</t>
        </is>
      </c>
      <c r="G7" s="172" t="n"/>
      <c r="H7" s="171" t="inlineStr">
        <is>
          <t>AVG PER CHURCH</t>
        </is>
      </c>
      <c r="I7" s="172" t="n"/>
      <c r="J7" s="171" t="inlineStr">
        <is>
          <t>FIRST TIMERS</t>
        </is>
      </c>
      <c r="K7" s="172" t="n"/>
      <c r="L7" s="171" t="inlineStr">
        <is>
          <t>NEW CONVERTS</t>
        </is>
      </c>
      <c r="M7" s="172" t="n"/>
      <c r="N7" s="171" t="inlineStr">
        <is>
          <t>PASTORS PRESENT</t>
        </is>
      </c>
      <c r="O7" s="172" t="n"/>
    </row>
    <row r="8" ht="34" customHeight="1">
      <c r="B8" s="173">
        <f>IF(CALC_COMMUNITY!$B$90="","–",CALC_COMMUNITY!$B$90)</f>
        <v/>
      </c>
      <c r="C8" s="51" t="n"/>
      <c r="D8" s="173">
        <f>IF(CALC_COMMUNITY!$B$99="","–",CALC_COMMUNITY!$B$99)</f>
        <v/>
      </c>
      <c r="E8" s="51" t="n"/>
      <c r="F8" s="174">
        <f>IF(CALC_COMMUNITY!$B$101="","–",CALC_COMMUNITY!$B$101)</f>
        <v/>
      </c>
      <c r="G8" s="51" t="n"/>
      <c r="H8" s="175">
        <f>IF(CALC_COMMUNITY!$B$102="","–",CALC_COMMUNITY!$B$102)</f>
        <v/>
      </c>
      <c r="I8" s="51" t="n"/>
      <c r="J8" s="173">
        <f>IF(CALC_COMMUNITY!$B$95="","–",CALC_COMMUNITY!$B$95)</f>
        <v/>
      </c>
      <c r="K8" s="51" t="n"/>
      <c r="L8" s="173">
        <f>IF(CALC_COMMUNITY!$B$96="","–",CALC_COMMUNITY!$B$96)</f>
        <v/>
      </c>
      <c r="M8" s="51" t="n"/>
      <c r="N8" s="176">
        <f>IF(CALC_COMMUNITY!$B$103="","–",CALC_COMMUNITY!$B$103)</f>
        <v/>
      </c>
      <c r="O8" s="51" t="n"/>
    </row>
    <row r="9">
      <c r="B9" s="177">
        <f>IF(CALC_COMMUNITY!$E$90="","– vs prev Sunday",IF(CALC_COMMUNITY!$E$90&gt;=0,"▲ ","▼ ")&amp;TEXT(ABS(CALC_COMMUNITY!$E$90),"0.0%")&amp;" vs prev Sunday")</f>
        <v/>
      </c>
      <c r="C9" s="51" t="n"/>
      <c r="D9" s="177">
        <f>IF(CALC_COMMUNITY!$E$99="","– vs prev Sunday",IF(CALC_COMMUNITY!$E$99&gt;=0,"▲ ","▼ ")&amp;TEXT(ABS(CALC_COMMUNITY!$E$99),"0.0%")&amp;" vs prev Sunday")</f>
        <v/>
      </c>
      <c r="E9" s="51" t="n"/>
      <c r="F9" s="177">
        <f>IF(CALC_COMMUNITY!$D$101="","– vs prev Sunday",IF(CALC_COMMUNITY!$D$101&gt;=0,"▲ ","▼ ")&amp;TEXT(ABS(CALC_COMMUNITY!$D$101)*100,"0.0")&amp;" pts vs prev Sunday")</f>
        <v/>
      </c>
      <c r="G9" s="51" t="n"/>
      <c r="H9" s="177">
        <f>IF(CALC_COMMUNITY!$E$102="","– vs prev Sunday",IF(CALC_COMMUNITY!$E$102&gt;=0,"▲ ","▼ ")&amp;TEXT(ABS(CALC_COMMUNITY!$E$102),"0.0%")&amp;" vs prev Sunday")</f>
        <v/>
      </c>
      <c r="I9" s="51" t="n"/>
      <c r="J9" s="177">
        <f>IF(CALC_COMMUNITY!$E$95="","– vs prev Sunday",IF(CALC_COMMUNITY!$E$95&gt;=0,"▲ ","▼ ")&amp;TEXT(ABS(CALC_COMMUNITY!$E$95),"0.0%")&amp;" vs prev Sunday")</f>
        <v/>
      </c>
      <c r="K9" s="51" t="n"/>
      <c r="L9" s="177">
        <f>IF(CALC_COMMUNITY!$E$96="","– vs prev Sunday",IF(CALC_COMMUNITY!$E$96&gt;=0,"▲ ","▼ ")&amp;TEXT(ABS(CALC_COMMUNITY!$E$96),"0.0%")&amp;" vs prev Sunday")</f>
        <v/>
      </c>
      <c r="M9" s="51" t="n"/>
      <c r="N9" s="177">
        <f>IF(CALC_COMMUNITY!$E$103="","– vs prev Sunday",IF(CALC_COMMUNITY!$E$103&gt;=0,"▲ ","▼ ")&amp;TEXT(ABS(CALC_COMMUNITY!$E$103),"0.0%")&amp;" vs prev Sunday")</f>
        <v/>
      </c>
      <c r="O9" s="51" t="n"/>
    </row>
    <row r="10">
      <c r="B10" s="178">
        <f>"Avg last "&amp;CALC_COMMUNITY!$B$11&amp;" Sundays: "&amp;IF(CALC_COMMUNITY!$F$90="","–",TEXT(CALC_COMMUNITY!$F$90,"#,##0"))</f>
        <v/>
      </c>
      <c r="C10" s="51" t="n"/>
      <c r="D10" s="178">
        <f>"Avg last "&amp;CALC_COMMUNITY!$B$11&amp;" Sundays: "&amp;IF(CALC_COMMUNITY!$F$99="","–",TEXT(CALC_COMMUNITY!$F$99,"#,##0"))</f>
        <v/>
      </c>
      <c r="E10" s="51" t="n"/>
      <c r="F10" s="178">
        <f>"Avg last "&amp;CALC_COMMUNITY!$B$11&amp;" Sundays: "&amp;IF(CALC_COMMUNITY!$F$101="","–",TEXT(CALC_COMMUNITY!$F$101,"0.0%"))</f>
        <v/>
      </c>
      <c r="G10" s="51" t="n"/>
      <c r="H10" s="178">
        <f>"Avg last "&amp;CALC_COMMUNITY!$B$11&amp;" Sundays: "&amp;IF(CALC_COMMUNITY!$F$102="","–",TEXT(CALC_COMMUNITY!$F$102,"#,##0.0"))</f>
        <v/>
      </c>
      <c r="I10" s="51" t="n"/>
      <c r="J10" s="178">
        <f>"Avg last "&amp;CALC_COMMUNITY!$B$11&amp;" Sundays: "&amp;IF(CALC_COMMUNITY!$F$95="","–",TEXT(CALC_COMMUNITY!$F$95,"#,##0"))</f>
        <v/>
      </c>
      <c r="K10" s="51" t="n"/>
      <c r="L10" s="178">
        <f>"Avg last "&amp;CALC_COMMUNITY!$B$11&amp;" Sundays: "&amp;IF(CALC_COMMUNITY!$F$96="","–",TEXT(CALC_COMMUNITY!$F$96,"#,##0"))</f>
        <v/>
      </c>
      <c r="M10" s="51" t="n"/>
      <c r="N10" s="178">
        <f>"Avg last "&amp;CALC_COMMUNITY!$B$11&amp;" Sundays: "&amp;IF(CALC_COMMUNITY!$F$103="","–",TEXT(CALC_COMMUNITY!$F$103,"0.00"))</f>
        <v/>
      </c>
      <c r="O10" s="51" t="n"/>
    </row>
    <row r="12" ht="22" customHeight="1">
      <c r="B12" s="179" t="inlineStr">
        <is>
          <t>Sunday service — time analysis</t>
        </is>
      </c>
      <c r="C12" s="180" t="n"/>
      <c r="D12" s="180" t="n"/>
      <c r="E12" s="180" t="n"/>
      <c r="F12" s="180" t="n"/>
      <c r="G12" s="180" t="n"/>
      <c r="H12" s="180" t="n"/>
      <c r="I12" s="180" t="n"/>
      <c r="J12" s="180" t="n"/>
      <c r="K12" s="180" t="n"/>
      <c r="L12" s="180" t="n"/>
      <c r="M12" s="180" t="n"/>
      <c r="N12" s="180" t="n"/>
      <c r="O12" s="180" t="n"/>
    </row>
    <row r="13" ht="28" customHeight="1">
      <c r="B13" s="181" t="inlineStr">
        <is>
          <t>KPI</t>
        </is>
      </c>
      <c r="C13" s="18" t="n"/>
      <c r="D13" s="182" t="inlineStr">
        <is>
          <t>Selected week</t>
        </is>
      </c>
      <c r="E13" s="182" t="inlineStr">
        <is>
          <t>Previous week</t>
        </is>
      </c>
      <c r="F13" s="182" t="inlineStr">
        <is>
          <t>Change</t>
        </is>
      </c>
      <c r="G13" s="182" t="inlineStr">
        <is>
          <t>% change</t>
        </is>
      </c>
      <c r="H13" s="182">
        <f>"Avg last "&amp;CALC_COMMUNITY!$B$11&amp;" wks"</f>
        <v/>
      </c>
      <c r="I13" s="182">
        <f>"vs "&amp;CALC_COMMUNITY!$B$11&amp;"-wk avg"</f>
        <v/>
      </c>
      <c r="J13" s="182" t="inlineStr">
        <is>
          <t>MTD total</t>
        </is>
      </c>
      <c r="K13" s="182" t="inlineStr">
        <is>
          <t>QTD total</t>
        </is>
      </c>
      <c r="L13" s="182" t="inlineStr">
        <is>
          <t>YTD total</t>
        </is>
      </c>
      <c r="M13" s="182" t="inlineStr">
        <is>
          <t>Wkly avg (month)</t>
        </is>
      </c>
      <c r="N13" s="182" t="inlineStr">
        <is>
          <t>Wkly avg (qtr)</t>
        </is>
      </c>
      <c r="O13" s="182" t="inlineStr">
        <is>
          <t>Wkly avg (year)</t>
        </is>
      </c>
    </row>
    <row r="14">
      <c r="B14" s="183" t="inlineStr">
        <is>
          <t>Sunday attendance</t>
        </is>
      </c>
      <c r="C14" s="184" t="n"/>
      <c r="D14" s="185">
        <f>IF(CALC_COMMUNITY!$B$90="","–",CALC_COMMUNITY!$B$90)</f>
        <v/>
      </c>
      <c r="E14" s="186">
        <f>IF(CALC_COMMUNITY!$C$90="","–",CALC_COMMUNITY!$C$90)</f>
        <v/>
      </c>
      <c r="F14" s="187">
        <f>IF(CALC_COMMUNITY!$D$90="","–",CALC_COMMUNITY!$D$90)</f>
        <v/>
      </c>
      <c r="G14" s="188">
        <f>IF(CALC_COMMUNITY!$E$90="","–",CALC_COMMUNITY!$E$90)</f>
        <v/>
      </c>
      <c r="H14" s="186">
        <f>IF(CALC_COMMUNITY!$F$90="","–",CALC_COMMUNITY!$F$90)</f>
        <v/>
      </c>
      <c r="I14" s="188">
        <f>IF(CALC_COMMUNITY!$G$90="","–",CALC_COMMUNITY!$G$90)</f>
        <v/>
      </c>
      <c r="J14" s="186">
        <f>IF(CALC_COMMUNITY!$H$90="","–",CALC_COMMUNITY!$H$90)</f>
        <v/>
      </c>
      <c r="K14" s="186">
        <f>IF(CALC_COMMUNITY!$I$90="","–",CALC_COMMUNITY!$I$90)</f>
        <v/>
      </c>
      <c r="L14" s="186">
        <f>IF(CALC_COMMUNITY!$J$90="","–",CALC_COMMUNITY!$J$90)</f>
        <v/>
      </c>
      <c r="M14" s="186">
        <f>IF(CALC_COMMUNITY!$K$90="","–",CALC_COMMUNITY!$K$90)</f>
        <v/>
      </c>
      <c r="N14" s="186">
        <f>IF(CALC_COMMUNITY!$L$90="","–",CALC_COMMUNITY!$L$90)</f>
        <v/>
      </c>
      <c r="O14" s="186">
        <f>IF(CALC_COMMUNITY!$M$90="","–",CALC_COMMUNITY!$M$90)</f>
        <v/>
      </c>
    </row>
    <row r="15">
      <c r="B15" s="66" t="inlineStr">
        <is>
          <t>Adults (Male + Female)</t>
        </is>
      </c>
      <c r="D15" s="67">
        <f>IF(CALC_COMMUNITY!$B$91="","–",CALC_COMMUNITY!$B$91)</f>
        <v/>
      </c>
      <c r="E15" s="68">
        <f>IF(CALC_COMMUNITY!$C$91="","–",CALC_COMMUNITY!$C$91)</f>
        <v/>
      </c>
      <c r="F15" s="69">
        <f>IF(CALC_COMMUNITY!$D$91="","–",CALC_COMMUNITY!$D$91)</f>
        <v/>
      </c>
      <c r="G15" s="70">
        <f>IF(CALC_COMMUNITY!$E$91="","–",CALC_COMMUNITY!$E$91)</f>
        <v/>
      </c>
      <c r="H15" s="68">
        <f>IF(CALC_COMMUNITY!$F$91="","–",CALC_COMMUNITY!$F$91)</f>
        <v/>
      </c>
      <c r="I15" s="70">
        <f>IF(CALC_COMMUNITY!$G$91="","–",CALC_COMMUNITY!$G$91)</f>
        <v/>
      </c>
      <c r="J15" s="68">
        <f>IF(CALC_COMMUNITY!$H$91="","–",CALC_COMMUNITY!$H$91)</f>
        <v/>
      </c>
      <c r="K15" s="68">
        <f>IF(CALC_COMMUNITY!$I$91="","–",CALC_COMMUNITY!$I$91)</f>
        <v/>
      </c>
      <c r="L15" s="68">
        <f>IF(CALC_COMMUNITY!$J$91="","–",CALC_COMMUNITY!$J$91)</f>
        <v/>
      </c>
      <c r="M15" s="68">
        <f>IF(CALC_COMMUNITY!$K$91="","–",CALC_COMMUNITY!$K$91)</f>
        <v/>
      </c>
      <c r="N15" s="68">
        <f>IF(CALC_COMMUNITY!$L$91="","–",CALC_COMMUNITY!$L$91)</f>
        <v/>
      </c>
      <c r="O15" s="68">
        <f>IF(CALC_COMMUNITY!$M$91="","–",CALC_COMMUNITY!$M$91)</f>
        <v/>
      </c>
    </row>
    <row r="16">
      <c r="B16" s="189" t="inlineStr">
        <is>
          <t>Male</t>
        </is>
      </c>
      <c r="C16" s="184" t="n"/>
      <c r="D16" s="185">
        <f>IF(CALC_COMMUNITY!$B$92="","–",CALC_COMMUNITY!$B$92)</f>
        <v/>
      </c>
      <c r="E16" s="186">
        <f>IF(CALC_COMMUNITY!$C$92="","–",CALC_COMMUNITY!$C$92)</f>
        <v/>
      </c>
      <c r="F16" s="187">
        <f>IF(CALC_COMMUNITY!$D$92="","–",CALC_COMMUNITY!$D$92)</f>
        <v/>
      </c>
      <c r="G16" s="188">
        <f>IF(CALC_COMMUNITY!$E$92="","–",CALC_COMMUNITY!$E$92)</f>
        <v/>
      </c>
      <c r="H16" s="186">
        <f>IF(CALC_COMMUNITY!$F$92="","–",CALC_COMMUNITY!$F$92)</f>
        <v/>
      </c>
      <c r="I16" s="188">
        <f>IF(CALC_COMMUNITY!$G$92="","–",CALC_COMMUNITY!$G$92)</f>
        <v/>
      </c>
      <c r="J16" s="186">
        <f>IF(CALC_COMMUNITY!$H$92="","–",CALC_COMMUNITY!$H$92)</f>
        <v/>
      </c>
      <c r="K16" s="186">
        <f>IF(CALC_COMMUNITY!$I$92="","–",CALC_COMMUNITY!$I$92)</f>
        <v/>
      </c>
      <c r="L16" s="186">
        <f>IF(CALC_COMMUNITY!$J$92="","–",CALC_COMMUNITY!$J$92)</f>
        <v/>
      </c>
      <c r="M16" s="186">
        <f>IF(CALC_COMMUNITY!$K$92="","–",CALC_COMMUNITY!$K$92)</f>
        <v/>
      </c>
      <c r="N16" s="186">
        <f>IF(CALC_COMMUNITY!$L$92="","–",CALC_COMMUNITY!$L$92)</f>
        <v/>
      </c>
      <c r="O16" s="186">
        <f>IF(CALC_COMMUNITY!$M$92="","–",CALC_COMMUNITY!$M$92)</f>
        <v/>
      </c>
    </row>
    <row r="17">
      <c r="B17" s="66" t="inlineStr">
        <is>
          <t>Female</t>
        </is>
      </c>
      <c r="D17" s="67">
        <f>IF(CALC_COMMUNITY!$B$93="","–",CALC_COMMUNITY!$B$93)</f>
        <v/>
      </c>
      <c r="E17" s="68">
        <f>IF(CALC_COMMUNITY!$C$93="","–",CALC_COMMUNITY!$C$93)</f>
        <v/>
      </c>
      <c r="F17" s="69">
        <f>IF(CALC_COMMUNITY!$D$93="","–",CALC_COMMUNITY!$D$93)</f>
        <v/>
      </c>
      <c r="G17" s="70">
        <f>IF(CALC_COMMUNITY!$E$93="","–",CALC_COMMUNITY!$E$93)</f>
        <v/>
      </c>
      <c r="H17" s="68">
        <f>IF(CALC_COMMUNITY!$F$93="","–",CALC_COMMUNITY!$F$93)</f>
        <v/>
      </c>
      <c r="I17" s="70">
        <f>IF(CALC_COMMUNITY!$G$93="","–",CALC_COMMUNITY!$G$93)</f>
        <v/>
      </c>
      <c r="J17" s="68">
        <f>IF(CALC_COMMUNITY!$H$93="","–",CALC_COMMUNITY!$H$93)</f>
        <v/>
      </c>
      <c r="K17" s="68">
        <f>IF(CALC_COMMUNITY!$I$93="","–",CALC_COMMUNITY!$I$93)</f>
        <v/>
      </c>
      <c r="L17" s="68">
        <f>IF(CALC_COMMUNITY!$J$93="","–",CALC_COMMUNITY!$J$93)</f>
        <v/>
      </c>
      <c r="M17" s="68">
        <f>IF(CALC_COMMUNITY!$K$93="","–",CALC_COMMUNITY!$K$93)</f>
        <v/>
      </c>
      <c r="N17" s="68">
        <f>IF(CALC_COMMUNITY!$L$93="","–",CALC_COMMUNITY!$L$93)</f>
        <v/>
      </c>
      <c r="O17" s="68">
        <f>IF(CALC_COMMUNITY!$M$93="","–",CALC_COMMUNITY!$M$93)</f>
        <v/>
      </c>
    </row>
    <row r="18">
      <c r="B18" s="189" t="inlineStr">
        <is>
          <t>Children</t>
        </is>
      </c>
      <c r="C18" s="184" t="n"/>
      <c r="D18" s="185">
        <f>IF(CALC_COMMUNITY!$B$94="","–",CALC_COMMUNITY!$B$94)</f>
        <v/>
      </c>
      <c r="E18" s="186">
        <f>IF(CALC_COMMUNITY!$C$94="","–",CALC_COMMUNITY!$C$94)</f>
        <v/>
      </c>
      <c r="F18" s="187">
        <f>IF(CALC_COMMUNITY!$D$94="","–",CALC_COMMUNITY!$D$94)</f>
        <v/>
      </c>
      <c r="G18" s="188">
        <f>IF(CALC_COMMUNITY!$E$94="","–",CALC_COMMUNITY!$E$94)</f>
        <v/>
      </c>
      <c r="H18" s="186">
        <f>IF(CALC_COMMUNITY!$F$94="","–",CALC_COMMUNITY!$F$94)</f>
        <v/>
      </c>
      <c r="I18" s="188">
        <f>IF(CALC_COMMUNITY!$G$94="","–",CALC_COMMUNITY!$G$94)</f>
        <v/>
      </c>
      <c r="J18" s="186">
        <f>IF(CALC_COMMUNITY!$H$94="","–",CALC_COMMUNITY!$H$94)</f>
        <v/>
      </c>
      <c r="K18" s="186">
        <f>IF(CALC_COMMUNITY!$I$94="","–",CALC_COMMUNITY!$I$94)</f>
        <v/>
      </c>
      <c r="L18" s="186">
        <f>IF(CALC_COMMUNITY!$J$94="","–",CALC_COMMUNITY!$J$94)</f>
        <v/>
      </c>
      <c r="M18" s="186">
        <f>IF(CALC_COMMUNITY!$K$94="","–",CALC_COMMUNITY!$K$94)</f>
        <v/>
      </c>
      <c r="N18" s="186">
        <f>IF(CALC_COMMUNITY!$L$94="","–",CALC_COMMUNITY!$L$94)</f>
        <v/>
      </c>
      <c r="O18" s="186">
        <f>IF(CALC_COMMUNITY!$M$94="","–",CALC_COMMUNITY!$M$94)</f>
        <v/>
      </c>
    </row>
    <row r="19">
      <c r="B19" s="66" t="inlineStr">
        <is>
          <t>First timers</t>
        </is>
      </c>
      <c r="D19" s="67">
        <f>IF(CALC_COMMUNITY!$B$95="","–",CALC_COMMUNITY!$B$95)</f>
        <v/>
      </c>
      <c r="E19" s="68">
        <f>IF(CALC_COMMUNITY!$C$95="","–",CALC_COMMUNITY!$C$95)</f>
        <v/>
      </c>
      <c r="F19" s="69">
        <f>IF(CALC_COMMUNITY!$D$95="","–",CALC_COMMUNITY!$D$95)</f>
        <v/>
      </c>
      <c r="G19" s="70">
        <f>IF(CALC_COMMUNITY!$E$95="","–",CALC_COMMUNITY!$E$95)</f>
        <v/>
      </c>
      <c r="H19" s="68">
        <f>IF(CALC_COMMUNITY!$F$95="","–",CALC_COMMUNITY!$F$95)</f>
        <v/>
      </c>
      <c r="I19" s="70">
        <f>IF(CALC_COMMUNITY!$G$95="","–",CALC_COMMUNITY!$G$95)</f>
        <v/>
      </c>
      <c r="J19" s="68">
        <f>IF(CALC_COMMUNITY!$H$95="","–",CALC_COMMUNITY!$H$95)</f>
        <v/>
      </c>
      <c r="K19" s="68">
        <f>IF(CALC_COMMUNITY!$I$95="","–",CALC_COMMUNITY!$I$95)</f>
        <v/>
      </c>
      <c r="L19" s="68">
        <f>IF(CALC_COMMUNITY!$J$95="","–",CALC_COMMUNITY!$J$95)</f>
        <v/>
      </c>
      <c r="M19" s="68">
        <f>IF(CALC_COMMUNITY!$K$95="","–",CALC_COMMUNITY!$K$95)</f>
        <v/>
      </c>
      <c r="N19" s="68">
        <f>IF(CALC_COMMUNITY!$L$95="","–",CALC_COMMUNITY!$L$95)</f>
        <v/>
      </c>
      <c r="O19" s="68">
        <f>IF(CALC_COMMUNITY!$M$95="","–",CALC_COMMUNITY!$M$95)</f>
        <v/>
      </c>
    </row>
    <row r="20">
      <c r="B20" s="189" t="inlineStr">
        <is>
          <t>New converts</t>
        </is>
      </c>
      <c r="C20" s="184" t="n"/>
      <c r="D20" s="185">
        <f>IF(CALC_COMMUNITY!$B$96="","–",CALC_COMMUNITY!$B$96)</f>
        <v/>
      </c>
      <c r="E20" s="186">
        <f>IF(CALC_COMMUNITY!$C$96="","–",CALC_COMMUNITY!$C$96)</f>
        <v/>
      </c>
      <c r="F20" s="187">
        <f>IF(CALC_COMMUNITY!$D$96="","–",CALC_COMMUNITY!$D$96)</f>
        <v/>
      </c>
      <c r="G20" s="188">
        <f>IF(CALC_COMMUNITY!$E$96="","–",CALC_COMMUNITY!$E$96)</f>
        <v/>
      </c>
      <c r="H20" s="186">
        <f>IF(CALC_COMMUNITY!$F$96="","–",CALC_COMMUNITY!$F$96)</f>
        <v/>
      </c>
      <c r="I20" s="188">
        <f>IF(CALC_COMMUNITY!$G$96="","–",CALC_COMMUNITY!$G$96)</f>
        <v/>
      </c>
      <c r="J20" s="186">
        <f>IF(CALC_COMMUNITY!$H$96="","–",CALC_COMMUNITY!$H$96)</f>
        <v/>
      </c>
      <c r="K20" s="186">
        <f>IF(CALC_COMMUNITY!$I$96="","–",CALC_COMMUNITY!$I$96)</f>
        <v/>
      </c>
      <c r="L20" s="186">
        <f>IF(CALC_COMMUNITY!$J$96="","–",CALC_COMMUNITY!$J$96)</f>
        <v/>
      </c>
      <c r="M20" s="186">
        <f>IF(CALC_COMMUNITY!$K$96="","–",CALC_COMMUNITY!$K$96)</f>
        <v/>
      </c>
      <c r="N20" s="186">
        <f>IF(CALC_COMMUNITY!$L$96="","–",CALC_COMMUNITY!$L$96)</f>
        <v/>
      </c>
      <c r="O20" s="186">
        <f>IF(CALC_COMMUNITY!$M$96="","–",CALC_COMMUNITY!$M$96)</f>
        <v/>
      </c>
    </row>
    <row r="21">
      <c r="B21" s="66" t="inlineStr">
        <is>
          <t>Testimonies</t>
        </is>
      </c>
      <c r="D21" s="67">
        <f>IF(CALC_COMMUNITY!$B$97="","–",CALC_COMMUNITY!$B$97)</f>
        <v/>
      </c>
      <c r="E21" s="68">
        <f>IF(CALC_COMMUNITY!$C$97="","–",CALC_COMMUNITY!$C$97)</f>
        <v/>
      </c>
      <c r="F21" s="69">
        <f>IF(CALC_COMMUNITY!$D$97="","–",CALC_COMMUNITY!$D$97)</f>
        <v/>
      </c>
      <c r="G21" s="70">
        <f>IF(CALC_COMMUNITY!$E$97="","–",CALC_COMMUNITY!$E$97)</f>
        <v/>
      </c>
      <c r="H21" s="68">
        <f>IF(CALC_COMMUNITY!$F$97="","–",CALC_COMMUNITY!$F$97)</f>
        <v/>
      </c>
      <c r="I21" s="70">
        <f>IF(CALC_COMMUNITY!$G$97="","–",CALC_COMMUNITY!$G$97)</f>
        <v/>
      </c>
      <c r="J21" s="68">
        <f>IF(CALC_COMMUNITY!$H$97="","–",CALC_COMMUNITY!$H$97)</f>
        <v/>
      </c>
      <c r="K21" s="68">
        <f>IF(CALC_COMMUNITY!$I$97="","–",CALC_COMMUNITY!$I$97)</f>
        <v/>
      </c>
      <c r="L21" s="68">
        <f>IF(CALC_COMMUNITY!$J$97="","–",CALC_COMMUNITY!$J$97)</f>
        <v/>
      </c>
      <c r="M21" s="68">
        <f>IF(CALC_COMMUNITY!$K$97="","–",CALC_COMMUNITY!$K$97)</f>
        <v/>
      </c>
      <c r="N21" s="68">
        <f>IF(CALC_COMMUNITY!$L$97="","–",CALC_COMMUNITY!$L$97)</f>
        <v/>
      </c>
      <c r="O21" s="68">
        <f>IF(CALC_COMMUNITY!$M$97="","–",CALC_COMMUNITY!$M$97)</f>
        <v/>
      </c>
    </row>
    <row r="22">
      <c r="B22" s="189" t="inlineStr">
        <is>
          <t>Churches</t>
        </is>
      </c>
      <c r="C22" s="184" t="n"/>
      <c r="D22" s="185">
        <f>IF(CALC_COMMUNITY!$B$98="","–",CALC_COMMUNITY!$B$98)</f>
        <v/>
      </c>
      <c r="E22" s="186">
        <f>IF(CALC_COMMUNITY!$C$98="","–",CALC_COMMUNITY!$C$98)</f>
        <v/>
      </c>
      <c r="F22" s="187">
        <f>IF(CALC_COMMUNITY!$D$98="","–",CALC_COMMUNITY!$D$98)</f>
        <v/>
      </c>
      <c r="G22" s="188">
        <f>IF(CALC_COMMUNITY!$E$98="","–",CALC_COMMUNITY!$E$98)</f>
        <v/>
      </c>
      <c r="H22" s="186">
        <f>IF(CALC_COMMUNITY!$F$98="","–",CALC_COMMUNITY!$F$98)</f>
        <v/>
      </c>
      <c r="I22" s="188">
        <f>IF(CALC_COMMUNITY!$G$98="","–",CALC_COMMUNITY!$G$98)</f>
        <v/>
      </c>
      <c r="J22" s="186">
        <f>IF(CALC_COMMUNITY!$H$98="","–",CALC_COMMUNITY!$H$98)</f>
        <v/>
      </c>
      <c r="K22" s="186">
        <f>IF(CALC_COMMUNITY!$I$98="","–",CALC_COMMUNITY!$I$98)</f>
        <v/>
      </c>
      <c r="L22" s="186">
        <f>IF(CALC_COMMUNITY!$J$98="","–",CALC_COMMUNITY!$J$98)</f>
        <v/>
      </c>
      <c r="M22" s="186">
        <f>IF(CALC_COMMUNITY!$K$98="","–",CALC_COMMUNITY!$K$98)</f>
        <v/>
      </c>
      <c r="N22" s="186">
        <f>IF(CALC_COMMUNITY!$L$98="","–",CALC_COMMUNITY!$L$98)</f>
        <v/>
      </c>
      <c r="O22" s="186">
        <f>IF(CALC_COMMUNITY!$M$98="","–",CALC_COMMUNITY!$M$98)</f>
        <v/>
      </c>
    </row>
    <row r="23">
      <c r="B23" s="66" t="inlineStr">
        <is>
          <t>Churches that reported</t>
        </is>
      </c>
      <c r="D23" s="67">
        <f>IF(CALC_COMMUNITY!$B$99="","–",CALC_COMMUNITY!$B$99)</f>
        <v/>
      </c>
      <c r="E23" s="68">
        <f>IF(CALC_COMMUNITY!$C$99="","–",CALC_COMMUNITY!$C$99)</f>
        <v/>
      </c>
      <c r="F23" s="69">
        <f>IF(CALC_COMMUNITY!$D$99="","–",CALC_COMMUNITY!$D$99)</f>
        <v/>
      </c>
      <c r="G23" s="70">
        <f>IF(CALC_COMMUNITY!$E$99="","–",CALC_COMMUNITY!$E$99)</f>
        <v/>
      </c>
      <c r="H23" s="68">
        <f>IF(CALC_COMMUNITY!$F$99="","–",CALC_COMMUNITY!$F$99)</f>
        <v/>
      </c>
      <c r="I23" s="70">
        <f>IF(CALC_COMMUNITY!$G$99="","–",CALC_COMMUNITY!$G$99)</f>
        <v/>
      </c>
      <c r="J23" s="68">
        <f>IF(CALC_COMMUNITY!$H$99="","–",CALC_COMMUNITY!$H$99)</f>
        <v/>
      </c>
      <c r="K23" s="68">
        <f>IF(CALC_COMMUNITY!$I$99="","–",CALC_COMMUNITY!$I$99)</f>
        <v/>
      </c>
      <c r="L23" s="68">
        <f>IF(CALC_COMMUNITY!$J$99="","–",CALC_COMMUNITY!$J$99)</f>
        <v/>
      </c>
      <c r="M23" s="68">
        <f>IF(CALC_COMMUNITY!$K$99="","–",CALC_COMMUNITY!$K$99)</f>
        <v/>
      </c>
      <c r="N23" s="68">
        <f>IF(CALC_COMMUNITY!$L$99="","–",CALC_COMMUNITY!$L$99)</f>
        <v/>
      </c>
      <c r="O23" s="68">
        <f>IF(CALC_COMMUNITY!$M$99="","–",CALC_COMMUNITY!$M$99)</f>
        <v/>
      </c>
    </row>
    <row r="24">
      <c r="B24" s="189" t="inlineStr">
        <is>
          <t>Churches with no report</t>
        </is>
      </c>
      <c r="C24" s="184" t="n"/>
      <c r="D24" s="185">
        <f>IF(CALC_COMMUNITY!$B$100="","–",CALC_COMMUNITY!$B$100)</f>
        <v/>
      </c>
      <c r="E24" s="186">
        <f>IF(CALC_COMMUNITY!$C$100="","–",CALC_COMMUNITY!$C$100)</f>
        <v/>
      </c>
      <c r="F24" s="187">
        <f>IF(CALC_COMMUNITY!$D$100="","–",CALC_COMMUNITY!$D$100)</f>
        <v/>
      </c>
      <c r="G24" s="188">
        <f>IF(CALC_COMMUNITY!$E$100="","–",CALC_COMMUNITY!$E$100)</f>
        <v/>
      </c>
      <c r="H24" s="186">
        <f>IF(CALC_COMMUNITY!$F$100="","–",CALC_COMMUNITY!$F$100)</f>
        <v/>
      </c>
      <c r="I24" s="188">
        <f>IF(CALC_COMMUNITY!$G$100="","–",CALC_COMMUNITY!$G$100)</f>
        <v/>
      </c>
      <c r="J24" s="186">
        <f>IF(CALC_COMMUNITY!$H$100="","–",CALC_COMMUNITY!$H$100)</f>
        <v/>
      </c>
      <c r="K24" s="186">
        <f>IF(CALC_COMMUNITY!$I$100="","–",CALC_COMMUNITY!$I$100)</f>
        <v/>
      </c>
      <c r="L24" s="186">
        <f>IF(CALC_COMMUNITY!$J$100="","–",CALC_COMMUNITY!$J$100)</f>
        <v/>
      </c>
      <c r="M24" s="186">
        <f>IF(CALC_COMMUNITY!$K$100="","–",CALC_COMMUNITY!$K$100)</f>
        <v/>
      </c>
      <c r="N24" s="186">
        <f>IF(CALC_COMMUNITY!$L$100="","–",CALC_COMMUNITY!$L$100)</f>
        <v/>
      </c>
      <c r="O24" s="186">
        <f>IF(CALC_COMMUNITY!$M$100="","–",CALC_COMMUNITY!$M$100)</f>
        <v/>
      </c>
    </row>
    <row r="25">
      <c r="B25" s="190" t="inlineStr">
        <is>
          <t>% churches reporting</t>
        </is>
      </c>
      <c r="D25" s="191">
        <f>IF(CALC_COMMUNITY!$B$101="","–",CALC_COMMUNITY!$B$101)</f>
        <v/>
      </c>
      <c r="E25" s="192">
        <f>IF(CALC_COMMUNITY!$C$101="","–",CALC_COMMUNITY!$C$101)</f>
        <v/>
      </c>
      <c r="F25" s="193">
        <f>IF(CALC_COMMUNITY!$D$101="","–",CALC_COMMUNITY!$D$101*100)</f>
        <v/>
      </c>
      <c r="G25" s="70">
        <f>IF(CALC_COMMUNITY!$E$101="","–",CALC_COMMUNITY!$E$101)</f>
        <v/>
      </c>
      <c r="H25" s="192">
        <f>IF(CALC_COMMUNITY!$F$101="","–",CALC_COMMUNITY!$F$101)</f>
        <v/>
      </c>
      <c r="I25" s="70">
        <f>IF(CALC_COMMUNITY!$G$101="","–",CALC_COMMUNITY!$G$101)</f>
        <v/>
      </c>
      <c r="J25" s="192">
        <f>IF(CALC_COMMUNITY!$H$101="","–",CALC_COMMUNITY!$H$101)</f>
        <v/>
      </c>
      <c r="K25" s="192">
        <f>IF(CALC_COMMUNITY!$I$101="","–",CALC_COMMUNITY!$I$101)</f>
        <v/>
      </c>
      <c r="L25" s="192">
        <f>IF(CALC_COMMUNITY!$J$101="","–",CALC_COMMUNITY!$J$101)</f>
        <v/>
      </c>
      <c r="M25" s="192">
        <f>IF(CALC_COMMUNITY!$K$101="","–",CALC_COMMUNITY!$K$101)</f>
        <v/>
      </c>
      <c r="N25" s="192">
        <f>IF(CALC_COMMUNITY!$L$101="","–",CALC_COMMUNITY!$L$101)</f>
        <v/>
      </c>
      <c r="O25" s="192">
        <f>IF(CALC_COMMUNITY!$M$101="","–",CALC_COMMUNITY!$M$101)</f>
        <v/>
      </c>
    </row>
    <row r="26">
      <c r="B26" s="189" t="inlineStr">
        <is>
          <t>Avg attendance per reporting church</t>
        </is>
      </c>
      <c r="C26" s="184" t="n"/>
      <c r="D26" s="194">
        <f>IF(CALC_COMMUNITY!$B$102="","–",CALC_COMMUNITY!$B$102)</f>
        <v/>
      </c>
      <c r="E26" s="195">
        <f>IF(CALC_COMMUNITY!$C$102="","–",CALC_COMMUNITY!$C$102)</f>
        <v/>
      </c>
      <c r="F26" s="196">
        <f>IF(CALC_COMMUNITY!$D$102="","–",CALC_COMMUNITY!$D$102)</f>
        <v/>
      </c>
      <c r="G26" s="188">
        <f>IF(CALC_COMMUNITY!$E$102="","–",CALC_COMMUNITY!$E$102)</f>
        <v/>
      </c>
      <c r="H26" s="195">
        <f>IF(CALC_COMMUNITY!$F$102="","–",CALC_COMMUNITY!$F$102)</f>
        <v/>
      </c>
      <c r="I26" s="188">
        <f>IF(CALC_COMMUNITY!$G$102="","–",CALC_COMMUNITY!$G$102)</f>
        <v/>
      </c>
      <c r="J26" s="195">
        <f>IF(CALC_COMMUNITY!$H$102="","–",CALC_COMMUNITY!$H$102)</f>
        <v/>
      </c>
      <c r="K26" s="195">
        <f>IF(CALC_COMMUNITY!$I$102="","–",CALC_COMMUNITY!$I$102)</f>
        <v/>
      </c>
      <c r="L26" s="195">
        <f>IF(CALC_COMMUNITY!$J$102="","–",CALC_COMMUNITY!$J$102)</f>
        <v/>
      </c>
      <c r="M26" s="195">
        <f>IF(CALC_COMMUNITY!$K$102="","–",CALC_COMMUNITY!$K$102)</f>
        <v/>
      </c>
      <c r="N26" s="195">
        <f>IF(CALC_COMMUNITY!$L$102="","–",CALC_COMMUNITY!$L$102)</f>
        <v/>
      </c>
      <c r="O26" s="195">
        <f>IF(CALC_COMMUNITY!$M$102="","–",CALC_COMMUNITY!$M$102)</f>
        <v/>
      </c>
    </row>
    <row r="27">
      <c r="B27" s="66" t="inlineStr">
        <is>
          <t>Pastors present (of 2 per church)</t>
        </is>
      </c>
      <c r="D27" s="197">
        <f>IF(CALC_COMMUNITY!$B$103="","–",CALC_COMMUNITY!$B$103)</f>
        <v/>
      </c>
      <c r="E27" s="198">
        <f>IF(CALC_COMMUNITY!$C$103="","–",CALC_COMMUNITY!$C$103)</f>
        <v/>
      </c>
      <c r="F27" s="199">
        <f>IF(CALC_COMMUNITY!$D$103="","–",CALC_COMMUNITY!$D$103)</f>
        <v/>
      </c>
      <c r="G27" s="70">
        <f>IF(CALC_COMMUNITY!$E$103="","–",CALC_COMMUNITY!$E$103)</f>
        <v/>
      </c>
      <c r="H27" s="198">
        <f>IF(CALC_COMMUNITY!$F$103="","–",CALC_COMMUNITY!$F$103)</f>
        <v/>
      </c>
      <c r="I27" s="70">
        <f>IF(CALC_COMMUNITY!$G$103="","–",CALC_COMMUNITY!$G$103)</f>
        <v/>
      </c>
      <c r="J27" s="198">
        <f>IF(CALC_COMMUNITY!$H$103="","–",CALC_COMMUNITY!$H$103)</f>
        <v/>
      </c>
      <c r="K27" s="198">
        <f>IF(CALC_COMMUNITY!$I$103="","–",CALC_COMMUNITY!$I$103)</f>
        <v/>
      </c>
      <c r="L27" s="198">
        <f>IF(CALC_COMMUNITY!$J$103="","–",CALC_COMMUNITY!$J$103)</f>
        <v/>
      </c>
      <c r="M27" s="198">
        <f>IF(CALC_COMMUNITY!$K$103="","–",CALC_COMMUNITY!$K$103)</f>
        <v/>
      </c>
      <c r="N27" s="198">
        <f>IF(CALC_COMMUNITY!$L$103="","–",CALC_COMMUNITY!$L$103)</f>
        <v/>
      </c>
      <c r="O27" s="198">
        <f>IF(CALC_COMMUNITY!$M$103="","–",CALC_COMMUNITY!$M$103)</f>
        <v/>
      </c>
    </row>
    <row r="29" ht="22" customHeight="1">
      <c r="B29" s="179" t="inlineStr">
        <is>
          <t>Sunday trends</t>
        </is>
      </c>
      <c r="C29" s="180" t="n"/>
      <c r="D29" s="180" t="n"/>
      <c r="E29" s="180" t="n"/>
      <c r="F29" s="180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</row>
    <row r="46" ht="22" customHeight="1">
      <c r="B46" s="179" t="inlineStr">
        <is>
          <t>Other services at the Community Churches (from the zonal reports)</t>
        </is>
      </c>
      <c r="C46" s="180" t="n"/>
      <c r="D46" s="180" t="n"/>
      <c r="E46" s="180" t="n"/>
      <c r="F46" s="180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200" t="inlineStr">
        <is>
          <t>Latest report on or before the selected week</t>
        </is>
      </c>
    </row>
    <row r="47">
      <c r="B47" s="182" t="inlineStr">
        <is>
          <t>Service</t>
        </is>
      </c>
      <c r="C47" s="18" t="n"/>
      <c r="D47" s="182" t="inlineStr">
        <is>
          <t>Week ending</t>
        </is>
      </c>
      <c r="E47" s="18" t="n"/>
      <c r="F47" s="182" t="inlineStr">
        <is>
          <t>Churches reported</t>
        </is>
      </c>
      <c r="G47" s="18" t="n"/>
      <c r="H47" s="182" t="inlineStr">
        <is>
          <t>Attendance</t>
        </is>
      </c>
      <c r="I47" s="18" t="n"/>
      <c r="J47" s="182" t="inlineStr">
        <is>
          <t>First timers</t>
        </is>
      </c>
      <c r="K47" s="18" t="n"/>
      <c r="L47" s="182" t="inlineStr">
        <is>
          <t>New converts</t>
        </is>
      </c>
      <c r="M47" s="18" t="n"/>
    </row>
    <row r="48">
      <c r="B48" s="201" t="inlineStr">
        <is>
          <t>WSF</t>
        </is>
      </c>
      <c r="D48" s="202">
        <f>IF(OR(CALC_COMMUNITY!$F$171="",CALC_COMMUNITY!$F$171=0),"–",CALC_COMMUNITY!$F$171)</f>
        <v/>
      </c>
      <c r="F48" s="68">
        <f>IF(OR(CALC_COMMUNITY!$F$171="",CALC_COMMUNITY!$F$171=0),"–",COUNTIFS(DATA_COMMUNITY!$A:$A,CALC_COMMUNITY!$F$171,DATA_COMMUNITY!$E:$E,CALC_COMMUNITY!$B$6,DATA_COMMUNITY!$C:$C,CALC_COMMUNITY!$B$7,DATA_COMMUNITY!$D:$D,"WSF"))</f>
        <v/>
      </c>
      <c r="H48" s="68">
        <f>IF(OR(CALC_COMMUNITY!$F$171="",CALC_COMMUNITY!$F$171=0),"–",SUMIFS(DATA_COMMUNITY!$K:$K,DATA_COMMUNITY!$A:$A,CALC_COMMUNITY!$F$171,DATA_COMMUNITY!$E:$E,CALC_COMMUNITY!$B$6,DATA_COMMUNITY!$C:$C,CALC_COMMUNITY!$B$7,DATA_COMMUNITY!$D:$D,"WSF"))</f>
        <v/>
      </c>
      <c r="J48" s="68">
        <f>IF(OR(CALC_COMMUNITY!$F$171="",CALC_COMMUNITY!$F$171=0),"–",SUMIFS(DATA_COMMUNITY!$L:$L,DATA_COMMUNITY!$A:$A,CALC_COMMUNITY!$F$171,DATA_COMMUNITY!$E:$E,CALC_COMMUNITY!$B$6,DATA_COMMUNITY!$C:$C,CALC_COMMUNITY!$B$7,DATA_COMMUNITY!$D:$D,"WSF"))</f>
        <v/>
      </c>
      <c r="L48" s="68">
        <f>IF(OR(CALC_COMMUNITY!$F$171="",CALC_COMMUNITY!$F$171=0),"–",SUMIFS(DATA_COMMUNITY!$M:$M,DATA_COMMUNITY!$A:$A,CALC_COMMUNITY!$F$171,DATA_COMMUNITY!$E:$E,CALC_COMMUNITY!$B$6,DATA_COMMUNITY!$C:$C,CALC_COMMUNITY!$B$7,DATA_COMMUNITY!$D:$D,"WSF"))</f>
        <v/>
      </c>
    </row>
    <row r="49">
      <c r="B49" s="201" t="inlineStr">
        <is>
          <t>Midweek</t>
        </is>
      </c>
      <c r="D49" s="202">
        <f>IF(OR(CALC_COMMUNITY!$F$172="",CALC_COMMUNITY!$F$172=0),"–",CALC_COMMUNITY!$F$172)</f>
        <v/>
      </c>
      <c r="F49" s="68">
        <f>IF(OR(CALC_COMMUNITY!$F$172="",CALC_COMMUNITY!$F$172=0),"–",COUNTIFS(DATA_COMMUNITY!$A:$A,CALC_COMMUNITY!$F$172,DATA_COMMUNITY!$E:$E,CALC_COMMUNITY!$B$6,DATA_COMMUNITY!$C:$C,CALC_COMMUNITY!$B$7,DATA_COMMUNITY!$D:$D,"Midweek"))</f>
        <v/>
      </c>
      <c r="H49" s="68">
        <f>IF(OR(CALC_COMMUNITY!$F$172="",CALC_COMMUNITY!$F$172=0),"–",SUMIFS(DATA_COMMUNITY!$K:$K,DATA_COMMUNITY!$A:$A,CALC_COMMUNITY!$F$172,DATA_COMMUNITY!$E:$E,CALC_COMMUNITY!$B$6,DATA_COMMUNITY!$C:$C,CALC_COMMUNITY!$B$7,DATA_COMMUNITY!$D:$D,"Midweek"))</f>
        <v/>
      </c>
      <c r="J49" s="68">
        <f>IF(OR(CALC_COMMUNITY!$F$172="",CALC_COMMUNITY!$F$172=0),"–",SUMIFS(DATA_COMMUNITY!$L:$L,DATA_COMMUNITY!$A:$A,CALC_COMMUNITY!$F$172,DATA_COMMUNITY!$E:$E,CALC_COMMUNITY!$B$6,DATA_COMMUNITY!$C:$C,CALC_COMMUNITY!$B$7,DATA_COMMUNITY!$D:$D,"Midweek"))</f>
        <v/>
      </c>
      <c r="L49" s="68">
        <f>IF(OR(CALC_COMMUNITY!$F$172="",CALC_COMMUNITY!$F$172=0),"–",SUMIFS(DATA_COMMUNITY!$M:$M,DATA_COMMUNITY!$A:$A,CALC_COMMUNITY!$F$172,DATA_COMMUNITY!$E:$E,CALC_COMMUNITY!$B$6,DATA_COMMUNITY!$C:$C,CALC_COMMUNITY!$B$7,DATA_COMMUNITY!$D:$D,"Midweek"))</f>
        <v/>
      </c>
    </row>
    <row r="50">
      <c r="B50" s="201" t="inlineStr">
        <is>
          <t>CHOP</t>
        </is>
      </c>
      <c r="D50" s="202">
        <f>IF(OR(CALC_COMMUNITY!$F$173="",CALC_COMMUNITY!$F$173=0),"–",CALC_COMMUNITY!$F$173)</f>
        <v/>
      </c>
      <c r="F50" s="68">
        <f>IF(OR(CALC_COMMUNITY!$F$173="",CALC_COMMUNITY!$F$173=0),"–",COUNTIFS(DATA_COMMUNITY!$A:$A,CALC_COMMUNITY!$F$173,DATA_COMMUNITY!$E:$E,CALC_COMMUNITY!$B$6,DATA_COMMUNITY!$C:$C,CALC_COMMUNITY!$B$7,DATA_COMMUNITY!$D:$D,"CHOP"))</f>
        <v/>
      </c>
      <c r="H50" s="68">
        <f>IF(OR(CALC_COMMUNITY!$F$173="",CALC_COMMUNITY!$F$173=0),"–",SUMIFS(DATA_COMMUNITY!$K:$K,DATA_COMMUNITY!$A:$A,CALC_COMMUNITY!$F$173,DATA_COMMUNITY!$E:$E,CALC_COMMUNITY!$B$6,DATA_COMMUNITY!$C:$C,CALC_COMMUNITY!$B$7,DATA_COMMUNITY!$D:$D,"CHOP"))</f>
        <v/>
      </c>
      <c r="J50" s="68">
        <f>IF(OR(CALC_COMMUNITY!$F$173="",CALC_COMMUNITY!$F$173=0),"–",SUMIFS(DATA_COMMUNITY!$L:$L,DATA_COMMUNITY!$A:$A,CALC_COMMUNITY!$F$173,DATA_COMMUNITY!$E:$E,CALC_COMMUNITY!$B$6,DATA_COMMUNITY!$C:$C,CALC_COMMUNITY!$B$7,DATA_COMMUNITY!$D:$D,"CHOP"))</f>
        <v/>
      </c>
      <c r="L50" s="68">
        <f>IF(OR(CALC_COMMUNITY!$F$173="",CALC_COMMUNITY!$F$173=0),"–",SUMIFS(DATA_COMMUNITY!$M:$M,DATA_COMMUNITY!$A:$A,CALC_COMMUNITY!$F$173,DATA_COMMUNITY!$E:$E,CALC_COMMUNITY!$B$6,DATA_COMMUNITY!$C:$C,CALC_COMMUNITY!$B$7,DATA_COMMUNITY!$D:$D,"CHOP"))</f>
        <v/>
      </c>
    </row>
    <row r="52" ht="22" customHeight="1">
      <c r="B52" s="179" t="inlineStr">
        <is>
          <t>Churches — selected Sunday</t>
        </is>
      </c>
      <c r="C52" s="180" t="n"/>
      <c r="D52" s="180" t="n"/>
      <c r="E52" s="180" t="n"/>
      <c r="F52" s="180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200" t="inlineStr">
        <is>
          <t>Pastors = pastors present (0–2)</t>
        </is>
      </c>
    </row>
    <row r="53">
      <c r="B53" s="182" t="inlineStr">
        <is>
          <t>Church</t>
        </is>
      </c>
      <c r="C53" s="18" t="n"/>
      <c r="D53" s="182" t="inlineStr">
        <is>
          <t>Location</t>
        </is>
      </c>
      <c r="E53" s="18" t="n"/>
      <c r="F53" s="18" t="n"/>
      <c r="G53" s="18" t="n"/>
      <c r="H53" s="182" t="inlineStr">
        <is>
          <t>Host Area</t>
        </is>
      </c>
      <c r="I53" s="18" t="n"/>
      <c r="J53" s="182" t="inlineStr">
        <is>
          <t>This Sunday</t>
        </is>
      </c>
      <c r="K53" s="182" t="inlineStr">
        <is>
          <t>Prev Sunday</t>
        </is>
      </c>
      <c r="L53" s="182" t="inlineStr">
        <is>
          <t>Change</t>
        </is>
      </c>
      <c r="M53" s="182" t="inlineStr">
        <is>
          <t>vs N-wk avg</t>
        </is>
      </c>
      <c r="N53" s="182" t="inlineStr">
        <is>
          <t>First timers</t>
        </is>
      </c>
      <c r="O53" s="182" t="inlineStr">
        <is>
          <t>Pastors</t>
        </is>
      </c>
    </row>
    <row r="54">
      <c r="B54" s="189">
        <f>IF(CALC_COMMUNITY!$AP$3="","",IF(INDEX(CALC_COMMUNITY!$AA:$AA,CALC_COMMUNITY!$AP$3)="","–",INDEX(CALC_COMMUNITY!$AA:$AA,CALC_COMMUNITY!$AP$3)))</f>
        <v/>
      </c>
      <c r="C54" s="184" t="n"/>
      <c r="D54" s="189">
        <f>IF(CALC_COMMUNITY!$AP$3="","",IF(INDEX(CALC_COMMUNITY!$AB:$AB,CALC_COMMUNITY!$AP$3)="","–",INDEX(CALC_COMMUNITY!$AB:$AB,CALC_COMMUNITY!$AP$3)))</f>
        <v/>
      </c>
      <c r="E54" s="184" t="n"/>
      <c r="F54" s="184" t="n"/>
      <c r="G54" s="184" t="n"/>
      <c r="H54" s="189">
        <f>IF(CALC_COMMUNITY!$AP$3="","",IF(INDEX(CALC_COMMUNITY!$AC:$AC,CALC_COMMUNITY!$AP$3)="","–",INDEX(CALC_COMMUNITY!$AC:$AC,CALC_COMMUNITY!$AP$3)))</f>
        <v/>
      </c>
      <c r="I54" s="184" t="n"/>
      <c r="J54" s="186">
        <f>IF(CALC_COMMUNITY!$AP$3="","",IF(INDEX(CALC_COMMUNITY!$AE:$AE,CALC_COMMUNITY!$AP$3)="","–",INDEX(CALC_COMMUNITY!$AE:$AE,CALC_COMMUNITY!$AP$3)))</f>
        <v/>
      </c>
      <c r="K54" s="186">
        <f>IF(CALC_COMMUNITY!$AP$3="","",IF(INDEX(CALC_COMMUNITY!$AF:$AF,CALC_COMMUNITY!$AP$3)="","–",INDEX(CALC_COMMUNITY!$AF:$AF,CALC_COMMUNITY!$AP$3)))</f>
        <v/>
      </c>
      <c r="L54" s="188">
        <f>IF(CALC_COMMUNITY!$AP$3="","",IF(INDEX(CALC_COMMUNITY!$AG:$AG,CALC_COMMUNITY!$AP$3)="","–",INDEX(CALC_COMMUNITY!$AG:$AG,CALC_COMMUNITY!$AP$3)))</f>
        <v/>
      </c>
      <c r="M54" s="188">
        <f>IF(CALC_COMMUNITY!$AP$3="","",IF(INDEX(CALC_COMMUNITY!$AI:$AI,CALC_COMMUNITY!$AP$3)="","–",INDEX(CALC_COMMUNITY!$AI:$AI,CALC_COMMUNITY!$AP$3)))</f>
        <v/>
      </c>
      <c r="N54" s="186">
        <f>IF(CALC_COMMUNITY!$AP$3="","",IF(INDEX(CALC_COMMUNITY!$AJ:$AJ,CALC_COMMUNITY!$AP$3)="","–",INDEX(CALC_COMMUNITY!$AJ:$AJ,CALC_COMMUNITY!$AP$3)))</f>
        <v/>
      </c>
      <c r="O54" s="203">
        <f>IF(CALC_COMMUNITY!$AP$3="","",IF(INDEX(CALC_COMMUNITY!$AK:$AK,CALC_COMMUNITY!$AP$3)="","–",INDEX(CALC_COMMUNITY!$AK:$AK,CALC_COMMUNITY!$AP$3)))</f>
        <v/>
      </c>
    </row>
    <row r="55">
      <c r="B55" s="66">
        <f>IF(CALC_COMMUNITY!$AP$4="","",IF(INDEX(CALC_COMMUNITY!$AA:$AA,CALC_COMMUNITY!$AP$4)="","–",INDEX(CALC_COMMUNITY!$AA:$AA,CALC_COMMUNITY!$AP$4)))</f>
        <v/>
      </c>
      <c r="D55" s="66">
        <f>IF(CALC_COMMUNITY!$AP$4="","",IF(INDEX(CALC_COMMUNITY!$AB:$AB,CALC_COMMUNITY!$AP$4)="","–",INDEX(CALC_COMMUNITY!$AB:$AB,CALC_COMMUNITY!$AP$4)))</f>
        <v/>
      </c>
      <c r="H55" s="66">
        <f>IF(CALC_COMMUNITY!$AP$4="","",IF(INDEX(CALC_COMMUNITY!$AC:$AC,CALC_COMMUNITY!$AP$4)="","–",INDEX(CALC_COMMUNITY!$AC:$AC,CALC_COMMUNITY!$AP$4)))</f>
        <v/>
      </c>
      <c r="J55" s="68">
        <f>IF(CALC_COMMUNITY!$AP$4="","",IF(INDEX(CALC_COMMUNITY!$AE:$AE,CALC_COMMUNITY!$AP$4)="","–",INDEX(CALC_COMMUNITY!$AE:$AE,CALC_COMMUNITY!$AP$4)))</f>
        <v/>
      </c>
      <c r="K55" s="68">
        <f>IF(CALC_COMMUNITY!$AP$4="","",IF(INDEX(CALC_COMMUNITY!$AF:$AF,CALC_COMMUNITY!$AP$4)="","–",INDEX(CALC_COMMUNITY!$AF:$AF,CALC_COMMUNITY!$AP$4)))</f>
        <v/>
      </c>
      <c r="L55" s="70">
        <f>IF(CALC_COMMUNITY!$AP$4="","",IF(INDEX(CALC_COMMUNITY!$AG:$AG,CALC_COMMUNITY!$AP$4)="","–",INDEX(CALC_COMMUNITY!$AG:$AG,CALC_COMMUNITY!$AP$4)))</f>
        <v/>
      </c>
      <c r="M55" s="70">
        <f>IF(CALC_COMMUNITY!$AP$4="","",IF(INDEX(CALC_COMMUNITY!$AI:$AI,CALC_COMMUNITY!$AP$4)="","–",INDEX(CALC_COMMUNITY!$AI:$AI,CALC_COMMUNITY!$AP$4)))</f>
        <v/>
      </c>
      <c r="N55" s="68">
        <f>IF(CALC_COMMUNITY!$AP$4="","",IF(INDEX(CALC_COMMUNITY!$AJ:$AJ,CALC_COMMUNITY!$AP$4)="","–",INDEX(CALC_COMMUNITY!$AJ:$AJ,CALC_COMMUNITY!$AP$4)))</f>
        <v/>
      </c>
      <c r="O55" s="204">
        <f>IF(CALC_COMMUNITY!$AP$4="","",IF(INDEX(CALC_COMMUNITY!$AK:$AK,CALC_COMMUNITY!$AP$4)="","–",INDEX(CALC_COMMUNITY!$AK:$AK,CALC_COMMUNITY!$AP$4)))</f>
        <v/>
      </c>
    </row>
    <row r="56">
      <c r="B56" s="189">
        <f>IF(CALC_COMMUNITY!$AP$5="","",IF(INDEX(CALC_COMMUNITY!$AA:$AA,CALC_COMMUNITY!$AP$5)="","–",INDEX(CALC_COMMUNITY!$AA:$AA,CALC_COMMUNITY!$AP$5)))</f>
        <v/>
      </c>
      <c r="C56" s="184" t="n"/>
      <c r="D56" s="189">
        <f>IF(CALC_COMMUNITY!$AP$5="","",IF(INDEX(CALC_COMMUNITY!$AB:$AB,CALC_COMMUNITY!$AP$5)="","–",INDEX(CALC_COMMUNITY!$AB:$AB,CALC_COMMUNITY!$AP$5)))</f>
        <v/>
      </c>
      <c r="E56" s="184" t="n"/>
      <c r="F56" s="184" t="n"/>
      <c r="G56" s="184" t="n"/>
      <c r="H56" s="189">
        <f>IF(CALC_COMMUNITY!$AP$5="","",IF(INDEX(CALC_COMMUNITY!$AC:$AC,CALC_COMMUNITY!$AP$5)="","–",INDEX(CALC_COMMUNITY!$AC:$AC,CALC_COMMUNITY!$AP$5)))</f>
        <v/>
      </c>
      <c r="I56" s="184" t="n"/>
      <c r="J56" s="186">
        <f>IF(CALC_COMMUNITY!$AP$5="","",IF(INDEX(CALC_COMMUNITY!$AE:$AE,CALC_COMMUNITY!$AP$5)="","–",INDEX(CALC_COMMUNITY!$AE:$AE,CALC_COMMUNITY!$AP$5)))</f>
        <v/>
      </c>
      <c r="K56" s="186">
        <f>IF(CALC_COMMUNITY!$AP$5="","",IF(INDEX(CALC_COMMUNITY!$AF:$AF,CALC_COMMUNITY!$AP$5)="","–",INDEX(CALC_COMMUNITY!$AF:$AF,CALC_COMMUNITY!$AP$5)))</f>
        <v/>
      </c>
      <c r="L56" s="188">
        <f>IF(CALC_COMMUNITY!$AP$5="","",IF(INDEX(CALC_COMMUNITY!$AG:$AG,CALC_COMMUNITY!$AP$5)="","–",INDEX(CALC_COMMUNITY!$AG:$AG,CALC_COMMUNITY!$AP$5)))</f>
        <v/>
      </c>
      <c r="M56" s="188">
        <f>IF(CALC_COMMUNITY!$AP$5="","",IF(INDEX(CALC_COMMUNITY!$AI:$AI,CALC_COMMUNITY!$AP$5)="","–",INDEX(CALC_COMMUNITY!$AI:$AI,CALC_COMMUNITY!$AP$5)))</f>
        <v/>
      </c>
      <c r="N56" s="186">
        <f>IF(CALC_COMMUNITY!$AP$5="","",IF(INDEX(CALC_COMMUNITY!$AJ:$AJ,CALC_COMMUNITY!$AP$5)="","–",INDEX(CALC_COMMUNITY!$AJ:$AJ,CALC_COMMUNITY!$AP$5)))</f>
        <v/>
      </c>
      <c r="O56" s="203">
        <f>IF(CALC_COMMUNITY!$AP$5="","",IF(INDEX(CALC_COMMUNITY!$AK:$AK,CALC_COMMUNITY!$AP$5)="","–",INDEX(CALC_COMMUNITY!$AK:$AK,CALC_COMMUNITY!$AP$5)))</f>
        <v/>
      </c>
    </row>
    <row r="57">
      <c r="B57" s="66">
        <f>IF(CALC_COMMUNITY!$AP$6="","",IF(INDEX(CALC_COMMUNITY!$AA:$AA,CALC_COMMUNITY!$AP$6)="","–",INDEX(CALC_COMMUNITY!$AA:$AA,CALC_COMMUNITY!$AP$6)))</f>
        <v/>
      </c>
      <c r="D57" s="66">
        <f>IF(CALC_COMMUNITY!$AP$6="","",IF(INDEX(CALC_COMMUNITY!$AB:$AB,CALC_COMMUNITY!$AP$6)="","–",INDEX(CALC_COMMUNITY!$AB:$AB,CALC_COMMUNITY!$AP$6)))</f>
        <v/>
      </c>
      <c r="H57" s="66">
        <f>IF(CALC_COMMUNITY!$AP$6="","",IF(INDEX(CALC_COMMUNITY!$AC:$AC,CALC_COMMUNITY!$AP$6)="","–",INDEX(CALC_COMMUNITY!$AC:$AC,CALC_COMMUNITY!$AP$6)))</f>
        <v/>
      </c>
      <c r="J57" s="68">
        <f>IF(CALC_COMMUNITY!$AP$6="","",IF(INDEX(CALC_COMMUNITY!$AE:$AE,CALC_COMMUNITY!$AP$6)="","–",INDEX(CALC_COMMUNITY!$AE:$AE,CALC_COMMUNITY!$AP$6)))</f>
        <v/>
      </c>
      <c r="K57" s="68">
        <f>IF(CALC_COMMUNITY!$AP$6="","",IF(INDEX(CALC_COMMUNITY!$AF:$AF,CALC_COMMUNITY!$AP$6)="","–",INDEX(CALC_COMMUNITY!$AF:$AF,CALC_COMMUNITY!$AP$6)))</f>
        <v/>
      </c>
      <c r="L57" s="70">
        <f>IF(CALC_COMMUNITY!$AP$6="","",IF(INDEX(CALC_COMMUNITY!$AG:$AG,CALC_COMMUNITY!$AP$6)="","–",INDEX(CALC_COMMUNITY!$AG:$AG,CALC_COMMUNITY!$AP$6)))</f>
        <v/>
      </c>
      <c r="M57" s="70">
        <f>IF(CALC_COMMUNITY!$AP$6="","",IF(INDEX(CALC_COMMUNITY!$AI:$AI,CALC_COMMUNITY!$AP$6)="","–",INDEX(CALC_COMMUNITY!$AI:$AI,CALC_COMMUNITY!$AP$6)))</f>
        <v/>
      </c>
      <c r="N57" s="68">
        <f>IF(CALC_COMMUNITY!$AP$6="","",IF(INDEX(CALC_COMMUNITY!$AJ:$AJ,CALC_COMMUNITY!$AP$6)="","–",INDEX(CALC_COMMUNITY!$AJ:$AJ,CALC_COMMUNITY!$AP$6)))</f>
        <v/>
      </c>
      <c r="O57" s="204">
        <f>IF(CALC_COMMUNITY!$AP$6="","",IF(INDEX(CALC_COMMUNITY!$AK:$AK,CALC_COMMUNITY!$AP$6)="","–",INDEX(CALC_COMMUNITY!$AK:$AK,CALC_COMMUNITY!$AP$6)))</f>
        <v/>
      </c>
    </row>
    <row r="58">
      <c r="B58" s="189">
        <f>IF(CALC_COMMUNITY!$AP$7="","",IF(INDEX(CALC_COMMUNITY!$AA:$AA,CALC_COMMUNITY!$AP$7)="","–",INDEX(CALC_COMMUNITY!$AA:$AA,CALC_COMMUNITY!$AP$7)))</f>
        <v/>
      </c>
      <c r="C58" s="184" t="n"/>
      <c r="D58" s="189">
        <f>IF(CALC_COMMUNITY!$AP$7="","",IF(INDEX(CALC_COMMUNITY!$AB:$AB,CALC_COMMUNITY!$AP$7)="","–",INDEX(CALC_COMMUNITY!$AB:$AB,CALC_COMMUNITY!$AP$7)))</f>
        <v/>
      </c>
      <c r="E58" s="184" t="n"/>
      <c r="F58" s="184" t="n"/>
      <c r="G58" s="184" t="n"/>
      <c r="H58" s="189">
        <f>IF(CALC_COMMUNITY!$AP$7="","",IF(INDEX(CALC_COMMUNITY!$AC:$AC,CALC_COMMUNITY!$AP$7)="","–",INDEX(CALC_COMMUNITY!$AC:$AC,CALC_COMMUNITY!$AP$7)))</f>
        <v/>
      </c>
      <c r="I58" s="184" t="n"/>
      <c r="J58" s="186">
        <f>IF(CALC_COMMUNITY!$AP$7="","",IF(INDEX(CALC_COMMUNITY!$AE:$AE,CALC_COMMUNITY!$AP$7)="","–",INDEX(CALC_COMMUNITY!$AE:$AE,CALC_COMMUNITY!$AP$7)))</f>
        <v/>
      </c>
      <c r="K58" s="186">
        <f>IF(CALC_COMMUNITY!$AP$7="","",IF(INDEX(CALC_COMMUNITY!$AF:$AF,CALC_COMMUNITY!$AP$7)="","–",INDEX(CALC_COMMUNITY!$AF:$AF,CALC_COMMUNITY!$AP$7)))</f>
        <v/>
      </c>
      <c r="L58" s="188">
        <f>IF(CALC_COMMUNITY!$AP$7="","",IF(INDEX(CALC_COMMUNITY!$AG:$AG,CALC_COMMUNITY!$AP$7)="","–",INDEX(CALC_COMMUNITY!$AG:$AG,CALC_COMMUNITY!$AP$7)))</f>
        <v/>
      </c>
      <c r="M58" s="188">
        <f>IF(CALC_COMMUNITY!$AP$7="","",IF(INDEX(CALC_COMMUNITY!$AI:$AI,CALC_COMMUNITY!$AP$7)="","–",INDEX(CALC_COMMUNITY!$AI:$AI,CALC_COMMUNITY!$AP$7)))</f>
        <v/>
      </c>
      <c r="N58" s="186">
        <f>IF(CALC_COMMUNITY!$AP$7="","",IF(INDEX(CALC_COMMUNITY!$AJ:$AJ,CALC_COMMUNITY!$AP$7)="","–",INDEX(CALC_COMMUNITY!$AJ:$AJ,CALC_COMMUNITY!$AP$7)))</f>
        <v/>
      </c>
      <c r="O58" s="203">
        <f>IF(CALC_COMMUNITY!$AP$7="","",IF(INDEX(CALC_COMMUNITY!$AK:$AK,CALC_COMMUNITY!$AP$7)="","–",INDEX(CALC_COMMUNITY!$AK:$AK,CALC_COMMUNITY!$AP$7)))</f>
        <v/>
      </c>
    </row>
    <row r="59">
      <c r="B59" s="66">
        <f>IF(CALC_COMMUNITY!$AP$8="","",IF(INDEX(CALC_COMMUNITY!$AA:$AA,CALC_COMMUNITY!$AP$8)="","–",INDEX(CALC_COMMUNITY!$AA:$AA,CALC_COMMUNITY!$AP$8)))</f>
        <v/>
      </c>
      <c r="D59" s="66">
        <f>IF(CALC_COMMUNITY!$AP$8="","",IF(INDEX(CALC_COMMUNITY!$AB:$AB,CALC_COMMUNITY!$AP$8)="","–",INDEX(CALC_COMMUNITY!$AB:$AB,CALC_COMMUNITY!$AP$8)))</f>
        <v/>
      </c>
      <c r="H59" s="66">
        <f>IF(CALC_COMMUNITY!$AP$8="","",IF(INDEX(CALC_COMMUNITY!$AC:$AC,CALC_COMMUNITY!$AP$8)="","–",INDEX(CALC_COMMUNITY!$AC:$AC,CALC_COMMUNITY!$AP$8)))</f>
        <v/>
      </c>
      <c r="J59" s="68">
        <f>IF(CALC_COMMUNITY!$AP$8="","",IF(INDEX(CALC_COMMUNITY!$AE:$AE,CALC_COMMUNITY!$AP$8)="","–",INDEX(CALC_COMMUNITY!$AE:$AE,CALC_COMMUNITY!$AP$8)))</f>
        <v/>
      </c>
      <c r="K59" s="68">
        <f>IF(CALC_COMMUNITY!$AP$8="","",IF(INDEX(CALC_COMMUNITY!$AF:$AF,CALC_COMMUNITY!$AP$8)="","–",INDEX(CALC_COMMUNITY!$AF:$AF,CALC_COMMUNITY!$AP$8)))</f>
        <v/>
      </c>
      <c r="L59" s="70">
        <f>IF(CALC_COMMUNITY!$AP$8="","",IF(INDEX(CALC_COMMUNITY!$AG:$AG,CALC_COMMUNITY!$AP$8)="","–",INDEX(CALC_COMMUNITY!$AG:$AG,CALC_COMMUNITY!$AP$8)))</f>
        <v/>
      </c>
      <c r="M59" s="70">
        <f>IF(CALC_COMMUNITY!$AP$8="","",IF(INDEX(CALC_COMMUNITY!$AI:$AI,CALC_COMMUNITY!$AP$8)="","–",INDEX(CALC_COMMUNITY!$AI:$AI,CALC_COMMUNITY!$AP$8)))</f>
        <v/>
      </c>
      <c r="N59" s="68">
        <f>IF(CALC_COMMUNITY!$AP$8="","",IF(INDEX(CALC_COMMUNITY!$AJ:$AJ,CALC_COMMUNITY!$AP$8)="","–",INDEX(CALC_COMMUNITY!$AJ:$AJ,CALC_COMMUNITY!$AP$8)))</f>
        <v/>
      </c>
      <c r="O59" s="204">
        <f>IF(CALC_COMMUNITY!$AP$8="","",IF(INDEX(CALC_COMMUNITY!$AK:$AK,CALC_COMMUNITY!$AP$8)="","–",INDEX(CALC_COMMUNITY!$AK:$AK,CALC_COMMUNITY!$AP$8)))</f>
        <v/>
      </c>
    </row>
    <row r="60">
      <c r="B60" s="189">
        <f>IF(CALC_COMMUNITY!$AP$9="","",IF(INDEX(CALC_COMMUNITY!$AA:$AA,CALC_COMMUNITY!$AP$9)="","–",INDEX(CALC_COMMUNITY!$AA:$AA,CALC_COMMUNITY!$AP$9)))</f>
        <v/>
      </c>
      <c r="C60" s="184" t="n"/>
      <c r="D60" s="189">
        <f>IF(CALC_COMMUNITY!$AP$9="","",IF(INDEX(CALC_COMMUNITY!$AB:$AB,CALC_COMMUNITY!$AP$9)="","–",INDEX(CALC_COMMUNITY!$AB:$AB,CALC_COMMUNITY!$AP$9)))</f>
        <v/>
      </c>
      <c r="E60" s="184" t="n"/>
      <c r="F60" s="184" t="n"/>
      <c r="G60" s="184" t="n"/>
      <c r="H60" s="189">
        <f>IF(CALC_COMMUNITY!$AP$9="","",IF(INDEX(CALC_COMMUNITY!$AC:$AC,CALC_COMMUNITY!$AP$9)="","–",INDEX(CALC_COMMUNITY!$AC:$AC,CALC_COMMUNITY!$AP$9)))</f>
        <v/>
      </c>
      <c r="I60" s="184" t="n"/>
      <c r="J60" s="186">
        <f>IF(CALC_COMMUNITY!$AP$9="","",IF(INDEX(CALC_COMMUNITY!$AE:$AE,CALC_COMMUNITY!$AP$9)="","–",INDEX(CALC_COMMUNITY!$AE:$AE,CALC_COMMUNITY!$AP$9)))</f>
        <v/>
      </c>
      <c r="K60" s="186">
        <f>IF(CALC_COMMUNITY!$AP$9="","",IF(INDEX(CALC_COMMUNITY!$AF:$AF,CALC_COMMUNITY!$AP$9)="","–",INDEX(CALC_COMMUNITY!$AF:$AF,CALC_COMMUNITY!$AP$9)))</f>
        <v/>
      </c>
      <c r="L60" s="188">
        <f>IF(CALC_COMMUNITY!$AP$9="","",IF(INDEX(CALC_COMMUNITY!$AG:$AG,CALC_COMMUNITY!$AP$9)="","–",INDEX(CALC_COMMUNITY!$AG:$AG,CALC_COMMUNITY!$AP$9)))</f>
        <v/>
      </c>
      <c r="M60" s="188">
        <f>IF(CALC_COMMUNITY!$AP$9="","",IF(INDEX(CALC_COMMUNITY!$AI:$AI,CALC_COMMUNITY!$AP$9)="","–",INDEX(CALC_COMMUNITY!$AI:$AI,CALC_COMMUNITY!$AP$9)))</f>
        <v/>
      </c>
      <c r="N60" s="186">
        <f>IF(CALC_COMMUNITY!$AP$9="","",IF(INDEX(CALC_COMMUNITY!$AJ:$AJ,CALC_COMMUNITY!$AP$9)="","–",INDEX(CALC_COMMUNITY!$AJ:$AJ,CALC_COMMUNITY!$AP$9)))</f>
        <v/>
      </c>
      <c r="O60" s="203">
        <f>IF(CALC_COMMUNITY!$AP$9="","",IF(INDEX(CALC_COMMUNITY!$AK:$AK,CALC_COMMUNITY!$AP$9)="","–",INDEX(CALC_COMMUNITY!$AK:$AK,CALC_COMMUNITY!$AP$9)))</f>
        <v/>
      </c>
    </row>
    <row r="61">
      <c r="B61" s="66">
        <f>IF(CALC_COMMUNITY!$AP$10="","",IF(INDEX(CALC_COMMUNITY!$AA:$AA,CALC_COMMUNITY!$AP$10)="","–",INDEX(CALC_COMMUNITY!$AA:$AA,CALC_COMMUNITY!$AP$10)))</f>
        <v/>
      </c>
      <c r="D61" s="66">
        <f>IF(CALC_COMMUNITY!$AP$10="","",IF(INDEX(CALC_COMMUNITY!$AB:$AB,CALC_COMMUNITY!$AP$10)="","–",INDEX(CALC_COMMUNITY!$AB:$AB,CALC_COMMUNITY!$AP$10)))</f>
        <v/>
      </c>
      <c r="H61" s="66">
        <f>IF(CALC_COMMUNITY!$AP$10="","",IF(INDEX(CALC_COMMUNITY!$AC:$AC,CALC_COMMUNITY!$AP$10)="","–",INDEX(CALC_COMMUNITY!$AC:$AC,CALC_COMMUNITY!$AP$10)))</f>
        <v/>
      </c>
      <c r="J61" s="68">
        <f>IF(CALC_COMMUNITY!$AP$10="","",IF(INDEX(CALC_COMMUNITY!$AE:$AE,CALC_COMMUNITY!$AP$10)="","–",INDEX(CALC_COMMUNITY!$AE:$AE,CALC_COMMUNITY!$AP$10)))</f>
        <v/>
      </c>
      <c r="K61" s="68">
        <f>IF(CALC_COMMUNITY!$AP$10="","",IF(INDEX(CALC_COMMUNITY!$AF:$AF,CALC_COMMUNITY!$AP$10)="","–",INDEX(CALC_COMMUNITY!$AF:$AF,CALC_COMMUNITY!$AP$10)))</f>
        <v/>
      </c>
      <c r="L61" s="70">
        <f>IF(CALC_COMMUNITY!$AP$10="","",IF(INDEX(CALC_COMMUNITY!$AG:$AG,CALC_COMMUNITY!$AP$10)="","–",INDEX(CALC_COMMUNITY!$AG:$AG,CALC_COMMUNITY!$AP$10)))</f>
        <v/>
      </c>
      <c r="M61" s="70">
        <f>IF(CALC_COMMUNITY!$AP$10="","",IF(INDEX(CALC_COMMUNITY!$AI:$AI,CALC_COMMUNITY!$AP$10)="","–",INDEX(CALC_COMMUNITY!$AI:$AI,CALC_COMMUNITY!$AP$10)))</f>
        <v/>
      </c>
      <c r="N61" s="68">
        <f>IF(CALC_COMMUNITY!$AP$10="","",IF(INDEX(CALC_COMMUNITY!$AJ:$AJ,CALC_COMMUNITY!$AP$10)="","–",INDEX(CALC_COMMUNITY!$AJ:$AJ,CALC_COMMUNITY!$AP$10)))</f>
        <v/>
      </c>
      <c r="O61" s="204">
        <f>IF(CALC_COMMUNITY!$AP$10="","",IF(INDEX(CALC_COMMUNITY!$AK:$AK,CALC_COMMUNITY!$AP$10)="","–",INDEX(CALC_COMMUNITY!$AK:$AK,CALC_COMMUNITY!$AP$10)))</f>
        <v/>
      </c>
    </row>
    <row r="62">
      <c r="B62" s="189">
        <f>IF(CALC_COMMUNITY!$AP$11="","",IF(INDEX(CALC_COMMUNITY!$AA:$AA,CALC_COMMUNITY!$AP$11)="","–",INDEX(CALC_COMMUNITY!$AA:$AA,CALC_COMMUNITY!$AP$11)))</f>
        <v/>
      </c>
      <c r="C62" s="184" t="n"/>
      <c r="D62" s="189">
        <f>IF(CALC_COMMUNITY!$AP$11="","",IF(INDEX(CALC_COMMUNITY!$AB:$AB,CALC_COMMUNITY!$AP$11)="","–",INDEX(CALC_COMMUNITY!$AB:$AB,CALC_COMMUNITY!$AP$11)))</f>
        <v/>
      </c>
      <c r="E62" s="184" t="n"/>
      <c r="F62" s="184" t="n"/>
      <c r="G62" s="184" t="n"/>
      <c r="H62" s="189">
        <f>IF(CALC_COMMUNITY!$AP$11="","",IF(INDEX(CALC_COMMUNITY!$AC:$AC,CALC_COMMUNITY!$AP$11)="","–",INDEX(CALC_COMMUNITY!$AC:$AC,CALC_COMMUNITY!$AP$11)))</f>
        <v/>
      </c>
      <c r="I62" s="184" t="n"/>
      <c r="J62" s="186">
        <f>IF(CALC_COMMUNITY!$AP$11="","",IF(INDEX(CALC_COMMUNITY!$AE:$AE,CALC_COMMUNITY!$AP$11)="","–",INDEX(CALC_COMMUNITY!$AE:$AE,CALC_COMMUNITY!$AP$11)))</f>
        <v/>
      </c>
      <c r="K62" s="186">
        <f>IF(CALC_COMMUNITY!$AP$11="","",IF(INDEX(CALC_COMMUNITY!$AF:$AF,CALC_COMMUNITY!$AP$11)="","–",INDEX(CALC_COMMUNITY!$AF:$AF,CALC_COMMUNITY!$AP$11)))</f>
        <v/>
      </c>
      <c r="L62" s="188">
        <f>IF(CALC_COMMUNITY!$AP$11="","",IF(INDEX(CALC_COMMUNITY!$AG:$AG,CALC_COMMUNITY!$AP$11)="","–",INDEX(CALC_COMMUNITY!$AG:$AG,CALC_COMMUNITY!$AP$11)))</f>
        <v/>
      </c>
      <c r="M62" s="188">
        <f>IF(CALC_COMMUNITY!$AP$11="","",IF(INDEX(CALC_COMMUNITY!$AI:$AI,CALC_COMMUNITY!$AP$11)="","–",INDEX(CALC_COMMUNITY!$AI:$AI,CALC_COMMUNITY!$AP$11)))</f>
        <v/>
      </c>
      <c r="N62" s="186">
        <f>IF(CALC_COMMUNITY!$AP$11="","",IF(INDEX(CALC_COMMUNITY!$AJ:$AJ,CALC_COMMUNITY!$AP$11)="","–",INDEX(CALC_COMMUNITY!$AJ:$AJ,CALC_COMMUNITY!$AP$11)))</f>
        <v/>
      </c>
      <c r="O62" s="203">
        <f>IF(CALC_COMMUNITY!$AP$11="","",IF(INDEX(CALC_COMMUNITY!$AK:$AK,CALC_COMMUNITY!$AP$11)="","–",INDEX(CALC_COMMUNITY!$AK:$AK,CALC_COMMUNITY!$AP$11)))</f>
        <v/>
      </c>
    </row>
    <row r="63">
      <c r="B63" s="66">
        <f>IF(CALC_COMMUNITY!$AP$12="","",IF(INDEX(CALC_COMMUNITY!$AA:$AA,CALC_COMMUNITY!$AP$12)="","–",INDEX(CALC_COMMUNITY!$AA:$AA,CALC_COMMUNITY!$AP$12)))</f>
        <v/>
      </c>
      <c r="D63" s="66">
        <f>IF(CALC_COMMUNITY!$AP$12="","",IF(INDEX(CALC_COMMUNITY!$AB:$AB,CALC_COMMUNITY!$AP$12)="","–",INDEX(CALC_COMMUNITY!$AB:$AB,CALC_COMMUNITY!$AP$12)))</f>
        <v/>
      </c>
      <c r="H63" s="66">
        <f>IF(CALC_COMMUNITY!$AP$12="","",IF(INDEX(CALC_COMMUNITY!$AC:$AC,CALC_COMMUNITY!$AP$12)="","–",INDEX(CALC_COMMUNITY!$AC:$AC,CALC_COMMUNITY!$AP$12)))</f>
        <v/>
      </c>
      <c r="J63" s="68">
        <f>IF(CALC_COMMUNITY!$AP$12="","",IF(INDEX(CALC_COMMUNITY!$AE:$AE,CALC_COMMUNITY!$AP$12)="","–",INDEX(CALC_COMMUNITY!$AE:$AE,CALC_COMMUNITY!$AP$12)))</f>
        <v/>
      </c>
      <c r="K63" s="68">
        <f>IF(CALC_COMMUNITY!$AP$12="","",IF(INDEX(CALC_COMMUNITY!$AF:$AF,CALC_COMMUNITY!$AP$12)="","–",INDEX(CALC_COMMUNITY!$AF:$AF,CALC_COMMUNITY!$AP$12)))</f>
        <v/>
      </c>
      <c r="L63" s="70">
        <f>IF(CALC_COMMUNITY!$AP$12="","",IF(INDEX(CALC_COMMUNITY!$AG:$AG,CALC_COMMUNITY!$AP$12)="","–",INDEX(CALC_COMMUNITY!$AG:$AG,CALC_COMMUNITY!$AP$12)))</f>
        <v/>
      </c>
      <c r="M63" s="70">
        <f>IF(CALC_COMMUNITY!$AP$12="","",IF(INDEX(CALC_COMMUNITY!$AI:$AI,CALC_COMMUNITY!$AP$12)="","–",INDEX(CALC_COMMUNITY!$AI:$AI,CALC_COMMUNITY!$AP$12)))</f>
        <v/>
      </c>
      <c r="N63" s="68">
        <f>IF(CALC_COMMUNITY!$AP$12="","",IF(INDEX(CALC_COMMUNITY!$AJ:$AJ,CALC_COMMUNITY!$AP$12)="","–",INDEX(CALC_COMMUNITY!$AJ:$AJ,CALC_COMMUNITY!$AP$12)))</f>
        <v/>
      </c>
      <c r="O63" s="204">
        <f>IF(CALC_COMMUNITY!$AP$12="","",IF(INDEX(CALC_COMMUNITY!$AK:$AK,CALC_COMMUNITY!$AP$12)="","–",INDEX(CALC_COMMUNITY!$AK:$AK,CALC_COMMUNITY!$AP$12)))</f>
        <v/>
      </c>
    </row>
    <row r="64">
      <c r="B64" s="189">
        <f>IF(CALC_COMMUNITY!$AP$13="","",IF(INDEX(CALC_COMMUNITY!$AA:$AA,CALC_COMMUNITY!$AP$13)="","–",INDEX(CALC_COMMUNITY!$AA:$AA,CALC_COMMUNITY!$AP$13)))</f>
        <v/>
      </c>
      <c r="C64" s="184" t="n"/>
      <c r="D64" s="189">
        <f>IF(CALC_COMMUNITY!$AP$13="","",IF(INDEX(CALC_COMMUNITY!$AB:$AB,CALC_COMMUNITY!$AP$13)="","–",INDEX(CALC_COMMUNITY!$AB:$AB,CALC_COMMUNITY!$AP$13)))</f>
        <v/>
      </c>
      <c r="E64" s="184" t="n"/>
      <c r="F64" s="184" t="n"/>
      <c r="G64" s="184" t="n"/>
      <c r="H64" s="189">
        <f>IF(CALC_COMMUNITY!$AP$13="","",IF(INDEX(CALC_COMMUNITY!$AC:$AC,CALC_COMMUNITY!$AP$13)="","–",INDEX(CALC_COMMUNITY!$AC:$AC,CALC_COMMUNITY!$AP$13)))</f>
        <v/>
      </c>
      <c r="I64" s="184" t="n"/>
      <c r="J64" s="186">
        <f>IF(CALC_COMMUNITY!$AP$13="","",IF(INDEX(CALC_COMMUNITY!$AE:$AE,CALC_COMMUNITY!$AP$13)="","–",INDEX(CALC_COMMUNITY!$AE:$AE,CALC_COMMUNITY!$AP$13)))</f>
        <v/>
      </c>
      <c r="K64" s="186">
        <f>IF(CALC_COMMUNITY!$AP$13="","",IF(INDEX(CALC_COMMUNITY!$AF:$AF,CALC_COMMUNITY!$AP$13)="","–",INDEX(CALC_COMMUNITY!$AF:$AF,CALC_COMMUNITY!$AP$13)))</f>
        <v/>
      </c>
      <c r="L64" s="188">
        <f>IF(CALC_COMMUNITY!$AP$13="","",IF(INDEX(CALC_COMMUNITY!$AG:$AG,CALC_COMMUNITY!$AP$13)="","–",INDEX(CALC_COMMUNITY!$AG:$AG,CALC_COMMUNITY!$AP$13)))</f>
        <v/>
      </c>
      <c r="M64" s="188">
        <f>IF(CALC_COMMUNITY!$AP$13="","",IF(INDEX(CALC_COMMUNITY!$AI:$AI,CALC_COMMUNITY!$AP$13)="","–",INDEX(CALC_COMMUNITY!$AI:$AI,CALC_COMMUNITY!$AP$13)))</f>
        <v/>
      </c>
      <c r="N64" s="186">
        <f>IF(CALC_COMMUNITY!$AP$13="","",IF(INDEX(CALC_COMMUNITY!$AJ:$AJ,CALC_COMMUNITY!$AP$13)="","–",INDEX(CALC_COMMUNITY!$AJ:$AJ,CALC_COMMUNITY!$AP$13)))</f>
        <v/>
      </c>
      <c r="O64" s="203">
        <f>IF(CALC_COMMUNITY!$AP$13="","",IF(INDEX(CALC_COMMUNITY!$AK:$AK,CALC_COMMUNITY!$AP$13)="","–",INDEX(CALC_COMMUNITY!$AK:$AK,CALC_COMMUNITY!$AP$13)))</f>
        <v/>
      </c>
    </row>
    <row r="65">
      <c r="B65" s="66">
        <f>IF(CALC_COMMUNITY!$AP$14="","",IF(INDEX(CALC_COMMUNITY!$AA:$AA,CALC_COMMUNITY!$AP$14)="","–",INDEX(CALC_COMMUNITY!$AA:$AA,CALC_COMMUNITY!$AP$14)))</f>
        <v/>
      </c>
      <c r="D65" s="66">
        <f>IF(CALC_COMMUNITY!$AP$14="","",IF(INDEX(CALC_COMMUNITY!$AB:$AB,CALC_COMMUNITY!$AP$14)="","–",INDEX(CALC_COMMUNITY!$AB:$AB,CALC_COMMUNITY!$AP$14)))</f>
        <v/>
      </c>
      <c r="H65" s="66">
        <f>IF(CALC_COMMUNITY!$AP$14="","",IF(INDEX(CALC_COMMUNITY!$AC:$AC,CALC_COMMUNITY!$AP$14)="","–",INDEX(CALC_COMMUNITY!$AC:$AC,CALC_COMMUNITY!$AP$14)))</f>
        <v/>
      </c>
      <c r="J65" s="68">
        <f>IF(CALC_COMMUNITY!$AP$14="","",IF(INDEX(CALC_COMMUNITY!$AE:$AE,CALC_COMMUNITY!$AP$14)="","–",INDEX(CALC_COMMUNITY!$AE:$AE,CALC_COMMUNITY!$AP$14)))</f>
        <v/>
      </c>
      <c r="K65" s="68">
        <f>IF(CALC_COMMUNITY!$AP$14="","",IF(INDEX(CALC_COMMUNITY!$AF:$AF,CALC_COMMUNITY!$AP$14)="","–",INDEX(CALC_COMMUNITY!$AF:$AF,CALC_COMMUNITY!$AP$14)))</f>
        <v/>
      </c>
      <c r="L65" s="70">
        <f>IF(CALC_COMMUNITY!$AP$14="","",IF(INDEX(CALC_COMMUNITY!$AG:$AG,CALC_COMMUNITY!$AP$14)="","–",INDEX(CALC_COMMUNITY!$AG:$AG,CALC_COMMUNITY!$AP$14)))</f>
        <v/>
      </c>
      <c r="M65" s="70">
        <f>IF(CALC_COMMUNITY!$AP$14="","",IF(INDEX(CALC_COMMUNITY!$AI:$AI,CALC_COMMUNITY!$AP$14)="","–",INDEX(CALC_COMMUNITY!$AI:$AI,CALC_COMMUNITY!$AP$14)))</f>
        <v/>
      </c>
      <c r="N65" s="68">
        <f>IF(CALC_COMMUNITY!$AP$14="","",IF(INDEX(CALC_COMMUNITY!$AJ:$AJ,CALC_COMMUNITY!$AP$14)="","–",INDEX(CALC_COMMUNITY!$AJ:$AJ,CALC_COMMUNITY!$AP$14)))</f>
        <v/>
      </c>
      <c r="O65" s="204">
        <f>IF(CALC_COMMUNITY!$AP$14="","",IF(INDEX(CALC_COMMUNITY!$AK:$AK,CALC_COMMUNITY!$AP$14)="","–",INDEX(CALC_COMMUNITY!$AK:$AK,CALC_COMMUNITY!$AP$14)))</f>
        <v/>
      </c>
    </row>
    <row r="66">
      <c r="B66" s="189">
        <f>IF(CALC_COMMUNITY!$AP$15="","",IF(INDEX(CALC_COMMUNITY!$AA:$AA,CALC_COMMUNITY!$AP$15)="","–",INDEX(CALC_COMMUNITY!$AA:$AA,CALC_COMMUNITY!$AP$15)))</f>
        <v/>
      </c>
      <c r="C66" s="184" t="n"/>
      <c r="D66" s="189">
        <f>IF(CALC_COMMUNITY!$AP$15="","",IF(INDEX(CALC_COMMUNITY!$AB:$AB,CALC_COMMUNITY!$AP$15)="","–",INDEX(CALC_COMMUNITY!$AB:$AB,CALC_COMMUNITY!$AP$15)))</f>
        <v/>
      </c>
      <c r="E66" s="184" t="n"/>
      <c r="F66" s="184" t="n"/>
      <c r="G66" s="184" t="n"/>
      <c r="H66" s="189">
        <f>IF(CALC_COMMUNITY!$AP$15="","",IF(INDEX(CALC_COMMUNITY!$AC:$AC,CALC_COMMUNITY!$AP$15)="","–",INDEX(CALC_COMMUNITY!$AC:$AC,CALC_COMMUNITY!$AP$15)))</f>
        <v/>
      </c>
      <c r="I66" s="184" t="n"/>
      <c r="J66" s="186">
        <f>IF(CALC_COMMUNITY!$AP$15="","",IF(INDEX(CALC_COMMUNITY!$AE:$AE,CALC_COMMUNITY!$AP$15)="","–",INDEX(CALC_COMMUNITY!$AE:$AE,CALC_COMMUNITY!$AP$15)))</f>
        <v/>
      </c>
      <c r="K66" s="186">
        <f>IF(CALC_COMMUNITY!$AP$15="","",IF(INDEX(CALC_COMMUNITY!$AF:$AF,CALC_COMMUNITY!$AP$15)="","–",INDEX(CALC_COMMUNITY!$AF:$AF,CALC_COMMUNITY!$AP$15)))</f>
        <v/>
      </c>
      <c r="L66" s="188">
        <f>IF(CALC_COMMUNITY!$AP$15="","",IF(INDEX(CALC_COMMUNITY!$AG:$AG,CALC_COMMUNITY!$AP$15)="","–",INDEX(CALC_COMMUNITY!$AG:$AG,CALC_COMMUNITY!$AP$15)))</f>
        <v/>
      </c>
      <c r="M66" s="188">
        <f>IF(CALC_COMMUNITY!$AP$15="","",IF(INDEX(CALC_COMMUNITY!$AI:$AI,CALC_COMMUNITY!$AP$15)="","–",INDEX(CALC_COMMUNITY!$AI:$AI,CALC_COMMUNITY!$AP$15)))</f>
        <v/>
      </c>
      <c r="N66" s="186">
        <f>IF(CALC_COMMUNITY!$AP$15="","",IF(INDEX(CALC_COMMUNITY!$AJ:$AJ,CALC_COMMUNITY!$AP$15)="","–",INDEX(CALC_COMMUNITY!$AJ:$AJ,CALC_COMMUNITY!$AP$15)))</f>
        <v/>
      </c>
      <c r="O66" s="203">
        <f>IF(CALC_COMMUNITY!$AP$15="","",IF(INDEX(CALC_COMMUNITY!$AK:$AK,CALC_COMMUNITY!$AP$15)="","–",INDEX(CALC_COMMUNITY!$AK:$AK,CALC_COMMUNITY!$AP$15)))</f>
        <v/>
      </c>
    </row>
    <row r="67">
      <c r="B67" s="66">
        <f>IF(CALC_COMMUNITY!$AP$16="","",IF(INDEX(CALC_COMMUNITY!$AA:$AA,CALC_COMMUNITY!$AP$16)="","–",INDEX(CALC_COMMUNITY!$AA:$AA,CALC_COMMUNITY!$AP$16)))</f>
        <v/>
      </c>
      <c r="D67" s="66">
        <f>IF(CALC_COMMUNITY!$AP$16="","",IF(INDEX(CALC_COMMUNITY!$AB:$AB,CALC_COMMUNITY!$AP$16)="","–",INDEX(CALC_COMMUNITY!$AB:$AB,CALC_COMMUNITY!$AP$16)))</f>
        <v/>
      </c>
      <c r="H67" s="66">
        <f>IF(CALC_COMMUNITY!$AP$16="","",IF(INDEX(CALC_COMMUNITY!$AC:$AC,CALC_COMMUNITY!$AP$16)="","–",INDEX(CALC_COMMUNITY!$AC:$AC,CALC_COMMUNITY!$AP$16)))</f>
        <v/>
      </c>
      <c r="J67" s="68">
        <f>IF(CALC_COMMUNITY!$AP$16="","",IF(INDEX(CALC_COMMUNITY!$AE:$AE,CALC_COMMUNITY!$AP$16)="","–",INDEX(CALC_COMMUNITY!$AE:$AE,CALC_COMMUNITY!$AP$16)))</f>
        <v/>
      </c>
      <c r="K67" s="68">
        <f>IF(CALC_COMMUNITY!$AP$16="","",IF(INDEX(CALC_COMMUNITY!$AF:$AF,CALC_COMMUNITY!$AP$16)="","–",INDEX(CALC_COMMUNITY!$AF:$AF,CALC_COMMUNITY!$AP$16)))</f>
        <v/>
      </c>
      <c r="L67" s="70">
        <f>IF(CALC_COMMUNITY!$AP$16="","",IF(INDEX(CALC_COMMUNITY!$AG:$AG,CALC_COMMUNITY!$AP$16)="","–",INDEX(CALC_COMMUNITY!$AG:$AG,CALC_COMMUNITY!$AP$16)))</f>
        <v/>
      </c>
      <c r="M67" s="70">
        <f>IF(CALC_COMMUNITY!$AP$16="","",IF(INDEX(CALC_COMMUNITY!$AI:$AI,CALC_COMMUNITY!$AP$16)="","–",INDEX(CALC_COMMUNITY!$AI:$AI,CALC_COMMUNITY!$AP$16)))</f>
        <v/>
      </c>
      <c r="N67" s="68">
        <f>IF(CALC_COMMUNITY!$AP$16="","",IF(INDEX(CALC_COMMUNITY!$AJ:$AJ,CALC_COMMUNITY!$AP$16)="","–",INDEX(CALC_COMMUNITY!$AJ:$AJ,CALC_COMMUNITY!$AP$16)))</f>
        <v/>
      </c>
      <c r="O67" s="204">
        <f>IF(CALC_COMMUNITY!$AP$16="","",IF(INDEX(CALC_COMMUNITY!$AK:$AK,CALC_COMMUNITY!$AP$16)="","–",INDEX(CALC_COMMUNITY!$AK:$AK,CALC_COMMUNITY!$AP$16)))</f>
        <v/>
      </c>
    </row>
    <row r="68">
      <c r="B68" s="189">
        <f>IF(CALC_COMMUNITY!$AP$17="","",IF(INDEX(CALC_COMMUNITY!$AA:$AA,CALC_COMMUNITY!$AP$17)="","–",INDEX(CALC_COMMUNITY!$AA:$AA,CALC_COMMUNITY!$AP$17)))</f>
        <v/>
      </c>
      <c r="C68" s="184" t="n"/>
      <c r="D68" s="189">
        <f>IF(CALC_COMMUNITY!$AP$17="","",IF(INDEX(CALC_COMMUNITY!$AB:$AB,CALC_COMMUNITY!$AP$17)="","–",INDEX(CALC_COMMUNITY!$AB:$AB,CALC_COMMUNITY!$AP$17)))</f>
        <v/>
      </c>
      <c r="E68" s="184" t="n"/>
      <c r="F68" s="184" t="n"/>
      <c r="G68" s="184" t="n"/>
      <c r="H68" s="189">
        <f>IF(CALC_COMMUNITY!$AP$17="","",IF(INDEX(CALC_COMMUNITY!$AC:$AC,CALC_COMMUNITY!$AP$17)="","–",INDEX(CALC_COMMUNITY!$AC:$AC,CALC_COMMUNITY!$AP$17)))</f>
        <v/>
      </c>
      <c r="I68" s="184" t="n"/>
      <c r="J68" s="186">
        <f>IF(CALC_COMMUNITY!$AP$17="","",IF(INDEX(CALC_COMMUNITY!$AE:$AE,CALC_COMMUNITY!$AP$17)="","–",INDEX(CALC_COMMUNITY!$AE:$AE,CALC_COMMUNITY!$AP$17)))</f>
        <v/>
      </c>
      <c r="K68" s="186">
        <f>IF(CALC_COMMUNITY!$AP$17="","",IF(INDEX(CALC_COMMUNITY!$AF:$AF,CALC_COMMUNITY!$AP$17)="","–",INDEX(CALC_COMMUNITY!$AF:$AF,CALC_COMMUNITY!$AP$17)))</f>
        <v/>
      </c>
      <c r="L68" s="188">
        <f>IF(CALC_COMMUNITY!$AP$17="","",IF(INDEX(CALC_COMMUNITY!$AG:$AG,CALC_COMMUNITY!$AP$17)="","–",INDEX(CALC_COMMUNITY!$AG:$AG,CALC_COMMUNITY!$AP$17)))</f>
        <v/>
      </c>
      <c r="M68" s="188">
        <f>IF(CALC_COMMUNITY!$AP$17="","",IF(INDEX(CALC_COMMUNITY!$AI:$AI,CALC_COMMUNITY!$AP$17)="","–",INDEX(CALC_COMMUNITY!$AI:$AI,CALC_COMMUNITY!$AP$17)))</f>
        <v/>
      </c>
      <c r="N68" s="186">
        <f>IF(CALC_COMMUNITY!$AP$17="","",IF(INDEX(CALC_COMMUNITY!$AJ:$AJ,CALC_COMMUNITY!$AP$17)="","–",INDEX(CALC_COMMUNITY!$AJ:$AJ,CALC_COMMUNITY!$AP$17)))</f>
        <v/>
      </c>
      <c r="O68" s="203">
        <f>IF(CALC_COMMUNITY!$AP$17="","",IF(INDEX(CALC_COMMUNITY!$AK:$AK,CALC_COMMUNITY!$AP$17)="","–",INDEX(CALC_COMMUNITY!$AK:$AK,CALC_COMMUNITY!$AP$17)))</f>
        <v/>
      </c>
    </row>
    <row r="69">
      <c r="B69" s="66">
        <f>IF(CALC_COMMUNITY!$AP$18="","",IF(INDEX(CALC_COMMUNITY!$AA:$AA,CALC_COMMUNITY!$AP$18)="","–",INDEX(CALC_COMMUNITY!$AA:$AA,CALC_COMMUNITY!$AP$18)))</f>
        <v/>
      </c>
      <c r="D69" s="66">
        <f>IF(CALC_COMMUNITY!$AP$18="","",IF(INDEX(CALC_COMMUNITY!$AB:$AB,CALC_COMMUNITY!$AP$18)="","–",INDEX(CALC_COMMUNITY!$AB:$AB,CALC_COMMUNITY!$AP$18)))</f>
        <v/>
      </c>
      <c r="H69" s="66">
        <f>IF(CALC_COMMUNITY!$AP$18="","",IF(INDEX(CALC_COMMUNITY!$AC:$AC,CALC_COMMUNITY!$AP$18)="","–",INDEX(CALC_COMMUNITY!$AC:$AC,CALC_COMMUNITY!$AP$18)))</f>
        <v/>
      </c>
      <c r="J69" s="68">
        <f>IF(CALC_COMMUNITY!$AP$18="","",IF(INDEX(CALC_COMMUNITY!$AE:$AE,CALC_COMMUNITY!$AP$18)="","–",INDEX(CALC_COMMUNITY!$AE:$AE,CALC_COMMUNITY!$AP$18)))</f>
        <v/>
      </c>
      <c r="K69" s="68">
        <f>IF(CALC_COMMUNITY!$AP$18="","",IF(INDEX(CALC_COMMUNITY!$AF:$AF,CALC_COMMUNITY!$AP$18)="","–",INDEX(CALC_COMMUNITY!$AF:$AF,CALC_COMMUNITY!$AP$18)))</f>
        <v/>
      </c>
      <c r="L69" s="70">
        <f>IF(CALC_COMMUNITY!$AP$18="","",IF(INDEX(CALC_COMMUNITY!$AG:$AG,CALC_COMMUNITY!$AP$18)="","–",INDEX(CALC_COMMUNITY!$AG:$AG,CALC_COMMUNITY!$AP$18)))</f>
        <v/>
      </c>
      <c r="M69" s="70">
        <f>IF(CALC_COMMUNITY!$AP$18="","",IF(INDEX(CALC_COMMUNITY!$AI:$AI,CALC_COMMUNITY!$AP$18)="","–",INDEX(CALC_COMMUNITY!$AI:$AI,CALC_COMMUNITY!$AP$18)))</f>
        <v/>
      </c>
      <c r="N69" s="68">
        <f>IF(CALC_COMMUNITY!$AP$18="","",IF(INDEX(CALC_COMMUNITY!$AJ:$AJ,CALC_COMMUNITY!$AP$18)="","–",INDEX(CALC_COMMUNITY!$AJ:$AJ,CALC_COMMUNITY!$AP$18)))</f>
        <v/>
      </c>
      <c r="O69" s="204">
        <f>IF(CALC_COMMUNITY!$AP$18="","",IF(INDEX(CALC_COMMUNITY!$AK:$AK,CALC_COMMUNITY!$AP$18)="","–",INDEX(CALC_COMMUNITY!$AK:$AK,CALC_COMMUNITY!$AP$18)))</f>
        <v/>
      </c>
    </row>
    <row r="70">
      <c r="B70" s="189">
        <f>IF(CALC_COMMUNITY!$AP$19="","",IF(INDEX(CALC_COMMUNITY!$AA:$AA,CALC_COMMUNITY!$AP$19)="","–",INDEX(CALC_COMMUNITY!$AA:$AA,CALC_COMMUNITY!$AP$19)))</f>
        <v/>
      </c>
      <c r="C70" s="184" t="n"/>
      <c r="D70" s="189">
        <f>IF(CALC_COMMUNITY!$AP$19="","",IF(INDEX(CALC_COMMUNITY!$AB:$AB,CALC_COMMUNITY!$AP$19)="","–",INDEX(CALC_COMMUNITY!$AB:$AB,CALC_COMMUNITY!$AP$19)))</f>
        <v/>
      </c>
      <c r="E70" s="184" t="n"/>
      <c r="F70" s="184" t="n"/>
      <c r="G70" s="184" t="n"/>
      <c r="H70" s="189">
        <f>IF(CALC_COMMUNITY!$AP$19="","",IF(INDEX(CALC_COMMUNITY!$AC:$AC,CALC_COMMUNITY!$AP$19)="","–",INDEX(CALC_COMMUNITY!$AC:$AC,CALC_COMMUNITY!$AP$19)))</f>
        <v/>
      </c>
      <c r="I70" s="184" t="n"/>
      <c r="J70" s="186">
        <f>IF(CALC_COMMUNITY!$AP$19="","",IF(INDEX(CALC_COMMUNITY!$AE:$AE,CALC_COMMUNITY!$AP$19)="","–",INDEX(CALC_COMMUNITY!$AE:$AE,CALC_COMMUNITY!$AP$19)))</f>
        <v/>
      </c>
      <c r="K70" s="186">
        <f>IF(CALC_COMMUNITY!$AP$19="","",IF(INDEX(CALC_COMMUNITY!$AF:$AF,CALC_COMMUNITY!$AP$19)="","–",INDEX(CALC_COMMUNITY!$AF:$AF,CALC_COMMUNITY!$AP$19)))</f>
        <v/>
      </c>
      <c r="L70" s="188">
        <f>IF(CALC_COMMUNITY!$AP$19="","",IF(INDEX(CALC_COMMUNITY!$AG:$AG,CALC_COMMUNITY!$AP$19)="","–",INDEX(CALC_COMMUNITY!$AG:$AG,CALC_COMMUNITY!$AP$19)))</f>
        <v/>
      </c>
      <c r="M70" s="188">
        <f>IF(CALC_COMMUNITY!$AP$19="","",IF(INDEX(CALC_COMMUNITY!$AI:$AI,CALC_COMMUNITY!$AP$19)="","–",INDEX(CALC_COMMUNITY!$AI:$AI,CALC_COMMUNITY!$AP$19)))</f>
        <v/>
      </c>
      <c r="N70" s="186">
        <f>IF(CALC_COMMUNITY!$AP$19="","",IF(INDEX(CALC_COMMUNITY!$AJ:$AJ,CALC_COMMUNITY!$AP$19)="","–",INDEX(CALC_COMMUNITY!$AJ:$AJ,CALC_COMMUNITY!$AP$19)))</f>
        <v/>
      </c>
      <c r="O70" s="203">
        <f>IF(CALC_COMMUNITY!$AP$19="","",IF(INDEX(CALC_COMMUNITY!$AK:$AK,CALC_COMMUNITY!$AP$19)="","–",INDEX(CALC_COMMUNITY!$AK:$AK,CALC_COMMUNITY!$AP$19)))</f>
        <v/>
      </c>
    </row>
    <row r="71">
      <c r="B71" s="66">
        <f>IF(CALC_COMMUNITY!$AP$20="","",IF(INDEX(CALC_COMMUNITY!$AA:$AA,CALC_COMMUNITY!$AP$20)="","–",INDEX(CALC_COMMUNITY!$AA:$AA,CALC_COMMUNITY!$AP$20)))</f>
        <v/>
      </c>
      <c r="D71" s="66">
        <f>IF(CALC_COMMUNITY!$AP$20="","",IF(INDEX(CALC_COMMUNITY!$AB:$AB,CALC_COMMUNITY!$AP$20)="","–",INDEX(CALC_COMMUNITY!$AB:$AB,CALC_COMMUNITY!$AP$20)))</f>
        <v/>
      </c>
      <c r="H71" s="66">
        <f>IF(CALC_COMMUNITY!$AP$20="","",IF(INDEX(CALC_COMMUNITY!$AC:$AC,CALC_COMMUNITY!$AP$20)="","–",INDEX(CALC_COMMUNITY!$AC:$AC,CALC_COMMUNITY!$AP$20)))</f>
        <v/>
      </c>
      <c r="J71" s="68">
        <f>IF(CALC_COMMUNITY!$AP$20="","",IF(INDEX(CALC_COMMUNITY!$AE:$AE,CALC_COMMUNITY!$AP$20)="","–",INDEX(CALC_COMMUNITY!$AE:$AE,CALC_COMMUNITY!$AP$20)))</f>
        <v/>
      </c>
      <c r="K71" s="68">
        <f>IF(CALC_COMMUNITY!$AP$20="","",IF(INDEX(CALC_COMMUNITY!$AF:$AF,CALC_COMMUNITY!$AP$20)="","–",INDEX(CALC_COMMUNITY!$AF:$AF,CALC_COMMUNITY!$AP$20)))</f>
        <v/>
      </c>
      <c r="L71" s="70">
        <f>IF(CALC_COMMUNITY!$AP$20="","",IF(INDEX(CALC_COMMUNITY!$AG:$AG,CALC_COMMUNITY!$AP$20)="","–",INDEX(CALC_COMMUNITY!$AG:$AG,CALC_COMMUNITY!$AP$20)))</f>
        <v/>
      </c>
      <c r="M71" s="70">
        <f>IF(CALC_COMMUNITY!$AP$20="","",IF(INDEX(CALC_COMMUNITY!$AI:$AI,CALC_COMMUNITY!$AP$20)="","–",INDEX(CALC_COMMUNITY!$AI:$AI,CALC_COMMUNITY!$AP$20)))</f>
        <v/>
      </c>
      <c r="N71" s="68">
        <f>IF(CALC_COMMUNITY!$AP$20="","",IF(INDEX(CALC_COMMUNITY!$AJ:$AJ,CALC_COMMUNITY!$AP$20)="","–",INDEX(CALC_COMMUNITY!$AJ:$AJ,CALC_COMMUNITY!$AP$20)))</f>
        <v/>
      </c>
      <c r="O71" s="204">
        <f>IF(CALC_COMMUNITY!$AP$20="","",IF(INDEX(CALC_COMMUNITY!$AK:$AK,CALC_COMMUNITY!$AP$20)="","–",INDEX(CALC_COMMUNITY!$AK:$AK,CALC_COMMUNITY!$AP$20)))</f>
        <v/>
      </c>
    </row>
    <row r="72">
      <c r="B72" s="189">
        <f>IF(CALC_COMMUNITY!$AP$21="","",IF(INDEX(CALC_COMMUNITY!$AA:$AA,CALC_COMMUNITY!$AP$21)="","–",INDEX(CALC_COMMUNITY!$AA:$AA,CALC_COMMUNITY!$AP$21)))</f>
        <v/>
      </c>
      <c r="C72" s="184" t="n"/>
      <c r="D72" s="189">
        <f>IF(CALC_COMMUNITY!$AP$21="","",IF(INDEX(CALC_COMMUNITY!$AB:$AB,CALC_COMMUNITY!$AP$21)="","–",INDEX(CALC_COMMUNITY!$AB:$AB,CALC_COMMUNITY!$AP$21)))</f>
        <v/>
      </c>
      <c r="E72" s="184" t="n"/>
      <c r="F72" s="184" t="n"/>
      <c r="G72" s="184" t="n"/>
      <c r="H72" s="189">
        <f>IF(CALC_COMMUNITY!$AP$21="","",IF(INDEX(CALC_COMMUNITY!$AC:$AC,CALC_COMMUNITY!$AP$21)="","–",INDEX(CALC_COMMUNITY!$AC:$AC,CALC_COMMUNITY!$AP$21)))</f>
        <v/>
      </c>
      <c r="I72" s="184" t="n"/>
      <c r="J72" s="186">
        <f>IF(CALC_COMMUNITY!$AP$21="","",IF(INDEX(CALC_COMMUNITY!$AE:$AE,CALC_COMMUNITY!$AP$21)="","–",INDEX(CALC_COMMUNITY!$AE:$AE,CALC_COMMUNITY!$AP$21)))</f>
        <v/>
      </c>
      <c r="K72" s="186">
        <f>IF(CALC_COMMUNITY!$AP$21="","",IF(INDEX(CALC_COMMUNITY!$AF:$AF,CALC_COMMUNITY!$AP$21)="","–",INDEX(CALC_COMMUNITY!$AF:$AF,CALC_COMMUNITY!$AP$21)))</f>
        <v/>
      </c>
      <c r="L72" s="188">
        <f>IF(CALC_COMMUNITY!$AP$21="","",IF(INDEX(CALC_COMMUNITY!$AG:$AG,CALC_COMMUNITY!$AP$21)="","–",INDEX(CALC_COMMUNITY!$AG:$AG,CALC_COMMUNITY!$AP$21)))</f>
        <v/>
      </c>
      <c r="M72" s="188">
        <f>IF(CALC_COMMUNITY!$AP$21="","",IF(INDEX(CALC_COMMUNITY!$AI:$AI,CALC_COMMUNITY!$AP$21)="","–",INDEX(CALC_COMMUNITY!$AI:$AI,CALC_COMMUNITY!$AP$21)))</f>
        <v/>
      </c>
      <c r="N72" s="186">
        <f>IF(CALC_COMMUNITY!$AP$21="","",IF(INDEX(CALC_COMMUNITY!$AJ:$AJ,CALC_COMMUNITY!$AP$21)="","–",INDEX(CALC_COMMUNITY!$AJ:$AJ,CALC_COMMUNITY!$AP$21)))</f>
        <v/>
      </c>
      <c r="O72" s="203">
        <f>IF(CALC_COMMUNITY!$AP$21="","",IF(INDEX(CALC_COMMUNITY!$AK:$AK,CALC_COMMUNITY!$AP$21)="","–",INDEX(CALC_COMMUNITY!$AK:$AK,CALC_COMMUNITY!$AP$21)))</f>
        <v/>
      </c>
    </row>
    <row r="73">
      <c r="B73" s="66">
        <f>IF(CALC_COMMUNITY!$AP$22="","",IF(INDEX(CALC_COMMUNITY!$AA:$AA,CALC_COMMUNITY!$AP$22)="","–",INDEX(CALC_COMMUNITY!$AA:$AA,CALC_COMMUNITY!$AP$22)))</f>
        <v/>
      </c>
      <c r="D73" s="66">
        <f>IF(CALC_COMMUNITY!$AP$22="","",IF(INDEX(CALC_COMMUNITY!$AB:$AB,CALC_COMMUNITY!$AP$22)="","–",INDEX(CALC_COMMUNITY!$AB:$AB,CALC_COMMUNITY!$AP$22)))</f>
        <v/>
      </c>
      <c r="H73" s="66">
        <f>IF(CALC_COMMUNITY!$AP$22="","",IF(INDEX(CALC_COMMUNITY!$AC:$AC,CALC_COMMUNITY!$AP$22)="","–",INDEX(CALC_COMMUNITY!$AC:$AC,CALC_COMMUNITY!$AP$22)))</f>
        <v/>
      </c>
      <c r="J73" s="68">
        <f>IF(CALC_COMMUNITY!$AP$22="","",IF(INDEX(CALC_COMMUNITY!$AE:$AE,CALC_COMMUNITY!$AP$22)="","–",INDEX(CALC_COMMUNITY!$AE:$AE,CALC_COMMUNITY!$AP$22)))</f>
        <v/>
      </c>
      <c r="K73" s="68">
        <f>IF(CALC_COMMUNITY!$AP$22="","",IF(INDEX(CALC_COMMUNITY!$AF:$AF,CALC_COMMUNITY!$AP$22)="","–",INDEX(CALC_COMMUNITY!$AF:$AF,CALC_COMMUNITY!$AP$22)))</f>
        <v/>
      </c>
      <c r="L73" s="70">
        <f>IF(CALC_COMMUNITY!$AP$22="","",IF(INDEX(CALC_COMMUNITY!$AG:$AG,CALC_COMMUNITY!$AP$22)="","–",INDEX(CALC_COMMUNITY!$AG:$AG,CALC_COMMUNITY!$AP$22)))</f>
        <v/>
      </c>
      <c r="M73" s="70">
        <f>IF(CALC_COMMUNITY!$AP$22="","",IF(INDEX(CALC_COMMUNITY!$AI:$AI,CALC_COMMUNITY!$AP$22)="","–",INDEX(CALC_COMMUNITY!$AI:$AI,CALC_COMMUNITY!$AP$22)))</f>
        <v/>
      </c>
      <c r="N73" s="68">
        <f>IF(CALC_COMMUNITY!$AP$22="","",IF(INDEX(CALC_COMMUNITY!$AJ:$AJ,CALC_COMMUNITY!$AP$22)="","–",INDEX(CALC_COMMUNITY!$AJ:$AJ,CALC_COMMUNITY!$AP$22)))</f>
        <v/>
      </c>
      <c r="O73" s="204">
        <f>IF(CALC_COMMUNITY!$AP$22="","",IF(INDEX(CALC_COMMUNITY!$AK:$AK,CALC_COMMUNITY!$AP$22)="","–",INDEX(CALC_COMMUNITY!$AK:$AK,CALC_COMMUNITY!$AP$22)))</f>
        <v/>
      </c>
    </row>
    <row r="74">
      <c r="B74" s="189">
        <f>IF(CALC_COMMUNITY!$AP$23="","",IF(INDEX(CALC_COMMUNITY!$AA:$AA,CALC_COMMUNITY!$AP$23)="","–",INDEX(CALC_COMMUNITY!$AA:$AA,CALC_COMMUNITY!$AP$23)))</f>
        <v/>
      </c>
      <c r="C74" s="184" t="n"/>
      <c r="D74" s="189">
        <f>IF(CALC_COMMUNITY!$AP$23="","",IF(INDEX(CALC_COMMUNITY!$AB:$AB,CALC_COMMUNITY!$AP$23)="","–",INDEX(CALC_COMMUNITY!$AB:$AB,CALC_COMMUNITY!$AP$23)))</f>
        <v/>
      </c>
      <c r="E74" s="184" t="n"/>
      <c r="F74" s="184" t="n"/>
      <c r="G74" s="184" t="n"/>
      <c r="H74" s="189">
        <f>IF(CALC_COMMUNITY!$AP$23="","",IF(INDEX(CALC_COMMUNITY!$AC:$AC,CALC_COMMUNITY!$AP$23)="","–",INDEX(CALC_COMMUNITY!$AC:$AC,CALC_COMMUNITY!$AP$23)))</f>
        <v/>
      </c>
      <c r="I74" s="184" t="n"/>
      <c r="J74" s="186">
        <f>IF(CALC_COMMUNITY!$AP$23="","",IF(INDEX(CALC_COMMUNITY!$AE:$AE,CALC_COMMUNITY!$AP$23)="","–",INDEX(CALC_COMMUNITY!$AE:$AE,CALC_COMMUNITY!$AP$23)))</f>
        <v/>
      </c>
      <c r="K74" s="186">
        <f>IF(CALC_COMMUNITY!$AP$23="","",IF(INDEX(CALC_COMMUNITY!$AF:$AF,CALC_COMMUNITY!$AP$23)="","–",INDEX(CALC_COMMUNITY!$AF:$AF,CALC_COMMUNITY!$AP$23)))</f>
        <v/>
      </c>
      <c r="L74" s="188">
        <f>IF(CALC_COMMUNITY!$AP$23="","",IF(INDEX(CALC_COMMUNITY!$AG:$AG,CALC_COMMUNITY!$AP$23)="","–",INDEX(CALC_COMMUNITY!$AG:$AG,CALC_COMMUNITY!$AP$23)))</f>
        <v/>
      </c>
      <c r="M74" s="188">
        <f>IF(CALC_COMMUNITY!$AP$23="","",IF(INDEX(CALC_COMMUNITY!$AI:$AI,CALC_COMMUNITY!$AP$23)="","–",INDEX(CALC_COMMUNITY!$AI:$AI,CALC_COMMUNITY!$AP$23)))</f>
        <v/>
      </c>
      <c r="N74" s="186">
        <f>IF(CALC_COMMUNITY!$AP$23="","",IF(INDEX(CALC_COMMUNITY!$AJ:$AJ,CALC_COMMUNITY!$AP$23)="","–",INDEX(CALC_COMMUNITY!$AJ:$AJ,CALC_COMMUNITY!$AP$23)))</f>
        <v/>
      </c>
      <c r="O74" s="203">
        <f>IF(CALC_COMMUNITY!$AP$23="","",IF(INDEX(CALC_COMMUNITY!$AK:$AK,CALC_COMMUNITY!$AP$23)="","–",INDEX(CALC_COMMUNITY!$AK:$AK,CALC_COMMUNITY!$AP$23)))</f>
        <v/>
      </c>
    </row>
    <row r="75">
      <c r="B75" s="66">
        <f>IF(CALC_COMMUNITY!$AP$24="","",IF(INDEX(CALC_COMMUNITY!$AA:$AA,CALC_COMMUNITY!$AP$24)="","–",INDEX(CALC_COMMUNITY!$AA:$AA,CALC_COMMUNITY!$AP$24)))</f>
        <v/>
      </c>
      <c r="D75" s="66">
        <f>IF(CALC_COMMUNITY!$AP$24="","",IF(INDEX(CALC_COMMUNITY!$AB:$AB,CALC_COMMUNITY!$AP$24)="","–",INDEX(CALC_COMMUNITY!$AB:$AB,CALC_COMMUNITY!$AP$24)))</f>
        <v/>
      </c>
      <c r="H75" s="66">
        <f>IF(CALC_COMMUNITY!$AP$24="","",IF(INDEX(CALC_COMMUNITY!$AC:$AC,CALC_COMMUNITY!$AP$24)="","–",INDEX(CALC_COMMUNITY!$AC:$AC,CALC_COMMUNITY!$AP$24)))</f>
        <v/>
      </c>
      <c r="J75" s="68">
        <f>IF(CALC_COMMUNITY!$AP$24="","",IF(INDEX(CALC_COMMUNITY!$AE:$AE,CALC_COMMUNITY!$AP$24)="","–",INDEX(CALC_COMMUNITY!$AE:$AE,CALC_COMMUNITY!$AP$24)))</f>
        <v/>
      </c>
      <c r="K75" s="68">
        <f>IF(CALC_COMMUNITY!$AP$24="","",IF(INDEX(CALC_COMMUNITY!$AF:$AF,CALC_COMMUNITY!$AP$24)="","–",INDEX(CALC_COMMUNITY!$AF:$AF,CALC_COMMUNITY!$AP$24)))</f>
        <v/>
      </c>
      <c r="L75" s="70">
        <f>IF(CALC_COMMUNITY!$AP$24="","",IF(INDEX(CALC_COMMUNITY!$AG:$AG,CALC_COMMUNITY!$AP$24)="","–",INDEX(CALC_COMMUNITY!$AG:$AG,CALC_COMMUNITY!$AP$24)))</f>
        <v/>
      </c>
      <c r="M75" s="70">
        <f>IF(CALC_COMMUNITY!$AP$24="","",IF(INDEX(CALC_COMMUNITY!$AI:$AI,CALC_COMMUNITY!$AP$24)="","–",INDEX(CALC_COMMUNITY!$AI:$AI,CALC_COMMUNITY!$AP$24)))</f>
        <v/>
      </c>
      <c r="N75" s="68">
        <f>IF(CALC_COMMUNITY!$AP$24="","",IF(INDEX(CALC_COMMUNITY!$AJ:$AJ,CALC_COMMUNITY!$AP$24)="","–",INDEX(CALC_COMMUNITY!$AJ:$AJ,CALC_COMMUNITY!$AP$24)))</f>
        <v/>
      </c>
      <c r="O75" s="204">
        <f>IF(CALC_COMMUNITY!$AP$24="","",IF(INDEX(CALC_COMMUNITY!$AK:$AK,CALC_COMMUNITY!$AP$24)="","–",INDEX(CALC_COMMUNITY!$AK:$AK,CALC_COMMUNITY!$AP$24)))</f>
        <v/>
      </c>
    </row>
    <row r="76">
      <c r="B76" s="189">
        <f>IF(CALC_COMMUNITY!$AP$25="","",IF(INDEX(CALC_COMMUNITY!$AA:$AA,CALC_COMMUNITY!$AP$25)="","–",INDEX(CALC_COMMUNITY!$AA:$AA,CALC_COMMUNITY!$AP$25)))</f>
        <v/>
      </c>
      <c r="C76" s="184" t="n"/>
      <c r="D76" s="189">
        <f>IF(CALC_COMMUNITY!$AP$25="","",IF(INDEX(CALC_COMMUNITY!$AB:$AB,CALC_COMMUNITY!$AP$25)="","–",INDEX(CALC_COMMUNITY!$AB:$AB,CALC_COMMUNITY!$AP$25)))</f>
        <v/>
      </c>
      <c r="E76" s="184" t="n"/>
      <c r="F76" s="184" t="n"/>
      <c r="G76" s="184" t="n"/>
      <c r="H76" s="189">
        <f>IF(CALC_COMMUNITY!$AP$25="","",IF(INDEX(CALC_COMMUNITY!$AC:$AC,CALC_COMMUNITY!$AP$25)="","–",INDEX(CALC_COMMUNITY!$AC:$AC,CALC_COMMUNITY!$AP$25)))</f>
        <v/>
      </c>
      <c r="I76" s="184" t="n"/>
      <c r="J76" s="186">
        <f>IF(CALC_COMMUNITY!$AP$25="","",IF(INDEX(CALC_COMMUNITY!$AE:$AE,CALC_COMMUNITY!$AP$25)="","–",INDEX(CALC_COMMUNITY!$AE:$AE,CALC_COMMUNITY!$AP$25)))</f>
        <v/>
      </c>
      <c r="K76" s="186">
        <f>IF(CALC_COMMUNITY!$AP$25="","",IF(INDEX(CALC_COMMUNITY!$AF:$AF,CALC_COMMUNITY!$AP$25)="","–",INDEX(CALC_COMMUNITY!$AF:$AF,CALC_COMMUNITY!$AP$25)))</f>
        <v/>
      </c>
      <c r="L76" s="188">
        <f>IF(CALC_COMMUNITY!$AP$25="","",IF(INDEX(CALC_COMMUNITY!$AG:$AG,CALC_COMMUNITY!$AP$25)="","–",INDEX(CALC_COMMUNITY!$AG:$AG,CALC_COMMUNITY!$AP$25)))</f>
        <v/>
      </c>
      <c r="M76" s="188">
        <f>IF(CALC_COMMUNITY!$AP$25="","",IF(INDEX(CALC_COMMUNITY!$AI:$AI,CALC_COMMUNITY!$AP$25)="","–",INDEX(CALC_COMMUNITY!$AI:$AI,CALC_COMMUNITY!$AP$25)))</f>
        <v/>
      </c>
      <c r="N76" s="186">
        <f>IF(CALC_COMMUNITY!$AP$25="","",IF(INDEX(CALC_COMMUNITY!$AJ:$AJ,CALC_COMMUNITY!$AP$25)="","–",INDEX(CALC_COMMUNITY!$AJ:$AJ,CALC_COMMUNITY!$AP$25)))</f>
        <v/>
      </c>
      <c r="O76" s="203">
        <f>IF(CALC_COMMUNITY!$AP$25="","",IF(INDEX(CALC_COMMUNITY!$AK:$AK,CALC_COMMUNITY!$AP$25)="","–",INDEX(CALC_COMMUNITY!$AK:$AK,CALC_COMMUNITY!$AP$25)))</f>
        <v/>
      </c>
    </row>
    <row r="77">
      <c r="B77" s="66">
        <f>IF(CALC_COMMUNITY!$AP$26="","",IF(INDEX(CALC_COMMUNITY!$AA:$AA,CALC_COMMUNITY!$AP$26)="","–",INDEX(CALC_COMMUNITY!$AA:$AA,CALC_COMMUNITY!$AP$26)))</f>
        <v/>
      </c>
      <c r="D77" s="66">
        <f>IF(CALC_COMMUNITY!$AP$26="","",IF(INDEX(CALC_COMMUNITY!$AB:$AB,CALC_COMMUNITY!$AP$26)="","–",INDEX(CALC_COMMUNITY!$AB:$AB,CALC_COMMUNITY!$AP$26)))</f>
        <v/>
      </c>
      <c r="H77" s="66">
        <f>IF(CALC_COMMUNITY!$AP$26="","",IF(INDEX(CALC_COMMUNITY!$AC:$AC,CALC_COMMUNITY!$AP$26)="","–",INDEX(CALC_COMMUNITY!$AC:$AC,CALC_COMMUNITY!$AP$26)))</f>
        <v/>
      </c>
      <c r="J77" s="68">
        <f>IF(CALC_COMMUNITY!$AP$26="","",IF(INDEX(CALC_COMMUNITY!$AE:$AE,CALC_COMMUNITY!$AP$26)="","–",INDEX(CALC_COMMUNITY!$AE:$AE,CALC_COMMUNITY!$AP$26)))</f>
        <v/>
      </c>
      <c r="K77" s="68">
        <f>IF(CALC_COMMUNITY!$AP$26="","",IF(INDEX(CALC_COMMUNITY!$AF:$AF,CALC_COMMUNITY!$AP$26)="","–",INDEX(CALC_COMMUNITY!$AF:$AF,CALC_COMMUNITY!$AP$26)))</f>
        <v/>
      </c>
      <c r="L77" s="70">
        <f>IF(CALC_COMMUNITY!$AP$26="","",IF(INDEX(CALC_COMMUNITY!$AG:$AG,CALC_COMMUNITY!$AP$26)="","–",INDEX(CALC_COMMUNITY!$AG:$AG,CALC_COMMUNITY!$AP$26)))</f>
        <v/>
      </c>
      <c r="M77" s="70">
        <f>IF(CALC_COMMUNITY!$AP$26="","",IF(INDEX(CALC_COMMUNITY!$AI:$AI,CALC_COMMUNITY!$AP$26)="","–",INDEX(CALC_COMMUNITY!$AI:$AI,CALC_COMMUNITY!$AP$26)))</f>
        <v/>
      </c>
      <c r="N77" s="68">
        <f>IF(CALC_COMMUNITY!$AP$26="","",IF(INDEX(CALC_COMMUNITY!$AJ:$AJ,CALC_COMMUNITY!$AP$26)="","–",INDEX(CALC_COMMUNITY!$AJ:$AJ,CALC_COMMUNITY!$AP$26)))</f>
        <v/>
      </c>
      <c r="O77" s="204">
        <f>IF(CALC_COMMUNITY!$AP$26="","",IF(INDEX(CALC_COMMUNITY!$AK:$AK,CALC_COMMUNITY!$AP$26)="","–",INDEX(CALC_COMMUNITY!$AK:$AK,CALC_COMMUNITY!$AP$26)))</f>
        <v/>
      </c>
    </row>
    <row r="78">
      <c r="B78" s="189">
        <f>IF(CALC_COMMUNITY!$AP$27="","",IF(INDEX(CALC_COMMUNITY!$AA:$AA,CALC_COMMUNITY!$AP$27)="","–",INDEX(CALC_COMMUNITY!$AA:$AA,CALC_COMMUNITY!$AP$27)))</f>
        <v/>
      </c>
      <c r="C78" s="184" t="n"/>
      <c r="D78" s="189">
        <f>IF(CALC_COMMUNITY!$AP$27="","",IF(INDEX(CALC_COMMUNITY!$AB:$AB,CALC_COMMUNITY!$AP$27)="","–",INDEX(CALC_COMMUNITY!$AB:$AB,CALC_COMMUNITY!$AP$27)))</f>
        <v/>
      </c>
      <c r="E78" s="184" t="n"/>
      <c r="F78" s="184" t="n"/>
      <c r="G78" s="184" t="n"/>
      <c r="H78" s="189">
        <f>IF(CALC_COMMUNITY!$AP$27="","",IF(INDEX(CALC_COMMUNITY!$AC:$AC,CALC_COMMUNITY!$AP$27)="","–",INDEX(CALC_COMMUNITY!$AC:$AC,CALC_COMMUNITY!$AP$27)))</f>
        <v/>
      </c>
      <c r="I78" s="184" t="n"/>
      <c r="J78" s="186">
        <f>IF(CALC_COMMUNITY!$AP$27="","",IF(INDEX(CALC_COMMUNITY!$AE:$AE,CALC_COMMUNITY!$AP$27)="","–",INDEX(CALC_COMMUNITY!$AE:$AE,CALC_COMMUNITY!$AP$27)))</f>
        <v/>
      </c>
      <c r="K78" s="186">
        <f>IF(CALC_COMMUNITY!$AP$27="","",IF(INDEX(CALC_COMMUNITY!$AF:$AF,CALC_COMMUNITY!$AP$27)="","–",INDEX(CALC_COMMUNITY!$AF:$AF,CALC_COMMUNITY!$AP$27)))</f>
        <v/>
      </c>
      <c r="L78" s="188">
        <f>IF(CALC_COMMUNITY!$AP$27="","",IF(INDEX(CALC_COMMUNITY!$AG:$AG,CALC_COMMUNITY!$AP$27)="","–",INDEX(CALC_COMMUNITY!$AG:$AG,CALC_COMMUNITY!$AP$27)))</f>
        <v/>
      </c>
      <c r="M78" s="188">
        <f>IF(CALC_COMMUNITY!$AP$27="","",IF(INDEX(CALC_COMMUNITY!$AI:$AI,CALC_COMMUNITY!$AP$27)="","–",INDEX(CALC_COMMUNITY!$AI:$AI,CALC_COMMUNITY!$AP$27)))</f>
        <v/>
      </c>
      <c r="N78" s="186">
        <f>IF(CALC_COMMUNITY!$AP$27="","",IF(INDEX(CALC_COMMUNITY!$AJ:$AJ,CALC_COMMUNITY!$AP$27)="","–",INDEX(CALC_COMMUNITY!$AJ:$AJ,CALC_COMMUNITY!$AP$27)))</f>
        <v/>
      </c>
      <c r="O78" s="203">
        <f>IF(CALC_COMMUNITY!$AP$27="","",IF(INDEX(CALC_COMMUNITY!$AK:$AK,CALC_COMMUNITY!$AP$27)="","–",INDEX(CALC_COMMUNITY!$AK:$AK,CALC_COMMUNITY!$AP$27)))</f>
        <v/>
      </c>
    </row>
    <row r="79">
      <c r="B79" s="66">
        <f>IF(CALC_COMMUNITY!$AP$28="","",IF(INDEX(CALC_COMMUNITY!$AA:$AA,CALC_COMMUNITY!$AP$28)="","–",INDEX(CALC_COMMUNITY!$AA:$AA,CALC_COMMUNITY!$AP$28)))</f>
        <v/>
      </c>
      <c r="D79" s="66">
        <f>IF(CALC_COMMUNITY!$AP$28="","",IF(INDEX(CALC_COMMUNITY!$AB:$AB,CALC_COMMUNITY!$AP$28)="","–",INDEX(CALC_COMMUNITY!$AB:$AB,CALC_COMMUNITY!$AP$28)))</f>
        <v/>
      </c>
      <c r="H79" s="66">
        <f>IF(CALC_COMMUNITY!$AP$28="","",IF(INDEX(CALC_COMMUNITY!$AC:$AC,CALC_COMMUNITY!$AP$28)="","–",INDEX(CALC_COMMUNITY!$AC:$AC,CALC_COMMUNITY!$AP$28)))</f>
        <v/>
      </c>
      <c r="J79" s="68">
        <f>IF(CALC_COMMUNITY!$AP$28="","",IF(INDEX(CALC_COMMUNITY!$AE:$AE,CALC_COMMUNITY!$AP$28)="","–",INDEX(CALC_COMMUNITY!$AE:$AE,CALC_COMMUNITY!$AP$28)))</f>
        <v/>
      </c>
      <c r="K79" s="68">
        <f>IF(CALC_COMMUNITY!$AP$28="","",IF(INDEX(CALC_COMMUNITY!$AF:$AF,CALC_COMMUNITY!$AP$28)="","–",INDEX(CALC_COMMUNITY!$AF:$AF,CALC_COMMUNITY!$AP$28)))</f>
        <v/>
      </c>
      <c r="L79" s="70">
        <f>IF(CALC_COMMUNITY!$AP$28="","",IF(INDEX(CALC_COMMUNITY!$AG:$AG,CALC_COMMUNITY!$AP$28)="","–",INDEX(CALC_COMMUNITY!$AG:$AG,CALC_COMMUNITY!$AP$28)))</f>
        <v/>
      </c>
      <c r="M79" s="70">
        <f>IF(CALC_COMMUNITY!$AP$28="","",IF(INDEX(CALC_COMMUNITY!$AI:$AI,CALC_COMMUNITY!$AP$28)="","–",INDEX(CALC_COMMUNITY!$AI:$AI,CALC_COMMUNITY!$AP$28)))</f>
        <v/>
      </c>
      <c r="N79" s="68">
        <f>IF(CALC_COMMUNITY!$AP$28="","",IF(INDEX(CALC_COMMUNITY!$AJ:$AJ,CALC_COMMUNITY!$AP$28)="","–",INDEX(CALC_COMMUNITY!$AJ:$AJ,CALC_COMMUNITY!$AP$28)))</f>
        <v/>
      </c>
      <c r="O79" s="204">
        <f>IF(CALC_COMMUNITY!$AP$28="","",IF(INDEX(CALC_COMMUNITY!$AK:$AK,CALC_COMMUNITY!$AP$28)="","–",INDEX(CALC_COMMUNITY!$AK:$AK,CALC_COMMUNITY!$AP$28)))</f>
        <v/>
      </c>
    </row>
    <row r="80">
      <c r="B80" s="189">
        <f>IF(CALC_COMMUNITY!$AP$29="","",IF(INDEX(CALC_COMMUNITY!$AA:$AA,CALC_COMMUNITY!$AP$29)="","–",INDEX(CALC_COMMUNITY!$AA:$AA,CALC_COMMUNITY!$AP$29)))</f>
        <v/>
      </c>
      <c r="C80" s="184" t="n"/>
      <c r="D80" s="189">
        <f>IF(CALC_COMMUNITY!$AP$29="","",IF(INDEX(CALC_COMMUNITY!$AB:$AB,CALC_COMMUNITY!$AP$29)="","–",INDEX(CALC_COMMUNITY!$AB:$AB,CALC_COMMUNITY!$AP$29)))</f>
        <v/>
      </c>
      <c r="E80" s="184" t="n"/>
      <c r="F80" s="184" t="n"/>
      <c r="G80" s="184" t="n"/>
      <c r="H80" s="189">
        <f>IF(CALC_COMMUNITY!$AP$29="","",IF(INDEX(CALC_COMMUNITY!$AC:$AC,CALC_COMMUNITY!$AP$29)="","–",INDEX(CALC_COMMUNITY!$AC:$AC,CALC_COMMUNITY!$AP$29)))</f>
        <v/>
      </c>
      <c r="I80" s="184" t="n"/>
      <c r="J80" s="186">
        <f>IF(CALC_COMMUNITY!$AP$29="","",IF(INDEX(CALC_COMMUNITY!$AE:$AE,CALC_COMMUNITY!$AP$29)="","–",INDEX(CALC_COMMUNITY!$AE:$AE,CALC_COMMUNITY!$AP$29)))</f>
        <v/>
      </c>
      <c r="K80" s="186">
        <f>IF(CALC_COMMUNITY!$AP$29="","",IF(INDEX(CALC_COMMUNITY!$AF:$AF,CALC_COMMUNITY!$AP$29)="","–",INDEX(CALC_COMMUNITY!$AF:$AF,CALC_COMMUNITY!$AP$29)))</f>
        <v/>
      </c>
      <c r="L80" s="188">
        <f>IF(CALC_COMMUNITY!$AP$29="","",IF(INDEX(CALC_COMMUNITY!$AG:$AG,CALC_COMMUNITY!$AP$29)="","–",INDEX(CALC_COMMUNITY!$AG:$AG,CALC_COMMUNITY!$AP$29)))</f>
        <v/>
      </c>
      <c r="M80" s="188">
        <f>IF(CALC_COMMUNITY!$AP$29="","",IF(INDEX(CALC_COMMUNITY!$AI:$AI,CALC_COMMUNITY!$AP$29)="","–",INDEX(CALC_COMMUNITY!$AI:$AI,CALC_COMMUNITY!$AP$29)))</f>
        <v/>
      </c>
      <c r="N80" s="186">
        <f>IF(CALC_COMMUNITY!$AP$29="","",IF(INDEX(CALC_COMMUNITY!$AJ:$AJ,CALC_COMMUNITY!$AP$29)="","–",INDEX(CALC_COMMUNITY!$AJ:$AJ,CALC_COMMUNITY!$AP$29)))</f>
        <v/>
      </c>
      <c r="O80" s="203">
        <f>IF(CALC_COMMUNITY!$AP$29="","",IF(INDEX(CALC_COMMUNITY!$AK:$AK,CALC_COMMUNITY!$AP$29)="","–",INDEX(CALC_COMMUNITY!$AK:$AK,CALC_COMMUNITY!$AP$29)))</f>
        <v/>
      </c>
    </row>
    <row r="81">
      <c r="B81" s="66">
        <f>IF(CALC_COMMUNITY!$AP$30="","",IF(INDEX(CALC_COMMUNITY!$AA:$AA,CALC_COMMUNITY!$AP$30)="","–",INDEX(CALC_COMMUNITY!$AA:$AA,CALC_COMMUNITY!$AP$30)))</f>
        <v/>
      </c>
      <c r="D81" s="66">
        <f>IF(CALC_COMMUNITY!$AP$30="","",IF(INDEX(CALC_COMMUNITY!$AB:$AB,CALC_COMMUNITY!$AP$30)="","–",INDEX(CALC_COMMUNITY!$AB:$AB,CALC_COMMUNITY!$AP$30)))</f>
        <v/>
      </c>
      <c r="H81" s="66">
        <f>IF(CALC_COMMUNITY!$AP$30="","",IF(INDEX(CALC_COMMUNITY!$AC:$AC,CALC_COMMUNITY!$AP$30)="","–",INDEX(CALC_COMMUNITY!$AC:$AC,CALC_COMMUNITY!$AP$30)))</f>
        <v/>
      </c>
      <c r="J81" s="68">
        <f>IF(CALC_COMMUNITY!$AP$30="","",IF(INDEX(CALC_COMMUNITY!$AE:$AE,CALC_COMMUNITY!$AP$30)="","–",INDEX(CALC_COMMUNITY!$AE:$AE,CALC_COMMUNITY!$AP$30)))</f>
        <v/>
      </c>
      <c r="K81" s="68">
        <f>IF(CALC_COMMUNITY!$AP$30="","",IF(INDEX(CALC_COMMUNITY!$AF:$AF,CALC_COMMUNITY!$AP$30)="","–",INDEX(CALC_COMMUNITY!$AF:$AF,CALC_COMMUNITY!$AP$30)))</f>
        <v/>
      </c>
      <c r="L81" s="70">
        <f>IF(CALC_COMMUNITY!$AP$30="","",IF(INDEX(CALC_COMMUNITY!$AG:$AG,CALC_COMMUNITY!$AP$30)="","–",INDEX(CALC_COMMUNITY!$AG:$AG,CALC_COMMUNITY!$AP$30)))</f>
        <v/>
      </c>
      <c r="M81" s="70">
        <f>IF(CALC_COMMUNITY!$AP$30="","",IF(INDEX(CALC_COMMUNITY!$AI:$AI,CALC_COMMUNITY!$AP$30)="","–",INDEX(CALC_COMMUNITY!$AI:$AI,CALC_COMMUNITY!$AP$30)))</f>
        <v/>
      </c>
      <c r="N81" s="68">
        <f>IF(CALC_COMMUNITY!$AP$30="","",IF(INDEX(CALC_COMMUNITY!$AJ:$AJ,CALC_COMMUNITY!$AP$30)="","–",INDEX(CALC_COMMUNITY!$AJ:$AJ,CALC_COMMUNITY!$AP$30)))</f>
        <v/>
      </c>
      <c r="O81" s="204">
        <f>IF(CALC_COMMUNITY!$AP$30="","",IF(INDEX(CALC_COMMUNITY!$AK:$AK,CALC_COMMUNITY!$AP$30)="","–",INDEX(CALC_COMMUNITY!$AK:$AK,CALC_COMMUNITY!$AP$30)))</f>
        <v/>
      </c>
    </row>
    <row r="82">
      <c r="B82" s="189">
        <f>IF(CALC_COMMUNITY!$AP$31="","",IF(INDEX(CALC_COMMUNITY!$AA:$AA,CALC_COMMUNITY!$AP$31)="","–",INDEX(CALC_COMMUNITY!$AA:$AA,CALC_COMMUNITY!$AP$31)))</f>
        <v/>
      </c>
      <c r="C82" s="184" t="n"/>
      <c r="D82" s="189">
        <f>IF(CALC_COMMUNITY!$AP$31="","",IF(INDEX(CALC_COMMUNITY!$AB:$AB,CALC_COMMUNITY!$AP$31)="","–",INDEX(CALC_COMMUNITY!$AB:$AB,CALC_COMMUNITY!$AP$31)))</f>
        <v/>
      </c>
      <c r="E82" s="184" t="n"/>
      <c r="F82" s="184" t="n"/>
      <c r="G82" s="184" t="n"/>
      <c r="H82" s="189">
        <f>IF(CALC_COMMUNITY!$AP$31="","",IF(INDEX(CALC_COMMUNITY!$AC:$AC,CALC_COMMUNITY!$AP$31)="","–",INDEX(CALC_COMMUNITY!$AC:$AC,CALC_COMMUNITY!$AP$31)))</f>
        <v/>
      </c>
      <c r="I82" s="184" t="n"/>
      <c r="J82" s="186">
        <f>IF(CALC_COMMUNITY!$AP$31="","",IF(INDEX(CALC_COMMUNITY!$AE:$AE,CALC_COMMUNITY!$AP$31)="","–",INDEX(CALC_COMMUNITY!$AE:$AE,CALC_COMMUNITY!$AP$31)))</f>
        <v/>
      </c>
      <c r="K82" s="186">
        <f>IF(CALC_COMMUNITY!$AP$31="","",IF(INDEX(CALC_COMMUNITY!$AF:$AF,CALC_COMMUNITY!$AP$31)="","–",INDEX(CALC_COMMUNITY!$AF:$AF,CALC_COMMUNITY!$AP$31)))</f>
        <v/>
      </c>
      <c r="L82" s="188">
        <f>IF(CALC_COMMUNITY!$AP$31="","",IF(INDEX(CALC_COMMUNITY!$AG:$AG,CALC_COMMUNITY!$AP$31)="","–",INDEX(CALC_COMMUNITY!$AG:$AG,CALC_COMMUNITY!$AP$31)))</f>
        <v/>
      </c>
      <c r="M82" s="188">
        <f>IF(CALC_COMMUNITY!$AP$31="","",IF(INDEX(CALC_COMMUNITY!$AI:$AI,CALC_COMMUNITY!$AP$31)="","–",INDEX(CALC_COMMUNITY!$AI:$AI,CALC_COMMUNITY!$AP$31)))</f>
        <v/>
      </c>
      <c r="N82" s="186">
        <f>IF(CALC_COMMUNITY!$AP$31="","",IF(INDEX(CALC_COMMUNITY!$AJ:$AJ,CALC_COMMUNITY!$AP$31)="","–",INDEX(CALC_COMMUNITY!$AJ:$AJ,CALC_COMMUNITY!$AP$31)))</f>
        <v/>
      </c>
      <c r="O82" s="203">
        <f>IF(CALC_COMMUNITY!$AP$31="","",IF(INDEX(CALC_COMMUNITY!$AK:$AK,CALC_COMMUNITY!$AP$31)="","–",INDEX(CALC_COMMUNITY!$AK:$AK,CALC_COMMUNITY!$AP$31)))</f>
        <v/>
      </c>
    </row>
    <row r="83">
      <c r="B83" s="66">
        <f>IF(CALC_COMMUNITY!$AP$32="","",IF(INDEX(CALC_COMMUNITY!$AA:$AA,CALC_COMMUNITY!$AP$32)="","–",INDEX(CALC_COMMUNITY!$AA:$AA,CALC_COMMUNITY!$AP$32)))</f>
        <v/>
      </c>
      <c r="D83" s="66">
        <f>IF(CALC_COMMUNITY!$AP$32="","",IF(INDEX(CALC_COMMUNITY!$AB:$AB,CALC_COMMUNITY!$AP$32)="","–",INDEX(CALC_COMMUNITY!$AB:$AB,CALC_COMMUNITY!$AP$32)))</f>
        <v/>
      </c>
      <c r="H83" s="66">
        <f>IF(CALC_COMMUNITY!$AP$32="","",IF(INDEX(CALC_COMMUNITY!$AC:$AC,CALC_COMMUNITY!$AP$32)="","–",INDEX(CALC_COMMUNITY!$AC:$AC,CALC_COMMUNITY!$AP$32)))</f>
        <v/>
      </c>
      <c r="J83" s="68">
        <f>IF(CALC_COMMUNITY!$AP$32="","",IF(INDEX(CALC_COMMUNITY!$AE:$AE,CALC_COMMUNITY!$AP$32)="","–",INDEX(CALC_COMMUNITY!$AE:$AE,CALC_COMMUNITY!$AP$32)))</f>
        <v/>
      </c>
      <c r="K83" s="68">
        <f>IF(CALC_COMMUNITY!$AP$32="","",IF(INDEX(CALC_COMMUNITY!$AF:$AF,CALC_COMMUNITY!$AP$32)="","–",INDEX(CALC_COMMUNITY!$AF:$AF,CALC_COMMUNITY!$AP$32)))</f>
        <v/>
      </c>
      <c r="L83" s="70">
        <f>IF(CALC_COMMUNITY!$AP$32="","",IF(INDEX(CALC_COMMUNITY!$AG:$AG,CALC_COMMUNITY!$AP$32)="","–",INDEX(CALC_COMMUNITY!$AG:$AG,CALC_COMMUNITY!$AP$32)))</f>
        <v/>
      </c>
      <c r="M83" s="70">
        <f>IF(CALC_COMMUNITY!$AP$32="","",IF(INDEX(CALC_COMMUNITY!$AI:$AI,CALC_COMMUNITY!$AP$32)="","–",INDEX(CALC_COMMUNITY!$AI:$AI,CALC_COMMUNITY!$AP$32)))</f>
        <v/>
      </c>
      <c r="N83" s="68">
        <f>IF(CALC_COMMUNITY!$AP$32="","",IF(INDEX(CALC_COMMUNITY!$AJ:$AJ,CALC_COMMUNITY!$AP$32)="","–",INDEX(CALC_COMMUNITY!$AJ:$AJ,CALC_COMMUNITY!$AP$32)))</f>
        <v/>
      </c>
      <c r="O83" s="204">
        <f>IF(CALC_COMMUNITY!$AP$32="","",IF(INDEX(CALC_COMMUNITY!$AK:$AK,CALC_COMMUNITY!$AP$32)="","–",INDEX(CALC_COMMUNITY!$AK:$AK,CALC_COMMUNITY!$AP$32)))</f>
        <v/>
      </c>
    </row>
    <row r="84">
      <c r="B84" s="189">
        <f>IF(CALC_COMMUNITY!$AP$33="","",IF(INDEX(CALC_COMMUNITY!$AA:$AA,CALC_COMMUNITY!$AP$33)="","–",INDEX(CALC_COMMUNITY!$AA:$AA,CALC_COMMUNITY!$AP$33)))</f>
        <v/>
      </c>
      <c r="C84" s="184" t="n"/>
      <c r="D84" s="189">
        <f>IF(CALC_COMMUNITY!$AP$33="","",IF(INDEX(CALC_COMMUNITY!$AB:$AB,CALC_COMMUNITY!$AP$33)="","–",INDEX(CALC_COMMUNITY!$AB:$AB,CALC_COMMUNITY!$AP$33)))</f>
        <v/>
      </c>
      <c r="E84" s="184" t="n"/>
      <c r="F84" s="184" t="n"/>
      <c r="G84" s="184" t="n"/>
      <c r="H84" s="189">
        <f>IF(CALC_COMMUNITY!$AP$33="","",IF(INDEX(CALC_COMMUNITY!$AC:$AC,CALC_COMMUNITY!$AP$33)="","–",INDEX(CALC_COMMUNITY!$AC:$AC,CALC_COMMUNITY!$AP$33)))</f>
        <v/>
      </c>
      <c r="I84" s="184" t="n"/>
      <c r="J84" s="186">
        <f>IF(CALC_COMMUNITY!$AP$33="","",IF(INDEX(CALC_COMMUNITY!$AE:$AE,CALC_COMMUNITY!$AP$33)="","–",INDEX(CALC_COMMUNITY!$AE:$AE,CALC_COMMUNITY!$AP$33)))</f>
        <v/>
      </c>
      <c r="K84" s="186">
        <f>IF(CALC_COMMUNITY!$AP$33="","",IF(INDEX(CALC_COMMUNITY!$AF:$AF,CALC_COMMUNITY!$AP$33)="","–",INDEX(CALC_COMMUNITY!$AF:$AF,CALC_COMMUNITY!$AP$33)))</f>
        <v/>
      </c>
      <c r="L84" s="188">
        <f>IF(CALC_COMMUNITY!$AP$33="","",IF(INDEX(CALC_COMMUNITY!$AG:$AG,CALC_COMMUNITY!$AP$33)="","–",INDEX(CALC_COMMUNITY!$AG:$AG,CALC_COMMUNITY!$AP$33)))</f>
        <v/>
      </c>
      <c r="M84" s="188">
        <f>IF(CALC_COMMUNITY!$AP$33="","",IF(INDEX(CALC_COMMUNITY!$AI:$AI,CALC_COMMUNITY!$AP$33)="","–",INDEX(CALC_COMMUNITY!$AI:$AI,CALC_COMMUNITY!$AP$33)))</f>
        <v/>
      </c>
      <c r="N84" s="186">
        <f>IF(CALC_COMMUNITY!$AP$33="","",IF(INDEX(CALC_COMMUNITY!$AJ:$AJ,CALC_COMMUNITY!$AP$33)="","–",INDEX(CALC_COMMUNITY!$AJ:$AJ,CALC_COMMUNITY!$AP$33)))</f>
        <v/>
      </c>
      <c r="O84" s="203">
        <f>IF(CALC_COMMUNITY!$AP$33="","",IF(INDEX(CALC_COMMUNITY!$AK:$AK,CALC_COMMUNITY!$AP$33)="","–",INDEX(CALC_COMMUNITY!$AK:$AK,CALC_COMMUNITY!$AP$33)))</f>
        <v/>
      </c>
    </row>
    <row r="85">
      <c r="B85" s="66">
        <f>IF(CALC_COMMUNITY!$AP$34="","",IF(INDEX(CALC_COMMUNITY!$AA:$AA,CALC_COMMUNITY!$AP$34)="","–",INDEX(CALC_COMMUNITY!$AA:$AA,CALC_COMMUNITY!$AP$34)))</f>
        <v/>
      </c>
      <c r="D85" s="66">
        <f>IF(CALC_COMMUNITY!$AP$34="","",IF(INDEX(CALC_COMMUNITY!$AB:$AB,CALC_COMMUNITY!$AP$34)="","–",INDEX(CALC_COMMUNITY!$AB:$AB,CALC_COMMUNITY!$AP$34)))</f>
        <v/>
      </c>
      <c r="H85" s="66">
        <f>IF(CALC_COMMUNITY!$AP$34="","",IF(INDEX(CALC_COMMUNITY!$AC:$AC,CALC_COMMUNITY!$AP$34)="","–",INDEX(CALC_COMMUNITY!$AC:$AC,CALC_COMMUNITY!$AP$34)))</f>
        <v/>
      </c>
      <c r="J85" s="68">
        <f>IF(CALC_COMMUNITY!$AP$34="","",IF(INDEX(CALC_COMMUNITY!$AE:$AE,CALC_COMMUNITY!$AP$34)="","–",INDEX(CALC_COMMUNITY!$AE:$AE,CALC_COMMUNITY!$AP$34)))</f>
        <v/>
      </c>
      <c r="K85" s="68">
        <f>IF(CALC_COMMUNITY!$AP$34="","",IF(INDEX(CALC_COMMUNITY!$AF:$AF,CALC_COMMUNITY!$AP$34)="","–",INDEX(CALC_COMMUNITY!$AF:$AF,CALC_COMMUNITY!$AP$34)))</f>
        <v/>
      </c>
      <c r="L85" s="70">
        <f>IF(CALC_COMMUNITY!$AP$34="","",IF(INDEX(CALC_COMMUNITY!$AG:$AG,CALC_COMMUNITY!$AP$34)="","–",INDEX(CALC_COMMUNITY!$AG:$AG,CALC_COMMUNITY!$AP$34)))</f>
        <v/>
      </c>
      <c r="M85" s="70">
        <f>IF(CALC_COMMUNITY!$AP$34="","",IF(INDEX(CALC_COMMUNITY!$AI:$AI,CALC_COMMUNITY!$AP$34)="","–",INDEX(CALC_COMMUNITY!$AI:$AI,CALC_COMMUNITY!$AP$34)))</f>
        <v/>
      </c>
      <c r="N85" s="68">
        <f>IF(CALC_COMMUNITY!$AP$34="","",IF(INDEX(CALC_COMMUNITY!$AJ:$AJ,CALC_COMMUNITY!$AP$34)="","–",INDEX(CALC_COMMUNITY!$AJ:$AJ,CALC_COMMUNITY!$AP$34)))</f>
        <v/>
      </c>
      <c r="O85" s="204">
        <f>IF(CALC_COMMUNITY!$AP$34="","",IF(INDEX(CALC_COMMUNITY!$AK:$AK,CALC_COMMUNITY!$AP$34)="","–",INDEX(CALC_COMMUNITY!$AK:$AK,CALC_COMMUNITY!$AP$34)))</f>
        <v/>
      </c>
    </row>
    <row r="86">
      <c r="B86" s="189">
        <f>IF(CALC_COMMUNITY!$AP$35="","",IF(INDEX(CALC_COMMUNITY!$AA:$AA,CALC_COMMUNITY!$AP$35)="","–",INDEX(CALC_COMMUNITY!$AA:$AA,CALC_COMMUNITY!$AP$35)))</f>
        <v/>
      </c>
      <c r="C86" s="184" t="n"/>
      <c r="D86" s="189">
        <f>IF(CALC_COMMUNITY!$AP$35="","",IF(INDEX(CALC_COMMUNITY!$AB:$AB,CALC_COMMUNITY!$AP$35)="","–",INDEX(CALC_COMMUNITY!$AB:$AB,CALC_COMMUNITY!$AP$35)))</f>
        <v/>
      </c>
      <c r="E86" s="184" t="n"/>
      <c r="F86" s="184" t="n"/>
      <c r="G86" s="184" t="n"/>
      <c r="H86" s="189">
        <f>IF(CALC_COMMUNITY!$AP$35="","",IF(INDEX(CALC_COMMUNITY!$AC:$AC,CALC_COMMUNITY!$AP$35)="","–",INDEX(CALC_COMMUNITY!$AC:$AC,CALC_COMMUNITY!$AP$35)))</f>
        <v/>
      </c>
      <c r="I86" s="184" t="n"/>
      <c r="J86" s="186">
        <f>IF(CALC_COMMUNITY!$AP$35="","",IF(INDEX(CALC_COMMUNITY!$AE:$AE,CALC_COMMUNITY!$AP$35)="","–",INDEX(CALC_COMMUNITY!$AE:$AE,CALC_COMMUNITY!$AP$35)))</f>
        <v/>
      </c>
      <c r="K86" s="186">
        <f>IF(CALC_COMMUNITY!$AP$35="","",IF(INDEX(CALC_COMMUNITY!$AF:$AF,CALC_COMMUNITY!$AP$35)="","–",INDEX(CALC_COMMUNITY!$AF:$AF,CALC_COMMUNITY!$AP$35)))</f>
        <v/>
      </c>
      <c r="L86" s="188">
        <f>IF(CALC_COMMUNITY!$AP$35="","",IF(INDEX(CALC_COMMUNITY!$AG:$AG,CALC_COMMUNITY!$AP$35)="","–",INDEX(CALC_COMMUNITY!$AG:$AG,CALC_COMMUNITY!$AP$35)))</f>
        <v/>
      </c>
      <c r="M86" s="188">
        <f>IF(CALC_COMMUNITY!$AP$35="","",IF(INDEX(CALC_COMMUNITY!$AI:$AI,CALC_COMMUNITY!$AP$35)="","–",INDEX(CALC_COMMUNITY!$AI:$AI,CALC_COMMUNITY!$AP$35)))</f>
        <v/>
      </c>
      <c r="N86" s="186">
        <f>IF(CALC_COMMUNITY!$AP$35="","",IF(INDEX(CALC_COMMUNITY!$AJ:$AJ,CALC_COMMUNITY!$AP$35)="","–",INDEX(CALC_COMMUNITY!$AJ:$AJ,CALC_COMMUNITY!$AP$35)))</f>
        <v/>
      </c>
      <c r="O86" s="203">
        <f>IF(CALC_COMMUNITY!$AP$35="","",IF(INDEX(CALC_COMMUNITY!$AK:$AK,CALC_COMMUNITY!$AP$35)="","–",INDEX(CALC_COMMUNITY!$AK:$AK,CALC_COMMUNITY!$AP$35)))</f>
        <v/>
      </c>
    </row>
    <row r="87">
      <c r="B87" s="66">
        <f>IF(CALC_COMMUNITY!$AP$36="","",IF(INDEX(CALC_COMMUNITY!$AA:$AA,CALC_COMMUNITY!$AP$36)="","–",INDEX(CALC_COMMUNITY!$AA:$AA,CALC_COMMUNITY!$AP$36)))</f>
        <v/>
      </c>
      <c r="D87" s="66">
        <f>IF(CALC_COMMUNITY!$AP$36="","",IF(INDEX(CALC_COMMUNITY!$AB:$AB,CALC_COMMUNITY!$AP$36)="","–",INDEX(CALC_COMMUNITY!$AB:$AB,CALC_COMMUNITY!$AP$36)))</f>
        <v/>
      </c>
      <c r="H87" s="66">
        <f>IF(CALC_COMMUNITY!$AP$36="","",IF(INDEX(CALC_COMMUNITY!$AC:$AC,CALC_COMMUNITY!$AP$36)="","–",INDEX(CALC_COMMUNITY!$AC:$AC,CALC_COMMUNITY!$AP$36)))</f>
        <v/>
      </c>
      <c r="J87" s="68">
        <f>IF(CALC_COMMUNITY!$AP$36="","",IF(INDEX(CALC_COMMUNITY!$AE:$AE,CALC_COMMUNITY!$AP$36)="","–",INDEX(CALC_COMMUNITY!$AE:$AE,CALC_COMMUNITY!$AP$36)))</f>
        <v/>
      </c>
      <c r="K87" s="68">
        <f>IF(CALC_COMMUNITY!$AP$36="","",IF(INDEX(CALC_COMMUNITY!$AF:$AF,CALC_COMMUNITY!$AP$36)="","–",INDEX(CALC_COMMUNITY!$AF:$AF,CALC_COMMUNITY!$AP$36)))</f>
        <v/>
      </c>
      <c r="L87" s="70">
        <f>IF(CALC_COMMUNITY!$AP$36="","",IF(INDEX(CALC_COMMUNITY!$AG:$AG,CALC_COMMUNITY!$AP$36)="","–",INDEX(CALC_COMMUNITY!$AG:$AG,CALC_COMMUNITY!$AP$36)))</f>
        <v/>
      </c>
      <c r="M87" s="70">
        <f>IF(CALC_COMMUNITY!$AP$36="","",IF(INDEX(CALC_COMMUNITY!$AI:$AI,CALC_COMMUNITY!$AP$36)="","–",INDEX(CALC_COMMUNITY!$AI:$AI,CALC_COMMUNITY!$AP$36)))</f>
        <v/>
      </c>
      <c r="N87" s="68">
        <f>IF(CALC_COMMUNITY!$AP$36="","",IF(INDEX(CALC_COMMUNITY!$AJ:$AJ,CALC_COMMUNITY!$AP$36)="","–",INDEX(CALC_COMMUNITY!$AJ:$AJ,CALC_COMMUNITY!$AP$36)))</f>
        <v/>
      </c>
      <c r="O87" s="204">
        <f>IF(CALC_COMMUNITY!$AP$36="","",IF(INDEX(CALC_COMMUNITY!$AK:$AK,CALC_COMMUNITY!$AP$36)="","–",INDEX(CALC_COMMUNITY!$AK:$AK,CALC_COMMUNITY!$AP$36)))</f>
        <v/>
      </c>
    </row>
    <row r="88">
      <c r="B88" s="189">
        <f>IF(CALC_COMMUNITY!$AP$37="","",IF(INDEX(CALC_COMMUNITY!$AA:$AA,CALC_COMMUNITY!$AP$37)="","–",INDEX(CALC_COMMUNITY!$AA:$AA,CALC_COMMUNITY!$AP$37)))</f>
        <v/>
      </c>
      <c r="C88" s="184" t="n"/>
      <c r="D88" s="189">
        <f>IF(CALC_COMMUNITY!$AP$37="","",IF(INDEX(CALC_COMMUNITY!$AB:$AB,CALC_COMMUNITY!$AP$37)="","–",INDEX(CALC_COMMUNITY!$AB:$AB,CALC_COMMUNITY!$AP$37)))</f>
        <v/>
      </c>
      <c r="E88" s="184" t="n"/>
      <c r="F88" s="184" t="n"/>
      <c r="G88" s="184" t="n"/>
      <c r="H88" s="189">
        <f>IF(CALC_COMMUNITY!$AP$37="","",IF(INDEX(CALC_COMMUNITY!$AC:$AC,CALC_COMMUNITY!$AP$37)="","–",INDEX(CALC_COMMUNITY!$AC:$AC,CALC_COMMUNITY!$AP$37)))</f>
        <v/>
      </c>
      <c r="I88" s="184" t="n"/>
      <c r="J88" s="186">
        <f>IF(CALC_COMMUNITY!$AP$37="","",IF(INDEX(CALC_COMMUNITY!$AE:$AE,CALC_COMMUNITY!$AP$37)="","–",INDEX(CALC_COMMUNITY!$AE:$AE,CALC_COMMUNITY!$AP$37)))</f>
        <v/>
      </c>
      <c r="K88" s="186">
        <f>IF(CALC_COMMUNITY!$AP$37="","",IF(INDEX(CALC_COMMUNITY!$AF:$AF,CALC_COMMUNITY!$AP$37)="","–",INDEX(CALC_COMMUNITY!$AF:$AF,CALC_COMMUNITY!$AP$37)))</f>
        <v/>
      </c>
      <c r="L88" s="188">
        <f>IF(CALC_COMMUNITY!$AP$37="","",IF(INDEX(CALC_COMMUNITY!$AG:$AG,CALC_COMMUNITY!$AP$37)="","–",INDEX(CALC_COMMUNITY!$AG:$AG,CALC_COMMUNITY!$AP$37)))</f>
        <v/>
      </c>
      <c r="M88" s="188">
        <f>IF(CALC_COMMUNITY!$AP$37="","",IF(INDEX(CALC_COMMUNITY!$AI:$AI,CALC_COMMUNITY!$AP$37)="","–",INDEX(CALC_COMMUNITY!$AI:$AI,CALC_COMMUNITY!$AP$37)))</f>
        <v/>
      </c>
      <c r="N88" s="186">
        <f>IF(CALC_COMMUNITY!$AP$37="","",IF(INDEX(CALC_COMMUNITY!$AJ:$AJ,CALC_COMMUNITY!$AP$37)="","–",INDEX(CALC_COMMUNITY!$AJ:$AJ,CALC_COMMUNITY!$AP$37)))</f>
        <v/>
      </c>
      <c r="O88" s="203">
        <f>IF(CALC_COMMUNITY!$AP$37="","",IF(INDEX(CALC_COMMUNITY!$AK:$AK,CALC_COMMUNITY!$AP$37)="","–",INDEX(CALC_COMMUNITY!$AK:$AK,CALC_COMMUNITY!$AP$37)))</f>
        <v/>
      </c>
    </row>
    <row r="89">
      <c r="B89" s="66">
        <f>IF(CALC_COMMUNITY!$AP$38="","",IF(INDEX(CALC_COMMUNITY!$AA:$AA,CALC_COMMUNITY!$AP$38)="","–",INDEX(CALC_COMMUNITY!$AA:$AA,CALC_COMMUNITY!$AP$38)))</f>
        <v/>
      </c>
      <c r="D89" s="66">
        <f>IF(CALC_COMMUNITY!$AP$38="","",IF(INDEX(CALC_COMMUNITY!$AB:$AB,CALC_COMMUNITY!$AP$38)="","–",INDEX(CALC_COMMUNITY!$AB:$AB,CALC_COMMUNITY!$AP$38)))</f>
        <v/>
      </c>
      <c r="H89" s="66">
        <f>IF(CALC_COMMUNITY!$AP$38="","",IF(INDEX(CALC_COMMUNITY!$AC:$AC,CALC_COMMUNITY!$AP$38)="","–",INDEX(CALC_COMMUNITY!$AC:$AC,CALC_COMMUNITY!$AP$38)))</f>
        <v/>
      </c>
      <c r="J89" s="68">
        <f>IF(CALC_COMMUNITY!$AP$38="","",IF(INDEX(CALC_COMMUNITY!$AE:$AE,CALC_COMMUNITY!$AP$38)="","–",INDEX(CALC_COMMUNITY!$AE:$AE,CALC_COMMUNITY!$AP$38)))</f>
        <v/>
      </c>
      <c r="K89" s="68">
        <f>IF(CALC_COMMUNITY!$AP$38="","",IF(INDEX(CALC_COMMUNITY!$AF:$AF,CALC_COMMUNITY!$AP$38)="","–",INDEX(CALC_COMMUNITY!$AF:$AF,CALC_COMMUNITY!$AP$38)))</f>
        <v/>
      </c>
      <c r="L89" s="70">
        <f>IF(CALC_COMMUNITY!$AP$38="","",IF(INDEX(CALC_COMMUNITY!$AG:$AG,CALC_COMMUNITY!$AP$38)="","–",INDEX(CALC_COMMUNITY!$AG:$AG,CALC_COMMUNITY!$AP$38)))</f>
        <v/>
      </c>
      <c r="M89" s="70">
        <f>IF(CALC_COMMUNITY!$AP$38="","",IF(INDEX(CALC_COMMUNITY!$AI:$AI,CALC_COMMUNITY!$AP$38)="","–",INDEX(CALC_COMMUNITY!$AI:$AI,CALC_COMMUNITY!$AP$38)))</f>
        <v/>
      </c>
      <c r="N89" s="68">
        <f>IF(CALC_COMMUNITY!$AP$38="","",IF(INDEX(CALC_COMMUNITY!$AJ:$AJ,CALC_COMMUNITY!$AP$38)="","–",INDEX(CALC_COMMUNITY!$AJ:$AJ,CALC_COMMUNITY!$AP$38)))</f>
        <v/>
      </c>
      <c r="O89" s="204">
        <f>IF(CALC_COMMUNITY!$AP$38="","",IF(INDEX(CALC_COMMUNITY!$AK:$AK,CALC_COMMUNITY!$AP$38)="","–",INDEX(CALC_COMMUNITY!$AK:$AK,CALC_COMMUNITY!$AP$38)))</f>
        <v/>
      </c>
    </row>
    <row r="90">
      <c r="B90" s="189">
        <f>IF(CALC_COMMUNITY!$AP$39="","",IF(INDEX(CALC_COMMUNITY!$AA:$AA,CALC_COMMUNITY!$AP$39)="","–",INDEX(CALC_COMMUNITY!$AA:$AA,CALC_COMMUNITY!$AP$39)))</f>
        <v/>
      </c>
      <c r="C90" s="184" t="n"/>
      <c r="D90" s="189">
        <f>IF(CALC_COMMUNITY!$AP$39="","",IF(INDEX(CALC_COMMUNITY!$AB:$AB,CALC_COMMUNITY!$AP$39)="","–",INDEX(CALC_COMMUNITY!$AB:$AB,CALC_COMMUNITY!$AP$39)))</f>
        <v/>
      </c>
      <c r="E90" s="184" t="n"/>
      <c r="F90" s="184" t="n"/>
      <c r="G90" s="184" t="n"/>
      <c r="H90" s="189">
        <f>IF(CALC_COMMUNITY!$AP$39="","",IF(INDEX(CALC_COMMUNITY!$AC:$AC,CALC_COMMUNITY!$AP$39)="","–",INDEX(CALC_COMMUNITY!$AC:$AC,CALC_COMMUNITY!$AP$39)))</f>
        <v/>
      </c>
      <c r="I90" s="184" t="n"/>
      <c r="J90" s="186">
        <f>IF(CALC_COMMUNITY!$AP$39="","",IF(INDEX(CALC_COMMUNITY!$AE:$AE,CALC_COMMUNITY!$AP$39)="","–",INDEX(CALC_COMMUNITY!$AE:$AE,CALC_COMMUNITY!$AP$39)))</f>
        <v/>
      </c>
      <c r="K90" s="186">
        <f>IF(CALC_COMMUNITY!$AP$39="","",IF(INDEX(CALC_COMMUNITY!$AF:$AF,CALC_COMMUNITY!$AP$39)="","–",INDEX(CALC_COMMUNITY!$AF:$AF,CALC_COMMUNITY!$AP$39)))</f>
        <v/>
      </c>
      <c r="L90" s="188">
        <f>IF(CALC_COMMUNITY!$AP$39="","",IF(INDEX(CALC_COMMUNITY!$AG:$AG,CALC_COMMUNITY!$AP$39)="","–",INDEX(CALC_COMMUNITY!$AG:$AG,CALC_COMMUNITY!$AP$39)))</f>
        <v/>
      </c>
      <c r="M90" s="188">
        <f>IF(CALC_COMMUNITY!$AP$39="","",IF(INDEX(CALC_COMMUNITY!$AI:$AI,CALC_COMMUNITY!$AP$39)="","–",INDEX(CALC_COMMUNITY!$AI:$AI,CALC_COMMUNITY!$AP$39)))</f>
        <v/>
      </c>
      <c r="N90" s="186">
        <f>IF(CALC_COMMUNITY!$AP$39="","",IF(INDEX(CALC_COMMUNITY!$AJ:$AJ,CALC_COMMUNITY!$AP$39)="","–",INDEX(CALC_COMMUNITY!$AJ:$AJ,CALC_COMMUNITY!$AP$39)))</f>
        <v/>
      </c>
      <c r="O90" s="203">
        <f>IF(CALC_COMMUNITY!$AP$39="","",IF(INDEX(CALC_COMMUNITY!$AK:$AK,CALC_COMMUNITY!$AP$39)="","–",INDEX(CALC_COMMUNITY!$AK:$AK,CALC_COMMUNITY!$AP$39)))</f>
        <v/>
      </c>
    </row>
    <row r="91">
      <c r="B91" s="66">
        <f>IF(CALC_COMMUNITY!$AP$40="","",IF(INDEX(CALC_COMMUNITY!$AA:$AA,CALC_COMMUNITY!$AP$40)="","–",INDEX(CALC_COMMUNITY!$AA:$AA,CALC_COMMUNITY!$AP$40)))</f>
        <v/>
      </c>
      <c r="D91" s="66">
        <f>IF(CALC_COMMUNITY!$AP$40="","",IF(INDEX(CALC_COMMUNITY!$AB:$AB,CALC_COMMUNITY!$AP$40)="","–",INDEX(CALC_COMMUNITY!$AB:$AB,CALC_COMMUNITY!$AP$40)))</f>
        <v/>
      </c>
      <c r="H91" s="66">
        <f>IF(CALC_COMMUNITY!$AP$40="","",IF(INDEX(CALC_COMMUNITY!$AC:$AC,CALC_COMMUNITY!$AP$40)="","–",INDEX(CALC_COMMUNITY!$AC:$AC,CALC_COMMUNITY!$AP$40)))</f>
        <v/>
      </c>
      <c r="J91" s="68">
        <f>IF(CALC_COMMUNITY!$AP$40="","",IF(INDEX(CALC_COMMUNITY!$AE:$AE,CALC_COMMUNITY!$AP$40)="","–",INDEX(CALC_COMMUNITY!$AE:$AE,CALC_COMMUNITY!$AP$40)))</f>
        <v/>
      </c>
      <c r="K91" s="68">
        <f>IF(CALC_COMMUNITY!$AP$40="","",IF(INDEX(CALC_COMMUNITY!$AF:$AF,CALC_COMMUNITY!$AP$40)="","–",INDEX(CALC_COMMUNITY!$AF:$AF,CALC_COMMUNITY!$AP$40)))</f>
        <v/>
      </c>
      <c r="L91" s="70">
        <f>IF(CALC_COMMUNITY!$AP$40="","",IF(INDEX(CALC_COMMUNITY!$AG:$AG,CALC_COMMUNITY!$AP$40)="","–",INDEX(CALC_COMMUNITY!$AG:$AG,CALC_COMMUNITY!$AP$40)))</f>
        <v/>
      </c>
      <c r="M91" s="70">
        <f>IF(CALC_COMMUNITY!$AP$40="","",IF(INDEX(CALC_COMMUNITY!$AI:$AI,CALC_COMMUNITY!$AP$40)="","–",INDEX(CALC_COMMUNITY!$AI:$AI,CALC_COMMUNITY!$AP$40)))</f>
        <v/>
      </c>
      <c r="N91" s="68">
        <f>IF(CALC_COMMUNITY!$AP$40="","",IF(INDEX(CALC_COMMUNITY!$AJ:$AJ,CALC_COMMUNITY!$AP$40)="","–",INDEX(CALC_COMMUNITY!$AJ:$AJ,CALC_COMMUNITY!$AP$40)))</f>
        <v/>
      </c>
      <c r="O91" s="204">
        <f>IF(CALC_COMMUNITY!$AP$40="","",IF(INDEX(CALC_COMMUNITY!$AK:$AK,CALC_COMMUNITY!$AP$40)="","–",INDEX(CALC_COMMUNITY!$AK:$AK,CALC_COMMUNITY!$AP$40)))</f>
        <v/>
      </c>
    </row>
    <row r="92">
      <c r="B92" s="189">
        <f>IF(CALC_COMMUNITY!$AP$41="","",IF(INDEX(CALC_COMMUNITY!$AA:$AA,CALC_COMMUNITY!$AP$41)="","–",INDEX(CALC_COMMUNITY!$AA:$AA,CALC_COMMUNITY!$AP$41)))</f>
        <v/>
      </c>
      <c r="C92" s="184" t="n"/>
      <c r="D92" s="189">
        <f>IF(CALC_COMMUNITY!$AP$41="","",IF(INDEX(CALC_COMMUNITY!$AB:$AB,CALC_COMMUNITY!$AP$41)="","–",INDEX(CALC_COMMUNITY!$AB:$AB,CALC_COMMUNITY!$AP$41)))</f>
        <v/>
      </c>
      <c r="E92" s="184" t="n"/>
      <c r="F92" s="184" t="n"/>
      <c r="G92" s="184" t="n"/>
      <c r="H92" s="189">
        <f>IF(CALC_COMMUNITY!$AP$41="","",IF(INDEX(CALC_COMMUNITY!$AC:$AC,CALC_COMMUNITY!$AP$41)="","–",INDEX(CALC_COMMUNITY!$AC:$AC,CALC_COMMUNITY!$AP$41)))</f>
        <v/>
      </c>
      <c r="I92" s="184" t="n"/>
      <c r="J92" s="186">
        <f>IF(CALC_COMMUNITY!$AP$41="","",IF(INDEX(CALC_COMMUNITY!$AE:$AE,CALC_COMMUNITY!$AP$41)="","–",INDEX(CALC_COMMUNITY!$AE:$AE,CALC_COMMUNITY!$AP$41)))</f>
        <v/>
      </c>
      <c r="K92" s="186">
        <f>IF(CALC_COMMUNITY!$AP$41="","",IF(INDEX(CALC_COMMUNITY!$AF:$AF,CALC_COMMUNITY!$AP$41)="","–",INDEX(CALC_COMMUNITY!$AF:$AF,CALC_COMMUNITY!$AP$41)))</f>
        <v/>
      </c>
      <c r="L92" s="188">
        <f>IF(CALC_COMMUNITY!$AP$41="","",IF(INDEX(CALC_COMMUNITY!$AG:$AG,CALC_COMMUNITY!$AP$41)="","–",INDEX(CALC_COMMUNITY!$AG:$AG,CALC_COMMUNITY!$AP$41)))</f>
        <v/>
      </c>
      <c r="M92" s="188">
        <f>IF(CALC_COMMUNITY!$AP$41="","",IF(INDEX(CALC_COMMUNITY!$AI:$AI,CALC_COMMUNITY!$AP$41)="","–",INDEX(CALC_COMMUNITY!$AI:$AI,CALC_COMMUNITY!$AP$41)))</f>
        <v/>
      </c>
      <c r="N92" s="186">
        <f>IF(CALC_COMMUNITY!$AP$41="","",IF(INDEX(CALC_COMMUNITY!$AJ:$AJ,CALC_COMMUNITY!$AP$41)="","–",INDEX(CALC_COMMUNITY!$AJ:$AJ,CALC_COMMUNITY!$AP$41)))</f>
        <v/>
      </c>
      <c r="O92" s="203">
        <f>IF(CALC_COMMUNITY!$AP$41="","",IF(INDEX(CALC_COMMUNITY!$AK:$AK,CALC_COMMUNITY!$AP$41)="","–",INDEX(CALC_COMMUNITY!$AK:$AK,CALC_COMMUNITY!$AP$41)))</f>
        <v/>
      </c>
    </row>
    <row r="93">
      <c r="B93" s="66">
        <f>IF(CALC_COMMUNITY!$AP$42="","",IF(INDEX(CALC_COMMUNITY!$AA:$AA,CALC_COMMUNITY!$AP$42)="","–",INDEX(CALC_COMMUNITY!$AA:$AA,CALC_COMMUNITY!$AP$42)))</f>
        <v/>
      </c>
      <c r="D93" s="66">
        <f>IF(CALC_COMMUNITY!$AP$42="","",IF(INDEX(CALC_COMMUNITY!$AB:$AB,CALC_COMMUNITY!$AP$42)="","–",INDEX(CALC_COMMUNITY!$AB:$AB,CALC_COMMUNITY!$AP$42)))</f>
        <v/>
      </c>
      <c r="H93" s="66">
        <f>IF(CALC_COMMUNITY!$AP$42="","",IF(INDEX(CALC_COMMUNITY!$AC:$AC,CALC_COMMUNITY!$AP$42)="","–",INDEX(CALC_COMMUNITY!$AC:$AC,CALC_COMMUNITY!$AP$42)))</f>
        <v/>
      </c>
      <c r="J93" s="68">
        <f>IF(CALC_COMMUNITY!$AP$42="","",IF(INDEX(CALC_COMMUNITY!$AE:$AE,CALC_COMMUNITY!$AP$42)="","–",INDEX(CALC_COMMUNITY!$AE:$AE,CALC_COMMUNITY!$AP$42)))</f>
        <v/>
      </c>
      <c r="K93" s="68">
        <f>IF(CALC_COMMUNITY!$AP$42="","",IF(INDEX(CALC_COMMUNITY!$AF:$AF,CALC_COMMUNITY!$AP$42)="","–",INDEX(CALC_COMMUNITY!$AF:$AF,CALC_COMMUNITY!$AP$42)))</f>
        <v/>
      </c>
      <c r="L93" s="70">
        <f>IF(CALC_COMMUNITY!$AP$42="","",IF(INDEX(CALC_COMMUNITY!$AG:$AG,CALC_COMMUNITY!$AP$42)="","–",INDEX(CALC_COMMUNITY!$AG:$AG,CALC_COMMUNITY!$AP$42)))</f>
        <v/>
      </c>
      <c r="M93" s="70">
        <f>IF(CALC_COMMUNITY!$AP$42="","",IF(INDEX(CALC_COMMUNITY!$AI:$AI,CALC_COMMUNITY!$AP$42)="","–",INDEX(CALC_COMMUNITY!$AI:$AI,CALC_COMMUNITY!$AP$42)))</f>
        <v/>
      </c>
      <c r="N93" s="68">
        <f>IF(CALC_COMMUNITY!$AP$42="","",IF(INDEX(CALC_COMMUNITY!$AJ:$AJ,CALC_COMMUNITY!$AP$42)="","–",INDEX(CALC_COMMUNITY!$AJ:$AJ,CALC_COMMUNITY!$AP$42)))</f>
        <v/>
      </c>
      <c r="O93" s="204">
        <f>IF(CALC_COMMUNITY!$AP$42="","",IF(INDEX(CALC_COMMUNITY!$AK:$AK,CALC_COMMUNITY!$AP$42)="","–",INDEX(CALC_COMMUNITY!$AK:$AK,CALC_COMMUNITY!$AP$42)))</f>
        <v/>
      </c>
    </row>
    <row r="94">
      <c r="B94" s="189">
        <f>IF(CALC_COMMUNITY!$AP$43="","",IF(INDEX(CALC_COMMUNITY!$AA:$AA,CALC_COMMUNITY!$AP$43)="","–",INDEX(CALC_COMMUNITY!$AA:$AA,CALC_COMMUNITY!$AP$43)))</f>
        <v/>
      </c>
      <c r="C94" s="184" t="n"/>
      <c r="D94" s="189">
        <f>IF(CALC_COMMUNITY!$AP$43="","",IF(INDEX(CALC_COMMUNITY!$AB:$AB,CALC_COMMUNITY!$AP$43)="","–",INDEX(CALC_COMMUNITY!$AB:$AB,CALC_COMMUNITY!$AP$43)))</f>
        <v/>
      </c>
      <c r="E94" s="184" t="n"/>
      <c r="F94" s="184" t="n"/>
      <c r="G94" s="184" t="n"/>
      <c r="H94" s="189">
        <f>IF(CALC_COMMUNITY!$AP$43="","",IF(INDEX(CALC_COMMUNITY!$AC:$AC,CALC_COMMUNITY!$AP$43)="","–",INDEX(CALC_COMMUNITY!$AC:$AC,CALC_COMMUNITY!$AP$43)))</f>
        <v/>
      </c>
      <c r="I94" s="184" t="n"/>
      <c r="J94" s="186">
        <f>IF(CALC_COMMUNITY!$AP$43="","",IF(INDEX(CALC_COMMUNITY!$AE:$AE,CALC_COMMUNITY!$AP$43)="","–",INDEX(CALC_COMMUNITY!$AE:$AE,CALC_COMMUNITY!$AP$43)))</f>
        <v/>
      </c>
      <c r="K94" s="186">
        <f>IF(CALC_COMMUNITY!$AP$43="","",IF(INDEX(CALC_COMMUNITY!$AF:$AF,CALC_COMMUNITY!$AP$43)="","–",INDEX(CALC_COMMUNITY!$AF:$AF,CALC_COMMUNITY!$AP$43)))</f>
        <v/>
      </c>
      <c r="L94" s="188">
        <f>IF(CALC_COMMUNITY!$AP$43="","",IF(INDEX(CALC_COMMUNITY!$AG:$AG,CALC_COMMUNITY!$AP$43)="","–",INDEX(CALC_COMMUNITY!$AG:$AG,CALC_COMMUNITY!$AP$43)))</f>
        <v/>
      </c>
      <c r="M94" s="188">
        <f>IF(CALC_COMMUNITY!$AP$43="","",IF(INDEX(CALC_COMMUNITY!$AI:$AI,CALC_COMMUNITY!$AP$43)="","–",INDEX(CALC_COMMUNITY!$AI:$AI,CALC_COMMUNITY!$AP$43)))</f>
        <v/>
      </c>
      <c r="N94" s="186">
        <f>IF(CALC_COMMUNITY!$AP$43="","",IF(INDEX(CALC_COMMUNITY!$AJ:$AJ,CALC_COMMUNITY!$AP$43)="","–",INDEX(CALC_COMMUNITY!$AJ:$AJ,CALC_COMMUNITY!$AP$43)))</f>
        <v/>
      </c>
      <c r="O94" s="203">
        <f>IF(CALC_COMMUNITY!$AP$43="","",IF(INDEX(CALC_COMMUNITY!$AK:$AK,CALC_COMMUNITY!$AP$43)="","–",INDEX(CALC_COMMUNITY!$AK:$AK,CALC_COMMUNITY!$AP$43)))</f>
        <v/>
      </c>
    </row>
    <row r="95">
      <c r="B95" s="66">
        <f>IF(CALC_COMMUNITY!$AP$44="","",IF(INDEX(CALC_COMMUNITY!$AA:$AA,CALC_COMMUNITY!$AP$44)="","–",INDEX(CALC_COMMUNITY!$AA:$AA,CALC_COMMUNITY!$AP$44)))</f>
        <v/>
      </c>
      <c r="D95" s="66">
        <f>IF(CALC_COMMUNITY!$AP$44="","",IF(INDEX(CALC_COMMUNITY!$AB:$AB,CALC_COMMUNITY!$AP$44)="","–",INDEX(CALC_COMMUNITY!$AB:$AB,CALC_COMMUNITY!$AP$44)))</f>
        <v/>
      </c>
      <c r="H95" s="66">
        <f>IF(CALC_COMMUNITY!$AP$44="","",IF(INDEX(CALC_COMMUNITY!$AC:$AC,CALC_COMMUNITY!$AP$44)="","–",INDEX(CALC_COMMUNITY!$AC:$AC,CALC_COMMUNITY!$AP$44)))</f>
        <v/>
      </c>
      <c r="J95" s="68">
        <f>IF(CALC_COMMUNITY!$AP$44="","",IF(INDEX(CALC_COMMUNITY!$AE:$AE,CALC_COMMUNITY!$AP$44)="","–",INDEX(CALC_COMMUNITY!$AE:$AE,CALC_COMMUNITY!$AP$44)))</f>
        <v/>
      </c>
      <c r="K95" s="68">
        <f>IF(CALC_COMMUNITY!$AP$44="","",IF(INDEX(CALC_COMMUNITY!$AF:$AF,CALC_COMMUNITY!$AP$44)="","–",INDEX(CALC_COMMUNITY!$AF:$AF,CALC_COMMUNITY!$AP$44)))</f>
        <v/>
      </c>
      <c r="L95" s="70">
        <f>IF(CALC_COMMUNITY!$AP$44="","",IF(INDEX(CALC_COMMUNITY!$AG:$AG,CALC_COMMUNITY!$AP$44)="","–",INDEX(CALC_COMMUNITY!$AG:$AG,CALC_COMMUNITY!$AP$44)))</f>
        <v/>
      </c>
      <c r="M95" s="70">
        <f>IF(CALC_COMMUNITY!$AP$44="","",IF(INDEX(CALC_COMMUNITY!$AI:$AI,CALC_COMMUNITY!$AP$44)="","–",INDEX(CALC_COMMUNITY!$AI:$AI,CALC_COMMUNITY!$AP$44)))</f>
        <v/>
      </c>
      <c r="N95" s="68">
        <f>IF(CALC_COMMUNITY!$AP$44="","",IF(INDEX(CALC_COMMUNITY!$AJ:$AJ,CALC_COMMUNITY!$AP$44)="","–",INDEX(CALC_COMMUNITY!$AJ:$AJ,CALC_COMMUNITY!$AP$44)))</f>
        <v/>
      </c>
      <c r="O95" s="204">
        <f>IF(CALC_COMMUNITY!$AP$44="","",IF(INDEX(CALC_COMMUNITY!$AK:$AK,CALC_COMMUNITY!$AP$44)="","–",INDEX(CALC_COMMUNITY!$AK:$AK,CALC_COMMUNITY!$AP$44)))</f>
        <v/>
      </c>
    </row>
    <row r="96">
      <c r="B96" s="189">
        <f>IF(CALC_COMMUNITY!$AP$45="","",IF(INDEX(CALC_COMMUNITY!$AA:$AA,CALC_COMMUNITY!$AP$45)="","–",INDEX(CALC_COMMUNITY!$AA:$AA,CALC_COMMUNITY!$AP$45)))</f>
        <v/>
      </c>
      <c r="C96" s="184" t="n"/>
      <c r="D96" s="189">
        <f>IF(CALC_COMMUNITY!$AP$45="","",IF(INDEX(CALC_COMMUNITY!$AB:$AB,CALC_COMMUNITY!$AP$45)="","–",INDEX(CALC_COMMUNITY!$AB:$AB,CALC_COMMUNITY!$AP$45)))</f>
        <v/>
      </c>
      <c r="E96" s="184" t="n"/>
      <c r="F96" s="184" t="n"/>
      <c r="G96" s="184" t="n"/>
      <c r="H96" s="189">
        <f>IF(CALC_COMMUNITY!$AP$45="","",IF(INDEX(CALC_COMMUNITY!$AC:$AC,CALC_COMMUNITY!$AP$45)="","–",INDEX(CALC_COMMUNITY!$AC:$AC,CALC_COMMUNITY!$AP$45)))</f>
        <v/>
      </c>
      <c r="I96" s="184" t="n"/>
      <c r="J96" s="186">
        <f>IF(CALC_COMMUNITY!$AP$45="","",IF(INDEX(CALC_COMMUNITY!$AE:$AE,CALC_COMMUNITY!$AP$45)="","–",INDEX(CALC_COMMUNITY!$AE:$AE,CALC_COMMUNITY!$AP$45)))</f>
        <v/>
      </c>
      <c r="K96" s="186">
        <f>IF(CALC_COMMUNITY!$AP$45="","",IF(INDEX(CALC_COMMUNITY!$AF:$AF,CALC_COMMUNITY!$AP$45)="","–",INDEX(CALC_COMMUNITY!$AF:$AF,CALC_COMMUNITY!$AP$45)))</f>
        <v/>
      </c>
      <c r="L96" s="188">
        <f>IF(CALC_COMMUNITY!$AP$45="","",IF(INDEX(CALC_COMMUNITY!$AG:$AG,CALC_COMMUNITY!$AP$45)="","–",INDEX(CALC_COMMUNITY!$AG:$AG,CALC_COMMUNITY!$AP$45)))</f>
        <v/>
      </c>
      <c r="M96" s="188">
        <f>IF(CALC_COMMUNITY!$AP$45="","",IF(INDEX(CALC_COMMUNITY!$AI:$AI,CALC_COMMUNITY!$AP$45)="","–",INDEX(CALC_COMMUNITY!$AI:$AI,CALC_COMMUNITY!$AP$45)))</f>
        <v/>
      </c>
      <c r="N96" s="186">
        <f>IF(CALC_COMMUNITY!$AP$45="","",IF(INDEX(CALC_COMMUNITY!$AJ:$AJ,CALC_COMMUNITY!$AP$45)="","–",INDEX(CALC_COMMUNITY!$AJ:$AJ,CALC_COMMUNITY!$AP$45)))</f>
        <v/>
      </c>
      <c r="O96" s="203">
        <f>IF(CALC_COMMUNITY!$AP$45="","",IF(INDEX(CALC_COMMUNITY!$AK:$AK,CALC_COMMUNITY!$AP$45)="","–",INDEX(CALC_COMMUNITY!$AK:$AK,CALC_COMMUNITY!$AP$45)))</f>
        <v/>
      </c>
    </row>
    <row r="97">
      <c r="B97" s="66">
        <f>IF(CALC_COMMUNITY!$AP$46="","",IF(INDEX(CALC_COMMUNITY!$AA:$AA,CALC_COMMUNITY!$AP$46)="","–",INDEX(CALC_COMMUNITY!$AA:$AA,CALC_COMMUNITY!$AP$46)))</f>
        <v/>
      </c>
      <c r="D97" s="66">
        <f>IF(CALC_COMMUNITY!$AP$46="","",IF(INDEX(CALC_COMMUNITY!$AB:$AB,CALC_COMMUNITY!$AP$46)="","–",INDEX(CALC_COMMUNITY!$AB:$AB,CALC_COMMUNITY!$AP$46)))</f>
        <v/>
      </c>
      <c r="H97" s="66">
        <f>IF(CALC_COMMUNITY!$AP$46="","",IF(INDEX(CALC_COMMUNITY!$AC:$AC,CALC_COMMUNITY!$AP$46)="","–",INDEX(CALC_COMMUNITY!$AC:$AC,CALC_COMMUNITY!$AP$46)))</f>
        <v/>
      </c>
      <c r="J97" s="68">
        <f>IF(CALC_COMMUNITY!$AP$46="","",IF(INDEX(CALC_COMMUNITY!$AE:$AE,CALC_COMMUNITY!$AP$46)="","–",INDEX(CALC_COMMUNITY!$AE:$AE,CALC_COMMUNITY!$AP$46)))</f>
        <v/>
      </c>
      <c r="K97" s="68">
        <f>IF(CALC_COMMUNITY!$AP$46="","",IF(INDEX(CALC_COMMUNITY!$AF:$AF,CALC_COMMUNITY!$AP$46)="","–",INDEX(CALC_COMMUNITY!$AF:$AF,CALC_COMMUNITY!$AP$46)))</f>
        <v/>
      </c>
      <c r="L97" s="70">
        <f>IF(CALC_COMMUNITY!$AP$46="","",IF(INDEX(CALC_COMMUNITY!$AG:$AG,CALC_COMMUNITY!$AP$46)="","–",INDEX(CALC_COMMUNITY!$AG:$AG,CALC_COMMUNITY!$AP$46)))</f>
        <v/>
      </c>
      <c r="M97" s="70">
        <f>IF(CALC_COMMUNITY!$AP$46="","",IF(INDEX(CALC_COMMUNITY!$AI:$AI,CALC_COMMUNITY!$AP$46)="","–",INDEX(CALC_COMMUNITY!$AI:$AI,CALC_COMMUNITY!$AP$46)))</f>
        <v/>
      </c>
      <c r="N97" s="68">
        <f>IF(CALC_COMMUNITY!$AP$46="","",IF(INDEX(CALC_COMMUNITY!$AJ:$AJ,CALC_COMMUNITY!$AP$46)="","–",INDEX(CALC_COMMUNITY!$AJ:$AJ,CALC_COMMUNITY!$AP$46)))</f>
        <v/>
      </c>
      <c r="O97" s="204">
        <f>IF(CALC_COMMUNITY!$AP$46="","",IF(INDEX(CALC_COMMUNITY!$AK:$AK,CALC_COMMUNITY!$AP$46)="","–",INDEX(CALC_COMMUNITY!$AK:$AK,CALC_COMMUNITY!$AP$46)))</f>
        <v/>
      </c>
    </row>
    <row r="98">
      <c r="B98" s="189">
        <f>IF(CALC_COMMUNITY!$AP$47="","",IF(INDEX(CALC_COMMUNITY!$AA:$AA,CALC_COMMUNITY!$AP$47)="","–",INDEX(CALC_COMMUNITY!$AA:$AA,CALC_COMMUNITY!$AP$47)))</f>
        <v/>
      </c>
      <c r="C98" s="184" t="n"/>
      <c r="D98" s="189">
        <f>IF(CALC_COMMUNITY!$AP$47="","",IF(INDEX(CALC_COMMUNITY!$AB:$AB,CALC_COMMUNITY!$AP$47)="","–",INDEX(CALC_COMMUNITY!$AB:$AB,CALC_COMMUNITY!$AP$47)))</f>
        <v/>
      </c>
      <c r="E98" s="184" t="n"/>
      <c r="F98" s="184" t="n"/>
      <c r="G98" s="184" t="n"/>
      <c r="H98" s="189">
        <f>IF(CALC_COMMUNITY!$AP$47="","",IF(INDEX(CALC_COMMUNITY!$AC:$AC,CALC_COMMUNITY!$AP$47)="","–",INDEX(CALC_COMMUNITY!$AC:$AC,CALC_COMMUNITY!$AP$47)))</f>
        <v/>
      </c>
      <c r="I98" s="184" t="n"/>
      <c r="J98" s="186">
        <f>IF(CALC_COMMUNITY!$AP$47="","",IF(INDEX(CALC_COMMUNITY!$AE:$AE,CALC_COMMUNITY!$AP$47)="","–",INDEX(CALC_COMMUNITY!$AE:$AE,CALC_COMMUNITY!$AP$47)))</f>
        <v/>
      </c>
      <c r="K98" s="186">
        <f>IF(CALC_COMMUNITY!$AP$47="","",IF(INDEX(CALC_COMMUNITY!$AF:$AF,CALC_COMMUNITY!$AP$47)="","–",INDEX(CALC_COMMUNITY!$AF:$AF,CALC_COMMUNITY!$AP$47)))</f>
        <v/>
      </c>
      <c r="L98" s="188">
        <f>IF(CALC_COMMUNITY!$AP$47="","",IF(INDEX(CALC_COMMUNITY!$AG:$AG,CALC_COMMUNITY!$AP$47)="","–",INDEX(CALC_COMMUNITY!$AG:$AG,CALC_COMMUNITY!$AP$47)))</f>
        <v/>
      </c>
      <c r="M98" s="188">
        <f>IF(CALC_COMMUNITY!$AP$47="","",IF(INDEX(CALC_COMMUNITY!$AI:$AI,CALC_COMMUNITY!$AP$47)="","–",INDEX(CALC_COMMUNITY!$AI:$AI,CALC_COMMUNITY!$AP$47)))</f>
        <v/>
      </c>
      <c r="N98" s="186">
        <f>IF(CALC_COMMUNITY!$AP$47="","",IF(INDEX(CALC_COMMUNITY!$AJ:$AJ,CALC_COMMUNITY!$AP$47)="","–",INDEX(CALC_COMMUNITY!$AJ:$AJ,CALC_COMMUNITY!$AP$47)))</f>
        <v/>
      </c>
      <c r="O98" s="203">
        <f>IF(CALC_COMMUNITY!$AP$47="","",IF(INDEX(CALC_COMMUNITY!$AK:$AK,CALC_COMMUNITY!$AP$47)="","–",INDEX(CALC_COMMUNITY!$AK:$AK,CALC_COMMUNITY!$AP$47)))</f>
        <v/>
      </c>
    </row>
    <row r="99">
      <c r="B99" s="66">
        <f>IF(CALC_COMMUNITY!$AP$48="","",IF(INDEX(CALC_COMMUNITY!$AA:$AA,CALC_COMMUNITY!$AP$48)="","–",INDEX(CALC_COMMUNITY!$AA:$AA,CALC_COMMUNITY!$AP$48)))</f>
        <v/>
      </c>
      <c r="D99" s="66">
        <f>IF(CALC_COMMUNITY!$AP$48="","",IF(INDEX(CALC_COMMUNITY!$AB:$AB,CALC_COMMUNITY!$AP$48)="","–",INDEX(CALC_COMMUNITY!$AB:$AB,CALC_COMMUNITY!$AP$48)))</f>
        <v/>
      </c>
      <c r="H99" s="66">
        <f>IF(CALC_COMMUNITY!$AP$48="","",IF(INDEX(CALC_COMMUNITY!$AC:$AC,CALC_COMMUNITY!$AP$48)="","–",INDEX(CALC_COMMUNITY!$AC:$AC,CALC_COMMUNITY!$AP$48)))</f>
        <v/>
      </c>
      <c r="J99" s="68">
        <f>IF(CALC_COMMUNITY!$AP$48="","",IF(INDEX(CALC_COMMUNITY!$AE:$AE,CALC_COMMUNITY!$AP$48)="","–",INDEX(CALC_COMMUNITY!$AE:$AE,CALC_COMMUNITY!$AP$48)))</f>
        <v/>
      </c>
      <c r="K99" s="68">
        <f>IF(CALC_COMMUNITY!$AP$48="","",IF(INDEX(CALC_COMMUNITY!$AF:$AF,CALC_COMMUNITY!$AP$48)="","–",INDEX(CALC_COMMUNITY!$AF:$AF,CALC_COMMUNITY!$AP$48)))</f>
        <v/>
      </c>
      <c r="L99" s="70">
        <f>IF(CALC_COMMUNITY!$AP$48="","",IF(INDEX(CALC_COMMUNITY!$AG:$AG,CALC_COMMUNITY!$AP$48)="","–",INDEX(CALC_COMMUNITY!$AG:$AG,CALC_COMMUNITY!$AP$48)))</f>
        <v/>
      </c>
      <c r="M99" s="70">
        <f>IF(CALC_COMMUNITY!$AP$48="","",IF(INDEX(CALC_COMMUNITY!$AI:$AI,CALC_COMMUNITY!$AP$48)="","–",INDEX(CALC_COMMUNITY!$AI:$AI,CALC_COMMUNITY!$AP$48)))</f>
        <v/>
      </c>
      <c r="N99" s="68">
        <f>IF(CALC_COMMUNITY!$AP$48="","",IF(INDEX(CALC_COMMUNITY!$AJ:$AJ,CALC_COMMUNITY!$AP$48)="","–",INDEX(CALC_COMMUNITY!$AJ:$AJ,CALC_COMMUNITY!$AP$48)))</f>
        <v/>
      </c>
      <c r="O99" s="204">
        <f>IF(CALC_COMMUNITY!$AP$48="","",IF(INDEX(CALC_COMMUNITY!$AK:$AK,CALC_COMMUNITY!$AP$48)="","–",INDEX(CALC_COMMUNITY!$AK:$AK,CALC_COMMUNITY!$AP$48)))</f>
        <v/>
      </c>
    </row>
    <row r="100">
      <c r="B100" s="189">
        <f>IF(CALC_COMMUNITY!$AP$49="","",IF(INDEX(CALC_COMMUNITY!$AA:$AA,CALC_COMMUNITY!$AP$49)="","–",INDEX(CALC_COMMUNITY!$AA:$AA,CALC_COMMUNITY!$AP$49)))</f>
        <v/>
      </c>
      <c r="C100" s="184" t="n"/>
      <c r="D100" s="189">
        <f>IF(CALC_COMMUNITY!$AP$49="","",IF(INDEX(CALC_COMMUNITY!$AB:$AB,CALC_COMMUNITY!$AP$49)="","–",INDEX(CALC_COMMUNITY!$AB:$AB,CALC_COMMUNITY!$AP$49)))</f>
        <v/>
      </c>
      <c r="E100" s="184" t="n"/>
      <c r="F100" s="184" t="n"/>
      <c r="G100" s="184" t="n"/>
      <c r="H100" s="189">
        <f>IF(CALC_COMMUNITY!$AP$49="","",IF(INDEX(CALC_COMMUNITY!$AC:$AC,CALC_COMMUNITY!$AP$49)="","–",INDEX(CALC_COMMUNITY!$AC:$AC,CALC_COMMUNITY!$AP$49)))</f>
        <v/>
      </c>
      <c r="I100" s="184" t="n"/>
      <c r="J100" s="186">
        <f>IF(CALC_COMMUNITY!$AP$49="","",IF(INDEX(CALC_COMMUNITY!$AE:$AE,CALC_COMMUNITY!$AP$49)="","–",INDEX(CALC_COMMUNITY!$AE:$AE,CALC_COMMUNITY!$AP$49)))</f>
        <v/>
      </c>
      <c r="K100" s="186">
        <f>IF(CALC_COMMUNITY!$AP$49="","",IF(INDEX(CALC_COMMUNITY!$AF:$AF,CALC_COMMUNITY!$AP$49)="","–",INDEX(CALC_COMMUNITY!$AF:$AF,CALC_COMMUNITY!$AP$49)))</f>
        <v/>
      </c>
      <c r="L100" s="188">
        <f>IF(CALC_COMMUNITY!$AP$49="","",IF(INDEX(CALC_COMMUNITY!$AG:$AG,CALC_COMMUNITY!$AP$49)="","–",INDEX(CALC_COMMUNITY!$AG:$AG,CALC_COMMUNITY!$AP$49)))</f>
        <v/>
      </c>
      <c r="M100" s="188">
        <f>IF(CALC_COMMUNITY!$AP$49="","",IF(INDEX(CALC_COMMUNITY!$AI:$AI,CALC_COMMUNITY!$AP$49)="","–",INDEX(CALC_COMMUNITY!$AI:$AI,CALC_COMMUNITY!$AP$49)))</f>
        <v/>
      </c>
      <c r="N100" s="186">
        <f>IF(CALC_COMMUNITY!$AP$49="","",IF(INDEX(CALC_COMMUNITY!$AJ:$AJ,CALC_COMMUNITY!$AP$49)="","–",INDEX(CALC_COMMUNITY!$AJ:$AJ,CALC_COMMUNITY!$AP$49)))</f>
        <v/>
      </c>
      <c r="O100" s="203">
        <f>IF(CALC_COMMUNITY!$AP$49="","",IF(INDEX(CALC_COMMUNITY!$AK:$AK,CALC_COMMUNITY!$AP$49)="","–",INDEX(CALC_COMMUNITY!$AK:$AK,CALC_COMMUNITY!$AP$49)))</f>
        <v/>
      </c>
    </row>
    <row r="101">
      <c r="B101" s="66">
        <f>IF(CALC_COMMUNITY!$AP$50="","",IF(INDEX(CALC_COMMUNITY!$AA:$AA,CALC_COMMUNITY!$AP$50)="","–",INDEX(CALC_COMMUNITY!$AA:$AA,CALC_COMMUNITY!$AP$50)))</f>
        <v/>
      </c>
      <c r="D101" s="66">
        <f>IF(CALC_COMMUNITY!$AP$50="","",IF(INDEX(CALC_COMMUNITY!$AB:$AB,CALC_COMMUNITY!$AP$50)="","–",INDEX(CALC_COMMUNITY!$AB:$AB,CALC_COMMUNITY!$AP$50)))</f>
        <v/>
      </c>
      <c r="H101" s="66">
        <f>IF(CALC_COMMUNITY!$AP$50="","",IF(INDEX(CALC_COMMUNITY!$AC:$AC,CALC_COMMUNITY!$AP$50)="","–",INDEX(CALC_COMMUNITY!$AC:$AC,CALC_COMMUNITY!$AP$50)))</f>
        <v/>
      </c>
      <c r="J101" s="68">
        <f>IF(CALC_COMMUNITY!$AP$50="","",IF(INDEX(CALC_COMMUNITY!$AE:$AE,CALC_COMMUNITY!$AP$50)="","–",INDEX(CALC_COMMUNITY!$AE:$AE,CALC_COMMUNITY!$AP$50)))</f>
        <v/>
      </c>
      <c r="K101" s="68">
        <f>IF(CALC_COMMUNITY!$AP$50="","",IF(INDEX(CALC_COMMUNITY!$AF:$AF,CALC_COMMUNITY!$AP$50)="","–",INDEX(CALC_COMMUNITY!$AF:$AF,CALC_COMMUNITY!$AP$50)))</f>
        <v/>
      </c>
      <c r="L101" s="70">
        <f>IF(CALC_COMMUNITY!$AP$50="","",IF(INDEX(CALC_COMMUNITY!$AG:$AG,CALC_COMMUNITY!$AP$50)="","–",INDEX(CALC_COMMUNITY!$AG:$AG,CALC_COMMUNITY!$AP$50)))</f>
        <v/>
      </c>
      <c r="M101" s="70">
        <f>IF(CALC_COMMUNITY!$AP$50="","",IF(INDEX(CALC_COMMUNITY!$AI:$AI,CALC_COMMUNITY!$AP$50)="","–",INDEX(CALC_COMMUNITY!$AI:$AI,CALC_COMMUNITY!$AP$50)))</f>
        <v/>
      </c>
      <c r="N101" s="68">
        <f>IF(CALC_COMMUNITY!$AP$50="","",IF(INDEX(CALC_COMMUNITY!$AJ:$AJ,CALC_COMMUNITY!$AP$50)="","–",INDEX(CALC_COMMUNITY!$AJ:$AJ,CALC_COMMUNITY!$AP$50)))</f>
        <v/>
      </c>
      <c r="O101" s="204">
        <f>IF(CALC_COMMUNITY!$AP$50="","",IF(INDEX(CALC_COMMUNITY!$AK:$AK,CALC_COMMUNITY!$AP$50)="","–",INDEX(CALC_COMMUNITY!$AK:$AK,CALC_COMMUNITY!$AP$50)))</f>
        <v/>
      </c>
    </row>
    <row r="102">
      <c r="B102" s="189">
        <f>IF(CALC_COMMUNITY!$AP$51="","",IF(INDEX(CALC_COMMUNITY!$AA:$AA,CALC_COMMUNITY!$AP$51)="","–",INDEX(CALC_COMMUNITY!$AA:$AA,CALC_COMMUNITY!$AP$51)))</f>
        <v/>
      </c>
      <c r="C102" s="184" t="n"/>
      <c r="D102" s="189">
        <f>IF(CALC_COMMUNITY!$AP$51="","",IF(INDEX(CALC_COMMUNITY!$AB:$AB,CALC_COMMUNITY!$AP$51)="","–",INDEX(CALC_COMMUNITY!$AB:$AB,CALC_COMMUNITY!$AP$51)))</f>
        <v/>
      </c>
      <c r="E102" s="184" t="n"/>
      <c r="F102" s="184" t="n"/>
      <c r="G102" s="184" t="n"/>
      <c r="H102" s="189">
        <f>IF(CALC_COMMUNITY!$AP$51="","",IF(INDEX(CALC_COMMUNITY!$AC:$AC,CALC_COMMUNITY!$AP$51)="","–",INDEX(CALC_COMMUNITY!$AC:$AC,CALC_COMMUNITY!$AP$51)))</f>
        <v/>
      </c>
      <c r="I102" s="184" t="n"/>
      <c r="J102" s="186">
        <f>IF(CALC_COMMUNITY!$AP$51="","",IF(INDEX(CALC_COMMUNITY!$AE:$AE,CALC_COMMUNITY!$AP$51)="","–",INDEX(CALC_COMMUNITY!$AE:$AE,CALC_COMMUNITY!$AP$51)))</f>
        <v/>
      </c>
      <c r="K102" s="186">
        <f>IF(CALC_COMMUNITY!$AP$51="","",IF(INDEX(CALC_COMMUNITY!$AF:$AF,CALC_COMMUNITY!$AP$51)="","–",INDEX(CALC_COMMUNITY!$AF:$AF,CALC_COMMUNITY!$AP$51)))</f>
        <v/>
      </c>
      <c r="L102" s="188">
        <f>IF(CALC_COMMUNITY!$AP$51="","",IF(INDEX(CALC_COMMUNITY!$AG:$AG,CALC_COMMUNITY!$AP$51)="","–",INDEX(CALC_COMMUNITY!$AG:$AG,CALC_COMMUNITY!$AP$51)))</f>
        <v/>
      </c>
      <c r="M102" s="188">
        <f>IF(CALC_COMMUNITY!$AP$51="","",IF(INDEX(CALC_COMMUNITY!$AI:$AI,CALC_COMMUNITY!$AP$51)="","–",INDEX(CALC_COMMUNITY!$AI:$AI,CALC_COMMUNITY!$AP$51)))</f>
        <v/>
      </c>
      <c r="N102" s="186">
        <f>IF(CALC_COMMUNITY!$AP$51="","",IF(INDEX(CALC_COMMUNITY!$AJ:$AJ,CALC_COMMUNITY!$AP$51)="","–",INDEX(CALC_COMMUNITY!$AJ:$AJ,CALC_COMMUNITY!$AP$51)))</f>
        <v/>
      </c>
      <c r="O102" s="203">
        <f>IF(CALC_COMMUNITY!$AP$51="","",IF(INDEX(CALC_COMMUNITY!$AK:$AK,CALC_COMMUNITY!$AP$51)="","–",INDEX(CALC_COMMUNITY!$AK:$AK,CALC_COMMUNITY!$AP$51)))</f>
        <v/>
      </c>
    </row>
    <row r="103">
      <c r="B103" s="66">
        <f>IF(CALC_COMMUNITY!$AP$52="","",IF(INDEX(CALC_COMMUNITY!$AA:$AA,CALC_COMMUNITY!$AP$52)="","–",INDEX(CALC_COMMUNITY!$AA:$AA,CALC_COMMUNITY!$AP$52)))</f>
        <v/>
      </c>
      <c r="D103" s="66">
        <f>IF(CALC_COMMUNITY!$AP$52="","",IF(INDEX(CALC_COMMUNITY!$AB:$AB,CALC_COMMUNITY!$AP$52)="","–",INDEX(CALC_COMMUNITY!$AB:$AB,CALC_COMMUNITY!$AP$52)))</f>
        <v/>
      </c>
      <c r="H103" s="66">
        <f>IF(CALC_COMMUNITY!$AP$52="","",IF(INDEX(CALC_COMMUNITY!$AC:$AC,CALC_COMMUNITY!$AP$52)="","–",INDEX(CALC_COMMUNITY!$AC:$AC,CALC_COMMUNITY!$AP$52)))</f>
        <v/>
      </c>
      <c r="J103" s="68">
        <f>IF(CALC_COMMUNITY!$AP$52="","",IF(INDEX(CALC_COMMUNITY!$AE:$AE,CALC_COMMUNITY!$AP$52)="","–",INDEX(CALC_COMMUNITY!$AE:$AE,CALC_COMMUNITY!$AP$52)))</f>
        <v/>
      </c>
      <c r="K103" s="68">
        <f>IF(CALC_COMMUNITY!$AP$52="","",IF(INDEX(CALC_COMMUNITY!$AF:$AF,CALC_COMMUNITY!$AP$52)="","–",INDEX(CALC_COMMUNITY!$AF:$AF,CALC_COMMUNITY!$AP$52)))</f>
        <v/>
      </c>
      <c r="L103" s="70">
        <f>IF(CALC_COMMUNITY!$AP$52="","",IF(INDEX(CALC_COMMUNITY!$AG:$AG,CALC_COMMUNITY!$AP$52)="","–",INDEX(CALC_COMMUNITY!$AG:$AG,CALC_COMMUNITY!$AP$52)))</f>
        <v/>
      </c>
      <c r="M103" s="70">
        <f>IF(CALC_COMMUNITY!$AP$52="","",IF(INDEX(CALC_COMMUNITY!$AI:$AI,CALC_COMMUNITY!$AP$52)="","–",INDEX(CALC_COMMUNITY!$AI:$AI,CALC_COMMUNITY!$AP$52)))</f>
        <v/>
      </c>
      <c r="N103" s="68">
        <f>IF(CALC_COMMUNITY!$AP$52="","",IF(INDEX(CALC_COMMUNITY!$AJ:$AJ,CALC_COMMUNITY!$AP$52)="","–",INDEX(CALC_COMMUNITY!$AJ:$AJ,CALC_COMMUNITY!$AP$52)))</f>
        <v/>
      </c>
      <c r="O103" s="204">
        <f>IF(CALC_COMMUNITY!$AP$52="","",IF(INDEX(CALC_COMMUNITY!$AK:$AK,CALC_COMMUNITY!$AP$52)="","–",INDEX(CALC_COMMUNITY!$AK:$AK,CALC_COMMUNITY!$AP$52)))</f>
        <v/>
      </c>
    </row>
    <row r="104">
      <c r="B104" s="189">
        <f>IF(CALC_COMMUNITY!$AP$53="","",IF(INDEX(CALC_COMMUNITY!$AA:$AA,CALC_COMMUNITY!$AP$53)="","–",INDEX(CALC_COMMUNITY!$AA:$AA,CALC_COMMUNITY!$AP$53)))</f>
        <v/>
      </c>
      <c r="C104" s="184" t="n"/>
      <c r="D104" s="189">
        <f>IF(CALC_COMMUNITY!$AP$53="","",IF(INDEX(CALC_COMMUNITY!$AB:$AB,CALC_COMMUNITY!$AP$53)="","–",INDEX(CALC_COMMUNITY!$AB:$AB,CALC_COMMUNITY!$AP$53)))</f>
        <v/>
      </c>
      <c r="E104" s="184" t="n"/>
      <c r="F104" s="184" t="n"/>
      <c r="G104" s="184" t="n"/>
      <c r="H104" s="189">
        <f>IF(CALC_COMMUNITY!$AP$53="","",IF(INDEX(CALC_COMMUNITY!$AC:$AC,CALC_COMMUNITY!$AP$53)="","–",INDEX(CALC_COMMUNITY!$AC:$AC,CALC_COMMUNITY!$AP$53)))</f>
        <v/>
      </c>
      <c r="I104" s="184" t="n"/>
      <c r="J104" s="186">
        <f>IF(CALC_COMMUNITY!$AP$53="","",IF(INDEX(CALC_COMMUNITY!$AE:$AE,CALC_COMMUNITY!$AP$53)="","–",INDEX(CALC_COMMUNITY!$AE:$AE,CALC_COMMUNITY!$AP$53)))</f>
        <v/>
      </c>
      <c r="K104" s="186">
        <f>IF(CALC_COMMUNITY!$AP$53="","",IF(INDEX(CALC_COMMUNITY!$AF:$AF,CALC_COMMUNITY!$AP$53)="","–",INDEX(CALC_COMMUNITY!$AF:$AF,CALC_COMMUNITY!$AP$53)))</f>
        <v/>
      </c>
      <c r="L104" s="188">
        <f>IF(CALC_COMMUNITY!$AP$53="","",IF(INDEX(CALC_COMMUNITY!$AG:$AG,CALC_COMMUNITY!$AP$53)="","–",INDEX(CALC_COMMUNITY!$AG:$AG,CALC_COMMUNITY!$AP$53)))</f>
        <v/>
      </c>
      <c r="M104" s="188">
        <f>IF(CALC_COMMUNITY!$AP$53="","",IF(INDEX(CALC_COMMUNITY!$AI:$AI,CALC_COMMUNITY!$AP$53)="","–",INDEX(CALC_COMMUNITY!$AI:$AI,CALC_COMMUNITY!$AP$53)))</f>
        <v/>
      </c>
      <c r="N104" s="186">
        <f>IF(CALC_COMMUNITY!$AP$53="","",IF(INDEX(CALC_COMMUNITY!$AJ:$AJ,CALC_COMMUNITY!$AP$53)="","–",INDEX(CALC_COMMUNITY!$AJ:$AJ,CALC_COMMUNITY!$AP$53)))</f>
        <v/>
      </c>
      <c r="O104" s="203">
        <f>IF(CALC_COMMUNITY!$AP$53="","",IF(INDEX(CALC_COMMUNITY!$AK:$AK,CALC_COMMUNITY!$AP$53)="","–",INDEX(CALC_COMMUNITY!$AK:$AK,CALC_COMMUNITY!$AP$53)))</f>
        <v/>
      </c>
    </row>
    <row r="105">
      <c r="B105" s="66">
        <f>IF(CALC_COMMUNITY!$AP$54="","",IF(INDEX(CALC_COMMUNITY!$AA:$AA,CALC_COMMUNITY!$AP$54)="","–",INDEX(CALC_COMMUNITY!$AA:$AA,CALC_COMMUNITY!$AP$54)))</f>
        <v/>
      </c>
      <c r="D105" s="66">
        <f>IF(CALC_COMMUNITY!$AP$54="","",IF(INDEX(CALC_COMMUNITY!$AB:$AB,CALC_COMMUNITY!$AP$54)="","–",INDEX(CALC_COMMUNITY!$AB:$AB,CALC_COMMUNITY!$AP$54)))</f>
        <v/>
      </c>
      <c r="H105" s="66">
        <f>IF(CALC_COMMUNITY!$AP$54="","",IF(INDEX(CALC_COMMUNITY!$AC:$AC,CALC_COMMUNITY!$AP$54)="","–",INDEX(CALC_COMMUNITY!$AC:$AC,CALC_COMMUNITY!$AP$54)))</f>
        <v/>
      </c>
      <c r="J105" s="68">
        <f>IF(CALC_COMMUNITY!$AP$54="","",IF(INDEX(CALC_COMMUNITY!$AE:$AE,CALC_COMMUNITY!$AP$54)="","–",INDEX(CALC_COMMUNITY!$AE:$AE,CALC_COMMUNITY!$AP$54)))</f>
        <v/>
      </c>
      <c r="K105" s="68">
        <f>IF(CALC_COMMUNITY!$AP$54="","",IF(INDEX(CALC_COMMUNITY!$AF:$AF,CALC_COMMUNITY!$AP$54)="","–",INDEX(CALC_COMMUNITY!$AF:$AF,CALC_COMMUNITY!$AP$54)))</f>
        <v/>
      </c>
      <c r="L105" s="70">
        <f>IF(CALC_COMMUNITY!$AP$54="","",IF(INDEX(CALC_COMMUNITY!$AG:$AG,CALC_COMMUNITY!$AP$54)="","–",INDEX(CALC_COMMUNITY!$AG:$AG,CALC_COMMUNITY!$AP$54)))</f>
        <v/>
      </c>
      <c r="M105" s="70">
        <f>IF(CALC_COMMUNITY!$AP$54="","",IF(INDEX(CALC_COMMUNITY!$AI:$AI,CALC_COMMUNITY!$AP$54)="","–",INDEX(CALC_COMMUNITY!$AI:$AI,CALC_COMMUNITY!$AP$54)))</f>
        <v/>
      </c>
      <c r="N105" s="68">
        <f>IF(CALC_COMMUNITY!$AP$54="","",IF(INDEX(CALC_COMMUNITY!$AJ:$AJ,CALC_COMMUNITY!$AP$54)="","–",INDEX(CALC_COMMUNITY!$AJ:$AJ,CALC_COMMUNITY!$AP$54)))</f>
        <v/>
      </c>
      <c r="O105" s="204">
        <f>IF(CALC_COMMUNITY!$AP$54="","",IF(INDEX(CALC_COMMUNITY!$AK:$AK,CALC_COMMUNITY!$AP$54)="","–",INDEX(CALC_COMMUNITY!$AK:$AK,CALC_COMMUNITY!$AP$54)))</f>
        <v/>
      </c>
    </row>
    <row r="106">
      <c r="B106" s="189">
        <f>IF(CALC_COMMUNITY!$AP$55="","",IF(INDEX(CALC_COMMUNITY!$AA:$AA,CALC_COMMUNITY!$AP$55)="","–",INDEX(CALC_COMMUNITY!$AA:$AA,CALC_COMMUNITY!$AP$55)))</f>
        <v/>
      </c>
      <c r="C106" s="184" t="n"/>
      <c r="D106" s="189">
        <f>IF(CALC_COMMUNITY!$AP$55="","",IF(INDEX(CALC_COMMUNITY!$AB:$AB,CALC_COMMUNITY!$AP$55)="","–",INDEX(CALC_COMMUNITY!$AB:$AB,CALC_COMMUNITY!$AP$55)))</f>
        <v/>
      </c>
      <c r="E106" s="184" t="n"/>
      <c r="F106" s="184" t="n"/>
      <c r="G106" s="184" t="n"/>
      <c r="H106" s="189">
        <f>IF(CALC_COMMUNITY!$AP$55="","",IF(INDEX(CALC_COMMUNITY!$AC:$AC,CALC_COMMUNITY!$AP$55)="","–",INDEX(CALC_COMMUNITY!$AC:$AC,CALC_COMMUNITY!$AP$55)))</f>
        <v/>
      </c>
      <c r="I106" s="184" t="n"/>
      <c r="J106" s="186">
        <f>IF(CALC_COMMUNITY!$AP$55="","",IF(INDEX(CALC_COMMUNITY!$AE:$AE,CALC_COMMUNITY!$AP$55)="","–",INDEX(CALC_COMMUNITY!$AE:$AE,CALC_COMMUNITY!$AP$55)))</f>
        <v/>
      </c>
      <c r="K106" s="186">
        <f>IF(CALC_COMMUNITY!$AP$55="","",IF(INDEX(CALC_COMMUNITY!$AF:$AF,CALC_COMMUNITY!$AP$55)="","–",INDEX(CALC_COMMUNITY!$AF:$AF,CALC_COMMUNITY!$AP$55)))</f>
        <v/>
      </c>
      <c r="L106" s="188">
        <f>IF(CALC_COMMUNITY!$AP$55="","",IF(INDEX(CALC_COMMUNITY!$AG:$AG,CALC_COMMUNITY!$AP$55)="","–",INDEX(CALC_COMMUNITY!$AG:$AG,CALC_COMMUNITY!$AP$55)))</f>
        <v/>
      </c>
      <c r="M106" s="188">
        <f>IF(CALC_COMMUNITY!$AP$55="","",IF(INDEX(CALC_COMMUNITY!$AI:$AI,CALC_COMMUNITY!$AP$55)="","–",INDEX(CALC_COMMUNITY!$AI:$AI,CALC_COMMUNITY!$AP$55)))</f>
        <v/>
      </c>
      <c r="N106" s="186">
        <f>IF(CALC_COMMUNITY!$AP$55="","",IF(INDEX(CALC_COMMUNITY!$AJ:$AJ,CALC_COMMUNITY!$AP$55)="","–",INDEX(CALC_COMMUNITY!$AJ:$AJ,CALC_COMMUNITY!$AP$55)))</f>
        <v/>
      </c>
      <c r="O106" s="203">
        <f>IF(CALC_COMMUNITY!$AP$55="","",IF(INDEX(CALC_COMMUNITY!$AK:$AK,CALC_COMMUNITY!$AP$55)="","–",INDEX(CALC_COMMUNITY!$AK:$AK,CALC_COMMUNITY!$AP$55)))</f>
        <v/>
      </c>
    </row>
    <row r="107">
      <c r="B107" s="66">
        <f>IF(CALC_COMMUNITY!$AP$56="","",IF(INDEX(CALC_COMMUNITY!$AA:$AA,CALC_COMMUNITY!$AP$56)="","–",INDEX(CALC_COMMUNITY!$AA:$AA,CALC_COMMUNITY!$AP$56)))</f>
        <v/>
      </c>
      <c r="D107" s="66">
        <f>IF(CALC_COMMUNITY!$AP$56="","",IF(INDEX(CALC_COMMUNITY!$AB:$AB,CALC_COMMUNITY!$AP$56)="","–",INDEX(CALC_COMMUNITY!$AB:$AB,CALC_COMMUNITY!$AP$56)))</f>
        <v/>
      </c>
      <c r="H107" s="66">
        <f>IF(CALC_COMMUNITY!$AP$56="","",IF(INDEX(CALC_COMMUNITY!$AC:$AC,CALC_COMMUNITY!$AP$56)="","–",INDEX(CALC_COMMUNITY!$AC:$AC,CALC_COMMUNITY!$AP$56)))</f>
        <v/>
      </c>
      <c r="J107" s="68">
        <f>IF(CALC_COMMUNITY!$AP$56="","",IF(INDEX(CALC_COMMUNITY!$AE:$AE,CALC_COMMUNITY!$AP$56)="","–",INDEX(CALC_COMMUNITY!$AE:$AE,CALC_COMMUNITY!$AP$56)))</f>
        <v/>
      </c>
      <c r="K107" s="68">
        <f>IF(CALC_COMMUNITY!$AP$56="","",IF(INDEX(CALC_COMMUNITY!$AF:$AF,CALC_COMMUNITY!$AP$56)="","–",INDEX(CALC_COMMUNITY!$AF:$AF,CALC_COMMUNITY!$AP$56)))</f>
        <v/>
      </c>
      <c r="L107" s="70">
        <f>IF(CALC_COMMUNITY!$AP$56="","",IF(INDEX(CALC_COMMUNITY!$AG:$AG,CALC_COMMUNITY!$AP$56)="","–",INDEX(CALC_COMMUNITY!$AG:$AG,CALC_COMMUNITY!$AP$56)))</f>
        <v/>
      </c>
      <c r="M107" s="70">
        <f>IF(CALC_COMMUNITY!$AP$56="","",IF(INDEX(CALC_COMMUNITY!$AI:$AI,CALC_COMMUNITY!$AP$56)="","–",INDEX(CALC_COMMUNITY!$AI:$AI,CALC_COMMUNITY!$AP$56)))</f>
        <v/>
      </c>
      <c r="N107" s="68">
        <f>IF(CALC_COMMUNITY!$AP$56="","",IF(INDEX(CALC_COMMUNITY!$AJ:$AJ,CALC_COMMUNITY!$AP$56)="","–",INDEX(CALC_COMMUNITY!$AJ:$AJ,CALC_COMMUNITY!$AP$56)))</f>
        <v/>
      </c>
      <c r="O107" s="204">
        <f>IF(CALC_COMMUNITY!$AP$56="","",IF(INDEX(CALC_COMMUNITY!$AK:$AK,CALC_COMMUNITY!$AP$56)="","–",INDEX(CALC_COMMUNITY!$AK:$AK,CALC_COMMUNITY!$AP$56)))</f>
        <v/>
      </c>
    </row>
    <row r="108">
      <c r="B108" s="189">
        <f>IF(CALC_COMMUNITY!$AP$57="","",IF(INDEX(CALC_COMMUNITY!$AA:$AA,CALC_COMMUNITY!$AP$57)="","–",INDEX(CALC_COMMUNITY!$AA:$AA,CALC_COMMUNITY!$AP$57)))</f>
        <v/>
      </c>
      <c r="C108" s="184" t="n"/>
      <c r="D108" s="189">
        <f>IF(CALC_COMMUNITY!$AP$57="","",IF(INDEX(CALC_COMMUNITY!$AB:$AB,CALC_COMMUNITY!$AP$57)="","–",INDEX(CALC_COMMUNITY!$AB:$AB,CALC_COMMUNITY!$AP$57)))</f>
        <v/>
      </c>
      <c r="E108" s="184" t="n"/>
      <c r="F108" s="184" t="n"/>
      <c r="G108" s="184" t="n"/>
      <c r="H108" s="189">
        <f>IF(CALC_COMMUNITY!$AP$57="","",IF(INDEX(CALC_COMMUNITY!$AC:$AC,CALC_COMMUNITY!$AP$57)="","–",INDEX(CALC_COMMUNITY!$AC:$AC,CALC_COMMUNITY!$AP$57)))</f>
        <v/>
      </c>
      <c r="I108" s="184" t="n"/>
      <c r="J108" s="186">
        <f>IF(CALC_COMMUNITY!$AP$57="","",IF(INDEX(CALC_COMMUNITY!$AE:$AE,CALC_COMMUNITY!$AP$57)="","–",INDEX(CALC_COMMUNITY!$AE:$AE,CALC_COMMUNITY!$AP$57)))</f>
        <v/>
      </c>
      <c r="K108" s="186">
        <f>IF(CALC_COMMUNITY!$AP$57="","",IF(INDEX(CALC_COMMUNITY!$AF:$AF,CALC_COMMUNITY!$AP$57)="","–",INDEX(CALC_COMMUNITY!$AF:$AF,CALC_COMMUNITY!$AP$57)))</f>
        <v/>
      </c>
      <c r="L108" s="188">
        <f>IF(CALC_COMMUNITY!$AP$57="","",IF(INDEX(CALC_COMMUNITY!$AG:$AG,CALC_COMMUNITY!$AP$57)="","–",INDEX(CALC_COMMUNITY!$AG:$AG,CALC_COMMUNITY!$AP$57)))</f>
        <v/>
      </c>
      <c r="M108" s="188">
        <f>IF(CALC_COMMUNITY!$AP$57="","",IF(INDEX(CALC_COMMUNITY!$AI:$AI,CALC_COMMUNITY!$AP$57)="","–",INDEX(CALC_COMMUNITY!$AI:$AI,CALC_COMMUNITY!$AP$57)))</f>
        <v/>
      </c>
      <c r="N108" s="186">
        <f>IF(CALC_COMMUNITY!$AP$57="","",IF(INDEX(CALC_COMMUNITY!$AJ:$AJ,CALC_COMMUNITY!$AP$57)="","–",INDEX(CALC_COMMUNITY!$AJ:$AJ,CALC_COMMUNITY!$AP$57)))</f>
        <v/>
      </c>
      <c r="O108" s="203">
        <f>IF(CALC_COMMUNITY!$AP$57="","",IF(INDEX(CALC_COMMUNITY!$AK:$AK,CALC_COMMUNITY!$AP$57)="","–",INDEX(CALC_COMMUNITY!$AK:$AK,CALC_COMMUNITY!$AP$57)))</f>
        <v/>
      </c>
    </row>
    <row r="109">
      <c r="B109" s="66">
        <f>IF(CALC_COMMUNITY!$AP$58="","",IF(INDEX(CALC_COMMUNITY!$AA:$AA,CALC_COMMUNITY!$AP$58)="","–",INDEX(CALC_COMMUNITY!$AA:$AA,CALC_COMMUNITY!$AP$58)))</f>
        <v/>
      </c>
      <c r="D109" s="66">
        <f>IF(CALC_COMMUNITY!$AP$58="","",IF(INDEX(CALC_COMMUNITY!$AB:$AB,CALC_COMMUNITY!$AP$58)="","–",INDEX(CALC_COMMUNITY!$AB:$AB,CALC_COMMUNITY!$AP$58)))</f>
        <v/>
      </c>
      <c r="H109" s="66">
        <f>IF(CALC_COMMUNITY!$AP$58="","",IF(INDEX(CALC_COMMUNITY!$AC:$AC,CALC_COMMUNITY!$AP$58)="","–",INDEX(CALC_COMMUNITY!$AC:$AC,CALC_COMMUNITY!$AP$58)))</f>
        <v/>
      </c>
      <c r="J109" s="68">
        <f>IF(CALC_COMMUNITY!$AP$58="","",IF(INDEX(CALC_COMMUNITY!$AE:$AE,CALC_COMMUNITY!$AP$58)="","–",INDEX(CALC_COMMUNITY!$AE:$AE,CALC_COMMUNITY!$AP$58)))</f>
        <v/>
      </c>
      <c r="K109" s="68">
        <f>IF(CALC_COMMUNITY!$AP$58="","",IF(INDEX(CALC_COMMUNITY!$AF:$AF,CALC_COMMUNITY!$AP$58)="","–",INDEX(CALC_COMMUNITY!$AF:$AF,CALC_COMMUNITY!$AP$58)))</f>
        <v/>
      </c>
      <c r="L109" s="70">
        <f>IF(CALC_COMMUNITY!$AP$58="","",IF(INDEX(CALC_COMMUNITY!$AG:$AG,CALC_COMMUNITY!$AP$58)="","–",INDEX(CALC_COMMUNITY!$AG:$AG,CALC_COMMUNITY!$AP$58)))</f>
        <v/>
      </c>
      <c r="M109" s="70">
        <f>IF(CALC_COMMUNITY!$AP$58="","",IF(INDEX(CALC_COMMUNITY!$AI:$AI,CALC_COMMUNITY!$AP$58)="","–",INDEX(CALC_COMMUNITY!$AI:$AI,CALC_COMMUNITY!$AP$58)))</f>
        <v/>
      </c>
      <c r="N109" s="68">
        <f>IF(CALC_COMMUNITY!$AP$58="","",IF(INDEX(CALC_COMMUNITY!$AJ:$AJ,CALC_COMMUNITY!$AP$58)="","–",INDEX(CALC_COMMUNITY!$AJ:$AJ,CALC_COMMUNITY!$AP$58)))</f>
        <v/>
      </c>
      <c r="O109" s="204">
        <f>IF(CALC_COMMUNITY!$AP$58="","",IF(INDEX(CALC_COMMUNITY!$AK:$AK,CALC_COMMUNITY!$AP$58)="","–",INDEX(CALC_COMMUNITY!$AK:$AK,CALC_COMMUNITY!$AP$58)))</f>
        <v/>
      </c>
    </row>
    <row r="110">
      <c r="B110" s="189">
        <f>IF(CALC_COMMUNITY!$AP$59="","",IF(INDEX(CALC_COMMUNITY!$AA:$AA,CALC_COMMUNITY!$AP$59)="","–",INDEX(CALC_COMMUNITY!$AA:$AA,CALC_COMMUNITY!$AP$59)))</f>
        <v/>
      </c>
      <c r="C110" s="184" t="n"/>
      <c r="D110" s="189">
        <f>IF(CALC_COMMUNITY!$AP$59="","",IF(INDEX(CALC_COMMUNITY!$AB:$AB,CALC_COMMUNITY!$AP$59)="","–",INDEX(CALC_COMMUNITY!$AB:$AB,CALC_COMMUNITY!$AP$59)))</f>
        <v/>
      </c>
      <c r="E110" s="184" t="n"/>
      <c r="F110" s="184" t="n"/>
      <c r="G110" s="184" t="n"/>
      <c r="H110" s="189">
        <f>IF(CALC_COMMUNITY!$AP$59="","",IF(INDEX(CALC_COMMUNITY!$AC:$AC,CALC_COMMUNITY!$AP$59)="","–",INDEX(CALC_COMMUNITY!$AC:$AC,CALC_COMMUNITY!$AP$59)))</f>
        <v/>
      </c>
      <c r="I110" s="184" t="n"/>
      <c r="J110" s="186">
        <f>IF(CALC_COMMUNITY!$AP$59="","",IF(INDEX(CALC_COMMUNITY!$AE:$AE,CALC_COMMUNITY!$AP$59)="","–",INDEX(CALC_COMMUNITY!$AE:$AE,CALC_COMMUNITY!$AP$59)))</f>
        <v/>
      </c>
      <c r="K110" s="186">
        <f>IF(CALC_COMMUNITY!$AP$59="","",IF(INDEX(CALC_COMMUNITY!$AF:$AF,CALC_COMMUNITY!$AP$59)="","–",INDEX(CALC_COMMUNITY!$AF:$AF,CALC_COMMUNITY!$AP$59)))</f>
        <v/>
      </c>
      <c r="L110" s="188">
        <f>IF(CALC_COMMUNITY!$AP$59="","",IF(INDEX(CALC_COMMUNITY!$AG:$AG,CALC_COMMUNITY!$AP$59)="","–",INDEX(CALC_COMMUNITY!$AG:$AG,CALC_COMMUNITY!$AP$59)))</f>
        <v/>
      </c>
      <c r="M110" s="188">
        <f>IF(CALC_COMMUNITY!$AP$59="","",IF(INDEX(CALC_COMMUNITY!$AI:$AI,CALC_COMMUNITY!$AP$59)="","–",INDEX(CALC_COMMUNITY!$AI:$AI,CALC_COMMUNITY!$AP$59)))</f>
        <v/>
      </c>
      <c r="N110" s="186">
        <f>IF(CALC_COMMUNITY!$AP$59="","",IF(INDEX(CALC_COMMUNITY!$AJ:$AJ,CALC_COMMUNITY!$AP$59)="","–",INDEX(CALC_COMMUNITY!$AJ:$AJ,CALC_COMMUNITY!$AP$59)))</f>
        <v/>
      </c>
      <c r="O110" s="203">
        <f>IF(CALC_COMMUNITY!$AP$59="","",IF(INDEX(CALC_COMMUNITY!$AK:$AK,CALC_COMMUNITY!$AP$59)="","–",INDEX(CALC_COMMUNITY!$AK:$AK,CALC_COMMUNITY!$AP$59)))</f>
        <v/>
      </c>
    </row>
    <row r="111">
      <c r="B111" s="66">
        <f>IF(CALC_COMMUNITY!$AP$60="","",IF(INDEX(CALC_COMMUNITY!$AA:$AA,CALC_COMMUNITY!$AP$60)="","–",INDEX(CALC_COMMUNITY!$AA:$AA,CALC_COMMUNITY!$AP$60)))</f>
        <v/>
      </c>
      <c r="D111" s="66">
        <f>IF(CALC_COMMUNITY!$AP$60="","",IF(INDEX(CALC_COMMUNITY!$AB:$AB,CALC_COMMUNITY!$AP$60)="","–",INDEX(CALC_COMMUNITY!$AB:$AB,CALC_COMMUNITY!$AP$60)))</f>
        <v/>
      </c>
      <c r="H111" s="66">
        <f>IF(CALC_COMMUNITY!$AP$60="","",IF(INDEX(CALC_COMMUNITY!$AC:$AC,CALC_COMMUNITY!$AP$60)="","–",INDEX(CALC_COMMUNITY!$AC:$AC,CALC_COMMUNITY!$AP$60)))</f>
        <v/>
      </c>
      <c r="J111" s="68">
        <f>IF(CALC_COMMUNITY!$AP$60="","",IF(INDEX(CALC_COMMUNITY!$AE:$AE,CALC_COMMUNITY!$AP$60)="","–",INDEX(CALC_COMMUNITY!$AE:$AE,CALC_COMMUNITY!$AP$60)))</f>
        <v/>
      </c>
      <c r="K111" s="68">
        <f>IF(CALC_COMMUNITY!$AP$60="","",IF(INDEX(CALC_COMMUNITY!$AF:$AF,CALC_COMMUNITY!$AP$60)="","–",INDEX(CALC_COMMUNITY!$AF:$AF,CALC_COMMUNITY!$AP$60)))</f>
        <v/>
      </c>
      <c r="L111" s="70">
        <f>IF(CALC_COMMUNITY!$AP$60="","",IF(INDEX(CALC_COMMUNITY!$AG:$AG,CALC_COMMUNITY!$AP$60)="","–",INDEX(CALC_COMMUNITY!$AG:$AG,CALC_COMMUNITY!$AP$60)))</f>
        <v/>
      </c>
      <c r="M111" s="70">
        <f>IF(CALC_COMMUNITY!$AP$60="","",IF(INDEX(CALC_COMMUNITY!$AI:$AI,CALC_COMMUNITY!$AP$60)="","–",INDEX(CALC_COMMUNITY!$AI:$AI,CALC_COMMUNITY!$AP$60)))</f>
        <v/>
      </c>
      <c r="N111" s="68">
        <f>IF(CALC_COMMUNITY!$AP$60="","",IF(INDEX(CALC_COMMUNITY!$AJ:$AJ,CALC_COMMUNITY!$AP$60)="","–",INDEX(CALC_COMMUNITY!$AJ:$AJ,CALC_COMMUNITY!$AP$60)))</f>
        <v/>
      </c>
      <c r="O111" s="204">
        <f>IF(CALC_COMMUNITY!$AP$60="","",IF(INDEX(CALC_COMMUNITY!$AK:$AK,CALC_COMMUNITY!$AP$60)="","–",INDEX(CALC_COMMUNITY!$AK:$AK,CALC_COMMUNITY!$AP$60)))</f>
        <v/>
      </c>
    </row>
    <row r="112">
      <c r="B112" s="189">
        <f>IF(CALC_COMMUNITY!$AP$61="","",IF(INDEX(CALC_COMMUNITY!$AA:$AA,CALC_COMMUNITY!$AP$61)="","–",INDEX(CALC_COMMUNITY!$AA:$AA,CALC_COMMUNITY!$AP$61)))</f>
        <v/>
      </c>
      <c r="C112" s="184" t="n"/>
      <c r="D112" s="189">
        <f>IF(CALC_COMMUNITY!$AP$61="","",IF(INDEX(CALC_COMMUNITY!$AB:$AB,CALC_COMMUNITY!$AP$61)="","–",INDEX(CALC_COMMUNITY!$AB:$AB,CALC_COMMUNITY!$AP$61)))</f>
        <v/>
      </c>
      <c r="E112" s="184" t="n"/>
      <c r="F112" s="184" t="n"/>
      <c r="G112" s="184" t="n"/>
      <c r="H112" s="189">
        <f>IF(CALC_COMMUNITY!$AP$61="","",IF(INDEX(CALC_COMMUNITY!$AC:$AC,CALC_COMMUNITY!$AP$61)="","–",INDEX(CALC_COMMUNITY!$AC:$AC,CALC_COMMUNITY!$AP$61)))</f>
        <v/>
      </c>
      <c r="I112" s="184" t="n"/>
      <c r="J112" s="186">
        <f>IF(CALC_COMMUNITY!$AP$61="","",IF(INDEX(CALC_COMMUNITY!$AE:$AE,CALC_COMMUNITY!$AP$61)="","–",INDEX(CALC_COMMUNITY!$AE:$AE,CALC_COMMUNITY!$AP$61)))</f>
        <v/>
      </c>
      <c r="K112" s="186">
        <f>IF(CALC_COMMUNITY!$AP$61="","",IF(INDEX(CALC_COMMUNITY!$AF:$AF,CALC_COMMUNITY!$AP$61)="","–",INDEX(CALC_COMMUNITY!$AF:$AF,CALC_COMMUNITY!$AP$61)))</f>
        <v/>
      </c>
      <c r="L112" s="188">
        <f>IF(CALC_COMMUNITY!$AP$61="","",IF(INDEX(CALC_COMMUNITY!$AG:$AG,CALC_COMMUNITY!$AP$61)="","–",INDEX(CALC_COMMUNITY!$AG:$AG,CALC_COMMUNITY!$AP$61)))</f>
        <v/>
      </c>
      <c r="M112" s="188">
        <f>IF(CALC_COMMUNITY!$AP$61="","",IF(INDEX(CALC_COMMUNITY!$AI:$AI,CALC_COMMUNITY!$AP$61)="","–",INDEX(CALC_COMMUNITY!$AI:$AI,CALC_COMMUNITY!$AP$61)))</f>
        <v/>
      </c>
      <c r="N112" s="186">
        <f>IF(CALC_COMMUNITY!$AP$61="","",IF(INDEX(CALC_COMMUNITY!$AJ:$AJ,CALC_COMMUNITY!$AP$61)="","–",INDEX(CALC_COMMUNITY!$AJ:$AJ,CALC_COMMUNITY!$AP$61)))</f>
        <v/>
      </c>
      <c r="O112" s="203">
        <f>IF(CALC_COMMUNITY!$AP$61="","",IF(INDEX(CALC_COMMUNITY!$AK:$AK,CALC_COMMUNITY!$AP$61)="","–",INDEX(CALC_COMMUNITY!$AK:$AK,CALC_COMMUNITY!$AP$61)))</f>
        <v/>
      </c>
    </row>
    <row r="113">
      <c r="B113" s="66">
        <f>IF(CALC_COMMUNITY!$AP$62="","",IF(INDEX(CALC_COMMUNITY!$AA:$AA,CALC_COMMUNITY!$AP$62)="","–",INDEX(CALC_COMMUNITY!$AA:$AA,CALC_COMMUNITY!$AP$62)))</f>
        <v/>
      </c>
      <c r="D113" s="66">
        <f>IF(CALC_COMMUNITY!$AP$62="","",IF(INDEX(CALC_COMMUNITY!$AB:$AB,CALC_COMMUNITY!$AP$62)="","–",INDEX(CALC_COMMUNITY!$AB:$AB,CALC_COMMUNITY!$AP$62)))</f>
        <v/>
      </c>
      <c r="H113" s="66">
        <f>IF(CALC_COMMUNITY!$AP$62="","",IF(INDEX(CALC_COMMUNITY!$AC:$AC,CALC_COMMUNITY!$AP$62)="","–",INDEX(CALC_COMMUNITY!$AC:$AC,CALC_COMMUNITY!$AP$62)))</f>
        <v/>
      </c>
      <c r="J113" s="68">
        <f>IF(CALC_COMMUNITY!$AP$62="","",IF(INDEX(CALC_COMMUNITY!$AE:$AE,CALC_COMMUNITY!$AP$62)="","–",INDEX(CALC_COMMUNITY!$AE:$AE,CALC_COMMUNITY!$AP$62)))</f>
        <v/>
      </c>
      <c r="K113" s="68">
        <f>IF(CALC_COMMUNITY!$AP$62="","",IF(INDEX(CALC_COMMUNITY!$AF:$AF,CALC_COMMUNITY!$AP$62)="","–",INDEX(CALC_COMMUNITY!$AF:$AF,CALC_COMMUNITY!$AP$62)))</f>
        <v/>
      </c>
      <c r="L113" s="70">
        <f>IF(CALC_COMMUNITY!$AP$62="","",IF(INDEX(CALC_COMMUNITY!$AG:$AG,CALC_COMMUNITY!$AP$62)="","–",INDEX(CALC_COMMUNITY!$AG:$AG,CALC_COMMUNITY!$AP$62)))</f>
        <v/>
      </c>
      <c r="M113" s="70">
        <f>IF(CALC_COMMUNITY!$AP$62="","",IF(INDEX(CALC_COMMUNITY!$AI:$AI,CALC_COMMUNITY!$AP$62)="","–",INDEX(CALC_COMMUNITY!$AI:$AI,CALC_COMMUNITY!$AP$62)))</f>
        <v/>
      </c>
      <c r="N113" s="68">
        <f>IF(CALC_COMMUNITY!$AP$62="","",IF(INDEX(CALC_COMMUNITY!$AJ:$AJ,CALC_COMMUNITY!$AP$62)="","–",INDEX(CALC_COMMUNITY!$AJ:$AJ,CALC_COMMUNITY!$AP$62)))</f>
        <v/>
      </c>
      <c r="O113" s="204">
        <f>IF(CALC_COMMUNITY!$AP$62="","",IF(INDEX(CALC_COMMUNITY!$AK:$AK,CALC_COMMUNITY!$AP$62)="","–",INDEX(CALC_COMMUNITY!$AK:$AK,CALC_COMMUNITY!$AP$62)))</f>
        <v/>
      </c>
    </row>
    <row r="115" ht="22" customHeight="1">
      <c r="B115" s="179" t="inlineStr">
        <is>
          <t>Who didn't report — churches with no Sunday report for the selected week</t>
        </is>
      </c>
      <c r="C115" s="180" t="n"/>
      <c r="D115" s="180" t="n"/>
      <c r="E115" s="180" t="n"/>
      <c r="F115" s="180" t="n"/>
      <c r="G115" s="180" t="n"/>
      <c r="H115" s="180" t="n"/>
      <c r="I115" s="180" t="n"/>
      <c r="J115" s="180" t="n"/>
      <c r="K115" s="180" t="n"/>
      <c r="L115" s="180" t="n"/>
      <c r="M115" s="180" t="n"/>
      <c r="N115" s="180" t="n"/>
      <c r="O115" s="180" t="n"/>
    </row>
    <row r="116">
      <c r="B116" s="90">
        <f>IF(CALC_COMMUNITY!$B$10=0,"",IF(COUNT(CALC_COMMUNITY!$AQ$3:$AQ$62)=0,"Every church in scope reported.",COUNT(CALC_COMMUNITY!$AQ$3:$AQ$62)&amp;" church(es) without a Sunday report."))</f>
        <v/>
      </c>
    </row>
    <row r="117">
      <c r="B117" s="87">
        <f>IF(CALC_COMMUNITY!$AQ$3="","",INDEX(CALC_COMMUNITY!$AA:$AA,CALC_COMMUNITY!$AQ$3))</f>
        <v/>
      </c>
      <c r="D117" s="87">
        <f>IF(CALC_COMMUNITY!$AQ$3="","",INDEX(CALC_COMMUNITY!$AB:$AB,CALC_COMMUNITY!$AQ$3))</f>
        <v/>
      </c>
      <c r="J117" s="87">
        <f>IF(CALC_COMMUNITY!$AQ$3="","",INDEX(CALC_COMMUNITY!$AC:$AC,CALC_COMMUNITY!$AQ$3))</f>
        <v/>
      </c>
    </row>
    <row r="118">
      <c r="B118" s="87">
        <f>IF(CALC_COMMUNITY!$AQ$4="","",INDEX(CALC_COMMUNITY!$AA:$AA,CALC_COMMUNITY!$AQ$4))</f>
        <v/>
      </c>
      <c r="D118" s="87">
        <f>IF(CALC_COMMUNITY!$AQ$4="","",INDEX(CALC_COMMUNITY!$AB:$AB,CALC_COMMUNITY!$AQ$4))</f>
        <v/>
      </c>
      <c r="J118" s="87">
        <f>IF(CALC_COMMUNITY!$AQ$4="","",INDEX(CALC_COMMUNITY!$AC:$AC,CALC_COMMUNITY!$AQ$4))</f>
        <v/>
      </c>
    </row>
    <row r="119">
      <c r="B119" s="87">
        <f>IF(CALC_COMMUNITY!$AQ$5="","",INDEX(CALC_COMMUNITY!$AA:$AA,CALC_COMMUNITY!$AQ$5))</f>
        <v/>
      </c>
      <c r="D119" s="87">
        <f>IF(CALC_COMMUNITY!$AQ$5="","",INDEX(CALC_COMMUNITY!$AB:$AB,CALC_COMMUNITY!$AQ$5))</f>
        <v/>
      </c>
      <c r="J119" s="87">
        <f>IF(CALC_COMMUNITY!$AQ$5="","",INDEX(CALC_COMMUNITY!$AC:$AC,CALC_COMMUNITY!$AQ$5))</f>
        <v/>
      </c>
    </row>
    <row r="120">
      <c r="B120" s="87">
        <f>IF(CALC_COMMUNITY!$AQ$6="","",INDEX(CALC_COMMUNITY!$AA:$AA,CALC_COMMUNITY!$AQ$6))</f>
        <v/>
      </c>
      <c r="D120" s="87">
        <f>IF(CALC_COMMUNITY!$AQ$6="","",INDEX(CALC_COMMUNITY!$AB:$AB,CALC_COMMUNITY!$AQ$6))</f>
        <v/>
      </c>
      <c r="J120" s="87">
        <f>IF(CALC_COMMUNITY!$AQ$6="","",INDEX(CALC_COMMUNITY!$AC:$AC,CALC_COMMUNITY!$AQ$6))</f>
        <v/>
      </c>
    </row>
    <row r="121">
      <c r="B121" s="87">
        <f>IF(CALC_COMMUNITY!$AQ$7="","",INDEX(CALC_COMMUNITY!$AA:$AA,CALC_COMMUNITY!$AQ$7))</f>
        <v/>
      </c>
      <c r="D121" s="87">
        <f>IF(CALC_COMMUNITY!$AQ$7="","",INDEX(CALC_COMMUNITY!$AB:$AB,CALC_COMMUNITY!$AQ$7))</f>
        <v/>
      </c>
      <c r="J121" s="87">
        <f>IF(CALC_COMMUNITY!$AQ$7="","",INDEX(CALC_COMMUNITY!$AC:$AC,CALC_COMMUNITY!$AQ$7))</f>
        <v/>
      </c>
    </row>
    <row r="122">
      <c r="B122" s="87">
        <f>IF(CALC_COMMUNITY!$AQ$8="","",INDEX(CALC_COMMUNITY!$AA:$AA,CALC_COMMUNITY!$AQ$8))</f>
        <v/>
      </c>
      <c r="D122" s="87">
        <f>IF(CALC_COMMUNITY!$AQ$8="","",INDEX(CALC_COMMUNITY!$AB:$AB,CALC_COMMUNITY!$AQ$8))</f>
        <v/>
      </c>
      <c r="J122" s="87">
        <f>IF(CALC_COMMUNITY!$AQ$8="","",INDEX(CALC_COMMUNITY!$AC:$AC,CALC_COMMUNITY!$AQ$8))</f>
        <v/>
      </c>
    </row>
    <row r="123">
      <c r="B123" s="87">
        <f>IF(CALC_COMMUNITY!$AQ$9="","",INDEX(CALC_COMMUNITY!$AA:$AA,CALC_COMMUNITY!$AQ$9))</f>
        <v/>
      </c>
      <c r="D123" s="87">
        <f>IF(CALC_COMMUNITY!$AQ$9="","",INDEX(CALC_COMMUNITY!$AB:$AB,CALC_COMMUNITY!$AQ$9))</f>
        <v/>
      </c>
      <c r="J123" s="87">
        <f>IF(CALC_COMMUNITY!$AQ$9="","",INDEX(CALC_COMMUNITY!$AC:$AC,CALC_COMMUNITY!$AQ$9))</f>
        <v/>
      </c>
    </row>
    <row r="124">
      <c r="B124" s="87">
        <f>IF(CALC_COMMUNITY!$AQ$10="","",INDEX(CALC_COMMUNITY!$AA:$AA,CALC_COMMUNITY!$AQ$10))</f>
        <v/>
      </c>
      <c r="D124" s="87">
        <f>IF(CALC_COMMUNITY!$AQ$10="","",INDEX(CALC_COMMUNITY!$AB:$AB,CALC_COMMUNITY!$AQ$10))</f>
        <v/>
      </c>
      <c r="J124" s="87">
        <f>IF(CALC_COMMUNITY!$AQ$10="","",INDEX(CALC_COMMUNITY!$AC:$AC,CALC_COMMUNITY!$AQ$10))</f>
        <v/>
      </c>
    </row>
    <row r="125">
      <c r="B125" s="87">
        <f>IF(CALC_COMMUNITY!$AQ$11="","",INDEX(CALC_COMMUNITY!$AA:$AA,CALC_COMMUNITY!$AQ$11))</f>
        <v/>
      </c>
      <c r="D125" s="87">
        <f>IF(CALC_COMMUNITY!$AQ$11="","",INDEX(CALC_COMMUNITY!$AB:$AB,CALC_COMMUNITY!$AQ$11))</f>
        <v/>
      </c>
      <c r="J125" s="87">
        <f>IF(CALC_COMMUNITY!$AQ$11="","",INDEX(CALC_COMMUNITY!$AC:$AC,CALC_COMMUNITY!$AQ$11))</f>
        <v/>
      </c>
    </row>
    <row r="126">
      <c r="B126" s="87">
        <f>IF(CALC_COMMUNITY!$AQ$12="","",INDEX(CALC_COMMUNITY!$AA:$AA,CALC_COMMUNITY!$AQ$12))</f>
        <v/>
      </c>
      <c r="D126" s="87">
        <f>IF(CALC_COMMUNITY!$AQ$12="","",INDEX(CALC_COMMUNITY!$AB:$AB,CALC_COMMUNITY!$AQ$12))</f>
        <v/>
      </c>
      <c r="J126" s="87">
        <f>IF(CALC_COMMUNITY!$AQ$12="","",INDEX(CALC_COMMUNITY!$AC:$AC,CALC_COMMUNITY!$AQ$12))</f>
        <v/>
      </c>
    </row>
    <row r="127">
      <c r="B127" s="87">
        <f>IF(CALC_COMMUNITY!$AQ$13="","",INDEX(CALC_COMMUNITY!$AA:$AA,CALC_COMMUNITY!$AQ$13))</f>
        <v/>
      </c>
      <c r="D127" s="87">
        <f>IF(CALC_COMMUNITY!$AQ$13="","",INDEX(CALC_COMMUNITY!$AB:$AB,CALC_COMMUNITY!$AQ$13))</f>
        <v/>
      </c>
      <c r="J127" s="87">
        <f>IF(CALC_COMMUNITY!$AQ$13="","",INDEX(CALC_COMMUNITY!$AC:$AC,CALC_COMMUNITY!$AQ$13))</f>
        <v/>
      </c>
    </row>
    <row r="128">
      <c r="B128" s="87">
        <f>IF(CALC_COMMUNITY!$AQ$14="","",INDEX(CALC_COMMUNITY!$AA:$AA,CALC_COMMUNITY!$AQ$14))</f>
        <v/>
      </c>
      <c r="D128" s="87">
        <f>IF(CALC_COMMUNITY!$AQ$14="","",INDEX(CALC_COMMUNITY!$AB:$AB,CALC_COMMUNITY!$AQ$14))</f>
        <v/>
      </c>
      <c r="J128" s="87">
        <f>IF(CALC_COMMUNITY!$AQ$14="","",INDEX(CALC_COMMUNITY!$AC:$AC,CALC_COMMUNITY!$AQ$14))</f>
        <v/>
      </c>
    </row>
    <row r="129">
      <c r="B129" s="87">
        <f>IF(CALC_COMMUNITY!$AQ$15="","",INDEX(CALC_COMMUNITY!$AA:$AA,CALC_COMMUNITY!$AQ$15))</f>
        <v/>
      </c>
      <c r="D129" s="87">
        <f>IF(CALC_COMMUNITY!$AQ$15="","",INDEX(CALC_COMMUNITY!$AB:$AB,CALC_COMMUNITY!$AQ$15))</f>
        <v/>
      </c>
      <c r="J129" s="87">
        <f>IF(CALC_COMMUNITY!$AQ$15="","",INDEX(CALC_COMMUNITY!$AC:$AC,CALC_COMMUNITY!$AQ$15))</f>
        <v/>
      </c>
    </row>
    <row r="130">
      <c r="B130" s="87">
        <f>IF(CALC_COMMUNITY!$AQ$16="","",INDEX(CALC_COMMUNITY!$AA:$AA,CALC_COMMUNITY!$AQ$16))</f>
        <v/>
      </c>
      <c r="D130" s="87">
        <f>IF(CALC_COMMUNITY!$AQ$16="","",INDEX(CALC_COMMUNITY!$AB:$AB,CALC_COMMUNITY!$AQ$16))</f>
        <v/>
      </c>
      <c r="J130" s="87">
        <f>IF(CALC_COMMUNITY!$AQ$16="","",INDEX(CALC_COMMUNITY!$AC:$AC,CALC_COMMUNITY!$AQ$16))</f>
        <v/>
      </c>
    </row>
    <row r="131">
      <c r="B131" s="87">
        <f>IF(CALC_COMMUNITY!$AQ$17="","",INDEX(CALC_COMMUNITY!$AA:$AA,CALC_COMMUNITY!$AQ$17))</f>
        <v/>
      </c>
      <c r="D131" s="87">
        <f>IF(CALC_COMMUNITY!$AQ$17="","",INDEX(CALC_COMMUNITY!$AB:$AB,CALC_COMMUNITY!$AQ$17))</f>
        <v/>
      </c>
      <c r="J131" s="87">
        <f>IF(CALC_COMMUNITY!$AQ$17="","",INDEX(CALC_COMMUNITY!$AC:$AC,CALC_COMMUNITY!$AQ$17))</f>
        <v/>
      </c>
    </row>
    <row r="132">
      <c r="B132" s="87">
        <f>IF(CALC_COMMUNITY!$AQ$18="","",INDEX(CALC_COMMUNITY!$AA:$AA,CALC_COMMUNITY!$AQ$18))</f>
        <v/>
      </c>
      <c r="D132" s="87">
        <f>IF(CALC_COMMUNITY!$AQ$18="","",INDEX(CALC_COMMUNITY!$AB:$AB,CALC_COMMUNITY!$AQ$18))</f>
        <v/>
      </c>
      <c r="J132" s="87">
        <f>IF(CALC_COMMUNITY!$AQ$18="","",INDEX(CALC_COMMUNITY!$AC:$AC,CALC_COMMUNITY!$AQ$18))</f>
        <v/>
      </c>
    </row>
    <row r="133">
      <c r="B133" s="87">
        <f>IF(CALC_COMMUNITY!$AQ$19="","",INDEX(CALC_COMMUNITY!$AA:$AA,CALC_COMMUNITY!$AQ$19))</f>
        <v/>
      </c>
      <c r="D133" s="87">
        <f>IF(CALC_COMMUNITY!$AQ$19="","",INDEX(CALC_COMMUNITY!$AB:$AB,CALC_COMMUNITY!$AQ$19))</f>
        <v/>
      </c>
      <c r="J133" s="87">
        <f>IF(CALC_COMMUNITY!$AQ$19="","",INDEX(CALC_COMMUNITY!$AC:$AC,CALC_COMMUNITY!$AQ$19))</f>
        <v/>
      </c>
    </row>
    <row r="134">
      <c r="B134" s="87">
        <f>IF(CALC_COMMUNITY!$AQ$20="","",INDEX(CALC_COMMUNITY!$AA:$AA,CALC_COMMUNITY!$AQ$20))</f>
        <v/>
      </c>
      <c r="D134" s="87">
        <f>IF(CALC_COMMUNITY!$AQ$20="","",INDEX(CALC_COMMUNITY!$AB:$AB,CALC_COMMUNITY!$AQ$20))</f>
        <v/>
      </c>
      <c r="J134" s="87">
        <f>IF(CALC_COMMUNITY!$AQ$20="","",INDEX(CALC_COMMUNITY!$AC:$AC,CALC_COMMUNITY!$AQ$20))</f>
        <v/>
      </c>
    </row>
    <row r="135">
      <c r="B135" s="87">
        <f>IF(CALC_COMMUNITY!$AQ$21="","",INDEX(CALC_COMMUNITY!$AA:$AA,CALC_COMMUNITY!$AQ$21))</f>
        <v/>
      </c>
      <c r="D135" s="87">
        <f>IF(CALC_COMMUNITY!$AQ$21="","",INDEX(CALC_COMMUNITY!$AB:$AB,CALC_COMMUNITY!$AQ$21))</f>
        <v/>
      </c>
      <c r="J135" s="87">
        <f>IF(CALC_COMMUNITY!$AQ$21="","",INDEX(CALC_COMMUNITY!$AC:$AC,CALC_COMMUNITY!$AQ$21))</f>
        <v/>
      </c>
    </row>
    <row r="136">
      <c r="B136" s="87">
        <f>IF(CALC_COMMUNITY!$AQ$22="","",INDEX(CALC_COMMUNITY!$AA:$AA,CALC_COMMUNITY!$AQ$22))</f>
        <v/>
      </c>
      <c r="D136" s="87">
        <f>IF(CALC_COMMUNITY!$AQ$22="","",INDEX(CALC_COMMUNITY!$AB:$AB,CALC_COMMUNITY!$AQ$22))</f>
        <v/>
      </c>
      <c r="J136" s="87">
        <f>IF(CALC_COMMUNITY!$AQ$22="","",INDEX(CALC_COMMUNITY!$AC:$AC,CALC_COMMUNITY!$AQ$22))</f>
        <v/>
      </c>
    </row>
    <row r="137">
      <c r="B137" s="87">
        <f>IF(CALC_COMMUNITY!$AQ$23="","",INDEX(CALC_COMMUNITY!$AA:$AA,CALC_COMMUNITY!$AQ$23))</f>
        <v/>
      </c>
      <c r="D137" s="87">
        <f>IF(CALC_COMMUNITY!$AQ$23="","",INDEX(CALC_COMMUNITY!$AB:$AB,CALC_COMMUNITY!$AQ$23))</f>
        <v/>
      </c>
      <c r="J137" s="87">
        <f>IF(CALC_COMMUNITY!$AQ$23="","",INDEX(CALC_COMMUNITY!$AC:$AC,CALC_COMMUNITY!$AQ$23))</f>
        <v/>
      </c>
    </row>
    <row r="138">
      <c r="B138" s="87">
        <f>IF(CALC_COMMUNITY!$AQ$24="","",INDEX(CALC_COMMUNITY!$AA:$AA,CALC_COMMUNITY!$AQ$24))</f>
        <v/>
      </c>
      <c r="D138" s="87">
        <f>IF(CALC_COMMUNITY!$AQ$24="","",INDEX(CALC_COMMUNITY!$AB:$AB,CALC_COMMUNITY!$AQ$24))</f>
        <v/>
      </c>
      <c r="J138" s="87">
        <f>IF(CALC_COMMUNITY!$AQ$24="","",INDEX(CALC_COMMUNITY!$AC:$AC,CALC_COMMUNITY!$AQ$24))</f>
        <v/>
      </c>
    </row>
    <row r="139">
      <c r="B139" s="87">
        <f>IF(CALC_COMMUNITY!$AQ$25="","",INDEX(CALC_COMMUNITY!$AA:$AA,CALC_COMMUNITY!$AQ$25))</f>
        <v/>
      </c>
      <c r="D139" s="87">
        <f>IF(CALC_COMMUNITY!$AQ$25="","",INDEX(CALC_COMMUNITY!$AB:$AB,CALC_COMMUNITY!$AQ$25))</f>
        <v/>
      </c>
      <c r="J139" s="87">
        <f>IF(CALC_COMMUNITY!$AQ$25="","",INDEX(CALC_COMMUNITY!$AC:$AC,CALC_COMMUNITY!$AQ$25))</f>
        <v/>
      </c>
    </row>
    <row r="140">
      <c r="B140" s="87">
        <f>IF(CALC_COMMUNITY!$AQ$26="","",INDEX(CALC_COMMUNITY!$AA:$AA,CALC_COMMUNITY!$AQ$26))</f>
        <v/>
      </c>
      <c r="D140" s="87">
        <f>IF(CALC_COMMUNITY!$AQ$26="","",INDEX(CALC_COMMUNITY!$AB:$AB,CALC_COMMUNITY!$AQ$26))</f>
        <v/>
      </c>
      <c r="J140" s="87">
        <f>IF(CALC_COMMUNITY!$AQ$26="","",INDEX(CALC_COMMUNITY!$AC:$AC,CALC_COMMUNITY!$AQ$26))</f>
        <v/>
      </c>
    </row>
    <row r="141">
      <c r="B141" s="87">
        <f>IF(CALC_COMMUNITY!$AQ$27="","",INDEX(CALC_COMMUNITY!$AA:$AA,CALC_COMMUNITY!$AQ$27))</f>
        <v/>
      </c>
      <c r="D141" s="87">
        <f>IF(CALC_COMMUNITY!$AQ$27="","",INDEX(CALC_COMMUNITY!$AB:$AB,CALC_COMMUNITY!$AQ$27))</f>
        <v/>
      </c>
      <c r="J141" s="87">
        <f>IF(CALC_COMMUNITY!$AQ$27="","",INDEX(CALC_COMMUNITY!$AC:$AC,CALC_COMMUNITY!$AQ$27))</f>
        <v/>
      </c>
    </row>
    <row r="142">
      <c r="B142" s="87">
        <f>IF(CALC_COMMUNITY!$AQ$28="","",INDEX(CALC_COMMUNITY!$AA:$AA,CALC_COMMUNITY!$AQ$28))</f>
        <v/>
      </c>
      <c r="D142" s="87">
        <f>IF(CALC_COMMUNITY!$AQ$28="","",INDEX(CALC_COMMUNITY!$AB:$AB,CALC_COMMUNITY!$AQ$28))</f>
        <v/>
      </c>
      <c r="J142" s="87">
        <f>IF(CALC_COMMUNITY!$AQ$28="","",INDEX(CALC_COMMUNITY!$AC:$AC,CALC_COMMUNITY!$AQ$28))</f>
        <v/>
      </c>
    </row>
    <row r="143">
      <c r="B143" s="87">
        <f>IF(CALC_COMMUNITY!$AQ$29="","",INDEX(CALC_COMMUNITY!$AA:$AA,CALC_COMMUNITY!$AQ$29))</f>
        <v/>
      </c>
      <c r="D143" s="87">
        <f>IF(CALC_COMMUNITY!$AQ$29="","",INDEX(CALC_COMMUNITY!$AB:$AB,CALC_COMMUNITY!$AQ$29))</f>
        <v/>
      </c>
      <c r="J143" s="87">
        <f>IF(CALC_COMMUNITY!$AQ$29="","",INDEX(CALC_COMMUNITY!$AC:$AC,CALC_COMMUNITY!$AQ$29))</f>
        <v/>
      </c>
    </row>
    <row r="144">
      <c r="B144" s="87">
        <f>IF(CALC_COMMUNITY!$AQ$30="","",INDEX(CALC_COMMUNITY!$AA:$AA,CALC_COMMUNITY!$AQ$30))</f>
        <v/>
      </c>
      <c r="D144" s="87">
        <f>IF(CALC_COMMUNITY!$AQ$30="","",INDEX(CALC_COMMUNITY!$AB:$AB,CALC_COMMUNITY!$AQ$30))</f>
        <v/>
      </c>
      <c r="J144" s="87">
        <f>IF(CALC_COMMUNITY!$AQ$30="","",INDEX(CALC_COMMUNITY!$AC:$AC,CALC_COMMUNITY!$AQ$30))</f>
        <v/>
      </c>
    </row>
    <row r="145">
      <c r="B145" s="87">
        <f>IF(CALC_COMMUNITY!$AQ$31="","",INDEX(CALC_COMMUNITY!$AA:$AA,CALC_COMMUNITY!$AQ$31))</f>
        <v/>
      </c>
      <c r="D145" s="87">
        <f>IF(CALC_COMMUNITY!$AQ$31="","",INDEX(CALC_COMMUNITY!$AB:$AB,CALC_COMMUNITY!$AQ$31))</f>
        <v/>
      </c>
      <c r="J145" s="87">
        <f>IF(CALC_COMMUNITY!$AQ$31="","",INDEX(CALC_COMMUNITY!$AC:$AC,CALC_COMMUNITY!$AQ$31))</f>
        <v/>
      </c>
    </row>
    <row r="146">
      <c r="B146" s="87">
        <f>IF(CALC_COMMUNITY!$AQ$32="","",INDEX(CALC_COMMUNITY!$AA:$AA,CALC_COMMUNITY!$AQ$32))</f>
        <v/>
      </c>
      <c r="D146" s="87">
        <f>IF(CALC_COMMUNITY!$AQ$32="","",INDEX(CALC_COMMUNITY!$AB:$AB,CALC_COMMUNITY!$AQ$32))</f>
        <v/>
      </c>
      <c r="J146" s="87">
        <f>IF(CALC_COMMUNITY!$AQ$32="","",INDEX(CALC_COMMUNITY!$AC:$AC,CALC_COMMUNITY!$AQ$32))</f>
        <v/>
      </c>
    </row>
  </sheetData>
  <mergeCells count="350">
    <mergeCell ref="D74:G74"/>
    <mergeCell ref="B141:C141"/>
    <mergeCell ref="D68:G68"/>
    <mergeCell ref="D55:G55"/>
    <mergeCell ref="H9:I9"/>
    <mergeCell ref="J9:K9"/>
    <mergeCell ref="D59:G59"/>
    <mergeCell ref="D146:I146"/>
    <mergeCell ref="B14:C14"/>
    <mergeCell ref="D121:I121"/>
    <mergeCell ref="J142:L142"/>
    <mergeCell ref="B13:C13"/>
    <mergeCell ref="B78:C78"/>
    <mergeCell ref="D7:E7"/>
    <mergeCell ref="D123:I123"/>
    <mergeCell ref="J144:L144"/>
    <mergeCell ref="H96:I96"/>
    <mergeCell ref="B55:C55"/>
    <mergeCell ref="H87:I87"/>
    <mergeCell ref="H62:I62"/>
    <mergeCell ref="D112:G112"/>
    <mergeCell ref="D87:G87"/>
    <mergeCell ref="C3:D3"/>
    <mergeCell ref="D62:G62"/>
    <mergeCell ref="B129:C129"/>
    <mergeCell ref="H91:I91"/>
    <mergeCell ref="D56:G56"/>
    <mergeCell ref="B25:C25"/>
    <mergeCell ref="D136:I136"/>
    <mergeCell ref="D64:G64"/>
    <mergeCell ref="B131:C131"/>
    <mergeCell ref="H93:I93"/>
    <mergeCell ref="D134:I134"/>
    <mergeCell ref="B53:C53"/>
    <mergeCell ref="D47:E47"/>
    <mergeCell ref="F47:G47"/>
    <mergeCell ref="H109:I109"/>
    <mergeCell ref="H75:I75"/>
    <mergeCell ref="B84:C84"/>
    <mergeCell ref="H111:I111"/>
    <mergeCell ref="B15:C15"/>
    <mergeCell ref="F48:G48"/>
    <mergeCell ref="D75:G75"/>
    <mergeCell ref="H48:I48"/>
    <mergeCell ref="H104:I104"/>
    <mergeCell ref="B80:C80"/>
    <mergeCell ref="B142:C142"/>
    <mergeCell ref="D131:I131"/>
    <mergeCell ref="J127:L127"/>
    <mergeCell ref="B79:C79"/>
    <mergeCell ref="D124:I124"/>
    <mergeCell ref="H106:I106"/>
    <mergeCell ref="B144:C144"/>
    <mergeCell ref="B81:C81"/>
    <mergeCell ref="D126:I126"/>
    <mergeCell ref="L47:M47"/>
    <mergeCell ref="D89:G89"/>
    <mergeCell ref="D142:I142"/>
    <mergeCell ref="D65:G65"/>
    <mergeCell ref="D129:I129"/>
    <mergeCell ref="L50:M50"/>
    <mergeCell ref="B99:C99"/>
    <mergeCell ref="D144:I144"/>
    <mergeCell ref="B92:C92"/>
    <mergeCell ref="B76:C76"/>
    <mergeCell ref="B94:C94"/>
    <mergeCell ref="D139:I139"/>
    <mergeCell ref="D83:G83"/>
    <mergeCell ref="H112:I112"/>
    <mergeCell ref="D85:G85"/>
    <mergeCell ref="H64:I64"/>
    <mergeCell ref="J128:L128"/>
    <mergeCell ref="B23:C23"/>
    <mergeCell ref="B145:C145"/>
    <mergeCell ref="B87:C87"/>
    <mergeCell ref="D80:G80"/>
    <mergeCell ref="D96:G96"/>
    <mergeCell ref="H8:I8"/>
    <mergeCell ref="J8:K8"/>
    <mergeCell ref="B113:C113"/>
    <mergeCell ref="B100:C100"/>
    <mergeCell ref="D145:I145"/>
    <mergeCell ref="H10:I10"/>
    <mergeCell ref="J10:K10"/>
    <mergeCell ref="B102:C102"/>
    <mergeCell ref="B77:C77"/>
    <mergeCell ref="J118:L118"/>
    <mergeCell ref="H89:I89"/>
    <mergeCell ref="D109:G109"/>
    <mergeCell ref="D84:G84"/>
    <mergeCell ref="H72:I72"/>
    <mergeCell ref="D86:G86"/>
    <mergeCell ref="B49:C49"/>
    <mergeCell ref="H65:I65"/>
    <mergeCell ref="B24:C24"/>
    <mergeCell ref="B63:C63"/>
    <mergeCell ref="B26:C26"/>
    <mergeCell ref="J123:L123"/>
    <mergeCell ref="B90:C90"/>
    <mergeCell ref="H54:I54"/>
    <mergeCell ref="B27:C27"/>
    <mergeCell ref="H56:I56"/>
    <mergeCell ref="H83:I83"/>
    <mergeCell ref="H49:I49"/>
    <mergeCell ref="J49:K49"/>
    <mergeCell ref="H85:I85"/>
    <mergeCell ref="D99:G99"/>
    <mergeCell ref="J121:L121"/>
    <mergeCell ref="B103:C103"/>
    <mergeCell ref="D101:G101"/>
    <mergeCell ref="J126:L126"/>
    <mergeCell ref="B118:C118"/>
    <mergeCell ref="D9:E9"/>
    <mergeCell ref="H80:I80"/>
    <mergeCell ref="F9:G9"/>
    <mergeCell ref="D61:G61"/>
    <mergeCell ref="B7:C7"/>
    <mergeCell ref="B134:C134"/>
    <mergeCell ref="B121:C121"/>
    <mergeCell ref="B96:C96"/>
    <mergeCell ref="H58:I58"/>
    <mergeCell ref="B71:C71"/>
    <mergeCell ref="B58:C58"/>
    <mergeCell ref="H73:I73"/>
    <mergeCell ref="J137:L137"/>
    <mergeCell ref="B98:C98"/>
    <mergeCell ref="H60:I60"/>
    <mergeCell ref="J124:L124"/>
    <mergeCell ref="D118:I118"/>
    <mergeCell ref="B60:C60"/>
    <mergeCell ref="J139:L139"/>
    <mergeCell ref="J138:L138"/>
    <mergeCell ref="D105:G105"/>
    <mergeCell ref="H57:I57"/>
    <mergeCell ref="H84:I84"/>
    <mergeCell ref="D107:G107"/>
    <mergeCell ref="J50:K50"/>
    <mergeCell ref="B124:C124"/>
    <mergeCell ref="H86:I86"/>
    <mergeCell ref="E4:G4"/>
    <mergeCell ref="B126:C126"/>
    <mergeCell ref="B109:C109"/>
    <mergeCell ref="D102:G102"/>
    <mergeCell ref="B47:C47"/>
    <mergeCell ref="B59:C59"/>
    <mergeCell ref="D54:G54"/>
    <mergeCell ref="B48:C48"/>
    <mergeCell ref="B8:C8"/>
    <mergeCell ref="H70:I70"/>
    <mergeCell ref="J134:L134"/>
    <mergeCell ref="B73:C73"/>
    <mergeCell ref="J145:L145"/>
    <mergeCell ref="H7:I7"/>
    <mergeCell ref="B10:C10"/>
    <mergeCell ref="J7:K7"/>
    <mergeCell ref="B137:C137"/>
    <mergeCell ref="H99:I99"/>
    <mergeCell ref="D57:G57"/>
    <mergeCell ref="H47:I47"/>
    <mergeCell ref="J47:K47"/>
    <mergeCell ref="B74:C74"/>
    <mergeCell ref="B68:C68"/>
    <mergeCell ref="I4:J4"/>
    <mergeCell ref="D119:I119"/>
    <mergeCell ref="H101:I101"/>
    <mergeCell ref="B139:C139"/>
    <mergeCell ref="H76:I76"/>
    <mergeCell ref="J140:L140"/>
    <mergeCell ref="B21:C21"/>
    <mergeCell ref="D110:G110"/>
    <mergeCell ref="D137:I137"/>
    <mergeCell ref="B67:C67"/>
    <mergeCell ref="D60:G60"/>
    <mergeCell ref="B61:C61"/>
    <mergeCell ref="H94:I94"/>
    <mergeCell ref="D48:E48"/>
    <mergeCell ref="D130:I130"/>
    <mergeCell ref="J130:L130"/>
    <mergeCell ref="D117:I117"/>
    <mergeCell ref="B69:C69"/>
    <mergeCell ref="B112:C112"/>
    <mergeCell ref="D132:I132"/>
    <mergeCell ref="B127:C127"/>
    <mergeCell ref="H105:I105"/>
    <mergeCell ref="D70:G70"/>
    <mergeCell ref="B64:C64"/>
    <mergeCell ref="H71:I71"/>
    <mergeCell ref="J136:L136"/>
    <mergeCell ref="L4:O4"/>
    <mergeCell ref="D78:G78"/>
    <mergeCell ref="H107:I107"/>
    <mergeCell ref="D71:G71"/>
    <mergeCell ref="B16:C16"/>
    <mergeCell ref="B138:C138"/>
    <mergeCell ref="D58:G58"/>
    <mergeCell ref="D98:G98"/>
    <mergeCell ref="D73:G73"/>
    <mergeCell ref="B18:C18"/>
    <mergeCell ref="H102:I102"/>
    <mergeCell ref="B140:C140"/>
    <mergeCell ref="D122:I122"/>
    <mergeCell ref="J143:L143"/>
    <mergeCell ref="D138:I138"/>
    <mergeCell ref="H95:I95"/>
    <mergeCell ref="D53:G53"/>
    <mergeCell ref="B95:C95"/>
    <mergeCell ref="B89:C89"/>
    <mergeCell ref="D140:I140"/>
    <mergeCell ref="B5:O5"/>
    <mergeCell ref="H97:I97"/>
    <mergeCell ref="J48:K48"/>
    <mergeCell ref="L48:M48"/>
    <mergeCell ref="B97:C97"/>
    <mergeCell ref="B72:C72"/>
    <mergeCell ref="D141:I141"/>
    <mergeCell ref="D135:I135"/>
    <mergeCell ref="D79:G79"/>
    <mergeCell ref="B17:C17"/>
    <mergeCell ref="F50:G50"/>
    <mergeCell ref="B88:C88"/>
    <mergeCell ref="D81:G81"/>
    <mergeCell ref="B82:C82"/>
    <mergeCell ref="H110:I110"/>
    <mergeCell ref="B19:C19"/>
    <mergeCell ref="B146:C146"/>
    <mergeCell ref="B108:C108"/>
    <mergeCell ref="B83:C83"/>
    <mergeCell ref="L9:M9"/>
    <mergeCell ref="D76:G76"/>
    <mergeCell ref="B143:C143"/>
    <mergeCell ref="N9:O9"/>
    <mergeCell ref="B20:C20"/>
    <mergeCell ref="J146:L146"/>
    <mergeCell ref="F49:G49"/>
    <mergeCell ref="B85:C85"/>
    <mergeCell ref="H92:I92"/>
    <mergeCell ref="H67:I67"/>
    <mergeCell ref="H103:I103"/>
    <mergeCell ref="H78:I78"/>
    <mergeCell ref="D92:G92"/>
    <mergeCell ref="D67:G67"/>
    <mergeCell ref="D94:G94"/>
    <mergeCell ref="D69:G69"/>
    <mergeCell ref="B136:C136"/>
    <mergeCell ref="H98:I98"/>
    <mergeCell ref="B111:C111"/>
    <mergeCell ref="D143:I143"/>
    <mergeCell ref="I3:J3"/>
    <mergeCell ref="D8:E8"/>
    <mergeCell ref="H82:I82"/>
    <mergeCell ref="H53:I53"/>
    <mergeCell ref="B91:C91"/>
    <mergeCell ref="J117:L117"/>
    <mergeCell ref="J132:L132"/>
    <mergeCell ref="B22:C22"/>
    <mergeCell ref="D82:G82"/>
    <mergeCell ref="H55:I55"/>
    <mergeCell ref="B93:C93"/>
    <mergeCell ref="J119:L119"/>
    <mergeCell ref="H113:I113"/>
    <mergeCell ref="B86:C86"/>
    <mergeCell ref="D100:G100"/>
    <mergeCell ref="B101:C101"/>
    <mergeCell ref="H108:I108"/>
    <mergeCell ref="H79:I79"/>
    <mergeCell ref="L3:O3"/>
    <mergeCell ref="D77:G77"/>
    <mergeCell ref="B116:O116"/>
    <mergeCell ref="D108:G108"/>
    <mergeCell ref="H81:I81"/>
    <mergeCell ref="D95:G95"/>
    <mergeCell ref="B104:C104"/>
    <mergeCell ref="D97:G97"/>
    <mergeCell ref="D72:G72"/>
    <mergeCell ref="B106:C106"/>
    <mergeCell ref="D10:E10"/>
    <mergeCell ref="L7:M7"/>
    <mergeCell ref="F10:G10"/>
    <mergeCell ref="N7:O7"/>
    <mergeCell ref="H63:I63"/>
    <mergeCell ref="B66:C66"/>
    <mergeCell ref="H50:I50"/>
    <mergeCell ref="D113:G113"/>
    <mergeCell ref="H74:I74"/>
    <mergeCell ref="C4:D4"/>
    <mergeCell ref="H68:I68"/>
    <mergeCell ref="D88:G88"/>
    <mergeCell ref="B130:C130"/>
    <mergeCell ref="B117:C117"/>
    <mergeCell ref="D90:G90"/>
    <mergeCell ref="B132:C132"/>
    <mergeCell ref="B119:C119"/>
    <mergeCell ref="H69:I69"/>
    <mergeCell ref="J133:L133"/>
    <mergeCell ref="J135:L135"/>
    <mergeCell ref="J122:L122"/>
    <mergeCell ref="D103:G103"/>
    <mergeCell ref="B54:C54"/>
    <mergeCell ref="B125:C125"/>
    <mergeCell ref="B122:C122"/>
    <mergeCell ref="B56:C56"/>
    <mergeCell ref="B105:C105"/>
    <mergeCell ref="F7:G7"/>
    <mergeCell ref="D125:I125"/>
    <mergeCell ref="B120:C120"/>
    <mergeCell ref="D49:E49"/>
    <mergeCell ref="B107:C107"/>
    <mergeCell ref="D63:G63"/>
    <mergeCell ref="D127:I127"/>
    <mergeCell ref="L8:M8"/>
    <mergeCell ref="B57:C57"/>
    <mergeCell ref="N8:O8"/>
    <mergeCell ref="F8:G8"/>
    <mergeCell ref="J129:L129"/>
    <mergeCell ref="H100:I100"/>
    <mergeCell ref="L10:M10"/>
    <mergeCell ref="N10:O10"/>
    <mergeCell ref="H66:I66"/>
    <mergeCell ref="B9:C9"/>
    <mergeCell ref="H77:I77"/>
    <mergeCell ref="J141:L141"/>
    <mergeCell ref="D91:G91"/>
    <mergeCell ref="D66:G66"/>
    <mergeCell ref="B133:C133"/>
    <mergeCell ref="D106:G106"/>
    <mergeCell ref="B75:C75"/>
    <mergeCell ref="D93:G93"/>
    <mergeCell ref="B135:C135"/>
    <mergeCell ref="D120:I120"/>
    <mergeCell ref="B62:C62"/>
    <mergeCell ref="B70:C70"/>
    <mergeCell ref="H59:I59"/>
    <mergeCell ref="H61:I61"/>
    <mergeCell ref="J125:L125"/>
    <mergeCell ref="H88:I88"/>
    <mergeCell ref="D111:G111"/>
    <mergeCell ref="D133:I133"/>
    <mergeCell ref="B128:C128"/>
    <mergeCell ref="H90:I90"/>
    <mergeCell ref="D104:G104"/>
    <mergeCell ref="E3:G3"/>
    <mergeCell ref="B65:C65"/>
    <mergeCell ref="J120:L120"/>
    <mergeCell ref="D128:I128"/>
    <mergeCell ref="J131:L131"/>
    <mergeCell ref="B123:C123"/>
    <mergeCell ref="L49:M49"/>
    <mergeCell ref="B50:C50"/>
    <mergeCell ref="B110:C110"/>
    <mergeCell ref="D50:E50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0">
      <formula>LEFT(H9,1)="▲"</formula>
    </cfRule>
    <cfRule type="expression" priority="11" dxfId="1">
      <formula>LEFT(H9,1)="▼"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F25">
    <cfRule type="expression" priority="84" dxfId="5">
      <formula>AND(ISNUMBER(F25),F25&gt;0)</formula>
    </cfRule>
    <cfRule type="expression" priority="85" dxfId="6">
      <formula>AND(ISNUMBER(F25),F25&lt;0)</formula>
    </cfRule>
  </conditionalFormatting>
  <conditionalFormatting sqref="G25">
    <cfRule type="expression" priority="86" dxfId="5">
      <formula>AND(ISNUMBER(G25),G25&gt;0)</formula>
    </cfRule>
    <cfRule type="expression" priority="87" dxfId="6">
      <formula>AND(ISNUMBER(G25),G25&lt;0)</formula>
    </cfRule>
  </conditionalFormatting>
  <conditionalFormatting sqref="I25">
    <cfRule type="expression" priority="88" dxfId="5">
      <formula>AND(ISNUMBER(I25),I25&gt;0)</formula>
    </cfRule>
    <cfRule type="expression" priority="89" dxfId="6">
      <formula>AND(ISNUMBER(I25),I25&lt;0)</formula>
    </cfRule>
  </conditionalFormatting>
  <conditionalFormatting sqref="D25:E25">
    <cfRule type="expression" priority="90" dxfId="2">
      <formula>AND(ISNUMBER(D25),D25&gt;=RAG_Green)</formula>
    </cfRule>
    <cfRule type="expression" priority="91" dxfId="3">
      <formula>AND(ISNUMBER(D25),D25&gt;=RAG_Amber,D25&lt;RAG_Green)</formula>
    </cfRule>
    <cfRule type="expression" priority="92" dxfId="4">
      <formula>AND(ISNUMBER(D25),D25&lt;RAG_Amber)</formula>
    </cfRule>
  </conditionalFormatting>
  <conditionalFormatting sqref="F26">
    <cfRule type="expression" priority="93" dxfId="5">
      <formula>AND(ISNUMBER(F26),F26&gt;0)</formula>
    </cfRule>
    <cfRule type="expression" priority="94" dxfId="6">
      <formula>AND(ISNUMBER(F26),F26&lt;0)</formula>
    </cfRule>
  </conditionalFormatting>
  <conditionalFormatting sqref="G26">
    <cfRule type="expression" priority="95" dxfId="5">
      <formula>AND(ISNUMBER(G26),G26&gt;0)</formula>
    </cfRule>
    <cfRule type="expression" priority="96" dxfId="6">
      <formula>AND(ISNUMBER(G26),G26&lt;0)</formula>
    </cfRule>
  </conditionalFormatting>
  <conditionalFormatting sqref="I26">
    <cfRule type="expression" priority="97" dxfId="5">
      <formula>AND(ISNUMBER(I26),I26&gt;0)</formula>
    </cfRule>
    <cfRule type="expression" priority="98" dxfId="6">
      <formula>AND(ISNUMBER(I26),I26&lt;0)</formula>
    </cfRule>
  </conditionalFormatting>
  <conditionalFormatting sqref="F27">
    <cfRule type="expression" priority="99" dxfId="5">
      <formula>AND(ISNUMBER(F27),F27&gt;0)</formula>
    </cfRule>
    <cfRule type="expression" priority="100" dxfId="6">
      <formula>AND(ISNUMBER(F27),F27&lt;0)</formula>
    </cfRule>
  </conditionalFormatting>
  <conditionalFormatting sqref="G27">
    <cfRule type="expression" priority="101" dxfId="5">
      <formula>AND(ISNUMBER(G27),G27&gt;0)</formula>
    </cfRule>
    <cfRule type="expression" priority="102" dxfId="6">
      <formula>AND(ISNUMBER(G27),G27&lt;0)</formula>
    </cfRule>
  </conditionalFormatting>
  <conditionalFormatting sqref="I27">
    <cfRule type="expression" priority="103" dxfId="5">
      <formula>AND(ISNUMBER(I27),I27&gt;0)</formula>
    </cfRule>
    <cfRule type="expression" priority="104" dxfId="6">
      <formula>AND(ISNUMBER(I27),I27&lt;0)</formula>
    </cfRule>
  </conditionalFormatting>
  <conditionalFormatting sqref="J54:J113">
    <cfRule type="dataBar" priority="105">
      <dataBar>
        <cfvo type="num" val="0"/>
        <cfvo type="max"/>
        <color rgb="00CE85A0"/>
      </dataBar>
    </cfRule>
  </conditionalFormatting>
  <conditionalFormatting sqref="L54:M113">
    <cfRule type="expression" priority="106" dxfId="5">
      <formula>AND(ISNUMBER(L54),L54&gt;0)</formula>
    </cfRule>
    <cfRule type="expression" priority="107" dxfId="6">
      <formula>AND(ISNUMBER(L54),L54&lt;0)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=COMMUNITY_SelectList</formula1>
    </dataValidation>
    <dataValidation sqref="I4" showDropDown="0" showInputMessage="0" showErrorMessage="1" allowBlank="1" errorTitle="Week ending" error="Pick 'Latest' or a week from the list." type="list">
      <formula1>=COMMUNITY_WeekList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11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205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6" t="inlineStr">
        <is>
          <t>⌂ HOME</t>
        </is>
      </c>
      <c r="O1" s="20" t="n"/>
      <c r="P1" s="20" t="n"/>
    </row>
    <row r="2">
      <c r="A2" s="20" t="n"/>
      <c r="B2" s="207" t="inlineStr">
        <is>
          <t>FT Procured (hired LT) · church coasters · EV/TATA · WSF Procured (member-paid) · riders, seats, spend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3" ht="16" customHeight="1">
      <c r="B3" s="208" t="inlineStr">
        <is>
          <t>SCOPE</t>
        </is>
      </c>
      <c r="C3" s="208" t="inlineStr">
        <is>
          <t>SEARCH  (type part of a name)</t>
        </is>
      </c>
      <c r="E3" s="208" t="inlineStr">
        <is>
          <t>SELECT AREA / ZONE  ▼</t>
        </is>
      </c>
      <c r="H3" s="208" t="inlineStr">
        <is>
          <t>STREAM</t>
        </is>
      </c>
      <c r="I3" s="208" t="inlineStr">
        <is>
          <t>WEEK ENDING  ▼</t>
        </is>
      </c>
      <c r="K3" s="208" t="inlineStr">
        <is>
          <t>COMPARE (WEEKS)</t>
        </is>
      </c>
      <c r="L3" s="208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209" t="inlineStr">
        <is>
          <t>Transport</t>
        </is>
      </c>
      <c r="I4" s="45" t="inlineStr">
        <is>
          <t>Latest</t>
        </is>
      </c>
      <c r="J4" s="43" t="n"/>
      <c r="K4" s="41" t="n">
        <v>4</v>
      </c>
      <c r="L4" s="210">
        <f>CALC_TRANSPORT!$B$16&amp;IF(CALC_TRANSPORT!$B$10=0,"","  ·  w/e "&amp;TEXT(CALC_TRANSPORT!$B$10,"dd mmm yyyy"))&amp;"  ·  "&amp;CALC_TRANSPORT!$B$11&amp;"-wk window"</f>
        <v/>
      </c>
    </row>
    <row r="5" ht="18" customHeight="1">
      <c r="B5" s="211">
        <f>IF(CALC_TRANSPORT!$B$9=0,"No transport reports loaded yet. Put the weekly transport files in the inbox and run ingest.py.",IF(NOT(CALC_TRANSPORT!$B$5),IF(AND(CALC_TRANSPORT!$B$3="Area",COUNTIFS(MASTER_AREAS!$B:$B,CALC_TRANSPORT!$B$4,MASTER_AREAS!$F:$F,"N")&gt;0),CALC_TRANSPORT!$B$4&amp;" is not part of transport operations; pick another Area.","⚠  Pick "&amp;IF(CALC_TRANSPORT!$B$3="Area","an Area","a Zone")&amp;" from SELECT (type part of the name in SEARCH first)."),IF(CALC_TRANSPORT!$B$3="Zone","Zone scope shows FT Procured and WSF Procured only (coasters, EV/TATA, fuel and budget are by Area).",IF(CALC_TRANSPORT!$Y$21=0,"No transport reports in this scope for the selected week.","Utilisation = riders ÷ seats offered, on buses whose capacity is known. Spend = hire cost + coaster fuel paid (hubs only)."))))</f>
        <v/>
      </c>
    </row>
    <row r="7">
      <c r="B7" s="212" t="inlineStr">
        <is>
          <t>RIDERS CARRIED</t>
        </is>
      </c>
      <c r="C7" s="213" t="n"/>
      <c r="D7" s="212" t="inlineStr">
        <is>
          <t>BUSES THAT RAN</t>
        </is>
      </c>
      <c r="E7" s="213" t="n"/>
      <c r="F7" s="212" t="inlineStr">
        <is>
          <t>SEAT UTILISATION</t>
        </is>
      </c>
      <c r="G7" s="213" t="n"/>
      <c r="H7" s="212" t="inlineStr">
        <is>
          <t>TOTAL SPEND</t>
        </is>
      </c>
      <c r="I7" s="213" t="n"/>
      <c r="J7" s="212" t="inlineStr">
        <is>
          <t>COST PER RIDER</t>
        </is>
      </c>
      <c r="K7" s="213" t="n"/>
      <c r="L7" s="212" t="inlineStr">
        <is>
          <t>FT SPEND vs BUDGET</t>
        </is>
      </c>
      <c r="M7" s="213" t="n"/>
      <c r="N7" s="212" t="inlineStr">
        <is>
          <t>BREAKDOWNS</t>
        </is>
      </c>
      <c r="O7" s="213" t="n"/>
    </row>
    <row r="8" ht="34" customHeight="1">
      <c r="B8" s="214">
        <f>IF(CALC_TRANSPORT!$B$90="","–",CALC_TRANSPORT!$B$90)</f>
        <v/>
      </c>
      <c r="C8" s="51" t="n"/>
      <c r="D8" s="214">
        <f>IF(CALC_TRANSPORT!$B$91="","–",CALC_TRANSPORT!$B$91)</f>
        <v/>
      </c>
      <c r="E8" s="51" t="n"/>
      <c r="F8" s="215">
        <f>IF(CALC_TRANSPORT!$B$95="","–",CALC_TRANSPORT!$B$95)</f>
        <v/>
      </c>
      <c r="G8" s="51" t="n"/>
      <c r="H8" s="216">
        <f>IF(CALC_TRANSPORT!$B$97="","–",CALC_TRANSPORT!$B$97)</f>
        <v/>
      </c>
      <c r="I8" s="51" t="n"/>
      <c r="J8" s="217">
        <f>IF(CALC_TRANSPORT!$B$101="","–",CALC_TRANSPORT!$B$101)</f>
        <v/>
      </c>
      <c r="K8" s="51" t="n"/>
      <c r="L8" s="215">
        <f>IF(CALC_TRANSPORT!$B$104="","–",CALC_TRANSPORT!$B$104)</f>
        <v/>
      </c>
      <c r="M8" s="51" t="n"/>
      <c r="N8" s="214">
        <f>IF(CALC_TRANSPORT!$B$105="","–",CALC_TRANSPORT!$B$105)</f>
        <v/>
      </c>
      <c r="O8" s="51" t="n"/>
    </row>
    <row r="9">
      <c r="B9" s="218">
        <f>IF(CALC_TRANSPORT!$E$90="","– vs prev wk",IF(CALC_TRANSPORT!$E$90&gt;=0,"▲ ","▼ ")&amp;TEXT(ABS(CALC_TRANSPORT!$E$90),"0.0%")&amp;" vs prev wk")</f>
        <v/>
      </c>
      <c r="C9" s="51" t="n"/>
      <c r="D9" s="218">
        <f>IF(CALC_TRANSPORT!$E$91="","– vs prev wk",IF(CALC_TRANSPORT!$E$91&gt;=0,"▲ ","▼ ")&amp;TEXT(ABS(CALC_TRANSPORT!$E$91),"0.0%")&amp;" vs prev wk")</f>
        <v/>
      </c>
      <c r="E9" s="51" t="n"/>
      <c r="F9" s="218">
        <f>IF(CALC_TRANSPORT!$D$95="","– vs prev wk",IF(CALC_TRANSPORT!$D$95&gt;=0,"▲ ","▼ ")&amp;TEXT(ABS(CALC_TRANSPORT!$D$95)*100,"0.0")&amp;" pts vs prev wk")</f>
        <v/>
      </c>
      <c r="G9" s="51" t="n"/>
      <c r="H9" s="218">
        <f>IF(CALC_TRANSPORT!$E$97="","– vs prev wk",IF(CALC_TRANSPORT!$E$97&gt;=0,"▲ ","▼ ")&amp;TEXT(ABS(CALC_TRANSPORT!$E$97),"0.0%")&amp;" vs prev wk")</f>
        <v/>
      </c>
      <c r="I9" s="51" t="n"/>
      <c r="J9" s="218">
        <f>IF(CALC_TRANSPORT!$E$101="","– vs prev wk",IF(CALC_TRANSPORT!$E$101&gt;=0,"▲ ","▼ ")&amp;TEXT(ABS(CALC_TRANSPORT!$E$101),"0.0%")&amp;" vs prev wk")</f>
        <v/>
      </c>
      <c r="K9" s="51" t="n"/>
      <c r="L9" s="218">
        <f>IF(CALC_TRANSPORT!$D$104="","– vs prev wk",IF(CALC_TRANSPORT!$D$104&gt;=0,"▲ ","▼ ")&amp;TEXT(ABS(CALC_TRANSPORT!$D$104)*100,"0.0")&amp;" pts vs prev wk")</f>
        <v/>
      </c>
      <c r="M9" s="51" t="n"/>
      <c r="N9" s="218">
        <f>IF(CALC_TRANSPORT!$E$105="","– vs prev wk",IF(CALC_TRANSPORT!$E$105&gt;=0,"▲ ","▼ ")&amp;TEXT(ABS(CALC_TRANSPORT!$E$105),"0.0%")&amp;" vs prev wk")</f>
        <v/>
      </c>
      <c r="O9" s="51" t="n"/>
    </row>
    <row r="10">
      <c r="B10" s="219">
        <f>"Avg last "&amp;CALC_TRANSPORT!$B$11&amp;" wks: "&amp;IF(CALC_TRANSPORT!$F$90="","–",TEXT(CALC_TRANSPORT!$F$90,"#,##0"))</f>
        <v/>
      </c>
      <c r="C10" s="51" t="n"/>
      <c r="D10" s="219">
        <f>"Avg last "&amp;CALC_TRANSPORT!$B$11&amp;" wks: "&amp;IF(CALC_TRANSPORT!$F$91="","–",TEXT(CALC_TRANSPORT!$F$91,"#,##0"))</f>
        <v/>
      </c>
      <c r="E10" s="51" t="n"/>
      <c r="F10" s="219">
        <f>"Avg last "&amp;CALC_TRANSPORT!$B$11&amp;" wks: "&amp;IF(CALC_TRANSPORT!$F$95="","–",TEXT(CALC_TRANSPORT!$F$95,"0.0%"))</f>
        <v/>
      </c>
      <c r="G10" s="51" t="n"/>
      <c r="H10" s="219">
        <f>"Avg last "&amp;CALC_TRANSPORT!$B$11&amp;" wks: "&amp;IF(CALC_TRANSPORT!$F$97="","–","₦"&amp;TEXT(CALC_TRANSPORT!$F$97,"#,##0"))</f>
        <v/>
      </c>
      <c r="I10" s="51" t="n"/>
      <c r="J10" s="219">
        <f>"Avg last "&amp;CALC_TRANSPORT!$B$11&amp;" wks: "&amp;IF(CALC_TRANSPORT!$F$101="","–","₦"&amp;TEXT(CALC_TRANSPORT!$F$101,"#,##0.00"))</f>
        <v/>
      </c>
      <c r="K10" s="51" t="n"/>
      <c r="L10" s="219">
        <f>"Avg last "&amp;CALC_TRANSPORT!$B$11&amp;" wks: "&amp;IF(CALC_TRANSPORT!$F$104="","–",TEXT(CALC_TRANSPORT!$F$104,"0.0%"))</f>
        <v/>
      </c>
      <c r="M10" s="51" t="n"/>
      <c r="N10" s="219">
        <f>"Avg last "&amp;CALC_TRANSPORT!$B$11&amp;" wks: "&amp;IF(CALC_TRANSPORT!$F$105="","–",TEXT(CALC_TRANSPORT!$F$105,"#,##0"))</f>
        <v/>
      </c>
      <c r="O10" s="51" t="n"/>
    </row>
    <row r="12" ht="22" customHeight="1">
      <c r="B12" s="220" t="inlineStr">
        <is>
          <t>By bus category — selected week</t>
        </is>
      </c>
      <c r="C12" s="221" t="n"/>
      <c r="D12" s="221" t="n"/>
      <c r="E12" s="221" t="n"/>
      <c r="F12" s="221" t="n"/>
      <c r="G12" s="221" t="n"/>
      <c r="H12" s="221" t="n"/>
      <c r="I12" s="221" t="n"/>
      <c r="J12" s="221" t="n"/>
      <c r="K12" s="221" t="n"/>
      <c r="L12" s="221" t="n"/>
      <c r="M12" s="221" t="n"/>
      <c r="N12" s="221" t="n"/>
      <c r="O12" s="222" t="inlineStr">
        <is>
          <t>Cost per rider shows where money works hardest</t>
        </is>
      </c>
    </row>
    <row r="13" ht="26" customHeight="1">
      <c r="B13" s="223" t="inlineStr">
        <is>
          <t>Category</t>
        </is>
      </c>
      <c r="C13" s="20" t="n"/>
      <c r="D13" s="223" t="inlineStr">
        <is>
          <t>Listed</t>
        </is>
      </c>
      <c r="E13" s="223" t="inlineStr">
        <is>
          <t>Ran</t>
        </is>
      </c>
      <c r="F13" s="223" t="inlineStr">
        <is>
          <t>% ran</t>
        </is>
      </c>
      <c r="G13" s="223" t="inlineStr">
        <is>
          <t>Riders</t>
        </is>
      </c>
      <c r="H13" s="223" t="inlineStr">
        <is>
          <t>Seats</t>
        </is>
      </c>
      <c r="I13" s="223" t="inlineStr">
        <is>
          <t>Utilisation</t>
        </is>
      </c>
      <c r="J13" s="223" t="inlineStr">
        <is>
          <t>Spend</t>
        </is>
      </c>
      <c r="K13" s="223" t="inlineStr">
        <is>
          <t>Cost / rider</t>
        </is>
      </c>
      <c r="L13" s="223" t="inlineStr">
        <is>
          <t>Cost / bus</t>
        </is>
      </c>
      <c r="M13" s="223" t="inlineStr">
        <is>
          <t>Riders beyond seats</t>
        </is>
      </c>
      <c r="N13" s="223" t="inlineStr">
        <is>
          <t>Riders WoW</t>
        </is>
      </c>
      <c r="O13" s="223" t="inlineStr">
        <is>
          <t>Paid by</t>
        </is>
      </c>
    </row>
    <row r="14">
      <c r="B14" s="224">
        <f>CALC_TRANSPORT!$A$110</f>
        <v/>
      </c>
      <c r="D14" s="225">
        <f>IF(CALC_TRANSPORT!$B$110="","–",CALC_TRANSPORT!$B$110)</f>
        <v/>
      </c>
      <c r="E14" s="225">
        <f>IF(CALC_TRANSPORT!$C$110="","–",CALC_TRANSPORT!$C$110)</f>
        <v/>
      </c>
      <c r="F14" s="226">
        <f>IF(CALC_TRANSPORT!$D$110="","–",CALC_TRANSPORT!$D$110)</f>
        <v/>
      </c>
      <c r="G14" s="225">
        <f>IF(CALC_TRANSPORT!$E$110="","–",CALC_TRANSPORT!$E$110)</f>
        <v/>
      </c>
      <c r="H14" s="225">
        <f>IF(CALC_TRANSPORT!$F$110="","–",CALC_TRANSPORT!$F$110)</f>
        <v/>
      </c>
      <c r="I14" s="226">
        <f>IF(CALC_TRANSPORT!$H$110="","–",CALC_TRANSPORT!$H$110)</f>
        <v/>
      </c>
      <c r="J14" s="227">
        <f>IF(CALC_TRANSPORT!$K$110="","–",CALC_TRANSPORT!$K$110)</f>
        <v/>
      </c>
      <c r="K14" s="228">
        <f>IF(CALC_TRANSPORT!$L$110="","–",CALC_TRANSPORT!$L$110)</f>
        <v/>
      </c>
      <c r="L14" s="227">
        <f>IF(CALC_TRANSPORT!$M$110="","–",CALC_TRANSPORT!$M$110)</f>
        <v/>
      </c>
      <c r="M14" s="225">
        <f>IF(CALC_TRANSPORT!$R$110="","–",CALC_TRANSPORT!$R$110)</f>
        <v/>
      </c>
      <c r="N14" s="229">
        <f>IF(CALC_TRANSPORT!$P$110="","–",CALC_TRANSPORT!$P$110)</f>
        <v/>
      </c>
      <c r="O14" s="224">
        <f>CALC_TRANSPORT!$Q$110</f>
        <v/>
      </c>
    </row>
    <row r="15">
      <c r="B15" s="224">
        <f>CALC_TRANSPORT!$A$111</f>
        <v/>
      </c>
      <c r="D15" s="225">
        <f>IF(CALC_TRANSPORT!$B$111="","–",CALC_TRANSPORT!$B$111)</f>
        <v/>
      </c>
      <c r="E15" s="225">
        <f>IF(CALC_TRANSPORT!$C$111="","–",CALC_TRANSPORT!$C$111)</f>
        <v/>
      </c>
      <c r="F15" s="226">
        <f>IF(CALC_TRANSPORT!$D$111="","–",CALC_TRANSPORT!$D$111)</f>
        <v/>
      </c>
      <c r="G15" s="225">
        <f>IF(CALC_TRANSPORT!$E$111="","–",CALC_TRANSPORT!$E$111)</f>
        <v/>
      </c>
      <c r="H15" s="225">
        <f>IF(CALC_TRANSPORT!$F$111="","–",CALC_TRANSPORT!$F$111)</f>
        <v/>
      </c>
      <c r="I15" s="226">
        <f>IF(CALC_TRANSPORT!$H$111="","–",CALC_TRANSPORT!$H$111)</f>
        <v/>
      </c>
      <c r="J15" s="227">
        <f>IF(CALC_TRANSPORT!$K$111="","–",CALC_TRANSPORT!$K$111)</f>
        <v/>
      </c>
      <c r="K15" s="228">
        <f>IF(CALC_TRANSPORT!$L$111="","–",CALC_TRANSPORT!$L$111)</f>
        <v/>
      </c>
      <c r="L15" s="227">
        <f>IF(CALC_TRANSPORT!$M$111="","–",CALC_TRANSPORT!$M$111)</f>
        <v/>
      </c>
      <c r="M15" s="225">
        <f>IF(CALC_TRANSPORT!$R$111="","–",CALC_TRANSPORT!$R$111)</f>
        <v/>
      </c>
      <c r="N15" s="229">
        <f>IF(CALC_TRANSPORT!$P$111="","–",CALC_TRANSPORT!$P$111)</f>
        <v/>
      </c>
      <c r="O15" s="224">
        <f>CALC_TRANSPORT!$Q$111</f>
        <v/>
      </c>
    </row>
    <row r="16">
      <c r="B16" s="224">
        <f>CALC_TRANSPORT!$A$112</f>
        <v/>
      </c>
      <c r="D16" s="225">
        <f>IF(CALC_TRANSPORT!$B$112="","–",CALC_TRANSPORT!$B$112)</f>
        <v/>
      </c>
      <c r="E16" s="225">
        <f>IF(CALC_TRANSPORT!$C$112="","–",CALC_TRANSPORT!$C$112)</f>
        <v/>
      </c>
      <c r="F16" s="226">
        <f>IF(CALC_TRANSPORT!$D$112="","–",CALC_TRANSPORT!$D$112)</f>
        <v/>
      </c>
      <c r="G16" s="225">
        <f>IF(CALC_TRANSPORT!$E$112="","–",CALC_TRANSPORT!$E$112)</f>
        <v/>
      </c>
      <c r="H16" s="225">
        <f>IF(CALC_TRANSPORT!$F$112="","–",CALC_TRANSPORT!$F$112)</f>
        <v/>
      </c>
      <c r="I16" s="226">
        <f>IF(CALC_TRANSPORT!$H$112="","–",CALC_TRANSPORT!$H$112)</f>
        <v/>
      </c>
      <c r="J16" s="227">
        <f>IF(CALC_TRANSPORT!$K$112="","–",CALC_TRANSPORT!$K$112)</f>
        <v/>
      </c>
      <c r="K16" s="228">
        <f>IF(CALC_TRANSPORT!$L$112="","–",CALC_TRANSPORT!$L$112)</f>
        <v/>
      </c>
      <c r="L16" s="227">
        <f>IF(CALC_TRANSPORT!$M$112="","–",CALC_TRANSPORT!$M$112)</f>
        <v/>
      </c>
      <c r="M16" s="225">
        <f>IF(CALC_TRANSPORT!$R$112="","–",CALC_TRANSPORT!$R$112)</f>
        <v/>
      </c>
      <c r="N16" s="229">
        <f>IF(CALC_TRANSPORT!$P$112="","–",CALC_TRANSPORT!$P$112)</f>
        <v/>
      </c>
      <c r="O16" s="224">
        <f>CALC_TRANSPORT!$Q$112</f>
        <v/>
      </c>
    </row>
    <row r="17">
      <c r="B17" s="224">
        <f>CALC_TRANSPORT!$A$113</f>
        <v/>
      </c>
      <c r="D17" s="225">
        <f>IF(CALC_TRANSPORT!$B$113="","–",CALC_TRANSPORT!$B$113)</f>
        <v/>
      </c>
      <c r="E17" s="225">
        <f>IF(CALC_TRANSPORT!$C$113="","–",CALC_TRANSPORT!$C$113)</f>
        <v/>
      </c>
      <c r="F17" s="226">
        <f>IF(CALC_TRANSPORT!$D$113="","–",CALC_TRANSPORT!$D$113)</f>
        <v/>
      </c>
      <c r="G17" s="225">
        <f>IF(CALC_TRANSPORT!$E$113="","–",CALC_TRANSPORT!$E$113)</f>
        <v/>
      </c>
      <c r="H17" s="225">
        <f>IF(CALC_TRANSPORT!$F$113="","–",CALC_TRANSPORT!$F$113)</f>
        <v/>
      </c>
      <c r="I17" s="226">
        <f>IF(CALC_TRANSPORT!$H$113="","–",CALC_TRANSPORT!$H$113)</f>
        <v/>
      </c>
      <c r="J17" s="227">
        <f>IF(CALC_TRANSPORT!$K$113="","–",CALC_TRANSPORT!$K$113)</f>
        <v/>
      </c>
      <c r="K17" s="228">
        <f>IF(CALC_TRANSPORT!$L$113="","–",CALC_TRANSPORT!$L$113)</f>
        <v/>
      </c>
      <c r="L17" s="227">
        <f>IF(CALC_TRANSPORT!$M$113="","–",CALC_TRANSPORT!$M$113)</f>
        <v/>
      </c>
      <c r="M17" s="225">
        <f>IF(CALC_TRANSPORT!$R$113="","–",CALC_TRANSPORT!$R$113)</f>
        <v/>
      </c>
      <c r="N17" s="229">
        <f>IF(CALC_TRANSPORT!$P$113="","–",CALC_TRANSPORT!$P$113)</f>
        <v/>
      </c>
      <c r="O17" s="224">
        <f>CALC_TRANSPORT!$Q$113</f>
        <v/>
      </c>
    </row>
    <row r="18">
      <c r="B18" s="230">
        <f>CALC_TRANSPORT!$A$114</f>
        <v/>
      </c>
      <c r="C18" s="231" t="n"/>
      <c r="D18" s="232">
        <f>IF(CALC_TRANSPORT!$B$114="","–",CALC_TRANSPORT!$B$114)</f>
        <v/>
      </c>
      <c r="E18" s="232">
        <f>IF(CALC_TRANSPORT!$C$114="","–",CALC_TRANSPORT!$C$114)</f>
        <v/>
      </c>
      <c r="F18" s="233">
        <f>IF(CALC_TRANSPORT!$D$114="","–",CALC_TRANSPORT!$D$114)</f>
        <v/>
      </c>
      <c r="G18" s="232">
        <f>IF(CALC_TRANSPORT!$E$114="","–",CALC_TRANSPORT!$E$114)</f>
        <v/>
      </c>
      <c r="H18" s="232">
        <f>IF(CALC_TRANSPORT!$F$114="","–",CALC_TRANSPORT!$F$114)</f>
        <v/>
      </c>
      <c r="I18" s="233">
        <f>IF(CALC_TRANSPORT!$H$114="","–",CALC_TRANSPORT!$H$114)</f>
        <v/>
      </c>
      <c r="J18" s="234">
        <f>IF(CALC_TRANSPORT!$K$114="","–",CALC_TRANSPORT!$K$114)</f>
        <v/>
      </c>
      <c r="K18" s="235">
        <f>IF(CALC_TRANSPORT!$L$114="","–",CALC_TRANSPORT!$L$114)</f>
        <v/>
      </c>
      <c r="L18" s="234">
        <f>IF(CALC_TRANSPORT!$M$114="","–",CALC_TRANSPORT!$M$114)</f>
        <v/>
      </c>
      <c r="M18" s="232">
        <f>IF(CALC_TRANSPORT!$R$114="","–",CALC_TRANSPORT!$R$114)</f>
        <v/>
      </c>
      <c r="N18" s="236">
        <f>IF(CALC_TRANSPORT!$P$114="","–",CALC_TRANSPORT!$P$114)</f>
        <v/>
      </c>
      <c r="O18" s="230">
        <f>CALC_TRANSPORT!$Q$114</f>
        <v/>
      </c>
    </row>
    <row r="19">
      <c r="B19" s="237" t="inlineStr">
        <is>
          <t>Hubs (TATA/EV/coasters)</t>
        </is>
      </c>
      <c r="C19" s="238" t="n"/>
      <c r="D19" s="239">
        <f>IF(CALC_TRANSPORT!$B$115="","–",CALC_TRANSPORT!$B$115)</f>
        <v/>
      </c>
      <c r="E19" s="239">
        <f>IF(CALC_TRANSPORT!$C$115="","–",CALC_TRANSPORT!$C$115)</f>
        <v/>
      </c>
      <c r="F19" s="240">
        <f>IF(CALC_TRANSPORT!$D$115="","–",CALC_TRANSPORT!$D$115)</f>
        <v/>
      </c>
      <c r="G19" s="239">
        <f>IF(CALC_TRANSPORT!$E$115="","–",CALC_TRANSPORT!$E$115)</f>
        <v/>
      </c>
      <c r="H19" s="239">
        <f>IF(CALC_TRANSPORT!$F$115="","–",CALC_TRANSPORT!$F$115)</f>
        <v/>
      </c>
      <c r="I19" s="240">
        <f>IF(CALC_TRANSPORT!$H$115="","–",CALC_TRANSPORT!$H$115)</f>
        <v/>
      </c>
      <c r="J19" s="241">
        <f>IF(CALC_TRANSPORT!$K$115="","–",CALC_TRANSPORT!$K$115)</f>
        <v/>
      </c>
      <c r="K19" s="242">
        <f>IF(CALC_TRANSPORT!$L$115="","–",CALC_TRANSPORT!$L$115)</f>
        <v/>
      </c>
      <c r="L19" s="241">
        <f>IF(CALC_TRANSPORT!$M$115="","–",CALC_TRANSPORT!$M$115)</f>
        <v/>
      </c>
      <c r="M19" s="239">
        <f>IF(CALC_TRANSPORT!$R$115="","–",CALC_TRANSPORT!$R$115)</f>
        <v/>
      </c>
      <c r="N19" s="243">
        <f>IF(CALC_TRANSPORT!$P$115="","–",CALC_TRANSPORT!$P$115)</f>
        <v/>
      </c>
      <c r="O19" s="237">
        <f>CALC_TRANSPORT!$Q$115</f>
        <v/>
      </c>
    </row>
    <row r="20">
      <c r="B20" s="244" t="inlineStr">
        <is>
          <t>Loading Bays (FT/WSF, zone coasters)</t>
        </is>
      </c>
      <c r="C20" s="238" t="n"/>
      <c r="D20" s="245">
        <f>IF(CALC_TRANSPORT!$B$116="","–",CALC_TRANSPORT!$B$116)</f>
        <v/>
      </c>
      <c r="E20" s="245">
        <f>IF(CALC_TRANSPORT!$C$116="","–",CALC_TRANSPORT!$C$116)</f>
        <v/>
      </c>
      <c r="F20" s="246">
        <f>IF(CALC_TRANSPORT!$D$116="","–",CALC_TRANSPORT!$D$116)</f>
        <v/>
      </c>
      <c r="G20" s="245">
        <f>IF(CALC_TRANSPORT!$E$116="","–",CALC_TRANSPORT!$E$116)</f>
        <v/>
      </c>
      <c r="H20" s="245">
        <f>IF(CALC_TRANSPORT!$F$116="","–",CALC_TRANSPORT!$F$116)</f>
        <v/>
      </c>
      <c r="I20" s="246">
        <f>IF(CALC_TRANSPORT!$H$116="","–",CALC_TRANSPORT!$H$116)</f>
        <v/>
      </c>
      <c r="J20" s="247">
        <f>IF(CALC_TRANSPORT!$K$116="","–",CALC_TRANSPORT!$K$116)</f>
        <v/>
      </c>
      <c r="K20" s="248">
        <f>IF(CALC_TRANSPORT!$L$116="","–",CALC_TRANSPORT!$L$116)</f>
        <v/>
      </c>
      <c r="L20" s="247">
        <f>IF(CALC_TRANSPORT!$M$116="","–",CALC_TRANSPORT!$M$116)</f>
        <v/>
      </c>
      <c r="M20" s="245">
        <f>IF(CALC_TRANSPORT!$R$116="","–",CALC_TRANSPORT!$R$116)</f>
        <v/>
      </c>
      <c r="N20" s="249">
        <f>IF(CALC_TRANSPORT!$P$116="","–",CALC_TRANSPORT!$P$116)</f>
        <v/>
      </c>
      <c r="O20" s="244">
        <f>CALC_TRANSPORT!$Q$116</f>
        <v/>
      </c>
    </row>
    <row r="22" ht="22" customHeight="1">
      <c r="B22" s="220" t="inlineStr">
        <is>
          <t>Time analysis — selected week against previous week, the N-week average and period-to-date</t>
        </is>
      </c>
      <c r="C22" s="221" t="n"/>
      <c r="D22" s="221" t="n"/>
      <c r="E22" s="221" t="n"/>
      <c r="F22" s="221" t="n"/>
      <c r="G22" s="221" t="n"/>
      <c r="H22" s="221" t="n"/>
      <c r="I22" s="221" t="n"/>
      <c r="J22" s="221" t="n"/>
      <c r="K22" s="221" t="n"/>
      <c r="L22" s="221" t="n"/>
      <c r="M22" s="221" t="n"/>
      <c r="N22" s="221" t="n"/>
      <c r="O22" s="221" t="n"/>
    </row>
    <row r="23" ht="28" customHeight="1">
      <c r="B23" s="250" t="inlineStr">
        <is>
          <t>KPI</t>
        </is>
      </c>
      <c r="C23" s="20" t="n"/>
      <c r="D23" s="223" t="inlineStr">
        <is>
          <t>Selected week</t>
        </is>
      </c>
      <c r="E23" s="223" t="inlineStr">
        <is>
          <t>Previous week</t>
        </is>
      </c>
      <c r="F23" s="223" t="inlineStr">
        <is>
          <t>Change</t>
        </is>
      </c>
      <c r="G23" s="223" t="inlineStr">
        <is>
          <t>% change</t>
        </is>
      </c>
      <c r="H23" s="223">
        <f>"Avg last "&amp;CALC_TRANSPORT!$B$11&amp;" wks"</f>
        <v/>
      </c>
      <c r="I23" s="223">
        <f>"vs "&amp;CALC_TRANSPORT!$B$11&amp;"-wk avg"</f>
        <v/>
      </c>
      <c r="J23" s="223" t="inlineStr">
        <is>
          <t>MTD total</t>
        </is>
      </c>
      <c r="K23" s="223" t="inlineStr">
        <is>
          <t>QTD total</t>
        </is>
      </c>
      <c r="L23" s="223" t="inlineStr">
        <is>
          <t>YTD total</t>
        </is>
      </c>
      <c r="M23" s="223" t="inlineStr">
        <is>
          <t>Wkly avg (month)</t>
        </is>
      </c>
      <c r="N23" s="223" t="inlineStr">
        <is>
          <t>Wkly avg (qtr)</t>
        </is>
      </c>
      <c r="O23" s="223" t="inlineStr">
        <is>
          <t>Wkly avg (year)</t>
        </is>
      </c>
    </row>
    <row r="24">
      <c r="B24" s="251" t="inlineStr">
        <is>
          <t>Riders carried</t>
        </is>
      </c>
      <c r="C24" s="252" t="n"/>
      <c r="D24" s="253">
        <f>IF(CALC_TRANSPORT!$B$90="","–",CALC_TRANSPORT!$B$90)</f>
        <v/>
      </c>
      <c r="E24" s="254">
        <f>IF(CALC_TRANSPORT!$C$90="","–",CALC_TRANSPORT!$C$90)</f>
        <v/>
      </c>
      <c r="F24" s="255">
        <f>IF(CALC_TRANSPORT!$D$90="","–",CALC_TRANSPORT!$D$90)</f>
        <v/>
      </c>
      <c r="G24" s="256">
        <f>IF(CALC_TRANSPORT!$E$90="","–",CALC_TRANSPORT!$E$90)</f>
        <v/>
      </c>
      <c r="H24" s="254">
        <f>IF(CALC_TRANSPORT!$F$90="","–",CALC_TRANSPORT!$F$90)</f>
        <v/>
      </c>
      <c r="I24" s="256">
        <f>IF(CALC_TRANSPORT!$G$90="","–",CALC_TRANSPORT!$G$90)</f>
        <v/>
      </c>
      <c r="J24" s="254">
        <f>IF(CALC_TRANSPORT!$H$90="","–",CALC_TRANSPORT!$H$90)</f>
        <v/>
      </c>
      <c r="K24" s="254">
        <f>IF(CALC_TRANSPORT!$I$90="","–",CALC_TRANSPORT!$I$90)</f>
        <v/>
      </c>
      <c r="L24" s="254">
        <f>IF(CALC_TRANSPORT!$J$90="","–",CALC_TRANSPORT!$J$90)</f>
        <v/>
      </c>
      <c r="M24" s="254">
        <f>IF(CALC_TRANSPORT!$K$90="","–",CALC_TRANSPORT!$K$90)</f>
        <v/>
      </c>
      <c r="N24" s="254">
        <f>IF(CALC_TRANSPORT!$L$90="","–",CALC_TRANSPORT!$L$90)</f>
        <v/>
      </c>
      <c r="O24" s="254">
        <f>IF(CALC_TRANSPORT!$M$90="","–",CALC_TRANSPORT!$M$90)</f>
        <v/>
      </c>
    </row>
    <row r="25">
      <c r="B25" s="66" t="inlineStr">
        <is>
          <t>Buses that ran</t>
        </is>
      </c>
      <c r="D25" s="67">
        <f>IF(CALC_TRANSPORT!$B$91="","–",CALC_TRANSPORT!$B$91)</f>
        <v/>
      </c>
      <c r="E25" s="68">
        <f>IF(CALC_TRANSPORT!$C$91="","–",CALC_TRANSPORT!$C$91)</f>
        <v/>
      </c>
      <c r="F25" s="69">
        <f>IF(CALC_TRANSPORT!$D$91="","–",CALC_TRANSPORT!$D$91)</f>
        <v/>
      </c>
      <c r="G25" s="70">
        <f>IF(CALC_TRANSPORT!$E$91="","–",CALC_TRANSPORT!$E$91)</f>
        <v/>
      </c>
      <c r="H25" s="68">
        <f>IF(CALC_TRANSPORT!$F$91="","–",CALC_TRANSPORT!$F$91)</f>
        <v/>
      </c>
      <c r="I25" s="70">
        <f>IF(CALC_TRANSPORT!$G$91="","–",CALC_TRANSPORT!$G$91)</f>
        <v/>
      </c>
      <c r="J25" s="68">
        <f>IF(CALC_TRANSPORT!$H$91="","–",CALC_TRANSPORT!$H$91)</f>
        <v/>
      </c>
      <c r="K25" s="68">
        <f>IF(CALC_TRANSPORT!$I$91="","–",CALC_TRANSPORT!$I$91)</f>
        <v/>
      </c>
      <c r="L25" s="68">
        <f>IF(CALC_TRANSPORT!$J$91="","–",CALC_TRANSPORT!$J$91)</f>
        <v/>
      </c>
      <c r="M25" s="68">
        <f>IF(CALC_TRANSPORT!$K$91="","–",CALC_TRANSPORT!$K$91)</f>
        <v/>
      </c>
      <c r="N25" s="68">
        <f>IF(CALC_TRANSPORT!$L$91="","–",CALC_TRANSPORT!$L$91)</f>
        <v/>
      </c>
      <c r="O25" s="68">
        <f>IF(CALC_TRANSPORT!$M$91="","–",CALC_TRANSPORT!$M$91)</f>
        <v/>
      </c>
    </row>
    <row r="26">
      <c r="B26" s="257" t="inlineStr">
        <is>
          <t>Buses listed in reports</t>
        </is>
      </c>
      <c r="C26" s="252" t="n"/>
      <c r="D26" s="253">
        <f>IF(CALC_TRANSPORT!$B$92="","–",CALC_TRANSPORT!$B$92)</f>
        <v/>
      </c>
      <c r="E26" s="254">
        <f>IF(CALC_TRANSPORT!$C$92="","–",CALC_TRANSPORT!$C$92)</f>
        <v/>
      </c>
      <c r="F26" s="255">
        <f>IF(CALC_TRANSPORT!$D$92="","–",CALC_TRANSPORT!$D$92)</f>
        <v/>
      </c>
      <c r="G26" s="256">
        <f>IF(CALC_TRANSPORT!$E$92="","–",CALC_TRANSPORT!$E$92)</f>
        <v/>
      </c>
      <c r="H26" s="254">
        <f>IF(CALC_TRANSPORT!$F$92="","–",CALC_TRANSPORT!$F$92)</f>
        <v/>
      </c>
      <c r="I26" s="256">
        <f>IF(CALC_TRANSPORT!$G$92="","–",CALC_TRANSPORT!$G$92)</f>
        <v/>
      </c>
      <c r="J26" s="254">
        <f>IF(CALC_TRANSPORT!$H$92="","–",CALC_TRANSPORT!$H$92)</f>
        <v/>
      </c>
      <c r="K26" s="254">
        <f>IF(CALC_TRANSPORT!$I$92="","–",CALC_TRANSPORT!$I$92)</f>
        <v/>
      </c>
      <c r="L26" s="254">
        <f>IF(CALC_TRANSPORT!$J$92="","–",CALC_TRANSPORT!$J$92)</f>
        <v/>
      </c>
      <c r="M26" s="254">
        <f>IF(CALC_TRANSPORT!$K$92="","–",CALC_TRANSPORT!$K$92)</f>
        <v/>
      </c>
      <c r="N26" s="254">
        <f>IF(CALC_TRANSPORT!$L$92="","–",CALC_TRANSPORT!$L$92)</f>
        <v/>
      </c>
      <c r="O26" s="254">
        <f>IF(CALC_TRANSPORT!$M$92="","–",CALC_TRANSPORT!$M$92)</f>
        <v/>
      </c>
    </row>
    <row r="27">
      <c r="B27" s="66" t="inlineStr">
        <is>
          <t>% buses that ran</t>
        </is>
      </c>
      <c r="D27" s="191">
        <f>IF(CALC_TRANSPORT!$B$93="","–",CALC_TRANSPORT!$B$93)</f>
        <v/>
      </c>
      <c r="E27" s="192">
        <f>IF(CALC_TRANSPORT!$C$93="","–",CALC_TRANSPORT!$C$93)</f>
        <v/>
      </c>
      <c r="F27" s="193">
        <f>IF(CALC_TRANSPORT!$D$93="","–",CALC_TRANSPORT!$D$93*100)</f>
        <v/>
      </c>
      <c r="G27" s="70">
        <f>IF(CALC_TRANSPORT!$E$93="","–",CALC_TRANSPORT!$E$93)</f>
        <v/>
      </c>
      <c r="H27" s="192">
        <f>IF(CALC_TRANSPORT!$F$93="","–",CALC_TRANSPORT!$F$93)</f>
        <v/>
      </c>
      <c r="I27" s="70">
        <f>IF(CALC_TRANSPORT!$G$93="","–",CALC_TRANSPORT!$G$93)</f>
        <v/>
      </c>
      <c r="J27" s="192">
        <f>IF(CALC_TRANSPORT!$H$93="","–",CALC_TRANSPORT!$H$93)</f>
        <v/>
      </c>
      <c r="K27" s="192">
        <f>IF(CALC_TRANSPORT!$I$93="","–",CALC_TRANSPORT!$I$93)</f>
        <v/>
      </c>
      <c r="L27" s="192">
        <f>IF(CALC_TRANSPORT!$J$93="","–",CALC_TRANSPORT!$J$93)</f>
        <v/>
      </c>
      <c r="M27" s="192">
        <f>IF(CALC_TRANSPORT!$K$93="","–",CALC_TRANSPORT!$K$93)</f>
        <v/>
      </c>
      <c r="N27" s="192">
        <f>IF(CALC_TRANSPORT!$L$93="","–",CALC_TRANSPORT!$L$93)</f>
        <v/>
      </c>
      <c r="O27" s="192">
        <f>IF(CALC_TRANSPORT!$M$93="","–",CALC_TRANSPORT!$M$93)</f>
        <v/>
      </c>
    </row>
    <row r="28">
      <c r="B28" s="257" t="inlineStr">
        <is>
          <t>Seats offered</t>
        </is>
      </c>
      <c r="C28" s="252" t="n"/>
      <c r="D28" s="253">
        <f>IF(CALC_TRANSPORT!$B$94="","–",CALC_TRANSPORT!$B$94)</f>
        <v/>
      </c>
      <c r="E28" s="254">
        <f>IF(CALC_TRANSPORT!$C$94="","–",CALC_TRANSPORT!$C$94)</f>
        <v/>
      </c>
      <c r="F28" s="255">
        <f>IF(CALC_TRANSPORT!$D$94="","–",CALC_TRANSPORT!$D$94)</f>
        <v/>
      </c>
      <c r="G28" s="256">
        <f>IF(CALC_TRANSPORT!$E$94="","–",CALC_TRANSPORT!$E$94)</f>
        <v/>
      </c>
      <c r="H28" s="254">
        <f>IF(CALC_TRANSPORT!$F$94="","–",CALC_TRANSPORT!$F$94)</f>
        <v/>
      </c>
      <c r="I28" s="256">
        <f>IF(CALC_TRANSPORT!$G$94="","–",CALC_TRANSPORT!$G$94)</f>
        <v/>
      </c>
      <c r="J28" s="254">
        <f>IF(CALC_TRANSPORT!$H$94="","–",CALC_TRANSPORT!$H$94)</f>
        <v/>
      </c>
      <c r="K28" s="254">
        <f>IF(CALC_TRANSPORT!$I$94="","–",CALC_TRANSPORT!$I$94)</f>
        <v/>
      </c>
      <c r="L28" s="254">
        <f>IF(CALC_TRANSPORT!$J$94="","–",CALC_TRANSPORT!$J$94)</f>
        <v/>
      </c>
      <c r="M28" s="254">
        <f>IF(CALC_TRANSPORT!$K$94="","–",CALC_TRANSPORT!$K$94)</f>
        <v/>
      </c>
      <c r="N28" s="254">
        <f>IF(CALC_TRANSPORT!$L$94="","–",CALC_TRANSPORT!$L$94)</f>
        <v/>
      </c>
      <c r="O28" s="254">
        <f>IF(CALC_TRANSPORT!$M$94="","–",CALC_TRANSPORT!$M$94)</f>
        <v/>
      </c>
    </row>
    <row r="29">
      <c r="B29" s="190" t="inlineStr">
        <is>
          <t>Seat utilisation %</t>
        </is>
      </c>
      <c r="D29" s="191">
        <f>IF(CALC_TRANSPORT!$B$95="","–",CALC_TRANSPORT!$B$95)</f>
        <v/>
      </c>
      <c r="E29" s="192">
        <f>IF(CALC_TRANSPORT!$C$95="","–",CALC_TRANSPORT!$C$95)</f>
        <v/>
      </c>
      <c r="F29" s="193">
        <f>IF(CALC_TRANSPORT!$D$95="","–",CALC_TRANSPORT!$D$95*100)</f>
        <v/>
      </c>
      <c r="G29" s="70">
        <f>IF(CALC_TRANSPORT!$E$95="","–",CALC_TRANSPORT!$E$95)</f>
        <v/>
      </c>
      <c r="H29" s="192">
        <f>IF(CALC_TRANSPORT!$F$95="","–",CALC_TRANSPORT!$F$95)</f>
        <v/>
      </c>
      <c r="I29" s="70">
        <f>IF(CALC_TRANSPORT!$G$95="","–",CALC_TRANSPORT!$G$95)</f>
        <v/>
      </c>
      <c r="J29" s="192">
        <f>IF(CALC_TRANSPORT!$H$95="","–",CALC_TRANSPORT!$H$95)</f>
        <v/>
      </c>
      <c r="K29" s="192">
        <f>IF(CALC_TRANSPORT!$I$95="","–",CALC_TRANSPORT!$I$95)</f>
        <v/>
      </c>
      <c r="L29" s="192">
        <f>IF(CALC_TRANSPORT!$J$95="","–",CALC_TRANSPORT!$J$95)</f>
        <v/>
      </c>
      <c r="M29" s="192">
        <f>IF(CALC_TRANSPORT!$K$95="","–",CALC_TRANSPORT!$K$95)</f>
        <v/>
      </c>
      <c r="N29" s="192">
        <f>IF(CALC_TRANSPORT!$L$95="","–",CALC_TRANSPORT!$L$95)</f>
        <v/>
      </c>
      <c r="O29" s="192">
        <f>IF(CALC_TRANSPORT!$M$95="","–",CALC_TRANSPORT!$M$95)</f>
        <v/>
      </c>
    </row>
    <row r="30">
      <c r="B30" s="257" t="inlineStr">
        <is>
          <t>Riders beyond seats (unmet demand)</t>
        </is>
      </c>
      <c r="C30" s="252" t="n"/>
      <c r="D30" s="253">
        <f>IF(CALC_TRANSPORT!$B$96="","–",CALC_TRANSPORT!$B$96)</f>
        <v/>
      </c>
      <c r="E30" s="254">
        <f>IF(CALC_TRANSPORT!$C$96="","–",CALC_TRANSPORT!$C$96)</f>
        <v/>
      </c>
      <c r="F30" s="255">
        <f>IF(CALC_TRANSPORT!$D$96="","–",CALC_TRANSPORT!$D$96)</f>
        <v/>
      </c>
      <c r="G30" s="256">
        <f>IF(CALC_TRANSPORT!$E$96="","–",CALC_TRANSPORT!$E$96)</f>
        <v/>
      </c>
      <c r="H30" s="254">
        <f>IF(CALC_TRANSPORT!$F$96="","–",CALC_TRANSPORT!$F$96)</f>
        <v/>
      </c>
      <c r="I30" s="256">
        <f>IF(CALC_TRANSPORT!$G$96="","–",CALC_TRANSPORT!$G$96)</f>
        <v/>
      </c>
      <c r="J30" s="254">
        <f>IF(CALC_TRANSPORT!$H$96="","–",CALC_TRANSPORT!$H$96)</f>
        <v/>
      </c>
      <c r="K30" s="254">
        <f>IF(CALC_TRANSPORT!$I$96="","–",CALC_TRANSPORT!$I$96)</f>
        <v/>
      </c>
      <c r="L30" s="254">
        <f>IF(CALC_TRANSPORT!$J$96="","–",CALC_TRANSPORT!$J$96)</f>
        <v/>
      </c>
      <c r="M30" s="254">
        <f>IF(CALC_TRANSPORT!$K$96="","–",CALC_TRANSPORT!$K$96)</f>
        <v/>
      </c>
      <c r="N30" s="254">
        <f>IF(CALC_TRANSPORT!$L$96="","–",CALC_TRANSPORT!$L$96)</f>
        <v/>
      </c>
      <c r="O30" s="254">
        <f>IF(CALC_TRANSPORT!$M$96="","–",CALC_TRANSPORT!$M$96)</f>
        <v/>
      </c>
    </row>
    <row r="31">
      <c r="B31" s="190" t="inlineStr">
        <is>
          <t>Total spend</t>
        </is>
      </c>
      <c r="D31" s="258">
        <f>IF(CALC_TRANSPORT!$B$97="","–",CALC_TRANSPORT!$B$97)</f>
        <v/>
      </c>
      <c r="E31" s="259">
        <f>IF(CALC_TRANSPORT!$C$97="","–",CALC_TRANSPORT!$C$97)</f>
        <v/>
      </c>
      <c r="F31" s="260">
        <f>IF(CALC_TRANSPORT!$D$97="","–",CALC_TRANSPORT!$D$97)</f>
        <v/>
      </c>
      <c r="G31" s="70">
        <f>IF(CALC_TRANSPORT!$E$97="","–",CALC_TRANSPORT!$E$97)</f>
        <v/>
      </c>
      <c r="H31" s="259">
        <f>IF(CALC_TRANSPORT!$F$97="","–",CALC_TRANSPORT!$F$97)</f>
        <v/>
      </c>
      <c r="I31" s="70">
        <f>IF(CALC_TRANSPORT!$G$97="","–",CALC_TRANSPORT!$G$97)</f>
        <v/>
      </c>
      <c r="J31" s="259">
        <f>IF(CALC_TRANSPORT!$H$97="","–",CALC_TRANSPORT!$H$97)</f>
        <v/>
      </c>
      <c r="K31" s="259">
        <f>IF(CALC_TRANSPORT!$I$97="","–",CALC_TRANSPORT!$I$97)</f>
        <v/>
      </c>
      <c r="L31" s="259">
        <f>IF(CALC_TRANSPORT!$J$97="","–",CALC_TRANSPORT!$J$97)</f>
        <v/>
      </c>
      <c r="M31" s="259">
        <f>IF(CALC_TRANSPORT!$K$97="","–",CALC_TRANSPORT!$K$97)</f>
        <v/>
      </c>
      <c r="N31" s="259">
        <f>IF(CALC_TRANSPORT!$L$97="","–",CALC_TRANSPORT!$L$97)</f>
        <v/>
      </c>
      <c r="O31" s="259">
        <f>IF(CALC_TRANSPORT!$M$97="","–",CALC_TRANSPORT!$M$97)</f>
        <v/>
      </c>
    </row>
    <row r="32">
      <c r="B32" s="257" t="inlineStr">
        <is>
          <t>Central spend (FT hire + coaster fuel)</t>
        </is>
      </c>
      <c r="C32" s="252" t="n"/>
      <c r="D32" s="261">
        <f>IF(CALC_TRANSPORT!$B$98="","–",CALC_TRANSPORT!$B$98)</f>
        <v/>
      </c>
      <c r="E32" s="262">
        <f>IF(CALC_TRANSPORT!$C$98="","–",CALC_TRANSPORT!$C$98)</f>
        <v/>
      </c>
      <c r="F32" s="263">
        <f>IF(CALC_TRANSPORT!$D$98="","–",CALC_TRANSPORT!$D$98)</f>
        <v/>
      </c>
      <c r="G32" s="256">
        <f>IF(CALC_TRANSPORT!$E$98="","–",CALC_TRANSPORT!$E$98)</f>
        <v/>
      </c>
      <c r="H32" s="262">
        <f>IF(CALC_TRANSPORT!$F$98="","–",CALC_TRANSPORT!$F$98)</f>
        <v/>
      </c>
      <c r="I32" s="256">
        <f>IF(CALC_TRANSPORT!$G$98="","–",CALC_TRANSPORT!$G$98)</f>
        <v/>
      </c>
      <c r="J32" s="262">
        <f>IF(CALC_TRANSPORT!$H$98="","–",CALC_TRANSPORT!$H$98)</f>
        <v/>
      </c>
      <c r="K32" s="262">
        <f>IF(CALC_TRANSPORT!$I$98="","–",CALC_TRANSPORT!$I$98)</f>
        <v/>
      </c>
      <c r="L32" s="262">
        <f>IF(CALC_TRANSPORT!$J$98="","–",CALC_TRANSPORT!$J$98)</f>
        <v/>
      </c>
      <c r="M32" s="262">
        <f>IF(CALC_TRANSPORT!$K$98="","–",CALC_TRANSPORT!$K$98)</f>
        <v/>
      </c>
      <c r="N32" s="262">
        <f>IF(CALC_TRANSPORT!$L$98="","–",CALC_TRANSPORT!$L$98)</f>
        <v/>
      </c>
      <c r="O32" s="262">
        <f>IF(CALC_TRANSPORT!$M$98="","–",CALC_TRANSPORT!$M$98)</f>
        <v/>
      </c>
    </row>
    <row r="33">
      <c r="B33" s="66" t="inlineStr">
        <is>
          <t>Member-paid (WSF Procured)</t>
        </is>
      </c>
      <c r="D33" s="258">
        <f>IF(CALC_TRANSPORT!$B$99="","–",CALC_TRANSPORT!$B$99)</f>
        <v/>
      </c>
      <c r="E33" s="259">
        <f>IF(CALC_TRANSPORT!$C$99="","–",CALC_TRANSPORT!$C$99)</f>
        <v/>
      </c>
      <c r="F33" s="260">
        <f>IF(CALC_TRANSPORT!$D$99="","–",CALC_TRANSPORT!$D$99)</f>
        <v/>
      </c>
      <c r="G33" s="70">
        <f>IF(CALC_TRANSPORT!$E$99="","–",CALC_TRANSPORT!$E$99)</f>
        <v/>
      </c>
      <c r="H33" s="259">
        <f>IF(CALC_TRANSPORT!$F$99="","–",CALC_TRANSPORT!$F$99)</f>
        <v/>
      </c>
      <c r="I33" s="70">
        <f>IF(CALC_TRANSPORT!$G$99="","–",CALC_TRANSPORT!$G$99)</f>
        <v/>
      </c>
      <c r="J33" s="259">
        <f>IF(CALC_TRANSPORT!$H$99="","–",CALC_TRANSPORT!$H$99)</f>
        <v/>
      </c>
      <c r="K33" s="259">
        <f>IF(CALC_TRANSPORT!$I$99="","–",CALC_TRANSPORT!$I$99)</f>
        <v/>
      </c>
      <c r="L33" s="259">
        <f>IF(CALC_TRANSPORT!$J$99="","–",CALC_TRANSPORT!$J$99)</f>
        <v/>
      </c>
      <c r="M33" s="259">
        <f>IF(CALC_TRANSPORT!$K$99="","–",CALC_TRANSPORT!$K$99)</f>
        <v/>
      </c>
      <c r="N33" s="259">
        <f>IF(CALC_TRANSPORT!$L$99="","–",CALC_TRANSPORT!$L$99)</f>
        <v/>
      </c>
      <c r="O33" s="259">
        <f>IF(CALC_TRANSPORT!$M$99="","–",CALC_TRANSPORT!$M$99)</f>
        <v/>
      </c>
    </row>
    <row r="34">
      <c r="B34" s="257" t="inlineStr">
        <is>
          <t>Coaster fuel paid (hubs)</t>
        </is>
      </c>
      <c r="C34" s="252" t="n"/>
      <c r="D34" s="261">
        <f>IF(CALC_TRANSPORT!$B$100="","–",CALC_TRANSPORT!$B$100)</f>
        <v/>
      </c>
      <c r="E34" s="262">
        <f>IF(CALC_TRANSPORT!$C$100="","–",CALC_TRANSPORT!$C$100)</f>
        <v/>
      </c>
      <c r="F34" s="263">
        <f>IF(CALC_TRANSPORT!$D$100="","–",CALC_TRANSPORT!$D$100)</f>
        <v/>
      </c>
      <c r="G34" s="256">
        <f>IF(CALC_TRANSPORT!$E$100="","–",CALC_TRANSPORT!$E$100)</f>
        <v/>
      </c>
      <c r="H34" s="262">
        <f>IF(CALC_TRANSPORT!$F$100="","–",CALC_TRANSPORT!$F$100)</f>
        <v/>
      </c>
      <c r="I34" s="256">
        <f>IF(CALC_TRANSPORT!$G$100="","–",CALC_TRANSPORT!$G$100)</f>
        <v/>
      </c>
      <c r="J34" s="262">
        <f>IF(CALC_TRANSPORT!$H$100="","–",CALC_TRANSPORT!$H$100)</f>
        <v/>
      </c>
      <c r="K34" s="262">
        <f>IF(CALC_TRANSPORT!$I$100="","–",CALC_TRANSPORT!$I$100)</f>
        <v/>
      </c>
      <c r="L34" s="262">
        <f>IF(CALC_TRANSPORT!$J$100="","–",CALC_TRANSPORT!$J$100)</f>
        <v/>
      </c>
      <c r="M34" s="262">
        <f>IF(CALC_TRANSPORT!$K$100="","–",CALC_TRANSPORT!$K$100)</f>
        <v/>
      </c>
      <c r="N34" s="262">
        <f>IF(CALC_TRANSPORT!$L$100="","–",CALC_TRANSPORT!$L$100)</f>
        <v/>
      </c>
      <c r="O34" s="262">
        <f>IF(CALC_TRANSPORT!$M$100="","–",CALC_TRANSPORT!$M$100)</f>
        <v/>
      </c>
    </row>
    <row r="35">
      <c r="B35" s="190" t="inlineStr">
        <is>
          <t>Cost per rider</t>
        </is>
      </c>
      <c r="D35" s="264">
        <f>IF(CALC_TRANSPORT!$B$101="","–",CALC_TRANSPORT!$B$101)</f>
        <v/>
      </c>
      <c r="E35" s="265">
        <f>IF(CALC_TRANSPORT!$C$101="","–",CALC_TRANSPORT!$C$101)</f>
        <v/>
      </c>
      <c r="F35" s="266">
        <f>IF(CALC_TRANSPORT!$D$101="","–",CALC_TRANSPORT!$D$101)</f>
        <v/>
      </c>
      <c r="G35" s="70">
        <f>IF(CALC_TRANSPORT!$E$101="","–",CALC_TRANSPORT!$E$101)</f>
        <v/>
      </c>
      <c r="H35" s="265">
        <f>IF(CALC_TRANSPORT!$F$101="","–",CALC_TRANSPORT!$F$101)</f>
        <v/>
      </c>
      <c r="I35" s="70">
        <f>IF(CALC_TRANSPORT!$G$101="","–",CALC_TRANSPORT!$G$101)</f>
        <v/>
      </c>
      <c r="J35" s="265">
        <f>IF(CALC_TRANSPORT!$H$101="","–",CALC_TRANSPORT!$H$101)</f>
        <v/>
      </c>
      <c r="K35" s="265">
        <f>IF(CALC_TRANSPORT!$I$101="","–",CALC_TRANSPORT!$I$101)</f>
        <v/>
      </c>
      <c r="L35" s="265">
        <f>IF(CALC_TRANSPORT!$J$101="","–",CALC_TRANSPORT!$J$101)</f>
        <v/>
      </c>
      <c r="M35" s="265">
        <f>IF(CALC_TRANSPORT!$K$101="","–",CALC_TRANSPORT!$K$101)</f>
        <v/>
      </c>
      <c r="N35" s="265">
        <f>IF(CALC_TRANSPORT!$L$101="","–",CALC_TRANSPORT!$L$101)</f>
        <v/>
      </c>
      <c r="O35" s="265">
        <f>IF(CALC_TRANSPORT!$M$101="","–",CALC_TRANSPORT!$M$101)</f>
        <v/>
      </c>
    </row>
    <row r="36">
      <c r="B36" s="257" t="inlineStr">
        <is>
          <t>Cost per bus that ran</t>
        </is>
      </c>
      <c r="C36" s="252" t="n"/>
      <c r="D36" s="261">
        <f>IF(CALC_TRANSPORT!$B$102="","–",CALC_TRANSPORT!$B$102)</f>
        <v/>
      </c>
      <c r="E36" s="262">
        <f>IF(CALC_TRANSPORT!$C$102="","–",CALC_TRANSPORT!$C$102)</f>
        <v/>
      </c>
      <c r="F36" s="263">
        <f>IF(CALC_TRANSPORT!$D$102="","–",CALC_TRANSPORT!$D$102)</f>
        <v/>
      </c>
      <c r="G36" s="256">
        <f>IF(CALC_TRANSPORT!$E$102="","–",CALC_TRANSPORT!$E$102)</f>
        <v/>
      </c>
      <c r="H36" s="262">
        <f>IF(CALC_TRANSPORT!$F$102="","–",CALC_TRANSPORT!$F$102)</f>
        <v/>
      </c>
      <c r="I36" s="256">
        <f>IF(CALC_TRANSPORT!$G$102="","–",CALC_TRANSPORT!$G$102)</f>
        <v/>
      </c>
      <c r="J36" s="262">
        <f>IF(CALC_TRANSPORT!$H$102="","–",CALC_TRANSPORT!$H$102)</f>
        <v/>
      </c>
      <c r="K36" s="262">
        <f>IF(CALC_TRANSPORT!$I$102="","–",CALC_TRANSPORT!$I$102)</f>
        <v/>
      </c>
      <c r="L36" s="262">
        <f>IF(CALC_TRANSPORT!$J$102="","–",CALC_TRANSPORT!$J$102)</f>
        <v/>
      </c>
      <c r="M36" s="262">
        <f>IF(CALC_TRANSPORT!$K$102="","–",CALC_TRANSPORT!$K$102)</f>
        <v/>
      </c>
      <c r="N36" s="262">
        <f>IF(CALC_TRANSPORT!$L$102="","–",CALC_TRANSPORT!$L$102)</f>
        <v/>
      </c>
      <c r="O36" s="262">
        <f>IF(CALC_TRANSPORT!$M$102="","–",CALC_TRANSPORT!$M$102)</f>
        <v/>
      </c>
    </row>
    <row r="37">
      <c r="B37" s="66" t="inlineStr">
        <is>
          <t>Cost per seat offered</t>
        </is>
      </c>
      <c r="D37" s="264">
        <f>IF(CALC_TRANSPORT!$B$103="","–",CALC_TRANSPORT!$B$103)</f>
        <v/>
      </c>
      <c r="E37" s="265">
        <f>IF(CALC_TRANSPORT!$C$103="","–",CALC_TRANSPORT!$C$103)</f>
        <v/>
      </c>
      <c r="F37" s="266">
        <f>IF(CALC_TRANSPORT!$D$103="","–",CALC_TRANSPORT!$D$103)</f>
        <v/>
      </c>
      <c r="G37" s="70">
        <f>IF(CALC_TRANSPORT!$E$103="","–",CALC_TRANSPORT!$E$103)</f>
        <v/>
      </c>
      <c r="H37" s="265">
        <f>IF(CALC_TRANSPORT!$F$103="","–",CALC_TRANSPORT!$F$103)</f>
        <v/>
      </c>
      <c r="I37" s="70">
        <f>IF(CALC_TRANSPORT!$G$103="","–",CALC_TRANSPORT!$G$103)</f>
        <v/>
      </c>
      <c r="J37" s="265">
        <f>IF(CALC_TRANSPORT!$H$103="","–",CALC_TRANSPORT!$H$103)</f>
        <v/>
      </c>
      <c r="K37" s="265">
        <f>IF(CALC_TRANSPORT!$I$103="","–",CALC_TRANSPORT!$I$103)</f>
        <v/>
      </c>
      <c r="L37" s="265">
        <f>IF(CALC_TRANSPORT!$J$103="","–",CALC_TRANSPORT!$J$103)</f>
        <v/>
      </c>
      <c r="M37" s="265">
        <f>IF(CALC_TRANSPORT!$K$103="","–",CALC_TRANSPORT!$K$103)</f>
        <v/>
      </c>
      <c r="N37" s="265">
        <f>IF(CALC_TRANSPORT!$L$103="","–",CALC_TRANSPORT!$L$103)</f>
        <v/>
      </c>
      <c r="O37" s="265">
        <f>IF(CALC_TRANSPORT!$M$103="","–",CALC_TRANSPORT!$M$103)</f>
        <v/>
      </c>
    </row>
    <row r="38">
      <c r="B38" s="257" t="inlineStr">
        <is>
          <t>FT spend vs FT budget</t>
        </is>
      </c>
      <c r="C38" s="252" t="n"/>
      <c r="D38" s="267">
        <f>IF(CALC_TRANSPORT!$B$104="","–",CALC_TRANSPORT!$B$104)</f>
        <v/>
      </c>
      <c r="E38" s="268">
        <f>IF(CALC_TRANSPORT!$C$104="","–",CALC_TRANSPORT!$C$104)</f>
        <v/>
      </c>
      <c r="F38" s="269">
        <f>IF(CALC_TRANSPORT!$D$104="","–",CALC_TRANSPORT!$D$104*100)</f>
        <v/>
      </c>
      <c r="G38" s="256">
        <f>IF(CALC_TRANSPORT!$E$104="","–",CALC_TRANSPORT!$E$104)</f>
        <v/>
      </c>
      <c r="H38" s="268">
        <f>IF(CALC_TRANSPORT!$F$104="","–",CALC_TRANSPORT!$F$104)</f>
        <v/>
      </c>
      <c r="I38" s="256">
        <f>IF(CALC_TRANSPORT!$G$104="","–",CALC_TRANSPORT!$G$104)</f>
        <v/>
      </c>
      <c r="J38" s="268">
        <f>IF(CALC_TRANSPORT!$H$104="","–",CALC_TRANSPORT!$H$104)</f>
        <v/>
      </c>
      <c r="K38" s="268">
        <f>IF(CALC_TRANSPORT!$I$104="","–",CALC_TRANSPORT!$I$104)</f>
        <v/>
      </c>
      <c r="L38" s="268">
        <f>IF(CALC_TRANSPORT!$J$104="","–",CALC_TRANSPORT!$J$104)</f>
        <v/>
      </c>
      <c r="M38" s="268">
        <f>IF(CALC_TRANSPORT!$K$104="","–",CALC_TRANSPORT!$K$104)</f>
        <v/>
      </c>
      <c r="N38" s="268">
        <f>IF(CALC_TRANSPORT!$L$104="","–",CALC_TRANSPORT!$L$104)</f>
        <v/>
      </c>
      <c r="O38" s="268">
        <f>IF(CALC_TRANSPORT!$M$104="","–",CALC_TRANSPORT!$M$104)</f>
        <v/>
      </c>
    </row>
    <row r="39">
      <c r="B39" s="66" t="inlineStr">
        <is>
          <t>Breakdowns</t>
        </is>
      </c>
      <c r="D39" s="67">
        <f>IF(CALC_TRANSPORT!$B$105="","–",CALC_TRANSPORT!$B$105)</f>
        <v/>
      </c>
      <c r="E39" s="68">
        <f>IF(CALC_TRANSPORT!$C$105="","–",CALC_TRANSPORT!$C$105)</f>
        <v/>
      </c>
      <c r="F39" s="69">
        <f>IF(CALC_TRANSPORT!$D$105="","–",CALC_TRANSPORT!$D$105)</f>
        <v/>
      </c>
      <c r="G39" s="70">
        <f>IF(CALC_TRANSPORT!$E$105="","–",CALC_TRANSPORT!$E$105)</f>
        <v/>
      </c>
      <c r="H39" s="68">
        <f>IF(CALC_TRANSPORT!$F$105="","–",CALC_TRANSPORT!$F$105)</f>
        <v/>
      </c>
      <c r="I39" s="70">
        <f>IF(CALC_TRANSPORT!$G$105="","–",CALC_TRANSPORT!$G$105)</f>
        <v/>
      </c>
      <c r="J39" s="68">
        <f>IF(CALC_TRANSPORT!$H$105="","–",CALC_TRANSPORT!$H$105)</f>
        <v/>
      </c>
      <c r="K39" s="68">
        <f>IF(CALC_TRANSPORT!$I$105="","–",CALC_TRANSPORT!$I$105)</f>
        <v/>
      </c>
      <c r="L39" s="68">
        <f>IF(CALC_TRANSPORT!$J$105="","–",CALC_TRANSPORT!$J$105)</f>
        <v/>
      </c>
      <c r="M39" s="68">
        <f>IF(CALC_TRANSPORT!$K$105="","–",CALC_TRANSPORT!$K$105)</f>
        <v/>
      </c>
      <c r="N39" s="68">
        <f>IF(CALC_TRANSPORT!$L$105="","–",CALC_TRANSPORT!$L$105)</f>
        <v/>
      </c>
      <c r="O39" s="68">
        <f>IF(CALC_TRANSPORT!$M$105="","–",CALC_TRANSPORT!$M$105)</f>
        <v/>
      </c>
    </row>
    <row r="40">
      <c r="B40" s="81" t="inlineStr">
        <is>
          <t>Averages use only weeks that have data. MTD/QTD/YTD run to the selected week; ratio rows show the ratio of the period's totals.</t>
        </is>
      </c>
    </row>
    <row r="42" ht="22" customHeight="1">
      <c r="B42" s="220" t="inlineStr">
        <is>
          <t>Trends — last 13 weeks</t>
        </is>
      </c>
      <c r="C42" s="221" t="n"/>
      <c r="D42" s="221" t="n"/>
      <c r="E42" s="221" t="n"/>
      <c r="F42" s="221" t="n"/>
      <c r="G42" s="221" t="n"/>
      <c r="H42" s="221" t="n"/>
      <c r="I42" s="221" t="n"/>
      <c r="J42" s="221" t="n"/>
      <c r="K42" s="221" t="n"/>
      <c r="L42" s="221" t="n"/>
      <c r="M42" s="221" t="n"/>
      <c r="N42" s="221" t="n"/>
      <c r="O42" s="221" t="n"/>
    </row>
    <row r="59" ht="22" customHeight="1">
      <c r="B59" s="220" t="inlineStr">
        <is>
          <t>Optimisation — selected week, by Area</t>
        </is>
      </c>
      <c r="C59" s="221" t="n"/>
      <c r="D59" s="221" t="n"/>
      <c r="E59" s="221" t="n"/>
      <c r="F59" s="221" t="n"/>
      <c r="G59" s="221" t="n"/>
      <c r="H59" s="221" t="n"/>
      <c r="I59" s="221" t="n"/>
      <c r="J59" s="221" t="n"/>
      <c r="K59" s="221" t="n"/>
      <c r="L59" s="221" t="n"/>
      <c r="M59" s="221" t="n"/>
      <c r="N59" s="221" t="n"/>
      <c r="O59" s="222" t="inlineStr">
        <is>
          <t>Thresholds (UtilLow, UtilLowWeeks, ExcessShare) are on SETTINGS</t>
        </is>
      </c>
    </row>
    <row r="60" ht="20" customHeight="1">
      <c r="B60" s="223" t="inlineStr">
        <is>
          <t>Unmet demand (riders beyond seats)</t>
        </is>
      </c>
      <c r="C60" s="20" t="n"/>
      <c r="D60" s="223" t="inlineStr">
        <is>
          <t>Lowest utilisation</t>
        </is>
      </c>
      <c r="E60" s="20" t="n"/>
      <c r="F60" s="223" t="inlineStr">
        <is>
          <t>Highest cost per rider</t>
        </is>
      </c>
      <c r="G60" s="20" t="n"/>
      <c r="H60" s="223" t="inlineStr">
        <is>
          <t>FT spend over budget</t>
        </is>
      </c>
      <c r="I60" s="20" t="n"/>
      <c r="J60" s="223" t="inlineStr">
        <is>
          <t>Most riders</t>
        </is>
      </c>
      <c r="K60" s="20" t="n"/>
      <c r="L60" s="223" t="inlineStr">
        <is>
          <t>Plain-language flags</t>
        </is>
      </c>
      <c r="M60" s="20" t="n"/>
      <c r="N60" s="20" t="n"/>
      <c r="O60" s="20" t="n"/>
    </row>
    <row r="61">
      <c r="B61" s="83">
        <f>IF(CALC_TRANSPORT!$B$3="Zone",IF(0=0,"n/a at Zone scope",""),IF(CALC_TRANSPORT!$BF$3="",IF(0=0,"–",""),1&amp;". "&amp;CALC_TRANSPORT!$BF$3))</f>
        <v/>
      </c>
      <c r="C61" s="84">
        <f>IF(OR(CALC_TRANSPORT!$B$3="Zone",CALC_TRANSPORT!$BF$3=""),"",CALC_TRANSPORT!$BG$3)</f>
        <v/>
      </c>
      <c r="D61" s="83">
        <f>IF(CALC_TRANSPORT!$B$3="Zone",IF(0=0,"n/a at Zone scope",""),IF(CALC_TRANSPORT!$BH$3="",IF(0=0,"–",""),1&amp;". "&amp;CALC_TRANSPORT!$BH$3))</f>
        <v/>
      </c>
      <c r="E61" s="85">
        <f>IF(OR(CALC_TRANSPORT!$B$3="Zone",CALC_TRANSPORT!$BH$3=""),"",CALC_TRANSPORT!$BI$3)</f>
        <v/>
      </c>
      <c r="F61" s="83">
        <f>IF(CALC_TRANSPORT!$B$3="Zone",IF(0=0,"n/a at Zone scope",""),IF(CALC_TRANSPORT!$BJ$3="",IF(0=0,"–",""),1&amp;". "&amp;CALC_TRANSPORT!$BJ$3))</f>
        <v/>
      </c>
      <c r="G61" s="270">
        <f>IF(OR(CALC_TRANSPORT!$B$3="Zone",CALC_TRANSPORT!$BJ$3=""),"",CALC_TRANSPORT!$BK$3)</f>
        <v/>
      </c>
      <c r="H61" s="83">
        <f>IF(CALC_TRANSPORT!$B$3="Zone",IF(0=0,"n/a at Zone scope",""),IF(CALC_TRANSPORT!$BL$3="",IF(0=0,"–",""),1&amp;". "&amp;CALC_TRANSPORT!$BL$3))</f>
        <v/>
      </c>
      <c r="I61" s="271">
        <f>IF(OR(CALC_TRANSPORT!$B$3="Zone",CALC_TRANSPORT!$BL$3=""),"",CALC_TRANSPORT!$BM$3)</f>
        <v/>
      </c>
      <c r="J61" s="83">
        <f>IF(CALC_TRANSPORT!$B$3="Zone",IF(0=0,"n/a at Zone scope",""),IF(CALC_TRANSPORT!$BN$3="",IF(0=0,"–",""),1&amp;". "&amp;CALC_TRANSPORT!$BN$3))</f>
        <v/>
      </c>
      <c r="K61" s="84">
        <f>IF(OR(CALC_TRANSPORT!$B$3="Zone",CALC_TRANSPORT!$BN$3=""),"",CALC_TRANSPORT!$BO$3)</f>
        <v/>
      </c>
      <c r="L61" s="272">
        <f>IF(CALC_TRANSPORT!$B$3="Zone",IF(0=0,"n/a at Zone scope",""),IF(CALC_TRANSPORT!$BP$3="",IF(0=0,"No flags this week",""),"• "&amp;CALC_TRANSPORT!$BP$3))</f>
        <v/>
      </c>
    </row>
    <row r="62">
      <c r="B62" s="83">
        <f>IF(CALC_TRANSPORT!$B$3="Zone",IF(1=0,"n/a at Zone scope",""),IF(CALC_TRANSPORT!$BF$4="",IF(1=0,"–",""),2&amp;". "&amp;CALC_TRANSPORT!$BF$4))</f>
        <v/>
      </c>
      <c r="C62" s="84">
        <f>IF(OR(CALC_TRANSPORT!$B$3="Zone",CALC_TRANSPORT!$BF$4=""),"",CALC_TRANSPORT!$BG$4)</f>
        <v/>
      </c>
      <c r="D62" s="83">
        <f>IF(CALC_TRANSPORT!$B$3="Zone",IF(1=0,"n/a at Zone scope",""),IF(CALC_TRANSPORT!$BH$4="",IF(1=0,"–",""),2&amp;". "&amp;CALC_TRANSPORT!$BH$4))</f>
        <v/>
      </c>
      <c r="E62" s="85">
        <f>IF(OR(CALC_TRANSPORT!$B$3="Zone",CALC_TRANSPORT!$BH$4=""),"",CALC_TRANSPORT!$BI$4)</f>
        <v/>
      </c>
      <c r="F62" s="83">
        <f>IF(CALC_TRANSPORT!$B$3="Zone",IF(1=0,"n/a at Zone scope",""),IF(CALC_TRANSPORT!$BJ$4="",IF(1=0,"–",""),2&amp;". "&amp;CALC_TRANSPORT!$BJ$4))</f>
        <v/>
      </c>
      <c r="G62" s="270">
        <f>IF(OR(CALC_TRANSPORT!$B$3="Zone",CALC_TRANSPORT!$BJ$4=""),"",CALC_TRANSPORT!$BK$4)</f>
        <v/>
      </c>
      <c r="H62" s="83">
        <f>IF(CALC_TRANSPORT!$B$3="Zone",IF(1=0,"n/a at Zone scope",""),IF(CALC_TRANSPORT!$BL$4="",IF(1=0,"–",""),2&amp;". "&amp;CALC_TRANSPORT!$BL$4))</f>
        <v/>
      </c>
      <c r="I62" s="271">
        <f>IF(OR(CALC_TRANSPORT!$B$3="Zone",CALC_TRANSPORT!$BL$4=""),"",CALC_TRANSPORT!$BM$4)</f>
        <v/>
      </c>
      <c r="J62" s="83">
        <f>IF(CALC_TRANSPORT!$B$3="Zone",IF(1=0,"n/a at Zone scope",""),IF(CALC_TRANSPORT!$BN$4="",IF(1=0,"–",""),2&amp;". "&amp;CALC_TRANSPORT!$BN$4))</f>
        <v/>
      </c>
      <c r="K62" s="84">
        <f>IF(OR(CALC_TRANSPORT!$B$3="Zone",CALC_TRANSPORT!$BN$4=""),"",CALC_TRANSPORT!$BO$4)</f>
        <v/>
      </c>
      <c r="L62" s="272">
        <f>IF(CALC_TRANSPORT!$B$3="Zone",IF(1=0,"n/a at Zone scope",""),IF(CALC_TRANSPORT!$BP$4="",IF(1=0,"No flags this week",""),"• "&amp;CALC_TRANSPORT!$BP$4))</f>
        <v/>
      </c>
    </row>
    <row r="63">
      <c r="B63" s="83">
        <f>IF(CALC_TRANSPORT!$B$3="Zone",IF(2=0,"n/a at Zone scope",""),IF(CALC_TRANSPORT!$BF$5="",IF(2=0,"–",""),3&amp;". "&amp;CALC_TRANSPORT!$BF$5))</f>
        <v/>
      </c>
      <c r="C63" s="84">
        <f>IF(OR(CALC_TRANSPORT!$B$3="Zone",CALC_TRANSPORT!$BF$5=""),"",CALC_TRANSPORT!$BG$5)</f>
        <v/>
      </c>
      <c r="D63" s="83">
        <f>IF(CALC_TRANSPORT!$B$3="Zone",IF(2=0,"n/a at Zone scope",""),IF(CALC_TRANSPORT!$BH$5="",IF(2=0,"–",""),3&amp;". "&amp;CALC_TRANSPORT!$BH$5))</f>
        <v/>
      </c>
      <c r="E63" s="85">
        <f>IF(OR(CALC_TRANSPORT!$B$3="Zone",CALC_TRANSPORT!$BH$5=""),"",CALC_TRANSPORT!$BI$5)</f>
        <v/>
      </c>
      <c r="F63" s="83">
        <f>IF(CALC_TRANSPORT!$B$3="Zone",IF(2=0,"n/a at Zone scope",""),IF(CALC_TRANSPORT!$BJ$5="",IF(2=0,"–",""),3&amp;". "&amp;CALC_TRANSPORT!$BJ$5))</f>
        <v/>
      </c>
      <c r="G63" s="270">
        <f>IF(OR(CALC_TRANSPORT!$B$3="Zone",CALC_TRANSPORT!$BJ$5=""),"",CALC_TRANSPORT!$BK$5)</f>
        <v/>
      </c>
      <c r="H63" s="83">
        <f>IF(CALC_TRANSPORT!$B$3="Zone",IF(2=0,"n/a at Zone scope",""),IF(CALC_TRANSPORT!$BL$5="",IF(2=0,"–",""),3&amp;". "&amp;CALC_TRANSPORT!$BL$5))</f>
        <v/>
      </c>
      <c r="I63" s="271">
        <f>IF(OR(CALC_TRANSPORT!$B$3="Zone",CALC_TRANSPORT!$BL$5=""),"",CALC_TRANSPORT!$BM$5)</f>
        <v/>
      </c>
      <c r="J63" s="83">
        <f>IF(CALC_TRANSPORT!$B$3="Zone",IF(2=0,"n/a at Zone scope",""),IF(CALC_TRANSPORT!$BN$5="",IF(2=0,"–",""),3&amp;". "&amp;CALC_TRANSPORT!$BN$5))</f>
        <v/>
      </c>
      <c r="K63" s="84">
        <f>IF(OR(CALC_TRANSPORT!$B$3="Zone",CALC_TRANSPORT!$BN$5=""),"",CALC_TRANSPORT!$BO$5)</f>
        <v/>
      </c>
      <c r="L63" s="272">
        <f>IF(CALC_TRANSPORT!$B$3="Zone",IF(2=0,"n/a at Zone scope",""),IF(CALC_TRANSPORT!$BP$5="",IF(2=0,"No flags this week",""),"• "&amp;CALC_TRANSPORT!$BP$5))</f>
        <v/>
      </c>
    </row>
    <row r="64">
      <c r="B64" s="83">
        <f>IF(CALC_TRANSPORT!$B$3="Zone",IF(3=0,"n/a at Zone scope",""),IF(CALC_TRANSPORT!$BF$6="",IF(3=0,"–",""),4&amp;". "&amp;CALC_TRANSPORT!$BF$6))</f>
        <v/>
      </c>
      <c r="C64" s="84">
        <f>IF(OR(CALC_TRANSPORT!$B$3="Zone",CALC_TRANSPORT!$BF$6=""),"",CALC_TRANSPORT!$BG$6)</f>
        <v/>
      </c>
      <c r="D64" s="83">
        <f>IF(CALC_TRANSPORT!$B$3="Zone",IF(3=0,"n/a at Zone scope",""),IF(CALC_TRANSPORT!$BH$6="",IF(3=0,"–",""),4&amp;". "&amp;CALC_TRANSPORT!$BH$6))</f>
        <v/>
      </c>
      <c r="E64" s="85">
        <f>IF(OR(CALC_TRANSPORT!$B$3="Zone",CALC_TRANSPORT!$BH$6=""),"",CALC_TRANSPORT!$BI$6)</f>
        <v/>
      </c>
      <c r="F64" s="83">
        <f>IF(CALC_TRANSPORT!$B$3="Zone",IF(3=0,"n/a at Zone scope",""),IF(CALC_TRANSPORT!$BJ$6="",IF(3=0,"–",""),4&amp;". "&amp;CALC_TRANSPORT!$BJ$6))</f>
        <v/>
      </c>
      <c r="G64" s="270">
        <f>IF(OR(CALC_TRANSPORT!$B$3="Zone",CALC_TRANSPORT!$BJ$6=""),"",CALC_TRANSPORT!$BK$6)</f>
        <v/>
      </c>
      <c r="H64" s="83">
        <f>IF(CALC_TRANSPORT!$B$3="Zone",IF(3=0,"n/a at Zone scope",""),IF(CALC_TRANSPORT!$BL$6="",IF(3=0,"–",""),4&amp;". "&amp;CALC_TRANSPORT!$BL$6))</f>
        <v/>
      </c>
      <c r="I64" s="271">
        <f>IF(OR(CALC_TRANSPORT!$B$3="Zone",CALC_TRANSPORT!$BL$6=""),"",CALC_TRANSPORT!$BM$6)</f>
        <v/>
      </c>
      <c r="J64" s="83">
        <f>IF(CALC_TRANSPORT!$B$3="Zone",IF(3=0,"n/a at Zone scope",""),IF(CALC_TRANSPORT!$BN$6="",IF(3=0,"–",""),4&amp;". "&amp;CALC_TRANSPORT!$BN$6))</f>
        <v/>
      </c>
      <c r="K64" s="84">
        <f>IF(OR(CALC_TRANSPORT!$B$3="Zone",CALC_TRANSPORT!$BN$6=""),"",CALC_TRANSPORT!$BO$6)</f>
        <v/>
      </c>
      <c r="L64" s="272">
        <f>IF(CALC_TRANSPORT!$B$3="Zone",IF(3=0,"n/a at Zone scope",""),IF(CALC_TRANSPORT!$BP$6="",IF(3=0,"No flags this week",""),"• "&amp;CALC_TRANSPORT!$BP$6))</f>
        <v/>
      </c>
    </row>
    <row r="65">
      <c r="B65" s="83">
        <f>IF(CALC_TRANSPORT!$B$3="Zone",IF(4=0,"n/a at Zone scope",""),IF(CALC_TRANSPORT!$BF$7="",IF(4=0,"–",""),5&amp;". "&amp;CALC_TRANSPORT!$BF$7))</f>
        <v/>
      </c>
      <c r="C65" s="84">
        <f>IF(OR(CALC_TRANSPORT!$B$3="Zone",CALC_TRANSPORT!$BF$7=""),"",CALC_TRANSPORT!$BG$7)</f>
        <v/>
      </c>
      <c r="D65" s="83">
        <f>IF(CALC_TRANSPORT!$B$3="Zone",IF(4=0,"n/a at Zone scope",""),IF(CALC_TRANSPORT!$BH$7="",IF(4=0,"–",""),5&amp;". "&amp;CALC_TRANSPORT!$BH$7))</f>
        <v/>
      </c>
      <c r="E65" s="85">
        <f>IF(OR(CALC_TRANSPORT!$B$3="Zone",CALC_TRANSPORT!$BH$7=""),"",CALC_TRANSPORT!$BI$7)</f>
        <v/>
      </c>
      <c r="F65" s="83">
        <f>IF(CALC_TRANSPORT!$B$3="Zone",IF(4=0,"n/a at Zone scope",""),IF(CALC_TRANSPORT!$BJ$7="",IF(4=0,"–",""),5&amp;". "&amp;CALC_TRANSPORT!$BJ$7))</f>
        <v/>
      </c>
      <c r="G65" s="270">
        <f>IF(OR(CALC_TRANSPORT!$B$3="Zone",CALC_TRANSPORT!$BJ$7=""),"",CALC_TRANSPORT!$BK$7)</f>
        <v/>
      </c>
      <c r="H65" s="83">
        <f>IF(CALC_TRANSPORT!$B$3="Zone",IF(4=0,"n/a at Zone scope",""),IF(CALC_TRANSPORT!$BL$7="",IF(4=0,"–",""),5&amp;". "&amp;CALC_TRANSPORT!$BL$7))</f>
        <v/>
      </c>
      <c r="I65" s="271">
        <f>IF(OR(CALC_TRANSPORT!$B$3="Zone",CALC_TRANSPORT!$BL$7=""),"",CALC_TRANSPORT!$BM$7)</f>
        <v/>
      </c>
      <c r="J65" s="83">
        <f>IF(CALC_TRANSPORT!$B$3="Zone",IF(4=0,"n/a at Zone scope",""),IF(CALC_TRANSPORT!$BN$7="",IF(4=0,"–",""),5&amp;". "&amp;CALC_TRANSPORT!$BN$7))</f>
        <v/>
      </c>
      <c r="K65" s="84">
        <f>IF(OR(CALC_TRANSPORT!$B$3="Zone",CALC_TRANSPORT!$BN$7=""),"",CALC_TRANSPORT!$BO$7)</f>
        <v/>
      </c>
      <c r="L65" s="272">
        <f>IF(CALC_TRANSPORT!$B$3="Zone",IF(4=0,"n/a at Zone scope",""),IF(CALC_TRANSPORT!$BP$7="",IF(4=0,"No flags this week",""),"• "&amp;CALC_TRANSPORT!$BP$7))</f>
        <v/>
      </c>
    </row>
    <row r="66">
      <c r="B66" s="83">
        <f>IF(CALC_TRANSPORT!$B$3="Zone",IF(5=0,"n/a at Zone scope",""),IF(CALC_TRANSPORT!$BF$8="",IF(5=0,"–",""),6&amp;". "&amp;CALC_TRANSPORT!$BF$8))</f>
        <v/>
      </c>
      <c r="C66" s="84">
        <f>IF(OR(CALC_TRANSPORT!$B$3="Zone",CALC_TRANSPORT!$BF$8=""),"",CALC_TRANSPORT!$BG$8)</f>
        <v/>
      </c>
      <c r="D66" s="83">
        <f>IF(CALC_TRANSPORT!$B$3="Zone",IF(5=0,"n/a at Zone scope",""),IF(CALC_TRANSPORT!$BH$8="",IF(5=0,"–",""),6&amp;". "&amp;CALC_TRANSPORT!$BH$8))</f>
        <v/>
      </c>
      <c r="E66" s="85">
        <f>IF(OR(CALC_TRANSPORT!$B$3="Zone",CALC_TRANSPORT!$BH$8=""),"",CALC_TRANSPORT!$BI$8)</f>
        <v/>
      </c>
      <c r="F66" s="83">
        <f>IF(CALC_TRANSPORT!$B$3="Zone",IF(5=0,"n/a at Zone scope",""),IF(CALC_TRANSPORT!$BJ$8="",IF(5=0,"–",""),6&amp;". "&amp;CALC_TRANSPORT!$BJ$8))</f>
        <v/>
      </c>
      <c r="G66" s="270">
        <f>IF(OR(CALC_TRANSPORT!$B$3="Zone",CALC_TRANSPORT!$BJ$8=""),"",CALC_TRANSPORT!$BK$8)</f>
        <v/>
      </c>
      <c r="H66" s="83">
        <f>IF(CALC_TRANSPORT!$B$3="Zone",IF(5=0,"n/a at Zone scope",""),IF(CALC_TRANSPORT!$BL$8="",IF(5=0,"–",""),6&amp;". "&amp;CALC_TRANSPORT!$BL$8))</f>
        <v/>
      </c>
      <c r="I66" s="271">
        <f>IF(OR(CALC_TRANSPORT!$B$3="Zone",CALC_TRANSPORT!$BL$8=""),"",CALC_TRANSPORT!$BM$8)</f>
        <v/>
      </c>
      <c r="J66" s="83">
        <f>IF(CALC_TRANSPORT!$B$3="Zone",IF(5=0,"n/a at Zone scope",""),IF(CALC_TRANSPORT!$BN$8="",IF(5=0,"–",""),6&amp;". "&amp;CALC_TRANSPORT!$BN$8))</f>
        <v/>
      </c>
      <c r="K66" s="84">
        <f>IF(OR(CALC_TRANSPORT!$B$3="Zone",CALC_TRANSPORT!$BN$8=""),"",CALC_TRANSPORT!$BO$8)</f>
        <v/>
      </c>
      <c r="L66" s="272">
        <f>IF(CALC_TRANSPORT!$B$3="Zone",IF(5=0,"n/a at Zone scope",""),IF(CALC_TRANSPORT!$BP$8="",IF(5=0,"No flags this week",""),"• "&amp;CALC_TRANSPORT!$BP$8))</f>
        <v/>
      </c>
    </row>
    <row r="67">
      <c r="B67" s="83">
        <f>IF(CALC_TRANSPORT!$B$3="Zone",IF(6=0,"n/a at Zone scope",""),IF(CALC_TRANSPORT!$BF$9="",IF(6=0,"–",""),7&amp;". "&amp;CALC_TRANSPORT!$BF$9))</f>
        <v/>
      </c>
      <c r="C67" s="84">
        <f>IF(OR(CALC_TRANSPORT!$B$3="Zone",CALC_TRANSPORT!$BF$9=""),"",CALC_TRANSPORT!$BG$9)</f>
        <v/>
      </c>
      <c r="D67" s="83">
        <f>IF(CALC_TRANSPORT!$B$3="Zone",IF(6=0,"n/a at Zone scope",""),IF(CALC_TRANSPORT!$BH$9="",IF(6=0,"–",""),7&amp;". "&amp;CALC_TRANSPORT!$BH$9))</f>
        <v/>
      </c>
      <c r="E67" s="85">
        <f>IF(OR(CALC_TRANSPORT!$B$3="Zone",CALC_TRANSPORT!$BH$9=""),"",CALC_TRANSPORT!$BI$9)</f>
        <v/>
      </c>
      <c r="F67" s="83">
        <f>IF(CALC_TRANSPORT!$B$3="Zone",IF(6=0,"n/a at Zone scope",""),IF(CALC_TRANSPORT!$BJ$9="",IF(6=0,"–",""),7&amp;". "&amp;CALC_TRANSPORT!$BJ$9))</f>
        <v/>
      </c>
      <c r="G67" s="270">
        <f>IF(OR(CALC_TRANSPORT!$B$3="Zone",CALC_TRANSPORT!$BJ$9=""),"",CALC_TRANSPORT!$BK$9)</f>
        <v/>
      </c>
      <c r="H67" s="83">
        <f>IF(CALC_TRANSPORT!$B$3="Zone",IF(6=0,"n/a at Zone scope",""),IF(CALC_TRANSPORT!$BL$9="",IF(6=0,"–",""),7&amp;". "&amp;CALC_TRANSPORT!$BL$9))</f>
        <v/>
      </c>
      <c r="I67" s="271">
        <f>IF(OR(CALC_TRANSPORT!$B$3="Zone",CALC_TRANSPORT!$BL$9=""),"",CALC_TRANSPORT!$BM$9)</f>
        <v/>
      </c>
      <c r="J67" s="83">
        <f>IF(CALC_TRANSPORT!$B$3="Zone",IF(6=0,"n/a at Zone scope",""),IF(CALC_TRANSPORT!$BN$9="",IF(6=0,"–",""),7&amp;". "&amp;CALC_TRANSPORT!$BN$9))</f>
        <v/>
      </c>
      <c r="K67" s="84">
        <f>IF(OR(CALC_TRANSPORT!$B$3="Zone",CALC_TRANSPORT!$BN$9=""),"",CALC_TRANSPORT!$BO$9)</f>
        <v/>
      </c>
      <c r="L67" s="272">
        <f>IF(CALC_TRANSPORT!$B$3="Zone",IF(6=0,"n/a at Zone scope",""),IF(CALC_TRANSPORT!$BP$9="",IF(6=0,"No flags this week",""),"• "&amp;CALC_TRANSPORT!$BP$9))</f>
        <v/>
      </c>
    </row>
    <row r="68">
      <c r="B68" s="83">
        <f>IF(CALC_TRANSPORT!$B$3="Zone",IF(7=0,"n/a at Zone scope",""),IF(CALC_TRANSPORT!$BF$10="",IF(7=0,"–",""),8&amp;". "&amp;CALC_TRANSPORT!$BF$10))</f>
        <v/>
      </c>
      <c r="C68" s="84">
        <f>IF(OR(CALC_TRANSPORT!$B$3="Zone",CALC_TRANSPORT!$BF$10=""),"",CALC_TRANSPORT!$BG$10)</f>
        <v/>
      </c>
      <c r="D68" s="83">
        <f>IF(CALC_TRANSPORT!$B$3="Zone",IF(7=0,"n/a at Zone scope",""),IF(CALC_TRANSPORT!$BH$10="",IF(7=0,"–",""),8&amp;". "&amp;CALC_TRANSPORT!$BH$10))</f>
        <v/>
      </c>
      <c r="E68" s="85">
        <f>IF(OR(CALC_TRANSPORT!$B$3="Zone",CALC_TRANSPORT!$BH$10=""),"",CALC_TRANSPORT!$BI$10)</f>
        <v/>
      </c>
      <c r="F68" s="83">
        <f>IF(CALC_TRANSPORT!$B$3="Zone",IF(7=0,"n/a at Zone scope",""),IF(CALC_TRANSPORT!$BJ$10="",IF(7=0,"–",""),8&amp;". "&amp;CALC_TRANSPORT!$BJ$10))</f>
        <v/>
      </c>
      <c r="G68" s="270">
        <f>IF(OR(CALC_TRANSPORT!$B$3="Zone",CALC_TRANSPORT!$BJ$10=""),"",CALC_TRANSPORT!$BK$10)</f>
        <v/>
      </c>
      <c r="H68" s="83">
        <f>IF(CALC_TRANSPORT!$B$3="Zone",IF(7=0,"n/a at Zone scope",""),IF(CALC_TRANSPORT!$BL$10="",IF(7=0,"–",""),8&amp;". "&amp;CALC_TRANSPORT!$BL$10))</f>
        <v/>
      </c>
      <c r="I68" s="271">
        <f>IF(OR(CALC_TRANSPORT!$B$3="Zone",CALC_TRANSPORT!$BL$10=""),"",CALC_TRANSPORT!$BM$10)</f>
        <v/>
      </c>
      <c r="J68" s="83">
        <f>IF(CALC_TRANSPORT!$B$3="Zone",IF(7=0,"n/a at Zone scope",""),IF(CALC_TRANSPORT!$BN$10="",IF(7=0,"–",""),8&amp;". "&amp;CALC_TRANSPORT!$BN$10))</f>
        <v/>
      </c>
      <c r="K68" s="84">
        <f>IF(OR(CALC_TRANSPORT!$B$3="Zone",CALC_TRANSPORT!$BN$10=""),"",CALC_TRANSPORT!$BO$10)</f>
        <v/>
      </c>
      <c r="L68" s="272">
        <f>IF(CALC_TRANSPORT!$B$3="Zone",IF(7=0,"n/a at Zone scope",""),IF(CALC_TRANSPORT!$BP$10="",IF(7=0,"No flags this week",""),"• "&amp;CALC_TRANSPORT!$BP$10))</f>
        <v/>
      </c>
    </row>
    <row r="69">
      <c r="B69" s="83">
        <f>IF(CALC_TRANSPORT!$B$3="Zone",IF(8=0,"n/a at Zone scope",""),IF(CALC_TRANSPORT!$BF$11="",IF(8=0,"–",""),9&amp;". "&amp;CALC_TRANSPORT!$BF$11))</f>
        <v/>
      </c>
      <c r="C69" s="84">
        <f>IF(OR(CALC_TRANSPORT!$B$3="Zone",CALC_TRANSPORT!$BF$11=""),"",CALC_TRANSPORT!$BG$11)</f>
        <v/>
      </c>
      <c r="D69" s="83">
        <f>IF(CALC_TRANSPORT!$B$3="Zone",IF(8=0,"n/a at Zone scope",""),IF(CALC_TRANSPORT!$BH$11="",IF(8=0,"–",""),9&amp;". "&amp;CALC_TRANSPORT!$BH$11))</f>
        <v/>
      </c>
      <c r="E69" s="85">
        <f>IF(OR(CALC_TRANSPORT!$B$3="Zone",CALC_TRANSPORT!$BH$11=""),"",CALC_TRANSPORT!$BI$11)</f>
        <v/>
      </c>
      <c r="F69" s="83">
        <f>IF(CALC_TRANSPORT!$B$3="Zone",IF(8=0,"n/a at Zone scope",""),IF(CALC_TRANSPORT!$BJ$11="",IF(8=0,"–",""),9&amp;". "&amp;CALC_TRANSPORT!$BJ$11))</f>
        <v/>
      </c>
      <c r="G69" s="270">
        <f>IF(OR(CALC_TRANSPORT!$B$3="Zone",CALC_TRANSPORT!$BJ$11=""),"",CALC_TRANSPORT!$BK$11)</f>
        <v/>
      </c>
      <c r="H69" s="83">
        <f>IF(CALC_TRANSPORT!$B$3="Zone",IF(8=0,"n/a at Zone scope",""),IF(CALC_TRANSPORT!$BL$11="",IF(8=0,"–",""),9&amp;". "&amp;CALC_TRANSPORT!$BL$11))</f>
        <v/>
      </c>
      <c r="I69" s="271">
        <f>IF(OR(CALC_TRANSPORT!$B$3="Zone",CALC_TRANSPORT!$BL$11=""),"",CALC_TRANSPORT!$BM$11)</f>
        <v/>
      </c>
      <c r="J69" s="83">
        <f>IF(CALC_TRANSPORT!$B$3="Zone",IF(8=0,"n/a at Zone scope",""),IF(CALC_TRANSPORT!$BN$11="",IF(8=0,"–",""),9&amp;". "&amp;CALC_TRANSPORT!$BN$11))</f>
        <v/>
      </c>
      <c r="K69" s="84">
        <f>IF(OR(CALC_TRANSPORT!$B$3="Zone",CALC_TRANSPORT!$BN$11=""),"",CALC_TRANSPORT!$BO$11)</f>
        <v/>
      </c>
      <c r="L69" s="272">
        <f>IF(CALC_TRANSPORT!$B$3="Zone",IF(8=0,"n/a at Zone scope",""),IF(CALC_TRANSPORT!$BP$11="",IF(8=0,"No flags this week",""),"• "&amp;CALC_TRANSPORT!$BP$11))</f>
        <v/>
      </c>
    </row>
    <row r="70">
      <c r="B70" s="83">
        <f>IF(CALC_TRANSPORT!$B$3="Zone",IF(9=0,"n/a at Zone scope",""),IF(CALC_TRANSPORT!$BF$12="",IF(9=0,"–",""),10&amp;". "&amp;CALC_TRANSPORT!$BF$12))</f>
        <v/>
      </c>
      <c r="C70" s="84">
        <f>IF(OR(CALC_TRANSPORT!$B$3="Zone",CALC_TRANSPORT!$BF$12=""),"",CALC_TRANSPORT!$BG$12)</f>
        <v/>
      </c>
      <c r="D70" s="83">
        <f>IF(CALC_TRANSPORT!$B$3="Zone",IF(9=0,"n/a at Zone scope",""),IF(CALC_TRANSPORT!$BH$12="",IF(9=0,"–",""),10&amp;". "&amp;CALC_TRANSPORT!$BH$12))</f>
        <v/>
      </c>
      <c r="E70" s="85">
        <f>IF(OR(CALC_TRANSPORT!$B$3="Zone",CALC_TRANSPORT!$BH$12=""),"",CALC_TRANSPORT!$BI$12)</f>
        <v/>
      </c>
      <c r="F70" s="83">
        <f>IF(CALC_TRANSPORT!$B$3="Zone",IF(9=0,"n/a at Zone scope",""),IF(CALC_TRANSPORT!$BJ$12="",IF(9=0,"–",""),10&amp;". "&amp;CALC_TRANSPORT!$BJ$12))</f>
        <v/>
      </c>
      <c r="G70" s="270">
        <f>IF(OR(CALC_TRANSPORT!$B$3="Zone",CALC_TRANSPORT!$BJ$12=""),"",CALC_TRANSPORT!$BK$12)</f>
        <v/>
      </c>
      <c r="H70" s="83">
        <f>IF(CALC_TRANSPORT!$B$3="Zone",IF(9=0,"n/a at Zone scope",""),IF(CALC_TRANSPORT!$BL$12="",IF(9=0,"–",""),10&amp;". "&amp;CALC_TRANSPORT!$BL$12))</f>
        <v/>
      </c>
      <c r="I70" s="271">
        <f>IF(OR(CALC_TRANSPORT!$B$3="Zone",CALC_TRANSPORT!$BL$12=""),"",CALC_TRANSPORT!$BM$12)</f>
        <v/>
      </c>
      <c r="J70" s="83">
        <f>IF(CALC_TRANSPORT!$B$3="Zone",IF(9=0,"n/a at Zone scope",""),IF(CALC_TRANSPORT!$BN$12="",IF(9=0,"–",""),10&amp;". "&amp;CALC_TRANSPORT!$BN$12))</f>
        <v/>
      </c>
      <c r="K70" s="84">
        <f>IF(OR(CALC_TRANSPORT!$B$3="Zone",CALC_TRANSPORT!$BN$12=""),"",CALC_TRANSPORT!$BO$12)</f>
        <v/>
      </c>
      <c r="L70" s="272">
        <f>IF(CALC_TRANSPORT!$B$3="Zone",IF(9=0,"n/a at Zone scope",""),IF(CALC_TRANSPORT!$BP$12="",IF(9=0,"No flags this week",""),"• "&amp;CALC_TRANSPORT!$BP$12))</f>
        <v/>
      </c>
    </row>
    <row r="73" ht="22" customHeight="1">
      <c r="B73" s="220" t="inlineStr">
        <is>
          <t>Operational notes — breakdowns, extra passengers and requests for more buses</t>
        </is>
      </c>
      <c r="C73" s="221" t="n"/>
      <c r="D73" s="221" t="n"/>
      <c r="E73" s="221" t="n"/>
      <c r="F73" s="221" t="n"/>
      <c r="G73" s="221" t="n"/>
      <c r="H73" s="221" t="n"/>
      <c r="I73" s="221" t="n"/>
      <c r="J73" s="221" t="n"/>
      <c r="K73" s="221" t="n"/>
      <c r="L73" s="221" t="n"/>
      <c r="M73" s="221" t="n"/>
      <c r="N73" s="221" t="n"/>
      <c r="O73" s="221" t="n"/>
    </row>
    <row r="74">
      <c r="B74" s="90">
        <f>IF(CALC_TRANSPORT!$BQ$1=0,"None reported for the selected week in this scope.",TEXT(CALC_TRANSPORT!$BQ$1,"#,##0")&amp;" note(s)"&amp;IF(CALC_TRANSPORT!$BQ$1&gt;40," — showing the first 40.","."))</f>
        <v/>
      </c>
    </row>
    <row r="75">
      <c r="B75" s="250" t="inlineStr">
        <is>
          <t>Area</t>
        </is>
      </c>
      <c r="C75" s="20" t="n"/>
      <c r="D75" s="250" t="inlineStr">
        <is>
          <t>Category</t>
        </is>
      </c>
      <c r="E75" s="20" t="n"/>
      <c r="F75" s="250" t="inlineStr">
        <is>
          <t>Location / bus</t>
        </is>
      </c>
      <c r="G75" s="20" t="n"/>
      <c r="H75" s="20" t="n"/>
      <c r="I75" s="20" t="n"/>
      <c r="J75" s="250" t="inlineStr">
        <is>
          <t>Note</t>
        </is>
      </c>
      <c r="K75" s="20" t="n"/>
      <c r="L75" s="250" t="inlineStr">
        <is>
          <t>Details</t>
        </is>
      </c>
      <c r="M75" s="20" t="n"/>
      <c r="N75" s="20" t="n"/>
      <c r="O75" s="20" t="n"/>
    </row>
    <row r="76">
      <c r="B76" s="273">
        <f>CALC_TRANSPORT!$BR$3</f>
        <v/>
      </c>
      <c r="C76" s="252" t="n"/>
      <c r="D76" s="273">
        <f>CALC_TRANSPORT!$BS$3</f>
        <v/>
      </c>
      <c r="E76" s="252" t="n"/>
      <c r="F76" s="273">
        <f>CALC_TRANSPORT!$BT$3</f>
        <v/>
      </c>
      <c r="G76" s="252" t="n"/>
      <c r="H76" s="252" t="n"/>
      <c r="I76" s="252" t="n"/>
      <c r="J76" s="273">
        <f>CALC_TRANSPORT!$BU$3</f>
        <v/>
      </c>
      <c r="K76" s="252" t="n"/>
      <c r="L76" s="273">
        <f>CALC_TRANSPORT!$BV$3</f>
        <v/>
      </c>
      <c r="M76" s="252" t="n"/>
      <c r="N76" s="252" t="n"/>
      <c r="O76" s="252" t="n"/>
    </row>
    <row r="77">
      <c r="B77" s="87">
        <f>CALC_TRANSPORT!$BR$4</f>
        <v/>
      </c>
      <c r="D77" s="87">
        <f>CALC_TRANSPORT!$BS$4</f>
        <v/>
      </c>
      <c r="F77" s="87">
        <f>CALC_TRANSPORT!$BT$4</f>
        <v/>
      </c>
      <c r="J77" s="87">
        <f>CALC_TRANSPORT!$BU$4</f>
        <v/>
      </c>
      <c r="L77" s="87">
        <f>CALC_TRANSPORT!$BV$4</f>
        <v/>
      </c>
    </row>
    <row r="78">
      <c r="B78" s="273">
        <f>CALC_TRANSPORT!$BR$5</f>
        <v/>
      </c>
      <c r="C78" s="252" t="n"/>
      <c r="D78" s="273">
        <f>CALC_TRANSPORT!$BS$5</f>
        <v/>
      </c>
      <c r="E78" s="252" t="n"/>
      <c r="F78" s="273">
        <f>CALC_TRANSPORT!$BT$5</f>
        <v/>
      </c>
      <c r="G78" s="252" t="n"/>
      <c r="H78" s="252" t="n"/>
      <c r="I78" s="252" t="n"/>
      <c r="J78" s="273">
        <f>CALC_TRANSPORT!$BU$5</f>
        <v/>
      </c>
      <c r="K78" s="252" t="n"/>
      <c r="L78" s="273">
        <f>CALC_TRANSPORT!$BV$5</f>
        <v/>
      </c>
      <c r="M78" s="252" t="n"/>
      <c r="N78" s="252" t="n"/>
      <c r="O78" s="252" t="n"/>
    </row>
    <row r="79">
      <c r="B79" s="87">
        <f>CALC_TRANSPORT!$BR$6</f>
        <v/>
      </c>
      <c r="D79" s="87">
        <f>CALC_TRANSPORT!$BS$6</f>
        <v/>
      </c>
      <c r="F79" s="87">
        <f>CALC_TRANSPORT!$BT$6</f>
        <v/>
      </c>
      <c r="J79" s="87">
        <f>CALC_TRANSPORT!$BU$6</f>
        <v/>
      </c>
      <c r="L79" s="87">
        <f>CALC_TRANSPORT!$BV$6</f>
        <v/>
      </c>
    </row>
    <row r="80">
      <c r="B80" s="273">
        <f>CALC_TRANSPORT!$BR$7</f>
        <v/>
      </c>
      <c r="C80" s="252" t="n"/>
      <c r="D80" s="273">
        <f>CALC_TRANSPORT!$BS$7</f>
        <v/>
      </c>
      <c r="E80" s="252" t="n"/>
      <c r="F80" s="273">
        <f>CALC_TRANSPORT!$BT$7</f>
        <v/>
      </c>
      <c r="G80" s="252" t="n"/>
      <c r="H80" s="252" t="n"/>
      <c r="I80" s="252" t="n"/>
      <c r="J80" s="273">
        <f>CALC_TRANSPORT!$BU$7</f>
        <v/>
      </c>
      <c r="K80" s="252" t="n"/>
      <c r="L80" s="273">
        <f>CALC_TRANSPORT!$BV$7</f>
        <v/>
      </c>
      <c r="M80" s="252" t="n"/>
      <c r="N80" s="252" t="n"/>
      <c r="O80" s="252" t="n"/>
    </row>
    <row r="81">
      <c r="B81" s="87">
        <f>CALC_TRANSPORT!$BR$8</f>
        <v/>
      </c>
      <c r="D81" s="87">
        <f>CALC_TRANSPORT!$BS$8</f>
        <v/>
      </c>
      <c r="F81" s="87">
        <f>CALC_TRANSPORT!$BT$8</f>
        <v/>
      </c>
      <c r="J81" s="87">
        <f>CALC_TRANSPORT!$BU$8</f>
        <v/>
      </c>
      <c r="L81" s="87">
        <f>CALC_TRANSPORT!$BV$8</f>
        <v/>
      </c>
    </row>
    <row r="82">
      <c r="B82" s="273">
        <f>CALC_TRANSPORT!$BR$9</f>
        <v/>
      </c>
      <c r="C82" s="252" t="n"/>
      <c r="D82" s="273">
        <f>CALC_TRANSPORT!$BS$9</f>
        <v/>
      </c>
      <c r="E82" s="252" t="n"/>
      <c r="F82" s="273">
        <f>CALC_TRANSPORT!$BT$9</f>
        <v/>
      </c>
      <c r="G82" s="252" t="n"/>
      <c r="H82" s="252" t="n"/>
      <c r="I82" s="252" t="n"/>
      <c r="J82" s="273">
        <f>CALC_TRANSPORT!$BU$9</f>
        <v/>
      </c>
      <c r="K82" s="252" t="n"/>
      <c r="L82" s="273">
        <f>CALC_TRANSPORT!$BV$9</f>
        <v/>
      </c>
      <c r="M82" s="252" t="n"/>
      <c r="N82" s="252" t="n"/>
      <c r="O82" s="252" t="n"/>
    </row>
    <row r="83">
      <c r="B83" s="87">
        <f>CALC_TRANSPORT!$BR$10</f>
        <v/>
      </c>
      <c r="D83" s="87">
        <f>CALC_TRANSPORT!$BS$10</f>
        <v/>
      </c>
      <c r="F83" s="87">
        <f>CALC_TRANSPORT!$BT$10</f>
        <v/>
      </c>
      <c r="J83" s="87">
        <f>CALC_TRANSPORT!$BU$10</f>
        <v/>
      </c>
      <c r="L83" s="87">
        <f>CALC_TRANSPORT!$BV$10</f>
        <v/>
      </c>
    </row>
    <row r="84">
      <c r="B84" s="273">
        <f>CALC_TRANSPORT!$BR$11</f>
        <v/>
      </c>
      <c r="C84" s="252" t="n"/>
      <c r="D84" s="273">
        <f>CALC_TRANSPORT!$BS$11</f>
        <v/>
      </c>
      <c r="E84" s="252" t="n"/>
      <c r="F84" s="273">
        <f>CALC_TRANSPORT!$BT$11</f>
        <v/>
      </c>
      <c r="G84" s="252" t="n"/>
      <c r="H84" s="252" t="n"/>
      <c r="I84" s="252" t="n"/>
      <c r="J84" s="273">
        <f>CALC_TRANSPORT!$BU$11</f>
        <v/>
      </c>
      <c r="K84" s="252" t="n"/>
      <c r="L84" s="273">
        <f>CALC_TRANSPORT!$BV$11</f>
        <v/>
      </c>
      <c r="M84" s="252" t="n"/>
      <c r="N84" s="252" t="n"/>
      <c r="O84" s="252" t="n"/>
    </row>
    <row r="85">
      <c r="B85" s="87">
        <f>CALC_TRANSPORT!$BR$12</f>
        <v/>
      </c>
      <c r="D85" s="87">
        <f>CALC_TRANSPORT!$BS$12</f>
        <v/>
      </c>
      <c r="F85" s="87">
        <f>CALC_TRANSPORT!$BT$12</f>
        <v/>
      </c>
      <c r="J85" s="87">
        <f>CALC_TRANSPORT!$BU$12</f>
        <v/>
      </c>
      <c r="L85" s="87">
        <f>CALC_TRANSPORT!$BV$12</f>
        <v/>
      </c>
    </row>
    <row r="86">
      <c r="B86" s="273">
        <f>CALC_TRANSPORT!$BR$13</f>
        <v/>
      </c>
      <c r="C86" s="252" t="n"/>
      <c r="D86" s="273">
        <f>CALC_TRANSPORT!$BS$13</f>
        <v/>
      </c>
      <c r="E86" s="252" t="n"/>
      <c r="F86" s="273">
        <f>CALC_TRANSPORT!$BT$13</f>
        <v/>
      </c>
      <c r="G86" s="252" t="n"/>
      <c r="H86" s="252" t="n"/>
      <c r="I86" s="252" t="n"/>
      <c r="J86" s="273">
        <f>CALC_TRANSPORT!$BU$13</f>
        <v/>
      </c>
      <c r="K86" s="252" t="n"/>
      <c r="L86" s="273">
        <f>CALC_TRANSPORT!$BV$13</f>
        <v/>
      </c>
      <c r="M86" s="252" t="n"/>
      <c r="N86" s="252" t="n"/>
      <c r="O86" s="252" t="n"/>
    </row>
    <row r="87">
      <c r="B87" s="87">
        <f>CALC_TRANSPORT!$BR$14</f>
        <v/>
      </c>
      <c r="D87" s="87">
        <f>CALC_TRANSPORT!$BS$14</f>
        <v/>
      </c>
      <c r="F87" s="87">
        <f>CALC_TRANSPORT!$BT$14</f>
        <v/>
      </c>
      <c r="J87" s="87">
        <f>CALC_TRANSPORT!$BU$14</f>
        <v/>
      </c>
      <c r="L87" s="87">
        <f>CALC_TRANSPORT!$BV$14</f>
        <v/>
      </c>
    </row>
    <row r="88">
      <c r="B88" s="273">
        <f>CALC_TRANSPORT!$BR$15</f>
        <v/>
      </c>
      <c r="C88" s="252" t="n"/>
      <c r="D88" s="273">
        <f>CALC_TRANSPORT!$BS$15</f>
        <v/>
      </c>
      <c r="E88" s="252" t="n"/>
      <c r="F88" s="273">
        <f>CALC_TRANSPORT!$BT$15</f>
        <v/>
      </c>
      <c r="G88" s="252" t="n"/>
      <c r="H88" s="252" t="n"/>
      <c r="I88" s="252" t="n"/>
      <c r="J88" s="273">
        <f>CALC_TRANSPORT!$BU$15</f>
        <v/>
      </c>
      <c r="K88" s="252" t="n"/>
      <c r="L88" s="273">
        <f>CALC_TRANSPORT!$BV$15</f>
        <v/>
      </c>
      <c r="M88" s="252" t="n"/>
      <c r="N88" s="252" t="n"/>
      <c r="O88" s="252" t="n"/>
    </row>
    <row r="89">
      <c r="B89" s="87">
        <f>CALC_TRANSPORT!$BR$16</f>
        <v/>
      </c>
      <c r="D89" s="87">
        <f>CALC_TRANSPORT!$BS$16</f>
        <v/>
      </c>
      <c r="F89" s="87">
        <f>CALC_TRANSPORT!$BT$16</f>
        <v/>
      </c>
      <c r="J89" s="87">
        <f>CALC_TRANSPORT!$BU$16</f>
        <v/>
      </c>
      <c r="L89" s="87">
        <f>CALC_TRANSPORT!$BV$16</f>
        <v/>
      </c>
    </row>
    <row r="90">
      <c r="B90" s="273">
        <f>CALC_TRANSPORT!$BR$17</f>
        <v/>
      </c>
      <c r="C90" s="252" t="n"/>
      <c r="D90" s="273">
        <f>CALC_TRANSPORT!$BS$17</f>
        <v/>
      </c>
      <c r="E90" s="252" t="n"/>
      <c r="F90" s="273">
        <f>CALC_TRANSPORT!$BT$17</f>
        <v/>
      </c>
      <c r="G90" s="252" t="n"/>
      <c r="H90" s="252" t="n"/>
      <c r="I90" s="252" t="n"/>
      <c r="J90" s="273">
        <f>CALC_TRANSPORT!$BU$17</f>
        <v/>
      </c>
      <c r="K90" s="252" t="n"/>
      <c r="L90" s="273">
        <f>CALC_TRANSPORT!$BV$17</f>
        <v/>
      </c>
      <c r="M90" s="252" t="n"/>
      <c r="N90" s="252" t="n"/>
      <c r="O90" s="252" t="n"/>
    </row>
    <row r="91">
      <c r="B91" s="87">
        <f>CALC_TRANSPORT!$BR$18</f>
        <v/>
      </c>
      <c r="D91" s="87">
        <f>CALC_TRANSPORT!$BS$18</f>
        <v/>
      </c>
      <c r="F91" s="87">
        <f>CALC_TRANSPORT!$BT$18</f>
        <v/>
      </c>
      <c r="J91" s="87">
        <f>CALC_TRANSPORT!$BU$18</f>
        <v/>
      </c>
      <c r="L91" s="87">
        <f>CALC_TRANSPORT!$BV$18</f>
        <v/>
      </c>
    </row>
    <row r="92">
      <c r="B92" s="273">
        <f>CALC_TRANSPORT!$BR$19</f>
        <v/>
      </c>
      <c r="C92" s="252" t="n"/>
      <c r="D92" s="273">
        <f>CALC_TRANSPORT!$BS$19</f>
        <v/>
      </c>
      <c r="E92" s="252" t="n"/>
      <c r="F92" s="273">
        <f>CALC_TRANSPORT!$BT$19</f>
        <v/>
      </c>
      <c r="G92" s="252" t="n"/>
      <c r="H92" s="252" t="n"/>
      <c r="I92" s="252" t="n"/>
      <c r="J92" s="273">
        <f>CALC_TRANSPORT!$BU$19</f>
        <v/>
      </c>
      <c r="K92" s="252" t="n"/>
      <c r="L92" s="273">
        <f>CALC_TRANSPORT!$BV$19</f>
        <v/>
      </c>
      <c r="M92" s="252" t="n"/>
      <c r="N92" s="252" t="n"/>
      <c r="O92" s="252" t="n"/>
    </row>
    <row r="93">
      <c r="B93" s="87">
        <f>CALC_TRANSPORT!$BR$20</f>
        <v/>
      </c>
      <c r="D93" s="87">
        <f>CALC_TRANSPORT!$BS$20</f>
        <v/>
      </c>
      <c r="F93" s="87">
        <f>CALC_TRANSPORT!$BT$20</f>
        <v/>
      </c>
      <c r="J93" s="87">
        <f>CALC_TRANSPORT!$BU$20</f>
        <v/>
      </c>
      <c r="L93" s="87">
        <f>CALC_TRANSPORT!$BV$20</f>
        <v/>
      </c>
    </row>
    <row r="94">
      <c r="B94" s="273">
        <f>CALC_TRANSPORT!$BR$21</f>
        <v/>
      </c>
      <c r="C94" s="252" t="n"/>
      <c r="D94" s="273">
        <f>CALC_TRANSPORT!$BS$21</f>
        <v/>
      </c>
      <c r="E94" s="252" t="n"/>
      <c r="F94" s="273">
        <f>CALC_TRANSPORT!$BT$21</f>
        <v/>
      </c>
      <c r="G94" s="252" t="n"/>
      <c r="H94" s="252" t="n"/>
      <c r="I94" s="252" t="n"/>
      <c r="J94" s="273">
        <f>CALC_TRANSPORT!$BU$21</f>
        <v/>
      </c>
      <c r="K94" s="252" t="n"/>
      <c r="L94" s="273">
        <f>CALC_TRANSPORT!$BV$21</f>
        <v/>
      </c>
      <c r="M94" s="252" t="n"/>
      <c r="N94" s="252" t="n"/>
      <c r="O94" s="252" t="n"/>
    </row>
    <row r="95">
      <c r="B95" s="87">
        <f>CALC_TRANSPORT!$BR$22</f>
        <v/>
      </c>
      <c r="D95" s="87">
        <f>CALC_TRANSPORT!$BS$22</f>
        <v/>
      </c>
      <c r="F95" s="87">
        <f>CALC_TRANSPORT!$BT$22</f>
        <v/>
      </c>
      <c r="J95" s="87">
        <f>CALC_TRANSPORT!$BU$22</f>
        <v/>
      </c>
      <c r="L95" s="87">
        <f>CALC_TRANSPORT!$BV$22</f>
        <v/>
      </c>
    </row>
    <row r="96">
      <c r="B96" s="273">
        <f>CALC_TRANSPORT!$BR$23</f>
        <v/>
      </c>
      <c r="C96" s="252" t="n"/>
      <c r="D96" s="273">
        <f>CALC_TRANSPORT!$BS$23</f>
        <v/>
      </c>
      <c r="E96" s="252" t="n"/>
      <c r="F96" s="273">
        <f>CALC_TRANSPORT!$BT$23</f>
        <v/>
      </c>
      <c r="G96" s="252" t="n"/>
      <c r="H96" s="252" t="n"/>
      <c r="I96" s="252" t="n"/>
      <c r="J96" s="273">
        <f>CALC_TRANSPORT!$BU$23</f>
        <v/>
      </c>
      <c r="K96" s="252" t="n"/>
      <c r="L96" s="273">
        <f>CALC_TRANSPORT!$BV$23</f>
        <v/>
      </c>
      <c r="M96" s="252" t="n"/>
      <c r="N96" s="252" t="n"/>
      <c r="O96" s="252" t="n"/>
    </row>
    <row r="97">
      <c r="B97" s="87">
        <f>CALC_TRANSPORT!$BR$24</f>
        <v/>
      </c>
      <c r="D97" s="87">
        <f>CALC_TRANSPORT!$BS$24</f>
        <v/>
      </c>
      <c r="F97" s="87">
        <f>CALC_TRANSPORT!$BT$24</f>
        <v/>
      </c>
      <c r="J97" s="87">
        <f>CALC_TRANSPORT!$BU$24</f>
        <v/>
      </c>
      <c r="L97" s="87">
        <f>CALC_TRANSPORT!$BV$24</f>
        <v/>
      </c>
    </row>
    <row r="98">
      <c r="B98" s="273">
        <f>CALC_TRANSPORT!$BR$25</f>
        <v/>
      </c>
      <c r="C98" s="252" t="n"/>
      <c r="D98" s="273">
        <f>CALC_TRANSPORT!$BS$25</f>
        <v/>
      </c>
      <c r="E98" s="252" t="n"/>
      <c r="F98" s="273">
        <f>CALC_TRANSPORT!$BT$25</f>
        <v/>
      </c>
      <c r="G98" s="252" t="n"/>
      <c r="H98" s="252" t="n"/>
      <c r="I98" s="252" t="n"/>
      <c r="J98" s="273">
        <f>CALC_TRANSPORT!$BU$25</f>
        <v/>
      </c>
      <c r="K98" s="252" t="n"/>
      <c r="L98" s="273">
        <f>CALC_TRANSPORT!$BV$25</f>
        <v/>
      </c>
      <c r="M98" s="252" t="n"/>
      <c r="N98" s="252" t="n"/>
      <c r="O98" s="252" t="n"/>
    </row>
    <row r="99">
      <c r="B99" s="87">
        <f>CALC_TRANSPORT!$BR$26</f>
        <v/>
      </c>
      <c r="D99" s="87">
        <f>CALC_TRANSPORT!$BS$26</f>
        <v/>
      </c>
      <c r="F99" s="87">
        <f>CALC_TRANSPORT!$BT$26</f>
        <v/>
      </c>
      <c r="J99" s="87">
        <f>CALC_TRANSPORT!$BU$26</f>
        <v/>
      </c>
      <c r="L99" s="87">
        <f>CALC_TRANSPORT!$BV$26</f>
        <v/>
      </c>
    </row>
    <row r="100">
      <c r="B100" s="273">
        <f>CALC_TRANSPORT!$BR$27</f>
        <v/>
      </c>
      <c r="C100" s="252" t="n"/>
      <c r="D100" s="273">
        <f>CALC_TRANSPORT!$BS$27</f>
        <v/>
      </c>
      <c r="E100" s="252" t="n"/>
      <c r="F100" s="273">
        <f>CALC_TRANSPORT!$BT$27</f>
        <v/>
      </c>
      <c r="G100" s="252" t="n"/>
      <c r="H100" s="252" t="n"/>
      <c r="I100" s="252" t="n"/>
      <c r="J100" s="273">
        <f>CALC_TRANSPORT!$BU$27</f>
        <v/>
      </c>
      <c r="K100" s="252" t="n"/>
      <c r="L100" s="273">
        <f>CALC_TRANSPORT!$BV$27</f>
        <v/>
      </c>
      <c r="M100" s="252" t="n"/>
      <c r="N100" s="252" t="n"/>
      <c r="O100" s="252" t="n"/>
    </row>
    <row r="101">
      <c r="B101" s="87">
        <f>CALC_TRANSPORT!$BR$28</f>
        <v/>
      </c>
      <c r="D101" s="87">
        <f>CALC_TRANSPORT!$BS$28</f>
        <v/>
      </c>
      <c r="F101" s="87">
        <f>CALC_TRANSPORT!$BT$28</f>
        <v/>
      </c>
      <c r="J101" s="87">
        <f>CALC_TRANSPORT!$BU$28</f>
        <v/>
      </c>
      <c r="L101" s="87">
        <f>CALC_TRANSPORT!$BV$28</f>
        <v/>
      </c>
    </row>
    <row r="102">
      <c r="B102" s="273">
        <f>CALC_TRANSPORT!$BR$29</f>
        <v/>
      </c>
      <c r="C102" s="252" t="n"/>
      <c r="D102" s="273">
        <f>CALC_TRANSPORT!$BS$29</f>
        <v/>
      </c>
      <c r="E102" s="252" t="n"/>
      <c r="F102" s="273">
        <f>CALC_TRANSPORT!$BT$29</f>
        <v/>
      </c>
      <c r="G102" s="252" t="n"/>
      <c r="H102" s="252" t="n"/>
      <c r="I102" s="252" t="n"/>
      <c r="J102" s="273">
        <f>CALC_TRANSPORT!$BU$29</f>
        <v/>
      </c>
      <c r="K102" s="252" t="n"/>
      <c r="L102" s="273">
        <f>CALC_TRANSPORT!$BV$29</f>
        <v/>
      </c>
      <c r="M102" s="252" t="n"/>
      <c r="N102" s="252" t="n"/>
      <c r="O102" s="252" t="n"/>
    </row>
    <row r="103">
      <c r="B103" s="87">
        <f>CALC_TRANSPORT!$BR$30</f>
        <v/>
      </c>
      <c r="D103" s="87">
        <f>CALC_TRANSPORT!$BS$30</f>
        <v/>
      </c>
      <c r="F103" s="87">
        <f>CALC_TRANSPORT!$BT$30</f>
        <v/>
      </c>
      <c r="J103" s="87">
        <f>CALC_TRANSPORT!$BU$30</f>
        <v/>
      </c>
      <c r="L103" s="87">
        <f>CALC_TRANSPORT!$BV$30</f>
        <v/>
      </c>
    </row>
    <row r="104">
      <c r="B104" s="273">
        <f>CALC_TRANSPORT!$BR$31</f>
        <v/>
      </c>
      <c r="C104" s="252" t="n"/>
      <c r="D104" s="273">
        <f>CALC_TRANSPORT!$BS$31</f>
        <v/>
      </c>
      <c r="E104" s="252" t="n"/>
      <c r="F104" s="273">
        <f>CALC_TRANSPORT!$BT$31</f>
        <v/>
      </c>
      <c r="G104" s="252" t="n"/>
      <c r="H104" s="252" t="n"/>
      <c r="I104" s="252" t="n"/>
      <c r="J104" s="273">
        <f>CALC_TRANSPORT!$BU$31</f>
        <v/>
      </c>
      <c r="K104" s="252" t="n"/>
      <c r="L104" s="273">
        <f>CALC_TRANSPORT!$BV$31</f>
        <v/>
      </c>
      <c r="M104" s="252" t="n"/>
      <c r="N104" s="252" t="n"/>
      <c r="O104" s="252" t="n"/>
    </row>
    <row r="105">
      <c r="B105" s="87">
        <f>CALC_TRANSPORT!$BR$32</f>
        <v/>
      </c>
      <c r="D105" s="87">
        <f>CALC_TRANSPORT!$BS$32</f>
        <v/>
      </c>
      <c r="F105" s="87">
        <f>CALC_TRANSPORT!$BT$32</f>
        <v/>
      </c>
      <c r="J105" s="87">
        <f>CALC_TRANSPORT!$BU$32</f>
        <v/>
      </c>
      <c r="L105" s="87">
        <f>CALC_TRANSPORT!$BV$32</f>
        <v/>
      </c>
    </row>
    <row r="106">
      <c r="B106" s="273">
        <f>CALC_TRANSPORT!$BR$33</f>
        <v/>
      </c>
      <c r="C106" s="252" t="n"/>
      <c r="D106" s="273">
        <f>CALC_TRANSPORT!$BS$33</f>
        <v/>
      </c>
      <c r="E106" s="252" t="n"/>
      <c r="F106" s="273">
        <f>CALC_TRANSPORT!$BT$33</f>
        <v/>
      </c>
      <c r="G106" s="252" t="n"/>
      <c r="H106" s="252" t="n"/>
      <c r="I106" s="252" t="n"/>
      <c r="J106" s="273">
        <f>CALC_TRANSPORT!$BU$33</f>
        <v/>
      </c>
      <c r="K106" s="252" t="n"/>
      <c r="L106" s="273">
        <f>CALC_TRANSPORT!$BV$33</f>
        <v/>
      </c>
      <c r="M106" s="252" t="n"/>
      <c r="N106" s="252" t="n"/>
      <c r="O106" s="252" t="n"/>
    </row>
    <row r="107">
      <c r="B107" s="87">
        <f>CALC_TRANSPORT!$BR$34</f>
        <v/>
      </c>
      <c r="D107" s="87">
        <f>CALC_TRANSPORT!$BS$34</f>
        <v/>
      </c>
      <c r="F107" s="87">
        <f>CALC_TRANSPORT!$BT$34</f>
        <v/>
      </c>
      <c r="J107" s="87">
        <f>CALC_TRANSPORT!$BU$34</f>
        <v/>
      </c>
      <c r="L107" s="87">
        <f>CALC_TRANSPORT!$BV$34</f>
        <v/>
      </c>
    </row>
    <row r="108">
      <c r="B108" s="273">
        <f>CALC_TRANSPORT!$BR$35</f>
        <v/>
      </c>
      <c r="C108" s="252" t="n"/>
      <c r="D108" s="273">
        <f>CALC_TRANSPORT!$BS$35</f>
        <v/>
      </c>
      <c r="E108" s="252" t="n"/>
      <c r="F108" s="273">
        <f>CALC_TRANSPORT!$BT$35</f>
        <v/>
      </c>
      <c r="G108" s="252" t="n"/>
      <c r="H108" s="252" t="n"/>
      <c r="I108" s="252" t="n"/>
      <c r="J108" s="273">
        <f>CALC_TRANSPORT!$BU$35</f>
        <v/>
      </c>
      <c r="K108" s="252" t="n"/>
      <c r="L108" s="273">
        <f>CALC_TRANSPORT!$BV$35</f>
        <v/>
      </c>
      <c r="M108" s="252" t="n"/>
      <c r="N108" s="252" t="n"/>
      <c r="O108" s="252" t="n"/>
    </row>
    <row r="109">
      <c r="B109" s="87">
        <f>CALC_TRANSPORT!$BR$36</f>
        <v/>
      </c>
      <c r="D109" s="87">
        <f>CALC_TRANSPORT!$BS$36</f>
        <v/>
      </c>
      <c r="F109" s="87">
        <f>CALC_TRANSPORT!$BT$36</f>
        <v/>
      </c>
      <c r="J109" s="87">
        <f>CALC_TRANSPORT!$BU$36</f>
        <v/>
      </c>
      <c r="L109" s="87">
        <f>CALC_TRANSPORT!$BV$36</f>
        <v/>
      </c>
    </row>
    <row r="110">
      <c r="B110" s="273">
        <f>CALC_TRANSPORT!$BR$37</f>
        <v/>
      </c>
      <c r="C110" s="252" t="n"/>
      <c r="D110" s="273">
        <f>CALC_TRANSPORT!$BS$37</f>
        <v/>
      </c>
      <c r="E110" s="252" t="n"/>
      <c r="F110" s="273">
        <f>CALC_TRANSPORT!$BT$37</f>
        <v/>
      </c>
      <c r="G110" s="252" t="n"/>
      <c r="H110" s="252" t="n"/>
      <c r="I110" s="252" t="n"/>
      <c r="J110" s="273">
        <f>CALC_TRANSPORT!$BU$37</f>
        <v/>
      </c>
      <c r="K110" s="252" t="n"/>
      <c r="L110" s="273">
        <f>CALC_TRANSPORT!$BV$37</f>
        <v/>
      </c>
      <c r="M110" s="252" t="n"/>
      <c r="N110" s="252" t="n"/>
      <c r="O110" s="252" t="n"/>
    </row>
    <row r="111">
      <c r="B111" s="87">
        <f>CALC_TRANSPORT!$BR$38</f>
        <v/>
      </c>
      <c r="D111" s="87">
        <f>CALC_TRANSPORT!$BS$38</f>
        <v/>
      </c>
      <c r="F111" s="87">
        <f>CALC_TRANSPORT!$BT$38</f>
        <v/>
      </c>
      <c r="J111" s="87">
        <f>CALC_TRANSPORT!$BU$38</f>
        <v/>
      </c>
      <c r="L111" s="87">
        <f>CALC_TRANSPORT!$BV$38</f>
        <v/>
      </c>
    </row>
    <row r="112">
      <c r="B112" s="273">
        <f>CALC_TRANSPORT!$BR$39</f>
        <v/>
      </c>
      <c r="C112" s="252" t="n"/>
      <c r="D112" s="273">
        <f>CALC_TRANSPORT!$BS$39</f>
        <v/>
      </c>
      <c r="E112" s="252" t="n"/>
      <c r="F112" s="273">
        <f>CALC_TRANSPORT!$BT$39</f>
        <v/>
      </c>
      <c r="G112" s="252" t="n"/>
      <c r="H112" s="252" t="n"/>
      <c r="I112" s="252" t="n"/>
      <c r="J112" s="273">
        <f>CALC_TRANSPORT!$BU$39</f>
        <v/>
      </c>
      <c r="K112" s="252" t="n"/>
      <c r="L112" s="273">
        <f>CALC_TRANSPORT!$BV$39</f>
        <v/>
      </c>
      <c r="M112" s="252" t="n"/>
      <c r="N112" s="252" t="n"/>
      <c r="O112" s="252" t="n"/>
    </row>
    <row r="113">
      <c r="B113" s="87">
        <f>CALC_TRANSPORT!$BR$40</f>
        <v/>
      </c>
      <c r="D113" s="87">
        <f>CALC_TRANSPORT!$BS$40</f>
        <v/>
      </c>
      <c r="F113" s="87">
        <f>CALC_TRANSPORT!$BT$40</f>
        <v/>
      </c>
      <c r="J113" s="87">
        <f>CALC_TRANSPORT!$BU$40</f>
        <v/>
      </c>
      <c r="L113" s="87">
        <f>CALC_TRANSPORT!$BV$40</f>
        <v/>
      </c>
    </row>
    <row r="114">
      <c r="B114" s="273">
        <f>CALC_TRANSPORT!$BR$41</f>
        <v/>
      </c>
      <c r="C114" s="252" t="n"/>
      <c r="D114" s="273">
        <f>CALC_TRANSPORT!$BS$41</f>
        <v/>
      </c>
      <c r="E114" s="252" t="n"/>
      <c r="F114" s="273">
        <f>CALC_TRANSPORT!$BT$41</f>
        <v/>
      </c>
      <c r="G114" s="252" t="n"/>
      <c r="H114" s="252" t="n"/>
      <c r="I114" s="252" t="n"/>
      <c r="J114" s="273">
        <f>CALC_TRANSPORT!$BU$41</f>
        <v/>
      </c>
      <c r="K114" s="252" t="n"/>
      <c r="L114" s="273">
        <f>CALC_TRANSPORT!$BV$41</f>
        <v/>
      </c>
      <c r="M114" s="252" t="n"/>
      <c r="N114" s="252" t="n"/>
      <c r="O114" s="252" t="n"/>
    </row>
    <row r="115">
      <c r="B115" s="87">
        <f>CALC_TRANSPORT!$BR$42</f>
        <v/>
      </c>
      <c r="D115" s="87">
        <f>CALC_TRANSPORT!$BS$42</f>
        <v/>
      </c>
      <c r="F115" s="87">
        <f>CALC_TRANSPORT!$BT$42</f>
        <v/>
      </c>
      <c r="J115" s="87">
        <f>CALC_TRANSPORT!$BU$42</f>
        <v/>
      </c>
      <c r="L115" s="87">
        <f>CALC_TRANSPORT!$BV$42</f>
        <v/>
      </c>
    </row>
  </sheetData>
  <mergeCells count="285">
    <mergeCell ref="B91:C91"/>
    <mergeCell ref="D60:E60"/>
    <mergeCell ref="J82:K82"/>
    <mergeCell ref="B100:C100"/>
    <mergeCell ref="D100:E100"/>
    <mergeCell ref="H10:I10"/>
    <mergeCell ref="L96:O96"/>
    <mergeCell ref="J10:K10"/>
    <mergeCell ref="L90:O90"/>
    <mergeCell ref="L105:O105"/>
    <mergeCell ref="B115:C115"/>
    <mergeCell ref="D84:E84"/>
    <mergeCell ref="B93:C93"/>
    <mergeCell ref="L99:O99"/>
    <mergeCell ref="B31:C31"/>
    <mergeCell ref="F82:I82"/>
    <mergeCell ref="B102:C102"/>
    <mergeCell ref="B110:C110"/>
    <mergeCell ref="H9:I9"/>
    <mergeCell ref="J60:K60"/>
    <mergeCell ref="J9:K9"/>
    <mergeCell ref="B77:C77"/>
    <mergeCell ref="D77:E77"/>
    <mergeCell ref="B86:C86"/>
    <mergeCell ref="D108:E108"/>
    <mergeCell ref="D86:E86"/>
    <mergeCell ref="L77:O77"/>
    <mergeCell ref="L82:O82"/>
    <mergeCell ref="L91:O91"/>
    <mergeCell ref="B14:C14"/>
    <mergeCell ref="B101:C101"/>
    <mergeCell ref="F103:I103"/>
    <mergeCell ref="L67:O67"/>
    <mergeCell ref="J108:K108"/>
    <mergeCell ref="B13:C13"/>
    <mergeCell ref="L75:O75"/>
    <mergeCell ref="F84:I84"/>
    <mergeCell ref="B38:C38"/>
    <mergeCell ref="J86:K86"/>
    <mergeCell ref="B78:C78"/>
    <mergeCell ref="D7:E7"/>
    <mergeCell ref="J95:K95"/>
    <mergeCell ref="D78:E78"/>
    <mergeCell ref="B112:C112"/>
    <mergeCell ref="D112:E112"/>
    <mergeCell ref="L3:O3"/>
    <mergeCell ref="F86:I86"/>
    <mergeCell ref="F80:I80"/>
    <mergeCell ref="F95:I95"/>
    <mergeCell ref="D114:E114"/>
    <mergeCell ref="B24:C24"/>
    <mergeCell ref="F79:I79"/>
    <mergeCell ref="B33:C33"/>
    <mergeCell ref="B104:C104"/>
    <mergeCell ref="D115:E115"/>
    <mergeCell ref="D98:E98"/>
    <mergeCell ref="L102:O102"/>
    <mergeCell ref="F97:I97"/>
    <mergeCell ref="D113:E113"/>
    <mergeCell ref="L4:O4"/>
    <mergeCell ref="B32:C32"/>
    <mergeCell ref="L109:O109"/>
    <mergeCell ref="B26:C26"/>
    <mergeCell ref="D88:E88"/>
    <mergeCell ref="F81:I81"/>
    <mergeCell ref="C3:D3"/>
    <mergeCell ref="B35:C35"/>
    <mergeCell ref="J110:K110"/>
    <mergeCell ref="B106:C106"/>
    <mergeCell ref="L79:O79"/>
    <mergeCell ref="B16:C16"/>
    <mergeCell ref="F96:I96"/>
    <mergeCell ref="D10:E10"/>
    <mergeCell ref="L7:M7"/>
    <mergeCell ref="B25:C25"/>
    <mergeCell ref="F10:G10"/>
    <mergeCell ref="N7:O7"/>
    <mergeCell ref="B90:C90"/>
    <mergeCell ref="D90:E90"/>
    <mergeCell ref="F105:I105"/>
    <mergeCell ref="D99:E99"/>
    <mergeCell ref="J88:K88"/>
    <mergeCell ref="L81:O81"/>
    <mergeCell ref="B18:C18"/>
    <mergeCell ref="B27:C27"/>
    <mergeCell ref="J93:K93"/>
    <mergeCell ref="F98:I98"/>
    <mergeCell ref="J102:K102"/>
    <mergeCell ref="F107:I107"/>
    <mergeCell ref="C4:D4"/>
    <mergeCell ref="L65:O65"/>
    <mergeCell ref="J77:K77"/>
    <mergeCell ref="D101:E101"/>
    <mergeCell ref="F88:I88"/>
    <mergeCell ref="L110:O110"/>
    <mergeCell ref="J99:K99"/>
    <mergeCell ref="D76:E76"/>
    <mergeCell ref="J83:K83"/>
    <mergeCell ref="L107:O107"/>
    <mergeCell ref="D75:E75"/>
    <mergeCell ref="F99:I99"/>
    <mergeCell ref="J101:K101"/>
    <mergeCell ref="F108:I108"/>
    <mergeCell ref="L66:O66"/>
    <mergeCell ref="B29:C29"/>
    <mergeCell ref="J103:K103"/>
    <mergeCell ref="F83:I83"/>
    <mergeCell ref="J85:K85"/>
    <mergeCell ref="B37:C37"/>
    <mergeCell ref="J100:K100"/>
    <mergeCell ref="J94:K94"/>
    <mergeCell ref="B103:C103"/>
    <mergeCell ref="D103:E103"/>
    <mergeCell ref="L106:O106"/>
    <mergeCell ref="B84:C84"/>
    <mergeCell ref="J75:K75"/>
    <mergeCell ref="L68:O68"/>
    <mergeCell ref="L93:O93"/>
    <mergeCell ref="D9:E9"/>
    <mergeCell ref="F9:G9"/>
    <mergeCell ref="F85:I85"/>
    <mergeCell ref="J114:K114"/>
    <mergeCell ref="B74:O74"/>
    <mergeCell ref="F94:I94"/>
    <mergeCell ref="L83:O83"/>
    <mergeCell ref="D110:E110"/>
    <mergeCell ref="B15:C15"/>
    <mergeCell ref="L92:O92"/>
    <mergeCell ref="F75:I75"/>
    <mergeCell ref="B80:C80"/>
    <mergeCell ref="B95:C95"/>
    <mergeCell ref="F109:I109"/>
    <mergeCell ref="B89:C89"/>
    <mergeCell ref="D89:E89"/>
    <mergeCell ref="B5:O5"/>
    <mergeCell ref="B79:C79"/>
    <mergeCell ref="L85:O85"/>
    <mergeCell ref="D79:E79"/>
    <mergeCell ref="L94:O94"/>
    <mergeCell ref="J97:K97"/>
    <mergeCell ref="B97:C97"/>
    <mergeCell ref="F111:I111"/>
    <mergeCell ref="L69:O69"/>
    <mergeCell ref="L84:O84"/>
    <mergeCell ref="J111:K111"/>
    <mergeCell ref="B7:C7"/>
    <mergeCell ref="J81:K81"/>
    <mergeCell ref="B81:C81"/>
    <mergeCell ref="D81:E81"/>
    <mergeCell ref="B96:C96"/>
    <mergeCell ref="D96:E96"/>
    <mergeCell ref="L80:O80"/>
    <mergeCell ref="B105:C105"/>
    <mergeCell ref="F7:G7"/>
    <mergeCell ref="D105:E105"/>
    <mergeCell ref="L61:O61"/>
    <mergeCell ref="L70:O70"/>
    <mergeCell ref="B98:C98"/>
    <mergeCell ref="H60:I60"/>
    <mergeCell ref="F87:I87"/>
    <mergeCell ref="J89:K89"/>
    <mergeCell ref="B107:C107"/>
    <mergeCell ref="B60:C60"/>
    <mergeCell ref="D107:E107"/>
    <mergeCell ref="B17:C17"/>
    <mergeCell ref="L8:M8"/>
    <mergeCell ref="B88:C88"/>
    <mergeCell ref="L98:O98"/>
    <mergeCell ref="N8:O8"/>
    <mergeCell ref="B82:C82"/>
    <mergeCell ref="L112:O112"/>
    <mergeCell ref="F8:G8"/>
    <mergeCell ref="D91:E91"/>
    <mergeCell ref="F89:I89"/>
    <mergeCell ref="B19:C19"/>
    <mergeCell ref="B34:C34"/>
    <mergeCell ref="L10:M10"/>
    <mergeCell ref="D106:E106"/>
    <mergeCell ref="B28:C28"/>
    <mergeCell ref="N10:O10"/>
    <mergeCell ref="B99:C99"/>
    <mergeCell ref="D93:E93"/>
    <mergeCell ref="B108:C108"/>
    <mergeCell ref="D102:E102"/>
    <mergeCell ref="B9:C9"/>
    <mergeCell ref="J91:K91"/>
    <mergeCell ref="J113:K113"/>
    <mergeCell ref="F114:I114"/>
    <mergeCell ref="B83:C83"/>
    <mergeCell ref="L9:M9"/>
    <mergeCell ref="D83:E83"/>
    <mergeCell ref="N9:O9"/>
    <mergeCell ref="F76:I76"/>
    <mergeCell ref="B30:C30"/>
    <mergeCell ref="B92:C92"/>
    <mergeCell ref="D92:E92"/>
    <mergeCell ref="F101:I101"/>
    <mergeCell ref="J106:K106"/>
    <mergeCell ref="F110:I110"/>
    <mergeCell ref="L88:O88"/>
    <mergeCell ref="J115:K115"/>
    <mergeCell ref="B20:C20"/>
    <mergeCell ref="B76:C76"/>
    <mergeCell ref="F91:I91"/>
    <mergeCell ref="B85:C85"/>
    <mergeCell ref="F100:I100"/>
    <mergeCell ref="E4:G4"/>
    <mergeCell ref="D85:E85"/>
    <mergeCell ref="B94:C94"/>
    <mergeCell ref="D94:E94"/>
    <mergeCell ref="L76:O76"/>
    <mergeCell ref="B75:C75"/>
    <mergeCell ref="J92:K92"/>
    <mergeCell ref="F115:I115"/>
    <mergeCell ref="F93:I93"/>
    <mergeCell ref="B109:C109"/>
    <mergeCell ref="D109:E109"/>
    <mergeCell ref="F102:I102"/>
    <mergeCell ref="L113:O113"/>
    <mergeCell ref="L60:O60"/>
    <mergeCell ref="L100:O100"/>
    <mergeCell ref="F77:I77"/>
    <mergeCell ref="J112:K112"/>
    <mergeCell ref="F92:I92"/>
    <mergeCell ref="D80:E80"/>
    <mergeCell ref="D111:E111"/>
    <mergeCell ref="L115:O115"/>
    <mergeCell ref="J84:K84"/>
    <mergeCell ref="J78:K78"/>
    <mergeCell ref="B39:C39"/>
    <mergeCell ref="J87:K87"/>
    <mergeCell ref="L111:O111"/>
    <mergeCell ref="D95:E95"/>
    <mergeCell ref="D104:E104"/>
    <mergeCell ref="L108:O108"/>
    <mergeCell ref="L86:O86"/>
    <mergeCell ref="B111:C111"/>
    <mergeCell ref="L95:O95"/>
    <mergeCell ref="B23:C23"/>
    <mergeCell ref="J98:K98"/>
    <mergeCell ref="F78:I78"/>
    <mergeCell ref="J80:K80"/>
    <mergeCell ref="J107:K107"/>
    <mergeCell ref="F112:I112"/>
    <mergeCell ref="D97:E97"/>
    <mergeCell ref="L101:O101"/>
    <mergeCell ref="B8:C8"/>
    <mergeCell ref="I3:J3"/>
    <mergeCell ref="J79:K79"/>
    <mergeCell ref="L103:O103"/>
    <mergeCell ref="B87:C87"/>
    <mergeCell ref="L97:O97"/>
    <mergeCell ref="J104:K104"/>
    <mergeCell ref="D87:E87"/>
    <mergeCell ref="H7:I7"/>
    <mergeCell ref="L78:O78"/>
    <mergeCell ref="B10:C10"/>
    <mergeCell ref="J7:K7"/>
    <mergeCell ref="L87:O87"/>
    <mergeCell ref="E3:G3"/>
    <mergeCell ref="F104:I104"/>
    <mergeCell ref="L62:O62"/>
    <mergeCell ref="J109:K109"/>
    <mergeCell ref="F113:I113"/>
    <mergeCell ref="J96:K96"/>
    <mergeCell ref="D8:E8"/>
    <mergeCell ref="B40:O40"/>
    <mergeCell ref="J90:K90"/>
    <mergeCell ref="J105:K105"/>
    <mergeCell ref="I4:J4"/>
    <mergeCell ref="L89:O89"/>
    <mergeCell ref="D82:E82"/>
    <mergeCell ref="F106:I106"/>
    <mergeCell ref="L64:O64"/>
    <mergeCell ref="B114:C114"/>
    <mergeCell ref="F60:G60"/>
    <mergeCell ref="L104:O104"/>
    <mergeCell ref="J76:K76"/>
    <mergeCell ref="B36:C36"/>
    <mergeCell ref="F90:I90"/>
    <mergeCell ref="H8:I8"/>
    <mergeCell ref="J8:K8"/>
    <mergeCell ref="L114:O114"/>
    <mergeCell ref="L63:O63"/>
    <mergeCell ref="B113:C113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1">
      <formula>LEFT(H9,1)="▲"</formula>
    </cfRule>
    <cfRule type="expression" priority="11" dxfId="0">
      <formula>LEFT(H9,1)="▼"</formula>
    </cfRule>
  </conditionalFormatting>
  <conditionalFormatting sqref="J9">
    <cfRule type="expression" priority="12" dxfId="1">
      <formula>LEFT(J9,1)="▲"</formula>
    </cfRule>
    <cfRule type="expression" priority="13" dxfId="0">
      <formula>LEFT(J9,1)="▼"</formula>
    </cfRule>
  </conditionalFormatting>
  <conditionalFormatting sqref="L9">
    <cfRule type="expression" priority="14" dxfId="1">
      <formula>LEFT(L9,1)="▲"</formula>
    </cfRule>
    <cfRule type="expression" priority="15" dxfId="0">
      <formula>LEFT(L9,1)="▼"</formula>
    </cfRule>
  </conditionalFormatting>
  <conditionalFormatting sqref="N9">
    <cfRule type="expression" priority="16" dxfId="1">
      <formula>LEFT(N9,1)="▲"</formula>
    </cfRule>
    <cfRule type="expression" priority="17" dxfId="0">
      <formula>LEFT(N9,1)="▼"</formula>
    </cfRule>
  </conditionalFormatting>
  <conditionalFormatting sqref="I14:I20">
    <cfRule type="expression" priority="18" dxfId="2">
      <formula>AND(ISNUMBER(I14),I14&gt;=RAG_Green)</formula>
    </cfRule>
    <cfRule type="expression" priority="19" dxfId="3">
      <formula>AND(ISNUMBER(I14),I14&gt;=RAG_Amber,I14&lt;RAG_Green)</formula>
    </cfRule>
    <cfRule type="expression" priority="20" dxfId="4">
      <formula>AND(ISNUMBER(I14),I14&lt;RAG_Amber)</formula>
    </cfRule>
  </conditionalFormatting>
  <conditionalFormatting sqref="N14:N20">
    <cfRule type="expression" priority="21" dxfId="5">
      <formula>AND(ISNUMBER(N14),N14&gt;0)</formula>
    </cfRule>
    <cfRule type="expression" priority="22" dxfId="6">
      <formula>AND(ISNUMBER(N14),N14&lt;0)</formula>
    </cfRule>
  </conditionalFormatting>
  <conditionalFormatting sqref="K14:K17">
    <cfRule type="dataBar" priority="23">
      <dataBar>
        <cfvo type="num" val="0"/>
        <cfvo type="max"/>
        <color rgb="00E6A46A"/>
      </dataBar>
    </cfRule>
  </conditionalFormatting>
  <conditionalFormatting sqref="F24">
    <cfRule type="expression" priority="24" dxfId="5">
      <formula>AND(ISNUMBER(F24),F24&gt;0)</formula>
    </cfRule>
    <cfRule type="expression" priority="25" dxfId="6">
      <formula>AND(ISNUMBER(F24),F24&lt;0)</formula>
    </cfRule>
  </conditionalFormatting>
  <conditionalFormatting sqref="G24">
    <cfRule type="expression" priority="26" dxfId="5">
      <formula>AND(ISNUMBER(G24),G24&gt;0)</formula>
    </cfRule>
    <cfRule type="expression" priority="27" dxfId="6">
      <formula>AND(ISNUMBER(G24),G24&lt;0)</formula>
    </cfRule>
  </conditionalFormatting>
  <conditionalFormatting sqref="I24">
    <cfRule type="expression" priority="28" dxfId="5">
      <formula>AND(ISNUMBER(I24),I24&gt;0)</formula>
    </cfRule>
    <cfRule type="expression" priority="29" dxfId="6">
      <formula>AND(ISNUMBER(I24),I24&lt;0)</formula>
    </cfRule>
  </conditionalFormatting>
  <conditionalFormatting sqref="F25">
    <cfRule type="expression" priority="30" dxfId="5">
      <formula>AND(ISNUMBER(F25),F25&gt;0)</formula>
    </cfRule>
    <cfRule type="expression" priority="31" dxfId="6">
      <formula>AND(ISNUMBER(F25),F25&lt;0)</formula>
    </cfRule>
  </conditionalFormatting>
  <conditionalFormatting sqref="G25">
    <cfRule type="expression" priority="32" dxfId="5">
      <formula>AND(ISNUMBER(G25),G25&gt;0)</formula>
    </cfRule>
    <cfRule type="expression" priority="33" dxfId="6">
      <formula>AND(ISNUMBER(G25),G25&lt;0)</formula>
    </cfRule>
  </conditionalFormatting>
  <conditionalFormatting sqref="I25">
    <cfRule type="expression" priority="34" dxfId="5">
      <formula>AND(ISNUMBER(I25),I25&gt;0)</formula>
    </cfRule>
    <cfRule type="expression" priority="35" dxfId="6">
      <formula>AND(ISNUMBER(I25),I25&lt;0)</formula>
    </cfRule>
  </conditionalFormatting>
  <conditionalFormatting sqref="F26">
    <cfRule type="expression" priority="36" dxfId="5">
      <formula>AND(ISNUMBER(F26),F26&gt;0)</formula>
    </cfRule>
    <cfRule type="expression" priority="37" dxfId="6">
      <formula>AND(ISNUMBER(F26),F26&lt;0)</formula>
    </cfRule>
  </conditionalFormatting>
  <conditionalFormatting sqref="G26">
    <cfRule type="expression" priority="38" dxfId="5">
      <formula>AND(ISNUMBER(G26),G26&gt;0)</formula>
    </cfRule>
    <cfRule type="expression" priority="39" dxfId="6">
      <formula>AND(ISNUMBER(G26),G26&lt;0)</formula>
    </cfRule>
  </conditionalFormatting>
  <conditionalFormatting sqref="I26">
    <cfRule type="expression" priority="40" dxfId="5">
      <formula>AND(ISNUMBER(I26),I26&gt;0)</formula>
    </cfRule>
    <cfRule type="expression" priority="41" dxfId="6">
      <formula>AND(ISNUMBER(I26),I26&lt;0)</formula>
    </cfRule>
  </conditionalFormatting>
  <conditionalFormatting sqref="F27">
    <cfRule type="expression" priority="42" dxfId="5">
      <formula>AND(ISNUMBER(F27),F27&gt;0)</formula>
    </cfRule>
    <cfRule type="expression" priority="43" dxfId="6">
      <formula>AND(ISNUMBER(F27),F27&lt;0)</formula>
    </cfRule>
  </conditionalFormatting>
  <conditionalFormatting sqref="G27">
    <cfRule type="expression" priority="44" dxfId="5">
      <formula>AND(ISNUMBER(G27),G27&gt;0)</formula>
    </cfRule>
    <cfRule type="expression" priority="45" dxfId="6">
      <formula>AND(ISNUMBER(G27),G27&lt;0)</formula>
    </cfRule>
  </conditionalFormatting>
  <conditionalFormatting sqref="I27">
    <cfRule type="expression" priority="46" dxfId="5">
      <formula>AND(ISNUMBER(I27),I27&gt;0)</formula>
    </cfRule>
    <cfRule type="expression" priority="47" dxfId="6">
      <formula>AND(ISNUMBER(I27),I27&lt;0)</formula>
    </cfRule>
  </conditionalFormatting>
  <conditionalFormatting sqref="F28">
    <cfRule type="expression" priority="48" dxfId="5">
      <formula>AND(ISNUMBER(F28),F28&gt;0)</formula>
    </cfRule>
    <cfRule type="expression" priority="49" dxfId="6">
      <formula>AND(ISNUMBER(F28),F28&lt;0)</formula>
    </cfRule>
  </conditionalFormatting>
  <conditionalFormatting sqref="G28">
    <cfRule type="expression" priority="50" dxfId="5">
      <formula>AND(ISNUMBER(G28),G28&gt;0)</formula>
    </cfRule>
    <cfRule type="expression" priority="51" dxfId="6">
      <formula>AND(ISNUMBER(G28),G28&lt;0)</formula>
    </cfRule>
  </conditionalFormatting>
  <conditionalFormatting sqref="I28">
    <cfRule type="expression" priority="52" dxfId="5">
      <formula>AND(ISNUMBER(I28),I28&gt;0)</formula>
    </cfRule>
    <cfRule type="expression" priority="53" dxfId="6">
      <formula>AND(ISNUMBER(I28),I28&lt;0)</formula>
    </cfRule>
  </conditionalFormatting>
  <conditionalFormatting sqref="F29">
    <cfRule type="expression" priority="54" dxfId="5">
      <formula>AND(ISNUMBER(F29),F29&gt;0)</formula>
    </cfRule>
    <cfRule type="expression" priority="55" dxfId="6">
      <formula>AND(ISNUMBER(F29),F29&lt;0)</formula>
    </cfRule>
  </conditionalFormatting>
  <conditionalFormatting sqref="G29">
    <cfRule type="expression" priority="56" dxfId="5">
      <formula>AND(ISNUMBER(G29),G29&gt;0)</formula>
    </cfRule>
    <cfRule type="expression" priority="57" dxfId="6">
      <formula>AND(ISNUMBER(G29),G29&lt;0)</formula>
    </cfRule>
  </conditionalFormatting>
  <conditionalFormatting sqref="I29">
    <cfRule type="expression" priority="58" dxfId="5">
      <formula>AND(ISNUMBER(I29),I29&gt;0)</formula>
    </cfRule>
    <cfRule type="expression" priority="59" dxfId="6">
      <formula>AND(ISNUMBER(I29),I29&lt;0)</formula>
    </cfRule>
  </conditionalFormatting>
  <conditionalFormatting sqref="D29:E29">
    <cfRule type="expression" priority="60" dxfId="2">
      <formula>AND(ISNUMBER(D29),D29&gt;=RAG_Green)</formula>
    </cfRule>
    <cfRule type="expression" priority="61" dxfId="3">
      <formula>AND(ISNUMBER(D29),D29&gt;=RAG_Amber,D29&lt;RAG_Green)</formula>
    </cfRule>
    <cfRule type="expression" priority="62" dxfId="4">
      <formula>AND(ISNUMBER(D29),D29&lt;RAG_Amber)</formula>
    </cfRule>
  </conditionalFormatting>
  <conditionalFormatting sqref="F30">
    <cfRule type="expression" priority="63" dxfId="5">
      <formula>AND(ISNUMBER(F30),F30&gt;0)</formula>
    </cfRule>
    <cfRule type="expression" priority="64" dxfId="6">
      <formula>AND(ISNUMBER(F30),F30&lt;0)</formula>
    </cfRule>
  </conditionalFormatting>
  <conditionalFormatting sqref="G30">
    <cfRule type="expression" priority="65" dxfId="5">
      <formula>AND(ISNUMBER(G30),G30&gt;0)</formula>
    </cfRule>
    <cfRule type="expression" priority="66" dxfId="6">
      <formula>AND(ISNUMBER(G30),G30&lt;0)</formula>
    </cfRule>
  </conditionalFormatting>
  <conditionalFormatting sqref="I30">
    <cfRule type="expression" priority="67" dxfId="5">
      <formula>AND(ISNUMBER(I30),I30&gt;0)</formula>
    </cfRule>
    <cfRule type="expression" priority="68" dxfId="6">
      <formula>AND(ISNUMBER(I30),I30&lt;0)</formula>
    </cfRule>
  </conditionalFormatting>
  <conditionalFormatting sqref="F31">
    <cfRule type="expression" priority="69" dxfId="5">
      <formula>AND(ISNUMBER(F31),F31&gt;0)</formula>
    </cfRule>
    <cfRule type="expression" priority="70" dxfId="6">
      <formula>AND(ISNUMBER(F31),F31&lt;0)</formula>
    </cfRule>
  </conditionalFormatting>
  <conditionalFormatting sqref="G31">
    <cfRule type="expression" priority="71" dxfId="5">
      <formula>AND(ISNUMBER(G31),G31&gt;0)</formula>
    </cfRule>
    <cfRule type="expression" priority="72" dxfId="6">
      <formula>AND(ISNUMBER(G31),G31&lt;0)</formula>
    </cfRule>
  </conditionalFormatting>
  <conditionalFormatting sqref="I31">
    <cfRule type="expression" priority="73" dxfId="5">
      <formula>AND(ISNUMBER(I31),I31&gt;0)</formula>
    </cfRule>
    <cfRule type="expression" priority="74" dxfId="6">
      <formula>AND(ISNUMBER(I31),I31&lt;0)</formula>
    </cfRule>
  </conditionalFormatting>
  <conditionalFormatting sqref="F32">
    <cfRule type="expression" priority="75" dxfId="5">
      <formula>AND(ISNUMBER(F32),F32&gt;0)</formula>
    </cfRule>
    <cfRule type="expression" priority="76" dxfId="6">
      <formula>AND(ISNUMBER(F32),F32&lt;0)</formula>
    </cfRule>
  </conditionalFormatting>
  <conditionalFormatting sqref="G32">
    <cfRule type="expression" priority="77" dxfId="5">
      <formula>AND(ISNUMBER(G32),G32&gt;0)</formula>
    </cfRule>
    <cfRule type="expression" priority="78" dxfId="6">
      <formula>AND(ISNUMBER(G32),G32&lt;0)</formula>
    </cfRule>
  </conditionalFormatting>
  <conditionalFormatting sqref="I32">
    <cfRule type="expression" priority="79" dxfId="5">
      <formula>AND(ISNUMBER(I32),I32&gt;0)</formula>
    </cfRule>
    <cfRule type="expression" priority="80" dxfId="6">
      <formula>AND(ISNUMBER(I32),I32&lt;0)</formula>
    </cfRule>
  </conditionalFormatting>
  <conditionalFormatting sqref="F33">
    <cfRule type="expression" priority="81" dxfId="5">
      <formula>AND(ISNUMBER(F33),F33&gt;0)</formula>
    </cfRule>
    <cfRule type="expression" priority="82" dxfId="6">
      <formula>AND(ISNUMBER(F33),F33&lt;0)</formula>
    </cfRule>
  </conditionalFormatting>
  <conditionalFormatting sqref="G33">
    <cfRule type="expression" priority="83" dxfId="5">
      <formula>AND(ISNUMBER(G33),G33&gt;0)</formula>
    </cfRule>
    <cfRule type="expression" priority="84" dxfId="6">
      <formula>AND(ISNUMBER(G33),G33&lt;0)</formula>
    </cfRule>
  </conditionalFormatting>
  <conditionalFormatting sqref="I33">
    <cfRule type="expression" priority="85" dxfId="5">
      <formula>AND(ISNUMBER(I33),I33&gt;0)</formula>
    </cfRule>
    <cfRule type="expression" priority="86" dxfId="6">
      <formula>AND(ISNUMBER(I33),I33&lt;0)</formula>
    </cfRule>
  </conditionalFormatting>
  <conditionalFormatting sqref="F34">
    <cfRule type="expression" priority="87" dxfId="5">
      <formula>AND(ISNUMBER(F34),F34&gt;0)</formula>
    </cfRule>
    <cfRule type="expression" priority="88" dxfId="6">
      <formula>AND(ISNUMBER(F34),F34&lt;0)</formula>
    </cfRule>
  </conditionalFormatting>
  <conditionalFormatting sqref="G34">
    <cfRule type="expression" priority="89" dxfId="5">
      <formula>AND(ISNUMBER(G34),G34&gt;0)</formula>
    </cfRule>
    <cfRule type="expression" priority="90" dxfId="6">
      <formula>AND(ISNUMBER(G34),G34&lt;0)</formula>
    </cfRule>
  </conditionalFormatting>
  <conditionalFormatting sqref="I34">
    <cfRule type="expression" priority="91" dxfId="5">
      <formula>AND(ISNUMBER(I34),I34&gt;0)</formula>
    </cfRule>
    <cfRule type="expression" priority="92" dxfId="6">
      <formula>AND(ISNUMBER(I34),I34&lt;0)</formula>
    </cfRule>
  </conditionalFormatting>
  <conditionalFormatting sqref="F35">
    <cfRule type="expression" priority="93" dxfId="5">
      <formula>AND(ISNUMBER(F35),F35&gt;0)</formula>
    </cfRule>
    <cfRule type="expression" priority="94" dxfId="6">
      <formula>AND(ISNUMBER(F35),F35&lt;0)</formula>
    </cfRule>
  </conditionalFormatting>
  <conditionalFormatting sqref="G35">
    <cfRule type="expression" priority="95" dxfId="5">
      <formula>AND(ISNUMBER(G35),G35&gt;0)</formula>
    </cfRule>
    <cfRule type="expression" priority="96" dxfId="6">
      <formula>AND(ISNUMBER(G35),G35&lt;0)</formula>
    </cfRule>
  </conditionalFormatting>
  <conditionalFormatting sqref="I35">
    <cfRule type="expression" priority="97" dxfId="5">
      <formula>AND(ISNUMBER(I35),I35&gt;0)</formula>
    </cfRule>
    <cfRule type="expression" priority="98" dxfId="6">
      <formula>AND(ISNUMBER(I35),I35&lt;0)</formula>
    </cfRule>
  </conditionalFormatting>
  <conditionalFormatting sqref="F36">
    <cfRule type="expression" priority="99" dxfId="5">
      <formula>AND(ISNUMBER(F36),F36&gt;0)</formula>
    </cfRule>
    <cfRule type="expression" priority="100" dxfId="6">
      <formula>AND(ISNUMBER(F36),F36&lt;0)</formula>
    </cfRule>
  </conditionalFormatting>
  <conditionalFormatting sqref="G36">
    <cfRule type="expression" priority="101" dxfId="5">
      <formula>AND(ISNUMBER(G36),G36&gt;0)</formula>
    </cfRule>
    <cfRule type="expression" priority="102" dxfId="6">
      <formula>AND(ISNUMBER(G36),G36&lt;0)</formula>
    </cfRule>
  </conditionalFormatting>
  <conditionalFormatting sqref="I36">
    <cfRule type="expression" priority="103" dxfId="5">
      <formula>AND(ISNUMBER(I36),I36&gt;0)</formula>
    </cfRule>
    <cfRule type="expression" priority="104" dxfId="6">
      <formula>AND(ISNUMBER(I36),I36&lt;0)</formula>
    </cfRule>
  </conditionalFormatting>
  <conditionalFormatting sqref="F37">
    <cfRule type="expression" priority="105" dxfId="5">
      <formula>AND(ISNUMBER(F37),F37&gt;0)</formula>
    </cfRule>
    <cfRule type="expression" priority="106" dxfId="6">
      <formula>AND(ISNUMBER(F37),F37&lt;0)</formula>
    </cfRule>
  </conditionalFormatting>
  <conditionalFormatting sqref="G37">
    <cfRule type="expression" priority="107" dxfId="5">
      <formula>AND(ISNUMBER(G37),G37&gt;0)</formula>
    </cfRule>
    <cfRule type="expression" priority="108" dxfId="6">
      <formula>AND(ISNUMBER(G37),G37&lt;0)</formula>
    </cfRule>
  </conditionalFormatting>
  <conditionalFormatting sqref="I37">
    <cfRule type="expression" priority="109" dxfId="5">
      <formula>AND(ISNUMBER(I37),I37&gt;0)</formula>
    </cfRule>
    <cfRule type="expression" priority="110" dxfId="6">
      <formula>AND(ISNUMBER(I37),I37&lt;0)</formula>
    </cfRule>
  </conditionalFormatting>
  <conditionalFormatting sqref="F38">
    <cfRule type="expression" priority="111" dxfId="5">
      <formula>AND(ISNUMBER(F38),F38&gt;0)</formula>
    </cfRule>
    <cfRule type="expression" priority="112" dxfId="6">
      <formula>AND(ISNUMBER(F38),F38&lt;0)</formula>
    </cfRule>
  </conditionalFormatting>
  <conditionalFormatting sqref="G38">
    <cfRule type="expression" priority="113" dxfId="5">
      <formula>AND(ISNUMBER(G38),G38&gt;0)</formula>
    </cfRule>
    <cfRule type="expression" priority="114" dxfId="6">
      <formula>AND(ISNUMBER(G38),G38&lt;0)</formula>
    </cfRule>
  </conditionalFormatting>
  <conditionalFormatting sqref="I38">
    <cfRule type="expression" priority="115" dxfId="5">
      <formula>AND(ISNUMBER(I38),I38&gt;0)</formula>
    </cfRule>
    <cfRule type="expression" priority="116" dxfId="6">
      <formula>AND(ISNUMBER(I38),I38&lt;0)</formula>
    </cfRule>
  </conditionalFormatting>
  <conditionalFormatting sqref="F39">
    <cfRule type="expression" priority="117" dxfId="5">
      <formula>AND(ISNUMBER(F39),F39&gt;0)</formula>
    </cfRule>
    <cfRule type="expression" priority="118" dxfId="6">
      <formula>AND(ISNUMBER(F39),F39&lt;0)</formula>
    </cfRule>
  </conditionalFormatting>
  <conditionalFormatting sqref="G39">
    <cfRule type="expression" priority="119" dxfId="5">
      <formula>AND(ISNUMBER(G39),G39&gt;0)</formula>
    </cfRule>
    <cfRule type="expression" priority="120" dxfId="6">
      <formula>AND(ISNUMBER(G39),G39&lt;0)</formula>
    </cfRule>
  </conditionalFormatting>
  <conditionalFormatting sqref="I39">
    <cfRule type="expression" priority="121" dxfId="5">
      <formula>AND(ISNUMBER(I39),I39&gt;0)</formula>
    </cfRule>
    <cfRule type="expression" priority="122" dxfId="6">
      <formula>AND(ISNUMBER(I39),I39&lt;0)</formula>
    </cfRule>
  </conditionalFormatting>
  <conditionalFormatting sqref="C61:C70">
    <cfRule type="dataBar" priority="123">
      <dataBar>
        <cfvo type="num" val="0"/>
        <cfvo type="max"/>
        <color rgb="00E6A46A"/>
      </dataBar>
    </cfRule>
  </conditionalFormatting>
  <conditionalFormatting sqref="E61:E70">
    <cfRule type="expression" priority="124" dxfId="2">
      <formula>AND(ISNUMBER(E61),E61&gt;=RAG_Green)</formula>
    </cfRule>
    <cfRule type="expression" priority="125" dxfId="3">
      <formula>AND(ISNUMBER(E61),E61&gt;=RAG_Amber,E61&lt;RAG_Green)</formula>
    </cfRule>
    <cfRule type="expression" priority="126" dxfId="4">
      <formula>AND(ISNUMBER(E61),E61&lt;RAG_Amber)</formula>
    </cfRule>
  </conditionalFormatting>
  <conditionalFormatting sqref="G61:G70">
    <cfRule type="dataBar" priority="127">
      <dataBar>
        <cfvo type="num" val="0"/>
        <cfvo type="max"/>
        <color rgb="00E6A46A"/>
      </dataBar>
    </cfRule>
  </conditionalFormatting>
  <conditionalFormatting sqref="I61:I70">
    <cfRule type="dataBar" priority="128">
      <dataBar>
        <cfvo type="num" val="0"/>
        <cfvo type="max"/>
        <color rgb="00E6A46A"/>
      </dataBar>
    </cfRule>
  </conditionalFormatting>
  <conditionalFormatting sqref="K61:K70">
    <cfRule type="dataBar" priority="129">
      <dataBar>
        <cfvo type="num" val="0"/>
        <cfvo type="max"/>
        <color rgb="00E6A46A"/>
      </dataBar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=TRANSPORT_SelectList</formula1>
    </dataValidation>
    <dataValidation sqref="I4" showDropDown="0" showInputMessage="0" showErrorMessage="1" allowBlank="1" errorTitle="Week ending" error="Pick 'Latest' or a week from the list." type="list">
      <formula1>=TRANSPORT_WeekList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6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274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275" t="inlineStr">
        <is>
          <t>⌂ HOME</t>
        </is>
      </c>
      <c r="J1" s="25" t="n"/>
      <c r="K1" s="25" t="n"/>
    </row>
    <row r="2">
      <c r="A2" s="25" t="n"/>
      <c r="B2" s="276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277" t="inlineStr">
        <is>
          <t>Issues by type</t>
        </is>
      </c>
      <c r="C4" s="278" t="n"/>
      <c r="D4" s="278" t="n"/>
      <c r="E4" s="278" t="n"/>
      <c r="F4" s="278" t="n"/>
      <c r="G4" s="278" t="n"/>
      <c r="H4" s="278" t="n"/>
      <c r="I4" s="278" t="n"/>
    </row>
    <row r="5">
      <c r="B5" s="279" t="inlineStr">
        <is>
          <t>Stream</t>
        </is>
      </c>
      <c r="C5" s="279" t="inlineStr">
        <is>
          <t>Severity</t>
        </is>
      </c>
      <c r="D5" s="279" t="inlineStr">
        <is>
          <t>Issue</t>
        </is>
      </c>
      <c r="E5" s="279" t="inlineStr">
        <is>
          <t>Rows</t>
        </is>
      </c>
    </row>
    <row r="6">
      <c r="B6" s="87" t="inlineStr">
        <is>
          <t>–</t>
        </is>
      </c>
      <c r="C6" s="280" t="inlineStr">
        <is>
          <t>–</t>
        </is>
      </c>
      <c r="D6" s="87" t="inlineStr">
        <is>
          <t>No issues logged</t>
        </is>
      </c>
      <c r="E6" s="93" t="n">
        <v>0</v>
      </c>
    </row>
    <row r="8" ht="22" customHeight="1">
      <c r="B8" s="277" t="inlineStr">
        <is>
          <t>Stream coverage</t>
        </is>
      </c>
      <c r="C8" s="278" t="n"/>
      <c r="D8" s="278" t="n"/>
      <c r="E8" s="278" t="n"/>
      <c r="F8" s="278" t="n"/>
      <c r="G8" s="278" t="n"/>
      <c r="H8" s="278" t="n"/>
      <c r="I8" s="278" t="n"/>
    </row>
    <row r="9">
      <c r="B9" s="279" t="inlineStr">
        <is>
          <t>Stream</t>
        </is>
      </c>
      <c r="C9" s="279" t="inlineStr">
        <is>
          <t>First week</t>
        </is>
      </c>
      <c r="D9" s="279" t="inlineStr">
        <is>
          <t>Latest week</t>
        </is>
      </c>
      <c r="E9" s="279" t="inlineStr">
        <is>
          <t>Weeks loaded</t>
        </is>
      </c>
      <c r="F9" s="279" t="inlineStr">
        <is>
          <t>Rows in workbook</t>
        </is>
      </c>
    </row>
    <row r="10">
      <c r="B10" s="87" t="inlineStr">
        <is>
          <t>WSF</t>
        </is>
      </c>
      <c r="C10" s="281" t="n"/>
      <c r="D10" s="281" t="n"/>
      <c r="E10" s="93" t="n">
        <v>0</v>
      </c>
      <c r="F10" s="93" t="n">
        <v>0</v>
      </c>
    </row>
    <row r="11">
      <c r="B11" s="87" t="inlineStr">
        <is>
          <t>MIDWEEK</t>
        </is>
      </c>
      <c r="C11" s="281" t="n"/>
      <c r="D11" s="281" t="n"/>
      <c r="E11" s="93" t="n">
        <v>0</v>
      </c>
      <c r="F11" s="93" t="n">
        <v>0</v>
      </c>
    </row>
    <row r="12">
      <c r="B12" s="87" t="inlineStr">
        <is>
          <t>CHOP</t>
        </is>
      </c>
      <c r="C12" s="281" t="n"/>
      <c r="D12" s="281" t="n"/>
      <c r="E12" s="93" t="n">
        <v>0</v>
      </c>
      <c r="F12" s="93" t="n">
        <v>0</v>
      </c>
    </row>
    <row r="13">
      <c r="B13" s="87" t="inlineStr">
        <is>
          <t>COMMUNITY</t>
        </is>
      </c>
      <c r="C13" s="281" t="n"/>
      <c r="D13" s="281" t="n"/>
      <c r="E13" s="93" t="n">
        <v>0</v>
      </c>
      <c r="F13" s="93" t="n">
        <v>0</v>
      </c>
    </row>
    <row r="14">
      <c r="B14" s="87" t="inlineStr">
        <is>
          <t>TRANSPORT</t>
        </is>
      </c>
      <c r="C14" s="281" t="n"/>
      <c r="D14" s="281" t="n"/>
      <c r="E14" s="93" t="n">
        <v>0</v>
      </c>
      <c r="F14" s="93" t="n">
        <v>0</v>
      </c>
    </row>
    <row r="15">
      <c r="B15" s="87" t="inlineStr">
        <is>
          <t>TRANSPORT_COSTS</t>
        </is>
      </c>
      <c r="C15" s="281" t="n"/>
      <c r="D15" s="281" t="n"/>
      <c r="E15" s="93" t="n">
        <v>0</v>
      </c>
      <c r="F15" s="93" t="n">
        <v>0</v>
      </c>
    </row>
    <row r="16">
      <c r="B16" s="87" t="inlineStr">
        <is>
          <t>TRANSPORT_BUDGET</t>
        </is>
      </c>
      <c r="C16" s="281" t="n"/>
      <c r="D16" s="281" t="n"/>
      <c r="E16" s="93" t="n">
        <v>0</v>
      </c>
      <c r="F16" s="93" t="n">
        <v>0</v>
      </c>
    </row>
    <row r="17">
      <c r="B17" s="87" t="inlineStr">
        <is>
          <t>SERVICE_AREAS</t>
        </is>
      </c>
      <c r="C17" s="281" t="n"/>
      <c r="D17" s="281" t="n"/>
      <c r="E17" s="93" t="n">
        <v>0</v>
      </c>
      <c r="F17" s="93" t="n">
        <v>0</v>
      </c>
    </row>
    <row r="19" ht="22" customHeight="1">
      <c r="B19" s="277" t="inlineStr">
        <is>
          <t>Missing weeks (no rows at all between a stream's first and latest week)</t>
        </is>
      </c>
      <c r="C19" s="278" t="n"/>
      <c r="D19" s="278" t="n"/>
      <c r="E19" s="278" t="n"/>
      <c r="F19" s="278" t="n"/>
      <c r="G19" s="278" t="n"/>
      <c r="H19" s="278" t="n"/>
      <c r="I19" s="278" t="n"/>
    </row>
    <row r="20">
      <c r="B20" s="279" t="inlineStr">
        <is>
          <t>Stream</t>
        </is>
      </c>
      <c r="C20" s="279" t="inlineStr">
        <is>
          <t>Week ending</t>
        </is>
      </c>
    </row>
    <row r="21">
      <c r="B21" s="282" t="inlineStr">
        <is>
          <t>None — every stream has data for every week in its range.</t>
        </is>
      </c>
    </row>
    <row r="24" ht="22" customHeight="1">
      <c r="B24" s="277" t="inlineStr">
        <is>
          <t>Issue log (newest first)</t>
        </is>
      </c>
      <c r="C24" s="278" t="n"/>
      <c r="D24" s="278" t="n"/>
      <c r="E24" s="278" t="n"/>
      <c r="F24" s="278" t="n"/>
      <c r="G24" s="278" t="n"/>
      <c r="H24" s="278" t="n"/>
      <c r="I24" s="278" t="n"/>
    </row>
    <row r="25">
      <c r="B25" s="279" t="inlineStr">
        <is>
          <t>Stream</t>
        </is>
      </c>
      <c r="C25" s="279" t="inlineStr">
        <is>
          <t>Severity</t>
        </is>
      </c>
      <c r="D25" s="279" t="inlineStr">
        <is>
          <t>Issue</t>
        </is>
      </c>
      <c r="E25" s="279" t="inlineStr">
        <is>
          <t>Source file</t>
        </is>
      </c>
      <c r="F25" s="279" t="inlineStr">
        <is>
          <t>Row</t>
        </is>
      </c>
      <c r="G25" s="279" t="inlineStr">
        <is>
          <t>Week ending</t>
        </is>
      </c>
      <c r="H25" s="279" t="inlineStr">
        <is>
          <t>Detail</t>
        </is>
      </c>
      <c r="I25" s="279" t="inlineStr">
        <is>
          <t>Logged on</t>
        </is>
      </c>
    </row>
    <row r="26">
      <c r="B26" s="282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R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10" customWidth="1" min="15" max="15"/>
    <col width="34" customWidth="1" min="16" max="16"/>
    <col width="17" customWidth="1" min="17" max="17"/>
    <col width="10" customWidth="1" min="18" max="18"/>
  </cols>
  <sheetData>
    <row r="1">
      <c r="A1" s="283" t="inlineStr">
        <is>
          <t>Week_Ending</t>
        </is>
      </c>
      <c r="B1" s="283" t="inlineStr">
        <is>
          <t>Report_Date</t>
        </is>
      </c>
      <c r="C1" s="283" t="inlineStr">
        <is>
          <t>Area</t>
        </is>
      </c>
      <c r="D1" s="283" t="inlineStr">
        <is>
          <t>Zone</t>
        </is>
      </c>
      <c r="E1" s="283" t="inlineStr">
        <is>
          <t>Cells_Total</t>
        </is>
      </c>
      <c r="F1" s="283" t="inlineStr">
        <is>
          <t>Cells_Reported</t>
        </is>
      </c>
      <c r="G1" s="283" t="inlineStr">
        <is>
          <t>Cells_Not_Reported</t>
        </is>
      </c>
      <c r="H1" s="283" t="inlineStr">
        <is>
          <t>Male</t>
        </is>
      </c>
      <c r="I1" s="283" t="inlineStr">
        <is>
          <t>Female</t>
        </is>
      </c>
      <c r="J1" s="283" t="inlineStr">
        <is>
          <t>Adult_Total</t>
        </is>
      </c>
      <c r="K1" s="283" t="inlineStr">
        <is>
          <t>Children</t>
        </is>
      </c>
      <c r="L1" s="283" t="inlineStr">
        <is>
          <t>Grand_Total</t>
        </is>
      </c>
      <c r="M1" s="283" t="inlineStr">
        <is>
          <t>First_Timers</t>
        </is>
      </c>
      <c r="N1" s="283" t="inlineStr">
        <is>
          <t>New_Converts</t>
        </is>
      </c>
      <c r="O1" s="283" t="inlineStr">
        <is>
          <t>Testimonies</t>
        </is>
      </c>
      <c r="P1" s="283" t="inlineStr">
        <is>
          <t>Source_File</t>
        </is>
      </c>
      <c r="Q1" s="283" t="inlineStr">
        <is>
          <t>Loaded_On</t>
        </is>
      </c>
      <c r="R1" s="283" t="inlineStr">
        <is>
          <t>List_Helper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IF(E2="","",E2-F2)</f>
        <v/>
      </c>
      <c r="H2" s="285" t="n"/>
      <c r="I2" s="285" t="n"/>
      <c r="J2" s="285">
        <f>IF(H2="","",H2+I2)</f>
        <v/>
      </c>
      <c r="K2" s="285" t="n"/>
      <c r="L2" s="285">
        <f>IF(H2="","",J2+K2)</f>
        <v/>
      </c>
      <c r="M2" s="285" t="n"/>
      <c r="N2" s="285" t="n"/>
      <c r="O2" s="285" t="n"/>
      <c r="Q2" s="286" t="n"/>
      <c r="R2">
        <f>IF(AND(A2=CALC_WSF!$B$10,E2&gt;0,F2&lt;E2,OR(CALC_WSF!$B$6="*",C2=CALC_WSF!$B$6),OR(CALC_WSF!$B$7="*",D2=CALC_WSF!$B$7)),ROW(),"")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283" t="inlineStr">
        <is>
          <t>Week_Ending</t>
        </is>
      </c>
      <c r="B1" s="283" t="inlineStr">
        <is>
          <t>Report_Date</t>
        </is>
      </c>
      <c r="C1" s="283" t="inlineStr">
        <is>
          <t>Area</t>
        </is>
      </c>
      <c r="D1" s="283" t="inlineStr">
        <is>
          <t>Zone</t>
        </is>
      </c>
      <c r="E1" s="283" t="inlineStr">
        <is>
          <t>Cell</t>
        </is>
      </c>
      <c r="F1" s="283" t="inlineStr">
        <is>
          <t>Reported</t>
        </is>
      </c>
      <c r="G1" s="283" t="inlineStr">
        <is>
          <t>Male</t>
        </is>
      </c>
      <c r="H1" s="283" t="inlineStr">
        <is>
          <t>Female</t>
        </is>
      </c>
      <c r="I1" s="283" t="inlineStr">
        <is>
          <t>Adult_Total</t>
        </is>
      </c>
      <c r="J1" s="283" t="inlineStr">
        <is>
          <t>Children</t>
        </is>
      </c>
      <c r="K1" s="283" t="inlineStr">
        <is>
          <t>Grand_Total</t>
        </is>
      </c>
      <c r="L1" s="283" t="inlineStr">
        <is>
          <t>Source_File</t>
        </is>
      </c>
      <c r="M1" s="283" t="inlineStr">
        <is>
          <t>Loaded_On</t>
        </is>
      </c>
      <c r="N1" s="283" t="inlineStr">
        <is>
          <t>List_Helper</t>
        </is>
      </c>
    </row>
    <row r="2">
      <c r="A2" s="284">
        <f>IF(B2="","",B2+MOD(WeekEndDay-WEEKDAY(B2,2),7))</f>
        <v/>
      </c>
      <c r="B2" s="284" t="n"/>
      <c r="G2" s="285" t="n"/>
      <c r="H2" s="285" t="n"/>
      <c r="I2" s="285">
        <f>IF(G2="","",G2+H2)</f>
        <v/>
      </c>
      <c r="J2" s="285" t="n"/>
      <c r="K2" s="285">
        <f>IF(G2="","",I2+J2)</f>
        <v/>
      </c>
      <c r="M2" s="286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287" t="inlineStr">
        <is>
          <t>Week_Ending</t>
        </is>
      </c>
      <c r="B1" s="287" t="inlineStr">
        <is>
          <t>Report_Date</t>
        </is>
      </c>
      <c r="C1" s="287" t="inlineStr">
        <is>
          <t>Area</t>
        </is>
      </c>
      <c r="D1" s="287" t="inlineStr">
        <is>
          <t>Zone</t>
        </is>
      </c>
      <c r="E1" s="287" t="inlineStr">
        <is>
          <t>Male</t>
        </is>
      </c>
      <c r="F1" s="287" t="inlineStr">
        <is>
          <t>Female</t>
        </is>
      </c>
      <c r="G1" s="287" t="inlineStr">
        <is>
          <t>Adult_Total</t>
        </is>
      </c>
      <c r="H1" s="287" t="inlineStr">
        <is>
          <t>Children</t>
        </is>
      </c>
      <c r="I1" s="287" t="inlineStr">
        <is>
          <t>Grand_Total</t>
        </is>
      </c>
      <c r="J1" s="287" t="inlineStr">
        <is>
          <t>First_Timers</t>
        </is>
      </c>
      <c r="K1" s="287" t="inlineStr">
        <is>
          <t>New_Converts</t>
        </is>
      </c>
      <c r="L1" s="287" t="inlineStr">
        <is>
          <t>Testimonies</t>
        </is>
      </c>
      <c r="M1" s="287" t="inlineStr">
        <is>
          <t>Source_File</t>
        </is>
      </c>
      <c r="N1" s="287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IF(E2="","",E2+F2)</f>
        <v/>
      </c>
      <c r="H2" s="285" t="n"/>
      <c r="I2" s="285">
        <f>IF(E2="","",G2+H2)</f>
        <v/>
      </c>
      <c r="J2" s="285" t="n"/>
      <c r="K2" s="285" t="n"/>
      <c r="L2" s="285" t="n"/>
      <c r="N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288" t="inlineStr">
        <is>
          <t>Week_Ending</t>
        </is>
      </c>
      <c r="B1" s="288" t="inlineStr">
        <is>
          <t>Report_Date</t>
        </is>
      </c>
      <c r="C1" s="288" t="inlineStr">
        <is>
          <t>Area</t>
        </is>
      </c>
      <c r="D1" s="288" t="inlineStr">
        <is>
          <t>Zone</t>
        </is>
      </c>
      <c r="E1" s="288" t="inlineStr">
        <is>
          <t>Male</t>
        </is>
      </c>
      <c r="F1" s="288" t="inlineStr">
        <is>
          <t>Female</t>
        </is>
      </c>
      <c r="G1" s="288" t="inlineStr">
        <is>
          <t>Adult_Total</t>
        </is>
      </c>
      <c r="H1" s="288" t="inlineStr">
        <is>
          <t>Children</t>
        </is>
      </c>
      <c r="I1" s="288" t="inlineStr">
        <is>
          <t>Grand_Total</t>
        </is>
      </c>
      <c r="J1" s="288" t="inlineStr">
        <is>
          <t>First_Timers</t>
        </is>
      </c>
      <c r="K1" s="288" t="inlineStr">
        <is>
          <t>New_Converts</t>
        </is>
      </c>
      <c r="L1" s="288" t="inlineStr">
        <is>
          <t>Testimonies</t>
        </is>
      </c>
      <c r="M1" s="288" t="inlineStr">
        <is>
          <t>Source_File</t>
        </is>
      </c>
      <c r="N1" s="288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IF(E2="","",E2+F2)</f>
        <v/>
      </c>
      <c r="H2" s="285" t="n"/>
      <c r="I2" s="285">
        <f>IF(E2="","",G2+H2)</f>
        <v/>
      </c>
      <c r="J2" s="285" t="n"/>
      <c r="K2" s="285" t="n"/>
      <c r="L2" s="285" t="n"/>
      <c r="N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30" customWidth="1" min="6" max="6"/>
    <col width="9" customWidth="1" min="7" max="7"/>
    <col width="9" customWidth="1" min="8" max="8"/>
    <col width="11" customWidth="1" min="9" max="9"/>
    <col width="9" customWidth="1" min="10" max="10"/>
    <col width="11" customWidth="1" min="11" max="11"/>
    <col width="10" customWidth="1" min="12" max="12"/>
    <col width="11" customWidth="1" min="13" max="13"/>
    <col width="10" customWidth="1" min="14" max="14"/>
    <col width="9" customWidth="1" min="15" max="15"/>
    <col width="34" customWidth="1" min="16" max="16"/>
    <col width="17" customWidth="1" min="17" max="17"/>
  </cols>
  <sheetData>
    <row r="1">
      <c r="A1" s="289" t="inlineStr">
        <is>
          <t>Week_Ending</t>
        </is>
      </c>
      <c r="B1" s="289" t="inlineStr">
        <is>
          <t>Report_Date</t>
        </is>
      </c>
      <c r="C1" s="289" t="inlineStr">
        <is>
          <t>Church</t>
        </is>
      </c>
      <c r="D1" s="289" t="inlineStr">
        <is>
          <t>Service_Type</t>
        </is>
      </c>
      <c r="E1" s="289" t="inlineStr">
        <is>
          <t>Area</t>
        </is>
      </c>
      <c r="F1" s="289" t="inlineStr">
        <is>
          <t>Church_Name</t>
        </is>
      </c>
      <c r="G1" s="289" t="inlineStr">
        <is>
          <t>Male</t>
        </is>
      </c>
      <c r="H1" s="289" t="inlineStr">
        <is>
          <t>Female</t>
        </is>
      </c>
      <c r="I1" s="289" t="inlineStr">
        <is>
          <t>Adult_Total</t>
        </is>
      </c>
      <c r="J1" s="289" t="inlineStr">
        <is>
          <t>Children</t>
        </is>
      </c>
      <c r="K1" s="289" t="inlineStr">
        <is>
          <t>Grand_Total</t>
        </is>
      </c>
      <c r="L1" s="289" t="inlineStr">
        <is>
          <t>First_Timers</t>
        </is>
      </c>
      <c r="M1" s="289" t="inlineStr">
        <is>
          <t>New_Converts</t>
        </is>
      </c>
      <c r="N1" s="289" t="inlineStr">
        <is>
          <t>Testimonies</t>
        </is>
      </c>
      <c r="O1" s="289" t="inlineStr">
        <is>
          <t>Pastors_Present</t>
        </is>
      </c>
      <c r="P1" s="289" t="inlineStr">
        <is>
          <t>Source_File</t>
        </is>
      </c>
      <c r="Q1" s="289" t="inlineStr">
        <is>
          <t>Loaded_On</t>
        </is>
      </c>
    </row>
    <row r="2">
      <c r="A2" s="284">
        <f>IF(B2="","",B2+MOD(WeekEndDay-WEEKDAY(B2,2),7))</f>
        <v/>
      </c>
      <c r="B2" s="284" t="n"/>
      <c r="E2">
        <f>IF(C2="","",IFERROR(INDEX(MASTER_COMMUNITY!$C:$C,MATCH(C2,MASTER_COMMUNITY!$A:$A,0))&amp;"",""))</f>
        <v/>
      </c>
      <c r="F2">
        <f>IF(C2="","",IFERROR(INDEX(MASTER_COMMUNITY!$B:$B,MATCH(C2,MASTER_COMMUNITY!$A:$A,0))&amp;"",C2))</f>
        <v/>
      </c>
      <c r="G2" s="285" t="n"/>
      <c r="H2" s="285" t="n"/>
      <c r="I2" s="285">
        <f>IF(G2="","",G2+H2)</f>
        <v/>
      </c>
      <c r="J2" s="285" t="n"/>
      <c r="K2" s="285">
        <f>IF(G2="","",I2+J2)</f>
        <v/>
      </c>
      <c r="L2" s="285" t="n"/>
      <c r="M2" s="285" t="n"/>
      <c r="N2" s="285" t="n"/>
      <c r="O2" s="285" t="n"/>
      <c r="Q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A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8" customWidth="1" min="5" max="5"/>
    <col width="10" customWidth="1" min="6" max="6"/>
    <col width="30" customWidth="1" min="7" max="7"/>
    <col width="11" customWidth="1" min="8" max="8"/>
    <col width="7" customWidth="1" min="9" max="9"/>
    <col width="9" customWidth="1" min="10" max="10"/>
    <col width="7" customWidth="1" min="11" max="11"/>
    <col width="12" customWidth="1" min="12" max="12"/>
    <col width="8" customWidth="1" min="13" max="13"/>
    <col width="8" customWidth="1" min="14" max="14"/>
    <col width="11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0" customWidth="1" min="21" max="21"/>
    <col width="18" customWidth="1" min="22" max="22"/>
    <col width="18" customWidth="1" min="23" max="23"/>
    <col width="16" customWidth="1" min="24" max="24"/>
    <col width="30" customWidth="1" min="25" max="25"/>
    <col width="9" customWidth="1" min="26" max="26"/>
    <col width="12" customWidth="1" min="27" max="27"/>
    <col width="34" customWidth="1" min="28" max="28"/>
    <col width="17" customWidth="1" min="29" max="29"/>
    <col width="9" customWidth="1" min="30" max="30"/>
    <col width="10" customWidth="1" min="31" max="31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Category</t>
        </is>
      </c>
      <c r="D1" s="290" t="inlineStr">
        <is>
          <t>Vehicle_Type</t>
        </is>
      </c>
      <c r="E1" s="290" t="inlineStr">
        <is>
          <t>Area</t>
        </is>
      </c>
      <c r="F1" s="290" t="inlineStr">
        <is>
          <t>Zone_Code</t>
        </is>
      </c>
      <c r="G1" s="290" t="inlineStr">
        <is>
          <t>Location</t>
        </is>
      </c>
      <c r="H1" s="290" t="inlineStr">
        <is>
          <t>Vehicle_ID</t>
        </is>
      </c>
      <c r="I1" s="290" t="inlineStr">
        <is>
          <t>Buses</t>
        </is>
      </c>
      <c r="J1" s="290" t="inlineStr">
        <is>
          <t>Capacity</t>
        </is>
      </c>
      <c r="K1" s="290" t="inlineStr">
        <is>
          <t>Trips</t>
        </is>
      </c>
      <c r="L1" s="290" t="inlineStr">
        <is>
          <t>Seats_Offered</t>
        </is>
      </c>
      <c r="M1" s="290" t="inlineStr">
        <is>
          <t>Male</t>
        </is>
      </c>
      <c r="N1" s="290" t="inlineStr">
        <is>
          <t>Female</t>
        </is>
      </c>
      <c r="O1" s="290" t="inlineStr">
        <is>
          <t>Adult_Total</t>
        </is>
      </c>
      <c r="P1" s="290" t="inlineStr">
        <is>
          <t>Children</t>
        </is>
      </c>
      <c r="Q1" s="290" t="inlineStr">
        <is>
          <t>Grand_Total</t>
        </is>
      </c>
      <c r="R1" s="290" t="inlineStr">
        <is>
          <t>Riders_Seated</t>
        </is>
      </c>
      <c r="S1" s="290" t="inlineStr">
        <is>
          <t>Excess_Riders</t>
        </is>
      </c>
      <c r="T1" s="290" t="inlineStr">
        <is>
          <t>Cost</t>
        </is>
      </c>
      <c r="U1" s="290" t="inlineStr">
        <is>
          <t>Paid_By</t>
        </is>
      </c>
      <c r="V1" s="290" t="inlineStr">
        <is>
          <t>Status</t>
        </is>
      </c>
      <c r="W1" s="290" t="inlineStr">
        <is>
          <t>Service</t>
        </is>
      </c>
      <c r="X1" s="290" t="inlineStr">
        <is>
          <t>Remarks_Category</t>
        </is>
      </c>
      <c r="Y1" s="290" t="inlineStr">
        <is>
          <t>Remarks</t>
        </is>
      </c>
      <c r="Z1" s="290" t="inlineStr">
        <is>
          <t>In_Church</t>
        </is>
      </c>
      <c r="AA1" s="290" t="inlineStr">
        <is>
          <t>Location_Type</t>
        </is>
      </c>
      <c r="AB1" s="290" t="inlineStr">
        <is>
          <t>Source_File</t>
        </is>
      </c>
      <c r="AC1" s="290" t="inlineStr">
        <is>
          <t>Loaded_On</t>
        </is>
      </c>
      <c r="AD1" s="290" t="inlineStr">
        <is>
          <t>Zone_Key</t>
        </is>
      </c>
      <c r="AE1" s="290" t="inlineStr">
        <is>
          <t>Note_Helper</t>
        </is>
      </c>
    </row>
    <row r="2">
      <c r="A2" s="284">
        <f>IF(B2="","",B2+MOD(WeekEndDay-WEEKDAY(B2,2),7))</f>
        <v/>
      </c>
      <c r="B2" s="284" t="n"/>
      <c r="I2" s="285" t="n"/>
      <c r="J2" s="285" t="n"/>
      <c r="K2" s="285" t="n"/>
      <c r="L2" s="285">
        <f>IF(OR(J2="",J2=0),"",IF(V2="Ran",J2*MAX(1,K2),0))</f>
        <v/>
      </c>
      <c r="M2" s="285" t="n"/>
      <c r="N2" s="285" t="n"/>
      <c r="O2" s="285">
        <f>IF(M2="","",M2+N2)</f>
        <v/>
      </c>
      <c r="P2" s="285" t="n"/>
      <c r="Q2" s="285">
        <f>IF(M2="","",O2+P2)</f>
        <v/>
      </c>
      <c r="R2" s="285">
        <f>IF(L2="","",MIN(Q2,L2))</f>
        <v/>
      </c>
      <c r="S2" s="285">
        <f>IF(L2="","",MAX(0,Q2-L2))</f>
        <v/>
      </c>
      <c r="T2" s="291" t="n"/>
      <c r="AC2" s="286" t="n"/>
      <c r="AD2">
        <f>IF(F2="","-",F2)</f>
        <v/>
      </c>
      <c r="AE2">
        <f>IF(AND(A2=CALC_TRANSPORT!$B$10,OR(CALC_TRANSPORT!$B$6="*",E2=CALC_TRANSPORT!$B$6),OR(CALC_TRANSPORT!$B$7="*",F2=CALC_TRANSPORT!$B$7),OR(V2="Breakdown",X2="Extra passengers",ISNUMBER(SEARCH("more bus",Y2)))),ROW(),"")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P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11" customWidth="1" min="5" max="5"/>
    <col width="10" customWidth="1" min="6" max="6"/>
    <col width="10" customWidth="1" min="7" max="7"/>
    <col width="7" customWidth="1" min="8" max="8"/>
    <col width="8" customWidth="1" min="9" max="9"/>
    <col width="10" customWidth="1" min="10" max="10"/>
    <col width="12" customWidth="1" min="11" max="11"/>
    <col width="8" customWidth="1" min="12" max="12"/>
    <col width="12" customWidth="1" min="13" max="13"/>
    <col width="10" customWidth="1" min="14" max="14"/>
    <col width="34" customWidth="1" min="15" max="15"/>
    <col width="17" customWidth="1" min="16" max="16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Category</t>
        </is>
      </c>
      <c r="D1" s="290" t="inlineStr">
        <is>
          <t>Area</t>
        </is>
      </c>
      <c r="E1" s="290" t="inlineStr">
        <is>
          <t>Vehicle_ID</t>
        </is>
      </c>
      <c r="F1" s="290" t="inlineStr">
        <is>
          <t>Cost_Type</t>
        </is>
      </c>
      <c r="G1" s="290" t="inlineStr">
        <is>
          <t>Hub_Status</t>
        </is>
      </c>
      <c r="H1" s="290" t="inlineStr">
        <is>
          <t>Trips</t>
        </is>
      </c>
      <c r="I1" s="290" t="inlineStr">
        <is>
          <t>Litres</t>
        </is>
      </c>
      <c r="J1" s="290" t="inlineStr">
        <is>
          <t>Unit_Price</t>
        </is>
      </c>
      <c r="K1" s="290" t="inlineStr">
        <is>
          <t>Amount</t>
        </is>
      </c>
      <c r="L1" s="290" t="inlineStr">
        <is>
          <t>Payable</t>
        </is>
      </c>
      <c r="M1" s="290" t="inlineStr">
        <is>
          <t>Paid_Amount</t>
        </is>
      </c>
      <c r="N1" s="290" t="inlineStr">
        <is>
          <t>Paid_By</t>
        </is>
      </c>
      <c r="O1" s="290" t="inlineStr">
        <is>
          <t>Source_File</t>
        </is>
      </c>
      <c r="P1" s="290" t="inlineStr">
        <is>
          <t>Loaded_On</t>
        </is>
      </c>
    </row>
    <row r="2">
      <c r="A2" s="284">
        <f>IF(B2="","",B2+MOD(WeekEndDay-WEEKDAY(B2,2),7))</f>
        <v/>
      </c>
      <c r="B2" s="284" t="n"/>
      <c r="H2" s="285" t="n"/>
      <c r="I2" s="285" t="n"/>
      <c r="J2" s="291" t="n"/>
      <c r="K2" s="291" t="n"/>
      <c r="M2" s="291">
        <f>IF(L2="Y",K2,0)</f>
        <v/>
      </c>
      <c r="P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8" customWidth="1" min="4" max="4"/>
    <col width="10" customWidth="1" min="5" max="5"/>
    <col width="12" customWidth="1" min="6" max="6"/>
    <col width="14" customWidth="1" min="7" max="7"/>
    <col width="14" customWidth="1" min="8" max="8"/>
    <col width="34" customWidth="1" min="9" max="9"/>
    <col width="17" customWidth="1" min="10" max="10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Area_No</t>
        </is>
      </c>
      <c r="D1" s="290" t="inlineStr">
        <is>
          <t>Area</t>
        </is>
      </c>
      <c r="E1" s="290" t="inlineStr">
        <is>
          <t>Buses_Allocated</t>
        </is>
      </c>
      <c r="F1" s="290" t="inlineStr">
        <is>
          <t>Cost_Per_Bus</t>
        </is>
      </c>
      <c r="G1" s="290" t="inlineStr">
        <is>
          <t>Expected_Spend</t>
        </is>
      </c>
      <c r="H1" s="290" t="inlineStr">
        <is>
          <t>Payable_This_Week</t>
        </is>
      </c>
      <c r="I1" s="290" t="inlineStr">
        <is>
          <t>Source_File</t>
        </is>
      </c>
      <c r="J1" s="290" t="inlineStr">
        <is>
          <t>Loaded_On</t>
        </is>
      </c>
    </row>
    <row r="2">
      <c r="A2" s="284">
        <f>IF(B2="","",B2+MOD(WeekEndDay-WEEKDAY(B2,2),7))</f>
        <v/>
      </c>
      <c r="B2" s="284" t="n"/>
      <c r="C2" s="285" t="n"/>
      <c r="E2" s="285" t="n"/>
      <c r="F2" s="291" t="n"/>
      <c r="G2" s="291">
        <f>IF(D2="","",E2*F2)</f>
        <v/>
      </c>
      <c r="H2" s="291" t="n"/>
      <c r="J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949CA2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9" customWidth="1" min="3" max="3"/>
    <col width="18" customWidth="1" min="4" max="4"/>
    <col width="9" customWidth="1" min="5" max="5"/>
    <col width="11" customWidth="1" min="6" max="6"/>
    <col width="9" customWidth="1" min="7" max="7"/>
    <col width="11" customWidth="1" min="8" max="8"/>
    <col width="9" customWidth="1" min="9" max="9"/>
    <col width="10" customWidth="1" min="10" max="10"/>
    <col width="8" customWidth="1" min="11" max="11"/>
    <col width="8" customWidth="1" min="12" max="12"/>
    <col width="11" customWidth="1" min="13" max="13"/>
    <col width="9" customWidth="1" min="14" max="14"/>
    <col width="11" customWidth="1" min="15" max="15"/>
    <col width="34" customWidth="1" min="16" max="16"/>
    <col width="17" customWidth="1" min="17" max="17"/>
  </cols>
  <sheetData>
    <row r="1">
      <c r="A1" s="292" t="inlineStr">
        <is>
          <t>Week_Ending</t>
        </is>
      </c>
      <c r="B1" s="292" t="inlineStr">
        <is>
          <t>Report_Date</t>
        </is>
      </c>
      <c r="C1" s="292" t="inlineStr">
        <is>
          <t>Stream</t>
        </is>
      </c>
      <c r="D1" s="292" t="inlineStr">
        <is>
          <t>Area</t>
        </is>
      </c>
      <c r="E1" s="292" t="inlineStr">
        <is>
          <t>Total_Zones</t>
        </is>
      </c>
      <c r="F1" s="292" t="inlineStr">
        <is>
          <t>Zones_With_Report</t>
        </is>
      </c>
      <c r="G1" s="292" t="inlineStr">
        <is>
          <t>CHOP_Zones</t>
        </is>
      </c>
      <c r="H1" s="292" t="inlineStr">
        <is>
          <t>Community_Zones</t>
        </is>
      </c>
      <c r="I1" s="292" t="inlineStr">
        <is>
          <t>Cells_Total</t>
        </is>
      </c>
      <c r="J1" s="292" t="inlineStr">
        <is>
          <t>Cells_Reported</t>
        </is>
      </c>
      <c r="K1" s="292" t="inlineStr">
        <is>
          <t>Male</t>
        </is>
      </c>
      <c r="L1" s="292" t="inlineStr">
        <is>
          <t>Female</t>
        </is>
      </c>
      <c r="M1" s="292" t="inlineStr">
        <is>
          <t>Adult_Total</t>
        </is>
      </c>
      <c r="N1" s="292" t="inlineStr">
        <is>
          <t>Children</t>
        </is>
      </c>
      <c r="O1" s="292" t="inlineStr">
        <is>
          <t>Grand_Total</t>
        </is>
      </c>
      <c r="P1" s="292" t="inlineStr">
        <is>
          <t>Source_File</t>
        </is>
      </c>
      <c r="Q1" s="292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>
        <f>IF(K2="","",K2+L2)</f>
        <v/>
      </c>
      <c r="N2" s="285" t="n"/>
      <c r="O2" s="285">
        <f>IF(K2="","",M2+N2)</f>
        <v/>
      </c>
      <c r="Q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F9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292" t="inlineStr">
        <is>
          <t>Area_ID</t>
        </is>
      </c>
      <c r="B1" s="292" t="inlineStr">
        <is>
          <t>Area_Name</t>
        </is>
      </c>
      <c r="C1" s="292" t="inlineStr">
        <is>
          <t>Active</t>
        </is>
      </c>
      <c r="D1" s="292" t="inlineStr">
        <is>
          <t>Area_No</t>
        </is>
      </c>
      <c r="E1" s="292" t="inlineStr">
        <is>
          <t>Aliases</t>
        </is>
      </c>
      <c r="F1" s="292" t="inlineStr">
        <is>
          <t>In_Transport</t>
        </is>
      </c>
    </row>
    <row r="2">
      <c r="A2" t="inlineStr">
        <is>
          <t>A00</t>
        </is>
      </c>
      <c r="B2" t="inlineStr">
        <is>
          <t>CANAANLAND 1</t>
        </is>
      </c>
      <c r="C2" t="inlineStr">
        <is>
          <t>Y</t>
        </is>
      </c>
      <c r="D2" t="inlineStr">
        <is>
          <t>0</t>
        </is>
      </c>
      <c r="E2" t="inlineStr">
        <is>
          <t>CANAANLAND 1 (YOUTH CHAPEL);YOUTH CHAPEL</t>
        </is>
      </c>
      <c r="F2" t="inlineStr">
        <is>
          <t>N</t>
        </is>
      </c>
    </row>
    <row r="3">
      <c r="A3" t="inlineStr">
        <is>
          <t>A01</t>
        </is>
      </c>
      <c r="B3" t="inlineStr">
        <is>
          <t>CANAANLAND 2</t>
        </is>
      </c>
      <c r="C3" t="inlineStr">
        <is>
          <t>Y</t>
        </is>
      </c>
      <c r="D3" t="inlineStr">
        <is>
          <t>1</t>
        </is>
      </c>
      <c r="E3" t="inlineStr">
        <is>
          <t>CANAANLAND 2 (IGE DARAMOLA);CANAAN LAND 2</t>
        </is>
      </c>
      <c r="F3" t="inlineStr">
        <is>
          <t>Y</t>
        </is>
      </c>
    </row>
    <row r="4">
      <c r="A4" t="inlineStr">
        <is>
          <t>A02</t>
        </is>
      </c>
      <c r="B4" t="inlineStr">
        <is>
          <t>IYESI 1</t>
        </is>
      </c>
      <c r="C4" t="inlineStr">
        <is>
          <t>Y</t>
        </is>
      </c>
      <c r="D4" t="inlineStr">
        <is>
          <t>2</t>
        </is>
      </c>
      <c r="E4" t="inlineStr">
        <is>
          <t>IYESI;IYESI1</t>
        </is>
      </c>
      <c r="F4" t="inlineStr">
        <is>
          <t>Y</t>
        </is>
      </c>
    </row>
    <row r="5">
      <c r="A5" t="inlineStr">
        <is>
          <t>A03</t>
        </is>
      </c>
      <c r="B5" t="inlineStr">
        <is>
          <t>OBASANJO</t>
        </is>
      </c>
      <c r="C5" t="inlineStr">
        <is>
          <t>Y</t>
        </is>
      </c>
      <c r="D5" t="inlineStr">
        <is>
          <t>3</t>
        </is>
      </c>
      <c r="E5" t="inlineStr"/>
      <c r="F5" t="inlineStr">
        <is>
          <t>Y</t>
        </is>
      </c>
    </row>
    <row r="6">
      <c r="A6" t="inlineStr">
        <is>
          <t>A04</t>
        </is>
      </c>
      <c r="B6" t="inlineStr">
        <is>
          <t>OJU ORE</t>
        </is>
      </c>
      <c r="C6" t="inlineStr">
        <is>
          <t>Y</t>
        </is>
      </c>
      <c r="D6" t="inlineStr">
        <is>
          <t>4</t>
        </is>
      </c>
      <c r="E6" t="inlineStr">
        <is>
          <t>OJUORE</t>
        </is>
      </c>
      <c r="F6" t="inlineStr">
        <is>
          <t>Y</t>
        </is>
      </c>
    </row>
    <row r="7">
      <c r="A7" t="inlineStr">
        <is>
          <t>A05</t>
        </is>
      </c>
      <c r="B7" t="inlineStr">
        <is>
          <t>CAPERNAUM</t>
        </is>
      </c>
      <c r="C7" t="inlineStr">
        <is>
          <t>Y</t>
        </is>
      </c>
      <c r="D7" t="inlineStr">
        <is>
          <t>5</t>
        </is>
      </c>
      <c r="E7" t="inlineStr"/>
      <c r="F7" t="inlineStr">
        <is>
          <t>Y</t>
        </is>
      </c>
    </row>
    <row r="8">
      <c r="A8" t="inlineStr">
        <is>
          <t>A06</t>
        </is>
      </c>
      <c r="B8" t="inlineStr">
        <is>
          <t>NAZARETH</t>
        </is>
      </c>
      <c r="C8" t="inlineStr">
        <is>
          <t>Y</t>
        </is>
      </c>
      <c r="D8" t="inlineStr">
        <is>
          <t>6</t>
        </is>
      </c>
      <c r="E8" t="inlineStr">
        <is>
          <t>NAZARATH</t>
        </is>
      </c>
      <c r="F8" t="inlineStr">
        <is>
          <t>Y</t>
        </is>
      </c>
    </row>
    <row r="9">
      <c r="A9" t="inlineStr">
        <is>
          <t>A07</t>
        </is>
      </c>
      <c r="B9" t="inlineStr">
        <is>
          <t>GOWON ESTATE</t>
        </is>
      </c>
      <c r="C9" t="inlineStr">
        <is>
          <t>Y</t>
        </is>
      </c>
      <c r="D9" t="inlineStr">
        <is>
          <t>7</t>
        </is>
      </c>
      <c r="E9" t="inlineStr"/>
      <c r="F9" t="inlineStr">
        <is>
          <t>Y</t>
        </is>
      </c>
    </row>
    <row r="10">
      <c r="A10" t="inlineStr">
        <is>
          <t>A08</t>
        </is>
      </c>
      <c r="B10" t="inlineStr">
        <is>
          <t>BARUWA</t>
        </is>
      </c>
      <c r="C10" t="inlineStr">
        <is>
          <t>Y</t>
        </is>
      </c>
      <c r="D10" t="inlineStr">
        <is>
          <t>8</t>
        </is>
      </c>
      <c r="E10" t="inlineStr"/>
      <c r="F10" t="inlineStr">
        <is>
          <t>Y</t>
        </is>
      </c>
    </row>
    <row r="11">
      <c r="A11" t="inlineStr">
        <is>
          <t>A09</t>
        </is>
      </c>
      <c r="B11" t="inlineStr">
        <is>
          <t>ABORU</t>
        </is>
      </c>
      <c r="C11" t="inlineStr">
        <is>
          <t>Y</t>
        </is>
      </c>
      <c r="D11" t="inlineStr">
        <is>
          <t>9</t>
        </is>
      </c>
      <c r="E11" t="inlineStr"/>
      <c r="F11" t="inlineStr">
        <is>
          <t>Y</t>
        </is>
      </c>
    </row>
    <row r="12">
      <c r="A12" t="inlineStr">
        <is>
          <t>A10</t>
        </is>
      </c>
      <c r="B12" t="inlineStr">
        <is>
          <t>IYANA ISASHI</t>
        </is>
      </c>
      <c r="C12" t="inlineStr">
        <is>
          <t>Y</t>
        </is>
      </c>
      <c r="D12" t="inlineStr">
        <is>
          <t>10</t>
        </is>
      </c>
      <c r="E12" t="inlineStr">
        <is>
          <t>IYANA ISHASHI</t>
        </is>
      </c>
      <c r="F12" t="inlineStr">
        <is>
          <t>Y</t>
        </is>
      </c>
    </row>
    <row r="13">
      <c r="A13" t="inlineStr">
        <is>
          <t>A11</t>
        </is>
      </c>
      <c r="B13" t="inlineStr">
        <is>
          <t>WILKY</t>
        </is>
      </c>
      <c r="C13" t="inlineStr">
        <is>
          <t>Y</t>
        </is>
      </c>
      <c r="D13" t="inlineStr">
        <is>
          <t>11</t>
        </is>
      </c>
      <c r="E13" t="inlineStr"/>
      <c r="F13" t="inlineStr">
        <is>
          <t>Y</t>
        </is>
      </c>
    </row>
    <row r="14">
      <c r="A14" t="inlineStr">
        <is>
          <t>A12</t>
        </is>
      </c>
      <c r="B14" t="inlineStr">
        <is>
          <t>PEDRO</t>
        </is>
      </c>
      <c r="C14" t="inlineStr">
        <is>
          <t>Y</t>
        </is>
      </c>
      <c r="D14" t="inlineStr">
        <is>
          <t>12</t>
        </is>
      </c>
      <c r="E14" t="inlineStr">
        <is>
          <t>PETRO</t>
        </is>
      </c>
      <c r="F14" t="inlineStr">
        <is>
          <t>Y</t>
        </is>
      </c>
    </row>
    <row r="15">
      <c r="A15" t="inlineStr">
        <is>
          <t>A13</t>
        </is>
      </c>
      <c r="B15" t="inlineStr">
        <is>
          <t>IJAIYE</t>
        </is>
      </c>
      <c r="C15" t="inlineStr">
        <is>
          <t>Y</t>
        </is>
      </c>
      <c r="D15" t="inlineStr">
        <is>
          <t>13</t>
        </is>
      </c>
      <c r="E15" t="inlineStr"/>
      <c r="F15" t="inlineStr">
        <is>
          <t>Y</t>
        </is>
      </c>
    </row>
    <row r="16">
      <c r="A16" t="inlineStr">
        <is>
          <t>A14</t>
        </is>
      </c>
      <c r="B16" t="inlineStr">
        <is>
          <t>OGBA</t>
        </is>
      </c>
      <c r="C16" t="inlineStr">
        <is>
          <t>Y</t>
        </is>
      </c>
      <c r="D16" t="inlineStr">
        <is>
          <t>14</t>
        </is>
      </c>
      <c r="E16" t="inlineStr"/>
      <c r="F16" t="inlineStr">
        <is>
          <t>Y</t>
        </is>
      </c>
    </row>
    <row r="17">
      <c r="A17" t="inlineStr">
        <is>
          <t>A15</t>
        </is>
      </c>
      <c r="B17" t="inlineStr">
        <is>
          <t>YABA</t>
        </is>
      </c>
      <c r="C17" t="inlineStr">
        <is>
          <t>Y</t>
        </is>
      </c>
      <c r="D17" t="inlineStr">
        <is>
          <t>15</t>
        </is>
      </c>
      <c r="E17" t="inlineStr"/>
      <c r="F17" t="inlineStr">
        <is>
          <t>Y</t>
        </is>
      </c>
    </row>
    <row r="18">
      <c r="A18" t="inlineStr">
        <is>
          <t>A16</t>
        </is>
      </c>
      <c r="B18" t="inlineStr">
        <is>
          <t>MUSHIN</t>
        </is>
      </c>
      <c r="C18" t="inlineStr">
        <is>
          <t>Y</t>
        </is>
      </c>
      <c r="D18" t="inlineStr">
        <is>
          <t>16</t>
        </is>
      </c>
      <c r="E18" t="inlineStr"/>
      <c r="F18" t="inlineStr">
        <is>
          <t>Y</t>
        </is>
      </c>
    </row>
    <row r="19">
      <c r="A19" t="inlineStr">
        <is>
          <t>A17</t>
        </is>
      </c>
      <c r="B19" t="inlineStr">
        <is>
          <t>AMUWO</t>
        </is>
      </c>
      <c r="C19" t="inlineStr">
        <is>
          <t>Y</t>
        </is>
      </c>
      <c r="D19" t="inlineStr">
        <is>
          <t>17</t>
        </is>
      </c>
      <c r="E19" t="inlineStr">
        <is>
          <t>AMUWO ODOFIN</t>
        </is>
      </c>
      <c r="F19" t="inlineStr">
        <is>
          <t>Y</t>
        </is>
      </c>
    </row>
    <row r="20">
      <c r="A20" t="inlineStr">
        <is>
          <t>A18</t>
        </is>
      </c>
      <c r="B20" t="inlineStr">
        <is>
          <t>AYOBO</t>
        </is>
      </c>
      <c r="C20" t="inlineStr">
        <is>
          <t>Y</t>
        </is>
      </c>
      <c r="D20" t="inlineStr">
        <is>
          <t>18</t>
        </is>
      </c>
      <c r="E20" t="inlineStr"/>
      <c r="F20" t="inlineStr">
        <is>
          <t>Y</t>
        </is>
      </c>
    </row>
    <row r="21">
      <c r="A21" t="inlineStr">
        <is>
          <t>A19</t>
        </is>
      </c>
      <c r="B21" t="inlineStr">
        <is>
          <t>OLAYEMI</t>
        </is>
      </c>
      <c r="C21" t="inlineStr">
        <is>
          <t>Y</t>
        </is>
      </c>
      <c r="D21" t="inlineStr">
        <is>
          <t>19</t>
        </is>
      </c>
      <c r="E21" t="inlineStr"/>
      <c r="F21" t="inlineStr">
        <is>
          <t>Y</t>
        </is>
      </c>
    </row>
    <row r="22">
      <c r="A22" t="inlineStr">
        <is>
          <t>A20</t>
        </is>
      </c>
      <c r="B22" t="inlineStr">
        <is>
          <t>CANDOS</t>
        </is>
      </c>
      <c r="C22" t="inlineStr">
        <is>
          <t>Y</t>
        </is>
      </c>
      <c r="D22" t="inlineStr">
        <is>
          <t>20</t>
        </is>
      </c>
      <c r="E22" t="inlineStr"/>
      <c r="F22" t="inlineStr">
        <is>
          <t>Y</t>
        </is>
      </c>
    </row>
    <row r="23">
      <c r="A23" t="inlineStr">
        <is>
          <t>A21</t>
        </is>
      </c>
      <c r="B23" t="inlineStr">
        <is>
          <t>MAJIYAGBE</t>
        </is>
      </c>
      <c r="C23" t="inlineStr">
        <is>
          <t>Y</t>
        </is>
      </c>
      <c r="D23" t="inlineStr">
        <is>
          <t>21</t>
        </is>
      </c>
      <c r="E23" t="inlineStr">
        <is>
          <t>MAJIYAIGBE</t>
        </is>
      </c>
      <c r="F23" t="inlineStr">
        <is>
          <t>Y</t>
        </is>
      </c>
    </row>
    <row r="24">
      <c r="A24" t="inlineStr">
        <is>
          <t>A22</t>
        </is>
      </c>
      <c r="B24" t="inlineStr">
        <is>
          <t>LAFENWA</t>
        </is>
      </c>
      <c r="C24" t="inlineStr">
        <is>
          <t>Y</t>
        </is>
      </c>
      <c r="D24" t="inlineStr">
        <is>
          <t>22</t>
        </is>
      </c>
      <c r="E24" t="inlineStr"/>
      <c r="F24" t="inlineStr">
        <is>
          <t>Y</t>
        </is>
      </c>
    </row>
    <row r="25">
      <c r="A25" t="inlineStr">
        <is>
          <t>A23</t>
        </is>
      </c>
      <c r="B25" t="inlineStr">
        <is>
          <t>PERFECT PEACE</t>
        </is>
      </c>
      <c r="C25" t="inlineStr">
        <is>
          <t>Y</t>
        </is>
      </c>
      <c r="D25" t="inlineStr">
        <is>
          <t>23</t>
        </is>
      </c>
      <c r="E25" t="inlineStr"/>
      <c r="F25" t="inlineStr">
        <is>
          <t>Y</t>
        </is>
      </c>
    </row>
    <row r="26">
      <c r="A26" t="inlineStr">
        <is>
          <t>A24</t>
        </is>
      </c>
      <c r="B26" t="inlineStr">
        <is>
          <t>ANTHONY</t>
        </is>
      </c>
      <c r="C26" t="inlineStr">
        <is>
          <t>Y</t>
        </is>
      </c>
      <c r="D26" t="inlineStr">
        <is>
          <t>24</t>
        </is>
      </c>
      <c r="E26" t="inlineStr"/>
      <c r="F26" t="inlineStr">
        <is>
          <t>Y</t>
        </is>
      </c>
    </row>
    <row r="27">
      <c r="A27" t="inlineStr">
        <is>
          <t>A25</t>
        </is>
      </c>
      <c r="B27" t="inlineStr">
        <is>
          <t>AKUTE</t>
        </is>
      </c>
      <c r="C27" t="inlineStr">
        <is>
          <t>Y</t>
        </is>
      </c>
      <c r="D27" t="inlineStr">
        <is>
          <t>25</t>
        </is>
      </c>
      <c r="E27" t="inlineStr"/>
      <c r="F27" t="inlineStr">
        <is>
          <t>Y</t>
        </is>
      </c>
    </row>
    <row r="28">
      <c r="A28" t="inlineStr">
        <is>
          <t>A26</t>
        </is>
      </c>
      <c r="B28" t="inlineStr">
        <is>
          <t>DENRO</t>
        </is>
      </c>
      <c r="C28" t="inlineStr">
        <is>
          <t>Y</t>
        </is>
      </c>
      <c r="D28" t="inlineStr">
        <is>
          <t>26</t>
        </is>
      </c>
      <c r="E28" t="inlineStr"/>
      <c r="F28" t="inlineStr">
        <is>
          <t>Y</t>
        </is>
      </c>
    </row>
    <row r="29">
      <c r="A29" t="inlineStr">
        <is>
          <t>A27</t>
        </is>
      </c>
      <c r="B29" t="inlineStr">
        <is>
          <t>OLODI APAPA</t>
        </is>
      </c>
      <c r="C29" t="inlineStr">
        <is>
          <t>Y</t>
        </is>
      </c>
      <c r="D29" t="inlineStr">
        <is>
          <t>27</t>
        </is>
      </c>
      <c r="E29" t="inlineStr">
        <is>
          <t>0L0DI APAPA</t>
        </is>
      </c>
      <c r="F29" t="inlineStr">
        <is>
          <t>Y</t>
        </is>
      </c>
    </row>
    <row r="30">
      <c r="A30" t="inlineStr">
        <is>
          <t>A28</t>
        </is>
      </c>
      <c r="B30" t="inlineStr">
        <is>
          <t>PARKLANE APAPA</t>
        </is>
      </c>
      <c r="C30" t="inlineStr">
        <is>
          <t>Y</t>
        </is>
      </c>
      <c r="D30" t="inlineStr">
        <is>
          <t>28</t>
        </is>
      </c>
      <c r="E30" t="inlineStr">
        <is>
          <t>PARKLANE, APAPA;APAPA PARKLANE</t>
        </is>
      </c>
      <c r="F30" t="inlineStr">
        <is>
          <t>Y</t>
        </is>
      </c>
    </row>
    <row r="31">
      <c r="A31" t="inlineStr">
        <is>
          <t>A29</t>
        </is>
      </c>
      <c r="B31" t="inlineStr">
        <is>
          <t>ALAGBADO AKINDE</t>
        </is>
      </c>
      <c r="C31" t="inlineStr">
        <is>
          <t>Y</t>
        </is>
      </c>
      <c r="D31" t="inlineStr">
        <is>
          <t>29</t>
        </is>
      </c>
      <c r="E31" t="inlineStr"/>
      <c r="F31" t="inlineStr">
        <is>
          <t>Y</t>
        </is>
      </c>
    </row>
    <row r="32">
      <c r="A32" t="inlineStr">
        <is>
          <t>A30</t>
        </is>
      </c>
      <c r="B32" t="inlineStr">
        <is>
          <t>AIT</t>
        </is>
      </c>
      <c r="C32" t="inlineStr">
        <is>
          <t>Y</t>
        </is>
      </c>
      <c r="D32" t="inlineStr">
        <is>
          <t>30</t>
        </is>
      </c>
      <c r="E32" t="inlineStr">
        <is>
          <t>ALT</t>
        </is>
      </c>
      <c r="F32" t="inlineStr">
        <is>
          <t>Y</t>
        </is>
      </c>
    </row>
    <row r="33">
      <c r="A33" t="inlineStr">
        <is>
          <t>A31</t>
        </is>
      </c>
      <c r="B33" t="inlineStr">
        <is>
          <t>AGEGE</t>
        </is>
      </c>
      <c r="C33" t="inlineStr">
        <is>
          <t>Y</t>
        </is>
      </c>
      <c r="D33" t="inlineStr">
        <is>
          <t>31</t>
        </is>
      </c>
      <c r="E33" t="inlineStr"/>
      <c r="F33" t="inlineStr">
        <is>
          <t>Y</t>
        </is>
      </c>
    </row>
    <row r="34">
      <c r="A34" t="inlineStr">
        <is>
          <t>A32</t>
        </is>
      </c>
      <c r="B34" t="inlineStr">
        <is>
          <t>FAGBA</t>
        </is>
      </c>
      <c r="C34" t="inlineStr">
        <is>
          <t>Y</t>
        </is>
      </c>
      <c r="D34" t="inlineStr">
        <is>
          <t>32</t>
        </is>
      </c>
      <c r="E34" t="inlineStr"/>
      <c r="F34" t="inlineStr">
        <is>
          <t>Y</t>
        </is>
      </c>
    </row>
    <row r="35">
      <c r="A35" t="inlineStr">
        <is>
          <t>A33</t>
        </is>
      </c>
      <c r="B35" t="inlineStr">
        <is>
          <t>ATAN 1</t>
        </is>
      </c>
      <c r="C35" t="inlineStr">
        <is>
          <t>Y</t>
        </is>
      </c>
      <c r="D35" t="inlineStr">
        <is>
          <t>33</t>
        </is>
      </c>
      <c r="E35" t="inlineStr">
        <is>
          <t>ATAN;ATAN1</t>
        </is>
      </c>
      <c r="F35" t="inlineStr">
        <is>
          <t>Y</t>
        </is>
      </c>
    </row>
    <row r="36">
      <c r="A36" t="inlineStr">
        <is>
          <t>A34</t>
        </is>
      </c>
      <c r="B36" t="inlineStr">
        <is>
          <t>ADELANS 1</t>
        </is>
      </c>
      <c r="C36" t="inlineStr">
        <is>
          <t>Y</t>
        </is>
      </c>
      <c r="D36" t="inlineStr">
        <is>
          <t>34</t>
        </is>
      </c>
      <c r="E36" t="inlineStr">
        <is>
          <t>ADELANS;ADELANS1</t>
        </is>
      </c>
      <c r="F36" t="inlineStr">
        <is>
          <t>Y</t>
        </is>
      </c>
    </row>
    <row r="37">
      <c r="A37" t="inlineStr">
        <is>
          <t>A35</t>
        </is>
      </c>
      <c r="B37" t="inlineStr">
        <is>
          <t>LUSADA</t>
        </is>
      </c>
      <c r="C37" t="inlineStr">
        <is>
          <t>Y</t>
        </is>
      </c>
      <c r="D37" t="inlineStr">
        <is>
          <t>35</t>
        </is>
      </c>
      <c r="E37" t="inlineStr"/>
      <c r="F37" t="inlineStr">
        <is>
          <t>Y</t>
        </is>
      </c>
    </row>
    <row r="38">
      <c r="A38" t="inlineStr">
        <is>
          <t>A36</t>
        </is>
      </c>
      <c r="B38" t="inlineStr">
        <is>
          <t>IJEGUN IKOTUN</t>
        </is>
      </c>
      <c r="C38" t="inlineStr">
        <is>
          <t>Y</t>
        </is>
      </c>
      <c r="D38" t="inlineStr">
        <is>
          <t>36</t>
        </is>
      </c>
      <c r="E38" t="inlineStr"/>
      <c r="F38" t="inlineStr">
        <is>
          <t>Y</t>
        </is>
      </c>
    </row>
    <row r="39">
      <c r="A39" t="inlineStr">
        <is>
          <t>A37</t>
        </is>
      </c>
      <c r="B39" t="inlineStr">
        <is>
          <t>IGANDO</t>
        </is>
      </c>
      <c r="C39" t="inlineStr">
        <is>
          <t>Y</t>
        </is>
      </c>
      <c r="D39" t="inlineStr">
        <is>
          <t>37</t>
        </is>
      </c>
      <c r="E39" t="inlineStr"/>
      <c r="F39" t="inlineStr">
        <is>
          <t>Y</t>
        </is>
      </c>
    </row>
    <row r="40">
      <c r="A40" t="inlineStr">
        <is>
          <t>A38</t>
        </is>
      </c>
      <c r="B40" t="inlineStr">
        <is>
          <t>IYANA ODO</t>
        </is>
      </c>
      <c r="C40" t="inlineStr">
        <is>
          <t>Y</t>
        </is>
      </c>
      <c r="D40" t="inlineStr">
        <is>
          <t>38</t>
        </is>
      </c>
      <c r="E40" t="inlineStr">
        <is>
          <t>IYANA- ODO</t>
        </is>
      </c>
      <c r="F40" t="inlineStr">
        <is>
          <t>Y</t>
        </is>
      </c>
    </row>
    <row r="41">
      <c r="A41" t="inlineStr">
        <is>
          <t>A39</t>
        </is>
      </c>
      <c r="B41" t="inlineStr">
        <is>
          <t>ARIDA</t>
        </is>
      </c>
      <c r="C41" t="inlineStr">
        <is>
          <t>Y</t>
        </is>
      </c>
      <c r="D41" t="inlineStr">
        <is>
          <t>39</t>
        </is>
      </c>
      <c r="E41" t="inlineStr"/>
      <c r="F41" t="inlineStr">
        <is>
          <t>Y</t>
        </is>
      </c>
    </row>
    <row r="42">
      <c r="A42" t="inlineStr">
        <is>
          <t>A40</t>
        </is>
      </c>
      <c r="B42" t="inlineStr">
        <is>
          <t>SHASHA</t>
        </is>
      </c>
      <c r="C42" t="inlineStr">
        <is>
          <t>Y</t>
        </is>
      </c>
      <c r="D42" t="inlineStr">
        <is>
          <t>40</t>
        </is>
      </c>
      <c r="E42" t="inlineStr"/>
      <c r="F42" t="inlineStr">
        <is>
          <t>Y</t>
        </is>
      </c>
    </row>
    <row r="43">
      <c r="A43" t="inlineStr">
        <is>
          <t>A41</t>
        </is>
      </c>
      <c r="B43" t="inlineStr">
        <is>
          <t>EGBEDA</t>
        </is>
      </c>
      <c r="C43" t="inlineStr">
        <is>
          <t>Y</t>
        </is>
      </c>
      <c r="D43" t="inlineStr">
        <is>
          <t>41</t>
        </is>
      </c>
      <c r="E43" t="inlineStr"/>
      <c r="F43" t="inlineStr">
        <is>
          <t>Y</t>
        </is>
      </c>
    </row>
    <row r="44">
      <c r="A44" t="inlineStr">
        <is>
          <t>A42</t>
        </is>
      </c>
      <c r="B44" t="inlineStr">
        <is>
          <t>OREGUN IKEJA</t>
        </is>
      </c>
      <c r="C44" t="inlineStr">
        <is>
          <t>Y</t>
        </is>
      </c>
      <c r="D44" t="inlineStr">
        <is>
          <t>42</t>
        </is>
      </c>
      <c r="E44" t="inlineStr">
        <is>
          <t>OREGUN-IKEJA;IKEJA</t>
        </is>
      </c>
      <c r="F44" t="inlineStr">
        <is>
          <t>Y</t>
        </is>
      </c>
    </row>
    <row r="45">
      <c r="A45" t="inlineStr">
        <is>
          <t>A43</t>
        </is>
      </c>
      <c r="B45" t="inlineStr">
        <is>
          <t>CEMENT</t>
        </is>
      </c>
      <c r="C45" t="inlineStr">
        <is>
          <t>Y</t>
        </is>
      </c>
      <c r="D45" t="inlineStr">
        <is>
          <t>43</t>
        </is>
      </c>
      <c r="E45" t="inlineStr"/>
      <c r="F45" t="inlineStr">
        <is>
          <t>Y</t>
        </is>
      </c>
    </row>
    <row r="46">
      <c r="A46" t="inlineStr">
        <is>
          <t>A44</t>
        </is>
      </c>
      <c r="B46" t="inlineStr">
        <is>
          <t>OJODU BERGER 1</t>
        </is>
      </c>
      <c r="C46" t="inlineStr">
        <is>
          <t>Y</t>
        </is>
      </c>
      <c r="D46" t="inlineStr">
        <is>
          <t>44</t>
        </is>
      </c>
      <c r="E46" t="inlineStr"/>
      <c r="F46" t="inlineStr">
        <is>
          <t>Y</t>
        </is>
      </c>
    </row>
    <row r="47">
      <c r="A47" t="inlineStr">
        <is>
          <t>A45</t>
        </is>
      </c>
      <c r="B47" t="inlineStr">
        <is>
          <t>IFAKO</t>
        </is>
      </c>
      <c r="C47" t="inlineStr">
        <is>
          <t>Y</t>
        </is>
      </c>
      <c r="D47" t="inlineStr">
        <is>
          <t>45</t>
        </is>
      </c>
      <c r="E47" t="inlineStr"/>
      <c r="F47" t="inlineStr">
        <is>
          <t>Y</t>
        </is>
      </c>
    </row>
    <row r="48">
      <c r="A48" t="inlineStr">
        <is>
          <t>A46</t>
        </is>
      </c>
      <c r="B48" t="inlineStr">
        <is>
          <t>ISHERI OPIC</t>
        </is>
      </c>
      <c r="C48" t="inlineStr">
        <is>
          <t>Y</t>
        </is>
      </c>
      <c r="D48" t="inlineStr">
        <is>
          <t>46</t>
        </is>
      </c>
      <c r="E48" t="inlineStr">
        <is>
          <t>ISHERI-OPIC</t>
        </is>
      </c>
      <c r="F48" t="inlineStr">
        <is>
          <t>Y</t>
        </is>
      </c>
    </row>
    <row r="49">
      <c r="A49" t="inlineStr">
        <is>
          <t>A47</t>
        </is>
      </c>
      <c r="B49" t="inlineStr">
        <is>
          <t>OJODU BERGER 2</t>
        </is>
      </c>
      <c r="C49" t="inlineStr">
        <is>
          <t>Y</t>
        </is>
      </c>
      <c r="D49" t="inlineStr">
        <is>
          <t>47</t>
        </is>
      </c>
      <c r="E49" t="inlineStr"/>
      <c r="F49" t="inlineStr">
        <is>
          <t>Y</t>
        </is>
      </c>
    </row>
    <row r="50">
      <c r="A50" t="inlineStr">
        <is>
          <t>A48</t>
        </is>
      </c>
      <c r="B50" t="inlineStr">
        <is>
          <t>IKOSI KETU</t>
        </is>
      </c>
      <c r="C50" t="inlineStr">
        <is>
          <t>Y</t>
        </is>
      </c>
      <c r="D50" t="inlineStr">
        <is>
          <t>48</t>
        </is>
      </c>
      <c r="E50" t="inlineStr">
        <is>
          <t>IKOSI-KETU</t>
        </is>
      </c>
      <c r="F50" t="inlineStr">
        <is>
          <t>Y</t>
        </is>
      </c>
    </row>
    <row r="51">
      <c r="A51" t="inlineStr">
        <is>
          <t>A49</t>
        </is>
      </c>
      <c r="B51" t="inlineStr">
        <is>
          <t>MAGODO GRA</t>
        </is>
      </c>
      <c r="C51" t="inlineStr">
        <is>
          <t>Y</t>
        </is>
      </c>
      <c r="D51" t="inlineStr">
        <is>
          <t>49</t>
        </is>
      </c>
      <c r="E51" t="inlineStr">
        <is>
          <t>MAGODO</t>
        </is>
      </c>
      <c r="F51" t="inlineStr">
        <is>
          <t>Y</t>
        </is>
      </c>
    </row>
    <row r="52">
      <c r="A52" t="inlineStr">
        <is>
          <t>A50</t>
        </is>
      </c>
      <c r="B52" t="inlineStr">
        <is>
          <t>OKOKOMAIKO</t>
        </is>
      </c>
      <c r="C52" t="inlineStr">
        <is>
          <t>Y</t>
        </is>
      </c>
      <c r="D52" t="inlineStr">
        <is>
          <t>50</t>
        </is>
      </c>
      <c r="E52" t="inlineStr"/>
      <c r="F52" t="inlineStr">
        <is>
          <t>Y</t>
        </is>
      </c>
    </row>
    <row r="53">
      <c r="A53" t="inlineStr">
        <is>
          <t>A51</t>
        </is>
      </c>
      <c r="B53" t="inlineStr">
        <is>
          <t>AGBARA</t>
        </is>
      </c>
      <c r="C53" t="inlineStr">
        <is>
          <t>Y</t>
        </is>
      </c>
      <c r="D53" t="inlineStr">
        <is>
          <t>51</t>
        </is>
      </c>
      <c r="E53" t="inlineStr"/>
      <c r="F53" t="inlineStr">
        <is>
          <t>Y</t>
        </is>
      </c>
    </row>
    <row r="54">
      <c r="A54" t="inlineStr">
        <is>
          <t>A52</t>
        </is>
      </c>
      <c r="B54" t="inlineStr">
        <is>
          <t>IDORAWA EDU</t>
        </is>
      </c>
      <c r="C54" t="inlineStr">
        <is>
          <t>Y</t>
        </is>
      </c>
      <c r="D54" t="inlineStr">
        <is>
          <t>52</t>
        </is>
      </c>
      <c r="E54" t="inlineStr">
        <is>
          <t>IDORAWA;IDOWARA EDU</t>
        </is>
      </c>
      <c r="F54" t="inlineStr">
        <is>
          <t>Y</t>
        </is>
      </c>
    </row>
    <row r="55">
      <c r="A55" t="inlineStr">
        <is>
          <t>A53</t>
        </is>
      </c>
      <c r="B55" t="inlineStr">
        <is>
          <t>IJURI</t>
        </is>
      </c>
      <c r="C55" t="inlineStr">
        <is>
          <t>Y</t>
        </is>
      </c>
      <c r="D55" t="inlineStr">
        <is>
          <t>53</t>
        </is>
      </c>
      <c r="E55" t="inlineStr"/>
      <c r="F55" t="inlineStr">
        <is>
          <t>Y</t>
        </is>
      </c>
    </row>
    <row r="56">
      <c r="A56" t="inlineStr">
        <is>
          <t>A54</t>
        </is>
      </c>
      <c r="B56" t="inlineStr">
        <is>
          <t>BADAGRY</t>
        </is>
      </c>
      <c r="C56" t="inlineStr">
        <is>
          <t>Y</t>
        </is>
      </c>
      <c r="D56" t="inlineStr">
        <is>
          <t>54</t>
        </is>
      </c>
      <c r="E56" t="inlineStr"/>
      <c r="F56" t="inlineStr">
        <is>
          <t>Y</t>
        </is>
      </c>
    </row>
    <row r="57">
      <c r="A57" t="inlineStr">
        <is>
          <t>A55</t>
        </is>
      </c>
      <c r="B57" t="inlineStr">
        <is>
          <t>IBIYE</t>
        </is>
      </c>
      <c r="C57" t="inlineStr">
        <is>
          <t>Y</t>
        </is>
      </c>
      <c r="D57" t="inlineStr">
        <is>
          <t>55</t>
        </is>
      </c>
      <c r="E57" t="inlineStr"/>
      <c r="F57" t="inlineStr">
        <is>
          <t>Y</t>
        </is>
      </c>
    </row>
    <row r="58">
      <c r="A58" t="inlineStr">
        <is>
          <t>A56</t>
        </is>
      </c>
      <c r="B58" t="inlineStr">
        <is>
          <t>OKOTA</t>
        </is>
      </c>
      <c r="C58" t="inlineStr">
        <is>
          <t>Y</t>
        </is>
      </c>
      <c r="D58" t="inlineStr">
        <is>
          <t>56</t>
        </is>
      </c>
      <c r="E58" t="inlineStr"/>
      <c r="F58" t="inlineStr">
        <is>
          <t>Y</t>
        </is>
      </c>
    </row>
    <row r="59">
      <c r="A59" t="inlineStr">
        <is>
          <t>A57</t>
        </is>
      </c>
      <c r="B59" t="inlineStr">
        <is>
          <t>OSHODI</t>
        </is>
      </c>
      <c r="C59" t="inlineStr">
        <is>
          <t>Y</t>
        </is>
      </c>
      <c r="D59" t="inlineStr">
        <is>
          <t>57</t>
        </is>
      </c>
      <c r="E59" t="inlineStr"/>
      <c r="F59" t="inlineStr">
        <is>
          <t>Y</t>
        </is>
      </c>
    </row>
    <row r="60">
      <c r="A60" t="inlineStr">
        <is>
          <t>A58</t>
        </is>
      </c>
      <c r="B60" t="inlineStr">
        <is>
          <t>FESTAC</t>
        </is>
      </c>
      <c r="C60" t="inlineStr">
        <is>
          <t>Y</t>
        </is>
      </c>
      <c r="D60" t="inlineStr">
        <is>
          <t>58</t>
        </is>
      </c>
      <c r="E60" t="inlineStr"/>
      <c r="F60" t="inlineStr">
        <is>
          <t>Y</t>
        </is>
      </c>
    </row>
    <row r="61">
      <c r="A61" t="inlineStr">
        <is>
          <t>A59</t>
        </is>
      </c>
      <c r="B61" t="inlineStr">
        <is>
          <t>IJU ISHAGA</t>
        </is>
      </c>
      <c r="C61" t="inlineStr">
        <is>
          <t>Y</t>
        </is>
      </c>
      <c r="D61" t="inlineStr">
        <is>
          <t>59</t>
        </is>
      </c>
      <c r="E61" t="inlineStr">
        <is>
          <t>IJU - ISHAGA;IJU-ISHAGA</t>
        </is>
      </c>
      <c r="F61" t="inlineStr">
        <is>
          <t>Y</t>
        </is>
      </c>
    </row>
    <row r="62">
      <c r="A62" t="inlineStr">
        <is>
          <t>A60</t>
        </is>
      </c>
      <c r="B62" t="inlineStr">
        <is>
          <t>EMDEO</t>
        </is>
      </c>
      <c r="C62" t="inlineStr">
        <is>
          <t>Y</t>
        </is>
      </c>
      <c r="D62" t="inlineStr">
        <is>
          <t>60</t>
        </is>
      </c>
      <c r="E62" t="inlineStr"/>
      <c r="F62" t="inlineStr">
        <is>
          <t>Y</t>
        </is>
      </c>
    </row>
    <row r="63">
      <c r="A63" t="inlineStr">
        <is>
          <t>A61</t>
        </is>
      </c>
      <c r="B63" t="inlineStr">
        <is>
          <t>AGBADO</t>
        </is>
      </c>
      <c r="C63" t="inlineStr">
        <is>
          <t>Y</t>
        </is>
      </c>
      <c r="D63" t="inlineStr">
        <is>
          <t>61</t>
        </is>
      </c>
      <c r="E63" t="inlineStr"/>
      <c r="F63" t="inlineStr">
        <is>
          <t>Y</t>
        </is>
      </c>
    </row>
    <row r="64">
      <c r="A64" t="inlineStr">
        <is>
          <t>A62</t>
        </is>
      </c>
      <c r="B64" t="inlineStr">
        <is>
          <t>BODE WILLIAMS</t>
        </is>
      </c>
      <c r="C64" t="inlineStr">
        <is>
          <t>Y</t>
        </is>
      </c>
      <c r="D64" t="inlineStr">
        <is>
          <t>62</t>
        </is>
      </c>
      <c r="E64" t="inlineStr"/>
      <c r="F64" t="inlineStr">
        <is>
          <t>Y</t>
        </is>
      </c>
    </row>
    <row r="65">
      <c r="A65" t="inlineStr">
        <is>
          <t>A63</t>
        </is>
      </c>
      <c r="B65" t="inlineStr">
        <is>
          <t>LEKKI</t>
        </is>
      </c>
      <c r="C65" t="inlineStr">
        <is>
          <t>Y</t>
        </is>
      </c>
      <c r="D65" t="inlineStr">
        <is>
          <t>63</t>
        </is>
      </c>
      <c r="E65" t="inlineStr"/>
      <c r="F65" t="inlineStr">
        <is>
          <t>Y</t>
        </is>
      </c>
    </row>
    <row r="66">
      <c r="A66" t="inlineStr">
        <is>
          <t>A64</t>
        </is>
      </c>
      <c r="B66" t="inlineStr">
        <is>
          <t>VGC</t>
        </is>
      </c>
      <c r="C66" t="inlineStr">
        <is>
          <t>Y</t>
        </is>
      </c>
      <c r="D66" t="inlineStr">
        <is>
          <t>64</t>
        </is>
      </c>
      <c r="E66" t="inlineStr"/>
      <c r="F66" t="inlineStr">
        <is>
          <t>Y</t>
        </is>
      </c>
    </row>
    <row r="67">
      <c r="A67" t="inlineStr">
        <is>
          <t>A65</t>
        </is>
      </c>
      <c r="B67" t="inlineStr">
        <is>
          <t>AJAH</t>
        </is>
      </c>
      <c r="C67" t="inlineStr">
        <is>
          <t>Y</t>
        </is>
      </c>
      <c r="D67" t="inlineStr">
        <is>
          <t>65</t>
        </is>
      </c>
      <c r="E67" t="inlineStr"/>
      <c r="F67" t="inlineStr">
        <is>
          <t>Y</t>
        </is>
      </c>
    </row>
    <row r="68">
      <c r="A68" t="inlineStr">
        <is>
          <t>A66</t>
        </is>
      </c>
      <c r="B68" t="inlineStr">
        <is>
          <t>BADORE</t>
        </is>
      </c>
      <c r="C68" t="inlineStr">
        <is>
          <t>Y</t>
        </is>
      </c>
      <c r="D68" t="inlineStr">
        <is>
          <t>66</t>
        </is>
      </c>
      <c r="E68" t="inlineStr"/>
      <c r="F68" t="inlineStr">
        <is>
          <t>Y</t>
        </is>
      </c>
    </row>
    <row r="69">
      <c r="A69" t="inlineStr">
        <is>
          <t>A67</t>
        </is>
      </c>
      <c r="B69" t="inlineStr">
        <is>
          <t>SURULERE</t>
        </is>
      </c>
      <c r="C69" t="inlineStr">
        <is>
          <t>Y</t>
        </is>
      </c>
      <c r="D69" t="inlineStr">
        <is>
          <t>67</t>
        </is>
      </c>
      <c r="E69" t="inlineStr"/>
      <c r="F69" t="inlineStr">
        <is>
          <t>Y</t>
        </is>
      </c>
    </row>
    <row r="70">
      <c r="A70" t="inlineStr">
        <is>
          <t>A68</t>
        </is>
      </c>
      <c r="B70" t="inlineStr">
        <is>
          <t>LAWANSON</t>
        </is>
      </c>
      <c r="C70" t="inlineStr">
        <is>
          <t>Y</t>
        </is>
      </c>
      <c r="D70" t="inlineStr">
        <is>
          <t>68</t>
        </is>
      </c>
      <c r="E70" t="inlineStr"/>
      <c r="F70" t="inlineStr">
        <is>
          <t>Y</t>
        </is>
      </c>
    </row>
    <row r="71">
      <c r="A71" t="inlineStr">
        <is>
          <t>A69</t>
        </is>
      </c>
      <c r="B71" t="inlineStr">
        <is>
          <t>MASHA</t>
        </is>
      </c>
      <c r="C71" t="inlineStr">
        <is>
          <t>Y</t>
        </is>
      </c>
      <c r="D71" t="inlineStr">
        <is>
          <t>69</t>
        </is>
      </c>
      <c r="E71" t="inlineStr"/>
      <c r="F71" t="inlineStr">
        <is>
          <t>Y</t>
        </is>
      </c>
    </row>
    <row r="72">
      <c r="A72" t="inlineStr">
        <is>
          <t>A70</t>
        </is>
      </c>
      <c r="B72" t="inlineStr">
        <is>
          <t>ILAJE</t>
        </is>
      </c>
      <c r="C72" t="inlineStr">
        <is>
          <t>Y</t>
        </is>
      </c>
      <c r="D72" t="inlineStr">
        <is>
          <t>70</t>
        </is>
      </c>
      <c r="E72" t="inlineStr"/>
      <c r="F72" t="inlineStr">
        <is>
          <t>Y</t>
        </is>
      </c>
    </row>
    <row r="73">
      <c r="A73" t="inlineStr">
        <is>
          <t>A71</t>
        </is>
      </c>
      <c r="B73" t="inlineStr">
        <is>
          <t>OWODE</t>
        </is>
      </c>
      <c r="C73" t="inlineStr">
        <is>
          <t>Y</t>
        </is>
      </c>
      <c r="D73" t="inlineStr">
        <is>
          <t>71</t>
        </is>
      </c>
      <c r="E73" t="inlineStr"/>
      <c r="F73" t="inlineStr">
        <is>
          <t>Y</t>
        </is>
      </c>
    </row>
    <row r="74">
      <c r="A74" t="inlineStr">
        <is>
          <t>A72</t>
        </is>
      </c>
      <c r="B74" t="inlineStr">
        <is>
          <t>SANGO OTA</t>
        </is>
      </c>
      <c r="C74" t="inlineStr">
        <is>
          <t>Y</t>
        </is>
      </c>
      <c r="D74" t="inlineStr">
        <is>
          <t>72</t>
        </is>
      </c>
      <c r="E74" t="inlineStr">
        <is>
          <t>SANGO-OTA</t>
        </is>
      </c>
      <c r="F74" t="inlineStr">
        <is>
          <t>Y</t>
        </is>
      </c>
    </row>
    <row r="75">
      <c r="A75" t="inlineStr">
        <is>
          <t>A73</t>
        </is>
      </c>
      <c r="B75" t="inlineStr">
        <is>
          <t>ABEBI OTA</t>
        </is>
      </c>
      <c r="C75" t="inlineStr">
        <is>
          <t>Y</t>
        </is>
      </c>
      <c r="D75" t="inlineStr">
        <is>
          <t>73</t>
        </is>
      </c>
      <c r="E75" t="inlineStr">
        <is>
          <t>ABEBI - OTA</t>
        </is>
      </c>
      <c r="F75" t="inlineStr">
        <is>
          <t>Y</t>
        </is>
      </c>
    </row>
    <row r="76">
      <c r="A76" t="inlineStr">
        <is>
          <t>A74</t>
        </is>
      </c>
      <c r="B76" t="inlineStr">
        <is>
          <t>IGBALA</t>
        </is>
      </c>
      <c r="C76" t="inlineStr">
        <is>
          <t>Y</t>
        </is>
      </c>
      <c r="D76" t="inlineStr">
        <is>
          <t>74</t>
        </is>
      </c>
      <c r="E76" t="inlineStr"/>
      <c r="F76" t="inlineStr">
        <is>
          <t>Y</t>
        </is>
      </c>
    </row>
    <row r="77">
      <c r="A77" t="inlineStr">
        <is>
          <t>A75</t>
        </is>
      </c>
      <c r="B77" t="inlineStr">
        <is>
          <t>ILOGBO OTA</t>
        </is>
      </c>
      <c r="C77" t="inlineStr">
        <is>
          <t>Y</t>
        </is>
      </c>
      <c r="D77" t="inlineStr">
        <is>
          <t>75</t>
        </is>
      </c>
      <c r="E77" t="inlineStr">
        <is>
          <t>ILOGBO, OTA;ILOGBO</t>
        </is>
      </c>
      <c r="F77" t="inlineStr">
        <is>
          <t>Y</t>
        </is>
      </c>
    </row>
    <row r="78">
      <c r="A78" t="inlineStr">
        <is>
          <t>A76</t>
        </is>
      </c>
      <c r="B78" t="inlineStr">
        <is>
          <t>IJOKO</t>
        </is>
      </c>
      <c r="C78" t="inlineStr">
        <is>
          <t>Y</t>
        </is>
      </c>
      <c r="D78" t="inlineStr">
        <is>
          <t>76</t>
        </is>
      </c>
      <c r="E78" t="inlineStr">
        <is>
          <t>IJOKO (76)</t>
        </is>
      </c>
      <c r="F78" t="inlineStr">
        <is>
          <t>Y</t>
        </is>
      </c>
    </row>
    <row r="79">
      <c r="A79" t="inlineStr">
        <is>
          <t>A77</t>
        </is>
      </c>
      <c r="B79" t="inlineStr">
        <is>
          <t>WHITEHOUSE</t>
        </is>
      </c>
      <c r="C79" t="inlineStr">
        <is>
          <t>Y</t>
        </is>
      </c>
      <c r="D79" t="inlineStr">
        <is>
          <t>77</t>
        </is>
      </c>
      <c r="E79" t="inlineStr">
        <is>
          <t>WHITEHOUSE (77)</t>
        </is>
      </c>
      <c r="F79" t="inlineStr">
        <is>
          <t>Y</t>
        </is>
      </c>
    </row>
    <row r="80">
      <c r="A80" t="inlineStr">
        <is>
          <t>A78</t>
        </is>
      </c>
      <c r="B80" t="inlineStr">
        <is>
          <t>IYESI 2</t>
        </is>
      </c>
      <c r="C80" t="inlineStr">
        <is>
          <t>Y</t>
        </is>
      </c>
      <c r="D80" t="inlineStr">
        <is>
          <t>78</t>
        </is>
      </c>
      <c r="E80" t="inlineStr"/>
      <c r="F80" t="inlineStr">
        <is>
          <t>Y</t>
        </is>
      </c>
    </row>
    <row r="81">
      <c r="A81" t="inlineStr">
        <is>
          <t>A79</t>
        </is>
      </c>
      <c r="B81" t="inlineStr">
        <is>
          <t>HIGH COURT</t>
        </is>
      </c>
      <c r="C81" t="inlineStr">
        <is>
          <t>Y</t>
        </is>
      </c>
      <c r="D81" t="inlineStr">
        <is>
          <t>79</t>
        </is>
      </c>
      <c r="E81" t="inlineStr">
        <is>
          <t>HIGH COURT (79)</t>
        </is>
      </c>
      <c r="F81" t="inlineStr">
        <is>
          <t>Y</t>
        </is>
      </c>
    </row>
    <row r="82">
      <c r="A82" t="inlineStr">
        <is>
          <t>A80</t>
        </is>
      </c>
      <c r="B82" t="inlineStr">
        <is>
          <t>ATAN 2</t>
        </is>
      </c>
      <c r="C82" t="inlineStr">
        <is>
          <t>Y</t>
        </is>
      </c>
      <c r="D82" t="inlineStr">
        <is>
          <t>80</t>
        </is>
      </c>
      <c r="E82" t="inlineStr"/>
      <c r="F82" t="inlineStr">
        <is>
          <t>Y</t>
        </is>
      </c>
    </row>
    <row r="83">
      <c r="A83" t="inlineStr">
        <is>
          <t>A81</t>
        </is>
      </c>
      <c r="B83" t="inlineStr">
        <is>
          <t>ADELANS 2</t>
        </is>
      </c>
      <c r="C83" t="inlineStr">
        <is>
          <t>Y</t>
        </is>
      </c>
      <c r="D83" t="inlineStr">
        <is>
          <t>81</t>
        </is>
      </c>
      <c r="E83" t="inlineStr"/>
      <c r="F83" t="inlineStr">
        <is>
          <t>Y</t>
        </is>
      </c>
    </row>
    <row r="84">
      <c r="A84" t="inlineStr">
        <is>
          <t>A82</t>
        </is>
      </c>
      <c r="B84" t="inlineStr">
        <is>
          <t>AMJE</t>
        </is>
      </c>
      <c r="C84" t="inlineStr">
        <is>
          <t>Y</t>
        </is>
      </c>
      <c r="D84" t="inlineStr">
        <is>
          <t>82</t>
        </is>
      </c>
      <c r="E84" t="inlineStr"/>
      <c r="F84" t="inlineStr">
        <is>
          <t>Y</t>
        </is>
      </c>
    </row>
    <row r="85">
      <c r="A85" t="inlineStr">
        <is>
          <t>A83</t>
        </is>
      </c>
      <c r="B85" t="inlineStr">
        <is>
          <t>IKOLA COMMAND</t>
        </is>
      </c>
      <c r="C85" t="inlineStr">
        <is>
          <t>Y</t>
        </is>
      </c>
      <c r="D85" t="inlineStr">
        <is>
          <t>83</t>
        </is>
      </c>
      <c r="E85" t="inlineStr">
        <is>
          <t>IKOLA/COMMAND</t>
        </is>
      </c>
      <c r="F85" t="inlineStr">
        <is>
          <t>Y</t>
        </is>
      </c>
    </row>
    <row r="86">
      <c r="A86" t="inlineStr">
        <is>
          <t>A84</t>
        </is>
      </c>
      <c r="B86" t="inlineStr">
        <is>
          <t>EJIGBO</t>
        </is>
      </c>
      <c r="C86" t="inlineStr">
        <is>
          <t>Y</t>
        </is>
      </c>
      <c r="D86" t="inlineStr">
        <is>
          <t>84</t>
        </is>
      </c>
      <c r="E86" t="inlineStr"/>
      <c r="F86" t="inlineStr">
        <is>
          <t>Y</t>
        </is>
      </c>
    </row>
    <row r="87">
      <c r="A87" t="inlineStr">
        <is>
          <t>A85</t>
        </is>
      </c>
      <c r="B87" t="inlineStr">
        <is>
          <t>IJEDODO</t>
        </is>
      </c>
      <c r="C87" t="inlineStr">
        <is>
          <t>Y</t>
        </is>
      </c>
      <c r="D87" t="inlineStr">
        <is>
          <t>85</t>
        </is>
      </c>
      <c r="E87" t="inlineStr"/>
      <c r="F87" t="inlineStr">
        <is>
          <t>Y</t>
        </is>
      </c>
    </row>
    <row r="88">
      <c r="A88" t="inlineStr">
        <is>
          <t>A86</t>
        </is>
      </c>
      <c r="B88" t="inlineStr">
        <is>
          <t>LSDPC</t>
        </is>
      </c>
      <c r="C88" t="inlineStr">
        <is>
          <t>Y</t>
        </is>
      </c>
      <c r="D88" t="inlineStr">
        <is>
          <t>86</t>
        </is>
      </c>
      <c r="E88" t="inlineStr"/>
      <c r="F88" t="inlineStr">
        <is>
          <t>Y</t>
        </is>
      </c>
    </row>
    <row r="89">
      <c r="A89" t="inlineStr">
        <is>
          <t>A87</t>
        </is>
      </c>
      <c r="B89" t="inlineStr">
        <is>
          <t>ILOGBO OKOKO</t>
        </is>
      </c>
      <c r="C89" t="inlineStr">
        <is>
          <t>Y</t>
        </is>
      </c>
      <c r="D89" t="inlineStr">
        <is>
          <t>87</t>
        </is>
      </c>
      <c r="E89" t="inlineStr">
        <is>
          <t>ILOGBO,OKOKO;ILOGBO-OKOKO</t>
        </is>
      </c>
      <c r="F89" t="inlineStr">
        <is>
          <t>Y</t>
        </is>
      </c>
    </row>
    <row r="90">
      <c r="A90" t="inlineStr">
        <is>
          <t>A88</t>
        </is>
      </c>
      <c r="B90" t="inlineStr">
        <is>
          <t>GBAGADA</t>
        </is>
      </c>
      <c r="C90" t="inlineStr">
        <is>
          <t>Y</t>
        </is>
      </c>
      <c r="D90" t="inlineStr">
        <is>
          <t>88</t>
        </is>
      </c>
      <c r="E90" t="inlineStr"/>
      <c r="F90" t="inlineStr">
        <is>
          <t>Y</t>
        </is>
      </c>
    </row>
    <row r="91">
      <c r="A91" t="inlineStr">
        <is>
          <t>A89</t>
        </is>
      </c>
      <c r="B91" t="inlineStr">
        <is>
          <t>ILUPEJU</t>
        </is>
      </c>
      <c r="C91" t="inlineStr">
        <is>
          <t>Y</t>
        </is>
      </c>
      <c r="D91" t="inlineStr">
        <is>
          <t>89</t>
        </is>
      </c>
      <c r="E91" t="inlineStr">
        <is>
          <t>ILLUPEJU</t>
        </is>
      </c>
      <c r="F91" t="inlineStr">
        <is>
          <t>Y</t>
        </is>
      </c>
    </row>
    <row r="92">
      <c r="A92" t="inlineStr">
        <is>
          <t>A90</t>
        </is>
      </c>
      <c r="B92" t="inlineStr">
        <is>
          <t>SATELLITE TOWN</t>
        </is>
      </c>
      <c r="C92" t="inlineStr">
        <is>
          <t>Y</t>
        </is>
      </c>
      <c r="D92" t="inlineStr">
        <is>
          <t>90</t>
        </is>
      </c>
      <c r="E92" t="inlineStr">
        <is>
          <t>SATELITE;SATELLITE</t>
        </is>
      </c>
      <c r="F92" t="inlineStr">
        <is>
          <t>Y</t>
        </is>
      </c>
    </row>
    <row r="93">
      <c r="A93" t="inlineStr">
        <is>
          <t>A91</t>
        </is>
      </c>
      <c r="B93" t="inlineStr">
        <is>
          <t>IKOYI</t>
        </is>
      </c>
      <c r="C93" t="inlineStr">
        <is>
          <t>Y</t>
        </is>
      </c>
      <c r="D93" t="inlineStr">
        <is>
          <t>91</t>
        </is>
      </c>
      <c r="E93" t="inlineStr"/>
      <c r="F93" t="inlineStr">
        <is>
          <t>Y</t>
        </is>
      </c>
    </row>
    <row r="94">
      <c r="A94" t="inlineStr">
        <is>
          <t>A92</t>
        </is>
      </c>
      <c r="B94" t="inlineStr">
        <is>
          <t>ETI-OSA</t>
        </is>
      </c>
      <c r="C94" t="inlineStr">
        <is>
          <t>Y</t>
        </is>
      </c>
      <c r="D94" t="inlineStr">
        <is>
          <t>92</t>
        </is>
      </c>
      <c r="E94" t="inlineStr">
        <is>
          <t>ETI -OSA;ETI OSA</t>
        </is>
      </c>
      <c r="F94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I128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292" t="inlineStr">
        <is>
          <t>Zone_ID</t>
        </is>
      </c>
      <c r="B1" s="292" t="inlineStr">
        <is>
          <t>Zone_Name</t>
        </is>
      </c>
      <c r="C1" s="292" t="inlineStr">
        <is>
          <t>Area_Name</t>
        </is>
      </c>
      <c r="D1" s="292" t="inlineStr">
        <is>
          <t>Has_CHOP</t>
        </is>
      </c>
      <c r="E1" s="292" t="inlineStr">
        <is>
          <t>Active</t>
        </is>
      </c>
      <c r="F1" s="292" t="inlineStr">
        <is>
          <t>Zone_No</t>
        </is>
      </c>
      <c r="G1" s="292" t="inlineStr">
        <is>
          <t>Address</t>
        </is>
      </c>
      <c r="H1" s="292" t="inlineStr">
        <is>
          <t>Zone_Status</t>
        </is>
      </c>
      <c r="I1" s="292" t="inlineStr">
        <is>
          <t>Is_Community</t>
        </is>
      </c>
    </row>
    <row r="2">
      <c r="A2" t="inlineStr">
        <is>
          <t>LFC0000</t>
        </is>
      </c>
      <c r="B2" t="inlineStr">
        <is>
          <t>LFC0000</t>
        </is>
      </c>
      <c r="C2" t="inlineStr">
        <is>
          <t>CANAANLAND 1</t>
        </is>
      </c>
      <c r="D2" t="inlineStr">
        <is>
          <t>N</t>
        </is>
      </c>
      <c r="E2" t="inlineStr">
        <is>
          <t>Y</t>
        </is>
      </c>
      <c r="F2" t="inlineStr">
        <is>
          <t>0</t>
        </is>
      </c>
      <c r="G2" t="inlineStr">
        <is>
          <t>NEW ESTATE DUPLEXES</t>
        </is>
      </c>
      <c r="H2" t="inlineStr">
        <is>
          <t>From reporting system</t>
        </is>
      </c>
      <c r="I2" t="inlineStr">
        <is>
          <t>N</t>
        </is>
      </c>
    </row>
    <row r="3">
      <c r="A3" t="inlineStr">
        <is>
          <t>LFC0001</t>
        </is>
      </c>
      <c r="B3" t="inlineStr">
        <is>
          <t>LFC0001</t>
        </is>
      </c>
      <c r="C3" t="inlineStr">
        <is>
          <t>CANAANLAND 1</t>
        </is>
      </c>
      <c r="D3" t="inlineStr">
        <is>
          <t>Y</t>
        </is>
      </c>
      <c r="E3" t="inlineStr">
        <is>
          <t>Y</t>
        </is>
      </c>
      <c r="F3" t="inlineStr">
        <is>
          <t>1</t>
        </is>
      </c>
      <c r="G3" t="inlineStr">
        <is>
          <t>YOUTH CHAPEL</t>
        </is>
      </c>
      <c r="H3" t="inlineStr">
        <is>
          <t>From reporting system</t>
        </is>
      </c>
      <c r="I3" t="inlineStr">
        <is>
          <t>N</t>
        </is>
      </c>
    </row>
    <row r="4">
      <c r="A4" t="inlineStr">
        <is>
          <t>LFC0002</t>
        </is>
      </c>
      <c r="B4" t="inlineStr">
        <is>
          <t>LFC0002</t>
        </is>
      </c>
      <c r="C4" t="inlineStr">
        <is>
          <t>CANAANLAND 1</t>
        </is>
      </c>
      <c r="D4" t="inlineStr">
        <is>
          <t>N</t>
        </is>
      </c>
      <c r="E4" t="inlineStr">
        <is>
          <t>Y</t>
        </is>
      </c>
      <c r="F4" t="inlineStr">
        <is>
          <t>2</t>
        </is>
      </c>
      <c r="G4" t="inlineStr">
        <is>
          <t>CAMP HOUSE</t>
        </is>
      </c>
      <c r="H4" t="inlineStr">
        <is>
          <t>From reporting system</t>
        </is>
      </c>
      <c r="I4" t="inlineStr">
        <is>
          <t>N</t>
        </is>
      </c>
    </row>
    <row r="5">
      <c r="A5" t="inlineStr">
        <is>
          <t>LFC0003</t>
        </is>
      </c>
      <c r="B5" t="inlineStr">
        <is>
          <t>LFC0003</t>
        </is>
      </c>
      <c r="C5" t="inlineStr">
        <is>
          <t>CANAANLAND 1</t>
        </is>
      </c>
      <c r="D5" t="inlineStr">
        <is>
          <t>N</t>
        </is>
      </c>
      <c r="E5" t="inlineStr">
        <is>
          <t>Y</t>
        </is>
      </c>
      <c r="F5" t="inlineStr">
        <is>
          <t>3</t>
        </is>
      </c>
      <c r="G5" t="inlineStr">
        <is>
          <t>RAMOTH/RAMOTH EXTENSION</t>
        </is>
      </c>
      <c r="H5" t="inlineStr">
        <is>
          <t>From reporting system</t>
        </is>
      </c>
      <c r="I5" t="inlineStr">
        <is>
          <t>N</t>
        </is>
      </c>
    </row>
    <row r="6">
      <c r="A6" t="inlineStr">
        <is>
          <t>LFC0004</t>
        </is>
      </c>
      <c r="B6" t="inlineStr">
        <is>
          <t>LFC0004</t>
        </is>
      </c>
      <c r="C6" t="inlineStr">
        <is>
          <t>CANAANLAND 1</t>
        </is>
      </c>
      <c r="D6" t="inlineStr">
        <is>
          <t>N</t>
        </is>
      </c>
      <c r="E6" t="inlineStr">
        <is>
          <t>Y</t>
        </is>
      </c>
      <c r="F6" t="inlineStr">
        <is>
          <t>4</t>
        </is>
      </c>
      <c r="G6" t="inlineStr">
        <is>
          <t>BUSINESS AREA, CANAAN LAND</t>
        </is>
      </c>
      <c r="H6" t="inlineStr">
        <is>
          <t>From reporting system</t>
        </is>
      </c>
      <c r="I6" t="inlineStr">
        <is>
          <t>N</t>
        </is>
      </c>
    </row>
    <row r="7">
      <c r="A7" t="inlineStr">
        <is>
          <t>LFC0005</t>
        </is>
      </c>
      <c r="B7" t="inlineStr">
        <is>
          <t>LFC0005</t>
        </is>
      </c>
      <c r="C7" t="inlineStr">
        <is>
          <t>CANAANLAND 1</t>
        </is>
      </c>
      <c r="D7" t="inlineStr">
        <is>
          <t>N</t>
        </is>
      </c>
      <c r="E7" t="inlineStr">
        <is>
          <t>Y</t>
        </is>
      </c>
      <c r="F7" t="inlineStr">
        <is>
          <t>5</t>
        </is>
      </c>
      <c r="G7" t="inlineStr">
        <is>
          <t>MISSION ESTATE LODGE (DUPLEXES)</t>
        </is>
      </c>
      <c r="H7" t="inlineStr">
        <is>
          <t>From reporting system</t>
        </is>
      </c>
      <c r="I7" t="inlineStr">
        <is>
          <t>N</t>
        </is>
      </c>
    </row>
    <row r="8">
      <c r="A8" t="inlineStr">
        <is>
          <t>LFC0006</t>
        </is>
      </c>
      <c r="B8" t="inlineStr">
        <is>
          <t>LFC0006</t>
        </is>
      </c>
      <c r="C8" t="inlineStr">
        <is>
          <t>CANAANLAND 1</t>
        </is>
      </c>
      <c r="D8" t="inlineStr">
        <is>
          <t>N</t>
        </is>
      </c>
      <c r="E8" t="inlineStr">
        <is>
          <t>Y</t>
        </is>
      </c>
      <c r="F8" t="inlineStr">
        <is>
          <t>6</t>
        </is>
      </c>
      <c r="G8" t="inlineStr">
        <is>
          <t>MISSION ESTATE LODGE (BLOCKS A-C)</t>
        </is>
      </c>
      <c r="H8" t="inlineStr">
        <is>
          <t>From reporting system</t>
        </is>
      </c>
      <c r="I8" t="inlineStr">
        <is>
          <t>N</t>
        </is>
      </c>
    </row>
    <row r="9">
      <c r="A9" t="inlineStr">
        <is>
          <t>LFC0007</t>
        </is>
      </c>
      <c r="B9" t="inlineStr">
        <is>
          <t>LFC0007</t>
        </is>
      </c>
      <c r="C9" t="inlineStr">
        <is>
          <t>CANAANLAND 1</t>
        </is>
      </c>
      <c r="D9" t="inlineStr">
        <is>
          <t>N</t>
        </is>
      </c>
      <c r="E9" t="inlineStr">
        <is>
          <t>Y</t>
        </is>
      </c>
      <c r="F9" t="inlineStr">
        <is>
          <t>7</t>
        </is>
      </c>
      <c r="G9" t="inlineStr">
        <is>
          <t>MISSION ESTATE LODGE (BLOCKS D-H)</t>
        </is>
      </c>
      <c r="H9" t="inlineStr">
        <is>
          <t>From reporting system</t>
        </is>
      </c>
      <c r="I9" t="inlineStr">
        <is>
          <t>N</t>
        </is>
      </c>
    </row>
    <row r="10">
      <c r="A10" t="inlineStr">
        <is>
          <t>LFC0008</t>
        </is>
      </c>
      <c r="B10" t="inlineStr">
        <is>
          <t>LFC0008</t>
        </is>
      </c>
      <c r="C10" t="inlineStr">
        <is>
          <t>CANAANLAND 1</t>
        </is>
      </c>
      <c r="D10" t="inlineStr">
        <is>
          <t>N</t>
        </is>
      </c>
      <c r="E10" t="inlineStr">
        <is>
          <t>Y</t>
        </is>
      </c>
      <c r="F10" t="inlineStr">
        <is>
          <t>8</t>
        </is>
      </c>
      <c r="G10" t="inlineStr">
        <is>
          <t>MISSION ESTATE LODGE (BLOCKS I - L)</t>
        </is>
      </c>
      <c r="H10" t="inlineStr">
        <is>
          <t>From reporting system</t>
        </is>
      </c>
      <c r="I10" t="inlineStr">
        <is>
          <t>N</t>
        </is>
      </c>
    </row>
    <row r="11">
      <c r="A11" t="inlineStr">
        <is>
          <t>LFC0009</t>
        </is>
      </c>
      <c r="B11" t="inlineStr">
        <is>
          <t>LFC0009</t>
        </is>
      </c>
      <c r="C11" t="inlineStr">
        <is>
          <t>CANAANLAND 1</t>
        </is>
      </c>
      <c r="D11" t="inlineStr">
        <is>
          <t>N</t>
        </is>
      </c>
      <c r="E11" t="inlineStr">
        <is>
          <t>Y</t>
        </is>
      </c>
      <c r="F11" t="inlineStr">
        <is>
          <t>9</t>
        </is>
      </c>
      <c r="G11" t="inlineStr">
        <is>
          <t>MISSION ESTATE LODGE (BLOCKS M-P)</t>
        </is>
      </c>
      <c r="H11" t="inlineStr">
        <is>
          <t>From reporting system</t>
        </is>
      </c>
      <c r="I11" t="inlineStr">
        <is>
          <t>N</t>
        </is>
      </c>
    </row>
    <row r="12">
      <c r="A12" t="inlineStr">
        <is>
          <t>LFC0010</t>
        </is>
      </c>
      <c r="B12" t="inlineStr">
        <is>
          <t>LFC0010</t>
        </is>
      </c>
      <c r="C12" t="inlineStr">
        <is>
          <t>CANAANLAND 1</t>
        </is>
      </c>
      <c r="D12" t="inlineStr">
        <is>
          <t>N</t>
        </is>
      </c>
      <c r="E12" t="inlineStr">
        <is>
          <t>Y</t>
        </is>
      </c>
      <c r="F12" t="inlineStr">
        <is>
          <t>10</t>
        </is>
      </c>
      <c r="G12" t="inlineStr">
        <is>
          <t>PG QUARTERS BLOCKS A,B &amp; C, COVENANT UNIVERSITY</t>
        </is>
      </c>
      <c r="H12" t="inlineStr">
        <is>
          <t>From reporting system</t>
        </is>
      </c>
      <c r="I12" t="inlineStr">
        <is>
          <t>N</t>
        </is>
      </c>
    </row>
    <row r="13">
      <c r="A13" t="inlineStr">
        <is>
          <t>LFC0011</t>
        </is>
      </c>
      <c r="B13" t="inlineStr">
        <is>
          <t>LFC0011</t>
        </is>
      </c>
      <c r="C13" t="inlineStr">
        <is>
          <t>CANAANLAND 1</t>
        </is>
      </c>
      <c r="D13" t="inlineStr">
        <is>
          <t>N</t>
        </is>
      </c>
      <c r="E13" t="inlineStr">
        <is>
          <t>Y</t>
        </is>
      </c>
      <c r="F13" t="inlineStr">
        <is>
          <t>11</t>
        </is>
      </c>
      <c r="G13" t="inlineStr">
        <is>
          <t>PG QUARTERS BLOCKS D, E, &amp; F, COVENANT UNIVERSITY</t>
        </is>
      </c>
      <c r="H13" t="inlineStr">
        <is>
          <t>From reporting system</t>
        </is>
      </c>
      <c r="I13" t="inlineStr">
        <is>
          <t>N</t>
        </is>
      </c>
    </row>
    <row r="14">
      <c r="A14" t="inlineStr">
        <is>
          <t>LFC0012</t>
        </is>
      </c>
      <c r="B14" t="inlineStr">
        <is>
          <t>LFC0012</t>
        </is>
      </c>
      <c r="C14" t="inlineStr">
        <is>
          <t>CANAANLAND 1</t>
        </is>
      </c>
      <c r="D14" t="inlineStr">
        <is>
          <t>N</t>
        </is>
      </c>
      <c r="E14" t="inlineStr">
        <is>
          <t>Y</t>
        </is>
      </c>
      <c r="F14" t="inlineStr">
        <is>
          <t>12</t>
        </is>
      </c>
      <c r="G14" t="inlineStr">
        <is>
          <t>SENIOR STAFF QUATERS I, COVENANT UNIVERSITY</t>
        </is>
      </c>
      <c r="H14" t="inlineStr">
        <is>
          <t>From reporting system</t>
        </is>
      </c>
      <c r="I14" t="inlineStr">
        <is>
          <t>N</t>
        </is>
      </c>
    </row>
    <row r="15">
      <c r="A15" t="inlineStr">
        <is>
          <t>LFC0013</t>
        </is>
      </c>
      <c r="B15" t="inlineStr">
        <is>
          <t>LFC0013</t>
        </is>
      </c>
      <c r="C15" t="inlineStr">
        <is>
          <t>CANAANLAND 1</t>
        </is>
      </c>
      <c r="D15" t="inlineStr">
        <is>
          <t>N</t>
        </is>
      </c>
      <c r="E15" t="inlineStr">
        <is>
          <t>Y</t>
        </is>
      </c>
      <c r="F15" t="inlineStr">
        <is>
          <t>13</t>
        </is>
      </c>
      <c r="G15" t="inlineStr">
        <is>
          <t>PROFESSORS VILLAGE/SENIOR STAFF QUARTERS 11A, COVENANT UNIVERSITY</t>
        </is>
      </c>
      <c r="H15" t="inlineStr">
        <is>
          <t>From reporting system</t>
        </is>
      </c>
      <c r="I15" t="inlineStr">
        <is>
          <t>N</t>
        </is>
      </c>
    </row>
    <row r="16">
      <c r="A16" t="inlineStr">
        <is>
          <t>LFC0014</t>
        </is>
      </c>
      <c r="B16" t="inlineStr">
        <is>
          <t>LFC0014</t>
        </is>
      </c>
      <c r="C16" t="inlineStr">
        <is>
          <t>CANAANLAND 1</t>
        </is>
      </c>
      <c r="D16" t="inlineStr">
        <is>
          <t>N</t>
        </is>
      </c>
      <c r="E16" t="inlineStr">
        <is>
          <t>Y</t>
        </is>
      </c>
      <c r="F16" t="inlineStr">
        <is>
          <t>14</t>
        </is>
      </c>
      <c r="G16" t="inlineStr">
        <is>
          <t>SENIOR STAFF QUARTERS II, COVENANT UNIVERSITY</t>
        </is>
      </c>
      <c r="H16" t="inlineStr">
        <is>
          <t>From reporting system</t>
        </is>
      </c>
      <c r="I16" t="inlineStr">
        <is>
          <t>N</t>
        </is>
      </c>
    </row>
    <row r="17">
      <c r="A17" t="inlineStr">
        <is>
          <t>LFC0015</t>
        </is>
      </c>
      <c r="B17" t="inlineStr">
        <is>
          <t>LFC0015</t>
        </is>
      </c>
      <c r="C17" t="inlineStr">
        <is>
          <t>CANAANLAND 1</t>
        </is>
      </c>
      <c r="D17" t="inlineStr">
        <is>
          <t>N</t>
        </is>
      </c>
      <c r="E17" t="inlineStr">
        <is>
          <t>Y</t>
        </is>
      </c>
      <c r="F17" t="inlineStr">
        <is>
          <t>15</t>
        </is>
      </c>
      <c r="G17" t="inlineStr">
        <is>
          <t>3-BED ROOMS (BLOCKS A-L), NEW ESTATE, COVENANT UNIVERSITY</t>
        </is>
      </c>
      <c r="H17" t="inlineStr">
        <is>
          <t>From reporting system</t>
        </is>
      </c>
      <c r="I17" t="inlineStr">
        <is>
          <t>N</t>
        </is>
      </c>
    </row>
    <row r="18">
      <c r="A18" t="inlineStr">
        <is>
          <t>LFC0016</t>
        </is>
      </c>
      <c r="B18" t="inlineStr">
        <is>
          <t>LFC0016</t>
        </is>
      </c>
      <c r="C18" t="inlineStr">
        <is>
          <t>CANAANLAND 1</t>
        </is>
      </c>
      <c r="D18" t="inlineStr">
        <is>
          <t>N</t>
        </is>
      </c>
      <c r="E18" t="inlineStr">
        <is>
          <t>Y</t>
        </is>
      </c>
      <c r="F18" t="inlineStr">
        <is>
          <t>16</t>
        </is>
      </c>
      <c r="G18" t="inlineStr">
        <is>
          <t>2-BEDROOM BLOCKS, NEW ESTATE, COVENANT UNIVERSITY</t>
        </is>
      </c>
      <c r="H18" t="inlineStr">
        <is>
          <t>From reporting system</t>
        </is>
      </c>
      <c r="I18" t="inlineStr">
        <is>
          <t>N</t>
        </is>
      </c>
    </row>
    <row r="19">
      <c r="A19" t="inlineStr">
        <is>
          <t>LFC0017</t>
        </is>
      </c>
      <c r="B19" t="inlineStr">
        <is>
          <t>LFC0017</t>
        </is>
      </c>
      <c r="C19" t="inlineStr">
        <is>
          <t>CANAANLAND 1</t>
        </is>
      </c>
      <c r="D19" t="inlineStr">
        <is>
          <t>N</t>
        </is>
      </c>
      <c r="E19" t="inlineStr">
        <is>
          <t>Y</t>
        </is>
      </c>
      <c r="F19" t="inlineStr">
        <is>
          <t>17</t>
        </is>
      </c>
      <c r="G19" t="inlineStr">
        <is>
          <t>3-BEDROOMS (BLOCKS N-Z), NEW ESTATE, COVENANT UNIVERSITY</t>
        </is>
      </c>
      <c r="H19" t="inlineStr">
        <is>
          <t>From reporting system</t>
        </is>
      </c>
      <c r="I19" t="inlineStr">
        <is>
          <t>N</t>
        </is>
      </c>
    </row>
    <row r="20">
      <c r="A20" t="inlineStr">
        <is>
          <t>LFC0018</t>
        </is>
      </c>
      <c r="B20" t="inlineStr">
        <is>
          <t>LFC0018</t>
        </is>
      </c>
      <c r="C20" t="inlineStr">
        <is>
          <t>CANAANLAND 1</t>
        </is>
      </c>
      <c r="D20" t="inlineStr">
        <is>
          <t>N</t>
        </is>
      </c>
      <c r="E20" t="inlineStr">
        <is>
          <t>Y</t>
        </is>
      </c>
      <c r="F20" t="inlineStr">
        <is>
          <t>18</t>
        </is>
      </c>
      <c r="G20" t="inlineStr">
        <is>
          <t>3-BEDROOMS (BLOCKS P-Z), NEW ESTATE, COVENANT UNIVERSITY</t>
        </is>
      </c>
      <c r="H20" t="inlineStr">
        <is>
          <t>From reporting system</t>
        </is>
      </c>
      <c r="I20" t="inlineStr">
        <is>
          <t>N</t>
        </is>
      </c>
    </row>
    <row r="21">
      <c r="A21" t="inlineStr">
        <is>
          <t>LFC0019</t>
        </is>
      </c>
      <c r="B21" t="inlineStr">
        <is>
          <t>LFC0019</t>
        </is>
      </c>
      <c r="C21" t="inlineStr">
        <is>
          <t>CANAANLAND 1</t>
        </is>
      </c>
      <c r="D21" t="inlineStr">
        <is>
          <t>N</t>
        </is>
      </c>
      <c r="E21" t="inlineStr">
        <is>
          <t>Y</t>
        </is>
      </c>
      <c r="F21" t="inlineStr">
        <is>
          <t>19</t>
        </is>
      </c>
      <c r="G21" t="inlineStr">
        <is>
          <t>PROFESSORS VILLAGE, NEW ESTATE, COVENANT UNIVERSITY</t>
        </is>
      </c>
      <c r="H21" t="inlineStr">
        <is>
          <t>From reporting system</t>
        </is>
      </c>
      <c r="I21" t="inlineStr">
        <is>
          <t>N</t>
        </is>
      </c>
    </row>
    <row r="22">
      <c r="A22" t="inlineStr">
        <is>
          <t>LFC0020</t>
        </is>
      </c>
      <c r="B22" t="inlineStr">
        <is>
          <t>LFC0020</t>
        </is>
      </c>
      <c r="C22" t="inlineStr">
        <is>
          <t>CANAANLAND 1</t>
        </is>
      </c>
      <c r="D22" t="inlineStr">
        <is>
          <t>N</t>
        </is>
      </c>
      <c r="E22" t="inlineStr">
        <is>
          <t>Y</t>
        </is>
      </c>
      <c r="F22" t="inlineStr">
        <is>
          <t>20</t>
        </is>
      </c>
      <c r="G22" t="inlineStr">
        <is>
          <t>CAFÉ 2/GUEST HOUSE/SUITES, COVENANT UNIVERSITY</t>
        </is>
      </c>
      <c r="H22" t="inlineStr">
        <is>
          <t>From reporting system</t>
        </is>
      </c>
      <c r="I22" t="inlineStr">
        <is>
          <t>N</t>
        </is>
      </c>
    </row>
    <row r="23">
      <c r="A23" t="inlineStr">
        <is>
          <t>LFC0021</t>
        </is>
      </c>
      <c r="B23" t="inlineStr">
        <is>
          <t>LFC0021</t>
        </is>
      </c>
      <c r="C23" t="inlineStr">
        <is>
          <t>CANAANLAND 1</t>
        </is>
      </c>
      <c r="D23" t="inlineStr">
        <is>
          <t>N</t>
        </is>
      </c>
      <c r="E23" t="inlineStr">
        <is>
          <t>Y</t>
        </is>
      </c>
      <c r="F23" t="inlineStr">
        <is>
          <t>21</t>
        </is>
      </c>
      <c r="G23" t="inlineStr">
        <is>
          <t>CAFÉ 1/MEDICAL CENTRE/PG HALLS, COVENANT UNIVERSITY</t>
        </is>
      </c>
      <c r="H23" t="inlineStr">
        <is>
          <t>From reporting system</t>
        </is>
      </c>
      <c r="I23" t="inlineStr">
        <is>
          <t>N</t>
        </is>
      </c>
    </row>
    <row r="24">
      <c r="A24" t="inlineStr">
        <is>
          <t>LFC0022</t>
        </is>
      </c>
      <c r="B24" t="inlineStr">
        <is>
          <t>LFC0022</t>
        </is>
      </c>
      <c r="C24" t="inlineStr">
        <is>
          <t>CANAANLAND 1</t>
        </is>
      </c>
      <c r="D24" t="inlineStr">
        <is>
          <t>N</t>
        </is>
      </c>
      <c r="E24" t="inlineStr">
        <is>
          <t>Y</t>
        </is>
      </c>
      <c r="F24" t="inlineStr">
        <is>
          <t>22</t>
        </is>
      </c>
      <c r="G24" t="inlineStr">
        <is>
          <t>DUPLEXES, CANAAN CITY</t>
        </is>
      </c>
      <c r="H24" t="inlineStr">
        <is>
          <t>From reporting system</t>
        </is>
      </c>
      <c r="I24" t="inlineStr">
        <is>
          <t>N</t>
        </is>
      </c>
    </row>
    <row r="25">
      <c r="A25" t="inlineStr">
        <is>
          <t>LFC0023</t>
        </is>
      </c>
      <c r="B25" t="inlineStr">
        <is>
          <t>LFC0023</t>
        </is>
      </c>
      <c r="C25" t="inlineStr">
        <is>
          <t>CANAANLAND 1</t>
        </is>
      </c>
      <c r="D25" t="inlineStr">
        <is>
          <t>N</t>
        </is>
      </c>
      <c r="E25" t="inlineStr">
        <is>
          <t>Y</t>
        </is>
      </c>
      <c r="F25" t="inlineStr">
        <is>
          <t>23</t>
        </is>
      </c>
      <c r="G25" t="inlineStr">
        <is>
          <t>TERRACE BLOCKS, CANAANCITY</t>
        </is>
      </c>
      <c r="H25" t="inlineStr">
        <is>
          <t>From reporting system</t>
        </is>
      </c>
      <c r="I25" t="inlineStr">
        <is>
          <t>N</t>
        </is>
      </c>
    </row>
    <row r="26">
      <c r="A26" t="inlineStr">
        <is>
          <t>LFC0024</t>
        </is>
      </c>
      <c r="B26" t="inlineStr">
        <is>
          <t>LFC0024</t>
        </is>
      </c>
      <c r="C26" t="inlineStr">
        <is>
          <t>CANAANLAND 1</t>
        </is>
      </c>
      <c r="D26" t="inlineStr">
        <is>
          <t>Y</t>
        </is>
      </c>
      <c r="E26" t="inlineStr">
        <is>
          <t>Y</t>
        </is>
      </c>
      <c r="F26" t="inlineStr">
        <is>
          <t>24</t>
        </is>
      </c>
      <c r="G26" t="inlineStr">
        <is>
          <t>3BEDROOM BLOCKS CANAANCITY</t>
        </is>
      </c>
      <c r="H26" t="inlineStr">
        <is>
          <t>From reporting system</t>
        </is>
      </c>
      <c r="I26" t="inlineStr">
        <is>
          <t>N</t>
        </is>
      </c>
    </row>
    <row r="27">
      <c r="A27" t="inlineStr">
        <is>
          <t>LFC0025</t>
        </is>
      </c>
      <c r="B27" t="inlineStr">
        <is>
          <t>LFC0025</t>
        </is>
      </c>
      <c r="C27" t="inlineStr">
        <is>
          <t>CANAANLAND 1</t>
        </is>
      </c>
      <c r="D27" t="inlineStr">
        <is>
          <t>N</t>
        </is>
      </c>
      <c r="E27" t="inlineStr">
        <is>
          <t>Y</t>
        </is>
      </c>
      <c r="F27" t="inlineStr">
        <is>
          <t>25</t>
        </is>
      </c>
      <c r="G27" t="inlineStr">
        <is>
          <t>2 BEDROOM LUXRY, CANAANCITY</t>
        </is>
      </c>
      <c r="H27" t="inlineStr">
        <is>
          <t>From reporting system</t>
        </is>
      </c>
      <c r="I27" t="inlineStr">
        <is>
          <t>N</t>
        </is>
      </c>
    </row>
    <row r="28">
      <c r="A28" t="inlineStr">
        <is>
          <t>LFC0026</t>
        </is>
      </c>
      <c r="B28" t="inlineStr">
        <is>
          <t>LFC0026</t>
        </is>
      </c>
      <c r="C28" t="inlineStr">
        <is>
          <t>CANAANLAND 1</t>
        </is>
      </c>
      <c r="D28" t="inlineStr">
        <is>
          <t>N</t>
        </is>
      </c>
      <c r="E28" t="inlineStr">
        <is>
          <t>Y</t>
        </is>
      </c>
      <c r="F28" t="inlineStr">
        <is>
          <t>26</t>
        </is>
      </c>
      <c r="G28" t="inlineStr">
        <is>
          <t>2 BED ROOMS, STANDARD</t>
        </is>
      </c>
      <c r="H28" t="inlineStr">
        <is>
          <t>From reporting system</t>
        </is>
      </c>
      <c r="I28" t="inlineStr">
        <is>
          <t>N</t>
        </is>
      </c>
    </row>
    <row r="29">
      <c r="A29" t="inlineStr">
        <is>
          <t>LFC0027</t>
        </is>
      </c>
      <c r="B29" t="inlineStr">
        <is>
          <t>LFC0027</t>
        </is>
      </c>
      <c r="C29" t="inlineStr">
        <is>
          <t>CANAANLAND 1</t>
        </is>
      </c>
      <c r="D29" t="inlineStr">
        <is>
          <t>N</t>
        </is>
      </c>
      <c r="E29" t="inlineStr">
        <is>
          <t>Y</t>
        </is>
      </c>
      <c r="F29" t="inlineStr">
        <is>
          <t>27</t>
        </is>
      </c>
      <c r="G29" t="inlineStr">
        <is>
          <t>1 BEDROOM BLOCK, CANAANCITY</t>
        </is>
      </c>
      <c r="H29" t="inlineStr">
        <is>
          <t>From reporting system</t>
        </is>
      </c>
      <c r="I29" t="inlineStr">
        <is>
          <t>N</t>
        </is>
      </c>
    </row>
    <row r="30">
      <c r="A30" t="inlineStr">
        <is>
          <t>LFC0101</t>
        </is>
      </c>
      <c r="B30" t="inlineStr">
        <is>
          <t>LFC0101</t>
        </is>
      </c>
      <c r="C30" t="inlineStr">
        <is>
          <t>CANAANLAND 2</t>
        </is>
      </c>
      <c r="D30" t="inlineStr">
        <is>
          <t>Y</t>
        </is>
      </c>
      <c r="E30" t="inlineStr">
        <is>
          <t>Y</t>
        </is>
      </c>
      <c r="F30" t="inlineStr">
        <is>
          <t>1</t>
        </is>
      </c>
      <c r="G30" t="inlineStr">
        <is>
          <t>51/53 IGE DARAMOLA, IYANA IYESI</t>
        </is>
      </c>
      <c r="H30" t="inlineStr">
        <is>
          <t>Existing</t>
        </is>
      </c>
      <c r="I30" t="inlineStr">
        <is>
          <t>N</t>
        </is>
      </c>
    </row>
    <row r="31">
      <c r="A31" t="inlineStr">
        <is>
          <t>LFC0102</t>
        </is>
      </c>
      <c r="B31" t="inlineStr">
        <is>
          <t>LFC0102</t>
        </is>
      </c>
      <c r="C31" t="inlineStr">
        <is>
          <t>CANAANLAND 2</t>
        </is>
      </c>
      <c r="D31" t="inlineStr">
        <is>
          <t>N</t>
        </is>
      </c>
      <c r="E31" t="inlineStr">
        <is>
          <t>Y</t>
        </is>
      </c>
      <c r="F31" t="inlineStr">
        <is>
          <t>2</t>
        </is>
      </c>
      <c r="G31" t="inlineStr">
        <is>
          <t>9 BENJA ROAD, OTA</t>
        </is>
      </c>
      <c r="H31" t="inlineStr">
        <is>
          <t>Existing</t>
        </is>
      </c>
      <c r="I31" t="inlineStr">
        <is>
          <t>N</t>
        </is>
      </c>
    </row>
    <row r="32">
      <c r="A32" t="inlineStr">
        <is>
          <t>LFC0103</t>
        </is>
      </c>
      <c r="B32" t="inlineStr">
        <is>
          <t>LFC0103</t>
        </is>
      </c>
      <c r="C32" t="inlineStr">
        <is>
          <t>CANAANLAND 2</t>
        </is>
      </c>
      <c r="D32" t="inlineStr">
        <is>
          <t>Y</t>
        </is>
      </c>
      <c r="E32" t="inlineStr">
        <is>
          <t>Y</t>
        </is>
      </c>
      <c r="F32" t="inlineStr">
        <is>
          <t>3</t>
        </is>
      </c>
      <c r="G32" t="inlineStr">
        <is>
          <t>1, Jesu O Seun St, Off Bells Drive, Ota</t>
        </is>
      </c>
      <c r="H32" t="inlineStr">
        <is>
          <t>Existing</t>
        </is>
      </c>
      <c r="I32" t="inlineStr">
        <is>
          <t>N</t>
        </is>
      </c>
    </row>
    <row r="33">
      <c r="A33" t="inlineStr">
        <is>
          <t>LFC0104</t>
        </is>
      </c>
      <c r="B33" t="inlineStr">
        <is>
          <t>LFC0104</t>
        </is>
      </c>
      <c r="C33" t="inlineStr">
        <is>
          <t>CANAANLAND 2</t>
        </is>
      </c>
      <c r="D33" t="inlineStr">
        <is>
          <t>N</t>
        </is>
      </c>
      <c r="E33" t="inlineStr">
        <is>
          <t>Y</t>
        </is>
      </c>
      <c r="F33" t="inlineStr">
        <is>
          <t>4</t>
        </is>
      </c>
      <c r="G33" t="inlineStr">
        <is>
          <t>22,OLUSOJI STREET, OFF MORCAS ROAD, BELL UNI.DRIVE,</t>
        </is>
      </c>
      <c r="H33" t="inlineStr">
        <is>
          <t>Existing</t>
        </is>
      </c>
      <c r="I33" t="inlineStr">
        <is>
          <t>N</t>
        </is>
      </c>
    </row>
    <row r="34">
      <c r="A34" t="inlineStr">
        <is>
          <t>LFC0105</t>
        </is>
      </c>
      <c r="B34" t="inlineStr">
        <is>
          <t>LFC0105</t>
        </is>
      </c>
      <c r="C34" t="inlineStr">
        <is>
          <t>CANAANLAND 2</t>
        </is>
      </c>
      <c r="D34" t="inlineStr">
        <is>
          <t>N</t>
        </is>
      </c>
      <c r="E34" t="inlineStr">
        <is>
          <t>Y</t>
        </is>
      </c>
      <c r="F34" t="inlineStr">
        <is>
          <t>5</t>
        </is>
      </c>
      <c r="G34" t="inlineStr">
        <is>
          <t>17, Madus Street, Off Bells, Ota</t>
        </is>
      </c>
      <c r="H34" t="inlineStr">
        <is>
          <t>Existing</t>
        </is>
      </c>
      <c r="I34" t="inlineStr">
        <is>
          <t>N</t>
        </is>
      </c>
    </row>
    <row r="35">
      <c r="A35" t="inlineStr">
        <is>
          <t>LFC0106</t>
        </is>
      </c>
      <c r="B35" t="inlineStr">
        <is>
          <t>LFC0106</t>
        </is>
      </c>
      <c r="C35" t="inlineStr">
        <is>
          <t>CANAANLAND 2</t>
        </is>
      </c>
      <c r="D35" t="inlineStr">
        <is>
          <t>Y</t>
        </is>
      </c>
      <c r="E35" t="inlineStr">
        <is>
          <t>Y</t>
        </is>
      </c>
      <c r="F35" t="inlineStr">
        <is>
          <t>6</t>
        </is>
      </c>
      <c r="G35" t="inlineStr">
        <is>
          <t>9 CHURCH STREET, FASHGBON</t>
        </is>
      </c>
      <c r="H35" t="inlineStr">
        <is>
          <t>Existing</t>
        </is>
      </c>
      <c r="I35" t="inlineStr">
        <is>
          <t>N</t>
        </is>
      </c>
    </row>
    <row r="36">
      <c r="A36" t="inlineStr">
        <is>
          <t>LFC0107</t>
        </is>
      </c>
      <c r="B36" t="inlineStr">
        <is>
          <t>LFC0107</t>
        </is>
      </c>
      <c r="C36" t="inlineStr">
        <is>
          <t>CANAANLAND 2</t>
        </is>
      </c>
      <c r="D36" t="inlineStr">
        <is>
          <t>N</t>
        </is>
      </c>
      <c r="E36" t="inlineStr">
        <is>
          <t>Y</t>
        </is>
      </c>
      <c r="F36" t="inlineStr">
        <is>
          <t>7</t>
        </is>
      </c>
      <c r="G36" t="inlineStr">
        <is>
          <t>22 JELIL AREMU STREET</t>
        </is>
      </c>
      <c r="H36" t="inlineStr">
        <is>
          <t>Existing</t>
        </is>
      </c>
      <c r="I36" t="inlineStr">
        <is>
          <t>N</t>
        </is>
      </c>
    </row>
    <row r="37">
      <c r="A37" t="inlineStr">
        <is>
          <t>LFC0108</t>
        </is>
      </c>
      <c r="B37" t="inlineStr">
        <is>
          <t>LFC0108</t>
        </is>
      </c>
      <c r="C37" t="inlineStr">
        <is>
          <t>CANAANLAND 2</t>
        </is>
      </c>
      <c r="D37" t="inlineStr">
        <is>
          <t>Y</t>
        </is>
      </c>
      <c r="E37" t="inlineStr">
        <is>
          <t>Y</t>
        </is>
      </c>
      <c r="F37" t="inlineStr">
        <is>
          <t>8</t>
        </is>
      </c>
      <c r="G37" t="inlineStr">
        <is>
          <t>AROBIEYE, OPP. CEDAA YOGHURT</t>
        </is>
      </c>
      <c r="H37" t="inlineStr">
        <is>
          <t>Existing</t>
        </is>
      </c>
      <c r="I37" t="inlineStr">
        <is>
          <t>N</t>
        </is>
      </c>
    </row>
    <row r="38">
      <c r="A38" t="inlineStr">
        <is>
          <t>LFC0109</t>
        </is>
      </c>
      <c r="B38" t="inlineStr">
        <is>
          <t>LFC0109</t>
        </is>
      </c>
      <c r="C38" t="inlineStr">
        <is>
          <t>CANAANLAND 2</t>
        </is>
      </c>
      <c r="D38" t="inlineStr">
        <is>
          <t>N</t>
        </is>
      </c>
      <c r="E38" t="inlineStr">
        <is>
          <t>Y</t>
        </is>
      </c>
      <c r="F38" t="inlineStr">
        <is>
          <t>9</t>
        </is>
      </c>
      <c r="G38" t="inlineStr">
        <is>
          <t>AROBIEYE VILLAGE</t>
        </is>
      </c>
      <c r="H38" t="inlineStr">
        <is>
          <t>Existing</t>
        </is>
      </c>
      <c r="I38" t="inlineStr">
        <is>
          <t>N</t>
        </is>
      </c>
    </row>
    <row r="39">
      <c r="A39" t="inlineStr">
        <is>
          <t>LFC0110</t>
        </is>
      </c>
      <c r="B39" t="inlineStr">
        <is>
          <t>LFC0110</t>
        </is>
      </c>
      <c r="C39" t="inlineStr">
        <is>
          <t>CANAANLAND 2</t>
        </is>
      </c>
      <c r="D39" t="inlineStr">
        <is>
          <t>N</t>
        </is>
      </c>
      <c r="E39" t="inlineStr">
        <is>
          <t>Y</t>
        </is>
      </c>
      <c r="F39" t="inlineStr">
        <is>
          <t>10</t>
        </is>
      </c>
      <c r="G39" t="inlineStr">
        <is>
          <t>DOMINION MODEL SCHOOL, GASLINE ABIOLA</t>
        </is>
      </c>
      <c r="H39" t="inlineStr">
        <is>
          <t>Existing</t>
        </is>
      </c>
      <c r="I39" t="inlineStr">
        <is>
          <t>N</t>
        </is>
      </c>
    </row>
    <row r="40">
      <c r="A40" t="inlineStr">
        <is>
          <t>LFC0111</t>
        </is>
      </c>
      <c r="B40" t="inlineStr">
        <is>
          <t>LFC0111</t>
        </is>
      </c>
      <c r="C40" t="inlineStr">
        <is>
          <t>CANAANLAND 2</t>
        </is>
      </c>
      <c r="D40" t="inlineStr">
        <is>
          <t>N</t>
        </is>
      </c>
      <c r="E40" t="inlineStr">
        <is>
          <t>Y</t>
        </is>
      </c>
      <c r="F40" t="inlineStr">
        <is>
          <t>11</t>
        </is>
      </c>
      <c r="G40" t="inlineStr">
        <is>
          <t>KM 9, IDIROKO ROAD, IYANA - IYESI, BUS STOP, OTA.</t>
        </is>
      </c>
      <c r="H40" t="inlineStr">
        <is>
          <t>Existing</t>
        </is>
      </c>
      <c r="I40" t="inlineStr">
        <is>
          <t>N</t>
        </is>
      </c>
    </row>
    <row r="41">
      <c r="A41" t="inlineStr">
        <is>
          <t>LFC0112</t>
        </is>
      </c>
      <c r="B41" t="inlineStr">
        <is>
          <t>LFC0112</t>
        </is>
      </c>
      <c r="C41" t="inlineStr">
        <is>
          <t>CANAANLAND 2</t>
        </is>
      </c>
      <c r="D41" t="inlineStr">
        <is>
          <t>N</t>
        </is>
      </c>
      <c r="E41" t="inlineStr">
        <is>
          <t>Y</t>
        </is>
      </c>
      <c r="F41" t="inlineStr">
        <is>
          <t>12</t>
        </is>
      </c>
      <c r="G41" t="inlineStr">
        <is>
          <t>29 OPEYEMI COMMUNITY, OFF DAVOL</t>
        </is>
      </c>
      <c r="H41" t="inlineStr">
        <is>
          <t>Existing</t>
        </is>
      </c>
      <c r="I41" t="inlineStr">
        <is>
          <t>N</t>
        </is>
      </c>
    </row>
    <row r="42">
      <c r="A42" t="inlineStr">
        <is>
          <t>LFC0113</t>
        </is>
      </c>
      <c r="B42" t="inlineStr">
        <is>
          <t>LFC0113</t>
        </is>
      </c>
      <c r="C42" t="inlineStr">
        <is>
          <t>CANAANLAND 2</t>
        </is>
      </c>
      <c r="D42" t="inlineStr">
        <is>
          <t>Y</t>
        </is>
      </c>
      <c r="E42" t="inlineStr">
        <is>
          <t>Y</t>
        </is>
      </c>
      <c r="F42" t="inlineStr">
        <is>
          <t>13</t>
        </is>
      </c>
      <c r="G42" t="inlineStr">
        <is>
          <t>22, BUSAYO AIYEDOGBON STREET, MOSHALASHI BUS STOP, IYANA-IYESI, OTA.</t>
        </is>
      </c>
      <c r="H42" t="inlineStr">
        <is>
          <t>Existing</t>
        </is>
      </c>
      <c r="I42" t="inlineStr">
        <is>
          <t>N</t>
        </is>
      </c>
    </row>
    <row r="43">
      <c r="A43" t="inlineStr">
        <is>
          <t>LFC0114</t>
        </is>
      </c>
      <c r="B43" t="inlineStr">
        <is>
          <t>LFC0114</t>
        </is>
      </c>
      <c r="C43" t="inlineStr">
        <is>
          <t>CANAANLAND 2</t>
        </is>
      </c>
      <c r="D43" t="inlineStr">
        <is>
          <t>N</t>
        </is>
      </c>
      <c r="E43" t="inlineStr">
        <is>
          <t>Y</t>
        </is>
      </c>
      <c r="F43" t="inlineStr">
        <is>
          <t>14</t>
        </is>
      </c>
      <c r="G43" t="inlineStr">
        <is>
          <t>GARDEN ESTATE, IYANA-IYESI, OTA.</t>
        </is>
      </c>
      <c r="H43" t="inlineStr">
        <is>
          <t>Existing</t>
        </is>
      </c>
      <c r="I43" t="inlineStr">
        <is>
          <t>N</t>
        </is>
      </c>
    </row>
    <row r="44">
      <c r="A44" t="inlineStr">
        <is>
          <t>LFC0115</t>
        </is>
      </c>
      <c r="B44" t="inlineStr">
        <is>
          <t>LFC0115</t>
        </is>
      </c>
      <c r="C44" t="inlineStr">
        <is>
          <t>CANAANLAND 2</t>
        </is>
      </c>
      <c r="D44" t="inlineStr">
        <is>
          <t>N</t>
        </is>
      </c>
      <c r="E44" t="inlineStr">
        <is>
          <t>Y</t>
        </is>
      </c>
      <c r="F44" t="inlineStr">
        <is>
          <t>15</t>
        </is>
      </c>
      <c r="G44" t="inlineStr">
        <is>
          <t>KM 11, CROWN ESTATE, IGBOLOYE, OTA</t>
        </is>
      </c>
      <c r="H44" t="inlineStr">
        <is>
          <t>Existing</t>
        </is>
      </c>
      <c r="I44" t="inlineStr">
        <is>
          <t>N</t>
        </is>
      </c>
    </row>
    <row r="45">
      <c r="A45" t="inlineStr">
        <is>
          <t>LFC0116</t>
        </is>
      </c>
      <c r="B45" t="inlineStr">
        <is>
          <t>LFC0116</t>
        </is>
      </c>
      <c r="C45" t="inlineStr">
        <is>
          <t>CANAANLAND 2</t>
        </is>
      </c>
      <c r="D45" t="inlineStr">
        <is>
          <t>N</t>
        </is>
      </c>
      <c r="E45" t="inlineStr">
        <is>
          <t>Y</t>
        </is>
      </c>
      <c r="F45" t="inlineStr">
        <is>
          <t>16</t>
        </is>
      </c>
      <c r="G45" t="inlineStr">
        <is>
          <t>SPRING OF WISDOM MODEL SCH. IGBOLOYE 2</t>
        </is>
      </c>
      <c r="H45" t="inlineStr">
        <is>
          <t>Existing</t>
        </is>
      </c>
      <c r="I45" t="inlineStr">
        <is>
          <t>N</t>
        </is>
      </c>
    </row>
    <row r="46">
      <c r="A46" t="inlineStr">
        <is>
          <t>LFC0117</t>
        </is>
      </c>
      <c r="B46" t="inlineStr">
        <is>
          <t>LFC0117</t>
        </is>
      </c>
      <c r="C46" t="inlineStr">
        <is>
          <t>CANAANLAND 2</t>
        </is>
      </c>
      <c r="D46" t="inlineStr">
        <is>
          <t>N</t>
        </is>
      </c>
      <c r="E46" t="inlineStr">
        <is>
          <t>Y</t>
        </is>
      </c>
      <c r="F46" t="inlineStr">
        <is>
          <t>17</t>
        </is>
      </c>
      <c r="G46" t="inlineStr">
        <is>
          <t>AROBIEYE VILLAGE 2</t>
        </is>
      </c>
      <c r="H46" t="inlineStr">
        <is>
          <t>Existing</t>
        </is>
      </c>
      <c r="I46" t="inlineStr">
        <is>
          <t>N</t>
        </is>
      </c>
    </row>
    <row r="47">
      <c r="A47" t="inlineStr">
        <is>
          <t>LFC0118</t>
        </is>
      </c>
      <c r="B47" t="inlineStr">
        <is>
          <t>LFC0118</t>
        </is>
      </c>
      <c r="C47" t="inlineStr">
        <is>
          <t>CANAANLAND 2</t>
        </is>
      </c>
      <c r="D47" t="inlineStr">
        <is>
          <t>N</t>
        </is>
      </c>
      <c r="E47" t="inlineStr">
        <is>
          <t>Y</t>
        </is>
      </c>
      <c r="F47" t="inlineStr">
        <is>
          <t>18</t>
        </is>
      </c>
      <c r="G47" t="inlineStr">
        <is>
          <t>24, Jimoh Sreet/1, Onifade Cloe Iyana Iyesi</t>
        </is>
      </c>
      <c r="H47" t="inlineStr">
        <is>
          <t>New (proposed)</t>
        </is>
      </c>
      <c r="I47" t="inlineStr">
        <is>
          <t>N</t>
        </is>
      </c>
    </row>
    <row r="48">
      <c r="A48" t="inlineStr">
        <is>
          <t>LFC0119</t>
        </is>
      </c>
      <c r="B48" t="inlineStr">
        <is>
          <t>LFC0119</t>
        </is>
      </c>
      <c r="C48" t="inlineStr">
        <is>
          <t>CANAANLAND 2</t>
        </is>
      </c>
      <c r="D48" t="inlineStr">
        <is>
          <t>N</t>
        </is>
      </c>
      <c r="E48" t="inlineStr">
        <is>
          <t>Y</t>
        </is>
      </c>
      <c r="F48" t="inlineStr">
        <is>
          <t>19</t>
        </is>
      </c>
      <c r="G48" t="inlineStr">
        <is>
          <t>4, Kunle Adeniyi Street Bells Ota</t>
        </is>
      </c>
      <c r="H48" t="inlineStr">
        <is>
          <t>New (proposed)</t>
        </is>
      </c>
      <c r="I48" t="inlineStr">
        <is>
          <t>N</t>
        </is>
      </c>
    </row>
    <row r="49">
      <c r="A49" t="inlineStr">
        <is>
          <t>LFC0120</t>
        </is>
      </c>
      <c r="B49" t="inlineStr">
        <is>
          <t>LFC0120</t>
        </is>
      </c>
      <c r="C49" t="inlineStr">
        <is>
          <t>CANAANLAND 2</t>
        </is>
      </c>
      <c r="D49" t="inlineStr">
        <is>
          <t>N</t>
        </is>
      </c>
      <c r="E49" t="inlineStr">
        <is>
          <t>Y</t>
        </is>
      </c>
      <c r="F49" t="inlineStr">
        <is>
          <t>20</t>
        </is>
      </c>
      <c r="G49" t="inlineStr">
        <is>
          <t>73, Bells Drive Green Gate Sango Ota</t>
        </is>
      </c>
      <c r="H49" t="inlineStr">
        <is>
          <t>New (proposed)</t>
        </is>
      </c>
      <c r="I49" t="inlineStr">
        <is>
          <t>N</t>
        </is>
      </c>
    </row>
    <row r="50">
      <c r="A50" t="inlineStr">
        <is>
          <t>LFC0121</t>
        </is>
      </c>
      <c r="B50" t="inlineStr">
        <is>
          <t>LFC0121</t>
        </is>
      </c>
      <c r="C50" t="inlineStr">
        <is>
          <t>CANAANLAND 2</t>
        </is>
      </c>
      <c r="D50" t="inlineStr">
        <is>
          <t>N</t>
        </is>
      </c>
      <c r="E50" t="inlineStr">
        <is>
          <t>Y</t>
        </is>
      </c>
      <c r="F50" t="inlineStr">
        <is>
          <t>21</t>
        </is>
      </c>
      <c r="G50" t="inlineStr">
        <is>
          <t>Saoma Global Complex Center Ota</t>
        </is>
      </c>
      <c r="H50" t="inlineStr">
        <is>
          <t>New (proposed)</t>
        </is>
      </c>
      <c r="I50" t="inlineStr">
        <is>
          <t>N</t>
        </is>
      </c>
    </row>
    <row r="51">
      <c r="A51" t="inlineStr">
        <is>
          <t>LFC0122</t>
        </is>
      </c>
      <c r="B51" t="inlineStr">
        <is>
          <t>LFC0122</t>
        </is>
      </c>
      <c r="C51" t="inlineStr">
        <is>
          <t>CANAANLAND 2</t>
        </is>
      </c>
      <c r="D51" t="inlineStr">
        <is>
          <t>N</t>
        </is>
      </c>
      <c r="E51" t="inlineStr">
        <is>
          <t>Y</t>
        </is>
      </c>
      <c r="F51" t="inlineStr">
        <is>
          <t>22</t>
        </is>
      </c>
      <c r="G51" t="inlineStr">
        <is>
          <t>7, James Adegbola Street Ota</t>
        </is>
      </c>
      <c r="H51" t="inlineStr">
        <is>
          <t>New (proposed)</t>
        </is>
      </c>
      <c r="I51" t="inlineStr">
        <is>
          <t>N</t>
        </is>
      </c>
    </row>
    <row r="52">
      <c r="A52" t="inlineStr">
        <is>
          <t>LFC0123</t>
        </is>
      </c>
      <c r="B52" t="inlineStr">
        <is>
          <t>LFC0123</t>
        </is>
      </c>
      <c r="C52" t="inlineStr">
        <is>
          <t>CANAANLAND 2</t>
        </is>
      </c>
      <c r="D52" t="inlineStr">
        <is>
          <t>N</t>
        </is>
      </c>
      <c r="E52" t="inlineStr">
        <is>
          <t>Y</t>
        </is>
      </c>
      <c r="F52" t="inlineStr">
        <is>
          <t>23</t>
        </is>
      </c>
      <c r="G52" t="inlineStr">
        <is>
          <t>Overmas School, Aiedogbon Abiola Estate</t>
        </is>
      </c>
      <c r="H52" t="inlineStr">
        <is>
          <t>New (proposed)</t>
        </is>
      </c>
      <c r="I52" t="inlineStr">
        <is>
          <t>N</t>
        </is>
      </c>
    </row>
    <row r="53">
      <c r="A53" t="inlineStr">
        <is>
          <t>LFC0201</t>
        </is>
      </c>
      <c r="B53" t="inlineStr">
        <is>
          <t>LFC0201</t>
        </is>
      </c>
      <c r="C53" t="inlineStr">
        <is>
          <t>IYESI 1</t>
        </is>
      </c>
      <c r="D53" t="inlineStr">
        <is>
          <t>Y</t>
        </is>
      </c>
      <c r="E53" t="inlineStr">
        <is>
          <t>Y</t>
        </is>
      </c>
      <c r="F53" t="inlineStr">
        <is>
          <t>1</t>
        </is>
      </c>
      <c r="G53" t="inlineStr">
        <is>
          <t>WINNERS' COMPOUND, EGAN ROAD</t>
        </is>
      </c>
      <c r="H53" t="inlineStr">
        <is>
          <t>Existing</t>
        </is>
      </c>
      <c r="I53" t="inlineStr">
        <is>
          <t>N</t>
        </is>
      </c>
    </row>
    <row r="54">
      <c r="A54" t="inlineStr">
        <is>
          <t>LFC0202</t>
        </is>
      </c>
      <c r="B54" t="inlineStr">
        <is>
          <t>LFC0202</t>
        </is>
      </c>
      <c r="C54" t="inlineStr">
        <is>
          <t>IYESI 1</t>
        </is>
      </c>
      <c r="D54" t="inlineStr">
        <is>
          <t>Y</t>
        </is>
      </c>
      <c r="E54" t="inlineStr">
        <is>
          <t>Y</t>
        </is>
      </c>
      <c r="F54" t="inlineStr">
        <is>
          <t>2</t>
        </is>
      </c>
      <c r="G54" t="inlineStr">
        <is>
          <t>49, EGAN ROAD, IYESI</t>
        </is>
      </c>
      <c r="H54" t="inlineStr">
        <is>
          <t>Existing</t>
        </is>
      </c>
      <c r="I54" t="inlineStr">
        <is>
          <t>N</t>
        </is>
      </c>
    </row>
    <row r="55">
      <c r="A55" t="inlineStr">
        <is>
          <t>LFC0203</t>
        </is>
      </c>
      <c r="B55" t="inlineStr">
        <is>
          <t>LFC0203</t>
        </is>
      </c>
      <c r="C55" t="inlineStr">
        <is>
          <t>IYESI 1</t>
        </is>
      </c>
      <c r="D55" t="inlineStr">
        <is>
          <t>N</t>
        </is>
      </c>
      <c r="E55" t="inlineStr">
        <is>
          <t>Y</t>
        </is>
      </c>
      <c r="F55" t="inlineStr">
        <is>
          <t>3</t>
        </is>
      </c>
      <c r="G55" t="inlineStr">
        <is>
          <t>ERIN VILLAGE</t>
        </is>
      </c>
      <c r="H55" t="inlineStr">
        <is>
          <t>Existing</t>
        </is>
      </c>
      <c r="I55" t="inlineStr">
        <is>
          <t>N</t>
        </is>
      </c>
    </row>
    <row r="56">
      <c r="A56" t="inlineStr">
        <is>
          <t>LFC0204</t>
        </is>
      </c>
      <c r="B56" t="inlineStr">
        <is>
          <t>LFC0204</t>
        </is>
      </c>
      <c r="C56" t="inlineStr">
        <is>
          <t>IYESI 1</t>
        </is>
      </c>
      <c r="D56" t="inlineStr">
        <is>
          <t>Y</t>
        </is>
      </c>
      <c r="E56" t="inlineStr">
        <is>
          <t>Y</t>
        </is>
      </c>
      <c r="F56" t="inlineStr">
        <is>
          <t>4</t>
        </is>
      </c>
      <c r="G56" t="inlineStr">
        <is>
          <t>5, UNITY CLOSE, IKOSI ROAD</t>
        </is>
      </c>
      <c r="H56" t="inlineStr">
        <is>
          <t>Existing</t>
        </is>
      </c>
      <c r="I56" t="inlineStr">
        <is>
          <t>N</t>
        </is>
      </c>
    </row>
    <row r="57">
      <c r="A57" t="inlineStr">
        <is>
          <t>LFC0205</t>
        </is>
      </c>
      <c r="B57" t="inlineStr">
        <is>
          <t>LFC0205</t>
        </is>
      </c>
      <c r="C57" t="inlineStr">
        <is>
          <t>IYESI 1</t>
        </is>
      </c>
      <c r="D57" t="inlineStr">
        <is>
          <t>N</t>
        </is>
      </c>
      <c r="E57" t="inlineStr">
        <is>
          <t>Y</t>
        </is>
      </c>
      <c r="F57" t="inlineStr">
        <is>
          <t>5</t>
        </is>
      </c>
      <c r="G57" t="inlineStr">
        <is>
          <t>20, ADEBISI STREET</t>
        </is>
      </c>
      <c r="H57" t="inlineStr">
        <is>
          <t>Existing</t>
        </is>
      </c>
      <c r="I57" t="inlineStr">
        <is>
          <t>N</t>
        </is>
      </c>
    </row>
    <row r="58">
      <c r="A58" t="inlineStr">
        <is>
          <t>LFC0206</t>
        </is>
      </c>
      <c r="B58" t="inlineStr">
        <is>
          <t>LFC0206</t>
        </is>
      </c>
      <c r="C58" t="inlineStr">
        <is>
          <t>IYESI 1</t>
        </is>
      </c>
      <c r="D58" t="inlineStr"/>
      <c r="E58" t="inlineStr">
        <is>
          <t>Y</t>
        </is>
      </c>
      <c r="F58" t="inlineStr">
        <is>
          <t>6</t>
        </is>
      </c>
      <c r="G58" t="inlineStr">
        <is>
          <t>7, JAMES ADEGBOLA STREET</t>
        </is>
      </c>
      <c r="H58" t="inlineStr">
        <is>
          <t>Existing</t>
        </is>
      </c>
      <c r="I58" t="inlineStr"/>
    </row>
    <row r="59">
      <c r="A59" t="inlineStr">
        <is>
          <t>LFC0207</t>
        </is>
      </c>
      <c r="B59" t="inlineStr">
        <is>
          <t>LFC0207</t>
        </is>
      </c>
      <c r="C59" t="inlineStr">
        <is>
          <t>IYESI 1</t>
        </is>
      </c>
      <c r="D59" t="inlineStr">
        <is>
          <t>N</t>
        </is>
      </c>
      <c r="E59" t="inlineStr">
        <is>
          <t>Y</t>
        </is>
      </c>
      <c r="F59" t="inlineStr">
        <is>
          <t>7</t>
        </is>
      </c>
      <c r="G59" t="inlineStr">
        <is>
          <t>100, JACKROSS ROAD, IYESI</t>
        </is>
      </c>
      <c r="H59" t="inlineStr">
        <is>
          <t>Existing</t>
        </is>
      </c>
      <c r="I59" t="inlineStr">
        <is>
          <t>N</t>
        </is>
      </c>
    </row>
    <row r="60">
      <c r="A60" t="inlineStr">
        <is>
          <t>LFC0208</t>
        </is>
      </c>
      <c r="B60" t="inlineStr">
        <is>
          <t>LFC0208</t>
        </is>
      </c>
      <c r="C60" t="inlineStr">
        <is>
          <t>IYESI 1</t>
        </is>
      </c>
      <c r="D60" t="inlineStr">
        <is>
          <t>Y</t>
        </is>
      </c>
      <c r="E60" t="inlineStr">
        <is>
          <t>Y</t>
        </is>
      </c>
      <c r="F60" t="inlineStr">
        <is>
          <t>8</t>
        </is>
      </c>
      <c r="G60" t="inlineStr">
        <is>
          <t>25, DAVID DAUDU STREET, IYESI</t>
        </is>
      </c>
      <c r="H60" t="inlineStr">
        <is>
          <t>Existing</t>
        </is>
      </c>
      <c r="I60" t="inlineStr">
        <is>
          <t>N</t>
        </is>
      </c>
    </row>
    <row r="61">
      <c r="A61" t="inlineStr">
        <is>
          <t>LFC0209</t>
        </is>
      </c>
      <c r="B61" t="inlineStr">
        <is>
          <t>LFC0209</t>
        </is>
      </c>
      <c r="C61" t="inlineStr">
        <is>
          <t>IYESI 1</t>
        </is>
      </c>
      <c r="D61" t="inlineStr">
        <is>
          <t>N</t>
        </is>
      </c>
      <c r="E61" t="inlineStr">
        <is>
          <t>Y</t>
        </is>
      </c>
      <c r="F61" t="inlineStr">
        <is>
          <t>9</t>
        </is>
      </c>
      <c r="G61" t="inlineStr">
        <is>
          <t>5, DODO BALOGUN STREET, IYESI</t>
        </is>
      </c>
      <c r="H61" t="inlineStr">
        <is>
          <t>Existing</t>
        </is>
      </c>
      <c r="I61" t="inlineStr">
        <is>
          <t>N</t>
        </is>
      </c>
    </row>
    <row r="62">
      <c r="A62" t="inlineStr">
        <is>
          <t>LFC0210</t>
        </is>
      </c>
      <c r="B62" t="inlineStr">
        <is>
          <t>LFC0210</t>
        </is>
      </c>
      <c r="C62" t="inlineStr">
        <is>
          <t>IYESI 1</t>
        </is>
      </c>
      <c r="D62" t="inlineStr">
        <is>
          <t>Y</t>
        </is>
      </c>
      <c r="E62" t="inlineStr">
        <is>
          <t>Y</t>
        </is>
      </c>
      <c r="F62" t="inlineStr">
        <is>
          <t>10</t>
        </is>
      </c>
      <c r="G62" t="inlineStr">
        <is>
          <t>43, RAINBOW ROAD, IYESI</t>
        </is>
      </c>
      <c r="H62" t="inlineStr">
        <is>
          <t>Existing</t>
        </is>
      </c>
      <c r="I62" t="inlineStr">
        <is>
          <t>N</t>
        </is>
      </c>
    </row>
    <row r="63">
      <c r="A63" t="inlineStr">
        <is>
          <t>LFC0211</t>
        </is>
      </c>
      <c r="B63" t="inlineStr">
        <is>
          <t>LFC0211</t>
        </is>
      </c>
      <c r="C63" t="inlineStr">
        <is>
          <t>IYESI 1</t>
        </is>
      </c>
      <c r="D63" t="inlineStr">
        <is>
          <t>N</t>
        </is>
      </c>
      <c r="E63" t="inlineStr">
        <is>
          <t>Y</t>
        </is>
      </c>
      <c r="F63" t="inlineStr">
        <is>
          <t>11</t>
        </is>
      </c>
      <c r="G63" t="inlineStr">
        <is>
          <t>KEYCHOICE COLLEGE</t>
        </is>
      </c>
      <c r="H63" t="inlineStr">
        <is>
          <t>Existing</t>
        </is>
      </c>
      <c r="I63" t="inlineStr">
        <is>
          <t>N</t>
        </is>
      </c>
    </row>
    <row r="64">
      <c r="A64" t="inlineStr">
        <is>
          <t>LFC0212</t>
        </is>
      </c>
      <c r="B64" t="inlineStr">
        <is>
          <t>LFC0212</t>
        </is>
      </c>
      <c r="C64" t="inlineStr">
        <is>
          <t>IYESI 1</t>
        </is>
      </c>
      <c r="D64" t="inlineStr">
        <is>
          <t>N</t>
        </is>
      </c>
      <c r="E64" t="inlineStr">
        <is>
          <t>Y</t>
        </is>
      </c>
      <c r="F64" t="inlineStr">
        <is>
          <t>12</t>
        </is>
      </c>
      <c r="G64" t="inlineStr">
        <is>
          <t>CLEMENT NWACHUKWU HOUSE, AGBANKO</t>
        </is>
      </c>
      <c r="H64" t="inlineStr">
        <is>
          <t>Existing</t>
        </is>
      </c>
      <c r="I64" t="inlineStr">
        <is>
          <t>N</t>
        </is>
      </c>
    </row>
    <row r="65">
      <c r="A65" t="inlineStr">
        <is>
          <t>LFC0213</t>
        </is>
      </c>
      <c r="B65" t="inlineStr">
        <is>
          <t>LFC0213</t>
        </is>
      </c>
      <c r="C65" t="inlineStr">
        <is>
          <t>IYESI 1</t>
        </is>
      </c>
      <c r="D65" t="inlineStr">
        <is>
          <t>Y</t>
        </is>
      </c>
      <c r="E65" t="inlineStr">
        <is>
          <t>Y</t>
        </is>
      </c>
      <c r="F65" t="inlineStr">
        <is>
          <t>13</t>
        </is>
      </c>
      <c r="G65" t="inlineStr">
        <is>
          <t>ELDER DAVID HOUSE, IJABA</t>
        </is>
      </c>
      <c r="H65" t="inlineStr">
        <is>
          <t>Existing</t>
        </is>
      </c>
      <c r="I65" t="inlineStr">
        <is>
          <t>N</t>
        </is>
      </c>
    </row>
    <row r="66">
      <c r="A66" t="inlineStr">
        <is>
          <t>LFC0214</t>
        </is>
      </c>
      <c r="B66" t="inlineStr">
        <is>
          <t>LFC0214</t>
        </is>
      </c>
      <c r="C66" t="inlineStr">
        <is>
          <t>IYESI 1</t>
        </is>
      </c>
      <c r="D66" t="inlineStr">
        <is>
          <t>N</t>
        </is>
      </c>
      <c r="E66" t="inlineStr">
        <is>
          <t>Y</t>
        </is>
      </c>
      <c r="F66" t="inlineStr">
        <is>
          <t>14</t>
        </is>
      </c>
      <c r="G66" t="inlineStr">
        <is>
          <t>DOMINION BLOCKS, IJABA</t>
        </is>
      </c>
      <c r="H66" t="inlineStr">
        <is>
          <t>Existing</t>
        </is>
      </c>
      <c r="I66" t="inlineStr">
        <is>
          <t>N</t>
        </is>
      </c>
    </row>
    <row r="67">
      <c r="A67" t="inlineStr">
        <is>
          <t>LFC0215</t>
        </is>
      </c>
      <c r="B67" t="inlineStr">
        <is>
          <t>LFC0215</t>
        </is>
      </c>
      <c r="C67" t="inlineStr">
        <is>
          <t>IYESI 1</t>
        </is>
      </c>
      <c r="D67" t="inlineStr">
        <is>
          <t>N</t>
        </is>
      </c>
      <c r="E67" t="inlineStr">
        <is>
          <t>Y</t>
        </is>
      </c>
      <c r="F67" t="inlineStr">
        <is>
          <t>15</t>
        </is>
      </c>
      <c r="G67" t="inlineStr">
        <is>
          <t>5TH AVENUE, IFESOWAPO, ADEBISI</t>
        </is>
      </c>
      <c r="H67" t="inlineStr">
        <is>
          <t>Existing</t>
        </is>
      </c>
      <c r="I67" t="inlineStr">
        <is>
          <t>N</t>
        </is>
      </c>
    </row>
    <row r="68">
      <c r="A68" t="inlineStr">
        <is>
          <t>LFC0216</t>
        </is>
      </c>
      <c r="B68" t="inlineStr">
        <is>
          <t>LFC0216</t>
        </is>
      </c>
      <c r="C68" t="inlineStr">
        <is>
          <t>IYESI 1</t>
        </is>
      </c>
      <c r="D68" t="inlineStr">
        <is>
          <t>N</t>
        </is>
      </c>
      <c r="E68" t="inlineStr">
        <is>
          <t>Y</t>
        </is>
      </c>
      <c r="F68" t="inlineStr">
        <is>
          <t>16</t>
        </is>
      </c>
      <c r="G68" t="inlineStr">
        <is>
          <t>IDIMU VILLAGE</t>
        </is>
      </c>
      <c r="H68" t="inlineStr">
        <is>
          <t>Existing</t>
        </is>
      </c>
      <c r="I68" t="inlineStr">
        <is>
          <t>N</t>
        </is>
      </c>
    </row>
    <row r="69">
      <c r="A69" t="inlineStr">
        <is>
          <t>LFC0217</t>
        </is>
      </c>
      <c r="B69" t="inlineStr">
        <is>
          <t>LFC0217</t>
        </is>
      </c>
      <c r="C69" t="inlineStr">
        <is>
          <t>IYESI 1</t>
        </is>
      </c>
      <c r="D69" t="inlineStr">
        <is>
          <t>N</t>
        </is>
      </c>
      <c r="E69" t="inlineStr">
        <is>
          <t>Y</t>
        </is>
      </c>
      <c r="F69" t="inlineStr">
        <is>
          <t>17</t>
        </is>
      </c>
      <c r="G69" t="inlineStr">
        <is>
          <t>FERU VILLAGE</t>
        </is>
      </c>
      <c r="H69" t="inlineStr">
        <is>
          <t>Existing</t>
        </is>
      </c>
      <c r="I69" t="inlineStr">
        <is>
          <t>N</t>
        </is>
      </c>
    </row>
    <row r="70">
      <c r="A70" t="inlineStr">
        <is>
          <t>LFC0218</t>
        </is>
      </c>
      <c r="B70" t="inlineStr">
        <is>
          <t>LFC0218</t>
        </is>
      </c>
      <c r="C70" t="inlineStr">
        <is>
          <t>IYESI 1</t>
        </is>
      </c>
      <c r="D70" t="inlineStr">
        <is>
          <t>N</t>
        </is>
      </c>
      <c r="E70" t="inlineStr">
        <is>
          <t>Y</t>
        </is>
      </c>
      <c r="F70" t="inlineStr">
        <is>
          <t>18</t>
        </is>
      </c>
      <c r="G70" t="inlineStr">
        <is>
          <t>MEGAN COLLEGE, IJABA</t>
        </is>
      </c>
      <c r="H70" t="inlineStr">
        <is>
          <t>Existing</t>
        </is>
      </c>
      <c r="I70" t="inlineStr">
        <is>
          <t>N</t>
        </is>
      </c>
    </row>
    <row r="71">
      <c r="A71" t="inlineStr">
        <is>
          <t>LFC0219</t>
        </is>
      </c>
      <c r="B71" t="inlineStr">
        <is>
          <t>LFC0219</t>
        </is>
      </c>
      <c r="C71" t="inlineStr">
        <is>
          <t>IYESI 1</t>
        </is>
      </c>
      <c r="D71" t="inlineStr">
        <is>
          <t>N</t>
        </is>
      </c>
      <c r="E71" t="inlineStr">
        <is>
          <t>Y</t>
        </is>
      </c>
      <c r="F71" t="inlineStr">
        <is>
          <t>19</t>
        </is>
      </c>
      <c r="G71" t="inlineStr">
        <is>
          <t>HARMONY ESTATE, WATER-WATER</t>
        </is>
      </c>
      <c r="H71" t="inlineStr">
        <is>
          <t>Existing</t>
        </is>
      </c>
      <c r="I71" t="inlineStr">
        <is>
          <t>N</t>
        </is>
      </c>
    </row>
    <row r="72">
      <c r="A72" t="inlineStr">
        <is>
          <t>LFC0220</t>
        </is>
      </c>
      <c r="B72" t="inlineStr">
        <is>
          <t>LFC0220</t>
        </is>
      </c>
      <c r="C72" t="inlineStr">
        <is>
          <t>IYESI 1</t>
        </is>
      </c>
      <c r="D72" t="inlineStr">
        <is>
          <t>N</t>
        </is>
      </c>
      <c r="E72" t="inlineStr">
        <is>
          <t>Y</t>
        </is>
      </c>
      <c r="F72" t="inlineStr">
        <is>
          <t>20</t>
        </is>
      </c>
      <c r="G72" t="inlineStr">
        <is>
          <t>SURULERE</t>
        </is>
      </c>
      <c r="H72" t="inlineStr">
        <is>
          <t>Existing</t>
        </is>
      </c>
      <c r="I72" t="inlineStr">
        <is>
          <t>N</t>
        </is>
      </c>
    </row>
    <row r="73">
      <c r="A73" t="inlineStr">
        <is>
          <t>LFC0221</t>
        </is>
      </c>
      <c r="B73" t="inlineStr">
        <is>
          <t>LFC0221</t>
        </is>
      </c>
      <c r="C73" t="inlineStr">
        <is>
          <t>IYESI 1</t>
        </is>
      </c>
      <c r="D73" t="inlineStr">
        <is>
          <t>N</t>
        </is>
      </c>
      <c r="E73" t="inlineStr">
        <is>
          <t>Y</t>
        </is>
      </c>
      <c r="F73" t="inlineStr">
        <is>
          <t>21</t>
        </is>
      </c>
      <c r="G73" t="inlineStr">
        <is>
          <t>BAFORT ESTATE, OSUKE</t>
        </is>
      </c>
      <c r="H73" t="inlineStr">
        <is>
          <t>Existing</t>
        </is>
      </c>
      <c r="I73" t="inlineStr">
        <is>
          <t>N</t>
        </is>
      </c>
    </row>
    <row r="74">
      <c r="A74" t="inlineStr">
        <is>
          <t>LFC0301</t>
        </is>
      </c>
      <c r="B74" t="inlineStr">
        <is>
          <t>LFC0301</t>
        </is>
      </c>
      <c r="C74" t="inlineStr">
        <is>
          <t>OBASANJO</t>
        </is>
      </c>
      <c r="D74" t="inlineStr">
        <is>
          <t>Y</t>
        </is>
      </c>
      <c r="E74" t="inlineStr">
        <is>
          <t>Y</t>
        </is>
      </c>
      <c r="F74" t="inlineStr">
        <is>
          <t>1</t>
        </is>
      </c>
      <c r="G74" t="inlineStr">
        <is>
          <t>44, LOVE ALL STREET, AFOBAJE, OTA</t>
        </is>
      </c>
      <c r="H74" t="inlineStr">
        <is>
          <t>Existing</t>
        </is>
      </c>
      <c r="I74" t="inlineStr">
        <is>
          <t>N</t>
        </is>
      </c>
    </row>
    <row r="75">
      <c r="A75" t="inlineStr">
        <is>
          <t>LFC0302</t>
        </is>
      </c>
      <c r="B75" t="inlineStr">
        <is>
          <t>LFC0302</t>
        </is>
      </c>
      <c r="C75" t="inlineStr">
        <is>
          <t>OBASANJO</t>
        </is>
      </c>
      <c r="D75" t="inlineStr">
        <is>
          <t>Y</t>
        </is>
      </c>
      <c r="E75" t="inlineStr">
        <is>
          <t>Y</t>
        </is>
      </c>
      <c r="F75" t="inlineStr">
        <is>
          <t>2</t>
        </is>
      </c>
      <c r="G75" t="inlineStr">
        <is>
          <t>4,OBANIBASIRI STREET OJU-ORE OTA</t>
        </is>
      </c>
      <c r="H75" t="inlineStr">
        <is>
          <t>Existing</t>
        </is>
      </c>
      <c r="I75" t="inlineStr">
        <is>
          <t>N</t>
        </is>
      </c>
    </row>
    <row r="76">
      <c r="A76" t="inlineStr">
        <is>
          <t>LFC0303</t>
        </is>
      </c>
      <c r="B76" t="inlineStr">
        <is>
          <t>LFC0303</t>
        </is>
      </c>
      <c r="C76" t="inlineStr">
        <is>
          <t>OBASANJO</t>
        </is>
      </c>
      <c r="D76" t="inlineStr">
        <is>
          <t>Y</t>
        </is>
      </c>
      <c r="E76" t="inlineStr">
        <is>
          <t>Y</t>
        </is>
      </c>
      <c r="F76" t="inlineStr">
        <is>
          <t>3</t>
        </is>
      </c>
      <c r="G76" t="inlineStr">
        <is>
          <t>1, CHURCH STREET, ELEIDI ATALA, OTA</t>
        </is>
      </c>
      <c r="H76" t="inlineStr">
        <is>
          <t>Existing</t>
        </is>
      </c>
      <c r="I76" t="inlineStr">
        <is>
          <t>N</t>
        </is>
      </c>
    </row>
    <row r="77">
      <c r="A77" t="inlineStr">
        <is>
          <t>LFC0304</t>
        </is>
      </c>
      <c r="B77" t="inlineStr">
        <is>
          <t>LFC0304</t>
        </is>
      </c>
      <c r="C77" t="inlineStr">
        <is>
          <t>OBASANJO</t>
        </is>
      </c>
      <c r="D77" t="inlineStr">
        <is>
          <t>Y</t>
        </is>
      </c>
      <c r="E77" t="inlineStr">
        <is>
          <t>Y</t>
        </is>
      </c>
      <c r="F77" t="inlineStr">
        <is>
          <t>4</t>
        </is>
      </c>
      <c r="G77" t="inlineStr">
        <is>
          <t>7, KING OF GLORY STREET, PROGRESS ESTATE</t>
        </is>
      </c>
      <c r="H77" t="inlineStr">
        <is>
          <t>Existing</t>
        </is>
      </c>
      <c r="I77" t="inlineStr">
        <is>
          <t>N</t>
        </is>
      </c>
    </row>
    <row r="78">
      <c r="A78" t="inlineStr">
        <is>
          <t>LFC0305</t>
        </is>
      </c>
      <c r="B78" t="inlineStr">
        <is>
          <t>LFC0305</t>
        </is>
      </c>
      <c r="C78" t="inlineStr">
        <is>
          <t>OBASANJO</t>
        </is>
      </c>
      <c r="D78" t="inlineStr">
        <is>
          <t>N</t>
        </is>
      </c>
      <c r="E78" t="inlineStr">
        <is>
          <t>Y</t>
        </is>
      </c>
      <c r="F78" t="inlineStr">
        <is>
          <t>5</t>
        </is>
      </c>
      <c r="G78" t="inlineStr">
        <is>
          <t>17, OBASANJO FARM ROAD, OBASANJO, OTA</t>
        </is>
      </c>
      <c r="H78" t="inlineStr">
        <is>
          <t>Existing</t>
        </is>
      </c>
      <c r="I78" t="inlineStr">
        <is>
          <t>N</t>
        </is>
      </c>
    </row>
    <row r="79">
      <c r="A79" t="inlineStr">
        <is>
          <t>LFC0306</t>
        </is>
      </c>
      <c r="B79" t="inlineStr">
        <is>
          <t>LFC0306</t>
        </is>
      </c>
      <c r="C79" t="inlineStr">
        <is>
          <t>OBASANJO</t>
        </is>
      </c>
      <c r="D79" t="inlineStr">
        <is>
          <t>N</t>
        </is>
      </c>
      <c r="E79" t="inlineStr">
        <is>
          <t>Y</t>
        </is>
      </c>
      <c r="F79" t="inlineStr">
        <is>
          <t>6</t>
        </is>
      </c>
      <c r="G79" t="inlineStr">
        <is>
          <t>Beulah House, Winners Church, Gods Town Estate, Itele Road, Ota</t>
        </is>
      </c>
      <c r="H79" t="inlineStr">
        <is>
          <t>Existing</t>
        </is>
      </c>
      <c r="I79" t="inlineStr">
        <is>
          <t>N</t>
        </is>
      </c>
    </row>
    <row r="80">
      <c r="A80" t="inlineStr">
        <is>
          <t>LFC0307</t>
        </is>
      </c>
      <c r="B80" t="inlineStr">
        <is>
          <t>LFC0307</t>
        </is>
      </c>
      <c r="C80" t="inlineStr">
        <is>
          <t>OBASANJO</t>
        </is>
      </c>
      <c r="D80" t="inlineStr">
        <is>
          <t>Y</t>
        </is>
      </c>
      <c r="E80" t="inlineStr">
        <is>
          <t>Y</t>
        </is>
      </c>
      <c r="F80" t="inlineStr">
        <is>
          <t>7</t>
        </is>
      </c>
      <c r="G80" t="inlineStr">
        <is>
          <t>The Daodu's Residence, Behind Obasanjo Farm, Eleidi, Ota</t>
        </is>
      </c>
      <c r="H80" t="inlineStr">
        <is>
          <t>Existing</t>
        </is>
      </c>
      <c r="I80" t="inlineStr">
        <is>
          <t>N</t>
        </is>
      </c>
    </row>
    <row r="81">
      <c r="A81" t="inlineStr">
        <is>
          <t>LFC0308</t>
        </is>
      </c>
      <c r="B81" t="inlineStr">
        <is>
          <t>LFC0308</t>
        </is>
      </c>
      <c r="C81" t="inlineStr">
        <is>
          <t>OBASANJO</t>
        </is>
      </c>
      <c r="D81" t="inlineStr">
        <is>
          <t>N</t>
        </is>
      </c>
      <c r="E81" t="inlineStr">
        <is>
          <t>Y</t>
        </is>
      </c>
      <c r="F81" t="inlineStr">
        <is>
          <t>8</t>
        </is>
      </c>
      <c r="G81" t="inlineStr">
        <is>
          <t>Opposite Ojugbele Hospital, Ijagba Road, Ijagba</t>
        </is>
      </c>
      <c r="H81" t="inlineStr">
        <is>
          <t>Existing</t>
        </is>
      </c>
      <c r="I81" t="inlineStr">
        <is>
          <t>N</t>
        </is>
      </c>
    </row>
    <row r="82">
      <c r="A82" t="inlineStr">
        <is>
          <t>LFC0309</t>
        </is>
      </c>
      <c r="B82" t="inlineStr">
        <is>
          <t>LFC0309</t>
        </is>
      </c>
      <c r="C82" t="inlineStr">
        <is>
          <t>OBASANJO</t>
        </is>
      </c>
      <c r="D82" t="inlineStr">
        <is>
          <t>Y</t>
        </is>
      </c>
      <c r="E82" t="inlineStr">
        <is>
          <t>Y</t>
        </is>
      </c>
      <c r="F82" t="inlineStr">
        <is>
          <t>9</t>
        </is>
      </c>
      <c r="G82" t="inlineStr">
        <is>
          <t>No 6, Mega A Estate, Akinwandes' Residence</t>
        </is>
      </c>
      <c r="H82" t="inlineStr">
        <is>
          <t>Existing</t>
        </is>
      </c>
      <c r="I82" t="inlineStr">
        <is>
          <t>N</t>
        </is>
      </c>
    </row>
    <row r="83">
      <c r="A83" t="inlineStr">
        <is>
          <t>LFC0310</t>
        </is>
      </c>
      <c r="B83" t="inlineStr">
        <is>
          <t>LFC0310</t>
        </is>
      </c>
      <c r="C83" t="inlineStr">
        <is>
          <t>OBASANJO</t>
        </is>
      </c>
      <c r="D83" t="inlineStr">
        <is>
          <t>Y</t>
        </is>
      </c>
      <c r="E83" t="inlineStr">
        <is>
          <t>Y</t>
        </is>
      </c>
      <c r="F83" t="inlineStr">
        <is>
          <t>10</t>
        </is>
      </c>
      <c r="G83" t="inlineStr">
        <is>
          <t>Road 1, EXT DADA ASAILA, OBASANJO, OTA</t>
        </is>
      </c>
      <c r="H83" t="inlineStr">
        <is>
          <t>Existing</t>
        </is>
      </c>
      <c r="I83" t="inlineStr">
        <is>
          <t>N</t>
        </is>
      </c>
    </row>
    <row r="84">
      <c r="A84" t="inlineStr">
        <is>
          <t>LFC0311</t>
        </is>
      </c>
      <c r="B84" t="inlineStr">
        <is>
          <t>LFC0311</t>
        </is>
      </c>
      <c r="C84" t="inlineStr">
        <is>
          <t>OBASANJO</t>
        </is>
      </c>
      <c r="D84" t="inlineStr">
        <is>
          <t>Y</t>
        </is>
      </c>
      <c r="E84" t="inlineStr">
        <is>
          <t>Y</t>
        </is>
      </c>
      <c r="F84" t="inlineStr">
        <is>
          <t>11</t>
        </is>
      </c>
      <c r="G84" t="inlineStr">
        <is>
          <t>NO 3, Road B, Excellence Estate, Eleidi, Obasanjo</t>
        </is>
      </c>
      <c r="H84" t="inlineStr">
        <is>
          <t>Existing</t>
        </is>
      </c>
      <c r="I84" t="inlineStr">
        <is>
          <t>N</t>
        </is>
      </c>
    </row>
    <row r="85">
      <c r="A85" t="inlineStr">
        <is>
          <t>LFC0312</t>
        </is>
      </c>
      <c r="B85" t="inlineStr">
        <is>
          <t>LFC0312</t>
        </is>
      </c>
      <c r="C85" t="inlineStr">
        <is>
          <t>OBASANJO</t>
        </is>
      </c>
      <c r="D85" t="inlineStr"/>
      <c r="E85" t="inlineStr">
        <is>
          <t>Y</t>
        </is>
      </c>
      <c r="F85" t="inlineStr">
        <is>
          <t>12</t>
        </is>
      </c>
      <c r="G85" t="inlineStr">
        <is>
          <t>Furniture House, Industrial Estate, Ota</t>
        </is>
      </c>
      <c r="H85" t="inlineStr">
        <is>
          <t>Existing</t>
        </is>
      </c>
      <c r="I85" t="inlineStr"/>
    </row>
    <row r="86">
      <c r="A86" t="inlineStr">
        <is>
          <t>LFC0313</t>
        </is>
      </c>
      <c r="B86" t="inlineStr">
        <is>
          <t>LFC0313</t>
        </is>
      </c>
      <c r="C86" t="inlineStr">
        <is>
          <t>OBASANJO</t>
        </is>
      </c>
      <c r="D86" t="inlineStr">
        <is>
          <t>N</t>
        </is>
      </c>
      <c r="E86" t="inlineStr">
        <is>
          <t>Y</t>
        </is>
      </c>
      <c r="F86" t="inlineStr">
        <is>
          <t>13</t>
        </is>
      </c>
      <c r="G86" t="inlineStr">
        <is>
          <t>BLESSED CITY, ELEJIGBO PHASE 2, OKO TEACHER,</t>
        </is>
      </c>
      <c r="H86" t="inlineStr">
        <is>
          <t>Existing</t>
        </is>
      </c>
      <c r="I86" t="inlineStr">
        <is>
          <t>N</t>
        </is>
      </c>
    </row>
    <row r="87">
      <c r="A87" t="inlineStr">
        <is>
          <t>LFC0314</t>
        </is>
      </c>
      <c r="B87" t="inlineStr">
        <is>
          <t>LFC0314</t>
        </is>
      </c>
      <c r="C87" t="inlineStr">
        <is>
          <t>OBASANJO</t>
        </is>
      </c>
      <c r="D87" t="inlineStr">
        <is>
          <t>N</t>
        </is>
      </c>
      <c r="E87" t="inlineStr">
        <is>
          <t>Y</t>
        </is>
      </c>
      <c r="F87" t="inlineStr">
        <is>
          <t>14</t>
        </is>
      </c>
      <c r="G87" t="inlineStr">
        <is>
          <t>Falomo house, No12 road 8 Dada Asala, Obasanjo, Ota</t>
        </is>
      </c>
      <c r="H87" t="inlineStr">
        <is>
          <t>Existing</t>
        </is>
      </c>
      <c r="I87" t="inlineStr">
        <is>
          <t>N</t>
        </is>
      </c>
    </row>
    <row r="88">
      <c r="A88" t="inlineStr">
        <is>
          <t>LFC0315</t>
        </is>
      </c>
      <c r="B88" t="inlineStr">
        <is>
          <t>LFC0315</t>
        </is>
      </c>
      <c r="C88" t="inlineStr">
        <is>
          <t>OBASANJO</t>
        </is>
      </c>
      <c r="D88" t="inlineStr">
        <is>
          <t>Y</t>
        </is>
      </c>
      <c r="E88" t="inlineStr">
        <is>
          <t>Y</t>
        </is>
      </c>
      <c r="F88" t="inlineStr">
        <is>
          <t>15</t>
        </is>
      </c>
      <c r="G88" t="inlineStr">
        <is>
          <t>Dcn Abiola's House:Plot 5, Blk 4, Mobil Rd OGSHC Ota</t>
        </is>
      </c>
      <c r="H88" t="inlineStr">
        <is>
          <t>Existing</t>
        </is>
      </c>
      <c r="I88" t="inlineStr">
        <is>
          <t>N</t>
        </is>
      </c>
    </row>
    <row r="89">
      <c r="A89" t="inlineStr">
        <is>
          <t>LFC0316</t>
        </is>
      </c>
      <c r="B89" t="inlineStr">
        <is>
          <t>LFC0316</t>
        </is>
      </c>
      <c r="C89" t="inlineStr">
        <is>
          <t>OBASANJO</t>
        </is>
      </c>
      <c r="D89" t="inlineStr">
        <is>
          <t>Y</t>
        </is>
      </c>
      <c r="E89" t="inlineStr">
        <is>
          <t>Y</t>
        </is>
      </c>
      <c r="F89" t="inlineStr">
        <is>
          <t>16</t>
        </is>
      </c>
      <c r="G89" t="inlineStr">
        <is>
          <t>Road 5 Goshen Quarters Ogun State Housing Estate Ota</t>
        </is>
      </c>
      <c r="H89" t="inlineStr">
        <is>
          <t>Existing</t>
        </is>
      </c>
      <c r="I89" t="inlineStr">
        <is>
          <t>N</t>
        </is>
      </c>
    </row>
    <row r="90">
      <c r="A90" t="inlineStr">
        <is>
          <t>LFC0317</t>
        </is>
      </c>
      <c r="B90" t="inlineStr">
        <is>
          <t>LFC0317</t>
        </is>
      </c>
      <c r="C90" t="inlineStr">
        <is>
          <t>OBASANJO</t>
        </is>
      </c>
      <c r="D90" t="inlineStr">
        <is>
          <t>N</t>
        </is>
      </c>
      <c r="E90" t="inlineStr">
        <is>
          <t>Y</t>
        </is>
      </c>
      <c r="F90" t="inlineStr">
        <is>
          <t>17</t>
        </is>
      </c>
      <c r="G90" t="inlineStr">
        <is>
          <t>Plot 33, Block 3, Road 6, Area 'A', OGSHC Estate, Ota</t>
        </is>
      </c>
      <c r="H90" t="inlineStr">
        <is>
          <t>Existing</t>
        </is>
      </c>
      <c r="I90" t="inlineStr">
        <is>
          <t>N</t>
        </is>
      </c>
    </row>
    <row r="91">
      <c r="A91" t="inlineStr">
        <is>
          <t>LFC0318</t>
        </is>
      </c>
      <c r="B91" t="inlineStr">
        <is>
          <t>LFC0318</t>
        </is>
      </c>
      <c r="C91" t="inlineStr">
        <is>
          <t>OBASANJO</t>
        </is>
      </c>
      <c r="D91" t="inlineStr">
        <is>
          <t>N</t>
        </is>
      </c>
      <c r="E91" t="inlineStr">
        <is>
          <t>Y</t>
        </is>
      </c>
      <c r="F91" t="inlineStr">
        <is>
          <t>18</t>
        </is>
      </c>
      <c r="G91" t="inlineStr">
        <is>
          <t>No 1 Adekunle Oluwaniyi Close, Oke Ola, Off Itele Road,</t>
        </is>
      </c>
      <c r="H91" t="inlineStr">
        <is>
          <t>Existing</t>
        </is>
      </c>
      <c r="I91" t="inlineStr">
        <is>
          <t>N</t>
        </is>
      </c>
    </row>
    <row r="92">
      <c r="A92" t="inlineStr">
        <is>
          <t>LFC0319</t>
        </is>
      </c>
      <c r="B92" t="inlineStr">
        <is>
          <t>LFC0319</t>
        </is>
      </c>
      <c r="C92" t="inlineStr">
        <is>
          <t>OBASANJO</t>
        </is>
      </c>
      <c r="D92" t="inlineStr">
        <is>
          <t>N</t>
        </is>
      </c>
      <c r="E92" t="inlineStr">
        <is>
          <t>Y</t>
        </is>
      </c>
      <c r="F92" t="inlineStr">
        <is>
          <t>19</t>
        </is>
      </c>
      <c r="G92" t="inlineStr">
        <is>
          <t>Road D2, Close 1, Plot 2, Ifesowapo CDA, Ikeshi, Ota</t>
        </is>
      </c>
      <c r="H92" t="inlineStr">
        <is>
          <t>Existing</t>
        </is>
      </c>
      <c r="I92" t="inlineStr">
        <is>
          <t>N</t>
        </is>
      </c>
    </row>
    <row r="93">
      <c r="A93" t="inlineStr">
        <is>
          <t>LFC0320</t>
        </is>
      </c>
      <c r="B93" t="inlineStr">
        <is>
          <t>LFC0320</t>
        </is>
      </c>
      <c r="C93" t="inlineStr">
        <is>
          <t>OBASANJO</t>
        </is>
      </c>
      <c r="D93" t="inlineStr">
        <is>
          <t>N</t>
        </is>
      </c>
      <c r="E93" t="inlineStr">
        <is>
          <t>Y</t>
        </is>
      </c>
      <c r="F93" t="inlineStr">
        <is>
          <t>20</t>
        </is>
      </c>
      <c r="G93" t="inlineStr">
        <is>
          <t>Adelom Hospital Street, Unity &amp; Peace Estate off Itele Road, Ota</t>
        </is>
      </c>
      <c r="H93" t="inlineStr">
        <is>
          <t>Existing</t>
        </is>
      </c>
      <c r="I93" t="inlineStr">
        <is>
          <t>N</t>
        </is>
      </c>
    </row>
    <row r="94">
      <c r="A94" t="inlineStr">
        <is>
          <t>LFC0321</t>
        </is>
      </c>
      <c r="B94" t="inlineStr">
        <is>
          <t>LFC0321</t>
        </is>
      </c>
      <c r="C94" t="inlineStr">
        <is>
          <t>OBASANJO</t>
        </is>
      </c>
      <c r="D94" t="inlineStr">
        <is>
          <t>N</t>
        </is>
      </c>
      <c r="E94" t="inlineStr">
        <is>
          <t>Y</t>
        </is>
      </c>
      <c r="F94" t="inlineStr">
        <is>
          <t>21</t>
        </is>
      </c>
      <c r="G94" t="inlineStr">
        <is>
          <t>ELEJIGBO (DCN PETER'S HOUSE, NO 28BG WINNER CITY ELEJIGBO (NEW ZONE)</t>
        </is>
      </c>
      <c r="H94" t="inlineStr">
        <is>
          <t>New (proposed)</t>
        </is>
      </c>
      <c r="I94" t="inlineStr">
        <is>
          <t>N</t>
        </is>
      </c>
    </row>
    <row r="95">
      <c r="A95" t="inlineStr">
        <is>
          <t>LFC0322</t>
        </is>
      </c>
      <c r="B95" t="inlineStr">
        <is>
          <t>LFC0322</t>
        </is>
      </c>
      <c r="C95" t="inlineStr">
        <is>
          <t>OBASANJO</t>
        </is>
      </c>
      <c r="D95" t="inlineStr">
        <is>
          <t>N</t>
        </is>
      </c>
      <c r="E95" t="inlineStr">
        <is>
          <t>Y</t>
        </is>
      </c>
      <c r="F95" t="inlineStr">
        <is>
          <t>22</t>
        </is>
      </c>
      <c r="G95" t="inlineStr">
        <is>
          <t>WONDER CITY ONIGBIN-ISELE</t>
        </is>
      </c>
      <c r="H95" t="inlineStr">
        <is>
          <t>New (proposed)</t>
        </is>
      </c>
      <c r="I95" t="inlineStr">
        <is>
          <t>N</t>
        </is>
      </c>
    </row>
    <row r="96">
      <c r="A96" t="inlineStr">
        <is>
          <t>LFC0401</t>
        </is>
      </c>
      <c r="B96" t="inlineStr">
        <is>
          <t>LFC0401</t>
        </is>
      </c>
      <c r="C96" t="inlineStr">
        <is>
          <t>OJU ORE</t>
        </is>
      </c>
      <c r="D96" t="inlineStr">
        <is>
          <t>Y</t>
        </is>
      </c>
      <c r="E96" t="inlineStr">
        <is>
          <t>Y</t>
        </is>
      </c>
      <c r="F96" t="inlineStr">
        <is>
          <t>2</t>
        </is>
      </c>
      <c r="G96" t="inlineStr">
        <is>
          <t>2 RESPECT CLOSE, BAYO BLOCK</t>
        </is>
      </c>
      <c r="H96" t="inlineStr">
        <is>
          <t>Existing</t>
        </is>
      </c>
      <c r="I96" t="inlineStr">
        <is>
          <t>N</t>
        </is>
      </c>
    </row>
    <row r="97">
      <c r="A97" t="inlineStr">
        <is>
          <t>LFC0402</t>
        </is>
      </c>
      <c r="B97" t="inlineStr">
        <is>
          <t>LFC0402</t>
        </is>
      </c>
      <c r="C97" t="inlineStr">
        <is>
          <t>OJU ORE</t>
        </is>
      </c>
      <c r="D97" t="inlineStr">
        <is>
          <t>Y</t>
        </is>
      </c>
      <c r="E97" t="inlineStr">
        <is>
          <t>Y</t>
        </is>
      </c>
      <c r="F97" t="inlineStr">
        <is>
          <t>3</t>
        </is>
      </c>
      <c r="G97" t="inlineStr">
        <is>
          <t>28, IKUMAPAYI LINE G</t>
        </is>
      </c>
      <c r="H97" t="inlineStr">
        <is>
          <t>Existing</t>
        </is>
      </c>
      <c r="I97" t="inlineStr">
        <is>
          <t>N</t>
        </is>
      </c>
    </row>
    <row r="98">
      <c r="A98" t="inlineStr">
        <is>
          <t>LFC0403</t>
        </is>
      </c>
      <c r="B98" t="inlineStr">
        <is>
          <t>LFC0403</t>
        </is>
      </c>
      <c r="C98" t="inlineStr">
        <is>
          <t>OJU ORE</t>
        </is>
      </c>
      <c r="D98" t="inlineStr">
        <is>
          <t>Y</t>
        </is>
      </c>
      <c r="E98" t="inlineStr">
        <is>
          <t>Y</t>
        </is>
      </c>
      <c r="F98" t="inlineStr">
        <is>
          <t>4</t>
        </is>
      </c>
      <c r="G98" t="inlineStr">
        <is>
          <t>36, TAJUDEEN ARO STREET</t>
        </is>
      </c>
      <c r="H98" t="inlineStr">
        <is>
          <t>Existing</t>
        </is>
      </c>
      <c r="I98" t="inlineStr">
        <is>
          <t>N</t>
        </is>
      </c>
    </row>
    <row r="99">
      <c r="A99" t="inlineStr">
        <is>
          <t>LFC0404</t>
        </is>
      </c>
      <c r="B99" t="inlineStr">
        <is>
          <t>LFC0404</t>
        </is>
      </c>
      <c r="C99" t="inlineStr">
        <is>
          <t>OJU ORE</t>
        </is>
      </c>
      <c r="D99" t="inlineStr">
        <is>
          <t>Y</t>
        </is>
      </c>
      <c r="E99" t="inlineStr">
        <is>
          <t>Y</t>
        </is>
      </c>
      <c r="F99" t="inlineStr">
        <is>
          <t>5</t>
        </is>
      </c>
      <c r="G99" t="inlineStr">
        <is>
          <t>13, JIDEWALE STR OJU-ORE</t>
        </is>
      </c>
      <c r="H99" t="inlineStr">
        <is>
          <t>Existing</t>
        </is>
      </c>
      <c r="I99" t="inlineStr">
        <is>
          <t>N</t>
        </is>
      </c>
    </row>
    <row r="100">
      <c r="A100" t="inlineStr">
        <is>
          <t>LFC0405</t>
        </is>
      </c>
      <c r="B100" t="inlineStr">
        <is>
          <t>LFC0405</t>
        </is>
      </c>
      <c r="C100" t="inlineStr">
        <is>
          <t>OJU ORE</t>
        </is>
      </c>
      <c r="D100" t="inlineStr">
        <is>
          <t>Y</t>
        </is>
      </c>
      <c r="E100" t="inlineStr">
        <is>
          <t>Y</t>
        </is>
      </c>
      <c r="F100" t="inlineStr">
        <is>
          <t>6</t>
        </is>
      </c>
      <c r="G100" t="inlineStr">
        <is>
          <t>16, AWOSIKA STREET OJU-ORE</t>
        </is>
      </c>
      <c r="H100" t="inlineStr">
        <is>
          <t>Existing</t>
        </is>
      </c>
      <c r="I100" t="inlineStr">
        <is>
          <t>N</t>
        </is>
      </c>
    </row>
    <row r="101">
      <c r="A101" t="inlineStr">
        <is>
          <t>LFC0406</t>
        </is>
      </c>
      <c r="B101" t="inlineStr">
        <is>
          <t>LFC0406</t>
        </is>
      </c>
      <c r="C101" t="inlineStr">
        <is>
          <t>OJU ORE</t>
        </is>
      </c>
      <c r="D101" t="inlineStr">
        <is>
          <t>N</t>
        </is>
      </c>
      <c r="E101" t="inlineStr">
        <is>
          <t>Y</t>
        </is>
      </c>
      <c r="F101" t="inlineStr">
        <is>
          <t>7</t>
        </is>
      </c>
      <c r="G101" t="inlineStr">
        <is>
          <t>POWER LINE ILOGBO OJU-ORE</t>
        </is>
      </c>
      <c r="H101" t="inlineStr">
        <is>
          <t>Existing</t>
        </is>
      </c>
      <c r="I101" t="inlineStr">
        <is>
          <t>N</t>
        </is>
      </c>
    </row>
    <row r="102">
      <c r="A102" t="inlineStr">
        <is>
          <t>LFC0407</t>
        </is>
      </c>
      <c r="B102" t="inlineStr">
        <is>
          <t>LFC0407</t>
        </is>
      </c>
      <c r="C102" t="inlineStr">
        <is>
          <t>OJU ORE</t>
        </is>
      </c>
      <c r="D102" t="inlineStr">
        <is>
          <t>N</t>
        </is>
      </c>
      <c r="E102" t="inlineStr">
        <is>
          <t>Y</t>
        </is>
      </c>
      <c r="F102" t="inlineStr">
        <is>
          <t>8</t>
        </is>
      </c>
      <c r="G102" t="inlineStr">
        <is>
          <t>12, OKE IYANU STR.</t>
        </is>
      </c>
      <c r="H102" t="inlineStr">
        <is>
          <t>Existing</t>
        </is>
      </c>
      <c r="I102" t="inlineStr">
        <is>
          <t>N</t>
        </is>
      </c>
    </row>
    <row r="103">
      <c r="A103" t="inlineStr">
        <is>
          <t>LFC0408</t>
        </is>
      </c>
      <c r="B103" t="inlineStr">
        <is>
          <t>LFC0408</t>
        </is>
      </c>
      <c r="C103" t="inlineStr">
        <is>
          <t>OJU ORE</t>
        </is>
      </c>
      <c r="D103" t="inlineStr">
        <is>
          <t>Y</t>
        </is>
      </c>
      <c r="E103" t="inlineStr">
        <is>
          <t>Y</t>
        </is>
      </c>
      <c r="F103" t="inlineStr">
        <is>
          <t>9</t>
        </is>
      </c>
      <c r="G103" t="inlineStr">
        <is>
          <t>1, AJIBADE STREET OJU-ORE</t>
        </is>
      </c>
      <c r="H103" t="inlineStr">
        <is>
          <t>Existing</t>
        </is>
      </c>
      <c r="I103" t="inlineStr">
        <is>
          <t>N</t>
        </is>
      </c>
    </row>
    <row r="104">
      <c r="A104" t="inlineStr">
        <is>
          <t>LFC0409</t>
        </is>
      </c>
      <c r="B104" t="inlineStr">
        <is>
          <t>LFC0409</t>
        </is>
      </c>
      <c r="C104" t="inlineStr">
        <is>
          <t>OJU ORE</t>
        </is>
      </c>
      <c r="D104" t="inlineStr">
        <is>
          <t>Y</t>
        </is>
      </c>
      <c r="E104" t="inlineStr">
        <is>
          <t>Y</t>
        </is>
      </c>
      <c r="F104" t="inlineStr">
        <is>
          <t>10</t>
        </is>
      </c>
      <c r="G104" t="inlineStr">
        <is>
          <t>9, OLORUNLANA STR OJU-ORE</t>
        </is>
      </c>
      <c r="H104" t="inlineStr">
        <is>
          <t>Existing</t>
        </is>
      </c>
      <c r="I104" t="inlineStr">
        <is>
          <t>N</t>
        </is>
      </c>
    </row>
    <row r="105">
      <c r="A105" t="inlineStr">
        <is>
          <t>LFC0410</t>
        </is>
      </c>
      <c r="B105" t="inlineStr">
        <is>
          <t>LFC0410</t>
        </is>
      </c>
      <c r="C105" t="inlineStr">
        <is>
          <t>OJU ORE</t>
        </is>
      </c>
      <c r="D105" t="inlineStr">
        <is>
          <t>N</t>
        </is>
      </c>
      <c r="E105" t="inlineStr">
        <is>
          <t>Y</t>
        </is>
      </c>
      <c r="F105" t="inlineStr">
        <is>
          <t>11</t>
        </is>
      </c>
      <c r="G105" t="inlineStr">
        <is>
          <t>ABULE EWUPE, EWUPE</t>
        </is>
      </c>
      <c r="H105" t="inlineStr">
        <is>
          <t>Existing</t>
        </is>
      </c>
      <c r="I105" t="inlineStr">
        <is>
          <t>N</t>
        </is>
      </c>
    </row>
    <row r="106">
      <c r="A106" t="inlineStr">
        <is>
          <t>LFC0411</t>
        </is>
      </c>
      <c r="B106" t="inlineStr">
        <is>
          <t>LFC0411</t>
        </is>
      </c>
      <c r="C106" t="inlineStr">
        <is>
          <t>OJU ORE</t>
        </is>
      </c>
      <c r="D106" t="inlineStr">
        <is>
          <t>N</t>
        </is>
      </c>
      <c r="E106" t="inlineStr">
        <is>
          <t>Y</t>
        </is>
      </c>
      <c r="F106" t="inlineStr">
        <is>
          <t>12</t>
        </is>
      </c>
      <c r="G106" t="inlineStr">
        <is>
          <t>20, REKIAT AJIKE STR, NICE ESTATE</t>
        </is>
      </c>
      <c r="H106" t="inlineStr">
        <is>
          <t>Existing</t>
        </is>
      </c>
      <c r="I106" t="inlineStr">
        <is>
          <t>N</t>
        </is>
      </c>
    </row>
    <row r="107">
      <c r="A107" t="inlineStr">
        <is>
          <t>LFC0412</t>
        </is>
      </c>
      <c r="B107" t="inlineStr">
        <is>
          <t>LFC0412</t>
        </is>
      </c>
      <c r="C107" t="inlineStr">
        <is>
          <t>OJU ORE</t>
        </is>
      </c>
      <c r="D107" t="inlineStr">
        <is>
          <t>Y</t>
        </is>
      </c>
      <c r="E107" t="inlineStr">
        <is>
          <t>Y</t>
        </is>
      </c>
      <c r="F107" t="inlineStr">
        <is>
          <t>13</t>
        </is>
      </c>
      <c r="G107" t="inlineStr">
        <is>
          <t>ILOGBO PALACE COMPOUND, ILOGBO, IJU</t>
        </is>
      </c>
      <c r="H107" t="inlineStr">
        <is>
          <t>Existing</t>
        </is>
      </c>
      <c r="I107" t="inlineStr">
        <is>
          <t>Y</t>
        </is>
      </c>
    </row>
    <row r="108">
      <c r="A108" t="inlineStr">
        <is>
          <t>LFC0413</t>
        </is>
      </c>
      <c r="B108" t="inlineStr">
        <is>
          <t>LFC0413</t>
        </is>
      </c>
      <c r="C108" t="inlineStr">
        <is>
          <t>OJU ORE</t>
        </is>
      </c>
      <c r="D108" t="inlineStr">
        <is>
          <t>Y</t>
        </is>
      </c>
      <c r="E108" t="inlineStr">
        <is>
          <t>Y</t>
        </is>
      </c>
      <c r="F108" t="inlineStr">
        <is>
          <t>14</t>
        </is>
      </c>
      <c r="G108" t="inlineStr">
        <is>
          <t>ST. PAUL OSOLO COMMUNITY, ILOGBO, IJU</t>
        </is>
      </c>
      <c r="H108" t="inlineStr">
        <is>
          <t>Existing</t>
        </is>
      </c>
      <c r="I108" t="inlineStr">
        <is>
          <t>N</t>
        </is>
      </c>
    </row>
    <row r="109">
      <c r="A109" t="inlineStr">
        <is>
          <t>LFC0414</t>
        </is>
      </c>
      <c r="B109" t="inlineStr">
        <is>
          <t>LFC0414</t>
        </is>
      </c>
      <c r="C109" t="inlineStr">
        <is>
          <t>OJU ORE</t>
        </is>
      </c>
      <c r="D109" t="inlineStr">
        <is>
          <t>Y</t>
        </is>
      </c>
      <c r="E109" t="inlineStr">
        <is>
          <t>Y</t>
        </is>
      </c>
      <c r="F109" t="inlineStr">
        <is>
          <t>15</t>
        </is>
      </c>
      <c r="G109" t="inlineStr">
        <is>
          <t>MOSAFUNETO VILLAGE, ILOGBO, IJU</t>
        </is>
      </c>
      <c r="H109" t="inlineStr">
        <is>
          <t>Existing</t>
        </is>
      </c>
      <c r="I109" t="inlineStr">
        <is>
          <t>N</t>
        </is>
      </c>
    </row>
    <row r="110">
      <c r="A110" t="inlineStr">
        <is>
          <t>LFC0415</t>
        </is>
      </c>
      <c r="B110" t="inlineStr">
        <is>
          <t>LFC0415</t>
        </is>
      </c>
      <c r="C110" t="inlineStr">
        <is>
          <t>OJU ORE</t>
        </is>
      </c>
      <c r="D110" t="inlineStr">
        <is>
          <t>N</t>
        </is>
      </c>
      <c r="E110" t="inlineStr">
        <is>
          <t>Y</t>
        </is>
      </c>
      <c r="F110" t="inlineStr">
        <is>
          <t>16</t>
        </is>
      </c>
      <c r="G110" t="inlineStr">
        <is>
          <t>OLUGBA VILLAGE,ILOGBO,IJU</t>
        </is>
      </c>
      <c r="H110" t="inlineStr">
        <is>
          <t>Existing</t>
        </is>
      </c>
      <c r="I110" t="inlineStr">
        <is>
          <t>N</t>
        </is>
      </c>
    </row>
    <row r="111">
      <c r="A111" t="inlineStr">
        <is>
          <t>LFC0416</t>
        </is>
      </c>
      <c r="B111" t="inlineStr">
        <is>
          <t>LFC0416</t>
        </is>
      </c>
      <c r="C111" t="inlineStr">
        <is>
          <t>OJU ORE</t>
        </is>
      </c>
      <c r="D111" t="inlineStr">
        <is>
          <t>N</t>
        </is>
      </c>
      <c r="E111" t="inlineStr">
        <is>
          <t>Y</t>
        </is>
      </c>
      <c r="F111" t="inlineStr">
        <is>
          <t>17</t>
        </is>
      </c>
      <c r="G111" t="inlineStr">
        <is>
          <t>ATIMOL AVE. ONIWON,ILOGBO, IJU</t>
        </is>
      </c>
      <c r="H111" t="inlineStr">
        <is>
          <t>Existing</t>
        </is>
      </c>
      <c r="I111" t="inlineStr">
        <is>
          <t>N</t>
        </is>
      </c>
    </row>
    <row r="112">
      <c r="A112" t="inlineStr">
        <is>
          <t>LFC0417</t>
        </is>
      </c>
      <c r="B112" t="inlineStr">
        <is>
          <t>LFC0417</t>
        </is>
      </c>
      <c r="C112" t="inlineStr">
        <is>
          <t>OJU ORE</t>
        </is>
      </c>
      <c r="D112" t="inlineStr">
        <is>
          <t>Y</t>
        </is>
      </c>
      <c r="E112" t="inlineStr">
        <is>
          <t>Y</t>
        </is>
      </c>
      <c r="F112" t="inlineStr">
        <is>
          <t>18</t>
        </is>
      </c>
      <c r="G112" t="inlineStr">
        <is>
          <t>IWOYE, BAALE B/STOP,ILOGBO, IJU</t>
        </is>
      </c>
      <c r="H112" t="inlineStr">
        <is>
          <t>Existing</t>
        </is>
      </c>
      <c r="I112" t="inlineStr">
        <is>
          <t>N</t>
        </is>
      </c>
    </row>
    <row r="113">
      <c r="A113" t="inlineStr">
        <is>
          <t>LFC0418</t>
        </is>
      </c>
      <c r="B113" t="inlineStr">
        <is>
          <t>LFC0418</t>
        </is>
      </c>
      <c r="C113" t="inlineStr">
        <is>
          <t>OJU ORE</t>
        </is>
      </c>
      <c r="D113" t="inlineStr">
        <is>
          <t>N</t>
        </is>
      </c>
      <c r="E113" t="inlineStr">
        <is>
          <t>Y</t>
        </is>
      </c>
      <c r="F113" t="inlineStr">
        <is>
          <t>19</t>
        </is>
      </c>
      <c r="G113" t="inlineStr">
        <is>
          <t>MOSAFEJO VILLAGE ILOGBO, IJU</t>
        </is>
      </c>
      <c r="H113" t="inlineStr">
        <is>
          <t>Existing</t>
        </is>
      </c>
      <c r="I113" t="inlineStr">
        <is>
          <t>N</t>
        </is>
      </c>
    </row>
    <row r="114">
      <c r="A114" t="inlineStr">
        <is>
          <t>LFC0419</t>
        </is>
      </c>
      <c r="B114" t="inlineStr">
        <is>
          <t>LFC0419</t>
        </is>
      </c>
      <c r="C114" t="inlineStr">
        <is>
          <t>OJU ORE</t>
        </is>
      </c>
      <c r="D114" t="inlineStr">
        <is>
          <t>N</t>
        </is>
      </c>
      <c r="E114" t="inlineStr">
        <is>
          <t>Y</t>
        </is>
      </c>
      <c r="F114" t="inlineStr">
        <is>
          <t>20</t>
        </is>
      </c>
      <c r="G114" t="inlineStr">
        <is>
          <t>15 AROGUNMOLA STREET OFF BEHIND UBA, OJUORE</t>
        </is>
      </c>
      <c r="H114" t="inlineStr">
        <is>
          <t>Existing</t>
        </is>
      </c>
      <c r="I114" t="inlineStr">
        <is>
          <t>N</t>
        </is>
      </c>
    </row>
    <row r="115">
      <c r="A115" t="inlineStr">
        <is>
          <t>LFC0420</t>
        </is>
      </c>
      <c r="B115" t="inlineStr">
        <is>
          <t>LFC0420</t>
        </is>
      </c>
      <c r="C115" t="inlineStr">
        <is>
          <t>OJU ORE</t>
        </is>
      </c>
      <c r="D115" t="inlineStr">
        <is>
          <t>N</t>
        </is>
      </c>
      <c r="E115" t="inlineStr">
        <is>
          <t>Y</t>
        </is>
      </c>
      <c r="F115" t="inlineStr">
        <is>
          <t>21</t>
        </is>
      </c>
      <c r="G115" t="inlineStr">
        <is>
          <t>3 HASSAN CLOSE BEHIND GT BANK, FOWOBI</t>
        </is>
      </c>
      <c r="H115" t="inlineStr">
        <is>
          <t>Existing</t>
        </is>
      </c>
      <c r="I115" t="inlineStr">
        <is>
          <t>N</t>
        </is>
      </c>
    </row>
    <row r="116">
      <c r="A116" t="inlineStr">
        <is>
          <t>LFC0421</t>
        </is>
      </c>
      <c r="B116" t="inlineStr">
        <is>
          <t>LFC0421</t>
        </is>
      </c>
      <c r="C116" t="inlineStr">
        <is>
          <t>OJU ORE</t>
        </is>
      </c>
      <c r="D116" t="inlineStr">
        <is>
          <t>N</t>
        </is>
      </c>
      <c r="E116" t="inlineStr">
        <is>
          <t>Y</t>
        </is>
      </c>
      <c r="F116" t="inlineStr">
        <is>
          <t>22</t>
        </is>
      </c>
      <c r="G116" t="inlineStr">
        <is>
          <t>5 FADIPE STREET, OFF OMO ONILE EWUPE</t>
        </is>
      </c>
      <c r="H116" t="inlineStr">
        <is>
          <t>Existing</t>
        </is>
      </c>
      <c r="I116" t="inlineStr">
        <is>
          <t>N</t>
        </is>
      </c>
    </row>
    <row r="117">
      <c r="A117" t="inlineStr">
        <is>
          <t>LFC0422</t>
        </is>
      </c>
      <c r="B117" t="inlineStr">
        <is>
          <t>LFC0422</t>
        </is>
      </c>
      <c r="C117" t="inlineStr">
        <is>
          <t>OJU ORE</t>
        </is>
      </c>
      <c r="D117" t="inlineStr">
        <is>
          <t>Y</t>
        </is>
      </c>
      <c r="E117" t="inlineStr">
        <is>
          <t>Y</t>
        </is>
      </c>
      <c r="F117" t="inlineStr">
        <is>
          <t>1</t>
        </is>
      </c>
      <c r="G117" t="inlineStr">
        <is>
          <t>2/4 COVENANT CLOSE, AHMED AKINDELE STREET, OJU-ORE</t>
        </is>
      </c>
      <c r="H117" t="inlineStr">
        <is>
          <t>Existing</t>
        </is>
      </c>
      <c r="I117" t="inlineStr">
        <is>
          <t>N</t>
        </is>
      </c>
    </row>
    <row r="118">
      <c r="A118" t="inlineStr">
        <is>
          <t>LFC0423</t>
        </is>
      </c>
      <c r="B118" t="inlineStr">
        <is>
          <t>LFC0423</t>
        </is>
      </c>
      <c r="C118" t="inlineStr">
        <is>
          <t>OJU ORE</t>
        </is>
      </c>
      <c r="D118" t="inlineStr">
        <is>
          <t>N</t>
        </is>
      </c>
      <c r="E118" t="inlineStr">
        <is>
          <t>Y</t>
        </is>
      </c>
      <c r="F118" t="inlineStr">
        <is>
          <t>23</t>
        </is>
      </c>
      <c r="G118" t="inlineStr">
        <is>
          <t>103 EWUPE ROAD, ABEIGI JUNCTION</t>
        </is>
      </c>
      <c r="H118" t="inlineStr">
        <is>
          <t>Existing</t>
        </is>
      </c>
      <c r="I118" t="inlineStr">
        <is>
          <t>N</t>
        </is>
      </c>
    </row>
    <row r="119">
      <c r="A119" t="inlineStr">
        <is>
          <t>LFC0424</t>
        </is>
      </c>
      <c r="B119" t="inlineStr">
        <is>
          <t>LFC0424</t>
        </is>
      </c>
      <c r="C119" t="inlineStr">
        <is>
          <t>OJU ORE</t>
        </is>
      </c>
      <c r="D119" t="inlineStr">
        <is>
          <t>N</t>
        </is>
      </c>
      <c r="E119" t="inlineStr">
        <is>
          <t>Y</t>
        </is>
      </c>
      <c r="F119" t="inlineStr">
        <is>
          <t>24</t>
        </is>
      </c>
      <c r="G119" t="inlineStr">
        <is>
          <t>IFEDAPO STREET, SUNSHINE ESTATE, WAHIDAN, OKO BALE, OJU ORE</t>
        </is>
      </c>
      <c r="H119" t="inlineStr">
        <is>
          <t>New (proposed)</t>
        </is>
      </c>
      <c r="I119" t="inlineStr">
        <is>
          <t>N</t>
        </is>
      </c>
    </row>
    <row r="120">
      <c r="A120" t="inlineStr">
        <is>
          <t>LFC0425</t>
        </is>
      </c>
      <c r="B120" t="inlineStr">
        <is>
          <t>LFC0425</t>
        </is>
      </c>
      <c r="C120" t="inlineStr">
        <is>
          <t>OJU ORE</t>
        </is>
      </c>
      <c r="D120" t="inlineStr">
        <is>
          <t>N</t>
        </is>
      </c>
      <c r="E120" t="inlineStr">
        <is>
          <t>Y</t>
        </is>
      </c>
      <c r="F120" t="inlineStr">
        <is>
          <t>25</t>
        </is>
      </c>
      <c r="G120" t="inlineStr">
        <is>
          <t>UNITY STREET, SEGUN BLOCK, OFF EWUPE ROAD, OJU ORE</t>
        </is>
      </c>
      <c r="H120" t="inlineStr">
        <is>
          <t>New (proposed)</t>
        </is>
      </c>
      <c r="I120" t="inlineStr">
        <is>
          <t>N</t>
        </is>
      </c>
    </row>
    <row r="121">
      <c r="A121" t="inlineStr">
        <is>
          <t>LFC0426</t>
        </is>
      </c>
      <c r="B121" t="inlineStr">
        <is>
          <t>LFC0426</t>
        </is>
      </c>
      <c r="C121" t="inlineStr">
        <is>
          <t>OJU ORE</t>
        </is>
      </c>
      <c r="D121" t="inlineStr">
        <is>
          <t>N</t>
        </is>
      </c>
      <c r="E121" t="inlineStr">
        <is>
          <t>Y</t>
        </is>
      </c>
      <c r="F121" t="inlineStr">
        <is>
          <t>26</t>
        </is>
      </c>
      <c r="G121" t="inlineStr">
        <is>
          <t>BABA OPE BLOCK, OKO BABA AGEGE, ILOGBO ROAD, OJU ORE</t>
        </is>
      </c>
      <c r="H121" t="inlineStr">
        <is>
          <t>New (proposed)</t>
        </is>
      </c>
      <c r="I121" t="inlineStr">
        <is>
          <t>N</t>
        </is>
      </c>
    </row>
    <row r="122">
      <c r="A122" t="inlineStr">
        <is>
          <t>LFC0427</t>
        </is>
      </c>
      <c r="B122" t="inlineStr">
        <is>
          <t>LFC0427</t>
        </is>
      </c>
      <c r="C122" t="inlineStr">
        <is>
          <t>OJU ORE</t>
        </is>
      </c>
      <c r="D122" t="inlineStr">
        <is>
          <t>N</t>
        </is>
      </c>
      <c r="E122" t="inlineStr">
        <is>
          <t>Y</t>
        </is>
      </c>
      <c r="F122" t="inlineStr">
        <is>
          <t>27</t>
        </is>
      </c>
      <c r="G122" t="inlineStr">
        <is>
          <t>ALMORUF ESTATE, BEHIND DEEPER LIFE CAMP, OLUGBA</t>
        </is>
      </c>
      <c r="H122" t="inlineStr">
        <is>
          <t>New (proposed)</t>
        </is>
      </c>
      <c r="I122" t="inlineStr">
        <is>
          <t>N</t>
        </is>
      </c>
    </row>
    <row r="123">
      <c r="A123" t="inlineStr">
        <is>
          <t>LFC0428</t>
        </is>
      </c>
      <c r="B123" t="inlineStr">
        <is>
          <t>LFC0428</t>
        </is>
      </c>
      <c r="C123" t="inlineStr">
        <is>
          <t>OJU ORE</t>
        </is>
      </c>
      <c r="D123" t="inlineStr">
        <is>
          <t>N</t>
        </is>
      </c>
      <c r="E123" t="inlineStr">
        <is>
          <t>Y</t>
        </is>
      </c>
      <c r="F123" t="inlineStr">
        <is>
          <t>28</t>
        </is>
      </c>
      <c r="G123" t="inlineStr">
        <is>
          <t>40 ACRES AREA, ASHOWO COMMUNITY, ILOGBO.</t>
        </is>
      </c>
      <c r="H123" t="inlineStr">
        <is>
          <t>New (proposed)</t>
        </is>
      </c>
      <c r="I123" t="inlineStr">
        <is>
          <t>N</t>
        </is>
      </c>
    </row>
    <row r="124">
      <c r="A124" t="inlineStr">
        <is>
          <t>LFC0429</t>
        </is>
      </c>
      <c r="B124" t="inlineStr">
        <is>
          <t>LFC0429</t>
        </is>
      </c>
      <c r="C124" t="inlineStr">
        <is>
          <t>OJU ORE</t>
        </is>
      </c>
      <c r="D124" t="inlineStr">
        <is>
          <t>N</t>
        </is>
      </c>
      <c r="E124" t="inlineStr">
        <is>
          <t>Y</t>
        </is>
      </c>
      <c r="F124" t="inlineStr">
        <is>
          <t>29</t>
        </is>
      </c>
      <c r="G124" t="inlineStr">
        <is>
          <t>OLABISI AREA, PALM ESTATE, MOSAFUETO</t>
        </is>
      </c>
      <c r="H124" t="inlineStr">
        <is>
          <t>New (proposed)</t>
        </is>
      </c>
      <c r="I124" t="inlineStr">
        <is>
          <t>N</t>
        </is>
      </c>
    </row>
    <row r="125">
      <c r="A125" t="inlineStr">
        <is>
          <t>LFC0430</t>
        </is>
      </c>
      <c r="B125" t="inlineStr">
        <is>
          <t>LFC0430</t>
        </is>
      </c>
      <c r="C125" t="inlineStr">
        <is>
          <t>OJU ORE</t>
        </is>
      </c>
      <c r="D125" t="inlineStr">
        <is>
          <t>N</t>
        </is>
      </c>
      <c r="E125" t="inlineStr">
        <is>
          <t>Y</t>
        </is>
      </c>
      <c r="F125" t="inlineStr">
        <is>
          <t>30</t>
        </is>
      </c>
      <c r="G125" t="inlineStr">
        <is>
          <t>DANGOTE EXTENSION, MOSAFEJO VILLAGE</t>
        </is>
      </c>
      <c r="H125" t="inlineStr">
        <is>
          <t>New (proposed)</t>
        </is>
      </c>
      <c r="I125" t="inlineStr">
        <is>
          <t>N</t>
        </is>
      </c>
    </row>
    <row r="126">
      <c r="A126" t="inlineStr">
        <is>
          <t>LFC0501</t>
        </is>
      </c>
      <c r="B126" t="inlineStr">
        <is>
          <t>LFC0501</t>
        </is>
      </c>
      <c r="C126" t="inlineStr">
        <is>
          <t>CAPERNAUM</t>
        </is>
      </c>
      <c r="D126" t="inlineStr">
        <is>
          <t>Y</t>
        </is>
      </c>
      <c r="E126" t="inlineStr">
        <is>
          <t>Y</t>
        </is>
      </c>
      <c r="F126" t="inlineStr">
        <is>
          <t>1</t>
        </is>
      </c>
      <c r="G126" t="inlineStr">
        <is>
          <t>38, RAJI OBA STREET, ALIMOSHO</t>
        </is>
      </c>
      <c r="H126" t="inlineStr">
        <is>
          <t>Existing</t>
        </is>
      </c>
      <c r="I126" t="inlineStr">
        <is>
          <t>N</t>
        </is>
      </c>
    </row>
    <row r="127">
      <c r="A127" t="inlineStr">
        <is>
          <t>LFC0502</t>
        </is>
      </c>
      <c r="B127" t="inlineStr">
        <is>
          <t>LFC0502</t>
        </is>
      </c>
      <c r="C127" t="inlineStr">
        <is>
          <t>CAPERNAUM</t>
        </is>
      </c>
      <c r="D127" t="inlineStr">
        <is>
          <t>N</t>
        </is>
      </c>
      <c r="E127" t="inlineStr">
        <is>
          <t>Y</t>
        </is>
      </c>
      <c r="F127" t="inlineStr">
        <is>
          <t>2</t>
        </is>
      </c>
      <c r="G127" t="inlineStr">
        <is>
          <t>33, ALHAJA RAMOTA STREET, EGBEDA</t>
        </is>
      </c>
      <c r="H127" t="inlineStr">
        <is>
          <t>Existing</t>
        </is>
      </c>
      <c r="I127" t="inlineStr">
        <is>
          <t>N</t>
        </is>
      </c>
    </row>
    <row r="128">
      <c r="A128" t="inlineStr">
        <is>
          <t>LFC0503</t>
        </is>
      </c>
      <c r="B128" t="inlineStr">
        <is>
          <t>LFC0503</t>
        </is>
      </c>
      <c r="C128" t="inlineStr">
        <is>
          <t>CAPERNAUM</t>
        </is>
      </c>
      <c r="D128" t="inlineStr">
        <is>
          <t>N</t>
        </is>
      </c>
      <c r="E128" t="inlineStr">
        <is>
          <t>Y</t>
        </is>
      </c>
      <c r="F128" t="inlineStr">
        <is>
          <t>4</t>
        </is>
      </c>
      <c r="G128" t="inlineStr">
        <is>
          <t>6, OGOLUWA STR, ALIMOSHO OFF PAKO B/STOP, AKOWONJO</t>
        </is>
      </c>
      <c r="H128" t="inlineStr">
        <is>
          <t>Existing</t>
        </is>
      </c>
      <c r="I128" t="inlineStr">
        <is>
          <t>N</t>
        </is>
      </c>
    </row>
    <row r="129">
      <c r="A129" t="inlineStr">
        <is>
          <t>LFC0504</t>
        </is>
      </c>
      <c r="B129" t="inlineStr">
        <is>
          <t>LFC0504</t>
        </is>
      </c>
      <c r="C129" t="inlineStr">
        <is>
          <t>CAPERNAUM</t>
        </is>
      </c>
      <c r="D129" t="inlineStr">
        <is>
          <t>N</t>
        </is>
      </c>
      <c r="E129" t="inlineStr">
        <is>
          <t>Y</t>
        </is>
      </c>
      <c r="F129" t="inlineStr">
        <is>
          <t>5</t>
        </is>
      </c>
      <c r="G129" t="inlineStr">
        <is>
          <t>12, SOLOMON BANKOLE STREET, AKOWONJO, LAGOS</t>
        </is>
      </c>
      <c r="H129" t="inlineStr">
        <is>
          <t>Existing</t>
        </is>
      </c>
      <c r="I129" t="inlineStr">
        <is>
          <t>N</t>
        </is>
      </c>
    </row>
    <row r="130">
      <c r="A130" t="inlineStr">
        <is>
          <t>LFC0505</t>
        </is>
      </c>
      <c r="B130" t="inlineStr">
        <is>
          <t>LFC0505</t>
        </is>
      </c>
      <c r="C130" t="inlineStr">
        <is>
          <t>CAPERNAUM</t>
        </is>
      </c>
      <c r="D130" t="inlineStr">
        <is>
          <t>N</t>
        </is>
      </c>
      <c r="E130" t="inlineStr">
        <is>
          <t>Y</t>
        </is>
      </c>
      <c r="F130" t="inlineStr">
        <is>
          <t>6</t>
        </is>
      </c>
      <c r="G130" t="inlineStr">
        <is>
          <t>7/9, MARKET LINK CLOSE, AKOWONJO, LAGOS</t>
        </is>
      </c>
      <c r="H130" t="inlineStr">
        <is>
          <t>Existing</t>
        </is>
      </c>
      <c r="I130" t="inlineStr">
        <is>
          <t>N</t>
        </is>
      </c>
    </row>
    <row r="131">
      <c r="A131" t="inlineStr">
        <is>
          <t>LFC0506</t>
        </is>
      </c>
      <c r="B131" t="inlineStr">
        <is>
          <t>LFC0506</t>
        </is>
      </c>
      <c r="C131" t="inlineStr">
        <is>
          <t>CAPERNAUM</t>
        </is>
      </c>
      <c r="D131" t="inlineStr">
        <is>
          <t>Y</t>
        </is>
      </c>
      <c r="E131" t="inlineStr">
        <is>
          <t>Y</t>
        </is>
      </c>
      <c r="F131" t="inlineStr">
        <is>
          <t>7</t>
        </is>
      </c>
      <c r="G131" t="inlineStr">
        <is>
          <t>16, OKE STREET, AKOWONJO, LAGOS</t>
        </is>
      </c>
      <c r="H131" t="inlineStr">
        <is>
          <t>Existing</t>
        </is>
      </c>
      <c r="I131" t="inlineStr">
        <is>
          <t>N</t>
        </is>
      </c>
    </row>
    <row r="132">
      <c r="A132" t="inlineStr">
        <is>
          <t>LFC0507</t>
        </is>
      </c>
      <c r="B132" t="inlineStr">
        <is>
          <t>LFC0507</t>
        </is>
      </c>
      <c r="C132" t="inlineStr">
        <is>
          <t>CAPERNAUM</t>
        </is>
      </c>
      <c r="D132" t="inlineStr">
        <is>
          <t>N</t>
        </is>
      </c>
      <c r="E132" t="inlineStr">
        <is>
          <t>Y</t>
        </is>
      </c>
      <c r="F132" t="inlineStr">
        <is>
          <t>8</t>
        </is>
      </c>
      <c r="G132" t="inlineStr">
        <is>
          <t>8, AYINLA AKINSOLA STREET, IYANA IPAJA</t>
        </is>
      </c>
      <c r="H132" t="inlineStr">
        <is>
          <t>Existing</t>
        </is>
      </c>
      <c r="I132" t="inlineStr">
        <is>
          <t>N</t>
        </is>
      </c>
    </row>
    <row r="133">
      <c r="A133" t="inlineStr">
        <is>
          <t>LFC0508</t>
        </is>
      </c>
      <c r="B133" t="inlineStr">
        <is>
          <t>LFC0508</t>
        </is>
      </c>
      <c r="C133" t="inlineStr">
        <is>
          <t>CAPERNAUM</t>
        </is>
      </c>
      <c r="D133" t="inlineStr">
        <is>
          <t>Y</t>
        </is>
      </c>
      <c r="E133" t="inlineStr">
        <is>
          <t>Y</t>
        </is>
      </c>
      <c r="F133" t="inlineStr">
        <is>
          <t>9</t>
        </is>
      </c>
      <c r="G133" t="inlineStr">
        <is>
          <t>32, OGUN STREET, IYANA IPAJA</t>
        </is>
      </c>
      <c r="H133" t="inlineStr">
        <is>
          <t>Existing</t>
        </is>
      </c>
      <c r="I133" t="inlineStr">
        <is>
          <t>N</t>
        </is>
      </c>
    </row>
    <row r="134">
      <c r="A134" t="inlineStr">
        <is>
          <t>LFC0509</t>
        </is>
      </c>
      <c r="B134" t="inlineStr">
        <is>
          <t>LFC0509</t>
        </is>
      </c>
      <c r="C134" t="inlineStr">
        <is>
          <t>CAPERNAUM</t>
        </is>
      </c>
      <c r="D134" t="inlineStr">
        <is>
          <t>N</t>
        </is>
      </c>
      <c r="E134" t="inlineStr">
        <is>
          <t>Y</t>
        </is>
      </c>
      <c r="F134" t="inlineStr">
        <is>
          <t>10</t>
        </is>
      </c>
      <c r="G134" t="inlineStr">
        <is>
          <t>3, ADEBOUN STREET, IYANA IPAJA</t>
        </is>
      </c>
      <c r="H134" t="inlineStr">
        <is>
          <t>Existing</t>
        </is>
      </c>
      <c r="I134" t="inlineStr">
        <is>
          <t>N</t>
        </is>
      </c>
    </row>
    <row r="135">
      <c r="A135" t="inlineStr">
        <is>
          <t>LFC0510</t>
        </is>
      </c>
      <c r="B135" t="inlineStr">
        <is>
          <t>LFC0510</t>
        </is>
      </c>
      <c r="C135" t="inlineStr">
        <is>
          <t>CAPERNAUM</t>
        </is>
      </c>
      <c r="D135" t="inlineStr">
        <is>
          <t>N</t>
        </is>
      </c>
      <c r="E135" t="inlineStr">
        <is>
          <t>Y</t>
        </is>
      </c>
      <c r="F135" t="inlineStr">
        <is>
          <t>12</t>
        </is>
      </c>
      <c r="G135" t="inlineStr">
        <is>
          <t>3/5 AWORI STREET, AKIOGUN B/S</t>
        </is>
      </c>
      <c r="H135" t="inlineStr">
        <is>
          <t>Existing</t>
        </is>
      </c>
      <c r="I135" t="inlineStr">
        <is>
          <t>N</t>
        </is>
      </c>
    </row>
    <row r="136">
      <c r="A136" t="inlineStr">
        <is>
          <t>LFC0511</t>
        </is>
      </c>
      <c r="B136" t="inlineStr">
        <is>
          <t>LFC0511</t>
        </is>
      </c>
      <c r="C136" t="inlineStr">
        <is>
          <t>CAPERNAUM</t>
        </is>
      </c>
      <c r="D136" t="inlineStr">
        <is>
          <t>Y</t>
        </is>
      </c>
      <c r="E136" t="inlineStr">
        <is>
          <t>Y</t>
        </is>
      </c>
      <c r="F136" t="inlineStr">
        <is>
          <t>13</t>
        </is>
      </c>
      <c r="G136" t="inlineStr">
        <is>
          <t>1, ADMAK CLOSE, WATER B/STOP MOSAN, IPAJA</t>
        </is>
      </c>
      <c r="H136" t="inlineStr">
        <is>
          <t>Existing</t>
        </is>
      </c>
      <c r="I136" t="inlineStr">
        <is>
          <t>N</t>
        </is>
      </c>
    </row>
    <row r="137">
      <c r="A137" t="inlineStr">
        <is>
          <t>LFC0512</t>
        </is>
      </c>
      <c r="B137" t="inlineStr">
        <is>
          <t>LFC0512</t>
        </is>
      </c>
      <c r="C137" t="inlineStr">
        <is>
          <t>CAPERNAUM</t>
        </is>
      </c>
      <c r="D137" t="inlineStr"/>
      <c r="E137" t="inlineStr">
        <is>
          <t>Y</t>
        </is>
      </c>
      <c r="F137" t="inlineStr">
        <is>
          <t>14</t>
        </is>
      </c>
      <c r="G137" t="inlineStr">
        <is>
          <t>PLOT 4 BS STREET, SHAGARI ESTATE, MOSAN IPAJA</t>
        </is>
      </c>
      <c r="H137" t="inlineStr">
        <is>
          <t>Existing</t>
        </is>
      </c>
      <c r="I137" t="inlineStr"/>
    </row>
    <row r="138">
      <c r="A138" t="inlineStr">
        <is>
          <t>LFC0513</t>
        </is>
      </c>
      <c r="B138" t="inlineStr">
        <is>
          <t>LFC0513</t>
        </is>
      </c>
      <c r="C138" t="inlineStr">
        <is>
          <t>CAPERNAUM</t>
        </is>
      </c>
      <c r="D138" t="inlineStr">
        <is>
          <t>Y</t>
        </is>
      </c>
      <c r="E138" t="inlineStr">
        <is>
          <t>Y</t>
        </is>
      </c>
      <c r="F138" t="inlineStr">
        <is>
          <t>13</t>
        </is>
      </c>
      <c r="G138" t="inlineStr">
        <is>
          <t>1,ADMAK CLOSE,WATER B/STOP MOSAN IPAJA</t>
        </is>
      </c>
      <c r="H138" t="inlineStr">
        <is>
          <t>From reporting system</t>
        </is>
      </c>
      <c r="I138" t="inlineStr">
        <is>
          <t>N</t>
        </is>
      </c>
    </row>
    <row r="139">
      <c r="A139" t="inlineStr">
        <is>
          <t>LFC0515</t>
        </is>
      </c>
      <c r="B139" t="inlineStr">
        <is>
          <t>LFC0515</t>
        </is>
      </c>
      <c r="C139" t="inlineStr">
        <is>
          <t>CAPERNAUM</t>
        </is>
      </c>
      <c r="D139" t="inlineStr">
        <is>
          <t>N</t>
        </is>
      </c>
      <c r="E139" t="inlineStr">
        <is>
          <t>Y</t>
        </is>
      </c>
      <c r="F139" t="inlineStr">
        <is>
          <t>15</t>
        </is>
      </c>
      <c r="G139" t="inlineStr">
        <is>
          <t>AA10 SHAGARI ESTATE MOSAN IPAJA</t>
        </is>
      </c>
      <c r="H139" t="inlineStr">
        <is>
          <t>From reporting system</t>
        </is>
      </c>
      <c r="I139" t="inlineStr">
        <is>
          <t>N</t>
        </is>
      </c>
    </row>
    <row r="140">
      <c r="A140" t="inlineStr">
        <is>
          <t>LFC0520</t>
        </is>
      </c>
      <c r="B140" t="inlineStr">
        <is>
          <t>LFC0520</t>
        </is>
      </c>
      <c r="C140" t="inlineStr">
        <is>
          <t>CAPERNAUM</t>
        </is>
      </c>
      <c r="D140" t="inlineStr"/>
      <c r="E140" t="inlineStr">
        <is>
          <t>Y</t>
        </is>
      </c>
      <c r="F140" t="inlineStr">
        <is>
          <t>11</t>
        </is>
      </c>
      <c r="G140" t="inlineStr">
        <is>
          <t>1, ALHAJI SEKONI STREET, IYANA IPAJA</t>
        </is>
      </c>
      <c r="H140" t="inlineStr">
        <is>
          <t>Existing</t>
        </is>
      </c>
      <c r="I140" t="inlineStr"/>
    </row>
    <row r="141">
      <c r="A141" t="inlineStr">
        <is>
          <t>LFC0521</t>
        </is>
      </c>
      <c r="B141" t="inlineStr">
        <is>
          <t>LFC0521</t>
        </is>
      </c>
      <c r="C141" t="inlineStr">
        <is>
          <t>CAPERNAUM</t>
        </is>
      </c>
      <c r="D141" t="inlineStr"/>
      <c r="E141" t="inlineStr">
        <is>
          <t>Y</t>
        </is>
      </c>
      <c r="F141" t="inlineStr">
        <is>
          <t>3</t>
        </is>
      </c>
      <c r="G141" t="inlineStr">
        <is>
          <t>2, AMODU CLOSE ALIMOSHO</t>
        </is>
      </c>
      <c r="H141" t="inlineStr">
        <is>
          <t>Existing</t>
        </is>
      </c>
      <c r="I141" t="inlineStr"/>
    </row>
    <row r="142">
      <c r="A142" t="inlineStr">
        <is>
          <t>LFC0522</t>
        </is>
      </c>
      <c r="B142" t="inlineStr">
        <is>
          <t>LFC0522</t>
        </is>
      </c>
      <c r="C142" t="inlineStr">
        <is>
          <t>CAPERNAUM</t>
        </is>
      </c>
      <c r="D142" t="inlineStr"/>
      <c r="E142" t="inlineStr">
        <is>
          <t>Y</t>
        </is>
      </c>
      <c r="F142" t="inlineStr">
        <is>
          <t>15</t>
        </is>
      </c>
      <c r="G142" t="inlineStr">
        <is>
          <t>AA10 SHAGARI ESTATE, MOSAN IPAJA</t>
        </is>
      </c>
      <c r="H142" t="inlineStr">
        <is>
          <t>Existing</t>
        </is>
      </c>
      <c r="I142" t="inlineStr"/>
    </row>
    <row r="143">
      <c r="A143" t="inlineStr">
        <is>
          <t>LFC0601</t>
        </is>
      </c>
      <c r="B143" t="inlineStr">
        <is>
          <t>LFC0601</t>
        </is>
      </c>
      <c r="C143" t="inlineStr">
        <is>
          <t>NAZARETH</t>
        </is>
      </c>
      <c r="D143" t="inlineStr">
        <is>
          <t>Y</t>
        </is>
      </c>
      <c r="E143" t="inlineStr">
        <is>
          <t>Y</t>
        </is>
      </c>
      <c r="F143" t="inlineStr">
        <is>
          <t>1</t>
        </is>
      </c>
      <c r="G143" t="inlineStr">
        <is>
          <t>DF 24 SHAGARI ESTATE MOSAN(NAZARETH)</t>
        </is>
      </c>
      <c r="H143" t="inlineStr">
        <is>
          <t>Existing</t>
        </is>
      </c>
      <c r="I143" t="inlineStr">
        <is>
          <t>N</t>
        </is>
      </c>
    </row>
    <row r="144">
      <c r="A144" t="inlineStr">
        <is>
          <t>LFC0602</t>
        </is>
      </c>
      <c r="B144" t="inlineStr">
        <is>
          <t>LFC0602</t>
        </is>
      </c>
      <c r="C144" t="inlineStr">
        <is>
          <t>NAZARETH</t>
        </is>
      </c>
      <c r="D144" t="inlineStr">
        <is>
          <t>Y</t>
        </is>
      </c>
      <c r="E144" t="inlineStr">
        <is>
          <t>Y</t>
        </is>
      </c>
      <c r="F144" t="inlineStr">
        <is>
          <t>2</t>
        </is>
      </c>
      <c r="G144" t="inlineStr">
        <is>
          <t>5 AKEULA STREET MOSAN IPAJA LAGOS</t>
        </is>
      </c>
      <c r="H144" t="inlineStr">
        <is>
          <t>Existing</t>
        </is>
      </c>
      <c r="I144" t="inlineStr">
        <is>
          <t>N</t>
        </is>
      </c>
    </row>
    <row r="145">
      <c r="A145" t="inlineStr">
        <is>
          <t>LFC0603</t>
        </is>
      </c>
      <c r="B145" t="inlineStr">
        <is>
          <t>LFC0603</t>
        </is>
      </c>
      <c r="C145" t="inlineStr">
        <is>
          <t>NAZARETH</t>
        </is>
      </c>
      <c r="D145" t="inlineStr">
        <is>
          <t>Y</t>
        </is>
      </c>
      <c r="E145" t="inlineStr">
        <is>
          <t>Y</t>
        </is>
      </c>
      <c r="F145" t="inlineStr">
        <is>
          <t>3</t>
        </is>
      </c>
      <c r="G145" t="inlineStr">
        <is>
          <t>DH 4 SHAGARI ESTATE,MOSAN</t>
        </is>
      </c>
      <c r="H145" t="inlineStr">
        <is>
          <t>Existing</t>
        </is>
      </c>
      <c r="I145" t="inlineStr">
        <is>
          <t>N</t>
        </is>
      </c>
    </row>
    <row r="146">
      <c r="A146" t="inlineStr">
        <is>
          <t>LFC0604</t>
        </is>
      </c>
      <c r="B146" t="inlineStr">
        <is>
          <t>LFC0604</t>
        </is>
      </c>
      <c r="C146" t="inlineStr">
        <is>
          <t>NAZARETH</t>
        </is>
      </c>
      <c r="D146" t="inlineStr">
        <is>
          <t>Y</t>
        </is>
      </c>
      <c r="E146" t="inlineStr">
        <is>
          <t>Y</t>
        </is>
      </c>
      <c r="F146" t="inlineStr">
        <is>
          <t>4</t>
        </is>
      </c>
      <c r="G146" t="inlineStr">
        <is>
          <t>C9 SHAGARI ESTATE,MOSAN</t>
        </is>
      </c>
      <c r="H146" t="inlineStr">
        <is>
          <t>Existing</t>
        </is>
      </c>
      <c r="I146" t="inlineStr">
        <is>
          <t>N</t>
        </is>
      </c>
    </row>
    <row r="147">
      <c r="A147" t="inlineStr">
        <is>
          <t>LFC0605</t>
        </is>
      </c>
      <c r="B147" t="inlineStr">
        <is>
          <t>LFC0605</t>
        </is>
      </c>
      <c r="C147" t="inlineStr">
        <is>
          <t>NAZARETH</t>
        </is>
      </c>
      <c r="D147" t="inlineStr">
        <is>
          <t>N</t>
        </is>
      </c>
      <c r="E147" t="inlineStr">
        <is>
          <t>Y</t>
        </is>
      </c>
      <c r="F147" t="inlineStr">
        <is>
          <t>5</t>
        </is>
      </c>
      <c r="G147" t="inlineStr">
        <is>
          <t>DD6,SHAGARI ESTATE,MOSAN</t>
        </is>
      </c>
      <c r="H147" t="inlineStr">
        <is>
          <t>Existing</t>
        </is>
      </c>
      <c r="I147" t="inlineStr">
        <is>
          <t>N</t>
        </is>
      </c>
    </row>
    <row r="148">
      <c r="A148" t="inlineStr">
        <is>
          <t>LFC0606</t>
        </is>
      </c>
      <c r="B148" t="inlineStr">
        <is>
          <t>LFC0606</t>
        </is>
      </c>
      <c r="C148" t="inlineStr">
        <is>
          <t>NAZARETH</t>
        </is>
      </c>
      <c r="D148" t="inlineStr">
        <is>
          <t>N</t>
        </is>
      </c>
      <c r="E148" t="inlineStr">
        <is>
          <t>Y</t>
        </is>
      </c>
      <c r="F148" t="inlineStr">
        <is>
          <t>6</t>
        </is>
      </c>
      <c r="G148" t="inlineStr">
        <is>
          <t>DC16,SHAGARI ESTATE MOSAN</t>
        </is>
      </c>
      <c r="H148" t="inlineStr">
        <is>
          <t>Existing</t>
        </is>
      </c>
      <c r="I148" t="inlineStr">
        <is>
          <t>N</t>
        </is>
      </c>
    </row>
    <row r="149">
      <c r="A149" t="inlineStr">
        <is>
          <t>LFC0607</t>
        </is>
      </c>
      <c r="B149" t="inlineStr">
        <is>
          <t>LFC0607</t>
        </is>
      </c>
      <c r="C149" t="inlineStr">
        <is>
          <t>NAZARETH</t>
        </is>
      </c>
      <c r="D149" t="inlineStr">
        <is>
          <t>N</t>
        </is>
      </c>
      <c r="E149" t="inlineStr">
        <is>
          <t>Y</t>
        </is>
      </c>
      <c r="F149" t="inlineStr">
        <is>
          <t>7</t>
        </is>
      </c>
      <c r="G149" t="inlineStr">
        <is>
          <t>DB 45 SHAGARI ESTATE,MOSAN</t>
        </is>
      </c>
      <c r="H149" t="inlineStr">
        <is>
          <t>Existing</t>
        </is>
      </c>
      <c r="I149" t="inlineStr">
        <is>
          <t>N</t>
        </is>
      </c>
    </row>
    <row r="150">
      <c r="A150" t="inlineStr">
        <is>
          <t>LFC0608</t>
        </is>
      </c>
      <c r="B150" t="inlineStr">
        <is>
          <t>LFC0608</t>
        </is>
      </c>
      <c r="C150" t="inlineStr">
        <is>
          <t>NAZARETH</t>
        </is>
      </c>
      <c r="D150" t="inlineStr">
        <is>
          <t>N</t>
        </is>
      </c>
      <c r="E150" t="inlineStr">
        <is>
          <t>Y</t>
        </is>
      </c>
      <c r="F150" t="inlineStr">
        <is>
          <t>8</t>
        </is>
      </c>
      <c r="G150" t="inlineStr">
        <is>
          <t>BH 26,SHAGARI ESTATE,MONSAN</t>
        </is>
      </c>
      <c r="H150" t="inlineStr">
        <is>
          <t>Existing</t>
        </is>
      </c>
      <c r="I150" t="inlineStr">
        <is>
          <t>N</t>
        </is>
      </c>
    </row>
    <row r="151">
      <c r="A151" t="inlineStr">
        <is>
          <t>LFC0609</t>
        </is>
      </c>
      <c r="B151" t="inlineStr">
        <is>
          <t>LFC0609</t>
        </is>
      </c>
      <c r="C151" t="inlineStr">
        <is>
          <t>NAZARETH</t>
        </is>
      </c>
      <c r="D151" t="inlineStr">
        <is>
          <t>N</t>
        </is>
      </c>
      <c r="E151" t="inlineStr">
        <is>
          <t>Y</t>
        </is>
      </c>
      <c r="F151" t="inlineStr">
        <is>
          <t>9</t>
        </is>
      </c>
      <c r="G151" t="inlineStr">
        <is>
          <t>PLOT 4 BS STREET,SHAGARI ESTATE, MOSAN IPAJA</t>
        </is>
      </c>
      <c r="H151" t="inlineStr">
        <is>
          <t>From reporting system</t>
        </is>
      </c>
      <c r="I151" t="inlineStr">
        <is>
          <t>N</t>
        </is>
      </c>
    </row>
    <row r="152">
      <c r="A152" t="inlineStr">
        <is>
          <t>LFC0610</t>
        </is>
      </c>
      <c r="B152" t="inlineStr">
        <is>
          <t>LFC0610</t>
        </is>
      </c>
      <c r="C152" t="inlineStr">
        <is>
          <t>NAZARETH</t>
        </is>
      </c>
      <c r="D152" t="inlineStr">
        <is>
          <t>Y</t>
        </is>
      </c>
      <c r="E152" t="inlineStr">
        <is>
          <t>Y</t>
        </is>
      </c>
      <c r="F152" t="inlineStr">
        <is>
          <t>10</t>
        </is>
      </c>
      <c r="G152" t="inlineStr">
        <is>
          <t>3/5 AWORI STREET,AKIOGUN B/S</t>
        </is>
      </c>
      <c r="H152" t="inlineStr">
        <is>
          <t>From reporting system</t>
        </is>
      </c>
      <c r="I152" t="inlineStr">
        <is>
          <t>N</t>
        </is>
      </c>
    </row>
    <row r="153">
      <c r="A153" t="inlineStr">
        <is>
          <t>LFC0621</t>
        </is>
      </c>
      <c r="B153" t="inlineStr">
        <is>
          <t>LFC0621</t>
        </is>
      </c>
      <c r="C153" t="inlineStr">
        <is>
          <t>NAZARETH</t>
        </is>
      </c>
      <c r="D153" t="inlineStr">
        <is>
          <t>N</t>
        </is>
      </c>
      <c r="E153" t="inlineStr">
        <is>
          <t>Y</t>
        </is>
      </c>
      <c r="F153" t="inlineStr">
        <is>
          <t>21</t>
        </is>
      </c>
      <c r="G153" t="inlineStr">
        <is>
          <t>NO 8 TOWN PLANNING</t>
        </is>
      </c>
      <c r="H153" t="inlineStr">
        <is>
          <t>From reporting system</t>
        </is>
      </c>
      <c r="I153" t="inlineStr">
        <is>
          <t>N</t>
        </is>
      </c>
    </row>
    <row r="154">
      <c r="A154" t="inlineStr">
        <is>
          <t>LFC0701</t>
        </is>
      </c>
      <c r="B154" t="inlineStr">
        <is>
          <t>LFC0701</t>
        </is>
      </c>
      <c r="C154" t="inlineStr">
        <is>
          <t>GOWON ESTATE</t>
        </is>
      </c>
      <c r="D154" t="inlineStr">
        <is>
          <t>Y</t>
        </is>
      </c>
      <c r="E154" t="inlineStr">
        <is>
          <t>Y</t>
        </is>
      </c>
      <c r="F154" t="inlineStr">
        <is>
          <t>1</t>
        </is>
      </c>
      <c r="G154" t="inlineStr">
        <is>
          <t>FAITH ACADEMY 21 RD GOWON ESTATE</t>
        </is>
      </c>
      <c r="H154" t="inlineStr">
        <is>
          <t>Existing</t>
        </is>
      </c>
      <c r="I154" t="inlineStr">
        <is>
          <t>N</t>
        </is>
      </c>
    </row>
    <row r="155">
      <c r="A155" t="inlineStr">
        <is>
          <t>LFC0702</t>
        </is>
      </c>
      <c r="B155" t="inlineStr">
        <is>
          <t>LFC0702</t>
        </is>
      </c>
      <c r="C155" t="inlineStr">
        <is>
          <t>GOWON ESTATE</t>
        </is>
      </c>
      <c r="D155" t="inlineStr">
        <is>
          <t>Y</t>
        </is>
      </c>
      <c r="E155" t="inlineStr">
        <is>
          <t>Y</t>
        </is>
      </c>
      <c r="F155" t="inlineStr">
        <is>
          <t>2</t>
        </is>
      </c>
      <c r="G155" t="inlineStr">
        <is>
          <t>PLOT 459 41 RD OPP. PALM VILLE GOWON ESTATE.</t>
        </is>
      </c>
      <c r="H155" t="inlineStr">
        <is>
          <t>Existing</t>
        </is>
      </c>
      <c r="I155" t="inlineStr">
        <is>
          <t>N</t>
        </is>
      </c>
    </row>
    <row r="156">
      <c r="A156" t="inlineStr">
        <is>
          <t>LFC0703</t>
        </is>
      </c>
      <c r="B156" t="inlineStr">
        <is>
          <t>LFC0703</t>
        </is>
      </c>
      <c r="C156" t="inlineStr">
        <is>
          <t>GOWON ESTATE</t>
        </is>
      </c>
      <c r="D156" t="inlineStr">
        <is>
          <t>N</t>
        </is>
      </c>
      <c r="E156" t="inlineStr">
        <is>
          <t>Y</t>
        </is>
      </c>
      <c r="F156" t="inlineStr">
        <is>
          <t>3</t>
        </is>
      </c>
      <c r="G156" t="inlineStr">
        <is>
          <t>PLOT 358 12TH ROAD, SAMETI PRY. SCH. GOWON ESTATE</t>
        </is>
      </c>
      <c r="H156" t="inlineStr">
        <is>
          <t>Existing</t>
        </is>
      </c>
      <c r="I156" t="inlineStr">
        <is>
          <t>N</t>
        </is>
      </c>
    </row>
    <row r="157">
      <c r="A157" t="inlineStr">
        <is>
          <t>LFC0704</t>
        </is>
      </c>
      <c r="B157" t="inlineStr">
        <is>
          <t>LFC0704</t>
        </is>
      </c>
      <c r="C157" t="inlineStr">
        <is>
          <t>GOWON ESTATE</t>
        </is>
      </c>
      <c r="D157" t="inlineStr">
        <is>
          <t>Y</t>
        </is>
      </c>
      <c r="E157" t="inlineStr">
        <is>
          <t>Y</t>
        </is>
      </c>
      <c r="F157" t="inlineStr">
        <is>
          <t>4</t>
        </is>
      </c>
      <c r="G157" t="inlineStr">
        <is>
          <t>PLOT 297, 331 ROAD, I CLOSE, GOWON ESTATE</t>
        </is>
      </c>
      <c r="H157" t="inlineStr">
        <is>
          <t>Existing</t>
        </is>
      </c>
      <c r="I157" t="inlineStr">
        <is>
          <t>N</t>
        </is>
      </c>
    </row>
    <row r="158">
      <c r="A158" t="inlineStr">
        <is>
          <t>LFC0705</t>
        </is>
      </c>
      <c r="B158" t="inlineStr">
        <is>
          <t>LFC0705</t>
        </is>
      </c>
      <c r="C158" t="inlineStr">
        <is>
          <t>GOWON ESTATE</t>
        </is>
      </c>
      <c r="D158" t="inlineStr">
        <is>
          <t>N</t>
        </is>
      </c>
      <c r="E158" t="inlineStr">
        <is>
          <t>Y</t>
        </is>
      </c>
      <c r="F158" t="inlineStr">
        <is>
          <t>5</t>
        </is>
      </c>
      <c r="G158" t="inlineStr">
        <is>
          <t>HOUSE 52 A CLOSE 52 ROAD GOWON ESTATE</t>
        </is>
      </c>
      <c r="H158" t="inlineStr">
        <is>
          <t>Existing</t>
        </is>
      </c>
      <c r="I158" t="inlineStr">
        <is>
          <t>N</t>
        </is>
      </c>
    </row>
    <row r="159">
      <c r="A159" t="inlineStr">
        <is>
          <t>LFC0706</t>
        </is>
      </c>
      <c r="B159" t="inlineStr">
        <is>
          <t>LFC0706</t>
        </is>
      </c>
      <c r="C159" t="inlineStr">
        <is>
          <t>GOWON ESTATE</t>
        </is>
      </c>
      <c r="D159" t="inlineStr">
        <is>
          <t>Y</t>
        </is>
      </c>
      <c r="E159" t="inlineStr">
        <is>
          <t>Y</t>
        </is>
      </c>
      <c r="F159" t="inlineStr">
        <is>
          <t>6</t>
        </is>
      </c>
      <c r="G159" t="inlineStr">
        <is>
          <t>BLOCK 341A,ABESAN ESTATE</t>
        </is>
      </c>
      <c r="H159" t="inlineStr">
        <is>
          <t>Existing</t>
        </is>
      </c>
      <c r="I159" t="inlineStr">
        <is>
          <t>N</t>
        </is>
      </c>
    </row>
    <row r="160">
      <c r="A160" t="inlineStr">
        <is>
          <t>LFC0707</t>
        </is>
      </c>
      <c r="B160" t="inlineStr">
        <is>
          <t>LFC0707</t>
        </is>
      </c>
      <c r="C160" t="inlineStr">
        <is>
          <t>GOWON ESTATE</t>
        </is>
      </c>
      <c r="D160" t="inlineStr">
        <is>
          <t>Y</t>
        </is>
      </c>
      <c r="E160" t="inlineStr">
        <is>
          <t>Y</t>
        </is>
      </c>
      <c r="F160" t="inlineStr">
        <is>
          <t>7</t>
        </is>
      </c>
      <c r="G160" t="inlineStr">
        <is>
          <t>25/27 YUSUF STREET, OPEKI</t>
        </is>
      </c>
      <c r="H160" t="inlineStr">
        <is>
          <t>Existing</t>
        </is>
      </c>
      <c r="I160" t="inlineStr">
        <is>
          <t>N</t>
        </is>
      </c>
    </row>
    <row r="161">
      <c r="A161" t="inlineStr">
        <is>
          <t>LFC0708</t>
        </is>
      </c>
      <c r="B161" t="inlineStr">
        <is>
          <t>LFC0708</t>
        </is>
      </c>
      <c r="C161" t="inlineStr">
        <is>
          <t>GOWON ESTATE</t>
        </is>
      </c>
      <c r="D161" t="inlineStr">
        <is>
          <t>N</t>
        </is>
      </c>
      <c r="E161" t="inlineStr">
        <is>
          <t>Y</t>
        </is>
      </c>
      <c r="F161" t="inlineStr">
        <is>
          <t>8</t>
        </is>
      </c>
      <c r="G161" t="inlineStr">
        <is>
          <t>FERSCOAT PRY SCHOOL, OLUDE</t>
        </is>
      </c>
      <c r="H161" t="inlineStr">
        <is>
          <t>Existing</t>
        </is>
      </c>
      <c r="I161" t="inlineStr">
        <is>
          <t>N</t>
        </is>
      </c>
    </row>
    <row r="162">
      <c r="A162" t="inlineStr">
        <is>
          <t>LFC0709</t>
        </is>
      </c>
      <c r="B162" t="inlineStr">
        <is>
          <t>LFC0709</t>
        </is>
      </c>
      <c r="C162" t="inlineStr">
        <is>
          <t>GOWON ESTATE</t>
        </is>
      </c>
      <c r="D162" t="inlineStr">
        <is>
          <t>Y</t>
        </is>
      </c>
      <c r="E162" t="inlineStr">
        <is>
          <t>Y</t>
        </is>
      </c>
      <c r="F162" t="inlineStr">
        <is>
          <t>9</t>
        </is>
      </c>
      <c r="G162" t="inlineStr">
        <is>
          <t>10, OLU ADENIRAN SCHOOL</t>
        </is>
      </c>
      <c r="H162" t="inlineStr">
        <is>
          <t>Existing</t>
        </is>
      </c>
      <c r="I162" t="inlineStr">
        <is>
          <t>N</t>
        </is>
      </c>
    </row>
    <row r="163">
      <c r="A163" t="inlineStr">
        <is>
          <t>LFC0710</t>
        </is>
      </c>
      <c r="B163" t="inlineStr">
        <is>
          <t>LFC0710</t>
        </is>
      </c>
      <c r="C163" t="inlineStr">
        <is>
          <t>GOWON ESTATE</t>
        </is>
      </c>
      <c r="D163" t="inlineStr">
        <is>
          <t>Y</t>
        </is>
      </c>
      <c r="E163" t="inlineStr">
        <is>
          <t>Y</t>
        </is>
      </c>
      <c r="F163" t="inlineStr">
        <is>
          <t>10</t>
        </is>
      </c>
      <c r="G163" t="inlineStr">
        <is>
          <t>10,ABIMBOLA FAGBO STREET,ABESAN</t>
        </is>
      </c>
      <c r="H163" t="inlineStr">
        <is>
          <t>Existing</t>
        </is>
      </c>
      <c r="I163" t="inlineStr">
        <is>
          <t>N</t>
        </is>
      </c>
    </row>
    <row r="164">
      <c r="A164" t="inlineStr">
        <is>
          <t>LFC0711</t>
        </is>
      </c>
      <c r="B164" t="inlineStr">
        <is>
          <t>LFC0711</t>
        </is>
      </c>
      <c r="C164" t="inlineStr">
        <is>
          <t>GOWON ESTATE</t>
        </is>
      </c>
      <c r="D164" t="inlineStr">
        <is>
          <t>N</t>
        </is>
      </c>
      <c r="E164" t="inlineStr">
        <is>
          <t>Y</t>
        </is>
      </c>
      <c r="F164" t="inlineStr">
        <is>
          <t>11</t>
        </is>
      </c>
      <c r="G164" t="inlineStr">
        <is>
          <t>57,FMWH 4TH AVENUE,ABESAN ESTATE</t>
        </is>
      </c>
      <c r="H164" t="inlineStr">
        <is>
          <t>Existing</t>
        </is>
      </c>
      <c r="I164" t="inlineStr">
        <is>
          <t>N</t>
        </is>
      </c>
    </row>
    <row r="165">
      <c r="A165" t="inlineStr">
        <is>
          <t>LFC0712</t>
        </is>
      </c>
      <c r="B165" t="inlineStr">
        <is>
          <t>LFC0712</t>
        </is>
      </c>
      <c r="C165" t="inlineStr">
        <is>
          <t>GOWON ESTATE</t>
        </is>
      </c>
      <c r="D165" t="inlineStr">
        <is>
          <t>Y</t>
        </is>
      </c>
      <c r="E165" t="inlineStr">
        <is>
          <t>Y</t>
        </is>
      </c>
      <c r="F165" t="inlineStr">
        <is>
          <t>12</t>
        </is>
      </c>
      <c r="G165" t="inlineStr">
        <is>
          <t>1 DAVID OYEWUSI STREET,ABESAN</t>
        </is>
      </c>
      <c r="H165" t="inlineStr">
        <is>
          <t>Existing</t>
        </is>
      </c>
      <c r="I165" t="inlineStr">
        <is>
          <t>N</t>
        </is>
      </c>
    </row>
    <row r="166">
      <c r="A166" t="inlineStr">
        <is>
          <t>LFC0713</t>
        </is>
      </c>
      <c r="B166" t="inlineStr">
        <is>
          <t>LFC0713</t>
        </is>
      </c>
      <c r="C166" t="inlineStr">
        <is>
          <t>GOWON ESTATE</t>
        </is>
      </c>
      <c r="D166" t="inlineStr">
        <is>
          <t>Y</t>
        </is>
      </c>
      <c r="E166" t="inlineStr">
        <is>
          <t>Y</t>
        </is>
      </c>
      <c r="F166" t="inlineStr">
        <is>
          <t>13</t>
        </is>
      </c>
      <c r="G166" t="inlineStr">
        <is>
          <t>BLOCK 51 FLAT 3,ABESAN ESTATE</t>
        </is>
      </c>
      <c r="H166" t="inlineStr">
        <is>
          <t>Existing</t>
        </is>
      </c>
      <c r="I166" t="inlineStr">
        <is>
          <t>N</t>
        </is>
      </c>
    </row>
    <row r="167">
      <c r="A167" t="inlineStr">
        <is>
          <t>LFC0714</t>
        </is>
      </c>
      <c r="B167" t="inlineStr">
        <is>
          <t>LFC0714</t>
        </is>
      </c>
      <c r="C167" t="inlineStr">
        <is>
          <t>GOWON ESTATE</t>
        </is>
      </c>
      <c r="D167" t="inlineStr">
        <is>
          <t>N</t>
        </is>
      </c>
      <c r="E167" t="inlineStr">
        <is>
          <t>Y</t>
        </is>
      </c>
      <c r="F167" t="inlineStr">
        <is>
          <t>14</t>
        </is>
      </c>
      <c r="G167" t="inlineStr">
        <is>
          <t>BLOCK 553 FLAT 1 ABESAN ESTATE</t>
        </is>
      </c>
      <c r="H167" t="inlineStr">
        <is>
          <t>Existing</t>
        </is>
      </c>
      <c r="I167" t="inlineStr">
        <is>
          <t>N</t>
        </is>
      </c>
    </row>
    <row r="168">
      <c r="A168" t="inlineStr">
        <is>
          <t>LFC0715</t>
        </is>
      </c>
      <c r="B168" t="inlineStr">
        <is>
          <t>LFC0715</t>
        </is>
      </c>
      <c r="C168" t="inlineStr">
        <is>
          <t>GOWON ESTATE</t>
        </is>
      </c>
      <c r="D168" t="inlineStr">
        <is>
          <t>N</t>
        </is>
      </c>
      <c r="E168" t="inlineStr">
        <is>
          <t>Y</t>
        </is>
      </c>
      <c r="F168" t="inlineStr">
        <is>
          <t>15</t>
        </is>
      </c>
      <c r="G168" t="inlineStr">
        <is>
          <t>BLOCK 124 ABESAN ESTATE</t>
        </is>
      </c>
      <c r="H168" t="inlineStr">
        <is>
          <t>Existing</t>
        </is>
      </c>
      <c r="I168" t="inlineStr">
        <is>
          <t>N</t>
        </is>
      </c>
    </row>
    <row r="169">
      <c r="A169" t="inlineStr">
        <is>
          <t>LFC0716</t>
        </is>
      </c>
      <c r="B169" t="inlineStr">
        <is>
          <t>LFC0716</t>
        </is>
      </c>
      <c r="C169" t="inlineStr">
        <is>
          <t>GOWON ESTATE</t>
        </is>
      </c>
      <c r="D169" t="inlineStr">
        <is>
          <t>N</t>
        </is>
      </c>
      <c r="E169" t="inlineStr">
        <is>
          <t>Y</t>
        </is>
      </c>
      <c r="F169" t="inlineStr">
        <is>
          <t>16</t>
        </is>
      </c>
      <c r="G169" t="inlineStr">
        <is>
          <t>BLOCK 406 ABESAN ESTATE</t>
        </is>
      </c>
      <c r="H169" t="inlineStr">
        <is>
          <t>Existing</t>
        </is>
      </c>
      <c r="I169" t="inlineStr">
        <is>
          <t>N</t>
        </is>
      </c>
    </row>
    <row r="170">
      <c r="A170" t="inlineStr">
        <is>
          <t>LFC0801</t>
        </is>
      </c>
      <c r="B170" t="inlineStr">
        <is>
          <t>LFC0801</t>
        </is>
      </c>
      <c r="C170" t="inlineStr">
        <is>
          <t>BARUWA</t>
        </is>
      </c>
      <c r="D170" t="inlineStr">
        <is>
          <t>Y</t>
        </is>
      </c>
      <c r="E170" t="inlineStr">
        <is>
          <t>Y</t>
        </is>
      </c>
      <c r="F170" t="inlineStr">
        <is>
          <t>1</t>
        </is>
      </c>
      <c r="G170" t="inlineStr">
        <is>
          <t>5, SAINT MICHEAL OKE OKO BARUWA</t>
        </is>
      </c>
      <c r="H170" t="inlineStr">
        <is>
          <t>Existing</t>
        </is>
      </c>
      <c r="I170" t="inlineStr">
        <is>
          <t>N</t>
        </is>
      </c>
    </row>
    <row r="171">
      <c r="A171" t="inlineStr">
        <is>
          <t>LFC0802</t>
        </is>
      </c>
      <c r="B171" t="inlineStr">
        <is>
          <t>LFC0802</t>
        </is>
      </c>
      <c r="C171" t="inlineStr">
        <is>
          <t>BARUWA</t>
        </is>
      </c>
      <c r="D171" t="inlineStr">
        <is>
          <t>N</t>
        </is>
      </c>
      <c r="E171" t="inlineStr">
        <is>
          <t>Y</t>
        </is>
      </c>
      <c r="F171" t="inlineStr">
        <is>
          <t>2</t>
        </is>
      </c>
      <c r="G171" t="inlineStr">
        <is>
          <t>35, ALHAJI ADEGOKE STREET OKE OKO, BARUWA</t>
        </is>
      </c>
      <c r="H171" t="inlineStr">
        <is>
          <t>Existing</t>
        </is>
      </c>
      <c r="I171" t="inlineStr">
        <is>
          <t>N</t>
        </is>
      </c>
    </row>
    <row r="172">
      <c r="A172" t="inlineStr">
        <is>
          <t>LFC0803</t>
        </is>
      </c>
      <c r="B172" t="inlineStr">
        <is>
          <t>LFC0803</t>
        </is>
      </c>
      <c r="C172" t="inlineStr">
        <is>
          <t>BARUWA</t>
        </is>
      </c>
      <c r="D172" t="inlineStr">
        <is>
          <t>Y</t>
        </is>
      </c>
      <c r="E172" t="inlineStr">
        <is>
          <t>Y</t>
        </is>
      </c>
      <c r="F172" t="inlineStr">
        <is>
          <t>3</t>
        </is>
      </c>
      <c r="G172" t="inlineStr">
        <is>
          <t>15,ELESINMOGUN STREET,BARUWA</t>
        </is>
      </c>
      <c r="H172" t="inlineStr">
        <is>
          <t>Existing</t>
        </is>
      </c>
      <c r="I172" t="inlineStr">
        <is>
          <t>N</t>
        </is>
      </c>
    </row>
    <row r="173">
      <c r="A173" t="inlineStr">
        <is>
          <t>LFC0804</t>
        </is>
      </c>
      <c r="B173" t="inlineStr">
        <is>
          <t>LFC0804</t>
        </is>
      </c>
      <c r="C173" t="inlineStr">
        <is>
          <t>BARUWA</t>
        </is>
      </c>
      <c r="D173" t="inlineStr">
        <is>
          <t>Y</t>
        </is>
      </c>
      <c r="E173" t="inlineStr">
        <is>
          <t>Y</t>
        </is>
      </c>
      <c r="F173" t="inlineStr">
        <is>
          <t>4</t>
        </is>
      </c>
      <c r="G173" t="inlineStr">
        <is>
          <t>12B,ODO OBA LANE,BARUWA</t>
        </is>
      </c>
      <c r="H173" t="inlineStr">
        <is>
          <t>Existing</t>
        </is>
      </c>
      <c r="I173" t="inlineStr">
        <is>
          <t>N</t>
        </is>
      </c>
    </row>
    <row r="174">
      <c r="A174" t="inlineStr">
        <is>
          <t>LFC0805</t>
        </is>
      </c>
      <c r="B174" t="inlineStr">
        <is>
          <t>LFC0805</t>
        </is>
      </c>
      <c r="C174" t="inlineStr">
        <is>
          <t>BARUWA</t>
        </is>
      </c>
      <c r="D174" t="inlineStr">
        <is>
          <t>Y</t>
        </is>
      </c>
      <c r="E174" t="inlineStr">
        <is>
          <t>Y</t>
        </is>
      </c>
      <c r="F174" t="inlineStr">
        <is>
          <t>5</t>
        </is>
      </c>
      <c r="G174" t="inlineStr">
        <is>
          <t>3B, ADEOSUN STREET BARUWA</t>
        </is>
      </c>
      <c r="H174" t="inlineStr">
        <is>
          <t>Existing</t>
        </is>
      </c>
      <c r="I174" t="inlineStr">
        <is>
          <t>N</t>
        </is>
      </c>
    </row>
    <row r="175">
      <c r="A175" t="inlineStr">
        <is>
          <t>LFC0806</t>
        </is>
      </c>
      <c r="B175" t="inlineStr">
        <is>
          <t>LFC0806</t>
        </is>
      </c>
      <c r="C175" t="inlineStr">
        <is>
          <t>BARUWA</t>
        </is>
      </c>
      <c r="D175" t="inlineStr">
        <is>
          <t>N</t>
        </is>
      </c>
      <c r="E175" t="inlineStr">
        <is>
          <t>Y</t>
        </is>
      </c>
      <c r="F175" t="inlineStr">
        <is>
          <t>6</t>
        </is>
      </c>
      <c r="G175" t="inlineStr">
        <is>
          <t>8, AYO OLOFITUYI ST, BARUWA</t>
        </is>
      </c>
      <c r="H175" t="inlineStr">
        <is>
          <t>Existing</t>
        </is>
      </c>
      <c r="I175" t="inlineStr">
        <is>
          <t>N</t>
        </is>
      </c>
    </row>
    <row r="176">
      <c r="A176" t="inlineStr">
        <is>
          <t>LFC0807</t>
        </is>
      </c>
      <c r="B176" t="inlineStr">
        <is>
          <t>LFC0807</t>
        </is>
      </c>
      <c r="C176" t="inlineStr">
        <is>
          <t>BARUWA</t>
        </is>
      </c>
      <c r="D176" t="inlineStr">
        <is>
          <t>Y</t>
        </is>
      </c>
      <c r="E176" t="inlineStr">
        <is>
          <t>Y</t>
        </is>
      </c>
      <c r="F176" t="inlineStr">
        <is>
          <t>7</t>
        </is>
      </c>
      <c r="G176" t="inlineStr">
        <is>
          <t>6,FEMI KUYE ST,BARUWA,IPAJA</t>
        </is>
      </c>
      <c r="H176" t="inlineStr">
        <is>
          <t>Existing</t>
        </is>
      </c>
      <c r="I176" t="inlineStr">
        <is>
          <t>N</t>
        </is>
      </c>
    </row>
    <row r="177">
      <c r="A177" t="inlineStr">
        <is>
          <t>LFC0808</t>
        </is>
      </c>
      <c r="B177" t="inlineStr">
        <is>
          <t>LFC0808</t>
        </is>
      </c>
      <c r="C177" t="inlineStr">
        <is>
          <t>BARUWA</t>
        </is>
      </c>
      <c r="D177" t="inlineStr">
        <is>
          <t>Y</t>
        </is>
      </c>
      <c r="E177" t="inlineStr">
        <is>
          <t>Y</t>
        </is>
      </c>
      <c r="F177" t="inlineStr">
        <is>
          <t>8</t>
        </is>
      </c>
      <c r="G177" t="inlineStr">
        <is>
          <t>NO 9, ENOMA STREET.</t>
        </is>
      </c>
      <c r="H177" t="inlineStr">
        <is>
          <t>Existing</t>
        </is>
      </c>
      <c r="I177" t="inlineStr">
        <is>
          <t>N</t>
        </is>
      </c>
    </row>
    <row r="178">
      <c r="A178" t="inlineStr">
        <is>
          <t>LFC0809</t>
        </is>
      </c>
      <c r="B178" t="inlineStr">
        <is>
          <t>LFC0809</t>
        </is>
      </c>
      <c r="C178" t="inlineStr">
        <is>
          <t>BARUWA</t>
        </is>
      </c>
      <c r="D178" t="inlineStr">
        <is>
          <t>Y</t>
        </is>
      </c>
      <c r="E178" t="inlineStr">
        <is>
          <t>Y</t>
        </is>
      </c>
      <c r="F178" t="inlineStr">
        <is>
          <t>9</t>
        </is>
      </c>
      <c r="G178" t="inlineStr">
        <is>
          <t>6,ELSHADAI CRESCENT,UNIQUE ESTATE</t>
        </is>
      </c>
      <c r="H178" t="inlineStr">
        <is>
          <t>Existing</t>
        </is>
      </c>
      <c r="I178" t="inlineStr">
        <is>
          <t>N</t>
        </is>
      </c>
    </row>
    <row r="179">
      <c r="A179" t="inlineStr">
        <is>
          <t>LFC0810</t>
        </is>
      </c>
      <c r="B179" t="inlineStr">
        <is>
          <t>LFC0810</t>
        </is>
      </c>
      <c r="C179" t="inlineStr">
        <is>
          <t>BARUWA</t>
        </is>
      </c>
      <c r="D179" t="inlineStr">
        <is>
          <t>Y</t>
        </is>
      </c>
      <c r="E179" t="inlineStr">
        <is>
          <t>Y</t>
        </is>
      </c>
      <c r="F179" t="inlineStr">
        <is>
          <t>10</t>
        </is>
      </c>
      <c r="G179" t="inlineStr">
        <is>
          <t>9,ABDULWAHAB ODEWALE DRIVE,BARUWA</t>
        </is>
      </c>
      <c r="H179" t="inlineStr">
        <is>
          <t>Existing</t>
        </is>
      </c>
      <c r="I179" t="inlineStr">
        <is>
          <t>N</t>
        </is>
      </c>
    </row>
    <row r="180">
      <c r="A180" t="inlineStr">
        <is>
          <t>LFC0811</t>
        </is>
      </c>
      <c r="B180" t="inlineStr">
        <is>
          <t>LFC0811</t>
        </is>
      </c>
      <c r="C180" t="inlineStr">
        <is>
          <t>BARUWA</t>
        </is>
      </c>
      <c r="D180" t="inlineStr">
        <is>
          <t>Y</t>
        </is>
      </c>
      <c r="E180" t="inlineStr">
        <is>
          <t>Y</t>
        </is>
      </c>
      <c r="F180" t="inlineStr">
        <is>
          <t>11</t>
        </is>
      </c>
      <c r="G180" t="inlineStr">
        <is>
          <t>13 C BISI OLANIYAN VIP GHARDENS BOYS TOWN</t>
        </is>
      </c>
      <c r="H180" t="inlineStr">
        <is>
          <t>Existing</t>
        </is>
      </c>
      <c r="I180" t="inlineStr">
        <is>
          <t>N</t>
        </is>
      </c>
    </row>
    <row r="181">
      <c r="A181" t="inlineStr">
        <is>
          <t>LFC0812</t>
        </is>
      </c>
      <c r="B181" t="inlineStr">
        <is>
          <t>LFC0812</t>
        </is>
      </c>
      <c r="C181" t="inlineStr">
        <is>
          <t>BARUWA</t>
        </is>
      </c>
      <c r="D181" t="inlineStr">
        <is>
          <t>N</t>
        </is>
      </c>
      <c r="E181" t="inlineStr">
        <is>
          <t>Y</t>
        </is>
      </c>
      <c r="F181" t="inlineStr">
        <is>
          <t>12</t>
        </is>
      </c>
      <c r="G181" t="inlineStr">
        <is>
          <t>ROAD 7, HOUSE 19, PEACE ESTATE BARUWA</t>
        </is>
      </c>
      <c r="H181" t="inlineStr">
        <is>
          <t>Existing</t>
        </is>
      </c>
      <c r="I181" t="inlineStr">
        <is>
          <t>N</t>
        </is>
      </c>
    </row>
    <row r="182">
      <c r="A182" t="inlineStr">
        <is>
          <t>LFC0813</t>
        </is>
      </c>
      <c r="B182" t="inlineStr">
        <is>
          <t>LFC0813</t>
        </is>
      </c>
      <c r="C182" t="inlineStr">
        <is>
          <t>BARUWA</t>
        </is>
      </c>
      <c r="D182" t="inlineStr">
        <is>
          <t>Y</t>
        </is>
      </c>
      <c r="E182" t="inlineStr">
        <is>
          <t>Y</t>
        </is>
      </c>
      <c r="F182" t="inlineStr">
        <is>
          <t>13</t>
        </is>
      </c>
      <c r="G182" t="inlineStr">
        <is>
          <t>10 RAJI CRESCENT,BARUWA</t>
        </is>
      </c>
      <c r="H182" t="inlineStr">
        <is>
          <t>Existing</t>
        </is>
      </c>
      <c r="I182" t="inlineStr">
        <is>
          <t>N</t>
        </is>
      </c>
    </row>
    <row r="183">
      <c r="A183" t="inlineStr">
        <is>
          <t>LFC0814</t>
        </is>
      </c>
      <c r="B183" t="inlineStr">
        <is>
          <t>LFC0814</t>
        </is>
      </c>
      <c r="C183" t="inlineStr">
        <is>
          <t>BARUWA</t>
        </is>
      </c>
      <c r="D183" t="inlineStr">
        <is>
          <t>N</t>
        </is>
      </c>
      <c r="E183" t="inlineStr">
        <is>
          <t>Y</t>
        </is>
      </c>
      <c r="F183" t="inlineStr">
        <is>
          <t>14</t>
        </is>
      </c>
      <c r="G183" t="inlineStr">
        <is>
          <t>ADORATION STREET ABORE AT CHURCH STREET BARUWA INSIDE</t>
        </is>
      </c>
      <c r="H183" t="inlineStr">
        <is>
          <t>Existing</t>
        </is>
      </c>
      <c r="I183" t="inlineStr">
        <is>
          <t>N</t>
        </is>
      </c>
    </row>
    <row r="184">
      <c r="A184" t="inlineStr">
        <is>
          <t>LFC0901</t>
        </is>
      </c>
      <c r="B184" t="inlineStr">
        <is>
          <t>LFC0901</t>
        </is>
      </c>
      <c r="C184" t="inlineStr">
        <is>
          <t>ABORU</t>
        </is>
      </c>
      <c r="D184" t="inlineStr">
        <is>
          <t>Y</t>
        </is>
      </c>
      <c r="E184" t="inlineStr">
        <is>
          <t>Y</t>
        </is>
      </c>
      <c r="F184" t="inlineStr">
        <is>
          <t>1</t>
        </is>
      </c>
      <c r="G184" t="inlineStr">
        <is>
          <t>IGOKE ESTATE PIPELINE JUNCTION</t>
        </is>
      </c>
      <c r="H184" t="inlineStr">
        <is>
          <t>Existing</t>
        </is>
      </c>
      <c r="I184" t="inlineStr">
        <is>
          <t>N</t>
        </is>
      </c>
    </row>
    <row r="185">
      <c r="A185" t="inlineStr">
        <is>
          <t>LFC0902</t>
        </is>
      </c>
      <c r="B185" t="inlineStr">
        <is>
          <t>LFC0902</t>
        </is>
      </c>
      <c r="C185" t="inlineStr">
        <is>
          <t>ABORU</t>
        </is>
      </c>
      <c r="D185" t="inlineStr">
        <is>
          <t>Y</t>
        </is>
      </c>
      <c r="E185" t="inlineStr">
        <is>
          <t>Y</t>
        </is>
      </c>
      <c r="F185" t="inlineStr">
        <is>
          <t>2</t>
        </is>
      </c>
      <c r="G185" t="inlineStr">
        <is>
          <t>23,OMOISRAEL ST MAJEMU</t>
        </is>
      </c>
      <c r="H185" t="inlineStr">
        <is>
          <t>Existing</t>
        </is>
      </c>
      <c r="I185" t="inlineStr">
        <is>
          <t>N</t>
        </is>
      </c>
    </row>
    <row r="186">
      <c r="A186" t="inlineStr">
        <is>
          <t>LFC0903</t>
        </is>
      </c>
      <c r="B186" t="inlineStr">
        <is>
          <t>LFC0903</t>
        </is>
      </c>
      <c r="C186" t="inlineStr">
        <is>
          <t>ABORU</t>
        </is>
      </c>
      <c r="D186" t="inlineStr">
        <is>
          <t>Y</t>
        </is>
      </c>
      <c r="E186" t="inlineStr">
        <is>
          <t>Y</t>
        </is>
      </c>
      <c r="F186" t="inlineStr">
        <is>
          <t>3</t>
        </is>
      </c>
      <c r="G186" t="inlineStr">
        <is>
          <t>11,SUNNY ADU ST MAJEMU</t>
        </is>
      </c>
      <c r="H186" t="inlineStr">
        <is>
          <t>Existing</t>
        </is>
      </c>
      <c r="I186" t="inlineStr">
        <is>
          <t>N</t>
        </is>
      </c>
    </row>
    <row r="187">
      <c r="A187" t="inlineStr">
        <is>
          <t>LFC0904</t>
        </is>
      </c>
      <c r="B187" t="inlineStr">
        <is>
          <t>LFC0904</t>
        </is>
      </c>
      <c r="C187" t="inlineStr">
        <is>
          <t>ABORU</t>
        </is>
      </c>
      <c r="D187" t="inlineStr">
        <is>
          <t>Y</t>
        </is>
      </c>
      <c r="E187" t="inlineStr">
        <is>
          <t>Y</t>
        </is>
      </c>
      <c r="F187" t="inlineStr">
        <is>
          <t>4</t>
        </is>
      </c>
      <c r="G187" t="inlineStr">
        <is>
          <t>29,ALIRAT BADEJO ST</t>
        </is>
      </c>
      <c r="H187" t="inlineStr">
        <is>
          <t>Existing</t>
        </is>
      </c>
      <c r="I187" t="inlineStr">
        <is>
          <t>N</t>
        </is>
      </c>
    </row>
    <row r="188">
      <c r="A188" t="inlineStr">
        <is>
          <t>LFC0905</t>
        </is>
      </c>
      <c r="B188" t="inlineStr">
        <is>
          <t>LFC0905</t>
        </is>
      </c>
      <c r="C188" t="inlineStr">
        <is>
          <t>ABORU</t>
        </is>
      </c>
      <c r="D188" t="inlineStr">
        <is>
          <t>Y</t>
        </is>
      </c>
      <c r="E188" t="inlineStr">
        <is>
          <t>Y</t>
        </is>
      </c>
      <c r="F188" t="inlineStr">
        <is>
          <t>5</t>
        </is>
      </c>
      <c r="G188" t="inlineStr">
        <is>
          <t>13,ANTHONY OTI, FHE</t>
        </is>
      </c>
      <c r="H188" t="inlineStr">
        <is>
          <t>Existing</t>
        </is>
      </c>
      <c r="I188" t="inlineStr">
        <is>
          <t>N</t>
        </is>
      </c>
    </row>
    <row r="189">
      <c r="A189" t="inlineStr">
        <is>
          <t>LFC0906</t>
        </is>
      </c>
      <c r="B189" t="inlineStr">
        <is>
          <t>LFC0906</t>
        </is>
      </c>
      <c r="C189" t="inlineStr">
        <is>
          <t>ABORU</t>
        </is>
      </c>
      <c r="D189" t="inlineStr">
        <is>
          <t>Y</t>
        </is>
      </c>
      <c r="E189" t="inlineStr">
        <is>
          <t>Y</t>
        </is>
      </c>
      <c r="F189" t="inlineStr">
        <is>
          <t>6</t>
        </is>
      </c>
      <c r="G189" t="inlineStr">
        <is>
          <t>19,UNITY ROAD, ABORU</t>
        </is>
      </c>
      <c r="H189" t="inlineStr">
        <is>
          <t>Existing</t>
        </is>
      </c>
      <c r="I189" t="inlineStr">
        <is>
          <t>N</t>
        </is>
      </c>
    </row>
    <row r="190">
      <c r="A190" t="inlineStr">
        <is>
          <t>LFC0907</t>
        </is>
      </c>
      <c r="B190" t="inlineStr">
        <is>
          <t>LFC0907</t>
        </is>
      </c>
      <c r="C190" t="inlineStr">
        <is>
          <t>ABORU</t>
        </is>
      </c>
      <c r="D190" t="inlineStr">
        <is>
          <t>Y</t>
        </is>
      </c>
      <c r="E190" t="inlineStr">
        <is>
          <t>Y</t>
        </is>
      </c>
      <c r="F190" t="inlineStr">
        <is>
          <t>7</t>
        </is>
      </c>
      <c r="G190" t="inlineStr">
        <is>
          <t>10,EDEOGHON ST FHE, ABORU</t>
        </is>
      </c>
      <c r="H190" t="inlineStr">
        <is>
          <t>Existing</t>
        </is>
      </c>
      <c r="I190" t="inlineStr">
        <is>
          <t>N</t>
        </is>
      </c>
    </row>
    <row r="191">
      <c r="A191" t="inlineStr">
        <is>
          <t>LFC0908</t>
        </is>
      </c>
      <c r="B191" t="inlineStr">
        <is>
          <t>LFC0908</t>
        </is>
      </c>
      <c r="C191" t="inlineStr">
        <is>
          <t>ABORU</t>
        </is>
      </c>
      <c r="D191" t="inlineStr">
        <is>
          <t>N</t>
        </is>
      </c>
      <c r="E191" t="inlineStr">
        <is>
          <t>Y</t>
        </is>
      </c>
      <c r="F191" t="inlineStr">
        <is>
          <t>8</t>
        </is>
      </c>
      <c r="G191" t="inlineStr">
        <is>
          <t>3,RAHMAN CLOSE, ABORU</t>
        </is>
      </c>
      <c r="H191" t="inlineStr">
        <is>
          <t>Existing</t>
        </is>
      </c>
      <c r="I191" t="inlineStr">
        <is>
          <t>N</t>
        </is>
      </c>
    </row>
    <row r="192">
      <c r="A192" t="inlineStr">
        <is>
          <t>LFC0909</t>
        </is>
      </c>
      <c r="B192" t="inlineStr">
        <is>
          <t>LFC0909</t>
        </is>
      </c>
      <c r="C192" t="inlineStr">
        <is>
          <t>ABORU</t>
        </is>
      </c>
      <c r="D192" t="inlineStr">
        <is>
          <t>Y</t>
        </is>
      </c>
      <c r="E192" t="inlineStr">
        <is>
          <t>Y</t>
        </is>
      </c>
      <c r="F192" t="inlineStr">
        <is>
          <t>9</t>
        </is>
      </c>
      <c r="G192" t="inlineStr">
        <is>
          <t>27,EGBERONGBE ST, ABORU</t>
        </is>
      </c>
      <c r="H192" t="inlineStr">
        <is>
          <t>Existing</t>
        </is>
      </c>
      <c r="I192" t="inlineStr">
        <is>
          <t>N</t>
        </is>
      </c>
    </row>
    <row r="193">
      <c r="A193" t="inlineStr">
        <is>
          <t>LFC0910</t>
        </is>
      </c>
      <c r="B193" t="inlineStr">
        <is>
          <t>LFC0910</t>
        </is>
      </c>
      <c r="C193" t="inlineStr">
        <is>
          <t>ABORU</t>
        </is>
      </c>
      <c r="D193" t="inlineStr">
        <is>
          <t>Y</t>
        </is>
      </c>
      <c r="E193" t="inlineStr">
        <is>
          <t>Y</t>
        </is>
      </c>
      <c r="F193" t="inlineStr">
        <is>
          <t>10</t>
        </is>
      </c>
      <c r="G193" t="inlineStr">
        <is>
          <t>13, ASSOCIATION STREET,ABORU</t>
        </is>
      </c>
      <c r="H193" t="inlineStr">
        <is>
          <t>Existing</t>
        </is>
      </c>
      <c r="I193" t="inlineStr">
        <is>
          <t>N</t>
        </is>
      </c>
    </row>
    <row r="194">
      <c r="A194" t="inlineStr">
        <is>
          <t>LFC0911</t>
        </is>
      </c>
      <c r="B194" t="inlineStr">
        <is>
          <t>LFC0911</t>
        </is>
      </c>
      <c r="C194" t="inlineStr">
        <is>
          <t>ABORU</t>
        </is>
      </c>
      <c r="D194" t="inlineStr">
        <is>
          <t>Y</t>
        </is>
      </c>
      <c r="E194" t="inlineStr">
        <is>
          <t>Y</t>
        </is>
      </c>
      <c r="F194" t="inlineStr">
        <is>
          <t>11</t>
        </is>
      </c>
      <c r="G194" t="inlineStr">
        <is>
          <t>11,ADURAPE ST ABULE OKI</t>
        </is>
      </c>
      <c r="H194" t="inlineStr">
        <is>
          <t>Existing</t>
        </is>
      </c>
      <c r="I194" t="inlineStr">
        <is>
          <t>N</t>
        </is>
      </c>
    </row>
    <row r="195">
      <c r="A195" t="inlineStr">
        <is>
          <t>LFC0912</t>
        </is>
      </c>
      <c r="B195" t="inlineStr">
        <is>
          <t>LFC0912</t>
        </is>
      </c>
      <c r="C195" t="inlineStr">
        <is>
          <t>ABORU</t>
        </is>
      </c>
      <c r="D195" t="inlineStr">
        <is>
          <t>Y</t>
        </is>
      </c>
      <c r="E195" t="inlineStr">
        <is>
          <t>Y</t>
        </is>
      </c>
      <c r="F195" t="inlineStr">
        <is>
          <t>12</t>
        </is>
      </c>
      <c r="G195" t="inlineStr">
        <is>
          <t>62, SAIBU OKOYA ST ABORU</t>
        </is>
      </c>
      <c r="H195" t="inlineStr">
        <is>
          <t>Existing</t>
        </is>
      </c>
      <c r="I195" t="inlineStr">
        <is>
          <t>N</t>
        </is>
      </c>
    </row>
    <row r="196">
      <c r="A196" t="inlineStr">
        <is>
          <t>LFC0913</t>
        </is>
      </c>
      <c r="B196" t="inlineStr">
        <is>
          <t>LFC0913</t>
        </is>
      </c>
      <c r="C196" t="inlineStr">
        <is>
          <t>ABORU</t>
        </is>
      </c>
      <c r="D196" t="inlineStr">
        <is>
          <t>N</t>
        </is>
      </c>
      <c r="E196" t="inlineStr">
        <is>
          <t>Y</t>
        </is>
      </c>
      <c r="F196" t="inlineStr">
        <is>
          <t>13</t>
        </is>
      </c>
      <c r="G196" t="inlineStr">
        <is>
          <t>29,IREPODUN ST OKE-ODO</t>
        </is>
      </c>
      <c r="H196" t="inlineStr">
        <is>
          <t>Existing</t>
        </is>
      </c>
      <c r="I196" t="inlineStr">
        <is>
          <t>N</t>
        </is>
      </c>
    </row>
    <row r="197">
      <c r="A197" t="inlineStr">
        <is>
          <t>LFC1001</t>
        </is>
      </c>
      <c r="B197" t="inlineStr">
        <is>
          <t>LFC1001</t>
        </is>
      </c>
      <c r="C197" t="inlineStr">
        <is>
          <t>IYANA ISASHI</t>
        </is>
      </c>
      <c r="D197" t="inlineStr">
        <is>
          <t>Y</t>
        </is>
      </c>
      <c r="E197" t="inlineStr">
        <is>
          <t>Y</t>
        </is>
      </c>
      <c r="F197" t="inlineStr">
        <is>
          <t>1</t>
        </is>
      </c>
      <c r="G197" t="inlineStr">
        <is>
          <t>1008 iyana isashi</t>
        </is>
      </c>
      <c r="H197" t="inlineStr">
        <is>
          <t>Existing</t>
        </is>
      </c>
      <c r="I197" t="inlineStr">
        <is>
          <t>N</t>
        </is>
      </c>
    </row>
    <row r="198">
      <c r="A198" t="inlineStr">
        <is>
          <t>LFC1002</t>
        </is>
      </c>
      <c r="B198" t="inlineStr">
        <is>
          <t>LFC1002</t>
        </is>
      </c>
      <c r="C198" t="inlineStr">
        <is>
          <t>IYANA ISASHI</t>
        </is>
      </c>
      <c r="D198" t="inlineStr">
        <is>
          <t>Y</t>
        </is>
      </c>
      <c r="E198" t="inlineStr">
        <is>
          <t>Y</t>
        </is>
      </c>
      <c r="F198" t="inlineStr">
        <is>
          <t>2</t>
        </is>
      </c>
      <c r="G198" t="inlineStr">
        <is>
          <t>6 YIDI STREET, ISASHI STREET, ISASHI</t>
        </is>
      </c>
      <c r="H198" t="inlineStr">
        <is>
          <t>Existing</t>
        </is>
      </c>
      <c r="I198" t="inlineStr">
        <is>
          <t>N</t>
        </is>
      </c>
    </row>
    <row r="199">
      <c r="A199" t="inlineStr">
        <is>
          <t>LFC1003</t>
        </is>
      </c>
      <c r="B199" t="inlineStr">
        <is>
          <t>LFC1003</t>
        </is>
      </c>
      <c r="C199" t="inlineStr">
        <is>
          <t>IYANA ISASHI</t>
        </is>
      </c>
      <c r="D199" t="inlineStr">
        <is>
          <t>Y</t>
        </is>
      </c>
      <c r="E199" t="inlineStr">
        <is>
          <t>Y</t>
        </is>
      </c>
      <c r="F199" t="inlineStr">
        <is>
          <t>3</t>
        </is>
      </c>
      <c r="G199" t="inlineStr">
        <is>
          <t>ITEKUN LONI JESU</t>
        </is>
      </c>
      <c r="H199" t="inlineStr">
        <is>
          <t>Existing</t>
        </is>
      </c>
      <c r="I199" t="inlineStr">
        <is>
          <t>N</t>
        </is>
      </c>
    </row>
    <row r="200">
      <c r="A200" t="inlineStr">
        <is>
          <t>LFC1004</t>
        </is>
      </c>
      <c r="B200" t="inlineStr">
        <is>
          <t>LFC1004</t>
        </is>
      </c>
      <c r="C200" t="inlineStr">
        <is>
          <t>IYANA ISASHI</t>
        </is>
      </c>
      <c r="D200" t="inlineStr">
        <is>
          <t>Y</t>
        </is>
      </c>
      <c r="E200" t="inlineStr">
        <is>
          <t>Y</t>
        </is>
      </c>
      <c r="F200" t="inlineStr">
        <is>
          <t>4</t>
        </is>
      </c>
      <c r="G200" t="inlineStr">
        <is>
          <t>28, CELE ISASHI</t>
        </is>
      </c>
      <c r="H200" t="inlineStr">
        <is>
          <t>Existing</t>
        </is>
      </c>
      <c r="I200" t="inlineStr">
        <is>
          <t>N</t>
        </is>
      </c>
    </row>
    <row r="201">
      <c r="A201" t="inlineStr">
        <is>
          <t>LFC1005</t>
        </is>
      </c>
      <c r="B201" t="inlineStr">
        <is>
          <t>LFC1005</t>
        </is>
      </c>
      <c r="C201" t="inlineStr">
        <is>
          <t>IYANA ISASHI</t>
        </is>
      </c>
      <c r="D201" t="inlineStr">
        <is>
          <t>Y</t>
        </is>
      </c>
      <c r="E201" t="inlineStr">
        <is>
          <t>Y</t>
        </is>
      </c>
      <c r="F201" t="inlineStr">
        <is>
          <t>5</t>
        </is>
      </c>
      <c r="G201" t="inlineStr">
        <is>
          <t>NO 15, SULE ALASO STREET, VESPA</t>
        </is>
      </c>
      <c r="H201" t="inlineStr">
        <is>
          <t>Existing</t>
        </is>
      </c>
      <c r="I201" t="inlineStr">
        <is>
          <t>N</t>
        </is>
      </c>
    </row>
    <row r="202">
      <c r="A202" t="inlineStr">
        <is>
          <t>LFC1006</t>
        </is>
      </c>
      <c r="B202" t="inlineStr">
        <is>
          <t>LFC1006</t>
        </is>
      </c>
      <c r="C202" t="inlineStr">
        <is>
          <t>IYANA ISASHI</t>
        </is>
      </c>
      <c r="D202" t="inlineStr">
        <is>
          <t>Y</t>
        </is>
      </c>
      <c r="E202" t="inlineStr">
        <is>
          <t>Y</t>
        </is>
      </c>
      <c r="F202" t="inlineStr">
        <is>
          <t>6</t>
        </is>
      </c>
      <c r="G202" t="inlineStr">
        <is>
          <t>41,DAVID SEFFON STREET</t>
        </is>
      </c>
      <c r="H202" t="inlineStr">
        <is>
          <t>Existing</t>
        </is>
      </c>
      <c r="I202" t="inlineStr">
        <is>
          <t>N</t>
        </is>
      </c>
    </row>
    <row r="203">
      <c r="A203" t="inlineStr">
        <is>
          <t>LFC1007</t>
        </is>
      </c>
      <c r="B203" t="inlineStr">
        <is>
          <t>LFC1007</t>
        </is>
      </c>
      <c r="C203" t="inlineStr">
        <is>
          <t>IYANA ISASHI</t>
        </is>
      </c>
      <c r="D203" t="inlineStr">
        <is>
          <t>Y</t>
        </is>
      </c>
      <c r="E203" t="inlineStr">
        <is>
          <t>Y</t>
        </is>
      </c>
      <c r="F203" t="inlineStr">
        <is>
          <t>7</t>
        </is>
      </c>
      <c r="G203" t="inlineStr">
        <is>
          <t>11, IKALE STREET,TIPPER GARAGE</t>
        </is>
      </c>
      <c r="H203" t="inlineStr">
        <is>
          <t>Existing</t>
        </is>
      </c>
      <c r="I203" t="inlineStr">
        <is>
          <t>N</t>
        </is>
      </c>
    </row>
    <row r="204">
      <c r="A204" t="inlineStr">
        <is>
          <t>LFC1008</t>
        </is>
      </c>
      <c r="B204" t="inlineStr">
        <is>
          <t>LFC1008</t>
        </is>
      </c>
      <c r="C204" t="inlineStr">
        <is>
          <t>IYANA ISASHI</t>
        </is>
      </c>
      <c r="D204" t="inlineStr">
        <is>
          <t>Y</t>
        </is>
      </c>
      <c r="E204" t="inlineStr">
        <is>
          <t>Y</t>
        </is>
      </c>
      <c r="F204" t="inlineStr">
        <is>
          <t>8</t>
        </is>
      </c>
      <c r="G204" t="inlineStr">
        <is>
          <t>26, HASSAN ESTATE AFROMEDIA</t>
        </is>
      </c>
      <c r="H204" t="inlineStr">
        <is>
          <t>Existing</t>
        </is>
      </c>
      <c r="I204" t="inlineStr">
        <is>
          <t>N</t>
        </is>
      </c>
    </row>
    <row r="205">
      <c r="A205" t="inlineStr">
        <is>
          <t>LFC1009</t>
        </is>
      </c>
      <c r="B205" t="inlineStr">
        <is>
          <t>LFC1009</t>
        </is>
      </c>
      <c r="C205" t="inlineStr">
        <is>
          <t>IYANA ISASHI</t>
        </is>
      </c>
      <c r="D205" t="inlineStr">
        <is>
          <t>N</t>
        </is>
      </c>
      <c r="E205" t="inlineStr">
        <is>
          <t>Y</t>
        </is>
      </c>
      <c r="F205" t="inlineStr">
        <is>
          <t>9</t>
        </is>
      </c>
      <c r="G205" t="inlineStr">
        <is>
          <t>24, TAJUDEEN AFROMEDEDIA ESTATE</t>
        </is>
      </c>
      <c r="H205" t="inlineStr">
        <is>
          <t>Existing</t>
        </is>
      </c>
      <c r="I205" t="inlineStr">
        <is>
          <t>N</t>
        </is>
      </c>
    </row>
    <row r="206">
      <c r="A206" t="inlineStr">
        <is>
          <t>LFC1010</t>
        </is>
      </c>
      <c r="B206" t="inlineStr">
        <is>
          <t>LFC1010</t>
        </is>
      </c>
      <c r="C206" t="inlineStr">
        <is>
          <t>IYANA ISASHI</t>
        </is>
      </c>
      <c r="D206" t="inlineStr">
        <is>
          <t>Y</t>
        </is>
      </c>
      <c r="E206" t="inlineStr">
        <is>
          <t>Y</t>
        </is>
      </c>
      <c r="F206" t="inlineStr">
        <is>
          <t>10</t>
        </is>
      </c>
      <c r="G206" t="inlineStr">
        <is>
          <t>15, ORESILE STREET AFROMEDIA</t>
        </is>
      </c>
      <c r="H206" t="inlineStr">
        <is>
          <t>Existing</t>
        </is>
      </c>
      <c r="I206" t="inlineStr">
        <is>
          <t>N</t>
        </is>
      </c>
    </row>
    <row r="207">
      <c r="A207" t="inlineStr">
        <is>
          <t>LFC1011</t>
        </is>
      </c>
      <c r="B207" t="inlineStr">
        <is>
          <t>LFC1011</t>
        </is>
      </c>
      <c r="C207" t="inlineStr">
        <is>
          <t>IYANA ISASHI</t>
        </is>
      </c>
      <c r="D207" t="inlineStr">
        <is>
          <t>Y</t>
        </is>
      </c>
      <c r="E207" t="inlineStr">
        <is>
          <t>Y</t>
        </is>
      </c>
      <c r="F207" t="inlineStr">
        <is>
          <t>11</t>
        </is>
      </c>
      <c r="G207" t="inlineStr">
        <is>
          <t>7, SALAMI STREET AFROMEDIA</t>
        </is>
      </c>
      <c r="H207" t="inlineStr">
        <is>
          <t>Existing</t>
        </is>
      </c>
      <c r="I207" t="inlineStr">
        <is>
          <t>N</t>
        </is>
      </c>
    </row>
    <row r="208">
      <c r="A208" t="inlineStr">
        <is>
          <t>LFC1012</t>
        </is>
      </c>
      <c r="B208" t="inlineStr">
        <is>
          <t>LFC1012</t>
        </is>
      </c>
      <c r="C208" t="inlineStr">
        <is>
          <t>IYANA ISASHI</t>
        </is>
      </c>
      <c r="D208" t="inlineStr">
        <is>
          <t>Y</t>
        </is>
      </c>
      <c r="E208" t="inlineStr">
        <is>
          <t>Y</t>
        </is>
      </c>
      <c r="F208" t="inlineStr">
        <is>
          <t>12</t>
        </is>
      </c>
      <c r="G208" t="inlineStr">
        <is>
          <t>9,IKUENOMORE STREET,CELE NICA</t>
        </is>
      </c>
      <c r="H208" t="inlineStr">
        <is>
          <t>Existing</t>
        </is>
      </c>
      <c r="I208" t="inlineStr">
        <is>
          <t>N</t>
        </is>
      </c>
    </row>
    <row r="209">
      <c r="A209" t="inlineStr">
        <is>
          <t>LFC1013</t>
        </is>
      </c>
      <c r="B209" t="inlineStr">
        <is>
          <t>LFC1013</t>
        </is>
      </c>
      <c r="C209" t="inlineStr">
        <is>
          <t>IYANA ISASHI</t>
        </is>
      </c>
      <c r="D209" t="inlineStr">
        <is>
          <t>Y</t>
        </is>
      </c>
      <c r="E209" t="inlineStr">
        <is>
          <t>Y</t>
        </is>
      </c>
      <c r="F209" t="inlineStr">
        <is>
          <t>13</t>
        </is>
      </c>
      <c r="G209" t="inlineStr">
        <is>
          <t>18, COLONEL OBI STREET,KETU</t>
        </is>
      </c>
      <c r="H209" t="inlineStr">
        <is>
          <t>Existing</t>
        </is>
      </c>
      <c r="I209" t="inlineStr">
        <is>
          <t>N</t>
        </is>
      </c>
    </row>
    <row r="210">
      <c r="A210" t="inlineStr">
        <is>
          <t>LFC1014</t>
        </is>
      </c>
      <c r="B210" t="inlineStr">
        <is>
          <t>LFC1014</t>
        </is>
      </c>
      <c r="C210" t="inlineStr">
        <is>
          <t>IYANA ISASHI</t>
        </is>
      </c>
      <c r="D210" t="inlineStr">
        <is>
          <t>N</t>
        </is>
      </c>
      <c r="E210" t="inlineStr">
        <is>
          <t>Y</t>
        </is>
      </c>
      <c r="F210" t="inlineStr">
        <is>
          <t>14</t>
        </is>
      </c>
      <c r="G210" t="inlineStr">
        <is>
          <t>8 AGBOWORIN STR,KETU</t>
        </is>
      </c>
      <c r="H210" t="inlineStr">
        <is>
          <t>Existing</t>
        </is>
      </c>
      <c r="I210" t="inlineStr">
        <is>
          <t>N</t>
        </is>
      </c>
    </row>
    <row r="211">
      <c r="A211" t="inlineStr">
        <is>
          <t>LFC1015</t>
        </is>
      </c>
      <c r="B211" t="inlineStr">
        <is>
          <t>LFC1015</t>
        </is>
      </c>
      <c r="C211" t="inlineStr">
        <is>
          <t>IYANA ISASHI</t>
        </is>
      </c>
      <c r="D211" t="inlineStr">
        <is>
          <t>N</t>
        </is>
      </c>
      <c r="E211" t="inlineStr">
        <is>
          <t>Y</t>
        </is>
      </c>
      <c r="F211" t="inlineStr">
        <is>
          <t>15</t>
        </is>
      </c>
      <c r="G211" t="inlineStr">
        <is>
          <t>DIVINE ESTATE, PAKO KETU, OJO, LAGOS</t>
        </is>
      </c>
      <c r="H211" t="inlineStr">
        <is>
          <t>Existing</t>
        </is>
      </c>
      <c r="I211" t="inlineStr">
        <is>
          <t>N</t>
        </is>
      </c>
    </row>
    <row r="212">
      <c r="A212" t="inlineStr">
        <is>
          <t>LFC1101</t>
        </is>
      </c>
      <c r="B212" t="inlineStr">
        <is>
          <t>LFC1101</t>
        </is>
      </c>
      <c r="C212" t="inlineStr">
        <is>
          <t>WILKY</t>
        </is>
      </c>
      <c r="D212" t="inlineStr">
        <is>
          <t>Y</t>
        </is>
      </c>
      <c r="E212" t="inlineStr">
        <is>
          <t>Y</t>
        </is>
      </c>
      <c r="F212" t="inlineStr">
        <is>
          <t>1</t>
        </is>
      </c>
      <c r="G212" t="inlineStr">
        <is>
          <t>32 WILKY CRESCENT</t>
        </is>
      </c>
      <c r="H212" t="inlineStr">
        <is>
          <t>Existing</t>
        </is>
      </c>
      <c r="I212" t="inlineStr">
        <is>
          <t>N</t>
        </is>
      </c>
    </row>
    <row r="213">
      <c r="A213" t="inlineStr">
        <is>
          <t>LFC1102</t>
        </is>
      </c>
      <c r="B213" t="inlineStr">
        <is>
          <t>LFC1102</t>
        </is>
      </c>
      <c r="C213" t="inlineStr">
        <is>
          <t>WILKY</t>
        </is>
      </c>
      <c r="D213" t="inlineStr">
        <is>
          <t>Y</t>
        </is>
      </c>
      <c r="E213" t="inlineStr">
        <is>
          <t>Y</t>
        </is>
      </c>
      <c r="F213" t="inlineStr">
        <is>
          <t>2</t>
        </is>
      </c>
      <c r="G213" t="inlineStr">
        <is>
          <t>26 MOSHOLASHI STR ILOGBO</t>
        </is>
      </c>
      <c r="H213" t="inlineStr">
        <is>
          <t>Existing</t>
        </is>
      </c>
      <c r="I213" t="inlineStr">
        <is>
          <t>N</t>
        </is>
      </c>
    </row>
    <row r="214">
      <c r="A214" t="inlineStr">
        <is>
          <t>LFC1103</t>
        </is>
      </c>
      <c r="B214" t="inlineStr">
        <is>
          <t>LFC1103</t>
        </is>
      </c>
      <c r="C214" t="inlineStr">
        <is>
          <t>WILKY</t>
        </is>
      </c>
      <c r="D214" t="inlineStr">
        <is>
          <t>Y</t>
        </is>
      </c>
      <c r="E214" t="inlineStr">
        <is>
          <t>Y</t>
        </is>
      </c>
      <c r="F214" t="inlineStr">
        <is>
          <t>3</t>
        </is>
      </c>
      <c r="G214" t="inlineStr">
        <is>
          <t>22 MORADAYO ADEGOKE STR</t>
        </is>
      </c>
      <c r="H214" t="inlineStr">
        <is>
          <t>Existing</t>
        </is>
      </c>
      <c r="I214" t="inlineStr">
        <is>
          <t>N</t>
        </is>
      </c>
    </row>
    <row r="215">
      <c r="A215" t="inlineStr">
        <is>
          <t>LFC1104</t>
        </is>
      </c>
      <c r="B215" t="inlineStr">
        <is>
          <t>LFC1104</t>
        </is>
      </c>
      <c r="C215" t="inlineStr">
        <is>
          <t>WILKY</t>
        </is>
      </c>
      <c r="D215" t="inlineStr">
        <is>
          <t>Y</t>
        </is>
      </c>
      <c r="E215" t="inlineStr">
        <is>
          <t>Y</t>
        </is>
      </c>
      <c r="F215" t="inlineStr">
        <is>
          <t>4</t>
        </is>
      </c>
      <c r="G215" t="inlineStr">
        <is>
          <t>503 ADALOKO</t>
        </is>
      </c>
      <c r="H215" t="inlineStr">
        <is>
          <t>Existing</t>
        </is>
      </c>
      <c r="I215" t="inlineStr">
        <is>
          <t>N</t>
        </is>
      </c>
    </row>
    <row r="216">
      <c r="A216" t="inlineStr">
        <is>
          <t>LFC1105</t>
        </is>
      </c>
      <c r="B216" t="inlineStr">
        <is>
          <t>LFC1105</t>
        </is>
      </c>
      <c r="C216" t="inlineStr">
        <is>
          <t>WILKY</t>
        </is>
      </c>
      <c r="D216" t="inlineStr">
        <is>
          <t>N</t>
        </is>
      </c>
      <c r="E216" t="inlineStr">
        <is>
          <t>Y</t>
        </is>
      </c>
      <c r="F216" t="inlineStr">
        <is>
          <t>5</t>
        </is>
      </c>
      <c r="G216" t="inlineStr">
        <is>
          <t>43 B, DICKEM FARM CLOSE, CEMENT BUS-STOP, ISASHI, LAGOS STATE</t>
        </is>
      </c>
      <c r="H216" t="inlineStr">
        <is>
          <t>New (proposed)</t>
        </is>
      </c>
      <c r="I216" t="inlineStr">
        <is>
          <t>N</t>
        </is>
      </c>
    </row>
    <row r="217">
      <c r="A217" t="inlineStr">
        <is>
          <t>LFC1201</t>
        </is>
      </c>
      <c r="B217" t="inlineStr">
        <is>
          <t>LFC1201</t>
        </is>
      </c>
      <c r="C217" t="inlineStr">
        <is>
          <t>PEDRO</t>
        </is>
      </c>
      <c r="D217" t="inlineStr">
        <is>
          <t>Y</t>
        </is>
      </c>
      <c r="E217" t="inlineStr">
        <is>
          <t>Y</t>
        </is>
      </c>
      <c r="F217" t="inlineStr">
        <is>
          <t>1</t>
        </is>
      </c>
      <c r="G217" t="inlineStr">
        <is>
          <t>5 PETROS CLOSE, OPP IYANA ERA</t>
        </is>
      </c>
      <c r="H217" t="inlineStr">
        <is>
          <t>Existing</t>
        </is>
      </c>
      <c r="I217" t="inlineStr">
        <is>
          <t>N</t>
        </is>
      </c>
    </row>
    <row r="218">
      <c r="A218" t="inlineStr">
        <is>
          <t>LFC1202</t>
        </is>
      </c>
      <c r="B218" t="inlineStr">
        <is>
          <t>LFC1202</t>
        </is>
      </c>
      <c r="C218" t="inlineStr">
        <is>
          <t>PEDRO</t>
        </is>
      </c>
      <c r="D218" t="inlineStr">
        <is>
          <t>N</t>
        </is>
      </c>
      <c r="E218" t="inlineStr">
        <is>
          <t>Y</t>
        </is>
      </c>
      <c r="F218" t="inlineStr">
        <is>
          <t>2</t>
        </is>
      </c>
      <c r="G218" t="inlineStr">
        <is>
          <t>29,OLAYEMI STREET,FED. SEC. GATE</t>
        </is>
      </c>
      <c r="H218" t="inlineStr">
        <is>
          <t>Existing</t>
        </is>
      </c>
      <c r="I218" t="inlineStr">
        <is>
          <t>N</t>
        </is>
      </c>
    </row>
    <row r="219">
      <c r="A219" t="inlineStr">
        <is>
          <t>LFC1203</t>
        </is>
      </c>
      <c r="B219" t="inlineStr">
        <is>
          <t>LFC1203</t>
        </is>
      </c>
      <c r="C219" t="inlineStr">
        <is>
          <t>PEDRO</t>
        </is>
      </c>
      <c r="D219" t="inlineStr">
        <is>
          <t>N</t>
        </is>
      </c>
      <c r="E219" t="inlineStr">
        <is>
          <t>Y</t>
        </is>
      </c>
      <c r="F219" t="inlineStr">
        <is>
          <t>3</t>
        </is>
      </c>
      <c r="G219" t="inlineStr">
        <is>
          <t>FED. GOV. COLLEGE,IJANIKIN</t>
        </is>
      </c>
      <c r="H219" t="inlineStr">
        <is>
          <t>Existing</t>
        </is>
      </c>
      <c r="I219" t="inlineStr">
        <is>
          <t>N</t>
        </is>
      </c>
    </row>
    <row r="220">
      <c r="A220" t="inlineStr">
        <is>
          <t>LFC1204</t>
        </is>
      </c>
      <c r="B220" t="inlineStr">
        <is>
          <t>LFC1204</t>
        </is>
      </c>
      <c r="C220" t="inlineStr">
        <is>
          <t>PEDRO</t>
        </is>
      </c>
      <c r="D220" t="inlineStr">
        <is>
          <t>Y</t>
        </is>
      </c>
      <c r="E220" t="inlineStr">
        <is>
          <t>Y</t>
        </is>
      </c>
      <c r="F220" t="inlineStr">
        <is>
          <t>4</t>
        </is>
      </c>
      <c r="G220" t="inlineStr">
        <is>
          <t>1,OMOTAYO ODOFIN STREET,ALASIA,IJANIKIN</t>
        </is>
      </c>
      <c r="H220" t="inlineStr">
        <is>
          <t>Existing</t>
        </is>
      </c>
      <c r="I220" t="inlineStr">
        <is>
          <t>N</t>
        </is>
      </c>
    </row>
    <row r="221">
      <c r="A221" t="inlineStr">
        <is>
          <t>LFC1205</t>
        </is>
      </c>
      <c r="B221" t="inlineStr">
        <is>
          <t>LFC1205</t>
        </is>
      </c>
      <c r="C221" t="inlineStr">
        <is>
          <t>PEDRO</t>
        </is>
      </c>
      <c r="D221" t="inlineStr">
        <is>
          <t>Y</t>
        </is>
      </c>
      <c r="E221" t="inlineStr">
        <is>
          <t>Y</t>
        </is>
      </c>
      <c r="F221" t="inlineStr">
        <is>
          <t>5</t>
        </is>
      </c>
      <c r="G221" t="inlineStr">
        <is>
          <t>5/7,JACOB OKPE STREET,ALASIA,ONIJANIKIN</t>
        </is>
      </c>
      <c r="H221" t="inlineStr">
        <is>
          <t>Existing</t>
        </is>
      </c>
      <c r="I221" t="inlineStr">
        <is>
          <t>N</t>
        </is>
      </c>
    </row>
    <row r="222">
      <c r="A222" t="inlineStr">
        <is>
          <t>LFC1206</t>
        </is>
      </c>
      <c r="B222" t="inlineStr">
        <is>
          <t>LFC1206</t>
        </is>
      </c>
      <c r="C222" t="inlineStr">
        <is>
          <t>PEDRO</t>
        </is>
      </c>
      <c r="D222" t="inlineStr">
        <is>
          <t>N</t>
        </is>
      </c>
      <c r="E222" t="inlineStr">
        <is>
          <t>Y</t>
        </is>
      </c>
      <c r="F222" t="inlineStr">
        <is>
          <t>6</t>
        </is>
      </c>
      <c r="G222" t="inlineStr">
        <is>
          <t>11,ALRINE STREET, AIYETORO</t>
        </is>
      </c>
      <c r="H222" t="inlineStr">
        <is>
          <t>Existing</t>
        </is>
      </c>
      <c r="I222" t="inlineStr">
        <is>
          <t>N</t>
        </is>
      </c>
    </row>
    <row r="223">
      <c r="A223" t="inlineStr">
        <is>
          <t>LFC1301</t>
        </is>
      </c>
      <c r="B223" t="inlineStr">
        <is>
          <t>LFC1301</t>
        </is>
      </c>
      <c r="C223" t="inlineStr">
        <is>
          <t>IJAIYE</t>
        </is>
      </c>
      <c r="D223" t="inlineStr">
        <is>
          <t>Y</t>
        </is>
      </c>
      <c r="E223" t="inlineStr">
        <is>
          <t>Y</t>
        </is>
      </c>
      <c r="F223" t="inlineStr">
        <is>
          <t>1</t>
        </is>
      </c>
      <c r="G223" t="inlineStr">
        <is>
          <t>3/5 Akinsola Street Ajala</t>
        </is>
      </c>
      <c r="H223" t="inlineStr">
        <is>
          <t>Existing</t>
        </is>
      </c>
      <c r="I223" t="inlineStr">
        <is>
          <t>N</t>
        </is>
      </c>
    </row>
    <row r="224">
      <c r="A224" t="inlineStr">
        <is>
          <t>LFC1302</t>
        </is>
      </c>
      <c r="B224" t="inlineStr">
        <is>
          <t>LFC1302</t>
        </is>
      </c>
      <c r="C224" t="inlineStr">
        <is>
          <t>IJAIYE</t>
        </is>
      </c>
      <c r="D224" t="inlineStr">
        <is>
          <t>Y</t>
        </is>
      </c>
      <c r="E224" t="inlineStr">
        <is>
          <t>Y</t>
        </is>
      </c>
      <c r="F224" t="inlineStr">
        <is>
          <t>2</t>
        </is>
      </c>
      <c r="G224" t="inlineStr">
        <is>
          <t>BLK 4, LSDPC ESTATE, MEIRAN</t>
        </is>
      </c>
      <c r="H224" t="inlineStr">
        <is>
          <t>Existing</t>
        </is>
      </c>
      <c r="I224" t="inlineStr">
        <is>
          <t>N</t>
        </is>
      </c>
    </row>
    <row r="225">
      <c r="A225" t="inlineStr">
        <is>
          <t>LFC1303</t>
        </is>
      </c>
      <c r="B225" t="inlineStr">
        <is>
          <t>LFC1303</t>
        </is>
      </c>
      <c r="C225" t="inlineStr">
        <is>
          <t>IJAIYE</t>
        </is>
      </c>
      <c r="D225" t="inlineStr">
        <is>
          <t>Y</t>
        </is>
      </c>
      <c r="E225" t="inlineStr">
        <is>
          <t>Y</t>
        </is>
      </c>
      <c r="F225" t="inlineStr">
        <is>
          <t>3</t>
        </is>
      </c>
      <c r="G225" t="inlineStr">
        <is>
          <t>6, UNITY STREET, BECKLEY ESTATE</t>
        </is>
      </c>
      <c r="H225" t="inlineStr">
        <is>
          <t>Existing</t>
        </is>
      </c>
      <c r="I225" t="inlineStr">
        <is>
          <t>N</t>
        </is>
      </c>
    </row>
    <row r="226">
      <c r="A226" t="inlineStr">
        <is>
          <t>LFC1304</t>
        </is>
      </c>
      <c r="B226" t="inlineStr">
        <is>
          <t>LFC1304</t>
        </is>
      </c>
      <c r="C226" t="inlineStr">
        <is>
          <t>IJAIYE</t>
        </is>
      </c>
      <c r="D226" t="inlineStr">
        <is>
          <t>N</t>
        </is>
      </c>
      <c r="E226" t="inlineStr">
        <is>
          <t>Y</t>
        </is>
      </c>
      <c r="F226" t="inlineStr">
        <is>
          <t>4</t>
        </is>
      </c>
      <c r="G226" t="inlineStr">
        <is>
          <t>41, Ikereku st, Jankara,Ijaiye</t>
        </is>
      </c>
      <c r="H226" t="inlineStr">
        <is>
          <t>Existing</t>
        </is>
      </c>
      <c r="I226" t="inlineStr">
        <is>
          <t>N</t>
        </is>
      </c>
    </row>
    <row r="227">
      <c r="A227" t="inlineStr">
        <is>
          <t>LFC1305</t>
        </is>
      </c>
      <c r="B227" t="inlineStr">
        <is>
          <t>LFC1305</t>
        </is>
      </c>
      <c r="C227" t="inlineStr">
        <is>
          <t>IJAIYE</t>
        </is>
      </c>
      <c r="D227" t="inlineStr">
        <is>
          <t>Y</t>
        </is>
      </c>
      <c r="E227" t="inlineStr">
        <is>
          <t>Y</t>
        </is>
      </c>
      <c r="F227" t="inlineStr">
        <is>
          <t>5</t>
        </is>
      </c>
      <c r="G227" t="inlineStr">
        <is>
          <t>83 CLEM ROAD, IJAIYE</t>
        </is>
      </c>
      <c r="H227" t="inlineStr">
        <is>
          <t>Existing</t>
        </is>
      </c>
      <c r="I227" t="inlineStr">
        <is>
          <t>N</t>
        </is>
      </c>
    </row>
    <row r="228">
      <c r="A228" t="inlineStr">
        <is>
          <t>LFC1306</t>
        </is>
      </c>
      <c r="B228" t="inlineStr">
        <is>
          <t>LFC1306</t>
        </is>
      </c>
      <c r="C228" t="inlineStr">
        <is>
          <t>IJAIYE</t>
        </is>
      </c>
      <c r="D228" t="inlineStr">
        <is>
          <t>Y</t>
        </is>
      </c>
      <c r="E228" t="inlineStr">
        <is>
          <t>Y</t>
        </is>
      </c>
      <c r="F228" t="inlineStr">
        <is>
          <t>6</t>
        </is>
      </c>
      <c r="G228" t="inlineStr">
        <is>
          <t>RIGHT HERITAGE SCHOOL, 104 LAMBE BUS STOP, JANKARA IJAIYE</t>
        </is>
      </c>
      <c r="H228" t="inlineStr">
        <is>
          <t>Existing</t>
        </is>
      </c>
      <c r="I228" t="inlineStr">
        <is>
          <t>N</t>
        </is>
      </c>
    </row>
    <row r="229">
      <c r="A229" t="inlineStr">
        <is>
          <t>LFC1307</t>
        </is>
      </c>
      <c r="B229" t="inlineStr">
        <is>
          <t>LFC1307</t>
        </is>
      </c>
      <c r="C229" t="inlineStr">
        <is>
          <t>IJAIYE</t>
        </is>
      </c>
      <c r="D229" t="inlineStr">
        <is>
          <t>Y</t>
        </is>
      </c>
      <c r="E229" t="inlineStr">
        <is>
          <t>Y</t>
        </is>
      </c>
      <c r="F229" t="inlineStr">
        <is>
          <t>7</t>
        </is>
      </c>
      <c r="G229" t="inlineStr">
        <is>
          <t>5, OLUFUNSHO AYODELE, WINNERS EST, A/EGBA</t>
        </is>
      </c>
      <c r="H229" t="inlineStr">
        <is>
          <t>Existing</t>
        </is>
      </c>
      <c r="I229" t="inlineStr">
        <is>
          <t>N</t>
        </is>
      </c>
    </row>
    <row r="230">
      <c r="A230" t="inlineStr">
        <is>
          <t>LFC1308</t>
        </is>
      </c>
      <c r="B230" t="inlineStr">
        <is>
          <t>LFC1308</t>
        </is>
      </c>
      <c r="C230" t="inlineStr">
        <is>
          <t>IJAIYE</t>
        </is>
      </c>
      <c r="D230" t="inlineStr">
        <is>
          <t>Y</t>
        </is>
      </c>
      <c r="E230" t="inlineStr">
        <is>
          <t>Y</t>
        </is>
      </c>
      <c r="F230" t="inlineStr">
        <is>
          <t>8</t>
        </is>
      </c>
      <c r="G230" t="inlineStr">
        <is>
          <t>18 WAMON TAOFEEK STR, ABULE EGBA</t>
        </is>
      </c>
      <c r="H230" t="inlineStr">
        <is>
          <t>Existing</t>
        </is>
      </c>
      <c r="I230" t="inlineStr">
        <is>
          <t>N</t>
        </is>
      </c>
    </row>
    <row r="231">
      <c r="A231" t="inlineStr">
        <is>
          <t>LFC1309</t>
        </is>
      </c>
      <c r="B231" t="inlineStr">
        <is>
          <t>LFC1309</t>
        </is>
      </c>
      <c r="C231" t="inlineStr">
        <is>
          <t>IJAIYE</t>
        </is>
      </c>
      <c r="D231" t="inlineStr">
        <is>
          <t>Y</t>
        </is>
      </c>
      <c r="E231" t="inlineStr">
        <is>
          <t>Y</t>
        </is>
      </c>
      <c r="F231" t="inlineStr">
        <is>
          <t>9</t>
        </is>
      </c>
      <c r="G231" t="inlineStr">
        <is>
          <t>23, ADEPEGBA, ABULE-EGBA, LAGOS</t>
        </is>
      </c>
      <c r="H231" t="inlineStr">
        <is>
          <t>Existing</t>
        </is>
      </c>
      <c r="I231" t="inlineStr">
        <is>
          <t>N</t>
        </is>
      </c>
    </row>
    <row r="232">
      <c r="A232" t="inlineStr">
        <is>
          <t>LFC1310</t>
        </is>
      </c>
      <c r="B232" t="inlineStr">
        <is>
          <t>LFC1310</t>
        </is>
      </c>
      <c r="C232" t="inlineStr">
        <is>
          <t>IJAIYE</t>
        </is>
      </c>
      <c r="D232" t="inlineStr">
        <is>
          <t>Y</t>
        </is>
      </c>
      <c r="E232" t="inlineStr">
        <is>
          <t>Y</t>
        </is>
      </c>
      <c r="F232" t="inlineStr">
        <is>
          <t>10</t>
        </is>
      </c>
      <c r="G232" t="inlineStr">
        <is>
          <t>4, ADEOLA BISAYO LANE, BECKLEY EST, ABULEGBA</t>
        </is>
      </c>
      <c r="H232" t="inlineStr">
        <is>
          <t>Existing</t>
        </is>
      </c>
      <c r="I232" t="inlineStr">
        <is>
          <t>N</t>
        </is>
      </c>
    </row>
    <row r="233">
      <c r="A233" t="inlineStr">
        <is>
          <t>LFC1311</t>
        </is>
      </c>
      <c r="B233" t="inlineStr">
        <is>
          <t>LFC1311</t>
        </is>
      </c>
      <c r="C233" t="inlineStr">
        <is>
          <t>IJAIYE</t>
        </is>
      </c>
      <c r="D233" t="inlineStr">
        <is>
          <t>Y</t>
        </is>
      </c>
      <c r="E233" t="inlineStr">
        <is>
          <t>Y</t>
        </is>
      </c>
      <c r="F233" t="inlineStr">
        <is>
          <t>11</t>
        </is>
      </c>
      <c r="G233" t="inlineStr">
        <is>
          <t>93, JIBOWU ESTATE ROAD, ABULE EGBA</t>
        </is>
      </c>
      <c r="H233" t="inlineStr">
        <is>
          <t>Existing</t>
        </is>
      </c>
      <c r="I233" t="inlineStr">
        <is>
          <t>N</t>
        </is>
      </c>
    </row>
    <row r="234">
      <c r="A234" t="inlineStr">
        <is>
          <t>LFC1312</t>
        </is>
      </c>
      <c r="B234" t="inlineStr">
        <is>
          <t>LFC1312</t>
        </is>
      </c>
      <c r="C234" t="inlineStr">
        <is>
          <t>IJAIYE</t>
        </is>
      </c>
      <c r="D234" t="inlineStr">
        <is>
          <t>Y</t>
        </is>
      </c>
      <c r="E234" t="inlineStr">
        <is>
          <t>Y</t>
        </is>
      </c>
      <c r="F234" t="inlineStr">
        <is>
          <t>12</t>
        </is>
      </c>
      <c r="G234" t="inlineStr">
        <is>
          <t>18/20,FUNSO OWOYEMI STREET</t>
        </is>
      </c>
      <c r="H234" t="inlineStr">
        <is>
          <t>Existing</t>
        </is>
      </c>
      <c r="I234" t="inlineStr">
        <is>
          <t>N</t>
        </is>
      </c>
    </row>
    <row r="235">
      <c r="A235" t="inlineStr">
        <is>
          <t>LFC1313</t>
        </is>
      </c>
      <c r="B235" t="inlineStr">
        <is>
          <t>LFC1313</t>
        </is>
      </c>
      <c r="C235" t="inlineStr">
        <is>
          <t>IJAIYE</t>
        </is>
      </c>
      <c r="D235" t="inlineStr">
        <is>
          <t>N</t>
        </is>
      </c>
      <c r="E235" t="inlineStr">
        <is>
          <t>Y</t>
        </is>
      </c>
      <c r="F235" t="inlineStr">
        <is>
          <t>13</t>
        </is>
      </c>
      <c r="G235" t="inlineStr">
        <is>
          <t>22, OLANIYI STR, NEW OKO-OBA</t>
        </is>
      </c>
      <c r="H235" t="inlineStr">
        <is>
          <t>Existing</t>
        </is>
      </c>
      <c r="I235" t="inlineStr">
        <is>
          <t>N</t>
        </is>
      </c>
    </row>
    <row r="236">
      <c r="A236" t="inlineStr">
        <is>
          <t>LFC1314</t>
        </is>
      </c>
      <c r="B236" t="inlineStr">
        <is>
          <t>LFC1314</t>
        </is>
      </c>
      <c r="C236" t="inlineStr">
        <is>
          <t>IJAIYE</t>
        </is>
      </c>
      <c r="D236" t="inlineStr">
        <is>
          <t>N</t>
        </is>
      </c>
      <c r="E236" t="inlineStr">
        <is>
          <t>Y</t>
        </is>
      </c>
      <c r="F236" t="inlineStr">
        <is>
          <t>14</t>
        </is>
      </c>
      <c r="G236" t="inlineStr">
        <is>
          <t>19 IDOWU OYA STREET , KOLA ALAGBADO</t>
        </is>
      </c>
      <c r="H236" t="inlineStr">
        <is>
          <t>Existing</t>
        </is>
      </c>
      <c r="I236" t="inlineStr">
        <is>
          <t>N</t>
        </is>
      </c>
    </row>
    <row r="237">
      <c r="A237" t="inlineStr">
        <is>
          <t>LFC1315</t>
        </is>
      </c>
      <c r="B237" t="inlineStr">
        <is>
          <t>LFC1315</t>
        </is>
      </c>
      <c r="C237" t="inlineStr">
        <is>
          <t>IJAIYE</t>
        </is>
      </c>
      <c r="D237" t="inlineStr">
        <is>
          <t>Y</t>
        </is>
      </c>
      <c r="E237" t="inlineStr">
        <is>
          <t>Y</t>
        </is>
      </c>
      <c r="F237" t="inlineStr">
        <is>
          <t>15</t>
        </is>
      </c>
      <c r="G237" t="inlineStr">
        <is>
          <t>18A, Ogunsote Close Jankara</t>
        </is>
      </c>
      <c r="H237" t="inlineStr">
        <is>
          <t>Existing</t>
        </is>
      </c>
      <c r="I237" t="inlineStr">
        <is>
          <t>N</t>
        </is>
      </c>
    </row>
    <row r="238">
      <c r="A238" t="inlineStr">
        <is>
          <t>LFC1316</t>
        </is>
      </c>
      <c r="B238" t="inlineStr">
        <is>
          <t>LFC1316</t>
        </is>
      </c>
      <c r="C238" t="inlineStr">
        <is>
          <t>IJAIYE</t>
        </is>
      </c>
      <c r="D238" t="inlineStr">
        <is>
          <t>N</t>
        </is>
      </c>
      <c r="E238" t="inlineStr">
        <is>
          <t>Y</t>
        </is>
      </c>
      <c r="F238" t="inlineStr">
        <is>
          <t>16</t>
        </is>
      </c>
      <c r="G238" t="inlineStr">
        <is>
          <t>5, ADEWUNMI ADUN STREET</t>
        </is>
      </c>
      <c r="H238" t="inlineStr">
        <is>
          <t>Existing</t>
        </is>
      </c>
      <c r="I238" t="inlineStr">
        <is>
          <t>N</t>
        </is>
      </c>
    </row>
    <row r="239">
      <c r="A239" t="inlineStr">
        <is>
          <t>LFC1317</t>
        </is>
      </c>
      <c r="B239" t="inlineStr">
        <is>
          <t>LFC1317</t>
        </is>
      </c>
      <c r="C239" t="inlineStr">
        <is>
          <t>IJAIYE</t>
        </is>
      </c>
      <c r="D239" t="inlineStr">
        <is>
          <t>N</t>
        </is>
      </c>
      <c r="E239" t="inlineStr">
        <is>
          <t>Y</t>
        </is>
      </c>
      <c r="F239" t="inlineStr">
        <is>
          <t>17</t>
        </is>
      </c>
      <c r="G239" t="inlineStr">
        <is>
          <t>8 SHODEINDE STREET ABULE EGBA</t>
        </is>
      </c>
      <c r="H239" t="inlineStr">
        <is>
          <t>Existing</t>
        </is>
      </c>
      <c r="I239" t="inlineStr">
        <is>
          <t>N</t>
        </is>
      </c>
    </row>
    <row r="240">
      <c r="A240" t="inlineStr">
        <is>
          <t>LFC1318</t>
        </is>
      </c>
      <c r="B240" t="inlineStr">
        <is>
          <t>LFC1318</t>
        </is>
      </c>
      <c r="C240" t="inlineStr">
        <is>
          <t>IJAIYE</t>
        </is>
      </c>
      <c r="D240" t="inlineStr">
        <is>
          <t>N</t>
        </is>
      </c>
      <c r="E240" t="inlineStr">
        <is>
          <t>Y</t>
        </is>
      </c>
      <c r="F240" t="inlineStr">
        <is>
          <t>18</t>
        </is>
      </c>
      <c r="G240" t="inlineStr">
        <is>
          <t>11 ALFRED AWALA, SALOLO, OJOKORO</t>
        </is>
      </c>
      <c r="H240" t="inlineStr">
        <is>
          <t>Existing</t>
        </is>
      </c>
      <c r="I240" t="inlineStr">
        <is>
          <t>N</t>
        </is>
      </c>
    </row>
    <row r="241">
      <c r="A241" t="inlineStr">
        <is>
          <t>LFC1401</t>
        </is>
      </c>
      <c r="B241" t="inlineStr">
        <is>
          <t>LFC1401</t>
        </is>
      </c>
      <c r="C241" t="inlineStr">
        <is>
          <t>OGBA</t>
        </is>
      </c>
      <c r="D241" t="inlineStr">
        <is>
          <t>Y</t>
        </is>
      </c>
      <c r="E241" t="inlineStr">
        <is>
          <t>Y</t>
        </is>
      </c>
      <c r="F241" t="inlineStr">
        <is>
          <t>1</t>
        </is>
      </c>
      <c r="G241" t="inlineStr">
        <is>
          <t>NO.6 WEMPCO ROAD OGBA LAGOS</t>
        </is>
      </c>
      <c r="H241" t="inlineStr">
        <is>
          <t>Existing</t>
        </is>
      </c>
      <c r="I241" t="inlineStr">
        <is>
          <t>N</t>
        </is>
      </c>
    </row>
    <row r="242">
      <c r="A242" t="inlineStr">
        <is>
          <t>LFC1402</t>
        </is>
      </c>
      <c r="B242" t="inlineStr">
        <is>
          <t>LFC1402</t>
        </is>
      </c>
      <c r="C242" t="inlineStr">
        <is>
          <t>OGBA</t>
        </is>
      </c>
      <c r="D242" t="inlineStr">
        <is>
          <t>N</t>
        </is>
      </c>
      <c r="E242" t="inlineStr">
        <is>
          <t>Y</t>
        </is>
      </c>
      <c r="F242" t="inlineStr">
        <is>
          <t>2</t>
        </is>
      </c>
      <c r="G242" t="inlineStr">
        <is>
          <t>FAITH ACADEMY SAKAMORI, OGBA</t>
        </is>
      </c>
      <c r="H242" t="inlineStr">
        <is>
          <t>Existing</t>
        </is>
      </c>
      <c r="I242" t="inlineStr">
        <is>
          <t>N</t>
        </is>
      </c>
    </row>
    <row r="243">
      <c r="A243" t="inlineStr">
        <is>
          <t>LFC1403</t>
        </is>
      </c>
      <c r="B243" t="inlineStr">
        <is>
          <t>LFC1403</t>
        </is>
      </c>
      <c r="C243" t="inlineStr">
        <is>
          <t>OGBA</t>
        </is>
      </c>
      <c r="D243" t="inlineStr">
        <is>
          <t>N</t>
        </is>
      </c>
      <c r="E243" t="inlineStr">
        <is>
          <t>Y</t>
        </is>
      </c>
      <c r="F243" t="inlineStr">
        <is>
          <t>3</t>
        </is>
      </c>
      <c r="G243" t="inlineStr">
        <is>
          <t>23, IMAM OJOKU STREET, MORICAS AGEGE</t>
        </is>
      </c>
      <c r="H243" t="inlineStr">
        <is>
          <t>Existing</t>
        </is>
      </c>
      <c r="I243" t="inlineStr">
        <is>
          <t>N</t>
        </is>
      </c>
    </row>
    <row r="244">
      <c r="A244" t="inlineStr">
        <is>
          <t>LFC1404</t>
        </is>
      </c>
      <c r="B244" t="inlineStr">
        <is>
          <t>LFC1404</t>
        </is>
      </c>
      <c r="C244" t="inlineStr">
        <is>
          <t>OGBA</t>
        </is>
      </c>
      <c r="D244" t="inlineStr">
        <is>
          <t>Y</t>
        </is>
      </c>
      <c r="E244" t="inlineStr">
        <is>
          <t>Y</t>
        </is>
      </c>
      <c r="F244" t="inlineStr">
        <is>
          <t>4</t>
        </is>
      </c>
      <c r="G244" t="inlineStr">
        <is>
          <t>NECA HOUSE MKO GARDENS - AGIDINGBI</t>
        </is>
      </c>
      <c r="H244" t="inlineStr">
        <is>
          <t>Existing</t>
        </is>
      </c>
      <c r="I244" t="inlineStr">
        <is>
          <t>N</t>
        </is>
      </c>
    </row>
    <row r="245">
      <c r="A245" t="inlineStr">
        <is>
          <t>LFC1405</t>
        </is>
      </c>
      <c r="B245" t="inlineStr">
        <is>
          <t>LFC1405</t>
        </is>
      </c>
      <c r="C245" t="inlineStr">
        <is>
          <t>OGBA</t>
        </is>
      </c>
      <c r="D245" t="inlineStr">
        <is>
          <t>N</t>
        </is>
      </c>
      <c r="E245" t="inlineStr">
        <is>
          <t>Y</t>
        </is>
      </c>
      <c r="F245" t="inlineStr">
        <is>
          <t>5</t>
        </is>
      </c>
      <c r="G245" t="inlineStr">
        <is>
          <t>16 ANUOLUWAPO STREET AGEGE</t>
        </is>
      </c>
      <c r="H245" t="inlineStr">
        <is>
          <t>Existing</t>
        </is>
      </c>
      <c r="I245" t="inlineStr">
        <is>
          <t>N</t>
        </is>
      </c>
    </row>
    <row r="246">
      <c r="A246" t="inlineStr">
        <is>
          <t>LFC1406</t>
        </is>
      </c>
      <c r="B246" t="inlineStr">
        <is>
          <t>LFC1406</t>
        </is>
      </c>
      <c r="C246" t="inlineStr">
        <is>
          <t>OGBA</t>
        </is>
      </c>
      <c r="D246" t="inlineStr">
        <is>
          <t>N</t>
        </is>
      </c>
      <c r="E246" t="inlineStr">
        <is>
          <t>Y</t>
        </is>
      </c>
      <c r="F246" t="inlineStr">
        <is>
          <t>6</t>
        </is>
      </c>
      <c r="G246" t="inlineStr">
        <is>
          <t>14, SALIMONU STREET OFF OLD ABEOKUTA MOTOR ROAD AGEGE</t>
        </is>
      </c>
      <c r="H246" t="inlineStr">
        <is>
          <t>Existing</t>
        </is>
      </c>
      <c r="I246" t="inlineStr">
        <is>
          <t>N</t>
        </is>
      </c>
    </row>
    <row r="247">
      <c r="A247" t="inlineStr">
        <is>
          <t>LFC1407</t>
        </is>
      </c>
      <c r="B247" t="inlineStr">
        <is>
          <t>LFC1407</t>
        </is>
      </c>
      <c r="C247" t="inlineStr">
        <is>
          <t>OGBA</t>
        </is>
      </c>
      <c r="D247" t="inlineStr">
        <is>
          <t>Y</t>
        </is>
      </c>
      <c r="E247" t="inlineStr">
        <is>
          <t>Y</t>
        </is>
      </c>
      <c r="F247" t="inlineStr">
        <is>
          <t>7</t>
        </is>
      </c>
      <c r="G247" t="inlineStr">
        <is>
          <t>3 OLORUN ADABA STREET DOUPEMU</t>
        </is>
      </c>
      <c r="H247" t="inlineStr">
        <is>
          <t>Existing</t>
        </is>
      </c>
      <c r="I247" t="inlineStr">
        <is>
          <t>N</t>
        </is>
      </c>
    </row>
    <row r="248">
      <c r="A248" t="inlineStr">
        <is>
          <t>LFC1408</t>
        </is>
      </c>
      <c r="B248" t="inlineStr">
        <is>
          <t>LFC1408</t>
        </is>
      </c>
      <c r="C248" t="inlineStr">
        <is>
          <t>OGBA</t>
        </is>
      </c>
      <c r="D248" t="inlineStr">
        <is>
          <t>N</t>
        </is>
      </c>
      <c r="E248" t="inlineStr">
        <is>
          <t>Y</t>
        </is>
      </c>
      <c r="F248" t="inlineStr">
        <is>
          <t>8</t>
        </is>
      </c>
      <c r="G248" t="inlineStr">
        <is>
          <t>5 AJAYI OLOGIDAN STREET</t>
        </is>
      </c>
      <c r="H248" t="inlineStr">
        <is>
          <t>Existing</t>
        </is>
      </c>
      <c r="I248" t="inlineStr">
        <is>
          <t>N</t>
        </is>
      </c>
    </row>
    <row r="249">
      <c r="A249" t="inlineStr">
        <is>
          <t>LFC1409</t>
        </is>
      </c>
      <c r="B249" t="inlineStr">
        <is>
          <t>LFC1409</t>
        </is>
      </c>
      <c r="C249" t="inlineStr">
        <is>
          <t>OGBA</t>
        </is>
      </c>
      <c r="D249" t="inlineStr">
        <is>
          <t>Y</t>
        </is>
      </c>
      <c r="E249" t="inlineStr">
        <is>
          <t>Y</t>
        </is>
      </c>
      <c r="F249" t="inlineStr">
        <is>
          <t>9</t>
        </is>
      </c>
      <c r="G249" t="inlineStr">
        <is>
          <t>30, BAKARE OPEISHA STREET PAPA ASHA AGEGE</t>
        </is>
      </c>
      <c r="H249" t="inlineStr">
        <is>
          <t>Existing</t>
        </is>
      </c>
      <c r="I249" t="inlineStr">
        <is>
          <t>N</t>
        </is>
      </c>
    </row>
    <row r="250">
      <c r="A250" t="inlineStr">
        <is>
          <t>LFC1410</t>
        </is>
      </c>
      <c r="B250" t="inlineStr">
        <is>
          <t>LFC1410</t>
        </is>
      </c>
      <c r="C250" t="inlineStr">
        <is>
          <t>OGBA</t>
        </is>
      </c>
      <c r="D250" t="inlineStr">
        <is>
          <t>N</t>
        </is>
      </c>
      <c r="E250" t="inlineStr">
        <is>
          <t>Y</t>
        </is>
      </c>
      <c r="F250" t="inlineStr">
        <is>
          <t>10</t>
        </is>
      </c>
      <c r="G250" t="inlineStr">
        <is>
          <t>18, OLAMIKO STREET DOPEMU</t>
        </is>
      </c>
      <c r="H250" t="inlineStr">
        <is>
          <t>Existing</t>
        </is>
      </c>
      <c r="I250" t="inlineStr">
        <is>
          <t>N</t>
        </is>
      </c>
    </row>
    <row r="251">
      <c r="A251" t="inlineStr">
        <is>
          <t>LFC1411</t>
        </is>
      </c>
      <c r="B251" t="inlineStr">
        <is>
          <t>LFC1411</t>
        </is>
      </c>
      <c r="C251" t="inlineStr">
        <is>
          <t>OGBA</t>
        </is>
      </c>
      <c r="D251" t="inlineStr">
        <is>
          <t>Y</t>
        </is>
      </c>
      <c r="E251" t="inlineStr">
        <is>
          <t>Y</t>
        </is>
      </c>
      <c r="F251" t="inlineStr">
        <is>
          <t>11</t>
        </is>
      </c>
      <c r="G251" t="inlineStr">
        <is>
          <t>10, POPOOLA STREET AGEGE</t>
        </is>
      </c>
      <c r="H251" t="inlineStr">
        <is>
          <t>Existing</t>
        </is>
      </c>
      <c r="I251" t="inlineStr">
        <is>
          <t>N</t>
        </is>
      </c>
    </row>
    <row r="252">
      <c r="A252" t="inlineStr">
        <is>
          <t>LFC1412</t>
        </is>
      </c>
      <c r="B252" t="inlineStr">
        <is>
          <t>LFC1412</t>
        </is>
      </c>
      <c r="C252" t="inlineStr">
        <is>
          <t>OGBA</t>
        </is>
      </c>
      <c r="D252" t="inlineStr">
        <is>
          <t>Y</t>
        </is>
      </c>
      <c r="E252" t="inlineStr">
        <is>
          <t>Y</t>
        </is>
      </c>
      <c r="F252" t="inlineStr">
        <is>
          <t>12</t>
        </is>
      </c>
      <c r="G252" t="inlineStr">
        <is>
          <t>33,OYINLOLA STREET, DOPEMU A</t>
        </is>
      </c>
      <c r="H252" t="inlineStr">
        <is>
          <t>Existing</t>
        </is>
      </c>
      <c r="I252" t="inlineStr">
        <is>
          <t>N</t>
        </is>
      </c>
    </row>
    <row r="253">
      <c r="A253" t="inlineStr">
        <is>
          <t>LFC1501</t>
        </is>
      </c>
      <c r="B253" t="inlineStr">
        <is>
          <t>LFC1501</t>
        </is>
      </c>
      <c r="C253" t="inlineStr">
        <is>
          <t>YABA</t>
        </is>
      </c>
      <c r="D253" t="inlineStr">
        <is>
          <t>Y</t>
        </is>
      </c>
      <c r="E253" t="inlineStr">
        <is>
          <t>Y</t>
        </is>
      </c>
      <c r="F253" t="inlineStr">
        <is>
          <t>1</t>
        </is>
      </c>
      <c r="G253" t="inlineStr">
        <is>
          <t>44 MONTGOMERY ROAD YABA</t>
        </is>
      </c>
      <c r="H253" t="inlineStr">
        <is>
          <t>Existing</t>
        </is>
      </c>
      <c r="I253" t="inlineStr">
        <is>
          <t>N</t>
        </is>
      </c>
    </row>
    <row r="254">
      <c r="A254" t="inlineStr">
        <is>
          <t>LFC1502</t>
        </is>
      </c>
      <c r="B254" t="inlineStr">
        <is>
          <t>LFC1502</t>
        </is>
      </c>
      <c r="C254" t="inlineStr">
        <is>
          <t>YABA</t>
        </is>
      </c>
      <c r="D254" t="inlineStr">
        <is>
          <t>Y</t>
        </is>
      </c>
      <c r="E254" t="inlineStr">
        <is>
          <t>Y</t>
        </is>
      </c>
      <c r="F254" t="inlineStr">
        <is>
          <t>2</t>
        </is>
      </c>
      <c r="G254" t="inlineStr">
        <is>
          <t>ST TIMOTHY COLLEGE IWAYA</t>
        </is>
      </c>
      <c r="H254" t="inlineStr">
        <is>
          <t>Existing</t>
        </is>
      </c>
      <c r="I254" t="inlineStr">
        <is>
          <t>N</t>
        </is>
      </c>
    </row>
    <row r="255">
      <c r="A255" t="inlineStr">
        <is>
          <t>LFC1503</t>
        </is>
      </c>
      <c r="B255" t="inlineStr">
        <is>
          <t>LFC1503</t>
        </is>
      </c>
      <c r="C255" t="inlineStr">
        <is>
          <t>YABA</t>
        </is>
      </c>
      <c r="D255" t="inlineStr">
        <is>
          <t>Y</t>
        </is>
      </c>
      <c r="E255" t="inlineStr">
        <is>
          <t>Y</t>
        </is>
      </c>
      <c r="F255" t="inlineStr">
        <is>
          <t>3</t>
        </is>
      </c>
      <c r="G255" t="inlineStr">
        <is>
          <t>5, ARAROMI LANE, MAKOKO</t>
        </is>
      </c>
      <c r="H255" t="inlineStr">
        <is>
          <t>Existing</t>
        </is>
      </c>
      <c r="I255" t="inlineStr">
        <is>
          <t>N</t>
        </is>
      </c>
    </row>
    <row r="256">
      <c r="A256" t="inlineStr">
        <is>
          <t>LFC1504</t>
        </is>
      </c>
      <c r="B256" t="inlineStr">
        <is>
          <t>LFC1504</t>
        </is>
      </c>
      <c r="C256" t="inlineStr">
        <is>
          <t>YABA</t>
        </is>
      </c>
      <c r="D256" t="inlineStr">
        <is>
          <t>N</t>
        </is>
      </c>
      <c r="E256" t="inlineStr">
        <is>
          <t>Y</t>
        </is>
      </c>
      <c r="F256" t="inlineStr">
        <is>
          <t>4</t>
        </is>
      </c>
      <c r="G256" t="inlineStr">
        <is>
          <t>52 MURTALA MOHAMMED WAY</t>
        </is>
      </c>
      <c r="H256" t="inlineStr">
        <is>
          <t>Existing</t>
        </is>
      </c>
      <c r="I256" t="inlineStr">
        <is>
          <t>N</t>
        </is>
      </c>
    </row>
    <row r="257">
      <c r="A257" t="inlineStr">
        <is>
          <t>LFC1505</t>
        </is>
      </c>
      <c r="B257" t="inlineStr">
        <is>
          <t>LFC1505</t>
        </is>
      </c>
      <c r="C257" t="inlineStr">
        <is>
          <t>YABA</t>
        </is>
      </c>
      <c r="D257" t="inlineStr">
        <is>
          <t>Y</t>
        </is>
      </c>
      <c r="E257" t="inlineStr">
        <is>
          <t>Y</t>
        </is>
      </c>
      <c r="F257" t="inlineStr">
        <is>
          <t>5</t>
        </is>
      </c>
      <c r="G257" t="inlineStr">
        <is>
          <t>5, AWE CRESCENT ONIPANU.</t>
        </is>
      </c>
      <c r="H257" t="inlineStr">
        <is>
          <t>Existing</t>
        </is>
      </c>
      <c r="I257" t="inlineStr">
        <is>
          <t>N</t>
        </is>
      </c>
    </row>
    <row r="258">
      <c r="A258" t="inlineStr">
        <is>
          <t>LFC1506</t>
        </is>
      </c>
      <c r="B258" t="inlineStr">
        <is>
          <t>LFC1506</t>
        </is>
      </c>
      <c r="C258" t="inlineStr">
        <is>
          <t>YABA</t>
        </is>
      </c>
      <c r="D258" t="inlineStr">
        <is>
          <t>N</t>
        </is>
      </c>
      <c r="E258" t="inlineStr">
        <is>
          <t>Y</t>
        </is>
      </c>
      <c r="F258" t="inlineStr">
        <is>
          <t>6</t>
        </is>
      </c>
      <c r="G258" t="inlineStr">
        <is>
          <t>40, FOLAGORO STREET, ABULE-IJESHA, LAGOS</t>
        </is>
      </c>
      <c r="H258" t="inlineStr">
        <is>
          <t>Existing</t>
        </is>
      </c>
      <c r="I258" t="inlineStr">
        <is>
          <t>N</t>
        </is>
      </c>
    </row>
    <row r="259">
      <c r="A259" t="inlineStr">
        <is>
          <t>LFC1507</t>
        </is>
      </c>
      <c r="B259" t="inlineStr">
        <is>
          <t>LFC1507</t>
        </is>
      </c>
      <c r="C259" t="inlineStr">
        <is>
          <t>YABA</t>
        </is>
      </c>
      <c r="D259" t="inlineStr">
        <is>
          <t>Y</t>
        </is>
      </c>
      <c r="E259" t="inlineStr">
        <is>
          <t>Y</t>
        </is>
      </c>
      <c r="F259" t="inlineStr">
        <is>
          <t>7</t>
        </is>
      </c>
      <c r="G259" t="inlineStr">
        <is>
          <t>12, ST FINBARRS COLLEGE ROAD, AKOKA, LAGOS</t>
        </is>
      </c>
      <c r="H259" t="inlineStr">
        <is>
          <t>Existing</t>
        </is>
      </c>
      <c r="I259" t="inlineStr">
        <is>
          <t>N</t>
        </is>
      </c>
    </row>
    <row r="260">
      <c r="A260" t="inlineStr">
        <is>
          <t>LFC1508</t>
        </is>
      </c>
      <c r="B260" t="inlineStr">
        <is>
          <t>LFC1508</t>
        </is>
      </c>
      <c r="C260" t="inlineStr">
        <is>
          <t>YABA</t>
        </is>
      </c>
      <c r="D260" t="inlineStr">
        <is>
          <t>Y</t>
        </is>
      </c>
      <c r="E260" t="inlineStr">
        <is>
          <t>Y</t>
        </is>
      </c>
      <c r="F260" t="inlineStr">
        <is>
          <t>8</t>
        </is>
      </c>
      <c r="G260" t="inlineStr">
        <is>
          <t>1, OHEKENU STREET FADEYI</t>
        </is>
      </c>
      <c r="H260" t="inlineStr">
        <is>
          <t>Existing</t>
        </is>
      </c>
      <c r="I260" t="inlineStr">
        <is>
          <t>N</t>
        </is>
      </c>
    </row>
    <row r="261">
      <c r="A261" t="inlineStr">
        <is>
          <t>LFC1509</t>
        </is>
      </c>
      <c r="B261" t="inlineStr">
        <is>
          <t>LFC1509</t>
        </is>
      </c>
      <c r="C261" t="inlineStr">
        <is>
          <t>YABA</t>
        </is>
      </c>
      <c r="D261" t="inlineStr">
        <is>
          <t>N</t>
        </is>
      </c>
      <c r="E261" t="inlineStr">
        <is>
          <t>Y</t>
        </is>
      </c>
      <c r="F261" t="inlineStr">
        <is>
          <t>9</t>
        </is>
      </c>
      <c r="G261" t="inlineStr">
        <is>
          <t>7, EMMANUEL KOLAWOLE STREET, ABULE IJESHA</t>
        </is>
      </c>
      <c r="H261" t="inlineStr">
        <is>
          <t>Existing</t>
        </is>
      </c>
      <c r="I261" t="inlineStr">
        <is>
          <t>N</t>
        </is>
      </c>
    </row>
    <row r="262">
      <c r="A262" t="inlineStr">
        <is>
          <t>LFC1510</t>
        </is>
      </c>
      <c r="B262" t="inlineStr">
        <is>
          <t>LFC1510</t>
        </is>
      </c>
      <c r="C262" t="inlineStr">
        <is>
          <t>YABA</t>
        </is>
      </c>
      <c r="D262" t="inlineStr">
        <is>
          <t>N</t>
        </is>
      </c>
      <c r="E262" t="inlineStr">
        <is>
          <t>Y</t>
        </is>
      </c>
      <c r="F262" t="inlineStr">
        <is>
          <t>10</t>
        </is>
      </c>
      <c r="G262" t="inlineStr">
        <is>
          <t>32, MORROCO ROAD SHOMOLU</t>
        </is>
      </c>
      <c r="H262" t="inlineStr">
        <is>
          <t>Existing</t>
        </is>
      </c>
      <c r="I262" t="inlineStr">
        <is>
          <t>N</t>
        </is>
      </c>
    </row>
    <row r="263">
      <c r="A263" t="inlineStr">
        <is>
          <t>LFC1601</t>
        </is>
      </c>
      <c r="B263" t="inlineStr">
        <is>
          <t>LFC1601</t>
        </is>
      </c>
      <c r="C263" t="inlineStr">
        <is>
          <t>MUSHIN</t>
        </is>
      </c>
      <c r="D263" t="inlineStr">
        <is>
          <t>Y</t>
        </is>
      </c>
      <c r="E263" t="inlineStr">
        <is>
          <t>Y</t>
        </is>
      </c>
      <c r="F263" t="inlineStr">
        <is>
          <t>7</t>
        </is>
      </c>
      <c r="G263" t="inlineStr">
        <is>
          <t>254 AGEGE MOTOR ROAD, MUSHIN</t>
        </is>
      </c>
      <c r="H263" t="inlineStr">
        <is>
          <t>Existing</t>
        </is>
      </c>
      <c r="I263" t="inlineStr">
        <is>
          <t>N</t>
        </is>
      </c>
    </row>
    <row r="264">
      <c r="A264" t="inlineStr">
        <is>
          <t>LFC1602</t>
        </is>
      </c>
      <c r="B264" t="inlineStr">
        <is>
          <t>LFC1602</t>
        </is>
      </c>
      <c r="C264" t="inlineStr">
        <is>
          <t>MUSHIN</t>
        </is>
      </c>
      <c r="D264" t="inlineStr">
        <is>
          <t>N</t>
        </is>
      </c>
      <c r="E264" t="inlineStr">
        <is>
          <t>Y</t>
        </is>
      </c>
      <c r="F264" t="inlineStr">
        <is>
          <t>2</t>
        </is>
      </c>
      <c r="G264" t="inlineStr">
        <is>
          <t>12, OLU AINA STREET, ILASA MUSHIN LAGOS</t>
        </is>
      </c>
      <c r="H264" t="inlineStr">
        <is>
          <t>From reporting system</t>
        </is>
      </c>
      <c r="I264" t="inlineStr">
        <is>
          <t>N</t>
        </is>
      </c>
    </row>
    <row r="265">
      <c r="A265" t="inlineStr">
        <is>
          <t>LFC1604</t>
        </is>
      </c>
      <c r="B265" t="inlineStr">
        <is>
          <t>LFC1604</t>
        </is>
      </c>
      <c r="C265" t="inlineStr">
        <is>
          <t>MUSHIN</t>
        </is>
      </c>
      <c r="D265" t="inlineStr">
        <is>
          <t>Y</t>
        </is>
      </c>
      <c r="E265" t="inlineStr">
        <is>
          <t>Y</t>
        </is>
      </c>
      <c r="F265" t="inlineStr">
        <is>
          <t>2</t>
        </is>
      </c>
      <c r="G265" t="inlineStr">
        <is>
          <t>7, BODE THOMAS, ONIPANU</t>
        </is>
      </c>
      <c r="H265" t="inlineStr">
        <is>
          <t>Existing</t>
        </is>
      </c>
      <c r="I265" t="inlineStr">
        <is>
          <t>N</t>
        </is>
      </c>
    </row>
    <row r="266">
      <c r="A266" t="inlineStr">
        <is>
          <t>LFC1605</t>
        </is>
      </c>
      <c r="B266" t="inlineStr">
        <is>
          <t>LFC1605</t>
        </is>
      </c>
      <c r="C266" t="inlineStr">
        <is>
          <t>MUSHIN</t>
        </is>
      </c>
      <c r="D266" t="inlineStr">
        <is>
          <t>N</t>
        </is>
      </c>
      <c r="E266" t="inlineStr">
        <is>
          <t>Y</t>
        </is>
      </c>
      <c r="F266" t="inlineStr">
        <is>
          <t>3</t>
        </is>
      </c>
      <c r="G266" t="inlineStr">
        <is>
          <t>40, OLADEINDE COKER, MUSHIN</t>
        </is>
      </c>
      <c r="H266" t="inlineStr">
        <is>
          <t>Existing</t>
        </is>
      </c>
      <c r="I266" t="inlineStr">
        <is>
          <t>N</t>
        </is>
      </c>
    </row>
    <row r="267">
      <c r="A267" t="inlineStr">
        <is>
          <t>LFC1606</t>
        </is>
      </c>
      <c r="B267" t="inlineStr">
        <is>
          <t>LFC1606</t>
        </is>
      </c>
      <c r="C267" t="inlineStr">
        <is>
          <t>MUSHIN</t>
        </is>
      </c>
      <c r="D267" t="inlineStr">
        <is>
          <t>N</t>
        </is>
      </c>
      <c r="E267" t="inlineStr">
        <is>
          <t>Y</t>
        </is>
      </c>
      <c r="F267" t="inlineStr">
        <is>
          <t>4</t>
        </is>
      </c>
      <c r="G267" t="inlineStr">
        <is>
          <t>12, ADETULA STREET, PAPA AJAO, MUSHIN</t>
        </is>
      </c>
      <c r="H267" t="inlineStr">
        <is>
          <t>Existing</t>
        </is>
      </c>
      <c r="I267" t="inlineStr">
        <is>
          <t>N</t>
        </is>
      </c>
    </row>
    <row r="268">
      <c r="A268" t="inlineStr">
        <is>
          <t>LFC1607</t>
        </is>
      </c>
      <c r="B268" t="inlineStr">
        <is>
          <t>LFC1607</t>
        </is>
      </c>
      <c r="C268" t="inlineStr">
        <is>
          <t>MUSHIN</t>
        </is>
      </c>
      <c r="D268" t="inlineStr">
        <is>
          <t>Y</t>
        </is>
      </c>
      <c r="E268" t="inlineStr">
        <is>
          <t>Y</t>
        </is>
      </c>
      <c r="F268" t="inlineStr">
        <is>
          <t>5</t>
        </is>
      </c>
      <c r="G268" t="inlineStr">
        <is>
          <t>30, LAYI OYEKANMI STREET, MUSHIN</t>
        </is>
      </c>
      <c r="H268" t="inlineStr">
        <is>
          <t>Existing</t>
        </is>
      </c>
      <c r="I268" t="inlineStr">
        <is>
          <t>N</t>
        </is>
      </c>
    </row>
    <row r="269">
      <c r="A269" t="inlineStr">
        <is>
          <t>LFC1608</t>
        </is>
      </c>
      <c r="B269" t="inlineStr">
        <is>
          <t>LFC1608</t>
        </is>
      </c>
      <c r="C269" t="inlineStr">
        <is>
          <t>MUSHIN</t>
        </is>
      </c>
      <c r="D269" t="inlineStr">
        <is>
          <t>N</t>
        </is>
      </c>
      <c r="E269" t="inlineStr">
        <is>
          <t>Y</t>
        </is>
      </c>
      <c r="F269" t="inlineStr">
        <is>
          <t>6</t>
        </is>
      </c>
      <c r="G269" t="inlineStr">
        <is>
          <t>223, AGEGE MOTOR ROAD, MUSHIN</t>
        </is>
      </c>
      <c r="H269" t="inlineStr">
        <is>
          <t>Existing</t>
        </is>
      </c>
      <c r="I269" t="inlineStr">
        <is>
          <t>N</t>
        </is>
      </c>
    </row>
    <row r="270">
      <c r="A270" t="inlineStr">
        <is>
          <t>LFC1609</t>
        </is>
      </c>
      <c r="B270" t="inlineStr">
        <is>
          <t>LFC1609</t>
        </is>
      </c>
      <c r="C270" t="inlineStr">
        <is>
          <t>MUSHIN</t>
        </is>
      </c>
      <c r="D270" t="inlineStr">
        <is>
          <t>Y</t>
        </is>
      </c>
      <c r="E270" t="inlineStr">
        <is>
          <t>Y</t>
        </is>
      </c>
      <c r="F270" t="inlineStr">
        <is>
          <t>1</t>
        </is>
      </c>
      <c r="G270" t="inlineStr">
        <is>
          <t>118 AGEGE MOTOR ROAD, ECO BANK FIRST FLOOR IDI ORO</t>
        </is>
      </c>
      <c r="H270" t="inlineStr">
        <is>
          <t>Existing</t>
        </is>
      </c>
      <c r="I270" t="inlineStr">
        <is>
          <t>N</t>
        </is>
      </c>
    </row>
    <row r="271">
      <c r="A271" t="inlineStr">
        <is>
          <t>LFC1610</t>
        </is>
      </c>
      <c r="B271" t="inlineStr">
        <is>
          <t>LFC1610</t>
        </is>
      </c>
      <c r="C271" t="inlineStr">
        <is>
          <t>MUSHIN</t>
        </is>
      </c>
      <c r="D271" t="inlineStr">
        <is>
          <t>N</t>
        </is>
      </c>
      <c r="E271" t="inlineStr">
        <is>
          <t>Y</t>
        </is>
      </c>
      <c r="F271" t="inlineStr">
        <is>
          <t>8</t>
        </is>
      </c>
      <c r="G271" t="inlineStr">
        <is>
          <t>24 SUBERU BANIRE STREET ILASAMAJA, MUSHIN</t>
        </is>
      </c>
      <c r="H271" t="inlineStr">
        <is>
          <t>Existing</t>
        </is>
      </c>
      <c r="I271" t="inlineStr">
        <is>
          <t>N</t>
        </is>
      </c>
    </row>
    <row r="272">
      <c r="A272" t="inlineStr">
        <is>
          <t>LFC1701</t>
        </is>
      </c>
      <c r="B272" t="inlineStr">
        <is>
          <t>LFC1701</t>
        </is>
      </c>
      <c r="C272" t="inlineStr">
        <is>
          <t>AMUWO</t>
        </is>
      </c>
      <c r="D272" t="inlineStr">
        <is>
          <t>Y</t>
        </is>
      </c>
      <c r="E272" t="inlineStr">
        <is>
          <t>Y</t>
        </is>
      </c>
      <c r="F272" t="inlineStr">
        <is>
          <t>1</t>
        </is>
      </c>
      <c r="G272" t="inlineStr">
        <is>
          <t>1 CONVEANT ROAD AMUWO-ODOFIN</t>
        </is>
      </c>
      <c r="H272" t="inlineStr">
        <is>
          <t>Existing</t>
        </is>
      </c>
      <c r="I272" t="inlineStr">
        <is>
          <t>N</t>
        </is>
      </c>
    </row>
    <row r="273">
      <c r="A273" t="inlineStr">
        <is>
          <t>LFC1702</t>
        </is>
      </c>
      <c r="B273" t="inlineStr">
        <is>
          <t>LFC1702</t>
        </is>
      </c>
      <c r="C273" t="inlineStr">
        <is>
          <t>AMUWO</t>
        </is>
      </c>
      <c r="D273" t="inlineStr">
        <is>
          <t>N</t>
        </is>
      </c>
      <c r="E273" t="inlineStr">
        <is>
          <t>Y</t>
        </is>
      </c>
      <c r="F273" t="inlineStr">
        <is>
          <t>2</t>
        </is>
      </c>
      <c r="G273" t="inlineStr">
        <is>
          <t>24 OGBOLU ONWUKA,RAJI RASAKI</t>
        </is>
      </c>
      <c r="H273" t="inlineStr">
        <is>
          <t>Existing</t>
        </is>
      </c>
      <c r="I273" t="inlineStr">
        <is>
          <t>N</t>
        </is>
      </c>
    </row>
    <row r="274">
      <c r="A274" t="inlineStr">
        <is>
          <t>LFC1703</t>
        </is>
      </c>
      <c r="B274" t="inlineStr">
        <is>
          <t>LFC1703</t>
        </is>
      </c>
      <c r="C274" t="inlineStr">
        <is>
          <t>AMUWO</t>
        </is>
      </c>
      <c r="D274" t="inlineStr">
        <is>
          <t>Y</t>
        </is>
      </c>
      <c r="E274" t="inlineStr">
        <is>
          <t>Y</t>
        </is>
      </c>
      <c r="F274" t="inlineStr">
        <is>
          <t>3</t>
        </is>
      </c>
      <c r="G274" t="inlineStr">
        <is>
          <t>2 EMMANUEL OFFOR STREET GREEEN FIELD ESTATE</t>
        </is>
      </c>
      <c r="H274" t="inlineStr">
        <is>
          <t>Existing</t>
        </is>
      </c>
      <c r="I274" t="inlineStr">
        <is>
          <t>N</t>
        </is>
      </c>
    </row>
    <row r="275">
      <c r="A275" t="inlineStr">
        <is>
          <t>LFC1704</t>
        </is>
      </c>
      <c r="B275" t="inlineStr">
        <is>
          <t>LFC1704</t>
        </is>
      </c>
      <c r="C275" t="inlineStr">
        <is>
          <t>AMUWO</t>
        </is>
      </c>
      <c r="D275" t="inlineStr">
        <is>
          <t>Y</t>
        </is>
      </c>
      <c r="E275" t="inlineStr">
        <is>
          <t>Y</t>
        </is>
      </c>
      <c r="F275" t="inlineStr">
        <is>
          <t>4</t>
        </is>
      </c>
      <c r="G275" t="inlineStr">
        <is>
          <t>16 RAIMI STREET ONIREKE, OJO</t>
        </is>
      </c>
      <c r="H275" t="inlineStr">
        <is>
          <t>Existing</t>
        </is>
      </c>
      <c r="I275" t="inlineStr">
        <is>
          <t>N</t>
        </is>
      </c>
    </row>
    <row r="276">
      <c r="A276" t="inlineStr">
        <is>
          <t>LFC1705</t>
        </is>
      </c>
      <c r="B276" t="inlineStr">
        <is>
          <t>LFC1705</t>
        </is>
      </c>
      <c r="C276" t="inlineStr">
        <is>
          <t>AMUWO</t>
        </is>
      </c>
      <c r="D276" t="inlineStr">
        <is>
          <t>N</t>
        </is>
      </c>
      <c r="E276" t="inlineStr">
        <is>
          <t>Y</t>
        </is>
      </c>
      <c r="F276" t="inlineStr">
        <is>
          <t>5</t>
        </is>
      </c>
      <c r="G276" t="inlineStr">
        <is>
          <t>8 OKONKWO CLOSE BESIDE MIVARA SECONDARY SCHOOL, TEDI</t>
        </is>
      </c>
      <c r="H276" t="inlineStr">
        <is>
          <t>Existing</t>
        </is>
      </c>
      <c r="I276" t="inlineStr">
        <is>
          <t>N</t>
        </is>
      </c>
    </row>
    <row r="277">
      <c r="A277" t="inlineStr">
        <is>
          <t>LFC1706</t>
        </is>
      </c>
      <c r="B277" t="inlineStr">
        <is>
          <t>LFC1706</t>
        </is>
      </c>
      <c r="C277" t="inlineStr">
        <is>
          <t>AMUWO</t>
        </is>
      </c>
      <c r="D277" t="inlineStr">
        <is>
          <t>N</t>
        </is>
      </c>
      <c r="E277" t="inlineStr">
        <is>
          <t>Y</t>
        </is>
      </c>
      <c r="F277" t="inlineStr">
        <is>
          <t>6</t>
        </is>
      </c>
      <c r="G277" t="inlineStr">
        <is>
          <t>27 HABIB STREET, AGRIC, OJO</t>
        </is>
      </c>
      <c r="H277" t="inlineStr">
        <is>
          <t>Existing</t>
        </is>
      </c>
      <c r="I277" t="inlineStr">
        <is>
          <t>N</t>
        </is>
      </c>
    </row>
    <row r="278">
      <c r="A278" t="inlineStr">
        <is>
          <t>LFC1707</t>
        </is>
      </c>
      <c r="B278" t="inlineStr">
        <is>
          <t>LFC1707</t>
        </is>
      </c>
      <c r="C278" t="inlineStr">
        <is>
          <t>AMUWO</t>
        </is>
      </c>
      <c r="D278" t="inlineStr">
        <is>
          <t>Y</t>
        </is>
      </c>
      <c r="E278" t="inlineStr">
        <is>
          <t>Y</t>
        </is>
      </c>
      <c r="F278" t="inlineStr">
        <is>
          <t>7</t>
        </is>
      </c>
      <c r="G278" t="inlineStr">
        <is>
          <t>10 ALLI STREET IRA</t>
        </is>
      </c>
      <c r="H278" t="inlineStr">
        <is>
          <t>Existing</t>
        </is>
      </c>
      <c r="I278" t="inlineStr">
        <is>
          <t>N</t>
        </is>
      </c>
    </row>
    <row r="279">
      <c r="A279" t="inlineStr">
        <is>
          <t>LFC1708</t>
        </is>
      </c>
      <c r="B279" t="inlineStr">
        <is>
          <t>LFC1708</t>
        </is>
      </c>
      <c r="C279" t="inlineStr">
        <is>
          <t>AMUWO</t>
        </is>
      </c>
      <c r="D279" t="inlineStr">
        <is>
          <t>Y</t>
        </is>
      </c>
      <c r="E279" t="inlineStr">
        <is>
          <t>Y</t>
        </is>
      </c>
      <c r="F279" t="inlineStr">
        <is>
          <t>8</t>
        </is>
      </c>
      <c r="G279" t="inlineStr">
        <is>
          <t>5 ARAGBAROGUN CLOSE, OJO</t>
        </is>
      </c>
      <c r="H279" t="inlineStr">
        <is>
          <t>Existing</t>
        </is>
      </c>
      <c r="I279" t="inlineStr">
        <is>
          <t>N</t>
        </is>
      </c>
    </row>
    <row r="280">
      <c r="A280" t="inlineStr">
        <is>
          <t>LFC1709</t>
        </is>
      </c>
      <c r="B280" t="inlineStr">
        <is>
          <t>LFC1709</t>
        </is>
      </c>
      <c r="C280" t="inlineStr">
        <is>
          <t>AMUWO</t>
        </is>
      </c>
      <c r="D280" t="inlineStr">
        <is>
          <t>Y</t>
        </is>
      </c>
      <c r="E280" t="inlineStr">
        <is>
          <t>Y</t>
        </is>
      </c>
      <c r="F280" t="inlineStr">
        <is>
          <t>9</t>
        </is>
      </c>
      <c r="G280" t="inlineStr">
        <is>
          <t>5 OGUNJUGBA STRETT, ILUFE</t>
        </is>
      </c>
      <c r="H280" t="inlineStr">
        <is>
          <t>Existing</t>
        </is>
      </c>
      <c r="I280" t="inlineStr">
        <is>
          <t>N</t>
        </is>
      </c>
    </row>
    <row r="281">
      <c r="A281" t="inlineStr">
        <is>
          <t>LFC1710</t>
        </is>
      </c>
      <c r="B281" t="inlineStr">
        <is>
          <t>LFC1710</t>
        </is>
      </c>
      <c r="C281" t="inlineStr">
        <is>
          <t>AMUWO</t>
        </is>
      </c>
      <c r="D281" t="inlineStr">
        <is>
          <t>N</t>
        </is>
      </c>
      <c r="E281" t="inlineStr">
        <is>
          <t>Y</t>
        </is>
      </c>
      <c r="F281" t="inlineStr">
        <is>
          <t>10</t>
        </is>
      </c>
      <c r="G281" t="inlineStr">
        <is>
          <t>BLK 228 FLAT 2 MILE 2 ESTATE AMUWO</t>
        </is>
      </c>
      <c r="H281" t="inlineStr">
        <is>
          <t>Existing</t>
        </is>
      </c>
      <c r="I281" t="inlineStr">
        <is>
          <t>N</t>
        </is>
      </c>
    </row>
    <row r="282">
      <c r="A282" t="inlineStr">
        <is>
          <t>LFC1717</t>
        </is>
      </c>
      <c r="B282" t="inlineStr">
        <is>
          <t>LFC1717</t>
        </is>
      </c>
      <c r="C282" t="inlineStr">
        <is>
          <t>AMUWO</t>
        </is>
      </c>
      <c r="D282" t="inlineStr">
        <is>
          <t>N</t>
        </is>
      </c>
      <c r="E282" t="inlineStr">
        <is>
          <t>Y</t>
        </is>
      </c>
      <c r="F282" t="inlineStr">
        <is>
          <t>17</t>
        </is>
      </c>
      <c r="G282" t="inlineStr">
        <is>
          <t>IRA</t>
        </is>
      </c>
      <c r="H282" t="inlineStr">
        <is>
          <t>From reporting system</t>
        </is>
      </c>
      <c r="I282" t="inlineStr">
        <is>
          <t>N</t>
        </is>
      </c>
    </row>
    <row r="283">
      <c r="A283" t="inlineStr">
        <is>
          <t>LFC1801</t>
        </is>
      </c>
      <c r="B283" t="inlineStr">
        <is>
          <t>LFC1801</t>
        </is>
      </c>
      <c r="C283" t="inlineStr">
        <is>
          <t>AYOBO</t>
        </is>
      </c>
      <c r="D283" t="inlineStr">
        <is>
          <t>Y</t>
        </is>
      </c>
      <c r="E283" t="inlineStr">
        <is>
          <t>Y</t>
        </is>
      </c>
      <c r="F283" t="inlineStr">
        <is>
          <t>1</t>
        </is>
      </c>
      <c r="G283" t="inlineStr">
        <is>
          <t>1, PARK LANE AVENUE OFF BABS AYORINDE CRESCENT, AYOB</t>
        </is>
      </c>
      <c r="H283" t="inlineStr">
        <is>
          <t>Existing</t>
        </is>
      </c>
      <c r="I283" t="inlineStr">
        <is>
          <t>N</t>
        </is>
      </c>
    </row>
    <row r="284">
      <c r="A284" t="inlineStr">
        <is>
          <t>LFC1802</t>
        </is>
      </c>
      <c r="B284" t="inlineStr">
        <is>
          <t>LFC1802</t>
        </is>
      </c>
      <c r="C284" t="inlineStr">
        <is>
          <t>AYOBO</t>
        </is>
      </c>
      <c r="D284" t="inlineStr">
        <is>
          <t>Y</t>
        </is>
      </c>
      <c r="E284" t="inlineStr">
        <is>
          <t>Y</t>
        </is>
      </c>
      <c r="F284" t="inlineStr">
        <is>
          <t>2</t>
        </is>
      </c>
      <c r="G284" t="inlineStr">
        <is>
          <t>7, ADEOLA KAREEM STREET,ONIKANGA, AYOBO</t>
        </is>
      </c>
      <c r="H284" t="inlineStr">
        <is>
          <t>Existing</t>
        </is>
      </c>
      <c r="I284" t="inlineStr">
        <is>
          <t>N</t>
        </is>
      </c>
    </row>
    <row r="285">
      <c r="A285" t="inlineStr">
        <is>
          <t>LFC1803</t>
        </is>
      </c>
      <c r="B285" t="inlineStr">
        <is>
          <t>LFC1803</t>
        </is>
      </c>
      <c r="C285" t="inlineStr">
        <is>
          <t>AYOBO</t>
        </is>
      </c>
      <c r="D285" t="inlineStr">
        <is>
          <t>N</t>
        </is>
      </c>
      <c r="E285" t="inlineStr">
        <is>
          <t>Y</t>
        </is>
      </c>
      <c r="F285" t="inlineStr">
        <is>
          <t>3</t>
        </is>
      </c>
      <c r="G285" t="inlineStr">
        <is>
          <t>27, WULEMOTU STREET, BADA</t>
        </is>
      </c>
      <c r="H285" t="inlineStr">
        <is>
          <t>Existing</t>
        </is>
      </c>
      <c r="I285" t="inlineStr">
        <is>
          <t>N</t>
        </is>
      </c>
    </row>
    <row r="286">
      <c r="A286" t="inlineStr">
        <is>
          <t>LFC1804</t>
        </is>
      </c>
      <c r="B286" t="inlineStr">
        <is>
          <t>LFC1804</t>
        </is>
      </c>
      <c r="C286" t="inlineStr">
        <is>
          <t>AYOBO</t>
        </is>
      </c>
      <c r="D286" t="inlineStr">
        <is>
          <t>Y</t>
        </is>
      </c>
      <c r="E286" t="inlineStr">
        <is>
          <t>Y</t>
        </is>
      </c>
      <c r="F286" t="inlineStr">
        <is>
          <t>4</t>
        </is>
      </c>
      <c r="G286" t="inlineStr">
        <is>
          <t>2, ADENIJI ABOLADE STR. ISHEFUN</t>
        </is>
      </c>
      <c r="H286" t="inlineStr">
        <is>
          <t>Existing</t>
        </is>
      </c>
      <c r="I286" t="inlineStr">
        <is>
          <t>N</t>
        </is>
      </c>
    </row>
    <row r="287">
      <c r="A287" t="inlineStr">
        <is>
          <t>LFC1805</t>
        </is>
      </c>
      <c r="B287" t="inlineStr">
        <is>
          <t>LFC1805</t>
        </is>
      </c>
      <c r="C287" t="inlineStr">
        <is>
          <t>AYOBO</t>
        </is>
      </c>
      <c r="D287" t="inlineStr">
        <is>
          <t>Y</t>
        </is>
      </c>
      <c r="E287" t="inlineStr">
        <is>
          <t>Y</t>
        </is>
      </c>
      <c r="F287" t="inlineStr">
        <is>
          <t>5</t>
        </is>
      </c>
      <c r="G287" t="inlineStr">
        <is>
          <t>1, BETHEL STREET PROMISELAND, OSHIN,AYOBO</t>
        </is>
      </c>
      <c r="H287" t="inlineStr">
        <is>
          <t>Existing</t>
        </is>
      </c>
      <c r="I287" t="inlineStr">
        <is>
          <t>N</t>
        </is>
      </c>
    </row>
    <row r="288">
      <c r="A288" t="inlineStr">
        <is>
          <t>LFC1806</t>
        </is>
      </c>
      <c r="B288" t="inlineStr">
        <is>
          <t>LFC1806</t>
        </is>
      </c>
      <c r="C288" t="inlineStr">
        <is>
          <t>AYOBO</t>
        </is>
      </c>
      <c r="D288" t="inlineStr">
        <is>
          <t>Y</t>
        </is>
      </c>
      <c r="E288" t="inlineStr">
        <is>
          <t>Y</t>
        </is>
      </c>
      <c r="F288" t="inlineStr">
        <is>
          <t>6</t>
        </is>
      </c>
      <c r="G288" t="inlineStr">
        <is>
          <t>1, OKUNFOLAMIN STREEET, OSHIN, AYOBO</t>
        </is>
      </c>
      <c r="H288" t="inlineStr">
        <is>
          <t>Existing</t>
        </is>
      </c>
      <c r="I288" t="inlineStr">
        <is>
          <t>Y</t>
        </is>
      </c>
    </row>
    <row r="289">
      <c r="A289" t="inlineStr">
        <is>
          <t>LFC1807</t>
        </is>
      </c>
      <c r="B289" t="inlineStr">
        <is>
          <t>LFC1807</t>
        </is>
      </c>
      <c r="C289" t="inlineStr">
        <is>
          <t>AYOBO</t>
        </is>
      </c>
      <c r="D289" t="inlineStr">
        <is>
          <t>Y</t>
        </is>
      </c>
      <c r="E289" t="inlineStr">
        <is>
          <t>Y</t>
        </is>
      </c>
      <c r="F289" t="inlineStr">
        <is>
          <t>7</t>
        </is>
      </c>
      <c r="G289" t="inlineStr">
        <is>
          <t>16, IJAOLA OSHINDELE STREET, ORISUNBARE</t>
        </is>
      </c>
      <c r="H289" t="inlineStr">
        <is>
          <t>Existing</t>
        </is>
      </c>
      <c r="I289" t="inlineStr">
        <is>
          <t>N</t>
        </is>
      </c>
    </row>
    <row r="290">
      <c r="A290" t="inlineStr">
        <is>
          <t>LFC1808</t>
        </is>
      </c>
      <c r="B290" t="inlineStr">
        <is>
          <t>LFC1808</t>
        </is>
      </c>
      <c r="C290" t="inlineStr">
        <is>
          <t>AYOBO</t>
        </is>
      </c>
      <c r="D290" t="inlineStr">
        <is>
          <t>Y</t>
        </is>
      </c>
      <c r="E290" t="inlineStr">
        <is>
          <t>Y</t>
        </is>
      </c>
      <c r="F290" t="inlineStr">
        <is>
          <t>8</t>
        </is>
      </c>
      <c r="G290" t="inlineStr">
        <is>
          <t>8, YAKUBU JAIYEOLA ,SAFU ESTATE, BOLAJI</t>
        </is>
      </c>
      <c r="H290" t="inlineStr">
        <is>
          <t>Existing</t>
        </is>
      </c>
      <c r="I290" t="inlineStr">
        <is>
          <t>N</t>
        </is>
      </c>
    </row>
    <row r="291">
      <c r="A291" t="inlineStr">
        <is>
          <t>LFC1809</t>
        </is>
      </c>
      <c r="B291" t="inlineStr">
        <is>
          <t>LFC1809</t>
        </is>
      </c>
      <c r="C291" t="inlineStr">
        <is>
          <t>AYOBO</t>
        </is>
      </c>
      <c r="D291" t="inlineStr">
        <is>
          <t>Y</t>
        </is>
      </c>
      <c r="E291" t="inlineStr">
        <is>
          <t>Y</t>
        </is>
      </c>
      <c r="F291" t="inlineStr">
        <is>
          <t>9</t>
        </is>
      </c>
      <c r="G291" t="inlineStr">
        <is>
          <t>15, IKECHUKWU OGUJUMBA STREET, OLORUNISHOLA</t>
        </is>
      </c>
      <c r="H291" t="inlineStr">
        <is>
          <t>Existing</t>
        </is>
      </c>
      <c r="I291" t="inlineStr">
        <is>
          <t>N</t>
        </is>
      </c>
    </row>
    <row r="292">
      <c r="A292" t="inlineStr">
        <is>
          <t>LFC1810</t>
        </is>
      </c>
      <c r="B292" t="inlineStr">
        <is>
          <t>LFC1810</t>
        </is>
      </c>
      <c r="C292" t="inlineStr">
        <is>
          <t>AYOBO</t>
        </is>
      </c>
      <c r="D292" t="inlineStr">
        <is>
          <t>Y</t>
        </is>
      </c>
      <c r="E292" t="inlineStr">
        <is>
          <t>Y</t>
        </is>
      </c>
      <c r="F292" t="inlineStr">
        <is>
          <t>10</t>
        </is>
      </c>
      <c r="G292" t="inlineStr">
        <is>
          <t>7, OLOJEDE STREET, OFF AYOBO LAST BUS STOP ROUND ABOUT</t>
        </is>
      </c>
      <c r="H292" t="inlineStr">
        <is>
          <t>Existing</t>
        </is>
      </c>
      <c r="I292" t="inlineStr">
        <is>
          <t>N</t>
        </is>
      </c>
    </row>
    <row r="293">
      <c r="A293" t="inlineStr">
        <is>
          <t>LFC1811</t>
        </is>
      </c>
      <c r="B293" t="inlineStr">
        <is>
          <t>LFC1811</t>
        </is>
      </c>
      <c r="C293" t="inlineStr">
        <is>
          <t>AYOBO</t>
        </is>
      </c>
      <c r="D293" t="inlineStr">
        <is>
          <t>N</t>
        </is>
      </c>
      <c r="E293" t="inlineStr">
        <is>
          <t>Y</t>
        </is>
      </c>
      <c r="F293" t="inlineStr">
        <is>
          <t>11</t>
        </is>
      </c>
      <c r="G293" t="inlineStr">
        <is>
          <t>PROWESS HALL SCHOOL, BY OTUN JUNCTION, KANDE ,AYOBO</t>
        </is>
      </c>
      <c r="H293" t="inlineStr">
        <is>
          <t>Existing</t>
        </is>
      </c>
      <c r="I293" t="inlineStr">
        <is>
          <t>N</t>
        </is>
      </c>
    </row>
    <row r="294">
      <c r="A294" t="inlineStr">
        <is>
          <t>LFC1901</t>
        </is>
      </c>
      <c r="B294" t="inlineStr">
        <is>
          <t>LFC1901</t>
        </is>
      </c>
      <c r="C294" t="inlineStr">
        <is>
          <t>OLAYEMI</t>
        </is>
      </c>
      <c r="D294" t="inlineStr">
        <is>
          <t>Y</t>
        </is>
      </c>
      <c r="E294" t="inlineStr">
        <is>
          <t>Y</t>
        </is>
      </c>
      <c r="F294" t="inlineStr">
        <is>
          <t>1</t>
        </is>
      </c>
      <c r="G294" t="inlineStr">
        <is>
          <t>5, ADEEYO CLOSE</t>
        </is>
      </c>
      <c r="H294" t="inlineStr">
        <is>
          <t>Existing</t>
        </is>
      </c>
      <c r="I294" t="inlineStr">
        <is>
          <t>N</t>
        </is>
      </c>
    </row>
    <row r="295">
      <c r="A295" t="inlineStr">
        <is>
          <t>LFC1902</t>
        </is>
      </c>
      <c r="B295" t="inlineStr">
        <is>
          <t>LFC1902</t>
        </is>
      </c>
      <c r="C295" t="inlineStr">
        <is>
          <t>OLAYEMI</t>
        </is>
      </c>
      <c r="D295" t="inlineStr">
        <is>
          <t>Y</t>
        </is>
      </c>
      <c r="E295" t="inlineStr">
        <is>
          <t>Y</t>
        </is>
      </c>
      <c r="F295" t="inlineStr">
        <is>
          <t>2</t>
        </is>
      </c>
      <c r="G295" t="inlineStr">
        <is>
          <t>4, GOMESS OLUWOLE STREET, OLAYEMI</t>
        </is>
      </c>
      <c r="H295" t="inlineStr">
        <is>
          <t>Existing</t>
        </is>
      </c>
      <c r="I295" t="inlineStr">
        <is>
          <t>N</t>
        </is>
      </c>
    </row>
    <row r="296">
      <c r="A296" t="inlineStr">
        <is>
          <t>LFC1903</t>
        </is>
      </c>
      <c r="B296" t="inlineStr">
        <is>
          <t>LFC1903</t>
        </is>
      </c>
      <c r="C296" t="inlineStr">
        <is>
          <t>OLAYEMI</t>
        </is>
      </c>
      <c r="D296" t="inlineStr">
        <is>
          <t>Y</t>
        </is>
      </c>
      <c r="E296" t="inlineStr">
        <is>
          <t>Y</t>
        </is>
      </c>
      <c r="F296" t="inlineStr">
        <is>
          <t>3</t>
        </is>
      </c>
      <c r="G296" t="inlineStr">
        <is>
          <t>6, ORELOPE STREET OFF SABO, AYOBO</t>
        </is>
      </c>
      <c r="H296" t="inlineStr">
        <is>
          <t>Existing</t>
        </is>
      </c>
      <c r="I296" t="inlineStr">
        <is>
          <t>N</t>
        </is>
      </c>
    </row>
    <row r="297">
      <c r="A297" t="inlineStr">
        <is>
          <t>LFC1904</t>
        </is>
      </c>
      <c r="B297" t="inlineStr">
        <is>
          <t>LFC1904</t>
        </is>
      </c>
      <c r="C297" t="inlineStr">
        <is>
          <t>OLAYEMI</t>
        </is>
      </c>
      <c r="D297" t="inlineStr">
        <is>
          <t>Y</t>
        </is>
      </c>
      <c r="E297" t="inlineStr">
        <is>
          <t>Y</t>
        </is>
      </c>
      <c r="F297" t="inlineStr">
        <is>
          <t>4</t>
        </is>
      </c>
      <c r="G297" t="inlineStr">
        <is>
          <t>17, ALADESANMI STREET, ONIKANGA, AYOBO</t>
        </is>
      </c>
      <c r="H297" t="inlineStr">
        <is>
          <t>Existing</t>
        </is>
      </c>
      <c r="I297" t="inlineStr">
        <is>
          <t>N</t>
        </is>
      </c>
    </row>
    <row r="298">
      <c r="A298" t="inlineStr">
        <is>
          <t>LFC1905</t>
        </is>
      </c>
      <c r="B298" t="inlineStr">
        <is>
          <t>LFC1905</t>
        </is>
      </c>
      <c r="C298" t="inlineStr">
        <is>
          <t>OLAYEMI</t>
        </is>
      </c>
      <c r="D298" t="inlineStr">
        <is>
          <t>N</t>
        </is>
      </c>
      <c r="E298" t="inlineStr">
        <is>
          <t>Y</t>
        </is>
      </c>
      <c r="F298" t="inlineStr">
        <is>
          <t>5</t>
        </is>
      </c>
      <c r="G298" t="inlineStr">
        <is>
          <t>5, LAWAL STREET IGESU</t>
        </is>
      </c>
      <c r="H298" t="inlineStr">
        <is>
          <t>Existing</t>
        </is>
      </c>
      <c r="I298" t="inlineStr">
        <is>
          <t>N</t>
        </is>
      </c>
    </row>
    <row r="299">
      <c r="A299" t="inlineStr">
        <is>
          <t>LFC2001</t>
        </is>
      </c>
      <c r="B299" t="inlineStr">
        <is>
          <t>LFC2001</t>
        </is>
      </c>
      <c r="C299" t="inlineStr">
        <is>
          <t>CANDOS</t>
        </is>
      </c>
      <c r="D299" t="inlineStr">
        <is>
          <t>Y</t>
        </is>
      </c>
      <c r="E299" t="inlineStr">
        <is>
          <t>Y</t>
        </is>
      </c>
      <c r="F299" t="inlineStr">
        <is>
          <t>1</t>
        </is>
      </c>
      <c r="G299" t="inlineStr">
        <is>
          <t>24 CANDOS ROAD MAKINDE ASHIPA AYOBO</t>
        </is>
      </c>
      <c r="H299" t="inlineStr">
        <is>
          <t>Existing</t>
        </is>
      </c>
      <c r="I299" t="inlineStr">
        <is>
          <t>N</t>
        </is>
      </c>
    </row>
    <row r="300">
      <c r="A300" t="inlineStr">
        <is>
          <t>LFC2002</t>
        </is>
      </c>
      <c r="B300" t="inlineStr">
        <is>
          <t>LFC2002</t>
        </is>
      </c>
      <c r="C300" t="inlineStr">
        <is>
          <t>CANDOS</t>
        </is>
      </c>
      <c r="D300" t="inlineStr">
        <is>
          <t>Y</t>
        </is>
      </c>
      <c r="E300" t="inlineStr">
        <is>
          <t>Y</t>
        </is>
      </c>
      <c r="F300" t="inlineStr">
        <is>
          <t>2</t>
        </is>
      </c>
      <c r="G300" t="inlineStr">
        <is>
          <t>10, CHURCH ST. IDERA ESTATE-ASHIPA, AYOBO</t>
        </is>
      </c>
      <c r="H300" t="inlineStr">
        <is>
          <t>Existing</t>
        </is>
      </c>
      <c r="I300" t="inlineStr">
        <is>
          <t>N</t>
        </is>
      </c>
    </row>
    <row r="301">
      <c r="A301" t="inlineStr">
        <is>
          <t>LFC2003</t>
        </is>
      </c>
      <c r="B301" t="inlineStr">
        <is>
          <t>LFC2003</t>
        </is>
      </c>
      <c r="C301" t="inlineStr">
        <is>
          <t>CANDOS</t>
        </is>
      </c>
      <c r="D301" t="inlineStr">
        <is>
          <t>N</t>
        </is>
      </c>
      <c r="E301" t="inlineStr">
        <is>
          <t>Y</t>
        </is>
      </c>
      <c r="F301" t="inlineStr">
        <is>
          <t>3</t>
        </is>
      </c>
      <c r="G301" t="inlineStr">
        <is>
          <t>22 PETER ODAMA STREET MAKINDE</t>
        </is>
      </c>
      <c r="H301" t="inlineStr">
        <is>
          <t>Existing</t>
        </is>
      </c>
      <c r="I301" t="inlineStr">
        <is>
          <t>N</t>
        </is>
      </c>
    </row>
    <row r="302">
      <c r="A302" t="inlineStr">
        <is>
          <t>LFC2004</t>
        </is>
      </c>
      <c r="B302" t="inlineStr">
        <is>
          <t>LFC2004</t>
        </is>
      </c>
      <c r="C302" t="inlineStr">
        <is>
          <t>CANDOS</t>
        </is>
      </c>
      <c r="D302" t="inlineStr">
        <is>
          <t>Y</t>
        </is>
      </c>
      <c r="E302" t="inlineStr">
        <is>
          <t>Y</t>
        </is>
      </c>
      <c r="F302" t="inlineStr">
        <is>
          <t>4</t>
        </is>
      </c>
      <c r="G302" t="inlineStr">
        <is>
          <t>8 DELE OJEWOLE ST AYOBO</t>
        </is>
      </c>
      <c r="H302" t="inlineStr">
        <is>
          <t>Existing</t>
        </is>
      </c>
      <c r="I302" t="inlineStr">
        <is>
          <t>N</t>
        </is>
      </c>
    </row>
    <row r="303">
      <c r="A303" t="inlineStr">
        <is>
          <t>LFC2005</t>
        </is>
      </c>
      <c r="B303" t="inlineStr">
        <is>
          <t>LFC2005</t>
        </is>
      </c>
      <c r="C303" t="inlineStr">
        <is>
          <t>CANDOS</t>
        </is>
      </c>
      <c r="D303" t="inlineStr">
        <is>
          <t>Y</t>
        </is>
      </c>
      <c r="E303" t="inlineStr">
        <is>
          <t>Y</t>
        </is>
      </c>
      <c r="F303" t="inlineStr">
        <is>
          <t>5</t>
        </is>
      </c>
      <c r="G303" t="inlineStr">
        <is>
          <t>9 ALHAJA WOSILATU ST OFF AINA OBEMBE IPAJA</t>
        </is>
      </c>
      <c r="H303" t="inlineStr">
        <is>
          <t>Existing</t>
        </is>
      </c>
      <c r="I303" t="inlineStr">
        <is>
          <t>N</t>
        </is>
      </c>
    </row>
    <row r="304">
      <c r="A304" t="inlineStr">
        <is>
          <t>LFC2006</t>
        </is>
      </c>
      <c r="B304" t="inlineStr">
        <is>
          <t>LFC2006</t>
        </is>
      </c>
      <c r="C304" t="inlineStr">
        <is>
          <t>CANDOS</t>
        </is>
      </c>
      <c r="D304" t="inlineStr">
        <is>
          <t>N</t>
        </is>
      </c>
      <c r="E304" t="inlineStr">
        <is>
          <t>Y</t>
        </is>
      </c>
      <c r="F304" t="inlineStr">
        <is>
          <t>6</t>
        </is>
      </c>
      <c r="G304" t="inlineStr">
        <is>
          <t>15 TAIWO STREET, ISOKAN PHASE 2 ESTATE, AYOBO</t>
        </is>
      </c>
      <c r="H304" t="inlineStr">
        <is>
          <t>Existing</t>
        </is>
      </c>
      <c r="I304" t="inlineStr">
        <is>
          <t>N</t>
        </is>
      </c>
    </row>
    <row r="305">
      <c r="A305" t="inlineStr">
        <is>
          <t>LFC2101</t>
        </is>
      </c>
      <c r="B305" t="inlineStr">
        <is>
          <t>LFC2101</t>
        </is>
      </c>
      <c r="C305" t="inlineStr">
        <is>
          <t>MAJIYAGBE</t>
        </is>
      </c>
      <c r="D305" t="inlineStr">
        <is>
          <t>Y</t>
        </is>
      </c>
      <c r="E305" t="inlineStr">
        <is>
          <t>Y</t>
        </is>
      </c>
      <c r="F305" t="inlineStr">
        <is>
          <t>1</t>
        </is>
      </c>
      <c r="G305" t="inlineStr">
        <is>
          <t>42, WOLE EDUN STREET</t>
        </is>
      </c>
      <c r="H305" t="inlineStr">
        <is>
          <t>Existing</t>
        </is>
      </c>
      <c r="I305" t="inlineStr">
        <is>
          <t>N</t>
        </is>
      </c>
    </row>
    <row r="306">
      <c r="A306" t="inlineStr">
        <is>
          <t>LFC2102</t>
        </is>
      </c>
      <c r="B306" t="inlineStr">
        <is>
          <t>LFC2102</t>
        </is>
      </c>
      <c r="C306" t="inlineStr">
        <is>
          <t>MAJIYAGBE</t>
        </is>
      </c>
      <c r="D306" t="inlineStr">
        <is>
          <t>Y</t>
        </is>
      </c>
      <c r="E306" t="inlineStr">
        <is>
          <t>Y</t>
        </is>
      </c>
      <c r="F306" t="inlineStr">
        <is>
          <t>2</t>
        </is>
      </c>
      <c r="G306" t="inlineStr">
        <is>
          <t>1, POWERLINE ROAD</t>
        </is>
      </c>
      <c r="H306" t="inlineStr">
        <is>
          <t>Existing</t>
        </is>
      </c>
      <c r="I306" t="inlineStr">
        <is>
          <t>N</t>
        </is>
      </c>
    </row>
    <row r="307">
      <c r="A307" t="inlineStr">
        <is>
          <t>LFC2103</t>
        </is>
      </c>
      <c r="B307" t="inlineStr">
        <is>
          <t>LFC2103</t>
        </is>
      </c>
      <c r="C307" t="inlineStr">
        <is>
          <t>MAJIYAGBE</t>
        </is>
      </c>
      <c r="D307" t="inlineStr">
        <is>
          <t>Y</t>
        </is>
      </c>
      <c r="E307" t="inlineStr">
        <is>
          <t>Y</t>
        </is>
      </c>
      <c r="F307" t="inlineStr">
        <is>
          <t>3</t>
        </is>
      </c>
      <c r="G307" t="inlineStr">
        <is>
          <t>22, FAGBEMI STREET</t>
        </is>
      </c>
      <c r="H307" t="inlineStr">
        <is>
          <t>Existing</t>
        </is>
      </c>
      <c r="I307" t="inlineStr">
        <is>
          <t>N</t>
        </is>
      </c>
    </row>
    <row r="308">
      <c r="A308" t="inlineStr">
        <is>
          <t>LFC2104</t>
        </is>
      </c>
      <c r="B308" t="inlineStr">
        <is>
          <t>LFC2104</t>
        </is>
      </c>
      <c r="C308" t="inlineStr">
        <is>
          <t>MAJIYAGBE</t>
        </is>
      </c>
      <c r="D308" t="inlineStr">
        <is>
          <t>Y</t>
        </is>
      </c>
      <c r="E308" t="inlineStr">
        <is>
          <t>Y</t>
        </is>
      </c>
      <c r="F308" t="inlineStr">
        <is>
          <t>4</t>
        </is>
      </c>
      <c r="G308" t="inlineStr">
        <is>
          <t>1, AYOADE AZEEZ CLOSE</t>
        </is>
      </c>
      <c r="H308" t="inlineStr">
        <is>
          <t>Existing</t>
        </is>
      </c>
      <c r="I308" t="inlineStr">
        <is>
          <t>N</t>
        </is>
      </c>
    </row>
    <row r="309">
      <c r="A309" t="inlineStr">
        <is>
          <t>LFC2105</t>
        </is>
      </c>
      <c r="B309" t="inlineStr">
        <is>
          <t>LFC2105</t>
        </is>
      </c>
      <c r="C309" t="inlineStr">
        <is>
          <t>MAJIYAGBE</t>
        </is>
      </c>
      <c r="D309" t="inlineStr">
        <is>
          <t>Y</t>
        </is>
      </c>
      <c r="E309" t="inlineStr">
        <is>
          <t>Y</t>
        </is>
      </c>
      <c r="F309" t="inlineStr">
        <is>
          <t>5</t>
        </is>
      </c>
      <c r="G309" t="inlineStr">
        <is>
          <t>32, ODUA STREET, AYOBO.</t>
        </is>
      </c>
      <c r="H309" t="inlineStr">
        <is>
          <t>Existing</t>
        </is>
      </c>
      <c r="I309" t="inlineStr">
        <is>
          <t>N</t>
        </is>
      </c>
    </row>
    <row r="310">
      <c r="A310" t="inlineStr">
        <is>
          <t>LFC2106</t>
        </is>
      </c>
      <c r="B310" t="inlineStr">
        <is>
          <t>LFC2106</t>
        </is>
      </c>
      <c r="C310" t="inlineStr">
        <is>
          <t>MAJIYAGBE</t>
        </is>
      </c>
      <c r="D310" t="inlineStr">
        <is>
          <t>Y</t>
        </is>
      </c>
      <c r="E310" t="inlineStr">
        <is>
          <t>Y</t>
        </is>
      </c>
      <c r="F310" t="inlineStr">
        <is>
          <t>6</t>
        </is>
      </c>
      <c r="G310" t="inlineStr">
        <is>
          <t>10, ABDUL FATAI SOLIU STREET</t>
        </is>
      </c>
      <c r="H310" t="inlineStr">
        <is>
          <t>Existing</t>
        </is>
      </c>
      <c r="I310" t="inlineStr">
        <is>
          <t>N</t>
        </is>
      </c>
    </row>
    <row r="311">
      <c r="A311" t="inlineStr">
        <is>
          <t>LFC2107</t>
        </is>
      </c>
      <c r="B311" t="inlineStr">
        <is>
          <t>LFC2107</t>
        </is>
      </c>
      <c r="C311" t="inlineStr">
        <is>
          <t>MAJIYAGBE</t>
        </is>
      </c>
      <c r="D311" t="inlineStr">
        <is>
          <t>Y</t>
        </is>
      </c>
      <c r="E311" t="inlineStr">
        <is>
          <t>Y</t>
        </is>
      </c>
      <c r="F311" t="inlineStr">
        <is>
          <t>7</t>
        </is>
      </c>
      <c r="G311" t="inlineStr">
        <is>
          <t>19 IDOWU FADEYI FORTRESS SCHOOL</t>
        </is>
      </c>
      <c r="H311" t="inlineStr">
        <is>
          <t>Existing</t>
        </is>
      </c>
      <c r="I311" t="inlineStr">
        <is>
          <t>N</t>
        </is>
      </c>
    </row>
    <row r="312">
      <c r="A312" t="inlineStr">
        <is>
          <t>LFC2108</t>
        </is>
      </c>
      <c r="B312" t="inlineStr">
        <is>
          <t>LFC2108</t>
        </is>
      </c>
      <c r="C312" t="inlineStr">
        <is>
          <t>MAJIYAGBE</t>
        </is>
      </c>
      <c r="D312" t="inlineStr">
        <is>
          <t>Y</t>
        </is>
      </c>
      <c r="E312" t="inlineStr">
        <is>
          <t>Y</t>
        </is>
      </c>
      <c r="F312" t="inlineStr">
        <is>
          <t>8</t>
        </is>
      </c>
      <c r="G312" t="inlineStr">
        <is>
          <t>26, IFELODUN STREET, AYOBO</t>
        </is>
      </c>
      <c r="H312" t="inlineStr">
        <is>
          <t>Existing</t>
        </is>
      </c>
      <c r="I312" t="inlineStr">
        <is>
          <t>N</t>
        </is>
      </c>
    </row>
    <row r="313">
      <c r="A313" t="inlineStr">
        <is>
          <t>LFC2109</t>
        </is>
      </c>
      <c r="B313" t="inlineStr">
        <is>
          <t>LFC2109</t>
        </is>
      </c>
      <c r="C313" t="inlineStr">
        <is>
          <t>MAJIYAGBE</t>
        </is>
      </c>
      <c r="D313" t="inlineStr">
        <is>
          <t>N</t>
        </is>
      </c>
      <c r="E313" t="inlineStr">
        <is>
          <t>Y</t>
        </is>
      </c>
      <c r="F313" t="inlineStr">
        <is>
          <t>9</t>
        </is>
      </c>
      <c r="G313" t="inlineStr">
        <is>
          <t>29, OLORUNLEKE STREET</t>
        </is>
      </c>
      <c r="H313" t="inlineStr">
        <is>
          <t>Existing</t>
        </is>
      </c>
      <c r="I313" t="inlineStr">
        <is>
          <t>N</t>
        </is>
      </c>
    </row>
    <row r="314">
      <c r="A314" t="inlineStr">
        <is>
          <t>LFC2110</t>
        </is>
      </c>
      <c r="B314" t="inlineStr">
        <is>
          <t>LFC2110</t>
        </is>
      </c>
      <c r="C314" t="inlineStr">
        <is>
          <t>MAJIYAGBE</t>
        </is>
      </c>
      <c r="D314" t="inlineStr">
        <is>
          <t>N</t>
        </is>
      </c>
      <c r="E314" t="inlineStr">
        <is>
          <t>Y</t>
        </is>
      </c>
      <c r="F314" t="inlineStr">
        <is>
          <t>10</t>
        </is>
      </c>
      <c r="G314" t="inlineStr">
        <is>
          <t>3, ADE AJAYI CLOSE</t>
        </is>
      </c>
      <c r="H314" t="inlineStr">
        <is>
          <t>Existing</t>
        </is>
      </c>
      <c r="I314" t="inlineStr">
        <is>
          <t>N</t>
        </is>
      </c>
    </row>
    <row r="315">
      <c r="A315" t="inlineStr">
        <is>
          <t>LFC2201</t>
        </is>
      </c>
      <c r="B315" t="inlineStr">
        <is>
          <t>LFC2201</t>
        </is>
      </c>
      <c r="C315" t="inlineStr">
        <is>
          <t>LAFENWA</t>
        </is>
      </c>
      <c r="D315" t="inlineStr">
        <is>
          <t>Y</t>
        </is>
      </c>
      <c r="E315" t="inlineStr">
        <is>
          <t>Y</t>
        </is>
      </c>
      <c r="F315" t="inlineStr">
        <is>
          <t>1</t>
        </is>
      </c>
      <c r="G315" t="inlineStr">
        <is>
          <t>24, OWOFUNMI STREET OFF ERINLE B/STOP AYETORO LAFENWA</t>
        </is>
      </c>
      <c r="H315" t="inlineStr">
        <is>
          <t>Existing</t>
        </is>
      </c>
      <c r="I315" t="inlineStr">
        <is>
          <t>N</t>
        </is>
      </c>
    </row>
    <row r="316">
      <c r="A316" t="inlineStr">
        <is>
          <t>LFC2202</t>
        </is>
      </c>
      <c r="B316" t="inlineStr">
        <is>
          <t>LFC2202</t>
        </is>
      </c>
      <c r="C316" t="inlineStr">
        <is>
          <t>LAFENWA</t>
        </is>
      </c>
      <c r="D316" t="inlineStr">
        <is>
          <t>Y</t>
        </is>
      </c>
      <c r="E316" t="inlineStr">
        <is>
          <t>Y</t>
        </is>
      </c>
      <c r="F316" t="inlineStr">
        <is>
          <t>2</t>
        </is>
      </c>
      <c r="G316" t="inlineStr">
        <is>
          <t>OREMEJI STREET, ITELE LAFENWA ROAD</t>
        </is>
      </c>
      <c r="H316" t="inlineStr">
        <is>
          <t>Existing</t>
        </is>
      </c>
      <c r="I316" t="inlineStr">
        <is>
          <t>Y</t>
        </is>
      </c>
    </row>
    <row r="317">
      <c r="A317" t="inlineStr">
        <is>
          <t>LFC2203</t>
        </is>
      </c>
      <c r="B317" t="inlineStr">
        <is>
          <t>LFC2203</t>
        </is>
      </c>
      <c r="C317" t="inlineStr">
        <is>
          <t>LAFENWA</t>
        </is>
      </c>
      <c r="D317" t="inlineStr">
        <is>
          <t>Y</t>
        </is>
      </c>
      <c r="E317" t="inlineStr">
        <is>
          <t>Y</t>
        </is>
      </c>
      <c r="F317" t="inlineStr">
        <is>
          <t>3</t>
        </is>
      </c>
      <c r="G317" t="inlineStr">
        <is>
          <t>10, OBA OYEWOLE STREET, FENCE</t>
        </is>
      </c>
      <c r="H317" t="inlineStr">
        <is>
          <t>Existing</t>
        </is>
      </c>
      <c r="I317" t="inlineStr">
        <is>
          <t>N</t>
        </is>
      </c>
    </row>
    <row r="318">
      <c r="A318" t="inlineStr">
        <is>
          <t>LFC2204</t>
        </is>
      </c>
      <c r="B318" t="inlineStr">
        <is>
          <t>LFC2204</t>
        </is>
      </c>
      <c r="C318" t="inlineStr">
        <is>
          <t>LAFENWA</t>
        </is>
      </c>
      <c r="D318" t="inlineStr">
        <is>
          <t>Y</t>
        </is>
      </c>
      <c r="E318" t="inlineStr">
        <is>
          <t>Y</t>
        </is>
      </c>
      <c r="F318" t="inlineStr">
        <is>
          <t>4</t>
        </is>
      </c>
      <c r="G318" t="inlineStr">
        <is>
          <t>KENNEDDY STREET OLUGBODE LAFENWA</t>
        </is>
      </c>
      <c r="H318" t="inlineStr">
        <is>
          <t>Existing</t>
        </is>
      </c>
      <c r="I318" t="inlineStr">
        <is>
          <t>N</t>
        </is>
      </c>
    </row>
    <row r="319">
      <c r="A319" t="inlineStr">
        <is>
          <t>LFC2205</t>
        </is>
      </c>
      <c r="B319" t="inlineStr">
        <is>
          <t>LFC2205</t>
        </is>
      </c>
      <c r="C319" t="inlineStr">
        <is>
          <t>LAFENWA</t>
        </is>
      </c>
      <c r="D319" t="inlineStr">
        <is>
          <t>Y</t>
        </is>
      </c>
      <c r="E319" t="inlineStr">
        <is>
          <t>Y</t>
        </is>
      </c>
      <c r="F319" t="inlineStr">
        <is>
          <t>5</t>
        </is>
      </c>
      <c r="G319" t="inlineStr">
        <is>
          <t>7 Rebecca Amusan itamarun</t>
        </is>
      </c>
      <c r="H319" t="inlineStr">
        <is>
          <t>Existing</t>
        </is>
      </c>
      <c r="I319" t="inlineStr">
        <is>
          <t>N</t>
        </is>
      </c>
    </row>
    <row r="320">
      <c r="A320" t="inlineStr">
        <is>
          <t>LFC2206</t>
        </is>
      </c>
      <c r="B320" t="inlineStr">
        <is>
          <t>LFC2206</t>
        </is>
      </c>
      <c r="C320" t="inlineStr">
        <is>
          <t>LAFENWA</t>
        </is>
      </c>
      <c r="D320" t="inlineStr">
        <is>
          <t>Y</t>
        </is>
      </c>
      <c r="E320" t="inlineStr">
        <is>
          <t>Y</t>
        </is>
      </c>
      <c r="F320" t="inlineStr">
        <is>
          <t>6</t>
        </is>
      </c>
      <c r="G320" t="inlineStr">
        <is>
          <t>ITELE PRIMARY SCHOOL ITELE</t>
        </is>
      </c>
      <c r="H320" t="inlineStr">
        <is>
          <t>Existing</t>
        </is>
      </c>
      <c r="I320" t="inlineStr">
        <is>
          <t>N</t>
        </is>
      </c>
    </row>
    <row r="321">
      <c r="A321" t="inlineStr">
        <is>
          <t>LFC2207</t>
        </is>
      </c>
      <c r="B321" t="inlineStr">
        <is>
          <t>LFC2207</t>
        </is>
      </c>
      <c r="C321" t="inlineStr">
        <is>
          <t>LAFENWA</t>
        </is>
      </c>
      <c r="D321" t="inlineStr">
        <is>
          <t>Y</t>
        </is>
      </c>
      <c r="E321" t="inlineStr">
        <is>
          <t>Y</t>
        </is>
      </c>
      <c r="F321" t="inlineStr">
        <is>
          <t>7</t>
        </is>
      </c>
      <c r="G321" t="inlineStr">
        <is>
          <t>31, UNITY AVENUE, YAH LATEEF BUS STOP, ITELE</t>
        </is>
      </c>
      <c r="H321" t="inlineStr">
        <is>
          <t>Existing</t>
        </is>
      </c>
      <c r="I321" t="inlineStr">
        <is>
          <t>N</t>
        </is>
      </c>
    </row>
    <row r="322">
      <c r="A322" t="inlineStr">
        <is>
          <t>LFC2208</t>
        </is>
      </c>
      <c r="B322" t="inlineStr">
        <is>
          <t>LFC2208</t>
        </is>
      </c>
      <c r="C322" t="inlineStr">
        <is>
          <t>LAFENWA</t>
        </is>
      </c>
      <c r="D322" t="inlineStr">
        <is>
          <t>Y</t>
        </is>
      </c>
      <c r="E322" t="inlineStr">
        <is>
          <t>Y</t>
        </is>
      </c>
      <c r="F322" t="inlineStr">
        <is>
          <t>8</t>
        </is>
      </c>
      <c r="G322" t="inlineStr">
        <is>
          <t>ABOLAJI CENTRE, OLUGBODE ITELE ROAD</t>
        </is>
      </c>
      <c r="H322" t="inlineStr">
        <is>
          <t>Existing</t>
        </is>
      </c>
      <c r="I322" t="inlineStr">
        <is>
          <t>N</t>
        </is>
      </c>
    </row>
    <row r="323">
      <c r="A323" t="inlineStr">
        <is>
          <t>LFC2209</t>
        </is>
      </c>
      <c r="B323" t="inlineStr">
        <is>
          <t>LFC2209</t>
        </is>
      </c>
      <c r="C323" t="inlineStr">
        <is>
          <t>LAFENWA</t>
        </is>
      </c>
      <c r="D323" t="inlineStr">
        <is>
          <t>Y</t>
        </is>
      </c>
      <c r="E323" t="inlineStr">
        <is>
          <t>Y</t>
        </is>
      </c>
      <c r="F323" t="inlineStr">
        <is>
          <t>9</t>
        </is>
      </c>
      <c r="G323" t="inlineStr">
        <is>
          <t>Bamisebi street idiorogbo</t>
        </is>
      </c>
      <c r="H323" t="inlineStr">
        <is>
          <t>Existing</t>
        </is>
      </c>
      <c r="I323" t="inlineStr">
        <is>
          <t>N</t>
        </is>
      </c>
    </row>
    <row r="324">
      <c r="A324" t="inlineStr">
        <is>
          <t>LFC2210</t>
        </is>
      </c>
      <c r="B324" t="inlineStr">
        <is>
          <t>LFC2210</t>
        </is>
      </c>
      <c r="C324" t="inlineStr">
        <is>
          <t>LAFENWA</t>
        </is>
      </c>
      <c r="D324" t="inlineStr">
        <is>
          <t>N</t>
        </is>
      </c>
      <c r="E324" t="inlineStr">
        <is>
          <t>Y</t>
        </is>
      </c>
      <c r="F324" t="inlineStr">
        <is>
          <t>10</t>
        </is>
      </c>
      <c r="G324" t="inlineStr">
        <is>
          <t>ROYAL ESTATE, DANGOTE ITELE</t>
        </is>
      </c>
      <c r="H324" t="inlineStr">
        <is>
          <t>Existing</t>
        </is>
      </c>
      <c r="I324" t="inlineStr">
        <is>
          <t>N</t>
        </is>
      </c>
    </row>
    <row r="325">
      <c r="A325" t="inlineStr">
        <is>
          <t>LFC2211</t>
        </is>
      </c>
      <c r="B325" t="inlineStr">
        <is>
          <t>LFC2211</t>
        </is>
      </c>
      <c r="C325" t="inlineStr">
        <is>
          <t>LAFENWA</t>
        </is>
      </c>
      <c r="D325" t="inlineStr">
        <is>
          <t>Y</t>
        </is>
      </c>
      <c r="E325" t="inlineStr">
        <is>
          <t>Y</t>
        </is>
      </c>
      <c r="F325" t="inlineStr">
        <is>
          <t>11</t>
        </is>
      </c>
      <c r="G325" t="inlineStr">
        <is>
          <t>WINNERS CRESCENT OKOFILIN LAFENWA</t>
        </is>
      </c>
      <c r="H325" t="inlineStr">
        <is>
          <t>Existing</t>
        </is>
      </c>
      <c r="I325" t="inlineStr">
        <is>
          <t>N</t>
        </is>
      </c>
    </row>
    <row r="326">
      <c r="A326" t="inlineStr">
        <is>
          <t>LFC2212</t>
        </is>
      </c>
      <c r="B326" t="inlineStr">
        <is>
          <t>LFC2212</t>
        </is>
      </c>
      <c r="C326" t="inlineStr">
        <is>
          <t>LAFENWA</t>
        </is>
      </c>
      <c r="D326" t="inlineStr">
        <is>
          <t>Y</t>
        </is>
      </c>
      <c r="E326" t="inlineStr">
        <is>
          <t>Y</t>
        </is>
      </c>
      <c r="F326" t="inlineStr">
        <is>
          <t>12</t>
        </is>
      </c>
      <c r="G326" t="inlineStr">
        <is>
          <t>ASSOCIATION AVENUE IJAGBA</t>
        </is>
      </c>
      <c r="H326" t="inlineStr">
        <is>
          <t>Existing</t>
        </is>
      </c>
      <c r="I326" t="inlineStr">
        <is>
          <t>N</t>
        </is>
      </c>
    </row>
    <row r="327">
      <c r="A327" t="inlineStr">
        <is>
          <t>LFC2213</t>
        </is>
      </c>
      <c r="B327" t="inlineStr">
        <is>
          <t>LFC2213</t>
        </is>
      </c>
      <c r="C327" t="inlineStr">
        <is>
          <t>LAFENWA</t>
        </is>
      </c>
      <c r="D327" t="inlineStr">
        <is>
          <t>Y</t>
        </is>
      </c>
      <c r="E327" t="inlineStr">
        <is>
          <t>Y</t>
        </is>
      </c>
      <c r="F327" t="inlineStr">
        <is>
          <t>13</t>
        </is>
      </c>
      <c r="G327" t="inlineStr">
        <is>
          <t>35 OGUNTEDO STREET LAFENWA</t>
        </is>
      </c>
      <c r="H327" t="inlineStr">
        <is>
          <t>Existing</t>
        </is>
      </c>
      <c r="I327" t="inlineStr">
        <is>
          <t>N</t>
        </is>
      </c>
    </row>
    <row r="328">
      <c r="A328" t="inlineStr">
        <is>
          <t>LFC2214</t>
        </is>
      </c>
      <c r="B328" t="inlineStr">
        <is>
          <t>LFC2214</t>
        </is>
      </c>
      <c r="C328" t="inlineStr">
        <is>
          <t>LAFENWA</t>
        </is>
      </c>
      <c r="D328" t="inlineStr">
        <is>
          <t>N</t>
        </is>
      </c>
      <c r="E328" t="inlineStr">
        <is>
          <t>Y</t>
        </is>
      </c>
      <c r="F328" t="inlineStr">
        <is>
          <t>14</t>
        </is>
      </c>
      <c r="G328" t="inlineStr">
        <is>
          <t>STAR MARITIME LAFENWA</t>
        </is>
      </c>
      <c r="H328" t="inlineStr">
        <is>
          <t>Existing</t>
        </is>
      </c>
      <c r="I328" t="inlineStr">
        <is>
          <t>N</t>
        </is>
      </c>
    </row>
    <row r="329">
      <c r="A329" t="inlineStr">
        <is>
          <t>LFC2215</t>
        </is>
      </c>
      <c r="B329" t="inlineStr">
        <is>
          <t>LFC2215</t>
        </is>
      </c>
      <c r="C329" t="inlineStr">
        <is>
          <t>LAFENWA</t>
        </is>
      </c>
      <c r="D329" t="inlineStr">
        <is>
          <t>N</t>
        </is>
      </c>
      <c r="E329" t="inlineStr">
        <is>
          <t>Y</t>
        </is>
      </c>
      <c r="F329" t="inlineStr">
        <is>
          <t>15</t>
        </is>
      </c>
      <c r="G329" t="inlineStr">
        <is>
          <t>VIRTUE BIRGHT STAR SCHOOL LAFENWA</t>
        </is>
      </c>
      <c r="H329" t="inlineStr">
        <is>
          <t>Existing</t>
        </is>
      </c>
      <c r="I329" t="inlineStr">
        <is>
          <t>N</t>
        </is>
      </c>
    </row>
    <row r="330">
      <c r="A330" t="inlineStr">
        <is>
          <t>LFC2216</t>
        </is>
      </c>
      <c r="B330" t="inlineStr">
        <is>
          <t>LFC2216</t>
        </is>
      </c>
      <c r="C330" t="inlineStr">
        <is>
          <t>LAFENWA</t>
        </is>
      </c>
      <c r="D330" t="inlineStr">
        <is>
          <t>Y</t>
        </is>
      </c>
      <c r="E330" t="inlineStr">
        <is>
          <t>Y</t>
        </is>
      </c>
      <c r="F330" t="inlineStr">
        <is>
          <t>16</t>
        </is>
      </c>
      <c r="G330" t="inlineStr">
        <is>
          <t>10 LIBERTY AVENUE LAFENWA</t>
        </is>
      </c>
      <c r="H330" t="inlineStr">
        <is>
          <t>Existing</t>
        </is>
      </c>
      <c r="I330" t="inlineStr">
        <is>
          <t>N</t>
        </is>
      </c>
    </row>
    <row r="331">
      <c r="A331" t="inlineStr">
        <is>
          <t>LFC2217</t>
        </is>
      </c>
      <c r="B331" t="inlineStr">
        <is>
          <t>LFC2217</t>
        </is>
      </c>
      <c r="C331" t="inlineStr">
        <is>
          <t>LAFENWA</t>
        </is>
      </c>
      <c r="D331" t="inlineStr">
        <is>
          <t>N</t>
        </is>
      </c>
      <c r="E331" t="inlineStr">
        <is>
          <t>Y</t>
        </is>
      </c>
      <c r="F331" t="inlineStr">
        <is>
          <t>17</t>
        </is>
      </c>
      <c r="G331" t="inlineStr">
        <is>
          <t>OKO EWE IJAGBA</t>
        </is>
      </c>
      <c r="H331" t="inlineStr">
        <is>
          <t>Existing</t>
        </is>
      </c>
      <c r="I331" t="inlineStr">
        <is>
          <t>N</t>
        </is>
      </c>
    </row>
    <row r="332">
      <c r="A332" t="inlineStr">
        <is>
          <t>LFC2218</t>
        </is>
      </c>
      <c r="B332" t="inlineStr">
        <is>
          <t>LFC2218</t>
        </is>
      </c>
      <c r="C332" t="inlineStr">
        <is>
          <t>LAFENWA</t>
        </is>
      </c>
      <c r="D332" t="inlineStr">
        <is>
          <t>N</t>
        </is>
      </c>
      <c r="E332" t="inlineStr">
        <is>
          <t>Y</t>
        </is>
      </c>
      <c r="F332" t="inlineStr">
        <is>
          <t>18</t>
        </is>
      </c>
      <c r="G332" t="inlineStr">
        <is>
          <t>20 KING MOSES STREET ITELE</t>
        </is>
      </c>
      <c r="H332" t="inlineStr">
        <is>
          <t>Existing</t>
        </is>
      </c>
      <c r="I332" t="inlineStr">
        <is>
          <t>N</t>
        </is>
      </c>
    </row>
    <row r="333">
      <c r="A333" t="inlineStr">
        <is>
          <t>LFC2301</t>
        </is>
      </c>
      <c r="B333" t="inlineStr">
        <is>
          <t>LFC2301</t>
        </is>
      </c>
      <c r="C333" t="inlineStr">
        <is>
          <t>PERFECT PEACE</t>
        </is>
      </c>
      <c r="D333" t="inlineStr">
        <is>
          <t>Y</t>
        </is>
      </c>
      <c r="E333" t="inlineStr">
        <is>
          <t>Y</t>
        </is>
      </c>
      <c r="F333" t="inlineStr">
        <is>
          <t>1</t>
        </is>
      </c>
      <c r="G333" t="inlineStr">
        <is>
          <t>1/4 Perfect Peace Avenue Olugbode</t>
        </is>
      </c>
      <c r="H333" t="inlineStr">
        <is>
          <t>Existing</t>
        </is>
      </c>
      <c r="I333" t="inlineStr">
        <is>
          <t>N</t>
        </is>
      </c>
    </row>
    <row r="334">
      <c r="A334" t="inlineStr">
        <is>
          <t>LFC2302</t>
        </is>
      </c>
      <c r="B334" t="inlineStr">
        <is>
          <t>LFC2302</t>
        </is>
      </c>
      <c r="C334" t="inlineStr">
        <is>
          <t>PERFECT PEACE</t>
        </is>
      </c>
      <c r="D334" t="inlineStr">
        <is>
          <t>Y</t>
        </is>
      </c>
      <c r="E334" t="inlineStr">
        <is>
          <t>Y</t>
        </is>
      </c>
      <c r="F334" t="inlineStr">
        <is>
          <t>2</t>
        </is>
      </c>
      <c r="G334" t="inlineStr">
        <is>
          <t>No. 9 Adeshina Ile-Ife Street, Aparadija</t>
        </is>
      </c>
      <c r="H334" t="inlineStr">
        <is>
          <t>Existing</t>
        </is>
      </c>
      <c r="I334" t="inlineStr">
        <is>
          <t>N</t>
        </is>
      </c>
    </row>
    <row r="335">
      <c r="A335" t="inlineStr">
        <is>
          <t>LFC2303</t>
        </is>
      </c>
      <c r="B335" t="inlineStr">
        <is>
          <t>LFC2303</t>
        </is>
      </c>
      <c r="C335" t="inlineStr">
        <is>
          <t>PERFECT PEACE</t>
        </is>
      </c>
      <c r="D335" t="inlineStr">
        <is>
          <t>Y</t>
        </is>
      </c>
      <c r="E335" t="inlineStr">
        <is>
          <t>Y</t>
        </is>
      </c>
      <c r="F335" t="inlineStr">
        <is>
          <t>3</t>
        </is>
      </c>
      <c r="G335" t="inlineStr">
        <is>
          <t>No. 23 Yusuf Ola, Aparadija</t>
        </is>
      </c>
      <c r="H335" t="inlineStr">
        <is>
          <t>Existing</t>
        </is>
      </c>
      <c r="I335" t="inlineStr">
        <is>
          <t>N</t>
        </is>
      </c>
    </row>
    <row r="336">
      <c r="A336" t="inlineStr">
        <is>
          <t>LFC2304</t>
        </is>
      </c>
      <c r="B336" t="inlineStr">
        <is>
          <t>LFC2304</t>
        </is>
      </c>
      <c r="C336" t="inlineStr">
        <is>
          <t>PERFECT PEACE</t>
        </is>
      </c>
      <c r="D336" t="inlineStr">
        <is>
          <t>N</t>
        </is>
      </c>
      <c r="E336" t="inlineStr">
        <is>
          <t>Y</t>
        </is>
      </c>
      <c r="F336" t="inlineStr">
        <is>
          <t>4</t>
        </is>
      </c>
      <c r="G336" t="inlineStr">
        <is>
          <t>RAYS OF HOPE INT"L SCH, PHASE 3 APARADIJA</t>
        </is>
      </c>
      <c r="H336" t="inlineStr">
        <is>
          <t>Existing</t>
        </is>
      </c>
      <c r="I336" t="inlineStr">
        <is>
          <t>N</t>
        </is>
      </c>
    </row>
    <row r="337">
      <c r="A337" t="inlineStr">
        <is>
          <t>LFC2305</t>
        </is>
      </c>
      <c r="B337" t="inlineStr">
        <is>
          <t>LFC2305</t>
        </is>
      </c>
      <c r="C337" t="inlineStr">
        <is>
          <t>PERFECT PEACE</t>
        </is>
      </c>
      <c r="D337" t="inlineStr">
        <is>
          <t>N</t>
        </is>
      </c>
      <c r="E337" t="inlineStr">
        <is>
          <t>Y</t>
        </is>
      </c>
      <c r="F337" t="inlineStr">
        <is>
          <t>5</t>
        </is>
      </c>
      <c r="G337" t="inlineStr">
        <is>
          <t>NO 6, AINA GANIYU STR,EJIGUN</t>
        </is>
      </c>
      <c r="H337" t="inlineStr">
        <is>
          <t>Existing</t>
        </is>
      </c>
      <c r="I337" t="inlineStr">
        <is>
          <t>N</t>
        </is>
      </c>
    </row>
    <row r="338">
      <c r="A338" t="inlineStr">
        <is>
          <t>LFC2306</t>
        </is>
      </c>
      <c r="B338" t="inlineStr">
        <is>
          <t>LFC2306</t>
        </is>
      </c>
      <c r="C338" t="inlineStr">
        <is>
          <t>PERFECT PEACE</t>
        </is>
      </c>
      <c r="D338" t="inlineStr">
        <is>
          <t>N</t>
        </is>
      </c>
      <c r="E338" t="inlineStr">
        <is>
          <t>Y</t>
        </is>
      </c>
      <c r="F338" t="inlineStr">
        <is>
          <t>6</t>
        </is>
      </c>
      <c r="G338" t="inlineStr">
        <is>
          <t>No. 20 Olalekan Close, Lafenwa</t>
        </is>
      </c>
      <c r="H338" t="inlineStr">
        <is>
          <t>Existing</t>
        </is>
      </c>
      <c r="I338" t="inlineStr">
        <is>
          <t>N</t>
        </is>
      </c>
    </row>
    <row r="339">
      <c r="A339" t="inlineStr">
        <is>
          <t>LFC2307</t>
        </is>
      </c>
      <c r="B339" t="inlineStr">
        <is>
          <t>LFC2307</t>
        </is>
      </c>
      <c r="C339" t="inlineStr">
        <is>
          <t>PERFECT PEACE</t>
        </is>
      </c>
      <c r="D339" t="inlineStr">
        <is>
          <t>Y</t>
        </is>
      </c>
      <c r="E339" t="inlineStr">
        <is>
          <t>Y</t>
        </is>
      </c>
      <c r="F339" t="inlineStr">
        <is>
          <t>7</t>
        </is>
      </c>
      <c r="G339" t="inlineStr">
        <is>
          <t>NAVY HOUSE, TIPPER GARAGE, ODAN</t>
        </is>
      </c>
      <c r="H339" t="inlineStr">
        <is>
          <t>Existing</t>
        </is>
      </c>
      <c r="I339" t="inlineStr">
        <is>
          <t>N</t>
        </is>
      </c>
    </row>
    <row r="340">
      <c r="A340" t="inlineStr">
        <is>
          <t>LFC2308</t>
        </is>
      </c>
      <c r="B340" t="inlineStr">
        <is>
          <t>LFC2308</t>
        </is>
      </c>
      <c r="C340" t="inlineStr">
        <is>
          <t>PERFECT PEACE</t>
        </is>
      </c>
      <c r="D340" t="inlineStr">
        <is>
          <t>Y</t>
        </is>
      </c>
      <c r="E340" t="inlineStr">
        <is>
          <t>Y</t>
        </is>
      </c>
      <c r="F340" t="inlineStr">
        <is>
          <t>8</t>
        </is>
      </c>
      <c r="G340" t="inlineStr">
        <is>
          <t>No. 6 Ileri Oluwa Close, Onifade</t>
        </is>
      </c>
      <c r="H340" t="inlineStr">
        <is>
          <t>Existing</t>
        </is>
      </c>
      <c r="I340" t="inlineStr">
        <is>
          <t>N</t>
        </is>
      </c>
    </row>
    <row r="341">
      <c r="A341" t="inlineStr">
        <is>
          <t>LFC2309</t>
        </is>
      </c>
      <c r="B341" t="inlineStr">
        <is>
          <t>LFC2309</t>
        </is>
      </c>
      <c r="C341" t="inlineStr">
        <is>
          <t>PERFECT PEACE</t>
        </is>
      </c>
      <c r="D341" t="inlineStr">
        <is>
          <t>Y</t>
        </is>
      </c>
      <c r="E341" t="inlineStr">
        <is>
          <t>Y</t>
        </is>
      </c>
      <c r="F341" t="inlineStr">
        <is>
          <t>9</t>
        </is>
      </c>
      <c r="G341" t="inlineStr">
        <is>
          <t>NO, 3 LIBERTY CRESCENT, NOW SUNDAY</t>
        </is>
      </c>
      <c r="H341" t="inlineStr">
        <is>
          <t>Existing</t>
        </is>
      </c>
      <c r="I341" t="inlineStr">
        <is>
          <t>N</t>
        </is>
      </c>
    </row>
    <row r="342">
      <c r="A342" t="inlineStr">
        <is>
          <t>LFC2310</t>
        </is>
      </c>
      <c r="B342" t="inlineStr">
        <is>
          <t>LFC2310</t>
        </is>
      </c>
      <c r="C342" t="inlineStr">
        <is>
          <t>PERFECT PEACE</t>
        </is>
      </c>
      <c r="D342" t="inlineStr">
        <is>
          <t>Y</t>
        </is>
      </c>
      <c r="E342" t="inlineStr">
        <is>
          <t>Y</t>
        </is>
      </c>
      <c r="F342" t="inlineStr">
        <is>
          <t>10</t>
        </is>
      </c>
      <c r="G342" t="inlineStr">
        <is>
          <t>No. 10 Ayinde Owosa Crescent, Ejigun Agbede</t>
        </is>
      </c>
      <c r="H342" t="inlineStr">
        <is>
          <t>Existing</t>
        </is>
      </c>
      <c r="I342" t="inlineStr">
        <is>
          <t>N</t>
        </is>
      </c>
    </row>
    <row r="343">
      <c r="A343" t="inlineStr">
        <is>
          <t>LFC2311</t>
        </is>
      </c>
      <c r="B343" t="inlineStr">
        <is>
          <t>LFC2311</t>
        </is>
      </c>
      <c r="C343" t="inlineStr">
        <is>
          <t>PERFECT PEACE</t>
        </is>
      </c>
      <c r="D343" t="inlineStr">
        <is>
          <t>Y</t>
        </is>
      </c>
      <c r="E343" t="inlineStr">
        <is>
          <t>Y</t>
        </is>
      </c>
      <c r="F343" t="inlineStr">
        <is>
          <t>11</t>
        </is>
      </c>
      <c r="G343" t="inlineStr">
        <is>
          <t>No. 9 Ikola Road, Ejigun</t>
        </is>
      </c>
      <c r="H343" t="inlineStr">
        <is>
          <t>Existing</t>
        </is>
      </c>
      <c r="I343" t="inlineStr">
        <is>
          <t>N</t>
        </is>
      </c>
    </row>
    <row r="344">
      <c r="A344" t="inlineStr">
        <is>
          <t>LFC2312</t>
        </is>
      </c>
      <c r="B344" t="inlineStr">
        <is>
          <t>LFC2312</t>
        </is>
      </c>
      <c r="C344" t="inlineStr">
        <is>
          <t>PERFECT PEACE</t>
        </is>
      </c>
      <c r="D344" t="inlineStr">
        <is>
          <t>N</t>
        </is>
      </c>
      <c r="E344" t="inlineStr">
        <is>
          <t>Y</t>
        </is>
      </c>
      <c r="F344" t="inlineStr">
        <is>
          <t>12</t>
        </is>
      </c>
      <c r="G344" t="inlineStr">
        <is>
          <t>No, 12 Amen Avenue, Ijoba-Odan</t>
        </is>
      </c>
      <c r="H344" t="inlineStr">
        <is>
          <t>Existing</t>
        </is>
      </c>
      <c r="I344" t="inlineStr">
        <is>
          <t>N</t>
        </is>
      </c>
    </row>
    <row r="345">
      <c r="A345" t="inlineStr">
        <is>
          <t>LFC2313</t>
        </is>
      </c>
      <c r="B345" t="inlineStr">
        <is>
          <t>LFC2313</t>
        </is>
      </c>
      <c r="C345" t="inlineStr">
        <is>
          <t>PERFECT PEACE</t>
        </is>
      </c>
      <c r="D345" t="inlineStr">
        <is>
          <t>N</t>
        </is>
      </c>
      <c r="E345" t="inlineStr">
        <is>
          <t>Y</t>
        </is>
      </c>
      <c r="F345" t="inlineStr">
        <is>
          <t>13</t>
        </is>
      </c>
      <c r="G345" t="inlineStr">
        <is>
          <t>NO 21, ADEBISI AMOLE SURULERE EJIGUN</t>
        </is>
      </c>
      <c r="H345" t="inlineStr">
        <is>
          <t>Existing</t>
        </is>
      </c>
      <c r="I345" t="inlineStr">
        <is>
          <t>N</t>
        </is>
      </c>
    </row>
    <row r="346">
      <c r="A346" t="inlineStr">
        <is>
          <t>LFC2401</t>
        </is>
      </c>
      <c r="B346" t="inlineStr">
        <is>
          <t>LFC2401</t>
        </is>
      </c>
      <c r="C346" t="inlineStr">
        <is>
          <t>ANTHONY</t>
        </is>
      </c>
      <c r="D346" t="inlineStr">
        <is>
          <t>Y</t>
        </is>
      </c>
      <c r="E346" t="inlineStr">
        <is>
          <t>Y</t>
        </is>
      </c>
      <c r="F346" t="inlineStr">
        <is>
          <t>1</t>
        </is>
      </c>
      <c r="G346" t="inlineStr">
        <is>
          <t>10, ADEBAYO MOKUOLU STREET ANTHONY</t>
        </is>
      </c>
      <c r="H346" t="inlineStr">
        <is>
          <t>Existing</t>
        </is>
      </c>
      <c r="I346" t="inlineStr">
        <is>
          <t>N</t>
        </is>
      </c>
    </row>
    <row r="347">
      <c r="A347" t="inlineStr">
        <is>
          <t>LFC2402</t>
        </is>
      </c>
      <c r="B347" t="inlineStr">
        <is>
          <t>LFC2402</t>
        </is>
      </c>
      <c r="C347" t="inlineStr">
        <is>
          <t>ANTHONY</t>
        </is>
      </c>
      <c r="D347" t="inlineStr">
        <is>
          <t>N</t>
        </is>
      </c>
      <c r="E347" t="inlineStr">
        <is>
          <t>Y</t>
        </is>
      </c>
      <c r="F347" t="inlineStr">
        <is>
          <t>2</t>
        </is>
      </c>
      <c r="G347" t="inlineStr">
        <is>
          <t>7, YEMI OGUNNIYI STREET, ANTHONY</t>
        </is>
      </c>
      <c r="H347" t="inlineStr">
        <is>
          <t>Existing</t>
        </is>
      </c>
      <c r="I347" t="inlineStr">
        <is>
          <t>N</t>
        </is>
      </c>
    </row>
    <row r="348">
      <c r="A348" t="inlineStr">
        <is>
          <t>LFC2403</t>
        </is>
      </c>
      <c r="B348" t="inlineStr">
        <is>
          <t>LFC2403</t>
        </is>
      </c>
      <c r="C348" t="inlineStr">
        <is>
          <t>ANTHONY</t>
        </is>
      </c>
      <c r="D348" t="inlineStr">
        <is>
          <t>Y</t>
        </is>
      </c>
      <c r="E348" t="inlineStr">
        <is>
          <t>Y</t>
        </is>
      </c>
      <c r="F348" t="inlineStr">
        <is>
          <t>3</t>
        </is>
      </c>
      <c r="G348" t="inlineStr">
        <is>
          <t>25/27 OKILANE MENDE MARYLAND</t>
        </is>
      </c>
      <c r="H348" t="inlineStr">
        <is>
          <t>Existing</t>
        </is>
      </c>
      <c r="I348" t="inlineStr">
        <is>
          <t>N</t>
        </is>
      </c>
    </row>
    <row r="349">
      <c r="A349" t="inlineStr">
        <is>
          <t>LFC2404</t>
        </is>
      </c>
      <c r="B349" t="inlineStr">
        <is>
          <t>LFC2404</t>
        </is>
      </c>
      <c r="C349" t="inlineStr">
        <is>
          <t>ANTHONY</t>
        </is>
      </c>
      <c r="D349" t="inlineStr">
        <is>
          <t>N</t>
        </is>
      </c>
      <c r="E349" t="inlineStr">
        <is>
          <t>Y</t>
        </is>
      </c>
      <c r="F349" t="inlineStr">
        <is>
          <t>4</t>
        </is>
      </c>
      <c r="G349" t="inlineStr">
        <is>
          <t>CBQ 23 FLAT 24 - IKEJA CANTOMENT</t>
        </is>
      </c>
      <c r="H349" t="inlineStr">
        <is>
          <t>Existing</t>
        </is>
      </c>
      <c r="I349" t="inlineStr">
        <is>
          <t>N</t>
        </is>
      </c>
    </row>
    <row r="350">
      <c r="A350" t="inlineStr">
        <is>
          <t>LFC2405</t>
        </is>
      </c>
      <c r="B350" t="inlineStr">
        <is>
          <t>LFC2405</t>
        </is>
      </c>
      <c r="C350" t="inlineStr">
        <is>
          <t>ANTHONY</t>
        </is>
      </c>
      <c r="D350" t="inlineStr">
        <is>
          <t>N</t>
        </is>
      </c>
      <c r="E350" t="inlineStr">
        <is>
          <t>Y</t>
        </is>
      </c>
      <c r="F350" t="inlineStr">
        <is>
          <t>5</t>
        </is>
      </c>
      <c r="G350" t="inlineStr">
        <is>
          <t>4, FIRST AVENUE, ISMAIL EST. MARYLAND</t>
        </is>
      </c>
      <c r="H350" t="inlineStr">
        <is>
          <t>Existing</t>
        </is>
      </c>
      <c r="I350" t="inlineStr">
        <is>
          <t>N</t>
        </is>
      </c>
    </row>
    <row r="351">
      <c r="A351" t="inlineStr">
        <is>
          <t>LFC2406</t>
        </is>
      </c>
      <c r="B351" t="inlineStr">
        <is>
          <t>LFC2406</t>
        </is>
      </c>
      <c r="C351" t="inlineStr">
        <is>
          <t>ANTHONY</t>
        </is>
      </c>
      <c r="D351" t="inlineStr">
        <is>
          <t>N</t>
        </is>
      </c>
      <c r="E351" t="inlineStr">
        <is>
          <t>Y</t>
        </is>
      </c>
      <c r="F351" t="inlineStr">
        <is>
          <t>6</t>
        </is>
      </c>
      <c r="G351" t="inlineStr">
        <is>
          <t>MOQ 9 - IKEJA CANTOMENT</t>
        </is>
      </c>
      <c r="H351" t="inlineStr">
        <is>
          <t>Existing</t>
        </is>
      </c>
      <c r="I351" t="inlineStr">
        <is>
          <t>N</t>
        </is>
      </c>
    </row>
    <row r="352">
      <c r="A352" t="inlineStr">
        <is>
          <t>LFC2407</t>
        </is>
      </c>
      <c r="B352" t="inlineStr">
        <is>
          <t>LFC2407</t>
        </is>
      </c>
      <c r="C352" t="inlineStr">
        <is>
          <t>ANTHONY</t>
        </is>
      </c>
      <c r="D352" t="inlineStr">
        <is>
          <t>N</t>
        </is>
      </c>
      <c r="E352" t="inlineStr">
        <is>
          <t>Y</t>
        </is>
      </c>
      <c r="F352" t="inlineStr">
        <is>
          <t>7</t>
        </is>
      </c>
      <c r="G352" t="inlineStr">
        <is>
          <t>CBQ 243(246) FLAT 6 , IKEJA CANTONMENT</t>
        </is>
      </c>
      <c r="H352" t="inlineStr">
        <is>
          <t>Existing</t>
        </is>
      </c>
      <c r="I352" t="inlineStr">
        <is>
          <t>N</t>
        </is>
      </c>
    </row>
    <row r="353">
      <c r="A353" t="inlineStr">
        <is>
          <t>LFC2408</t>
        </is>
      </c>
      <c r="B353" t="inlineStr">
        <is>
          <t>LFC2408</t>
        </is>
      </c>
      <c r="C353" t="inlineStr">
        <is>
          <t>ANTHONY</t>
        </is>
      </c>
      <c r="D353" t="inlineStr">
        <is>
          <t>N</t>
        </is>
      </c>
      <c r="E353" t="inlineStr">
        <is>
          <t>Y</t>
        </is>
      </c>
      <c r="F353" t="inlineStr">
        <is>
          <t>8</t>
        </is>
      </c>
      <c r="G353" t="inlineStr">
        <is>
          <t>MOQ 26 OBASANJO ROAD, IKEJA CANTONMENT</t>
        </is>
      </c>
      <c r="H353" t="inlineStr">
        <is>
          <t>Existing</t>
        </is>
      </c>
      <c r="I353" t="inlineStr">
        <is>
          <t>N</t>
        </is>
      </c>
    </row>
    <row r="354">
      <c r="A354" t="inlineStr">
        <is>
          <t>LFC2409</t>
        </is>
      </c>
      <c r="B354" t="inlineStr">
        <is>
          <t>LFC2409</t>
        </is>
      </c>
      <c r="C354" t="inlineStr">
        <is>
          <t>ANTHONY</t>
        </is>
      </c>
      <c r="D354" t="inlineStr">
        <is>
          <t>N</t>
        </is>
      </c>
      <c r="E354" t="inlineStr">
        <is>
          <t>Y</t>
        </is>
      </c>
      <c r="F354" t="inlineStr">
        <is>
          <t>9</t>
        </is>
      </c>
      <c r="G354" t="inlineStr">
        <is>
          <t>13, MARYLAND CRESCENT, MARYLAND</t>
        </is>
      </c>
      <c r="H354" t="inlineStr">
        <is>
          <t>Existing</t>
        </is>
      </c>
      <c r="I354" t="inlineStr">
        <is>
          <t>N</t>
        </is>
      </c>
    </row>
    <row r="355">
      <c r="A355" t="inlineStr">
        <is>
          <t>LFC2410</t>
        </is>
      </c>
      <c r="B355" t="inlineStr">
        <is>
          <t>LFC2410</t>
        </is>
      </c>
      <c r="C355" t="inlineStr">
        <is>
          <t>ANTHONY</t>
        </is>
      </c>
      <c r="D355" t="inlineStr">
        <is>
          <t>N</t>
        </is>
      </c>
      <c r="E355" t="inlineStr">
        <is>
          <t>Y</t>
        </is>
      </c>
      <c r="F355" t="inlineStr">
        <is>
          <t>10</t>
        </is>
      </c>
      <c r="G355" t="inlineStr">
        <is>
          <t>9B SOBO SIFFRE STREET AROWOJOBE EST</t>
        </is>
      </c>
      <c r="H355" t="inlineStr">
        <is>
          <t>Existing</t>
        </is>
      </c>
      <c r="I355" t="inlineStr">
        <is>
          <t>N</t>
        </is>
      </c>
    </row>
    <row r="356">
      <c r="A356" t="inlineStr">
        <is>
          <t>LFC2411</t>
        </is>
      </c>
      <c r="B356" t="inlineStr">
        <is>
          <t>LFC2411</t>
        </is>
      </c>
      <c r="C356" t="inlineStr">
        <is>
          <t>ANTHONY</t>
        </is>
      </c>
      <c r="D356" t="inlineStr">
        <is>
          <t>Y</t>
        </is>
      </c>
      <c r="E356" t="inlineStr">
        <is>
          <t>Y</t>
        </is>
      </c>
      <c r="F356" t="inlineStr">
        <is>
          <t>11</t>
        </is>
      </c>
      <c r="G356" t="inlineStr">
        <is>
          <t>50B OGUNTONA CRESENT GBAGADA</t>
        </is>
      </c>
      <c r="H356" t="inlineStr">
        <is>
          <t>Existing</t>
        </is>
      </c>
      <c r="I356" t="inlineStr">
        <is>
          <t>N</t>
        </is>
      </c>
    </row>
    <row r="357">
      <c r="A357" t="inlineStr">
        <is>
          <t>LFC2412</t>
        </is>
      </c>
      <c r="B357" t="inlineStr">
        <is>
          <t>LFC2412</t>
        </is>
      </c>
      <c r="C357" t="inlineStr">
        <is>
          <t>ANTHONY</t>
        </is>
      </c>
      <c r="D357" t="inlineStr">
        <is>
          <t>N</t>
        </is>
      </c>
      <c r="E357" t="inlineStr">
        <is>
          <t>Y</t>
        </is>
      </c>
      <c r="F357" t="inlineStr">
        <is>
          <t>12</t>
        </is>
      </c>
      <c r="G357" t="inlineStr">
        <is>
          <t>74, PELADE SCHOOL, HALL 74, OWORO</t>
        </is>
      </c>
      <c r="H357" t="inlineStr">
        <is>
          <t>Existing</t>
        </is>
      </c>
      <c r="I357" t="inlineStr">
        <is>
          <t>N</t>
        </is>
      </c>
    </row>
    <row r="358">
      <c r="A358" t="inlineStr">
        <is>
          <t>LFC2413</t>
        </is>
      </c>
      <c r="B358" t="inlineStr">
        <is>
          <t>LFC2413</t>
        </is>
      </c>
      <c r="C358" t="inlineStr">
        <is>
          <t>ANTHONY</t>
        </is>
      </c>
      <c r="D358" t="inlineStr">
        <is>
          <t>N</t>
        </is>
      </c>
      <c r="E358" t="inlineStr">
        <is>
          <t>Y</t>
        </is>
      </c>
      <c r="F358" t="inlineStr">
        <is>
          <t>13</t>
        </is>
      </c>
      <c r="G358" t="inlineStr">
        <is>
          <t>20, OKUTA ROAD OFF ILAJE,BARIGA</t>
        </is>
      </c>
      <c r="H358" t="inlineStr">
        <is>
          <t>Existing</t>
        </is>
      </c>
      <c r="I358" t="inlineStr">
        <is>
          <t>N</t>
        </is>
      </c>
    </row>
    <row r="359">
      <c r="A359" t="inlineStr">
        <is>
          <t>LFC2414</t>
        </is>
      </c>
      <c r="B359" t="inlineStr">
        <is>
          <t>LFC2414</t>
        </is>
      </c>
      <c r="C359" t="inlineStr">
        <is>
          <t>ANTHONY</t>
        </is>
      </c>
      <c r="D359" t="inlineStr">
        <is>
          <t>N</t>
        </is>
      </c>
      <c r="E359" t="inlineStr">
        <is>
          <t>Y</t>
        </is>
      </c>
      <c r="F359" t="inlineStr">
        <is>
          <t>14</t>
        </is>
      </c>
      <c r="G359" t="inlineStr">
        <is>
          <t>57 OKUTA ROAD OFF ILAJE, BARIGA</t>
        </is>
      </c>
      <c r="H359" t="inlineStr">
        <is>
          <t>Existing</t>
        </is>
      </c>
      <c r="I359" t="inlineStr">
        <is>
          <t>N</t>
        </is>
      </c>
    </row>
    <row r="360">
      <c r="A360" t="inlineStr">
        <is>
          <t>LFC2415</t>
        </is>
      </c>
      <c r="B360" t="inlineStr">
        <is>
          <t>LFC2415</t>
        </is>
      </c>
      <c r="C360" t="inlineStr">
        <is>
          <t>ANTHONY</t>
        </is>
      </c>
      <c r="D360" t="inlineStr">
        <is>
          <t>Y</t>
        </is>
      </c>
      <c r="E360" t="inlineStr">
        <is>
          <t>Y</t>
        </is>
      </c>
      <c r="F360" t="inlineStr">
        <is>
          <t>15</t>
        </is>
      </c>
      <c r="G360" t="inlineStr">
        <is>
          <t>63/65 JAGUNMOLU ROAD BARIGA</t>
        </is>
      </c>
      <c r="H360" t="inlineStr">
        <is>
          <t>Existing</t>
        </is>
      </c>
      <c r="I360" t="inlineStr">
        <is>
          <t>N</t>
        </is>
      </c>
    </row>
    <row r="361">
      <c r="A361" t="inlineStr">
        <is>
          <t>LFC2416</t>
        </is>
      </c>
      <c r="B361" t="inlineStr">
        <is>
          <t>LFC2416</t>
        </is>
      </c>
      <c r="C361" t="inlineStr">
        <is>
          <t>ANTHONY</t>
        </is>
      </c>
      <c r="D361" t="inlineStr">
        <is>
          <t>Y</t>
        </is>
      </c>
      <c r="E361" t="inlineStr">
        <is>
          <t>Y</t>
        </is>
      </c>
      <c r="F361" t="inlineStr">
        <is>
          <t>16</t>
        </is>
      </c>
      <c r="G361" t="inlineStr">
        <is>
          <t>1 GBOLAHAN SHODIPO STREET, MILLENIUM ESTATE GBAGADA</t>
        </is>
      </c>
      <c r="H361" t="inlineStr">
        <is>
          <t>Existing</t>
        </is>
      </c>
      <c r="I361" t="inlineStr">
        <is>
          <t>N</t>
        </is>
      </c>
    </row>
    <row r="362">
      <c r="A362" t="inlineStr">
        <is>
          <t>LFC2417</t>
        </is>
      </c>
      <c r="B362" t="inlineStr">
        <is>
          <t>LFC2417</t>
        </is>
      </c>
      <c r="C362" t="inlineStr">
        <is>
          <t>ANTHONY</t>
        </is>
      </c>
      <c r="D362" t="inlineStr">
        <is>
          <t>N</t>
        </is>
      </c>
      <c r="E362" t="inlineStr">
        <is>
          <t>Y</t>
        </is>
      </c>
      <c r="F362" t="inlineStr">
        <is>
          <t>17</t>
        </is>
      </c>
      <c r="G362" t="inlineStr">
        <is>
          <t>GULF FLOWER SECONDARY SCHOOL OFF MIYAKI STREET OWORO</t>
        </is>
      </c>
      <c r="H362" t="inlineStr">
        <is>
          <t>Existing</t>
        </is>
      </c>
      <c r="I362" t="inlineStr">
        <is>
          <t>N</t>
        </is>
      </c>
    </row>
    <row r="363">
      <c r="A363" t="inlineStr">
        <is>
          <t>LFC2418</t>
        </is>
      </c>
      <c r="B363" t="inlineStr">
        <is>
          <t>LFC2418</t>
        </is>
      </c>
      <c r="C363" t="inlineStr">
        <is>
          <t>ANTHONY</t>
        </is>
      </c>
      <c r="D363" t="inlineStr">
        <is>
          <t>N</t>
        </is>
      </c>
      <c r="E363" t="inlineStr">
        <is>
          <t>Y</t>
        </is>
      </c>
      <c r="F363" t="inlineStr">
        <is>
          <t>18</t>
        </is>
      </c>
      <c r="G363" t="inlineStr">
        <is>
          <t>NO 7 AWOFESO STREET LADI LAK BARIGA</t>
        </is>
      </c>
      <c r="H363" t="inlineStr">
        <is>
          <t>Existing</t>
        </is>
      </c>
      <c r="I363" t="inlineStr">
        <is>
          <t>N</t>
        </is>
      </c>
    </row>
    <row r="364">
      <c r="A364" t="inlineStr">
        <is>
          <t>LFC2419</t>
        </is>
      </c>
      <c r="B364" t="inlineStr">
        <is>
          <t>LFC2419</t>
        </is>
      </c>
      <c r="C364" t="inlineStr">
        <is>
          <t>ANTHONY</t>
        </is>
      </c>
      <c r="D364" t="inlineStr">
        <is>
          <t>N</t>
        </is>
      </c>
      <c r="E364" t="inlineStr">
        <is>
          <t>Y</t>
        </is>
      </c>
      <c r="F364" t="inlineStr">
        <is>
          <t>19</t>
        </is>
      </c>
      <c r="G364" t="inlineStr">
        <is>
          <t>11, ADUNNI STREET ILAJE BARIGA</t>
        </is>
      </c>
      <c r="H364" t="inlineStr">
        <is>
          <t>Existing</t>
        </is>
      </c>
      <c r="I364" t="inlineStr">
        <is>
          <t>N</t>
        </is>
      </c>
    </row>
    <row r="365">
      <c r="A365" t="inlineStr">
        <is>
          <t>LFC2420</t>
        </is>
      </c>
      <c r="B365" t="inlineStr">
        <is>
          <t>LFC2420</t>
        </is>
      </c>
      <c r="C365" t="inlineStr">
        <is>
          <t>ANTHONY</t>
        </is>
      </c>
      <c r="D365" t="inlineStr">
        <is>
          <t>N</t>
        </is>
      </c>
      <c r="E365" t="inlineStr">
        <is>
          <t>Y</t>
        </is>
      </c>
      <c r="F365" t="inlineStr">
        <is>
          <t>20</t>
        </is>
      </c>
      <c r="G365" t="inlineStr">
        <is>
          <t>GOD'S VESSEL PRIVATE SCHOOL, 90 ODUNSI STREET BARIGA</t>
        </is>
      </c>
      <c r="H365" t="inlineStr">
        <is>
          <t>Existing</t>
        </is>
      </c>
      <c r="I365" t="inlineStr">
        <is>
          <t>N</t>
        </is>
      </c>
    </row>
    <row r="366">
      <c r="A366" t="inlineStr">
        <is>
          <t>LFC2421</t>
        </is>
      </c>
      <c r="B366" t="inlineStr">
        <is>
          <t>LFC2421</t>
        </is>
      </c>
      <c r="C366" t="inlineStr">
        <is>
          <t>ANTHONY</t>
        </is>
      </c>
      <c r="D366" t="inlineStr">
        <is>
          <t>N</t>
        </is>
      </c>
      <c r="E366" t="inlineStr">
        <is>
          <t>Y</t>
        </is>
      </c>
      <c r="F366" t="inlineStr">
        <is>
          <t>21</t>
        </is>
      </c>
      <c r="G366" t="inlineStr">
        <is>
          <t>26, TELEDALSE STREET OWORONSHOKI</t>
        </is>
      </c>
      <c r="H366" t="inlineStr">
        <is>
          <t>Existing</t>
        </is>
      </c>
      <c r="I366" t="inlineStr">
        <is>
          <t>N</t>
        </is>
      </c>
    </row>
    <row r="367">
      <c r="A367" t="inlineStr">
        <is>
          <t>LFC2422</t>
        </is>
      </c>
      <c r="B367" t="inlineStr">
        <is>
          <t>LFC2422</t>
        </is>
      </c>
      <c r="C367" t="inlineStr">
        <is>
          <t>ANTHONY</t>
        </is>
      </c>
      <c r="D367" t="inlineStr"/>
      <c r="E367" t="inlineStr">
        <is>
          <t>Y</t>
        </is>
      </c>
      <c r="F367" t="inlineStr">
        <is>
          <t>22</t>
        </is>
      </c>
      <c r="G367" t="inlineStr">
        <is>
          <t>9 ABU STREET BARIGA</t>
        </is>
      </c>
      <c r="H367" t="inlineStr">
        <is>
          <t>New (proposed)</t>
        </is>
      </c>
      <c r="I367" t="inlineStr"/>
    </row>
    <row r="368">
      <c r="A368" t="inlineStr">
        <is>
          <t>LFC2423</t>
        </is>
      </c>
      <c r="B368" t="inlineStr">
        <is>
          <t>LFC2423</t>
        </is>
      </c>
      <c r="C368" t="inlineStr">
        <is>
          <t>ANTHONY</t>
        </is>
      </c>
      <c r="D368" t="inlineStr"/>
      <c r="E368" t="inlineStr">
        <is>
          <t>Y</t>
        </is>
      </c>
      <c r="F368" t="inlineStr">
        <is>
          <t>23</t>
        </is>
      </c>
      <c r="G368" t="inlineStr">
        <is>
          <t>24 ODUSANYA STREET, BARIGA</t>
        </is>
      </c>
      <c r="H368" t="inlineStr">
        <is>
          <t>New (proposed)</t>
        </is>
      </c>
      <c r="I368" t="inlineStr"/>
    </row>
    <row r="369">
      <c r="A369" t="inlineStr">
        <is>
          <t>LFC2424</t>
        </is>
      </c>
      <c r="B369" t="inlineStr">
        <is>
          <t>LFC2424</t>
        </is>
      </c>
      <c r="C369" t="inlineStr">
        <is>
          <t>ANTHONY</t>
        </is>
      </c>
      <c r="D369" t="inlineStr">
        <is>
          <t>N</t>
        </is>
      </c>
      <c r="E369" t="inlineStr">
        <is>
          <t>Y</t>
        </is>
      </c>
      <c r="F369" t="inlineStr">
        <is>
          <t>24</t>
        </is>
      </c>
      <c r="G369" t="inlineStr">
        <is>
          <t>67 OREMEJI STREET BARIGA</t>
        </is>
      </c>
      <c r="H369" t="inlineStr">
        <is>
          <t>New (proposed)</t>
        </is>
      </c>
      <c r="I369" t="inlineStr">
        <is>
          <t>N</t>
        </is>
      </c>
    </row>
    <row r="370">
      <c r="A370" t="inlineStr">
        <is>
          <t>LFC2501</t>
        </is>
      </c>
      <c r="B370" t="inlineStr">
        <is>
          <t>LFC2501</t>
        </is>
      </c>
      <c r="C370" t="inlineStr">
        <is>
          <t>AKUTE</t>
        </is>
      </c>
      <c r="D370" t="inlineStr">
        <is>
          <t>Y</t>
        </is>
      </c>
      <c r="E370" t="inlineStr">
        <is>
          <t>Y</t>
        </is>
      </c>
      <c r="F370" t="inlineStr">
        <is>
          <t>1</t>
        </is>
      </c>
      <c r="G370" t="inlineStr">
        <is>
          <t>2, Tunde Sebanjo Crescent</t>
        </is>
      </c>
      <c r="H370" t="inlineStr">
        <is>
          <t>Existing</t>
        </is>
      </c>
      <c r="I370" t="inlineStr">
        <is>
          <t>N</t>
        </is>
      </c>
    </row>
    <row r="371">
      <c r="A371" t="inlineStr">
        <is>
          <t>LFC2502</t>
        </is>
      </c>
      <c r="B371" t="inlineStr">
        <is>
          <t>LFC2502</t>
        </is>
      </c>
      <c r="C371" t="inlineStr">
        <is>
          <t>AKUTE</t>
        </is>
      </c>
      <c r="D371" t="inlineStr">
        <is>
          <t>Y</t>
        </is>
      </c>
      <c r="E371" t="inlineStr">
        <is>
          <t>Y</t>
        </is>
      </c>
      <c r="F371" t="inlineStr">
        <is>
          <t>2</t>
        </is>
      </c>
      <c r="G371" t="inlineStr">
        <is>
          <t>7 OKUNOLA STREET, PIPELINE BUS STOP ISASHI AKUT</t>
        </is>
      </c>
      <c r="H371" t="inlineStr">
        <is>
          <t>Existing</t>
        </is>
      </c>
      <c r="I371" t="inlineStr">
        <is>
          <t>N</t>
        </is>
      </c>
    </row>
    <row r="372">
      <c r="A372" t="inlineStr">
        <is>
          <t>LFC2503</t>
        </is>
      </c>
      <c r="B372" t="inlineStr">
        <is>
          <t>LFC2503</t>
        </is>
      </c>
      <c r="C372" t="inlineStr">
        <is>
          <t>AKUTE</t>
        </is>
      </c>
      <c r="D372" t="inlineStr">
        <is>
          <t>N</t>
        </is>
      </c>
      <c r="E372" t="inlineStr">
        <is>
          <t>Y</t>
        </is>
      </c>
      <c r="F372" t="inlineStr">
        <is>
          <t>3</t>
        </is>
      </c>
      <c r="G372" t="inlineStr">
        <is>
          <t>59, TAYE BELLO STREET ISHASI</t>
        </is>
      </c>
      <c r="H372" t="inlineStr">
        <is>
          <t>Existing</t>
        </is>
      </c>
      <c r="I372" t="inlineStr">
        <is>
          <t>N</t>
        </is>
      </c>
    </row>
    <row r="373">
      <c r="A373" t="inlineStr">
        <is>
          <t>LFC2504</t>
        </is>
      </c>
      <c r="B373" t="inlineStr">
        <is>
          <t>LFC2504</t>
        </is>
      </c>
      <c r="C373" t="inlineStr">
        <is>
          <t>AKUTE</t>
        </is>
      </c>
      <c r="D373" t="inlineStr">
        <is>
          <t>N</t>
        </is>
      </c>
      <c r="E373" t="inlineStr">
        <is>
          <t>Y</t>
        </is>
      </c>
      <c r="F373" t="inlineStr">
        <is>
          <t>4</t>
        </is>
      </c>
      <c r="G373" t="inlineStr">
        <is>
          <t>11 AKINFATOYINBO AKUTE ODO</t>
        </is>
      </c>
      <c r="H373" t="inlineStr">
        <is>
          <t>Existing</t>
        </is>
      </c>
      <c r="I373" t="inlineStr">
        <is>
          <t>N</t>
        </is>
      </c>
    </row>
    <row r="374">
      <c r="A374" t="inlineStr">
        <is>
          <t>LFC2505</t>
        </is>
      </c>
      <c r="B374" t="inlineStr">
        <is>
          <t>LFC2505</t>
        </is>
      </c>
      <c r="C374" t="inlineStr">
        <is>
          <t>AKUTE</t>
        </is>
      </c>
      <c r="D374" t="inlineStr">
        <is>
          <t>Y</t>
        </is>
      </c>
      <c r="E374" t="inlineStr">
        <is>
          <t>Y</t>
        </is>
      </c>
      <c r="F374" t="inlineStr">
        <is>
          <t>5</t>
        </is>
      </c>
      <c r="G374" t="inlineStr">
        <is>
          <t>40 FOLORUNSHO STREET HERITAGE ESTATE</t>
        </is>
      </c>
      <c r="H374" t="inlineStr">
        <is>
          <t>Existing</t>
        </is>
      </c>
      <c r="I374" t="inlineStr">
        <is>
          <t>N</t>
        </is>
      </c>
    </row>
    <row r="375">
      <c r="A375" t="inlineStr">
        <is>
          <t>LFC2506</t>
        </is>
      </c>
      <c r="B375" t="inlineStr">
        <is>
          <t>LFC2506</t>
        </is>
      </c>
      <c r="C375" t="inlineStr">
        <is>
          <t>AKUTE</t>
        </is>
      </c>
      <c r="D375" t="inlineStr">
        <is>
          <t>Y</t>
        </is>
      </c>
      <c r="E375" t="inlineStr">
        <is>
          <t>Y</t>
        </is>
      </c>
      <c r="F375" t="inlineStr">
        <is>
          <t>6</t>
        </is>
      </c>
      <c r="G375" t="inlineStr">
        <is>
          <t>10 baale road, Ajuwon</t>
        </is>
      </c>
      <c r="H375" t="inlineStr">
        <is>
          <t>Existing</t>
        </is>
      </c>
      <c r="I375" t="inlineStr">
        <is>
          <t>N</t>
        </is>
      </c>
    </row>
    <row r="376">
      <c r="A376" t="inlineStr">
        <is>
          <t>LFC2507</t>
        </is>
      </c>
      <c r="B376" t="inlineStr">
        <is>
          <t>LFC2507</t>
        </is>
      </c>
      <c r="C376" t="inlineStr">
        <is>
          <t>AKUTE</t>
        </is>
      </c>
      <c r="D376" t="inlineStr">
        <is>
          <t>Y</t>
        </is>
      </c>
      <c r="E376" t="inlineStr">
        <is>
          <t>Y</t>
        </is>
      </c>
      <c r="F376" t="inlineStr">
        <is>
          <t>7</t>
        </is>
      </c>
      <c r="G376" t="inlineStr">
        <is>
          <t>49, GASLINE ROAD, COCOA HOUSE, MATOGUN</t>
        </is>
      </c>
      <c r="H376" t="inlineStr">
        <is>
          <t>Existing</t>
        </is>
      </c>
      <c r="I376" t="inlineStr">
        <is>
          <t>N</t>
        </is>
      </c>
    </row>
    <row r="377">
      <c r="A377" t="inlineStr">
        <is>
          <t>LFC2508</t>
        </is>
      </c>
      <c r="B377" t="inlineStr">
        <is>
          <t>LFC2508</t>
        </is>
      </c>
      <c r="C377" t="inlineStr">
        <is>
          <t>AKUTE</t>
        </is>
      </c>
      <c r="D377" t="inlineStr">
        <is>
          <t>N</t>
        </is>
      </c>
      <c r="E377" t="inlineStr">
        <is>
          <t>Y</t>
        </is>
      </c>
      <c r="F377" t="inlineStr">
        <is>
          <t>8</t>
        </is>
      </c>
      <c r="G377" t="inlineStr">
        <is>
          <t>No 12 TUNDE ISIJOLA STREET MATOKGUN</t>
        </is>
      </c>
      <c r="H377" t="inlineStr">
        <is>
          <t>Existing</t>
        </is>
      </c>
      <c r="I377" t="inlineStr">
        <is>
          <t>N</t>
        </is>
      </c>
    </row>
    <row r="378">
      <c r="A378" t="inlineStr">
        <is>
          <t>LFC2509</t>
        </is>
      </c>
      <c r="B378" t="inlineStr">
        <is>
          <t>LFC2509</t>
        </is>
      </c>
      <c r="C378" t="inlineStr">
        <is>
          <t>AKUTE</t>
        </is>
      </c>
      <c r="D378" t="inlineStr">
        <is>
          <t>N</t>
        </is>
      </c>
      <c r="E378" t="inlineStr">
        <is>
          <t>Y</t>
        </is>
      </c>
      <c r="F378" t="inlineStr">
        <is>
          <t>9</t>
        </is>
      </c>
      <c r="G378" t="inlineStr">
        <is>
          <t>19/21 Sodipe Rd KOYE ISALE</t>
        </is>
      </c>
      <c r="H378" t="inlineStr">
        <is>
          <t>Existing</t>
        </is>
      </c>
      <c r="I378" t="inlineStr">
        <is>
          <t>Y</t>
        </is>
      </c>
    </row>
    <row r="379">
      <c r="A379" t="inlineStr">
        <is>
          <t>LFC2510</t>
        </is>
      </c>
      <c r="B379" t="inlineStr">
        <is>
          <t>LFC2510</t>
        </is>
      </c>
      <c r="C379" t="inlineStr">
        <is>
          <t>AKUTE</t>
        </is>
      </c>
      <c r="D379" t="inlineStr">
        <is>
          <t>Y</t>
        </is>
      </c>
      <c r="E379" t="inlineStr">
        <is>
          <t>Y</t>
        </is>
      </c>
      <c r="F379" t="inlineStr">
        <is>
          <t>10</t>
        </is>
      </c>
      <c r="G379" t="inlineStr">
        <is>
          <t>26 LEGUN ROAD, MATOGUN</t>
        </is>
      </c>
      <c r="H379" t="inlineStr">
        <is>
          <t>Existing</t>
        </is>
      </c>
      <c r="I379" t="inlineStr">
        <is>
          <t>N</t>
        </is>
      </c>
    </row>
    <row r="380">
      <c r="A380" t="inlineStr">
        <is>
          <t>LFC2511</t>
        </is>
      </c>
      <c r="B380" t="inlineStr">
        <is>
          <t>LFC2511</t>
        </is>
      </c>
      <c r="C380" t="inlineStr">
        <is>
          <t>AKUTE</t>
        </is>
      </c>
      <c r="D380" t="inlineStr">
        <is>
          <t>Y</t>
        </is>
      </c>
      <c r="E380" t="inlineStr">
        <is>
          <t>Y</t>
        </is>
      </c>
      <c r="F380" t="inlineStr">
        <is>
          <t>11</t>
        </is>
      </c>
      <c r="G380" t="inlineStr">
        <is>
          <t>3 JESUS CLOSE</t>
        </is>
      </c>
      <c r="H380" t="inlineStr">
        <is>
          <t>Existing</t>
        </is>
      </c>
      <c r="I380" t="inlineStr">
        <is>
          <t>N</t>
        </is>
      </c>
    </row>
    <row r="381">
      <c r="A381" t="inlineStr">
        <is>
          <t>LFC2512</t>
        </is>
      </c>
      <c r="B381" t="inlineStr">
        <is>
          <t>LFC2512</t>
        </is>
      </c>
      <c r="C381" t="inlineStr">
        <is>
          <t>AKUTE</t>
        </is>
      </c>
      <c r="D381" t="inlineStr">
        <is>
          <t>Y</t>
        </is>
      </c>
      <c r="E381" t="inlineStr">
        <is>
          <t>Y</t>
        </is>
      </c>
      <c r="F381" t="inlineStr">
        <is>
          <t>12</t>
        </is>
      </c>
      <c r="G381" t="inlineStr">
        <is>
          <t>26 ST LUCY STREET, OLAMBE</t>
        </is>
      </c>
      <c r="H381" t="inlineStr">
        <is>
          <t>Existing</t>
        </is>
      </c>
      <c r="I381" t="inlineStr">
        <is>
          <t>N</t>
        </is>
      </c>
    </row>
    <row r="382">
      <c r="A382" t="inlineStr">
        <is>
          <t>LFC2513</t>
        </is>
      </c>
      <c r="B382" t="inlineStr">
        <is>
          <t>LFC2513</t>
        </is>
      </c>
      <c r="C382" t="inlineStr">
        <is>
          <t>AKUTE</t>
        </is>
      </c>
      <c r="D382" t="inlineStr"/>
      <c r="E382" t="inlineStr">
        <is>
          <t>Y</t>
        </is>
      </c>
      <c r="F382" t="inlineStr">
        <is>
          <t>13</t>
        </is>
      </c>
      <c r="G382" t="inlineStr">
        <is>
          <t>66 NEW LEGUN ROAD LOVEVILLE LEGUN VILLAGE</t>
        </is>
      </c>
      <c r="H382" t="inlineStr">
        <is>
          <t>Existing</t>
        </is>
      </c>
      <c r="I382" t="inlineStr"/>
    </row>
    <row r="383">
      <c r="A383" t="inlineStr">
        <is>
          <t>LFC2601</t>
        </is>
      </c>
      <c r="B383" t="inlineStr">
        <is>
          <t>LFC2601</t>
        </is>
      </c>
      <c r="C383" t="inlineStr">
        <is>
          <t>DENRO</t>
        </is>
      </c>
      <c r="D383" t="inlineStr">
        <is>
          <t>Y</t>
        </is>
      </c>
      <c r="E383" t="inlineStr">
        <is>
          <t>Y</t>
        </is>
      </c>
      <c r="F383" t="inlineStr">
        <is>
          <t>1</t>
        </is>
      </c>
      <c r="G383" t="inlineStr">
        <is>
          <t>10 ALJ TIJANI IDOWU STREET, OLASEPE EST. DENRO</t>
        </is>
      </c>
      <c r="H383" t="inlineStr">
        <is>
          <t>Existing</t>
        </is>
      </c>
      <c r="I383" t="inlineStr">
        <is>
          <t>N</t>
        </is>
      </c>
    </row>
    <row r="384">
      <c r="A384" t="inlineStr">
        <is>
          <t>LFC2602</t>
        </is>
      </c>
      <c r="B384" t="inlineStr">
        <is>
          <t>LFC2602</t>
        </is>
      </c>
      <c r="C384" t="inlineStr">
        <is>
          <t>DENRO</t>
        </is>
      </c>
      <c r="D384" t="inlineStr">
        <is>
          <t>Y</t>
        </is>
      </c>
      <c r="E384" t="inlineStr">
        <is>
          <t>Y</t>
        </is>
      </c>
      <c r="F384" t="inlineStr">
        <is>
          <t>2</t>
        </is>
      </c>
      <c r="G384" t="inlineStr">
        <is>
          <t>3, JIBOWU CLOSE TIPPER GARRAGE</t>
        </is>
      </c>
      <c r="H384" t="inlineStr">
        <is>
          <t>Existing</t>
        </is>
      </c>
      <c r="I384" t="inlineStr">
        <is>
          <t>N</t>
        </is>
      </c>
    </row>
    <row r="385">
      <c r="A385" t="inlineStr">
        <is>
          <t>LFC2603</t>
        </is>
      </c>
      <c r="B385" t="inlineStr">
        <is>
          <t>LFC2603</t>
        </is>
      </c>
      <c r="C385" t="inlineStr">
        <is>
          <t>DENRO</t>
        </is>
      </c>
      <c r="D385" t="inlineStr">
        <is>
          <t>Y</t>
        </is>
      </c>
      <c r="E385" t="inlineStr">
        <is>
          <t>Y</t>
        </is>
      </c>
      <c r="F385" t="inlineStr">
        <is>
          <t>3</t>
        </is>
      </c>
      <c r="G385" t="inlineStr">
        <is>
          <t>24, PRINCE AYO OMOPE AVENUE, LAMBE.</t>
        </is>
      </c>
      <c r="H385" t="inlineStr">
        <is>
          <t>Existing</t>
        </is>
      </c>
      <c r="I385" t="inlineStr">
        <is>
          <t>N</t>
        </is>
      </c>
    </row>
    <row r="386">
      <c r="A386" t="inlineStr">
        <is>
          <t>LFC2604</t>
        </is>
      </c>
      <c r="B386" t="inlineStr">
        <is>
          <t>LFC2604</t>
        </is>
      </c>
      <c r="C386" t="inlineStr">
        <is>
          <t>DENRO</t>
        </is>
      </c>
      <c r="D386" t="inlineStr">
        <is>
          <t>Y</t>
        </is>
      </c>
      <c r="E386" t="inlineStr">
        <is>
          <t>Y</t>
        </is>
      </c>
      <c r="F386" t="inlineStr">
        <is>
          <t>4</t>
        </is>
      </c>
      <c r="G386" t="inlineStr">
        <is>
          <t>57 MAKINDE STREET, ONIBUDO PHASE 2 OKO FILLING</t>
        </is>
      </c>
      <c r="H386" t="inlineStr">
        <is>
          <t>Existing</t>
        </is>
      </c>
      <c r="I386" t="inlineStr">
        <is>
          <t>N</t>
        </is>
      </c>
    </row>
    <row r="387">
      <c r="A387" t="inlineStr">
        <is>
          <t>LFC2605</t>
        </is>
      </c>
      <c r="B387" t="inlineStr">
        <is>
          <t>LFC2605</t>
        </is>
      </c>
      <c r="C387" t="inlineStr">
        <is>
          <t>DENRO</t>
        </is>
      </c>
      <c r="D387" t="inlineStr">
        <is>
          <t>Y</t>
        </is>
      </c>
      <c r="E387" t="inlineStr">
        <is>
          <t>Y</t>
        </is>
      </c>
      <c r="F387" t="inlineStr">
        <is>
          <t>5</t>
        </is>
      </c>
      <c r="G387" t="inlineStr">
        <is>
          <t>16, OLORUNDA IGE, OTUN</t>
        </is>
      </c>
      <c r="H387" t="inlineStr">
        <is>
          <t>Existing</t>
        </is>
      </c>
      <c r="I387" t="inlineStr">
        <is>
          <t>N</t>
        </is>
      </c>
    </row>
    <row r="388">
      <c r="A388" t="inlineStr">
        <is>
          <t>LFC2606</t>
        </is>
      </c>
      <c r="B388" t="inlineStr">
        <is>
          <t>LFC2606</t>
        </is>
      </c>
      <c r="C388" t="inlineStr">
        <is>
          <t>DENRO</t>
        </is>
      </c>
      <c r="D388" t="inlineStr">
        <is>
          <t>Y</t>
        </is>
      </c>
      <c r="E388" t="inlineStr">
        <is>
          <t>Y</t>
        </is>
      </c>
      <c r="F388" t="inlineStr">
        <is>
          <t>6</t>
        </is>
      </c>
      <c r="G388" t="inlineStr">
        <is>
          <t>23,GANIU TAHIRU STREET ONIBUDO,TIPPER GARAGE</t>
        </is>
      </c>
      <c r="H388" t="inlineStr">
        <is>
          <t>Existing</t>
        </is>
      </c>
      <c r="I388" t="inlineStr">
        <is>
          <t>N</t>
        </is>
      </c>
    </row>
    <row r="389">
      <c r="A389" t="inlineStr">
        <is>
          <t>LFC2607</t>
        </is>
      </c>
      <c r="B389" t="inlineStr">
        <is>
          <t>LFC2607</t>
        </is>
      </c>
      <c r="C389" t="inlineStr">
        <is>
          <t>DENRO</t>
        </is>
      </c>
      <c r="D389" t="inlineStr">
        <is>
          <t>Y</t>
        </is>
      </c>
      <c r="E389" t="inlineStr">
        <is>
          <t>Y</t>
        </is>
      </c>
      <c r="F389" t="inlineStr">
        <is>
          <t>7</t>
        </is>
      </c>
      <c r="G389" t="inlineStr">
        <is>
          <t>18B CLOSE, UNITED ESTATE, ALAGBOLE</t>
        </is>
      </c>
      <c r="H389" t="inlineStr">
        <is>
          <t>Existing</t>
        </is>
      </c>
      <c r="I389" t="inlineStr">
        <is>
          <t>N</t>
        </is>
      </c>
    </row>
    <row r="390">
      <c r="A390" t="inlineStr">
        <is>
          <t>LFC2608</t>
        </is>
      </c>
      <c r="B390" t="inlineStr">
        <is>
          <t>LFC2608</t>
        </is>
      </c>
      <c r="C390" t="inlineStr">
        <is>
          <t>DENRO</t>
        </is>
      </c>
      <c r="D390" t="inlineStr">
        <is>
          <t>Y</t>
        </is>
      </c>
      <c r="E390" t="inlineStr">
        <is>
          <t>Y</t>
        </is>
      </c>
      <c r="F390" t="inlineStr">
        <is>
          <t>8</t>
        </is>
      </c>
      <c r="G390" t="inlineStr">
        <is>
          <t>19, BABTUNDE F. STREET, HERITAGE ESTATE</t>
        </is>
      </c>
      <c r="H390" t="inlineStr">
        <is>
          <t>Existing</t>
        </is>
      </c>
      <c r="I390" t="inlineStr">
        <is>
          <t>N</t>
        </is>
      </c>
    </row>
    <row r="391">
      <c r="A391" t="inlineStr">
        <is>
          <t>LFC2609</t>
        </is>
      </c>
      <c r="B391" t="inlineStr">
        <is>
          <t>LFC2609</t>
        </is>
      </c>
      <c r="C391" t="inlineStr">
        <is>
          <t>DENRO</t>
        </is>
      </c>
      <c r="D391" t="inlineStr">
        <is>
          <t>N</t>
        </is>
      </c>
      <c r="E391" t="inlineStr">
        <is>
          <t>Y</t>
        </is>
      </c>
      <c r="F391" t="inlineStr">
        <is>
          <t>9</t>
        </is>
      </c>
      <c r="G391" t="inlineStr">
        <is>
          <t>21, OLAIYAPO STR, ASOORE</t>
        </is>
      </c>
      <c r="H391" t="inlineStr">
        <is>
          <t>Existing</t>
        </is>
      </c>
      <c r="I391" t="inlineStr">
        <is>
          <t>N</t>
        </is>
      </c>
    </row>
    <row r="392">
      <c r="A392" t="inlineStr">
        <is>
          <t>LFC2701</t>
        </is>
      </c>
      <c r="B392" t="inlineStr">
        <is>
          <t>LFC2701</t>
        </is>
      </c>
      <c r="C392" t="inlineStr">
        <is>
          <t>OLODI APAPA</t>
        </is>
      </c>
      <c r="D392" t="inlineStr">
        <is>
          <t>Y</t>
        </is>
      </c>
      <c r="E392" t="inlineStr">
        <is>
          <t>Y</t>
        </is>
      </c>
      <c r="F392" t="inlineStr">
        <is>
          <t>1</t>
        </is>
      </c>
      <c r="G392" t="inlineStr">
        <is>
          <t>184 KIRIKIRI RD. OLODI APAPA OFF PEOPLES BUS STOP</t>
        </is>
      </c>
      <c r="H392" t="inlineStr">
        <is>
          <t>Existing</t>
        </is>
      </c>
      <c r="I392" t="inlineStr">
        <is>
          <t>N</t>
        </is>
      </c>
    </row>
    <row r="393">
      <c r="A393" t="inlineStr">
        <is>
          <t>LFC2702</t>
        </is>
      </c>
      <c r="B393" t="inlineStr">
        <is>
          <t>LFC2702</t>
        </is>
      </c>
      <c r="C393" t="inlineStr">
        <is>
          <t>OLODI APAPA</t>
        </is>
      </c>
      <c r="D393" t="inlineStr">
        <is>
          <t>Y</t>
        </is>
      </c>
      <c r="E393" t="inlineStr">
        <is>
          <t>Y</t>
        </is>
      </c>
      <c r="F393" t="inlineStr">
        <is>
          <t>2</t>
        </is>
      </c>
      <c r="G393" t="inlineStr">
        <is>
          <t>44 EBUNOTTI STREET, OLODI-APAPA BY NEW ROAD BUS STOP</t>
        </is>
      </c>
      <c r="H393" t="inlineStr">
        <is>
          <t>Existing</t>
        </is>
      </c>
      <c r="I393" t="inlineStr">
        <is>
          <t>N</t>
        </is>
      </c>
    </row>
    <row r="394">
      <c r="A394" t="inlineStr">
        <is>
          <t>LFC2703</t>
        </is>
      </c>
      <c r="B394" t="inlineStr">
        <is>
          <t>LFC2703</t>
        </is>
      </c>
      <c r="C394" t="inlineStr">
        <is>
          <t>OLODI APAPA</t>
        </is>
      </c>
      <c r="D394" t="inlineStr">
        <is>
          <t>Y</t>
        </is>
      </c>
      <c r="E394" t="inlineStr">
        <is>
          <t>Y</t>
        </is>
      </c>
      <c r="F394" t="inlineStr">
        <is>
          <t>3</t>
        </is>
      </c>
      <c r="G394" t="inlineStr">
        <is>
          <t>80 WILMER CRESCENT STREET OFF COCONUT BUS STOP</t>
        </is>
      </c>
      <c r="H394" t="inlineStr">
        <is>
          <t>Existing</t>
        </is>
      </c>
      <c r="I394" t="inlineStr">
        <is>
          <t>N</t>
        </is>
      </c>
    </row>
    <row r="395">
      <c r="A395" t="inlineStr">
        <is>
          <t>LFC2704</t>
        </is>
      </c>
      <c r="B395" t="inlineStr">
        <is>
          <t>LFC2704</t>
        </is>
      </c>
      <c r="C395" t="inlineStr">
        <is>
          <t>OLODI APAPA</t>
        </is>
      </c>
      <c r="D395" t="inlineStr">
        <is>
          <t>Y</t>
        </is>
      </c>
      <c r="E395" t="inlineStr">
        <is>
          <t>Y</t>
        </is>
      </c>
      <c r="F395" t="inlineStr">
        <is>
          <t>4</t>
        </is>
      </c>
      <c r="G395" t="inlineStr">
        <is>
          <t>12, JOHNSON STREET, KIRIKIRI TOWN</t>
        </is>
      </c>
      <c r="H395" t="inlineStr">
        <is>
          <t>Existing</t>
        </is>
      </c>
      <c r="I395" t="inlineStr">
        <is>
          <t>N</t>
        </is>
      </c>
    </row>
    <row r="396">
      <c r="A396" t="inlineStr">
        <is>
          <t>LFC2705</t>
        </is>
      </c>
      <c r="B396" t="inlineStr">
        <is>
          <t>LFC2705</t>
        </is>
      </c>
      <c r="C396" t="inlineStr">
        <is>
          <t>OLODI APAPA</t>
        </is>
      </c>
      <c r="D396" t="inlineStr">
        <is>
          <t>Y</t>
        </is>
      </c>
      <c r="E396" t="inlineStr">
        <is>
          <t>Y</t>
        </is>
      </c>
      <c r="F396" t="inlineStr">
        <is>
          <t>5</t>
        </is>
      </c>
      <c r="G396" t="inlineStr">
        <is>
          <t>15 KOGBEREGBE STREET COMFORT OBOH</t>
        </is>
      </c>
      <c r="H396" t="inlineStr">
        <is>
          <t>Existing</t>
        </is>
      </c>
      <c r="I396" t="inlineStr">
        <is>
          <t>N</t>
        </is>
      </c>
    </row>
    <row r="397">
      <c r="A397" t="inlineStr">
        <is>
          <t>LFC2706</t>
        </is>
      </c>
      <c r="B397" t="inlineStr">
        <is>
          <t>LFC2706</t>
        </is>
      </c>
      <c r="C397" t="inlineStr">
        <is>
          <t>OLODI APAPA</t>
        </is>
      </c>
      <c r="D397" t="inlineStr">
        <is>
          <t>Y</t>
        </is>
      </c>
      <c r="E397" t="inlineStr">
        <is>
          <t>Y</t>
        </is>
      </c>
      <c r="F397" t="inlineStr">
        <is>
          <t>6</t>
        </is>
      </c>
      <c r="G397" t="inlineStr">
        <is>
          <t>EKUM COLLEGE EKUM ROUND ABOUT AMUKOKO</t>
        </is>
      </c>
      <c r="H397" t="inlineStr">
        <is>
          <t>Existing</t>
        </is>
      </c>
      <c r="I397" t="inlineStr">
        <is>
          <t>N</t>
        </is>
      </c>
    </row>
    <row r="398">
      <c r="A398" t="inlineStr">
        <is>
          <t>LFC2707</t>
        </is>
      </c>
      <c r="B398" t="inlineStr">
        <is>
          <t>LFC2707</t>
        </is>
      </c>
      <c r="C398" t="inlineStr">
        <is>
          <t>OLODI APAPA</t>
        </is>
      </c>
      <c r="D398" t="inlineStr">
        <is>
          <t>Y</t>
        </is>
      </c>
      <c r="E398" t="inlineStr">
        <is>
          <t>Y</t>
        </is>
      </c>
      <c r="F398" t="inlineStr">
        <is>
          <t>7</t>
        </is>
      </c>
      <c r="G398" t="inlineStr">
        <is>
          <t>9 OWOYEMI STREET, OJO ROAD, AJEGUNLE</t>
        </is>
      </c>
      <c r="H398" t="inlineStr">
        <is>
          <t>Existing</t>
        </is>
      </c>
      <c r="I398" t="inlineStr">
        <is>
          <t>N</t>
        </is>
      </c>
    </row>
    <row r="399">
      <c r="A399" t="inlineStr">
        <is>
          <t>LFC2708</t>
        </is>
      </c>
      <c r="B399" t="inlineStr">
        <is>
          <t>LFC2708</t>
        </is>
      </c>
      <c r="C399" t="inlineStr">
        <is>
          <t>OLODI APAPA</t>
        </is>
      </c>
      <c r="D399" t="inlineStr">
        <is>
          <t>Y</t>
        </is>
      </c>
      <c r="E399" t="inlineStr">
        <is>
          <t>Y</t>
        </is>
      </c>
      <c r="F399" t="inlineStr">
        <is>
          <t>8</t>
        </is>
      </c>
      <c r="G399" t="inlineStr">
        <is>
          <t>2 BADARU STREET OFF BENZER CRESCENT, MAZAMAZA LAGOS.</t>
        </is>
      </c>
      <c r="H399" t="inlineStr">
        <is>
          <t>Existing</t>
        </is>
      </c>
      <c r="I399" t="inlineStr">
        <is>
          <t>N</t>
        </is>
      </c>
    </row>
    <row r="400">
      <c r="A400" t="inlineStr">
        <is>
          <t>LFC2709</t>
        </is>
      </c>
      <c r="B400" t="inlineStr">
        <is>
          <t>LFC2709</t>
        </is>
      </c>
      <c r="C400" t="inlineStr">
        <is>
          <t>OLODI APAPA</t>
        </is>
      </c>
      <c r="D400" t="inlineStr">
        <is>
          <t>Y</t>
        </is>
      </c>
      <c r="E400" t="inlineStr">
        <is>
          <t>Y</t>
        </is>
      </c>
      <c r="F400" t="inlineStr">
        <is>
          <t>9</t>
        </is>
      </c>
      <c r="G400" t="inlineStr">
        <is>
          <t>12 OKOYA STREET. OFF OJO ROAD AJEGUNLE</t>
        </is>
      </c>
      <c r="H400" t="inlineStr">
        <is>
          <t>Existing</t>
        </is>
      </c>
      <c r="I400" t="inlineStr">
        <is>
          <t>N</t>
        </is>
      </c>
    </row>
    <row r="401">
      <c r="A401" t="inlineStr">
        <is>
          <t>LFC2710</t>
        </is>
      </c>
      <c r="B401" t="inlineStr">
        <is>
          <t>LFC2710</t>
        </is>
      </c>
      <c r="C401" t="inlineStr">
        <is>
          <t>OLODI APAPA</t>
        </is>
      </c>
      <c r="D401" t="inlineStr"/>
      <c r="E401" t="inlineStr">
        <is>
          <t>Y</t>
        </is>
      </c>
      <c r="F401" t="inlineStr">
        <is>
          <t>10</t>
        </is>
      </c>
      <c r="G401" t="inlineStr">
        <is>
          <t>12 BALE ALAYIABIAGBA STREET OPPOSITE NAVY GATE BOUNDARY AJEGUNLE</t>
        </is>
      </c>
      <c r="H401" t="inlineStr">
        <is>
          <t>Existing</t>
        </is>
      </c>
      <c r="I401" t="inlineStr"/>
    </row>
    <row r="402">
      <c r="A402" t="inlineStr">
        <is>
          <t>LFC2801</t>
        </is>
      </c>
      <c r="B402" t="inlineStr">
        <is>
          <t>LFC2801</t>
        </is>
      </c>
      <c r="C402" t="inlineStr">
        <is>
          <t>PARKLANE APAPA</t>
        </is>
      </c>
      <c r="D402" t="inlineStr">
        <is>
          <t>Y</t>
        </is>
      </c>
      <c r="E402" t="inlineStr">
        <is>
          <t>Y</t>
        </is>
      </c>
      <c r="F402" t="inlineStr">
        <is>
          <t>1</t>
        </is>
      </c>
      <c r="G402" t="inlineStr">
        <is>
          <t>28 PARK-LANE APAPA</t>
        </is>
      </c>
      <c r="H402" t="inlineStr">
        <is>
          <t>Existing</t>
        </is>
      </c>
      <c r="I402" t="inlineStr">
        <is>
          <t>N</t>
        </is>
      </c>
    </row>
    <row r="403">
      <c r="A403" t="inlineStr">
        <is>
          <t>LFC2802</t>
        </is>
      </c>
      <c r="B403" t="inlineStr">
        <is>
          <t>LFC2802</t>
        </is>
      </c>
      <c r="C403" t="inlineStr">
        <is>
          <t>PARKLANE APAPA</t>
        </is>
      </c>
      <c r="D403" t="inlineStr"/>
      <c r="E403" t="inlineStr">
        <is>
          <t>Y</t>
        </is>
      </c>
      <c r="F403" t="inlineStr">
        <is>
          <t>2</t>
        </is>
      </c>
      <c r="G403" t="inlineStr">
        <is>
          <t>11 FEMI ALADE STREET, ONISIWO ISLAND, MANAGER APAPA, LAGOS</t>
        </is>
      </c>
      <c r="H403" t="inlineStr">
        <is>
          <t>Existing</t>
        </is>
      </c>
      <c r="I403" t="inlineStr"/>
    </row>
    <row r="404">
      <c r="A404" t="inlineStr">
        <is>
          <t>LFC2803</t>
        </is>
      </c>
      <c r="B404" t="inlineStr">
        <is>
          <t>LFC2803</t>
        </is>
      </c>
      <c r="C404" t="inlineStr">
        <is>
          <t>PARKLANE APAPA</t>
        </is>
      </c>
      <c r="D404" t="inlineStr">
        <is>
          <t>Y</t>
        </is>
      </c>
      <c r="E404" t="inlineStr">
        <is>
          <t>Y</t>
        </is>
      </c>
      <c r="F404" t="inlineStr">
        <is>
          <t>3</t>
        </is>
      </c>
      <c r="G404" t="inlineStr">
        <is>
          <t>ITUAGUN ISLAND APAPA</t>
        </is>
      </c>
      <c r="H404" t="inlineStr">
        <is>
          <t>Existing</t>
        </is>
      </c>
      <c r="I404" t="inlineStr">
        <is>
          <t>N</t>
        </is>
      </c>
    </row>
    <row r="405">
      <c r="A405" t="inlineStr">
        <is>
          <t>LFC2804</t>
        </is>
      </c>
      <c r="B405" t="inlineStr">
        <is>
          <t>LFC2804</t>
        </is>
      </c>
      <c r="C405" t="inlineStr">
        <is>
          <t>PARKLANE APAPA</t>
        </is>
      </c>
      <c r="D405" t="inlineStr">
        <is>
          <t>Y</t>
        </is>
      </c>
      <c r="E405" t="inlineStr">
        <is>
          <t>Y</t>
        </is>
      </c>
      <c r="F405" t="inlineStr">
        <is>
          <t>4</t>
        </is>
      </c>
      <c r="G405" t="inlineStr">
        <is>
          <t>12 BALE ALAYIABIAGBA STREET OPPOSITE NAVY GATE BOUNDARY AJEGUNLE</t>
        </is>
      </c>
      <c r="H405" t="inlineStr">
        <is>
          <t>Existing</t>
        </is>
      </c>
      <c r="I405" t="inlineStr">
        <is>
          <t>N</t>
        </is>
      </c>
    </row>
    <row r="406">
      <c r="A406" t="inlineStr">
        <is>
          <t>LFC2805</t>
        </is>
      </c>
      <c r="B406" t="inlineStr">
        <is>
          <t>LFC2805</t>
        </is>
      </c>
      <c r="C406" t="inlineStr">
        <is>
          <t>PARKLANE APAPA</t>
        </is>
      </c>
      <c r="D406" t="inlineStr">
        <is>
          <t>Y</t>
        </is>
      </c>
      <c r="E406" t="inlineStr">
        <is>
          <t>Y</t>
        </is>
      </c>
      <c r="F406" t="inlineStr">
        <is>
          <t>5</t>
        </is>
      </c>
      <c r="G406" t="inlineStr">
        <is>
          <t>JESUS ISLAND APAPA</t>
        </is>
      </c>
      <c r="H406" t="inlineStr">
        <is>
          <t>Existing</t>
        </is>
      </c>
      <c r="I406" t="inlineStr">
        <is>
          <t>Y</t>
        </is>
      </c>
    </row>
    <row r="407">
      <c r="A407" t="inlineStr">
        <is>
          <t>LFC2806</t>
        </is>
      </c>
      <c r="B407" t="inlineStr">
        <is>
          <t>LFC2806</t>
        </is>
      </c>
      <c r="C407" t="inlineStr">
        <is>
          <t>PARKLANE APAPA</t>
        </is>
      </c>
      <c r="D407" t="inlineStr">
        <is>
          <t>Y</t>
        </is>
      </c>
      <c r="E407" t="inlineStr">
        <is>
          <t>Y</t>
        </is>
      </c>
      <c r="F407" t="inlineStr">
        <is>
          <t>6</t>
        </is>
      </c>
      <c r="G407" t="inlineStr">
        <is>
          <t>IJORA BADIA, APAPA LAGOS</t>
        </is>
      </c>
      <c r="H407" t="inlineStr">
        <is>
          <t>Existing</t>
        </is>
      </c>
      <c r="I407" t="inlineStr">
        <is>
          <t>N</t>
        </is>
      </c>
    </row>
    <row r="408">
      <c r="A408" t="inlineStr">
        <is>
          <t>LFC2901</t>
        </is>
      </c>
      <c r="B408" t="inlineStr">
        <is>
          <t>LFC2901</t>
        </is>
      </c>
      <c r="C408" t="inlineStr">
        <is>
          <t>ALAGBADO AKINDE</t>
        </is>
      </c>
      <c r="D408" t="inlineStr">
        <is>
          <t>Y</t>
        </is>
      </c>
      <c r="E408" t="inlineStr">
        <is>
          <t>Y</t>
        </is>
      </c>
      <c r="F408" t="inlineStr">
        <is>
          <t>1</t>
        </is>
      </c>
      <c r="G408" t="inlineStr">
        <is>
          <t>AKINDE CHURCH FACILITY, AKINDE ROAD, AJEGUNLE TOLLGATE</t>
        </is>
      </c>
      <c r="H408" t="inlineStr">
        <is>
          <t>Existing</t>
        </is>
      </c>
      <c r="I408" t="inlineStr">
        <is>
          <t>N</t>
        </is>
      </c>
    </row>
    <row r="409">
      <c r="A409" t="inlineStr">
        <is>
          <t>LFC2902</t>
        </is>
      </c>
      <c r="B409" t="inlineStr">
        <is>
          <t>LFC2902</t>
        </is>
      </c>
      <c r="C409" t="inlineStr">
        <is>
          <t>ALAGBADO AKINDE</t>
        </is>
      </c>
      <c r="D409" t="inlineStr">
        <is>
          <t>Y</t>
        </is>
      </c>
      <c r="E409" t="inlineStr">
        <is>
          <t>Y</t>
        </is>
      </c>
      <c r="F409" t="inlineStr">
        <is>
          <t>2</t>
        </is>
      </c>
      <c r="G409" t="inlineStr">
        <is>
          <t>18 Musa Street Abule Iroko</t>
        </is>
      </c>
      <c r="H409" t="inlineStr">
        <is>
          <t>Existing</t>
        </is>
      </c>
      <c r="I409" t="inlineStr">
        <is>
          <t>N</t>
        </is>
      </c>
    </row>
    <row r="410">
      <c r="A410" t="inlineStr">
        <is>
          <t>LFC2903</t>
        </is>
      </c>
      <c r="B410" t="inlineStr">
        <is>
          <t>LFC2903</t>
        </is>
      </c>
      <c r="C410" t="inlineStr">
        <is>
          <t>ALAGBADO AKINDE</t>
        </is>
      </c>
      <c r="D410" t="inlineStr">
        <is>
          <t>Y</t>
        </is>
      </c>
      <c r="E410" t="inlineStr">
        <is>
          <t>Y</t>
        </is>
      </c>
      <c r="F410" t="inlineStr">
        <is>
          <t>3</t>
        </is>
      </c>
      <c r="G410" t="inlineStr">
        <is>
          <t>68, Unity Rd Alakuko Lagos</t>
        </is>
      </c>
      <c r="H410" t="inlineStr">
        <is>
          <t>Existing</t>
        </is>
      </c>
      <c r="I410" t="inlineStr">
        <is>
          <t>N</t>
        </is>
      </c>
    </row>
    <row r="411">
      <c r="A411" t="inlineStr">
        <is>
          <t>LFC2904</t>
        </is>
      </c>
      <c r="B411" t="inlineStr">
        <is>
          <t>LFC2904</t>
        </is>
      </c>
      <c r="C411" t="inlineStr">
        <is>
          <t>ALAGBADO AKINDE</t>
        </is>
      </c>
      <c r="D411" t="inlineStr">
        <is>
          <t>Y</t>
        </is>
      </c>
      <c r="E411" t="inlineStr">
        <is>
          <t>Y</t>
        </is>
      </c>
      <c r="F411" t="inlineStr">
        <is>
          <t>4</t>
        </is>
      </c>
      <c r="G411" t="inlineStr">
        <is>
          <t>32, Fola Falusi Street Ajegunle Ilo Lagos</t>
        </is>
      </c>
      <c r="H411" t="inlineStr">
        <is>
          <t>Existing</t>
        </is>
      </c>
      <c r="I411" t="inlineStr">
        <is>
          <t>N</t>
        </is>
      </c>
    </row>
    <row r="412">
      <c r="A412" t="inlineStr">
        <is>
          <t>LFC2905</t>
        </is>
      </c>
      <c r="B412" t="inlineStr">
        <is>
          <t>LFC2905</t>
        </is>
      </c>
      <c r="C412" t="inlineStr">
        <is>
          <t>ALAGBADO AKINDE</t>
        </is>
      </c>
      <c r="D412" t="inlineStr">
        <is>
          <t>Y</t>
        </is>
      </c>
      <c r="E412" t="inlineStr">
        <is>
          <t>Y</t>
        </is>
      </c>
      <c r="F412" t="inlineStr">
        <is>
          <t>5</t>
        </is>
      </c>
      <c r="G412" t="inlineStr">
        <is>
          <t>15 Samuel Omogbehin Street Arije Ogun State</t>
        </is>
      </c>
      <c r="H412" t="inlineStr">
        <is>
          <t>Existing</t>
        </is>
      </c>
      <c r="I412" t="inlineStr">
        <is>
          <t>N</t>
        </is>
      </c>
    </row>
    <row r="413">
      <c r="A413" t="inlineStr">
        <is>
          <t>LFC2906</t>
        </is>
      </c>
      <c r="B413" t="inlineStr">
        <is>
          <t>LFC2906</t>
        </is>
      </c>
      <c r="C413" t="inlineStr">
        <is>
          <t>ALAGBADO AKINDE</t>
        </is>
      </c>
      <c r="D413" t="inlineStr">
        <is>
          <t>Y</t>
        </is>
      </c>
      <c r="E413" t="inlineStr">
        <is>
          <t>Y</t>
        </is>
      </c>
      <c r="F413" t="inlineStr">
        <is>
          <t>6</t>
        </is>
      </c>
      <c r="G413" t="inlineStr">
        <is>
          <t>6, Grace Grescent Arije Ogun State</t>
        </is>
      </c>
      <c r="H413" t="inlineStr">
        <is>
          <t>Existing</t>
        </is>
      </c>
      <c r="I413" t="inlineStr">
        <is>
          <t>N</t>
        </is>
      </c>
    </row>
    <row r="414">
      <c r="A414" t="inlineStr">
        <is>
          <t>LFC2907</t>
        </is>
      </c>
      <c r="B414" t="inlineStr">
        <is>
          <t>LFC2907</t>
        </is>
      </c>
      <c r="C414" t="inlineStr">
        <is>
          <t>ALAGBADO AKINDE</t>
        </is>
      </c>
      <c r="D414" t="inlineStr">
        <is>
          <t>Y</t>
        </is>
      </c>
      <c r="E414" t="inlineStr">
        <is>
          <t>Y</t>
        </is>
      </c>
      <c r="F414" t="inlineStr">
        <is>
          <t>7</t>
        </is>
      </c>
      <c r="G414" t="inlineStr">
        <is>
          <t>3, Jide Agbetuyi Ogun State</t>
        </is>
      </c>
      <c r="H414" t="inlineStr">
        <is>
          <t>Existing</t>
        </is>
      </c>
      <c r="I414" t="inlineStr">
        <is>
          <t>N</t>
        </is>
      </c>
    </row>
    <row r="415">
      <c r="A415" t="inlineStr">
        <is>
          <t>LFC2908</t>
        </is>
      </c>
      <c r="B415" t="inlineStr">
        <is>
          <t>LFC2908</t>
        </is>
      </c>
      <c r="C415" t="inlineStr">
        <is>
          <t>ALAGBADO AKINDE</t>
        </is>
      </c>
      <c r="D415" t="inlineStr">
        <is>
          <t>Y</t>
        </is>
      </c>
      <c r="E415" t="inlineStr">
        <is>
          <t>Y</t>
        </is>
      </c>
      <c r="F415" t="inlineStr">
        <is>
          <t>8</t>
        </is>
      </c>
      <c r="G415" t="inlineStr">
        <is>
          <t>4, Michael Akinkunmi Street Dalemo Alakuko</t>
        </is>
      </c>
      <c r="H415" t="inlineStr">
        <is>
          <t>Existing</t>
        </is>
      </c>
      <c r="I415" t="inlineStr">
        <is>
          <t>N</t>
        </is>
      </c>
    </row>
    <row r="416">
      <c r="A416" t="inlineStr">
        <is>
          <t>LFC2909</t>
        </is>
      </c>
      <c r="B416" t="inlineStr">
        <is>
          <t>LFC2909</t>
        </is>
      </c>
      <c r="C416" t="inlineStr">
        <is>
          <t>ALAGBADO AKINDE</t>
        </is>
      </c>
      <c r="D416" t="inlineStr">
        <is>
          <t>Y</t>
        </is>
      </c>
      <c r="E416" t="inlineStr">
        <is>
          <t>Y</t>
        </is>
      </c>
      <c r="F416" t="inlineStr">
        <is>
          <t>9</t>
        </is>
      </c>
      <c r="G416" t="inlineStr">
        <is>
          <t>1, Adeyemi Street Aboro</t>
        </is>
      </c>
      <c r="H416" t="inlineStr">
        <is>
          <t>Existing</t>
        </is>
      </c>
      <c r="I416" t="inlineStr">
        <is>
          <t>N</t>
        </is>
      </c>
    </row>
    <row r="417">
      <c r="A417" t="inlineStr">
        <is>
          <t>LFC2910</t>
        </is>
      </c>
      <c r="B417" t="inlineStr">
        <is>
          <t>LFC2910</t>
        </is>
      </c>
      <c r="C417" t="inlineStr">
        <is>
          <t>ALAGBADO AKINDE</t>
        </is>
      </c>
      <c r="D417" t="inlineStr">
        <is>
          <t>Y</t>
        </is>
      </c>
      <c r="E417" t="inlineStr">
        <is>
          <t>Y</t>
        </is>
      </c>
      <c r="F417" t="inlineStr">
        <is>
          <t>10</t>
        </is>
      </c>
      <c r="G417" t="inlineStr">
        <is>
          <t>6, Gbeleyi Avenue Alakuko Lagos</t>
        </is>
      </c>
      <c r="H417" t="inlineStr">
        <is>
          <t>Existing</t>
        </is>
      </c>
      <c r="I417" t="inlineStr">
        <is>
          <t>N</t>
        </is>
      </c>
    </row>
    <row r="418">
      <c r="A418" t="inlineStr">
        <is>
          <t>LFC2911</t>
        </is>
      </c>
      <c r="B418" t="inlineStr">
        <is>
          <t>LFC2911</t>
        </is>
      </c>
      <c r="C418" t="inlineStr">
        <is>
          <t>ALAGBADO AKINDE</t>
        </is>
      </c>
      <c r="D418" t="inlineStr">
        <is>
          <t>Y</t>
        </is>
      </c>
      <c r="E418" t="inlineStr">
        <is>
          <t>Y</t>
        </is>
      </c>
      <c r="F418" t="inlineStr">
        <is>
          <t>11</t>
        </is>
      </c>
      <c r="G418" t="inlineStr">
        <is>
          <t>16, Alice Olatoun Street Alakuko</t>
        </is>
      </c>
      <c r="H418" t="inlineStr">
        <is>
          <t>Existing</t>
        </is>
      </c>
      <c r="I418" t="inlineStr">
        <is>
          <t>N</t>
        </is>
      </c>
    </row>
    <row r="419">
      <c r="A419" t="inlineStr">
        <is>
          <t>LFC2912</t>
        </is>
      </c>
      <c r="B419" t="inlineStr">
        <is>
          <t>LFC2912</t>
        </is>
      </c>
      <c r="C419" t="inlineStr">
        <is>
          <t>ALAGBADO AKINDE</t>
        </is>
      </c>
      <c r="D419" t="inlineStr">
        <is>
          <t>Y</t>
        </is>
      </c>
      <c r="E419" t="inlineStr">
        <is>
          <t>Y</t>
        </is>
      </c>
      <c r="F419" t="inlineStr">
        <is>
          <t>12</t>
        </is>
      </c>
      <c r="G419" t="inlineStr">
        <is>
          <t>3, Adegbola Street Alakuko</t>
        </is>
      </c>
      <c r="H419" t="inlineStr">
        <is>
          <t>Existing</t>
        </is>
      </c>
      <c r="I419" t="inlineStr">
        <is>
          <t>N</t>
        </is>
      </c>
    </row>
    <row r="420">
      <c r="A420" t="inlineStr">
        <is>
          <t>LFC2913</t>
        </is>
      </c>
      <c r="B420" t="inlineStr">
        <is>
          <t>LFC2913</t>
        </is>
      </c>
      <c r="C420" t="inlineStr">
        <is>
          <t>ALAGBADO AKINDE</t>
        </is>
      </c>
      <c r="D420" t="inlineStr">
        <is>
          <t>Y</t>
        </is>
      </c>
      <c r="E420" t="inlineStr">
        <is>
          <t>Y</t>
        </is>
      </c>
      <c r="F420" t="inlineStr">
        <is>
          <t>13</t>
        </is>
      </c>
      <c r="G420" t="inlineStr">
        <is>
          <t>6 Ties Rd, Off Ogunmokun Rd, Iloye 11, Gasline</t>
        </is>
      </c>
      <c r="H420" t="inlineStr">
        <is>
          <t>Existing</t>
        </is>
      </c>
      <c r="I420" t="inlineStr">
        <is>
          <t>N</t>
        </is>
      </c>
    </row>
    <row r="421">
      <c r="A421" t="inlineStr">
        <is>
          <t>LFC2914</t>
        </is>
      </c>
      <c r="B421" t="inlineStr">
        <is>
          <t>LFC2914</t>
        </is>
      </c>
      <c r="C421" t="inlineStr">
        <is>
          <t>ALAGBADO AKINDE</t>
        </is>
      </c>
      <c r="D421" t="inlineStr">
        <is>
          <t>Y</t>
        </is>
      </c>
      <c r="E421" t="inlineStr">
        <is>
          <t>Y</t>
        </is>
      </c>
      <c r="F421" t="inlineStr">
        <is>
          <t>14</t>
        </is>
      </c>
      <c r="G421" t="inlineStr">
        <is>
          <t>SALAMI OPE STREET ABULE IROKO OGUN STATE</t>
        </is>
      </c>
      <c r="H421" t="inlineStr">
        <is>
          <t>Existing</t>
        </is>
      </c>
      <c r="I421" t="inlineStr">
        <is>
          <t>N</t>
        </is>
      </c>
    </row>
    <row r="422">
      <c r="A422" t="inlineStr">
        <is>
          <t>LFC2915</t>
        </is>
      </c>
      <c r="B422" t="inlineStr">
        <is>
          <t>LFC2915</t>
        </is>
      </c>
      <c r="C422" t="inlineStr">
        <is>
          <t>ALAGBADO AKINDE</t>
        </is>
      </c>
      <c r="D422" t="inlineStr">
        <is>
          <t>Y</t>
        </is>
      </c>
      <c r="E422" t="inlineStr">
        <is>
          <t>Y</t>
        </is>
      </c>
      <c r="F422" t="inlineStr">
        <is>
          <t>15</t>
        </is>
      </c>
      <c r="G422" t="inlineStr">
        <is>
          <t>LAST BUS STOP ABULE IROKO</t>
        </is>
      </c>
      <c r="H422" t="inlineStr">
        <is>
          <t>Existing</t>
        </is>
      </c>
      <c r="I422" t="inlineStr">
        <is>
          <t>N</t>
        </is>
      </c>
    </row>
    <row r="423">
      <c r="A423" t="inlineStr">
        <is>
          <t>LFC2916</t>
        </is>
      </c>
      <c r="B423" t="inlineStr">
        <is>
          <t>LFC2916</t>
        </is>
      </c>
      <c r="C423" t="inlineStr">
        <is>
          <t>ALAGBADO AKINDE</t>
        </is>
      </c>
      <c r="D423" t="inlineStr">
        <is>
          <t>Y</t>
        </is>
      </c>
      <c r="E423" t="inlineStr">
        <is>
          <t>Y</t>
        </is>
      </c>
      <c r="F423" t="inlineStr">
        <is>
          <t>16</t>
        </is>
      </c>
      <c r="G423" t="inlineStr">
        <is>
          <t>Opposite Ayomide Filling Station Alakuko</t>
        </is>
      </c>
      <c r="H423" t="inlineStr">
        <is>
          <t>Existing</t>
        </is>
      </c>
      <c r="I423" t="inlineStr">
        <is>
          <t>N</t>
        </is>
      </c>
    </row>
    <row r="424">
      <c r="A424" t="inlineStr">
        <is>
          <t>LFC2917</t>
        </is>
      </c>
      <c r="B424" t="inlineStr">
        <is>
          <t>LFC2917</t>
        </is>
      </c>
      <c r="C424" t="inlineStr">
        <is>
          <t>ALAGBADO AKINDE</t>
        </is>
      </c>
      <c r="D424" t="inlineStr">
        <is>
          <t>Y</t>
        </is>
      </c>
      <c r="E424" t="inlineStr">
        <is>
          <t>Y</t>
        </is>
      </c>
      <c r="F424" t="inlineStr">
        <is>
          <t>17</t>
        </is>
      </c>
      <c r="G424" t="inlineStr">
        <is>
          <t>SAKA POWER LINE</t>
        </is>
      </c>
      <c r="H424" t="inlineStr">
        <is>
          <t>Existing</t>
        </is>
      </c>
      <c r="I424" t="inlineStr">
        <is>
          <t>N</t>
        </is>
      </c>
    </row>
    <row r="425">
      <c r="A425" t="inlineStr">
        <is>
          <t>LFC2918</t>
        </is>
      </c>
      <c r="B425" t="inlineStr">
        <is>
          <t>LFC2918</t>
        </is>
      </c>
      <c r="C425" t="inlineStr">
        <is>
          <t>ALAGBADO AKINDE</t>
        </is>
      </c>
      <c r="D425" t="inlineStr">
        <is>
          <t>N</t>
        </is>
      </c>
      <c r="E425" t="inlineStr">
        <is>
          <t>Y</t>
        </is>
      </c>
      <c r="F425" t="inlineStr">
        <is>
          <t>18</t>
        </is>
      </c>
      <c r="G425" t="inlineStr">
        <is>
          <t>JPTS ADALEMO</t>
        </is>
      </c>
      <c r="H425" t="inlineStr">
        <is>
          <t>Existing</t>
        </is>
      </c>
      <c r="I425" t="inlineStr">
        <is>
          <t>N</t>
        </is>
      </c>
    </row>
    <row r="426">
      <c r="A426" t="inlineStr">
        <is>
          <t>LFC2919</t>
        </is>
      </c>
      <c r="B426" t="inlineStr">
        <is>
          <t>LFC2919</t>
        </is>
      </c>
      <c r="C426" t="inlineStr">
        <is>
          <t>ALAGBADO AKINDE</t>
        </is>
      </c>
      <c r="D426" t="inlineStr">
        <is>
          <t>N</t>
        </is>
      </c>
      <c r="E426" t="inlineStr">
        <is>
          <t>Y</t>
        </is>
      </c>
      <c r="F426" t="inlineStr">
        <is>
          <t>19</t>
        </is>
      </c>
      <c r="G426" t="inlineStr">
        <is>
          <t>34 AKINDE ROAD, AJEGUNLE ILO</t>
        </is>
      </c>
      <c r="H426" t="inlineStr">
        <is>
          <t>Existing</t>
        </is>
      </c>
      <c r="I426" t="inlineStr">
        <is>
          <t>N</t>
        </is>
      </c>
    </row>
    <row r="427">
      <c r="A427" t="inlineStr">
        <is>
          <t>LFC2920</t>
        </is>
      </c>
      <c r="B427" t="inlineStr">
        <is>
          <t>LFC2920</t>
        </is>
      </c>
      <c r="C427" t="inlineStr">
        <is>
          <t>ALAGBADO AKINDE</t>
        </is>
      </c>
      <c r="D427" t="inlineStr"/>
      <c r="E427" t="inlineStr">
        <is>
          <t>Y</t>
        </is>
      </c>
      <c r="F427" t="inlineStr">
        <is>
          <t>20</t>
        </is>
      </c>
      <c r="G427" t="inlineStr">
        <is>
          <t>ADEOYE STREET (PACEPTS) ADALEMO</t>
        </is>
      </c>
      <c r="H427" t="inlineStr">
        <is>
          <t>Existing</t>
        </is>
      </c>
      <c r="I427" t="inlineStr"/>
    </row>
    <row r="428">
      <c r="A428" t="inlineStr">
        <is>
          <t>LFC2921</t>
        </is>
      </c>
      <c r="B428" t="inlineStr">
        <is>
          <t>LFC2921</t>
        </is>
      </c>
      <c r="C428" t="inlineStr">
        <is>
          <t>ALAGBADO AKINDE</t>
        </is>
      </c>
      <c r="D428" t="inlineStr">
        <is>
          <t>N</t>
        </is>
      </c>
      <c r="E428" t="inlineStr">
        <is>
          <t>Y</t>
        </is>
      </c>
      <c r="F428" t="inlineStr">
        <is>
          <t>21</t>
        </is>
      </c>
      <c r="G428" t="inlineStr">
        <is>
          <t>BALOGUN BUS sTOP ITOKI ROAD ABULE IROKO.</t>
        </is>
      </c>
      <c r="H428" t="inlineStr">
        <is>
          <t>Existing</t>
        </is>
      </c>
      <c r="I428" t="inlineStr">
        <is>
          <t>N</t>
        </is>
      </c>
    </row>
    <row r="429">
      <c r="A429" t="inlineStr">
        <is>
          <t>LFC3001</t>
        </is>
      </c>
      <c r="B429" t="inlineStr">
        <is>
          <t>LFC3001</t>
        </is>
      </c>
      <c r="C429" t="inlineStr">
        <is>
          <t>AIT</t>
        </is>
      </c>
      <c r="D429" t="inlineStr">
        <is>
          <t>Y</t>
        </is>
      </c>
      <c r="E429" t="inlineStr">
        <is>
          <t>Y</t>
        </is>
      </c>
      <c r="F429" t="inlineStr">
        <is>
          <t>1</t>
        </is>
      </c>
      <c r="G429" t="inlineStr">
        <is>
          <t>118 AIT ROAD</t>
        </is>
      </c>
      <c r="H429" t="inlineStr">
        <is>
          <t>Existing</t>
        </is>
      </c>
      <c r="I429" t="inlineStr">
        <is>
          <t>N</t>
        </is>
      </c>
    </row>
    <row r="430">
      <c r="A430" t="inlineStr">
        <is>
          <t>LFC3002</t>
        </is>
      </c>
      <c r="B430" t="inlineStr">
        <is>
          <t>LFC3002</t>
        </is>
      </c>
      <c r="C430" t="inlineStr">
        <is>
          <t>AIT</t>
        </is>
      </c>
      <c r="D430" t="inlineStr">
        <is>
          <t>Y</t>
        </is>
      </c>
      <c r="E430" t="inlineStr">
        <is>
          <t>Y</t>
        </is>
      </c>
      <c r="F430" t="inlineStr">
        <is>
          <t>2</t>
        </is>
      </c>
      <c r="G430" t="inlineStr">
        <is>
          <t>PLOT 25, BLOCK 44, ILAPO EST, ALAGBADO, ALIMOSHO LGA</t>
        </is>
      </c>
      <c r="H430" t="inlineStr">
        <is>
          <t>Existing</t>
        </is>
      </c>
      <c r="I430" t="inlineStr">
        <is>
          <t>N</t>
        </is>
      </c>
    </row>
    <row r="431">
      <c r="A431" t="inlineStr">
        <is>
          <t>LFC3003</t>
        </is>
      </c>
      <c r="B431" t="inlineStr">
        <is>
          <t>LFC3003</t>
        </is>
      </c>
      <c r="C431" t="inlineStr">
        <is>
          <t>AIT</t>
        </is>
      </c>
      <c r="D431" t="inlineStr">
        <is>
          <t>Y</t>
        </is>
      </c>
      <c r="E431" t="inlineStr">
        <is>
          <t>Y</t>
        </is>
      </c>
      <c r="F431" t="inlineStr">
        <is>
          <t>3</t>
        </is>
      </c>
      <c r="G431" t="inlineStr">
        <is>
          <t>44 MAKINDE STREET OKO-FILLING, ALAGBADO (COMMUNITY CHURCH)</t>
        </is>
      </c>
      <c r="H431" t="inlineStr">
        <is>
          <t>Existing</t>
        </is>
      </c>
      <c r="I431" t="inlineStr">
        <is>
          <t>Y</t>
        </is>
      </c>
    </row>
    <row r="432">
      <c r="A432" t="inlineStr">
        <is>
          <t>LFC3004</t>
        </is>
      </c>
      <c r="B432" t="inlineStr">
        <is>
          <t>LFC3004</t>
        </is>
      </c>
      <c r="C432" t="inlineStr">
        <is>
          <t>AIT</t>
        </is>
      </c>
      <c r="D432" t="inlineStr">
        <is>
          <t>Y</t>
        </is>
      </c>
      <c r="E432" t="inlineStr">
        <is>
          <t>Y</t>
        </is>
      </c>
      <c r="F432" t="inlineStr">
        <is>
          <t>4</t>
        </is>
      </c>
      <c r="G432" t="inlineStr">
        <is>
          <t>9, AWAYE STREET, ALAGBADO</t>
        </is>
      </c>
      <c r="H432" t="inlineStr">
        <is>
          <t>Existing</t>
        </is>
      </c>
      <c r="I432" t="inlineStr">
        <is>
          <t>N</t>
        </is>
      </c>
    </row>
    <row r="433">
      <c r="A433" t="inlineStr">
        <is>
          <t>LFC3005</t>
        </is>
      </c>
      <c r="B433" t="inlineStr">
        <is>
          <t>LFC3005</t>
        </is>
      </c>
      <c r="C433" t="inlineStr">
        <is>
          <t>AIT</t>
        </is>
      </c>
      <c r="D433" t="inlineStr">
        <is>
          <t>Y</t>
        </is>
      </c>
      <c r="E433" t="inlineStr">
        <is>
          <t>Y</t>
        </is>
      </c>
      <c r="F433" t="inlineStr">
        <is>
          <t>5</t>
        </is>
      </c>
      <c r="G433" t="inlineStr">
        <is>
          <t>6 OGO-OLUWA CLOSE OFF ISIBA STREET, MEIRAN (COMMUNITY CHURCH)</t>
        </is>
      </c>
      <c r="H433" t="inlineStr">
        <is>
          <t>Existing</t>
        </is>
      </c>
      <c r="I433" t="inlineStr">
        <is>
          <t>Y</t>
        </is>
      </c>
    </row>
    <row r="434">
      <c r="A434" t="inlineStr">
        <is>
          <t>LFC3006</t>
        </is>
      </c>
      <c r="B434" t="inlineStr">
        <is>
          <t>LFC3006</t>
        </is>
      </c>
      <c r="C434" t="inlineStr">
        <is>
          <t>AIT</t>
        </is>
      </c>
      <c r="D434" t="inlineStr">
        <is>
          <t>Y</t>
        </is>
      </c>
      <c r="E434" t="inlineStr">
        <is>
          <t>Y</t>
        </is>
      </c>
      <c r="F434" t="inlineStr">
        <is>
          <t>6</t>
        </is>
      </c>
      <c r="G434" t="inlineStr">
        <is>
          <t>13, GOD FIRST CLOSE OFF FATAI FAGBENRO STREET MEIRAN</t>
        </is>
      </c>
      <c r="H434" t="inlineStr">
        <is>
          <t>Existing</t>
        </is>
      </c>
      <c r="I434" t="inlineStr">
        <is>
          <t>N</t>
        </is>
      </c>
    </row>
    <row r="435">
      <c r="A435" t="inlineStr">
        <is>
          <t>LFC3007</t>
        </is>
      </c>
      <c r="B435" t="inlineStr">
        <is>
          <t>LFC3007</t>
        </is>
      </c>
      <c r="C435" t="inlineStr">
        <is>
          <t>AIT</t>
        </is>
      </c>
      <c r="D435" t="inlineStr">
        <is>
          <t>Y</t>
        </is>
      </c>
      <c r="E435" t="inlineStr">
        <is>
          <t>Y</t>
        </is>
      </c>
      <c r="F435" t="inlineStr">
        <is>
          <t>7</t>
        </is>
      </c>
      <c r="G435" t="inlineStr">
        <is>
          <t>21, BABS ODUKALE STREET, MEIRAN</t>
        </is>
      </c>
      <c r="H435" t="inlineStr">
        <is>
          <t>Existing</t>
        </is>
      </c>
      <c r="I435" t="inlineStr">
        <is>
          <t>N</t>
        </is>
      </c>
    </row>
    <row r="436">
      <c r="A436" t="inlineStr">
        <is>
          <t>LFC3008</t>
        </is>
      </c>
      <c r="B436" t="inlineStr">
        <is>
          <t>LFC3008</t>
        </is>
      </c>
      <c r="C436" t="inlineStr">
        <is>
          <t>AIT</t>
        </is>
      </c>
      <c r="D436" t="inlineStr">
        <is>
          <t>Y</t>
        </is>
      </c>
      <c r="E436" t="inlineStr">
        <is>
          <t>Y</t>
        </is>
      </c>
      <c r="F436" t="inlineStr">
        <is>
          <t>8</t>
        </is>
      </c>
      <c r="G436" t="inlineStr">
        <is>
          <t>PLOT 3 AKINYELE CLOSE, OFF OYEKUNLE</t>
        </is>
      </c>
      <c r="H436" t="inlineStr">
        <is>
          <t>Existing</t>
        </is>
      </c>
      <c r="I436" t="inlineStr">
        <is>
          <t>N</t>
        </is>
      </c>
    </row>
    <row r="437">
      <c r="A437" t="inlineStr">
        <is>
          <t>LFC3009</t>
        </is>
      </c>
      <c r="B437" t="inlineStr">
        <is>
          <t>LFC3009</t>
        </is>
      </c>
      <c r="C437" t="inlineStr">
        <is>
          <t>AIT</t>
        </is>
      </c>
      <c r="D437" t="inlineStr">
        <is>
          <t>Y</t>
        </is>
      </c>
      <c r="E437" t="inlineStr">
        <is>
          <t>Y</t>
        </is>
      </c>
      <c r="F437" t="inlineStr">
        <is>
          <t>9</t>
        </is>
      </c>
      <c r="G437" t="inlineStr">
        <is>
          <t>OLORUNTEDO STREET AREA 1 ESTATE ADURA ALAGBADO</t>
        </is>
      </c>
      <c r="H437" t="inlineStr">
        <is>
          <t>Existing</t>
        </is>
      </c>
      <c r="I437" t="inlineStr">
        <is>
          <t>N</t>
        </is>
      </c>
    </row>
    <row r="438">
      <c r="A438" t="inlineStr">
        <is>
          <t>LFC3010</t>
        </is>
      </c>
      <c r="B438" t="inlineStr">
        <is>
          <t>LFC3010</t>
        </is>
      </c>
      <c r="C438" t="inlineStr">
        <is>
          <t>AIT</t>
        </is>
      </c>
      <c r="D438" t="inlineStr">
        <is>
          <t>Y</t>
        </is>
      </c>
      <c r="E438" t="inlineStr">
        <is>
          <t>Y</t>
        </is>
      </c>
      <c r="F438" t="inlineStr">
        <is>
          <t>10</t>
        </is>
      </c>
      <c r="G438" t="inlineStr">
        <is>
          <t>11, SHORUNKE STREET</t>
        </is>
      </c>
      <c r="H438" t="inlineStr">
        <is>
          <t>Existing</t>
        </is>
      </c>
      <c r="I438" t="inlineStr">
        <is>
          <t>N</t>
        </is>
      </c>
    </row>
    <row r="439">
      <c r="A439" t="inlineStr">
        <is>
          <t>LFC3011</t>
        </is>
      </c>
      <c r="B439" t="inlineStr">
        <is>
          <t>LFC3011</t>
        </is>
      </c>
      <c r="C439" t="inlineStr">
        <is>
          <t>AIT</t>
        </is>
      </c>
      <c r="D439" t="inlineStr">
        <is>
          <t>Y</t>
        </is>
      </c>
      <c r="E439" t="inlineStr">
        <is>
          <t>Y</t>
        </is>
      </c>
      <c r="F439" t="inlineStr">
        <is>
          <t>11</t>
        </is>
      </c>
      <c r="G439" t="inlineStr">
        <is>
          <t>OLOYEDE BOMAP LANE, ALAGBADO</t>
        </is>
      </c>
      <c r="H439" t="inlineStr">
        <is>
          <t>Existing</t>
        </is>
      </c>
      <c r="I439" t="inlineStr">
        <is>
          <t>N</t>
        </is>
      </c>
    </row>
    <row r="440">
      <c r="A440" t="inlineStr">
        <is>
          <t>LFC3012</t>
        </is>
      </c>
      <c r="B440" t="inlineStr">
        <is>
          <t>LFC3012</t>
        </is>
      </c>
      <c r="C440" t="inlineStr">
        <is>
          <t>AIT</t>
        </is>
      </c>
      <c r="D440" t="inlineStr">
        <is>
          <t>Y</t>
        </is>
      </c>
      <c r="E440" t="inlineStr">
        <is>
          <t>Y</t>
        </is>
      </c>
      <c r="F440" t="inlineStr">
        <is>
          <t>12</t>
        </is>
      </c>
      <c r="G440" t="inlineStr">
        <is>
          <t>9, EHIMERE AVENUE SUBERU OJE, ALAGBADO</t>
        </is>
      </c>
      <c r="H440" t="inlineStr">
        <is>
          <t>Existing</t>
        </is>
      </c>
      <c r="I440" t="inlineStr">
        <is>
          <t>N</t>
        </is>
      </c>
    </row>
    <row r="441">
      <c r="A441" t="inlineStr">
        <is>
          <t>LFC3013</t>
        </is>
      </c>
      <c r="B441" t="inlineStr">
        <is>
          <t>LFC3013</t>
        </is>
      </c>
      <c r="C441" t="inlineStr">
        <is>
          <t>AIT</t>
        </is>
      </c>
      <c r="D441" t="inlineStr">
        <is>
          <t>Y</t>
        </is>
      </c>
      <c r="E441" t="inlineStr">
        <is>
          <t>Y</t>
        </is>
      </c>
      <c r="F441" t="inlineStr">
        <is>
          <t>13</t>
        </is>
      </c>
      <c r="G441" t="inlineStr">
        <is>
          <t>2 CHURCH STREET ALASO</t>
        </is>
      </c>
      <c r="H441" t="inlineStr">
        <is>
          <t>Existing</t>
        </is>
      </c>
      <c r="I441" t="inlineStr">
        <is>
          <t>N</t>
        </is>
      </c>
    </row>
    <row r="442">
      <c r="A442" t="inlineStr">
        <is>
          <t>LFC3014</t>
        </is>
      </c>
      <c r="B442" t="inlineStr">
        <is>
          <t>LFC3014</t>
        </is>
      </c>
      <c r="C442" t="inlineStr">
        <is>
          <t>AIT</t>
        </is>
      </c>
      <c r="D442" t="inlineStr">
        <is>
          <t>Y</t>
        </is>
      </c>
      <c r="E442" t="inlineStr">
        <is>
          <t>Y</t>
        </is>
      </c>
      <c r="F442" t="inlineStr">
        <is>
          <t>14</t>
        </is>
      </c>
      <c r="G442" t="inlineStr">
        <is>
          <t>15, Oremeji Street, Alagbado</t>
        </is>
      </c>
      <c r="H442" t="inlineStr">
        <is>
          <t>Existing</t>
        </is>
      </c>
      <c r="I442" t="inlineStr">
        <is>
          <t>N</t>
        </is>
      </c>
    </row>
    <row r="443">
      <c r="A443" t="inlineStr">
        <is>
          <t>LFC3015</t>
        </is>
      </c>
      <c r="B443" t="inlineStr">
        <is>
          <t>LFC3015</t>
        </is>
      </c>
      <c r="C443" t="inlineStr">
        <is>
          <t>AIT</t>
        </is>
      </c>
      <c r="D443" t="inlineStr">
        <is>
          <t>Y</t>
        </is>
      </c>
      <c r="E443" t="inlineStr">
        <is>
          <t>Y</t>
        </is>
      </c>
      <c r="F443" t="inlineStr">
        <is>
          <t>15</t>
        </is>
      </c>
      <c r="G443" t="inlineStr">
        <is>
          <t>28 DIFFRI ROAD, Alagbado</t>
        </is>
      </c>
      <c r="H443" t="inlineStr">
        <is>
          <t>Existing</t>
        </is>
      </c>
      <c r="I443" t="inlineStr">
        <is>
          <t>N</t>
        </is>
      </c>
    </row>
    <row r="444">
      <c r="A444" t="inlineStr">
        <is>
          <t>LFC3016</t>
        </is>
      </c>
      <c r="B444" t="inlineStr">
        <is>
          <t>LFC3016</t>
        </is>
      </c>
      <c r="C444" t="inlineStr">
        <is>
          <t>AIT</t>
        </is>
      </c>
      <c r="D444" t="inlineStr">
        <is>
          <t>Y</t>
        </is>
      </c>
      <c r="E444" t="inlineStr">
        <is>
          <t>Y</t>
        </is>
      </c>
      <c r="F444" t="inlineStr">
        <is>
          <t>16</t>
        </is>
      </c>
      <c r="G444" t="inlineStr">
        <is>
          <t>21, YETKEM AVENUE, SURULERE</t>
        </is>
      </c>
      <c r="H444" t="inlineStr">
        <is>
          <t>Existing</t>
        </is>
      </c>
      <c r="I444" t="inlineStr">
        <is>
          <t>N</t>
        </is>
      </c>
    </row>
    <row r="445">
      <c r="A445" t="inlineStr">
        <is>
          <t>LFC3017</t>
        </is>
      </c>
      <c r="B445" t="inlineStr">
        <is>
          <t>LFC3017</t>
        </is>
      </c>
      <c r="C445" t="inlineStr">
        <is>
          <t>AIT</t>
        </is>
      </c>
      <c r="D445" t="inlineStr">
        <is>
          <t>Y</t>
        </is>
      </c>
      <c r="E445" t="inlineStr">
        <is>
          <t>Y</t>
        </is>
      </c>
      <c r="F445" t="inlineStr">
        <is>
          <t>17</t>
        </is>
      </c>
      <c r="G445" t="inlineStr">
        <is>
          <t>62, IMOLE AVENUE, AJASA COMMAND</t>
        </is>
      </c>
      <c r="H445" t="inlineStr">
        <is>
          <t>Existing</t>
        </is>
      </c>
      <c r="I445" t="inlineStr">
        <is>
          <t>N</t>
        </is>
      </c>
    </row>
    <row r="446">
      <c r="A446" t="inlineStr">
        <is>
          <t>LFC3018</t>
        </is>
      </c>
      <c r="B446" t="inlineStr">
        <is>
          <t>LFC3018</t>
        </is>
      </c>
      <c r="C446" t="inlineStr">
        <is>
          <t>AIT</t>
        </is>
      </c>
      <c r="D446" t="inlineStr">
        <is>
          <t>N</t>
        </is>
      </c>
      <c r="E446" t="inlineStr">
        <is>
          <t>Y</t>
        </is>
      </c>
      <c r="F446" t="inlineStr">
        <is>
          <t>18</t>
        </is>
      </c>
      <c r="G446" t="inlineStr">
        <is>
          <t>68/70 TUKORA STREET ALAGBADO</t>
        </is>
      </c>
      <c r="H446" t="inlineStr">
        <is>
          <t>Existing</t>
        </is>
      </c>
      <c r="I446" t="inlineStr">
        <is>
          <t>N</t>
        </is>
      </c>
    </row>
    <row r="447">
      <c r="A447" t="inlineStr">
        <is>
          <t>LFC3101</t>
        </is>
      </c>
      <c r="B447" t="inlineStr">
        <is>
          <t>LFC3101</t>
        </is>
      </c>
      <c r="C447" t="inlineStr">
        <is>
          <t>AGEGE</t>
        </is>
      </c>
      <c r="D447" t="inlineStr">
        <is>
          <t>Y</t>
        </is>
      </c>
      <c r="E447" t="inlineStr">
        <is>
          <t>Y</t>
        </is>
      </c>
      <c r="F447" t="inlineStr">
        <is>
          <t>1</t>
        </is>
      </c>
      <c r="G447" t="inlineStr">
        <is>
          <t>WSF FACILITY PLOT 11/13 RD 2, WILLIAMS ESTATE TABON-TABON AGEGE.</t>
        </is>
      </c>
      <c r="H447" t="inlineStr">
        <is>
          <t>Existing</t>
        </is>
      </c>
      <c r="I447" t="inlineStr">
        <is>
          <t>N</t>
        </is>
      </c>
    </row>
    <row r="448">
      <c r="A448" t="inlineStr">
        <is>
          <t>LFC3102</t>
        </is>
      </c>
      <c r="B448" t="inlineStr">
        <is>
          <t>LFC3102</t>
        </is>
      </c>
      <c r="C448" t="inlineStr">
        <is>
          <t>AGEGE</t>
        </is>
      </c>
      <c r="D448" t="inlineStr">
        <is>
          <t>N</t>
        </is>
      </c>
      <c r="E448" t="inlineStr">
        <is>
          <t>Y</t>
        </is>
      </c>
      <c r="F448" t="inlineStr">
        <is>
          <t>2</t>
        </is>
      </c>
      <c r="G448" t="inlineStr">
        <is>
          <t>117, OKO OBA ROAD, DIVINE BLESSED, OKO OBA, AGEGE.</t>
        </is>
      </c>
      <c r="H448" t="inlineStr">
        <is>
          <t>Existing</t>
        </is>
      </c>
      <c r="I448" t="inlineStr">
        <is>
          <t>N</t>
        </is>
      </c>
    </row>
    <row r="449">
      <c r="A449" t="inlineStr">
        <is>
          <t>LFC3103</t>
        </is>
      </c>
      <c r="B449" t="inlineStr">
        <is>
          <t>LFC3103</t>
        </is>
      </c>
      <c r="C449" t="inlineStr">
        <is>
          <t>AGEGE</t>
        </is>
      </c>
      <c r="D449" t="inlineStr">
        <is>
          <t>Y</t>
        </is>
      </c>
      <c r="E449" t="inlineStr">
        <is>
          <t>Y</t>
        </is>
      </c>
      <c r="F449" t="inlineStr">
        <is>
          <t>3</t>
        </is>
      </c>
      <c r="G449" t="inlineStr">
        <is>
          <t>4, COMMUNITY LANE LADOJE, OKO OBA, AGEGE</t>
        </is>
      </c>
      <c r="H449" t="inlineStr">
        <is>
          <t>Existing</t>
        </is>
      </c>
      <c r="I449" t="inlineStr">
        <is>
          <t>N</t>
        </is>
      </c>
    </row>
    <row r="450">
      <c r="A450" t="inlineStr">
        <is>
          <t>LFC3104</t>
        </is>
      </c>
      <c r="B450" t="inlineStr">
        <is>
          <t>LFC3104</t>
        </is>
      </c>
      <c r="C450" t="inlineStr">
        <is>
          <t>AGEGE</t>
        </is>
      </c>
      <c r="D450" t="inlineStr">
        <is>
          <t>N</t>
        </is>
      </c>
      <c r="E450" t="inlineStr">
        <is>
          <t>Y</t>
        </is>
      </c>
      <c r="F450" t="inlineStr">
        <is>
          <t>4</t>
        </is>
      </c>
      <c r="G450" t="inlineStr">
        <is>
          <t>1, EMMANUEL ODUSHINA STREET, GENGETO B/STOP, OKO-OBA.</t>
        </is>
      </c>
      <c r="H450" t="inlineStr">
        <is>
          <t>Existing</t>
        </is>
      </c>
      <c r="I450" t="inlineStr">
        <is>
          <t>N</t>
        </is>
      </c>
    </row>
    <row r="451">
      <c r="A451" t="inlineStr">
        <is>
          <t>LFC3105</t>
        </is>
      </c>
      <c r="B451" t="inlineStr">
        <is>
          <t>LFC3105</t>
        </is>
      </c>
      <c r="C451" t="inlineStr">
        <is>
          <t>AGEGE</t>
        </is>
      </c>
      <c r="D451" t="inlineStr">
        <is>
          <t>N</t>
        </is>
      </c>
      <c r="E451" t="inlineStr">
        <is>
          <t>Y</t>
        </is>
      </c>
      <c r="F451" t="inlineStr">
        <is>
          <t>5</t>
        </is>
      </c>
      <c r="G451" t="inlineStr">
        <is>
          <t>4/6, ADAMO KABIAWU, OFF OLD OTA ROAD, ORILE - AGEGE</t>
        </is>
      </c>
      <c r="H451" t="inlineStr">
        <is>
          <t>Existing</t>
        </is>
      </c>
      <c r="I451" t="inlineStr">
        <is>
          <t>N</t>
        </is>
      </c>
    </row>
    <row r="452">
      <c r="A452" t="inlineStr">
        <is>
          <t>LFC3106</t>
        </is>
      </c>
      <c r="B452" t="inlineStr">
        <is>
          <t>LFC3106</t>
        </is>
      </c>
      <c r="C452" t="inlineStr">
        <is>
          <t>AGEGE</t>
        </is>
      </c>
      <c r="D452" t="inlineStr">
        <is>
          <t>N</t>
        </is>
      </c>
      <c r="E452" t="inlineStr">
        <is>
          <t>Y</t>
        </is>
      </c>
      <c r="F452" t="inlineStr">
        <is>
          <t>6</t>
        </is>
      </c>
      <c r="G452" t="inlineStr">
        <is>
          <t>PLOT 71, FESTUS ADERELE STR, OMOTOYE LAYOUT, AGEGE</t>
        </is>
      </c>
      <c r="H452" t="inlineStr">
        <is>
          <t>Existing</t>
        </is>
      </c>
      <c r="I452" t="inlineStr">
        <is>
          <t>N</t>
        </is>
      </c>
    </row>
    <row r="453">
      <c r="A453" t="inlineStr">
        <is>
          <t>LFC3107</t>
        </is>
      </c>
      <c r="B453" t="inlineStr">
        <is>
          <t>LFC3107</t>
        </is>
      </c>
      <c r="C453" t="inlineStr">
        <is>
          <t>AGEGE</t>
        </is>
      </c>
      <c r="D453" t="inlineStr">
        <is>
          <t>Y</t>
        </is>
      </c>
      <c r="E453" t="inlineStr">
        <is>
          <t>Y</t>
        </is>
      </c>
      <c r="F453" t="inlineStr">
        <is>
          <t>7</t>
        </is>
      </c>
      <c r="G453" t="inlineStr">
        <is>
          <t>BLOCK 6, PLOT 3, ALAGBA HOUSING ESTATE, ABEKOKO, ORILE AGEGE</t>
        </is>
      </c>
      <c r="H453" t="inlineStr">
        <is>
          <t>Existing</t>
        </is>
      </c>
      <c r="I453" t="inlineStr">
        <is>
          <t>N</t>
        </is>
      </c>
    </row>
    <row r="454">
      <c r="A454" t="inlineStr">
        <is>
          <t>LFC3201</t>
        </is>
      </c>
      <c r="B454" t="inlineStr">
        <is>
          <t>LFC3201</t>
        </is>
      </c>
      <c r="C454" t="inlineStr">
        <is>
          <t>FAGBA</t>
        </is>
      </c>
      <c r="D454" t="inlineStr">
        <is>
          <t>Y</t>
        </is>
      </c>
      <c r="E454" t="inlineStr">
        <is>
          <t>Y</t>
        </is>
      </c>
      <c r="F454" t="inlineStr">
        <is>
          <t>1</t>
        </is>
      </c>
      <c r="G454" t="inlineStr">
        <is>
          <t>1 AKINBOWALE STREET, FAGBA</t>
        </is>
      </c>
      <c r="H454" t="inlineStr">
        <is>
          <t>Existing</t>
        </is>
      </c>
      <c r="I454" t="inlineStr">
        <is>
          <t>N</t>
        </is>
      </c>
    </row>
    <row r="455">
      <c r="A455" t="inlineStr">
        <is>
          <t>LFC3202</t>
        </is>
      </c>
      <c r="B455" t="inlineStr">
        <is>
          <t>LFC3202</t>
        </is>
      </c>
      <c r="C455" t="inlineStr">
        <is>
          <t>FAGBA</t>
        </is>
      </c>
      <c r="D455" t="inlineStr">
        <is>
          <t>N</t>
        </is>
      </c>
      <c r="E455" t="inlineStr">
        <is>
          <t>Y</t>
        </is>
      </c>
      <c r="F455" t="inlineStr">
        <is>
          <t>2</t>
        </is>
      </c>
      <c r="G455" t="inlineStr">
        <is>
          <t>2, ADEBISI AMUSA CLOSE, NEW OKO-OBA, ABULE-EGBA</t>
        </is>
      </c>
      <c r="H455" t="inlineStr">
        <is>
          <t>Existing</t>
        </is>
      </c>
      <c r="I455" t="inlineStr">
        <is>
          <t>N</t>
        </is>
      </c>
    </row>
    <row r="456">
      <c r="A456" t="inlineStr">
        <is>
          <t>LFC3203</t>
        </is>
      </c>
      <c r="B456" t="inlineStr">
        <is>
          <t>LFC3203</t>
        </is>
      </c>
      <c r="C456" t="inlineStr">
        <is>
          <t>FAGBA</t>
        </is>
      </c>
      <c r="D456" t="inlineStr">
        <is>
          <t>Y</t>
        </is>
      </c>
      <c r="E456" t="inlineStr">
        <is>
          <t>Y</t>
        </is>
      </c>
      <c r="F456" t="inlineStr">
        <is>
          <t>3</t>
        </is>
      </c>
      <c r="G456" t="inlineStr">
        <is>
          <t>45, JONATHAN COKER, FAGBA</t>
        </is>
      </c>
      <c r="H456" t="inlineStr">
        <is>
          <t>Existing</t>
        </is>
      </c>
      <c r="I456" t="inlineStr">
        <is>
          <t>N</t>
        </is>
      </c>
    </row>
    <row r="457">
      <c r="A457" t="inlineStr">
        <is>
          <t>LFC3204</t>
        </is>
      </c>
      <c r="B457" t="inlineStr">
        <is>
          <t>LFC3204</t>
        </is>
      </c>
      <c r="C457" t="inlineStr">
        <is>
          <t>FAGBA</t>
        </is>
      </c>
      <c r="D457" t="inlineStr">
        <is>
          <t>N</t>
        </is>
      </c>
      <c r="E457" t="inlineStr">
        <is>
          <t>Y</t>
        </is>
      </c>
      <c r="F457" t="inlineStr">
        <is>
          <t>4</t>
        </is>
      </c>
      <c r="G457" t="inlineStr">
        <is>
          <t>24, ALEXANDER STR, NEW-OKO-OBA LAGOS</t>
        </is>
      </c>
      <c r="H457" t="inlineStr">
        <is>
          <t>Existing</t>
        </is>
      </c>
      <c r="I457" t="inlineStr">
        <is>
          <t>N</t>
        </is>
      </c>
    </row>
    <row r="458">
      <c r="A458" t="inlineStr">
        <is>
          <t>LFC3205</t>
        </is>
      </c>
      <c r="B458" t="inlineStr">
        <is>
          <t>LFC3205</t>
        </is>
      </c>
      <c r="C458" t="inlineStr">
        <is>
          <t>FAGBA</t>
        </is>
      </c>
      <c r="D458" t="inlineStr">
        <is>
          <t>N</t>
        </is>
      </c>
      <c r="E458" t="inlineStr">
        <is>
          <t>Y</t>
        </is>
      </c>
      <c r="F458" t="inlineStr">
        <is>
          <t>5</t>
        </is>
      </c>
      <c r="G458" t="inlineStr">
        <is>
          <t>40, SHOLA MARTINS STR, NEW OKO-OBA</t>
        </is>
      </c>
      <c r="H458" t="inlineStr">
        <is>
          <t>Existing</t>
        </is>
      </c>
      <c r="I458" t="inlineStr">
        <is>
          <t>N</t>
        </is>
      </c>
    </row>
    <row r="459">
      <c r="A459" t="inlineStr">
        <is>
          <t>LFC3206</t>
        </is>
      </c>
      <c r="B459" t="inlineStr">
        <is>
          <t>LFC3206</t>
        </is>
      </c>
      <c r="C459" t="inlineStr">
        <is>
          <t>FAGBA</t>
        </is>
      </c>
      <c r="D459" t="inlineStr">
        <is>
          <t>N</t>
        </is>
      </c>
      <c r="E459" t="inlineStr">
        <is>
          <t>Y</t>
        </is>
      </c>
      <c r="F459" t="inlineStr">
        <is>
          <t>6</t>
        </is>
      </c>
      <c r="G459" t="inlineStr">
        <is>
          <t>6, FUNTUNA CLOSE NEW OKO -OBA</t>
        </is>
      </c>
      <c r="H459" t="inlineStr">
        <is>
          <t>Existing</t>
        </is>
      </c>
      <c r="I459" t="inlineStr">
        <is>
          <t>N</t>
        </is>
      </c>
    </row>
    <row r="460">
      <c r="A460" t="inlineStr">
        <is>
          <t>LFC3207</t>
        </is>
      </c>
      <c r="B460" t="inlineStr">
        <is>
          <t>LFC3207</t>
        </is>
      </c>
      <c r="C460" t="inlineStr">
        <is>
          <t>FAGBA</t>
        </is>
      </c>
      <c r="D460" t="inlineStr">
        <is>
          <t>N</t>
        </is>
      </c>
      <c r="E460" t="inlineStr">
        <is>
          <t>Y</t>
        </is>
      </c>
      <c r="F460" t="inlineStr">
        <is>
          <t>7</t>
        </is>
      </c>
      <c r="G460" t="inlineStr">
        <is>
          <t>31, ODEKEYE STR, NEW OKO-OBA</t>
        </is>
      </c>
      <c r="H460" t="inlineStr">
        <is>
          <t>Existing</t>
        </is>
      </c>
      <c r="I460" t="inlineStr">
        <is>
          <t>N</t>
        </is>
      </c>
    </row>
    <row r="461">
      <c r="A461" t="inlineStr">
        <is>
          <t>LFC3208</t>
        </is>
      </c>
      <c r="B461" t="inlineStr">
        <is>
          <t>LFC3208</t>
        </is>
      </c>
      <c r="C461" t="inlineStr">
        <is>
          <t>FAGBA</t>
        </is>
      </c>
      <c r="D461" t="inlineStr">
        <is>
          <t>N</t>
        </is>
      </c>
      <c r="E461" t="inlineStr">
        <is>
          <t>Y</t>
        </is>
      </c>
      <c r="F461" t="inlineStr">
        <is>
          <t>8</t>
        </is>
      </c>
      <c r="G461" t="inlineStr">
        <is>
          <t>20A, ADIGUN CLOSE NEW OKO-OBA</t>
        </is>
      </c>
      <c r="H461" t="inlineStr">
        <is>
          <t>Existing</t>
        </is>
      </c>
      <c r="I461" t="inlineStr">
        <is>
          <t>N</t>
        </is>
      </c>
    </row>
    <row r="462">
      <c r="A462" t="inlineStr">
        <is>
          <t>LFC3209</t>
        </is>
      </c>
      <c r="B462" t="inlineStr">
        <is>
          <t>LFC3209</t>
        </is>
      </c>
      <c r="C462" t="inlineStr">
        <is>
          <t>FAGBA</t>
        </is>
      </c>
      <c r="D462" t="inlineStr">
        <is>
          <t>Y</t>
        </is>
      </c>
      <c r="E462" t="inlineStr">
        <is>
          <t>Y</t>
        </is>
      </c>
      <c r="F462" t="inlineStr">
        <is>
          <t>9</t>
        </is>
      </c>
      <c r="G462" t="inlineStr">
        <is>
          <t>130, ODETUNDE STREET NEW OKO -OBA</t>
        </is>
      </c>
      <c r="H462" t="inlineStr">
        <is>
          <t>Existing</t>
        </is>
      </c>
      <c r="I462" t="inlineStr">
        <is>
          <t>N</t>
        </is>
      </c>
    </row>
    <row r="463">
      <c r="A463" t="inlineStr">
        <is>
          <t>LFC3210</t>
        </is>
      </c>
      <c r="B463" t="inlineStr">
        <is>
          <t>LFC3210</t>
        </is>
      </c>
      <c r="C463" t="inlineStr">
        <is>
          <t>FAGBA</t>
        </is>
      </c>
      <c r="D463" t="inlineStr">
        <is>
          <t>N</t>
        </is>
      </c>
      <c r="E463" t="inlineStr">
        <is>
          <t>Y</t>
        </is>
      </c>
      <c r="F463" t="inlineStr">
        <is>
          <t>10</t>
        </is>
      </c>
      <c r="G463" t="inlineStr">
        <is>
          <t>1. OKHIDE STREET OFF AGBADO CROSSING</t>
        </is>
      </c>
      <c r="H463" t="inlineStr">
        <is>
          <t>Existing</t>
        </is>
      </c>
      <c r="I463" t="inlineStr">
        <is>
          <t>N</t>
        </is>
      </c>
    </row>
    <row r="464">
      <c r="A464" t="inlineStr">
        <is>
          <t>LFC3211</t>
        </is>
      </c>
      <c r="B464" t="inlineStr">
        <is>
          <t>LFC3211</t>
        </is>
      </c>
      <c r="C464" t="inlineStr">
        <is>
          <t>FAGBA</t>
        </is>
      </c>
      <c r="D464" t="inlineStr">
        <is>
          <t>N</t>
        </is>
      </c>
      <c r="E464" t="inlineStr">
        <is>
          <t>Y</t>
        </is>
      </c>
      <c r="F464" t="inlineStr">
        <is>
          <t>11</t>
        </is>
      </c>
      <c r="G464" t="inlineStr">
        <is>
          <t>100, ODETUNDE STREET, PUPOSOLA</t>
        </is>
      </c>
      <c r="H464" t="inlineStr">
        <is>
          <t>Existing</t>
        </is>
      </c>
      <c r="I464" t="inlineStr">
        <is>
          <t>N</t>
        </is>
      </c>
    </row>
    <row r="465">
      <c r="A465" t="inlineStr">
        <is>
          <t>LFC3301</t>
        </is>
      </c>
      <c r="B465" t="inlineStr">
        <is>
          <t>LFC3301</t>
        </is>
      </c>
      <c r="C465" t="inlineStr">
        <is>
          <t>ATAN 1</t>
        </is>
      </c>
      <c r="D465" t="inlineStr">
        <is>
          <t>Y</t>
        </is>
      </c>
      <c r="E465" t="inlineStr">
        <is>
          <t>Y</t>
        </is>
      </c>
      <c r="F465" t="inlineStr">
        <is>
          <t>1</t>
        </is>
      </c>
      <c r="G465" t="inlineStr">
        <is>
          <t>KM,21 IDIROKO RD OLOKOPUPO ATAN</t>
        </is>
      </c>
      <c r="H465" t="inlineStr">
        <is>
          <t>Existing</t>
        </is>
      </c>
      <c r="I465" t="inlineStr">
        <is>
          <t>N</t>
        </is>
      </c>
    </row>
    <row r="466">
      <c r="A466" t="inlineStr">
        <is>
          <t>LFC3302</t>
        </is>
      </c>
      <c r="B466" t="inlineStr">
        <is>
          <t>LFC3302</t>
        </is>
      </c>
      <c r="C466" t="inlineStr">
        <is>
          <t>ATAN 1</t>
        </is>
      </c>
      <c r="D466" t="inlineStr">
        <is>
          <t>Y</t>
        </is>
      </c>
      <c r="E466" t="inlineStr">
        <is>
          <t>Y</t>
        </is>
      </c>
      <c r="F466" t="inlineStr">
        <is>
          <t>2</t>
        </is>
      </c>
      <c r="G466" t="inlineStr">
        <is>
          <t>OLORUNLUGHO ZONE AONG SOKOTO RD</t>
        </is>
      </c>
      <c r="H466" t="inlineStr">
        <is>
          <t>Existing</t>
        </is>
      </c>
      <c r="I466" t="inlineStr">
        <is>
          <t>N</t>
        </is>
      </c>
    </row>
    <row r="467">
      <c r="A467" t="inlineStr">
        <is>
          <t>LFC3303</t>
        </is>
      </c>
      <c r="B467" t="inlineStr">
        <is>
          <t>LFC3303</t>
        </is>
      </c>
      <c r="C467" t="inlineStr">
        <is>
          <t>ATAN 1</t>
        </is>
      </c>
      <c r="D467" t="inlineStr">
        <is>
          <t>Y</t>
        </is>
      </c>
      <c r="E467" t="inlineStr">
        <is>
          <t>Y</t>
        </is>
      </c>
      <c r="F467" t="inlineStr">
        <is>
          <t>3</t>
        </is>
      </c>
      <c r="G467" t="inlineStr">
        <is>
          <t>62, OLORUNSOGO OFF SOKOTO RD ATA</t>
        </is>
      </c>
      <c r="H467" t="inlineStr">
        <is>
          <t>Existing</t>
        </is>
      </c>
      <c r="I467" t="inlineStr">
        <is>
          <t>N</t>
        </is>
      </c>
    </row>
    <row r="468">
      <c r="A468" t="inlineStr">
        <is>
          <t>LFC3304</t>
        </is>
      </c>
      <c r="B468" t="inlineStr">
        <is>
          <t>LFC3304</t>
        </is>
      </c>
      <c r="C468" t="inlineStr">
        <is>
          <t>ATAN 1</t>
        </is>
      </c>
      <c r="D468" t="inlineStr">
        <is>
          <t>Y</t>
        </is>
      </c>
      <c r="E468" t="inlineStr">
        <is>
          <t>Y</t>
        </is>
      </c>
      <c r="F468" t="inlineStr">
        <is>
          <t>4</t>
        </is>
      </c>
      <c r="G468" t="inlineStr">
        <is>
          <t>SURUDARA COMM, OFF AJEGUNLE ATAN</t>
        </is>
      </c>
      <c r="H468" t="inlineStr">
        <is>
          <t>Existing</t>
        </is>
      </c>
      <c r="I468" t="inlineStr">
        <is>
          <t>N</t>
        </is>
      </c>
    </row>
    <row r="469">
      <c r="A469" t="inlineStr">
        <is>
          <t>LFC3305</t>
        </is>
      </c>
      <c r="B469" t="inlineStr">
        <is>
          <t>LFC3305</t>
        </is>
      </c>
      <c r="C469" t="inlineStr">
        <is>
          <t>ATAN 1</t>
        </is>
      </c>
      <c r="D469" t="inlineStr">
        <is>
          <t>Y</t>
        </is>
      </c>
      <c r="E469" t="inlineStr">
        <is>
          <t>Y</t>
        </is>
      </c>
      <c r="F469" t="inlineStr">
        <is>
          <t>5</t>
        </is>
      </c>
      <c r="G469" t="inlineStr">
        <is>
          <t>ALLA VILLAGE VIA ASOORE ATAN</t>
        </is>
      </c>
      <c r="H469" t="inlineStr">
        <is>
          <t>Existing</t>
        </is>
      </c>
      <c r="I469" t="inlineStr">
        <is>
          <t>N</t>
        </is>
      </c>
    </row>
    <row r="470">
      <c r="A470" t="inlineStr">
        <is>
          <t>LFC3306</t>
        </is>
      </c>
      <c r="B470" t="inlineStr">
        <is>
          <t>LFC3306</t>
        </is>
      </c>
      <c r="C470" t="inlineStr">
        <is>
          <t>ATAN 1</t>
        </is>
      </c>
      <c r="D470" t="inlineStr">
        <is>
          <t>Y</t>
        </is>
      </c>
      <c r="E470" t="inlineStr">
        <is>
          <t>Y</t>
        </is>
      </c>
      <c r="F470" t="inlineStr">
        <is>
          <t>6</t>
        </is>
      </c>
      <c r="G470" t="inlineStr">
        <is>
          <t>AYODELE HSE, ILE ILERI ASORE ATAN</t>
        </is>
      </c>
      <c r="H470" t="inlineStr">
        <is>
          <t>Existing</t>
        </is>
      </c>
      <c r="I470" t="inlineStr">
        <is>
          <t>N</t>
        </is>
      </c>
    </row>
    <row r="471">
      <c r="A471" t="inlineStr">
        <is>
          <t>LFC3307</t>
        </is>
      </c>
      <c r="B471" t="inlineStr">
        <is>
          <t>LFC3307</t>
        </is>
      </c>
      <c r="C471" t="inlineStr">
        <is>
          <t>ATAN 1</t>
        </is>
      </c>
      <c r="D471" t="inlineStr">
        <is>
          <t>Y</t>
        </is>
      </c>
      <c r="E471" t="inlineStr">
        <is>
          <t>Y</t>
        </is>
      </c>
      <c r="F471" t="inlineStr">
        <is>
          <t>7</t>
        </is>
      </c>
      <c r="G471" t="inlineStr">
        <is>
          <t>FESTUS HSE, NEW SITE ASORE ATAN</t>
        </is>
      </c>
      <c r="H471" t="inlineStr">
        <is>
          <t>Existing</t>
        </is>
      </c>
      <c r="I471" t="inlineStr">
        <is>
          <t>N</t>
        </is>
      </c>
    </row>
    <row r="472">
      <c r="A472" t="inlineStr">
        <is>
          <t>LFC3308</t>
        </is>
      </c>
      <c r="B472" t="inlineStr">
        <is>
          <t>LFC3308</t>
        </is>
      </c>
      <c r="C472" t="inlineStr">
        <is>
          <t>ATAN 1</t>
        </is>
      </c>
      <c r="D472" t="inlineStr">
        <is>
          <t>Y</t>
        </is>
      </c>
      <c r="E472" t="inlineStr">
        <is>
          <t>Y</t>
        </is>
      </c>
      <c r="F472" t="inlineStr">
        <is>
          <t>8</t>
        </is>
      </c>
      <c r="G472" t="inlineStr">
        <is>
          <t>ISHAGA VILLAGE OFF SOKOTO RD, ATAN</t>
        </is>
      </c>
      <c r="H472" t="inlineStr">
        <is>
          <t>Existing</t>
        </is>
      </c>
      <c r="I472" t="inlineStr">
        <is>
          <t>N</t>
        </is>
      </c>
    </row>
    <row r="473">
      <c r="A473" t="inlineStr">
        <is>
          <t>LFC3309</t>
        </is>
      </c>
      <c r="B473" t="inlineStr">
        <is>
          <t>LFC3309</t>
        </is>
      </c>
      <c r="C473" t="inlineStr">
        <is>
          <t>ATAN 1</t>
        </is>
      </c>
      <c r="D473" t="inlineStr">
        <is>
          <t>Y</t>
        </is>
      </c>
      <c r="E473" t="inlineStr">
        <is>
          <t>Y</t>
        </is>
      </c>
      <c r="F473" t="inlineStr">
        <is>
          <t>9</t>
        </is>
      </c>
      <c r="G473" t="inlineStr">
        <is>
          <t>IGBELE AJANA OFF SOKOTO RD ATAN</t>
        </is>
      </c>
      <c r="H473" t="inlineStr">
        <is>
          <t>Existing</t>
        </is>
      </c>
      <c r="I473" t="inlineStr">
        <is>
          <t>Y</t>
        </is>
      </c>
    </row>
    <row r="474">
      <c r="A474" t="inlineStr">
        <is>
          <t>LFC3310</t>
        </is>
      </c>
      <c r="B474" t="inlineStr">
        <is>
          <t>LFC3310</t>
        </is>
      </c>
      <c r="C474" t="inlineStr">
        <is>
          <t>ATAN 1</t>
        </is>
      </c>
      <c r="D474" t="inlineStr">
        <is>
          <t>Y</t>
        </is>
      </c>
      <c r="E474" t="inlineStr">
        <is>
          <t>Y</t>
        </is>
      </c>
      <c r="F474" t="inlineStr">
        <is>
          <t>10</t>
        </is>
      </c>
      <c r="G474" t="inlineStr">
        <is>
          <t>ABULE TISA OFF SOKOTO RD ATAN</t>
        </is>
      </c>
      <c r="H474" t="inlineStr">
        <is>
          <t>Existing</t>
        </is>
      </c>
      <c r="I474" t="inlineStr">
        <is>
          <t>Y</t>
        </is>
      </c>
    </row>
    <row r="475">
      <c r="A475" t="inlineStr">
        <is>
          <t>LFC3311</t>
        </is>
      </c>
      <c r="B475" t="inlineStr">
        <is>
          <t>LFC3311</t>
        </is>
      </c>
      <c r="C475" t="inlineStr">
        <is>
          <t>ATAN 1</t>
        </is>
      </c>
      <c r="D475" t="inlineStr">
        <is>
          <t>Y</t>
        </is>
      </c>
      <c r="E475" t="inlineStr">
        <is>
          <t>Y</t>
        </is>
      </c>
      <c r="F475" t="inlineStr">
        <is>
          <t>11</t>
        </is>
      </c>
      <c r="G475" t="inlineStr">
        <is>
          <t>OKELEJI / LEMOMU VILLAGE ATAN</t>
        </is>
      </c>
      <c r="H475" t="inlineStr">
        <is>
          <t>Existing</t>
        </is>
      </c>
      <c r="I475" t="inlineStr">
        <is>
          <t>Y</t>
        </is>
      </c>
    </row>
    <row r="476">
      <c r="A476" t="inlineStr">
        <is>
          <t>LFC3312</t>
        </is>
      </c>
      <c r="B476" t="inlineStr">
        <is>
          <t>LFC3312</t>
        </is>
      </c>
      <c r="C476" t="inlineStr">
        <is>
          <t>ATAN 1</t>
        </is>
      </c>
      <c r="D476" t="inlineStr">
        <is>
          <t>Y</t>
        </is>
      </c>
      <c r="E476" t="inlineStr">
        <is>
          <t>Y</t>
        </is>
      </c>
      <c r="F476" t="inlineStr">
        <is>
          <t>12</t>
        </is>
      </c>
      <c r="G476" t="inlineStr">
        <is>
          <t>JUMMY HOTEL STREET OLOKOPUPOATA</t>
        </is>
      </c>
      <c r="H476" t="inlineStr">
        <is>
          <t>Existing</t>
        </is>
      </c>
      <c r="I476" t="inlineStr">
        <is>
          <t>N</t>
        </is>
      </c>
    </row>
    <row r="477">
      <c r="A477" t="inlineStr">
        <is>
          <t>LFC3313</t>
        </is>
      </c>
      <c r="B477" t="inlineStr">
        <is>
          <t>LFC3313</t>
        </is>
      </c>
      <c r="C477" t="inlineStr">
        <is>
          <t>ATAN 1</t>
        </is>
      </c>
      <c r="D477" t="inlineStr">
        <is>
          <t>N</t>
        </is>
      </c>
      <c r="E477" t="inlineStr">
        <is>
          <t>Y</t>
        </is>
      </c>
      <c r="F477" t="inlineStr">
        <is>
          <t>13</t>
        </is>
      </c>
      <c r="G477" t="inlineStr">
        <is>
          <t>2, TWINS BLOCK STREET, OFF SOKOTO ROAD, ATAN</t>
        </is>
      </c>
      <c r="H477" t="inlineStr">
        <is>
          <t>New (proposed)</t>
        </is>
      </c>
      <c r="I477" t="inlineStr">
        <is>
          <t>N</t>
        </is>
      </c>
    </row>
    <row r="478">
      <c r="A478" t="inlineStr">
        <is>
          <t>LFC3314</t>
        </is>
      </c>
      <c r="B478" t="inlineStr">
        <is>
          <t>LFC3314</t>
        </is>
      </c>
      <c r="C478" t="inlineStr">
        <is>
          <t>ATAN 1</t>
        </is>
      </c>
      <c r="D478" t="inlineStr">
        <is>
          <t>N</t>
        </is>
      </c>
      <c r="E478" t="inlineStr">
        <is>
          <t>Y</t>
        </is>
      </c>
      <c r="F478" t="inlineStr">
        <is>
          <t>14</t>
        </is>
      </c>
      <c r="G478" t="inlineStr">
        <is>
          <t>OWOEYE ESTATE, OFF OWODE ROAD, ATAN</t>
        </is>
      </c>
      <c r="H478" t="inlineStr">
        <is>
          <t>New (proposed)</t>
        </is>
      </c>
      <c r="I478" t="inlineStr">
        <is>
          <t>N</t>
        </is>
      </c>
    </row>
    <row r="479">
      <c r="A479" t="inlineStr">
        <is>
          <t>LFC3315</t>
        </is>
      </c>
      <c r="B479" t="inlineStr">
        <is>
          <t>LFC3315</t>
        </is>
      </c>
      <c r="C479" t="inlineStr">
        <is>
          <t>ATAN 1</t>
        </is>
      </c>
      <c r="D479" t="inlineStr">
        <is>
          <t>N</t>
        </is>
      </c>
      <c r="E479" t="inlineStr">
        <is>
          <t>Y</t>
        </is>
      </c>
      <c r="F479" t="inlineStr">
        <is>
          <t>15</t>
        </is>
      </c>
      <c r="G479" t="inlineStr">
        <is>
          <t>OMOSHERI, AJIBAWO, OFF OWODE ROAD, ATAN</t>
        </is>
      </c>
      <c r="H479" t="inlineStr">
        <is>
          <t>New (proposed)</t>
        </is>
      </c>
      <c r="I479" t="inlineStr">
        <is>
          <t>N</t>
        </is>
      </c>
    </row>
    <row r="480">
      <c r="A480" t="inlineStr">
        <is>
          <t>LFC3316</t>
        </is>
      </c>
      <c r="B480" t="inlineStr">
        <is>
          <t>LFC3316</t>
        </is>
      </c>
      <c r="C480" t="inlineStr">
        <is>
          <t>ATAN 1</t>
        </is>
      </c>
      <c r="D480" t="inlineStr">
        <is>
          <t>N</t>
        </is>
      </c>
      <c r="E480" t="inlineStr">
        <is>
          <t>Y</t>
        </is>
      </c>
      <c r="F480" t="inlineStr">
        <is>
          <t>16</t>
        </is>
      </c>
      <c r="G480" t="inlineStr">
        <is>
          <t>KUFO'S COMPOUND, OFF SOKOTO ROAD, ATAN</t>
        </is>
      </c>
      <c r="H480" t="inlineStr">
        <is>
          <t>New (proposed)</t>
        </is>
      </c>
      <c r="I480" t="inlineStr">
        <is>
          <t>N</t>
        </is>
      </c>
    </row>
    <row r="481">
      <c r="A481" t="inlineStr">
        <is>
          <t>LFC3401</t>
        </is>
      </c>
      <c r="B481" t="inlineStr">
        <is>
          <t>LFC3401</t>
        </is>
      </c>
      <c r="C481" t="inlineStr">
        <is>
          <t>ADELANS 1</t>
        </is>
      </c>
      <c r="D481" t="inlineStr">
        <is>
          <t>Y</t>
        </is>
      </c>
      <c r="E481" t="inlineStr">
        <is>
          <t>Y</t>
        </is>
      </c>
      <c r="F481" t="inlineStr">
        <is>
          <t>1</t>
        </is>
      </c>
      <c r="G481" t="inlineStr">
        <is>
          <t>NO 3 ABRAHAM BANKOLE OFF ANTENA, ONIBUKU</t>
        </is>
      </c>
      <c r="H481" t="inlineStr">
        <is>
          <t>Existing</t>
        </is>
      </c>
      <c r="I481" t="inlineStr">
        <is>
          <t>N</t>
        </is>
      </c>
    </row>
    <row r="482">
      <c r="A482" t="inlineStr">
        <is>
          <t>LFC3402</t>
        </is>
      </c>
      <c r="B482" t="inlineStr">
        <is>
          <t>LFC3402</t>
        </is>
      </c>
      <c r="C482" t="inlineStr">
        <is>
          <t>ADELANS 1</t>
        </is>
      </c>
      <c r="D482" t="inlineStr">
        <is>
          <t>Y</t>
        </is>
      </c>
      <c r="E482" t="inlineStr">
        <is>
          <t>Y</t>
        </is>
      </c>
      <c r="F482" t="inlineStr">
        <is>
          <t>2</t>
        </is>
      </c>
      <c r="G482" t="inlineStr">
        <is>
          <t>BABA WINNER HOUSE, KM 12 OTA IDIROKO RD, IJU</t>
        </is>
      </c>
      <c r="H482" t="inlineStr">
        <is>
          <t>Existing</t>
        </is>
      </c>
      <c r="I482" t="inlineStr">
        <is>
          <t>N</t>
        </is>
      </c>
    </row>
    <row r="483">
      <c r="A483" t="inlineStr">
        <is>
          <t>LFC3403</t>
        </is>
      </c>
      <c r="B483" t="inlineStr">
        <is>
          <t>LFC3403</t>
        </is>
      </c>
      <c r="C483" t="inlineStr">
        <is>
          <t>ADELANS 1</t>
        </is>
      </c>
      <c r="D483" t="inlineStr">
        <is>
          <t>Y</t>
        </is>
      </c>
      <c r="E483" t="inlineStr">
        <is>
          <t>Y</t>
        </is>
      </c>
      <c r="F483" t="inlineStr">
        <is>
          <t>3</t>
        </is>
      </c>
      <c r="G483" t="inlineStr">
        <is>
          <t>ABOLADE HOUSE, ZONE 2 OFF MESAN ROAD, IJU OTA</t>
        </is>
      </c>
      <c r="H483" t="inlineStr">
        <is>
          <t>Existing</t>
        </is>
      </c>
      <c r="I483" t="inlineStr">
        <is>
          <t>N</t>
        </is>
      </c>
    </row>
    <row r="484">
      <c r="A484" t="inlineStr">
        <is>
          <t>LFC3404</t>
        </is>
      </c>
      <c r="B484" t="inlineStr">
        <is>
          <t>LFC3404</t>
        </is>
      </c>
      <c r="C484" t="inlineStr">
        <is>
          <t>ADELANS 1</t>
        </is>
      </c>
      <c r="D484" t="inlineStr">
        <is>
          <t>N</t>
        </is>
      </c>
      <c r="E484" t="inlineStr">
        <is>
          <t>Y</t>
        </is>
      </c>
      <c r="F484" t="inlineStr">
        <is>
          <t>4</t>
        </is>
      </c>
      <c r="G484" t="inlineStr">
        <is>
          <t>ZONE 4 OFF AKINLEYE ROAD IJU OTA</t>
        </is>
      </c>
      <c r="H484" t="inlineStr">
        <is>
          <t>Existing</t>
        </is>
      </c>
      <c r="I484" t="inlineStr">
        <is>
          <t>N</t>
        </is>
      </c>
    </row>
    <row r="485">
      <c r="A485" t="inlineStr">
        <is>
          <t>LFC3405</t>
        </is>
      </c>
      <c r="B485" t="inlineStr">
        <is>
          <t>LFC3405</t>
        </is>
      </c>
      <c r="C485" t="inlineStr">
        <is>
          <t>ADELANS 1</t>
        </is>
      </c>
      <c r="D485" t="inlineStr">
        <is>
          <t>Y</t>
        </is>
      </c>
      <c r="E485" t="inlineStr">
        <is>
          <t>Y</t>
        </is>
      </c>
      <c r="F485" t="inlineStr">
        <is>
          <t>5</t>
        </is>
      </c>
      <c r="G485" t="inlineStr">
        <is>
          <t>OKO-OMI VILLAGE</t>
        </is>
      </c>
      <c r="H485" t="inlineStr">
        <is>
          <t>Existing</t>
        </is>
      </c>
      <c r="I485" t="inlineStr">
        <is>
          <t>Y</t>
        </is>
      </c>
    </row>
    <row r="486">
      <c r="A486" t="inlineStr">
        <is>
          <t>LFC3406</t>
        </is>
      </c>
      <c r="B486" t="inlineStr">
        <is>
          <t>LFC3406</t>
        </is>
      </c>
      <c r="C486" t="inlineStr">
        <is>
          <t>ADELANS 1</t>
        </is>
      </c>
      <c r="D486" t="inlineStr">
        <is>
          <t>N</t>
        </is>
      </c>
      <c r="E486" t="inlineStr">
        <is>
          <t>Y</t>
        </is>
      </c>
      <c r="F486" t="inlineStr">
        <is>
          <t>6</t>
        </is>
      </c>
      <c r="G486" t="inlineStr">
        <is>
          <t>ELABOR ROAD ONIBUKUN</t>
        </is>
      </c>
      <c r="H486" t="inlineStr">
        <is>
          <t>Existing</t>
        </is>
      </c>
      <c r="I486" t="inlineStr">
        <is>
          <t>N</t>
        </is>
      </c>
    </row>
    <row r="487">
      <c r="A487" t="inlineStr">
        <is>
          <t>LFC3407</t>
        </is>
      </c>
      <c r="B487" t="inlineStr">
        <is>
          <t>LFC3407</t>
        </is>
      </c>
      <c r="C487" t="inlineStr">
        <is>
          <t>ADELANS 1</t>
        </is>
      </c>
      <c r="D487" t="inlineStr">
        <is>
          <t>N</t>
        </is>
      </c>
      <c r="E487" t="inlineStr">
        <is>
          <t>Y</t>
        </is>
      </c>
      <c r="F487" t="inlineStr">
        <is>
          <t>7</t>
        </is>
      </c>
      <c r="G487" t="inlineStr">
        <is>
          <t>BALLE HOUSE, BAALE AJAYI EGAN, BAALE'S HOUSE</t>
        </is>
      </c>
      <c r="H487" t="inlineStr">
        <is>
          <t>Existing</t>
        </is>
      </c>
      <c r="I487" t="inlineStr">
        <is>
          <t>N</t>
        </is>
      </c>
    </row>
    <row r="488">
      <c r="A488" t="inlineStr">
        <is>
          <t>LFC3408</t>
        </is>
      </c>
      <c r="B488" t="inlineStr">
        <is>
          <t>LFC3408</t>
        </is>
      </c>
      <c r="C488" t="inlineStr">
        <is>
          <t>ADELANS 1</t>
        </is>
      </c>
      <c r="D488" t="inlineStr">
        <is>
          <t>Y</t>
        </is>
      </c>
      <c r="E488" t="inlineStr">
        <is>
          <t>Y</t>
        </is>
      </c>
      <c r="F488" t="inlineStr">
        <is>
          <t>8</t>
        </is>
      </c>
      <c r="G488" t="inlineStr">
        <is>
          <t>IFELODUN STREET OBERE</t>
        </is>
      </c>
      <c r="H488" t="inlineStr">
        <is>
          <t>Existing</t>
        </is>
      </c>
      <c r="I488" t="inlineStr">
        <is>
          <t>N</t>
        </is>
      </c>
    </row>
    <row r="489">
      <c r="A489" t="inlineStr">
        <is>
          <t>LFC3409</t>
        </is>
      </c>
      <c r="B489" t="inlineStr">
        <is>
          <t>LFC3409</t>
        </is>
      </c>
      <c r="C489" t="inlineStr">
        <is>
          <t>ADELANS 1</t>
        </is>
      </c>
      <c r="D489" t="inlineStr">
        <is>
          <t>N</t>
        </is>
      </c>
      <c r="E489" t="inlineStr">
        <is>
          <t>Y</t>
        </is>
      </c>
      <c r="F489" t="inlineStr">
        <is>
          <t>9</t>
        </is>
      </c>
      <c r="G489" t="inlineStr">
        <is>
          <t>AINO HOUSE, BACK OF OLUWALOBON HOSPITAL</t>
        </is>
      </c>
      <c r="H489" t="inlineStr">
        <is>
          <t>Existing</t>
        </is>
      </c>
      <c r="I489" t="inlineStr">
        <is>
          <t>N</t>
        </is>
      </c>
    </row>
    <row r="490">
      <c r="A490" t="inlineStr">
        <is>
          <t>LFC3410</t>
        </is>
      </c>
      <c r="B490" t="inlineStr">
        <is>
          <t>LFC3410</t>
        </is>
      </c>
      <c r="C490" t="inlineStr">
        <is>
          <t>ADELANS 1</t>
        </is>
      </c>
      <c r="D490" t="inlineStr">
        <is>
          <t>Y</t>
        </is>
      </c>
      <c r="E490" t="inlineStr">
        <is>
          <t>Y</t>
        </is>
      </c>
      <c r="F490" t="inlineStr">
        <is>
          <t>10</t>
        </is>
      </c>
      <c r="G490" t="inlineStr">
        <is>
          <t>NO 2 GASPER STREET, OBERE</t>
        </is>
      </c>
      <c r="H490" t="inlineStr">
        <is>
          <t>Existing</t>
        </is>
      </c>
      <c r="I490" t="inlineStr">
        <is>
          <t>N</t>
        </is>
      </c>
    </row>
    <row r="491">
      <c r="A491" t="inlineStr">
        <is>
          <t>LFC3411</t>
        </is>
      </c>
      <c r="B491" t="inlineStr">
        <is>
          <t>LFC3411</t>
        </is>
      </c>
      <c r="C491" t="inlineStr">
        <is>
          <t>ADELANS 1</t>
        </is>
      </c>
      <c r="D491" t="inlineStr">
        <is>
          <t>Y</t>
        </is>
      </c>
      <c r="E491" t="inlineStr">
        <is>
          <t>Y</t>
        </is>
      </c>
      <c r="F491" t="inlineStr">
        <is>
          <t>11</t>
        </is>
      </c>
      <c r="G491" t="inlineStr">
        <is>
          <t>OLUFEMI HOUSE, OFF MESAN ROAD, IJU OTA MESAN</t>
        </is>
      </c>
      <c r="H491" t="inlineStr">
        <is>
          <t>Existing</t>
        </is>
      </c>
      <c r="I491" t="inlineStr">
        <is>
          <t>N</t>
        </is>
      </c>
    </row>
    <row r="492">
      <c r="A492" t="inlineStr">
        <is>
          <t>LFC3412</t>
        </is>
      </c>
      <c r="B492" t="inlineStr">
        <is>
          <t>LFC3412</t>
        </is>
      </c>
      <c r="C492" t="inlineStr">
        <is>
          <t>ADELANS 1</t>
        </is>
      </c>
      <c r="D492" t="inlineStr">
        <is>
          <t>N</t>
        </is>
      </c>
      <c r="E492" t="inlineStr">
        <is>
          <t>Y</t>
        </is>
      </c>
      <c r="F492" t="inlineStr">
        <is>
          <t>12</t>
        </is>
      </c>
      <c r="G492" t="inlineStr">
        <is>
          <t>BLOCK H PLOT 18 CHELSEA ESTATE OBERE</t>
        </is>
      </c>
      <c r="H492" t="inlineStr">
        <is>
          <t>Existing</t>
        </is>
      </c>
      <c r="I492" t="inlineStr">
        <is>
          <t>N</t>
        </is>
      </c>
    </row>
    <row r="493">
      <c r="A493" t="inlineStr">
        <is>
          <t>LFC3413</t>
        </is>
      </c>
      <c r="B493" t="inlineStr">
        <is>
          <t>LFC3413</t>
        </is>
      </c>
      <c r="C493" t="inlineStr">
        <is>
          <t>ADELANS 1</t>
        </is>
      </c>
      <c r="D493" t="inlineStr">
        <is>
          <t>N</t>
        </is>
      </c>
      <c r="E493" t="inlineStr">
        <is>
          <t>Y</t>
        </is>
      </c>
      <c r="F493" t="inlineStr">
        <is>
          <t>13</t>
        </is>
      </c>
      <c r="G493" t="inlineStr">
        <is>
          <t>NO 6 INDOMIE ESTATE, INDOMIE ROAD. OTA</t>
        </is>
      </c>
      <c r="H493" t="inlineStr">
        <is>
          <t>Existing</t>
        </is>
      </c>
      <c r="I493" t="inlineStr">
        <is>
          <t>N</t>
        </is>
      </c>
    </row>
    <row r="494">
      <c r="A494" t="inlineStr">
        <is>
          <t>LFC3414</t>
        </is>
      </c>
      <c r="B494" t="inlineStr">
        <is>
          <t>LFC3414</t>
        </is>
      </c>
      <c r="C494" t="inlineStr">
        <is>
          <t>ADELANS 1</t>
        </is>
      </c>
      <c r="D494" t="inlineStr">
        <is>
          <t>N</t>
        </is>
      </c>
      <c r="E494" t="inlineStr">
        <is>
          <t>Y</t>
        </is>
      </c>
      <c r="F494" t="inlineStr">
        <is>
          <t>14</t>
        </is>
      </c>
      <c r="G494" t="inlineStr">
        <is>
          <t>OMOYIN HOUSE, VICTORY ESTATE, OFF IJU OTA</t>
        </is>
      </c>
      <c r="H494" t="inlineStr">
        <is>
          <t>Existing</t>
        </is>
      </c>
      <c r="I494" t="inlineStr">
        <is>
          <t>N</t>
        </is>
      </c>
    </row>
    <row r="495">
      <c r="A495" t="inlineStr">
        <is>
          <t>LFC3415</t>
        </is>
      </c>
      <c r="B495" t="inlineStr">
        <is>
          <t>LFC3415</t>
        </is>
      </c>
      <c r="C495" t="inlineStr">
        <is>
          <t>ADELANS 1</t>
        </is>
      </c>
      <c r="D495" t="inlineStr">
        <is>
          <t>N</t>
        </is>
      </c>
      <c r="E495" t="inlineStr">
        <is>
          <t>Y</t>
        </is>
      </c>
      <c r="F495" t="inlineStr">
        <is>
          <t>15</t>
        </is>
      </c>
      <c r="G495" t="inlineStr">
        <is>
          <t>ZONE PRECIOUS HOUSE, 15 OFF MESAN ROAD, IJU OTA MESAN</t>
        </is>
      </c>
      <c r="H495" t="inlineStr">
        <is>
          <t>Existing</t>
        </is>
      </c>
      <c r="I495" t="inlineStr">
        <is>
          <t>N</t>
        </is>
      </c>
    </row>
    <row r="496">
      <c r="A496" t="inlineStr">
        <is>
          <t>LFC3416</t>
        </is>
      </c>
      <c r="B496" t="inlineStr">
        <is>
          <t>LFC3416</t>
        </is>
      </c>
      <c r="C496" t="inlineStr">
        <is>
          <t>ADELANS 1</t>
        </is>
      </c>
      <c r="D496" t="inlineStr">
        <is>
          <t>N</t>
        </is>
      </c>
      <c r="E496" t="inlineStr">
        <is>
          <t>Y</t>
        </is>
      </c>
      <c r="F496" t="inlineStr">
        <is>
          <t>16</t>
        </is>
      </c>
      <c r="G496" t="inlineStr">
        <is>
          <t>CHINWE HOUSE, ZONE 16 - ZONE 7 BAALE AJAYI EGAN</t>
        </is>
      </c>
      <c r="H496" t="inlineStr">
        <is>
          <t>Existing</t>
        </is>
      </c>
      <c r="I496" t="inlineStr">
        <is>
          <t>N</t>
        </is>
      </c>
    </row>
    <row r="497">
      <c r="A497" t="inlineStr">
        <is>
          <t>LFC3501</t>
        </is>
      </c>
      <c r="B497" t="inlineStr">
        <is>
          <t>LFC3501</t>
        </is>
      </c>
      <c r="C497" t="inlineStr">
        <is>
          <t>LUSADA</t>
        </is>
      </c>
      <c r="D497" t="inlineStr">
        <is>
          <t>Y</t>
        </is>
      </c>
      <c r="E497" t="inlineStr">
        <is>
          <t>Y</t>
        </is>
      </c>
      <c r="F497" t="inlineStr">
        <is>
          <t>1</t>
        </is>
      </c>
      <c r="G497" t="inlineStr">
        <is>
          <t>ROCK OF AGES, AJEGUNLE</t>
        </is>
      </c>
      <c r="H497" t="inlineStr">
        <is>
          <t>Existing</t>
        </is>
      </c>
      <c r="I497" t="inlineStr">
        <is>
          <t>N</t>
        </is>
      </c>
    </row>
    <row r="498">
      <c r="A498" t="inlineStr">
        <is>
          <t>LFC3502</t>
        </is>
      </c>
      <c r="B498" t="inlineStr">
        <is>
          <t>LFC3502</t>
        </is>
      </c>
      <c r="C498" t="inlineStr">
        <is>
          <t>LUSADA</t>
        </is>
      </c>
      <c r="D498" t="inlineStr">
        <is>
          <t>Y</t>
        </is>
      </c>
      <c r="E498" t="inlineStr">
        <is>
          <t>Y</t>
        </is>
      </c>
      <c r="F498" t="inlineStr">
        <is>
          <t>2</t>
        </is>
      </c>
      <c r="G498" t="inlineStr">
        <is>
          <t>58, IGBESA ROAD, CELE OSUN</t>
        </is>
      </c>
      <c r="H498" t="inlineStr">
        <is>
          <t>Existing</t>
        </is>
      </c>
      <c r="I498" t="inlineStr">
        <is>
          <t>N</t>
        </is>
      </c>
    </row>
    <row r="499">
      <c r="A499" t="inlineStr">
        <is>
          <t>LFC3503</t>
        </is>
      </c>
      <c r="B499" t="inlineStr">
        <is>
          <t>LFC3503</t>
        </is>
      </c>
      <c r="C499" t="inlineStr">
        <is>
          <t>LUSADA</t>
        </is>
      </c>
      <c r="D499" t="inlineStr">
        <is>
          <t>Y</t>
        </is>
      </c>
      <c r="E499" t="inlineStr">
        <is>
          <t>Y</t>
        </is>
      </c>
      <c r="F499" t="inlineStr">
        <is>
          <t>3</t>
        </is>
      </c>
      <c r="G499" t="inlineStr">
        <is>
          <t>38 IGBESA ROAD, LUSADA</t>
        </is>
      </c>
      <c r="H499" t="inlineStr">
        <is>
          <t>Existing</t>
        </is>
      </c>
      <c r="I499" t="inlineStr">
        <is>
          <t>N</t>
        </is>
      </c>
    </row>
    <row r="500">
      <c r="A500" t="inlineStr">
        <is>
          <t>LFC3504</t>
        </is>
      </c>
      <c r="B500" t="inlineStr">
        <is>
          <t>LFC3504</t>
        </is>
      </c>
      <c r="C500" t="inlineStr">
        <is>
          <t>LUSADA</t>
        </is>
      </c>
      <c r="D500" t="inlineStr">
        <is>
          <t>Y</t>
        </is>
      </c>
      <c r="E500" t="inlineStr">
        <is>
          <t>Y</t>
        </is>
      </c>
      <c r="F500" t="inlineStr">
        <is>
          <t>4</t>
        </is>
      </c>
      <c r="G500" t="inlineStr">
        <is>
          <t>BOLAGBE, IGBESA RD</t>
        </is>
      </c>
      <c r="H500" t="inlineStr">
        <is>
          <t>Existing</t>
        </is>
      </c>
      <c r="I500" t="inlineStr">
        <is>
          <t>N</t>
        </is>
      </c>
    </row>
    <row r="501">
      <c r="A501" t="inlineStr">
        <is>
          <t>LFC3505</t>
        </is>
      </c>
      <c r="B501" t="inlineStr">
        <is>
          <t>LFC3505</t>
        </is>
      </c>
      <c r="C501" t="inlineStr">
        <is>
          <t>LUSADA</t>
        </is>
      </c>
      <c r="D501" t="inlineStr">
        <is>
          <t>N</t>
        </is>
      </c>
      <c r="E501" t="inlineStr">
        <is>
          <t>Y</t>
        </is>
      </c>
      <c r="F501" t="inlineStr">
        <is>
          <t>5</t>
        </is>
      </c>
      <c r="G501" t="inlineStr">
        <is>
          <t>WCF, OPPOSITE OG TECH, IGBESA</t>
        </is>
      </c>
      <c r="H501" t="inlineStr">
        <is>
          <t>Existing</t>
        </is>
      </c>
      <c r="I501" t="inlineStr">
        <is>
          <t>Y</t>
        </is>
      </c>
    </row>
    <row r="502">
      <c r="A502" t="inlineStr">
        <is>
          <t>LFC3506</t>
        </is>
      </c>
      <c r="B502" t="inlineStr">
        <is>
          <t>LFC3506</t>
        </is>
      </c>
      <c r="C502" t="inlineStr">
        <is>
          <t>LUSADA</t>
        </is>
      </c>
      <c r="D502" t="inlineStr">
        <is>
          <t>Y</t>
        </is>
      </c>
      <c r="E502" t="inlineStr">
        <is>
          <t>Y</t>
        </is>
      </c>
      <c r="F502" t="inlineStr">
        <is>
          <t>6</t>
        </is>
      </c>
      <c r="G502" t="inlineStr">
        <is>
          <t>IMOSHE VILLAGE</t>
        </is>
      </c>
      <c r="H502" t="inlineStr">
        <is>
          <t>Existing</t>
        </is>
      </c>
      <c r="I502" t="inlineStr">
        <is>
          <t>N</t>
        </is>
      </c>
    </row>
    <row r="503">
      <c r="A503" t="inlineStr">
        <is>
          <t>LFC3507</t>
        </is>
      </c>
      <c r="B503" t="inlineStr">
        <is>
          <t>LFC3507</t>
        </is>
      </c>
      <c r="C503" t="inlineStr">
        <is>
          <t>LUSADA</t>
        </is>
      </c>
      <c r="D503" t="inlineStr">
        <is>
          <t>N</t>
        </is>
      </c>
      <c r="E503" t="inlineStr">
        <is>
          <t>Y</t>
        </is>
      </c>
      <c r="F503" t="inlineStr">
        <is>
          <t>7</t>
        </is>
      </c>
      <c r="G503" t="inlineStr">
        <is>
          <t>AGILETE VILLAGE</t>
        </is>
      </c>
      <c r="H503" t="inlineStr">
        <is>
          <t>Existing</t>
        </is>
      </c>
      <c r="I503" t="inlineStr">
        <is>
          <t>N</t>
        </is>
      </c>
    </row>
    <row r="504">
      <c r="A504" t="inlineStr">
        <is>
          <t>LFC3508</t>
        </is>
      </c>
      <c r="B504" t="inlineStr">
        <is>
          <t>LFC3508</t>
        </is>
      </c>
      <c r="C504" t="inlineStr">
        <is>
          <t>LUSADA</t>
        </is>
      </c>
      <c r="D504" t="inlineStr">
        <is>
          <t>Y</t>
        </is>
      </c>
      <c r="E504" t="inlineStr">
        <is>
          <t>Y</t>
        </is>
      </c>
      <c r="F504" t="inlineStr">
        <is>
          <t>8</t>
        </is>
      </c>
      <c r="G504" t="inlineStr">
        <is>
          <t>CELE OSUN, ZONAL CENTER</t>
        </is>
      </c>
      <c r="H504" t="inlineStr">
        <is>
          <t>Existing</t>
        </is>
      </c>
      <c r="I504" t="inlineStr">
        <is>
          <t>N</t>
        </is>
      </c>
    </row>
    <row r="505">
      <c r="A505" t="inlineStr">
        <is>
          <t>LFC3509</t>
        </is>
      </c>
      <c r="B505" t="inlineStr">
        <is>
          <t>LFC3509</t>
        </is>
      </c>
      <c r="C505" t="inlineStr">
        <is>
          <t>LUSADA</t>
        </is>
      </c>
      <c r="D505" t="inlineStr">
        <is>
          <t>Y</t>
        </is>
      </c>
      <c r="E505" t="inlineStr">
        <is>
          <t>Y</t>
        </is>
      </c>
      <c r="F505" t="inlineStr">
        <is>
          <t>9</t>
        </is>
      </c>
      <c r="G505" t="inlineStr">
        <is>
          <t>ORILE IGBOKO, LUSADA</t>
        </is>
      </c>
      <c r="H505" t="inlineStr">
        <is>
          <t>Existing</t>
        </is>
      </c>
      <c r="I505" t="inlineStr">
        <is>
          <t>N</t>
        </is>
      </c>
    </row>
    <row r="506">
      <c r="A506" t="inlineStr">
        <is>
          <t>LFC3510</t>
        </is>
      </c>
      <c r="B506" t="inlineStr">
        <is>
          <t>LFC3510</t>
        </is>
      </c>
      <c r="C506" t="inlineStr">
        <is>
          <t>LUSADA</t>
        </is>
      </c>
      <c r="D506" t="inlineStr">
        <is>
          <t>Y</t>
        </is>
      </c>
      <c r="E506" t="inlineStr">
        <is>
          <t>Y</t>
        </is>
      </c>
      <c r="F506" t="inlineStr">
        <is>
          <t>10</t>
        </is>
      </c>
      <c r="G506" t="inlineStr">
        <is>
          <t>1. MARY STREET, KETU</t>
        </is>
      </c>
      <c r="H506" t="inlineStr">
        <is>
          <t>Existing</t>
        </is>
      </c>
      <c r="I506" t="inlineStr">
        <is>
          <t>N</t>
        </is>
      </c>
    </row>
    <row r="507">
      <c r="A507" t="inlineStr">
        <is>
          <t>LFC3511</t>
        </is>
      </c>
      <c r="B507" t="inlineStr">
        <is>
          <t>LFC3511</t>
        </is>
      </c>
      <c r="C507" t="inlineStr">
        <is>
          <t>LUSADA</t>
        </is>
      </c>
      <c r="D507" t="inlineStr">
        <is>
          <t>N</t>
        </is>
      </c>
      <c r="E507" t="inlineStr">
        <is>
          <t>Y</t>
        </is>
      </c>
      <c r="F507" t="inlineStr">
        <is>
          <t>11</t>
        </is>
      </c>
      <c r="G507" t="inlineStr">
        <is>
          <t>AKINWUNMI VILLAGE</t>
        </is>
      </c>
      <c r="H507" t="inlineStr">
        <is>
          <t>Existing</t>
        </is>
      </c>
      <c r="I507" t="inlineStr">
        <is>
          <t>N</t>
        </is>
      </c>
    </row>
    <row r="508">
      <c r="A508" t="inlineStr">
        <is>
          <t>LFC3512</t>
        </is>
      </c>
      <c r="B508" t="inlineStr">
        <is>
          <t>LFC3512</t>
        </is>
      </c>
      <c r="C508" t="inlineStr">
        <is>
          <t>LUSADA</t>
        </is>
      </c>
      <c r="D508" t="inlineStr">
        <is>
          <t>Y</t>
        </is>
      </c>
      <c r="E508" t="inlineStr">
        <is>
          <t>Y</t>
        </is>
      </c>
      <c r="F508" t="inlineStr">
        <is>
          <t>12</t>
        </is>
      </c>
      <c r="G508" t="inlineStr">
        <is>
          <t>OLAYEMI'S ZONAL CENTER ODUGBE</t>
        </is>
      </c>
      <c r="H508" t="inlineStr">
        <is>
          <t>Existing</t>
        </is>
      </c>
      <c r="I508" t="inlineStr">
        <is>
          <t>N</t>
        </is>
      </c>
    </row>
    <row r="509">
      <c r="A509" t="inlineStr">
        <is>
          <t>LFC3513</t>
        </is>
      </c>
      <c r="B509" t="inlineStr">
        <is>
          <t>LFC3513</t>
        </is>
      </c>
      <c r="C509" t="inlineStr">
        <is>
          <t>LUSADA</t>
        </is>
      </c>
      <c r="D509" t="inlineStr">
        <is>
          <t>Y</t>
        </is>
      </c>
      <c r="E509" t="inlineStr">
        <is>
          <t>Y</t>
        </is>
      </c>
      <c r="F509" t="inlineStr">
        <is>
          <t>13</t>
        </is>
      </c>
      <c r="G509" t="inlineStr">
        <is>
          <t>ALADIE VILLAGE</t>
        </is>
      </c>
      <c r="H509" t="inlineStr">
        <is>
          <t>Existing</t>
        </is>
      </c>
      <c r="I509" t="inlineStr">
        <is>
          <t>N</t>
        </is>
      </c>
    </row>
    <row r="510">
      <c r="A510" t="inlineStr">
        <is>
          <t>LFC3514</t>
        </is>
      </c>
      <c r="B510" t="inlineStr">
        <is>
          <t>LFC3514</t>
        </is>
      </c>
      <c r="C510" t="inlineStr">
        <is>
          <t>LUSADA</t>
        </is>
      </c>
      <c r="D510" t="inlineStr">
        <is>
          <t>N</t>
        </is>
      </c>
      <c r="E510" t="inlineStr">
        <is>
          <t>Y</t>
        </is>
      </c>
      <c r="F510" t="inlineStr">
        <is>
          <t>14</t>
        </is>
      </c>
      <c r="G510" t="inlineStr">
        <is>
          <t>AKINWUMI ACROSS</t>
        </is>
      </c>
      <c r="H510" t="inlineStr">
        <is>
          <t>Existing</t>
        </is>
      </c>
      <c r="I510" t="inlineStr">
        <is>
          <t>N</t>
        </is>
      </c>
    </row>
    <row r="511">
      <c r="A511" t="inlineStr">
        <is>
          <t>LFC3515</t>
        </is>
      </c>
      <c r="B511" t="inlineStr">
        <is>
          <t>LFC3515</t>
        </is>
      </c>
      <c r="C511" t="inlineStr">
        <is>
          <t>LUSADA</t>
        </is>
      </c>
      <c r="D511" t="inlineStr">
        <is>
          <t>Y</t>
        </is>
      </c>
      <c r="E511" t="inlineStr">
        <is>
          <t>Y</t>
        </is>
      </c>
      <c r="F511" t="inlineStr">
        <is>
          <t>15</t>
        </is>
      </c>
      <c r="G511" t="inlineStr">
        <is>
          <t>LASU ARENA</t>
        </is>
      </c>
      <c r="H511" t="inlineStr">
        <is>
          <t>Existing</t>
        </is>
      </c>
      <c r="I511" t="inlineStr">
        <is>
          <t>N</t>
        </is>
      </c>
    </row>
    <row r="512">
      <c r="A512" t="inlineStr">
        <is>
          <t>LFC3516</t>
        </is>
      </c>
      <c r="B512" t="inlineStr">
        <is>
          <t>LFC3516</t>
        </is>
      </c>
      <c r="C512" t="inlineStr">
        <is>
          <t>LUSADA</t>
        </is>
      </c>
      <c r="D512" t="inlineStr">
        <is>
          <t>Y</t>
        </is>
      </c>
      <c r="E512" t="inlineStr">
        <is>
          <t>Y</t>
        </is>
      </c>
      <c r="F512" t="inlineStr">
        <is>
          <t>16</t>
        </is>
      </c>
      <c r="G512" t="inlineStr">
        <is>
          <t>SILBET, BESIDE DEEPERLIFE</t>
        </is>
      </c>
      <c r="H512" t="inlineStr">
        <is>
          <t>Existing</t>
        </is>
      </c>
      <c r="I512" t="inlineStr">
        <is>
          <t>N</t>
        </is>
      </c>
    </row>
    <row r="513">
      <c r="A513" t="inlineStr">
        <is>
          <t>LFC3517</t>
        </is>
      </c>
      <c r="B513" t="inlineStr">
        <is>
          <t>LFC3517</t>
        </is>
      </c>
      <c r="C513" t="inlineStr">
        <is>
          <t>LUSADA</t>
        </is>
      </c>
      <c r="D513" t="inlineStr">
        <is>
          <t>N</t>
        </is>
      </c>
      <c r="E513" t="inlineStr">
        <is>
          <t>Y</t>
        </is>
      </c>
      <c r="F513" t="inlineStr">
        <is>
          <t>17</t>
        </is>
      </c>
      <c r="G513" t="inlineStr">
        <is>
          <t>ROTIMI OJO, OLORUNREKE</t>
        </is>
      </c>
      <c r="H513" t="inlineStr">
        <is>
          <t>Existing</t>
        </is>
      </c>
      <c r="I513" t="inlineStr">
        <is>
          <t>Y</t>
        </is>
      </c>
    </row>
    <row r="514">
      <c r="A514" t="inlineStr">
        <is>
          <t>LFC3518</t>
        </is>
      </c>
      <c r="B514" t="inlineStr">
        <is>
          <t>LFC3518</t>
        </is>
      </c>
      <c r="C514" t="inlineStr">
        <is>
          <t>LUSADA</t>
        </is>
      </c>
      <c r="D514" t="inlineStr">
        <is>
          <t>Y</t>
        </is>
      </c>
      <c r="E514" t="inlineStr">
        <is>
          <t>Y</t>
        </is>
      </c>
      <c r="F514" t="inlineStr">
        <is>
          <t>18</t>
        </is>
      </c>
      <c r="G514" t="inlineStr">
        <is>
          <t>ONIGBONGBO, AJEGUNLE</t>
        </is>
      </c>
      <c r="H514" t="inlineStr">
        <is>
          <t>Existing</t>
        </is>
      </c>
      <c r="I514" t="inlineStr">
        <is>
          <t>N</t>
        </is>
      </c>
    </row>
    <row r="515">
      <c r="A515" t="inlineStr">
        <is>
          <t>LFC3519</t>
        </is>
      </c>
      <c r="B515" t="inlineStr">
        <is>
          <t>LFC3519</t>
        </is>
      </c>
      <c r="C515" t="inlineStr">
        <is>
          <t>LUSADA</t>
        </is>
      </c>
      <c r="D515" t="inlineStr">
        <is>
          <t>N</t>
        </is>
      </c>
      <c r="E515" t="inlineStr">
        <is>
          <t>Y</t>
        </is>
      </c>
      <c r="F515" t="inlineStr">
        <is>
          <t>19</t>
        </is>
      </c>
      <c r="G515" t="inlineStr">
        <is>
          <t>BJ WALEX</t>
        </is>
      </c>
      <c r="H515" t="inlineStr">
        <is>
          <t>Existing</t>
        </is>
      </c>
      <c r="I515" t="inlineStr">
        <is>
          <t>Y</t>
        </is>
      </c>
    </row>
    <row r="516">
      <c r="A516" t="inlineStr">
        <is>
          <t>LFC3520</t>
        </is>
      </c>
      <c r="B516" t="inlineStr">
        <is>
          <t>LFC3520</t>
        </is>
      </c>
      <c r="C516" t="inlineStr">
        <is>
          <t>LUSADA</t>
        </is>
      </c>
      <c r="D516" t="inlineStr">
        <is>
          <t>N</t>
        </is>
      </c>
      <c r="E516" t="inlineStr">
        <is>
          <t>Y</t>
        </is>
      </c>
      <c r="F516" t="inlineStr">
        <is>
          <t>20</t>
        </is>
      </c>
      <c r="G516" t="inlineStr">
        <is>
          <t>ALAAGBA</t>
        </is>
      </c>
      <c r="H516" t="inlineStr">
        <is>
          <t>Existing</t>
        </is>
      </c>
      <c r="I516" t="inlineStr">
        <is>
          <t>Y</t>
        </is>
      </c>
    </row>
    <row r="517">
      <c r="A517" t="inlineStr">
        <is>
          <t>LFC3521</t>
        </is>
      </c>
      <c r="B517" t="inlineStr">
        <is>
          <t>LFC3521</t>
        </is>
      </c>
      <c r="C517" t="inlineStr">
        <is>
          <t>LUSADA</t>
        </is>
      </c>
      <c r="D517" t="inlineStr">
        <is>
          <t>N</t>
        </is>
      </c>
      <c r="E517" t="inlineStr">
        <is>
          <t>Y</t>
        </is>
      </c>
      <c r="F517" t="inlineStr">
        <is>
          <t>21</t>
        </is>
      </c>
      <c r="G517" t="inlineStr">
        <is>
          <t>ALAGOGO</t>
        </is>
      </c>
      <c r="H517" t="inlineStr">
        <is>
          <t>Existing</t>
        </is>
      </c>
      <c r="I517" t="inlineStr">
        <is>
          <t>N</t>
        </is>
      </c>
    </row>
    <row r="518">
      <c r="A518" t="inlineStr">
        <is>
          <t>LFC3522</t>
        </is>
      </c>
      <c r="B518" t="inlineStr">
        <is>
          <t>LFC3522</t>
        </is>
      </c>
      <c r="C518" t="inlineStr">
        <is>
          <t>LUSADA</t>
        </is>
      </c>
      <c r="D518" t="inlineStr">
        <is>
          <t>N</t>
        </is>
      </c>
      <c r="E518" t="inlineStr">
        <is>
          <t>Y</t>
        </is>
      </c>
      <c r="F518" t="inlineStr">
        <is>
          <t>22</t>
        </is>
      </c>
      <c r="G518" t="inlineStr">
        <is>
          <t>ILEBA VILLAGE</t>
        </is>
      </c>
      <c r="H518" t="inlineStr">
        <is>
          <t>Existing</t>
        </is>
      </c>
      <c r="I518" t="inlineStr">
        <is>
          <t>N</t>
        </is>
      </c>
    </row>
    <row r="519">
      <c r="A519" t="inlineStr">
        <is>
          <t>LFC3523</t>
        </is>
      </c>
      <c r="B519" t="inlineStr">
        <is>
          <t>LFC3523</t>
        </is>
      </c>
      <c r="C519" t="inlineStr">
        <is>
          <t>LUSADA</t>
        </is>
      </c>
      <c r="D519" t="inlineStr">
        <is>
          <t>N</t>
        </is>
      </c>
      <c r="E519" t="inlineStr">
        <is>
          <t>Y</t>
        </is>
      </c>
      <c r="F519" t="inlineStr">
        <is>
          <t>23</t>
        </is>
      </c>
      <c r="G519" t="inlineStr">
        <is>
          <t>OKE-OGBE VILLAGE, AGELETE II</t>
        </is>
      </c>
      <c r="H519" t="inlineStr">
        <is>
          <t>From reporting system</t>
        </is>
      </c>
      <c r="I519" t="inlineStr">
        <is>
          <t>N</t>
        </is>
      </c>
    </row>
    <row r="520">
      <c r="A520" t="inlineStr">
        <is>
          <t>LFC3524</t>
        </is>
      </c>
      <c r="B520" t="inlineStr">
        <is>
          <t>LFC3524</t>
        </is>
      </c>
      <c r="C520" t="inlineStr">
        <is>
          <t>LUSADA</t>
        </is>
      </c>
      <c r="D520" t="inlineStr">
        <is>
          <t>N</t>
        </is>
      </c>
      <c r="E520" t="inlineStr">
        <is>
          <t>Y</t>
        </is>
      </c>
      <c r="F520" t="inlineStr">
        <is>
          <t>24</t>
        </is>
      </c>
      <c r="G520" t="inlineStr">
        <is>
          <t>FAGBOHUN/OLANISA</t>
        </is>
      </c>
      <c r="H520" t="inlineStr">
        <is>
          <t>From reporting system</t>
        </is>
      </c>
      <c r="I520" t="inlineStr">
        <is>
          <t>N</t>
        </is>
      </c>
    </row>
    <row r="521">
      <c r="A521" t="inlineStr">
        <is>
          <t>LFC3525</t>
        </is>
      </c>
      <c r="B521" t="inlineStr">
        <is>
          <t>LFC3525</t>
        </is>
      </c>
      <c r="C521" t="inlineStr">
        <is>
          <t>LUSADA</t>
        </is>
      </c>
      <c r="D521" t="inlineStr">
        <is>
          <t>Y</t>
        </is>
      </c>
      <c r="E521" t="inlineStr">
        <is>
          <t>Y</t>
        </is>
      </c>
      <c r="F521" t="inlineStr">
        <is>
          <t>25</t>
        </is>
      </c>
      <c r="G521" t="inlineStr">
        <is>
          <t>11, COMMUNITY ROAD, IGBESA</t>
        </is>
      </c>
      <c r="H521" t="inlineStr">
        <is>
          <t>New (proposed)</t>
        </is>
      </c>
      <c r="I521" t="inlineStr">
        <is>
          <t>N</t>
        </is>
      </c>
    </row>
    <row r="522">
      <c r="A522" t="inlineStr">
        <is>
          <t>LFC3526</t>
        </is>
      </c>
      <c r="B522" t="inlineStr">
        <is>
          <t>LFC3526</t>
        </is>
      </c>
      <c r="C522" t="inlineStr">
        <is>
          <t>LUSADA</t>
        </is>
      </c>
      <c r="D522" t="inlineStr">
        <is>
          <t>N</t>
        </is>
      </c>
      <c r="E522" t="inlineStr">
        <is>
          <t>Y</t>
        </is>
      </c>
      <c r="F522" t="inlineStr">
        <is>
          <t>26</t>
        </is>
      </c>
      <c r="G522" t="inlineStr">
        <is>
          <t>IWAYE VILLAGE, IGBESA ROAD</t>
        </is>
      </c>
      <c r="H522" t="inlineStr">
        <is>
          <t>From reporting system</t>
        </is>
      </c>
      <c r="I522" t="inlineStr">
        <is>
          <t>N</t>
        </is>
      </c>
    </row>
    <row r="523">
      <c r="A523" t="inlineStr">
        <is>
          <t>LFC3527</t>
        </is>
      </c>
      <c r="B523" t="inlineStr">
        <is>
          <t>LFC3527</t>
        </is>
      </c>
      <c r="C523" t="inlineStr">
        <is>
          <t>LUSADA</t>
        </is>
      </c>
      <c r="D523" t="inlineStr">
        <is>
          <t>N</t>
        </is>
      </c>
      <c r="E523" t="inlineStr">
        <is>
          <t>Y</t>
        </is>
      </c>
      <c r="F523" t="inlineStr">
        <is>
          <t>27</t>
        </is>
      </c>
      <c r="G523" t="inlineStr">
        <is>
          <t>FEMI OGUNLEYE STREET, EGIRA-AWORI, IMOSHE II, LUSADA</t>
        </is>
      </c>
      <c r="H523" t="inlineStr">
        <is>
          <t>New (proposed)</t>
        </is>
      </c>
      <c r="I523" t="inlineStr">
        <is>
          <t>N</t>
        </is>
      </c>
    </row>
    <row r="524">
      <c r="A524" t="inlineStr">
        <is>
          <t>LFC3528</t>
        </is>
      </c>
      <c r="B524" t="inlineStr">
        <is>
          <t>LFC3528</t>
        </is>
      </c>
      <c r="C524" t="inlineStr">
        <is>
          <t>LUSADA</t>
        </is>
      </c>
      <c r="D524" t="inlineStr">
        <is>
          <t>N</t>
        </is>
      </c>
      <c r="E524" t="inlineStr">
        <is>
          <t>Y</t>
        </is>
      </c>
      <c r="F524" t="inlineStr">
        <is>
          <t>28</t>
        </is>
      </c>
      <c r="G524" t="inlineStr">
        <is>
          <t>PEACE LAND ZONAL CENTER, AJEGUNLE</t>
        </is>
      </c>
      <c r="H524" t="inlineStr">
        <is>
          <t>New (proposed)</t>
        </is>
      </c>
      <c r="I524" t="inlineStr">
        <is>
          <t>N</t>
        </is>
      </c>
    </row>
    <row r="525">
      <c r="A525" t="inlineStr">
        <is>
          <t>LFC3529</t>
        </is>
      </c>
      <c r="B525" t="inlineStr">
        <is>
          <t>LFC3529</t>
        </is>
      </c>
      <c r="C525" t="inlineStr">
        <is>
          <t>LUSADA</t>
        </is>
      </c>
      <c r="D525" t="inlineStr">
        <is>
          <t>N</t>
        </is>
      </c>
      <c r="E525" t="inlineStr">
        <is>
          <t>Y</t>
        </is>
      </c>
      <c r="F525" t="inlineStr">
        <is>
          <t>29</t>
        </is>
      </c>
      <c r="G525" t="inlineStr">
        <is>
          <t>AJEROGUN VILLAGE, INSIDE ALEROFU PHASE II,KETU, LUSADA</t>
        </is>
      </c>
      <c r="H525" t="inlineStr">
        <is>
          <t>New (proposed)</t>
        </is>
      </c>
      <c r="I525" t="inlineStr">
        <is>
          <t>N</t>
        </is>
      </c>
    </row>
    <row r="526">
      <c r="A526" t="inlineStr">
        <is>
          <t>LFC3530</t>
        </is>
      </c>
      <c r="B526" t="inlineStr">
        <is>
          <t>LFC3530</t>
        </is>
      </c>
      <c r="C526" t="inlineStr">
        <is>
          <t>LUSADA</t>
        </is>
      </c>
      <c r="D526" t="inlineStr">
        <is>
          <t>N</t>
        </is>
      </c>
      <c r="E526" t="inlineStr">
        <is>
          <t>Y</t>
        </is>
      </c>
      <c r="F526" t="inlineStr">
        <is>
          <t>30</t>
        </is>
      </c>
      <c r="G526" t="inlineStr">
        <is>
          <t>BLUE ROOF HOUSE, SEKEMALE JUNCTION ALONG ATUKO ROAD, SEKINDE VILLAGE, LUSADA</t>
        </is>
      </c>
      <c r="H526" t="inlineStr">
        <is>
          <t>New (proposed)</t>
        </is>
      </c>
      <c r="I526" t="inlineStr">
        <is>
          <t>N</t>
        </is>
      </c>
    </row>
    <row r="527">
      <c r="A527" t="inlineStr">
        <is>
          <t>LFC3601</t>
        </is>
      </c>
      <c r="B527" t="inlineStr">
        <is>
          <t>LFC3601</t>
        </is>
      </c>
      <c r="C527" t="inlineStr">
        <is>
          <t>IJEGUN IKOTUN</t>
        </is>
      </c>
      <c r="D527" t="inlineStr">
        <is>
          <t>Y</t>
        </is>
      </c>
      <c r="E527" t="inlineStr">
        <is>
          <t>Y</t>
        </is>
      </c>
      <c r="F527" t="inlineStr">
        <is>
          <t>1</t>
        </is>
      </c>
      <c r="G527" t="inlineStr">
        <is>
          <t>2/4, MAKINDE STR, OFF BABALEGBA BUS STOP IJEGUN</t>
        </is>
      </c>
      <c r="H527" t="inlineStr">
        <is>
          <t>Existing</t>
        </is>
      </c>
      <c r="I527" t="inlineStr">
        <is>
          <t>N</t>
        </is>
      </c>
    </row>
    <row r="528">
      <c r="A528" t="inlineStr">
        <is>
          <t>LFC3602</t>
        </is>
      </c>
      <c r="B528" t="inlineStr">
        <is>
          <t>LFC3602</t>
        </is>
      </c>
      <c r="C528" t="inlineStr">
        <is>
          <t>IJEGUN IKOTUN</t>
        </is>
      </c>
      <c r="D528" t="inlineStr">
        <is>
          <t>Y</t>
        </is>
      </c>
      <c r="E528" t="inlineStr">
        <is>
          <t>Y</t>
        </is>
      </c>
      <c r="F528" t="inlineStr">
        <is>
          <t>2</t>
        </is>
      </c>
      <c r="G528" t="inlineStr">
        <is>
          <t>60, ABARANJE ROAD IKOTUN</t>
        </is>
      </c>
      <c r="H528" t="inlineStr">
        <is>
          <t>Existing</t>
        </is>
      </c>
      <c r="I528" t="inlineStr">
        <is>
          <t>N</t>
        </is>
      </c>
    </row>
    <row r="529">
      <c r="A529" t="inlineStr">
        <is>
          <t>LFC3603</t>
        </is>
      </c>
      <c r="B529" t="inlineStr">
        <is>
          <t>LFC3603</t>
        </is>
      </c>
      <c r="C529" t="inlineStr">
        <is>
          <t>IJEGUN IKOTUN</t>
        </is>
      </c>
      <c r="D529" t="inlineStr">
        <is>
          <t>N</t>
        </is>
      </c>
      <c r="E529" t="inlineStr">
        <is>
          <t>Y</t>
        </is>
      </c>
      <c r="F529" t="inlineStr">
        <is>
          <t>3</t>
        </is>
      </c>
      <c r="G529" t="inlineStr">
        <is>
          <t>10, ALHAJI JAMIU KEBE STREET OFF IJEGUN ROAD</t>
        </is>
      </c>
      <c r="H529" t="inlineStr">
        <is>
          <t>Existing</t>
        </is>
      </c>
      <c r="I529" t="inlineStr">
        <is>
          <t>N</t>
        </is>
      </c>
    </row>
    <row r="530">
      <c r="A530" t="inlineStr">
        <is>
          <t>LFC3604</t>
        </is>
      </c>
      <c r="B530" t="inlineStr">
        <is>
          <t>LFC3604</t>
        </is>
      </c>
      <c r="C530" t="inlineStr">
        <is>
          <t>IJEGUN IKOTUN</t>
        </is>
      </c>
      <c r="D530" t="inlineStr">
        <is>
          <t>Y</t>
        </is>
      </c>
      <c r="E530" t="inlineStr">
        <is>
          <t>Y</t>
        </is>
      </c>
      <c r="F530" t="inlineStr">
        <is>
          <t>4</t>
        </is>
      </c>
      <c r="G530" t="inlineStr">
        <is>
          <t>19,AJETUMOBI STR. CELE B/STOP, ABARANJE</t>
        </is>
      </c>
      <c r="H530" t="inlineStr">
        <is>
          <t>Existing</t>
        </is>
      </c>
      <c r="I530" t="inlineStr">
        <is>
          <t>N</t>
        </is>
      </c>
    </row>
    <row r="531">
      <c r="A531" t="inlineStr">
        <is>
          <t>LFC3605</t>
        </is>
      </c>
      <c r="B531" t="inlineStr">
        <is>
          <t>LFC3605</t>
        </is>
      </c>
      <c r="C531" t="inlineStr">
        <is>
          <t>IJEGUN IKOTUN</t>
        </is>
      </c>
      <c r="D531" t="inlineStr">
        <is>
          <t>Y</t>
        </is>
      </c>
      <c r="E531" t="inlineStr">
        <is>
          <t>Y</t>
        </is>
      </c>
      <c r="F531" t="inlineStr">
        <is>
          <t>5</t>
        </is>
      </c>
      <c r="G531" t="inlineStr">
        <is>
          <t>3, (HOB) RICHARD IBIKUNLE ST. OFF GOVN ROAD, IKOTUN</t>
        </is>
      </c>
      <c r="H531" t="inlineStr">
        <is>
          <t>Existing</t>
        </is>
      </c>
      <c r="I531" t="inlineStr">
        <is>
          <t>N</t>
        </is>
      </c>
    </row>
    <row r="532">
      <c r="A532" t="inlineStr">
        <is>
          <t>LFC3606</t>
        </is>
      </c>
      <c r="B532" t="inlineStr">
        <is>
          <t>LFC3606</t>
        </is>
      </c>
      <c r="C532" t="inlineStr">
        <is>
          <t>IJEGUN IKOTUN</t>
        </is>
      </c>
      <c r="D532" t="inlineStr">
        <is>
          <t>N</t>
        </is>
      </c>
      <c r="E532" t="inlineStr">
        <is>
          <t>Y</t>
        </is>
      </c>
      <c r="F532" t="inlineStr">
        <is>
          <t>6</t>
        </is>
      </c>
      <c r="G532" t="inlineStr">
        <is>
          <t>46, PROPHET TOLA STREET, OKERUBE-ABARANJE, IKOTUN</t>
        </is>
      </c>
      <c r="H532" t="inlineStr">
        <is>
          <t>Existing</t>
        </is>
      </c>
      <c r="I532" t="inlineStr">
        <is>
          <t>N</t>
        </is>
      </c>
    </row>
    <row r="533">
      <c r="A533" t="inlineStr">
        <is>
          <t>LFC3607</t>
        </is>
      </c>
      <c r="B533" t="inlineStr">
        <is>
          <t>LFC3607</t>
        </is>
      </c>
      <c r="C533" t="inlineStr">
        <is>
          <t>IJEGUN IKOTUN</t>
        </is>
      </c>
      <c r="D533" t="inlineStr">
        <is>
          <t>Y</t>
        </is>
      </c>
      <c r="E533" t="inlineStr">
        <is>
          <t>Y</t>
        </is>
      </c>
      <c r="F533" t="inlineStr">
        <is>
          <t>7</t>
        </is>
      </c>
      <c r="G533" t="inlineStr">
        <is>
          <t>139B, IKOTUN-IGANDO ROAD, IKOTUN</t>
        </is>
      </c>
      <c r="H533" t="inlineStr">
        <is>
          <t>Existing</t>
        </is>
      </c>
      <c r="I533" t="inlineStr">
        <is>
          <t>N</t>
        </is>
      </c>
    </row>
    <row r="534">
      <c r="A534" t="inlineStr">
        <is>
          <t>LFC3608</t>
        </is>
      </c>
      <c r="B534" t="inlineStr">
        <is>
          <t>LFC3608</t>
        </is>
      </c>
      <c r="C534" t="inlineStr">
        <is>
          <t>IJEGUN IKOTUN</t>
        </is>
      </c>
      <c r="D534" t="inlineStr">
        <is>
          <t>Y</t>
        </is>
      </c>
      <c r="E534" t="inlineStr">
        <is>
          <t>Y</t>
        </is>
      </c>
      <c r="F534" t="inlineStr">
        <is>
          <t>8</t>
        </is>
      </c>
      <c r="G534" t="inlineStr">
        <is>
          <t>2, MODUPEOLA STREET OFF AGODO EGBE, IKOTUN</t>
        </is>
      </c>
      <c r="H534" t="inlineStr">
        <is>
          <t>Existing</t>
        </is>
      </c>
      <c r="I534" t="inlineStr">
        <is>
          <t>N</t>
        </is>
      </c>
    </row>
    <row r="535">
      <c r="A535" t="inlineStr">
        <is>
          <t>LFC3609</t>
        </is>
      </c>
      <c r="B535" t="inlineStr">
        <is>
          <t>LFC3609</t>
        </is>
      </c>
      <c r="C535" t="inlineStr">
        <is>
          <t>IJEGUN IKOTUN</t>
        </is>
      </c>
      <c r="D535" t="inlineStr">
        <is>
          <t>Y</t>
        </is>
      </c>
      <c r="E535" t="inlineStr">
        <is>
          <t>Y</t>
        </is>
      </c>
      <c r="F535" t="inlineStr">
        <is>
          <t>9</t>
        </is>
      </c>
      <c r="G535" t="inlineStr">
        <is>
          <t>3 LOVE AND PEACE CELE BUS STOP OFF IJEGUN IKOTUN</t>
        </is>
      </c>
      <c r="H535" t="inlineStr">
        <is>
          <t>Existing</t>
        </is>
      </c>
      <c r="I535" t="inlineStr">
        <is>
          <t>N</t>
        </is>
      </c>
    </row>
    <row r="536">
      <c r="A536" t="inlineStr">
        <is>
          <t>LFC3610</t>
        </is>
      </c>
      <c r="B536" t="inlineStr">
        <is>
          <t>LFC3610</t>
        </is>
      </c>
      <c r="C536" t="inlineStr">
        <is>
          <t>IJEGUN IKOTUN</t>
        </is>
      </c>
      <c r="D536" t="inlineStr">
        <is>
          <t>Y</t>
        </is>
      </c>
      <c r="E536" t="inlineStr">
        <is>
          <t>Y</t>
        </is>
      </c>
      <c r="F536" t="inlineStr">
        <is>
          <t>10</t>
        </is>
      </c>
      <c r="G536" t="inlineStr">
        <is>
          <t>6, BISIOLU STREET, AGODO-EGBE OFF IJEGUN ROAD</t>
        </is>
      </c>
      <c r="H536" t="inlineStr">
        <is>
          <t>Existing</t>
        </is>
      </c>
      <c r="I536" t="inlineStr">
        <is>
          <t>N</t>
        </is>
      </c>
    </row>
    <row r="537">
      <c r="A537" t="inlineStr">
        <is>
          <t>LFC3611</t>
        </is>
      </c>
      <c r="B537" t="inlineStr">
        <is>
          <t>LFC3611</t>
        </is>
      </c>
      <c r="C537" t="inlineStr">
        <is>
          <t>IJEGUN IKOTUN</t>
        </is>
      </c>
      <c r="D537" t="inlineStr">
        <is>
          <t>Y</t>
        </is>
      </c>
      <c r="E537" t="inlineStr">
        <is>
          <t>Y</t>
        </is>
      </c>
      <c r="F537" t="inlineStr">
        <is>
          <t>11</t>
        </is>
      </c>
      <c r="G537" t="inlineStr">
        <is>
          <t>2, SHOSANYA STREET, OFF IJEGUN ROAD</t>
        </is>
      </c>
      <c r="H537" t="inlineStr">
        <is>
          <t>Existing</t>
        </is>
      </c>
      <c r="I537" t="inlineStr">
        <is>
          <t>N</t>
        </is>
      </c>
    </row>
    <row r="538">
      <c r="A538" t="inlineStr">
        <is>
          <t>LFC3612</t>
        </is>
      </c>
      <c r="B538" t="inlineStr">
        <is>
          <t>LFC3612</t>
        </is>
      </c>
      <c r="C538" t="inlineStr">
        <is>
          <t>IJEGUN IKOTUN</t>
        </is>
      </c>
      <c r="D538" t="inlineStr">
        <is>
          <t>Y</t>
        </is>
      </c>
      <c r="E538" t="inlineStr">
        <is>
          <t>Y</t>
        </is>
      </c>
      <c r="F538" t="inlineStr">
        <is>
          <t>12</t>
        </is>
      </c>
      <c r="G538" t="inlineStr">
        <is>
          <t>12, BOLA AKERELE OFF IJEGUN ROAD</t>
        </is>
      </c>
      <c r="H538" t="inlineStr">
        <is>
          <t>Existing</t>
        </is>
      </c>
      <c r="I538" t="inlineStr">
        <is>
          <t>N</t>
        </is>
      </c>
    </row>
    <row r="539">
      <c r="A539" t="inlineStr">
        <is>
          <t>LFC3613</t>
        </is>
      </c>
      <c r="B539" t="inlineStr">
        <is>
          <t>LFC3613</t>
        </is>
      </c>
      <c r="C539" t="inlineStr">
        <is>
          <t>IJEGUN IKOTUN</t>
        </is>
      </c>
      <c r="D539" t="inlineStr">
        <is>
          <t>Y</t>
        </is>
      </c>
      <c r="E539" t="inlineStr">
        <is>
          <t>Y</t>
        </is>
      </c>
      <c r="F539" t="inlineStr">
        <is>
          <t>13</t>
        </is>
      </c>
      <c r="G539" t="inlineStr">
        <is>
          <t>51, LAFUNKE STR, OFF IJEGUN ROAD</t>
        </is>
      </c>
      <c r="H539" t="inlineStr">
        <is>
          <t>Existing</t>
        </is>
      </c>
      <c r="I539" t="inlineStr">
        <is>
          <t>N</t>
        </is>
      </c>
    </row>
    <row r="540">
      <c r="A540" t="inlineStr">
        <is>
          <t>LFC3614</t>
        </is>
      </c>
      <c r="B540" t="inlineStr">
        <is>
          <t>LFC3614</t>
        </is>
      </c>
      <c r="C540" t="inlineStr">
        <is>
          <t>IJEGUN IKOTUN</t>
        </is>
      </c>
      <c r="D540" t="inlineStr">
        <is>
          <t>Y</t>
        </is>
      </c>
      <c r="E540" t="inlineStr">
        <is>
          <t>Y</t>
        </is>
      </c>
      <c r="F540" t="inlineStr">
        <is>
          <t>14</t>
        </is>
      </c>
      <c r="G540" t="inlineStr">
        <is>
          <t>11, ABOKE STREET IJAGEMO OFF IJEGUN BUS STOP</t>
        </is>
      </c>
      <c r="H540" t="inlineStr">
        <is>
          <t>Existing</t>
        </is>
      </c>
      <c r="I540" t="inlineStr">
        <is>
          <t>N</t>
        </is>
      </c>
    </row>
    <row r="541">
      <c r="A541" t="inlineStr">
        <is>
          <t>LFC3615</t>
        </is>
      </c>
      <c r="B541" t="inlineStr">
        <is>
          <t>LFC3615</t>
        </is>
      </c>
      <c r="C541" t="inlineStr">
        <is>
          <t>IJEGUN IKOTUN</t>
        </is>
      </c>
      <c r="D541" t="inlineStr">
        <is>
          <t>Y</t>
        </is>
      </c>
      <c r="E541" t="inlineStr">
        <is>
          <t>Y</t>
        </is>
      </c>
      <c r="F541" t="inlineStr">
        <is>
          <t>15</t>
        </is>
      </c>
      <c r="G541" t="inlineStr">
        <is>
          <t>15, YINKA ADEYEMO STREET OFF IJEGUN BUS STOP</t>
        </is>
      </c>
      <c r="H541" t="inlineStr">
        <is>
          <t>Existing</t>
        </is>
      </c>
      <c r="I541" t="inlineStr">
        <is>
          <t>N</t>
        </is>
      </c>
    </row>
    <row r="542">
      <c r="A542" t="inlineStr">
        <is>
          <t>LFC3616</t>
        </is>
      </c>
      <c r="B542" t="inlineStr">
        <is>
          <t>LFC3616</t>
        </is>
      </c>
      <c r="C542" t="inlineStr">
        <is>
          <t>IJEGUN IKOTUN</t>
        </is>
      </c>
      <c r="D542" t="inlineStr">
        <is>
          <t>Y</t>
        </is>
      </c>
      <c r="E542" t="inlineStr">
        <is>
          <t>Y</t>
        </is>
      </c>
      <c r="F542" t="inlineStr">
        <is>
          <t>16</t>
        </is>
      </c>
      <c r="G542" t="inlineStr">
        <is>
          <t>7, OLUDUN STREET, OLOGUN ESTATE, IJEGUN ROAD</t>
        </is>
      </c>
      <c r="H542" t="inlineStr">
        <is>
          <t>Existing</t>
        </is>
      </c>
      <c r="I542" t="inlineStr">
        <is>
          <t>N</t>
        </is>
      </c>
    </row>
    <row r="543">
      <c r="A543" t="inlineStr">
        <is>
          <t>LFC3617</t>
        </is>
      </c>
      <c r="B543" t="inlineStr">
        <is>
          <t>LFC3617</t>
        </is>
      </c>
      <c r="C543" t="inlineStr">
        <is>
          <t>IJEGUN IKOTUN</t>
        </is>
      </c>
      <c r="D543" t="inlineStr">
        <is>
          <t>N</t>
        </is>
      </c>
      <c r="E543" t="inlineStr">
        <is>
          <t>Y</t>
        </is>
      </c>
      <c r="F543" t="inlineStr">
        <is>
          <t>17</t>
        </is>
      </c>
      <c r="G543" t="inlineStr">
        <is>
          <t>13 ADISA IDOWU STREET OFF AYANWALE RD IJEGUN.</t>
        </is>
      </c>
      <c r="H543" t="inlineStr">
        <is>
          <t>Existing</t>
        </is>
      </c>
      <c r="I543" t="inlineStr">
        <is>
          <t>N</t>
        </is>
      </c>
    </row>
    <row r="544">
      <c r="A544" t="inlineStr">
        <is>
          <t>LFC3701</t>
        </is>
      </c>
      <c r="B544" t="inlineStr">
        <is>
          <t>LFC3701</t>
        </is>
      </c>
      <c r="C544" t="inlineStr">
        <is>
          <t>IGANDO</t>
        </is>
      </c>
      <c r="D544" t="inlineStr">
        <is>
          <t>Y</t>
        </is>
      </c>
      <c r="E544" t="inlineStr">
        <is>
          <t>Y</t>
        </is>
      </c>
      <c r="F544" t="inlineStr">
        <is>
          <t>1</t>
        </is>
      </c>
      <c r="G544" t="inlineStr">
        <is>
          <t>KLM 11 LASU ISHERI RAOD AKESAN IGANDO</t>
        </is>
      </c>
      <c r="H544" t="inlineStr">
        <is>
          <t>Existing</t>
        </is>
      </c>
      <c r="I544" t="inlineStr">
        <is>
          <t>N</t>
        </is>
      </c>
    </row>
    <row r="545">
      <c r="A545" t="inlineStr">
        <is>
          <t>LFC3702</t>
        </is>
      </c>
      <c r="B545" t="inlineStr">
        <is>
          <t>LFC3702</t>
        </is>
      </c>
      <c r="C545" t="inlineStr">
        <is>
          <t>IGANDO</t>
        </is>
      </c>
      <c r="D545" t="inlineStr">
        <is>
          <t>Y</t>
        </is>
      </c>
      <c r="E545" t="inlineStr">
        <is>
          <t>Y</t>
        </is>
      </c>
      <c r="F545" t="inlineStr">
        <is>
          <t>2</t>
        </is>
      </c>
      <c r="G545" t="inlineStr">
        <is>
          <t>14 SOGA STREET OFF ISUTI ROAD EGAN</t>
        </is>
      </c>
      <c r="H545" t="inlineStr">
        <is>
          <t>Existing</t>
        </is>
      </c>
      <c r="I545" t="inlineStr">
        <is>
          <t>N</t>
        </is>
      </c>
    </row>
    <row r="546">
      <c r="A546" t="inlineStr">
        <is>
          <t>LFC3703</t>
        </is>
      </c>
      <c r="B546" t="inlineStr">
        <is>
          <t>LFC3703</t>
        </is>
      </c>
      <c r="C546" t="inlineStr">
        <is>
          <t>IGANDO</t>
        </is>
      </c>
      <c r="D546" t="inlineStr">
        <is>
          <t>Y</t>
        </is>
      </c>
      <c r="E546" t="inlineStr">
        <is>
          <t>Y</t>
        </is>
      </c>
      <c r="F546" t="inlineStr">
        <is>
          <t>3</t>
        </is>
      </c>
      <c r="G546" t="inlineStr">
        <is>
          <t>6 IBIDUNNI STREET OFF MOSHALASI RD EGAN</t>
        </is>
      </c>
      <c r="H546" t="inlineStr">
        <is>
          <t>Existing</t>
        </is>
      </c>
      <c r="I546" t="inlineStr">
        <is>
          <t>N</t>
        </is>
      </c>
    </row>
    <row r="547">
      <c r="A547" t="inlineStr">
        <is>
          <t>LFC3704</t>
        </is>
      </c>
      <c r="B547" t="inlineStr">
        <is>
          <t>LFC3704</t>
        </is>
      </c>
      <c r="C547" t="inlineStr">
        <is>
          <t>IGANDO</t>
        </is>
      </c>
      <c r="D547" t="inlineStr">
        <is>
          <t>Y</t>
        </is>
      </c>
      <c r="E547" t="inlineStr">
        <is>
          <t>Y</t>
        </is>
      </c>
      <c r="F547" t="inlineStr">
        <is>
          <t>4</t>
        </is>
      </c>
      <c r="G547" t="inlineStr">
        <is>
          <t>17 LASU ISHERI EXPRESSWAY OBADORE</t>
        </is>
      </c>
      <c r="H547" t="inlineStr">
        <is>
          <t>Existing</t>
        </is>
      </c>
      <c r="I547" t="inlineStr">
        <is>
          <t>N</t>
        </is>
      </c>
    </row>
    <row r="548">
      <c r="A548" t="inlineStr">
        <is>
          <t>LFC3705</t>
        </is>
      </c>
      <c r="B548" t="inlineStr">
        <is>
          <t>LFC3705</t>
        </is>
      </c>
      <c r="C548" t="inlineStr">
        <is>
          <t>IGANDO</t>
        </is>
      </c>
      <c r="D548" t="inlineStr">
        <is>
          <t>N</t>
        </is>
      </c>
      <c r="E548" t="inlineStr">
        <is>
          <t>Y</t>
        </is>
      </c>
      <c r="F548" t="inlineStr">
        <is>
          <t>5</t>
        </is>
      </c>
      <c r="G548" t="inlineStr">
        <is>
          <t>11 PROSPER MUKORO STREET ADEXON</t>
        </is>
      </c>
      <c r="H548" t="inlineStr">
        <is>
          <t>Existing</t>
        </is>
      </c>
      <c r="I548" t="inlineStr">
        <is>
          <t>N</t>
        </is>
      </c>
    </row>
    <row r="549">
      <c r="A549" t="inlineStr">
        <is>
          <t>LFC3706</t>
        </is>
      </c>
      <c r="B549" t="inlineStr">
        <is>
          <t>LFC3706</t>
        </is>
      </c>
      <c r="C549" t="inlineStr">
        <is>
          <t>IGANDO</t>
        </is>
      </c>
      <c r="D549" t="inlineStr">
        <is>
          <t>N</t>
        </is>
      </c>
      <c r="E549" t="inlineStr">
        <is>
          <t>Y</t>
        </is>
      </c>
      <c r="F549" t="inlineStr">
        <is>
          <t>6</t>
        </is>
      </c>
      <c r="G549" t="inlineStr">
        <is>
          <t>9 AYO SHOLA STREET OBADORE</t>
        </is>
      </c>
      <c r="H549" t="inlineStr">
        <is>
          <t>Existing</t>
        </is>
      </c>
      <c r="I549" t="inlineStr">
        <is>
          <t>N</t>
        </is>
      </c>
    </row>
    <row r="550">
      <c r="A550" t="inlineStr">
        <is>
          <t>LFC3707</t>
        </is>
      </c>
      <c r="B550" t="inlineStr">
        <is>
          <t>LFC3707</t>
        </is>
      </c>
      <c r="C550" t="inlineStr">
        <is>
          <t>IGANDO</t>
        </is>
      </c>
      <c r="D550" t="inlineStr">
        <is>
          <t>Y</t>
        </is>
      </c>
      <c r="E550" t="inlineStr">
        <is>
          <t>Y</t>
        </is>
      </c>
      <c r="F550" t="inlineStr">
        <is>
          <t>7</t>
        </is>
      </c>
      <c r="G550" t="inlineStr">
        <is>
          <t>QS DAY STAR SCHOOL EGAN</t>
        </is>
      </c>
      <c r="H550" t="inlineStr">
        <is>
          <t>Existing</t>
        </is>
      </c>
      <c r="I550" t="inlineStr">
        <is>
          <t>N</t>
        </is>
      </c>
    </row>
    <row r="551">
      <c r="A551" t="inlineStr">
        <is>
          <t>LFC3708</t>
        </is>
      </c>
      <c r="B551" t="inlineStr">
        <is>
          <t>LFC3708</t>
        </is>
      </c>
      <c r="C551" t="inlineStr">
        <is>
          <t>IGANDO</t>
        </is>
      </c>
      <c r="D551" t="inlineStr">
        <is>
          <t>N</t>
        </is>
      </c>
      <c r="E551" t="inlineStr">
        <is>
          <t>Y</t>
        </is>
      </c>
      <c r="F551" t="inlineStr">
        <is>
          <t>8</t>
        </is>
      </c>
      <c r="G551" t="inlineStr">
        <is>
          <t>16 WISDOM AVENUE STREET EGAN</t>
        </is>
      </c>
      <c r="H551" t="inlineStr">
        <is>
          <t>Existing</t>
        </is>
      </c>
      <c r="I551" t="inlineStr">
        <is>
          <t>N</t>
        </is>
      </c>
    </row>
    <row r="552">
      <c r="A552" t="inlineStr">
        <is>
          <t>LFC3709</t>
        </is>
      </c>
      <c r="B552" t="inlineStr">
        <is>
          <t>LFC3709</t>
        </is>
      </c>
      <c r="C552" t="inlineStr">
        <is>
          <t>IGANDO</t>
        </is>
      </c>
      <c r="D552" t="inlineStr">
        <is>
          <t>Y</t>
        </is>
      </c>
      <c r="E552" t="inlineStr">
        <is>
          <t>Y</t>
        </is>
      </c>
      <c r="F552" t="inlineStr">
        <is>
          <t>9</t>
        </is>
      </c>
      <c r="G552" t="inlineStr">
        <is>
          <t>10 SAM OGUWE STREET IGANDO</t>
        </is>
      </c>
      <c r="H552" t="inlineStr">
        <is>
          <t>Existing</t>
        </is>
      </c>
      <c r="I552" t="inlineStr">
        <is>
          <t>N</t>
        </is>
      </c>
    </row>
    <row r="553">
      <c r="A553" t="inlineStr">
        <is>
          <t>LFC3710</t>
        </is>
      </c>
      <c r="B553" t="inlineStr">
        <is>
          <t>LFC3710</t>
        </is>
      </c>
      <c r="C553" t="inlineStr">
        <is>
          <t>IGANDO</t>
        </is>
      </c>
      <c r="D553" t="inlineStr">
        <is>
          <t>Y</t>
        </is>
      </c>
      <c r="E553" t="inlineStr">
        <is>
          <t>Y</t>
        </is>
      </c>
      <c r="F553" t="inlineStr">
        <is>
          <t>10</t>
        </is>
      </c>
      <c r="G553" t="inlineStr">
        <is>
          <t>11 OYO ALAFIN STREET, IGANDO</t>
        </is>
      </c>
      <c r="H553" t="inlineStr">
        <is>
          <t>Existing</t>
        </is>
      </c>
      <c r="I553" t="inlineStr">
        <is>
          <t>N</t>
        </is>
      </c>
    </row>
    <row r="554">
      <c r="A554" t="inlineStr">
        <is>
          <t>LFC3711</t>
        </is>
      </c>
      <c r="B554" t="inlineStr">
        <is>
          <t>LFC3711</t>
        </is>
      </c>
      <c r="C554" t="inlineStr">
        <is>
          <t>IGANDO</t>
        </is>
      </c>
      <c r="D554" t="inlineStr">
        <is>
          <t>N</t>
        </is>
      </c>
      <c r="E554" t="inlineStr">
        <is>
          <t>Y</t>
        </is>
      </c>
      <c r="F554" t="inlineStr">
        <is>
          <t>11</t>
        </is>
      </c>
      <c r="G554" t="inlineStr">
        <is>
          <t>16 OLAIFA BAMIDELE STREET IGANDO</t>
        </is>
      </c>
      <c r="H554" t="inlineStr">
        <is>
          <t>Existing</t>
        </is>
      </c>
      <c r="I554" t="inlineStr">
        <is>
          <t>N</t>
        </is>
      </c>
    </row>
    <row r="555">
      <c r="A555" t="inlineStr">
        <is>
          <t>LFC3712</t>
        </is>
      </c>
      <c r="B555" t="inlineStr">
        <is>
          <t>LFC3712</t>
        </is>
      </c>
      <c r="C555" t="inlineStr">
        <is>
          <t>IGANDO</t>
        </is>
      </c>
      <c r="D555" t="inlineStr">
        <is>
          <t>Y</t>
        </is>
      </c>
      <c r="E555" t="inlineStr">
        <is>
          <t>Y</t>
        </is>
      </c>
      <c r="F555" t="inlineStr">
        <is>
          <t>12</t>
        </is>
      </c>
      <c r="G555" t="inlineStr">
        <is>
          <t>12 MOSHOOD DAUDA STREET EWODOGBON</t>
        </is>
      </c>
      <c r="H555" t="inlineStr">
        <is>
          <t>Existing</t>
        </is>
      </c>
      <c r="I555" t="inlineStr">
        <is>
          <t>N</t>
        </is>
      </c>
    </row>
    <row r="556">
      <c r="A556" t="inlineStr">
        <is>
          <t>LFC3713</t>
        </is>
      </c>
      <c r="B556" t="inlineStr">
        <is>
          <t>LFC3713</t>
        </is>
      </c>
      <c r="C556" t="inlineStr">
        <is>
          <t>IGANDO</t>
        </is>
      </c>
      <c r="D556" t="inlineStr">
        <is>
          <t>Y</t>
        </is>
      </c>
      <c r="E556" t="inlineStr">
        <is>
          <t>Y</t>
        </is>
      </c>
      <c r="F556" t="inlineStr">
        <is>
          <t>13</t>
        </is>
      </c>
      <c r="G556" t="inlineStr">
        <is>
          <t>1 FAITH CLOSE OBADORE</t>
        </is>
      </c>
      <c r="H556" t="inlineStr">
        <is>
          <t>Existing</t>
        </is>
      </c>
      <c r="I556" t="inlineStr">
        <is>
          <t>N</t>
        </is>
      </c>
    </row>
    <row r="557">
      <c r="A557" t="inlineStr">
        <is>
          <t>LFC3714</t>
        </is>
      </c>
      <c r="B557" t="inlineStr">
        <is>
          <t>LFC3714</t>
        </is>
      </c>
      <c r="C557" t="inlineStr">
        <is>
          <t>IGANDO</t>
        </is>
      </c>
      <c r="D557" t="inlineStr">
        <is>
          <t>N</t>
        </is>
      </c>
      <c r="E557" t="inlineStr">
        <is>
          <t>Y</t>
        </is>
      </c>
      <c r="F557" t="inlineStr">
        <is>
          <t>14</t>
        </is>
      </c>
      <c r="G557" t="inlineStr">
        <is>
          <t>4 RAINOT AKIODE STREET AKESAN</t>
        </is>
      </c>
      <c r="H557" t="inlineStr">
        <is>
          <t>Existing</t>
        </is>
      </c>
      <c r="I557" t="inlineStr">
        <is>
          <t>N</t>
        </is>
      </c>
    </row>
    <row r="558">
      <c r="A558" t="inlineStr">
        <is>
          <t>LFC3715</t>
        </is>
      </c>
      <c r="B558" t="inlineStr">
        <is>
          <t>LFC3715</t>
        </is>
      </c>
      <c r="C558" t="inlineStr">
        <is>
          <t>IGANDO</t>
        </is>
      </c>
      <c r="D558" t="inlineStr">
        <is>
          <t>N</t>
        </is>
      </c>
      <c r="E558" t="inlineStr">
        <is>
          <t>Y</t>
        </is>
      </c>
      <c r="F558" t="inlineStr">
        <is>
          <t>15</t>
        </is>
      </c>
      <c r="G558" t="inlineStr">
        <is>
          <t>4 BEN OKONKWO STREET ASSOCIATION AVENUE IGANDO</t>
        </is>
      </c>
      <c r="H558" t="inlineStr">
        <is>
          <t>Existing</t>
        </is>
      </c>
      <c r="I558" t="inlineStr">
        <is>
          <t>N</t>
        </is>
      </c>
    </row>
    <row r="559">
      <c r="A559" t="inlineStr">
        <is>
          <t>LFC3716</t>
        </is>
      </c>
      <c r="B559" t="inlineStr">
        <is>
          <t>LFC3716</t>
        </is>
      </c>
      <c r="C559" t="inlineStr">
        <is>
          <t>IGANDO</t>
        </is>
      </c>
      <c r="D559" t="inlineStr">
        <is>
          <t>N</t>
        </is>
      </c>
      <c r="E559" t="inlineStr">
        <is>
          <t>Y</t>
        </is>
      </c>
      <c r="F559" t="inlineStr">
        <is>
          <t>16</t>
        </is>
      </c>
      <c r="G559" t="inlineStr">
        <is>
          <t>AGBOOLE VILLAGE IGANDO</t>
        </is>
      </c>
      <c r="H559" t="inlineStr">
        <is>
          <t>Existing</t>
        </is>
      </c>
      <c r="I559" t="inlineStr">
        <is>
          <t>N</t>
        </is>
      </c>
    </row>
    <row r="560">
      <c r="A560" t="inlineStr">
        <is>
          <t>LFC3717</t>
        </is>
      </c>
      <c r="B560" t="inlineStr">
        <is>
          <t>LFC3717</t>
        </is>
      </c>
      <c r="C560" t="inlineStr">
        <is>
          <t>IGANDO</t>
        </is>
      </c>
      <c r="D560" t="inlineStr">
        <is>
          <t>N</t>
        </is>
      </c>
      <c r="E560" t="inlineStr">
        <is>
          <t>Y</t>
        </is>
      </c>
      <c r="F560" t="inlineStr">
        <is>
          <t>17</t>
        </is>
      </c>
      <c r="G560" t="inlineStr">
        <is>
          <t>ABBEY PLAZA IGANDO</t>
        </is>
      </c>
      <c r="H560" t="inlineStr">
        <is>
          <t>Existing</t>
        </is>
      </c>
      <c r="I560" t="inlineStr">
        <is>
          <t>N</t>
        </is>
      </c>
    </row>
    <row r="561">
      <c r="A561" t="inlineStr">
        <is>
          <t>LFC3718</t>
        </is>
      </c>
      <c r="B561" t="inlineStr">
        <is>
          <t>LFC3718</t>
        </is>
      </c>
      <c r="C561" t="inlineStr">
        <is>
          <t>IGANDO</t>
        </is>
      </c>
      <c r="D561" t="inlineStr">
        <is>
          <t>N</t>
        </is>
      </c>
      <c r="E561" t="inlineStr">
        <is>
          <t>Y</t>
        </is>
      </c>
      <c r="F561" t="inlineStr">
        <is>
          <t>18</t>
        </is>
      </c>
      <c r="G561" t="inlineStr">
        <is>
          <t>AHMINU AKINDELE STREET, BABA DADA BUSTOP IGANDO</t>
        </is>
      </c>
      <c r="H561" t="inlineStr">
        <is>
          <t>Existing</t>
        </is>
      </c>
      <c r="I561" t="inlineStr">
        <is>
          <t>N</t>
        </is>
      </c>
    </row>
    <row r="562">
      <c r="A562" t="inlineStr">
        <is>
          <t>LFC3719</t>
        </is>
      </c>
      <c r="B562" t="inlineStr">
        <is>
          <t>LFC3719</t>
        </is>
      </c>
      <c r="C562" t="inlineStr">
        <is>
          <t>IGANDO</t>
        </is>
      </c>
      <c r="D562" t="inlineStr">
        <is>
          <t>N</t>
        </is>
      </c>
      <c r="E562" t="inlineStr">
        <is>
          <t>Y</t>
        </is>
      </c>
      <c r="F562" t="inlineStr">
        <is>
          <t>19</t>
        </is>
      </c>
      <c r="G562" t="inlineStr">
        <is>
          <t>24, GBADAMOSI STREET, IGANDO</t>
        </is>
      </c>
      <c r="H562" t="inlineStr">
        <is>
          <t>New (proposed)</t>
        </is>
      </c>
      <c r="I562" t="inlineStr">
        <is>
          <t>N</t>
        </is>
      </c>
    </row>
    <row r="563">
      <c r="A563" t="inlineStr">
        <is>
          <t>LFC3720</t>
        </is>
      </c>
      <c r="B563" t="inlineStr">
        <is>
          <t>LFC3720</t>
        </is>
      </c>
      <c r="C563" t="inlineStr">
        <is>
          <t>IGANDO</t>
        </is>
      </c>
      <c r="D563" t="inlineStr">
        <is>
          <t>N</t>
        </is>
      </c>
      <c r="E563" t="inlineStr">
        <is>
          <t>Y</t>
        </is>
      </c>
      <c r="F563" t="inlineStr">
        <is>
          <t>20</t>
        </is>
      </c>
      <c r="G563" t="inlineStr">
        <is>
          <t>10, MUILI AJANI STREET, IGANDO</t>
        </is>
      </c>
      <c r="H563" t="inlineStr">
        <is>
          <t>New (proposed)</t>
        </is>
      </c>
      <c r="I563" t="inlineStr">
        <is>
          <t>N</t>
        </is>
      </c>
    </row>
    <row r="564">
      <c r="A564" t="inlineStr">
        <is>
          <t>LFC3721</t>
        </is>
      </c>
      <c r="B564" t="inlineStr">
        <is>
          <t>LFC3721</t>
        </is>
      </c>
      <c r="C564" t="inlineStr">
        <is>
          <t>IGANDO</t>
        </is>
      </c>
      <c r="D564" t="inlineStr">
        <is>
          <t>N</t>
        </is>
      </c>
      <c r="E564" t="inlineStr">
        <is>
          <t>Y</t>
        </is>
      </c>
      <c r="F564" t="inlineStr">
        <is>
          <t>21</t>
        </is>
      </c>
      <c r="G564" t="inlineStr">
        <is>
          <t>1, MARVEL FOUNDATION, IJA. IGANDO</t>
        </is>
      </c>
      <c r="H564" t="inlineStr">
        <is>
          <t>New (proposed)</t>
        </is>
      </c>
      <c r="I564" t="inlineStr">
        <is>
          <t>N</t>
        </is>
      </c>
    </row>
    <row r="565">
      <c r="A565" t="inlineStr">
        <is>
          <t>LFC3801</t>
        </is>
      </c>
      <c r="B565" t="inlineStr">
        <is>
          <t>LFC3801</t>
        </is>
      </c>
      <c r="C565" t="inlineStr">
        <is>
          <t>IYANA ODO</t>
        </is>
      </c>
      <c r="D565" t="inlineStr">
        <is>
          <t>Y</t>
        </is>
      </c>
      <c r="E565" t="inlineStr">
        <is>
          <t>Y</t>
        </is>
      </c>
      <c r="F565" t="inlineStr">
        <is>
          <t>1</t>
        </is>
      </c>
      <c r="G565" t="inlineStr">
        <is>
          <t>KM1 LASU/ ISHERI ROAD LAGOS</t>
        </is>
      </c>
      <c r="H565" t="inlineStr">
        <is>
          <t>Existing</t>
        </is>
      </c>
      <c r="I565" t="inlineStr">
        <is>
          <t>N</t>
        </is>
      </c>
    </row>
    <row r="566">
      <c r="A566" t="inlineStr">
        <is>
          <t>LFC3802</t>
        </is>
      </c>
      <c r="B566" t="inlineStr">
        <is>
          <t>LFC3802</t>
        </is>
      </c>
      <c r="C566" t="inlineStr">
        <is>
          <t>IYANA ODO</t>
        </is>
      </c>
      <c r="D566" t="inlineStr">
        <is>
          <t>Y</t>
        </is>
      </c>
      <c r="E566" t="inlineStr">
        <is>
          <t>Y</t>
        </is>
      </c>
      <c r="F566" t="inlineStr">
        <is>
          <t>2</t>
        </is>
      </c>
      <c r="G566" t="inlineStr">
        <is>
          <t>6, JEHOVAH ELOHIM ST, IDOWU EGBA</t>
        </is>
      </c>
      <c r="H566" t="inlineStr">
        <is>
          <t>Existing</t>
        </is>
      </c>
      <c r="I566" t="inlineStr">
        <is>
          <t>N</t>
        </is>
      </c>
    </row>
    <row r="567">
      <c r="A567" t="inlineStr">
        <is>
          <t>LFC3803</t>
        </is>
      </c>
      <c r="B567" t="inlineStr">
        <is>
          <t>LFC3803</t>
        </is>
      </c>
      <c r="C567" t="inlineStr">
        <is>
          <t>IYANA ODO</t>
        </is>
      </c>
      <c r="D567" t="inlineStr">
        <is>
          <t>Y</t>
        </is>
      </c>
      <c r="E567" t="inlineStr">
        <is>
          <t>Y</t>
        </is>
      </c>
      <c r="F567" t="inlineStr">
        <is>
          <t>3</t>
        </is>
      </c>
      <c r="G567" t="inlineStr">
        <is>
          <t>3, EYIBIOYA STREET ,IDIMU</t>
        </is>
      </c>
      <c r="H567" t="inlineStr">
        <is>
          <t>Existing</t>
        </is>
      </c>
      <c r="I567" t="inlineStr">
        <is>
          <t>N</t>
        </is>
      </c>
    </row>
    <row r="568">
      <c r="A568" t="inlineStr">
        <is>
          <t>LFC3804</t>
        </is>
      </c>
      <c r="B568" t="inlineStr">
        <is>
          <t>LFC3804</t>
        </is>
      </c>
      <c r="C568" t="inlineStr">
        <is>
          <t>IYANA ODO</t>
        </is>
      </c>
      <c r="D568" t="inlineStr">
        <is>
          <t>N</t>
        </is>
      </c>
      <c r="E568" t="inlineStr">
        <is>
          <t>Y</t>
        </is>
      </c>
      <c r="F568" t="inlineStr">
        <is>
          <t>4</t>
        </is>
      </c>
      <c r="G568" t="inlineStr">
        <is>
          <t>11,GAMUGAZA STR,IDIMU</t>
        </is>
      </c>
      <c r="H568" t="inlineStr">
        <is>
          <t>Existing</t>
        </is>
      </c>
      <c r="I568" t="inlineStr">
        <is>
          <t>N</t>
        </is>
      </c>
    </row>
    <row r="569">
      <c r="A569" t="inlineStr">
        <is>
          <t>LFC3805</t>
        </is>
      </c>
      <c r="B569" t="inlineStr">
        <is>
          <t>LFC3805</t>
        </is>
      </c>
      <c r="C569" t="inlineStr">
        <is>
          <t>IYANA ODO</t>
        </is>
      </c>
      <c r="D569" t="inlineStr">
        <is>
          <t>N</t>
        </is>
      </c>
      <c r="E569" t="inlineStr">
        <is>
          <t>Y</t>
        </is>
      </c>
      <c r="F569" t="inlineStr">
        <is>
          <t>5</t>
        </is>
      </c>
      <c r="G569" t="inlineStr">
        <is>
          <t>SCHOOL OF THE BLINDS ,</t>
        </is>
      </c>
      <c r="H569" t="inlineStr">
        <is>
          <t>Existing</t>
        </is>
      </c>
      <c r="I569" t="inlineStr">
        <is>
          <t>N</t>
        </is>
      </c>
    </row>
    <row r="570">
      <c r="A570" t="inlineStr">
        <is>
          <t>LFC3806</t>
        </is>
      </c>
      <c r="B570" t="inlineStr">
        <is>
          <t>LFC3806</t>
        </is>
      </c>
      <c r="C570" t="inlineStr">
        <is>
          <t>IYANA ODO</t>
        </is>
      </c>
      <c r="D570" t="inlineStr">
        <is>
          <t>N</t>
        </is>
      </c>
      <c r="E570" t="inlineStr">
        <is>
          <t>Y</t>
        </is>
      </c>
      <c r="F570" t="inlineStr">
        <is>
          <t>6</t>
        </is>
      </c>
      <c r="G570" t="inlineStr">
        <is>
          <t>3, ADEKUNLE JOHNSON STR. ABULE</t>
        </is>
      </c>
      <c r="H570" t="inlineStr">
        <is>
          <t>Existing</t>
        </is>
      </c>
      <c r="I570" t="inlineStr">
        <is>
          <t>N</t>
        </is>
      </c>
    </row>
    <row r="571">
      <c r="A571" t="inlineStr">
        <is>
          <t>LFC3807</t>
        </is>
      </c>
      <c r="B571" t="inlineStr">
        <is>
          <t>LFC3807</t>
        </is>
      </c>
      <c r="C571" t="inlineStr">
        <is>
          <t>IYANA ODO</t>
        </is>
      </c>
      <c r="D571" t="inlineStr">
        <is>
          <t>N</t>
        </is>
      </c>
      <c r="E571" t="inlineStr">
        <is>
          <t>Y</t>
        </is>
      </c>
      <c r="F571" t="inlineStr">
        <is>
          <t>7</t>
        </is>
      </c>
      <c r="G571" t="inlineStr">
        <is>
          <t>4 IBUDUNNI STREET OFF ARO BABA PIPELINE IDIMU</t>
        </is>
      </c>
      <c r="H571" t="inlineStr">
        <is>
          <t>Existing</t>
        </is>
      </c>
      <c r="I571" t="inlineStr">
        <is>
          <t>N</t>
        </is>
      </c>
    </row>
    <row r="572">
      <c r="A572" t="inlineStr">
        <is>
          <t>LFC3808</t>
        </is>
      </c>
      <c r="B572" t="inlineStr">
        <is>
          <t>LFC3808</t>
        </is>
      </c>
      <c r="C572" t="inlineStr">
        <is>
          <t>IYANA ODO</t>
        </is>
      </c>
      <c r="D572" t="inlineStr">
        <is>
          <t>N</t>
        </is>
      </c>
      <c r="E572" t="inlineStr">
        <is>
          <t>Y</t>
        </is>
      </c>
      <c r="F572" t="inlineStr">
        <is>
          <t>8</t>
        </is>
      </c>
      <c r="G572" t="inlineStr">
        <is>
          <t>30, AKINBOLADE STR PIPELINE BUSTOP</t>
        </is>
      </c>
      <c r="H572" t="inlineStr">
        <is>
          <t>Existing</t>
        </is>
      </c>
      <c r="I572" t="inlineStr">
        <is>
          <t>N</t>
        </is>
      </c>
    </row>
    <row r="573">
      <c r="A573" t="inlineStr">
        <is>
          <t>LFC3809</t>
        </is>
      </c>
      <c r="B573" t="inlineStr">
        <is>
          <t>LFC3809</t>
        </is>
      </c>
      <c r="C573" t="inlineStr">
        <is>
          <t>IYANA ODO</t>
        </is>
      </c>
      <c r="D573" t="inlineStr">
        <is>
          <t>Y</t>
        </is>
      </c>
      <c r="E573" t="inlineStr">
        <is>
          <t>Y</t>
        </is>
      </c>
      <c r="F573" t="inlineStr">
        <is>
          <t>9</t>
        </is>
      </c>
      <c r="G573" t="inlineStr">
        <is>
          <t>4/5, CHIEF OLUBODE STR., OKUNOLA EGBEDA</t>
        </is>
      </c>
      <c r="H573" t="inlineStr">
        <is>
          <t>Existing</t>
        </is>
      </c>
      <c r="I573" t="inlineStr">
        <is>
          <t>N</t>
        </is>
      </c>
    </row>
    <row r="574">
      <c r="A574" t="inlineStr">
        <is>
          <t>LFC3810</t>
        </is>
      </c>
      <c r="B574" t="inlineStr">
        <is>
          <t>LFC3810</t>
        </is>
      </c>
      <c r="C574" t="inlineStr">
        <is>
          <t>IYANA ODO</t>
        </is>
      </c>
      <c r="D574" t="inlineStr">
        <is>
          <t>Y</t>
        </is>
      </c>
      <c r="E574" t="inlineStr">
        <is>
          <t>Y</t>
        </is>
      </c>
      <c r="F574" t="inlineStr">
        <is>
          <t>10</t>
        </is>
      </c>
      <c r="G574" t="inlineStr">
        <is>
          <t>4/6, ADETUNJI ADEWUJI ST. SELIAT BUS STOP IDIMU</t>
        </is>
      </c>
      <c r="H574" t="inlineStr">
        <is>
          <t>Existing</t>
        </is>
      </c>
      <c r="I574" t="inlineStr">
        <is>
          <t>N</t>
        </is>
      </c>
    </row>
    <row r="575">
      <c r="A575" t="inlineStr">
        <is>
          <t>LFC3811</t>
        </is>
      </c>
      <c r="B575" t="inlineStr">
        <is>
          <t>LFC3811</t>
        </is>
      </c>
      <c r="C575" t="inlineStr">
        <is>
          <t>IYANA ODO</t>
        </is>
      </c>
      <c r="D575" t="inlineStr">
        <is>
          <t>Y</t>
        </is>
      </c>
      <c r="E575" t="inlineStr">
        <is>
          <t>Y</t>
        </is>
      </c>
      <c r="F575" t="inlineStr">
        <is>
          <t>11</t>
        </is>
      </c>
      <c r="G575" t="inlineStr">
        <is>
          <t>1, OLUSHILE STR, F.H.E. ABULE-ODU IDIMU</t>
        </is>
      </c>
      <c r="H575" t="inlineStr">
        <is>
          <t>Existing</t>
        </is>
      </c>
      <c r="I575" t="inlineStr">
        <is>
          <t>N</t>
        </is>
      </c>
    </row>
    <row r="576">
      <c r="A576" t="inlineStr">
        <is>
          <t>LFC3812</t>
        </is>
      </c>
      <c r="B576" t="inlineStr">
        <is>
          <t>LFC3812</t>
        </is>
      </c>
      <c r="C576" t="inlineStr">
        <is>
          <t>IYANA ODO</t>
        </is>
      </c>
      <c r="D576" t="inlineStr">
        <is>
          <t>Y</t>
        </is>
      </c>
      <c r="E576" t="inlineStr">
        <is>
          <t>Y</t>
        </is>
      </c>
      <c r="F576" t="inlineStr">
        <is>
          <t>12</t>
        </is>
      </c>
      <c r="G576" t="inlineStr">
        <is>
          <t>1/3, YEMI SHOTE STR, ORELOPE EGBEDA</t>
        </is>
      </c>
      <c r="H576" t="inlineStr">
        <is>
          <t>Existing</t>
        </is>
      </c>
      <c r="I576" t="inlineStr">
        <is>
          <t>N</t>
        </is>
      </c>
    </row>
    <row r="577">
      <c r="A577" t="inlineStr">
        <is>
          <t>LFC3813</t>
        </is>
      </c>
      <c r="B577" t="inlineStr">
        <is>
          <t>LFC3813</t>
        </is>
      </c>
      <c r="C577" t="inlineStr">
        <is>
          <t>IYANA ODO</t>
        </is>
      </c>
      <c r="D577" t="inlineStr">
        <is>
          <t>Y</t>
        </is>
      </c>
      <c r="E577" t="inlineStr">
        <is>
          <t>Y</t>
        </is>
      </c>
      <c r="F577" t="inlineStr">
        <is>
          <t>13</t>
        </is>
      </c>
      <c r="G577" t="inlineStr">
        <is>
          <t>140, IDIMU ROAD,EGBEDA</t>
        </is>
      </c>
      <c r="H577" t="inlineStr">
        <is>
          <t>Existing</t>
        </is>
      </c>
      <c r="I577" t="inlineStr">
        <is>
          <t>N</t>
        </is>
      </c>
    </row>
    <row r="578">
      <c r="A578" t="inlineStr">
        <is>
          <t>LFC3901</t>
        </is>
      </c>
      <c r="B578" t="inlineStr">
        <is>
          <t>LFC3901</t>
        </is>
      </c>
      <c r="C578" t="inlineStr">
        <is>
          <t>ARIDA</t>
        </is>
      </c>
      <c r="D578" t="inlineStr">
        <is>
          <t>Y</t>
        </is>
      </c>
      <c r="E578" t="inlineStr">
        <is>
          <t>Y</t>
        </is>
      </c>
      <c r="F578" t="inlineStr">
        <is>
          <t>1</t>
        </is>
      </c>
      <c r="G578" t="inlineStr">
        <is>
          <t>13 MUSBAU ADEGBOLA STREET, ARIDA</t>
        </is>
      </c>
      <c r="H578" t="inlineStr">
        <is>
          <t>Existing</t>
        </is>
      </c>
      <c r="I578" t="inlineStr">
        <is>
          <t>N</t>
        </is>
      </c>
    </row>
    <row r="579">
      <c r="A579" t="inlineStr">
        <is>
          <t>LFC3902</t>
        </is>
      </c>
      <c r="B579" t="inlineStr">
        <is>
          <t>LFC3902</t>
        </is>
      </c>
      <c r="C579" t="inlineStr">
        <is>
          <t>ARIDA</t>
        </is>
      </c>
      <c r="D579" t="inlineStr">
        <is>
          <t>Y</t>
        </is>
      </c>
      <c r="E579" t="inlineStr">
        <is>
          <t>Y</t>
        </is>
      </c>
      <c r="F579" t="inlineStr">
        <is>
          <t>2</t>
        </is>
      </c>
      <c r="G579" t="inlineStr">
        <is>
          <t>7 Nojimu Rufai street</t>
        </is>
      </c>
      <c r="H579" t="inlineStr">
        <is>
          <t>Existing</t>
        </is>
      </c>
      <c r="I579" t="inlineStr">
        <is>
          <t>N</t>
        </is>
      </c>
    </row>
    <row r="580">
      <c r="A580" t="inlineStr">
        <is>
          <t>LFC3903</t>
        </is>
      </c>
      <c r="B580" t="inlineStr">
        <is>
          <t>LFC3903</t>
        </is>
      </c>
      <c r="C580" t="inlineStr">
        <is>
          <t>ARIDA</t>
        </is>
      </c>
      <c r="D580" t="inlineStr">
        <is>
          <t>Y</t>
        </is>
      </c>
      <c r="E580" t="inlineStr">
        <is>
          <t>Y</t>
        </is>
      </c>
      <c r="F580" t="inlineStr">
        <is>
          <t>3</t>
        </is>
      </c>
      <c r="G580" t="inlineStr">
        <is>
          <t>27 COUNCIL STREET</t>
        </is>
      </c>
      <c r="H580" t="inlineStr">
        <is>
          <t>Existing</t>
        </is>
      </c>
      <c r="I580" t="inlineStr">
        <is>
          <t>N</t>
        </is>
      </c>
    </row>
    <row r="581">
      <c r="A581" t="inlineStr">
        <is>
          <t>LFC3904</t>
        </is>
      </c>
      <c r="B581" t="inlineStr">
        <is>
          <t>LFC3904</t>
        </is>
      </c>
      <c r="C581" t="inlineStr">
        <is>
          <t>ARIDA</t>
        </is>
      </c>
      <c r="D581" t="inlineStr">
        <is>
          <t>N</t>
        </is>
      </c>
      <c r="E581" t="inlineStr">
        <is>
          <t>Y</t>
        </is>
      </c>
      <c r="F581" t="inlineStr">
        <is>
          <t>4</t>
        </is>
      </c>
      <c r="G581" t="inlineStr">
        <is>
          <t>101, Liasu road.</t>
        </is>
      </c>
      <c r="H581" t="inlineStr">
        <is>
          <t>Existing</t>
        </is>
      </c>
      <c r="I581" t="inlineStr">
        <is>
          <t>N</t>
        </is>
      </c>
    </row>
    <row r="582">
      <c r="A582" t="inlineStr">
        <is>
          <t>LFC3905</t>
        </is>
      </c>
      <c r="B582" t="inlineStr">
        <is>
          <t>LFC3905</t>
        </is>
      </c>
      <c r="C582" t="inlineStr">
        <is>
          <t>ARIDA</t>
        </is>
      </c>
      <c r="D582" t="inlineStr">
        <is>
          <t>Y</t>
        </is>
      </c>
      <c r="E582" t="inlineStr">
        <is>
          <t>Y</t>
        </is>
      </c>
      <c r="F582" t="inlineStr">
        <is>
          <t>5</t>
        </is>
      </c>
      <c r="G582" t="inlineStr">
        <is>
          <t>13, Abio Frank Crescent, Idimu Titun</t>
        </is>
      </c>
      <c r="H582" t="inlineStr">
        <is>
          <t>Existing</t>
        </is>
      </c>
      <c r="I582" t="inlineStr">
        <is>
          <t>N</t>
        </is>
      </c>
    </row>
    <row r="583">
      <c r="A583" t="inlineStr">
        <is>
          <t>LFC3906</t>
        </is>
      </c>
      <c r="B583" t="inlineStr">
        <is>
          <t>LFC3906</t>
        </is>
      </c>
      <c r="C583" t="inlineStr">
        <is>
          <t>ARIDA</t>
        </is>
      </c>
      <c r="D583" t="inlineStr">
        <is>
          <t>Y</t>
        </is>
      </c>
      <c r="E583" t="inlineStr">
        <is>
          <t>Y</t>
        </is>
      </c>
      <c r="F583" t="inlineStr">
        <is>
          <t>6</t>
        </is>
      </c>
      <c r="G583" t="inlineStr">
        <is>
          <t>17. Philip Taiwo Str, Coker Estate</t>
        </is>
      </c>
      <c r="H583" t="inlineStr">
        <is>
          <t>Existing</t>
        </is>
      </c>
      <c r="I583" t="inlineStr">
        <is>
          <t>N</t>
        </is>
      </c>
    </row>
    <row r="584">
      <c r="A584" t="inlineStr">
        <is>
          <t>LFC3907</t>
        </is>
      </c>
      <c r="B584" t="inlineStr">
        <is>
          <t>LFC3907</t>
        </is>
      </c>
      <c r="C584" t="inlineStr">
        <is>
          <t>ARIDA</t>
        </is>
      </c>
      <c r="D584" t="inlineStr">
        <is>
          <t>Y</t>
        </is>
      </c>
      <c r="E584" t="inlineStr">
        <is>
          <t>Y</t>
        </is>
      </c>
      <c r="F584" t="inlineStr">
        <is>
          <t>7</t>
        </is>
      </c>
      <c r="G584" t="inlineStr">
        <is>
          <t>80 EJIGBO ROAD IDIMU</t>
        </is>
      </c>
      <c r="H584" t="inlineStr">
        <is>
          <t>Existing</t>
        </is>
      </c>
      <c r="I584" t="inlineStr">
        <is>
          <t>N</t>
        </is>
      </c>
    </row>
    <row r="585">
      <c r="A585" t="inlineStr">
        <is>
          <t>LFC3908</t>
        </is>
      </c>
      <c r="B585" t="inlineStr">
        <is>
          <t>LFC3908</t>
        </is>
      </c>
      <c r="C585" t="inlineStr">
        <is>
          <t>ARIDA</t>
        </is>
      </c>
      <c r="D585" t="inlineStr">
        <is>
          <t>Y</t>
        </is>
      </c>
      <c r="E585" t="inlineStr">
        <is>
          <t>Y</t>
        </is>
      </c>
      <c r="F585" t="inlineStr">
        <is>
          <t>8</t>
        </is>
      </c>
      <c r="G585" t="inlineStr">
        <is>
          <t>No-3 Leona Ajayi Close.</t>
        </is>
      </c>
      <c r="H585" t="inlineStr">
        <is>
          <t>Existing</t>
        </is>
      </c>
      <c r="I585" t="inlineStr">
        <is>
          <t>N</t>
        </is>
      </c>
    </row>
    <row r="586">
      <c r="A586" t="inlineStr">
        <is>
          <t>LFC3909</t>
        </is>
      </c>
      <c r="B586" t="inlineStr">
        <is>
          <t>LFC3909</t>
        </is>
      </c>
      <c r="C586" t="inlineStr">
        <is>
          <t>ARIDA</t>
        </is>
      </c>
      <c r="D586" t="inlineStr">
        <is>
          <t>Y</t>
        </is>
      </c>
      <c r="E586" t="inlineStr">
        <is>
          <t>Y</t>
        </is>
      </c>
      <c r="F586" t="inlineStr">
        <is>
          <t>9</t>
        </is>
      </c>
      <c r="G586" t="inlineStr">
        <is>
          <t>3, Oba Amusa STR, SUBOL B/STOP</t>
        </is>
      </c>
      <c r="H586" t="inlineStr">
        <is>
          <t>Existing</t>
        </is>
      </c>
      <c r="I586" t="inlineStr">
        <is>
          <t>N</t>
        </is>
      </c>
    </row>
    <row r="587">
      <c r="A587" t="inlineStr">
        <is>
          <t>LFC3910</t>
        </is>
      </c>
      <c r="B587" t="inlineStr">
        <is>
          <t>LFC3910</t>
        </is>
      </c>
      <c r="C587" t="inlineStr">
        <is>
          <t>ARIDA</t>
        </is>
      </c>
      <c r="D587" t="inlineStr">
        <is>
          <t>N</t>
        </is>
      </c>
      <c r="E587" t="inlineStr">
        <is>
          <t>Y</t>
        </is>
      </c>
      <c r="F587" t="inlineStr">
        <is>
          <t>10</t>
        </is>
      </c>
      <c r="G587" t="inlineStr">
        <is>
          <t>13, ADEDOKUN ADEKOLA STREET, IKOTUN</t>
        </is>
      </c>
      <c r="H587" t="inlineStr">
        <is>
          <t>Existing</t>
        </is>
      </c>
      <c r="I587" t="inlineStr">
        <is>
          <t>N</t>
        </is>
      </c>
    </row>
    <row r="588">
      <c r="A588" t="inlineStr">
        <is>
          <t>LFC4001</t>
        </is>
      </c>
      <c r="B588" t="inlineStr">
        <is>
          <t>LFC4001</t>
        </is>
      </c>
      <c r="C588" t="inlineStr">
        <is>
          <t>SHASHA</t>
        </is>
      </c>
      <c r="D588" t="inlineStr">
        <is>
          <t>Y</t>
        </is>
      </c>
      <c r="E588" t="inlineStr">
        <is>
          <t>Y</t>
        </is>
      </c>
      <c r="F588" t="inlineStr">
        <is>
          <t>1</t>
        </is>
      </c>
      <c r="G588" t="inlineStr">
        <is>
          <t>9, RASAK AJAKO AVENUE, BAMMEKE, SHASHA</t>
        </is>
      </c>
      <c r="H588" t="inlineStr">
        <is>
          <t>Existing</t>
        </is>
      </c>
      <c r="I588" t="inlineStr">
        <is>
          <t>N</t>
        </is>
      </c>
    </row>
    <row r="589">
      <c r="A589" t="inlineStr">
        <is>
          <t>LFC4002</t>
        </is>
      </c>
      <c r="B589" t="inlineStr">
        <is>
          <t>LFC4002</t>
        </is>
      </c>
      <c r="C589" t="inlineStr">
        <is>
          <t>SHASHA</t>
        </is>
      </c>
      <c r="D589" t="inlineStr">
        <is>
          <t>N</t>
        </is>
      </c>
      <c r="E589" t="inlineStr">
        <is>
          <t>Y</t>
        </is>
      </c>
      <c r="F589" t="inlineStr">
        <is>
          <t>2</t>
        </is>
      </c>
      <c r="G589" t="inlineStr">
        <is>
          <t>1, RAZAK TIJANI CLOSE, SHASHA.</t>
        </is>
      </c>
      <c r="H589" t="inlineStr">
        <is>
          <t>Existing</t>
        </is>
      </c>
      <c r="I589" t="inlineStr">
        <is>
          <t>N</t>
        </is>
      </c>
    </row>
    <row r="590">
      <c r="A590" t="inlineStr">
        <is>
          <t>LFC4003</t>
        </is>
      </c>
      <c r="B590" t="inlineStr">
        <is>
          <t>LFC4003</t>
        </is>
      </c>
      <c r="C590" t="inlineStr">
        <is>
          <t>SHASHA</t>
        </is>
      </c>
      <c r="D590" t="inlineStr">
        <is>
          <t>N</t>
        </is>
      </c>
      <c r="E590" t="inlineStr">
        <is>
          <t>Y</t>
        </is>
      </c>
      <c r="F590" t="inlineStr">
        <is>
          <t>3</t>
        </is>
      </c>
      <c r="G590" t="inlineStr">
        <is>
          <t>1B, AJIBODU CLOSE, BAMEKE, SHASHA</t>
        </is>
      </c>
      <c r="H590" t="inlineStr">
        <is>
          <t>Existing</t>
        </is>
      </c>
      <c r="I590" t="inlineStr">
        <is>
          <t>N</t>
        </is>
      </c>
    </row>
    <row r="591">
      <c r="A591" t="inlineStr">
        <is>
          <t>LFC4004</t>
        </is>
      </c>
      <c r="B591" t="inlineStr">
        <is>
          <t>LFC4004</t>
        </is>
      </c>
      <c r="C591" t="inlineStr">
        <is>
          <t>SHASHA</t>
        </is>
      </c>
      <c r="D591" t="inlineStr">
        <is>
          <t>N</t>
        </is>
      </c>
      <c r="E591" t="inlineStr">
        <is>
          <t>Y</t>
        </is>
      </c>
      <c r="F591" t="inlineStr">
        <is>
          <t>4</t>
        </is>
      </c>
      <c r="G591" t="inlineStr">
        <is>
          <t>25, COKER ROAD, SHASHA</t>
        </is>
      </c>
      <c r="H591" t="inlineStr">
        <is>
          <t>Existing</t>
        </is>
      </c>
      <c r="I591" t="inlineStr">
        <is>
          <t>N</t>
        </is>
      </c>
    </row>
    <row r="592">
      <c r="A592" t="inlineStr">
        <is>
          <t>LFC4005</t>
        </is>
      </c>
      <c r="B592" t="inlineStr">
        <is>
          <t>LFC4005</t>
        </is>
      </c>
      <c r="C592" t="inlineStr">
        <is>
          <t>SHASHA</t>
        </is>
      </c>
      <c r="D592" t="inlineStr">
        <is>
          <t>N</t>
        </is>
      </c>
      <c r="E592" t="inlineStr">
        <is>
          <t>Y</t>
        </is>
      </c>
      <c r="F592" t="inlineStr">
        <is>
          <t>5</t>
        </is>
      </c>
      <c r="G592" t="inlineStr">
        <is>
          <t>5, OLU-ADEOGUN STREET, SALAMI OGUNTADE, SHASHA</t>
        </is>
      </c>
      <c r="H592" t="inlineStr">
        <is>
          <t>Existing</t>
        </is>
      </c>
      <c r="I592" t="inlineStr">
        <is>
          <t>N</t>
        </is>
      </c>
    </row>
    <row r="593">
      <c r="A593" t="inlineStr">
        <is>
          <t>LFC4006</t>
        </is>
      </c>
      <c r="B593" t="inlineStr">
        <is>
          <t>LFC4006</t>
        </is>
      </c>
      <c r="C593" t="inlineStr">
        <is>
          <t>SHASHA</t>
        </is>
      </c>
      <c r="D593" t="inlineStr">
        <is>
          <t>N</t>
        </is>
      </c>
      <c r="E593" t="inlineStr">
        <is>
          <t>Y</t>
        </is>
      </c>
      <c r="F593" t="inlineStr">
        <is>
          <t>6</t>
        </is>
      </c>
      <c r="G593" t="inlineStr">
        <is>
          <t>5, THOMPSON ADEDOJA STREET</t>
        </is>
      </c>
      <c r="H593" t="inlineStr">
        <is>
          <t>Existing</t>
        </is>
      </c>
      <c r="I593" t="inlineStr">
        <is>
          <t>N</t>
        </is>
      </c>
    </row>
    <row r="594">
      <c r="A594" t="inlineStr">
        <is>
          <t>LFC4007</t>
        </is>
      </c>
      <c r="B594" t="inlineStr">
        <is>
          <t>LFC4007</t>
        </is>
      </c>
      <c r="C594" t="inlineStr">
        <is>
          <t>SHASHA</t>
        </is>
      </c>
      <c r="D594" t="inlineStr">
        <is>
          <t>N</t>
        </is>
      </c>
      <c r="E594" t="inlineStr">
        <is>
          <t>Y</t>
        </is>
      </c>
      <c r="F594" t="inlineStr">
        <is>
          <t>7</t>
        </is>
      </c>
      <c r="G594" t="inlineStr">
        <is>
          <t>14, ADEYEMI STREET, HAJJI CAMP</t>
        </is>
      </c>
      <c r="H594" t="inlineStr">
        <is>
          <t>Existing</t>
        </is>
      </c>
      <c r="I594" t="inlineStr">
        <is>
          <t>N</t>
        </is>
      </c>
    </row>
    <row r="595">
      <c r="A595" t="inlineStr">
        <is>
          <t>LFC4008</t>
        </is>
      </c>
      <c r="B595" t="inlineStr">
        <is>
          <t>LFC4008</t>
        </is>
      </c>
      <c r="C595" t="inlineStr">
        <is>
          <t>SHASHA</t>
        </is>
      </c>
      <c r="D595" t="inlineStr">
        <is>
          <t>N</t>
        </is>
      </c>
      <c r="E595" t="inlineStr">
        <is>
          <t>Y</t>
        </is>
      </c>
      <c r="F595" t="inlineStr">
        <is>
          <t>8</t>
        </is>
      </c>
      <c r="G595" t="inlineStr">
        <is>
          <t>8, BOUNDARY ROAD, SHASHA</t>
        </is>
      </c>
      <c r="H595" t="inlineStr">
        <is>
          <t>Existing</t>
        </is>
      </c>
      <c r="I595" t="inlineStr">
        <is>
          <t>N</t>
        </is>
      </c>
    </row>
    <row r="596">
      <c r="A596" t="inlineStr">
        <is>
          <t>LFC4009</t>
        </is>
      </c>
      <c r="B596" t="inlineStr">
        <is>
          <t>LFC4009</t>
        </is>
      </c>
      <c r="C596" t="inlineStr">
        <is>
          <t>SHASHA</t>
        </is>
      </c>
      <c r="D596" t="inlineStr">
        <is>
          <t>N</t>
        </is>
      </c>
      <c r="E596" t="inlineStr">
        <is>
          <t>Y</t>
        </is>
      </c>
      <c r="F596" t="inlineStr">
        <is>
          <t>9</t>
        </is>
      </c>
      <c r="G596" t="inlineStr">
        <is>
          <t>NO2, CHURCH CLOSE, SHASHA</t>
        </is>
      </c>
      <c r="H596" t="inlineStr">
        <is>
          <t>Existing</t>
        </is>
      </c>
      <c r="I596" t="inlineStr">
        <is>
          <t>N</t>
        </is>
      </c>
    </row>
    <row r="597">
      <c r="A597" t="inlineStr">
        <is>
          <t>LFC4010</t>
        </is>
      </c>
      <c r="B597" t="inlineStr">
        <is>
          <t>LFC4010</t>
        </is>
      </c>
      <c r="C597" t="inlineStr">
        <is>
          <t>SHASHA</t>
        </is>
      </c>
      <c r="D597" t="inlineStr">
        <is>
          <t>N</t>
        </is>
      </c>
      <c r="E597" t="inlineStr">
        <is>
          <t>Y</t>
        </is>
      </c>
      <c r="F597" t="inlineStr">
        <is>
          <t>10</t>
        </is>
      </c>
      <c r="G597" t="inlineStr">
        <is>
          <t>22, OREMEJI STREET, BAMMEKE SHASHA.</t>
        </is>
      </c>
      <c r="H597" t="inlineStr">
        <is>
          <t>Existing</t>
        </is>
      </c>
      <c r="I597" t="inlineStr">
        <is>
          <t>N</t>
        </is>
      </c>
    </row>
    <row r="598">
      <c r="A598" t="inlineStr">
        <is>
          <t>LFC4011</t>
        </is>
      </c>
      <c r="B598" t="inlineStr">
        <is>
          <t>LFC4011</t>
        </is>
      </c>
      <c r="C598" t="inlineStr">
        <is>
          <t>SHASHA</t>
        </is>
      </c>
      <c r="D598" t="inlineStr">
        <is>
          <t>N</t>
        </is>
      </c>
      <c r="E598" t="inlineStr">
        <is>
          <t>Y</t>
        </is>
      </c>
      <c r="F598" t="inlineStr">
        <is>
          <t>11</t>
        </is>
      </c>
      <c r="G598" t="inlineStr"/>
      <c r="H598" t="inlineStr">
        <is>
          <t>Existing</t>
        </is>
      </c>
      <c r="I598" t="inlineStr">
        <is>
          <t>N</t>
        </is>
      </c>
    </row>
    <row r="599">
      <c r="A599" t="inlineStr">
        <is>
          <t>LFC4101</t>
        </is>
      </c>
      <c r="B599" t="inlineStr">
        <is>
          <t>LFC4101</t>
        </is>
      </c>
      <c r="C599" t="inlineStr">
        <is>
          <t>EGBEDA</t>
        </is>
      </c>
      <c r="D599" t="inlineStr">
        <is>
          <t>Y</t>
        </is>
      </c>
      <c r="E599" t="inlineStr">
        <is>
          <t>Y</t>
        </is>
      </c>
      <c r="F599" t="inlineStr">
        <is>
          <t>1</t>
        </is>
      </c>
      <c r="G599" t="inlineStr">
        <is>
          <t>68/70 OLUGBEDE STREET, UNITY ESTATE - EGBEDA</t>
        </is>
      </c>
      <c r="H599" t="inlineStr">
        <is>
          <t>Existing</t>
        </is>
      </c>
      <c r="I599" t="inlineStr">
        <is>
          <t>N</t>
        </is>
      </c>
    </row>
    <row r="600">
      <c r="A600" t="inlineStr">
        <is>
          <t>LFC4102</t>
        </is>
      </c>
      <c r="B600" t="inlineStr">
        <is>
          <t>LFC4102</t>
        </is>
      </c>
      <c r="C600" t="inlineStr">
        <is>
          <t>EGBEDA</t>
        </is>
      </c>
      <c r="D600" t="inlineStr">
        <is>
          <t>N</t>
        </is>
      </c>
      <c r="E600" t="inlineStr">
        <is>
          <t>Y</t>
        </is>
      </c>
      <c r="F600" t="inlineStr">
        <is>
          <t>2</t>
        </is>
      </c>
      <c r="G600" t="inlineStr">
        <is>
          <t>13, EMMANUEL OSAKWE STREET</t>
        </is>
      </c>
      <c r="H600" t="inlineStr">
        <is>
          <t>Existing</t>
        </is>
      </c>
      <c r="I600" t="inlineStr">
        <is>
          <t>N</t>
        </is>
      </c>
    </row>
    <row r="601">
      <c r="A601" t="inlineStr">
        <is>
          <t>LFC4103</t>
        </is>
      </c>
      <c r="B601" t="inlineStr">
        <is>
          <t>LFC4103</t>
        </is>
      </c>
      <c r="C601" t="inlineStr">
        <is>
          <t>EGBEDA</t>
        </is>
      </c>
      <c r="D601" t="inlineStr">
        <is>
          <t>Y</t>
        </is>
      </c>
      <c r="E601" t="inlineStr">
        <is>
          <t>Y</t>
        </is>
      </c>
      <c r="F601" t="inlineStr">
        <is>
          <t>3</t>
        </is>
      </c>
      <c r="G601" t="inlineStr">
        <is>
          <t>29/31 PRINCE ABIODUN ADEBAMBO STREET</t>
        </is>
      </c>
      <c r="H601" t="inlineStr">
        <is>
          <t>Existing</t>
        </is>
      </c>
      <c r="I601" t="inlineStr">
        <is>
          <t>N</t>
        </is>
      </c>
    </row>
    <row r="602">
      <c r="A602" t="inlineStr">
        <is>
          <t>LFC4104</t>
        </is>
      </c>
      <c r="B602" t="inlineStr">
        <is>
          <t>LFC4104</t>
        </is>
      </c>
      <c r="C602" t="inlineStr">
        <is>
          <t>EGBEDA</t>
        </is>
      </c>
      <c r="D602" t="inlineStr">
        <is>
          <t>N</t>
        </is>
      </c>
      <c r="E602" t="inlineStr">
        <is>
          <t>Y</t>
        </is>
      </c>
      <c r="F602" t="inlineStr">
        <is>
          <t>4</t>
        </is>
      </c>
      <c r="G602" t="inlineStr">
        <is>
          <t>TIEMO CRESCENT, OFF AWORI ROAD, ABULE ODU</t>
        </is>
      </c>
      <c r="H602" t="inlineStr">
        <is>
          <t>Existing</t>
        </is>
      </c>
      <c r="I602" t="inlineStr">
        <is>
          <t>N</t>
        </is>
      </c>
    </row>
    <row r="603">
      <c r="A603" t="inlineStr">
        <is>
          <t>LFC4105</t>
        </is>
      </c>
      <c r="B603" t="inlineStr">
        <is>
          <t>LFC4105</t>
        </is>
      </c>
      <c r="C603" t="inlineStr">
        <is>
          <t>EGBEDA</t>
        </is>
      </c>
      <c r="D603" t="inlineStr">
        <is>
          <t>N</t>
        </is>
      </c>
      <c r="E603" t="inlineStr">
        <is>
          <t>Y</t>
        </is>
      </c>
      <c r="F603" t="inlineStr">
        <is>
          <t>5</t>
        </is>
      </c>
      <c r="G603" t="inlineStr">
        <is>
          <t>105 ISIBA OLUWO STREET, EGBEDA</t>
        </is>
      </c>
      <c r="H603" t="inlineStr">
        <is>
          <t>Existing</t>
        </is>
      </c>
      <c r="I603" t="inlineStr">
        <is>
          <t>N</t>
        </is>
      </c>
    </row>
    <row r="604">
      <c r="A604" t="inlineStr">
        <is>
          <t>LFC4106</t>
        </is>
      </c>
      <c r="B604" t="inlineStr">
        <is>
          <t>LFC4106</t>
        </is>
      </c>
      <c r="C604" t="inlineStr">
        <is>
          <t>EGBEDA</t>
        </is>
      </c>
      <c r="D604" t="inlineStr">
        <is>
          <t>N</t>
        </is>
      </c>
      <c r="E604" t="inlineStr">
        <is>
          <t>Y</t>
        </is>
      </c>
      <c r="F604" t="inlineStr">
        <is>
          <t>6</t>
        </is>
      </c>
      <c r="G604" t="inlineStr">
        <is>
          <t>14, MUFUTAU RAJI CRESCENT, EGBEDA</t>
        </is>
      </c>
      <c r="H604" t="inlineStr">
        <is>
          <t>Existing</t>
        </is>
      </c>
      <c r="I604" t="inlineStr">
        <is>
          <t>N</t>
        </is>
      </c>
    </row>
    <row r="605">
      <c r="A605" t="inlineStr">
        <is>
          <t>LFC4107</t>
        </is>
      </c>
      <c r="B605" t="inlineStr">
        <is>
          <t>LFC4107</t>
        </is>
      </c>
      <c r="C605" t="inlineStr">
        <is>
          <t>EGBEDA</t>
        </is>
      </c>
      <c r="D605" t="inlineStr">
        <is>
          <t>Y</t>
        </is>
      </c>
      <c r="E605" t="inlineStr">
        <is>
          <t>Y</t>
        </is>
      </c>
      <c r="F605" t="inlineStr">
        <is>
          <t>7</t>
        </is>
      </c>
      <c r="G605" t="inlineStr">
        <is>
          <t>30 ADERENLE STREET, EGBEDA</t>
        </is>
      </c>
      <c r="H605" t="inlineStr">
        <is>
          <t>Existing</t>
        </is>
      </c>
      <c r="I605" t="inlineStr">
        <is>
          <t>N</t>
        </is>
      </c>
    </row>
    <row r="606">
      <c r="A606" t="inlineStr">
        <is>
          <t>LFC4108</t>
        </is>
      </c>
      <c r="B606" t="inlineStr">
        <is>
          <t>LFC4108</t>
        </is>
      </c>
      <c r="C606" t="inlineStr">
        <is>
          <t>EGBEDA</t>
        </is>
      </c>
      <c r="D606" t="inlineStr"/>
      <c r="E606" t="inlineStr">
        <is>
          <t>Y</t>
        </is>
      </c>
      <c r="F606" t="inlineStr">
        <is>
          <t>8</t>
        </is>
      </c>
      <c r="G606" t="inlineStr">
        <is>
          <t>27, BABS SARUMI STREET, EGBEDA</t>
        </is>
      </c>
      <c r="H606" t="inlineStr">
        <is>
          <t>Existing</t>
        </is>
      </c>
      <c r="I606" t="inlineStr"/>
    </row>
    <row r="607">
      <c r="A607" t="inlineStr">
        <is>
          <t>LFC4109</t>
        </is>
      </c>
      <c r="B607" t="inlineStr">
        <is>
          <t>LFC4109</t>
        </is>
      </c>
      <c r="C607" t="inlineStr">
        <is>
          <t>EGBEDA</t>
        </is>
      </c>
      <c r="D607" t="inlineStr">
        <is>
          <t>N</t>
        </is>
      </c>
      <c r="E607" t="inlineStr">
        <is>
          <t>Y</t>
        </is>
      </c>
      <c r="F607" t="inlineStr">
        <is>
          <t>9</t>
        </is>
      </c>
      <c r="G607" t="inlineStr">
        <is>
          <t>26, GODDILOV STREET, EGBEDA</t>
        </is>
      </c>
      <c r="H607" t="inlineStr">
        <is>
          <t>Existing</t>
        </is>
      </c>
      <c r="I607" t="inlineStr">
        <is>
          <t>N</t>
        </is>
      </c>
    </row>
    <row r="608">
      <c r="A608" t="inlineStr">
        <is>
          <t>LFC4110</t>
        </is>
      </c>
      <c r="B608" t="inlineStr">
        <is>
          <t>LFC4110</t>
        </is>
      </c>
      <c r="C608" t="inlineStr">
        <is>
          <t>EGBEDA</t>
        </is>
      </c>
      <c r="D608" t="inlineStr">
        <is>
          <t>N</t>
        </is>
      </c>
      <c r="E608" t="inlineStr">
        <is>
          <t>Y</t>
        </is>
      </c>
      <c r="F608" t="inlineStr">
        <is>
          <t>10</t>
        </is>
      </c>
      <c r="G608" t="inlineStr">
        <is>
          <t>14, KOTO IRABOR STREET, EGBEDA</t>
        </is>
      </c>
      <c r="H608" t="inlineStr">
        <is>
          <t>Existing</t>
        </is>
      </c>
      <c r="I608" t="inlineStr">
        <is>
          <t>N</t>
        </is>
      </c>
    </row>
    <row r="609">
      <c r="A609" t="inlineStr">
        <is>
          <t>LFC4111</t>
        </is>
      </c>
      <c r="B609" t="inlineStr">
        <is>
          <t>LFC4111</t>
        </is>
      </c>
      <c r="C609" t="inlineStr">
        <is>
          <t>EGBEDA</t>
        </is>
      </c>
      <c r="D609" t="inlineStr">
        <is>
          <t>Y</t>
        </is>
      </c>
      <c r="E609" t="inlineStr">
        <is>
          <t>Y</t>
        </is>
      </c>
      <c r="F609" t="inlineStr">
        <is>
          <t>11</t>
        </is>
      </c>
      <c r="G609" t="inlineStr">
        <is>
          <t>2, OLANIYI STREET, EGBEDA</t>
        </is>
      </c>
      <c r="H609" t="inlineStr">
        <is>
          <t>Existing</t>
        </is>
      </c>
      <c r="I609" t="inlineStr">
        <is>
          <t>N</t>
        </is>
      </c>
    </row>
    <row r="610">
      <c r="A610" t="inlineStr">
        <is>
          <t>LFC4112</t>
        </is>
      </c>
      <c r="B610" t="inlineStr">
        <is>
          <t>LFC4112</t>
        </is>
      </c>
      <c r="C610" t="inlineStr">
        <is>
          <t>EGBEDA</t>
        </is>
      </c>
      <c r="D610" t="inlineStr">
        <is>
          <t>N</t>
        </is>
      </c>
      <c r="E610" t="inlineStr">
        <is>
          <t>Y</t>
        </is>
      </c>
      <c r="F610" t="inlineStr">
        <is>
          <t>12</t>
        </is>
      </c>
      <c r="G610" t="inlineStr">
        <is>
          <t>13, DUDUYEMI STREET, EGBEDA</t>
        </is>
      </c>
      <c r="H610" t="inlineStr">
        <is>
          <t>Existing</t>
        </is>
      </c>
      <c r="I610" t="inlineStr">
        <is>
          <t>N</t>
        </is>
      </c>
    </row>
    <row r="611">
      <c r="A611" t="inlineStr">
        <is>
          <t>LFC4113</t>
        </is>
      </c>
      <c r="B611" t="inlineStr">
        <is>
          <t>LFC4113</t>
        </is>
      </c>
      <c r="C611" t="inlineStr">
        <is>
          <t>EGBEDA</t>
        </is>
      </c>
      <c r="D611" t="inlineStr">
        <is>
          <t>N</t>
        </is>
      </c>
      <c r="E611" t="inlineStr">
        <is>
          <t>Y</t>
        </is>
      </c>
      <c r="F611" t="inlineStr">
        <is>
          <t>13</t>
        </is>
      </c>
      <c r="G611" t="inlineStr">
        <is>
          <t>87, KARIMU LAKA STREET, EGBEDA</t>
        </is>
      </c>
      <c r="H611" t="inlineStr">
        <is>
          <t>Existing</t>
        </is>
      </c>
      <c r="I611" t="inlineStr">
        <is>
          <t>N</t>
        </is>
      </c>
    </row>
    <row r="612">
      <c r="A612" t="inlineStr">
        <is>
          <t>LFC4201</t>
        </is>
      </c>
      <c r="B612" t="inlineStr">
        <is>
          <t>LFC4201</t>
        </is>
      </c>
      <c r="C612" t="inlineStr">
        <is>
          <t>OREGUN IKEJA</t>
        </is>
      </c>
      <c r="D612" t="inlineStr">
        <is>
          <t>Y</t>
        </is>
      </c>
      <c r="E612" t="inlineStr">
        <is>
          <t>Y</t>
        </is>
      </c>
      <c r="F612" t="inlineStr">
        <is>
          <t>1</t>
        </is>
      </c>
      <c r="G612" t="inlineStr">
        <is>
          <t>MORRISON CRESCENT</t>
        </is>
      </c>
      <c r="H612" t="inlineStr">
        <is>
          <t>Existing</t>
        </is>
      </c>
      <c r="I612" t="inlineStr">
        <is>
          <t>N</t>
        </is>
      </c>
    </row>
    <row r="613">
      <c r="A613" t="inlineStr">
        <is>
          <t>LFC4202</t>
        </is>
      </c>
      <c r="B613" t="inlineStr">
        <is>
          <t>LFC4202</t>
        </is>
      </c>
      <c r="C613" t="inlineStr">
        <is>
          <t>OREGUN IKEJA</t>
        </is>
      </c>
      <c r="D613" t="inlineStr">
        <is>
          <t>N</t>
        </is>
      </c>
      <c r="E613" t="inlineStr">
        <is>
          <t>Y</t>
        </is>
      </c>
      <c r="F613" t="inlineStr">
        <is>
          <t>2</t>
        </is>
      </c>
      <c r="G613" t="inlineStr">
        <is>
          <t>13, ORIMOLADE CRESCENT, ADENIYI JONES, IKEJA</t>
        </is>
      </c>
      <c r="H613" t="inlineStr">
        <is>
          <t>Existing</t>
        </is>
      </c>
      <c r="I613" t="inlineStr">
        <is>
          <t>N</t>
        </is>
      </c>
    </row>
    <row r="614">
      <c r="A614" t="inlineStr">
        <is>
          <t>LFC4203</t>
        </is>
      </c>
      <c r="B614" t="inlineStr">
        <is>
          <t>LFC4203</t>
        </is>
      </c>
      <c r="C614" t="inlineStr">
        <is>
          <t>OREGUN IKEJA</t>
        </is>
      </c>
      <c r="D614" t="inlineStr">
        <is>
          <t>Y</t>
        </is>
      </c>
      <c r="E614" t="inlineStr">
        <is>
          <t>Y</t>
        </is>
      </c>
      <c r="F614" t="inlineStr">
        <is>
          <t>3</t>
        </is>
      </c>
      <c r="G614" t="inlineStr">
        <is>
          <t>4, STD BARRACKS MEDICAL, ROAD, IKEJA</t>
        </is>
      </c>
      <c r="H614" t="inlineStr">
        <is>
          <t>Existing</t>
        </is>
      </c>
      <c r="I614" t="inlineStr">
        <is>
          <t>N</t>
        </is>
      </c>
    </row>
    <row r="615">
      <c r="A615" t="inlineStr">
        <is>
          <t>LFC4204</t>
        </is>
      </c>
      <c r="B615" t="inlineStr">
        <is>
          <t>LFC4204</t>
        </is>
      </c>
      <c r="C615" t="inlineStr">
        <is>
          <t>OREGUN IKEJA</t>
        </is>
      </c>
      <c r="D615" t="inlineStr">
        <is>
          <t>N</t>
        </is>
      </c>
      <c r="E615" t="inlineStr">
        <is>
          <t>Y</t>
        </is>
      </c>
      <c r="F615" t="inlineStr">
        <is>
          <t>4</t>
        </is>
      </c>
      <c r="G615" t="inlineStr">
        <is>
          <t>4, BAYODE OLUWOLE STREET, IKEJA,</t>
        </is>
      </c>
      <c r="H615" t="inlineStr">
        <is>
          <t>Existing</t>
        </is>
      </c>
      <c r="I615" t="inlineStr">
        <is>
          <t>N</t>
        </is>
      </c>
    </row>
    <row r="616">
      <c r="A616" t="inlineStr">
        <is>
          <t>LFC4205</t>
        </is>
      </c>
      <c r="B616" t="inlineStr">
        <is>
          <t>LFC4205</t>
        </is>
      </c>
      <c r="C616" t="inlineStr">
        <is>
          <t>OREGUN IKEJA</t>
        </is>
      </c>
      <c r="D616" t="inlineStr">
        <is>
          <t>Y</t>
        </is>
      </c>
      <c r="E616" t="inlineStr">
        <is>
          <t>Y</t>
        </is>
      </c>
      <c r="F616" t="inlineStr">
        <is>
          <t>5</t>
        </is>
      </c>
      <c r="G616" t="inlineStr">
        <is>
          <t>5,ODUNUGA STREET, OPEBI, IKEJA</t>
        </is>
      </c>
      <c r="H616" t="inlineStr">
        <is>
          <t>Existing</t>
        </is>
      </c>
      <c r="I616" t="inlineStr">
        <is>
          <t>N</t>
        </is>
      </c>
    </row>
    <row r="617">
      <c r="A617" t="inlineStr">
        <is>
          <t>LFC4206</t>
        </is>
      </c>
      <c r="B617" t="inlineStr">
        <is>
          <t>LFC4206</t>
        </is>
      </c>
      <c r="C617" t="inlineStr">
        <is>
          <t>OREGUN IKEJA</t>
        </is>
      </c>
      <c r="D617" t="inlineStr">
        <is>
          <t>N</t>
        </is>
      </c>
      <c r="E617" t="inlineStr">
        <is>
          <t>Y</t>
        </is>
      </c>
      <c r="F617" t="inlineStr">
        <is>
          <t>6</t>
        </is>
      </c>
      <c r="G617" t="inlineStr">
        <is>
          <t>12, COMMUNITY ROAD, ALLEN, IKEJA</t>
        </is>
      </c>
      <c r="H617" t="inlineStr">
        <is>
          <t>Existing</t>
        </is>
      </c>
      <c r="I617" t="inlineStr">
        <is>
          <t>N</t>
        </is>
      </c>
    </row>
    <row r="618">
      <c r="A618" t="inlineStr">
        <is>
          <t>LFC4207</t>
        </is>
      </c>
      <c r="B618" t="inlineStr">
        <is>
          <t>LFC4207</t>
        </is>
      </c>
      <c r="C618" t="inlineStr">
        <is>
          <t>OREGUN IKEJA</t>
        </is>
      </c>
      <c r="D618" t="inlineStr">
        <is>
          <t>N</t>
        </is>
      </c>
      <c r="E618" t="inlineStr">
        <is>
          <t>Y</t>
        </is>
      </c>
      <c r="F618" t="inlineStr">
        <is>
          <t>7</t>
        </is>
      </c>
      <c r="G618" t="inlineStr">
        <is>
          <t>13, AKINTOYE SHOGUNLE STREET, IKEJA</t>
        </is>
      </c>
      <c r="H618" t="inlineStr">
        <is>
          <t>Existing</t>
        </is>
      </c>
      <c r="I618" t="inlineStr">
        <is>
          <t>N</t>
        </is>
      </c>
    </row>
    <row r="619">
      <c r="A619" t="inlineStr">
        <is>
          <t>LFC4208</t>
        </is>
      </c>
      <c r="B619" t="inlineStr">
        <is>
          <t>LFC4208</t>
        </is>
      </c>
      <c r="C619" t="inlineStr">
        <is>
          <t>OREGUN IKEJA</t>
        </is>
      </c>
      <c r="D619" t="inlineStr">
        <is>
          <t>Y</t>
        </is>
      </c>
      <c r="E619" t="inlineStr">
        <is>
          <t>Y</t>
        </is>
      </c>
      <c r="F619" t="inlineStr">
        <is>
          <t>8</t>
        </is>
      </c>
      <c r="G619" t="inlineStr">
        <is>
          <t>14B, ADEYEMO ALAKIJA STREET, GRA, IKEJA</t>
        </is>
      </c>
      <c r="H619" t="inlineStr">
        <is>
          <t>Existing</t>
        </is>
      </c>
      <c r="I619" t="inlineStr">
        <is>
          <t>N</t>
        </is>
      </c>
    </row>
    <row r="620">
      <c r="A620" t="inlineStr">
        <is>
          <t>LFC4209</t>
        </is>
      </c>
      <c r="B620" t="inlineStr">
        <is>
          <t>LFC4209</t>
        </is>
      </c>
      <c r="C620" t="inlineStr">
        <is>
          <t>OREGUN IKEJA</t>
        </is>
      </c>
      <c r="D620" t="inlineStr">
        <is>
          <t>N</t>
        </is>
      </c>
      <c r="E620" t="inlineStr">
        <is>
          <t>Y</t>
        </is>
      </c>
      <c r="F620" t="inlineStr">
        <is>
          <t>9</t>
        </is>
      </c>
      <c r="G620" t="inlineStr">
        <is>
          <t>9, ABIMBOLA OKUNUGA STREET, GRA, IKEJA</t>
        </is>
      </c>
      <c r="H620" t="inlineStr">
        <is>
          <t>Existing</t>
        </is>
      </c>
      <c r="I620" t="inlineStr">
        <is>
          <t>N</t>
        </is>
      </c>
    </row>
    <row r="621">
      <c r="A621" t="inlineStr">
        <is>
          <t>LFC4210</t>
        </is>
      </c>
      <c r="B621" t="inlineStr">
        <is>
          <t>LFC4210</t>
        </is>
      </c>
      <c r="C621" t="inlineStr">
        <is>
          <t>OREGUN IKEJA</t>
        </is>
      </c>
      <c r="D621" t="inlineStr">
        <is>
          <t>N</t>
        </is>
      </c>
      <c r="E621" t="inlineStr">
        <is>
          <t>Y</t>
        </is>
      </c>
      <c r="F621" t="inlineStr">
        <is>
          <t>10</t>
        </is>
      </c>
      <c r="G621" t="inlineStr">
        <is>
          <t>6A, REMI FANI-KAYODE STREET, GRA, IKEJA</t>
        </is>
      </c>
      <c r="H621" t="inlineStr">
        <is>
          <t>Existing</t>
        </is>
      </c>
      <c r="I621" t="inlineStr">
        <is>
          <t>N</t>
        </is>
      </c>
    </row>
    <row r="622">
      <c r="A622" t="inlineStr">
        <is>
          <t>LFC4211</t>
        </is>
      </c>
      <c r="B622" t="inlineStr">
        <is>
          <t>LFC4211</t>
        </is>
      </c>
      <c r="C622" t="inlineStr">
        <is>
          <t>OREGUN IKEJA</t>
        </is>
      </c>
      <c r="D622" t="inlineStr"/>
      <c r="E622" t="inlineStr">
        <is>
          <t>Y</t>
        </is>
      </c>
      <c r="F622" t="inlineStr">
        <is>
          <t>11</t>
        </is>
      </c>
      <c r="G622" t="inlineStr">
        <is>
          <t>58, ALLEN AVENUE, IKEJA</t>
        </is>
      </c>
      <c r="H622" t="inlineStr">
        <is>
          <t>Existing</t>
        </is>
      </c>
      <c r="I622" t="inlineStr"/>
    </row>
    <row r="623">
      <c r="A623" t="inlineStr">
        <is>
          <t>LFC4212</t>
        </is>
      </c>
      <c r="B623" t="inlineStr">
        <is>
          <t>LFC4212</t>
        </is>
      </c>
      <c r="C623" t="inlineStr">
        <is>
          <t>OREGUN IKEJA</t>
        </is>
      </c>
      <c r="D623" t="inlineStr">
        <is>
          <t>N</t>
        </is>
      </c>
      <c r="E623" t="inlineStr">
        <is>
          <t>Y</t>
        </is>
      </c>
      <c r="F623" t="inlineStr">
        <is>
          <t>12</t>
        </is>
      </c>
      <c r="G623" t="inlineStr">
        <is>
          <t>16, ADESHINA STREET, IKEJA</t>
        </is>
      </c>
      <c r="H623" t="inlineStr">
        <is>
          <t>New (proposed)</t>
        </is>
      </c>
      <c r="I623" t="inlineStr">
        <is>
          <t>N</t>
        </is>
      </c>
    </row>
    <row r="624">
      <c r="A624" t="inlineStr">
        <is>
          <t>LFC4213</t>
        </is>
      </c>
      <c r="B624" t="inlineStr">
        <is>
          <t>LFC4213</t>
        </is>
      </c>
      <c r="C624" t="inlineStr">
        <is>
          <t>OREGUN IKEJA</t>
        </is>
      </c>
      <c r="D624" t="inlineStr">
        <is>
          <t>N</t>
        </is>
      </c>
      <c r="E624" t="inlineStr">
        <is>
          <t>Y</t>
        </is>
      </c>
      <c r="F624" t="inlineStr">
        <is>
          <t>13</t>
        </is>
      </c>
      <c r="G624" t="inlineStr">
        <is>
          <t>ANIFOWOSE</t>
        </is>
      </c>
      <c r="H624" t="inlineStr">
        <is>
          <t>From reporting system</t>
        </is>
      </c>
      <c r="I624" t="inlineStr">
        <is>
          <t>N</t>
        </is>
      </c>
    </row>
    <row r="625">
      <c r="A625" t="inlineStr">
        <is>
          <t>LFC4301</t>
        </is>
      </c>
      <c r="B625" t="inlineStr">
        <is>
          <t>LFC4301</t>
        </is>
      </c>
      <c r="C625" t="inlineStr">
        <is>
          <t>CEMENT</t>
        </is>
      </c>
      <c r="D625" t="inlineStr">
        <is>
          <t>Y</t>
        </is>
      </c>
      <c r="E625" t="inlineStr">
        <is>
          <t>Y</t>
        </is>
      </c>
      <c r="F625" t="inlineStr">
        <is>
          <t>1</t>
        </is>
      </c>
      <c r="G625" t="inlineStr">
        <is>
          <t>58, BABAPONMILE ONIPETESI</t>
        </is>
      </c>
      <c r="H625" t="inlineStr">
        <is>
          <t>Existing</t>
        </is>
      </c>
      <c r="I625" t="inlineStr">
        <is>
          <t>N</t>
        </is>
      </c>
    </row>
    <row r="626">
      <c r="A626" t="inlineStr">
        <is>
          <t>LFC4302</t>
        </is>
      </c>
      <c r="B626" t="inlineStr">
        <is>
          <t>LFC4302</t>
        </is>
      </c>
      <c r="C626" t="inlineStr">
        <is>
          <t>CEMENT</t>
        </is>
      </c>
      <c r="D626" t="inlineStr">
        <is>
          <t>Y</t>
        </is>
      </c>
      <c r="E626" t="inlineStr">
        <is>
          <t>Y</t>
        </is>
      </c>
      <c r="F626" t="inlineStr">
        <is>
          <t>2</t>
        </is>
      </c>
      <c r="G626" t="inlineStr">
        <is>
          <t>18, AIYEMOJUBA STREET</t>
        </is>
      </c>
      <c r="H626" t="inlineStr">
        <is>
          <t>Existing</t>
        </is>
      </c>
      <c r="I626" t="inlineStr">
        <is>
          <t>N</t>
        </is>
      </c>
    </row>
    <row r="627">
      <c r="A627" t="inlineStr">
        <is>
          <t>LFC4303</t>
        </is>
      </c>
      <c r="B627" t="inlineStr">
        <is>
          <t>LFC4303</t>
        </is>
      </c>
      <c r="C627" t="inlineStr">
        <is>
          <t>CEMENT</t>
        </is>
      </c>
      <c r="D627" t="inlineStr">
        <is>
          <t>N</t>
        </is>
      </c>
      <c r="E627" t="inlineStr">
        <is>
          <t>Y</t>
        </is>
      </c>
      <c r="F627" t="inlineStr">
        <is>
          <t>3</t>
        </is>
      </c>
      <c r="G627" t="inlineStr">
        <is>
          <t>32, MUHAMMED AVE. SANTOS</t>
        </is>
      </c>
      <c r="H627" t="inlineStr">
        <is>
          <t>Existing</t>
        </is>
      </c>
      <c r="I627" t="inlineStr">
        <is>
          <t>N</t>
        </is>
      </c>
    </row>
    <row r="628">
      <c r="A628" t="inlineStr">
        <is>
          <t>LFC4304</t>
        </is>
      </c>
      <c r="B628" t="inlineStr">
        <is>
          <t>LFC4304</t>
        </is>
      </c>
      <c r="C628" t="inlineStr">
        <is>
          <t>CEMENT</t>
        </is>
      </c>
      <c r="D628" t="inlineStr">
        <is>
          <t>Y</t>
        </is>
      </c>
      <c r="E628" t="inlineStr">
        <is>
          <t>Y</t>
        </is>
      </c>
      <c r="F628" t="inlineStr">
        <is>
          <t>4</t>
        </is>
      </c>
      <c r="G628" t="inlineStr">
        <is>
          <t>9, LEWIS STREET SANTOS</t>
        </is>
      </c>
      <c r="H628" t="inlineStr">
        <is>
          <t>Existing</t>
        </is>
      </c>
      <c r="I628" t="inlineStr">
        <is>
          <t>N</t>
        </is>
      </c>
    </row>
    <row r="629">
      <c r="A629" t="inlineStr">
        <is>
          <t>LFC4305</t>
        </is>
      </c>
      <c r="B629" t="inlineStr">
        <is>
          <t>LFC4305</t>
        </is>
      </c>
      <c r="C629" t="inlineStr">
        <is>
          <t>CEMENT</t>
        </is>
      </c>
      <c r="D629" t="inlineStr">
        <is>
          <t>N</t>
        </is>
      </c>
      <c r="E629" t="inlineStr">
        <is>
          <t>Y</t>
        </is>
      </c>
      <c r="F629" t="inlineStr">
        <is>
          <t>5</t>
        </is>
      </c>
      <c r="G629" t="inlineStr">
        <is>
          <t>21 IREPODUN STRETT CEMENT</t>
        </is>
      </c>
      <c r="H629" t="inlineStr">
        <is>
          <t>Existing</t>
        </is>
      </c>
      <c r="I629" t="inlineStr">
        <is>
          <t>N</t>
        </is>
      </c>
    </row>
    <row r="630">
      <c r="A630" t="inlineStr">
        <is>
          <t>LFC4306</t>
        </is>
      </c>
      <c r="B630" t="inlineStr">
        <is>
          <t>LFC4306</t>
        </is>
      </c>
      <c r="C630" t="inlineStr">
        <is>
          <t>CEMENT</t>
        </is>
      </c>
      <c r="D630" t="inlineStr">
        <is>
          <t>Y</t>
        </is>
      </c>
      <c r="E630" t="inlineStr">
        <is>
          <t>Y</t>
        </is>
      </c>
      <c r="F630" t="inlineStr">
        <is>
          <t>6</t>
        </is>
      </c>
      <c r="G630" t="inlineStr">
        <is>
          <t>27B OGUNSOLU STREET CEMENT.</t>
        </is>
      </c>
      <c r="H630" t="inlineStr">
        <is>
          <t>Existing</t>
        </is>
      </c>
      <c r="I630" t="inlineStr">
        <is>
          <t>N</t>
        </is>
      </c>
    </row>
    <row r="631">
      <c r="A631" t="inlineStr">
        <is>
          <t>LFC4307</t>
        </is>
      </c>
      <c r="B631" t="inlineStr">
        <is>
          <t>LFC4307</t>
        </is>
      </c>
      <c r="C631" t="inlineStr">
        <is>
          <t>CEMENT</t>
        </is>
      </c>
      <c r="D631" t="inlineStr">
        <is>
          <t>N</t>
        </is>
      </c>
      <c r="E631" t="inlineStr">
        <is>
          <t>Y</t>
        </is>
      </c>
      <c r="F631" t="inlineStr">
        <is>
          <t>7</t>
        </is>
      </c>
      <c r="G631" t="inlineStr">
        <is>
          <t>6/8 ADELANWA STR. VALLEY ESTATE</t>
        </is>
      </c>
      <c r="H631" t="inlineStr">
        <is>
          <t>Existing</t>
        </is>
      </c>
      <c r="I631" t="inlineStr">
        <is>
          <t>N</t>
        </is>
      </c>
    </row>
    <row r="632">
      <c r="A632" t="inlineStr">
        <is>
          <t>LFC4401</t>
        </is>
      </c>
      <c r="B632" t="inlineStr">
        <is>
          <t>LFC4401</t>
        </is>
      </c>
      <c r="C632" t="inlineStr">
        <is>
          <t>OJODU BERGER 1</t>
        </is>
      </c>
      <c r="D632" t="inlineStr">
        <is>
          <t>Y</t>
        </is>
      </c>
      <c r="E632" t="inlineStr">
        <is>
          <t>Y</t>
        </is>
      </c>
      <c r="F632" t="inlineStr">
        <is>
          <t>1</t>
        </is>
      </c>
      <c r="G632" t="inlineStr">
        <is>
          <t>21 OLALEKE TAIWO STREET OJODU BERGER</t>
        </is>
      </c>
      <c r="H632" t="inlineStr">
        <is>
          <t>Existing</t>
        </is>
      </c>
      <c r="I632" t="inlineStr">
        <is>
          <t>N</t>
        </is>
      </c>
    </row>
    <row r="633">
      <c r="A633" t="inlineStr">
        <is>
          <t>LFC4402</t>
        </is>
      </c>
      <c r="B633" t="inlineStr">
        <is>
          <t>LFC4402</t>
        </is>
      </c>
      <c r="C633" t="inlineStr">
        <is>
          <t>OJODU BERGER 1</t>
        </is>
      </c>
      <c r="D633" t="inlineStr">
        <is>
          <t>Y</t>
        </is>
      </c>
      <c r="E633" t="inlineStr">
        <is>
          <t>Y</t>
        </is>
      </c>
      <c r="F633" t="inlineStr">
        <is>
          <t>2</t>
        </is>
      </c>
      <c r="G633" t="inlineStr">
        <is>
          <t>MAGODO PHASE 1, ISHERI (OLOWORA COMMUNITY CHURCH)</t>
        </is>
      </c>
      <c r="H633" t="inlineStr">
        <is>
          <t>Existing</t>
        </is>
      </c>
      <c r="I633" t="inlineStr">
        <is>
          <t>Y</t>
        </is>
      </c>
    </row>
    <row r="634">
      <c r="A634" t="inlineStr">
        <is>
          <t>LFC4403</t>
        </is>
      </c>
      <c r="B634" t="inlineStr">
        <is>
          <t>LFC4403</t>
        </is>
      </c>
      <c r="C634" t="inlineStr">
        <is>
          <t>OJODU BERGER 1</t>
        </is>
      </c>
      <c r="D634" t="inlineStr">
        <is>
          <t>N</t>
        </is>
      </c>
      <c r="E634" t="inlineStr">
        <is>
          <t>Y</t>
        </is>
      </c>
      <c r="F634" t="inlineStr">
        <is>
          <t>3</t>
        </is>
      </c>
      <c r="G634" t="inlineStr">
        <is>
          <t>945 ADMIRAL ODUWAIYE ROAD 945 ADMIRAL ODUWAIYE ROAD OMOLE PHASE 2</t>
        </is>
      </c>
      <c r="H634" t="inlineStr">
        <is>
          <t>Existing</t>
        </is>
      </c>
      <c r="I634" t="inlineStr">
        <is>
          <t>N</t>
        </is>
      </c>
    </row>
    <row r="635">
      <c r="A635" t="inlineStr">
        <is>
          <t>LFC4404</t>
        </is>
      </c>
      <c r="B635" t="inlineStr">
        <is>
          <t>LFC4404</t>
        </is>
      </c>
      <c r="C635" t="inlineStr">
        <is>
          <t>OJODU BERGER 1</t>
        </is>
      </c>
      <c r="D635" t="inlineStr">
        <is>
          <t>Y</t>
        </is>
      </c>
      <c r="E635" t="inlineStr">
        <is>
          <t>Y</t>
        </is>
      </c>
      <c r="F635" t="inlineStr">
        <is>
          <t>4</t>
        </is>
      </c>
      <c r="G635" t="inlineStr">
        <is>
          <t>Plot 316 Adeyemo Akapo Omole Phase I</t>
        </is>
      </c>
      <c r="H635" t="inlineStr">
        <is>
          <t>Existing</t>
        </is>
      </c>
      <c r="I635" t="inlineStr">
        <is>
          <t>N</t>
        </is>
      </c>
    </row>
    <row r="636">
      <c r="A636" t="inlineStr">
        <is>
          <t>LFC4405</t>
        </is>
      </c>
      <c r="B636" t="inlineStr">
        <is>
          <t>LFC4405</t>
        </is>
      </c>
      <c r="C636" t="inlineStr">
        <is>
          <t>OJODU BERGER 1</t>
        </is>
      </c>
      <c r="D636" t="inlineStr">
        <is>
          <t>Y</t>
        </is>
      </c>
      <c r="E636" t="inlineStr">
        <is>
          <t>Y</t>
        </is>
      </c>
      <c r="F636" t="inlineStr">
        <is>
          <t>5</t>
        </is>
      </c>
      <c r="G636" t="inlineStr">
        <is>
          <t>8, OMOBOGIE STREET, AKIODE, OJODU</t>
        </is>
      </c>
      <c r="H636" t="inlineStr">
        <is>
          <t>Existing</t>
        </is>
      </c>
      <c r="I636" t="inlineStr">
        <is>
          <t>N</t>
        </is>
      </c>
    </row>
    <row r="637">
      <c r="A637" t="inlineStr">
        <is>
          <t>LFC4406</t>
        </is>
      </c>
      <c r="B637" t="inlineStr">
        <is>
          <t>LFC4406</t>
        </is>
      </c>
      <c r="C637" t="inlineStr">
        <is>
          <t>OJODU BERGER 1</t>
        </is>
      </c>
      <c r="D637" t="inlineStr">
        <is>
          <t>N</t>
        </is>
      </c>
      <c r="E637" t="inlineStr">
        <is>
          <t>Y</t>
        </is>
      </c>
      <c r="F637" t="inlineStr">
        <is>
          <t>6</t>
        </is>
      </c>
      <c r="G637" t="inlineStr">
        <is>
          <t>58 ADEYERI CRESCENT</t>
        </is>
      </c>
      <c r="H637" t="inlineStr">
        <is>
          <t>Existing</t>
        </is>
      </c>
      <c r="I637" t="inlineStr">
        <is>
          <t>N</t>
        </is>
      </c>
    </row>
    <row r="638">
      <c r="A638" t="inlineStr">
        <is>
          <t>LFC4407</t>
        </is>
      </c>
      <c r="B638" t="inlineStr">
        <is>
          <t>LFC4407</t>
        </is>
      </c>
      <c r="C638" t="inlineStr">
        <is>
          <t>OJODU BERGER 1</t>
        </is>
      </c>
      <c r="D638" t="inlineStr">
        <is>
          <t>N</t>
        </is>
      </c>
      <c r="E638" t="inlineStr">
        <is>
          <t>Y</t>
        </is>
      </c>
      <c r="F638" t="inlineStr">
        <is>
          <t>7</t>
        </is>
      </c>
      <c r="G638" t="inlineStr">
        <is>
          <t>BAMAKO STUDIO, BAMAKO ESTATE</t>
        </is>
      </c>
      <c r="H638" t="inlineStr">
        <is>
          <t>Existing</t>
        </is>
      </c>
      <c r="I638" t="inlineStr">
        <is>
          <t>N</t>
        </is>
      </c>
    </row>
    <row r="639">
      <c r="A639" t="inlineStr">
        <is>
          <t>LFC4408</t>
        </is>
      </c>
      <c r="B639" t="inlineStr">
        <is>
          <t>LFC4408</t>
        </is>
      </c>
      <c r="C639" t="inlineStr">
        <is>
          <t>OJODU BERGER 1</t>
        </is>
      </c>
      <c r="D639" t="inlineStr">
        <is>
          <t>N</t>
        </is>
      </c>
      <c r="E639" t="inlineStr">
        <is>
          <t>Y</t>
        </is>
      </c>
      <c r="F639" t="inlineStr">
        <is>
          <t>8</t>
        </is>
      </c>
      <c r="G639" t="inlineStr">
        <is>
          <t>ST. TIMOTHY</t>
        </is>
      </c>
      <c r="H639" t="inlineStr">
        <is>
          <t>Existing</t>
        </is>
      </c>
      <c r="I639" t="inlineStr">
        <is>
          <t>N</t>
        </is>
      </c>
    </row>
    <row r="640">
      <c r="A640" t="inlineStr">
        <is>
          <t>LFC4501</t>
        </is>
      </c>
      <c r="B640" t="inlineStr">
        <is>
          <t>LFC4501</t>
        </is>
      </c>
      <c r="C640" t="inlineStr">
        <is>
          <t>IFAKO</t>
        </is>
      </c>
      <c r="D640" t="inlineStr">
        <is>
          <t>Y</t>
        </is>
      </c>
      <c r="E640" t="inlineStr">
        <is>
          <t>Y</t>
        </is>
      </c>
      <c r="F640" t="inlineStr">
        <is>
          <t>1</t>
        </is>
      </c>
      <c r="G640" t="inlineStr">
        <is>
          <t>3 ALIMI OGUNYEMI STREET, COLLEGE ROAD, IFAKO</t>
        </is>
      </c>
      <c r="H640" t="inlineStr">
        <is>
          <t>Existing</t>
        </is>
      </c>
      <c r="I640" t="inlineStr">
        <is>
          <t>N</t>
        </is>
      </c>
    </row>
    <row r="641">
      <c r="A641" t="inlineStr">
        <is>
          <t>LFC4502</t>
        </is>
      </c>
      <c r="B641" t="inlineStr">
        <is>
          <t>LFC4502</t>
        </is>
      </c>
      <c r="C641" t="inlineStr">
        <is>
          <t>IFAKO</t>
        </is>
      </c>
      <c r="D641" t="inlineStr">
        <is>
          <t>N</t>
        </is>
      </c>
      <c r="E641" t="inlineStr">
        <is>
          <t>Y</t>
        </is>
      </c>
      <c r="F641" t="inlineStr">
        <is>
          <t>2</t>
        </is>
      </c>
      <c r="G641" t="inlineStr">
        <is>
          <t>18A ADELEKE ODUNUGA, HARMONOY ESTATE, IFAKO</t>
        </is>
      </c>
      <c r="H641" t="inlineStr">
        <is>
          <t>Existing</t>
        </is>
      </c>
      <c r="I641" t="inlineStr">
        <is>
          <t>N</t>
        </is>
      </c>
    </row>
    <row r="642">
      <c r="A642" t="inlineStr">
        <is>
          <t>LFC4503</t>
        </is>
      </c>
      <c r="B642" t="inlineStr">
        <is>
          <t>LFC4503</t>
        </is>
      </c>
      <c r="C642" t="inlineStr">
        <is>
          <t>IFAKO</t>
        </is>
      </c>
      <c r="D642" t="inlineStr">
        <is>
          <t>N</t>
        </is>
      </c>
      <c r="E642" t="inlineStr">
        <is>
          <t>Y</t>
        </is>
      </c>
      <c r="F642" t="inlineStr">
        <is>
          <t>3</t>
        </is>
      </c>
      <c r="G642" t="inlineStr">
        <is>
          <t>5 MOJISOLA STREET, DREAM MAKER SCHOOL, IFAKO</t>
        </is>
      </c>
      <c r="H642" t="inlineStr">
        <is>
          <t>Existing</t>
        </is>
      </c>
      <c r="I642" t="inlineStr">
        <is>
          <t>N</t>
        </is>
      </c>
    </row>
    <row r="643">
      <c r="A643" t="inlineStr">
        <is>
          <t>LFC4504</t>
        </is>
      </c>
      <c r="B643" t="inlineStr">
        <is>
          <t>LFC4504</t>
        </is>
      </c>
      <c r="C643" t="inlineStr">
        <is>
          <t>IFAKO</t>
        </is>
      </c>
      <c r="D643" t="inlineStr">
        <is>
          <t>N</t>
        </is>
      </c>
      <c r="E643" t="inlineStr">
        <is>
          <t>Y</t>
        </is>
      </c>
      <c r="F643" t="inlineStr">
        <is>
          <t>4</t>
        </is>
      </c>
      <c r="G643" t="inlineStr">
        <is>
          <t>33 HARUNA STREET, OBALODU SCHOOL, IFAKO</t>
        </is>
      </c>
      <c r="H643" t="inlineStr">
        <is>
          <t>Existing</t>
        </is>
      </c>
      <c r="I643" t="inlineStr">
        <is>
          <t>N</t>
        </is>
      </c>
    </row>
    <row r="644">
      <c r="A644" t="inlineStr">
        <is>
          <t>LFC4505</t>
        </is>
      </c>
      <c r="B644" t="inlineStr">
        <is>
          <t>LFC4505</t>
        </is>
      </c>
      <c r="C644" t="inlineStr">
        <is>
          <t>IFAKO</t>
        </is>
      </c>
      <c r="D644" t="inlineStr">
        <is>
          <t>Y</t>
        </is>
      </c>
      <c r="E644" t="inlineStr">
        <is>
          <t>Y</t>
        </is>
      </c>
      <c r="F644" t="inlineStr">
        <is>
          <t>5</t>
        </is>
      </c>
      <c r="G644" t="inlineStr">
        <is>
          <t>28 AYO ALABI STREET, OKE-IRA</t>
        </is>
      </c>
      <c r="H644" t="inlineStr">
        <is>
          <t>Existing</t>
        </is>
      </c>
      <c r="I644" t="inlineStr">
        <is>
          <t>N</t>
        </is>
      </c>
    </row>
    <row r="645">
      <c r="A645" t="inlineStr">
        <is>
          <t>LFC4506</t>
        </is>
      </c>
      <c r="B645" t="inlineStr">
        <is>
          <t>LFC4506</t>
        </is>
      </c>
      <c r="C645" t="inlineStr">
        <is>
          <t>IFAKO</t>
        </is>
      </c>
      <c r="D645" t="inlineStr">
        <is>
          <t>Y</t>
        </is>
      </c>
      <c r="E645" t="inlineStr">
        <is>
          <t>Y</t>
        </is>
      </c>
      <c r="F645" t="inlineStr">
        <is>
          <t>6</t>
        </is>
      </c>
      <c r="G645" t="inlineStr">
        <is>
          <t>1 ALADE CLOSE, OFF IJU ROAD.</t>
        </is>
      </c>
      <c r="H645" t="inlineStr">
        <is>
          <t>Existing</t>
        </is>
      </c>
      <c r="I645" t="inlineStr">
        <is>
          <t>N</t>
        </is>
      </c>
    </row>
    <row r="646">
      <c r="A646" t="inlineStr">
        <is>
          <t>LFC4507</t>
        </is>
      </c>
      <c r="B646" t="inlineStr">
        <is>
          <t>LFC4507</t>
        </is>
      </c>
      <c r="C646" t="inlineStr">
        <is>
          <t>IFAKO</t>
        </is>
      </c>
      <c r="D646" t="inlineStr">
        <is>
          <t>Y</t>
        </is>
      </c>
      <c r="E646" t="inlineStr">
        <is>
          <t>Y</t>
        </is>
      </c>
      <c r="F646" t="inlineStr">
        <is>
          <t>7</t>
        </is>
      </c>
      <c r="G646" t="inlineStr">
        <is>
          <t>2, OLOGUN STR, OKE-IRA</t>
        </is>
      </c>
      <c r="H646" t="inlineStr">
        <is>
          <t>Existing</t>
        </is>
      </c>
      <c r="I646" t="inlineStr">
        <is>
          <t>N</t>
        </is>
      </c>
    </row>
    <row r="647">
      <c r="A647" t="inlineStr">
        <is>
          <t>LFC4508</t>
        </is>
      </c>
      <c r="B647" t="inlineStr">
        <is>
          <t>LFC4508</t>
        </is>
      </c>
      <c r="C647" t="inlineStr">
        <is>
          <t>IFAKO</t>
        </is>
      </c>
      <c r="D647" t="inlineStr">
        <is>
          <t>N</t>
        </is>
      </c>
      <c r="E647" t="inlineStr">
        <is>
          <t>Y</t>
        </is>
      </c>
      <c r="F647" t="inlineStr">
        <is>
          <t>8</t>
        </is>
      </c>
      <c r="G647" t="inlineStr">
        <is>
          <t>10, ORIMOLOYE STREET, OKE-IRA</t>
        </is>
      </c>
      <c r="H647" t="inlineStr">
        <is>
          <t>Existing</t>
        </is>
      </c>
      <c r="I647" t="inlineStr">
        <is>
          <t>N</t>
        </is>
      </c>
    </row>
    <row r="648">
      <c r="A648" t="inlineStr">
        <is>
          <t>LFC4509</t>
        </is>
      </c>
      <c r="B648" t="inlineStr">
        <is>
          <t>LFC4509</t>
        </is>
      </c>
      <c r="C648" t="inlineStr">
        <is>
          <t>IFAKO</t>
        </is>
      </c>
      <c r="D648" t="inlineStr">
        <is>
          <t>Y</t>
        </is>
      </c>
      <c r="E648" t="inlineStr">
        <is>
          <t>Y</t>
        </is>
      </c>
      <c r="F648" t="inlineStr">
        <is>
          <t>9</t>
        </is>
      </c>
      <c r="G648" t="inlineStr">
        <is>
          <t>1, OLADOYINBO STR., AVIS BUS STOP, OGBA.</t>
        </is>
      </c>
      <c r="H648" t="inlineStr">
        <is>
          <t>Existing</t>
        </is>
      </c>
      <c r="I648" t="inlineStr">
        <is>
          <t>N</t>
        </is>
      </c>
    </row>
    <row r="649">
      <c r="A649" t="inlineStr">
        <is>
          <t>LFC4510</t>
        </is>
      </c>
      <c r="B649" t="inlineStr">
        <is>
          <t>LFC4510</t>
        </is>
      </c>
      <c r="C649" t="inlineStr">
        <is>
          <t>IFAKO</t>
        </is>
      </c>
      <c r="D649" t="inlineStr">
        <is>
          <t>N</t>
        </is>
      </c>
      <c r="E649" t="inlineStr">
        <is>
          <t>Y</t>
        </is>
      </c>
      <c r="F649" t="inlineStr">
        <is>
          <t>10</t>
        </is>
      </c>
      <c r="G649" t="inlineStr">
        <is>
          <t>1 ADESHINA STR, DOWN ISALE ORO, IFAKO-IJAIYE</t>
        </is>
      </c>
      <c r="H649" t="inlineStr">
        <is>
          <t>Existing</t>
        </is>
      </c>
      <c r="I649" t="inlineStr">
        <is>
          <t>N</t>
        </is>
      </c>
    </row>
    <row r="650">
      <c r="A650" t="inlineStr">
        <is>
          <t>LFC4511</t>
        </is>
      </c>
      <c r="B650" t="inlineStr">
        <is>
          <t>LFC4511</t>
        </is>
      </c>
      <c r="C650" t="inlineStr">
        <is>
          <t>IFAKO</t>
        </is>
      </c>
      <c r="D650" t="inlineStr">
        <is>
          <t>N</t>
        </is>
      </c>
      <c r="E650" t="inlineStr">
        <is>
          <t>Y</t>
        </is>
      </c>
      <c r="F650" t="inlineStr">
        <is>
          <t>11</t>
        </is>
      </c>
      <c r="G650" t="inlineStr">
        <is>
          <t>1 ISALE ADINI, BEHIND COUNTY AGUDA OGBA</t>
        </is>
      </c>
      <c r="H650" t="inlineStr">
        <is>
          <t>Existing</t>
        </is>
      </c>
      <c r="I650" t="inlineStr">
        <is>
          <t>N</t>
        </is>
      </c>
    </row>
    <row r="651">
      <c r="A651" t="inlineStr">
        <is>
          <t>LFC4512</t>
        </is>
      </c>
      <c r="B651" t="inlineStr">
        <is>
          <t>LFC4512</t>
        </is>
      </c>
      <c r="C651" t="inlineStr">
        <is>
          <t>IFAKO</t>
        </is>
      </c>
      <c r="D651" t="inlineStr">
        <is>
          <t>Y</t>
        </is>
      </c>
      <c r="E651" t="inlineStr">
        <is>
          <t>Y</t>
        </is>
      </c>
      <c r="F651" t="inlineStr">
        <is>
          <t>12</t>
        </is>
      </c>
      <c r="G651" t="inlineStr">
        <is>
          <t>7, IGBEHINADUN STREET, OFF AJAYI ROAD,OGBA</t>
        </is>
      </c>
      <c r="H651" t="inlineStr">
        <is>
          <t>Existing</t>
        </is>
      </c>
      <c r="I651" t="inlineStr">
        <is>
          <t>N</t>
        </is>
      </c>
    </row>
    <row r="652">
      <c r="A652" t="inlineStr">
        <is>
          <t>LFC4601</t>
        </is>
      </c>
      <c r="B652" t="inlineStr">
        <is>
          <t>LFC4601</t>
        </is>
      </c>
      <c r="C652" t="inlineStr">
        <is>
          <t>ISHERI OPIC</t>
        </is>
      </c>
      <c r="D652" t="inlineStr">
        <is>
          <t>Y</t>
        </is>
      </c>
      <c r="E652" t="inlineStr">
        <is>
          <t>Y</t>
        </is>
      </c>
      <c r="F652" t="inlineStr">
        <is>
          <t>1</t>
        </is>
      </c>
      <c r="G652" t="inlineStr">
        <is>
          <t>GOOD SHEPHERD HALL PLAZA CHANNELS TV ROAD, ISHERI-OPIC</t>
        </is>
      </c>
      <c r="H652" t="inlineStr">
        <is>
          <t>Existing</t>
        </is>
      </c>
      <c r="I652" t="inlineStr">
        <is>
          <t>N</t>
        </is>
      </c>
    </row>
    <row r="653">
      <c r="A653" t="inlineStr">
        <is>
          <t>LFC4602</t>
        </is>
      </c>
      <c r="B653" t="inlineStr">
        <is>
          <t>LFC4602</t>
        </is>
      </c>
      <c r="C653" t="inlineStr">
        <is>
          <t>ISHERI OPIC</t>
        </is>
      </c>
      <c r="D653" t="inlineStr">
        <is>
          <t>N</t>
        </is>
      </c>
      <c r="E653" t="inlineStr">
        <is>
          <t>Y</t>
        </is>
      </c>
      <c r="F653" t="inlineStr">
        <is>
          <t>2</t>
        </is>
      </c>
      <c r="G653" t="inlineStr">
        <is>
          <t>1, WAKATI ADURA STR. BERGER</t>
        </is>
      </c>
      <c r="H653" t="inlineStr">
        <is>
          <t>Existing</t>
        </is>
      </c>
      <c r="I653" t="inlineStr">
        <is>
          <t>N</t>
        </is>
      </c>
    </row>
    <row r="654">
      <c r="A654" t="inlineStr">
        <is>
          <t>LFC4603</t>
        </is>
      </c>
      <c r="B654" t="inlineStr">
        <is>
          <t>LFC4603</t>
        </is>
      </c>
      <c r="C654" t="inlineStr">
        <is>
          <t>ISHERI OPIC</t>
        </is>
      </c>
      <c r="D654" t="inlineStr">
        <is>
          <t>Y</t>
        </is>
      </c>
      <c r="E654" t="inlineStr">
        <is>
          <t>Y</t>
        </is>
      </c>
      <c r="F654" t="inlineStr">
        <is>
          <t>3</t>
        </is>
      </c>
      <c r="G654" t="inlineStr">
        <is>
          <t>10, BAYO ADEITAN STREET. PRAISE-HILL ESTATE. AREPO</t>
        </is>
      </c>
      <c r="H654" t="inlineStr">
        <is>
          <t>Existing</t>
        </is>
      </c>
      <c r="I654" t="inlineStr">
        <is>
          <t>N</t>
        </is>
      </c>
    </row>
    <row r="655">
      <c r="A655" t="inlineStr">
        <is>
          <t>LFC4604</t>
        </is>
      </c>
      <c r="B655" t="inlineStr">
        <is>
          <t>LFC4604</t>
        </is>
      </c>
      <c r="C655" t="inlineStr">
        <is>
          <t>ISHERI OPIC</t>
        </is>
      </c>
      <c r="D655" t="inlineStr">
        <is>
          <t>N</t>
        </is>
      </c>
      <c r="E655" t="inlineStr">
        <is>
          <t>Y</t>
        </is>
      </c>
      <c r="F655" t="inlineStr">
        <is>
          <t>4</t>
        </is>
      </c>
      <c r="G655" t="inlineStr">
        <is>
          <t>SPARKLIGHT - BLOCK 2, HOUSE 1, Phase 2 SPARKLIGHT ESTATE</t>
        </is>
      </c>
      <c r="H655" t="inlineStr">
        <is>
          <t>Existing</t>
        </is>
      </c>
      <c r="I655" t="inlineStr">
        <is>
          <t>N</t>
        </is>
      </c>
    </row>
    <row r="656">
      <c r="A656" t="inlineStr">
        <is>
          <t>LFC4605</t>
        </is>
      </c>
      <c r="B656" t="inlineStr">
        <is>
          <t>LFC4605</t>
        </is>
      </c>
      <c r="C656" t="inlineStr">
        <is>
          <t>ISHERI OPIC</t>
        </is>
      </c>
      <c r="D656" t="inlineStr">
        <is>
          <t>N</t>
        </is>
      </c>
      <c r="E656" t="inlineStr">
        <is>
          <t>Y</t>
        </is>
      </c>
      <c r="F656" t="inlineStr">
        <is>
          <t>5</t>
        </is>
      </c>
      <c r="G656" t="inlineStr">
        <is>
          <t>TA GARDEN , WAREWA</t>
        </is>
      </c>
      <c r="H656" t="inlineStr">
        <is>
          <t>Existing</t>
        </is>
      </c>
      <c r="I656" t="inlineStr">
        <is>
          <t>N</t>
        </is>
      </c>
    </row>
    <row r="657">
      <c r="A657" t="inlineStr">
        <is>
          <t>LFC4606</t>
        </is>
      </c>
      <c r="B657" t="inlineStr">
        <is>
          <t>LFC4606</t>
        </is>
      </c>
      <c r="C657" t="inlineStr">
        <is>
          <t>ISHERI OPIC</t>
        </is>
      </c>
      <c r="D657" t="inlineStr">
        <is>
          <t>N</t>
        </is>
      </c>
      <c r="E657" t="inlineStr">
        <is>
          <t>Y</t>
        </is>
      </c>
      <c r="F657" t="inlineStr">
        <is>
          <t>6</t>
        </is>
      </c>
      <c r="G657" t="inlineStr">
        <is>
          <t>GATEWAY SPARKLIGHT, MAGBORO</t>
        </is>
      </c>
      <c r="H657" t="inlineStr">
        <is>
          <t>Existing</t>
        </is>
      </c>
      <c r="I657" t="inlineStr">
        <is>
          <t>N</t>
        </is>
      </c>
    </row>
    <row r="658">
      <c r="A658" t="inlineStr">
        <is>
          <t>LFC4701</t>
        </is>
      </c>
      <c r="B658" t="inlineStr">
        <is>
          <t>LFC4701</t>
        </is>
      </c>
      <c r="C658" t="inlineStr">
        <is>
          <t>OJODU BERGER 2</t>
        </is>
      </c>
      <c r="D658" t="inlineStr">
        <is>
          <t>Y</t>
        </is>
      </c>
      <c r="E658" t="inlineStr">
        <is>
          <t>Y</t>
        </is>
      </c>
      <c r="F658" t="inlineStr">
        <is>
          <t>1</t>
        </is>
      </c>
      <c r="G658" t="inlineStr">
        <is>
          <t>6, SAM OGEGBO STREET VICTORY ESTATE OJODU ABIODUN</t>
        </is>
      </c>
      <c r="H658" t="inlineStr">
        <is>
          <t>Existing</t>
        </is>
      </c>
      <c r="I658" t="inlineStr">
        <is>
          <t>N</t>
        </is>
      </c>
    </row>
    <row r="659">
      <c r="A659" t="inlineStr">
        <is>
          <t>LFC4702</t>
        </is>
      </c>
      <c r="B659" t="inlineStr">
        <is>
          <t>LFC4702</t>
        </is>
      </c>
      <c r="C659" t="inlineStr">
        <is>
          <t>OJODU BERGER 2</t>
        </is>
      </c>
      <c r="D659" t="inlineStr">
        <is>
          <t>Y</t>
        </is>
      </c>
      <c r="E659" t="inlineStr">
        <is>
          <t>Y</t>
        </is>
      </c>
      <c r="F659" t="inlineStr">
        <is>
          <t>2</t>
        </is>
      </c>
      <c r="G659" t="inlineStr">
        <is>
          <t>31,OLOWORA ROAD,OLOWORA OJODU BERGER,LAGOS</t>
        </is>
      </c>
      <c r="H659" t="inlineStr">
        <is>
          <t>Existing</t>
        </is>
      </c>
      <c r="I659" t="inlineStr">
        <is>
          <t>N</t>
        </is>
      </c>
    </row>
    <row r="660">
      <c r="A660" t="inlineStr">
        <is>
          <t>LFC4703</t>
        </is>
      </c>
      <c r="B660" t="inlineStr">
        <is>
          <t>LFC4703</t>
        </is>
      </c>
      <c r="C660" t="inlineStr">
        <is>
          <t>OJODU BERGER 2</t>
        </is>
      </c>
      <c r="D660" t="inlineStr">
        <is>
          <t>Y</t>
        </is>
      </c>
      <c r="E660" t="inlineStr">
        <is>
          <t>Y</t>
        </is>
      </c>
      <c r="F660" t="inlineStr">
        <is>
          <t>3</t>
        </is>
      </c>
      <c r="G660" t="inlineStr">
        <is>
          <t>1, ADEPOJU FARINU STREET ADEONI</t>
        </is>
      </c>
      <c r="H660" t="inlineStr">
        <is>
          <t>Existing</t>
        </is>
      </c>
      <c r="I660" t="inlineStr">
        <is>
          <t>N</t>
        </is>
      </c>
    </row>
    <row r="661">
      <c r="A661" t="inlineStr">
        <is>
          <t>LFC4704</t>
        </is>
      </c>
      <c r="B661" t="inlineStr">
        <is>
          <t>LFC4704</t>
        </is>
      </c>
      <c r="C661" t="inlineStr">
        <is>
          <t>OJODU BERGER 2</t>
        </is>
      </c>
      <c r="D661" t="inlineStr">
        <is>
          <t>Y</t>
        </is>
      </c>
      <c r="E661" t="inlineStr">
        <is>
          <t>Y</t>
        </is>
      </c>
      <c r="F661" t="inlineStr">
        <is>
          <t>4</t>
        </is>
      </c>
      <c r="G661" t="inlineStr">
        <is>
          <t>ALONG AKUTE ROAD OJODU ABIODUN</t>
        </is>
      </c>
      <c r="H661" t="inlineStr">
        <is>
          <t>Existing</t>
        </is>
      </c>
      <c r="I661" t="inlineStr">
        <is>
          <t>N</t>
        </is>
      </c>
    </row>
    <row r="662">
      <c r="A662" t="inlineStr">
        <is>
          <t>LFC4801</t>
        </is>
      </c>
      <c r="B662" t="inlineStr">
        <is>
          <t>LFC4801</t>
        </is>
      </c>
      <c r="C662" t="inlineStr">
        <is>
          <t>IKOSI KETU</t>
        </is>
      </c>
      <c r="D662" t="inlineStr">
        <is>
          <t>Y</t>
        </is>
      </c>
      <c r="E662" t="inlineStr">
        <is>
          <t>Y</t>
        </is>
      </c>
      <c r="F662" t="inlineStr">
        <is>
          <t>1</t>
        </is>
      </c>
      <c r="G662" t="inlineStr">
        <is>
          <t>`Q</t>
        </is>
      </c>
      <c r="H662" t="inlineStr">
        <is>
          <t>Existing</t>
        </is>
      </c>
      <c r="I662" t="inlineStr">
        <is>
          <t>N</t>
        </is>
      </c>
    </row>
    <row r="663">
      <c r="A663" t="inlineStr">
        <is>
          <t>LFC4802</t>
        </is>
      </c>
      <c r="B663" t="inlineStr">
        <is>
          <t>LFC4802</t>
        </is>
      </c>
      <c r="C663" t="inlineStr">
        <is>
          <t>IKOSI KETU</t>
        </is>
      </c>
      <c r="D663" t="inlineStr">
        <is>
          <t>Y</t>
        </is>
      </c>
      <c r="E663" t="inlineStr">
        <is>
          <t>Y</t>
        </is>
      </c>
      <c r="F663" t="inlineStr">
        <is>
          <t>2</t>
        </is>
      </c>
      <c r="G663" t="inlineStr">
        <is>
          <t>53 Ikosi Road, Ikosi Ketu</t>
        </is>
      </c>
      <c r="H663" t="inlineStr">
        <is>
          <t>Existing</t>
        </is>
      </c>
      <c r="I663" t="inlineStr">
        <is>
          <t>N</t>
        </is>
      </c>
    </row>
    <row r="664">
      <c r="A664" t="inlineStr">
        <is>
          <t>LFC4803</t>
        </is>
      </c>
      <c r="B664" t="inlineStr">
        <is>
          <t>LFC4803</t>
        </is>
      </c>
      <c r="C664" t="inlineStr">
        <is>
          <t>IKOSI KETU</t>
        </is>
      </c>
      <c r="D664" t="inlineStr">
        <is>
          <t>N</t>
        </is>
      </c>
      <c r="E664" t="inlineStr">
        <is>
          <t>Y</t>
        </is>
      </c>
      <c r="F664" t="inlineStr">
        <is>
          <t>3</t>
        </is>
      </c>
      <c r="G664" t="inlineStr">
        <is>
          <t>40 Owodduni Street, Ikosi Ketu</t>
        </is>
      </c>
      <c r="H664" t="inlineStr">
        <is>
          <t>Existing</t>
        </is>
      </c>
      <c r="I664" t="inlineStr">
        <is>
          <t>N</t>
        </is>
      </c>
    </row>
    <row r="665">
      <c r="A665" t="inlineStr">
        <is>
          <t>LFC4804</t>
        </is>
      </c>
      <c r="B665" t="inlineStr">
        <is>
          <t>LFC4804</t>
        </is>
      </c>
      <c r="C665" t="inlineStr">
        <is>
          <t>IKOSI KETU</t>
        </is>
      </c>
      <c r="D665" t="inlineStr">
        <is>
          <t>Y</t>
        </is>
      </c>
      <c r="E665" t="inlineStr">
        <is>
          <t>Y</t>
        </is>
      </c>
      <c r="F665" t="inlineStr">
        <is>
          <t>4</t>
        </is>
      </c>
      <c r="G665" t="inlineStr">
        <is>
          <t>69 Agboyi Road, Lagoon Estate Ogudu</t>
        </is>
      </c>
      <c r="H665" t="inlineStr">
        <is>
          <t>Existing</t>
        </is>
      </c>
      <c r="I665" t="inlineStr">
        <is>
          <t>N</t>
        </is>
      </c>
    </row>
    <row r="666">
      <c r="A666" t="inlineStr">
        <is>
          <t>LFC4805</t>
        </is>
      </c>
      <c r="B666" t="inlineStr">
        <is>
          <t>LFC4805</t>
        </is>
      </c>
      <c r="C666" t="inlineStr">
        <is>
          <t>IKOSI KETU</t>
        </is>
      </c>
      <c r="D666" t="inlineStr">
        <is>
          <t>N</t>
        </is>
      </c>
      <c r="E666" t="inlineStr">
        <is>
          <t>Y</t>
        </is>
      </c>
      <c r="F666" t="inlineStr">
        <is>
          <t>5</t>
        </is>
      </c>
      <c r="G666" t="inlineStr">
        <is>
          <t>29 Okunnowo Street, Ikosi Ketu</t>
        </is>
      </c>
      <c r="H666" t="inlineStr">
        <is>
          <t>Existing</t>
        </is>
      </c>
      <c r="I666" t="inlineStr">
        <is>
          <t>N</t>
        </is>
      </c>
    </row>
    <row r="667">
      <c r="A667" t="inlineStr">
        <is>
          <t>LFC4806</t>
        </is>
      </c>
      <c r="B667" t="inlineStr">
        <is>
          <t>LFC4806</t>
        </is>
      </c>
      <c r="C667" t="inlineStr">
        <is>
          <t>IKOSI KETU</t>
        </is>
      </c>
      <c r="D667" t="inlineStr">
        <is>
          <t>Y</t>
        </is>
      </c>
      <c r="E667" t="inlineStr">
        <is>
          <t>Y</t>
        </is>
      </c>
      <c r="F667" t="inlineStr">
        <is>
          <t>6</t>
        </is>
      </c>
      <c r="G667" t="inlineStr">
        <is>
          <t>113 DEMURIN STREET ALAPERE KETU</t>
        </is>
      </c>
      <c r="H667" t="inlineStr">
        <is>
          <t>Existing</t>
        </is>
      </c>
      <c r="I667" t="inlineStr">
        <is>
          <t>N</t>
        </is>
      </c>
    </row>
    <row r="668">
      <c r="A668" t="inlineStr">
        <is>
          <t>LFC4807</t>
        </is>
      </c>
      <c r="B668" t="inlineStr">
        <is>
          <t>LFC4807</t>
        </is>
      </c>
      <c r="C668" t="inlineStr">
        <is>
          <t>IKOSI KETU</t>
        </is>
      </c>
      <c r="D668" t="inlineStr">
        <is>
          <t>N</t>
        </is>
      </c>
      <c r="E668" t="inlineStr">
        <is>
          <t>Y</t>
        </is>
      </c>
      <c r="F668" t="inlineStr">
        <is>
          <t>7</t>
        </is>
      </c>
      <c r="G668" t="inlineStr">
        <is>
          <t>39/41 Adisa Akintoye Close, Ketu</t>
        </is>
      </c>
      <c r="H668" t="inlineStr">
        <is>
          <t>Existing</t>
        </is>
      </c>
      <c r="I668" t="inlineStr">
        <is>
          <t>N</t>
        </is>
      </c>
    </row>
    <row r="669">
      <c r="A669" t="inlineStr">
        <is>
          <t>LFC4808</t>
        </is>
      </c>
      <c r="B669" t="inlineStr">
        <is>
          <t>LFC4808</t>
        </is>
      </c>
      <c r="C669" t="inlineStr">
        <is>
          <t>IKOSI KETU</t>
        </is>
      </c>
      <c r="D669" t="inlineStr">
        <is>
          <t>Y</t>
        </is>
      </c>
      <c r="E669" t="inlineStr">
        <is>
          <t>Y</t>
        </is>
      </c>
      <c r="F669" t="inlineStr">
        <is>
          <t>8</t>
        </is>
      </c>
      <c r="G669" t="inlineStr">
        <is>
          <t>3 Oluwakemi Street, Tantalizer Ketu</t>
        </is>
      </c>
      <c r="H669" t="inlineStr">
        <is>
          <t>Existing</t>
        </is>
      </c>
      <c r="I669" t="inlineStr">
        <is>
          <t>N</t>
        </is>
      </c>
    </row>
    <row r="670">
      <c r="A670" t="inlineStr">
        <is>
          <t>LFC4809</t>
        </is>
      </c>
      <c r="B670" t="inlineStr">
        <is>
          <t>LFC4809</t>
        </is>
      </c>
      <c r="C670" t="inlineStr">
        <is>
          <t>IKOSI KETU</t>
        </is>
      </c>
      <c r="D670" t="inlineStr">
        <is>
          <t>N</t>
        </is>
      </c>
      <c r="E670" t="inlineStr">
        <is>
          <t>Y</t>
        </is>
      </c>
      <c r="F670" t="inlineStr">
        <is>
          <t>9</t>
        </is>
      </c>
      <c r="G670" t="inlineStr">
        <is>
          <t>1, Emenike Close, Ikosi Ketu</t>
        </is>
      </c>
      <c r="H670" t="inlineStr">
        <is>
          <t>Existing</t>
        </is>
      </c>
      <c r="I670" t="inlineStr">
        <is>
          <t>N</t>
        </is>
      </c>
    </row>
    <row r="671">
      <c r="A671" t="inlineStr">
        <is>
          <t>LFC4901</t>
        </is>
      </c>
      <c r="B671" t="inlineStr">
        <is>
          <t>LFC4901</t>
        </is>
      </c>
      <c r="C671" t="inlineStr">
        <is>
          <t>MAGODO GRA</t>
        </is>
      </c>
      <c r="D671" t="inlineStr">
        <is>
          <t>Y</t>
        </is>
      </c>
      <c r="E671" t="inlineStr">
        <is>
          <t>Y</t>
        </is>
      </c>
      <c r="F671" t="inlineStr">
        <is>
          <t>1</t>
        </is>
      </c>
      <c r="G671" t="inlineStr">
        <is>
          <t>64, BASHIRU SHITTU STREET MAGODO</t>
        </is>
      </c>
      <c r="H671" t="inlineStr">
        <is>
          <t>Existing</t>
        </is>
      </c>
      <c r="I671" t="inlineStr">
        <is>
          <t>N</t>
        </is>
      </c>
    </row>
    <row r="672">
      <c r="A672" t="inlineStr">
        <is>
          <t>LFC4902</t>
        </is>
      </c>
      <c r="B672" t="inlineStr">
        <is>
          <t>LFC4902</t>
        </is>
      </c>
      <c r="C672" t="inlineStr">
        <is>
          <t>MAGODO GRA</t>
        </is>
      </c>
      <c r="D672" t="inlineStr">
        <is>
          <t>Y</t>
        </is>
      </c>
      <c r="E672" t="inlineStr">
        <is>
          <t>Y</t>
        </is>
      </c>
      <c r="F672" t="inlineStr">
        <is>
          <t>2</t>
        </is>
      </c>
      <c r="G672" t="inlineStr">
        <is>
          <t>3, OLUSOLA ASHAYE STREET, OFF DEMURIN STR, KETU.</t>
        </is>
      </c>
      <c r="H672" t="inlineStr">
        <is>
          <t>Existing</t>
        </is>
      </c>
      <c r="I672" t="inlineStr">
        <is>
          <t>N</t>
        </is>
      </c>
    </row>
    <row r="673">
      <c r="A673" t="inlineStr">
        <is>
          <t>LFC4903</t>
        </is>
      </c>
      <c r="B673" t="inlineStr">
        <is>
          <t>LFC4903</t>
        </is>
      </c>
      <c r="C673" t="inlineStr">
        <is>
          <t>MAGODO GRA</t>
        </is>
      </c>
      <c r="D673" t="inlineStr">
        <is>
          <t>N</t>
        </is>
      </c>
      <c r="E673" t="inlineStr">
        <is>
          <t>Y</t>
        </is>
      </c>
      <c r="F673" t="inlineStr">
        <is>
          <t>3</t>
        </is>
      </c>
      <c r="G673" t="inlineStr">
        <is>
          <t>71/73 AGBOYI ROAD, ALAPERE, KETU</t>
        </is>
      </c>
      <c r="H673" t="inlineStr">
        <is>
          <t>Existing</t>
        </is>
      </c>
      <c r="I673" t="inlineStr">
        <is>
          <t>N</t>
        </is>
      </c>
    </row>
    <row r="674">
      <c r="A674" t="inlineStr">
        <is>
          <t>LFC4904</t>
        </is>
      </c>
      <c r="B674" t="inlineStr">
        <is>
          <t>LFC4904</t>
        </is>
      </c>
      <c r="C674" t="inlineStr">
        <is>
          <t>MAGODO GRA</t>
        </is>
      </c>
      <c r="D674" t="inlineStr">
        <is>
          <t>N</t>
        </is>
      </c>
      <c r="E674" t="inlineStr">
        <is>
          <t>Y</t>
        </is>
      </c>
      <c r="F674" t="inlineStr">
        <is>
          <t>4</t>
        </is>
      </c>
      <c r="G674" t="inlineStr">
        <is>
          <t>5, OGUNBANIWO, KETU ALAPERE</t>
        </is>
      </c>
      <c r="H674" t="inlineStr">
        <is>
          <t>Existing</t>
        </is>
      </c>
      <c r="I674" t="inlineStr">
        <is>
          <t>N</t>
        </is>
      </c>
    </row>
    <row r="675">
      <c r="A675" t="inlineStr">
        <is>
          <t>LFC4905</t>
        </is>
      </c>
      <c r="B675" t="inlineStr">
        <is>
          <t>LFC4905</t>
        </is>
      </c>
      <c r="C675" t="inlineStr">
        <is>
          <t>MAGODO GRA</t>
        </is>
      </c>
      <c r="D675" t="inlineStr">
        <is>
          <t>N</t>
        </is>
      </c>
      <c r="E675" t="inlineStr">
        <is>
          <t>Y</t>
        </is>
      </c>
      <c r="F675" t="inlineStr">
        <is>
          <t>5</t>
        </is>
      </c>
      <c r="G675" t="inlineStr">
        <is>
          <t>Agboyi 1 Across the River</t>
        </is>
      </c>
      <c r="H675" t="inlineStr">
        <is>
          <t>Existing</t>
        </is>
      </c>
      <c r="I675" t="inlineStr">
        <is>
          <t>N</t>
        </is>
      </c>
    </row>
    <row r="676">
      <c r="A676" t="inlineStr">
        <is>
          <t>LFC4906</t>
        </is>
      </c>
      <c r="B676" t="inlineStr">
        <is>
          <t>LFC4906</t>
        </is>
      </c>
      <c r="C676" t="inlineStr">
        <is>
          <t>MAGODO GRA</t>
        </is>
      </c>
      <c r="D676" t="inlineStr">
        <is>
          <t>N</t>
        </is>
      </c>
      <c r="E676" t="inlineStr">
        <is>
          <t>Y</t>
        </is>
      </c>
      <c r="F676" t="inlineStr">
        <is>
          <t>6</t>
        </is>
      </c>
      <c r="G676" t="inlineStr">
        <is>
          <t>56, ASSOCIATION STREET, SHANGISHA</t>
        </is>
      </c>
      <c r="H676" t="inlineStr">
        <is>
          <t>Existing</t>
        </is>
      </c>
      <c r="I676" t="inlineStr">
        <is>
          <t>N</t>
        </is>
      </c>
    </row>
    <row r="677">
      <c r="A677" t="inlineStr">
        <is>
          <t>LFC4907</t>
        </is>
      </c>
      <c r="B677" t="inlineStr">
        <is>
          <t>LFC4907</t>
        </is>
      </c>
      <c r="C677" t="inlineStr">
        <is>
          <t>MAGODO GRA</t>
        </is>
      </c>
      <c r="D677" t="inlineStr">
        <is>
          <t>Y</t>
        </is>
      </c>
      <c r="E677" t="inlineStr">
        <is>
          <t>Y</t>
        </is>
      </c>
      <c r="F677" t="inlineStr">
        <is>
          <t>7</t>
        </is>
      </c>
      <c r="G677" t="inlineStr">
        <is>
          <t>40 AINA ROAD, AGILITI, MILE 12, LAGOS</t>
        </is>
      </c>
      <c r="H677" t="inlineStr">
        <is>
          <t>Existing</t>
        </is>
      </c>
      <c r="I677" t="inlineStr">
        <is>
          <t>N</t>
        </is>
      </c>
    </row>
    <row r="678">
      <c r="A678" t="inlineStr">
        <is>
          <t>LFC4908</t>
        </is>
      </c>
      <c r="B678" t="inlineStr">
        <is>
          <t>LFC4908</t>
        </is>
      </c>
      <c r="C678" t="inlineStr">
        <is>
          <t>MAGODO GRA</t>
        </is>
      </c>
      <c r="D678" t="inlineStr">
        <is>
          <t>Y</t>
        </is>
      </c>
      <c r="E678" t="inlineStr">
        <is>
          <t>Y</t>
        </is>
      </c>
      <c r="F678" t="inlineStr">
        <is>
          <t>8</t>
        </is>
      </c>
      <c r="G678" t="inlineStr">
        <is>
          <t>1, UNITY AVENUE OWODE-ONIRIN</t>
        </is>
      </c>
      <c r="H678" t="inlineStr">
        <is>
          <t>Existing</t>
        </is>
      </c>
      <c r="I678" t="inlineStr">
        <is>
          <t>N</t>
        </is>
      </c>
    </row>
    <row r="679">
      <c r="A679" t="inlineStr">
        <is>
          <t>LFC4909</t>
        </is>
      </c>
      <c r="B679" t="inlineStr">
        <is>
          <t>LFC4909</t>
        </is>
      </c>
      <c r="C679" t="inlineStr">
        <is>
          <t>MAGODO GRA</t>
        </is>
      </c>
      <c r="D679" t="inlineStr">
        <is>
          <t>Y</t>
        </is>
      </c>
      <c r="E679" t="inlineStr">
        <is>
          <t>Y</t>
        </is>
      </c>
      <c r="F679" t="inlineStr">
        <is>
          <t>9</t>
        </is>
      </c>
      <c r="G679" t="inlineStr">
        <is>
          <t>12, Church Avenue, Off Adebimpe Street, Mile 12</t>
        </is>
      </c>
      <c r="H679" t="inlineStr">
        <is>
          <t>Existing</t>
        </is>
      </c>
      <c r="I679" t="inlineStr">
        <is>
          <t>N</t>
        </is>
      </c>
    </row>
    <row r="680">
      <c r="A680" t="inlineStr">
        <is>
          <t>LFC4910</t>
        </is>
      </c>
      <c r="B680" t="inlineStr">
        <is>
          <t>LFC4910</t>
        </is>
      </c>
      <c r="C680" t="inlineStr">
        <is>
          <t>MAGODO GRA</t>
        </is>
      </c>
      <c r="D680" t="inlineStr">
        <is>
          <t>N</t>
        </is>
      </c>
      <c r="E680" t="inlineStr">
        <is>
          <t>Y</t>
        </is>
      </c>
      <c r="F680" t="inlineStr">
        <is>
          <t>10</t>
        </is>
      </c>
      <c r="G680" t="inlineStr">
        <is>
          <t>76, ALHJ. AMOO STR. OJOTA</t>
        </is>
      </c>
      <c r="H680" t="inlineStr">
        <is>
          <t>Existing</t>
        </is>
      </c>
      <c r="I680" t="inlineStr">
        <is>
          <t>N</t>
        </is>
      </c>
    </row>
    <row r="681">
      <c r="A681" t="inlineStr">
        <is>
          <t>LFC5001</t>
        </is>
      </c>
      <c r="B681" t="inlineStr">
        <is>
          <t>LFC5001</t>
        </is>
      </c>
      <c r="C681" t="inlineStr">
        <is>
          <t>OKOKOMAIKO</t>
        </is>
      </c>
      <c r="D681" t="inlineStr">
        <is>
          <t>Y</t>
        </is>
      </c>
      <c r="E681" t="inlineStr">
        <is>
          <t>Y</t>
        </is>
      </c>
      <c r="F681" t="inlineStr">
        <is>
          <t>1</t>
        </is>
      </c>
      <c r="G681" t="inlineStr">
        <is>
          <t>40 AKA ROAD OKOKOMAIKO</t>
        </is>
      </c>
      <c r="H681" t="inlineStr">
        <is>
          <t>Existing</t>
        </is>
      </c>
      <c r="I681" t="inlineStr">
        <is>
          <t>N</t>
        </is>
      </c>
    </row>
    <row r="682">
      <c r="A682" t="inlineStr">
        <is>
          <t>LFC5002</t>
        </is>
      </c>
      <c r="B682" t="inlineStr">
        <is>
          <t>LFC5002</t>
        </is>
      </c>
      <c r="C682" t="inlineStr">
        <is>
          <t>OKOKOMAIKO</t>
        </is>
      </c>
      <c r="D682" t="inlineStr">
        <is>
          <t>Y</t>
        </is>
      </c>
      <c r="E682" t="inlineStr">
        <is>
          <t>Y</t>
        </is>
      </c>
      <c r="F682" t="inlineStr">
        <is>
          <t>2</t>
        </is>
      </c>
      <c r="G682" t="inlineStr">
        <is>
          <t>23, RAJI ADEOLA STREET,JAKANDE</t>
        </is>
      </c>
      <c r="H682" t="inlineStr">
        <is>
          <t>Existing</t>
        </is>
      </c>
      <c r="I682" t="inlineStr">
        <is>
          <t>N</t>
        </is>
      </c>
    </row>
    <row r="683">
      <c r="A683" t="inlineStr">
        <is>
          <t>LFC5003</t>
        </is>
      </c>
      <c r="B683" t="inlineStr">
        <is>
          <t>LFC5003</t>
        </is>
      </c>
      <c r="C683" t="inlineStr">
        <is>
          <t>OKOKOMAIKO</t>
        </is>
      </c>
      <c r="D683" t="inlineStr">
        <is>
          <t>Y</t>
        </is>
      </c>
      <c r="E683" t="inlineStr">
        <is>
          <t>Y</t>
        </is>
      </c>
      <c r="F683" t="inlineStr">
        <is>
          <t>3</t>
        </is>
      </c>
      <c r="G683" t="inlineStr">
        <is>
          <t>17,OLATUNJI STREET,SABO,ALABA</t>
        </is>
      </c>
      <c r="H683" t="inlineStr">
        <is>
          <t>Existing</t>
        </is>
      </c>
      <c r="I683" t="inlineStr">
        <is>
          <t>N</t>
        </is>
      </c>
    </row>
    <row r="684">
      <c r="A684" t="inlineStr">
        <is>
          <t>LFC5004</t>
        </is>
      </c>
      <c r="B684" t="inlineStr">
        <is>
          <t>LFC5004</t>
        </is>
      </c>
      <c r="C684" t="inlineStr">
        <is>
          <t>OKOKOMAIKO</t>
        </is>
      </c>
      <c r="D684" t="inlineStr">
        <is>
          <t>Y</t>
        </is>
      </c>
      <c r="E684" t="inlineStr">
        <is>
          <t>Y</t>
        </is>
      </c>
      <c r="F684" t="inlineStr">
        <is>
          <t>4</t>
        </is>
      </c>
      <c r="G684" t="inlineStr">
        <is>
          <t>1, OTUNBA CLOSE, IGBEDE ROAD, IGBEDE</t>
        </is>
      </c>
      <c r="H684" t="inlineStr">
        <is>
          <t>Existing</t>
        </is>
      </c>
      <c r="I684" t="inlineStr">
        <is>
          <t>N</t>
        </is>
      </c>
    </row>
    <row r="685">
      <c r="A685" t="inlineStr">
        <is>
          <t>LFC5005</t>
        </is>
      </c>
      <c r="B685" t="inlineStr">
        <is>
          <t>LFC5005</t>
        </is>
      </c>
      <c r="C685" t="inlineStr">
        <is>
          <t>OKOKOMAIKO</t>
        </is>
      </c>
      <c r="D685" t="inlineStr">
        <is>
          <t>Y</t>
        </is>
      </c>
      <c r="E685" t="inlineStr">
        <is>
          <t>Y</t>
        </is>
      </c>
      <c r="F685" t="inlineStr">
        <is>
          <t>5</t>
        </is>
      </c>
      <c r="G685" t="inlineStr">
        <is>
          <t>26,TAIWO AKINBODE, AJANGBADI</t>
        </is>
      </c>
      <c r="H685" t="inlineStr">
        <is>
          <t>Existing</t>
        </is>
      </c>
      <c r="I685" t="inlineStr">
        <is>
          <t>N</t>
        </is>
      </c>
    </row>
    <row r="686">
      <c r="A686" t="inlineStr">
        <is>
          <t>LFC5006</t>
        </is>
      </c>
      <c r="B686" t="inlineStr">
        <is>
          <t>LFC5006</t>
        </is>
      </c>
      <c r="C686" t="inlineStr">
        <is>
          <t>OKOKOMAIKO</t>
        </is>
      </c>
      <c r="D686" t="inlineStr">
        <is>
          <t>N</t>
        </is>
      </c>
      <c r="E686" t="inlineStr">
        <is>
          <t>Y</t>
        </is>
      </c>
      <c r="F686" t="inlineStr">
        <is>
          <t>6</t>
        </is>
      </c>
      <c r="G686" t="inlineStr">
        <is>
          <t>55, MOROGBO STREET,JAKANDE</t>
        </is>
      </c>
      <c r="H686" t="inlineStr">
        <is>
          <t>Existing</t>
        </is>
      </c>
      <c r="I686" t="inlineStr">
        <is>
          <t>N</t>
        </is>
      </c>
    </row>
    <row r="687">
      <c r="A687" t="inlineStr">
        <is>
          <t>LFC5007</t>
        </is>
      </c>
      <c r="B687" t="inlineStr">
        <is>
          <t>LFC5007</t>
        </is>
      </c>
      <c r="C687" t="inlineStr">
        <is>
          <t>OKOKOMAIKO</t>
        </is>
      </c>
      <c r="D687" t="inlineStr">
        <is>
          <t>Y</t>
        </is>
      </c>
      <c r="E687" t="inlineStr">
        <is>
          <t>Y</t>
        </is>
      </c>
      <c r="F687" t="inlineStr">
        <is>
          <t>7</t>
        </is>
      </c>
      <c r="G687" t="inlineStr">
        <is>
          <t>D63 POST SERVICE SERVICE ESTATE</t>
        </is>
      </c>
      <c r="H687" t="inlineStr">
        <is>
          <t>Existing</t>
        </is>
      </c>
      <c r="I687" t="inlineStr">
        <is>
          <t>N</t>
        </is>
      </c>
    </row>
    <row r="688">
      <c r="A688" t="inlineStr">
        <is>
          <t>LFC5008</t>
        </is>
      </c>
      <c r="B688" t="inlineStr">
        <is>
          <t>LFC5008</t>
        </is>
      </c>
      <c r="C688" t="inlineStr">
        <is>
          <t>OKOKOMAIKO</t>
        </is>
      </c>
      <c r="D688" t="inlineStr">
        <is>
          <t>Y</t>
        </is>
      </c>
      <c r="E688" t="inlineStr">
        <is>
          <t>Y</t>
        </is>
      </c>
      <c r="F688" t="inlineStr">
        <is>
          <t>8</t>
        </is>
      </c>
      <c r="G688" t="inlineStr">
        <is>
          <t>3,TAIWO DAUDU STREET,PPL,OKOKO</t>
        </is>
      </c>
      <c r="H688" t="inlineStr">
        <is>
          <t>Existing</t>
        </is>
      </c>
      <c r="I688" t="inlineStr">
        <is>
          <t>N</t>
        </is>
      </c>
    </row>
    <row r="689">
      <c r="A689" t="inlineStr">
        <is>
          <t>LFC5009</t>
        </is>
      </c>
      <c r="B689" t="inlineStr">
        <is>
          <t>LFC5009</t>
        </is>
      </c>
      <c r="C689" t="inlineStr">
        <is>
          <t>OKOKOMAIKO</t>
        </is>
      </c>
      <c r="D689" t="inlineStr">
        <is>
          <t>Y</t>
        </is>
      </c>
      <c r="E689" t="inlineStr">
        <is>
          <t>Y</t>
        </is>
      </c>
      <c r="F689" t="inlineStr">
        <is>
          <t>9</t>
        </is>
      </c>
      <c r="G689" t="inlineStr">
        <is>
          <t>ION PETROL STATION,AJANGBADI</t>
        </is>
      </c>
      <c r="H689" t="inlineStr">
        <is>
          <t>Existing</t>
        </is>
      </c>
      <c r="I689" t="inlineStr">
        <is>
          <t>N</t>
        </is>
      </c>
    </row>
    <row r="690">
      <c r="A690" t="inlineStr">
        <is>
          <t>LFC5010</t>
        </is>
      </c>
      <c r="B690" t="inlineStr">
        <is>
          <t>LFC5010</t>
        </is>
      </c>
      <c r="C690" t="inlineStr">
        <is>
          <t>OKOKOMAIKO</t>
        </is>
      </c>
      <c r="D690" t="inlineStr">
        <is>
          <t>N</t>
        </is>
      </c>
      <c r="E690" t="inlineStr">
        <is>
          <t>Y</t>
        </is>
      </c>
      <c r="F690" t="inlineStr">
        <is>
          <t>10</t>
        </is>
      </c>
      <c r="G690" t="inlineStr">
        <is>
          <t>61,CHURCH AVENUE,AJANGBADI</t>
        </is>
      </c>
      <c r="H690" t="inlineStr">
        <is>
          <t>Existing</t>
        </is>
      </c>
      <c r="I690" t="inlineStr">
        <is>
          <t>N</t>
        </is>
      </c>
    </row>
    <row r="691">
      <c r="A691" t="inlineStr">
        <is>
          <t>LFC5011</t>
        </is>
      </c>
      <c r="B691" t="inlineStr">
        <is>
          <t>LFC5011</t>
        </is>
      </c>
      <c r="C691" t="inlineStr">
        <is>
          <t>OKOKOMAIKO</t>
        </is>
      </c>
      <c r="D691" t="inlineStr">
        <is>
          <t>Y</t>
        </is>
      </c>
      <c r="E691" t="inlineStr">
        <is>
          <t>Y</t>
        </is>
      </c>
      <c r="F691" t="inlineStr">
        <is>
          <t>11</t>
        </is>
      </c>
      <c r="G691" t="inlineStr">
        <is>
          <t>48 ILOGBO ROAD,AMAI COLLEGE</t>
        </is>
      </c>
      <c r="H691" t="inlineStr">
        <is>
          <t>Existing</t>
        </is>
      </c>
      <c r="I691" t="inlineStr">
        <is>
          <t>N</t>
        </is>
      </c>
    </row>
    <row r="692">
      <c r="A692" t="inlineStr">
        <is>
          <t>LFC5012</t>
        </is>
      </c>
      <c r="B692" t="inlineStr">
        <is>
          <t>LFC5012</t>
        </is>
      </c>
      <c r="C692" t="inlineStr">
        <is>
          <t>OKOKOMAIKO</t>
        </is>
      </c>
      <c r="D692" t="inlineStr">
        <is>
          <t>N</t>
        </is>
      </c>
      <c r="E692" t="inlineStr">
        <is>
          <t>Y</t>
        </is>
      </c>
      <c r="F692" t="inlineStr">
        <is>
          <t>12</t>
        </is>
      </c>
      <c r="G692" t="inlineStr">
        <is>
          <t>1,JAMES ADENUGA STREET,CELE,OKOKO</t>
        </is>
      </c>
      <c r="H692" t="inlineStr">
        <is>
          <t>New (proposed)</t>
        </is>
      </c>
      <c r="I692" t="inlineStr">
        <is>
          <t>N</t>
        </is>
      </c>
    </row>
    <row r="693">
      <c r="A693" t="inlineStr">
        <is>
          <t>LFC5101</t>
        </is>
      </c>
      <c r="B693" t="inlineStr">
        <is>
          <t>LFC5101</t>
        </is>
      </c>
      <c r="C693" t="inlineStr">
        <is>
          <t>AGBARA</t>
        </is>
      </c>
      <c r="D693" t="inlineStr">
        <is>
          <t>Y</t>
        </is>
      </c>
      <c r="E693" t="inlineStr">
        <is>
          <t>Y</t>
        </is>
      </c>
      <c r="F693" t="inlineStr">
        <is>
          <t>1</t>
        </is>
      </c>
      <c r="G693" t="inlineStr">
        <is>
          <t>AREA 8, OPIC ESTATE, AGBARA</t>
        </is>
      </c>
      <c r="H693" t="inlineStr">
        <is>
          <t>Existing</t>
        </is>
      </c>
      <c r="I693" t="inlineStr">
        <is>
          <t>N</t>
        </is>
      </c>
    </row>
    <row r="694">
      <c r="A694" t="inlineStr">
        <is>
          <t>LFC5102</t>
        </is>
      </c>
      <c r="B694" t="inlineStr">
        <is>
          <t>LFC5102</t>
        </is>
      </c>
      <c r="C694" t="inlineStr">
        <is>
          <t>AGBARA</t>
        </is>
      </c>
      <c r="D694" t="inlineStr">
        <is>
          <t>N</t>
        </is>
      </c>
      <c r="E694" t="inlineStr">
        <is>
          <t>Y</t>
        </is>
      </c>
      <c r="F694" t="inlineStr">
        <is>
          <t>2</t>
        </is>
      </c>
      <c r="G694" t="inlineStr">
        <is>
          <t>PLOT , BLK I, OPIC EST. IHUNSA ZONAL CENTRE</t>
        </is>
      </c>
      <c r="H694" t="inlineStr">
        <is>
          <t>Existing</t>
        </is>
      </c>
      <c r="I694" t="inlineStr">
        <is>
          <t>N</t>
        </is>
      </c>
    </row>
    <row r="695">
      <c r="A695" t="inlineStr">
        <is>
          <t>LFC5103</t>
        </is>
      </c>
      <c r="B695" t="inlineStr">
        <is>
          <t>LFC5103</t>
        </is>
      </c>
      <c r="C695" t="inlineStr">
        <is>
          <t>AGBARA</t>
        </is>
      </c>
      <c r="D695" t="inlineStr">
        <is>
          <t>Y</t>
        </is>
      </c>
      <c r="E695" t="inlineStr">
        <is>
          <t>Y</t>
        </is>
      </c>
      <c r="F695" t="inlineStr">
        <is>
          <t>3</t>
        </is>
      </c>
      <c r="G695" t="inlineStr">
        <is>
          <t>Saminu Gbadamosu St - Ago -Eto</t>
        </is>
      </c>
      <c r="H695" t="inlineStr">
        <is>
          <t>Existing</t>
        </is>
      </c>
      <c r="I695" t="inlineStr">
        <is>
          <t>N</t>
        </is>
      </c>
    </row>
    <row r="696">
      <c r="A696" t="inlineStr">
        <is>
          <t>LFC5104</t>
        </is>
      </c>
      <c r="B696" t="inlineStr">
        <is>
          <t>LFC5104</t>
        </is>
      </c>
      <c r="C696" t="inlineStr">
        <is>
          <t>AGBARA</t>
        </is>
      </c>
      <c r="D696" t="inlineStr">
        <is>
          <t>N</t>
        </is>
      </c>
      <c r="E696" t="inlineStr">
        <is>
          <t>Y</t>
        </is>
      </c>
      <c r="F696" t="inlineStr">
        <is>
          <t>4</t>
        </is>
      </c>
      <c r="G696" t="inlineStr">
        <is>
          <t>No 10 Opobo Crescent, Agbara Estate</t>
        </is>
      </c>
      <c r="H696" t="inlineStr">
        <is>
          <t>Existing</t>
        </is>
      </c>
      <c r="I696" t="inlineStr">
        <is>
          <t>N</t>
        </is>
      </c>
    </row>
    <row r="697">
      <c r="A697" t="inlineStr">
        <is>
          <t>LFC5105</t>
        </is>
      </c>
      <c r="B697" t="inlineStr">
        <is>
          <t>LFC5105</t>
        </is>
      </c>
      <c r="C697" t="inlineStr">
        <is>
          <t>AGBARA</t>
        </is>
      </c>
      <c r="D697" t="inlineStr">
        <is>
          <t>N</t>
        </is>
      </c>
      <c r="E697" t="inlineStr">
        <is>
          <t>Y</t>
        </is>
      </c>
      <c r="F697" t="inlineStr">
        <is>
          <t>5</t>
        </is>
      </c>
      <c r="G697" t="inlineStr">
        <is>
          <t>Igbey Stret, Ilutuntun, Agbara</t>
        </is>
      </c>
      <c r="H697" t="inlineStr">
        <is>
          <t>Existing</t>
        </is>
      </c>
      <c r="I697" t="inlineStr">
        <is>
          <t>N</t>
        </is>
      </c>
    </row>
    <row r="698">
      <c r="A698" t="inlineStr">
        <is>
          <t>LFC5106</t>
        </is>
      </c>
      <c r="B698" t="inlineStr">
        <is>
          <t>LFC5106</t>
        </is>
      </c>
      <c r="C698" t="inlineStr">
        <is>
          <t>AGBARA</t>
        </is>
      </c>
      <c r="D698" t="inlineStr">
        <is>
          <t>N</t>
        </is>
      </c>
      <c r="E698" t="inlineStr">
        <is>
          <t>Y</t>
        </is>
      </c>
      <c r="F698" t="inlineStr">
        <is>
          <t>6</t>
        </is>
      </c>
      <c r="G698" t="inlineStr">
        <is>
          <t>Eagle Wings Beside Malibu Hotel, Odan Agbara</t>
        </is>
      </c>
      <c r="H698" t="inlineStr">
        <is>
          <t>Existing</t>
        </is>
      </c>
      <c r="I698" t="inlineStr">
        <is>
          <t>N</t>
        </is>
      </c>
    </row>
    <row r="699">
      <c r="A699" t="inlineStr">
        <is>
          <t>LFC5107</t>
        </is>
      </c>
      <c r="B699" t="inlineStr">
        <is>
          <t>LFC5107</t>
        </is>
      </c>
      <c r="C699" t="inlineStr">
        <is>
          <t>AGBARA</t>
        </is>
      </c>
      <c r="D699" t="inlineStr">
        <is>
          <t>N</t>
        </is>
      </c>
      <c r="E699" t="inlineStr">
        <is>
          <t>Y</t>
        </is>
      </c>
      <c r="F699" t="inlineStr">
        <is>
          <t>7</t>
        </is>
      </c>
      <c r="G699" t="inlineStr">
        <is>
          <t>PETEDO, GOLDEN CITY COMMUNITY HALL</t>
        </is>
      </c>
      <c r="H699" t="inlineStr">
        <is>
          <t>Existing</t>
        </is>
      </c>
      <c r="I699" t="inlineStr">
        <is>
          <t>N</t>
        </is>
      </c>
    </row>
    <row r="700">
      <c r="A700" t="inlineStr">
        <is>
          <t>LFC5111</t>
        </is>
      </c>
      <c r="B700" t="inlineStr">
        <is>
          <t>LFC5111</t>
        </is>
      </c>
      <c r="C700" t="inlineStr">
        <is>
          <t>AGBARA</t>
        </is>
      </c>
      <c r="D700" t="inlineStr">
        <is>
          <t>Y</t>
        </is>
      </c>
      <c r="E700" t="inlineStr">
        <is>
          <t>Y</t>
        </is>
      </c>
      <c r="F700" t="inlineStr">
        <is>
          <t>8</t>
        </is>
      </c>
      <c r="G700" t="inlineStr">
        <is>
          <t>Plot 11 Cluster, Opic Estate, Igere - Agbara New Zone</t>
        </is>
      </c>
      <c r="H700" t="inlineStr">
        <is>
          <t>Existing</t>
        </is>
      </c>
      <c r="I700" t="inlineStr">
        <is>
          <t>N</t>
        </is>
      </c>
    </row>
    <row r="701">
      <c r="A701" t="inlineStr">
        <is>
          <t>LFC5112</t>
        </is>
      </c>
      <c r="B701" t="inlineStr">
        <is>
          <t>LFC5112</t>
        </is>
      </c>
      <c r="C701" t="inlineStr">
        <is>
          <t>AGBARA</t>
        </is>
      </c>
      <c r="D701" t="inlineStr">
        <is>
          <t>N</t>
        </is>
      </c>
      <c r="E701" t="inlineStr">
        <is>
          <t>Y</t>
        </is>
      </c>
      <c r="F701" t="inlineStr">
        <is>
          <t>9</t>
        </is>
      </c>
      <c r="G701" t="inlineStr">
        <is>
          <t>Road 457, Plot 40, Ambassador Str, Area 1. Opic Estate (New Zonal Center)</t>
        </is>
      </c>
      <c r="H701" t="inlineStr">
        <is>
          <t>Existing</t>
        </is>
      </c>
      <c r="I701" t="inlineStr">
        <is>
          <t>N</t>
        </is>
      </c>
    </row>
    <row r="702">
      <c r="A702" t="inlineStr">
        <is>
          <t>LFC5113</t>
        </is>
      </c>
      <c r="B702" t="inlineStr">
        <is>
          <t>LFC5113</t>
        </is>
      </c>
      <c r="C702" t="inlineStr">
        <is>
          <t>AGBARA</t>
        </is>
      </c>
      <c r="D702" t="inlineStr">
        <is>
          <t>Y</t>
        </is>
      </c>
      <c r="E702" t="inlineStr">
        <is>
          <t>Y</t>
        </is>
      </c>
      <c r="F702" t="inlineStr">
        <is>
          <t>10</t>
        </is>
      </c>
      <c r="G702" t="inlineStr">
        <is>
          <t>Idanyin Community, Idanyin</t>
        </is>
      </c>
      <c r="H702" t="inlineStr">
        <is>
          <t>Existing</t>
        </is>
      </c>
      <c r="I702" t="inlineStr">
        <is>
          <t>Y</t>
        </is>
      </c>
    </row>
    <row r="703">
      <c r="A703" t="inlineStr">
        <is>
          <t>LFC5114</t>
        </is>
      </c>
      <c r="B703" t="inlineStr">
        <is>
          <t>LFC5114</t>
        </is>
      </c>
      <c r="C703" t="inlineStr">
        <is>
          <t>AGBARA</t>
        </is>
      </c>
      <c r="D703" t="inlineStr">
        <is>
          <t>N</t>
        </is>
      </c>
      <c r="E703" t="inlineStr">
        <is>
          <t>Y</t>
        </is>
      </c>
      <c r="F703" t="inlineStr">
        <is>
          <t>14</t>
        </is>
      </c>
      <c r="G703" t="inlineStr">
        <is>
          <t>SMALL ROAD AREA 5 OPIC ESTATE</t>
        </is>
      </c>
      <c r="H703" t="inlineStr">
        <is>
          <t>From reporting system</t>
        </is>
      </c>
      <c r="I703" t="inlineStr">
        <is>
          <t>N</t>
        </is>
      </c>
    </row>
    <row r="704">
      <c r="A704" t="inlineStr">
        <is>
          <t>LFC5201</t>
        </is>
      </c>
      <c r="B704" t="inlineStr">
        <is>
          <t>LFC5201</t>
        </is>
      </c>
      <c r="C704" t="inlineStr">
        <is>
          <t>IDORAWA EDU</t>
        </is>
      </c>
      <c r="D704" t="inlineStr">
        <is>
          <t>Y</t>
        </is>
      </c>
      <c r="E704" t="inlineStr">
        <is>
          <t>Y</t>
        </is>
      </c>
      <c r="F704" t="inlineStr">
        <is>
          <t>1</t>
        </is>
      </c>
      <c r="G704" t="inlineStr">
        <is>
          <t>NO 2 OREMERI IDORAWA EDU</t>
        </is>
      </c>
      <c r="H704" t="inlineStr">
        <is>
          <t>Existing</t>
        </is>
      </c>
      <c r="I704" t="inlineStr">
        <is>
          <t>N</t>
        </is>
      </c>
    </row>
    <row r="705">
      <c r="A705" t="inlineStr">
        <is>
          <t>LFC5202</t>
        </is>
      </c>
      <c r="B705" t="inlineStr">
        <is>
          <t>LFC5202</t>
        </is>
      </c>
      <c r="C705" t="inlineStr">
        <is>
          <t>IDORAWA EDU</t>
        </is>
      </c>
      <c r="D705" t="inlineStr">
        <is>
          <t>N</t>
        </is>
      </c>
      <c r="E705" t="inlineStr">
        <is>
          <t>Y</t>
        </is>
      </c>
      <c r="F705" t="inlineStr">
        <is>
          <t>2</t>
        </is>
      </c>
      <c r="G705" t="inlineStr">
        <is>
          <t>EGUDU BAALE EDU</t>
        </is>
      </c>
      <c r="H705" t="inlineStr">
        <is>
          <t>Existing</t>
        </is>
      </c>
      <c r="I705" t="inlineStr">
        <is>
          <t>N</t>
        </is>
      </c>
    </row>
    <row r="706">
      <c r="A706" t="inlineStr">
        <is>
          <t>LFC5203</t>
        </is>
      </c>
      <c r="B706" t="inlineStr">
        <is>
          <t>LFC5203</t>
        </is>
      </c>
      <c r="C706" t="inlineStr">
        <is>
          <t>IDORAWA EDU</t>
        </is>
      </c>
      <c r="D706" t="inlineStr">
        <is>
          <t>N</t>
        </is>
      </c>
      <c r="E706" t="inlineStr">
        <is>
          <t>Y</t>
        </is>
      </c>
      <c r="F706" t="inlineStr">
        <is>
          <t>3</t>
        </is>
      </c>
      <c r="G706" t="inlineStr">
        <is>
          <t>GREENLEAF PURE WATER, CHINA FARM ROAD, IDORAWA</t>
        </is>
      </c>
      <c r="H706" t="inlineStr">
        <is>
          <t>Existing</t>
        </is>
      </c>
      <c r="I706" t="inlineStr">
        <is>
          <t>N</t>
        </is>
      </c>
    </row>
    <row r="707">
      <c r="A707" t="inlineStr">
        <is>
          <t>LFC5204</t>
        </is>
      </c>
      <c r="B707" t="inlineStr">
        <is>
          <t>LFC5204</t>
        </is>
      </c>
      <c r="C707" t="inlineStr">
        <is>
          <t>IDORAWA EDU</t>
        </is>
      </c>
      <c r="D707" t="inlineStr">
        <is>
          <t>N</t>
        </is>
      </c>
      <c r="E707" t="inlineStr">
        <is>
          <t>Y</t>
        </is>
      </c>
      <c r="F707" t="inlineStr">
        <is>
          <t>4</t>
        </is>
      </c>
      <c r="G707" t="inlineStr">
        <is>
          <t>AGBOGUN COMMUNITY, TRANSFORMER,EDU</t>
        </is>
      </c>
      <c r="H707" t="inlineStr">
        <is>
          <t>Existing</t>
        </is>
      </c>
      <c r="I707" t="inlineStr">
        <is>
          <t>N</t>
        </is>
      </c>
    </row>
    <row r="708">
      <c r="A708" t="inlineStr">
        <is>
          <t>LFC5205</t>
        </is>
      </c>
      <c r="B708" t="inlineStr">
        <is>
          <t>LFC5205</t>
        </is>
      </c>
      <c r="C708" t="inlineStr">
        <is>
          <t>IDORAWA EDU</t>
        </is>
      </c>
      <c r="D708" t="inlineStr">
        <is>
          <t>N</t>
        </is>
      </c>
      <c r="E708" t="inlineStr">
        <is>
          <t>Y</t>
        </is>
      </c>
      <c r="F708" t="inlineStr">
        <is>
          <t>5</t>
        </is>
      </c>
      <c r="G708" t="inlineStr">
        <is>
          <t>JOTECH SCHOOL, GAS LINE</t>
        </is>
      </c>
      <c r="H708" t="inlineStr">
        <is>
          <t>Existing</t>
        </is>
      </c>
      <c r="I708" t="inlineStr">
        <is>
          <t>N</t>
        </is>
      </c>
    </row>
    <row r="709">
      <c r="A709" t="inlineStr">
        <is>
          <t>LFC5206</t>
        </is>
      </c>
      <c r="B709" t="inlineStr">
        <is>
          <t>LFC5206</t>
        </is>
      </c>
      <c r="C709" t="inlineStr">
        <is>
          <t>IDORAWA EDU</t>
        </is>
      </c>
      <c r="D709" t="inlineStr">
        <is>
          <t>N</t>
        </is>
      </c>
      <c r="E709" t="inlineStr">
        <is>
          <t>Y</t>
        </is>
      </c>
      <c r="F709" t="inlineStr">
        <is>
          <t>6</t>
        </is>
      </c>
      <c r="G709" t="inlineStr">
        <is>
          <t>ARAROMI/AGO ETAN COMMUNITY</t>
        </is>
      </c>
      <c r="H709" t="inlineStr">
        <is>
          <t>Existing</t>
        </is>
      </c>
      <c r="I709" t="inlineStr">
        <is>
          <t>N</t>
        </is>
      </c>
    </row>
    <row r="710">
      <c r="A710" t="inlineStr">
        <is>
          <t>LFC5207</t>
        </is>
      </c>
      <c r="B710" t="inlineStr">
        <is>
          <t>LFC5207</t>
        </is>
      </c>
      <c r="C710" t="inlineStr">
        <is>
          <t>IDORAWA EDU</t>
        </is>
      </c>
      <c r="D710" t="inlineStr">
        <is>
          <t>N</t>
        </is>
      </c>
      <c r="E710" t="inlineStr">
        <is>
          <t>Y</t>
        </is>
      </c>
      <c r="F710" t="inlineStr">
        <is>
          <t>7</t>
        </is>
      </c>
      <c r="G710" t="inlineStr">
        <is>
          <t>ADEYEMI SASURE TOLU STREET</t>
        </is>
      </c>
      <c r="H710" t="inlineStr">
        <is>
          <t>Existing</t>
        </is>
      </c>
      <c r="I710" t="inlineStr">
        <is>
          <t>N</t>
        </is>
      </c>
    </row>
    <row r="711">
      <c r="A711" t="inlineStr">
        <is>
          <t>LFC5208</t>
        </is>
      </c>
      <c r="B711" t="inlineStr">
        <is>
          <t>LFC5208</t>
        </is>
      </c>
      <c r="C711" t="inlineStr">
        <is>
          <t>IDORAWA EDU</t>
        </is>
      </c>
      <c r="D711" t="inlineStr">
        <is>
          <t>Y</t>
        </is>
      </c>
      <c r="E711" t="inlineStr">
        <is>
          <t>Y</t>
        </is>
      </c>
      <c r="F711" t="inlineStr">
        <is>
          <t>8</t>
        </is>
      </c>
      <c r="G711" t="inlineStr">
        <is>
          <t>BABALOLA</t>
        </is>
      </c>
      <c r="H711" t="inlineStr">
        <is>
          <t>Existing</t>
        </is>
      </c>
      <c r="I711" t="inlineStr">
        <is>
          <t>N</t>
        </is>
      </c>
    </row>
    <row r="712">
      <c r="A712" t="inlineStr">
        <is>
          <t>LFC5209</t>
        </is>
      </c>
      <c r="B712" t="inlineStr">
        <is>
          <t>LFC5209</t>
        </is>
      </c>
      <c r="C712" t="inlineStr">
        <is>
          <t>IDORAWA EDU</t>
        </is>
      </c>
      <c r="D712" t="inlineStr">
        <is>
          <t>Y</t>
        </is>
      </c>
      <c r="E712" t="inlineStr">
        <is>
          <t>Y</t>
        </is>
      </c>
      <c r="F712" t="inlineStr">
        <is>
          <t>9</t>
        </is>
      </c>
      <c r="G712" t="inlineStr">
        <is>
          <t>BABANENE ORELOPE STREET</t>
        </is>
      </c>
      <c r="H712" t="inlineStr">
        <is>
          <t>Existing</t>
        </is>
      </c>
      <c r="I712" t="inlineStr">
        <is>
          <t>N</t>
        </is>
      </c>
    </row>
    <row r="713">
      <c r="A713" t="inlineStr">
        <is>
          <t>LFC5210</t>
        </is>
      </c>
      <c r="B713" t="inlineStr">
        <is>
          <t>LFC5210</t>
        </is>
      </c>
      <c r="C713" t="inlineStr">
        <is>
          <t>IDORAWA EDU</t>
        </is>
      </c>
      <c r="D713" t="inlineStr">
        <is>
          <t>Y</t>
        </is>
      </c>
      <c r="E713" t="inlineStr">
        <is>
          <t>Y</t>
        </is>
      </c>
      <c r="F713" t="inlineStr">
        <is>
          <t>10</t>
        </is>
      </c>
      <c r="G713" t="inlineStr">
        <is>
          <t>AGOTUNTUN COMMUNITY</t>
        </is>
      </c>
      <c r="H713" t="inlineStr">
        <is>
          <t>Existing</t>
        </is>
      </c>
      <c r="I713" t="inlineStr">
        <is>
          <t>N</t>
        </is>
      </c>
    </row>
    <row r="714">
      <c r="A714" t="inlineStr">
        <is>
          <t>LFC5211</t>
        </is>
      </c>
      <c r="B714" t="inlineStr">
        <is>
          <t>LFC5211</t>
        </is>
      </c>
      <c r="C714" t="inlineStr">
        <is>
          <t>IDORAWA EDU</t>
        </is>
      </c>
      <c r="D714" t="inlineStr">
        <is>
          <t>Y</t>
        </is>
      </c>
      <c r="E714" t="inlineStr">
        <is>
          <t>Y</t>
        </is>
      </c>
      <c r="F714" t="inlineStr">
        <is>
          <t>11</t>
        </is>
      </c>
      <c r="G714" t="inlineStr">
        <is>
          <t>KOSHEUNTI GODWIN AVE, SHAGA ORILOWO GAS LINE</t>
        </is>
      </c>
      <c r="H714" t="inlineStr">
        <is>
          <t>Existing</t>
        </is>
      </c>
      <c r="I714" t="inlineStr">
        <is>
          <t>N</t>
        </is>
      </c>
    </row>
    <row r="715">
      <c r="A715" t="inlineStr">
        <is>
          <t>LFC5301</t>
        </is>
      </c>
      <c r="B715" t="inlineStr">
        <is>
          <t>LFC5301</t>
        </is>
      </c>
      <c r="C715" t="inlineStr">
        <is>
          <t>IJURI</t>
        </is>
      </c>
      <c r="D715" t="inlineStr">
        <is>
          <t>N</t>
        </is>
      </c>
      <c r="E715" t="inlineStr">
        <is>
          <t>Y</t>
        </is>
      </c>
      <c r="F715" t="inlineStr">
        <is>
          <t>1</t>
        </is>
      </c>
      <c r="G715" t="inlineStr">
        <is>
          <t>8 AWUSE STREET IJURI</t>
        </is>
      </c>
      <c r="H715" t="inlineStr">
        <is>
          <t>Existing</t>
        </is>
      </c>
      <c r="I715" t="inlineStr">
        <is>
          <t>N</t>
        </is>
      </c>
    </row>
    <row r="716">
      <c r="A716" t="inlineStr">
        <is>
          <t>LFC5302</t>
        </is>
      </c>
      <c r="B716" t="inlineStr">
        <is>
          <t>LFC5302</t>
        </is>
      </c>
      <c r="C716" t="inlineStr">
        <is>
          <t>IJURI</t>
        </is>
      </c>
      <c r="D716" t="inlineStr">
        <is>
          <t>Y</t>
        </is>
      </c>
      <c r="E716" t="inlineStr">
        <is>
          <t>Y</t>
        </is>
      </c>
      <c r="F716" t="inlineStr">
        <is>
          <t>2</t>
        </is>
      </c>
      <c r="G716" t="inlineStr">
        <is>
          <t>PETER'S HOUSE, KOFEDOTI</t>
        </is>
      </c>
      <c r="H716" t="inlineStr">
        <is>
          <t>Existing</t>
        </is>
      </c>
      <c r="I716" t="inlineStr">
        <is>
          <t>N</t>
        </is>
      </c>
    </row>
    <row r="717">
      <c r="A717" t="inlineStr">
        <is>
          <t>LFC5303</t>
        </is>
      </c>
      <c r="B717" t="inlineStr">
        <is>
          <t>LFC5303</t>
        </is>
      </c>
      <c r="C717" t="inlineStr">
        <is>
          <t>IJURI</t>
        </is>
      </c>
      <c r="D717" t="inlineStr">
        <is>
          <t>Y</t>
        </is>
      </c>
      <c r="E717" t="inlineStr">
        <is>
          <t>Y</t>
        </is>
      </c>
      <c r="F717" t="inlineStr">
        <is>
          <t>3</t>
        </is>
      </c>
      <c r="G717" t="inlineStr">
        <is>
          <t>5, IMUTUN STREET, LATIKAY BUS STOP</t>
        </is>
      </c>
      <c r="H717" t="inlineStr">
        <is>
          <t>Existing</t>
        </is>
      </c>
      <c r="I717" t="inlineStr">
        <is>
          <t>N</t>
        </is>
      </c>
    </row>
    <row r="718">
      <c r="A718" t="inlineStr">
        <is>
          <t>LFC5304</t>
        </is>
      </c>
      <c r="B718" t="inlineStr">
        <is>
          <t>LFC5304</t>
        </is>
      </c>
      <c r="C718" t="inlineStr">
        <is>
          <t>IJURI</t>
        </is>
      </c>
      <c r="D718" t="inlineStr">
        <is>
          <t>Y</t>
        </is>
      </c>
      <c r="E718" t="inlineStr">
        <is>
          <t>Y</t>
        </is>
      </c>
      <c r="F718" t="inlineStr">
        <is>
          <t>4</t>
        </is>
      </c>
      <c r="G718" t="inlineStr">
        <is>
          <t>GASLINE, AGO OLOYE</t>
        </is>
      </c>
      <c r="H718" t="inlineStr">
        <is>
          <t>Existing</t>
        </is>
      </c>
      <c r="I718" t="inlineStr">
        <is>
          <t>N</t>
        </is>
      </c>
    </row>
    <row r="719">
      <c r="A719" t="inlineStr">
        <is>
          <t>LFC5305</t>
        </is>
      </c>
      <c r="B719" t="inlineStr">
        <is>
          <t>LFC5305</t>
        </is>
      </c>
      <c r="C719" t="inlineStr">
        <is>
          <t>IJURI</t>
        </is>
      </c>
      <c r="D719" t="inlineStr">
        <is>
          <t>Y</t>
        </is>
      </c>
      <c r="E719" t="inlineStr">
        <is>
          <t>Y</t>
        </is>
      </c>
      <c r="F719" t="inlineStr">
        <is>
          <t>5</t>
        </is>
      </c>
      <c r="G719" t="inlineStr">
        <is>
          <t>WILSON CLOSE</t>
        </is>
      </c>
      <c r="H719" t="inlineStr">
        <is>
          <t>Existing</t>
        </is>
      </c>
      <c r="I719" t="inlineStr">
        <is>
          <t>N</t>
        </is>
      </c>
    </row>
    <row r="720">
      <c r="A720" t="inlineStr">
        <is>
          <t>LFC5306</t>
        </is>
      </c>
      <c r="B720" t="inlineStr">
        <is>
          <t>LFC5306</t>
        </is>
      </c>
      <c r="C720" t="inlineStr">
        <is>
          <t>IJURI</t>
        </is>
      </c>
      <c r="D720" t="inlineStr">
        <is>
          <t>Y</t>
        </is>
      </c>
      <c r="E720" t="inlineStr">
        <is>
          <t>Y</t>
        </is>
      </c>
      <c r="F720" t="inlineStr">
        <is>
          <t>6</t>
        </is>
      </c>
      <c r="G720" t="inlineStr">
        <is>
          <t>SALVATION ARMY SCHOOL, IDOYE.</t>
        </is>
      </c>
      <c r="H720" t="inlineStr">
        <is>
          <t>Existing</t>
        </is>
      </c>
      <c r="I720" t="inlineStr">
        <is>
          <t>N</t>
        </is>
      </c>
    </row>
    <row r="721">
      <c r="A721" t="inlineStr">
        <is>
          <t>LFC5307</t>
        </is>
      </c>
      <c r="B721" t="inlineStr">
        <is>
          <t>LFC5307</t>
        </is>
      </c>
      <c r="C721" t="inlineStr">
        <is>
          <t>IJURI</t>
        </is>
      </c>
      <c r="D721" t="inlineStr">
        <is>
          <t>N</t>
        </is>
      </c>
      <c r="E721" t="inlineStr">
        <is>
          <t>Y</t>
        </is>
      </c>
      <c r="F721" t="inlineStr">
        <is>
          <t>7</t>
        </is>
      </c>
      <c r="G721" t="inlineStr">
        <is>
          <t>ACROSS CELE BUS STOP IJURI</t>
        </is>
      </c>
      <c r="H721" t="inlineStr">
        <is>
          <t>Existing</t>
        </is>
      </c>
      <c r="I721" t="inlineStr">
        <is>
          <t>N</t>
        </is>
      </c>
    </row>
    <row r="722">
      <c r="A722" t="inlineStr">
        <is>
          <t>LFC5308</t>
        </is>
      </c>
      <c r="B722" t="inlineStr">
        <is>
          <t>LFC5308</t>
        </is>
      </c>
      <c r="C722" t="inlineStr">
        <is>
          <t>IJURI</t>
        </is>
      </c>
      <c r="D722" t="inlineStr">
        <is>
          <t>N</t>
        </is>
      </c>
      <c r="E722" t="inlineStr">
        <is>
          <t>Y</t>
        </is>
      </c>
      <c r="F722" t="inlineStr">
        <is>
          <t>8</t>
        </is>
      </c>
      <c r="G722" t="inlineStr">
        <is>
          <t>OMIATA COMMUNITY</t>
        </is>
      </c>
      <c r="H722" t="inlineStr">
        <is>
          <t>Existing</t>
        </is>
      </c>
      <c r="I722" t="inlineStr">
        <is>
          <t>N</t>
        </is>
      </c>
    </row>
    <row r="723">
      <c r="A723" t="inlineStr">
        <is>
          <t>LFC5309</t>
        </is>
      </c>
      <c r="B723" t="inlineStr">
        <is>
          <t>LFC5309</t>
        </is>
      </c>
      <c r="C723" t="inlineStr">
        <is>
          <t>IJURI</t>
        </is>
      </c>
      <c r="D723" t="inlineStr">
        <is>
          <t>N</t>
        </is>
      </c>
      <c r="E723" t="inlineStr">
        <is>
          <t>Y</t>
        </is>
      </c>
      <c r="F723" t="inlineStr">
        <is>
          <t>9</t>
        </is>
      </c>
      <c r="G723" t="inlineStr">
        <is>
          <t>Walex Complex</t>
        </is>
      </c>
      <c r="H723" t="inlineStr">
        <is>
          <t>Existing</t>
        </is>
      </c>
      <c r="I723" t="inlineStr">
        <is>
          <t>N</t>
        </is>
      </c>
    </row>
    <row r="724">
      <c r="A724" t="inlineStr">
        <is>
          <t>LFC5310</t>
        </is>
      </c>
      <c r="B724" t="inlineStr">
        <is>
          <t>LFC5310</t>
        </is>
      </c>
      <c r="C724" t="inlineStr">
        <is>
          <t>IJURI</t>
        </is>
      </c>
      <c r="D724" t="inlineStr">
        <is>
          <t>N</t>
        </is>
      </c>
      <c r="E724" t="inlineStr">
        <is>
          <t>Y</t>
        </is>
      </c>
      <c r="F724" t="inlineStr">
        <is>
          <t>10</t>
        </is>
      </c>
      <c r="G724" t="inlineStr">
        <is>
          <t>LATIKAY 2</t>
        </is>
      </c>
      <c r="H724" t="inlineStr">
        <is>
          <t>Existing</t>
        </is>
      </c>
      <c r="I724" t="inlineStr">
        <is>
          <t>N</t>
        </is>
      </c>
    </row>
    <row r="725">
      <c r="A725" t="inlineStr">
        <is>
          <t>LFC5311</t>
        </is>
      </c>
      <c r="B725" t="inlineStr">
        <is>
          <t>LFC5311</t>
        </is>
      </c>
      <c r="C725" t="inlineStr">
        <is>
          <t>IJURI</t>
        </is>
      </c>
      <c r="D725" t="inlineStr">
        <is>
          <t>N</t>
        </is>
      </c>
      <c r="E725" t="inlineStr">
        <is>
          <t>Y</t>
        </is>
      </c>
      <c r="F725" t="inlineStr">
        <is>
          <t>11</t>
        </is>
      </c>
      <c r="G725" t="inlineStr">
        <is>
          <t>45,LUSADA IDOYE ROAD.</t>
        </is>
      </c>
      <c r="H725" t="inlineStr">
        <is>
          <t>New (proposed)</t>
        </is>
      </c>
      <c r="I725" t="inlineStr">
        <is>
          <t>N</t>
        </is>
      </c>
    </row>
    <row r="726">
      <c r="A726" t="inlineStr">
        <is>
          <t>LFC5401</t>
        </is>
      </c>
      <c r="B726" t="inlineStr">
        <is>
          <t>LFC5401</t>
        </is>
      </c>
      <c r="C726" t="inlineStr">
        <is>
          <t>BADAGRY</t>
        </is>
      </c>
      <c r="D726" t="inlineStr">
        <is>
          <t>Y</t>
        </is>
      </c>
      <c r="E726" t="inlineStr">
        <is>
          <t>Y</t>
        </is>
      </c>
      <c r="F726" t="inlineStr">
        <is>
          <t>1</t>
        </is>
      </c>
      <c r="G726" t="inlineStr">
        <is>
          <t>28TH 3AVENUE OKE IRA OKO AFO</t>
        </is>
      </c>
      <c r="H726" t="inlineStr">
        <is>
          <t>Existing</t>
        </is>
      </c>
      <c r="I726" t="inlineStr">
        <is>
          <t>N</t>
        </is>
      </c>
    </row>
    <row r="727">
      <c r="A727" t="inlineStr">
        <is>
          <t>LFC5402</t>
        </is>
      </c>
      <c r="B727" t="inlineStr">
        <is>
          <t>LFC5402</t>
        </is>
      </c>
      <c r="C727" t="inlineStr">
        <is>
          <t>BADAGRY</t>
        </is>
      </c>
      <c r="D727" t="inlineStr">
        <is>
          <t>Y</t>
        </is>
      </c>
      <c r="E727" t="inlineStr">
        <is>
          <t>Y</t>
        </is>
      </c>
      <c r="F727" t="inlineStr">
        <is>
          <t>2</t>
        </is>
      </c>
      <c r="G727" t="inlineStr">
        <is>
          <t>KM34, BADAGRY EXP-WAY, PIPELINE ELIJAH</t>
        </is>
      </c>
      <c r="H727" t="inlineStr">
        <is>
          <t>Existing</t>
        </is>
      </c>
      <c r="I727" t="inlineStr">
        <is>
          <t>N</t>
        </is>
      </c>
    </row>
    <row r="728">
      <c r="A728" t="inlineStr">
        <is>
          <t>LFC5403</t>
        </is>
      </c>
      <c r="B728" t="inlineStr">
        <is>
          <t>LFC5403</t>
        </is>
      </c>
      <c r="C728" t="inlineStr">
        <is>
          <t>BADAGRY</t>
        </is>
      </c>
      <c r="D728" t="inlineStr">
        <is>
          <t>Y</t>
        </is>
      </c>
      <c r="E728" t="inlineStr">
        <is>
          <t>Y</t>
        </is>
      </c>
      <c r="F728" t="inlineStr">
        <is>
          <t>3</t>
        </is>
      </c>
      <c r="G728" t="inlineStr">
        <is>
          <t>27TH, ALAWORO STREET ARAROMI</t>
        </is>
      </c>
      <c r="H728" t="inlineStr">
        <is>
          <t>Existing</t>
        </is>
      </c>
      <c r="I728" t="inlineStr">
        <is>
          <t>N</t>
        </is>
      </c>
    </row>
    <row r="729">
      <c r="A729" t="inlineStr">
        <is>
          <t>LFC5404</t>
        </is>
      </c>
      <c r="B729" t="inlineStr">
        <is>
          <t>LFC5404</t>
        </is>
      </c>
      <c r="C729" t="inlineStr">
        <is>
          <t>BADAGRY</t>
        </is>
      </c>
      <c r="D729" t="inlineStr">
        <is>
          <t>Y</t>
        </is>
      </c>
      <c r="E729" t="inlineStr">
        <is>
          <t>Y</t>
        </is>
      </c>
      <c r="F729" t="inlineStr">
        <is>
          <t>4</t>
        </is>
      </c>
      <c r="G729" t="inlineStr">
        <is>
          <t>13, IROKO STREET, ARADAGUN</t>
        </is>
      </c>
      <c r="H729" t="inlineStr">
        <is>
          <t>Existing</t>
        </is>
      </c>
      <c r="I729" t="inlineStr">
        <is>
          <t>N</t>
        </is>
      </c>
    </row>
    <row r="730">
      <c r="A730" t="inlineStr">
        <is>
          <t>LFC5405</t>
        </is>
      </c>
      <c r="B730" t="inlineStr">
        <is>
          <t>LFC5405</t>
        </is>
      </c>
      <c r="C730" t="inlineStr">
        <is>
          <t>BADAGRY</t>
        </is>
      </c>
      <c r="D730" t="inlineStr">
        <is>
          <t>Y</t>
        </is>
      </c>
      <c r="E730" t="inlineStr">
        <is>
          <t>Y</t>
        </is>
      </c>
      <c r="F730" t="inlineStr">
        <is>
          <t>5</t>
        </is>
      </c>
      <c r="G730" t="inlineStr">
        <is>
          <t>MTN2, OKUNNU ESTATE, ARAROMI-ALE</t>
        </is>
      </c>
      <c r="H730" t="inlineStr">
        <is>
          <t>Existing</t>
        </is>
      </c>
      <c r="I730" t="inlineStr">
        <is>
          <t>N</t>
        </is>
      </c>
    </row>
    <row r="731">
      <c r="A731" t="inlineStr">
        <is>
          <t>LFC5406</t>
        </is>
      </c>
      <c r="B731" t="inlineStr">
        <is>
          <t>LFC5406</t>
        </is>
      </c>
      <c r="C731" t="inlineStr">
        <is>
          <t>BADAGRY</t>
        </is>
      </c>
      <c r="D731" t="inlineStr">
        <is>
          <t>Y</t>
        </is>
      </c>
      <c r="E731" t="inlineStr">
        <is>
          <t>Y</t>
        </is>
      </c>
      <c r="F731" t="inlineStr">
        <is>
          <t>6</t>
        </is>
      </c>
      <c r="G731" t="inlineStr">
        <is>
          <t>OKE-OGBE, ATURA BADAGRY</t>
        </is>
      </c>
      <c r="H731" t="inlineStr">
        <is>
          <t>Existing</t>
        </is>
      </c>
      <c r="I731" t="inlineStr">
        <is>
          <t>N</t>
        </is>
      </c>
    </row>
    <row r="732">
      <c r="A732" t="inlineStr">
        <is>
          <t>LFC5407</t>
        </is>
      </c>
      <c r="B732" t="inlineStr">
        <is>
          <t>LFC5407</t>
        </is>
      </c>
      <c r="C732" t="inlineStr">
        <is>
          <t>BADAGRY</t>
        </is>
      </c>
      <c r="D732" t="inlineStr">
        <is>
          <t>N</t>
        </is>
      </c>
      <c r="E732" t="inlineStr">
        <is>
          <t>Y</t>
        </is>
      </c>
      <c r="F732" t="inlineStr">
        <is>
          <t>7</t>
        </is>
      </c>
      <c r="G732" t="inlineStr">
        <is>
          <t>18, CHURCH STR. COOPERATIVE, OKO-AFO</t>
        </is>
      </c>
      <c r="H732" t="inlineStr">
        <is>
          <t>Existing</t>
        </is>
      </c>
      <c r="I732" t="inlineStr">
        <is>
          <t>N</t>
        </is>
      </c>
    </row>
    <row r="733">
      <c r="A733" t="inlineStr">
        <is>
          <t>LFC5408</t>
        </is>
      </c>
      <c r="B733" t="inlineStr">
        <is>
          <t>LFC5408</t>
        </is>
      </c>
      <c r="C733" t="inlineStr">
        <is>
          <t>BADAGRY</t>
        </is>
      </c>
      <c r="D733" t="inlineStr">
        <is>
          <t>Y</t>
        </is>
      </c>
      <c r="E733" t="inlineStr">
        <is>
          <t>Y</t>
        </is>
      </c>
      <c r="F733" t="inlineStr">
        <is>
          <t>8</t>
        </is>
      </c>
      <c r="G733" t="inlineStr">
        <is>
          <t>FEMI DARAMOLA STREET, IYESI</t>
        </is>
      </c>
      <c r="H733" t="inlineStr">
        <is>
          <t>Existing</t>
        </is>
      </c>
      <c r="I733" t="inlineStr">
        <is>
          <t>N</t>
        </is>
      </c>
    </row>
    <row r="734">
      <c r="A734" t="inlineStr">
        <is>
          <t>LFC5409</t>
        </is>
      </c>
      <c r="B734" t="inlineStr">
        <is>
          <t>LFC5409</t>
        </is>
      </c>
      <c r="C734" t="inlineStr">
        <is>
          <t>BADAGRY</t>
        </is>
      </c>
      <c r="D734" t="inlineStr">
        <is>
          <t>Y</t>
        </is>
      </c>
      <c r="E734" t="inlineStr">
        <is>
          <t>Y</t>
        </is>
      </c>
      <c r="F734" t="inlineStr">
        <is>
          <t>9</t>
        </is>
      </c>
      <c r="G734" t="inlineStr">
        <is>
          <t>8, ADEYEYE STREET, IJOTUN</t>
        </is>
      </c>
      <c r="H734" t="inlineStr">
        <is>
          <t>Existing</t>
        </is>
      </c>
      <c r="I734" t="inlineStr">
        <is>
          <t>N</t>
        </is>
      </c>
    </row>
    <row r="735">
      <c r="A735" t="inlineStr">
        <is>
          <t>LFC5410</t>
        </is>
      </c>
      <c r="B735" t="inlineStr">
        <is>
          <t>LFC5410</t>
        </is>
      </c>
      <c r="C735" t="inlineStr">
        <is>
          <t>BADAGRY</t>
        </is>
      </c>
      <c r="D735" t="inlineStr">
        <is>
          <t>Y</t>
        </is>
      </c>
      <c r="E735" t="inlineStr">
        <is>
          <t>Y</t>
        </is>
      </c>
      <c r="F735" t="inlineStr">
        <is>
          <t>10</t>
        </is>
      </c>
      <c r="G735" t="inlineStr">
        <is>
          <t>JOYCE PURE-WATER, ALAPAKO, OKO-AFO</t>
        </is>
      </c>
      <c r="H735" t="inlineStr">
        <is>
          <t>Existing</t>
        </is>
      </c>
      <c r="I735" t="inlineStr">
        <is>
          <t>N</t>
        </is>
      </c>
    </row>
    <row r="736">
      <c r="A736" t="inlineStr">
        <is>
          <t>LFC5411</t>
        </is>
      </c>
      <c r="B736" t="inlineStr">
        <is>
          <t>LFC5411</t>
        </is>
      </c>
      <c r="C736" t="inlineStr">
        <is>
          <t>BADAGRY</t>
        </is>
      </c>
      <c r="D736" t="inlineStr">
        <is>
          <t>Y</t>
        </is>
      </c>
      <c r="E736" t="inlineStr">
        <is>
          <t>Y</t>
        </is>
      </c>
      <c r="F736" t="inlineStr">
        <is>
          <t>11</t>
        </is>
      </c>
      <c r="G736" t="inlineStr">
        <is>
          <t>LIRENI GROUP OF SCHOOLS, IJOTUN, ILOGBO-EREMI</t>
        </is>
      </c>
      <c r="H736" t="inlineStr">
        <is>
          <t>Existing</t>
        </is>
      </c>
      <c r="I736" t="inlineStr">
        <is>
          <t>N</t>
        </is>
      </c>
    </row>
    <row r="737">
      <c r="A737" t="inlineStr">
        <is>
          <t>LFC5412</t>
        </is>
      </c>
      <c r="B737" t="inlineStr">
        <is>
          <t>LFC5412</t>
        </is>
      </c>
      <c r="C737" t="inlineStr">
        <is>
          <t>BADAGRY</t>
        </is>
      </c>
      <c r="D737" t="inlineStr">
        <is>
          <t>N</t>
        </is>
      </c>
      <c r="E737" t="inlineStr">
        <is>
          <t>Y</t>
        </is>
      </c>
      <c r="F737" t="inlineStr">
        <is>
          <t>12</t>
        </is>
      </c>
      <c r="G737" t="inlineStr">
        <is>
          <t>COCOANUT AVENUE, ITEMOLE, BADAGRY</t>
        </is>
      </c>
      <c r="H737" t="inlineStr">
        <is>
          <t>Existing</t>
        </is>
      </c>
      <c r="I737" t="inlineStr">
        <is>
          <t>N</t>
        </is>
      </c>
    </row>
    <row r="738">
      <c r="A738" t="inlineStr">
        <is>
          <t>LFC5413</t>
        </is>
      </c>
      <c r="B738" t="inlineStr">
        <is>
          <t>LFC5413</t>
        </is>
      </c>
      <c r="C738" t="inlineStr">
        <is>
          <t>BADAGRY</t>
        </is>
      </c>
      <c r="D738" t="inlineStr">
        <is>
          <t>N</t>
        </is>
      </c>
      <c r="E738" t="inlineStr">
        <is>
          <t>Y</t>
        </is>
      </c>
      <c r="F738" t="inlineStr">
        <is>
          <t>13</t>
        </is>
      </c>
      <c r="G738" t="inlineStr">
        <is>
          <t>AGO AGBADE, OKE OGBE</t>
        </is>
      </c>
      <c r="H738" t="inlineStr">
        <is>
          <t>New (proposed)</t>
        </is>
      </c>
      <c r="I738" t="inlineStr">
        <is>
          <t>N</t>
        </is>
      </c>
    </row>
    <row r="739">
      <c r="A739" t="inlineStr">
        <is>
          <t>LFC5414</t>
        </is>
      </c>
      <c r="B739" t="inlineStr">
        <is>
          <t>LFC5414</t>
        </is>
      </c>
      <c r="C739" t="inlineStr">
        <is>
          <t>BADAGRY</t>
        </is>
      </c>
      <c r="D739" t="inlineStr">
        <is>
          <t>N</t>
        </is>
      </c>
      <c r="E739" t="inlineStr">
        <is>
          <t>Y</t>
        </is>
      </c>
      <c r="F739" t="inlineStr">
        <is>
          <t>14</t>
        </is>
      </c>
      <c r="G739" t="inlineStr">
        <is>
          <t>ETEKO</t>
        </is>
      </c>
      <c r="H739" t="inlineStr">
        <is>
          <t>From reporting system</t>
        </is>
      </c>
      <c r="I739" t="inlineStr">
        <is>
          <t>N</t>
        </is>
      </c>
    </row>
    <row r="740">
      <c r="A740" t="inlineStr">
        <is>
          <t>LFC5415</t>
        </is>
      </c>
      <c r="B740" t="inlineStr">
        <is>
          <t>LFC5415</t>
        </is>
      </c>
      <c r="C740" t="inlineStr">
        <is>
          <t>BADAGRY</t>
        </is>
      </c>
      <c r="D740" t="inlineStr">
        <is>
          <t>N</t>
        </is>
      </c>
      <c r="E740" t="inlineStr">
        <is>
          <t>Y</t>
        </is>
      </c>
      <c r="F740" t="inlineStr">
        <is>
          <t>15</t>
        </is>
      </c>
      <c r="G740" t="inlineStr">
        <is>
          <t>PIPELINE 2</t>
        </is>
      </c>
      <c r="H740" t="inlineStr">
        <is>
          <t>From reporting system</t>
        </is>
      </c>
      <c r="I740" t="inlineStr">
        <is>
          <t>N</t>
        </is>
      </c>
    </row>
    <row r="741">
      <c r="A741" t="inlineStr">
        <is>
          <t>LFC5416</t>
        </is>
      </c>
      <c r="B741" t="inlineStr">
        <is>
          <t>LFC5416</t>
        </is>
      </c>
      <c r="C741" t="inlineStr">
        <is>
          <t>BADAGRY</t>
        </is>
      </c>
      <c r="D741" t="inlineStr">
        <is>
          <t>N</t>
        </is>
      </c>
      <c r="E741" t="inlineStr">
        <is>
          <t>Y</t>
        </is>
      </c>
      <c r="F741" t="inlineStr">
        <is>
          <t>16</t>
        </is>
      </c>
      <c r="G741" t="inlineStr">
        <is>
          <t>ILEDU</t>
        </is>
      </c>
      <c r="H741" t="inlineStr">
        <is>
          <t>From reporting system</t>
        </is>
      </c>
      <c r="I741" t="inlineStr">
        <is>
          <t>N</t>
        </is>
      </c>
    </row>
    <row r="742">
      <c r="A742" t="inlineStr">
        <is>
          <t>LFC5501</t>
        </is>
      </c>
      <c r="B742" t="inlineStr">
        <is>
          <t>LFC5501</t>
        </is>
      </c>
      <c r="C742" t="inlineStr">
        <is>
          <t>IBIYE</t>
        </is>
      </c>
      <c r="D742" t="inlineStr">
        <is>
          <t>Y</t>
        </is>
      </c>
      <c r="E742" t="inlineStr">
        <is>
          <t>Y</t>
        </is>
      </c>
      <c r="F742" t="inlineStr">
        <is>
          <t>1</t>
        </is>
      </c>
      <c r="G742" t="inlineStr">
        <is>
          <t>7 ADESANYA ST, IBIYE</t>
        </is>
      </c>
      <c r="H742" t="inlineStr">
        <is>
          <t>Existing</t>
        </is>
      </c>
      <c r="I742" t="inlineStr">
        <is>
          <t>N</t>
        </is>
      </c>
    </row>
    <row r="743">
      <c r="A743" t="inlineStr">
        <is>
          <t>LFC5502</t>
        </is>
      </c>
      <c r="B743" t="inlineStr">
        <is>
          <t>LFC5502</t>
        </is>
      </c>
      <c r="C743" t="inlineStr">
        <is>
          <t>IBIYE</t>
        </is>
      </c>
      <c r="D743" t="inlineStr">
        <is>
          <t>Y</t>
        </is>
      </c>
      <c r="E743" t="inlineStr">
        <is>
          <t>Y</t>
        </is>
      </c>
      <c r="F743" t="inlineStr">
        <is>
          <t>2</t>
        </is>
      </c>
      <c r="G743" t="inlineStr">
        <is>
          <t>KM 33 LAGOS/BADAGRY EXPRESS, MOROGBO</t>
        </is>
      </c>
      <c r="H743" t="inlineStr">
        <is>
          <t>Existing</t>
        </is>
      </c>
      <c r="I743" t="inlineStr">
        <is>
          <t>N</t>
        </is>
      </c>
    </row>
    <row r="744">
      <c r="A744" t="inlineStr">
        <is>
          <t>LFC5503</t>
        </is>
      </c>
      <c r="B744" t="inlineStr">
        <is>
          <t>LFC5503</t>
        </is>
      </c>
      <c r="C744" t="inlineStr">
        <is>
          <t>IBIYE</t>
        </is>
      </c>
      <c r="D744" t="inlineStr">
        <is>
          <t>N</t>
        </is>
      </c>
      <c r="E744" t="inlineStr">
        <is>
          <t>Y</t>
        </is>
      </c>
      <c r="F744" t="inlineStr">
        <is>
          <t>3</t>
        </is>
      </c>
      <c r="G744" t="inlineStr">
        <is>
          <t>79 SINATU AJAYI STR,. MOROGBO</t>
        </is>
      </c>
      <c r="H744" t="inlineStr">
        <is>
          <t>Existing</t>
        </is>
      </c>
      <c r="I744" t="inlineStr">
        <is>
          <t>N</t>
        </is>
      </c>
    </row>
    <row r="745">
      <c r="A745" t="inlineStr">
        <is>
          <t>LFC5504</t>
        </is>
      </c>
      <c r="B745" t="inlineStr">
        <is>
          <t>LFC5504</t>
        </is>
      </c>
      <c r="C745" t="inlineStr">
        <is>
          <t>IBIYE</t>
        </is>
      </c>
      <c r="D745" t="inlineStr">
        <is>
          <t>Y</t>
        </is>
      </c>
      <c r="E745" t="inlineStr">
        <is>
          <t>Y</t>
        </is>
      </c>
      <c r="F745" t="inlineStr">
        <is>
          <t>4</t>
        </is>
      </c>
      <c r="G745" t="inlineStr">
        <is>
          <t>42 PRESTIGE ESTATE.</t>
        </is>
      </c>
      <c r="H745" t="inlineStr">
        <is>
          <t>Existing</t>
        </is>
      </c>
      <c r="I745" t="inlineStr">
        <is>
          <t>N</t>
        </is>
      </c>
    </row>
    <row r="746">
      <c r="A746" t="inlineStr">
        <is>
          <t>LFC5505</t>
        </is>
      </c>
      <c r="B746" t="inlineStr">
        <is>
          <t>LFC5505</t>
        </is>
      </c>
      <c r="C746" t="inlineStr">
        <is>
          <t>IBIYE</t>
        </is>
      </c>
      <c r="D746" t="inlineStr">
        <is>
          <t>Y</t>
        </is>
      </c>
      <c r="E746" t="inlineStr">
        <is>
          <t>Y</t>
        </is>
      </c>
      <c r="F746" t="inlineStr">
        <is>
          <t>5</t>
        </is>
      </c>
      <c r="G746" t="inlineStr">
        <is>
          <t>GRACEWELL SCH. OBADA L/B EXPRESS.</t>
        </is>
      </c>
      <c r="H746" t="inlineStr">
        <is>
          <t>Existing</t>
        </is>
      </c>
      <c r="I746" t="inlineStr">
        <is>
          <t>N</t>
        </is>
      </c>
    </row>
    <row r="747">
      <c r="A747" t="inlineStr">
        <is>
          <t>LFC5506</t>
        </is>
      </c>
      <c r="B747" t="inlineStr">
        <is>
          <t>LFC5506</t>
        </is>
      </c>
      <c r="C747" t="inlineStr">
        <is>
          <t>IBIYE</t>
        </is>
      </c>
      <c r="D747" t="inlineStr">
        <is>
          <t>Y</t>
        </is>
      </c>
      <c r="E747" t="inlineStr">
        <is>
          <t>Y</t>
        </is>
      </c>
      <c r="F747" t="inlineStr">
        <is>
          <t>6</t>
        </is>
      </c>
      <c r="G747" t="inlineStr">
        <is>
          <t>AKANBISI RD 1, MAGBON</t>
        </is>
      </c>
      <c r="H747" t="inlineStr">
        <is>
          <t>Existing</t>
        </is>
      </c>
      <c r="I747" t="inlineStr">
        <is>
          <t>N</t>
        </is>
      </c>
    </row>
    <row r="748">
      <c r="A748" t="inlineStr">
        <is>
          <t>LFC5507</t>
        </is>
      </c>
      <c r="B748" t="inlineStr">
        <is>
          <t>LFC5507</t>
        </is>
      </c>
      <c r="C748" t="inlineStr">
        <is>
          <t>IBIYE</t>
        </is>
      </c>
      <c r="D748" t="inlineStr">
        <is>
          <t>N</t>
        </is>
      </c>
      <c r="E748" t="inlineStr">
        <is>
          <t>Y</t>
        </is>
      </c>
      <c r="F748" t="inlineStr">
        <is>
          <t>7</t>
        </is>
      </c>
      <c r="G748" t="inlineStr">
        <is>
          <t>CHECKPOINT</t>
        </is>
      </c>
      <c r="H748" t="inlineStr">
        <is>
          <t>From reporting system</t>
        </is>
      </c>
      <c r="I748" t="inlineStr">
        <is>
          <t>N</t>
        </is>
      </c>
    </row>
    <row r="749">
      <c r="A749" t="inlineStr">
        <is>
          <t>LFC5508</t>
        </is>
      </c>
      <c r="B749" t="inlineStr">
        <is>
          <t>LFC5508</t>
        </is>
      </c>
      <c r="C749" t="inlineStr">
        <is>
          <t>IBIYE</t>
        </is>
      </c>
      <c r="D749" t="inlineStr">
        <is>
          <t>N</t>
        </is>
      </c>
      <c r="E749" t="inlineStr">
        <is>
          <t>Y</t>
        </is>
      </c>
      <c r="F749" t="inlineStr">
        <is>
          <t>8</t>
        </is>
      </c>
      <c r="G749" t="inlineStr">
        <is>
          <t>SODIPO</t>
        </is>
      </c>
      <c r="H749" t="inlineStr">
        <is>
          <t>From reporting system</t>
        </is>
      </c>
      <c r="I749" t="inlineStr">
        <is>
          <t>N</t>
        </is>
      </c>
    </row>
    <row r="750">
      <c r="A750" t="inlineStr">
        <is>
          <t>LFC5509</t>
        </is>
      </c>
      <c r="B750" t="inlineStr">
        <is>
          <t>LFC5509</t>
        </is>
      </c>
      <c r="C750" t="inlineStr">
        <is>
          <t>IBIYE</t>
        </is>
      </c>
      <c r="D750" t="inlineStr">
        <is>
          <t>N</t>
        </is>
      </c>
      <c r="E750" t="inlineStr">
        <is>
          <t>Y</t>
        </is>
      </c>
      <c r="F750" t="inlineStr">
        <is>
          <t>9</t>
        </is>
      </c>
      <c r="G750" t="inlineStr">
        <is>
          <t>OKEBUJEUN</t>
        </is>
      </c>
      <c r="H750" t="inlineStr">
        <is>
          <t>From reporting system</t>
        </is>
      </c>
      <c r="I750" t="inlineStr">
        <is>
          <t>N</t>
        </is>
      </c>
    </row>
    <row r="751">
      <c r="A751" t="inlineStr">
        <is>
          <t>LFC5601</t>
        </is>
      </c>
      <c r="B751" t="inlineStr">
        <is>
          <t>LFC5601</t>
        </is>
      </c>
      <c r="C751" t="inlineStr">
        <is>
          <t>OKOTA</t>
        </is>
      </c>
      <c r="D751" t="inlineStr">
        <is>
          <t>Y</t>
        </is>
      </c>
      <c r="E751" t="inlineStr">
        <is>
          <t>Y</t>
        </is>
      </c>
      <c r="F751" t="inlineStr">
        <is>
          <t>1</t>
        </is>
      </c>
      <c r="G751" t="inlineStr">
        <is>
          <t>30/32 HARRISON STREET OKOTA</t>
        </is>
      </c>
      <c r="H751" t="inlineStr">
        <is>
          <t>Existing</t>
        </is>
      </c>
      <c r="I751" t="inlineStr">
        <is>
          <t>N</t>
        </is>
      </c>
    </row>
    <row r="752">
      <c r="A752" t="inlineStr">
        <is>
          <t>LFC5602</t>
        </is>
      </c>
      <c r="B752" t="inlineStr">
        <is>
          <t>LFC5602</t>
        </is>
      </c>
      <c r="C752" t="inlineStr">
        <is>
          <t>OKOTA</t>
        </is>
      </c>
      <c r="D752" t="inlineStr">
        <is>
          <t>Y</t>
        </is>
      </c>
      <c r="E752" t="inlineStr">
        <is>
          <t>Y</t>
        </is>
      </c>
      <c r="F752" t="inlineStr">
        <is>
          <t>2</t>
        </is>
      </c>
      <c r="G752" t="inlineStr">
        <is>
          <t>14. OLUTAYO STREET OKOTA</t>
        </is>
      </c>
      <c r="H752" t="inlineStr">
        <is>
          <t>Existing</t>
        </is>
      </c>
      <c r="I752" t="inlineStr">
        <is>
          <t>N</t>
        </is>
      </c>
    </row>
    <row r="753">
      <c r="A753" t="inlineStr">
        <is>
          <t>LFC5603</t>
        </is>
      </c>
      <c r="B753" t="inlineStr">
        <is>
          <t>LFC5603</t>
        </is>
      </c>
      <c r="C753" t="inlineStr">
        <is>
          <t>OKOTA</t>
        </is>
      </c>
      <c r="D753" t="inlineStr">
        <is>
          <t>Y</t>
        </is>
      </c>
      <c r="E753" t="inlineStr">
        <is>
          <t>Y</t>
        </is>
      </c>
      <c r="F753" t="inlineStr">
        <is>
          <t>3</t>
        </is>
      </c>
      <c r="G753" t="inlineStr">
        <is>
          <t>36 FATAI LAWAL AVENUE OPENUA</t>
        </is>
      </c>
      <c r="H753" t="inlineStr">
        <is>
          <t>Existing</t>
        </is>
      </c>
      <c r="I753" t="inlineStr">
        <is>
          <t>N</t>
        </is>
      </c>
    </row>
    <row r="754">
      <c r="A754" t="inlineStr">
        <is>
          <t>LFC5604</t>
        </is>
      </c>
      <c r="B754" t="inlineStr">
        <is>
          <t>LFC5604</t>
        </is>
      </c>
      <c r="C754" t="inlineStr">
        <is>
          <t>OKOTA</t>
        </is>
      </c>
      <c r="D754" t="inlineStr">
        <is>
          <t>Y</t>
        </is>
      </c>
      <c r="E754" t="inlineStr">
        <is>
          <t>Y</t>
        </is>
      </c>
      <c r="F754" t="inlineStr">
        <is>
          <t>4</t>
        </is>
      </c>
      <c r="G754" t="inlineStr">
        <is>
          <t>TESLIM ADEOSHUN STREET OKOTA</t>
        </is>
      </c>
      <c r="H754" t="inlineStr">
        <is>
          <t>Existing</t>
        </is>
      </c>
      <c r="I754" t="inlineStr">
        <is>
          <t>N</t>
        </is>
      </c>
    </row>
    <row r="755">
      <c r="A755" t="inlineStr">
        <is>
          <t>LFC5605</t>
        </is>
      </c>
      <c r="B755" t="inlineStr">
        <is>
          <t>LFC5605</t>
        </is>
      </c>
      <c r="C755" t="inlineStr">
        <is>
          <t>OKOTA</t>
        </is>
      </c>
      <c r="D755" t="inlineStr">
        <is>
          <t>Y</t>
        </is>
      </c>
      <c r="E755" t="inlineStr">
        <is>
          <t>Y</t>
        </is>
      </c>
      <c r="F755" t="inlineStr">
        <is>
          <t>5</t>
        </is>
      </c>
      <c r="G755" t="inlineStr">
        <is>
          <t>11 HAKEEM DOSUMU STREET OKOTA</t>
        </is>
      </c>
      <c r="H755" t="inlineStr">
        <is>
          <t>Existing</t>
        </is>
      </c>
      <c r="I755" t="inlineStr">
        <is>
          <t>N</t>
        </is>
      </c>
    </row>
    <row r="756">
      <c r="A756" t="inlineStr">
        <is>
          <t>LFC5606</t>
        </is>
      </c>
      <c r="B756" t="inlineStr">
        <is>
          <t>LFC5606</t>
        </is>
      </c>
      <c r="C756" t="inlineStr">
        <is>
          <t>OKOTA</t>
        </is>
      </c>
      <c r="D756" t="inlineStr">
        <is>
          <t>N</t>
        </is>
      </c>
      <c r="E756" t="inlineStr">
        <is>
          <t>Y</t>
        </is>
      </c>
      <c r="F756" t="inlineStr">
        <is>
          <t>6</t>
        </is>
      </c>
      <c r="G756" t="inlineStr">
        <is>
          <t>31 OYINDAMOLA STREET OKOTA</t>
        </is>
      </c>
      <c r="H756" t="inlineStr">
        <is>
          <t>Existing</t>
        </is>
      </c>
      <c r="I756" t="inlineStr">
        <is>
          <t>N</t>
        </is>
      </c>
    </row>
    <row r="757">
      <c r="A757" t="inlineStr">
        <is>
          <t>LFC5607</t>
        </is>
      </c>
      <c r="B757" t="inlineStr">
        <is>
          <t>LFC5607</t>
        </is>
      </c>
      <c r="C757" t="inlineStr">
        <is>
          <t>OKOTA</t>
        </is>
      </c>
      <c r="D757" t="inlineStr">
        <is>
          <t>Y</t>
        </is>
      </c>
      <c r="E757" t="inlineStr">
        <is>
          <t>Y</t>
        </is>
      </c>
      <c r="F757" t="inlineStr">
        <is>
          <t>7</t>
        </is>
      </c>
      <c r="G757" t="inlineStr">
        <is>
          <t>36 ESUOLA STREET OKOTA</t>
        </is>
      </c>
      <c r="H757" t="inlineStr">
        <is>
          <t>Existing</t>
        </is>
      </c>
      <c r="I757" t="inlineStr">
        <is>
          <t>N</t>
        </is>
      </c>
    </row>
    <row r="758">
      <c r="A758" t="inlineStr">
        <is>
          <t>LFC5608</t>
        </is>
      </c>
      <c r="B758" t="inlineStr">
        <is>
          <t>LFC5608</t>
        </is>
      </c>
      <c r="C758" t="inlineStr">
        <is>
          <t>OKOTA</t>
        </is>
      </c>
      <c r="D758" t="inlineStr">
        <is>
          <t>Y</t>
        </is>
      </c>
      <c r="E758" t="inlineStr">
        <is>
          <t>Y</t>
        </is>
      </c>
      <c r="F758" t="inlineStr">
        <is>
          <t>8</t>
        </is>
      </c>
      <c r="G758" t="inlineStr">
        <is>
          <t>23B GODMON STREET OKOTA</t>
        </is>
      </c>
      <c r="H758" t="inlineStr">
        <is>
          <t>Existing</t>
        </is>
      </c>
      <c r="I758" t="inlineStr">
        <is>
          <t>N</t>
        </is>
      </c>
    </row>
    <row r="759">
      <c r="A759" t="inlineStr">
        <is>
          <t>LFC5609</t>
        </is>
      </c>
      <c r="B759" t="inlineStr">
        <is>
          <t>LFC5609</t>
        </is>
      </c>
      <c r="C759" t="inlineStr">
        <is>
          <t>OKOTA</t>
        </is>
      </c>
      <c r="D759" t="inlineStr">
        <is>
          <t>Y</t>
        </is>
      </c>
      <c r="E759" t="inlineStr">
        <is>
          <t>Y</t>
        </is>
      </c>
      <c r="F759" t="inlineStr">
        <is>
          <t>9</t>
        </is>
      </c>
      <c r="G759" t="inlineStr">
        <is>
          <t>15/16 BABINGTON ASAYE STR OKOTA</t>
        </is>
      </c>
      <c r="H759" t="inlineStr">
        <is>
          <t>Existing</t>
        </is>
      </c>
      <c r="I759" t="inlineStr">
        <is>
          <t>N</t>
        </is>
      </c>
    </row>
    <row r="760">
      <c r="A760" t="inlineStr">
        <is>
          <t>LFC5610</t>
        </is>
      </c>
      <c r="B760" t="inlineStr">
        <is>
          <t>LFC5610</t>
        </is>
      </c>
      <c r="C760" t="inlineStr">
        <is>
          <t>OKOTA</t>
        </is>
      </c>
      <c r="D760" t="inlineStr">
        <is>
          <t>N</t>
        </is>
      </c>
      <c r="E760" t="inlineStr">
        <is>
          <t>Y</t>
        </is>
      </c>
      <c r="F760" t="inlineStr">
        <is>
          <t>10</t>
        </is>
      </c>
      <c r="G760" t="inlineStr">
        <is>
          <t>36 OSENI LIADI STREET OKOTA</t>
        </is>
      </c>
      <c r="H760" t="inlineStr">
        <is>
          <t>Existing</t>
        </is>
      </c>
      <c r="I760" t="inlineStr">
        <is>
          <t>N</t>
        </is>
      </c>
    </row>
    <row r="761">
      <c r="A761" t="inlineStr">
        <is>
          <t>LFC5611</t>
        </is>
      </c>
      <c r="B761" t="inlineStr">
        <is>
          <t>LFC5611</t>
        </is>
      </c>
      <c r="C761" t="inlineStr">
        <is>
          <t>OKOTA</t>
        </is>
      </c>
      <c r="D761" t="inlineStr">
        <is>
          <t>Y</t>
        </is>
      </c>
      <c r="E761" t="inlineStr">
        <is>
          <t>Y</t>
        </is>
      </c>
      <c r="F761" t="inlineStr">
        <is>
          <t>11</t>
        </is>
      </c>
      <c r="G761" t="inlineStr">
        <is>
          <t>6 IYADUNNI STREET OKE AFA</t>
        </is>
      </c>
      <c r="H761" t="inlineStr">
        <is>
          <t>Existing</t>
        </is>
      </c>
      <c r="I761" t="inlineStr">
        <is>
          <t>N</t>
        </is>
      </c>
    </row>
    <row r="762">
      <c r="A762" t="inlineStr">
        <is>
          <t>LFC5612</t>
        </is>
      </c>
      <c r="B762" t="inlineStr">
        <is>
          <t>LFC5612</t>
        </is>
      </c>
      <c r="C762" t="inlineStr">
        <is>
          <t>OKOTA</t>
        </is>
      </c>
      <c r="D762" t="inlineStr">
        <is>
          <t>Y</t>
        </is>
      </c>
      <c r="E762" t="inlineStr">
        <is>
          <t>Y</t>
        </is>
      </c>
      <c r="F762" t="inlineStr">
        <is>
          <t>12</t>
        </is>
      </c>
      <c r="G762" t="inlineStr">
        <is>
          <t>4 KUDIRAT ADENEKAN STR OKE AFA</t>
        </is>
      </c>
      <c r="H762" t="inlineStr">
        <is>
          <t>Existing</t>
        </is>
      </c>
      <c r="I762" t="inlineStr">
        <is>
          <t>N</t>
        </is>
      </c>
    </row>
    <row r="763">
      <c r="A763" t="inlineStr">
        <is>
          <t>LFC5613</t>
        </is>
      </c>
      <c r="B763" t="inlineStr">
        <is>
          <t>LFC5613</t>
        </is>
      </c>
      <c r="C763" t="inlineStr">
        <is>
          <t>OKOTA</t>
        </is>
      </c>
      <c r="D763" t="inlineStr">
        <is>
          <t>N</t>
        </is>
      </c>
      <c r="E763" t="inlineStr">
        <is>
          <t>Y</t>
        </is>
      </c>
      <c r="F763" t="inlineStr">
        <is>
          <t>13</t>
        </is>
      </c>
      <c r="G763" t="inlineStr">
        <is>
          <t>ST. CATHERINE SCH OKE AFA</t>
        </is>
      </c>
      <c r="H763" t="inlineStr">
        <is>
          <t>Existing</t>
        </is>
      </c>
      <c r="I763" t="inlineStr">
        <is>
          <t>N</t>
        </is>
      </c>
    </row>
    <row r="764">
      <c r="A764" t="inlineStr">
        <is>
          <t>LFC5614</t>
        </is>
      </c>
      <c r="B764" t="inlineStr">
        <is>
          <t>LFC5614</t>
        </is>
      </c>
      <c r="C764" t="inlineStr">
        <is>
          <t>OKOTA</t>
        </is>
      </c>
      <c r="D764" t="inlineStr">
        <is>
          <t>N</t>
        </is>
      </c>
      <c r="E764" t="inlineStr">
        <is>
          <t>Y</t>
        </is>
      </c>
      <c r="F764" t="inlineStr">
        <is>
          <t>14</t>
        </is>
      </c>
      <c r="G764" t="inlineStr">
        <is>
          <t>79 MOSHOBOLAJE STREET OKOTA</t>
        </is>
      </c>
      <c r="H764" t="inlineStr">
        <is>
          <t>Existing</t>
        </is>
      </c>
      <c r="I764" t="inlineStr">
        <is>
          <t>N</t>
        </is>
      </c>
    </row>
    <row r="765">
      <c r="A765" t="inlineStr">
        <is>
          <t>LFC5615</t>
        </is>
      </c>
      <c r="B765" t="inlineStr">
        <is>
          <t>LFC5615</t>
        </is>
      </c>
      <c r="C765" t="inlineStr">
        <is>
          <t>OKOTA</t>
        </is>
      </c>
      <c r="D765" t="inlineStr">
        <is>
          <t>N</t>
        </is>
      </c>
      <c r="E765" t="inlineStr">
        <is>
          <t>Y</t>
        </is>
      </c>
      <c r="F765" t="inlineStr">
        <is>
          <t>15</t>
        </is>
      </c>
      <c r="G765" t="inlineStr">
        <is>
          <t>21 CANAL VIEW OKOTA</t>
        </is>
      </c>
      <c r="H765" t="inlineStr">
        <is>
          <t>New (proposed)</t>
        </is>
      </c>
      <c r="I765" t="inlineStr">
        <is>
          <t>N</t>
        </is>
      </c>
    </row>
    <row r="766">
      <c r="A766" t="inlineStr">
        <is>
          <t>LFC5701</t>
        </is>
      </c>
      <c r="B766" t="inlineStr">
        <is>
          <t>LFC5701</t>
        </is>
      </c>
      <c r="C766" t="inlineStr">
        <is>
          <t>OSHODI</t>
        </is>
      </c>
      <c r="D766" t="inlineStr">
        <is>
          <t>Y</t>
        </is>
      </c>
      <c r="E766" t="inlineStr">
        <is>
          <t>Y</t>
        </is>
      </c>
      <c r="F766" t="inlineStr">
        <is>
          <t>1</t>
        </is>
      </c>
      <c r="G766" t="inlineStr">
        <is>
          <t>11 OGUNDELE ST., MAFOLUKU</t>
        </is>
      </c>
      <c r="H766" t="inlineStr">
        <is>
          <t>Existing</t>
        </is>
      </c>
      <c r="I766" t="inlineStr">
        <is>
          <t>N</t>
        </is>
      </c>
    </row>
    <row r="767">
      <c r="A767" t="inlineStr">
        <is>
          <t>LFC5702</t>
        </is>
      </c>
      <c r="B767" t="inlineStr">
        <is>
          <t>LFC5702</t>
        </is>
      </c>
      <c r="C767" t="inlineStr">
        <is>
          <t>OSHODI</t>
        </is>
      </c>
      <c r="D767" t="inlineStr">
        <is>
          <t>Y</t>
        </is>
      </c>
      <c r="E767" t="inlineStr">
        <is>
          <t>Y</t>
        </is>
      </c>
      <c r="F767" t="inlineStr">
        <is>
          <t>2</t>
        </is>
      </c>
      <c r="G767" t="inlineStr">
        <is>
          <t>2, RASHEED ABAYOMI STREET</t>
        </is>
      </c>
      <c r="H767" t="inlineStr">
        <is>
          <t>Existing</t>
        </is>
      </c>
      <c r="I767" t="inlineStr">
        <is>
          <t>N</t>
        </is>
      </c>
    </row>
    <row r="768">
      <c r="A768" t="inlineStr">
        <is>
          <t>LFC5703</t>
        </is>
      </c>
      <c r="B768" t="inlineStr">
        <is>
          <t>LFC5703</t>
        </is>
      </c>
      <c r="C768" t="inlineStr">
        <is>
          <t>OSHODI</t>
        </is>
      </c>
      <c r="D768" t="inlineStr">
        <is>
          <t>N</t>
        </is>
      </c>
      <c r="E768" t="inlineStr">
        <is>
          <t>Y</t>
        </is>
      </c>
      <c r="F768" t="inlineStr">
        <is>
          <t>3</t>
        </is>
      </c>
      <c r="G768" t="inlineStr">
        <is>
          <t>26 OLAIYA STREET, MAFOLUKU</t>
        </is>
      </c>
      <c r="H768" t="inlineStr">
        <is>
          <t>Existing</t>
        </is>
      </c>
      <c r="I768" t="inlineStr">
        <is>
          <t>N</t>
        </is>
      </c>
    </row>
    <row r="769">
      <c r="A769" t="inlineStr">
        <is>
          <t>LFC5704</t>
        </is>
      </c>
      <c r="B769" t="inlineStr">
        <is>
          <t>LFC5704</t>
        </is>
      </c>
      <c r="C769" t="inlineStr">
        <is>
          <t>OSHODI</t>
        </is>
      </c>
      <c r="D769" t="inlineStr">
        <is>
          <t>N</t>
        </is>
      </c>
      <c r="E769" t="inlineStr">
        <is>
          <t>Y</t>
        </is>
      </c>
      <c r="F769" t="inlineStr">
        <is>
          <t>4</t>
        </is>
      </c>
      <c r="G769" t="inlineStr">
        <is>
          <t>MOQ2/87 NAFBASE IKEJA</t>
        </is>
      </c>
      <c r="H769" t="inlineStr">
        <is>
          <t>Existing</t>
        </is>
      </c>
      <c r="I769" t="inlineStr">
        <is>
          <t>N</t>
        </is>
      </c>
    </row>
    <row r="770">
      <c r="A770" t="inlineStr">
        <is>
          <t>LFC5705</t>
        </is>
      </c>
      <c r="B770" t="inlineStr">
        <is>
          <t>LFC5705</t>
        </is>
      </c>
      <c r="C770" t="inlineStr">
        <is>
          <t>OSHODI</t>
        </is>
      </c>
      <c r="D770" t="inlineStr">
        <is>
          <t>Y</t>
        </is>
      </c>
      <c r="E770" t="inlineStr">
        <is>
          <t>Y</t>
        </is>
      </c>
      <c r="F770" t="inlineStr">
        <is>
          <t>5</t>
        </is>
      </c>
      <c r="G770" t="inlineStr">
        <is>
          <t>MOQ2/90 NAF BASE</t>
        </is>
      </c>
      <c r="H770" t="inlineStr">
        <is>
          <t>Existing</t>
        </is>
      </c>
      <c r="I770" t="inlineStr">
        <is>
          <t>N</t>
        </is>
      </c>
    </row>
    <row r="771">
      <c r="A771" t="inlineStr">
        <is>
          <t>LFC5706</t>
        </is>
      </c>
      <c r="B771" t="inlineStr">
        <is>
          <t>LFC5706</t>
        </is>
      </c>
      <c r="C771" t="inlineStr">
        <is>
          <t>OSHODI</t>
        </is>
      </c>
      <c r="D771" t="inlineStr">
        <is>
          <t>Y</t>
        </is>
      </c>
      <c r="E771" t="inlineStr">
        <is>
          <t>Y</t>
        </is>
      </c>
      <c r="F771" t="inlineStr">
        <is>
          <t>6</t>
        </is>
      </c>
      <c r="G771" t="inlineStr">
        <is>
          <t>18 BALOGUN STREET OSHODI</t>
        </is>
      </c>
      <c r="H771" t="inlineStr">
        <is>
          <t>Existing</t>
        </is>
      </c>
      <c r="I771" t="inlineStr">
        <is>
          <t>N</t>
        </is>
      </c>
    </row>
    <row r="772">
      <c r="A772" t="inlineStr">
        <is>
          <t>LFC5707</t>
        </is>
      </c>
      <c r="B772" t="inlineStr">
        <is>
          <t>LFC5707</t>
        </is>
      </c>
      <c r="C772" t="inlineStr">
        <is>
          <t>OSHODI</t>
        </is>
      </c>
      <c r="D772" t="inlineStr">
        <is>
          <t>N</t>
        </is>
      </c>
      <c r="E772" t="inlineStr">
        <is>
          <t>Y</t>
        </is>
      </c>
      <c r="F772" t="inlineStr">
        <is>
          <t>7</t>
        </is>
      </c>
      <c r="G772" t="inlineStr">
        <is>
          <t>3 BELLO LADIPO ST., OSHODI</t>
        </is>
      </c>
      <c r="H772" t="inlineStr">
        <is>
          <t>Existing</t>
        </is>
      </c>
      <c r="I772" t="inlineStr">
        <is>
          <t>N</t>
        </is>
      </c>
    </row>
    <row r="773">
      <c r="A773" t="inlineStr">
        <is>
          <t>LFC5708</t>
        </is>
      </c>
      <c r="B773" t="inlineStr">
        <is>
          <t>LFC5708</t>
        </is>
      </c>
      <c r="C773" t="inlineStr">
        <is>
          <t>OSHODI</t>
        </is>
      </c>
      <c r="D773" t="inlineStr">
        <is>
          <t>N</t>
        </is>
      </c>
      <c r="E773" t="inlineStr">
        <is>
          <t>Y</t>
        </is>
      </c>
      <c r="F773" t="inlineStr">
        <is>
          <t>8</t>
        </is>
      </c>
      <c r="G773" t="inlineStr">
        <is>
          <t>3 ADEYANJU STREET, SHOGUNLE</t>
        </is>
      </c>
      <c r="H773" t="inlineStr">
        <is>
          <t>Existing</t>
        </is>
      </c>
      <c r="I773" t="inlineStr">
        <is>
          <t>N</t>
        </is>
      </c>
    </row>
    <row r="774">
      <c r="A774" t="inlineStr">
        <is>
          <t>LFC5709</t>
        </is>
      </c>
      <c r="B774" t="inlineStr">
        <is>
          <t>LFC5709</t>
        </is>
      </c>
      <c r="C774" t="inlineStr">
        <is>
          <t>OSHODI</t>
        </is>
      </c>
      <c r="D774" t="inlineStr">
        <is>
          <t>Y</t>
        </is>
      </c>
      <c r="E774" t="inlineStr">
        <is>
          <t>Y</t>
        </is>
      </c>
      <c r="F774" t="inlineStr">
        <is>
          <t>9</t>
        </is>
      </c>
      <c r="G774" t="inlineStr">
        <is>
          <t>34 RAFIU CRESCENT, OSHODI</t>
        </is>
      </c>
      <c r="H774" t="inlineStr">
        <is>
          <t>Existing</t>
        </is>
      </c>
      <c r="I774" t="inlineStr">
        <is>
          <t>N</t>
        </is>
      </c>
    </row>
    <row r="775">
      <c r="A775" t="inlineStr">
        <is>
          <t>LFC5710</t>
        </is>
      </c>
      <c r="B775" t="inlineStr">
        <is>
          <t>LFC5710</t>
        </is>
      </c>
      <c r="C775" t="inlineStr">
        <is>
          <t>OSHODI</t>
        </is>
      </c>
      <c r="D775" t="inlineStr">
        <is>
          <t>Y</t>
        </is>
      </c>
      <c r="E775" t="inlineStr">
        <is>
          <t>Y</t>
        </is>
      </c>
      <c r="F775" t="inlineStr">
        <is>
          <t>10</t>
        </is>
      </c>
      <c r="G775" t="inlineStr">
        <is>
          <t>8 JOE BEST CRESCENT, AJAO ESTATE</t>
        </is>
      </c>
      <c r="H775" t="inlineStr">
        <is>
          <t>Existing</t>
        </is>
      </c>
      <c r="I775" t="inlineStr">
        <is>
          <t>N</t>
        </is>
      </c>
    </row>
    <row r="776">
      <c r="A776" t="inlineStr">
        <is>
          <t>LFC5711</t>
        </is>
      </c>
      <c r="B776" t="inlineStr">
        <is>
          <t>LFC5711</t>
        </is>
      </c>
      <c r="C776" t="inlineStr">
        <is>
          <t>OSHODI</t>
        </is>
      </c>
      <c r="D776" t="inlineStr">
        <is>
          <t>Y</t>
        </is>
      </c>
      <c r="E776" t="inlineStr">
        <is>
          <t>Y</t>
        </is>
      </c>
      <c r="F776" t="inlineStr">
        <is>
          <t>11</t>
        </is>
      </c>
      <c r="G776" t="inlineStr">
        <is>
          <t>5, CHIEF MIKE CLOSE, AJAO ESTATE</t>
        </is>
      </c>
      <c r="H776" t="inlineStr">
        <is>
          <t>Existing</t>
        </is>
      </c>
      <c r="I776" t="inlineStr">
        <is>
          <t>N</t>
        </is>
      </c>
    </row>
    <row r="777">
      <c r="A777" t="inlineStr">
        <is>
          <t>LFC5712</t>
        </is>
      </c>
      <c r="B777" t="inlineStr">
        <is>
          <t>LFC5712</t>
        </is>
      </c>
      <c r="C777" t="inlineStr">
        <is>
          <t>OSHODI</t>
        </is>
      </c>
      <c r="D777" t="inlineStr">
        <is>
          <t>Y</t>
        </is>
      </c>
      <c r="E777" t="inlineStr">
        <is>
          <t>Y</t>
        </is>
      </c>
      <c r="F777" t="inlineStr">
        <is>
          <t>12</t>
        </is>
      </c>
      <c r="G777" t="inlineStr">
        <is>
          <t>19, SERIKI ABASS CRESCENT</t>
        </is>
      </c>
      <c r="H777" t="inlineStr">
        <is>
          <t>Existing</t>
        </is>
      </c>
      <c r="I777" t="inlineStr">
        <is>
          <t>N</t>
        </is>
      </c>
    </row>
    <row r="778">
      <c r="A778" t="inlineStr">
        <is>
          <t>LFC5713</t>
        </is>
      </c>
      <c r="B778" t="inlineStr">
        <is>
          <t>LFC5713</t>
        </is>
      </c>
      <c r="C778" t="inlineStr">
        <is>
          <t>OSHODI</t>
        </is>
      </c>
      <c r="D778" t="inlineStr">
        <is>
          <t>Y</t>
        </is>
      </c>
      <c r="E778" t="inlineStr">
        <is>
          <t>Y</t>
        </is>
      </c>
      <c r="F778" t="inlineStr">
        <is>
          <t>13</t>
        </is>
      </c>
      <c r="G778" t="inlineStr">
        <is>
          <t>7 ASALA STREET, ISOLO</t>
        </is>
      </c>
      <c r="H778" t="inlineStr">
        <is>
          <t>Existing</t>
        </is>
      </c>
      <c r="I778" t="inlineStr">
        <is>
          <t>N</t>
        </is>
      </c>
    </row>
    <row r="779">
      <c r="A779" t="inlineStr">
        <is>
          <t>LFC5714</t>
        </is>
      </c>
      <c r="B779" t="inlineStr">
        <is>
          <t>LFC5714</t>
        </is>
      </c>
      <c r="C779" t="inlineStr">
        <is>
          <t>OSHODI</t>
        </is>
      </c>
      <c r="D779" t="inlineStr">
        <is>
          <t>Y</t>
        </is>
      </c>
      <c r="E779" t="inlineStr">
        <is>
          <t>Y</t>
        </is>
      </c>
      <c r="F779" t="inlineStr">
        <is>
          <t>14</t>
        </is>
      </c>
      <c r="G779" t="inlineStr">
        <is>
          <t>2 AYINDE GIWA STREET, ISOLO</t>
        </is>
      </c>
      <c r="H779" t="inlineStr">
        <is>
          <t>Existing</t>
        </is>
      </c>
      <c r="I779" t="inlineStr">
        <is>
          <t>N</t>
        </is>
      </c>
    </row>
    <row r="780">
      <c r="A780" t="inlineStr">
        <is>
          <t>LFC5715</t>
        </is>
      </c>
      <c r="B780" t="inlineStr">
        <is>
          <t>LFC5715</t>
        </is>
      </c>
      <c r="C780" t="inlineStr">
        <is>
          <t>OSHODI</t>
        </is>
      </c>
      <c r="D780" t="inlineStr">
        <is>
          <t>Y</t>
        </is>
      </c>
      <c r="E780" t="inlineStr">
        <is>
          <t>Y</t>
        </is>
      </c>
      <c r="F780" t="inlineStr">
        <is>
          <t>15</t>
        </is>
      </c>
      <c r="G780" t="inlineStr">
        <is>
          <t>21 ONWUFUJU STR IREAKARI</t>
        </is>
      </c>
      <c r="H780" t="inlineStr">
        <is>
          <t>Existing</t>
        </is>
      </c>
      <c r="I780" t="inlineStr">
        <is>
          <t>N</t>
        </is>
      </c>
    </row>
    <row r="781">
      <c r="A781" t="inlineStr">
        <is>
          <t>LFC5716</t>
        </is>
      </c>
      <c r="B781" t="inlineStr">
        <is>
          <t>LFC5716</t>
        </is>
      </c>
      <c r="C781" t="inlineStr">
        <is>
          <t>OSHODI</t>
        </is>
      </c>
      <c r="D781" t="inlineStr">
        <is>
          <t>Y</t>
        </is>
      </c>
      <c r="E781" t="inlineStr">
        <is>
          <t>Y</t>
        </is>
      </c>
      <c r="F781" t="inlineStr">
        <is>
          <t>16</t>
        </is>
      </c>
      <c r="G781" t="inlineStr">
        <is>
          <t>AMAZING GRACE SCHOOL ILASA</t>
        </is>
      </c>
      <c r="H781" t="inlineStr">
        <is>
          <t>Existing</t>
        </is>
      </c>
      <c r="I781" t="inlineStr">
        <is>
          <t>N</t>
        </is>
      </c>
    </row>
    <row r="782">
      <c r="A782" t="inlineStr">
        <is>
          <t>LFC5717</t>
        </is>
      </c>
      <c r="B782" t="inlineStr">
        <is>
          <t>LFC5717</t>
        </is>
      </c>
      <c r="C782" t="inlineStr">
        <is>
          <t>OSHODI</t>
        </is>
      </c>
      <c r="D782" t="inlineStr">
        <is>
          <t>N</t>
        </is>
      </c>
      <c r="E782" t="inlineStr">
        <is>
          <t>Y</t>
        </is>
      </c>
      <c r="F782" t="inlineStr">
        <is>
          <t>17</t>
        </is>
      </c>
      <c r="G782" t="inlineStr">
        <is>
          <t>32 OLUDEGUN STREET IRE-AKARI</t>
        </is>
      </c>
      <c r="H782" t="inlineStr">
        <is>
          <t>Existing</t>
        </is>
      </c>
      <c r="I782" t="inlineStr">
        <is>
          <t>N</t>
        </is>
      </c>
    </row>
    <row r="783">
      <c r="A783" t="inlineStr">
        <is>
          <t>LFC5718</t>
        </is>
      </c>
      <c r="B783" t="inlineStr">
        <is>
          <t>LFC5718</t>
        </is>
      </c>
      <c r="C783" t="inlineStr">
        <is>
          <t>OSHODI</t>
        </is>
      </c>
      <c r="D783" t="inlineStr">
        <is>
          <t>N</t>
        </is>
      </c>
      <c r="E783" t="inlineStr">
        <is>
          <t>Y</t>
        </is>
      </c>
      <c r="F783" t="inlineStr">
        <is>
          <t>18</t>
        </is>
      </c>
      <c r="G783" t="inlineStr">
        <is>
          <t>MINIMAH ESTATE</t>
        </is>
      </c>
      <c r="H783" t="inlineStr">
        <is>
          <t>Existing</t>
        </is>
      </c>
      <c r="I783" t="inlineStr">
        <is>
          <t>N</t>
        </is>
      </c>
    </row>
    <row r="784">
      <c r="A784" t="inlineStr">
        <is>
          <t>LFC5719</t>
        </is>
      </c>
      <c r="B784" t="inlineStr">
        <is>
          <t>LFC5719</t>
        </is>
      </c>
      <c r="C784" t="inlineStr">
        <is>
          <t>OSHODI</t>
        </is>
      </c>
      <c r="D784" t="inlineStr">
        <is>
          <t>N</t>
        </is>
      </c>
      <c r="E784" t="inlineStr">
        <is>
          <t>Y</t>
        </is>
      </c>
      <c r="F784" t="inlineStr">
        <is>
          <t>19</t>
        </is>
      </c>
      <c r="G784" t="inlineStr">
        <is>
          <t>NAFRIC BARRACK</t>
        </is>
      </c>
      <c r="H784" t="inlineStr">
        <is>
          <t>Existing</t>
        </is>
      </c>
      <c r="I784" t="inlineStr">
        <is>
          <t>N</t>
        </is>
      </c>
    </row>
    <row r="785">
      <c r="A785" t="inlineStr">
        <is>
          <t>LFC5801</t>
        </is>
      </c>
      <c r="B785" t="inlineStr">
        <is>
          <t>LFC5801</t>
        </is>
      </c>
      <c r="C785" t="inlineStr">
        <is>
          <t>FESTAC</t>
        </is>
      </c>
      <c r="D785" t="inlineStr">
        <is>
          <t>Y</t>
        </is>
      </c>
      <c r="E785" t="inlineStr">
        <is>
          <t>Y</t>
        </is>
      </c>
      <c r="F785" t="inlineStr">
        <is>
          <t>1</t>
        </is>
      </c>
      <c r="G785" t="inlineStr">
        <is>
          <t>23/52 ROAD JUNCTION, FESTAC</t>
        </is>
      </c>
      <c r="H785" t="inlineStr">
        <is>
          <t>Existing</t>
        </is>
      </c>
      <c r="I785" t="inlineStr">
        <is>
          <t>N</t>
        </is>
      </c>
    </row>
    <row r="786">
      <c r="A786" t="inlineStr">
        <is>
          <t>LFC5802</t>
        </is>
      </c>
      <c r="B786" t="inlineStr">
        <is>
          <t>LFC5802</t>
        </is>
      </c>
      <c r="C786" t="inlineStr">
        <is>
          <t>FESTAC</t>
        </is>
      </c>
      <c r="D786" t="inlineStr">
        <is>
          <t>N</t>
        </is>
      </c>
      <c r="E786" t="inlineStr">
        <is>
          <t>Y</t>
        </is>
      </c>
      <c r="F786" t="inlineStr">
        <is>
          <t>2</t>
        </is>
      </c>
      <c r="G786" t="inlineStr">
        <is>
          <t>C1 CLOSE 21 ROAD FESTAC</t>
        </is>
      </c>
      <c r="H786" t="inlineStr">
        <is>
          <t>Existing</t>
        </is>
      </c>
      <c r="I786" t="inlineStr">
        <is>
          <t>N</t>
        </is>
      </c>
    </row>
    <row r="787">
      <c r="A787" t="inlineStr">
        <is>
          <t>LFC5803</t>
        </is>
      </c>
      <c r="B787" t="inlineStr">
        <is>
          <t>LFC5803</t>
        </is>
      </c>
      <c r="C787" t="inlineStr">
        <is>
          <t>FESTAC</t>
        </is>
      </c>
      <c r="D787" t="inlineStr">
        <is>
          <t>N</t>
        </is>
      </c>
      <c r="E787" t="inlineStr">
        <is>
          <t>Y</t>
        </is>
      </c>
      <c r="F787" t="inlineStr">
        <is>
          <t>3</t>
        </is>
      </c>
      <c r="G787" t="inlineStr">
        <is>
          <t>1ST AVEN B CLOSE, HOUSE 4, FESTAC</t>
        </is>
      </c>
      <c r="H787" t="inlineStr">
        <is>
          <t>Existing</t>
        </is>
      </c>
      <c r="I787" t="inlineStr">
        <is>
          <t>N</t>
        </is>
      </c>
    </row>
    <row r="788">
      <c r="A788" t="inlineStr">
        <is>
          <t>LFC5804</t>
        </is>
      </c>
      <c r="B788" t="inlineStr">
        <is>
          <t>LFC5804</t>
        </is>
      </c>
      <c r="C788" t="inlineStr">
        <is>
          <t>FESTAC</t>
        </is>
      </c>
      <c r="D788" t="inlineStr">
        <is>
          <t>N</t>
        </is>
      </c>
      <c r="E788" t="inlineStr">
        <is>
          <t>Y</t>
        </is>
      </c>
      <c r="F788" t="inlineStr">
        <is>
          <t>4</t>
        </is>
      </c>
      <c r="G788" t="inlineStr">
        <is>
          <t>OPP CORNERSTONE CHURCH, 6TH AVENUE, FESTAC</t>
        </is>
      </c>
      <c r="H788" t="inlineStr">
        <is>
          <t>Existing</t>
        </is>
      </c>
      <c r="I788" t="inlineStr">
        <is>
          <t>N</t>
        </is>
      </c>
    </row>
    <row r="789">
      <c r="A789" t="inlineStr">
        <is>
          <t>LFC5805</t>
        </is>
      </c>
      <c r="B789" t="inlineStr">
        <is>
          <t>LFC5805</t>
        </is>
      </c>
      <c r="C789" t="inlineStr">
        <is>
          <t>FESTAC</t>
        </is>
      </c>
      <c r="D789" t="inlineStr">
        <is>
          <t>Y</t>
        </is>
      </c>
      <c r="E789" t="inlineStr">
        <is>
          <t>Y</t>
        </is>
      </c>
      <c r="F789" t="inlineStr">
        <is>
          <t>5</t>
        </is>
      </c>
      <c r="G789" t="inlineStr">
        <is>
          <t>FHA PLOT 810, GLO MAST, ADO SOBA</t>
        </is>
      </c>
      <c r="H789" t="inlineStr">
        <is>
          <t>Existing</t>
        </is>
      </c>
      <c r="I789" t="inlineStr">
        <is>
          <t>N</t>
        </is>
      </c>
    </row>
    <row r="790">
      <c r="A790" t="inlineStr">
        <is>
          <t>LFC5806</t>
        </is>
      </c>
      <c r="B790" t="inlineStr">
        <is>
          <t>LFC5806</t>
        </is>
      </c>
      <c r="C790" t="inlineStr">
        <is>
          <t>FESTAC</t>
        </is>
      </c>
      <c r="D790" t="inlineStr">
        <is>
          <t>Y</t>
        </is>
      </c>
      <c r="E790" t="inlineStr">
        <is>
          <t>Y</t>
        </is>
      </c>
      <c r="F790" t="inlineStr">
        <is>
          <t>6</t>
        </is>
      </c>
      <c r="G790" t="inlineStr">
        <is>
          <t>3RD AVENUE HSE 3 OTEYI GARDEN OMONILE, OTEYI</t>
        </is>
      </c>
      <c r="H790" t="inlineStr">
        <is>
          <t>Existing</t>
        </is>
      </c>
      <c r="I790" t="inlineStr">
        <is>
          <t>N</t>
        </is>
      </c>
    </row>
    <row r="791">
      <c r="A791" t="inlineStr">
        <is>
          <t>LFC5807</t>
        </is>
      </c>
      <c r="B791" t="inlineStr">
        <is>
          <t>LFC5807</t>
        </is>
      </c>
      <c r="C791" t="inlineStr">
        <is>
          <t>FESTAC</t>
        </is>
      </c>
      <c r="D791" t="inlineStr">
        <is>
          <t>Y</t>
        </is>
      </c>
      <c r="E791" t="inlineStr">
        <is>
          <t>Y</t>
        </is>
      </c>
      <c r="F791" t="inlineStr">
        <is>
          <t>7</t>
        </is>
      </c>
      <c r="G791" t="inlineStr">
        <is>
          <t>334 OLD OJO ROAD, ALAKIJA</t>
        </is>
      </c>
      <c r="H791" t="inlineStr">
        <is>
          <t>Existing</t>
        </is>
      </c>
      <c r="I791" t="inlineStr">
        <is>
          <t>N</t>
        </is>
      </c>
    </row>
    <row r="792">
      <c r="A792" t="inlineStr">
        <is>
          <t>LFC5808</t>
        </is>
      </c>
      <c r="B792" t="inlineStr">
        <is>
          <t>LFC5808</t>
        </is>
      </c>
      <c r="C792" t="inlineStr">
        <is>
          <t>FESTAC</t>
        </is>
      </c>
      <c r="D792" t="inlineStr">
        <is>
          <t>Y</t>
        </is>
      </c>
      <c r="E792" t="inlineStr">
        <is>
          <t>Y</t>
        </is>
      </c>
      <c r="F792" t="inlineStr">
        <is>
          <t>8</t>
        </is>
      </c>
      <c r="G792" t="inlineStr">
        <is>
          <t>3 Daranijo Street, Old Ojo Road, Oluti</t>
        </is>
      </c>
      <c r="H792" t="inlineStr">
        <is>
          <t>Existing</t>
        </is>
      </c>
      <c r="I792" t="inlineStr">
        <is>
          <t>N</t>
        </is>
      </c>
    </row>
    <row r="793">
      <c r="A793" t="inlineStr">
        <is>
          <t>LFC5809</t>
        </is>
      </c>
      <c r="B793" t="inlineStr">
        <is>
          <t>LFC5809</t>
        </is>
      </c>
      <c r="C793" t="inlineStr">
        <is>
          <t>FESTAC</t>
        </is>
      </c>
      <c r="D793" t="inlineStr">
        <is>
          <t>Y</t>
        </is>
      </c>
      <c r="E793" t="inlineStr">
        <is>
          <t>Y</t>
        </is>
      </c>
      <c r="F793" t="inlineStr">
        <is>
          <t>9</t>
        </is>
      </c>
      <c r="G793" t="inlineStr">
        <is>
          <t>WHITE HOUSE, CHURCH BUS STOP AGBOJU</t>
        </is>
      </c>
      <c r="H793" t="inlineStr">
        <is>
          <t>Existing</t>
        </is>
      </c>
      <c r="I793" t="inlineStr">
        <is>
          <t>N</t>
        </is>
      </c>
    </row>
    <row r="794">
      <c r="A794" t="inlineStr">
        <is>
          <t>LFC5901</t>
        </is>
      </c>
      <c r="B794" t="inlineStr">
        <is>
          <t>LFC5901</t>
        </is>
      </c>
      <c r="C794" t="inlineStr">
        <is>
          <t>IJU ISHAGA</t>
        </is>
      </c>
      <c r="D794" t="inlineStr">
        <is>
          <t>Y</t>
        </is>
      </c>
      <c r="E794" t="inlineStr">
        <is>
          <t>Y</t>
        </is>
      </c>
      <c r="F794" t="inlineStr">
        <is>
          <t>1</t>
        </is>
      </c>
      <c r="G794" t="inlineStr">
        <is>
          <t>1/3 FRANKLIN ADEJUWON CLOSE.</t>
        </is>
      </c>
      <c r="H794" t="inlineStr">
        <is>
          <t>Existing</t>
        </is>
      </c>
      <c r="I794" t="inlineStr">
        <is>
          <t>N</t>
        </is>
      </c>
    </row>
    <row r="795">
      <c r="A795" t="inlineStr">
        <is>
          <t>LFC5902</t>
        </is>
      </c>
      <c r="B795" t="inlineStr">
        <is>
          <t>LFC5902</t>
        </is>
      </c>
      <c r="C795" t="inlineStr">
        <is>
          <t>IJU ISHAGA</t>
        </is>
      </c>
      <c r="D795" t="inlineStr">
        <is>
          <t>Y</t>
        </is>
      </c>
      <c r="E795" t="inlineStr">
        <is>
          <t>Y</t>
        </is>
      </c>
      <c r="F795" t="inlineStr">
        <is>
          <t>2</t>
        </is>
      </c>
      <c r="G795" t="inlineStr">
        <is>
          <t>19, OLADIMEJI OLADIPUPO, ENILOLOBO B/S GIWA OKE-ARO</t>
        </is>
      </c>
      <c r="H795" t="inlineStr">
        <is>
          <t>Existing</t>
        </is>
      </c>
      <c r="I795" t="inlineStr">
        <is>
          <t>N</t>
        </is>
      </c>
    </row>
    <row r="796">
      <c r="A796" t="inlineStr">
        <is>
          <t>LFC5903</t>
        </is>
      </c>
      <c r="B796" t="inlineStr">
        <is>
          <t>LFC5903</t>
        </is>
      </c>
      <c r="C796" t="inlineStr">
        <is>
          <t>IJU ISHAGA</t>
        </is>
      </c>
      <c r="D796" t="inlineStr">
        <is>
          <t>Y</t>
        </is>
      </c>
      <c r="E796" t="inlineStr">
        <is>
          <t>Y</t>
        </is>
      </c>
      <c r="F796" t="inlineStr">
        <is>
          <t>3</t>
        </is>
      </c>
      <c r="G796" t="inlineStr">
        <is>
          <t>3, BABAFEMI, YEWANDE/GIWA - IJU, LAGOS</t>
        </is>
      </c>
      <c r="H796" t="inlineStr">
        <is>
          <t>Existing</t>
        </is>
      </c>
      <c r="I796" t="inlineStr">
        <is>
          <t>N</t>
        </is>
      </c>
    </row>
    <row r="797">
      <c r="A797" t="inlineStr">
        <is>
          <t>LFC5904</t>
        </is>
      </c>
      <c r="B797" t="inlineStr">
        <is>
          <t>LFC5904</t>
        </is>
      </c>
      <c r="C797" t="inlineStr">
        <is>
          <t>IJU ISHAGA</t>
        </is>
      </c>
      <c r="D797" t="inlineStr">
        <is>
          <t>Y</t>
        </is>
      </c>
      <c r="E797" t="inlineStr">
        <is>
          <t>Y</t>
        </is>
      </c>
      <c r="F797" t="inlineStr">
        <is>
          <t>4</t>
        </is>
      </c>
      <c r="G797" t="inlineStr">
        <is>
          <t>22, ISHAGA ABOSULE STR, AGBADO</t>
        </is>
      </c>
      <c r="H797" t="inlineStr">
        <is>
          <t>Existing</t>
        </is>
      </c>
      <c r="I797" t="inlineStr">
        <is>
          <t>N</t>
        </is>
      </c>
    </row>
    <row r="798">
      <c r="A798" t="inlineStr">
        <is>
          <t>LFC5905</t>
        </is>
      </c>
      <c r="B798" t="inlineStr">
        <is>
          <t>LFC5905</t>
        </is>
      </c>
      <c r="C798" t="inlineStr">
        <is>
          <t>IJU ISHAGA</t>
        </is>
      </c>
      <c r="D798" t="inlineStr">
        <is>
          <t>N</t>
        </is>
      </c>
      <c r="E798" t="inlineStr">
        <is>
          <t>Y</t>
        </is>
      </c>
      <c r="F798" t="inlineStr">
        <is>
          <t>5</t>
        </is>
      </c>
      <c r="G798" t="inlineStr">
        <is>
          <t>1, AYOKA ADEYI STREE OLAORE BUS STOP</t>
        </is>
      </c>
      <c r="H798" t="inlineStr">
        <is>
          <t>Existing</t>
        </is>
      </c>
      <c r="I798" t="inlineStr">
        <is>
          <t>N</t>
        </is>
      </c>
    </row>
    <row r="799">
      <c r="A799" t="inlineStr">
        <is>
          <t>LFC5906</t>
        </is>
      </c>
      <c r="B799" t="inlineStr">
        <is>
          <t>LFC5906</t>
        </is>
      </c>
      <c r="C799" t="inlineStr">
        <is>
          <t>IJU ISHAGA</t>
        </is>
      </c>
      <c r="D799" t="inlineStr">
        <is>
          <t>Y</t>
        </is>
      </c>
      <c r="E799" t="inlineStr">
        <is>
          <t>Y</t>
        </is>
      </c>
      <c r="F799" t="inlineStr">
        <is>
          <t>6</t>
        </is>
      </c>
      <c r="G799" t="inlineStr">
        <is>
          <t>19, FAGBA STR, OFF IJU RD, FAGBA JUNCTION</t>
        </is>
      </c>
      <c r="H799" t="inlineStr">
        <is>
          <t>Existing</t>
        </is>
      </c>
      <c r="I799" t="inlineStr">
        <is>
          <t>N</t>
        </is>
      </c>
    </row>
    <row r="800">
      <c r="A800" t="inlineStr">
        <is>
          <t>LFC5907</t>
        </is>
      </c>
      <c r="B800" t="inlineStr">
        <is>
          <t>LFC5907</t>
        </is>
      </c>
      <c r="C800" t="inlineStr">
        <is>
          <t>IJU ISHAGA</t>
        </is>
      </c>
      <c r="D800" t="inlineStr">
        <is>
          <t>N</t>
        </is>
      </c>
      <c r="E800" t="inlineStr">
        <is>
          <t>Y</t>
        </is>
      </c>
      <c r="F800" t="inlineStr">
        <is>
          <t>7</t>
        </is>
      </c>
      <c r="G800" t="inlineStr">
        <is>
          <t>17, IJU WATER WORKS ROAD, IJU-ISHAGA</t>
        </is>
      </c>
      <c r="H800" t="inlineStr">
        <is>
          <t>Existing</t>
        </is>
      </c>
      <c r="I800" t="inlineStr">
        <is>
          <t>N</t>
        </is>
      </c>
    </row>
    <row r="801">
      <c r="A801" t="inlineStr">
        <is>
          <t>LFC5908</t>
        </is>
      </c>
      <c r="B801" t="inlineStr">
        <is>
          <t>LFC5908</t>
        </is>
      </c>
      <c r="C801" t="inlineStr">
        <is>
          <t>IJU ISHAGA</t>
        </is>
      </c>
      <c r="D801" t="inlineStr">
        <is>
          <t>N</t>
        </is>
      </c>
      <c r="E801" t="inlineStr">
        <is>
          <t>Y</t>
        </is>
      </c>
      <c r="F801" t="inlineStr">
        <is>
          <t>8</t>
        </is>
      </c>
      <c r="G801" t="inlineStr">
        <is>
          <t>11, AJOKE ESTATE, FAGBA, NEW OKO-OBA AGEGE</t>
        </is>
      </c>
      <c r="H801" t="inlineStr">
        <is>
          <t>Existing</t>
        </is>
      </c>
      <c r="I801" t="inlineStr">
        <is>
          <t>N</t>
        </is>
      </c>
    </row>
    <row r="802">
      <c r="A802" t="inlineStr">
        <is>
          <t>LFC5909</t>
        </is>
      </c>
      <c r="B802" t="inlineStr">
        <is>
          <t>LFC5909</t>
        </is>
      </c>
      <c r="C802" t="inlineStr">
        <is>
          <t>IJU ISHAGA</t>
        </is>
      </c>
      <c r="D802" t="inlineStr">
        <is>
          <t>Y</t>
        </is>
      </c>
      <c r="E802" t="inlineStr">
        <is>
          <t>Y</t>
        </is>
      </c>
      <c r="F802" t="inlineStr">
        <is>
          <t>9</t>
        </is>
      </c>
      <c r="G802" t="inlineStr">
        <is>
          <t>2, OMO-OSAGIE STREET, IJU-ISHAGA</t>
        </is>
      </c>
      <c r="H802" t="inlineStr">
        <is>
          <t>Existing</t>
        </is>
      </c>
      <c r="I802" t="inlineStr">
        <is>
          <t>N</t>
        </is>
      </c>
    </row>
    <row r="803">
      <c r="A803" t="inlineStr">
        <is>
          <t>LFC5910</t>
        </is>
      </c>
      <c r="B803" t="inlineStr">
        <is>
          <t>LFC5910</t>
        </is>
      </c>
      <c r="C803" t="inlineStr">
        <is>
          <t>IJU ISHAGA</t>
        </is>
      </c>
      <c r="D803" t="inlineStr">
        <is>
          <t>N</t>
        </is>
      </c>
      <c r="E803" t="inlineStr">
        <is>
          <t>Y</t>
        </is>
      </c>
      <c r="F803" t="inlineStr">
        <is>
          <t>10</t>
        </is>
      </c>
      <c r="G803" t="inlineStr">
        <is>
          <t>6B, RAFATU DTR, OFF BALOGUN B/S, IJU ISHAGA</t>
        </is>
      </c>
      <c r="H803" t="inlineStr">
        <is>
          <t>Existing</t>
        </is>
      </c>
      <c r="I803" t="inlineStr">
        <is>
          <t>N</t>
        </is>
      </c>
    </row>
    <row r="804">
      <c r="A804" t="inlineStr">
        <is>
          <t>LFC5911</t>
        </is>
      </c>
      <c r="B804" t="inlineStr">
        <is>
          <t>LFC5911</t>
        </is>
      </c>
      <c r="C804" t="inlineStr">
        <is>
          <t>IJU ISHAGA</t>
        </is>
      </c>
      <c r="D804" t="inlineStr">
        <is>
          <t>N</t>
        </is>
      </c>
      <c r="E804" t="inlineStr">
        <is>
          <t>Y</t>
        </is>
      </c>
      <c r="F804" t="inlineStr">
        <is>
          <t>11</t>
        </is>
      </c>
      <c r="G804" t="inlineStr">
        <is>
          <t>40, ASHABI TAIWO STREET, OFF KAJOLA ROAD, OBAWOLE, IJU ISHAGA, LAGOS.</t>
        </is>
      </c>
      <c r="H804" t="inlineStr">
        <is>
          <t>Existing</t>
        </is>
      </c>
      <c r="I804" t="inlineStr">
        <is>
          <t>N</t>
        </is>
      </c>
    </row>
    <row r="805">
      <c r="A805" t="inlineStr">
        <is>
          <t>LFC5912</t>
        </is>
      </c>
      <c r="B805" t="inlineStr">
        <is>
          <t>LFC5912</t>
        </is>
      </c>
      <c r="C805" t="inlineStr">
        <is>
          <t>IJU ISHAGA</t>
        </is>
      </c>
      <c r="D805" t="inlineStr">
        <is>
          <t>Y</t>
        </is>
      </c>
      <c r="E805" t="inlineStr">
        <is>
          <t>Y</t>
        </is>
      </c>
      <c r="F805" t="inlineStr">
        <is>
          <t>12</t>
        </is>
      </c>
      <c r="G805" t="inlineStr">
        <is>
          <t>1A, AKINWA CLOSE, OBAWOLE, NIDIKE B/STOP</t>
        </is>
      </c>
      <c r="H805" t="inlineStr">
        <is>
          <t>Existing</t>
        </is>
      </c>
      <c r="I805" t="inlineStr">
        <is>
          <t>N</t>
        </is>
      </c>
    </row>
    <row r="806">
      <c r="A806" t="inlineStr">
        <is>
          <t>LFC5913</t>
        </is>
      </c>
      <c r="B806" t="inlineStr">
        <is>
          <t>LFC5913</t>
        </is>
      </c>
      <c r="C806" t="inlineStr">
        <is>
          <t>IJU ISHAGA</t>
        </is>
      </c>
      <c r="D806" t="inlineStr">
        <is>
          <t>N</t>
        </is>
      </c>
      <c r="E806" t="inlineStr">
        <is>
          <t>Y</t>
        </is>
      </c>
      <c r="F806" t="inlineStr">
        <is>
          <t>13</t>
        </is>
      </c>
      <c r="G806" t="inlineStr">
        <is>
          <t>5, FELIX CRESCENT, OFF OLD AKUTE RD, IJU-STATION</t>
        </is>
      </c>
      <c r="H806" t="inlineStr">
        <is>
          <t>Existing</t>
        </is>
      </c>
      <c r="I806" t="inlineStr">
        <is>
          <t>N</t>
        </is>
      </c>
    </row>
    <row r="807">
      <c r="A807" t="inlineStr">
        <is>
          <t>LFC5914</t>
        </is>
      </c>
      <c r="B807" t="inlineStr">
        <is>
          <t>LFC5914</t>
        </is>
      </c>
      <c r="C807" t="inlineStr">
        <is>
          <t>IJU ISHAGA</t>
        </is>
      </c>
      <c r="D807" t="inlineStr">
        <is>
          <t>N</t>
        </is>
      </c>
      <c r="E807" t="inlineStr">
        <is>
          <t>Y</t>
        </is>
      </c>
      <c r="F807" t="inlineStr">
        <is>
          <t>14</t>
        </is>
      </c>
      <c r="G807" t="inlineStr">
        <is>
          <t>12, OMIRIN CRESENT, IJU-ISAHGA</t>
        </is>
      </c>
      <c r="H807" t="inlineStr">
        <is>
          <t>Existing</t>
        </is>
      </c>
      <c r="I807" t="inlineStr">
        <is>
          <t>N</t>
        </is>
      </c>
    </row>
    <row r="808">
      <c r="A808" t="inlineStr">
        <is>
          <t>LFC5915</t>
        </is>
      </c>
      <c r="B808" t="inlineStr">
        <is>
          <t>LFC5915</t>
        </is>
      </c>
      <c r="C808" t="inlineStr">
        <is>
          <t>IJU ISHAGA</t>
        </is>
      </c>
      <c r="D808" t="inlineStr">
        <is>
          <t>N</t>
        </is>
      </c>
      <c r="E808" t="inlineStr">
        <is>
          <t>Y</t>
        </is>
      </c>
      <c r="F808" t="inlineStr">
        <is>
          <t>15</t>
        </is>
      </c>
      <c r="G808" t="inlineStr">
        <is>
          <t>2, SAM B STREET, OKE-AYO, IJU-ISHAGA</t>
        </is>
      </c>
      <c r="H808" t="inlineStr">
        <is>
          <t>Existing</t>
        </is>
      </c>
      <c r="I808" t="inlineStr">
        <is>
          <t>N</t>
        </is>
      </c>
    </row>
    <row r="809">
      <c r="A809" t="inlineStr">
        <is>
          <t>LFC5916</t>
        </is>
      </c>
      <c r="B809" t="inlineStr">
        <is>
          <t>LFC5916</t>
        </is>
      </c>
      <c r="C809" t="inlineStr">
        <is>
          <t>IJU ISHAGA</t>
        </is>
      </c>
      <c r="D809" t="inlineStr">
        <is>
          <t>N</t>
        </is>
      </c>
      <c r="E809" t="inlineStr">
        <is>
          <t>Y</t>
        </is>
      </c>
      <c r="F809" t="inlineStr">
        <is>
          <t>16</t>
        </is>
      </c>
      <c r="G809" t="inlineStr">
        <is>
          <t>50, OLD AKUTE ROAD, (TREASURE SCHOOL) OPP IJU-GRAMMAR SCHL.</t>
        </is>
      </c>
      <c r="H809" t="inlineStr">
        <is>
          <t>Existing</t>
        </is>
      </c>
      <c r="I809" t="inlineStr">
        <is>
          <t>N</t>
        </is>
      </c>
    </row>
    <row r="810">
      <c r="A810" t="inlineStr">
        <is>
          <t>LFC5917</t>
        </is>
      </c>
      <c r="B810" t="inlineStr">
        <is>
          <t>LFC5917</t>
        </is>
      </c>
      <c r="C810" t="inlineStr">
        <is>
          <t>IJU ISHAGA</t>
        </is>
      </c>
      <c r="D810" t="inlineStr">
        <is>
          <t>N</t>
        </is>
      </c>
      <c r="E810" t="inlineStr">
        <is>
          <t>Y</t>
        </is>
      </c>
      <c r="F810" t="inlineStr">
        <is>
          <t>17</t>
        </is>
      </c>
      <c r="G810" t="inlineStr">
        <is>
          <t>3, OLUSOLA GBADERO YEWANDE, GIWA OKE ARO</t>
        </is>
      </c>
      <c r="H810" t="inlineStr">
        <is>
          <t>Existing</t>
        </is>
      </c>
      <c r="I810" t="inlineStr">
        <is>
          <t>N</t>
        </is>
      </c>
    </row>
    <row r="811">
      <c r="A811" t="inlineStr">
        <is>
          <t>LFC5918</t>
        </is>
      </c>
      <c r="B811" t="inlineStr">
        <is>
          <t>LFC5918</t>
        </is>
      </c>
      <c r="C811" t="inlineStr">
        <is>
          <t>IJU ISHAGA</t>
        </is>
      </c>
      <c r="D811" t="inlineStr">
        <is>
          <t>N</t>
        </is>
      </c>
      <c r="E811" t="inlineStr">
        <is>
          <t>Y</t>
        </is>
      </c>
      <c r="F811" t="inlineStr">
        <is>
          <t>18</t>
        </is>
      </c>
      <c r="G811" t="inlineStr">
        <is>
          <t>40, T.A WILLIAMS PLOT 40. KAY FARM, OBAWOLE</t>
        </is>
      </c>
      <c r="H811" t="inlineStr">
        <is>
          <t>Existing</t>
        </is>
      </c>
      <c r="I811" t="inlineStr">
        <is>
          <t>N</t>
        </is>
      </c>
    </row>
    <row r="812">
      <c r="A812" t="inlineStr">
        <is>
          <t>LFC6001</t>
        </is>
      </c>
      <c r="B812" t="inlineStr">
        <is>
          <t>LFC6001</t>
        </is>
      </c>
      <c r="C812" t="inlineStr">
        <is>
          <t>EMDEO</t>
        </is>
      </c>
      <c r="D812" t="inlineStr">
        <is>
          <t>Y</t>
        </is>
      </c>
      <c r="E812" t="inlineStr">
        <is>
          <t>Y</t>
        </is>
      </c>
      <c r="F812" t="inlineStr">
        <is>
          <t>1</t>
        </is>
      </c>
      <c r="G812" t="inlineStr">
        <is>
          <t>9 EMDEO STREET,OFF YUSUFF DRIVE, KOLA BUS STOP</t>
        </is>
      </c>
      <c r="H812" t="inlineStr">
        <is>
          <t>Existing</t>
        </is>
      </c>
      <c r="I812" t="inlineStr">
        <is>
          <t>N</t>
        </is>
      </c>
    </row>
    <row r="813">
      <c r="A813" t="inlineStr">
        <is>
          <t>LFC6002</t>
        </is>
      </c>
      <c r="B813" t="inlineStr">
        <is>
          <t>LFC6002</t>
        </is>
      </c>
      <c r="C813" t="inlineStr">
        <is>
          <t>EMDEO</t>
        </is>
      </c>
      <c r="D813" t="inlineStr">
        <is>
          <t>Y</t>
        </is>
      </c>
      <c r="E813" t="inlineStr">
        <is>
          <t>Y</t>
        </is>
      </c>
      <c r="F813" t="inlineStr">
        <is>
          <t>2</t>
        </is>
      </c>
      <c r="G813" t="inlineStr">
        <is>
          <t>19, Agas Street Agbado</t>
        </is>
      </c>
      <c r="H813" t="inlineStr">
        <is>
          <t>Existing</t>
        </is>
      </c>
      <c r="I813" t="inlineStr">
        <is>
          <t>N</t>
        </is>
      </c>
    </row>
    <row r="814">
      <c r="A814" t="inlineStr">
        <is>
          <t>LFC6003</t>
        </is>
      </c>
      <c r="B814" t="inlineStr">
        <is>
          <t>LFC6003</t>
        </is>
      </c>
      <c r="C814" t="inlineStr">
        <is>
          <t>EMDEO</t>
        </is>
      </c>
      <c r="D814" t="inlineStr">
        <is>
          <t>Y</t>
        </is>
      </c>
      <c r="E814" t="inlineStr">
        <is>
          <t>Y</t>
        </is>
      </c>
      <c r="F814" t="inlineStr">
        <is>
          <t>3</t>
        </is>
      </c>
      <c r="G814" t="inlineStr">
        <is>
          <t>5, Layo Fasan Street</t>
        </is>
      </c>
      <c r="H814" t="inlineStr">
        <is>
          <t>Existing</t>
        </is>
      </c>
      <c r="I814" t="inlineStr">
        <is>
          <t>N</t>
        </is>
      </c>
    </row>
    <row r="815">
      <c r="A815" t="inlineStr">
        <is>
          <t>LFC6004</t>
        </is>
      </c>
      <c r="B815" t="inlineStr">
        <is>
          <t>LFC6004</t>
        </is>
      </c>
      <c r="C815" t="inlineStr">
        <is>
          <t>EMDEO</t>
        </is>
      </c>
      <c r="D815" t="inlineStr">
        <is>
          <t>Y</t>
        </is>
      </c>
      <c r="E815" t="inlineStr">
        <is>
          <t>Y</t>
        </is>
      </c>
      <c r="F815" t="inlineStr">
        <is>
          <t>4</t>
        </is>
      </c>
      <c r="G815" t="inlineStr">
        <is>
          <t>Block 6, Shyllion Estate</t>
        </is>
      </c>
      <c r="H815" t="inlineStr">
        <is>
          <t>Existing</t>
        </is>
      </c>
      <c r="I815" t="inlineStr">
        <is>
          <t>N</t>
        </is>
      </c>
    </row>
    <row r="816">
      <c r="A816" t="inlineStr">
        <is>
          <t>LFC6005</t>
        </is>
      </c>
      <c r="B816" t="inlineStr">
        <is>
          <t>LFC6005</t>
        </is>
      </c>
      <c r="C816" t="inlineStr">
        <is>
          <t>EMDEO</t>
        </is>
      </c>
      <c r="D816" t="inlineStr">
        <is>
          <t>Y</t>
        </is>
      </c>
      <c r="E816" t="inlineStr">
        <is>
          <t>Y</t>
        </is>
      </c>
      <c r="F816" t="inlineStr">
        <is>
          <t>5</t>
        </is>
      </c>
      <c r="G816" t="inlineStr">
        <is>
          <t>52, YUSUF DRIVE, OPP JOY HOTEL, ALAGBADO</t>
        </is>
      </c>
      <c r="H816" t="inlineStr">
        <is>
          <t>Existing</t>
        </is>
      </c>
      <c r="I816" t="inlineStr">
        <is>
          <t>N</t>
        </is>
      </c>
    </row>
    <row r="817">
      <c r="A817" t="inlineStr">
        <is>
          <t>LFC6006</t>
        </is>
      </c>
      <c r="B817" t="inlineStr">
        <is>
          <t>LFC6006</t>
        </is>
      </c>
      <c r="C817" t="inlineStr">
        <is>
          <t>EMDEO</t>
        </is>
      </c>
      <c r="D817" t="inlineStr">
        <is>
          <t>N</t>
        </is>
      </c>
      <c r="E817" t="inlineStr">
        <is>
          <t>Y</t>
        </is>
      </c>
      <c r="F817" t="inlineStr">
        <is>
          <t>6</t>
        </is>
      </c>
      <c r="G817" t="inlineStr">
        <is>
          <t>25, Aiyedun Street</t>
        </is>
      </c>
      <c r="H817" t="inlineStr">
        <is>
          <t>Existing</t>
        </is>
      </c>
      <c r="I817" t="inlineStr">
        <is>
          <t>N</t>
        </is>
      </c>
    </row>
    <row r="818">
      <c r="A818" t="inlineStr">
        <is>
          <t>LFC6007</t>
        </is>
      </c>
      <c r="B818" t="inlineStr">
        <is>
          <t>LFC6007</t>
        </is>
      </c>
      <c r="C818" t="inlineStr">
        <is>
          <t>EMDEO</t>
        </is>
      </c>
      <c r="D818" t="inlineStr">
        <is>
          <t>Y</t>
        </is>
      </c>
      <c r="E818" t="inlineStr">
        <is>
          <t>Y</t>
        </is>
      </c>
      <c r="F818" t="inlineStr">
        <is>
          <t>7</t>
        </is>
      </c>
      <c r="G818" t="inlineStr">
        <is>
          <t>Agbado Oja</t>
        </is>
      </c>
      <c r="H818" t="inlineStr">
        <is>
          <t>Existing</t>
        </is>
      </c>
      <c r="I818" t="inlineStr">
        <is>
          <t>N</t>
        </is>
      </c>
    </row>
    <row r="819">
      <c r="A819" t="inlineStr">
        <is>
          <t>LFC6008</t>
        </is>
      </c>
      <c r="B819" t="inlineStr">
        <is>
          <t>LFC6008</t>
        </is>
      </c>
      <c r="C819" t="inlineStr">
        <is>
          <t>EMDEO</t>
        </is>
      </c>
      <c r="D819" t="inlineStr">
        <is>
          <t>N</t>
        </is>
      </c>
      <c r="E819" t="inlineStr">
        <is>
          <t>Y</t>
        </is>
      </c>
      <c r="F819" t="inlineStr">
        <is>
          <t>8</t>
        </is>
      </c>
      <c r="G819" t="inlineStr">
        <is>
          <t>1, Alhaji Kayode Street</t>
        </is>
      </c>
      <c r="H819" t="inlineStr">
        <is>
          <t>Existing</t>
        </is>
      </c>
      <c r="I819" t="inlineStr">
        <is>
          <t>N</t>
        </is>
      </c>
    </row>
    <row r="820">
      <c r="A820" t="inlineStr">
        <is>
          <t>LFC6009</t>
        </is>
      </c>
      <c r="B820" t="inlineStr">
        <is>
          <t>LFC6009</t>
        </is>
      </c>
      <c r="C820" t="inlineStr">
        <is>
          <t>EMDEO</t>
        </is>
      </c>
      <c r="D820" t="inlineStr">
        <is>
          <t>Y</t>
        </is>
      </c>
      <c r="E820" t="inlineStr">
        <is>
          <t>Y</t>
        </is>
      </c>
      <c r="F820" t="inlineStr">
        <is>
          <t>9</t>
        </is>
      </c>
      <c r="G820" t="inlineStr">
        <is>
          <t>18, FOURSQUARE STREET, OMIKUNLE</t>
        </is>
      </c>
      <c r="H820" t="inlineStr">
        <is>
          <t>Existing</t>
        </is>
      </c>
      <c r="I820" t="inlineStr">
        <is>
          <t>N</t>
        </is>
      </c>
    </row>
    <row r="821">
      <c r="A821" t="inlineStr">
        <is>
          <t>LFC6010</t>
        </is>
      </c>
      <c r="B821" t="inlineStr">
        <is>
          <t>LFC6010</t>
        </is>
      </c>
      <c r="C821" t="inlineStr">
        <is>
          <t>EMDEO</t>
        </is>
      </c>
      <c r="D821" t="inlineStr">
        <is>
          <t>N</t>
        </is>
      </c>
      <c r="E821" t="inlineStr">
        <is>
          <t>Y</t>
        </is>
      </c>
      <c r="F821" t="inlineStr">
        <is>
          <t>10</t>
        </is>
      </c>
      <c r="G821" t="inlineStr">
        <is>
          <t>54, Popoola Street</t>
        </is>
      </c>
      <c r="H821" t="inlineStr">
        <is>
          <t>Existing</t>
        </is>
      </c>
      <c r="I821" t="inlineStr">
        <is>
          <t>N</t>
        </is>
      </c>
    </row>
    <row r="822">
      <c r="A822" t="inlineStr">
        <is>
          <t>LFC6101</t>
        </is>
      </c>
      <c r="B822" t="inlineStr">
        <is>
          <t>LFC6101</t>
        </is>
      </c>
      <c r="C822" t="inlineStr">
        <is>
          <t>AGBADO</t>
        </is>
      </c>
      <c r="D822" t="inlineStr">
        <is>
          <t>Y</t>
        </is>
      </c>
      <c r="E822" t="inlineStr">
        <is>
          <t>Y</t>
        </is>
      </c>
      <c r="F822" t="inlineStr">
        <is>
          <t>1</t>
        </is>
      </c>
      <c r="G822" t="inlineStr">
        <is>
          <t>12 Kolawole Ojo, osipitan B/stop Adiyan Road</t>
        </is>
      </c>
      <c r="H822" t="inlineStr">
        <is>
          <t>Existing</t>
        </is>
      </c>
      <c r="I822" t="inlineStr">
        <is>
          <t>N</t>
        </is>
      </c>
    </row>
    <row r="823">
      <c r="A823" t="inlineStr">
        <is>
          <t>LFC6102</t>
        </is>
      </c>
      <c r="B823" t="inlineStr">
        <is>
          <t>LFC6102</t>
        </is>
      </c>
      <c r="C823" t="inlineStr">
        <is>
          <t>AGBADO</t>
        </is>
      </c>
      <c r="D823" t="inlineStr">
        <is>
          <t>Y</t>
        </is>
      </c>
      <c r="E823" t="inlineStr">
        <is>
          <t>Y</t>
        </is>
      </c>
      <c r="F823" t="inlineStr">
        <is>
          <t>2</t>
        </is>
      </c>
      <c r="G823" t="inlineStr">
        <is>
          <t>2, MORICAS B/STOP, ADIYAN</t>
        </is>
      </c>
      <c r="H823" t="inlineStr">
        <is>
          <t>Existing</t>
        </is>
      </c>
      <c r="I823" t="inlineStr">
        <is>
          <t>N</t>
        </is>
      </c>
    </row>
    <row r="824">
      <c r="A824" t="inlineStr">
        <is>
          <t>LFC6103</t>
        </is>
      </c>
      <c r="B824" t="inlineStr">
        <is>
          <t>LFC6103</t>
        </is>
      </c>
      <c r="C824" t="inlineStr">
        <is>
          <t>AGBADO</t>
        </is>
      </c>
      <c r="D824" t="inlineStr">
        <is>
          <t>Y</t>
        </is>
      </c>
      <c r="E824" t="inlineStr">
        <is>
          <t>Y</t>
        </is>
      </c>
      <c r="F824" t="inlineStr">
        <is>
          <t>3</t>
        </is>
      </c>
      <c r="G824" t="inlineStr">
        <is>
          <t>29, ADEOLA ALABI GIWA JUNCTION</t>
        </is>
      </c>
      <c r="H824" t="inlineStr">
        <is>
          <t>Existing</t>
        </is>
      </c>
      <c r="I824" t="inlineStr">
        <is>
          <t>N</t>
        </is>
      </c>
    </row>
    <row r="825">
      <c r="A825" t="inlineStr">
        <is>
          <t>LFC6104</t>
        </is>
      </c>
      <c r="B825" t="inlineStr">
        <is>
          <t>LFC6104</t>
        </is>
      </c>
      <c r="C825" t="inlineStr">
        <is>
          <t>AGBADO</t>
        </is>
      </c>
      <c r="D825" t="inlineStr">
        <is>
          <t>Y</t>
        </is>
      </c>
      <c r="E825" t="inlineStr">
        <is>
          <t>Y</t>
        </is>
      </c>
      <c r="F825" t="inlineStr">
        <is>
          <t>4</t>
        </is>
      </c>
      <c r="G825" t="inlineStr">
        <is>
          <t>1/8 SHINNING STAR ARAROMI KU</t>
        </is>
      </c>
      <c r="H825" t="inlineStr">
        <is>
          <t>Existing</t>
        </is>
      </c>
      <c r="I825" t="inlineStr">
        <is>
          <t>N</t>
        </is>
      </c>
    </row>
    <row r="826">
      <c r="A826" t="inlineStr">
        <is>
          <t>LFC6105</t>
        </is>
      </c>
      <c r="B826" t="inlineStr">
        <is>
          <t>LFC6105</t>
        </is>
      </c>
      <c r="C826" t="inlineStr">
        <is>
          <t>AGBADO</t>
        </is>
      </c>
      <c r="D826" t="inlineStr">
        <is>
          <t>Y</t>
        </is>
      </c>
      <c r="E826" t="inlineStr">
        <is>
          <t>Y</t>
        </is>
      </c>
      <c r="F826" t="inlineStr">
        <is>
          <t>5</t>
        </is>
      </c>
      <c r="G826" t="inlineStr">
        <is>
          <t>16, AJIKE OLANIRAN STREET OLAG</t>
        </is>
      </c>
      <c r="H826" t="inlineStr">
        <is>
          <t>Existing</t>
        </is>
      </c>
      <c r="I826" t="inlineStr">
        <is>
          <t>N</t>
        </is>
      </c>
    </row>
    <row r="827">
      <c r="A827" t="inlineStr">
        <is>
          <t>LFC6106</t>
        </is>
      </c>
      <c r="B827" t="inlineStr">
        <is>
          <t>LFC6106</t>
        </is>
      </c>
      <c r="C827" t="inlineStr">
        <is>
          <t>AGBADO</t>
        </is>
      </c>
      <c r="D827" t="inlineStr">
        <is>
          <t>N</t>
        </is>
      </c>
      <c r="E827" t="inlineStr">
        <is>
          <t>Y</t>
        </is>
      </c>
      <c r="F827" t="inlineStr">
        <is>
          <t>6</t>
        </is>
      </c>
      <c r="G827" t="inlineStr">
        <is>
          <t>18, SHERATON ESTATE, MUTA-ADIYAN</t>
        </is>
      </c>
      <c r="H827" t="inlineStr">
        <is>
          <t>Existing</t>
        </is>
      </c>
      <c r="I827" t="inlineStr">
        <is>
          <t>N</t>
        </is>
      </c>
    </row>
    <row r="828">
      <c r="A828" t="inlineStr">
        <is>
          <t>LFC6107</t>
        </is>
      </c>
      <c r="B828" t="inlineStr">
        <is>
          <t>LFC6107</t>
        </is>
      </c>
      <c r="C828" t="inlineStr">
        <is>
          <t>AGBADO</t>
        </is>
      </c>
      <c r="D828" t="inlineStr">
        <is>
          <t>Y</t>
        </is>
      </c>
      <c r="E828" t="inlineStr">
        <is>
          <t>Y</t>
        </is>
      </c>
      <c r="F828" t="inlineStr">
        <is>
          <t>7</t>
        </is>
      </c>
      <c r="G828" t="inlineStr">
        <is>
          <t>13, OLOKESUSI STR, OPE-ILU</t>
        </is>
      </c>
      <c r="H828" t="inlineStr">
        <is>
          <t>Existing</t>
        </is>
      </c>
      <c r="I828" t="inlineStr">
        <is>
          <t>N</t>
        </is>
      </c>
    </row>
    <row r="829">
      <c r="A829" t="inlineStr">
        <is>
          <t>LFC6108</t>
        </is>
      </c>
      <c r="B829" t="inlineStr">
        <is>
          <t>LFC6108</t>
        </is>
      </c>
      <c r="C829" t="inlineStr">
        <is>
          <t>AGBADO</t>
        </is>
      </c>
      <c r="D829" t="inlineStr">
        <is>
          <t>N</t>
        </is>
      </c>
      <c r="E829" t="inlineStr">
        <is>
          <t>Y</t>
        </is>
      </c>
      <c r="F829" t="inlineStr">
        <is>
          <t>8</t>
        </is>
      </c>
      <c r="G829" t="inlineStr">
        <is>
          <t>12, ADEKUNLE ADEBAYO</t>
        </is>
      </c>
      <c r="H829" t="inlineStr">
        <is>
          <t>Existing</t>
        </is>
      </c>
      <c r="I829" t="inlineStr">
        <is>
          <t>N</t>
        </is>
      </c>
    </row>
    <row r="830">
      <c r="A830" t="inlineStr">
        <is>
          <t>LFC6109</t>
        </is>
      </c>
      <c r="B830" t="inlineStr">
        <is>
          <t>LFC6109</t>
        </is>
      </c>
      <c r="C830" t="inlineStr">
        <is>
          <t>AGBADO</t>
        </is>
      </c>
      <c r="D830" t="inlineStr">
        <is>
          <t>Y</t>
        </is>
      </c>
      <c r="E830" t="inlineStr">
        <is>
          <t>Y</t>
        </is>
      </c>
      <c r="F830" t="inlineStr">
        <is>
          <t>9</t>
        </is>
      </c>
      <c r="G830" t="inlineStr">
        <is>
          <t>50, OLAOGUN ROAD, IDI-OROGBO , ADIYAN (COMMUNITY CHURCH)</t>
        </is>
      </c>
      <c r="H830" t="inlineStr">
        <is>
          <t>Existing</t>
        </is>
      </c>
      <c r="I830" t="inlineStr">
        <is>
          <t>Y</t>
        </is>
      </c>
    </row>
    <row r="831">
      <c r="A831" t="inlineStr">
        <is>
          <t>LFC6110</t>
        </is>
      </c>
      <c r="B831" t="inlineStr">
        <is>
          <t>LFC6110</t>
        </is>
      </c>
      <c r="C831" t="inlineStr">
        <is>
          <t>AGBADO</t>
        </is>
      </c>
      <c r="D831" t="inlineStr">
        <is>
          <t>N</t>
        </is>
      </c>
      <c r="E831" t="inlineStr">
        <is>
          <t>Y</t>
        </is>
      </c>
      <c r="F831" t="inlineStr">
        <is>
          <t>10</t>
        </is>
      </c>
      <c r="G831" t="inlineStr">
        <is>
          <t>4 MOBOLUWADURO AGORO</t>
        </is>
      </c>
      <c r="H831" t="inlineStr">
        <is>
          <t>Existing</t>
        </is>
      </c>
      <c r="I831" t="inlineStr">
        <is>
          <t>N</t>
        </is>
      </c>
    </row>
    <row r="832">
      <c r="A832" t="inlineStr">
        <is>
          <t>LFC6111</t>
        </is>
      </c>
      <c r="B832" t="inlineStr">
        <is>
          <t>LFC6111</t>
        </is>
      </c>
      <c r="C832" t="inlineStr">
        <is>
          <t>AGBADO</t>
        </is>
      </c>
      <c r="D832" t="inlineStr">
        <is>
          <t>N</t>
        </is>
      </c>
      <c r="E832" t="inlineStr">
        <is>
          <t>Y</t>
        </is>
      </c>
      <c r="F832" t="inlineStr">
        <is>
          <t>11</t>
        </is>
      </c>
      <c r="G832" t="inlineStr">
        <is>
          <t>FAKILE GIWA, OKE ARO</t>
        </is>
      </c>
      <c r="H832" t="inlineStr">
        <is>
          <t>Existing</t>
        </is>
      </c>
      <c r="I832" t="inlineStr">
        <is>
          <t>N</t>
        </is>
      </c>
    </row>
    <row r="833">
      <c r="A833" t="inlineStr">
        <is>
          <t>LFC6112</t>
        </is>
      </c>
      <c r="B833" t="inlineStr">
        <is>
          <t>LFC6112</t>
        </is>
      </c>
      <c r="C833" t="inlineStr">
        <is>
          <t>AGBADO</t>
        </is>
      </c>
      <c r="D833" t="inlineStr">
        <is>
          <t>N</t>
        </is>
      </c>
      <c r="E833" t="inlineStr">
        <is>
          <t>Y</t>
        </is>
      </c>
      <c r="F833" t="inlineStr">
        <is>
          <t>12</t>
        </is>
      </c>
      <c r="G833" t="inlineStr">
        <is>
          <t>54 ALJ KIRO IJEJA</t>
        </is>
      </c>
      <c r="H833" t="inlineStr">
        <is>
          <t>Existing</t>
        </is>
      </c>
      <c r="I833" t="inlineStr">
        <is>
          <t>N</t>
        </is>
      </c>
    </row>
    <row r="834">
      <c r="A834" t="inlineStr">
        <is>
          <t>LFC6118</t>
        </is>
      </c>
      <c r="B834" t="inlineStr">
        <is>
          <t>LFC6118</t>
        </is>
      </c>
      <c r="C834" t="inlineStr">
        <is>
          <t>AGBADO</t>
        </is>
      </c>
      <c r="D834" t="inlineStr">
        <is>
          <t>N</t>
        </is>
      </c>
      <c r="E834" t="inlineStr">
        <is>
          <t>Y</t>
        </is>
      </c>
      <c r="F834" t="inlineStr">
        <is>
          <t>18</t>
        </is>
      </c>
      <c r="G834" t="inlineStr">
        <is>
          <t>50,</t>
        </is>
      </c>
      <c r="H834" t="inlineStr">
        <is>
          <t>From reporting system</t>
        </is>
      </c>
      <c r="I834" t="inlineStr">
        <is>
          <t>N</t>
        </is>
      </c>
    </row>
    <row r="835">
      <c r="A835" t="inlineStr">
        <is>
          <t>LFC6201</t>
        </is>
      </c>
      <c r="B835" t="inlineStr">
        <is>
          <t>LFC6201</t>
        </is>
      </c>
      <c r="C835" t="inlineStr">
        <is>
          <t>BODE WILLIAMS</t>
        </is>
      </c>
      <c r="D835" t="inlineStr">
        <is>
          <t>Y</t>
        </is>
      </c>
      <c r="E835" t="inlineStr">
        <is>
          <t>Y</t>
        </is>
      </c>
      <c r="F835" t="inlineStr">
        <is>
          <t>1</t>
        </is>
      </c>
      <c r="G835" t="inlineStr">
        <is>
          <t>40 Bode Williams Street Ahmadiyya Bus- Stop, Abule-Egba</t>
        </is>
      </c>
      <c r="H835" t="inlineStr">
        <is>
          <t>Existing</t>
        </is>
      </c>
      <c r="I835" t="inlineStr">
        <is>
          <t>N</t>
        </is>
      </c>
    </row>
    <row r="836">
      <c r="A836" t="inlineStr">
        <is>
          <t>LFC6202</t>
        </is>
      </c>
      <c r="B836" t="inlineStr">
        <is>
          <t>LFC6202</t>
        </is>
      </c>
      <c r="C836" t="inlineStr">
        <is>
          <t>BODE WILLIAMS</t>
        </is>
      </c>
      <c r="D836" t="inlineStr">
        <is>
          <t>Y</t>
        </is>
      </c>
      <c r="E836" t="inlineStr">
        <is>
          <t>Y</t>
        </is>
      </c>
      <c r="F836" t="inlineStr">
        <is>
          <t>2</t>
        </is>
      </c>
      <c r="G836" t="inlineStr">
        <is>
          <t>1, OPEYEMI STREET SAWMILL IJAIYE</t>
        </is>
      </c>
      <c r="H836" t="inlineStr">
        <is>
          <t>Existing</t>
        </is>
      </c>
      <c r="I836" t="inlineStr">
        <is>
          <t>N</t>
        </is>
      </c>
    </row>
    <row r="837">
      <c r="A837" t="inlineStr">
        <is>
          <t>LFC6203</t>
        </is>
      </c>
      <c r="B837" t="inlineStr">
        <is>
          <t>LFC6203</t>
        </is>
      </c>
      <c r="C837" t="inlineStr">
        <is>
          <t>BODE WILLIAMS</t>
        </is>
      </c>
      <c r="D837" t="inlineStr">
        <is>
          <t>Y</t>
        </is>
      </c>
      <c r="E837" t="inlineStr">
        <is>
          <t>Y</t>
        </is>
      </c>
      <c r="F837" t="inlineStr">
        <is>
          <t>3</t>
        </is>
      </c>
      <c r="G837" t="inlineStr">
        <is>
          <t>1 OGENEVO AVENUE,MEIRAN</t>
        </is>
      </c>
      <c r="H837" t="inlineStr">
        <is>
          <t>Existing</t>
        </is>
      </c>
      <c r="I837" t="inlineStr">
        <is>
          <t>N</t>
        </is>
      </c>
    </row>
    <row r="838">
      <c r="A838" t="inlineStr">
        <is>
          <t>LFC6204</t>
        </is>
      </c>
      <c r="B838" t="inlineStr">
        <is>
          <t>LFC6204</t>
        </is>
      </c>
      <c r="C838" t="inlineStr">
        <is>
          <t>BODE WILLIAMS</t>
        </is>
      </c>
      <c r="D838" t="inlineStr">
        <is>
          <t>Y</t>
        </is>
      </c>
      <c r="E838" t="inlineStr">
        <is>
          <t>Y</t>
        </is>
      </c>
      <c r="F838" t="inlineStr">
        <is>
          <t>4</t>
        </is>
      </c>
      <c r="G838" t="inlineStr">
        <is>
          <t>26 GABBY CRESCENT,MEIRAN</t>
        </is>
      </c>
      <c r="H838" t="inlineStr">
        <is>
          <t>Existing</t>
        </is>
      </c>
      <c r="I838" t="inlineStr">
        <is>
          <t>N</t>
        </is>
      </c>
    </row>
    <row r="839">
      <c r="A839" t="inlineStr">
        <is>
          <t>LFC6205</t>
        </is>
      </c>
      <c r="B839" t="inlineStr">
        <is>
          <t>LFC6205</t>
        </is>
      </c>
      <c r="C839" t="inlineStr">
        <is>
          <t>BODE WILLIAMS</t>
        </is>
      </c>
      <c r="D839" t="inlineStr">
        <is>
          <t>Y</t>
        </is>
      </c>
      <c r="E839" t="inlineStr">
        <is>
          <t>Y</t>
        </is>
      </c>
      <c r="F839" t="inlineStr">
        <is>
          <t>5</t>
        </is>
      </c>
      <c r="G839" t="inlineStr">
        <is>
          <t>55, OLD-OTA ROAD SHAKAR BUS-STOP MEIRAN</t>
        </is>
      </c>
      <c r="H839" t="inlineStr">
        <is>
          <t>Existing</t>
        </is>
      </c>
      <c r="I839" t="inlineStr">
        <is>
          <t>N</t>
        </is>
      </c>
    </row>
    <row r="840">
      <c r="A840" t="inlineStr">
        <is>
          <t>LFC6206</t>
        </is>
      </c>
      <c r="B840" t="inlineStr">
        <is>
          <t>LFC6206</t>
        </is>
      </c>
      <c r="C840" t="inlineStr">
        <is>
          <t>BODE WILLIAMS</t>
        </is>
      </c>
      <c r="D840" t="inlineStr">
        <is>
          <t>Y</t>
        </is>
      </c>
      <c r="E840" t="inlineStr">
        <is>
          <t>Y</t>
        </is>
      </c>
      <c r="F840" t="inlineStr">
        <is>
          <t>6</t>
        </is>
      </c>
      <c r="G840" t="inlineStr">
        <is>
          <t>50A KOLA ORETUGA STREET MEIRAN</t>
        </is>
      </c>
      <c r="H840" t="inlineStr">
        <is>
          <t>Existing</t>
        </is>
      </c>
      <c r="I840" t="inlineStr">
        <is>
          <t>N</t>
        </is>
      </c>
    </row>
    <row r="841">
      <c r="A841" t="inlineStr">
        <is>
          <t>LFC6207</t>
        </is>
      </c>
      <c r="B841" t="inlineStr">
        <is>
          <t>LFC6207</t>
        </is>
      </c>
      <c r="C841" t="inlineStr">
        <is>
          <t>BODE WILLIAMS</t>
        </is>
      </c>
      <c r="D841" t="inlineStr">
        <is>
          <t>Y</t>
        </is>
      </c>
      <c r="E841" t="inlineStr">
        <is>
          <t>Y</t>
        </is>
      </c>
      <c r="F841" t="inlineStr">
        <is>
          <t>7</t>
        </is>
      </c>
      <c r="G841" t="inlineStr">
        <is>
          <t>46 ADENIYI STREET MEIRAN</t>
        </is>
      </c>
      <c r="H841" t="inlineStr">
        <is>
          <t>Existing</t>
        </is>
      </c>
      <c r="I841" t="inlineStr">
        <is>
          <t>N</t>
        </is>
      </c>
    </row>
    <row r="842">
      <c r="A842" t="inlineStr">
        <is>
          <t>LFC6208</t>
        </is>
      </c>
      <c r="B842" t="inlineStr">
        <is>
          <t>LFC6208</t>
        </is>
      </c>
      <c r="C842" t="inlineStr">
        <is>
          <t>BODE WILLIAMS</t>
        </is>
      </c>
      <c r="D842" t="inlineStr">
        <is>
          <t>Y</t>
        </is>
      </c>
      <c r="E842" t="inlineStr">
        <is>
          <t>Y</t>
        </is>
      </c>
      <c r="F842" t="inlineStr">
        <is>
          <t>8</t>
        </is>
      </c>
      <c r="G842" t="inlineStr">
        <is>
          <t>1, ERUPA STREET, EKORO ROAD</t>
        </is>
      </c>
      <c r="H842" t="inlineStr">
        <is>
          <t>Existing</t>
        </is>
      </c>
      <c r="I842" t="inlineStr">
        <is>
          <t>N</t>
        </is>
      </c>
    </row>
    <row r="843">
      <c r="A843" t="inlineStr">
        <is>
          <t>LFC6209</t>
        </is>
      </c>
      <c r="B843" t="inlineStr">
        <is>
          <t>LFC6209</t>
        </is>
      </c>
      <c r="C843" t="inlineStr">
        <is>
          <t>BODE WILLIAMS</t>
        </is>
      </c>
      <c r="D843" t="inlineStr">
        <is>
          <t>Y</t>
        </is>
      </c>
      <c r="E843" t="inlineStr">
        <is>
          <t>Y</t>
        </is>
      </c>
      <c r="F843" t="inlineStr">
        <is>
          <t>9</t>
        </is>
      </c>
      <c r="G843" t="inlineStr">
        <is>
          <t>9 AKOREDE STREET,ABULE TAYLOR</t>
        </is>
      </c>
      <c r="H843" t="inlineStr">
        <is>
          <t>Existing</t>
        </is>
      </c>
      <c r="I843" t="inlineStr">
        <is>
          <t>N</t>
        </is>
      </c>
    </row>
    <row r="844">
      <c r="A844" t="inlineStr">
        <is>
          <t>LFC6210</t>
        </is>
      </c>
      <c r="B844" t="inlineStr">
        <is>
          <t>LFC6210</t>
        </is>
      </c>
      <c r="C844" t="inlineStr">
        <is>
          <t>BODE WILLIAMS</t>
        </is>
      </c>
      <c r="D844" t="inlineStr">
        <is>
          <t>Y</t>
        </is>
      </c>
      <c r="E844" t="inlineStr">
        <is>
          <t>Y</t>
        </is>
      </c>
      <c r="F844" t="inlineStr">
        <is>
          <t>10</t>
        </is>
      </c>
      <c r="G844" t="inlineStr">
        <is>
          <t>12 IDOWU ADENIJI STR,ABULE-EGBA</t>
        </is>
      </c>
      <c r="H844" t="inlineStr">
        <is>
          <t>Existing</t>
        </is>
      </c>
      <c r="I844" t="inlineStr">
        <is>
          <t>N</t>
        </is>
      </c>
    </row>
    <row r="845">
      <c r="A845" t="inlineStr">
        <is>
          <t>LFC6211</t>
        </is>
      </c>
      <c r="B845" t="inlineStr">
        <is>
          <t>LFC6211</t>
        </is>
      </c>
      <c r="C845" t="inlineStr">
        <is>
          <t>BODE WILLIAMS</t>
        </is>
      </c>
      <c r="D845" t="inlineStr">
        <is>
          <t>Y</t>
        </is>
      </c>
      <c r="E845" t="inlineStr">
        <is>
          <t>Y</t>
        </is>
      </c>
      <c r="F845" t="inlineStr">
        <is>
          <t>11</t>
        </is>
      </c>
      <c r="G845" t="inlineStr">
        <is>
          <t>3 KUBURAT LAWAL STREET,ABULE TAYLOR</t>
        </is>
      </c>
      <c r="H845" t="inlineStr">
        <is>
          <t>Existing</t>
        </is>
      </c>
      <c r="I845" t="inlineStr">
        <is>
          <t>N</t>
        </is>
      </c>
    </row>
    <row r="846">
      <c r="A846" t="inlineStr">
        <is>
          <t>LFC6212</t>
        </is>
      </c>
      <c r="B846" t="inlineStr">
        <is>
          <t>LFC6212</t>
        </is>
      </c>
      <c r="C846" t="inlineStr">
        <is>
          <t>BODE WILLIAMS</t>
        </is>
      </c>
      <c r="D846" t="inlineStr">
        <is>
          <t>Y</t>
        </is>
      </c>
      <c r="E846" t="inlineStr">
        <is>
          <t>Y</t>
        </is>
      </c>
      <c r="F846" t="inlineStr">
        <is>
          <t>12</t>
        </is>
      </c>
      <c r="G846" t="inlineStr">
        <is>
          <t>17 ADETOKUMBO ADEWALE STREET,ABULE-EGBA</t>
        </is>
      </c>
      <c r="H846" t="inlineStr">
        <is>
          <t>Existing</t>
        </is>
      </c>
      <c r="I846" t="inlineStr">
        <is>
          <t>N</t>
        </is>
      </c>
    </row>
    <row r="847">
      <c r="A847" t="inlineStr">
        <is>
          <t>LFC6301</t>
        </is>
      </c>
      <c r="B847" t="inlineStr">
        <is>
          <t>LFC6301</t>
        </is>
      </c>
      <c r="C847" t="inlineStr">
        <is>
          <t>LEKKI</t>
        </is>
      </c>
      <c r="D847" t="inlineStr">
        <is>
          <t>Y</t>
        </is>
      </c>
      <c r="E847" t="inlineStr">
        <is>
          <t>Y</t>
        </is>
      </c>
      <c r="F847" t="inlineStr">
        <is>
          <t>1</t>
        </is>
      </c>
      <c r="G847" t="inlineStr">
        <is>
          <t>Adebisi Oguniyi Lekki Phase</t>
        </is>
      </c>
      <c r="H847" t="inlineStr">
        <is>
          <t>Existing</t>
        </is>
      </c>
      <c r="I847" t="inlineStr">
        <is>
          <t>N</t>
        </is>
      </c>
    </row>
    <row r="848">
      <c r="A848" t="inlineStr">
        <is>
          <t>LFC6302</t>
        </is>
      </c>
      <c r="B848" t="inlineStr">
        <is>
          <t>LFC6302</t>
        </is>
      </c>
      <c r="C848" t="inlineStr">
        <is>
          <t>LEKKI</t>
        </is>
      </c>
      <c r="D848" t="inlineStr">
        <is>
          <t>N</t>
        </is>
      </c>
      <c r="E848" t="inlineStr">
        <is>
          <t>Y</t>
        </is>
      </c>
      <c r="F848" t="inlineStr">
        <is>
          <t>2</t>
        </is>
      </c>
      <c r="G848" t="inlineStr">
        <is>
          <t>Bamidele itedo street lekki</t>
        </is>
      </c>
      <c r="H848" t="inlineStr">
        <is>
          <t>Existing</t>
        </is>
      </c>
      <c r="I848" t="inlineStr">
        <is>
          <t>N</t>
        </is>
      </c>
    </row>
    <row r="849">
      <c r="A849" t="inlineStr">
        <is>
          <t>LFC6303</t>
        </is>
      </c>
      <c r="B849" t="inlineStr">
        <is>
          <t>LFC6303</t>
        </is>
      </c>
      <c r="C849" t="inlineStr">
        <is>
          <t>LEKKI</t>
        </is>
      </c>
      <c r="D849" t="inlineStr">
        <is>
          <t>Y</t>
        </is>
      </c>
      <c r="E849" t="inlineStr">
        <is>
          <t>Y</t>
        </is>
      </c>
      <c r="F849" t="inlineStr">
        <is>
          <t>3</t>
        </is>
      </c>
      <c r="G849" t="inlineStr">
        <is>
          <t>TF kubuyi street marwa</t>
        </is>
      </c>
      <c r="H849" t="inlineStr">
        <is>
          <t>Existing</t>
        </is>
      </c>
      <c r="I849" t="inlineStr">
        <is>
          <t>N</t>
        </is>
      </c>
    </row>
    <row r="850">
      <c r="A850" t="inlineStr">
        <is>
          <t>LFC6304</t>
        </is>
      </c>
      <c r="B850" t="inlineStr">
        <is>
          <t>LFC6304</t>
        </is>
      </c>
      <c r="C850" t="inlineStr">
        <is>
          <t>LEKKI</t>
        </is>
      </c>
      <c r="D850" t="inlineStr">
        <is>
          <t>N</t>
        </is>
      </c>
      <c r="E850" t="inlineStr">
        <is>
          <t>Y</t>
        </is>
      </c>
      <c r="F850" t="inlineStr">
        <is>
          <t>4</t>
        </is>
      </c>
      <c r="G850" t="inlineStr">
        <is>
          <t>Agungi osapa London, monarch garden</t>
        </is>
      </c>
      <c r="H850" t="inlineStr">
        <is>
          <t>Existing</t>
        </is>
      </c>
      <c r="I850" t="inlineStr">
        <is>
          <t>N</t>
        </is>
      </c>
    </row>
    <row r="851">
      <c r="A851" t="inlineStr">
        <is>
          <t>LFC6305</t>
        </is>
      </c>
      <c r="B851" t="inlineStr">
        <is>
          <t>LFC6305</t>
        </is>
      </c>
      <c r="C851" t="inlineStr">
        <is>
          <t>LEKKI</t>
        </is>
      </c>
      <c r="D851" t="inlineStr">
        <is>
          <t>Y</t>
        </is>
      </c>
      <c r="E851" t="inlineStr">
        <is>
          <t>Y</t>
        </is>
      </c>
      <c r="F851" t="inlineStr">
        <is>
          <t>5</t>
        </is>
      </c>
      <c r="G851" t="inlineStr">
        <is>
          <t>Oyinjolayemi vi</t>
        </is>
      </c>
      <c r="H851" t="inlineStr">
        <is>
          <t>Existing</t>
        </is>
      </c>
      <c r="I851" t="inlineStr">
        <is>
          <t>N</t>
        </is>
      </c>
    </row>
    <row r="852">
      <c r="A852" t="inlineStr">
        <is>
          <t>LFC6306</t>
        </is>
      </c>
      <c r="B852" t="inlineStr">
        <is>
          <t>LFC6306</t>
        </is>
      </c>
      <c r="C852" t="inlineStr">
        <is>
          <t>LEKKI</t>
        </is>
      </c>
      <c r="D852" t="inlineStr">
        <is>
          <t>N</t>
        </is>
      </c>
      <c r="E852" t="inlineStr">
        <is>
          <t>Y</t>
        </is>
      </c>
      <c r="F852" t="inlineStr">
        <is>
          <t>6</t>
        </is>
      </c>
      <c r="G852" t="inlineStr">
        <is>
          <t>Olabode George vi</t>
        </is>
      </c>
      <c r="H852" t="inlineStr">
        <is>
          <t>Existing</t>
        </is>
      </c>
      <c r="I852" t="inlineStr">
        <is>
          <t>N</t>
        </is>
      </c>
    </row>
    <row r="853">
      <c r="A853" t="inlineStr">
        <is>
          <t>LFC6307</t>
        </is>
      </c>
      <c r="B853" t="inlineStr">
        <is>
          <t>LFC6307</t>
        </is>
      </c>
      <c r="C853" t="inlineStr">
        <is>
          <t>LEKKI</t>
        </is>
      </c>
      <c r="D853" t="inlineStr">
        <is>
          <t>N</t>
        </is>
      </c>
      <c r="E853" t="inlineStr">
        <is>
          <t>Y</t>
        </is>
      </c>
      <c r="F853" t="inlineStr">
        <is>
          <t>7</t>
        </is>
      </c>
      <c r="G853" t="inlineStr">
        <is>
          <t>Ekemode vi</t>
        </is>
      </c>
      <c r="H853" t="inlineStr">
        <is>
          <t>Existing</t>
        </is>
      </c>
      <c r="I853" t="inlineStr">
        <is>
          <t>N</t>
        </is>
      </c>
    </row>
    <row r="854">
      <c r="A854" t="inlineStr">
        <is>
          <t>LFC6308</t>
        </is>
      </c>
      <c r="B854" t="inlineStr">
        <is>
          <t>LFC6308</t>
        </is>
      </c>
      <c r="C854" t="inlineStr">
        <is>
          <t>LEKKI</t>
        </is>
      </c>
      <c r="D854" t="inlineStr">
        <is>
          <t>N</t>
        </is>
      </c>
      <c r="E854" t="inlineStr">
        <is>
          <t>Y</t>
        </is>
      </c>
      <c r="F854" t="inlineStr">
        <is>
          <t>8</t>
        </is>
      </c>
      <c r="G854" t="inlineStr">
        <is>
          <t>moot court law school</t>
        </is>
      </c>
      <c r="H854" t="inlineStr">
        <is>
          <t>Existing</t>
        </is>
      </c>
      <c r="I854" t="inlineStr">
        <is>
          <t>N</t>
        </is>
      </c>
    </row>
    <row r="855">
      <c r="A855" t="inlineStr">
        <is>
          <t>LFC6309</t>
        </is>
      </c>
      <c r="B855" t="inlineStr">
        <is>
          <t>LFC6309</t>
        </is>
      </c>
      <c r="C855" t="inlineStr">
        <is>
          <t>LEKKI</t>
        </is>
      </c>
      <c r="D855" t="inlineStr">
        <is>
          <t>Y</t>
        </is>
      </c>
      <c r="E855" t="inlineStr">
        <is>
          <t>Y</t>
        </is>
      </c>
      <c r="F855" t="inlineStr">
        <is>
          <t>9</t>
        </is>
      </c>
      <c r="G855" t="inlineStr">
        <is>
          <t>Jakande</t>
        </is>
      </c>
      <c r="H855" t="inlineStr">
        <is>
          <t>Existing</t>
        </is>
      </c>
      <c r="I855" t="inlineStr">
        <is>
          <t>N</t>
        </is>
      </c>
    </row>
    <row r="856">
      <c r="A856" t="inlineStr">
        <is>
          <t>LFC6310</t>
        </is>
      </c>
      <c r="B856" t="inlineStr">
        <is>
          <t>LFC6310</t>
        </is>
      </c>
      <c r="C856" t="inlineStr">
        <is>
          <t>LEKKI</t>
        </is>
      </c>
      <c r="D856" t="inlineStr"/>
      <c r="E856" t="inlineStr">
        <is>
          <t>Y</t>
        </is>
      </c>
      <c r="F856" t="inlineStr">
        <is>
          <t>10</t>
        </is>
      </c>
      <c r="G856" t="inlineStr">
        <is>
          <t>Eligushi</t>
        </is>
      </c>
      <c r="H856" t="inlineStr">
        <is>
          <t>Existing</t>
        </is>
      </c>
      <c r="I856" t="inlineStr"/>
    </row>
    <row r="857">
      <c r="A857" t="inlineStr">
        <is>
          <t>LFC6311</t>
        </is>
      </c>
      <c r="B857" t="inlineStr">
        <is>
          <t>LFC6311</t>
        </is>
      </c>
      <c r="C857" t="inlineStr">
        <is>
          <t>LEKKI</t>
        </is>
      </c>
      <c r="D857" t="inlineStr"/>
      <c r="E857" t="inlineStr">
        <is>
          <t>Y</t>
        </is>
      </c>
      <c r="F857" t="inlineStr">
        <is>
          <t>11</t>
        </is>
      </c>
      <c r="G857" t="inlineStr">
        <is>
          <t>Admiralty</t>
        </is>
      </c>
      <c r="H857" t="inlineStr">
        <is>
          <t>Existing</t>
        </is>
      </c>
      <c r="I857" t="inlineStr"/>
    </row>
    <row r="858">
      <c r="A858" t="inlineStr">
        <is>
          <t>LFC6312</t>
        </is>
      </c>
      <c r="B858" t="inlineStr">
        <is>
          <t>LFC6312</t>
        </is>
      </c>
      <c r="C858" t="inlineStr">
        <is>
          <t>LEKKI</t>
        </is>
      </c>
      <c r="D858" t="inlineStr"/>
      <c r="E858" t="inlineStr">
        <is>
          <t>Y</t>
        </is>
      </c>
      <c r="F858" t="inlineStr">
        <is>
          <t>12</t>
        </is>
      </c>
      <c r="G858" t="inlineStr">
        <is>
          <t>Chisco</t>
        </is>
      </c>
      <c r="H858" t="inlineStr">
        <is>
          <t>Existing</t>
        </is>
      </c>
      <c r="I858" t="inlineStr"/>
    </row>
    <row r="859">
      <c r="A859" t="inlineStr">
        <is>
          <t>LFC6401</t>
        </is>
      </c>
      <c r="B859" t="inlineStr">
        <is>
          <t>LFC6401</t>
        </is>
      </c>
      <c r="C859" t="inlineStr">
        <is>
          <t>VGC</t>
        </is>
      </c>
      <c r="D859" t="inlineStr">
        <is>
          <t>Y</t>
        </is>
      </c>
      <c r="E859" t="inlineStr">
        <is>
          <t>Y</t>
        </is>
      </c>
      <c r="F859" t="inlineStr">
        <is>
          <t>1</t>
        </is>
      </c>
      <c r="G859" t="inlineStr">
        <is>
          <t>Road 9 Plot PC 21/22 VGC</t>
        </is>
      </c>
      <c r="H859" t="inlineStr">
        <is>
          <t>Existing</t>
        </is>
      </c>
      <c r="I859" t="inlineStr">
        <is>
          <t>N</t>
        </is>
      </c>
    </row>
    <row r="860">
      <c r="A860" t="inlineStr">
        <is>
          <t>LFC6402</t>
        </is>
      </c>
      <c r="B860" t="inlineStr">
        <is>
          <t>LFC6402</t>
        </is>
      </c>
      <c r="C860" t="inlineStr">
        <is>
          <t>VGC</t>
        </is>
      </c>
      <c r="D860" t="inlineStr">
        <is>
          <t>Y</t>
        </is>
      </c>
      <c r="E860" t="inlineStr">
        <is>
          <t>Y</t>
        </is>
      </c>
      <c r="F860" t="inlineStr">
        <is>
          <t>2</t>
        </is>
      </c>
      <c r="G860" t="inlineStr">
        <is>
          <t>Flat 10 Ikota Housing Estate</t>
        </is>
      </c>
      <c r="H860" t="inlineStr">
        <is>
          <t>Existing</t>
        </is>
      </c>
      <c r="I860" t="inlineStr">
        <is>
          <t>N</t>
        </is>
      </c>
    </row>
    <row r="861">
      <c r="A861" t="inlineStr">
        <is>
          <t>LFC6403</t>
        </is>
      </c>
      <c r="B861" t="inlineStr">
        <is>
          <t>LFC6403</t>
        </is>
      </c>
      <c r="C861" t="inlineStr">
        <is>
          <t>VGC</t>
        </is>
      </c>
      <c r="D861" t="inlineStr">
        <is>
          <t>Y</t>
        </is>
      </c>
      <c r="E861" t="inlineStr">
        <is>
          <t>Y</t>
        </is>
      </c>
      <c r="F861" t="inlineStr">
        <is>
          <t>3</t>
        </is>
      </c>
      <c r="G861" t="inlineStr">
        <is>
          <t>Road 3 House 30c Ikota Villa</t>
        </is>
      </c>
      <c r="H861" t="inlineStr">
        <is>
          <t>Existing</t>
        </is>
      </c>
      <c r="I861" t="inlineStr">
        <is>
          <t>N</t>
        </is>
      </c>
    </row>
    <row r="862">
      <c r="A862" t="inlineStr">
        <is>
          <t>LFC6404</t>
        </is>
      </c>
      <c r="B862" t="inlineStr">
        <is>
          <t>LFC6404</t>
        </is>
      </c>
      <c r="C862" t="inlineStr">
        <is>
          <t>VGC</t>
        </is>
      </c>
      <c r="D862" t="inlineStr">
        <is>
          <t>Y</t>
        </is>
      </c>
      <c r="E862" t="inlineStr">
        <is>
          <t>Y</t>
        </is>
      </c>
      <c r="F862" t="inlineStr">
        <is>
          <t>4</t>
        </is>
      </c>
      <c r="G862" t="inlineStr">
        <is>
          <t>2B Makarios Street Ajah</t>
        </is>
      </c>
      <c r="H862" t="inlineStr">
        <is>
          <t>Existing</t>
        </is>
      </c>
      <c r="I862" t="inlineStr">
        <is>
          <t>N</t>
        </is>
      </c>
    </row>
    <row r="863">
      <c r="A863" t="inlineStr">
        <is>
          <t>LFC6405</t>
        </is>
      </c>
      <c r="B863" t="inlineStr">
        <is>
          <t>LFC6405</t>
        </is>
      </c>
      <c r="C863" t="inlineStr">
        <is>
          <t>VGC</t>
        </is>
      </c>
      <c r="D863" t="inlineStr">
        <is>
          <t>Y</t>
        </is>
      </c>
      <c r="E863" t="inlineStr">
        <is>
          <t>Y</t>
        </is>
      </c>
      <c r="F863" t="inlineStr">
        <is>
          <t>5</t>
        </is>
      </c>
      <c r="G863" t="inlineStr">
        <is>
          <t>TARKWA BAY VI</t>
        </is>
      </c>
      <c r="H863" t="inlineStr">
        <is>
          <t>Existing</t>
        </is>
      </c>
      <c r="I863" t="inlineStr">
        <is>
          <t>N</t>
        </is>
      </c>
    </row>
    <row r="864">
      <c r="A864" t="inlineStr">
        <is>
          <t>LFC6406</t>
        </is>
      </c>
      <c r="B864" t="inlineStr">
        <is>
          <t>LFC6406</t>
        </is>
      </c>
      <c r="C864" t="inlineStr">
        <is>
          <t>VGC</t>
        </is>
      </c>
      <c r="D864" t="inlineStr">
        <is>
          <t>N</t>
        </is>
      </c>
      <c r="E864" t="inlineStr">
        <is>
          <t>Y</t>
        </is>
      </c>
      <c r="F864" t="inlineStr">
        <is>
          <t>6</t>
        </is>
      </c>
      <c r="G864" t="inlineStr">
        <is>
          <t>4, JOHN EJAKETA STREET, IGBO EFON, LEKKI</t>
        </is>
      </c>
      <c r="H864" t="inlineStr">
        <is>
          <t>Existing</t>
        </is>
      </c>
      <c r="I864" t="inlineStr">
        <is>
          <t>N</t>
        </is>
      </c>
    </row>
    <row r="865">
      <c r="A865" t="inlineStr">
        <is>
          <t>LFC6407</t>
        </is>
      </c>
      <c r="B865" t="inlineStr">
        <is>
          <t>LFC6407</t>
        </is>
      </c>
      <c r="C865" t="inlineStr">
        <is>
          <t>VGC</t>
        </is>
      </c>
      <c r="D865" t="inlineStr">
        <is>
          <t>N</t>
        </is>
      </c>
      <c r="E865" t="inlineStr">
        <is>
          <t>Y</t>
        </is>
      </c>
      <c r="F865" t="inlineStr">
        <is>
          <t>7</t>
        </is>
      </c>
      <c r="G865" t="inlineStr">
        <is>
          <t>Pelican International Hotel, Lekki</t>
        </is>
      </c>
      <c r="H865" t="inlineStr">
        <is>
          <t>Existing</t>
        </is>
      </c>
      <c r="I865" t="inlineStr">
        <is>
          <t>N</t>
        </is>
      </c>
    </row>
    <row r="866">
      <c r="A866" t="inlineStr">
        <is>
          <t>LFC6408</t>
        </is>
      </c>
      <c r="B866" t="inlineStr">
        <is>
          <t>LFC6408</t>
        </is>
      </c>
      <c r="C866" t="inlineStr">
        <is>
          <t>VGC</t>
        </is>
      </c>
      <c r="D866" t="inlineStr">
        <is>
          <t>N</t>
        </is>
      </c>
      <c r="E866" t="inlineStr">
        <is>
          <t>Y</t>
        </is>
      </c>
      <c r="F866" t="inlineStr">
        <is>
          <t>8</t>
        </is>
      </c>
      <c r="G866" t="inlineStr">
        <is>
          <t>Tipper Garage</t>
        </is>
      </c>
      <c r="H866" t="inlineStr">
        <is>
          <t>Existing</t>
        </is>
      </c>
      <c r="I866" t="inlineStr">
        <is>
          <t>N</t>
        </is>
      </c>
    </row>
    <row r="867">
      <c r="A867" t="inlineStr">
        <is>
          <t>LFC6409</t>
        </is>
      </c>
      <c r="B867" t="inlineStr">
        <is>
          <t>LFC6409</t>
        </is>
      </c>
      <c r="C867" t="inlineStr">
        <is>
          <t>VGC</t>
        </is>
      </c>
      <c r="D867" t="inlineStr">
        <is>
          <t>N</t>
        </is>
      </c>
      <c r="E867" t="inlineStr">
        <is>
          <t>Y</t>
        </is>
      </c>
      <c r="F867" t="inlineStr">
        <is>
          <t>9</t>
        </is>
      </c>
      <c r="G867" t="inlineStr">
        <is>
          <t>BABA NOAH COMPOUND LAFIAJI</t>
        </is>
      </c>
      <c r="H867" t="inlineStr">
        <is>
          <t>Existing</t>
        </is>
      </c>
      <c r="I867" t="inlineStr">
        <is>
          <t>N</t>
        </is>
      </c>
    </row>
    <row r="868">
      <c r="A868" t="inlineStr">
        <is>
          <t>LFC6410</t>
        </is>
      </c>
      <c r="B868" t="inlineStr">
        <is>
          <t>LFC6410</t>
        </is>
      </c>
      <c r="C868" t="inlineStr">
        <is>
          <t>VGC</t>
        </is>
      </c>
      <c r="D868" t="inlineStr">
        <is>
          <t>N</t>
        </is>
      </c>
      <c r="E868" t="inlineStr">
        <is>
          <t>Y</t>
        </is>
      </c>
      <c r="F868" t="inlineStr">
        <is>
          <t>10</t>
        </is>
      </c>
      <c r="G868" t="inlineStr">
        <is>
          <t>Owode Town (Beach Front)</t>
        </is>
      </c>
      <c r="H868" t="inlineStr">
        <is>
          <t>Existing</t>
        </is>
      </c>
      <c r="I868" t="inlineStr">
        <is>
          <t>N</t>
        </is>
      </c>
    </row>
    <row r="869">
      <c r="A869" t="inlineStr">
        <is>
          <t>LFC6411</t>
        </is>
      </c>
      <c r="B869" t="inlineStr">
        <is>
          <t>LFC6411</t>
        </is>
      </c>
      <c r="C869" t="inlineStr">
        <is>
          <t>VGC</t>
        </is>
      </c>
      <c r="D869" t="inlineStr"/>
      <c r="E869" t="inlineStr">
        <is>
          <t>Y</t>
        </is>
      </c>
      <c r="F869" t="inlineStr">
        <is>
          <t>11</t>
        </is>
      </c>
      <c r="G869" t="inlineStr">
        <is>
          <t>BABWIRE OKADA JUNCTION</t>
        </is>
      </c>
      <c r="H869" t="inlineStr">
        <is>
          <t>Existing</t>
        </is>
      </c>
      <c r="I869" t="inlineStr"/>
    </row>
    <row r="870">
      <c r="A870" t="inlineStr">
        <is>
          <t>LFC6501</t>
        </is>
      </c>
      <c r="B870" t="inlineStr">
        <is>
          <t>LFC6501</t>
        </is>
      </c>
      <c r="C870" t="inlineStr">
        <is>
          <t>AJAH</t>
        </is>
      </c>
      <c r="D870" t="inlineStr">
        <is>
          <t>Y</t>
        </is>
      </c>
      <c r="E870" t="inlineStr">
        <is>
          <t>Y</t>
        </is>
      </c>
      <c r="F870" t="inlineStr">
        <is>
          <t>1</t>
        </is>
      </c>
      <c r="G870" t="inlineStr">
        <is>
          <t>UNITY ESTATE GATE, PROMISE LAND BY MAY FAIR GARDEN, GBETU, AWOYAYA</t>
        </is>
      </c>
      <c r="H870" t="inlineStr">
        <is>
          <t>Existing</t>
        </is>
      </c>
      <c r="I870" t="inlineStr">
        <is>
          <t>N</t>
        </is>
      </c>
    </row>
    <row r="871">
      <c r="A871" t="inlineStr">
        <is>
          <t>LFC6504</t>
        </is>
      </c>
      <c r="B871" t="inlineStr">
        <is>
          <t>LFC6504</t>
        </is>
      </c>
      <c r="C871" t="inlineStr">
        <is>
          <t>AJAH</t>
        </is>
      </c>
      <c r="D871" t="inlineStr">
        <is>
          <t>Y</t>
        </is>
      </c>
      <c r="E871" t="inlineStr">
        <is>
          <t>Y</t>
        </is>
      </c>
      <c r="F871" t="inlineStr">
        <is>
          <t>4</t>
        </is>
      </c>
      <c r="G871" t="inlineStr">
        <is>
          <t>6, BAKERY ROAD, ABIJO</t>
        </is>
      </c>
      <c r="H871" t="inlineStr">
        <is>
          <t>Existing</t>
        </is>
      </c>
      <c r="I871" t="inlineStr">
        <is>
          <t>N</t>
        </is>
      </c>
    </row>
    <row r="872">
      <c r="A872" t="inlineStr">
        <is>
          <t>LFC6505</t>
        </is>
      </c>
      <c r="B872" t="inlineStr">
        <is>
          <t>LFC6505</t>
        </is>
      </c>
      <c r="C872" t="inlineStr">
        <is>
          <t>AJAH</t>
        </is>
      </c>
      <c r="D872" t="inlineStr">
        <is>
          <t>N</t>
        </is>
      </c>
      <c r="E872" t="inlineStr">
        <is>
          <t>Y</t>
        </is>
      </c>
      <c r="F872" t="inlineStr">
        <is>
          <t>5</t>
        </is>
      </c>
      <c r="G872" t="inlineStr">
        <is>
          <t>PASEDA AWOYAYA AJAH</t>
        </is>
      </c>
      <c r="H872" t="inlineStr">
        <is>
          <t>Existing</t>
        </is>
      </c>
      <c r="I872" t="inlineStr">
        <is>
          <t>N</t>
        </is>
      </c>
    </row>
    <row r="873">
      <c r="A873" t="inlineStr">
        <is>
          <t>LFC6506</t>
        </is>
      </c>
      <c r="B873" t="inlineStr">
        <is>
          <t>LFC6506</t>
        </is>
      </c>
      <c r="C873" t="inlineStr">
        <is>
          <t>AJAH</t>
        </is>
      </c>
      <c r="D873" t="inlineStr">
        <is>
          <t>Y</t>
        </is>
      </c>
      <c r="E873" t="inlineStr">
        <is>
          <t>Y</t>
        </is>
      </c>
      <c r="F873" t="inlineStr">
        <is>
          <t>6</t>
        </is>
      </c>
      <c r="G873" t="inlineStr">
        <is>
          <t>1, AFE ADEOLU CLS, ONIMALU AWOYAYA</t>
        </is>
      </c>
      <c r="H873" t="inlineStr">
        <is>
          <t>Existing</t>
        </is>
      </c>
      <c r="I873" t="inlineStr">
        <is>
          <t>N</t>
        </is>
      </c>
    </row>
    <row r="874">
      <c r="A874" t="inlineStr">
        <is>
          <t>LFC6507</t>
        </is>
      </c>
      <c r="B874" t="inlineStr">
        <is>
          <t>LFC6507</t>
        </is>
      </c>
      <c r="C874" t="inlineStr">
        <is>
          <t>AJAH</t>
        </is>
      </c>
      <c r="D874" t="inlineStr">
        <is>
          <t>Y</t>
        </is>
      </c>
      <c r="E874" t="inlineStr">
        <is>
          <t>Y</t>
        </is>
      </c>
      <c r="F874" t="inlineStr">
        <is>
          <t>7</t>
        </is>
      </c>
      <c r="G874" t="inlineStr">
        <is>
          <t>PALMBAY ESTATE, LABORA</t>
        </is>
      </c>
      <c r="H874" t="inlineStr">
        <is>
          <t>Existing</t>
        </is>
      </c>
      <c r="I874" t="inlineStr">
        <is>
          <t>N</t>
        </is>
      </c>
    </row>
    <row r="875">
      <c r="A875" t="inlineStr">
        <is>
          <t>LFC6508</t>
        </is>
      </c>
      <c r="B875" t="inlineStr">
        <is>
          <t>LFC6508</t>
        </is>
      </c>
      <c r="C875" t="inlineStr">
        <is>
          <t>AJAH</t>
        </is>
      </c>
      <c r="D875" t="inlineStr">
        <is>
          <t>Y</t>
        </is>
      </c>
      <c r="E875" t="inlineStr">
        <is>
          <t>Y</t>
        </is>
      </c>
      <c r="F875" t="inlineStr">
        <is>
          <t>8</t>
        </is>
      </c>
      <c r="G875" t="inlineStr">
        <is>
          <t>ADEBA LAKOWE</t>
        </is>
      </c>
      <c r="H875" t="inlineStr">
        <is>
          <t>Existing</t>
        </is>
      </c>
      <c r="I875" t="inlineStr">
        <is>
          <t>N</t>
        </is>
      </c>
    </row>
    <row r="876">
      <c r="A876" t="inlineStr">
        <is>
          <t>LFC6509</t>
        </is>
      </c>
      <c r="B876" t="inlineStr">
        <is>
          <t>LFC6509</t>
        </is>
      </c>
      <c r="C876" t="inlineStr">
        <is>
          <t>AJAH</t>
        </is>
      </c>
      <c r="D876" t="inlineStr">
        <is>
          <t>Y</t>
        </is>
      </c>
      <c r="E876" t="inlineStr">
        <is>
          <t>Y</t>
        </is>
      </c>
      <c r="F876" t="inlineStr">
        <is>
          <t>9</t>
        </is>
      </c>
      <c r="G876" t="inlineStr">
        <is>
          <t>4, PIUS AKPONGENE STREET, LAGASA EPUTU</t>
        </is>
      </c>
      <c r="H876" t="inlineStr">
        <is>
          <t>Existing</t>
        </is>
      </c>
      <c r="I876" t="inlineStr">
        <is>
          <t>N</t>
        </is>
      </c>
    </row>
    <row r="877">
      <c r="A877" t="inlineStr">
        <is>
          <t>LFC6510</t>
        </is>
      </c>
      <c r="B877" t="inlineStr">
        <is>
          <t>LFC6510</t>
        </is>
      </c>
      <c r="C877" t="inlineStr">
        <is>
          <t>AJAH</t>
        </is>
      </c>
      <c r="D877" t="inlineStr">
        <is>
          <t>N</t>
        </is>
      </c>
      <c r="E877" t="inlineStr">
        <is>
          <t>Y</t>
        </is>
      </c>
      <c r="F877" t="inlineStr">
        <is>
          <t>10</t>
        </is>
      </c>
      <c r="G877" t="inlineStr">
        <is>
          <t>ABULEFOLLY ZONE</t>
        </is>
      </c>
      <c r="H877" t="inlineStr">
        <is>
          <t>Existing</t>
        </is>
      </c>
      <c r="I877" t="inlineStr">
        <is>
          <t>N</t>
        </is>
      </c>
    </row>
    <row r="878">
      <c r="A878" t="inlineStr">
        <is>
          <t>LFC6511</t>
        </is>
      </c>
      <c r="B878" t="inlineStr">
        <is>
          <t>LFC6511</t>
        </is>
      </c>
      <c r="C878" t="inlineStr">
        <is>
          <t>AJAH</t>
        </is>
      </c>
      <c r="D878" t="inlineStr">
        <is>
          <t>Y</t>
        </is>
      </c>
      <c r="E878" t="inlineStr">
        <is>
          <t>Y</t>
        </is>
      </c>
      <c r="F878" t="inlineStr">
        <is>
          <t>11</t>
        </is>
      </c>
      <c r="G878" t="inlineStr">
        <is>
          <t>IMALATE LALFIA</t>
        </is>
      </c>
      <c r="H878" t="inlineStr">
        <is>
          <t>Existing</t>
        </is>
      </c>
      <c r="I878" t="inlineStr">
        <is>
          <t>N</t>
        </is>
      </c>
    </row>
    <row r="879">
      <c r="A879" t="inlineStr">
        <is>
          <t>LFC6512</t>
        </is>
      </c>
      <c r="B879" t="inlineStr">
        <is>
          <t>LFC6512</t>
        </is>
      </c>
      <c r="C879" t="inlineStr">
        <is>
          <t>AJAH</t>
        </is>
      </c>
      <c r="D879" t="inlineStr">
        <is>
          <t>Y</t>
        </is>
      </c>
      <c r="E879" t="inlineStr">
        <is>
          <t>Y</t>
        </is>
      </c>
      <c r="F879" t="inlineStr">
        <is>
          <t>12</t>
        </is>
      </c>
      <c r="G879" t="inlineStr">
        <is>
          <t>BOGIJE</t>
        </is>
      </c>
      <c r="H879" t="inlineStr">
        <is>
          <t>Existing</t>
        </is>
      </c>
      <c r="I879" t="inlineStr">
        <is>
          <t>N</t>
        </is>
      </c>
    </row>
    <row r="880">
      <c r="A880" t="inlineStr">
        <is>
          <t>LFC6513</t>
        </is>
      </c>
      <c r="B880" t="inlineStr">
        <is>
          <t>LFC6513</t>
        </is>
      </c>
      <c r="C880" t="inlineStr">
        <is>
          <t>AJAH</t>
        </is>
      </c>
      <c r="D880" t="inlineStr">
        <is>
          <t>N</t>
        </is>
      </c>
      <c r="E880" t="inlineStr">
        <is>
          <t>Y</t>
        </is>
      </c>
      <c r="F880" t="inlineStr">
        <is>
          <t>13</t>
        </is>
      </c>
      <c r="G880" t="inlineStr">
        <is>
          <t>ONOSA</t>
        </is>
      </c>
      <c r="H880" t="inlineStr">
        <is>
          <t>Existing</t>
        </is>
      </c>
      <c r="I880" t="inlineStr">
        <is>
          <t>N</t>
        </is>
      </c>
    </row>
    <row r="881">
      <c r="A881" t="inlineStr">
        <is>
          <t>LFC6514</t>
        </is>
      </c>
      <c r="B881" t="inlineStr">
        <is>
          <t>LFC6514</t>
        </is>
      </c>
      <c r="C881" t="inlineStr">
        <is>
          <t>AJAH</t>
        </is>
      </c>
      <c r="D881" t="inlineStr">
        <is>
          <t>Y</t>
        </is>
      </c>
      <c r="E881" t="inlineStr">
        <is>
          <t>Y</t>
        </is>
      </c>
      <c r="F881" t="inlineStr">
        <is>
          <t>14</t>
        </is>
      </c>
      <c r="G881" t="inlineStr">
        <is>
          <t>ALATISE</t>
        </is>
      </c>
      <c r="H881" t="inlineStr">
        <is>
          <t>Existing</t>
        </is>
      </c>
      <c r="I881" t="inlineStr">
        <is>
          <t>N</t>
        </is>
      </c>
    </row>
    <row r="882">
      <c r="A882" t="inlineStr">
        <is>
          <t>LFC6515</t>
        </is>
      </c>
      <c r="B882" t="inlineStr">
        <is>
          <t>LFC6515</t>
        </is>
      </c>
      <c r="C882" t="inlineStr">
        <is>
          <t>AJAH</t>
        </is>
      </c>
      <c r="D882" t="inlineStr">
        <is>
          <t>N</t>
        </is>
      </c>
      <c r="E882" t="inlineStr">
        <is>
          <t>Y</t>
        </is>
      </c>
      <c r="F882" t="inlineStr">
        <is>
          <t>15</t>
        </is>
      </c>
      <c r="G882" t="inlineStr">
        <is>
          <t>TOYIN DADA ESTATE ELEMORO</t>
        </is>
      </c>
      <c r="H882" t="inlineStr">
        <is>
          <t>Existing</t>
        </is>
      </c>
      <c r="I882" t="inlineStr">
        <is>
          <t>N</t>
        </is>
      </c>
    </row>
    <row r="883">
      <c r="A883" t="inlineStr">
        <is>
          <t>LFC6516</t>
        </is>
      </c>
      <c r="B883" t="inlineStr">
        <is>
          <t>LFC6516</t>
        </is>
      </c>
      <c r="C883" t="inlineStr">
        <is>
          <t>AJAH</t>
        </is>
      </c>
      <c r="D883" t="inlineStr">
        <is>
          <t>N</t>
        </is>
      </c>
      <c r="E883" t="inlineStr">
        <is>
          <t>Y</t>
        </is>
      </c>
      <c r="F883" t="inlineStr">
        <is>
          <t>16</t>
        </is>
      </c>
      <c r="G883" t="inlineStr">
        <is>
          <t>UNION VILLE CELE YORUBA JUNCTION LOSORO</t>
        </is>
      </c>
      <c r="H883" t="inlineStr">
        <is>
          <t>Existing</t>
        </is>
      </c>
      <c r="I883" t="inlineStr">
        <is>
          <t>N</t>
        </is>
      </c>
    </row>
    <row r="884">
      <c r="A884" t="inlineStr">
        <is>
          <t>LFC6517</t>
        </is>
      </c>
      <c r="B884" t="inlineStr">
        <is>
          <t>LFC6517</t>
        </is>
      </c>
      <c r="C884" t="inlineStr">
        <is>
          <t>AJAH</t>
        </is>
      </c>
      <c r="D884" t="inlineStr">
        <is>
          <t>N</t>
        </is>
      </c>
      <c r="E884" t="inlineStr">
        <is>
          <t>Y</t>
        </is>
      </c>
      <c r="F884" t="inlineStr">
        <is>
          <t>17</t>
        </is>
      </c>
      <c r="G884" t="inlineStr">
        <is>
          <t>BAALE WAY OPPOSITE EAST AMBER ESATE , OLUWA LABORAGRA</t>
        </is>
      </c>
      <c r="H884" t="inlineStr">
        <is>
          <t>Existing</t>
        </is>
      </c>
      <c r="I884" t="inlineStr">
        <is>
          <t>N</t>
        </is>
      </c>
    </row>
    <row r="885">
      <c r="A885" t="inlineStr">
        <is>
          <t>LFC6518</t>
        </is>
      </c>
      <c r="B885" t="inlineStr">
        <is>
          <t>LFC6518</t>
        </is>
      </c>
      <c r="C885" t="inlineStr">
        <is>
          <t>AJAH</t>
        </is>
      </c>
      <c r="D885" t="inlineStr"/>
      <c r="E885" t="inlineStr">
        <is>
          <t>Y</t>
        </is>
      </c>
      <c r="F885" t="inlineStr">
        <is>
          <t>18</t>
        </is>
      </c>
      <c r="G885" t="inlineStr">
        <is>
          <t>2 MARIA LANE OPPOSITE AREA J POLICE STATION ELESEKAN</t>
        </is>
      </c>
      <c r="H885" t="inlineStr">
        <is>
          <t>Existing</t>
        </is>
      </c>
      <c r="I885" t="inlineStr"/>
    </row>
    <row r="886">
      <c r="A886" t="inlineStr">
        <is>
          <t>LFC6601</t>
        </is>
      </c>
      <c r="B886" t="inlineStr">
        <is>
          <t>LFC6601</t>
        </is>
      </c>
      <c r="C886" t="inlineStr">
        <is>
          <t>BADORE</t>
        </is>
      </c>
      <c r="D886" t="inlineStr">
        <is>
          <t>Y</t>
        </is>
      </c>
      <c r="E886" t="inlineStr">
        <is>
          <t>Y</t>
        </is>
      </c>
      <c r="F886" t="inlineStr">
        <is>
          <t>1</t>
        </is>
      </c>
      <c r="G886" t="inlineStr">
        <is>
          <t>BAKERY BUS STOP BADORE AJAH</t>
        </is>
      </c>
      <c r="H886" t="inlineStr">
        <is>
          <t>Existing</t>
        </is>
      </c>
      <c r="I886" t="inlineStr">
        <is>
          <t>N</t>
        </is>
      </c>
    </row>
    <row r="887">
      <c r="A887" t="inlineStr">
        <is>
          <t>LFC6602</t>
        </is>
      </c>
      <c r="B887" t="inlineStr">
        <is>
          <t>LFC6602</t>
        </is>
      </c>
      <c r="C887" t="inlineStr">
        <is>
          <t>BADORE</t>
        </is>
      </c>
      <c r="D887" t="inlineStr">
        <is>
          <t>Y</t>
        </is>
      </c>
      <c r="E887" t="inlineStr">
        <is>
          <t>Y</t>
        </is>
      </c>
      <c r="F887" t="inlineStr">
        <is>
          <t>2</t>
        </is>
      </c>
      <c r="G887" t="inlineStr">
        <is>
          <t>28, UNITY ROAD, OFF COOP VILLAS</t>
        </is>
      </c>
      <c r="H887" t="inlineStr">
        <is>
          <t>Existing</t>
        </is>
      </c>
      <c r="I887" t="inlineStr">
        <is>
          <t>N</t>
        </is>
      </c>
    </row>
    <row r="888">
      <c r="A888" t="inlineStr">
        <is>
          <t>LFC6603</t>
        </is>
      </c>
      <c r="B888" t="inlineStr">
        <is>
          <t>LFC6603</t>
        </is>
      </c>
      <c r="C888" t="inlineStr">
        <is>
          <t>BADORE</t>
        </is>
      </c>
      <c r="D888" t="inlineStr">
        <is>
          <t>N</t>
        </is>
      </c>
      <c r="E888" t="inlineStr">
        <is>
          <t>Y</t>
        </is>
      </c>
      <c r="F888" t="inlineStr">
        <is>
          <t>3</t>
        </is>
      </c>
      <c r="G888" t="inlineStr">
        <is>
          <t>OLUFUNKE ABEKE CLOSE, GREENVILLE ESTATE</t>
        </is>
      </c>
      <c r="H888" t="inlineStr">
        <is>
          <t>Existing</t>
        </is>
      </c>
      <c r="I888" t="inlineStr">
        <is>
          <t>N</t>
        </is>
      </c>
    </row>
    <row r="889">
      <c r="A889" t="inlineStr">
        <is>
          <t>LFC6604</t>
        </is>
      </c>
      <c r="B889" t="inlineStr">
        <is>
          <t>LFC6604</t>
        </is>
      </c>
      <c r="C889" t="inlineStr">
        <is>
          <t>BADORE</t>
        </is>
      </c>
      <c r="D889" t="inlineStr">
        <is>
          <t>N</t>
        </is>
      </c>
      <c r="E889" t="inlineStr">
        <is>
          <t>Y</t>
        </is>
      </c>
      <c r="F889" t="inlineStr">
        <is>
          <t>4</t>
        </is>
      </c>
      <c r="G889" t="inlineStr">
        <is>
          <t>D'CHERUB SCHOOL, SEASIDE ESTATE, papa Zone</t>
        </is>
      </c>
      <c r="H889" t="inlineStr">
        <is>
          <t>Existing</t>
        </is>
      </c>
      <c r="I889" t="inlineStr">
        <is>
          <t>N</t>
        </is>
      </c>
    </row>
    <row r="890">
      <c r="A890" t="inlineStr">
        <is>
          <t>LFC6605</t>
        </is>
      </c>
      <c r="B890" t="inlineStr">
        <is>
          <t>LFC6605</t>
        </is>
      </c>
      <c r="C890" t="inlineStr">
        <is>
          <t>BADORE</t>
        </is>
      </c>
      <c r="D890" t="inlineStr">
        <is>
          <t>N</t>
        </is>
      </c>
      <c r="E890" t="inlineStr">
        <is>
          <t>Y</t>
        </is>
      </c>
      <c r="F890" t="inlineStr">
        <is>
          <t>5</t>
        </is>
      </c>
      <c r="G890" t="inlineStr">
        <is>
          <t>SUNNY VILLAS, POWERLINE, BADORE</t>
        </is>
      </c>
      <c r="H890" t="inlineStr">
        <is>
          <t>Existing</t>
        </is>
      </c>
      <c r="I890" t="inlineStr">
        <is>
          <t>N</t>
        </is>
      </c>
    </row>
    <row r="891">
      <c r="A891" t="inlineStr">
        <is>
          <t>LFC6606</t>
        </is>
      </c>
      <c r="B891" t="inlineStr">
        <is>
          <t>LFC6606</t>
        </is>
      </c>
      <c r="C891" t="inlineStr">
        <is>
          <t>BADORE</t>
        </is>
      </c>
      <c r="D891" t="inlineStr">
        <is>
          <t>Y</t>
        </is>
      </c>
      <c r="E891" t="inlineStr">
        <is>
          <t>Y</t>
        </is>
      </c>
      <c r="F891" t="inlineStr">
        <is>
          <t>6</t>
        </is>
      </c>
      <c r="G891" t="inlineStr">
        <is>
          <t>76 IRA NLA ROAD</t>
        </is>
      </c>
      <c r="H891" t="inlineStr">
        <is>
          <t>Existing</t>
        </is>
      </c>
      <c r="I891" t="inlineStr">
        <is>
          <t>N</t>
        </is>
      </c>
    </row>
    <row r="892">
      <c r="A892" t="inlineStr">
        <is>
          <t>LFC6607</t>
        </is>
      </c>
      <c r="B892" t="inlineStr">
        <is>
          <t>LFC6607</t>
        </is>
      </c>
      <c r="C892" t="inlineStr">
        <is>
          <t>BADORE</t>
        </is>
      </c>
      <c r="D892" t="inlineStr">
        <is>
          <t>N</t>
        </is>
      </c>
      <c r="E892" t="inlineStr">
        <is>
          <t>Y</t>
        </is>
      </c>
      <c r="F892" t="inlineStr">
        <is>
          <t>7</t>
        </is>
      </c>
      <c r="G892" t="inlineStr">
        <is>
          <t>TOKUNBO JUNCTION, IRA NLA2</t>
        </is>
      </c>
      <c r="H892" t="inlineStr">
        <is>
          <t>Existing</t>
        </is>
      </c>
      <c r="I892" t="inlineStr">
        <is>
          <t>N</t>
        </is>
      </c>
    </row>
    <row r="893">
      <c r="A893" t="inlineStr">
        <is>
          <t>LFC6608</t>
        </is>
      </c>
      <c r="B893" t="inlineStr">
        <is>
          <t>LFC6608</t>
        </is>
      </c>
      <c r="C893" t="inlineStr">
        <is>
          <t>BADORE</t>
        </is>
      </c>
      <c r="D893" t="inlineStr">
        <is>
          <t>Y</t>
        </is>
      </c>
      <c r="E893" t="inlineStr">
        <is>
          <t>Y</t>
        </is>
      </c>
      <c r="F893" t="inlineStr">
        <is>
          <t>8</t>
        </is>
      </c>
      <c r="G893" t="inlineStr">
        <is>
          <t>SALVATION ESTATE, OWODE-LANGBASA</t>
        </is>
      </c>
      <c r="H893" t="inlineStr">
        <is>
          <t>Existing</t>
        </is>
      </c>
      <c r="I893" t="inlineStr">
        <is>
          <t>N</t>
        </is>
      </c>
    </row>
    <row r="894">
      <c r="A894" t="inlineStr">
        <is>
          <t>LFC6609</t>
        </is>
      </c>
      <c r="B894" t="inlineStr">
        <is>
          <t>LFC6609</t>
        </is>
      </c>
      <c r="C894" t="inlineStr">
        <is>
          <t>BADORE</t>
        </is>
      </c>
      <c r="D894" t="inlineStr">
        <is>
          <t>N</t>
        </is>
      </c>
      <c r="E894" t="inlineStr">
        <is>
          <t>Y</t>
        </is>
      </c>
      <c r="F894" t="inlineStr">
        <is>
          <t>9</t>
        </is>
      </c>
      <c r="G894" t="inlineStr">
        <is>
          <t>AKINS, FORMER THE LORDS WAY, OKE IRA</t>
        </is>
      </c>
      <c r="H894" t="inlineStr">
        <is>
          <t>Existing</t>
        </is>
      </c>
      <c r="I894" t="inlineStr">
        <is>
          <t>N</t>
        </is>
      </c>
    </row>
    <row r="895">
      <c r="A895" t="inlineStr">
        <is>
          <t>LFC6610</t>
        </is>
      </c>
      <c r="B895" t="inlineStr">
        <is>
          <t>LFC6610</t>
        </is>
      </c>
      <c r="C895" t="inlineStr">
        <is>
          <t>BADORE</t>
        </is>
      </c>
      <c r="D895" t="inlineStr">
        <is>
          <t>N</t>
        </is>
      </c>
      <c r="E895" t="inlineStr">
        <is>
          <t>Y</t>
        </is>
      </c>
      <c r="F895" t="inlineStr">
        <is>
          <t>10</t>
        </is>
      </c>
      <c r="G895" t="inlineStr">
        <is>
          <t>IRA KEKERE, ADO ROAD, AJAH</t>
        </is>
      </c>
      <c r="H895" t="inlineStr">
        <is>
          <t>Existing</t>
        </is>
      </c>
      <c r="I895" t="inlineStr">
        <is>
          <t>N</t>
        </is>
      </c>
    </row>
    <row r="896">
      <c r="A896" t="inlineStr">
        <is>
          <t>LFC6611</t>
        </is>
      </c>
      <c r="B896" t="inlineStr">
        <is>
          <t>LFC6611</t>
        </is>
      </c>
      <c r="C896" t="inlineStr">
        <is>
          <t>BADORE</t>
        </is>
      </c>
      <c r="D896" t="inlineStr">
        <is>
          <t>N</t>
        </is>
      </c>
      <c r="E896" t="inlineStr">
        <is>
          <t>Y</t>
        </is>
      </c>
      <c r="F896" t="inlineStr">
        <is>
          <t>11</t>
        </is>
      </c>
      <c r="G896" t="inlineStr">
        <is>
          <t>IRA NLA BY BAALE'S PALACE</t>
        </is>
      </c>
      <c r="H896" t="inlineStr">
        <is>
          <t>Existing</t>
        </is>
      </c>
      <c r="I896" t="inlineStr">
        <is>
          <t>N</t>
        </is>
      </c>
    </row>
    <row r="897">
      <c r="A897" t="inlineStr">
        <is>
          <t>LFC6612</t>
        </is>
      </c>
      <c r="B897" t="inlineStr">
        <is>
          <t>LFC6612</t>
        </is>
      </c>
      <c r="C897" t="inlineStr">
        <is>
          <t>BADORE</t>
        </is>
      </c>
      <c r="D897" t="inlineStr"/>
      <c r="E897" t="inlineStr">
        <is>
          <t>Y</t>
        </is>
      </c>
      <c r="F897" t="inlineStr">
        <is>
          <t>12</t>
        </is>
      </c>
      <c r="G897" t="inlineStr">
        <is>
          <t>THOMAS ESTATE, MODUPE YOUNG STREET, AJAH</t>
        </is>
      </c>
      <c r="H897" t="inlineStr">
        <is>
          <t>Existing</t>
        </is>
      </c>
      <c r="I897" t="inlineStr"/>
    </row>
    <row r="898">
      <c r="A898" t="inlineStr">
        <is>
          <t>LFC6613</t>
        </is>
      </c>
      <c r="B898" t="inlineStr">
        <is>
          <t>LFC6613</t>
        </is>
      </c>
      <c r="C898" t="inlineStr">
        <is>
          <t>BADORE</t>
        </is>
      </c>
      <c r="D898" t="inlineStr">
        <is>
          <t>N</t>
        </is>
      </c>
      <c r="E898" t="inlineStr">
        <is>
          <t>Y</t>
        </is>
      </c>
      <c r="F898" t="inlineStr">
        <is>
          <t>13</t>
        </is>
      </c>
      <c r="G898" t="inlineStr">
        <is>
          <t>TARZAN JETTY, CATHOLIC MISSION STREET, NEW ROAD, FISHERMEN SETTLEMENT LASG SCHEME, BADORE</t>
        </is>
      </c>
      <c r="H898" t="inlineStr">
        <is>
          <t>Existing</t>
        </is>
      </c>
      <c r="I898" t="inlineStr">
        <is>
          <t>N</t>
        </is>
      </c>
    </row>
    <row r="899">
      <c r="A899" t="inlineStr">
        <is>
          <t>LFC6614</t>
        </is>
      </c>
      <c r="B899" t="inlineStr">
        <is>
          <t>LFC6614</t>
        </is>
      </c>
      <c r="C899" t="inlineStr">
        <is>
          <t>BADORE</t>
        </is>
      </c>
      <c r="D899" t="inlineStr">
        <is>
          <t>N</t>
        </is>
      </c>
      <c r="E899" t="inlineStr">
        <is>
          <t>Y</t>
        </is>
      </c>
      <c r="F899" t="inlineStr">
        <is>
          <t>14</t>
        </is>
      </c>
      <c r="G899" t="inlineStr">
        <is>
          <t>BEHIND EASY BLOCK INDUSTRY, REMLEK ESTATE, BADORE</t>
        </is>
      </c>
      <c r="H899" t="inlineStr">
        <is>
          <t>Existing</t>
        </is>
      </c>
      <c r="I899" t="inlineStr">
        <is>
          <t>N</t>
        </is>
      </c>
    </row>
    <row r="900">
      <c r="A900" t="inlineStr">
        <is>
          <t>LFC6615</t>
        </is>
      </c>
      <c r="B900" t="inlineStr">
        <is>
          <t>LFC6615</t>
        </is>
      </c>
      <c r="C900" t="inlineStr">
        <is>
          <t>BADORE</t>
        </is>
      </c>
      <c r="D900" t="inlineStr">
        <is>
          <t>N</t>
        </is>
      </c>
      <c r="E900" t="inlineStr">
        <is>
          <t>Y</t>
        </is>
      </c>
      <c r="F900" t="inlineStr">
        <is>
          <t>15</t>
        </is>
      </c>
      <c r="G900" t="inlineStr">
        <is>
          <t>BESIDE LIBERATION HOUSE, SEASIDE ESTATE, BADOE</t>
        </is>
      </c>
      <c r="H900" t="inlineStr">
        <is>
          <t>Existing</t>
        </is>
      </c>
      <c r="I900" t="inlineStr">
        <is>
          <t>N</t>
        </is>
      </c>
    </row>
    <row r="901">
      <c r="A901" t="inlineStr">
        <is>
          <t>LFC6616</t>
        </is>
      </c>
      <c r="B901" t="inlineStr">
        <is>
          <t>LFC6616</t>
        </is>
      </c>
      <c r="C901" t="inlineStr">
        <is>
          <t>BADORE</t>
        </is>
      </c>
      <c r="D901" t="inlineStr"/>
      <c r="E901" t="inlineStr">
        <is>
          <t>Y</t>
        </is>
      </c>
      <c r="F901" t="inlineStr">
        <is>
          <t>16</t>
        </is>
      </c>
      <c r="G901" t="inlineStr">
        <is>
          <t>EFCC HOUSE, ADJACENT ILE JESU HOUSE, OWODE</t>
        </is>
      </c>
      <c r="H901" t="inlineStr">
        <is>
          <t>Existing</t>
        </is>
      </c>
      <c r="I901" t="inlineStr"/>
    </row>
    <row r="902">
      <c r="A902" t="inlineStr">
        <is>
          <t>LFC6617</t>
        </is>
      </c>
      <c r="B902" t="inlineStr">
        <is>
          <t>LFC6617</t>
        </is>
      </c>
      <c r="C902" t="inlineStr">
        <is>
          <t>BADORE</t>
        </is>
      </c>
      <c r="D902" t="inlineStr">
        <is>
          <t>N</t>
        </is>
      </c>
      <c r="E902" t="inlineStr">
        <is>
          <t>Y</t>
        </is>
      </c>
      <c r="F902" t="inlineStr">
        <is>
          <t>17</t>
        </is>
      </c>
      <c r="G902" t="inlineStr">
        <is>
          <t>POWERLINE VIA GREENVILLE ESTATE ROAD, ADDO ROUNDABOUT</t>
        </is>
      </c>
      <c r="H902" t="inlineStr">
        <is>
          <t>Existing</t>
        </is>
      </c>
      <c r="I902" t="inlineStr">
        <is>
          <t>N</t>
        </is>
      </c>
    </row>
    <row r="903">
      <c r="A903" t="inlineStr">
        <is>
          <t>LFC6618</t>
        </is>
      </c>
      <c r="B903" t="inlineStr">
        <is>
          <t>LFC6618</t>
        </is>
      </c>
      <c r="C903" t="inlineStr">
        <is>
          <t>BADORE</t>
        </is>
      </c>
      <c r="D903" t="inlineStr">
        <is>
          <t>N</t>
        </is>
      </c>
      <c r="E903" t="inlineStr">
        <is>
          <t>Y</t>
        </is>
      </c>
      <c r="F903" t="inlineStr">
        <is>
          <t>18</t>
        </is>
      </c>
      <c r="G903" t="inlineStr">
        <is>
          <t>FISHERMAN'S VILLAGE COMMUNITY CHURCH</t>
        </is>
      </c>
      <c r="H903" t="inlineStr">
        <is>
          <t>Existing</t>
        </is>
      </c>
      <c r="I903" t="inlineStr">
        <is>
          <t>Y</t>
        </is>
      </c>
    </row>
    <row r="904">
      <c r="A904" t="inlineStr">
        <is>
          <t>LFC6619</t>
        </is>
      </c>
      <c r="B904" t="inlineStr">
        <is>
          <t>LFC6619</t>
        </is>
      </c>
      <c r="C904" t="inlineStr">
        <is>
          <t>BADORE</t>
        </is>
      </c>
      <c r="D904" t="inlineStr">
        <is>
          <t>N</t>
        </is>
      </c>
      <c r="E904" t="inlineStr">
        <is>
          <t>Y</t>
        </is>
      </c>
      <c r="F904" t="inlineStr">
        <is>
          <t>19</t>
        </is>
      </c>
      <c r="G904" t="inlineStr">
        <is>
          <t>SUIT 7/8 PRAISE PLAZA BEHIND INFINITY ESTATE SKIDO BUSSTOP PUMP AND SELL</t>
        </is>
      </c>
      <c r="H904" t="inlineStr">
        <is>
          <t>New (proposed)</t>
        </is>
      </c>
      <c r="I904" t="inlineStr">
        <is>
          <t>N</t>
        </is>
      </c>
    </row>
    <row r="905">
      <c r="A905" t="inlineStr">
        <is>
          <t>LFC6620</t>
        </is>
      </c>
      <c r="B905" t="inlineStr">
        <is>
          <t>LFC6620</t>
        </is>
      </c>
      <c r="C905" t="inlineStr">
        <is>
          <t>BADORE</t>
        </is>
      </c>
      <c r="D905" t="inlineStr">
        <is>
          <t>N</t>
        </is>
      </c>
      <c r="E905" t="inlineStr">
        <is>
          <t>Y</t>
        </is>
      </c>
      <c r="F905" t="inlineStr">
        <is>
          <t>20</t>
        </is>
      </c>
      <c r="G905" t="inlineStr">
        <is>
          <t>ADO ZONE</t>
        </is>
      </c>
      <c r="H905" t="inlineStr">
        <is>
          <t>From reporting system</t>
        </is>
      </c>
      <c r="I905" t="inlineStr">
        <is>
          <t>N</t>
        </is>
      </c>
    </row>
    <row r="906">
      <c r="A906" t="inlineStr">
        <is>
          <t>LFC6701</t>
        </is>
      </c>
      <c r="B906" t="inlineStr">
        <is>
          <t>LFC6701</t>
        </is>
      </c>
      <c r="C906" t="inlineStr">
        <is>
          <t>SURULERE</t>
        </is>
      </c>
      <c r="D906" t="inlineStr">
        <is>
          <t>Y</t>
        </is>
      </c>
      <c r="E906" t="inlineStr">
        <is>
          <t>Y</t>
        </is>
      </c>
      <c r="F906" t="inlineStr">
        <is>
          <t>1</t>
        </is>
      </c>
      <c r="G906" t="inlineStr">
        <is>
          <t>31, JIMOH ODUTOLA STREET (A) SURULERE</t>
        </is>
      </c>
      <c r="H906" t="inlineStr">
        <is>
          <t>Existing</t>
        </is>
      </c>
      <c r="I906" t="inlineStr">
        <is>
          <t>N</t>
        </is>
      </c>
    </row>
    <row r="907">
      <c r="A907" t="inlineStr">
        <is>
          <t>LFC6702</t>
        </is>
      </c>
      <c r="B907" t="inlineStr">
        <is>
          <t>LFC6702</t>
        </is>
      </c>
      <c r="C907" t="inlineStr">
        <is>
          <t>SURULERE</t>
        </is>
      </c>
      <c r="D907" t="inlineStr">
        <is>
          <t>N</t>
        </is>
      </c>
      <c r="E907" t="inlineStr">
        <is>
          <t>Y</t>
        </is>
      </c>
      <c r="F907" t="inlineStr">
        <is>
          <t>2</t>
        </is>
      </c>
      <c r="G907" t="inlineStr">
        <is>
          <t>49, BABS ANIMASHAUN</t>
        </is>
      </c>
      <c r="H907" t="inlineStr">
        <is>
          <t>Existing</t>
        </is>
      </c>
      <c r="I907" t="inlineStr">
        <is>
          <t>N</t>
        </is>
      </c>
    </row>
    <row r="908">
      <c r="A908" t="inlineStr">
        <is>
          <t>LFC6703</t>
        </is>
      </c>
      <c r="B908" t="inlineStr">
        <is>
          <t>LFC6703</t>
        </is>
      </c>
      <c r="C908" t="inlineStr">
        <is>
          <t>SURULERE</t>
        </is>
      </c>
      <c r="D908" t="inlineStr">
        <is>
          <t>Y</t>
        </is>
      </c>
      <c r="E908" t="inlineStr">
        <is>
          <t>Y</t>
        </is>
      </c>
      <c r="F908" t="inlineStr">
        <is>
          <t>3</t>
        </is>
      </c>
      <c r="G908" t="inlineStr">
        <is>
          <t>20,IGUNNU STR. ORILE IGAMU</t>
        </is>
      </c>
      <c r="H908" t="inlineStr">
        <is>
          <t>Existing</t>
        </is>
      </c>
      <c r="I908" t="inlineStr">
        <is>
          <t>N</t>
        </is>
      </c>
    </row>
    <row r="909">
      <c r="A909" t="inlineStr">
        <is>
          <t>LFC6704</t>
        </is>
      </c>
      <c r="B909" t="inlineStr">
        <is>
          <t>LFC6704</t>
        </is>
      </c>
      <c r="C909" t="inlineStr">
        <is>
          <t>SURULERE</t>
        </is>
      </c>
      <c r="D909" t="inlineStr">
        <is>
          <t>N</t>
        </is>
      </c>
      <c r="E909" t="inlineStr">
        <is>
          <t>Y</t>
        </is>
      </c>
      <c r="F909" t="inlineStr">
        <is>
          <t>4</t>
        </is>
      </c>
      <c r="G909" t="inlineStr">
        <is>
          <t>BLOCK 4 FLAT6 IPONRI</t>
        </is>
      </c>
      <c r="H909" t="inlineStr">
        <is>
          <t>Existing</t>
        </is>
      </c>
      <c r="I909" t="inlineStr">
        <is>
          <t>N</t>
        </is>
      </c>
    </row>
    <row r="910">
      <c r="A910" t="inlineStr">
        <is>
          <t>LFC6705</t>
        </is>
      </c>
      <c r="B910" t="inlineStr">
        <is>
          <t>LFC6705</t>
        </is>
      </c>
      <c r="C910" t="inlineStr">
        <is>
          <t>SURULERE</t>
        </is>
      </c>
      <c r="D910" t="inlineStr">
        <is>
          <t>N</t>
        </is>
      </c>
      <c r="E910" t="inlineStr">
        <is>
          <t>Y</t>
        </is>
      </c>
      <c r="F910" t="inlineStr">
        <is>
          <t>6</t>
        </is>
      </c>
      <c r="G910" t="inlineStr">
        <is>
          <t>24, ONI STREET, OFF RANDLE AVE, SURULERE</t>
        </is>
      </c>
      <c r="H910" t="inlineStr">
        <is>
          <t>Existing</t>
        </is>
      </c>
      <c r="I910" t="inlineStr">
        <is>
          <t>N</t>
        </is>
      </c>
    </row>
    <row r="911">
      <c r="A911" t="inlineStr">
        <is>
          <t>LFC6706</t>
        </is>
      </c>
      <c r="B911" t="inlineStr">
        <is>
          <t>LFC6706</t>
        </is>
      </c>
      <c r="C911" t="inlineStr">
        <is>
          <t>SURULERE</t>
        </is>
      </c>
      <c r="D911" t="inlineStr">
        <is>
          <t>N</t>
        </is>
      </c>
      <c r="E911" t="inlineStr">
        <is>
          <t>Y</t>
        </is>
      </c>
      <c r="F911" t="inlineStr">
        <is>
          <t>5</t>
        </is>
      </c>
      <c r="G911" t="inlineStr">
        <is>
          <t>5, ONITANA STREET, BY BARRACKS, SURULERE.</t>
        </is>
      </c>
      <c r="H911" t="inlineStr">
        <is>
          <t>Existing</t>
        </is>
      </c>
      <c r="I911" t="inlineStr">
        <is>
          <t>N</t>
        </is>
      </c>
    </row>
    <row r="912">
      <c r="A912" t="inlineStr">
        <is>
          <t>LFC6707</t>
        </is>
      </c>
      <c r="B912" t="inlineStr">
        <is>
          <t>LFC6707</t>
        </is>
      </c>
      <c r="C912" t="inlineStr">
        <is>
          <t>SURULERE</t>
        </is>
      </c>
      <c r="D912" t="inlineStr">
        <is>
          <t>Y</t>
        </is>
      </c>
      <c r="E912" t="inlineStr">
        <is>
          <t>Y</t>
        </is>
      </c>
      <c r="F912" t="inlineStr">
        <is>
          <t>7</t>
        </is>
      </c>
      <c r="G912" t="inlineStr">
        <is>
          <t>183, IJESHA RD, IJESHATEDO, SURULERE.</t>
        </is>
      </c>
      <c r="H912" t="inlineStr">
        <is>
          <t>Existing</t>
        </is>
      </c>
      <c r="I912" t="inlineStr">
        <is>
          <t>N</t>
        </is>
      </c>
    </row>
    <row r="913">
      <c r="A913" t="inlineStr">
        <is>
          <t>LFC6708</t>
        </is>
      </c>
      <c r="B913" t="inlineStr">
        <is>
          <t>LFC6708</t>
        </is>
      </c>
      <c r="C913" t="inlineStr">
        <is>
          <t>SURULERE</t>
        </is>
      </c>
      <c r="D913" t="inlineStr">
        <is>
          <t>N</t>
        </is>
      </c>
      <c r="E913" t="inlineStr">
        <is>
          <t>Y</t>
        </is>
      </c>
      <c r="F913" t="inlineStr">
        <is>
          <t>8</t>
        </is>
      </c>
      <c r="G913" t="inlineStr">
        <is>
          <t>8 ATTANDA STREET, SURULERE</t>
        </is>
      </c>
      <c r="H913" t="inlineStr">
        <is>
          <t>Existing</t>
        </is>
      </c>
      <c r="I913" t="inlineStr">
        <is>
          <t>N</t>
        </is>
      </c>
    </row>
    <row r="914">
      <c r="A914" t="inlineStr">
        <is>
          <t>LFC6709</t>
        </is>
      </c>
      <c r="B914" t="inlineStr">
        <is>
          <t>LFC6709</t>
        </is>
      </c>
      <c r="C914" t="inlineStr">
        <is>
          <t>SURULERE</t>
        </is>
      </c>
      <c r="D914" t="inlineStr">
        <is>
          <t>N</t>
        </is>
      </c>
      <c r="E914" t="inlineStr">
        <is>
          <t>Y</t>
        </is>
      </c>
      <c r="F914" t="inlineStr">
        <is>
          <t>9</t>
        </is>
      </c>
      <c r="G914" t="inlineStr">
        <is>
          <t>NATHAN ZONE, NO 38e,NATHAN STREET, SURULERE.</t>
        </is>
      </c>
      <c r="H914" t="inlineStr">
        <is>
          <t>Existing</t>
        </is>
      </c>
      <c r="I914" t="inlineStr">
        <is>
          <t>N</t>
        </is>
      </c>
    </row>
    <row r="915">
      <c r="A915" t="inlineStr">
        <is>
          <t>LFC6801</t>
        </is>
      </c>
      <c r="B915" t="inlineStr">
        <is>
          <t>LFC6801</t>
        </is>
      </c>
      <c r="C915" t="inlineStr">
        <is>
          <t>LAWANSON</t>
        </is>
      </c>
      <c r="D915" t="inlineStr">
        <is>
          <t>Y</t>
        </is>
      </c>
      <c r="E915" t="inlineStr">
        <is>
          <t>Y</t>
        </is>
      </c>
      <c r="F915" t="inlineStr">
        <is>
          <t>1</t>
        </is>
      </c>
      <c r="G915" t="inlineStr">
        <is>
          <t>80 adjacent firstbank Lawanson road, Lawanson</t>
        </is>
      </c>
      <c r="H915" t="inlineStr">
        <is>
          <t>Existing</t>
        </is>
      </c>
      <c r="I915" t="inlineStr">
        <is>
          <t>N</t>
        </is>
      </c>
    </row>
    <row r="916">
      <c r="A916" t="inlineStr">
        <is>
          <t>LFC6802</t>
        </is>
      </c>
      <c r="B916" t="inlineStr">
        <is>
          <t>LFC6802</t>
        </is>
      </c>
      <c r="C916" t="inlineStr">
        <is>
          <t>LAWANSON</t>
        </is>
      </c>
      <c r="D916" t="inlineStr">
        <is>
          <t>Y</t>
        </is>
      </c>
      <c r="E916" t="inlineStr">
        <is>
          <t>Y</t>
        </is>
      </c>
      <c r="F916" t="inlineStr">
        <is>
          <t>2</t>
        </is>
      </c>
      <c r="G916" t="inlineStr">
        <is>
          <t>25 ogungbesan st, coker</t>
        </is>
      </c>
      <c r="H916" t="inlineStr">
        <is>
          <t>Existing</t>
        </is>
      </c>
      <c r="I916" t="inlineStr">
        <is>
          <t>N</t>
        </is>
      </c>
    </row>
    <row r="917">
      <c r="A917" t="inlineStr">
        <is>
          <t>LFC6803</t>
        </is>
      </c>
      <c r="B917" t="inlineStr">
        <is>
          <t>LFC6803</t>
        </is>
      </c>
      <c r="C917" t="inlineStr">
        <is>
          <t>LAWANSON</t>
        </is>
      </c>
      <c r="D917" t="inlineStr">
        <is>
          <t>Y</t>
        </is>
      </c>
      <c r="E917" t="inlineStr">
        <is>
          <t>Y</t>
        </is>
      </c>
      <c r="F917" t="inlineStr">
        <is>
          <t>3</t>
        </is>
      </c>
      <c r="G917" t="inlineStr">
        <is>
          <t>12A Asiri Akofa Street, Aguda</t>
        </is>
      </c>
      <c r="H917" t="inlineStr">
        <is>
          <t>Existing</t>
        </is>
      </c>
      <c r="I917" t="inlineStr">
        <is>
          <t>N</t>
        </is>
      </c>
    </row>
    <row r="918">
      <c r="A918" t="inlineStr">
        <is>
          <t>LFC6804</t>
        </is>
      </c>
      <c r="B918" t="inlineStr">
        <is>
          <t>LFC6804</t>
        </is>
      </c>
      <c r="C918" t="inlineStr">
        <is>
          <t>LAWANSON</t>
        </is>
      </c>
      <c r="D918" t="inlineStr"/>
      <c r="E918" t="inlineStr">
        <is>
          <t>Y</t>
        </is>
      </c>
      <c r="F918" t="inlineStr">
        <is>
          <t>4</t>
        </is>
      </c>
      <c r="G918" t="inlineStr">
        <is>
          <t>DAYSTAR NURSERY &amp; PRIMARY</t>
        </is>
      </c>
      <c r="H918" t="inlineStr">
        <is>
          <t>New (proposed)</t>
        </is>
      </c>
      <c r="I918" t="inlineStr"/>
    </row>
    <row r="919">
      <c r="A919" t="inlineStr">
        <is>
          <t>LFC6901</t>
        </is>
      </c>
      <c r="B919" t="inlineStr">
        <is>
          <t>LFC6901</t>
        </is>
      </c>
      <c r="C919" t="inlineStr">
        <is>
          <t>MASHA</t>
        </is>
      </c>
      <c r="D919" t="inlineStr">
        <is>
          <t>N</t>
        </is>
      </c>
      <c r="E919" t="inlineStr">
        <is>
          <t>Y</t>
        </is>
      </c>
      <c r="F919" t="inlineStr">
        <is>
          <t>1</t>
        </is>
      </c>
      <c r="G919" t="inlineStr">
        <is>
          <t>3, ALHAJI MASHA, SURULERE</t>
        </is>
      </c>
      <c r="H919" t="inlineStr">
        <is>
          <t>Existing</t>
        </is>
      </c>
      <c r="I919" t="inlineStr">
        <is>
          <t>N</t>
        </is>
      </c>
    </row>
    <row r="920">
      <c r="A920" t="inlineStr">
        <is>
          <t>LFC6902</t>
        </is>
      </c>
      <c r="B920" t="inlineStr">
        <is>
          <t>LFC6902</t>
        </is>
      </c>
      <c r="C920" t="inlineStr">
        <is>
          <t>MASHA</t>
        </is>
      </c>
      <c r="D920" t="inlineStr">
        <is>
          <t>N</t>
        </is>
      </c>
      <c r="E920" t="inlineStr">
        <is>
          <t>Y</t>
        </is>
      </c>
      <c r="F920" t="inlineStr">
        <is>
          <t>2</t>
        </is>
      </c>
      <c r="G920" t="inlineStr">
        <is>
          <t>7, EHI STREET, OFF AIRWAYS JUNCTN, IJESHA, SURULERE</t>
        </is>
      </c>
      <c r="H920" t="inlineStr">
        <is>
          <t>Existing</t>
        </is>
      </c>
      <c r="I920" t="inlineStr">
        <is>
          <t>N</t>
        </is>
      </c>
    </row>
    <row r="921">
      <c r="A921" t="inlineStr">
        <is>
          <t>LFC6903</t>
        </is>
      </c>
      <c r="B921" t="inlineStr">
        <is>
          <t>LFC6903</t>
        </is>
      </c>
      <c r="C921" t="inlineStr">
        <is>
          <t>MASHA</t>
        </is>
      </c>
      <c r="D921" t="inlineStr">
        <is>
          <t>N</t>
        </is>
      </c>
      <c r="E921" t="inlineStr">
        <is>
          <t>Y</t>
        </is>
      </c>
      <c r="F921" t="inlineStr">
        <is>
          <t>3</t>
        </is>
      </c>
      <c r="G921" t="inlineStr">
        <is>
          <t>5, WILLE OMIYI STREET, AGUDA, SURULERE</t>
        </is>
      </c>
      <c r="H921" t="inlineStr">
        <is>
          <t>Existing</t>
        </is>
      </c>
      <c r="I921" t="inlineStr">
        <is>
          <t>N</t>
        </is>
      </c>
    </row>
    <row r="922">
      <c r="A922" t="inlineStr">
        <is>
          <t>LFC6904</t>
        </is>
      </c>
      <c r="B922" t="inlineStr">
        <is>
          <t>LFC6904</t>
        </is>
      </c>
      <c r="C922" t="inlineStr">
        <is>
          <t>MASHA</t>
        </is>
      </c>
      <c r="D922" t="inlineStr">
        <is>
          <t>N</t>
        </is>
      </c>
      <c r="E922" t="inlineStr">
        <is>
          <t>Y</t>
        </is>
      </c>
      <c r="F922" t="inlineStr">
        <is>
          <t>4</t>
        </is>
      </c>
      <c r="G922" t="inlineStr">
        <is>
          <t>39, SOLO OGUN STR, AGUDA, SURULERE</t>
        </is>
      </c>
      <c r="H922" t="inlineStr">
        <is>
          <t>Existing</t>
        </is>
      </c>
      <c r="I922" t="inlineStr">
        <is>
          <t>N</t>
        </is>
      </c>
    </row>
    <row r="923">
      <c r="A923" t="inlineStr">
        <is>
          <t>LFC6905</t>
        </is>
      </c>
      <c r="B923" t="inlineStr">
        <is>
          <t>LFC6905</t>
        </is>
      </c>
      <c r="C923" t="inlineStr">
        <is>
          <t>MASHA</t>
        </is>
      </c>
      <c r="D923" t="inlineStr">
        <is>
          <t>N</t>
        </is>
      </c>
      <c r="E923" t="inlineStr">
        <is>
          <t>Y</t>
        </is>
      </c>
      <c r="F923" t="inlineStr">
        <is>
          <t>5</t>
        </is>
      </c>
      <c r="G923" t="inlineStr">
        <is>
          <t>SAM SHONIBARE COMMUNITY CENTRE AUDITORIUM</t>
        </is>
      </c>
      <c r="H923" t="inlineStr">
        <is>
          <t>New (proposed)</t>
        </is>
      </c>
      <c r="I923" t="inlineStr">
        <is>
          <t>N</t>
        </is>
      </c>
    </row>
    <row r="924">
      <c r="A924" t="inlineStr">
        <is>
          <t>LFC7001</t>
        </is>
      </c>
      <c r="B924" t="inlineStr">
        <is>
          <t>LFC7001</t>
        </is>
      </c>
      <c r="C924" t="inlineStr">
        <is>
          <t>ILAJE</t>
        </is>
      </c>
      <c r="D924" t="inlineStr">
        <is>
          <t>Y</t>
        </is>
      </c>
      <c r="E924" t="inlineStr">
        <is>
          <t>Y</t>
        </is>
      </c>
      <c r="F924" t="inlineStr">
        <is>
          <t>1</t>
        </is>
      </c>
      <c r="G924" t="inlineStr">
        <is>
          <t>85 COSTAIN APAPA ADJACENT MOBIL EBUTE META WEST</t>
        </is>
      </c>
      <c r="H924" t="inlineStr">
        <is>
          <t>Existing</t>
        </is>
      </c>
      <c r="I924" t="inlineStr">
        <is>
          <t>N</t>
        </is>
      </c>
    </row>
    <row r="925">
      <c r="A925" t="inlineStr">
        <is>
          <t>LFC7002</t>
        </is>
      </c>
      <c r="B925" t="inlineStr">
        <is>
          <t>LFC7002</t>
        </is>
      </c>
      <c r="C925" t="inlineStr">
        <is>
          <t>ILAJE</t>
        </is>
      </c>
      <c r="D925" t="inlineStr">
        <is>
          <t>Y</t>
        </is>
      </c>
      <c r="E925" t="inlineStr">
        <is>
          <t>Y</t>
        </is>
      </c>
      <c r="F925" t="inlineStr">
        <is>
          <t>2</t>
        </is>
      </c>
      <c r="G925" t="inlineStr">
        <is>
          <t>108, FUNSHO WILLIAMS AVENUE, OJUELEGBA, SURULERE</t>
        </is>
      </c>
      <c r="H925" t="inlineStr">
        <is>
          <t>Existing</t>
        </is>
      </c>
      <c r="I925" t="inlineStr">
        <is>
          <t>N</t>
        </is>
      </c>
    </row>
    <row r="926">
      <c r="A926" t="inlineStr">
        <is>
          <t>LFC7003</t>
        </is>
      </c>
      <c r="B926" t="inlineStr">
        <is>
          <t>LFC7003</t>
        </is>
      </c>
      <c r="C926" t="inlineStr">
        <is>
          <t>ILAJE</t>
        </is>
      </c>
      <c r="D926" t="inlineStr">
        <is>
          <t>N</t>
        </is>
      </c>
      <c r="E926" t="inlineStr">
        <is>
          <t>Y</t>
        </is>
      </c>
      <c r="F926" t="inlineStr">
        <is>
          <t>3</t>
        </is>
      </c>
      <c r="G926" t="inlineStr">
        <is>
          <t>1B ADEBAYOR STR, ITIRE, SURULERE</t>
        </is>
      </c>
      <c r="H926" t="inlineStr">
        <is>
          <t>Existing</t>
        </is>
      </c>
      <c r="I926" t="inlineStr">
        <is>
          <t>N</t>
        </is>
      </c>
    </row>
    <row r="927">
      <c r="A927" t="inlineStr">
        <is>
          <t>LFC7004</t>
        </is>
      </c>
      <c r="B927" t="inlineStr">
        <is>
          <t>LFC7004</t>
        </is>
      </c>
      <c r="C927" t="inlineStr">
        <is>
          <t>ILAJE</t>
        </is>
      </c>
      <c r="D927" t="inlineStr">
        <is>
          <t>N</t>
        </is>
      </c>
      <c r="E927" t="inlineStr">
        <is>
          <t>Y</t>
        </is>
      </c>
      <c r="F927" t="inlineStr">
        <is>
          <t>4</t>
        </is>
      </c>
      <c r="G927" t="inlineStr">
        <is>
          <t>IDDO TERMINAL, IDDO COMMUNITY</t>
        </is>
      </c>
      <c r="H927" t="inlineStr">
        <is>
          <t>Existing</t>
        </is>
      </c>
      <c r="I927" t="inlineStr">
        <is>
          <t>N</t>
        </is>
      </c>
    </row>
    <row r="928">
      <c r="A928" t="inlineStr">
        <is>
          <t>LFC7005</t>
        </is>
      </c>
      <c r="B928" t="inlineStr">
        <is>
          <t>LFC7005</t>
        </is>
      </c>
      <c r="C928" t="inlineStr">
        <is>
          <t>ILAJE</t>
        </is>
      </c>
      <c r="D928" t="inlineStr">
        <is>
          <t>N</t>
        </is>
      </c>
      <c r="E928" t="inlineStr">
        <is>
          <t>Y</t>
        </is>
      </c>
      <c r="F928" t="inlineStr">
        <is>
          <t>5</t>
        </is>
      </c>
      <c r="G928" t="inlineStr">
        <is>
          <t>CLUB 19, OPPOSSITE ALLIED ENERGY FILLING STATION EBUTE META</t>
        </is>
      </c>
      <c r="H928" t="inlineStr">
        <is>
          <t>Existing</t>
        </is>
      </c>
      <c r="I928" t="inlineStr">
        <is>
          <t>N</t>
        </is>
      </c>
    </row>
    <row r="929">
      <c r="A929" t="inlineStr">
        <is>
          <t>LFC7006</t>
        </is>
      </c>
      <c r="B929" t="inlineStr">
        <is>
          <t>LFC7006</t>
        </is>
      </c>
      <c r="C929" t="inlineStr">
        <is>
          <t>ILAJE</t>
        </is>
      </c>
      <c r="D929" t="inlineStr"/>
      <c r="E929" t="inlineStr">
        <is>
          <t>Y</t>
        </is>
      </c>
      <c r="F929" t="inlineStr">
        <is>
          <t>6</t>
        </is>
      </c>
      <c r="G929" t="inlineStr">
        <is>
          <t>LUTH STAFF CLUB, BY MUSHIN GATE</t>
        </is>
      </c>
      <c r="H929" t="inlineStr">
        <is>
          <t>New (proposed)</t>
        </is>
      </c>
      <c r="I929" t="inlineStr"/>
    </row>
    <row r="930">
      <c r="A930" t="inlineStr">
        <is>
          <t>LFC7101</t>
        </is>
      </c>
      <c r="B930" t="inlineStr">
        <is>
          <t>LFC7101</t>
        </is>
      </c>
      <c r="C930" t="inlineStr">
        <is>
          <t>OWODE</t>
        </is>
      </c>
      <c r="D930" t="inlineStr">
        <is>
          <t>N</t>
        </is>
      </c>
      <c r="E930" t="inlineStr">
        <is>
          <t>Y</t>
        </is>
      </c>
      <c r="F930" t="inlineStr">
        <is>
          <t>1</t>
        </is>
      </c>
      <c r="G930" t="inlineStr">
        <is>
          <t>285, LAGOS IDIROKO ROAD, ADEGBOLA BUS-STOP, OWODE</t>
        </is>
      </c>
      <c r="H930" t="inlineStr">
        <is>
          <t>Existing</t>
        </is>
      </c>
      <c r="I930" t="inlineStr">
        <is>
          <t>N</t>
        </is>
      </c>
    </row>
    <row r="931">
      <c r="A931" t="inlineStr">
        <is>
          <t>LFC7102</t>
        </is>
      </c>
      <c r="B931" t="inlineStr">
        <is>
          <t>LFC7102</t>
        </is>
      </c>
      <c r="C931" t="inlineStr">
        <is>
          <t>OWODE</t>
        </is>
      </c>
      <c r="D931" t="inlineStr">
        <is>
          <t>Y</t>
        </is>
      </c>
      <c r="E931" t="inlineStr">
        <is>
          <t>Y</t>
        </is>
      </c>
      <c r="F931" t="inlineStr">
        <is>
          <t>2</t>
        </is>
      </c>
      <c r="G931" t="inlineStr">
        <is>
          <t>OWODE MKT RD, BEHIND 48, IDIROKO RD, OWODE</t>
        </is>
      </c>
      <c r="H931" t="inlineStr">
        <is>
          <t>Existing</t>
        </is>
      </c>
      <c r="I931" t="inlineStr">
        <is>
          <t>N</t>
        </is>
      </c>
    </row>
    <row r="932">
      <c r="A932" t="inlineStr">
        <is>
          <t>LFC7103</t>
        </is>
      </c>
      <c r="B932" t="inlineStr">
        <is>
          <t>LFC7103</t>
        </is>
      </c>
      <c r="C932" t="inlineStr">
        <is>
          <t>OWODE</t>
        </is>
      </c>
      <c r="D932" t="inlineStr">
        <is>
          <t>Y</t>
        </is>
      </c>
      <c r="E932" t="inlineStr">
        <is>
          <t>Y</t>
        </is>
      </c>
      <c r="F932" t="inlineStr">
        <is>
          <t>3</t>
        </is>
      </c>
      <c r="G932" t="inlineStr">
        <is>
          <t>GADAFI STREET, ISHAGA OWODE</t>
        </is>
      </c>
      <c r="H932" t="inlineStr">
        <is>
          <t>Existing</t>
        </is>
      </c>
      <c r="I932" t="inlineStr">
        <is>
          <t>N</t>
        </is>
      </c>
    </row>
    <row r="933">
      <c r="A933" t="inlineStr">
        <is>
          <t>LFC7104</t>
        </is>
      </c>
      <c r="B933" t="inlineStr">
        <is>
          <t>LFC7104</t>
        </is>
      </c>
      <c r="C933" t="inlineStr">
        <is>
          <t>OWODE</t>
        </is>
      </c>
      <c r="D933" t="inlineStr">
        <is>
          <t>Y</t>
        </is>
      </c>
      <c r="E933" t="inlineStr">
        <is>
          <t>Y</t>
        </is>
      </c>
      <c r="F933" t="inlineStr">
        <is>
          <t>4</t>
        </is>
      </c>
      <c r="G933" t="inlineStr">
        <is>
          <t>OLORUNDA AREA, BEHIND ADESBA HOTEL.</t>
        </is>
      </c>
      <c r="H933" t="inlineStr">
        <is>
          <t>Existing</t>
        </is>
      </c>
      <c r="I933" t="inlineStr">
        <is>
          <t>N</t>
        </is>
      </c>
    </row>
    <row r="934">
      <c r="A934" t="inlineStr">
        <is>
          <t>LFC7105</t>
        </is>
      </c>
      <c r="B934" t="inlineStr">
        <is>
          <t>LFC7105</t>
        </is>
      </c>
      <c r="C934" t="inlineStr">
        <is>
          <t>OWODE</t>
        </is>
      </c>
      <c r="D934" t="inlineStr">
        <is>
          <t>Y</t>
        </is>
      </c>
      <c r="E934" t="inlineStr">
        <is>
          <t>Y</t>
        </is>
      </c>
      <c r="F934" t="inlineStr">
        <is>
          <t>5</t>
        </is>
      </c>
      <c r="G934" t="inlineStr">
        <is>
          <t>148 LAGOS/IDIROKO ROAD</t>
        </is>
      </c>
      <c r="H934" t="inlineStr">
        <is>
          <t>Existing</t>
        </is>
      </c>
      <c r="I934" t="inlineStr">
        <is>
          <t>N</t>
        </is>
      </c>
    </row>
    <row r="935">
      <c r="A935" t="inlineStr">
        <is>
          <t>LFC7106</t>
        </is>
      </c>
      <c r="B935" t="inlineStr">
        <is>
          <t>LFC7106</t>
        </is>
      </c>
      <c r="C935" t="inlineStr">
        <is>
          <t>OWODE</t>
        </is>
      </c>
      <c r="D935" t="inlineStr">
        <is>
          <t>Y</t>
        </is>
      </c>
      <c r="E935" t="inlineStr">
        <is>
          <t>Y</t>
        </is>
      </c>
      <c r="F935" t="inlineStr">
        <is>
          <t>6</t>
        </is>
      </c>
      <c r="G935" t="inlineStr">
        <is>
          <t>OKE-OLA WINNER</t>
        </is>
      </c>
      <c r="H935" t="inlineStr">
        <is>
          <t>Existing</t>
        </is>
      </c>
      <c r="I935" t="inlineStr">
        <is>
          <t>N</t>
        </is>
      </c>
    </row>
    <row r="936">
      <c r="A936" t="inlineStr">
        <is>
          <t>LFC7107</t>
        </is>
      </c>
      <c r="B936" t="inlineStr">
        <is>
          <t>LFC7107</t>
        </is>
      </c>
      <c r="C936" t="inlineStr">
        <is>
          <t>OWODE</t>
        </is>
      </c>
      <c r="D936" t="inlineStr">
        <is>
          <t>Y</t>
        </is>
      </c>
      <c r="E936" t="inlineStr">
        <is>
          <t>Y</t>
        </is>
      </c>
      <c r="F936" t="inlineStr">
        <is>
          <t>7</t>
        </is>
      </c>
      <c r="G936" t="inlineStr">
        <is>
          <t>ALARABA, OKE-ORE AREA</t>
        </is>
      </c>
      <c r="H936" t="inlineStr">
        <is>
          <t>Existing</t>
        </is>
      </c>
      <c r="I936" t="inlineStr">
        <is>
          <t>N</t>
        </is>
      </c>
    </row>
    <row r="937">
      <c r="A937" t="inlineStr">
        <is>
          <t>LFC7108</t>
        </is>
      </c>
      <c r="B937" t="inlineStr">
        <is>
          <t>LFC7108</t>
        </is>
      </c>
      <c r="C937" t="inlineStr">
        <is>
          <t>OWODE</t>
        </is>
      </c>
      <c r="D937" t="inlineStr">
        <is>
          <t>N</t>
        </is>
      </c>
      <c r="E937" t="inlineStr">
        <is>
          <t>Y</t>
        </is>
      </c>
      <c r="F937" t="inlineStr">
        <is>
          <t>8</t>
        </is>
      </c>
      <c r="G937" t="inlineStr">
        <is>
          <t>ONSE VILLAGE OROSE, ONSE</t>
        </is>
      </c>
      <c r="H937" t="inlineStr">
        <is>
          <t>Existing</t>
        </is>
      </c>
      <c r="I937" t="inlineStr">
        <is>
          <t>Y</t>
        </is>
      </c>
    </row>
    <row r="938">
      <c r="A938" t="inlineStr">
        <is>
          <t>LFC7109</t>
        </is>
      </c>
      <c r="B938" t="inlineStr">
        <is>
          <t>LFC7109</t>
        </is>
      </c>
      <c r="C938" t="inlineStr">
        <is>
          <t>OWODE</t>
        </is>
      </c>
      <c r="D938" t="inlineStr">
        <is>
          <t>Y</t>
        </is>
      </c>
      <c r="E938" t="inlineStr">
        <is>
          <t>Y</t>
        </is>
      </c>
      <c r="F938" t="inlineStr">
        <is>
          <t>9</t>
        </is>
      </c>
      <c r="G938" t="inlineStr">
        <is>
          <t>AJIBAWO VILLAGE</t>
        </is>
      </c>
      <c r="H938" t="inlineStr">
        <is>
          <t>Existing</t>
        </is>
      </c>
      <c r="I938" t="inlineStr">
        <is>
          <t>N</t>
        </is>
      </c>
    </row>
    <row r="939">
      <c r="A939" t="inlineStr">
        <is>
          <t>LFC7110</t>
        </is>
      </c>
      <c r="B939" t="inlineStr">
        <is>
          <t>LFC7110</t>
        </is>
      </c>
      <c r="C939" t="inlineStr">
        <is>
          <t>OWODE</t>
        </is>
      </c>
      <c r="D939" t="inlineStr">
        <is>
          <t>Y</t>
        </is>
      </c>
      <c r="E939" t="inlineStr">
        <is>
          <t>Y</t>
        </is>
      </c>
      <c r="F939" t="inlineStr">
        <is>
          <t>10</t>
        </is>
      </c>
      <c r="G939" t="inlineStr">
        <is>
          <t>BABA EDO'S HOUSEPALM ESTATE, OKE ORE</t>
        </is>
      </c>
      <c r="H939" t="inlineStr">
        <is>
          <t>Existing</t>
        </is>
      </c>
      <c r="I939" t="inlineStr">
        <is>
          <t>N</t>
        </is>
      </c>
    </row>
    <row r="940">
      <c r="A940" t="inlineStr">
        <is>
          <t>LFC7111</t>
        </is>
      </c>
      <c r="B940" t="inlineStr">
        <is>
          <t>LFC7111</t>
        </is>
      </c>
      <c r="C940" t="inlineStr">
        <is>
          <t>OWODE</t>
        </is>
      </c>
      <c r="D940" t="inlineStr">
        <is>
          <t>Y</t>
        </is>
      </c>
      <c r="E940" t="inlineStr">
        <is>
          <t>Y</t>
        </is>
      </c>
      <c r="F940" t="inlineStr">
        <is>
          <t>11</t>
        </is>
      </c>
      <c r="G940" t="inlineStr">
        <is>
          <t>ALARABA, OKE-ORE AREA 2 (NEW ZONE)</t>
        </is>
      </c>
      <c r="H940" t="inlineStr">
        <is>
          <t>Existing</t>
        </is>
      </c>
      <c r="I940" t="inlineStr">
        <is>
          <t>N</t>
        </is>
      </c>
    </row>
    <row r="941">
      <c r="A941" t="inlineStr">
        <is>
          <t>LFC7112</t>
        </is>
      </c>
      <c r="B941" t="inlineStr">
        <is>
          <t>LFC7112</t>
        </is>
      </c>
      <c r="C941" t="inlineStr">
        <is>
          <t>OWODE</t>
        </is>
      </c>
      <c r="D941" t="inlineStr">
        <is>
          <t>Y</t>
        </is>
      </c>
      <c r="E941" t="inlineStr">
        <is>
          <t>Y</t>
        </is>
      </c>
      <c r="F941" t="inlineStr">
        <is>
          <t>12</t>
        </is>
      </c>
      <c r="G941" t="inlineStr">
        <is>
          <t>AJIBAWO VILLAGE 2 (NEW ZONE)</t>
        </is>
      </c>
      <c r="H941" t="inlineStr">
        <is>
          <t>Existing</t>
        </is>
      </c>
      <c r="I941" t="inlineStr">
        <is>
          <t>N</t>
        </is>
      </c>
    </row>
    <row r="942">
      <c r="A942" t="inlineStr">
        <is>
          <t>LFC7113</t>
        </is>
      </c>
      <c r="B942" t="inlineStr">
        <is>
          <t>LFC7113</t>
        </is>
      </c>
      <c r="C942" t="inlineStr">
        <is>
          <t>OWODE</t>
        </is>
      </c>
      <c r="D942" t="inlineStr">
        <is>
          <t>N</t>
        </is>
      </c>
      <c r="E942" t="inlineStr">
        <is>
          <t>Y</t>
        </is>
      </c>
      <c r="F942" t="inlineStr">
        <is>
          <t>13</t>
        </is>
      </c>
      <c r="G942" t="inlineStr">
        <is>
          <t>BABA EDO'S HOUSEPALM ESTATE, OKE ORE 2 (NEW ZONE)</t>
        </is>
      </c>
      <c r="H942" t="inlineStr">
        <is>
          <t>Existing</t>
        </is>
      </c>
      <c r="I942" t="inlineStr">
        <is>
          <t>N</t>
        </is>
      </c>
    </row>
    <row r="943">
      <c r="A943" t="inlineStr">
        <is>
          <t>LFC7114</t>
        </is>
      </c>
      <c r="B943" t="inlineStr">
        <is>
          <t>LFC7114</t>
        </is>
      </c>
      <c r="C943" t="inlineStr">
        <is>
          <t>OWODE</t>
        </is>
      </c>
      <c r="D943" t="inlineStr">
        <is>
          <t>Y</t>
        </is>
      </c>
      <c r="E943" t="inlineStr">
        <is>
          <t>Y</t>
        </is>
      </c>
      <c r="F943" t="inlineStr">
        <is>
          <t>14</t>
        </is>
      </c>
      <c r="G943" t="inlineStr">
        <is>
          <t>BESIDE MOTUNRAYO SHOPPING COMPLEX OWODE (NEW CHAPEL)</t>
        </is>
      </c>
      <c r="H943" t="inlineStr">
        <is>
          <t>Existing</t>
        </is>
      </c>
      <c r="I943" t="inlineStr">
        <is>
          <t>N</t>
        </is>
      </c>
    </row>
    <row r="944">
      <c r="A944" t="inlineStr">
        <is>
          <t>LFC7115</t>
        </is>
      </c>
      <c r="B944" t="inlineStr">
        <is>
          <t>LFC7115</t>
        </is>
      </c>
      <c r="C944" t="inlineStr">
        <is>
          <t>OWODE</t>
        </is>
      </c>
      <c r="D944" t="inlineStr">
        <is>
          <t>Y</t>
        </is>
      </c>
      <c r="E944" t="inlineStr">
        <is>
          <t>Y</t>
        </is>
      </c>
      <c r="F944" t="inlineStr">
        <is>
          <t>15</t>
        </is>
      </c>
      <c r="G944" t="inlineStr">
        <is>
          <t>54, OLUWASEGUN STREET AGO-EGUN OWODE</t>
        </is>
      </c>
      <c r="H944" t="inlineStr">
        <is>
          <t>Existing</t>
        </is>
      </c>
      <c r="I944" t="inlineStr">
        <is>
          <t>N</t>
        </is>
      </c>
    </row>
    <row r="945">
      <c r="A945" t="inlineStr">
        <is>
          <t>LFC7116</t>
        </is>
      </c>
      <c r="B945" t="inlineStr">
        <is>
          <t>LFC7116</t>
        </is>
      </c>
      <c r="C945" t="inlineStr">
        <is>
          <t>OWODE</t>
        </is>
      </c>
      <c r="D945" t="inlineStr">
        <is>
          <t>Y</t>
        </is>
      </c>
      <c r="E945" t="inlineStr">
        <is>
          <t>Y</t>
        </is>
      </c>
      <c r="F945" t="inlineStr">
        <is>
          <t>16</t>
        </is>
      </c>
      <c r="G945" t="inlineStr">
        <is>
          <t>10, ISHAGA STR., BEHIND ISHAGA BUS STOP</t>
        </is>
      </c>
      <c r="H945" t="inlineStr">
        <is>
          <t>Existing</t>
        </is>
      </c>
      <c r="I945" t="inlineStr">
        <is>
          <t>N</t>
        </is>
      </c>
    </row>
    <row r="946">
      <c r="A946" t="inlineStr">
        <is>
          <t>LFC7117</t>
        </is>
      </c>
      <c r="B946" t="inlineStr">
        <is>
          <t>LFC7117</t>
        </is>
      </c>
      <c r="C946" t="inlineStr">
        <is>
          <t>OWODE</t>
        </is>
      </c>
      <c r="D946" t="inlineStr">
        <is>
          <t>Y</t>
        </is>
      </c>
      <c r="E946" t="inlineStr">
        <is>
          <t>Y</t>
        </is>
      </c>
      <c r="F946" t="inlineStr">
        <is>
          <t>17</t>
        </is>
      </c>
      <c r="G946" t="inlineStr">
        <is>
          <t>1, ARAROMI CLOSE, OKE-ODAN</t>
        </is>
      </c>
      <c r="H946" t="inlineStr">
        <is>
          <t>Existing</t>
        </is>
      </c>
      <c r="I946" t="inlineStr">
        <is>
          <t>N</t>
        </is>
      </c>
    </row>
    <row r="947">
      <c r="A947" t="inlineStr">
        <is>
          <t>LFC7118</t>
        </is>
      </c>
      <c r="B947" t="inlineStr">
        <is>
          <t>LFC7118</t>
        </is>
      </c>
      <c r="C947" t="inlineStr">
        <is>
          <t>OWODE</t>
        </is>
      </c>
      <c r="D947" t="inlineStr">
        <is>
          <t>Y</t>
        </is>
      </c>
      <c r="E947" t="inlineStr">
        <is>
          <t>Y</t>
        </is>
      </c>
      <c r="F947" t="inlineStr">
        <is>
          <t>18</t>
        </is>
      </c>
      <c r="G947" t="inlineStr">
        <is>
          <t>8, IFELODUN STREET OPPOSITE OLD BARRACK</t>
        </is>
      </c>
      <c r="H947" t="inlineStr">
        <is>
          <t>Existing</t>
        </is>
      </c>
      <c r="I947" t="inlineStr">
        <is>
          <t>N</t>
        </is>
      </c>
    </row>
    <row r="948">
      <c r="A948" t="inlineStr">
        <is>
          <t>LFC7119</t>
        </is>
      </c>
      <c r="B948" t="inlineStr">
        <is>
          <t>LFC7119</t>
        </is>
      </c>
      <c r="C948" t="inlineStr">
        <is>
          <t>OWODE</t>
        </is>
      </c>
      <c r="D948" t="inlineStr">
        <is>
          <t>Y</t>
        </is>
      </c>
      <c r="E948" t="inlineStr">
        <is>
          <t>Y</t>
        </is>
      </c>
      <c r="F948" t="inlineStr">
        <is>
          <t>19</t>
        </is>
      </c>
      <c r="G948" t="inlineStr">
        <is>
          <t>PETESI MEJI BUS/STOP AJILETE</t>
        </is>
      </c>
      <c r="H948" t="inlineStr">
        <is>
          <t>Existing</t>
        </is>
      </c>
      <c r="I948" t="inlineStr">
        <is>
          <t>Y</t>
        </is>
      </c>
    </row>
    <row r="949">
      <c r="A949" t="inlineStr">
        <is>
          <t>LFC7120</t>
        </is>
      </c>
      <c r="B949" t="inlineStr">
        <is>
          <t>LFC7120</t>
        </is>
      </c>
      <c r="C949" t="inlineStr">
        <is>
          <t>OWODE</t>
        </is>
      </c>
      <c r="D949" t="inlineStr">
        <is>
          <t>Y</t>
        </is>
      </c>
      <c r="E949" t="inlineStr">
        <is>
          <t>Y</t>
        </is>
      </c>
      <c r="F949" t="inlineStr">
        <is>
          <t>20</t>
        </is>
      </c>
      <c r="G949" t="inlineStr">
        <is>
          <t>BLESSED CHAPEL, ABIYO (SURU-ABERE), ADO-ODO</t>
        </is>
      </c>
      <c r="H949" t="inlineStr">
        <is>
          <t>Existing</t>
        </is>
      </c>
      <c r="I949" t="inlineStr">
        <is>
          <t>N</t>
        </is>
      </c>
    </row>
    <row r="950">
      <c r="A950" t="inlineStr">
        <is>
          <t>LFC7121</t>
        </is>
      </c>
      <c r="B950" t="inlineStr">
        <is>
          <t>LFC7121</t>
        </is>
      </c>
      <c r="C950" t="inlineStr">
        <is>
          <t>OWODE</t>
        </is>
      </c>
      <c r="D950" t="inlineStr">
        <is>
          <t>Y</t>
        </is>
      </c>
      <c r="E950" t="inlineStr">
        <is>
          <t>Y</t>
        </is>
      </c>
      <c r="F950" t="inlineStr">
        <is>
          <t>21</t>
        </is>
      </c>
      <c r="G950" t="inlineStr">
        <is>
          <t>OLABISI, IDI-OTA ADO-ODO</t>
        </is>
      </c>
      <c r="H950" t="inlineStr">
        <is>
          <t>Existing</t>
        </is>
      </c>
      <c r="I950" t="inlineStr">
        <is>
          <t>N</t>
        </is>
      </c>
    </row>
    <row r="951">
      <c r="A951" t="inlineStr">
        <is>
          <t>LFC7122</t>
        </is>
      </c>
      <c r="B951" t="inlineStr">
        <is>
          <t>LFC7122</t>
        </is>
      </c>
      <c r="C951" t="inlineStr">
        <is>
          <t>OWODE</t>
        </is>
      </c>
      <c r="D951" t="inlineStr">
        <is>
          <t>Y</t>
        </is>
      </c>
      <c r="E951" t="inlineStr">
        <is>
          <t>Y</t>
        </is>
      </c>
      <c r="F951" t="inlineStr">
        <is>
          <t>22</t>
        </is>
      </c>
      <c r="G951" t="inlineStr">
        <is>
          <t>ROYAL CHAPEL,ADODO</t>
        </is>
      </c>
      <c r="H951" t="inlineStr">
        <is>
          <t>Existing</t>
        </is>
      </c>
      <c r="I951" t="inlineStr">
        <is>
          <t>N</t>
        </is>
      </c>
    </row>
    <row r="952">
      <c r="A952" t="inlineStr">
        <is>
          <t>LFC7123</t>
        </is>
      </c>
      <c r="B952" t="inlineStr">
        <is>
          <t>LFC7123</t>
        </is>
      </c>
      <c r="C952" t="inlineStr">
        <is>
          <t>OWODE</t>
        </is>
      </c>
      <c r="D952" t="inlineStr">
        <is>
          <t>Y</t>
        </is>
      </c>
      <c r="E952" t="inlineStr">
        <is>
          <t>Y</t>
        </is>
      </c>
      <c r="F952" t="inlineStr">
        <is>
          <t>23</t>
        </is>
      </c>
      <c r="G952" t="inlineStr">
        <is>
          <t>ISALU, AD0-ODO</t>
        </is>
      </c>
      <c r="H952" t="inlineStr">
        <is>
          <t>Existing</t>
        </is>
      </c>
      <c r="I952" t="inlineStr">
        <is>
          <t>Y</t>
        </is>
      </c>
    </row>
    <row r="953">
      <c r="A953" t="inlineStr">
        <is>
          <t>LFC7124</t>
        </is>
      </c>
      <c r="B953" t="inlineStr">
        <is>
          <t>LFC7124</t>
        </is>
      </c>
      <c r="C953" t="inlineStr">
        <is>
          <t>OWODE</t>
        </is>
      </c>
      <c r="D953" t="inlineStr">
        <is>
          <t>Y</t>
        </is>
      </c>
      <c r="E953" t="inlineStr">
        <is>
          <t>Y</t>
        </is>
      </c>
      <c r="F953" t="inlineStr">
        <is>
          <t>24</t>
        </is>
      </c>
      <c r="G953" t="inlineStr">
        <is>
          <t>OLOPARUN</t>
        </is>
      </c>
      <c r="H953" t="inlineStr">
        <is>
          <t>Existing</t>
        </is>
      </c>
      <c r="I953" t="inlineStr">
        <is>
          <t>N</t>
        </is>
      </c>
    </row>
    <row r="954">
      <c r="A954" t="inlineStr">
        <is>
          <t>LFC7125</t>
        </is>
      </c>
      <c r="B954" t="inlineStr">
        <is>
          <t>LFC7125</t>
        </is>
      </c>
      <c r="C954" t="inlineStr">
        <is>
          <t>OWODE</t>
        </is>
      </c>
      <c r="D954" t="inlineStr">
        <is>
          <t>Y</t>
        </is>
      </c>
      <c r="E954" t="inlineStr">
        <is>
          <t>Y</t>
        </is>
      </c>
      <c r="F954" t="inlineStr">
        <is>
          <t>25</t>
        </is>
      </c>
      <c r="G954" t="inlineStr">
        <is>
          <t>OGUNBOWALE'S HOUSE POWERLINE,OWODE</t>
        </is>
      </c>
      <c r="H954" t="inlineStr">
        <is>
          <t>Existing</t>
        </is>
      </c>
      <c r="I954" t="inlineStr">
        <is>
          <t>N</t>
        </is>
      </c>
    </row>
    <row r="955">
      <c r="A955" t="inlineStr">
        <is>
          <t>LFC7126</t>
        </is>
      </c>
      <c r="B955" t="inlineStr">
        <is>
          <t>LFC7126</t>
        </is>
      </c>
      <c r="C955" t="inlineStr">
        <is>
          <t>OWODE</t>
        </is>
      </c>
      <c r="D955" t="inlineStr">
        <is>
          <t>Y</t>
        </is>
      </c>
      <c r="E955" t="inlineStr">
        <is>
          <t>Y</t>
        </is>
      </c>
      <c r="F955" t="inlineStr">
        <is>
          <t>26</t>
        </is>
      </c>
      <c r="G955" t="inlineStr">
        <is>
          <t>GOODNESS &amp; MERCY LAKATABU</t>
        </is>
      </c>
      <c r="H955" t="inlineStr">
        <is>
          <t>Existing</t>
        </is>
      </c>
      <c r="I955" t="inlineStr">
        <is>
          <t>N</t>
        </is>
      </c>
    </row>
    <row r="956">
      <c r="A956" t="inlineStr">
        <is>
          <t>LFC7127</t>
        </is>
      </c>
      <c r="B956" t="inlineStr">
        <is>
          <t>LFC7127</t>
        </is>
      </c>
      <c r="C956" t="inlineStr">
        <is>
          <t>OWODE</t>
        </is>
      </c>
      <c r="D956" t="inlineStr">
        <is>
          <t>Y</t>
        </is>
      </c>
      <c r="E956" t="inlineStr">
        <is>
          <t>Y</t>
        </is>
      </c>
      <c r="F956" t="inlineStr">
        <is>
          <t>27</t>
        </is>
      </c>
      <c r="G956" t="inlineStr">
        <is>
          <t>KAJOLA VILLAGE</t>
        </is>
      </c>
      <c r="H956" t="inlineStr">
        <is>
          <t>Existing</t>
        </is>
      </c>
      <c r="I956" t="inlineStr">
        <is>
          <t>Y</t>
        </is>
      </c>
    </row>
    <row r="957">
      <c r="A957" t="inlineStr">
        <is>
          <t>LFC7128</t>
        </is>
      </c>
      <c r="B957" t="inlineStr">
        <is>
          <t>LFC7128</t>
        </is>
      </c>
      <c r="C957" t="inlineStr">
        <is>
          <t>OWODE</t>
        </is>
      </c>
      <c r="D957" t="inlineStr">
        <is>
          <t>N</t>
        </is>
      </c>
      <c r="E957" t="inlineStr">
        <is>
          <t>Y</t>
        </is>
      </c>
      <c r="F957" t="inlineStr">
        <is>
          <t>28</t>
        </is>
      </c>
      <c r="G957" t="inlineStr">
        <is>
          <t>BEHIND TARGET FILLING STATION, ALAGBON, OWODE</t>
        </is>
      </c>
      <c r="H957" t="inlineStr">
        <is>
          <t>Existing</t>
        </is>
      </c>
      <c r="I957" t="inlineStr">
        <is>
          <t>N</t>
        </is>
      </c>
    </row>
    <row r="958">
      <c r="A958" t="inlineStr">
        <is>
          <t>LFC7129</t>
        </is>
      </c>
      <c r="B958" t="inlineStr">
        <is>
          <t>LFC7129</t>
        </is>
      </c>
      <c r="C958" t="inlineStr">
        <is>
          <t>OWODE</t>
        </is>
      </c>
      <c r="D958" t="inlineStr">
        <is>
          <t>N</t>
        </is>
      </c>
      <c r="E958" t="inlineStr">
        <is>
          <t>Y</t>
        </is>
      </c>
      <c r="F958" t="inlineStr">
        <is>
          <t>29</t>
        </is>
      </c>
      <c r="G958" t="inlineStr">
        <is>
          <t>AGBEYANGI VILLAGE</t>
        </is>
      </c>
      <c r="H958" t="inlineStr">
        <is>
          <t>Existing</t>
        </is>
      </c>
      <c r="I958" t="inlineStr">
        <is>
          <t>N</t>
        </is>
      </c>
    </row>
    <row r="959">
      <c r="A959" t="inlineStr">
        <is>
          <t>LFC7130</t>
        </is>
      </c>
      <c r="B959" t="inlineStr">
        <is>
          <t>LFC7130</t>
        </is>
      </c>
      <c r="C959" t="inlineStr">
        <is>
          <t>OWODE</t>
        </is>
      </c>
      <c r="D959" t="inlineStr">
        <is>
          <t>Y</t>
        </is>
      </c>
      <c r="E959" t="inlineStr">
        <is>
          <t>Y</t>
        </is>
      </c>
      <c r="F959" t="inlineStr">
        <is>
          <t>30</t>
        </is>
      </c>
      <c r="G959" t="inlineStr">
        <is>
          <t>127 LAGOS/IDIROKO ROAD, OWODE</t>
        </is>
      </c>
      <c r="H959" t="inlineStr">
        <is>
          <t>Existing</t>
        </is>
      </c>
      <c r="I959" t="inlineStr">
        <is>
          <t>N</t>
        </is>
      </c>
    </row>
    <row r="960">
      <c r="A960" t="inlineStr">
        <is>
          <t>LFC7131</t>
        </is>
      </c>
      <c r="B960" t="inlineStr">
        <is>
          <t>LFC7131</t>
        </is>
      </c>
      <c r="C960" t="inlineStr">
        <is>
          <t>OWODE</t>
        </is>
      </c>
      <c r="D960" t="inlineStr">
        <is>
          <t>N</t>
        </is>
      </c>
      <c r="E960" t="inlineStr">
        <is>
          <t>Y</t>
        </is>
      </c>
      <c r="F960" t="inlineStr">
        <is>
          <t>31</t>
        </is>
      </c>
      <c r="G960" t="inlineStr">
        <is>
          <t>AGO BABA VILLAGE</t>
        </is>
      </c>
      <c r="H960" t="inlineStr">
        <is>
          <t>Existing</t>
        </is>
      </c>
      <c r="I960" t="inlineStr">
        <is>
          <t>N</t>
        </is>
      </c>
    </row>
    <row r="961">
      <c r="A961" t="inlineStr">
        <is>
          <t>LFC7132</t>
        </is>
      </c>
      <c r="B961" t="inlineStr">
        <is>
          <t>LFC7132</t>
        </is>
      </c>
      <c r="C961" t="inlineStr">
        <is>
          <t>OWODE</t>
        </is>
      </c>
      <c r="D961" t="inlineStr">
        <is>
          <t>N</t>
        </is>
      </c>
      <c r="E961" t="inlineStr">
        <is>
          <t>Y</t>
        </is>
      </c>
      <c r="F961" t="inlineStr">
        <is>
          <t>32</t>
        </is>
      </c>
      <c r="G961" t="inlineStr">
        <is>
          <t>PENPE POWERLINE AREA, OWODE</t>
        </is>
      </c>
      <c r="H961" t="inlineStr">
        <is>
          <t>Existing</t>
        </is>
      </c>
      <c r="I961" t="inlineStr">
        <is>
          <t>N</t>
        </is>
      </c>
    </row>
    <row r="962">
      <c r="A962" t="inlineStr">
        <is>
          <t>LFC7133</t>
        </is>
      </c>
      <c r="B962" t="inlineStr">
        <is>
          <t>LFC7133</t>
        </is>
      </c>
      <c r="C962" t="inlineStr">
        <is>
          <t>OWODE</t>
        </is>
      </c>
      <c r="D962" t="inlineStr">
        <is>
          <t>N</t>
        </is>
      </c>
      <c r="E962" t="inlineStr">
        <is>
          <t>Y</t>
        </is>
      </c>
      <c r="F962" t="inlineStr">
        <is>
          <t>33</t>
        </is>
      </c>
      <c r="G962" t="inlineStr">
        <is>
          <t>OGUN-OSUN AREA, OKE-ODAN, OWODE</t>
        </is>
      </c>
      <c r="H962" t="inlineStr">
        <is>
          <t>Existing</t>
        </is>
      </c>
      <c r="I962" t="inlineStr">
        <is>
          <t>N</t>
        </is>
      </c>
    </row>
    <row r="963">
      <c r="A963" t="inlineStr">
        <is>
          <t>LFC7134</t>
        </is>
      </c>
      <c r="B963" t="inlineStr">
        <is>
          <t>LFC7134</t>
        </is>
      </c>
      <c r="C963" t="inlineStr">
        <is>
          <t>OWODE</t>
        </is>
      </c>
      <c r="D963" t="inlineStr">
        <is>
          <t>N</t>
        </is>
      </c>
      <c r="E963" t="inlineStr">
        <is>
          <t>Y</t>
        </is>
      </c>
      <c r="F963" t="inlineStr">
        <is>
          <t>34</t>
        </is>
      </c>
      <c r="G963" t="inlineStr">
        <is>
          <t>AGBEDI ONSE</t>
        </is>
      </c>
      <c r="H963" t="inlineStr">
        <is>
          <t>Existing</t>
        </is>
      </c>
      <c r="I963" t="inlineStr">
        <is>
          <t>N</t>
        </is>
      </c>
    </row>
    <row r="964">
      <c r="A964" t="inlineStr">
        <is>
          <t>LFC7135</t>
        </is>
      </c>
      <c r="B964" t="inlineStr">
        <is>
          <t>LFC7135</t>
        </is>
      </c>
      <c r="C964" t="inlineStr">
        <is>
          <t>OWODE</t>
        </is>
      </c>
      <c r="D964" t="inlineStr">
        <is>
          <t>N</t>
        </is>
      </c>
      <c r="E964" t="inlineStr">
        <is>
          <t>Y</t>
        </is>
      </c>
      <c r="F964" t="inlineStr">
        <is>
          <t>35</t>
        </is>
      </c>
      <c r="G964" t="inlineStr">
        <is>
          <t>WINNERS STREET OKE AYETORO KAJOLA</t>
        </is>
      </c>
      <c r="H964" t="inlineStr">
        <is>
          <t>Existing</t>
        </is>
      </c>
      <c r="I964" t="inlineStr">
        <is>
          <t>N</t>
        </is>
      </c>
    </row>
    <row r="965">
      <c r="A965" t="inlineStr">
        <is>
          <t>LFC7136</t>
        </is>
      </c>
      <c r="B965" t="inlineStr">
        <is>
          <t>LFC7136</t>
        </is>
      </c>
      <c r="C965" t="inlineStr">
        <is>
          <t>OWODE</t>
        </is>
      </c>
      <c r="D965" t="inlineStr">
        <is>
          <t>N</t>
        </is>
      </c>
      <c r="E965" t="inlineStr">
        <is>
          <t>Y</t>
        </is>
      </c>
      <c r="F965" t="inlineStr">
        <is>
          <t>36</t>
        </is>
      </c>
      <c r="G965" t="inlineStr">
        <is>
          <t>5 ILARO EXPRESS ROAD OKE-ERINJA</t>
        </is>
      </c>
      <c r="H965" t="inlineStr">
        <is>
          <t>Existing</t>
        </is>
      </c>
      <c r="I965" t="inlineStr">
        <is>
          <t>N</t>
        </is>
      </c>
    </row>
    <row r="966">
      <c r="A966" t="inlineStr">
        <is>
          <t>LFC7137</t>
        </is>
      </c>
      <c r="B966" t="inlineStr">
        <is>
          <t>LFC7137</t>
        </is>
      </c>
      <c r="C966" t="inlineStr">
        <is>
          <t>OWODE</t>
        </is>
      </c>
      <c r="D966" t="inlineStr"/>
      <c r="E966" t="inlineStr">
        <is>
          <t>Y</t>
        </is>
      </c>
      <c r="F966" t="inlineStr">
        <is>
          <t>37</t>
        </is>
      </c>
      <c r="G966" t="inlineStr">
        <is>
          <t>DIVINE GRACE, OTUNBA</t>
        </is>
      </c>
      <c r="H966" t="inlineStr">
        <is>
          <t>New (proposed)</t>
        </is>
      </c>
      <c r="I966" t="inlineStr"/>
    </row>
    <row r="967">
      <c r="A967" t="inlineStr">
        <is>
          <t>LFC7138</t>
        </is>
      </c>
      <c r="B967" t="inlineStr">
        <is>
          <t>LFC7138</t>
        </is>
      </c>
      <c r="C967" t="inlineStr">
        <is>
          <t>OWODE</t>
        </is>
      </c>
      <c r="D967" t="inlineStr"/>
      <c r="E967" t="inlineStr">
        <is>
          <t>Y</t>
        </is>
      </c>
      <c r="F967" t="inlineStr">
        <is>
          <t>38</t>
        </is>
      </c>
      <c r="G967" t="inlineStr">
        <is>
          <t>OKE IBEKU POULTRY ROAD AJILETE</t>
        </is>
      </c>
      <c r="H967" t="inlineStr">
        <is>
          <t>New (proposed)</t>
        </is>
      </c>
      <c r="I967" t="inlineStr"/>
    </row>
    <row r="968">
      <c r="A968" t="inlineStr">
        <is>
          <t>LFC7139</t>
        </is>
      </c>
      <c r="B968" t="inlineStr">
        <is>
          <t>LFC7139</t>
        </is>
      </c>
      <c r="C968" t="inlineStr">
        <is>
          <t>OWODE</t>
        </is>
      </c>
      <c r="D968" t="inlineStr">
        <is>
          <t>N</t>
        </is>
      </c>
      <c r="E968" t="inlineStr">
        <is>
          <t>Y</t>
        </is>
      </c>
      <c r="F968" t="inlineStr">
        <is>
          <t>39</t>
        </is>
      </c>
      <c r="G968" t="inlineStr">
        <is>
          <t>BEHINDE FATHER HOSPITAL, ATAPA VILLAGE</t>
        </is>
      </c>
      <c r="H968" t="inlineStr">
        <is>
          <t>New (proposed)</t>
        </is>
      </c>
      <c r="I968" t="inlineStr">
        <is>
          <t>N</t>
        </is>
      </c>
    </row>
    <row r="969">
      <c r="A969" t="inlineStr">
        <is>
          <t>LFC7140</t>
        </is>
      </c>
      <c r="B969" t="inlineStr">
        <is>
          <t>LFC7140</t>
        </is>
      </c>
      <c r="C969" t="inlineStr">
        <is>
          <t>OWODE</t>
        </is>
      </c>
      <c r="D969" t="inlineStr">
        <is>
          <t>N</t>
        </is>
      </c>
      <c r="E969" t="inlineStr">
        <is>
          <t>Y</t>
        </is>
      </c>
      <c r="F969" t="inlineStr">
        <is>
          <t>40</t>
        </is>
      </c>
      <c r="G969" t="inlineStr">
        <is>
          <t>OLUKADE AREA, POWERLINE</t>
        </is>
      </c>
      <c r="H969" t="inlineStr">
        <is>
          <t>New (proposed)</t>
        </is>
      </c>
      <c r="I969" t="inlineStr">
        <is>
          <t>N</t>
        </is>
      </c>
    </row>
    <row r="970">
      <c r="A970" t="inlineStr">
        <is>
          <t>LFC7141</t>
        </is>
      </c>
      <c r="B970" t="inlineStr">
        <is>
          <t>LFC7141</t>
        </is>
      </c>
      <c r="C970" t="inlineStr">
        <is>
          <t>OWODE</t>
        </is>
      </c>
      <c r="D970" t="inlineStr"/>
      <c r="E970" t="inlineStr">
        <is>
          <t>Y</t>
        </is>
      </c>
      <c r="F970" t="inlineStr">
        <is>
          <t>41</t>
        </is>
      </c>
      <c r="G970" t="inlineStr">
        <is>
          <t>DABOGI OFF ILARO ROAD</t>
        </is>
      </c>
      <c r="H970" t="inlineStr">
        <is>
          <t>New (proposed)</t>
        </is>
      </c>
      <c r="I970" t="inlineStr"/>
    </row>
    <row r="971">
      <c r="A971" t="inlineStr">
        <is>
          <t>LFC7142</t>
        </is>
      </c>
      <c r="B971" t="inlineStr">
        <is>
          <t>LFC7142</t>
        </is>
      </c>
      <c r="C971" t="inlineStr">
        <is>
          <t>OWODE</t>
        </is>
      </c>
      <c r="D971" t="inlineStr"/>
      <c r="E971" t="inlineStr">
        <is>
          <t>Y</t>
        </is>
      </c>
      <c r="F971" t="inlineStr">
        <is>
          <t>42</t>
        </is>
      </c>
      <c r="G971" t="inlineStr">
        <is>
          <t>ARUBIELU VILLAGE</t>
        </is>
      </c>
      <c r="H971" t="inlineStr">
        <is>
          <t>New (proposed)</t>
        </is>
      </c>
      <c r="I971" t="inlineStr"/>
    </row>
    <row r="972">
      <c r="A972" t="inlineStr">
        <is>
          <t>LFC7201</t>
        </is>
      </c>
      <c r="B972" t="inlineStr">
        <is>
          <t>LFC7201</t>
        </is>
      </c>
      <c r="C972" t="inlineStr">
        <is>
          <t>SANGO OTA</t>
        </is>
      </c>
      <c r="D972" t="inlineStr">
        <is>
          <t>Y</t>
        </is>
      </c>
      <c r="E972" t="inlineStr">
        <is>
          <t>Y</t>
        </is>
      </c>
      <c r="F972" t="inlineStr">
        <is>
          <t>1</t>
        </is>
      </c>
      <c r="G972" t="inlineStr">
        <is>
          <t>151, LAGOS / ABEOKUTA EXPRESS ROAD, SANGO OTA</t>
        </is>
      </c>
      <c r="H972" t="inlineStr">
        <is>
          <t>Existing</t>
        </is>
      </c>
      <c r="I972" t="inlineStr">
        <is>
          <t>N</t>
        </is>
      </c>
    </row>
    <row r="973">
      <c r="A973" t="inlineStr">
        <is>
          <t>LFC7202</t>
        </is>
      </c>
      <c r="B973" t="inlineStr">
        <is>
          <t>LFC7202</t>
        </is>
      </c>
      <c r="C973" t="inlineStr">
        <is>
          <t>SANGO OTA</t>
        </is>
      </c>
      <c r="D973" t="inlineStr">
        <is>
          <t>Y</t>
        </is>
      </c>
      <c r="E973" t="inlineStr">
        <is>
          <t>Y</t>
        </is>
      </c>
      <c r="F973" t="inlineStr">
        <is>
          <t>2</t>
        </is>
      </c>
      <c r="G973" t="inlineStr">
        <is>
          <t>9,FEHINTOLA CLOSE, OFF AKHIDENOR STREET</t>
        </is>
      </c>
      <c r="H973" t="inlineStr">
        <is>
          <t>Existing</t>
        </is>
      </c>
      <c r="I973" t="inlineStr">
        <is>
          <t>N</t>
        </is>
      </c>
    </row>
    <row r="974">
      <c r="A974" t="inlineStr">
        <is>
          <t>LFC7203</t>
        </is>
      </c>
      <c r="B974" t="inlineStr">
        <is>
          <t>LFC7203</t>
        </is>
      </c>
      <c r="C974" t="inlineStr">
        <is>
          <t>SANGO OTA</t>
        </is>
      </c>
      <c r="D974" t="inlineStr">
        <is>
          <t>Y</t>
        </is>
      </c>
      <c r="E974" t="inlineStr">
        <is>
          <t>Y</t>
        </is>
      </c>
      <c r="F974" t="inlineStr">
        <is>
          <t>3</t>
        </is>
      </c>
      <c r="G974" t="inlineStr">
        <is>
          <t>16,UINTY CRESCENT EWUPE</t>
        </is>
      </c>
      <c r="H974" t="inlineStr">
        <is>
          <t>Existing</t>
        </is>
      </c>
      <c r="I974" t="inlineStr">
        <is>
          <t>N</t>
        </is>
      </c>
    </row>
    <row r="975">
      <c r="A975" t="inlineStr">
        <is>
          <t>LFC7204</t>
        </is>
      </c>
      <c r="B975" t="inlineStr">
        <is>
          <t>LFC7204</t>
        </is>
      </c>
      <c r="C975" t="inlineStr">
        <is>
          <t>SANGO OTA</t>
        </is>
      </c>
      <c r="D975" t="inlineStr">
        <is>
          <t>Y</t>
        </is>
      </c>
      <c r="E975" t="inlineStr">
        <is>
          <t>Y</t>
        </is>
      </c>
      <c r="F975" t="inlineStr">
        <is>
          <t>4</t>
        </is>
      </c>
      <c r="G975" t="inlineStr">
        <is>
          <t>27,ADEWALE ALABI CRESCENT,OFF WOODMILL</t>
        </is>
      </c>
      <c r="H975" t="inlineStr">
        <is>
          <t>Existing</t>
        </is>
      </c>
      <c r="I975" t="inlineStr">
        <is>
          <t>N</t>
        </is>
      </c>
    </row>
    <row r="976">
      <c r="A976" t="inlineStr">
        <is>
          <t>LFC7205</t>
        </is>
      </c>
      <c r="B976" t="inlineStr">
        <is>
          <t>LFC7205</t>
        </is>
      </c>
      <c r="C976" t="inlineStr">
        <is>
          <t>SANGO OTA</t>
        </is>
      </c>
      <c r="D976" t="inlineStr">
        <is>
          <t>N</t>
        </is>
      </c>
      <c r="E976" t="inlineStr">
        <is>
          <t>Y</t>
        </is>
      </c>
      <c r="F976" t="inlineStr">
        <is>
          <t>5</t>
        </is>
      </c>
      <c r="G976" t="inlineStr">
        <is>
          <t>NO 4, OLUSEGUN AVENUE</t>
        </is>
      </c>
      <c r="H976" t="inlineStr">
        <is>
          <t>Existing</t>
        </is>
      </c>
      <c r="I976" t="inlineStr">
        <is>
          <t>N</t>
        </is>
      </c>
    </row>
    <row r="977">
      <c r="A977" t="inlineStr">
        <is>
          <t>LFC7206</t>
        </is>
      </c>
      <c r="B977" t="inlineStr">
        <is>
          <t>LFC7206</t>
        </is>
      </c>
      <c r="C977" t="inlineStr">
        <is>
          <t>SANGO OTA</t>
        </is>
      </c>
      <c r="D977" t="inlineStr">
        <is>
          <t>Y</t>
        </is>
      </c>
      <c r="E977" t="inlineStr">
        <is>
          <t>Y</t>
        </is>
      </c>
      <c r="F977" t="inlineStr">
        <is>
          <t>6</t>
        </is>
      </c>
      <c r="G977" t="inlineStr">
        <is>
          <t>20 VEPEE AVENUE,SANGO-OTA</t>
        </is>
      </c>
      <c r="H977" t="inlineStr">
        <is>
          <t>Existing</t>
        </is>
      </c>
      <c r="I977" t="inlineStr">
        <is>
          <t>N</t>
        </is>
      </c>
    </row>
    <row r="978">
      <c r="A978" t="inlineStr">
        <is>
          <t>LFC7207</t>
        </is>
      </c>
      <c r="B978" t="inlineStr">
        <is>
          <t>LFC7207</t>
        </is>
      </c>
      <c r="C978" t="inlineStr">
        <is>
          <t>SANGO OTA</t>
        </is>
      </c>
      <c r="D978" t="inlineStr">
        <is>
          <t>Y</t>
        </is>
      </c>
      <c r="E978" t="inlineStr">
        <is>
          <t>Y</t>
        </is>
      </c>
      <c r="F978" t="inlineStr">
        <is>
          <t>7</t>
        </is>
      </c>
      <c r="G978" t="inlineStr">
        <is>
          <t>6,OGUNDIPE STREET GRA ,OTA</t>
        </is>
      </c>
      <c r="H978" t="inlineStr">
        <is>
          <t>Existing</t>
        </is>
      </c>
      <c r="I978" t="inlineStr">
        <is>
          <t>N</t>
        </is>
      </c>
    </row>
    <row r="979">
      <c r="A979" t="inlineStr">
        <is>
          <t>LFC7208</t>
        </is>
      </c>
      <c r="B979" t="inlineStr">
        <is>
          <t>LFC7208</t>
        </is>
      </c>
      <c r="C979" t="inlineStr">
        <is>
          <t>SANGO OTA</t>
        </is>
      </c>
      <c r="D979" t="inlineStr">
        <is>
          <t>Y</t>
        </is>
      </c>
      <c r="E979" t="inlineStr">
        <is>
          <t>Y</t>
        </is>
      </c>
      <c r="F979" t="inlineStr">
        <is>
          <t>8</t>
        </is>
      </c>
      <c r="G979" t="inlineStr">
        <is>
          <t>66, OLUJIMI FASHOLA ST. OTA</t>
        </is>
      </c>
      <c r="H979" t="inlineStr">
        <is>
          <t>Existing</t>
        </is>
      </c>
      <c r="I979" t="inlineStr">
        <is>
          <t>N</t>
        </is>
      </c>
    </row>
    <row r="980">
      <c r="A980" t="inlineStr">
        <is>
          <t>LFC7209</t>
        </is>
      </c>
      <c r="B980" t="inlineStr">
        <is>
          <t>LFC7209</t>
        </is>
      </c>
      <c r="C980" t="inlineStr">
        <is>
          <t>SANGO OTA</t>
        </is>
      </c>
      <c r="D980" t="inlineStr">
        <is>
          <t>Y</t>
        </is>
      </c>
      <c r="E980" t="inlineStr">
        <is>
          <t>Y</t>
        </is>
      </c>
      <c r="F980" t="inlineStr">
        <is>
          <t>9</t>
        </is>
      </c>
      <c r="G980" t="inlineStr">
        <is>
          <t>12, OLUWASEUN STREET, BEHIND GARAUGE SANGO,</t>
        </is>
      </c>
      <c r="H980" t="inlineStr">
        <is>
          <t>Existing</t>
        </is>
      </c>
      <c r="I980" t="inlineStr">
        <is>
          <t>N</t>
        </is>
      </c>
    </row>
    <row r="981">
      <c r="A981" t="inlineStr">
        <is>
          <t>LFC7210</t>
        </is>
      </c>
      <c r="B981" t="inlineStr">
        <is>
          <t>LFC7210</t>
        </is>
      </c>
      <c r="C981" t="inlineStr">
        <is>
          <t>SANGO OTA</t>
        </is>
      </c>
      <c r="D981" t="inlineStr">
        <is>
          <t>Y</t>
        </is>
      </c>
      <c r="E981" t="inlineStr">
        <is>
          <t>Y</t>
        </is>
      </c>
      <c r="F981" t="inlineStr">
        <is>
          <t>10</t>
        </is>
      </c>
      <c r="G981" t="inlineStr">
        <is>
          <t>18, YEMITAN STREET, BEHIND WEMA BANK SANGO OTA</t>
        </is>
      </c>
      <c r="H981" t="inlineStr">
        <is>
          <t>Existing</t>
        </is>
      </c>
      <c r="I981" t="inlineStr">
        <is>
          <t>N</t>
        </is>
      </c>
    </row>
    <row r="982">
      <c r="A982" t="inlineStr">
        <is>
          <t>LFC7211</t>
        </is>
      </c>
      <c r="B982" t="inlineStr">
        <is>
          <t>LFC7211</t>
        </is>
      </c>
      <c r="C982" t="inlineStr">
        <is>
          <t>SANGO OTA</t>
        </is>
      </c>
      <c r="D982" t="inlineStr">
        <is>
          <t>Y</t>
        </is>
      </c>
      <c r="E982" t="inlineStr">
        <is>
          <t>Y</t>
        </is>
      </c>
      <c r="F982" t="inlineStr">
        <is>
          <t>11</t>
        </is>
      </c>
      <c r="G982" t="inlineStr">
        <is>
          <t>1, DELE OYELOLA STREET, ILO</t>
        </is>
      </c>
      <c r="H982" t="inlineStr">
        <is>
          <t>Existing</t>
        </is>
      </c>
      <c r="I982" t="inlineStr">
        <is>
          <t>N</t>
        </is>
      </c>
    </row>
    <row r="983">
      <c r="A983" t="inlineStr">
        <is>
          <t>LFC7212</t>
        </is>
      </c>
      <c r="B983" t="inlineStr">
        <is>
          <t>LFC7212</t>
        </is>
      </c>
      <c r="C983" t="inlineStr">
        <is>
          <t>SANGO OTA</t>
        </is>
      </c>
      <c r="D983" t="inlineStr">
        <is>
          <t>N</t>
        </is>
      </c>
      <c r="E983" t="inlineStr">
        <is>
          <t>Y</t>
        </is>
      </c>
      <c r="F983" t="inlineStr">
        <is>
          <t>12</t>
        </is>
      </c>
      <c r="G983" t="inlineStr">
        <is>
          <t>7. SHOWOLE STREET SINGER, EWUPE</t>
        </is>
      </c>
      <c r="H983" t="inlineStr">
        <is>
          <t>Existing</t>
        </is>
      </c>
      <c r="I983" t="inlineStr">
        <is>
          <t>N</t>
        </is>
      </c>
    </row>
    <row r="984">
      <c r="A984" t="inlineStr">
        <is>
          <t>LFC7213</t>
        </is>
      </c>
      <c r="B984" t="inlineStr">
        <is>
          <t>LFC7213</t>
        </is>
      </c>
      <c r="C984" t="inlineStr">
        <is>
          <t>SANGO OTA</t>
        </is>
      </c>
      <c r="D984" t="inlineStr">
        <is>
          <t>N</t>
        </is>
      </c>
      <c r="E984" t="inlineStr">
        <is>
          <t>Y</t>
        </is>
      </c>
      <c r="F984" t="inlineStr">
        <is>
          <t>13</t>
        </is>
      </c>
      <c r="G984" t="inlineStr">
        <is>
          <t>5,HENRY ORE STREET, ISOROSI</t>
        </is>
      </c>
      <c r="H984" t="inlineStr">
        <is>
          <t>Existing</t>
        </is>
      </c>
      <c r="I984" t="inlineStr">
        <is>
          <t>N</t>
        </is>
      </c>
    </row>
    <row r="985">
      <c r="A985" t="inlineStr">
        <is>
          <t>LFC7214</t>
        </is>
      </c>
      <c r="B985" t="inlineStr">
        <is>
          <t>LFC7214</t>
        </is>
      </c>
      <c r="C985" t="inlineStr">
        <is>
          <t>SANGO OTA</t>
        </is>
      </c>
      <c r="D985" t="inlineStr">
        <is>
          <t>N</t>
        </is>
      </c>
      <c r="E985" t="inlineStr">
        <is>
          <t>Y</t>
        </is>
      </c>
      <c r="F985" t="inlineStr">
        <is>
          <t>14</t>
        </is>
      </c>
      <c r="G985" t="inlineStr">
        <is>
          <t>12 REGINA ETUK LANE, UNITY ESTATE, 10 ACRES</t>
        </is>
      </c>
      <c r="H985" t="inlineStr">
        <is>
          <t>New (proposed)</t>
        </is>
      </c>
      <c r="I985" t="inlineStr">
        <is>
          <t>N</t>
        </is>
      </c>
    </row>
    <row r="986">
      <c r="A986" t="inlineStr">
        <is>
          <t>LFC7215</t>
        </is>
      </c>
      <c r="B986" t="inlineStr">
        <is>
          <t>LFC7215</t>
        </is>
      </c>
      <c r="C986" t="inlineStr">
        <is>
          <t>SANGO OTA</t>
        </is>
      </c>
      <c r="D986" t="inlineStr">
        <is>
          <t>N</t>
        </is>
      </c>
      <c r="E986" t="inlineStr">
        <is>
          <t>Y</t>
        </is>
      </c>
      <c r="F986" t="inlineStr">
        <is>
          <t>15</t>
        </is>
      </c>
      <c r="G986" t="inlineStr">
        <is>
          <t>17 UNITY STREET MARVELOUS ESTATE,EWUPE</t>
        </is>
      </c>
      <c r="H986" t="inlineStr">
        <is>
          <t>New (proposed)</t>
        </is>
      </c>
      <c r="I986" t="inlineStr">
        <is>
          <t>N</t>
        </is>
      </c>
    </row>
    <row r="987">
      <c r="A987" t="inlineStr">
        <is>
          <t>LFC7301</t>
        </is>
      </c>
      <c r="B987" t="inlineStr">
        <is>
          <t>LFC7301</t>
        </is>
      </c>
      <c r="C987" t="inlineStr">
        <is>
          <t>ABEBI OTA</t>
        </is>
      </c>
      <c r="D987" t="inlineStr">
        <is>
          <t>Y</t>
        </is>
      </c>
      <c r="E987" t="inlineStr">
        <is>
          <t>Y</t>
        </is>
      </c>
      <c r="F987" t="inlineStr">
        <is>
          <t>1</t>
        </is>
      </c>
      <c r="G987" t="inlineStr">
        <is>
          <t>10/12 OSINTELU ST, OFF ANGLICAN ROAD, ABEBI, OTA</t>
        </is>
      </c>
      <c r="H987" t="inlineStr">
        <is>
          <t>Existing</t>
        </is>
      </c>
      <c r="I987" t="inlineStr">
        <is>
          <t>N</t>
        </is>
      </c>
    </row>
    <row r="988">
      <c r="A988" t="inlineStr">
        <is>
          <t>LFC7302</t>
        </is>
      </c>
      <c r="B988" t="inlineStr">
        <is>
          <t>LFC7302</t>
        </is>
      </c>
      <c r="C988" t="inlineStr">
        <is>
          <t>ABEBI OTA</t>
        </is>
      </c>
      <c r="D988" t="inlineStr">
        <is>
          <t>Y</t>
        </is>
      </c>
      <c r="E988" t="inlineStr">
        <is>
          <t>Y</t>
        </is>
      </c>
      <c r="F988" t="inlineStr">
        <is>
          <t>2</t>
        </is>
      </c>
      <c r="G988" t="inlineStr">
        <is>
          <t>10 WAHAB BUSARI STREET, OTA</t>
        </is>
      </c>
      <c r="H988" t="inlineStr">
        <is>
          <t>Existing</t>
        </is>
      </c>
      <c r="I988" t="inlineStr">
        <is>
          <t>N</t>
        </is>
      </c>
    </row>
    <row r="989">
      <c r="A989" t="inlineStr">
        <is>
          <t>LFC7303</t>
        </is>
      </c>
      <c r="B989" t="inlineStr">
        <is>
          <t>LFC7303</t>
        </is>
      </c>
      <c r="C989" t="inlineStr">
        <is>
          <t>ABEBI OTA</t>
        </is>
      </c>
      <c r="D989" t="inlineStr">
        <is>
          <t>Y</t>
        </is>
      </c>
      <c r="E989" t="inlineStr">
        <is>
          <t>Y</t>
        </is>
      </c>
      <c r="F989" t="inlineStr">
        <is>
          <t>3</t>
        </is>
      </c>
      <c r="G989" t="inlineStr">
        <is>
          <t>102, ILO-IFAKO ROAD OTA</t>
        </is>
      </c>
      <c r="H989" t="inlineStr">
        <is>
          <t>Existing</t>
        </is>
      </c>
      <c r="I989" t="inlineStr">
        <is>
          <t>N</t>
        </is>
      </c>
    </row>
    <row r="990">
      <c r="A990" t="inlineStr">
        <is>
          <t>LFC7304</t>
        </is>
      </c>
      <c r="B990" t="inlineStr">
        <is>
          <t>LFC7304</t>
        </is>
      </c>
      <c r="C990" t="inlineStr">
        <is>
          <t>ABEBI OTA</t>
        </is>
      </c>
      <c r="D990" t="inlineStr">
        <is>
          <t>Y</t>
        </is>
      </c>
      <c r="E990" t="inlineStr">
        <is>
          <t>Y</t>
        </is>
      </c>
      <c r="F990" t="inlineStr">
        <is>
          <t>4</t>
        </is>
      </c>
      <c r="G990" t="inlineStr">
        <is>
          <t>19 OWO-OLA STREET ABEBI, OTA.</t>
        </is>
      </c>
      <c r="H990" t="inlineStr">
        <is>
          <t>Existing</t>
        </is>
      </c>
      <c r="I990" t="inlineStr">
        <is>
          <t>N</t>
        </is>
      </c>
    </row>
    <row r="991">
      <c r="A991" t="inlineStr">
        <is>
          <t>LFC7305</t>
        </is>
      </c>
      <c r="B991" t="inlineStr">
        <is>
          <t>LFC7305</t>
        </is>
      </c>
      <c r="C991" t="inlineStr">
        <is>
          <t>ABEBI OTA</t>
        </is>
      </c>
      <c r="D991" t="inlineStr">
        <is>
          <t>N</t>
        </is>
      </c>
      <c r="E991" t="inlineStr">
        <is>
          <t>Y</t>
        </is>
      </c>
      <c r="F991" t="inlineStr">
        <is>
          <t>5</t>
        </is>
      </c>
      <c r="G991" t="inlineStr">
        <is>
          <t>17,COMMUINTY AVENUE,ILO-IFAKO</t>
        </is>
      </c>
      <c r="H991" t="inlineStr">
        <is>
          <t>Existing</t>
        </is>
      </c>
      <c r="I991" t="inlineStr">
        <is>
          <t>N</t>
        </is>
      </c>
    </row>
    <row r="992">
      <c r="A992" t="inlineStr">
        <is>
          <t>LFC7306</t>
        </is>
      </c>
      <c r="B992" t="inlineStr">
        <is>
          <t>LFC7306</t>
        </is>
      </c>
      <c r="C992" t="inlineStr">
        <is>
          <t>ABEBI OTA</t>
        </is>
      </c>
      <c r="D992" t="inlineStr">
        <is>
          <t>N</t>
        </is>
      </c>
      <c r="E992" t="inlineStr">
        <is>
          <t>Y</t>
        </is>
      </c>
      <c r="F992" t="inlineStr">
        <is>
          <t>6</t>
        </is>
      </c>
      <c r="G992" t="inlineStr">
        <is>
          <t>19, JELILI ALAGBE ST, OFF OLD ANGLICAN ROAD</t>
        </is>
      </c>
      <c r="H992" t="inlineStr">
        <is>
          <t>Existing</t>
        </is>
      </c>
      <c r="I992" t="inlineStr">
        <is>
          <t>N</t>
        </is>
      </c>
    </row>
    <row r="993">
      <c r="A993" t="inlineStr">
        <is>
          <t>LFC7307</t>
        </is>
      </c>
      <c r="B993" t="inlineStr">
        <is>
          <t>LFC7307</t>
        </is>
      </c>
      <c r="C993" t="inlineStr">
        <is>
          <t>ABEBI OTA</t>
        </is>
      </c>
      <c r="D993" t="inlineStr">
        <is>
          <t>N</t>
        </is>
      </c>
      <c r="E993" t="inlineStr">
        <is>
          <t>Y</t>
        </is>
      </c>
      <c r="F993" t="inlineStr">
        <is>
          <t>7</t>
        </is>
      </c>
      <c r="G993" t="inlineStr">
        <is>
          <t>DOAF SCHOOLS, 1/3 ODUYEMI STR, ILUPEWO OTA</t>
        </is>
      </c>
      <c r="H993" t="inlineStr">
        <is>
          <t>Existing</t>
        </is>
      </c>
      <c r="I993" t="inlineStr">
        <is>
          <t>N</t>
        </is>
      </c>
    </row>
    <row r="994">
      <c r="A994" t="inlineStr">
        <is>
          <t>LFC7308</t>
        </is>
      </c>
      <c r="B994" t="inlineStr">
        <is>
          <t>LFC7308</t>
        </is>
      </c>
      <c r="C994" t="inlineStr">
        <is>
          <t>ABEBI OTA</t>
        </is>
      </c>
      <c r="D994" t="inlineStr">
        <is>
          <t>Y</t>
        </is>
      </c>
      <c r="E994" t="inlineStr">
        <is>
          <t>Y</t>
        </is>
      </c>
      <c r="F994" t="inlineStr">
        <is>
          <t>8</t>
        </is>
      </c>
      <c r="G994" t="inlineStr">
        <is>
          <t>40, ADEBAYO STREET, OLOSUN, OTA.</t>
        </is>
      </c>
      <c r="H994" t="inlineStr">
        <is>
          <t>Existing</t>
        </is>
      </c>
      <c r="I994" t="inlineStr">
        <is>
          <t>N</t>
        </is>
      </c>
    </row>
    <row r="995">
      <c r="A995" t="inlineStr">
        <is>
          <t>LFC7309</t>
        </is>
      </c>
      <c r="B995" t="inlineStr">
        <is>
          <t>LFC7309</t>
        </is>
      </c>
      <c r="C995" t="inlineStr">
        <is>
          <t>ABEBI OTA</t>
        </is>
      </c>
      <c r="D995" t="inlineStr">
        <is>
          <t>Y</t>
        </is>
      </c>
      <c r="E995" t="inlineStr">
        <is>
          <t>Y</t>
        </is>
      </c>
      <c r="F995" t="inlineStr">
        <is>
          <t>9</t>
        </is>
      </c>
      <c r="G995" t="inlineStr">
        <is>
          <t>21, Dada Olusesi Close</t>
        </is>
      </c>
      <c r="H995" t="inlineStr">
        <is>
          <t>Existing</t>
        </is>
      </c>
      <c r="I995" t="inlineStr">
        <is>
          <t>N</t>
        </is>
      </c>
    </row>
    <row r="996">
      <c r="A996" t="inlineStr">
        <is>
          <t>LFC7310</t>
        </is>
      </c>
      <c r="B996" t="inlineStr">
        <is>
          <t>LFC7310</t>
        </is>
      </c>
      <c r="C996" t="inlineStr">
        <is>
          <t>ABEBI OTA</t>
        </is>
      </c>
      <c r="D996" t="inlineStr">
        <is>
          <t>N</t>
        </is>
      </c>
      <c r="E996" t="inlineStr">
        <is>
          <t>Y</t>
        </is>
      </c>
      <c r="F996" t="inlineStr">
        <is>
          <t>10</t>
        </is>
      </c>
      <c r="G996" t="inlineStr">
        <is>
          <t>9 Ikotun Estate, Olosun</t>
        </is>
      </c>
      <c r="H996" t="inlineStr">
        <is>
          <t>Existing</t>
        </is>
      </c>
      <c r="I996" t="inlineStr">
        <is>
          <t>N</t>
        </is>
      </c>
    </row>
    <row r="997">
      <c r="A997" t="inlineStr">
        <is>
          <t>LFC7311</t>
        </is>
      </c>
      <c r="B997" t="inlineStr">
        <is>
          <t>LFC7311</t>
        </is>
      </c>
      <c r="C997" t="inlineStr">
        <is>
          <t>ABEBI OTA</t>
        </is>
      </c>
      <c r="D997" t="inlineStr">
        <is>
          <t>Y</t>
        </is>
      </c>
      <c r="E997" t="inlineStr">
        <is>
          <t>Y</t>
        </is>
      </c>
      <c r="F997" t="inlineStr">
        <is>
          <t>11</t>
        </is>
      </c>
      <c r="G997" t="inlineStr">
        <is>
          <t>Plot 6, CDA Road, Ota</t>
        </is>
      </c>
      <c r="H997" t="inlineStr">
        <is>
          <t>Existing</t>
        </is>
      </c>
      <c r="I997" t="inlineStr">
        <is>
          <t>N</t>
        </is>
      </c>
    </row>
    <row r="998">
      <c r="A998" t="inlineStr">
        <is>
          <t>LFC7312</t>
        </is>
      </c>
      <c r="B998" t="inlineStr">
        <is>
          <t>LFC7312</t>
        </is>
      </c>
      <c r="C998" t="inlineStr">
        <is>
          <t>ABEBI OTA</t>
        </is>
      </c>
      <c r="D998" t="inlineStr">
        <is>
          <t>Y</t>
        </is>
      </c>
      <c r="E998" t="inlineStr">
        <is>
          <t>Y</t>
        </is>
      </c>
      <c r="F998" t="inlineStr">
        <is>
          <t>12</t>
        </is>
      </c>
      <c r="G998" t="inlineStr">
        <is>
          <t>5, IREAKARI CLOSE, OSI OTA</t>
        </is>
      </c>
      <c r="H998" t="inlineStr">
        <is>
          <t>Existing</t>
        </is>
      </c>
      <c r="I998" t="inlineStr">
        <is>
          <t>N</t>
        </is>
      </c>
    </row>
    <row r="999">
      <c r="A999" t="inlineStr">
        <is>
          <t>LFC7313</t>
        </is>
      </c>
      <c r="B999" t="inlineStr">
        <is>
          <t>LFC7313</t>
        </is>
      </c>
      <c r="C999" t="inlineStr">
        <is>
          <t>ABEBI OTA</t>
        </is>
      </c>
      <c r="D999" t="inlineStr">
        <is>
          <t>N</t>
        </is>
      </c>
      <c r="E999" t="inlineStr">
        <is>
          <t>Y</t>
        </is>
      </c>
      <c r="F999" t="inlineStr">
        <is>
          <t>13</t>
        </is>
      </c>
      <c r="G999" t="inlineStr">
        <is>
          <t>17 Anifaloba street off Mefun road babyo ota</t>
        </is>
      </c>
      <c r="H999" t="inlineStr">
        <is>
          <t>Existing</t>
        </is>
      </c>
      <c r="I999" t="inlineStr">
        <is>
          <t>N</t>
        </is>
      </c>
    </row>
    <row r="1000">
      <c r="A1000" t="inlineStr">
        <is>
          <t>LFC7314</t>
        </is>
      </c>
      <c r="B1000" t="inlineStr">
        <is>
          <t>LFC7314</t>
        </is>
      </c>
      <c r="C1000" t="inlineStr">
        <is>
          <t>ABEBI OTA</t>
        </is>
      </c>
      <c r="D1000" t="inlineStr">
        <is>
          <t>Y</t>
        </is>
      </c>
      <c r="E1000" t="inlineStr">
        <is>
          <t>Y</t>
        </is>
      </c>
      <c r="F1000" t="inlineStr">
        <is>
          <t>14</t>
        </is>
      </c>
      <c r="G1000" t="inlineStr">
        <is>
          <t>22 ALAGBOLE, SANGO, OTA</t>
        </is>
      </c>
      <c r="H1000" t="inlineStr">
        <is>
          <t>Existing</t>
        </is>
      </c>
      <c r="I1000" t="inlineStr">
        <is>
          <t>N</t>
        </is>
      </c>
    </row>
    <row r="1001">
      <c r="A1001" t="inlineStr">
        <is>
          <t>LFC7315</t>
        </is>
      </c>
      <c r="B1001" t="inlineStr">
        <is>
          <t>LFC7315</t>
        </is>
      </c>
      <c r="C1001" t="inlineStr">
        <is>
          <t>ABEBI OTA</t>
        </is>
      </c>
      <c r="D1001" t="inlineStr">
        <is>
          <t>Y</t>
        </is>
      </c>
      <c r="E1001" t="inlineStr">
        <is>
          <t>Y</t>
        </is>
      </c>
      <c r="F1001" t="inlineStr">
        <is>
          <t>15</t>
        </is>
      </c>
      <c r="G1001" t="inlineStr">
        <is>
          <t>15 YINKUSAN STR UNITY ESTATE</t>
        </is>
      </c>
      <c r="H1001" t="inlineStr">
        <is>
          <t>Existing</t>
        </is>
      </c>
      <c r="I1001" t="inlineStr">
        <is>
          <t>N</t>
        </is>
      </c>
    </row>
    <row r="1002">
      <c r="A1002" t="inlineStr">
        <is>
          <t>LFC7316</t>
        </is>
      </c>
      <c r="B1002" t="inlineStr">
        <is>
          <t>LFC7316</t>
        </is>
      </c>
      <c r="C1002" t="inlineStr">
        <is>
          <t>ABEBI OTA</t>
        </is>
      </c>
      <c r="D1002" t="inlineStr">
        <is>
          <t>Y</t>
        </is>
      </c>
      <c r="E1002" t="inlineStr">
        <is>
          <t>Y</t>
        </is>
      </c>
      <c r="F1002" t="inlineStr">
        <is>
          <t>16</t>
        </is>
      </c>
      <c r="G1002" t="inlineStr">
        <is>
          <t>2,RAINBOW MARITIME CRESCENT ARINKO</t>
        </is>
      </c>
      <c r="H1002" t="inlineStr">
        <is>
          <t>Existing</t>
        </is>
      </c>
      <c r="I1002" t="inlineStr">
        <is>
          <t>N</t>
        </is>
      </c>
    </row>
    <row r="1003">
      <c r="A1003" t="inlineStr">
        <is>
          <t>LFC7317</t>
        </is>
      </c>
      <c r="B1003" t="inlineStr">
        <is>
          <t>LFC7317</t>
        </is>
      </c>
      <c r="C1003" t="inlineStr">
        <is>
          <t>ABEBI OTA</t>
        </is>
      </c>
      <c r="D1003" t="inlineStr">
        <is>
          <t>Y</t>
        </is>
      </c>
      <c r="E1003" t="inlineStr">
        <is>
          <t>Y</t>
        </is>
      </c>
      <c r="F1003" t="inlineStr">
        <is>
          <t>17</t>
        </is>
      </c>
      <c r="G1003" t="inlineStr">
        <is>
          <t>PRINCE MOMOH STR AGO ADURA</t>
        </is>
      </c>
      <c r="H1003" t="inlineStr">
        <is>
          <t>Existing</t>
        </is>
      </c>
      <c r="I1003" t="inlineStr">
        <is>
          <t>N</t>
        </is>
      </c>
    </row>
    <row r="1004">
      <c r="A1004" t="inlineStr">
        <is>
          <t>LFC7318</t>
        </is>
      </c>
      <c r="B1004" t="inlineStr">
        <is>
          <t>LFC7318</t>
        </is>
      </c>
      <c r="C1004" t="inlineStr">
        <is>
          <t>ABEBI OTA</t>
        </is>
      </c>
      <c r="D1004" t="inlineStr">
        <is>
          <t>Y</t>
        </is>
      </c>
      <c r="E1004" t="inlineStr">
        <is>
          <t>Y</t>
        </is>
      </c>
      <c r="F1004" t="inlineStr">
        <is>
          <t>18</t>
        </is>
      </c>
      <c r="G1004" t="inlineStr">
        <is>
          <t>35 BODE DUROTOYE, OTA</t>
        </is>
      </c>
      <c r="H1004" t="inlineStr">
        <is>
          <t>Existing</t>
        </is>
      </c>
      <c r="I1004" t="inlineStr">
        <is>
          <t>N</t>
        </is>
      </c>
    </row>
    <row r="1005">
      <c r="A1005" t="inlineStr">
        <is>
          <t>LFC7319</t>
        </is>
      </c>
      <c r="B1005" t="inlineStr">
        <is>
          <t>LFC7319</t>
        </is>
      </c>
      <c r="C1005" t="inlineStr">
        <is>
          <t>ABEBI OTA</t>
        </is>
      </c>
      <c r="D1005" t="inlineStr">
        <is>
          <t>N</t>
        </is>
      </c>
      <c r="E1005" t="inlineStr">
        <is>
          <t>Y</t>
        </is>
      </c>
      <c r="F1005" t="inlineStr">
        <is>
          <t>19</t>
        </is>
      </c>
      <c r="G1005" t="inlineStr">
        <is>
          <t>5 Abayomi Komolafe</t>
        </is>
      </c>
      <c r="H1005" t="inlineStr">
        <is>
          <t>Existing</t>
        </is>
      </c>
      <c r="I1005" t="inlineStr">
        <is>
          <t>N</t>
        </is>
      </c>
    </row>
    <row r="1006">
      <c r="A1006" t="inlineStr">
        <is>
          <t>LFC7320</t>
        </is>
      </c>
      <c r="B1006" t="inlineStr">
        <is>
          <t>LFC7320</t>
        </is>
      </c>
      <c r="C1006" t="inlineStr">
        <is>
          <t>ABEBI OTA</t>
        </is>
      </c>
      <c r="D1006" t="inlineStr">
        <is>
          <t>N</t>
        </is>
      </c>
      <c r="E1006" t="inlineStr">
        <is>
          <t>Y</t>
        </is>
      </c>
      <c r="F1006" t="inlineStr">
        <is>
          <t>20</t>
        </is>
      </c>
      <c r="G1006" t="inlineStr">
        <is>
          <t>2, COOPERATIVE ESTATE PHASE 1, AYETUNTUN, OLOSUN, OTA.</t>
        </is>
      </c>
      <c r="H1006" t="inlineStr">
        <is>
          <t>Existing</t>
        </is>
      </c>
      <c r="I1006" t="inlineStr">
        <is>
          <t>N</t>
        </is>
      </c>
    </row>
    <row r="1007">
      <c r="A1007" t="inlineStr">
        <is>
          <t>LFC7321</t>
        </is>
      </c>
      <c r="B1007" t="inlineStr">
        <is>
          <t>LFC7321</t>
        </is>
      </c>
      <c r="C1007" t="inlineStr">
        <is>
          <t>ABEBI OTA</t>
        </is>
      </c>
      <c r="D1007" t="inlineStr">
        <is>
          <t>N</t>
        </is>
      </c>
      <c r="E1007" t="inlineStr">
        <is>
          <t>Y</t>
        </is>
      </c>
      <c r="F1007" t="inlineStr">
        <is>
          <t>21</t>
        </is>
      </c>
      <c r="G1007" t="inlineStr">
        <is>
          <t>3 Kowope Str, Ten-Ten,Osi.</t>
        </is>
      </c>
      <c r="H1007" t="inlineStr">
        <is>
          <t>Existing</t>
        </is>
      </c>
      <c r="I1007" t="inlineStr">
        <is>
          <t>N</t>
        </is>
      </c>
    </row>
    <row r="1008">
      <c r="A1008" t="inlineStr">
        <is>
          <t>LFC7322</t>
        </is>
      </c>
      <c r="B1008" t="inlineStr">
        <is>
          <t>LFC7322</t>
        </is>
      </c>
      <c r="C1008" t="inlineStr">
        <is>
          <t>ABEBI OTA</t>
        </is>
      </c>
      <c r="D1008" t="inlineStr">
        <is>
          <t>N</t>
        </is>
      </c>
      <c r="E1008" t="inlineStr">
        <is>
          <t>Y</t>
        </is>
      </c>
      <c r="F1008" t="inlineStr">
        <is>
          <t>22</t>
        </is>
      </c>
      <c r="G1008" t="inlineStr">
        <is>
          <t>IDOLE BESIDE BAALE'S COMPOUND</t>
        </is>
      </c>
      <c r="H1008" t="inlineStr">
        <is>
          <t>Existing</t>
        </is>
      </c>
      <c r="I1008" t="inlineStr">
        <is>
          <t>N</t>
        </is>
      </c>
    </row>
    <row r="1009">
      <c r="A1009" t="inlineStr">
        <is>
          <t>LFC7323</t>
        </is>
      </c>
      <c r="B1009" t="inlineStr">
        <is>
          <t>LFC7323</t>
        </is>
      </c>
      <c r="C1009" t="inlineStr">
        <is>
          <t>ABEBI OTA</t>
        </is>
      </c>
      <c r="D1009" t="inlineStr">
        <is>
          <t>N</t>
        </is>
      </c>
      <c r="E1009" t="inlineStr">
        <is>
          <t>Y</t>
        </is>
      </c>
      <c r="F1009" t="inlineStr">
        <is>
          <t>23</t>
        </is>
      </c>
      <c r="G1009" t="inlineStr">
        <is>
          <t>91,PLAZA RD, SANGO, OTA</t>
        </is>
      </c>
      <c r="H1009" t="inlineStr">
        <is>
          <t>New (proposed)</t>
        </is>
      </c>
      <c r="I1009" t="inlineStr">
        <is>
          <t>N</t>
        </is>
      </c>
    </row>
    <row r="1010">
      <c r="A1010" t="inlineStr">
        <is>
          <t>LFC7401</t>
        </is>
      </c>
      <c r="B1010" t="inlineStr">
        <is>
          <t>LFC7401</t>
        </is>
      </c>
      <c r="C1010" t="inlineStr">
        <is>
          <t>IGBALA</t>
        </is>
      </c>
      <c r="D1010" t="inlineStr">
        <is>
          <t>Y</t>
        </is>
      </c>
      <c r="E1010" t="inlineStr">
        <is>
          <t>Y</t>
        </is>
      </c>
      <c r="F1010" t="inlineStr">
        <is>
          <t>1</t>
        </is>
      </c>
      <c r="G1010" t="inlineStr">
        <is>
          <t>9,POPOOLA BANWO STREET IGBALA</t>
        </is>
      </c>
      <c r="H1010" t="inlineStr">
        <is>
          <t>Existing</t>
        </is>
      </c>
      <c r="I1010" t="inlineStr">
        <is>
          <t>N</t>
        </is>
      </c>
    </row>
    <row r="1011">
      <c r="A1011" t="inlineStr">
        <is>
          <t>LFC7402</t>
        </is>
      </c>
      <c r="B1011" t="inlineStr">
        <is>
          <t>LFC7402</t>
        </is>
      </c>
      <c r="C1011" t="inlineStr">
        <is>
          <t>IGBALA</t>
        </is>
      </c>
      <c r="D1011" t="inlineStr">
        <is>
          <t>Y</t>
        </is>
      </c>
      <c r="E1011" t="inlineStr">
        <is>
          <t>Y</t>
        </is>
      </c>
      <c r="F1011" t="inlineStr">
        <is>
          <t>2</t>
        </is>
      </c>
      <c r="G1011" t="inlineStr">
        <is>
          <t>COMMUNITY B/STOP OWODE IJAKO</t>
        </is>
      </c>
      <c r="H1011" t="inlineStr">
        <is>
          <t>Existing</t>
        </is>
      </c>
      <c r="I1011" t="inlineStr">
        <is>
          <t>N</t>
        </is>
      </c>
    </row>
    <row r="1012">
      <c r="A1012" t="inlineStr">
        <is>
          <t>LFC7403</t>
        </is>
      </c>
      <c r="B1012" t="inlineStr">
        <is>
          <t>LFC7403</t>
        </is>
      </c>
      <c r="C1012" t="inlineStr">
        <is>
          <t>IGBALA</t>
        </is>
      </c>
      <c r="D1012" t="inlineStr">
        <is>
          <t>Y</t>
        </is>
      </c>
      <c r="E1012" t="inlineStr">
        <is>
          <t>Y</t>
        </is>
      </c>
      <c r="F1012" t="inlineStr">
        <is>
          <t>3</t>
        </is>
      </c>
      <c r="G1012" t="inlineStr">
        <is>
          <t>12, BALOGUN STREET IJAKO</t>
        </is>
      </c>
      <c r="H1012" t="inlineStr">
        <is>
          <t>Existing</t>
        </is>
      </c>
      <c r="I1012" t="inlineStr">
        <is>
          <t>N</t>
        </is>
      </c>
    </row>
    <row r="1013">
      <c r="A1013" t="inlineStr">
        <is>
          <t>LFC7404</t>
        </is>
      </c>
      <c r="B1013" t="inlineStr">
        <is>
          <t>LFC7404</t>
        </is>
      </c>
      <c r="C1013" t="inlineStr">
        <is>
          <t>IGBALA</t>
        </is>
      </c>
      <c r="D1013" t="inlineStr">
        <is>
          <t>Y</t>
        </is>
      </c>
      <c r="E1013" t="inlineStr">
        <is>
          <t>Y</t>
        </is>
      </c>
      <c r="F1013" t="inlineStr">
        <is>
          <t>4</t>
        </is>
      </c>
      <c r="G1013" t="inlineStr">
        <is>
          <t>20/22 Omojola street Dabby and Jones</t>
        </is>
      </c>
      <c r="H1013" t="inlineStr">
        <is>
          <t>Existing</t>
        </is>
      </c>
      <c r="I1013" t="inlineStr">
        <is>
          <t>N</t>
        </is>
      </c>
    </row>
    <row r="1014">
      <c r="A1014" t="inlineStr">
        <is>
          <t>LFC7405</t>
        </is>
      </c>
      <c r="B1014" t="inlineStr">
        <is>
          <t>LFC7405</t>
        </is>
      </c>
      <c r="C1014" t="inlineStr">
        <is>
          <t>IGBALA</t>
        </is>
      </c>
      <c r="D1014" t="inlineStr">
        <is>
          <t>Y</t>
        </is>
      </c>
      <c r="E1014" t="inlineStr">
        <is>
          <t>Y</t>
        </is>
      </c>
      <c r="F1014" t="inlineStr">
        <is>
          <t>5</t>
        </is>
      </c>
      <c r="G1014" t="inlineStr">
        <is>
          <t>ORILOWO ESTATE, AGORO</t>
        </is>
      </c>
      <c r="H1014" t="inlineStr">
        <is>
          <t>Existing</t>
        </is>
      </c>
      <c r="I1014" t="inlineStr">
        <is>
          <t>N</t>
        </is>
      </c>
    </row>
    <row r="1015">
      <c r="A1015" t="inlineStr">
        <is>
          <t>LFC7406</t>
        </is>
      </c>
      <c r="B1015" t="inlineStr">
        <is>
          <t>LFC7406</t>
        </is>
      </c>
      <c r="C1015" t="inlineStr">
        <is>
          <t>IGBALA</t>
        </is>
      </c>
      <c r="D1015" t="inlineStr">
        <is>
          <t>Y</t>
        </is>
      </c>
      <c r="E1015" t="inlineStr">
        <is>
          <t>Y</t>
        </is>
      </c>
      <c r="F1015" t="inlineStr">
        <is>
          <t>6</t>
        </is>
      </c>
      <c r="G1015" t="inlineStr">
        <is>
          <t>IRE STREET, ISAKA,OWODE</t>
        </is>
      </c>
      <c r="H1015" t="inlineStr">
        <is>
          <t>Existing</t>
        </is>
      </c>
      <c r="I1015" t="inlineStr">
        <is>
          <t>N</t>
        </is>
      </c>
    </row>
    <row r="1016">
      <c r="A1016" t="inlineStr">
        <is>
          <t>LFC7407</t>
        </is>
      </c>
      <c r="B1016" t="inlineStr">
        <is>
          <t>LFC7407</t>
        </is>
      </c>
      <c r="C1016" t="inlineStr">
        <is>
          <t>IGBALA</t>
        </is>
      </c>
      <c r="D1016" t="inlineStr">
        <is>
          <t>N</t>
        </is>
      </c>
      <c r="E1016" t="inlineStr">
        <is>
          <t>Y</t>
        </is>
      </c>
      <c r="F1016" t="inlineStr">
        <is>
          <t>7</t>
        </is>
      </c>
      <c r="G1016" t="inlineStr">
        <is>
          <t>SOLUADE ZONE</t>
        </is>
      </c>
      <c r="H1016" t="inlineStr">
        <is>
          <t>Existing</t>
        </is>
      </c>
      <c r="I1016" t="inlineStr">
        <is>
          <t>N</t>
        </is>
      </c>
    </row>
    <row r="1017">
      <c r="A1017" t="inlineStr">
        <is>
          <t>LFC7501</t>
        </is>
      </c>
      <c r="B1017" t="inlineStr">
        <is>
          <t>LFC7501</t>
        </is>
      </c>
      <c r="C1017" t="inlineStr">
        <is>
          <t>ILOGBO OTA</t>
        </is>
      </c>
      <c r="D1017" t="inlineStr">
        <is>
          <t>Y</t>
        </is>
      </c>
      <c r="E1017" t="inlineStr">
        <is>
          <t>Y</t>
        </is>
      </c>
      <c r="F1017" t="inlineStr">
        <is>
          <t>1</t>
        </is>
      </c>
      <c r="G1017" t="inlineStr">
        <is>
          <t>ARAROMI, ILOGBO</t>
        </is>
      </c>
      <c r="H1017" t="inlineStr">
        <is>
          <t>Existing</t>
        </is>
      </c>
      <c r="I1017" t="inlineStr">
        <is>
          <t>N</t>
        </is>
      </c>
    </row>
    <row r="1018">
      <c r="A1018" t="inlineStr">
        <is>
          <t>LFC7502</t>
        </is>
      </c>
      <c r="B1018" t="inlineStr">
        <is>
          <t>LFC7502</t>
        </is>
      </c>
      <c r="C1018" t="inlineStr">
        <is>
          <t>ILOGBO OTA</t>
        </is>
      </c>
      <c r="D1018" t="inlineStr">
        <is>
          <t>Y</t>
        </is>
      </c>
      <c r="E1018" t="inlineStr">
        <is>
          <t>Y</t>
        </is>
      </c>
      <c r="F1018" t="inlineStr">
        <is>
          <t>2</t>
        </is>
      </c>
      <c r="G1018" t="inlineStr">
        <is>
          <t>ONIHALE POWERLINE, ONIHALE</t>
        </is>
      </c>
      <c r="H1018" t="inlineStr">
        <is>
          <t>Existing</t>
        </is>
      </c>
      <c r="I1018" t="inlineStr">
        <is>
          <t>N</t>
        </is>
      </c>
    </row>
    <row r="1019">
      <c r="A1019" t="inlineStr">
        <is>
          <t>LFC7503</t>
        </is>
      </c>
      <c r="B1019" t="inlineStr">
        <is>
          <t>LFC7503</t>
        </is>
      </c>
      <c r="C1019" t="inlineStr">
        <is>
          <t>ILOGBO OTA</t>
        </is>
      </c>
      <c r="D1019" t="inlineStr">
        <is>
          <t>Y</t>
        </is>
      </c>
      <c r="E1019" t="inlineStr">
        <is>
          <t>Y</t>
        </is>
      </c>
      <c r="F1019" t="inlineStr">
        <is>
          <t>3</t>
        </is>
      </c>
      <c r="G1019" t="inlineStr">
        <is>
          <t>14, KUSELA STREET,AJIBODE</t>
        </is>
      </c>
      <c r="H1019" t="inlineStr">
        <is>
          <t>Existing</t>
        </is>
      </c>
      <c r="I1019" t="inlineStr">
        <is>
          <t>N</t>
        </is>
      </c>
    </row>
    <row r="1020">
      <c r="A1020" t="inlineStr">
        <is>
          <t>LFC7504</t>
        </is>
      </c>
      <c r="B1020" t="inlineStr">
        <is>
          <t>LFC7504</t>
        </is>
      </c>
      <c r="C1020" t="inlineStr">
        <is>
          <t>ILOGBO OTA</t>
        </is>
      </c>
      <c r="D1020" t="inlineStr">
        <is>
          <t>Y</t>
        </is>
      </c>
      <c r="E1020" t="inlineStr">
        <is>
          <t>Y</t>
        </is>
      </c>
      <c r="F1020" t="inlineStr">
        <is>
          <t>4</t>
        </is>
      </c>
      <c r="G1020" t="inlineStr">
        <is>
          <t>15, OLASUNBOYE STREET</t>
        </is>
      </c>
      <c r="H1020" t="inlineStr">
        <is>
          <t>Existing</t>
        </is>
      </c>
      <c r="I1020" t="inlineStr">
        <is>
          <t>N</t>
        </is>
      </c>
    </row>
    <row r="1021">
      <c r="A1021" t="inlineStr">
        <is>
          <t>LFC7505</t>
        </is>
      </c>
      <c r="B1021" t="inlineStr">
        <is>
          <t>LFC7505</t>
        </is>
      </c>
      <c r="C1021" t="inlineStr">
        <is>
          <t>ILOGBO OTA</t>
        </is>
      </c>
      <c r="D1021" t="inlineStr">
        <is>
          <t>N</t>
        </is>
      </c>
      <c r="E1021" t="inlineStr">
        <is>
          <t>Y</t>
        </is>
      </c>
      <c r="F1021" t="inlineStr">
        <is>
          <t>5</t>
        </is>
      </c>
      <c r="G1021" t="inlineStr">
        <is>
          <t>26, ERI-OKAN STREET, IGBUSI,ILOGBO, IFO</t>
        </is>
      </c>
      <c r="H1021" t="inlineStr">
        <is>
          <t>Existing</t>
        </is>
      </c>
      <c r="I1021" t="inlineStr">
        <is>
          <t>N</t>
        </is>
      </c>
    </row>
    <row r="1022">
      <c r="A1022" t="inlineStr">
        <is>
          <t>LFC7506</t>
        </is>
      </c>
      <c r="B1022" t="inlineStr">
        <is>
          <t>LFC7506</t>
        </is>
      </c>
      <c r="C1022" t="inlineStr">
        <is>
          <t>ILOGBO OTA</t>
        </is>
      </c>
      <c r="D1022" t="inlineStr">
        <is>
          <t>N</t>
        </is>
      </c>
      <c r="E1022" t="inlineStr">
        <is>
          <t>Y</t>
        </is>
      </c>
      <c r="F1022" t="inlineStr">
        <is>
          <t>6</t>
        </is>
      </c>
      <c r="G1022" t="inlineStr">
        <is>
          <t>ILUDUN VILLAGE ,ILOGBO</t>
        </is>
      </c>
      <c r="H1022" t="inlineStr">
        <is>
          <t>Existing</t>
        </is>
      </c>
      <c r="I1022" t="inlineStr">
        <is>
          <t>N</t>
        </is>
      </c>
    </row>
    <row r="1023">
      <c r="A1023" t="inlineStr">
        <is>
          <t>LFC7507</t>
        </is>
      </c>
      <c r="B1023" t="inlineStr">
        <is>
          <t>LFC7507</t>
        </is>
      </c>
      <c r="C1023" t="inlineStr">
        <is>
          <t>ILOGBO OTA</t>
        </is>
      </c>
      <c r="D1023" t="inlineStr">
        <is>
          <t>Y</t>
        </is>
      </c>
      <c r="E1023" t="inlineStr">
        <is>
          <t>Y</t>
        </is>
      </c>
      <c r="F1023" t="inlineStr">
        <is>
          <t>7</t>
        </is>
      </c>
      <c r="G1023" t="inlineStr">
        <is>
          <t>9 Ifelodun Str., Iyana Ilogbo</t>
        </is>
      </c>
      <c r="H1023" t="inlineStr">
        <is>
          <t>Existing</t>
        </is>
      </c>
      <c r="I1023" t="inlineStr">
        <is>
          <t>N</t>
        </is>
      </c>
    </row>
    <row r="1024">
      <c r="A1024" t="inlineStr">
        <is>
          <t>LFC7508</t>
        </is>
      </c>
      <c r="B1024" t="inlineStr">
        <is>
          <t>LFC7508</t>
        </is>
      </c>
      <c r="C1024" t="inlineStr">
        <is>
          <t>ILOGBO OTA</t>
        </is>
      </c>
      <c r="D1024" t="inlineStr">
        <is>
          <t>Y</t>
        </is>
      </c>
      <c r="E1024" t="inlineStr">
        <is>
          <t>Y</t>
        </is>
      </c>
      <c r="F1024" t="inlineStr">
        <is>
          <t>8</t>
        </is>
      </c>
      <c r="G1024" t="inlineStr">
        <is>
          <t>17 Balogun Str., Abudu, Iyana Ilogbo</t>
        </is>
      </c>
      <c r="H1024" t="inlineStr">
        <is>
          <t>Existing</t>
        </is>
      </c>
      <c r="I1024" t="inlineStr">
        <is>
          <t>N</t>
        </is>
      </c>
    </row>
    <row r="1025">
      <c r="A1025" t="inlineStr">
        <is>
          <t>LFC7509</t>
        </is>
      </c>
      <c r="B1025" t="inlineStr">
        <is>
          <t>LFC7509</t>
        </is>
      </c>
      <c r="C1025" t="inlineStr">
        <is>
          <t>ILOGBO OTA</t>
        </is>
      </c>
      <c r="D1025" t="inlineStr">
        <is>
          <t>Y</t>
        </is>
      </c>
      <c r="E1025" t="inlineStr">
        <is>
          <t>Y</t>
        </is>
      </c>
      <c r="F1025" t="inlineStr">
        <is>
          <t>9</t>
        </is>
      </c>
      <c r="G1025" t="inlineStr">
        <is>
          <t>TIGBO-ILU 'ILOGBO</t>
        </is>
      </c>
      <c r="H1025" t="inlineStr">
        <is>
          <t>Existing</t>
        </is>
      </c>
      <c r="I1025" t="inlineStr">
        <is>
          <t>N</t>
        </is>
      </c>
    </row>
    <row r="1026">
      <c r="A1026" t="inlineStr">
        <is>
          <t>LFC7510</t>
        </is>
      </c>
      <c r="B1026" t="inlineStr">
        <is>
          <t>LFC7510</t>
        </is>
      </c>
      <c r="C1026" t="inlineStr">
        <is>
          <t>ILOGBO OTA</t>
        </is>
      </c>
      <c r="D1026" t="inlineStr">
        <is>
          <t>N</t>
        </is>
      </c>
      <c r="E1026" t="inlineStr">
        <is>
          <t>Y</t>
        </is>
      </c>
      <c r="F1026" t="inlineStr">
        <is>
          <t>10</t>
        </is>
      </c>
      <c r="G1026" t="inlineStr">
        <is>
          <t>KARINKAPO VILLAGE ,ILOGBO</t>
        </is>
      </c>
      <c r="H1026" t="inlineStr">
        <is>
          <t>Existing</t>
        </is>
      </c>
      <c r="I1026" t="inlineStr">
        <is>
          <t>N</t>
        </is>
      </c>
    </row>
    <row r="1027">
      <c r="A1027" t="inlineStr">
        <is>
          <t>LFC7511</t>
        </is>
      </c>
      <c r="B1027" t="inlineStr">
        <is>
          <t>LFC7511</t>
        </is>
      </c>
      <c r="C1027" t="inlineStr">
        <is>
          <t>ILOGBO OTA</t>
        </is>
      </c>
      <c r="D1027" t="inlineStr">
        <is>
          <t>N</t>
        </is>
      </c>
      <c r="E1027" t="inlineStr">
        <is>
          <t>Y</t>
        </is>
      </c>
      <c r="F1027" t="inlineStr">
        <is>
          <t>11</t>
        </is>
      </c>
      <c r="G1027" t="inlineStr">
        <is>
          <t>116 CELE ROAD FASBAM</t>
        </is>
      </c>
      <c r="H1027" t="inlineStr">
        <is>
          <t>Existing</t>
        </is>
      </c>
      <c r="I1027" t="inlineStr">
        <is>
          <t>N</t>
        </is>
      </c>
    </row>
    <row r="1028">
      <c r="A1028" t="inlineStr">
        <is>
          <t>LFC7512</t>
        </is>
      </c>
      <c r="B1028" t="inlineStr">
        <is>
          <t>LFC7512</t>
        </is>
      </c>
      <c r="C1028" t="inlineStr">
        <is>
          <t>ILOGBO OTA</t>
        </is>
      </c>
      <c r="D1028" t="inlineStr">
        <is>
          <t>N</t>
        </is>
      </c>
      <c r="E1028" t="inlineStr">
        <is>
          <t>Y</t>
        </is>
      </c>
      <c r="F1028" t="inlineStr">
        <is>
          <t>12</t>
        </is>
      </c>
      <c r="G1028" t="inlineStr">
        <is>
          <t>ORI OKUTA ILOGBO (BY MOUKA FOAM)</t>
        </is>
      </c>
      <c r="H1028" t="inlineStr">
        <is>
          <t>Existing</t>
        </is>
      </c>
      <c r="I1028" t="inlineStr">
        <is>
          <t>N</t>
        </is>
      </c>
    </row>
    <row r="1029">
      <c r="A1029" t="inlineStr">
        <is>
          <t>LFC7513</t>
        </is>
      </c>
      <c r="B1029" t="inlineStr">
        <is>
          <t>LFC7513</t>
        </is>
      </c>
      <c r="C1029" t="inlineStr">
        <is>
          <t>ILOGBO OTA</t>
        </is>
      </c>
      <c r="D1029" t="inlineStr">
        <is>
          <t>N</t>
        </is>
      </c>
      <c r="E1029" t="inlineStr">
        <is>
          <t>Y</t>
        </is>
      </c>
      <c r="F1029" t="inlineStr">
        <is>
          <t>13</t>
        </is>
      </c>
      <c r="G1029" t="inlineStr">
        <is>
          <t>JAVY ROYAL SCHOOL OFF ANUOLUWAPO STR OKITIKAN</t>
        </is>
      </c>
      <c r="H1029" t="inlineStr">
        <is>
          <t>Existing</t>
        </is>
      </c>
      <c r="I1029" t="inlineStr">
        <is>
          <t>N</t>
        </is>
      </c>
    </row>
    <row r="1030">
      <c r="A1030" t="inlineStr">
        <is>
          <t>LFC7514</t>
        </is>
      </c>
      <c r="B1030" t="inlineStr">
        <is>
          <t>LFC7514</t>
        </is>
      </c>
      <c r="C1030" t="inlineStr">
        <is>
          <t>ILOGBO OTA</t>
        </is>
      </c>
      <c r="D1030" t="inlineStr">
        <is>
          <t>N</t>
        </is>
      </c>
      <c r="E1030" t="inlineStr">
        <is>
          <t>Y</t>
        </is>
      </c>
      <c r="F1030" t="inlineStr">
        <is>
          <t>14</t>
        </is>
      </c>
      <c r="G1030" t="inlineStr">
        <is>
          <t>5 BABA LEGBA STREET OJUSANGO, IFO</t>
        </is>
      </c>
      <c r="H1030" t="inlineStr">
        <is>
          <t>Existing</t>
        </is>
      </c>
      <c r="I1030" t="inlineStr">
        <is>
          <t>N</t>
        </is>
      </c>
    </row>
    <row r="1031">
      <c r="A1031" t="inlineStr">
        <is>
          <t>LFC7515</t>
        </is>
      </c>
      <c r="B1031" t="inlineStr">
        <is>
          <t>LFC7515</t>
        </is>
      </c>
      <c r="C1031" t="inlineStr">
        <is>
          <t>ILOGBO OTA</t>
        </is>
      </c>
      <c r="D1031" t="inlineStr">
        <is>
          <t>N</t>
        </is>
      </c>
      <c r="E1031" t="inlineStr">
        <is>
          <t>Y</t>
        </is>
      </c>
      <c r="F1031" t="inlineStr">
        <is>
          <t>15</t>
        </is>
      </c>
      <c r="G1031" t="inlineStr">
        <is>
          <t>8 IFESOWAPO STREET IDIOROGBO ABUDU IYANA ILOGBO</t>
        </is>
      </c>
      <c r="H1031" t="inlineStr">
        <is>
          <t>Existing</t>
        </is>
      </c>
      <c r="I1031" t="inlineStr">
        <is>
          <t>N</t>
        </is>
      </c>
    </row>
    <row r="1032">
      <c r="A1032" t="inlineStr">
        <is>
          <t>LFC7516</t>
        </is>
      </c>
      <c r="B1032" t="inlineStr">
        <is>
          <t>LFC7516</t>
        </is>
      </c>
      <c r="C1032" t="inlineStr">
        <is>
          <t>ILOGBO OTA</t>
        </is>
      </c>
      <c r="D1032" t="inlineStr">
        <is>
          <t>N</t>
        </is>
      </c>
      <c r="E1032" t="inlineStr">
        <is>
          <t>Y</t>
        </is>
      </c>
      <c r="F1032" t="inlineStr">
        <is>
          <t>16</t>
        </is>
      </c>
      <c r="G1032" t="inlineStr">
        <is>
          <t>OKE OSA TIGBO ZONAL CENTER</t>
        </is>
      </c>
      <c r="H1032" t="inlineStr">
        <is>
          <t>Existing</t>
        </is>
      </c>
      <c r="I1032" t="inlineStr">
        <is>
          <t>N</t>
        </is>
      </c>
    </row>
    <row r="1033">
      <c r="A1033" t="inlineStr">
        <is>
          <t>LFC7517</t>
        </is>
      </c>
      <c r="B1033" t="inlineStr">
        <is>
          <t>LFC7517</t>
        </is>
      </c>
      <c r="C1033" t="inlineStr">
        <is>
          <t>ILOGBO OTA</t>
        </is>
      </c>
      <c r="D1033" t="inlineStr">
        <is>
          <t>N</t>
        </is>
      </c>
      <c r="E1033" t="inlineStr">
        <is>
          <t>Y</t>
        </is>
      </c>
      <c r="F1033" t="inlineStr">
        <is>
          <t>17</t>
        </is>
      </c>
      <c r="G1033" t="inlineStr">
        <is>
          <t>ELEBUTE AKUSERE ZONAL CENTER</t>
        </is>
      </c>
      <c r="H1033" t="inlineStr">
        <is>
          <t>Existing</t>
        </is>
      </c>
      <c r="I1033" t="inlineStr">
        <is>
          <t>N</t>
        </is>
      </c>
    </row>
    <row r="1034">
      <c r="A1034" t="inlineStr">
        <is>
          <t>LFC7518</t>
        </is>
      </c>
      <c r="B1034" t="inlineStr">
        <is>
          <t>LFC7518</t>
        </is>
      </c>
      <c r="C1034" t="inlineStr">
        <is>
          <t>ILOGBO OTA</t>
        </is>
      </c>
      <c r="D1034" t="inlineStr">
        <is>
          <t>N</t>
        </is>
      </c>
      <c r="E1034" t="inlineStr">
        <is>
          <t>Y</t>
        </is>
      </c>
      <c r="F1034" t="inlineStr">
        <is>
          <t>18</t>
        </is>
      </c>
      <c r="G1034" t="inlineStr">
        <is>
          <t>FAGBAYI VILLAGE, IGBUSI</t>
        </is>
      </c>
      <c r="H1034" t="inlineStr">
        <is>
          <t>Existing</t>
        </is>
      </c>
      <c r="I1034" t="inlineStr">
        <is>
          <t>N</t>
        </is>
      </c>
    </row>
    <row r="1035">
      <c r="A1035" t="inlineStr">
        <is>
          <t>LFC7519</t>
        </is>
      </c>
      <c r="B1035" t="inlineStr">
        <is>
          <t>LFC7519</t>
        </is>
      </c>
      <c r="C1035" t="inlineStr">
        <is>
          <t>ILOGBO OTA</t>
        </is>
      </c>
      <c r="D1035" t="inlineStr">
        <is>
          <t>N</t>
        </is>
      </c>
      <c r="E1035" t="inlineStr">
        <is>
          <t>Y</t>
        </is>
      </c>
      <c r="F1035" t="inlineStr">
        <is>
          <t>19</t>
        </is>
      </c>
      <c r="G1035" t="inlineStr">
        <is>
          <t>KAJOLA OGUNGBADE TOWN</t>
        </is>
      </c>
      <c r="H1035" t="inlineStr">
        <is>
          <t>Existing</t>
        </is>
      </c>
      <c r="I1035" t="inlineStr">
        <is>
          <t>N</t>
        </is>
      </c>
    </row>
    <row r="1036">
      <c r="A1036" t="inlineStr">
        <is>
          <t>LFC7520</t>
        </is>
      </c>
      <c r="B1036" t="inlineStr">
        <is>
          <t>LFC7520</t>
        </is>
      </c>
      <c r="C1036" t="inlineStr">
        <is>
          <t>ILOGBO OTA</t>
        </is>
      </c>
      <c r="D1036" t="inlineStr">
        <is>
          <t>N</t>
        </is>
      </c>
      <c r="E1036" t="inlineStr">
        <is>
          <t>Y</t>
        </is>
      </c>
      <c r="F1036" t="inlineStr">
        <is>
          <t>20</t>
        </is>
      </c>
      <c r="G1036" t="inlineStr">
        <is>
          <t>AJEROGUN ABUDU IYANA ILOGBO</t>
        </is>
      </c>
      <c r="H1036" t="inlineStr">
        <is>
          <t>Existing</t>
        </is>
      </c>
      <c r="I1036" t="inlineStr">
        <is>
          <t>N</t>
        </is>
      </c>
    </row>
    <row r="1037">
      <c r="A1037" t="inlineStr">
        <is>
          <t>LFC7521</t>
        </is>
      </c>
      <c r="B1037" t="inlineStr">
        <is>
          <t>LFC7521</t>
        </is>
      </c>
      <c r="C1037" t="inlineStr">
        <is>
          <t>ILOGBO OTA</t>
        </is>
      </c>
      <c r="D1037" t="inlineStr">
        <is>
          <t>N</t>
        </is>
      </c>
      <c r="E1037" t="inlineStr">
        <is>
          <t>Y</t>
        </is>
      </c>
      <c r="F1037" t="inlineStr">
        <is>
          <t>21</t>
        </is>
      </c>
      <c r="G1037" t="inlineStr">
        <is>
          <t>1 &amp;2, OPEYEMI STREET, PAKOTO, IFO</t>
        </is>
      </c>
      <c r="H1037" t="inlineStr">
        <is>
          <t>New (proposed)</t>
        </is>
      </c>
      <c r="I1037" t="inlineStr">
        <is>
          <t>N</t>
        </is>
      </c>
    </row>
    <row r="1038">
      <c r="A1038" t="inlineStr">
        <is>
          <t>LFC7522</t>
        </is>
      </c>
      <c r="B1038" t="inlineStr">
        <is>
          <t>LFC7522</t>
        </is>
      </c>
      <c r="C1038" t="inlineStr">
        <is>
          <t>ILOGBO OTA</t>
        </is>
      </c>
      <c r="D1038" t="inlineStr">
        <is>
          <t>N</t>
        </is>
      </c>
      <c r="E1038" t="inlineStr">
        <is>
          <t>Y</t>
        </is>
      </c>
      <c r="F1038" t="inlineStr">
        <is>
          <t>22</t>
        </is>
      </c>
      <c r="G1038" t="inlineStr">
        <is>
          <t>PEACE ZONE/ 74, MANUMI MARKET ROAD, ILOGBO</t>
        </is>
      </c>
      <c r="H1038" t="inlineStr">
        <is>
          <t>New (proposed)</t>
        </is>
      </c>
      <c r="I1038" t="inlineStr">
        <is>
          <t>N</t>
        </is>
      </c>
    </row>
    <row r="1039">
      <c r="A1039" t="inlineStr">
        <is>
          <t>LFC7600</t>
        </is>
      </c>
      <c r="B1039" t="inlineStr">
        <is>
          <t>LFC7600</t>
        </is>
      </c>
      <c r="C1039" t="inlineStr">
        <is>
          <t>IJOKO</t>
        </is>
      </c>
      <c r="D1039" t="inlineStr">
        <is>
          <t>N</t>
        </is>
      </c>
      <c r="E1039" t="inlineStr">
        <is>
          <t>Y</t>
        </is>
      </c>
      <c r="F1039" t="inlineStr">
        <is>
          <t>0</t>
        </is>
      </c>
      <c r="G1039" t="inlineStr">
        <is>
          <t>CELAK</t>
        </is>
      </c>
      <c r="H1039" t="inlineStr">
        <is>
          <t>From reporting system</t>
        </is>
      </c>
      <c r="I1039" t="inlineStr">
        <is>
          <t>N</t>
        </is>
      </c>
    </row>
    <row r="1040">
      <c r="A1040" t="inlineStr">
        <is>
          <t>LFC7601</t>
        </is>
      </c>
      <c r="B1040" t="inlineStr">
        <is>
          <t>LFC7601</t>
        </is>
      </c>
      <c r="C1040" t="inlineStr">
        <is>
          <t>IJOKO</t>
        </is>
      </c>
      <c r="D1040" t="inlineStr">
        <is>
          <t>Y</t>
        </is>
      </c>
      <c r="E1040" t="inlineStr">
        <is>
          <t>Y</t>
        </is>
      </c>
      <c r="F1040" t="inlineStr">
        <is>
          <t>1</t>
        </is>
      </c>
      <c r="G1040" t="inlineStr">
        <is>
          <t>20 EGBEDEYI CLOSE, SANGO OTA</t>
        </is>
      </c>
      <c r="H1040" t="inlineStr">
        <is>
          <t>Existing</t>
        </is>
      </c>
      <c r="I1040" t="inlineStr">
        <is>
          <t>N</t>
        </is>
      </c>
    </row>
    <row r="1041">
      <c r="A1041" t="inlineStr">
        <is>
          <t>LFC7602</t>
        </is>
      </c>
      <c r="B1041" t="inlineStr">
        <is>
          <t>LFC7602</t>
        </is>
      </c>
      <c r="C1041" t="inlineStr">
        <is>
          <t>IJOKO</t>
        </is>
      </c>
      <c r="D1041" t="inlineStr">
        <is>
          <t>Y</t>
        </is>
      </c>
      <c r="E1041" t="inlineStr">
        <is>
          <t>Y</t>
        </is>
      </c>
      <c r="F1041" t="inlineStr">
        <is>
          <t>2</t>
        </is>
      </c>
      <c r="G1041" t="inlineStr">
        <is>
          <t>1 ALHAJI SANNI CLOSE TEMIDIRE SANGO OTA</t>
        </is>
      </c>
      <c r="H1041" t="inlineStr">
        <is>
          <t>Existing</t>
        </is>
      </c>
      <c r="I1041" t="inlineStr">
        <is>
          <t>N</t>
        </is>
      </c>
    </row>
    <row r="1042">
      <c r="A1042" t="inlineStr">
        <is>
          <t>LFC7603</t>
        </is>
      </c>
      <c r="B1042" t="inlineStr">
        <is>
          <t>LFC7603</t>
        </is>
      </c>
      <c r="C1042" t="inlineStr">
        <is>
          <t>IJOKO</t>
        </is>
      </c>
      <c r="D1042" t="inlineStr">
        <is>
          <t>Y</t>
        </is>
      </c>
      <c r="E1042" t="inlineStr">
        <is>
          <t>Y</t>
        </is>
      </c>
      <c r="F1042" t="inlineStr">
        <is>
          <t>3</t>
        </is>
      </c>
      <c r="G1042" t="inlineStr">
        <is>
          <t>9 AJALA CLOSE TEMIDIRE SANGO OTA</t>
        </is>
      </c>
      <c r="H1042" t="inlineStr">
        <is>
          <t>Existing</t>
        </is>
      </c>
      <c r="I1042" t="inlineStr">
        <is>
          <t>N</t>
        </is>
      </c>
    </row>
    <row r="1043">
      <c r="A1043" t="inlineStr">
        <is>
          <t>LFC7604</t>
        </is>
      </c>
      <c r="B1043" t="inlineStr">
        <is>
          <t>LFC7604</t>
        </is>
      </c>
      <c r="C1043" t="inlineStr">
        <is>
          <t>IJOKO</t>
        </is>
      </c>
      <c r="D1043" t="inlineStr">
        <is>
          <t>Y</t>
        </is>
      </c>
      <c r="E1043" t="inlineStr">
        <is>
          <t>Y</t>
        </is>
      </c>
      <c r="F1043" t="inlineStr">
        <is>
          <t>4</t>
        </is>
      </c>
      <c r="G1043" t="inlineStr">
        <is>
          <t>18 TARMAC ROAD, TEMIDIRE SANGO OTA</t>
        </is>
      </c>
      <c r="H1043" t="inlineStr">
        <is>
          <t>Existing</t>
        </is>
      </c>
      <c r="I1043" t="inlineStr">
        <is>
          <t>N</t>
        </is>
      </c>
    </row>
    <row r="1044">
      <c r="A1044" t="inlineStr">
        <is>
          <t>LFC7605</t>
        </is>
      </c>
      <c r="B1044" t="inlineStr">
        <is>
          <t>LFC7605</t>
        </is>
      </c>
      <c r="C1044" t="inlineStr">
        <is>
          <t>IJOKO</t>
        </is>
      </c>
      <c r="D1044" t="inlineStr">
        <is>
          <t>Y</t>
        </is>
      </c>
      <c r="E1044" t="inlineStr">
        <is>
          <t>Y</t>
        </is>
      </c>
      <c r="F1044" t="inlineStr">
        <is>
          <t>5</t>
        </is>
      </c>
      <c r="G1044" t="inlineStr">
        <is>
          <t>11 ISHOLA, ADEKUNLE STREET, ILOYE, SANGO OTA</t>
        </is>
      </c>
      <c r="H1044" t="inlineStr">
        <is>
          <t>Existing</t>
        </is>
      </c>
      <c r="I1044" t="inlineStr">
        <is>
          <t>N</t>
        </is>
      </c>
    </row>
    <row r="1045">
      <c r="A1045" t="inlineStr">
        <is>
          <t>LFC7606</t>
        </is>
      </c>
      <c r="B1045" t="inlineStr">
        <is>
          <t>LFC7606</t>
        </is>
      </c>
      <c r="C1045" t="inlineStr">
        <is>
          <t>IJOKO</t>
        </is>
      </c>
      <c r="D1045" t="inlineStr">
        <is>
          <t>Y</t>
        </is>
      </c>
      <c r="E1045" t="inlineStr">
        <is>
          <t>Y</t>
        </is>
      </c>
      <c r="F1045" t="inlineStr">
        <is>
          <t>6</t>
        </is>
      </c>
      <c r="G1045" t="inlineStr">
        <is>
          <t>10 BASHIRU ATANDA STR ESUYAGO</t>
        </is>
      </c>
      <c r="H1045" t="inlineStr">
        <is>
          <t>Existing</t>
        </is>
      </c>
      <c r="I1045" t="inlineStr">
        <is>
          <t>Y</t>
        </is>
      </c>
    </row>
    <row r="1046">
      <c r="A1046" t="inlineStr">
        <is>
          <t>LFC7607</t>
        </is>
      </c>
      <c r="B1046" t="inlineStr">
        <is>
          <t>LFC7607</t>
        </is>
      </c>
      <c r="C1046" t="inlineStr">
        <is>
          <t>IJOKO</t>
        </is>
      </c>
      <c r="D1046" t="inlineStr">
        <is>
          <t>Y</t>
        </is>
      </c>
      <c r="E1046" t="inlineStr">
        <is>
          <t>Y</t>
        </is>
      </c>
      <c r="F1046" t="inlineStr">
        <is>
          <t>7</t>
        </is>
      </c>
      <c r="G1046" t="inlineStr">
        <is>
          <t>ADAKEJA STREET OFF JIDE TAIWO, ILOYE</t>
        </is>
      </c>
      <c r="H1046" t="inlineStr">
        <is>
          <t>Existing</t>
        </is>
      </c>
      <c r="I1046" t="inlineStr">
        <is>
          <t>N</t>
        </is>
      </c>
    </row>
    <row r="1047">
      <c r="A1047" t="inlineStr">
        <is>
          <t>LFC7608</t>
        </is>
      </c>
      <c r="B1047" t="inlineStr">
        <is>
          <t>LFC7608</t>
        </is>
      </c>
      <c r="C1047" t="inlineStr">
        <is>
          <t>IJOKO</t>
        </is>
      </c>
      <c r="D1047" t="inlineStr">
        <is>
          <t>Y</t>
        </is>
      </c>
      <c r="E1047" t="inlineStr">
        <is>
          <t>Y</t>
        </is>
      </c>
      <c r="F1047" t="inlineStr">
        <is>
          <t>8</t>
        </is>
      </c>
      <c r="G1047" t="inlineStr">
        <is>
          <t>1 BINTINLAYE ST END OF OLUMO ST DALEMO SANGO</t>
        </is>
      </c>
      <c r="H1047" t="inlineStr">
        <is>
          <t>Existing</t>
        </is>
      </c>
      <c r="I1047" t="inlineStr">
        <is>
          <t>N</t>
        </is>
      </c>
    </row>
    <row r="1048">
      <c r="A1048" t="inlineStr">
        <is>
          <t>LFC7609</t>
        </is>
      </c>
      <c r="B1048" t="inlineStr">
        <is>
          <t>LFC7609</t>
        </is>
      </c>
      <c r="C1048" t="inlineStr">
        <is>
          <t>IJOKO</t>
        </is>
      </c>
      <c r="D1048" t="inlineStr">
        <is>
          <t>Y</t>
        </is>
      </c>
      <c r="E1048" t="inlineStr">
        <is>
          <t>Y</t>
        </is>
      </c>
      <c r="F1048" t="inlineStr">
        <is>
          <t>9</t>
        </is>
      </c>
      <c r="G1048" t="inlineStr">
        <is>
          <t>15 TIMI AGBALE STR ILOYE PROMISELAND</t>
        </is>
      </c>
      <c r="H1048" t="inlineStr">
        <is>
          <t>Existing</t>
        </is>
      </c>
      <c r="I1048" t="inlineStr">
        <is>
          <t>N</t>
        </is>
      </c>
    </row>
    <row r="1049">
      <c r="A1049" t="inlineStr">
        <is>
          <t>LFC7610</t>
        </is>
      </c>
      <c r="B1049" t="inlineStr">
        <is>
          <t>LFC7610</t>
        </is>
      </c>
      <c r="C1049" t="inlineStr">
        <is>
          <t>IJOKO</t>
        </is>
      </c>
      <c r="D1049" t="inlineStr">
        <is>
          <t>Y</t>
        </is>
      </c>
      <c r="E1049" t="inlineStr">
        <is>
          <t>Y</t>
        </is>
      </c>
      <c r="F1049" t="inlineStr">
        <is>
          <t>10</t>
        </is>
      </c>
      <c r="G1049" t="inlineStr">
        <is>
          <t>40, LEKAN ADEYEMI STREET</t>
        </is>
      </c>
      <c r="H1049" t="inlineStr">
        <is>
          <t>Existing</t>
        </is>
      </c>
      <c r="I1049" t="inlineStr">
        <is>
          <t>N</t>
        </is>
      </c>
    </row>
    <row r="1050">
      <c r="A1050" t="inlineStr">
        <is>
          <t>LFC7611</t>
        </is>
      </c>
      <c r="B1050" t="inlineStr">
        <is>
          <t>LFC7611</t>
        </is>
      </c>
      <c r="C1050" t="inlineStr">
        <is>
          <t>IJOKO</t>
        </is>
      </c>
      <c r="D1050" t="inlineStr">
        <is>
          <t>Y</t>
        </is>
      </c>
      <c r="E1050" t="inlineStr">
        <is>
          <t>Y</t>
        </is>
      </c>
      <c r="F1050" t="inlineStr">
        <is>
          <t>11</t>
        </is>
      </c>
      <c r="G1050" t="inlineStr">
        <is>
          <t>10, ADUKE STREET ERINKO</t>
        </is>
      </c>
      <c r="H1050" t="inlineStr">
        <is>
          <t>Existing</t>
        </is>
      </c>
      <c r="I1050" t="inlineStr">
        <is>
          <t>N</t>
        </is>
      </c>
    </row>
    <row r="1051">
      <c r="A1051" t="inlineStr">
        <is>
          <t>LFC7612</t>
        </is>
      </c>
      <c r="B1051" t="inlineStr">
        <is>
          <t>LFC7612</t>
        </is>
      </c>
      <c r="C1051" t="inlineStr">
        <is>
          <t>IJOKO</t>
        </is>
      </c>
      <c r="D1051" t="inlineStr">
        <is>
          <t>Y</t>
        </is>
      </c>
      <c r="E1051" t="inlineStr">
        <is>
          <t>Y</t>
        </is>
      </c>
      <c r="F1051" t="inlineStr">
        <is>
          <t>12</t>
        </is>
      </c>
      <c r="G1051" t="inlineStr">
        <is>
          <t>96 GASLNE ROAD OFF IJOKO ROAD</t>
        </is>
      </c>
      <c r="H1051" t="inlineStr">
        <is>
          <t>Existing</t>
        </is>
      </c>
      <c r="I1051" t="inlineStr">
        <is>
          <t>N</t>
        </is>
      </c>
    </row>
    <row r="1052">
      <c r="A1052" t="inlineStr">
        <is>
          <t>LFC7613</t>
        </is>
      </c>
      <c r="B1052" t="inlineStr">
        <is>
          <t>LFC7613</t>
        </is>
      </c>
      <c r="C1052" t="inlineStr">
        <is>
          <t>IJOKO</t>
        </is>
      </c>
      <c r="D1052" t="inlineStr">
        <is>
          <t>Y</t>
        </is>
      </c>
      <c r="E1052" t="inlineStr">
        <is>
          <t>Y</t>
        </is>
      </c>
      <c r="F1052" t="inlineStr">
        <is>
          <t>13</t>
        </is>
      </c>
      <c r="G1052" t="inlineStr">
        <is>
          <t>26 UNITY CLOSE ERINKO IJOKO</t>
        </is>
      </c>
      <c r="H1052" t="inlineStr">
        <is>
          <t>Existing</t>
        </is>
      </c>
      <c r="I1052" t="inlineStr">
        <is>
          <t>N</t>
        </is>
      </c>
    </row>
    <row r="1053">
      <c r="A1053" t="inlineStr">
        <is>
          <t>LFC7614</t>
        </is>
      </c>
      <c r="B1053" t="inlineStr">
        <is>
          <t>LFC7614</t>
        </is>
      </c>
      <c r="C1053" t="inlineStr">
        <is>
          <t>IJOKO</t>
        </is>
      </c>
      <c r="D1053" t="inlineStr">
        <is>
          <t>N</t>
        </is>
      </c>
      <c r="E1053" t="inlineStr">
        <is>
          <t>Y</t>
        </is>
      </c>
      <c r="F1053" t="inlineStr">
        <is>
          <t>14</t>
        </is>
      </c>
      <c r="G1053" t="inlineStr">
        <is>
          <t>12 OKE ATUNYAN STR ILOYE SANGO</t>
        </is>
      </c>
      <c r="H1053" t="inlineStr">
        <is>
          <t>Existing</t>
        </is>
      </c>
      <c r="I1053" t="inlineStr">
        <is>
          <t>N</t>
        </is>
      </c>
    </row>
    <row r="1054">
      <c r="A1054" t="inlineStr">
        <is>
          <t>LFC7615</t>
        </is>
      </c>
      <c r="B1054" t="inlineStr">
        <is>
          <t>LFC7615</t>
        </is>
      </c>
      <c r="C1054" t="inlineStr">
        <is>
          <t>IJOKO</t>
        </is>
      </c>
      <c r="D1054" t="inlineStr">
        <is>
          <t>N</t>
        </is>
      </c>
      <c r="E1054" t="inlineStr">
        <is>
          <t>Y</t>
        </is>
      </c>
      <c r="F1054" t="inlineStr">
        <is>
          <t>15</t>
        </is>
      </c>
      <c r="G1054" t="inlineStr">
        <is>
          <t>9 CELAK AVENUE OFF OLATAN RD OANDO IJOKO</t>
        </is>
      </c>
      <c r="H1054" t="inlineStr">
        <is>
          <t>Existing</t>
        </is>
      </c>
      <c r="I1054" t="inlineStr">
        <is>
          <t>N</t>
        </is>
      </c>
    </row>
    <row r="1055">
      <c r="A1055" t="inlineStr">
        <is>
          <t>LFC7616</t>
        </is>
      </c>
      <c r="B1055" t="inlineStr">
        <is>
          <t>LFC7616</t>
        </is>
      </c>
      <c r="C1055" t="inlineStr">
        <is>
          <t>IJOKO</t>
        </is>
      </c>
      <c r="D1055" t="inlineStr">
        <is>
          <t>N</t>
        </is>
      </c>
      <c r="E1055" t="inlineStr">
        <is>
          <t>Y</t>
        </is>
      </c>
      <c r="F1055" t="inlineStr">
        <is>
          <t>16</t>
        </is>
      </c>
      <c r="G1055" t="inlineStr">
        <is>
          <t>9 OMODUNMOYE CLOSE OFF GASLINE OFF IJOKO</t>
        </is>
      </c>
      <c r="H1055" t="inlineStr">
        <is>
          <t>Existing</t>
        </is>
      </c>
      <c r="I1055" t="inlineStr">
        <is>
          <t>N</t>
        </is>
      </c>
    </row>
    <row r="1056">
      <c r="A1056" t="inlineStr">
        <is>
          <t>LFC7701</t>
        </is>
      </c>
      <c r="B1056" t="inlineStr">
        <is>
          <t>LFC7701</t>
        </is>
      </c>
      <c r="C1056" t="inlineStr">
        <is>
          <t>WHITEHOUSE</t>
        </is>
      </c>
      <c r="D1056" t="inlineStr">
        <is>
          <t>Y</t>
        </is>
      </c>
      <c r="E1056" t="inlineStr">
        <is>
          <t>Y</t>
        </is>
      </c>
      <c r="F1056" t="inlineStr">
        <is>
          <t>1</t>
        </is>
      </c>
      <c r="G1056" t="inlineStr">
        <is>
          <t>WHITEHOUSE</t>
        </is>
      </c>
      <c r="H1056" t="inlineStr">
        <is>
          <t>Existing</t>
        </is>
      </c>
      <c r="I1056" t="inlineStr">
        <is>
          <t>N</t>
        </is>
      </c>
    </row>
    <row r="1057">
      <c r="A1057" t="inlineStr">
        <is>
          <t>LFC7702</t>
        </is>
      </c>
      <c r="B1057" t="inlineStr">
        <is>
          <t>LFC7702</t>
        </is>
      </c>
      <c r="C1057" t="inlineStr">
        <is>
          <t>WHITEHOUSE</t>
        </is>
      </c>
      <c r="D1057" t="inlineStr">
        <is>
          <t>Y</t>
        </is>
      </c>
      <c r="E1057" t="inlineStr">
        <is>
          <t>Y</t>
        </is>
      </c>
      <c r="F1057" t="inlineStr">
        <is>
          <t>2</t>
        </is>
      </c>
      <c r="G1057" t="inlineStr">
        <is>
          <t>132, NTABO ROAD, ERUOBODO, IJOKO</t>
        </is>
      </c>
      <c r="H1057" t="inlineStr">
        <is>
          <t>Existing</t>
        </is>
      </c>
      <c r="I1057" t="inlineStr">
        <is>
          <t>Y</t>
        </is>
      </c>
    </row>
    <row r="1058">
      <c r="A1058" t="inlineStr">
        <is>
          <t>LFC7703</t>
        </is>
      </c>
      <c r="B1058" t="inlineStr">
        <is>
          <t>LFC7703</t>
        </is>
      </c>
      <c r="C1058" t="inlineStr">
        <is>
          <t>WHITEHOUSE</t>
        </is>
      </c>
      <c r="D1058" t="inlineStr">
        <is>
          <t>N</t>
        </is>
      </c>
      <c r="E1058" t="inlineStr">
        <is>
          <t>Y</t>
        </is>
      </c>
      <c r="F1058" t="inlineStr">
        <is>
          <t>3</t>
        </is>
      </c>
      <c r="G1058" t="inlineStr">
        <is>
          <t>3, PLENTY STREET, FARM AREA, GBORIDURO, IJOKO</t>
        </is>
      </c>
      <c r="H1058" t="inlineStr">
        <is>
          <t>Existing</t>
        </is>
      </c>
      <c r="I1058" t="inlineStr">
        <is>
          <t>Y</t>
        </is>
      </c>
    </row>
    <row r="1059">
      <c r="A1059" t="inlineStr">
        <is>
          <t>LFC7704</t>
        </is>
      </c>
      <c r="B1059" t="inlineStr">
        <is>
          <t>LFC7704</t>
        </is>
      </c>
      <c r="C1059" t="inlineStr">
        <is>
          <t>WHITEHOUSE</t>
        </is>
      </c>
      <c r="D1059" t="inlineStr">
        <is>
          <t>Y</t>
        </is>
      </c>
      <c r="E1059" t="inlineStr">
        <is>
          <t>Y</t>
        </is>
      </c>
      <c r="F1059" t="inlineStr">
        <is>
          <t>4</t>
        </is>
      </c>
      <c r="G1059" t="inlineStr">
        <is>
          <t>BLOSSOM ARC SCH, 11,AKERELE AWELA ROAD,AREPO</t>
        </is>
      </c>
      <c r="H1059" t="inlineStr">
        <is>
          <t>Existing</t>
        </is>
      </c>
      <c r="I1059" t="inlineStr">
        <is>
          <t>N</t>
        </is>
      </c>
    </row>
    <row r="1060">
      <c r="A1060" t="inlineStr">
        <is>
          <t>LFC7705</t>
        </is>
      </c>
      <c r="B1060" t="inlineStr">
        <is>
          <t>LFC7705</t>
        </is>
      </c>
      <c r="C1060" t="inlineStr">
        <is>
          <t>WHITEHOUSE</t>
        </is>
      </c>
      <c r="D1060" t="inlineStr">
        <is>
          <t>Y</t>
        </is>
      </c>
      <c r="E1060" t="inlineStr">
        <is>
          <t>Y</t>
        </is>
      </c>
      <c r="F1060" t="inlineStr">
        <is>
          <t>5</t>
        </is>
      </c>
      <c r="G1060" t="inlineStr">
        <is>
          <t>VICDEL INT. SCH. ONIMALU FADUNSI IJOKO</t>
        </is>
      </c>
      <c r="H1060" t="inlineStr">
        <is>
          <t>Existing</t>
        </is>
      </c>
      <c r="I1060" t="inlineStr">
        <is>
          <t>N</t>
        </is>
      </c>
    </row>
    <row r="1061">
      <c r="A1061" t="inlineStr">
        <is>
          <t>LFC7706</t>
        </is>
      </c>
      <c r="B1061" t="inlineStr">
        <is>
          <t>LFC7706</t>
        </is>
      </c>
      <c r="C1061" t="inlineStr">
        <is>
          <t>WHITEHOUSE</t>
        </is>
      </c>
      <c r="D1061" t="inlineStr">
        <is>
          <t>Y</t>
        </is>
      </c>
      <c r="E1061" t="inlineStr">
        <is>
          <t>Y</t>
        </is>
      </c>
      <c r="F1061" t="inlineStr">
        <is>
          <t>6</t>
        </is>
      </c>
      <c r="G1061" t="inlineStr">
        <is>
          <t>8 ADEBAYO STREET, NTABO BUS STOP, OGBAAYO IJOKO</t>
        </is>
      </c>
      <c r="H1061" t="inlineStr">
        <is>
          <t>Existing</t>
        </is>
      </c>
      <c r="I1061" t="inlineStr">
        <is>
          <t>N</t>
        </is>
      </c>
    </row>
    <row r="1062">
      <c r="A1062" t="inlineStr">
        <is>
          <t>LFC7707</t>
        </is>
      </c>
      <c r="B1062" t="inlineStr">
        <is>
          <t>LFC7707</t>
        </is>
      </c>
      <c r="C1062" t="inlineStr">
        <is>
          <t>WHITEHOUSE</t>
        </is>
      </c>
      <c r="D1062" t="inlineStr">
        <is>
          <t>N</t>
        </is>
      </c>
      <c r="E1062" t="inlineStr">
        <is>
          <t>Y</t>
        </is>
      </c>
      <c r="F1062" t="inlineStr">
        <is>
          <t>7</t>
        </is>
      </c>
      <c r="G1062" t="inlineStr">
        <is>
          <t>16 GABRIEL ONIFADE STREET, OGBAAYO IJOKO</t>
        </is>
      </c>
      <c r="H1062" t="inlineStr">
        <is>
          <t>Existing</t>
        </is>
      </c>
      <c r="I1062" t="inlineStr">
        <is>
          <t>N</t>
        </is>
      </c>
    </row>
    <row r="1063">
      <c r="A1063" t="inlineStr">
        <is>
          <t>LFC7708</t>
        </is>
      </c>
      <c r="B1063" t="inlineStr">
        <is>
          <t>LFC7708</t>
        </is>
      </c>
      <c r="C1063" t="inlineStr">
        <is>
          <t>WHITEHOUSE</t>
        </is>
      </c>
      <c r="D1063" t="inlineStr">
        <is>
          <t>Y</t>
        </is>
      </c>
      <c r="E1063" t="inlineStr">
        <is>
          <t>Y</t>
        </is>
      </c>
      <c r="F1063" t="inlineStr">
        <is>
          <t>8</t>
        </is>
      </c>
      <c r="G1063" t="inlineStr">
        <is>
          <t>46, AARE ROAD ABULE IJOKO</t>
        </is>
      </c>
      <c r="H1063" t="inlineStr">
        <is>
          <t>Existing</t>
        </is>
      </c>
      <c r="I1063" t="inlineStr">
        <is>
          <t>Y</t>
        </is>
      </c>
    </row>
    <row r="1064">
      <c r="A1064" t="inlineStr">
        <is>
          <t>LFC7709</t>
        </is>
      </c>
      <c r="B1064" t="inlineStr">
        <is>
          <t>LFC7709</t>
        </is>
      </c>
      <c r="C1064" t="inlineStr">
        <is>
          <t>WHITEHOUSE</t>
        </is>
      </c>
      <c r="D1064" t="inlineStr">
        <is>
          <t>N</t>
        </is>
      </c>
      <c r="E1064" t="inlineStr">
        <is>
          <t>Y</t>
        </is>
      </c>
      <c r="F1064" t="inlineStr">
        <is>
          <t>9</t>
        </is>
      </c>
      <c r="G1064" t="inlineStr">
        <is>
          <t>L&amp; K AMINU STR, WHITE HOUSE B/STOP, OJASOPE, ABULE IJOKO</t>
        </is>
      </c>
      <c r="H1064" t="inlineStr">
        <is>
          <t>Existing</t>
        </is>
      </c>
      <c r="I1064" t="inlineStr">
        <is>
          <t>N</t>
        </is>
      </c>
    </row>
    <row r="1065">
      <c r="A1065" t="inlineStr">
        <is>
          <t>LFC7710</t>
        </is>
      </c>
      <c r="B1065" t="inlineStr">
        <is>
          <t>LFC7710</t>
        </is>
      </c>
      <c r="C1065" t="inlineStr">
        <is>
          <t>WHITEHOUSE</t>
        </is>
      </c>
      <c r="D1065" t="inlineStr">
        <is>
          <t>Y</t>
        </is>
      </c>
      <c r="E1065" t="inlineStr">
        <is>
          <t>Y</t>
        </is>
      </c>
      <c r="F1065" t="inlineStr">
        <is>
          <t>10</t>
        </is>
      </c>
      <c r="G1065" t="inlineStr">
        <is>
          <t>ODULANGUN, NTABO VILLAGE</t>
        </is>
      </c>
      <c r="H1065" t="inlineStr">
        <is>
          <t>Existing</t>
        </is>
      </c>
      <c r="I1065" t="inlineStr">
        <is>
          <t>Y</t>
        </is>
      </c>
    </row>
    <row r="1066">
      <c r="A1066" t="inlineStr">
        <is>
          <t>LFC7711</t>
        </is>
      </c>
      <c r="B1066" t="inlineStr">
        <is>
          <t>LFC7711</t>
        </is>
      </c>
      <c r="C1066" t="inlineStr">
        <is>
          <t>WHITEHOUSE</t>
        </is>
      </c>
      <c r="D1066" t="inlineStr">
        <is>
          <t>N</t>
        </is>
      </c>
      <c r="E1066" t="inlineStr">
        <is>
          <t>Y</t>
        </is>
      </c>
      <c r="F1066" t="inlineStr">
        <is>
          <t>11</t>
        </is>
      </c>
      <c r="G1066" t="inlineStr">
        <is>
          <t>1, OBANIJESU AVENUE OFF ROBINYAN ROAD</t>
        </is>
      </c>
      <c r="H1066" t="inlineStr">
        <is>
          <t>Existing</t>
        </is>
      </c>
      <c r="I1066" t="inlineStr">
        <is>
          <t>Y</t>
        </is>
      </c>
    </row>
    <row r="1067">
      <c r="A1067" t="inlineStr">
        <is>
          <t>LFC7712</t>
        </is>
      </c>
      <c r="B1067" t="inlineStr">
        <is>
          <t>LFC7712</t>
        </is>
      </c>
      <c r="C1067" t="inlineStr">
        <is>
          <t>WHITEHOUSE</t>
        </is>
      </c>
      <c r="D1067" t="inlineStr">
        <is>
          <t>Y</t>
        </is>
      </c>
      <c r="E1067" t="inlineStr">
        <is>
          <t>Y</t>
        </is>
      </c>
      <c r="F1067" t="inlineStr">
        <is>
          <t>12</t>
        </is>
      </c>
      <c r="G1067" t="inlineStr">
        <is>
          <t>SHINE-SHINE HILL TOP, OYERO</t>
        </is>
      </c>
      <c r="H1067" t="inlineStr">
        <is>
          <t>Existing</t>
        </is>
      </c>
      <c r="I1067" t="inlineStr">
        <is>
          <t>N</t>
        </is>
      </c>
    </row>
    <row r="1068">
      <c r="A1068" t="inlineStr">
        <is>
          <t>LFC7713</t>
        </is>
      </c>
      <c r="B1068" t="inlineStr">
        <is>
          <t>LFC7713</t>
        </is>
      </c>
      <c r="C1068" t="inlineStr">
        <is>
          <t>WHITEHOUSE</t>
        </is>
      </c>
      <c r="D1068" t="inlineStr">
        <is>
          <t>N</t>
        </is>
      </c>
      <c r="E1068" t="inlineStr">
        <is>
          <t>Y</t>
        </is>
      </c>
      <c r="F1068" t="inlineStr">
        <is>
          <t>13</t>
        </is>
      </c>
      <c r="G1068" t="inlineStr">
        <is>
          <t>EWEMOJE EKERIN</t>
        </is>
      </c>
      <c r="H1068" t="inlineStr">
        <is>
          <t>Existing</t>
        </is>
      </c>
      <c r="I1068" t="inlineStr">
        <is>
          <t>Y</t>
        </is>
      </c>
    </row>
    <row r="1069">
      <c r="A1069" t="inlineStr">
        <is>
          <t>LFC7714</t>
        </is>
      </c>
      <c r="B1069" t="inlineStr">
        <is>
          <t>LFC7714</t>
        </is>
      </c>
      <c r="C1069" t="inlineStr">
        <is>
          <t>WHITEHOUSE</t>
        </is>
      </c>
      <c r="D1069" t="inlineStr">
        <is>
          <t>Y</t>
        </is>
      </c>
      <c r="E1069" t="inlineStr">
        <is>
          <t>Y</t>
        </is>
      </c>
      <c r="F1069" t="inlineStr">
        <is>
          <t>14</t>
        </is>
      </c>
      <c r="G1069" t="inlineStr">
        <is>
          <t>5, OLUDELE AJIBOLA ST, ALASIA OJA, IJOKO</t>
        </is>
      </c>
      <c r="H1069" t="inlineStr">
        <is>
          <t>Existing</t>
        </is>
      </c>
      <c r="I1069" t="inlineStr">
        <is>
          <t>N</t>
        </is>
      </c>
    </row>
    <row r="1070">
      <c r="A1070" t="inlineStr">
        <is>
          <t>LFC7715</t>
        </is>
      </c>
      <c r="B1070" t="inlineStr">
        <is>
          <t>LFC7715</t>
        </is>
      </c>
      <c r="C1070" t="inlineStr">
        <is>
          <t>WHITEHOUSE</t>
        </is>
      </c>
      <c r="D1070" t="inlineStr">
        <is>
          <t>Y</t>
        </is>
      </c>
      <c r="E1070" t="inlineStr">
        <is>
          <t>Y</t>
        </is>
      </c>
      <c r="F1070" t="inlineStr">
        <is>
          <t>15</t>
        </is>
      </c>
      <c r="G1070" t="inlineStr">
        <is>
          <t>AWURE, ARUGUDU, LISA</t>
        </is>
      </c>
      <c r="H1070" t="inlineStr">
        <is>
          <t>Existing</t>
        </is>
      </c>
      <c r="I1070" t="inlineStr">
        <is>
          <t>N</t>
        </is>
      </c>
    </row>
    <row r="1071">
      <c r="A1071" t="inlineStr">
        <is>
          <t>LFC7716</t>
        </is>
      </c>
      <c r="B1071" t="inlineStr">
        <is>
          <t>LFC7716</t>
        </is>
      </c>
      <c r="C1071" t="inlineStr">
        <is>
          <t>WHITEHOUSE</t>
        </is>
      </c>
      <c r="D1071" t="inlineStr">
        <is>
          <t>Y</t>
        </is>
      </c>
      <c r="E1071" t="inlineStr">
        <is>
          <t>Y</t>
        </is>
      </c>
      <c r="F1071" t="inlineStr">
        <is>
          <t>16</t>
        </is>
      </c>
      <c r="G1071" t="inlineStr">
        <is>
          <t>1, ADENIRAN STREET, ITOKI</t>
        </is>
      </c>
      <c r="H1071" t="inlineStr">
        <is>
          <t>Existing</t>
        </is>
      </c>
      <c r="I1071" t="inlineStr">
        <is>
          <t>N</t>
        </is>
      </c>
    </row>
    <row r="1072">
      <c r="A1072" t="inlineStr">
        <is>
          <t>LFC7717</t>
        </is>
      </c>
      <c r="B1072" t="inlineStr">
        <is>
          <t>LFC7717</t>
        </is>
      </c>
      <c r="C1072" t="inlineStr">
        <is>
          <t>WHITEHOUSE</t>
        </is>
      </c>
      <c r="D1072" t="inlineStr">
        <is>
          <t>N</t>
        </is>
      </c>
      <c r="E1072" t="inlineStr">
        <is>
          <t>Y</t>
        </is>
      </c>
      <c r="F1072" t="inlineStr">
        <is>
          <t>17</t>
        </is>
      </c>
      <c r="G1072" t="inlineStr">
        <is>
          <t>19, FEMI AKEJU, LEMODE, ITOKI</t>
        </is>
      </c>
      <c r="H1072" t="inlineStr">
        <is>
          <t>Existing</t>
        </is>
      </c>
      <c r="I1072" t="inlineStr">
        <is>
          <t>N</t>
        </is>
      </c>
    </row>
    <row r="1073">
      <c r="A1073" t="inlineStr">
        <is>
          <t>LFC7718</t>
        </is>
      </c>
      <c r="B1073" t="inlineStr">
        <is>
          <t>LFC7718</t>
        </is>
      </c>
      <c r="C1073" t="inlineStr">
        <is>
          <t>WHITEHOUSE</t>
        </is>
      </c>
      <c r="D1073" t="inlineStr">
        <is>
          <t>Y</t>
        </is>
      </c>
      <c r="E1073" t="inlineStr">
        <is>
          <t>Y</t>
        </is>
      </c>
      <c r="F1073" t="inlineStr">
        <is>
          <t>18</t>
        </is>
      </c>
      <c r="G1073" t="inlineStr">
        <is>
          <t>21, ORE-META STREET, LEMODE</t>
        </is>
      </c>
      <c r="H1073" t="inlineStr">
        <is>
          <t>Existing</t>
        </is>
      </c>
      <c r="I1073" t="inlineStr">
        <is>
          <t>N</t>
        </is>
      </c>
    </row>
    <row r="1074">
      <c r="A1074" t="inlineStr">
        <is>
          <t>LFC7719</t>
        </is>
      </c>
      <c r="B1074" t="inlineStr">
        <is>
          <t>LFC7719</t>
        </is>
      </c>
      <c r="C1074" t="inlineStr">
        <is>
          <t>WHITEHOUSE</t>
        </is>
      </c>
      <c r="D1074" t="inlineStr">
        <is>
          <t>Y</t>
        </is>
      </c>
      <c r="E1074" t="inlineStr">
        <is>
          <t>Y</t>
        </is>
      </c>
      <c r="F1074" t="inlineStr">
        <is>
          <t>19</t>
        </is>
      </c>
      <c r="G1074" t="inlineStr">
        <is>
          <t>IGINLA</t>
        </is>
      </c>
      <c r="H1074" t="inlineStr">
        <is>
          <t>Existing</t>
        </is>
      </c>
      <c r="I1074" t="inlineStr">
        <is>
          <t>Y</t>
        </is>
      </c>
    </row>
    <row r="1075">
      <c r="A1075" t="inlineStr">
        <is>
          <t>LFC7720</t>
        </is>
      </c>
      <c r="B1075" t="inlineStr">
        <is>
          <t>LFC7720</t>
        </is>
      </c>
      <c r="C1075" t="inlineStr">
        <is>
          <t>WHITEHOUSE</t>
        </is>
      </c>
      <c r="D1075" t="inlineStr">
        <is>
          <t>Y</t>
        </is>
      </c>
      <c r="E1075" t="inlineStr">
        <is>
          <t>Y</t>
        </is>
      </c>
      <c r="F1075" t="inlineStr">
        <is>
          <t>20</t>
        </is>
      </c>
      <c r="G1075" t="inlineStr">
        <is>
          <t>15, OREMERIN STREET, GASLINE</t>
        </is>
      </c>
      <c r="H1075" t="inlineStr">
        <is>
          <t>Existing</t>
        </is>
      </c>
      <c r="I1075" t="inlineStr">
        <is>
          <t>N</t>
        </is>
      </c>
    </row>
    <row r="1076">
      <c r="A1076" t="inlineStr">
        <is>
          <t>LFC7721</t>
        </is>
      </c>
      <c r="B1076" t="inlineStr">
        <is>
          <t>LFC7721</t>
        </is>
      </c>
      <c r="C1076" t="inlineStr">
        <is>
          <t>WHITEHOUSE</t>
        </is>
      </c>
      <c r="D1076" t="inlineStr">
        <is>
          <t>N</t>
        </is>
      </c>
      <c r="E1076" t="inlineStr">
        <is>
          <t>Y</t>
        </is>
      </c>
      <c r="F1076" t="inlineStr">
        <is>
          <t>21</t>
        </is>
      </c>
      <c r="G1076" t="inlineStr">
        <is>
          <t>5, MUMUNI STREET</t>
        </is>
      </c>
      <c r="H1076" t="inlineStr">
        <is>
          <t>Existing</t>
        </is>
      </c>
      <c r="I1076" t="inlineStr">
        <is>
          <t>N</t>
        </is>
      </c>
    </row>
    <row r="1077">
      <c r="A1077" t="inlineStr">
        <is>
          <t>LFC7722</t>
        </is>
      </c>
      <c r="B1077" t="inlineStr">
        <is>
          <t>LFC7722</t>
        </is>
      </c>
      <c r="C1077" t="inlineStr">
        <is>
          <t>WHITEHOUSE</t>
        </is>
      </c>
      <c r="D1077" t="inlineStr">
        <is>
          <t>N</t>
        </is>
      </c>
      <c r="E1077" t="inlineStr">
        <is>
          <t>Y</t>
        </is>
      </c>
      <c r="F1077" t="inlineStr">
        <is>
          <t>22</t>
        </is>
      </c>
      <c r="G1077" t="inlineStr">
        <is>
          <t>UNITY ROAD, AROWOLO NTABO</t>
        </is>
      </c>
      <c r="H1077" t="inlineStr">
        <is>
          <t>Existing</t>
        </is>
      </c>
      <c r="I1077" t="inlineStr">
        <is>
          <t>N</t>
        </is>
      </c>
    </row>
    <row r="1078">
      <c r="A1078" t="inlineStr">
        <is>
          <t>LFC7723</t>
        </is>
      </c>
      <c r="B1078" t="inlineStr">
        <is>
          <t>LFC7723</t>
        </is>
      </c>
      <c r="C1078" t="inlineStr">
        <is>
          <t>WHITEHOUSE</t>
        </is>
      </c>
      <c r="D1078" t="inlineStr">
        <is>
          <t>N</t>
        </is>
      </c>
      <c r="E1078" t="inlineStr">
        <is>
          <t>Y</t>
        </is>
      </c>
      <c r="F1078" t="inlineStr">
        <is>
          <t>23</t>
        </is>
      </c>
      <c r="G1078" t="inlineStr">
        <is>
          <t>JOSEPHINE ANIM AVE</t>
        </is>
      </c>
      <c r="H1078" t="inlineStr">
        <is>
          <t>Existing</t>
        </is>
      </c>
      <c r="I1078" t="inlineStr">
        <is>
          <t>N</t>
        </is>
      </c>
    </row>
    <row r="1079">
      <c r="A1079" t="inlineStr">
        <is>
          <t>LFC7724</t>
        </is>
      </c>
      <c r="B1079" t="inlineStr">
        <is>
          <t>LFC7724</t>
        </is>
      </c>
      <c r="C1079" t="inlineStr">
        <is>
          <t>WHITEHOUSE</t>
        </is>
      </c>
      <c r="D1079" t="inlineStr">
        <is>
          <t>N</t>
        </is>
      </c>
      <c r="E1079" t="inlineStr">
        <is>
          <t>Y</t>
        </is>
      </c>
      <c r="F1079" t="inlineStr">
        <is>
          <t>24</t>
        </is>
      </c>
      <c r="G1079" t="inlineStr">
        <is>
          <t>CADBURY ESTATE</t>
        </is>
      </c>
      <c r="H1079" t="inlineStr">
        <is>
          <t>Existing</t>
        </is>
      </c>
      <c r="I1079" t="inlineStr">
        <is>
          <t>N</t>
        </is>
      </c>
    </row>
    <row r="1080">
      <c r="A1080" t="inlineStr">
        <is>
          <t>LFC7725</t>
        </is>
      </c>
      <c r="B1080" t="inlineStr">
        <is>
          <t>LFC7725</t>
        </is>
      </c>
      <c r="C1080" t="inlineStr">
        <is>
          <t>WHITEHOUSE</t>
        </is>
      </c>
      <c r="D1080" t="inlineStr">
        <is>
          <t>N</t>
        </is>
      </c>
      <c r="E1080" t="inlineStr">
        <is>
          <t>Y</t>
        </is>
      </c>
      <c r="F1080" t="inlineStr">
        <is>
          <t>25</t>
        </is>
      </c>
      <c r="G1080" t="inlineStr">
        <is>
          <t>25, Fagbemi Street Igboro IJOKO</t>
        </is>
      </c>
      <c r="H1080" t="inlineStr">
        <is>
          <t>Existing</t>
        </is>
      </c>
      <c r="I1080" t="inlineStr">
        <is>
          <t>N</t>
        </is>
      </c>
    </row>
    <row r="1081">
      <c r="A1081" t="inlineStr">
        <is>
          <t>LFC7726</t>
        </is>
      </c>
      <c r="B1081" t="inlineStr">
        <is>
          <t>LFC7726</t>
        </is>
      </c>
      <c r="C1081" t="inlineStr">
        <is>
          <t>WHITEHOUSE</t>
        </is>
      </c>
      <c r="D1081" t="inlineStr">
        <is>
          <t>N</t>
        </is>
      </c>
      <c r="E1081" t="inlineStr">
        <is>
          <t>Y</t>
        </is>
      </c>
      <c r="F1081" t="inlineStr">
        <is>
          <t>26</t>
        </is>
      </c>
      <c r="G1081" t="inlineStr">
        <is>
          <t>11 Owoleye Street Oke-Alafia IJOKO</t>
        </is>
      </c>
      <c r="H1081" t="inlineStr">
        <is>
          <t>Existing</t>
        </is>
      </c>
      <c r="I1081" t="inlineStr">
        <is>
          <t>N</t>
        </is>
      </c>
    </row>
    <row r="1082">
      <c r="A1082" t="inlineStr">
        <is>
          <t>LFC7727</t>
        </is>
      </c>
      <c r="B1082" t="inlineStr">
        <is>
          <t>LFC7727</t>
        </is>
      </c>
      <c r="C1082" t="inlineStr">
        <is>
          <t>WHITEHOUSE</t>
        </is>
      </c>
      <c r="D1082" t="inlineStr">
        <is>
          <t>N</t>
        </is>
      </c>
      <c r="E1082" t="inlineStr">
        <is>
          <t>Y</t>
        </is>
      </c>
      <c r="F1082" t="inlineStr">
        <is>
          <t>27</t>
        </is>
      </c>
      <c r="G1082" t="inlineStr">
        <is>
          <t>2, LADIPO DANIEL ESTATE, OFF OYERO ROAD IJOKO</t>
        </is>
      </c>
      <c r="H1082" t="inlineStr">
        <is>
          <t>New (proposed)</t>
        </is>
      </c>
      <c r="I1082" t="inlineStr">
        <is>
          <t>N</t>
        </is>
      </c>
    </row>
    <row r="1083">
      <c r="A1083" t="inlineStr">
        <is>
          <t>LFC7728</t>
        </is>
      </c>
      <c r="B1083" t="inlineStr">
        <is>
          <t>LFC7728</t>
        </is>
      </c>
      <c r="C1083" t="inlineStr">
        <is>
          <t>WHITEHOUSE</t>
        </is>
      </c>
      <c r="D1083" t="inlineStr">
        <is>
          <t>N</t>
        </is>
      </c>
      <c r="E1083" t="inlineStr">
        <is>
          <t>Y</t>
        </is>
      </c>
      <c r="F1083" t="inlineStr">
        <is>
          <t>28</t>
        </is>
      </c>
      <c r="G1083" t="inlineStr">
        <is>
          <t>GOD,S WILL FOUNDATION SCH</t>
        </is>
      </c>
      <c r="H1083" t="inlineStr">
        <is>
          <t>From reporting system</t>
        </is>
      </c>
      <c r="I1083" t="inlineStr">
        <is>
          <t>N</t>
        </is>
      </c>
    </row>
    <row r="1084">
      <c r="A1084" t="inlineStr">
        <is>
          <t>LFC7753</t>
        </is>
      </c>
      <c r="B1084" t="inlineStr">
        <is>
          <t>LFC7753</t>
        </is>
      </c>
      <c r="C1084" t="inlineStr">
        <is>
          <t>WHITEHOUSE</t>
        </is>
      </c>
      <c r="D1084" t="inlineStr">
        <is>
          <t>N</t>
        </is>
      </c>
      <c r="E1084" t="inlineStr">
        <is>
          <t>Y</t>
        </is>
      </c>
      <c r="F1084" t="inlineStr">
        <is>
          <t>53</t>
        </is>
      </c>
      <c r="G1084" t="inlineStr">
        <is>
          <t>44 TEMIDIRE STREET</t>
        </is>
      </c>
      <c r="H1084" t="inlineStr">
        <is>
          <t>From reporting system</t>
        </is>
      </c>
      <c r="I1084" t="inlineStr">
        <is>
          <t>N</t>
        </is>
      </c>
    </row>
    <row r="1085">
      <c r="A1085" t="inlineStr">
        <is>
          <t>LFC7793</t>
        </is>
      </c>
      <c r="B1085" t="inlineStr">
        <is>
          <t>LFC7793</t>
        </is>
      </c>
      <c r="C1085" t="inlineStr">
        <is>
          <t>WHITEHOUSE</t>
        </is>
      </c>
      <c r="D1085" t="inlineStr">
        <is>
          <t>N</t>
        </is>
      </c>
      <c r="E1085" t="inlineStr">
        <is>
          <t>Y</t>
        </is>
      </c>
      <c r="F1085" t="inlineStr">
        <is>
          <t>93</t>
        </is>
      </c>
      <c r="G1085" t="inlineStr">
        <is>
          <t>44 FAGBEMI STREET</t>
        </is>
      </c>
      <c r="H1085" t="inlineStr">
        <is>
          <t>From reporting system</t>
        </is>
      </c>
      <c r="I1085" t="inlineStr">
        <is>
          <t>N</t>
        </is>
      </c>
    </row>
    <row r="1086">
      <c r="A1086" t="inlineStr">
        <is>
          <t>LFC7799</t>
        </is>
      </c>
      <c r="B1086" t="inlineStr">
        <is>
          <t>LFC7799</t>
        </is>
      </c>
      <c r="C1086" t="inlineStr">
        <is>
          <t>WHITEHOUSE</t>
        </is>
      </c>
      <c r="D1086" t="inlineStr">
        <is>
          <t>N</t>
        </is>
      </c>
      <c r="E1086" t="inlineStr">
        <is>
          <t>Y</t>
        </is>
      </c>
      <c r="F1086" t="inlineStr">
        <is>
          <t>99</t>
        </is>
      </c>
      <c r="G1086" t="inlineStr">
        <is>
          <t>5 COMPOUND EWEMOJE EKERIN BUS STOP IJOKO, OYERO RD (13)</t>
        </is>
      </c>
      <c r="H1086" t="inlineStr">
        <is>
          <t>From reporting system</t>
        </is>
      </c>
      <c r="I1086" t="inlineStr">
        <is>
          <t>N</t>
        </is>
      </c>
    </row>
    <row r="1087">
      <c r="A1087" t="inlineStr">
        <is>
          <t>LFC7801</t>
        </is>
      </c>
      <c r="B1087" t="inlineStr">
        <is>
          <t>LFC7801</t>
        </is>
      </c>
      <c r="C1087" t="inlineStr">
        <is>
          <t>IYESI 2</t>
        </is>
      </c>
      <c r="D1087" t="inlineStr"/>
      <c r="E1087" t="inlineStr">
        <is>
          <t>Y</t>
        </is>
      </c>
      <c r="F1087" t="inlineStr">
        <is>
          <t>1</t>
        </is>
      </c>
      <c r="G1087" t="inlineStr">
        <is>
          <t>IYESI ROAD, IYANA-IYESI</t>
        </is>
      </c>
      <c r="H1087" t="inlineStr">
        <is>
          <t>Existing</t>
        </is>
      </c>
      <c r="I1087" t="inlineStr"/>
    </row>
    <row r="1088">
      <c r="A1088" t="inlineStr">
        <is>
          <t>LFC7802</t>
        </is>
      </c>
      <c r="B1088" t="inlineStr">
        <is>
          <t>LFC7802</t>
        </is>
      </c>
      <c r="C1088" t="inlineStr">
        <is>
          <t>IYESI 2</t>
        </is>
      </c>
      <c r="D1088" t="inlineStr">
        <is>
          <t>Y</t>
        </is>
      </c>
      <c r="E1088" t="inlineStr">
        <is>
          <t>Y</t>
        </is>
      </c>
      <c r="F1088" t="inlineStr">
        <is>
          <t>2</t>
        </is>
      </c>
      <c r="G1088" t="inlineStr">
        <is>
          <t>55, FATOKUN AVENUE, OFF IYESI ROAD, IYANA IYESI.</t>
        </is>
      </c>
      <c r="H1088" t="inlineStr">
        <is>
          <t>Existing</t>
        </is>
      </c>
      <c r="I1088" t="inlineStr">
        <is>
          <t>N</t>
        </is>
      </c>
    </row>
    <row r="1089">
      <c r="A1089" t="inlineStr">
        <is>
          <t>LFC7803</t>
        </is>
      </c>
      <c r="B1089" t="inlineStr">
        <is>
          <t>LFC7803</t>
        </is>
      </c>
      <c r="C1089" t="inlineStr">
        <is>
          <t>IYESI 2</t>
        </is>
      </c>
      <c r="D1089" t="inlineStr">
        <is>
          <t>N</t>
        </is>
      </c>
      <c r="E1089" t="inlineStr">
        <is>
          <t>Y</t>
        </is>
      </c>
      <c r="F1089" t="inlineStr">
        <is>
          <t>3</t>
        </is>
      </c>
      <c r="G1089" t="inlineStr">
        <is>
          <t>11, SALVATION AVENUE, OFF OBELAWO ROAD, IYANA IYESI.</t>
        </is>
      </c>
      <c r="H1089" t="inlineStr">
        <is>
          <t>Existing</t>
        </is>
      </c>
      <c r="I1089" t="inlineStr">
        <is>
          <t>N</t>
        </is>
      </c>
    </row>
    <row r="1090">
      <c r="A1090" t="inlineStr">
        <is>
          <t>LFC7804</t>
        </is>
      </c>
      <c r="B1090" t="inlineStr">
        <is>
          <t>LFC7804</t>
        </is>
      </c>
      <c r="C1090" t="inlineStr">
        <is>
          <t>IYESI 2</t>
        </is>
      </c>
      <c r="D1090" t="inlineStr">
        <is>
          <t>Y</t>
        </is>
      </c>
      <c r="E1090" t="inlineStr">
        <is>
          <t>Y</t>
        </is>
      </c>
      <c r="F1090" t="inlineStr">
        <is>
          <t>4</t>
        </is>
      </c>
      <c r="G1090" t="inlineStr">
        <is>
          <t>1, KEHINDE ADEPETU STR, AGBODIKE ROAD, MUPIN, IYANA IYESI</t>
        </is>
      </c>
      <c r="H1090" t="inlineStr">
        <is>
          <t>Existing</t>
        </is>
      </c>
      <c r="I1090" t="inlineStr">
        <is>
          <t>N</t>
        </is>
      </c>
    </row>
    <row r="1091">
      <c r="A1091" t="inlineStr">
        <is>
          <t>LFC7805</t>
        </is>
      </c>
      <c r="B1091" t="inlineStr">
        <is>
          <t>LFC7805</t>
        </is>
      </c>
      <c r="C1091" t="inlineStr">
        <is>
          <t>IYESI 2</t>
        </is>
      </c>
      <c r="D1091" t="inlineStr">
        <is>
          <t>N</t>
        </is>
      </c>
      <c r="E1091" t="inlineStr">
        <is>
          <t>Y</t>
        </is>
      </c>
      <c r="F1091" t="inlineStr">
        <is>
          <t>5</t>
        </is>
      </c>
      <c r="G1091" t="inlineStr">
        <is>
          <t>56, MUPIN ROAD, IYANA IYESI.</t>
        </is>
      </c>
      <c r="H1091" t="inlineStr">
        <is>
          <t>Existing</t>
        </is>
      </c>
      <c r="I1091" t="inlineStr">
        <is>
          <t>N</t>
        </is>
      </c>
    </row>
    <row r="1092">
      <c r="A1092" t="inlineStr">
        <is>
          <t>LFC7806</t>
        </is>
      </c>
      <c r="B1092" t="inlineStr">
        <is>
          <t>LFC7806</t>
        </is>
      </c>
      <c r="C1092" t="inlineStr">
        <is>
          <t>IYESI 2</t>
        </is>
      </c>
      <c r="D1092" t="inlineStr">
        <is>
          <t>N</t>
        </is>
      </c>
      <c r="E1092" t="inlineStr">
        <is>
          <t>Y</t>
        </is>
      </c>
      <c r="F1092" t="inlineStr">
        <is>
          <t>6</t>
        </is>
      </c>
      <c r="G1092" t="inlineStr">
        <is>
          <t>2, KOTODAYO STREET, ODO ERAN, IYESI</t>
        </is>
      </c>
      <c r="H1092" t="inlineStr">
        <is>
          <t>Existing</t>
        </is>
      </c>
      <c r="I1092" t="inlineStr">
        <is>
          <t>N</t>
        </is>
      </c>
    </row>
    <row r="1093">
      <c r="A1093" t="inlineStr">
        <is>
          <t>LFC7807</t>
        </is>
      </c>
      <c r="B1093" t="inlineStr">
        <is>
          <t>LFC7807</t>
        </is>
      </c>
      <c r="C1093" t="inlineStr">
        <is>
          <t>IYESI 2</t>
        </is>
      </c>
      <c r="D1093" t="inlineStr">
        <is>
          <t>N</t>
        </is>
      </c>
      <c r="E1093" t="inlineStr">
        <is>
          <t>Y</t>
        </is>
      </c>
      <c r="F1093" t="inlineStr">
        <is>
          <t>7</t>
        </is>
      </c>
      <c r="G1093" t="inlineStr">
        <is>
          <t>8, LAWAL STREET, OFF ODO ERAN, IYESI.</t>
        </is>
      </c>
      <c r="H1093" t="inlineStr">
        <is>
          <t>Existing</t>
        </is>
      </c>
      <c r="I1093" t="inlineStr">
        <is>
          <t>N</t>
        </is>
      </c>
    </row>
    <row r="1094">
      <c r="A1094" t="inlineStr">
        <is>
          <t>LFC7808</t>
        </is>
      </c>
      <c r="B1094" t="inlineStr">
        <is>
          <t>LFC7808</t>
        </is>
      </c>
      <c r="C1094" t="inlineStr">
        <is>
          <t>IYESI 2</t>
        </is>
      </c>
      <c r="D1094" t="inlineStr">
        <is>
          <t>N</t>
        </is>
      </c>
      <c r="E1094" t="inlineStr">
        <is>
          <t>Y</t>
        </is>
      </c>
      <c r="F1094" t="inlineStr">
        <is>
          <t>8</t>
        </is>
      </c>
      <c r="G1094" t="inlineStr">
        <is>
          <t>22, OGUNDELE STREET, MUPIN VILLAGE, IYESI</t>
        </is>
      </c>
      <c r="H1094" t="inlineStr">
        <is>
          <t>Existing</t>
        </is>
      </c>
      <c r="I1094" t="inlineStr">
        <is>
          <t>N</t>
        </is>
      </c>
    </row>
    <row r="1095">
      <c r="A1095" t="inlineStr">
        <is>
          <t>LFC7809</t>
        </is>
      </c>
      <c r="B1095" t="inlineStr">
        <is>
          <t>LFC7809</t>
        </is>
      </c>
      <c r="C1095" t="inlineStr">
        <is>
          <t>IYESI 2</t>
        </is>
      </c>
      <c r="D1095" t="inlineStr">
        <is>
          <t>Y</t>
        </is>
      </c>
      <c r="E1095" t="inlineStr">
        <is>
          <t>Y</t>
        </is>
      </c>
      <c r="F1095" t="inlineStr">
        <is>
          <t>9</t>
        </is>
      </c>
      <c r="G1095" t="inlineStr">
        <is>
          <t>2, PROGRESS STREET, BEHIND ULTIMATE FILLING STATION, IYESI ROAD, IYANA IYESI</t>
        </is>
      </c>
      <c r="H1095" t="inlineStr">
        <is>
          <t>Existing</t>
        </is>
      </c>
      <c r="I1095" t="inlineStr">
        <is>
          <t>N</t>
        </is>
      </c>
    </row>
    <row r="1096">
      <c r="A1096" t="inlineStr">
        <is>
          <t>LFC7810</t>
        </is>
      </c>
      <c r="B1096" t="inlineStr">
        <is>
          <t>LFC7810</t>
        </is>
      </c>
      <c r="C1096" t="inlineStr">
        <is>
          <t>IYESI 2</t>
        </is>
      </c>
      <c r="D1096" t="inlineStr"/>
      <c r="E1096" t="inlineStr">
        <is>
          <t>Y</t>
        </is>
      </c>
      <c r="F1096" t="inlineStr">
        <is>
          <t>10</t>
        </is>
      </c>
      <c r="G1096" t="inlineStr">
        <is>
          <t>24, JIMOH AMUSAN STREET, SIFOR.</t>
        </is>
      </c>
      <c r="H1096" t="inlineStr">
        <is>
          <t>Existing</t>
        </is>
      </c>
      <c r="I1096" t="inlineStr"/>
    </row>
    <row r="1097">
      <c r="A1097" t="inlineStr">
        <is>
          <t>LFC7811</t>
        </is>
      </c>
      <c r="B1097" t="inlineStr">
        <is>
          <t>LFC7811</t>
        </is>
      </c>
      <c r="C1097" t="inlineStr">
        <is>
          <t>IYESI 2</t>
        </is>
      </c>
      <c r="D1097" t="inlineStr">
        <is>
          <t>Y</t>
        </is>
      </c>
      <c r="E1097" t="inlineStr">
        <is>
          <t>Y</t>
        </is>
      </c>
      <c r="F1097" t="inlineStr">
        <is>
          <t>11</t>
        </is>
      </c>
      <c r="G1097" t="inlineStr">
        <is>
          <t>100, IYESI ROAD, IYANA IYESI.</t>
        </is>
      </c>
      <c r="H1097" t="inlineStr">
        <is>
          <t>Existing</t>
        </is>
      </c>
      <c r="I1097" t="inlineStr">
        <is>
          <t>N</t>
        </is>
      </c>
    </row>
    <row r="1098">
      <c r="A1098" t="inlineStr">
        <is>
          <t>LFC7812</t>
        </is>
      </c>
      <c r="B1098" t="inlineStr">
        <is>
          <t>LFC7812</t>
        </is>
      </c>
      <c r="C1098" t="inlineStr">
        <is>
          <t>IYESI 2</t>
        </is>
      </c>
      <c r="D1098" t="inlineStr">
        <is>
          <t>N</t>
        </is>
      </c>
      <c r="E1098" t="inlineStr">
        <is>
          <t>Y</t>
        </is>
      </c>
      <c r="F1098" t="inlineStr">
        <is>
          <t>12</t>
        </is>
      </c>
      <c r="G1098" t="inlineStr">
        <is>
          <t>39, ISIDANA STREET, OFF JACKROSS ROAD, IYANA IYESI.</t>
        </is>
      </c>
      <c r="H1098" t="inlineStr">
        <is>
          <t>Existing</t>
        </is>
      </c>
      <c r="I1098" t="inlineStr">
        <is>
          <t>N</t>
        </is>
      </c>
    </row>
    <row r="1099">
      <c r="A1099" t="inlineStr">
        <is>
          <t>LFC7813</t>
        </is>
      </c>
      <c r="B1099" t="inlineStr">
        <is>
          <t>LFC7813</t>
        </is>
      </c>
      <c r="C1099" t="inlineStr">
        <is>
          <t>IYESI 2</t>
        </is>
      </c>
      <c r="D1099" t="inlineStr">
        <is>
          <t>N</t>
        </is>
      </c>
      <c r="E1099" t="inlineStr">
        <is>
          <t>Y</t>
        </is>
      </c>
      <c r="F1099" t="inlineStr">
        <is>
          <t>13</t>
        </is>
      </c>
      <c r="G1099" t="inlineStr">
        <is>
          <t>8, ADEWALE ADEKOYA STREET, OFF IYESI ROAD, IYANA IYESI.</t>
        </is>
      </c>
      <c r="H1099" t="inlineStr">
        <is>
          <t>Existing</t>
        </is>
      </c>
      <c r="I1099" t="inlineStr">
        <is>
          <t>N</t>
        </is>
      </c>
    </row>
    <row r="1100">
      <c r="A1100" t="inlineStr">
        <is>
          <t>LFC7814</t>
        </is>
      </c>
      <c r="B1100" t="inlineStr">
        <is>
          <t>LFC7814</t>
        </is>
      </c>
      <c r="C1100" t="inlineStr">
        <is>
          <t>IYESI 2</t>
        </is>
      </c>
      <c r="D1100" t="inlineStr">
        <is>
          <t>N</t>
        </is>
      </c>
      <c r="E1100" t="inlineStr">
        <is>
          <t>Y</t>
        </is>
      </c>
      <c r="F1100" t="inlineStr">
        <is>
          <t>14</t>
        </is>
      </c>
      <c r="G1100" t="inlineStr">
        <is>
          <t>3, SHAKUNLE STREET, OFF IYESI ROAD, IYANA IYESI.</t>
        </is>
      </c>
      <c r="H1100" t="inlineStr">
        <is>
          <t>Existing</t>
        </is>
      </c>
      <c r="I1100" t="inlineStr">
        <is>
          <t>N</t>
        </is>
      </c>
    </row>
    <row r="1101">
      <c r="A1101" t="inlineStr">
        <is>
          <t>LFC7901</t>
        </is>
      </c>
      <c r="B1101" t="inlineStr">
        <is>
          <t>LFC7901</t>
        </is>
      </c>
      <c r="C1101" t="inlineStr">
        <is>
          <t>HIGH COURT</t>
        </is>
      </c>
      <c r="D1101" t="inlineStr">
        <is>
          <t>Y</t>
        </is>
      </c>
      <c r="E1101" t="inlineStr">
        <is>
          <t>Y</t>
        </is>
      </c>
      <c r="F1101" t="inlineStr">
        <is>
          <t>1</t>
        </is>
      </c>
      <c r="G1101" t="inlineStr">
        <is>
          <t>1, UNITY AVENUE, OFF BABALOLA EBOFIN CLOSE</t>
        </is>
      </c>
      <c r="H1101" t="inlineStr">
        <is>
          <t>Existing</t>
        </is>
      </c>
      <c r="I1101" t="inlineStr">
        <is>
          <t>N</t>
        </is>
      </c>
    </row>
    <row r="1102">
      <c r="A1102" t="inlineStr">
        <is>
          <t>LFC7902</t>
        </is>
      </c>
      <c r="B1102" t="inlineStr">
        <is>
          <t>LFC7902</t>
        </is>
      </c>
      <c r="C1102" t="inlineStr">
        <is>
          <t>HIGH COURT</t>
        </is>
      </c>
      <c r="D1102" t="inlineStr">
        <is>
          <t>Y</t>
        </is>
      </c>
      <c r="E1102" t="inlineStr">
        <is>
          <t>Y</t>
        </is>
      </c>
      <c r="F1102" t="inlineStr">
        <is>
          <t>2</t>
        </is>
      </c>
      <c r="G1102" t="inlineStr">
        <is>
          <t>EMMANUEL CENTRE OLOKO CENTRAL, OLOKO</t>
        </is>
      </c>
      <c r="H1102" t="inlineStr">
        <is>
          <t>Existing</t>
        </is>
      </c>
      <c r="I1102" t="inlineStr">
        <is>
          <t>N</t>
        </is>
      </c>
    </row>
    <row r="1103">
      <c r="A1103" t="inlineStr">
        <is>
          <t>LFC7903</t>
        </is>
      </c>
      <c r="B1103" t="inlineStr">
        <is>
          <t>LFC7903</t>
        </is>
      </c>
      <c r="C1103" t="inlineStr">
        <is>
          <t>HIGH COURT</t>
        </is>
      </c>
      <c r="D1103" t="inlineStr">
        <is>
          <t>N</t>
        </is>
      </c>
      <c r="E1103" t="inlineStr">
        <is>
          <t>Y</t>
        </is>
      </c>
      <c r="F1103" t="inlineStr">
        <is>
          <t>3</t>
        </is>
      </c>
      <c r="G1103" t="inlineStr">
        <is>
          <t>OGOTEDO STR. NICE ESTATE, OTA</t>
        </is>
      </c>
      <c r="H1103" t="inlineStr">
        <is>
          <t>Existing</t>
        </is>
      </c>
      <c r="I1103" t="inlineStr">
        <is>
          <t>N</t>
        </is>
      </c>
    </row>
    <row r="1104">
      <c r="A1104" t="inlineStr">
        <is>
          <t>LFC7904</t>
        </is>
      </c>
      <c r="B1104" t="inlineStr">
        <is>
          <t>LFC7904</t>
        </is>
      </c>
      <c r="C1104" t="inlineStr">
        <is>
          <t>HIGH COURT</t>
        </is>
      </c>
      <c r="D1104" t="inlineStr">
        <is>
          <t>Y</t>
        </is>
      </c>
      <c r="E1104" t="inlineStr">
        <is>
          <t>Y</t>
        </is>
      </c>
      <c r="F1104" t="inlineStr">
        <is>
          <t>4</t>
        </is>
      </c>
      <c r="G1104" t="inlineStr">
        <is>
          <t>13B, IREWOLEDE COMMUNITY, OLOKO, OTA</t>
        </is>
      </c>
      <c r="H1104" t="inlineStr">
        <is>
          <t>Existing</t>
        </is>
      </c>
      <c r="I1104" t="inlineStr">
        <is>
          <t>N</t>
        </is>
      </c>
    </row>
    <row r="1105">
      <c r="A1105" t="inlineStr">
        <is>
          <t>LFC7905</t>
        </is>
      </c>
      <c r="B1105" t="inlineStr">
        <is>
          <t>LFC7905</t>
        </is>
      </c>
      <c r="C1105" t="inlineStr">
        <is>
          <t>HIGH COURT</t>
        </is>
      </c>
      <c r="D1105" t="inlineStr">
        <is>
          <t>N</t>
        </is>
      </c>
      <c r="E1105" t="inlineStr">
        <is>
          <t>Y</t>
        </is>
      </c>
      <c r="F1105" t="inlineStr">
        <is>
          <t>5</t>
        </is>
      </c>
      <c r="G1105" t="inlineStr">
        <is>
          <t>1, TOLUWANI STREET,OKO-BAALE,OTA</t>
        </is>
      </c>
      <c r="H1105" t="inlineStr">
        <is>
          <t>Existing</t>
        </is>
      </c>
      <c r="I1105" t="inlineStr">
        <is>
          <t>N</t>
        </is>
      </c>
    </row>
    <row r="1106">
      <c r="A1106" t="inlineStr">
        <is>
          <t>LFC7906</t>
        </is>
      </c>
      <c r="B1106" t="inlineStr">
        <is>
          <t>LFC7906</t>
        </is>
      </c>
      <c r="C1106" t="inlineStr">
        <is>
          <t>HIGH COURT</t>
        </is>
      </c>
      <c r="D1106" t="inlineStr">
        <is>
          <t>Y</t>
        </is>
      </c>
      <c r="E1106" t="inlineStr">
        <is>
          <t>Y</t>
        </is>
      </c>
      <c r="F1106" t="inlineStr">
        <is>
          <t>6</t>
        </is>
      </c>
      <c r="G1106" t="inlineStr">
        <is>
          <t>1, IFELODUN STREET, RCC B/STOP IYANA IYESI, OTA.</t>
        </is>
      </c>
      <c r="H1106" t="inlineStr">
        <is>
          <t>Existing</t>
        </is>
      </c>
      <c r="I1106" t="inlineStr">
        <is>
          <t>N</t>
        </is>
      </c>
    </row>
    <row r="1107">
      <c r="A1107" t="inlineStr">
        <is>
          <t>LFC7907</t>
        </is>
      </c>
      <c r="B1107" t="inlineStr">
        <is>
          <t>LFC7907</t>
        </is>
      </c>
      <c r="C1107" t="inlineStr">
        <is>
          <t>HIGH COURT</t>
        </is>
      </c>
      <c r="D1107" t="inlineStr">
        <is>
          <t>Y</t>
        </is>
      </c>
      <c r="E1107" t="inlineStr">
        <is>
          <t>Y</t>
        </is>
      </c>
      <c r="F1107" t="inlineStr">
        <is>
          <t>7</t>
        </is>
      </c>
      <c r="G1107" t="inlineStr">
        <is>
          <t>OPP CELE NLA ROAD, IGBEREN</t>
        </is>
      </c>
      <c r="H1107" t="inlineStr">
        <is>
          <t>Existing</t>
        </is>
      </c>
      <c r="I1107" t="inlineStr">
        <is>
          <t>N</t>
        </is>
      </c>
    </row>
    <row r="1108">
      <c r="A1108" t="inlineStr">
        <is>
          <t>LFC7908</t>
        </is>
      </c>
      <c r="B1108" t="inlineStr">
        <is>
          <t>LFC7908</t>
        </is>
      </c>
      <c r="C1108" t="inlineStr">
        <is>
          <t>HIGH COURT</t>
        </is>
      </c>
      <c r="D1108" t="inlineStr">
        <is>
          <t>N</t>
        </is>
      </c>
      <c r="E1108" t="inlineStr">
        <is>
          <t>Y</t>
        </is>
      </c>
      <c r="F1108" t="inlineStr">
        <is>
          <t>8</t>
        </is>
      </c>
      <c r="G1108" t="inlineStr">
        <is>
          <t>Plot 5, off Igberen Road Onipanu</t>
        </is>
      </c>
      <c r="H1108" t="inlineStr">
        <is>
          <t>Existing</t>
        </is>
      </c>
      <c r="I1108" t="inlineStr">
        <is>
          <t>N</t>
        </is>
      </c>
    </row>
    <row r="1109">
      <c r="A1109" t="inlineStr">
        <is>
          <t>LFC7909</t>
        </is>
      </c>
      <c r="B1109" t="inlineStr">
        <is>
          <t>LFC7909</t>
        </is>
      </c>
      <c r="C1109" t="inlineStr">
        <is>
          <t>HIGH COURT</t>
        </is>
      </c>
      <c r="D1109" t="inlineStr">
        <is>
          <t>Y</t>
        </is>
      </c>
      <c r="E1109" t="inlineStr">
        <is>
          <t>Y</t>
        </is>
      </c>
      <c r="F1109" t="inlineStr">
        <is>
          <t>9</t>
        </is>
      </c>
      <c r="G1109" t="inlineStr">
        <is>
          <t>ZONE C ISOKANAWA AJENIFUJA OTA</t>
        </is>
      </c>
      <c r="H1109" t="inlineStr">
        <is>
          <t>Existing</t>
        </is>
      </c>
      <c r="I1109" t="inlineStr">
        <is>
          <t>N</t>
        </is>
      </c>
    </row>
    <row r="1110">
      <c r="A1110" t="inlineStr">
        <is>
          <t>LFC7910</t>
        </is>
      </c>
      <c r="B1110" t="inlineStr">
        <is>
          <t>LFC7910</t>
        </is>
      </c>
      <c r="C1110" t="inlineStr">
        <is>
          <t>HIGH COURT</t>
        </is>
      </c>
      <c r="D1110" t="inlineStr">
        <is>
          <t>Y</t>
        </is>
      </c>
      <c r="E1110" t="inlineStr">
        <is>
          <t>Y</t>
        </is>
      </c>
      <c r="F1110" t="inlineStr">
        <is>
          <t>10</t>
        </is>
      </c>
      <c r="G1110" t="inlineStr">
        <is>
          <t>7, IFELODUN CLOSE, ONIPANU, OTA</t>
        </is>
      </c>
      <c r="H1110" t="inlineStr">
        <is>
          <t>Existing</t>
        </is>
      </c>
      <c r="I1110" t="inlineStr">
        <is>
          <t>N</t>
        </is>
      </c>
    </row>
    <row r="1111">
      <c r="A1111" t="inlineStr">
        <is>
          <t>LFC7911</t>
        </is>
      </c>
      <c r="B1111" t="inlineStr">
        <is>
          <t>LFC7911</t>
        </is>
      </c>
      <c r="C1111" t="inlineStr">
        <is>
          <t>HIGH COURT</t>
        </is>
      </c>
      <c r="D1111" t="inlineStr">
        <is>
          <t>N</t>
        </is>
      </c>
      <c r="E1111" t="inlineStr">
        <is>
          <t>Y</t>
        </is>
      </c>
      <c r="F1111" t="inlineStr">
        <is>
          <t>11</t>
        </is>
      </c>
      <c r="G1111" t="inlineStr">
        <is>
          <t>MERRYLAND, IGBEREN</t>
        </is>
      </c>
      <c r="H1111" t="inlineStr">
        <is>
          <t>Existing</t>
        </is>
      </c>
      <c r="I1111" t="inlineStr">
        <is>
          <t>N</t>
        </is>
      </c>
    </row>
    <row r="1112">
      <c r="A1112" t="inlineStr">
        <is>
          <t>LFC7912</t>
        </is>
      </c>
      <c r="B1112" t="inlineStr">
        <is>
          <t>LFC7912</t>
        </is>
      </c>
      <c r="C1112" t="inlineStr">
        <is>
          <t>HIGH COURT</t>
        </is>
      </c>
      <c r="D1112" t="inlineStr">
        <is>
          <t>Y</t>
        </is>
      </c>
      <c r="E1112" t="inlineStr">
        <is>
          <t>Y</t>
        </is>
      </c>
      <c r="F1112" t="inlineStr">
        <is>
          <t>12</t>
        </is>
      </c>
      <c r="G1112" t="inlineStr">
        <is>
          <t>ORI-OKUTA IGBEREN AJANIFUJA</t>
        </is>
      </c>
      <c r="H1112" t="inlineStr">
        <is>
          <t>Existing</t>
        </is>
      </c>
      <c r="I1112" t="inlineStr">
        <is>
          <t>N</t>
        </is>
      </c>
    </row>
    <row r="1113">
      <c r="A1113" t="inlineStr">
        <is>
          <t>LFC7913</t>
        </is>
      </c>
      <c r="B1113" t="inlineStr">
        <is>
          <t>LFC7913</t>
        </is>
      </c>
      <c r="C1113" t="inlineStr">
        <is>
          <t>HIGH COURT</t>
        </is>
      </c>
      <c r="D1113" t="inlineStr">
        <is>
          <t>Y</t>
        </is>
      </c>
      <c r="E1113" t="inlineStr">
        <is>
          <t>Y</t>
        </is>
      </c>
      <c r="F1113" t="inlineStr">
        <is>
          <t>13</t>
        </is>
      </c>
      <c r="G1113" t="inlineStr">
        <is>
          <t>REHOBOTH IGBEREN ATUARA,GASLINE</t>
        </is>
      </c>
      <c r="H1113" t="inlineStr">
        <is>
          <t>Existing</t>
        </is>
      </c>
      <c r="I1113" t="inlineStr">
        <is>
          <t>N</t>
        </is>
      </c>
    </row>
    <row r="1114">
      <c r="A1114" t="inlineStr">
        <is>
          <t>LFC7914</t>
        </is>
      </c>
      <c r="B1114" t="inlineStr">
        <is>
          <t>LFC7914</t>
        </is>
      </c>
      <c r="C1114" t="inlineStr">
        <is>
          <t>HIGH COURT</t>
        </is>
      </c>
      <c r="D1114" t="inlineStr">
        <is>
          <t>N</t>
        </is>
      </c>
      <c r="E1114" t="inlineStr">
        <is>
          <t>Y</t>
        </is>
      </c>
      <c r="F1114" t="inlineStr">
        <is>
          <t>14</t>
        </is>
      </c>
      <c r="G1114" t="inlineStr">
        <is>
          <t>10 ADEYINKA STREET DAFUR BUS STOP</t>
        </is>
      </c>
      <c r="H1114" t="inlineStr">
        <is>
          <t>Existing</t>
        </is>
      </c>
      <c r="I1114" t="inlineStr">
        <is>
          <t>N</t>
        </is>
      </c>
    </row>
    <row r="1115">
      <c r="A1115" t="inlineStr">
        <is>
          <t>LFC7915</t>
        </is>
      </c>
      <c r="B1115" t="inlineStr">
        <is>
          <t>LFC7915</t>
        </is>
      </c>
      <c r="C1115" t="inlineStr">
        <is>
          <t>HIGH COURT</t>
        </is>
      </c>
      <c r="D1115" t="inlineStr">
        <is>
          <t>N</t>
        </is>
      </c>
      <c r="E1115" t="inlineStr">
        <is>
          <t>Y</t>
        </is>
      </c>
      <c r="F1115" t="inlineStr">
        <is>
          <t>15</t>
        </is>
      </c>
      <c r="G1115" t="inlineStr">
        <is>
          <t>7 IGBENREN ROAD NICE ESTATE</t>
        </is>
      </c>
      <c r="H1115" t="inlineStr">
        <is>
          <t>Existing</t>
        </is>
      </c>
      <c r="I1115" t="inlineStr">
        <is>
          <t>N</t>
        </is>
      </c>
    </row>
    <row r="1116">
      <c r="A1116" t="inlineStr">
        <is>
          <t>LFC7916</t>
        </is>
      </c>
      <c r="B1116" t="inlineStr">
        <is>
          <t>LFC7916</t>
        </is>
      </c>
      <c r="C1116" t="inlineStr">
        <is>
          <t>HIGH COURT</t>
        </is>
      </c>
      <c r="D1116" t="inlineStr">
        <is>
          <t>Y</t>
        </is>
      </c>
      <c r="E1116" t="inlineStr">
        <is>
          <t>Y</t>
        </is>
      </c>
      <c r="F1116" t="inlineStr">
        <is>
          <t>16</t>
        </is>
      </c>
      <c r="G1116" t="inlineStr">
        <is>
          <t>SECETARY STREET SALVATION ESTATE OLOKO</t>
        </is>
      </c>
      <c r="H1116" t="inlineStr">
        <is>
          <t>Existing</t>
        </is>
      </c>
      <c r="I1116" t="inlineStr">
        <is>
          <t>Y</t>
        </is>
      </c>
    </row>
    <row r="1117">
      <c r="A1117" t="inlineStr">
        <is>
          <t>LFC8001</t>
        </is>
      </c>
      <c r="B1117" t="inlineStr">
        <is>
          <t>LFC8001</t>
        </is>
      </c>
      <c r="C1117" t="inlineStr">
        <is>
          <t>ATAN 2</t>
        </is>
      </c>
      <c r="D1117" t="inlineStr">
        <is>
          <t>Y</t>
        </is>
      </c>
      <c r="E1117" t="inlineStr">
        <is>
          <t>Y</t>
        </is>
      </c>
      <c r="F1117" t="inlineStr">
        <is>
          <t>1</t>
        </is>
      </c>
      <c r="G1117" t="inlineStr">
        <is>
          <t>AKOREDE ST, IGBOOLOMI, ATAN</t>
        </is>
      </c>
      <c r="H1117" t="inlineStr">
        <is>
          <t>Existing</t>
        </is>
      </c>
      <c r="I1117" t="inlineStr">
        <is>
          <t>N</t>
        </is>
      </c>
    </row>
    <row r="1118">
      <c r="A1118" t="inlineStr">
        <is>
          <t>LFC8002</t>
        </is>
      </c>
      <c r="B1118" t="inlineStr">
        <is>
          <t>LFC8002</t>
        </is>
      </c>
      <c r="C1118" t="inlineStr">
        <is>
          <t>ATAN 2</t>
        </is>
      </c>
      <c r="D1118" t="inlineStr">
        <is>
          <t>Y</t>
        </is>
      </c>
      <c r="E1118" t="inlineStr">
        <is>
          <t>Y</t>
        </is>
      </c>
      <c r="F1118" t="inlineStr">
        <is>
          <t>2</t>
        </is>
      </c>
      <c r="G1118" t="inlineStr">
        <is>
          <t>IWERE - ILE ST, (PENIEL WATER), OFF KETU RD, ATAN .</t>
        </is>
      </c>
      <c r="H1118" t="inlineStr">
        <is>
          <t>Existing</t>
        </is>
      </c>
      <c r="I1118" t="inlineStr">
        <is>
          <t>N</t>
        </is>
      </c>
    </row>
    <row r="1119">
      <c r="A1119" t="inlineStr">
        <is>
          <t>LFC8003</t>
        </is>
      </c>
      <c r="B1119" t="inlineStr">
        <is>
          <t>LFC8003</t>
        </is>
      </c>
      <c r="C1119" t="inlineStr">
        <is>
          <t>ATAN 2</t>
        </is>
      </c>
      <c r="D1119" t="inlineStr">
        <is>
          <t>Y</t>
        </is>
      </c>
      <c r="E1119" t="inlineStr">
        <is>
          <t>Y</t>
        </is>
      </c>
      <c r="F1119" t="inlineStr">
        <is>
          <t>3</t>
        </is>
      </c>
      <c r="G1119" t="inlineStr">
        <is>
          <t>WOLE ONI HSE, AGBOWO, ATAN</t>
        </is>
      </c>
      <c r="H1119" t="inlineStr">
        <is>
          <t>Existing</t>
        </is>
      </c>
      <c r="I1119" t="inlineStr">
        <is>
          <t>N</t>
        </is>
      </c>
    </row>
    <row r="1120">
      <c r="A1120" t="inlineStr">
        <is>
          <t>LFC8004</t>
        </is>
      </c>
      <c r="B1120" t="inlineStr">
        <is>
          <t>LFC8004</t>
        </is>
      </c>
      <c r="C1120" t="inlineStr">
        <is>
          <t>ATAN 2</t>
        </is>
      </c>
      <c r="D1120" t="inlineStr">
        <is>
          <t>Y</t>
        </is>
      </c>
      <c r="E1120" t="inlineStr">
        <is>
          <t>Y</t>
        </is>
      </c>
      <c r="F1120" t="inlineStr">
        <is>
          <t>4</t>
        </is>
      </c>
      <c r="G1120" t="inlineStr">
        <is>
          <t>4, LADIPO STR, LAIZOLA, ATAN</t>
        </is>
      </c>
      <c r="H1120" t="inlineStr">
        <is>
          <t>Existing</t>
        </is>
      </c>
      <c r="I1120" t="inlineStr">
        <is>
          <t>N</t>
        </is>
      </c>
    </row>
    <row r="1121">
      <c r="A1121" t="inlineStr">
        <is>
          <t>LFC8005</t>
        </is>
      </c>
      <c r="B1121" t="inlineStr">
        <is>
          <t>LFC8005</t>
        </is>
      </c>
      <c r="C1121" t="inlineStr">
        <is>
          <t>ATAN 2</t>
        </is>
      </c>
      <c r="D1121" t="inlineStr">
        <is>
          <t>N</t>
        </is>
      </c>
      <c r="E1121" t="inlineStr">
        <is>
          <t>Y</t>
        </is>
      </c>
      <c r="F1121" t="inlineStr">
        <is>
          <t>5</t>
        </is>
      </c>
      <c r="G1121" t="inlineStr">
        <is>
          <t>4, AYIDIGUN VILLAGE, ATAN .</t>
        </is>
      </c>
      <c r="H1121" t="inlineStr">
        <is>
          <t>Existing</t>
        </is>
      </c>
      <c r="I1121" t="inlineStr">
        <is>
          <t>N</t>
        </is>
      </c>
    </row>
    <row r="1122">
      <c r="A1122" t="inlineStr">
        <is>
          <t>LFC8006</t>
        </is>
      </c>
      <c r="B1122" t="inlineStr">
        <is>
          <t>LFC8006</t>
        </is>
      </c>
      <c r="C1122" t="inlineStr">
        <is>
          <t>ATAN 2</t>
        </is>
      </c>
      <c r="D1122" t="inlineStr">
        <is>
          <t>N</t>
        </is>
      </c>
      <c r="E1122" t="inlineStr">
        <is>
          <t>Y</t>
        </is>
      </c>
      <c r="F1122" t="inlineStr">
        <is>
          <t>6</t>
        </is>
      </c>
      <c r="G1122" t="inlineStr">
        <is>
          <t>AJAMBATA VILLAGE, OFF SOKOTO RD, ATAN.</t>
        </is>
      </c>
      <c r="H1122" t="inlineStr">
        <is>
          <t>Existing</t>
        </is>
      </c>
      <c r="I1122" t="inlineStr">
        <is>
          <t>N</t>
        </is>
      </c>
    </row>
    <row r="1123">
      <c r="A1123" t="inlineStr">
        <is>
          <t>LFC8007</t>
        </is>
      </c>
      <c r="B1123" t="inlineStr">
        <is>
          <t>LFC8007</t>
        </is>
      </c>
      <c r="C1123" t="inlineStr">
        <is>
          <t>ATAN 2</t>
        </is>
      </c>
      <c r="D1123" t="inlineStr">
        <is>
          <t>N</t>
        </is>
      </c>
      <c r="E1123" t="inlineStr">
        <is>
          <t>Y</t>
        </is>
      </c>
      <c r="F1123" t="inlineStr">
        <is>
          <t>7</t>
        </is>
      </c>
      <c r="G1123" t="inlineStr">
        <is>
          <t>BOLUWADURO VILLAGE, ATAN.</t>
        </is>
      </c>
      <c r="H1123" t="inlineStr">
        <is>
          <t>Existing</t>
        </is>
      </c>
      <c r="I1123" t="inlineStr">
        <is>
          <t>N</t>
        </is>
      </c>
    </row>
    <row r="1124">
      <c r="A1124" t="inlineStr">
        <is>
          <t>LFC8008</t>
        </is>
      </c>
      <c r="B1124" t="inlineStr">
        <is>
          <t>LFC8008</t>
        </is>
      </c>
      <c r="C1124" t="inlineStr">
        <is>
          <t>ATAN 2</t>
        </is>
      </c>
      <c r="D1124" t="inlineStr">
        <is>
          <t>Y</t>
        </is>
      </c>
      <c r="E1124" t="inlineStr">
        <is>
          <t>Y</t>
        </is>
      </c>
      <c r="F1124" t="inlineStr">
        <is>
          <t>8</t>
        </is>
      </c>
      <c r="G1124" t="inlineStr">
        <is>
          <t>ILOBI/EREDO VILLAGE</t>
        </is>
      </c>
      <c r="H1124" t="inlineStr">
        <is>
          <t>Existing</t>
        </is>
      </c>
      <c r="I1124" t="inlineStr">
        <is>
          <t>N</t>
        </is>
      </c>
    </row>
    <row r="1125">
      <c r="A1125" t="inlineStr">
        <is>
          <t>LFC8009</t>
        </is>
      </c>
      <c r="B1125" t="inlineStr">
        <is>
          <t>LFC8009</t>
        </is>
      </c>
      <c r="C1125" t="inlineStr">
        <is>
          <t>ATAN 2</t>
        </is>
      </c>
      <c r="D1125" t="inlineStr">
        <is>
          <t>Y</t>
        </is>
      </c>
      <c r="E1125" t="inlineStr">
        <is>
          <t>Y</t>
        </is>
      </c>
      <c r="F1125" t="inlineStr">
        <is>
          <t>9</t>
        </is>
      </c>
      <c r="G1125" t="inlineStr">
        <is>
          <t>OGAGA HSE , ATAN MARKET RD, ASHORE, ATAN.</t>
        </is>
      </c>
      <c r="H1125" t="inlineStr">
        <is>
          <t>Existing</t>
        </is>
      </c>
      <c r="I1125" t="inlineStr">
        <is>
          <t>N</t>
        </is>
      </c>
    </row>
    <row r="1126">
      <c r="A1126" t="inlineStr">
        <is>
          <t>LFC8010</t>
        </is>
      </c>
      <c r="B1126" t="inlineStr">
        <is>
          <t>LFC8010</t>
        </is>
      </c>
      <c r="C1126" t="inlineStr">
        <is>
          <t>ATAN 2</t>
        </is>
      </c>
      <c r="D1126" t="inlineStr">
        <is>
          <t>Y</t>
        </is>
      </c>
      <c r="E1126" t="inlineStr">
        <is>
          <t>Y</t>
        </is>
      </c>
      <c r="F1126" t="inlineStr">
        <is>
          <t>10</t>
        </is>
      </c>
      <c r="G1126" t="inlineStr">
        <is>
          <t>LIBERTY HSE, OFF POWERLINE, AGO - ERI , ATAN.</t>
        </is>
      </c>
      <c r="H1126" t="inlineStr">
        <is>
          <t>Existing</t>
        </is>
      </c>
      <c r="I1126" t="inlineStr">
        <is>
          <t>N</t>
        </is>
      </c>
    </row>
    <row r="1127">
      <c r="A1127" t="inlineStr">
        <is>
          <t>LFC8011</t>
        </is>
      </c>
      <c r="B1127" t="inlineStr">
        <is>
          <t>LFC8011</t>
        </is>
      </c>
      <c r="C1127" t="inlineStr">
        <is>
          <t>ATAN 2</t>
        </is>
      </c>
      <c r="D1127" t="inlineStr">
        <is>
          <t>N</t>
        </is>
      </c>
      <c r="E1127" t="inlineStr">
        <is>
          <t>Y</t>
        </is>
      </c>
      <c r="F1127" t="inlineStr">
        <is>
          <t>11</t>
        </is>
      </c>
      <c r="G1127" t="inlineStr">
        <is>
          <t>200 ACRES RD, SHYLLON EST, ONIGBONGBO</t>
        </is>
      </c>
      <c r="H1127" t="inlineStr">
        <is>
          <t>Existing</t>
        </is>
      </c>
      <c r="I1127" t="inlineStr">
        <is>
          <t>N</t>
        </is>
      </c>
    </row>
    <row r="1128">
      <c r="A1128" t="inlineStr">
        <is>
          <t>LFC8012</t>
        </is>
      </c>
      <c r="B1128" t="inlineStr">
        <is>
          <t>LFC8012</t>
        </is>
      </c>
      <c r="C1128" t="inlineStr">
        <is>
          <t>ATAN 2</t>
        </is>
      </c>
      <c r="D1128" t="inlineStr">
        <is>
          <t>N</t>
        </is>
      </c>
      <c r="E1128" t="inlineStr">
        <is>
          <t>Y</t>
        </is>
      </c>
      <c r="F1128" t="inlineStr">
        <is>
          <t>12</t>
        </is>
      </c>
      <c r="G1128" t="inlineStr">
        <is>
          <t>TEMITOPE HOUSE, MEGA GRACE ESTATE, KAJOLA RD, ATAN</t>
        </is>
      </c>
      <c r="H1128" t="inlineStr">
        <is>
          <t>Existing</t>
        </is>
      </c>
      <c r="I1128" t="inlineStr">
        <is>
          <t>N</t>
        </is>
      </c>
    </row>
    <row r="1129">
      <c r="A1129" t="inlineStr">
        <is>
          <t>LFC8013</t>
        </is>
      </c>
      <c r="B1129" t="inlineStr">
        <is>
          <t>LFC8013</t>
        </is>
      </c>
      <c r="C1129" t="inlineStr">
        <is>
          <t>ATAN 2</t>
        </is>
      </c>
      <c r="D1129" t="inlineStr">
        <is>
          <t>N</t>
        </is>
      </c>
      <c r="E1129" t="inlineStr">
        <is>
          <t>Y</t>
        </is>
      </c>
      <c r="F1129" t="inlineStr">
        <is>
          <t>13</t>
        </is>
      </c>
      <c r="G1129" t="inlineStr">
        <is>
          <t>2ND TRANSFORM,BAALE ROAD,ONIGBONGBO,</t>
        </is>
      </c>
      <c r="H1129" t="inlineStr">
        <is>
          <t>New (proposed)</t>
        </is>
      </c>
      <c r="I1129" t="inlineStr">
        <is>
          <t>N</t>
        </is>
      </c>
    </row>
    <row r="1130">
      <c r="A1130" t="inlineStr">
        <is>
          <t>LFC8014</t>
        </is>
      </c>
      <c r="B1130" t="inlineStr">
        <is>
          <t>LFC8014</t>
        </is>
      </c>
      <c r="C1130" t="inlineStr">
        <is>
          <t>ATAN 2</t>
        </is>
      </c>
      <c r="D1130" t="inlineStr">
        <is>
          <t>N</t>
        </is>
      </c>
      <c r="E1130" t="inlineStr">
        <is>
          <t>Y</t>
        </is>
      </c>
      <c r="F1130" t="inlineStr">
        <is>
          <t>14</t>
        </is>
      </c>
      <c r="G1130" t="inlineStr">
        <is>
          <t>YIDI VILLAGE OFF LEMOMU ROAD ATAN OTA</t>
        </is>
      </c>
      <c r="H1130" t="inlineStr">
        <is>
          <t>New (proposed)</t>
        </is>
      </c>
      <c r="I1130" t="inlineStr">
        <is>
          <t>N</t>
        </is>
      </c>
    </row>
    <row r="1131">
      <c r="A1131" t="inlineStr">
        <is>
          <t>LFC8101</t>
        </is>
      </c>
      <c r="B1131" t="inlineStr">
        <is>
          <t>LFC8101</t>
        </is>
      </c>
      <c r="C1131" t="inlineStr">
        <is>
          <t>ADELANS 2</t>
        </is>
      </c>
      <c r="D1131" t="inlineStr">
        <is>
          <t>Y</t>
        </is>
      </c>
      <c r="E1131" t="inlineStr">
        <is>
          <t>Y</t>
        </is>
      </c>
      <c r="F1131" t="inlineStr">
        <is>
          <t>1</t>
        </is>
      </c>
      <c r="G1131" t="inlineStr">
        <is>
          <t>ADELANS</t>
        </is>
      </c>
      <c r="H1131" t="inlineStr">
        <is>
          <t>Existing</t>
        </is>
      </c>
      <c r="I1131" t="inlineStr">
        <is>
          <t>N</t>
        </is>
      </c>
    </row>
    <row r="1132">
      <c r="A1132" t="inlineStr">
        <is>
          <t>LFC8102</t>
        </is>
      </c>
      <c r="B1132" t="inlineStr">
        <is>
          <t>LFC8102</t>
        </is>
      </c>
      <c r="C1132" t="inlineStr">
        <is>
          <t>ADELANS 2</t>
        </is>
      </c>
      <c r="D1132" t="inlineStr">
        <is>
          <t>Y</t>
        </is>
      </c>
      <c r="E1132" t="inlineStr">
        <is>
          <t>Y</t>
        </is>
      </c>
      <c r="F1132" t="inlineStr">
        <is>
          <t>2</t>
        </is>
      </c>
      <c r="G1132" t="inlineStr">
        <is>
          <t>IDIAGBON</t>
        </is>
      </c>
      <c r="H1132" t="inlineStr">
        <is>
          <t>Existing</t>
        </is>
      </c>
      <c r="I1132" t="inlineStr">
        <is>
          <t>Y</t>
        </is>
      </c>
    </row>
    <row r="1133">
      <c r="A1133" t="inlineStr">
        <is>
          <t>LFC8103</t>
        </is>
      </c>
      <c r="B1133" t="inlineStr">
        <is>
          <t>LFC8103</t>
        </is>
      </c>
      <c r="C1133" t="inlineStr">
        <is>
          <t>ADELANS 2</t>
        </is>
      </c>
      <c r="D1133" t="inlineStr">
        <is>
          <t>Y</t>
        </is>
      </c>
      <c r="E1133" t="inlineStr">
        <is>
          <t>Y</t>
        </is>
      </c>
      <c r="F1133" t="inlineStr">
        <is>
          <t>3</t>
        </is>
      </c>
      <c r="G1133" t="inlineStr">
        <is>
          <t>ABULE-ISALE</t>
        </is>
      </c>
      <c r="H1133" t="inlineStr">
        <is>
          <t>Existing</t>
        </is>
      </c>
      <c r="I1133" t="inlineStr">
        <is>
          <t>N</t>
        </is>
      </c>
    </row>
    <row r="1134">
      <c r="A1134" t="inlineStr">
        <is>
          <t>LFC8104</t>
        </is>
      </c>
      <c r="B1134" t="inlineStr">
        <is>
          <t>LFC8104</t>
        </is>
      </c>
      <c r="C1134" t="inlineStr">
        <is>
          <t>ADELANS 2</t>
        </is>
      </c>
      <c r="D1134" t="inlineStr">
        <is>
          <t>N</t>
        </is>
      </c>
      <c r="E1134" t="inlineStr">
        <is>
          <t>Y</t>
        </is>
      </c>
      <c r="F1134" t="inlineStr">
        <is>
          <t>4</t>
        </is>
      </c>
      <c r="G1134" t="inlineStr">
        <is>
          <t>AJIBARE</t>
        </is>
      </c>
      <c r="H1134" t="inlineStr">
        <is>
          <t>Existing</t>
        </is>
      </c>
      <c r="I1134" t="inlineStr">
        <is>
          <t>N</t>
        </is>
      </c>
    </row>
    <row r="1135">
      <c r="A1135" t="inlineStr">
        <is>
          <t>LFC8105</t>
        </is>
      </c>
      <c r="B1135" t="inlineStr">
        <is>
          <t>LFC8105</t>
        </is>
      </c>
      <c r="C1135" t="inlineStr">
        <is>
          <t>ADELANS 2</t>
        </is>
      </c>
      <c r="D1135" t="inlineStr">
        <is>
          <t>Y</t>
        </is>
      </c>
      <c r="E1135" t="inlineStr">
        <is>
          <t>Y</t>
        </is>
      </c>
      <c r="F1135" t="inlineStr">
        <is>
          <t>5</t>
        </is>
      </c>
      <c r="G1135" t="inlineStr">
        <is>
          <t>BALOGUN</t>
        </is>
      </c>
      <c r="H1135" t="inlineStr">
        <is>
          <t>Existing</t>
        </is>
      </c>
      <c r="I1135" t="inlineStr">
        <is>
          <t>N</t>
        </is>
      </c>
    </row>
    <row r="1136">
      <c r="A1136" t="inlineStr">
        <is>
          <t>LFC8106</t>
        </is>
      </c>
      <c r="B1136" t="inlineStr">
        <is>
          <t>LFC8106</t>
        </is>
      </c>
      <c r="C1136" t="inlineStr">
        <is>
          <t>ADELANS 2</t>
        </is>
      </c>
      <c r="D1136" t="inlineStr">
        <is>
          <t>Y</t>
        </is>
      </c>
      <c r="E1136" t="inlineStr">
        <is>
          <t>Y</t>
        </is>
      </c>
      <c r="F1136" t="inlineStr">
        <is>
          <t>6</t>
        </is>
      </c>
      <c r="G1136" t="inlineStr">
        <is>
          <t>ARUYA HOUSE</t>
        </is>
      </c>
      <c r="H1136" t="inlineStr">
        <is>
          <t>Existing</t>
        </is>
      </c>
      <c r="I1136" t="inlineStr">
        <is>
          <t>N</t>
        </is>
      </c>
    </row>
    <row r="1137">
      <c r="A1137" t="inlineStr">
        <is>
          <t>LFC8107</t>
        </is>
      </c>
      <c r="B1137" t="inlineStr">
        <is>
          <t>LFC8107</t>
        </is>
      </c>
      <c r="C1137" t="inlineStr">
        <is>
          <t>ADELANS 2</t>
        </is>
      </c>
      <c r="D1137" t="inlineStr">
        <is>
          <t>Y</t>
        </is>
      </c>
      <c r="E1137" t="inlineStr">
        <is>
          <t>Y</t>
        </is>
      </c>
      <c r="F1137" t="inlineStr">
        <is>
          <t>7</t>
        </is>
      </c>
      <c r="G1137" t="inlineStr">
        <is>
          <t>PHASE 2,IJU</t>
        </is>
      </c>
      <c r="H1137" t="inlineStr">
        <is>
          <t>Existing</t>
        </is>
      </c>
      <c r="I1137" t="inlineStr">
        <is>
          <t>N</t>
        </is>
      </c>
    </row>
    <row r="1138">
      <c r="A1138" t="inlineStr">
        <is>
          <t>LFC8108</t>
        </is>
      </c>
      <c r="B1138" t="inlineStr">
        <is>
          <t>LFC8108</t>
        </is>
      </c>
      <c r="C1138" t="inlineStr">
        <is>
          <t>ADELANS 2</t>
        </is>
      </c>
      <c r="D1138" t="inlineStr">
        <is>
          <t>Y</t>
        </is>
      </c>
      <c r="E1138" t="inlineStr">
        <is>
          <t>Y</t>
        </is>
      </c>
      <c r="F1138" t="inlineStr">
        <is>
          <t>8</t>
        </is>
      </c>
      <c r="G1138" t="inlineStr">
        <is>
          <t>OLUMOWE, OLA</t>
        </is>
      </c>
      <c r="H1138" t="inlineStr">
        <is>
          <t>Existing</t>
        </is>
      </c>
      <c r="I1138" t="inlineStr">
        <is>
          <t>N</t>
        </is>
      </c>
    </row>
    <row r="1139">
      <c r="A1139" t="inlineStr">
        <is>
          <t>LFC8109</t>
        </is>
      </c>
      <c r="B1139" t="inlineStr">
        <is>
          <t>LFC8109</t>
        </is>
      </c>
      <c r="C1139" t="inlineStr">
        <is>
          <t>ADELANS 2</t>
        </is>
      </c>
      <c r="D1139" t="inlineStr">
        <is>
          <t>N</t>
        </is>
      </c>
      <c r="E1139" t="inlineStr">
        <is>
          <t>Y</t>
        </is>
      </c>
      <c r="F1139" t="inlineStr">
        <is>
          <t>9</t>
        </is>
      </c>
      <c r="G1139" t="inlineStr">
        <is>
          <t>ADEKUNLE STORE</t>
        </is>
      </c>
      <c r="H1139" t="inlineStr">
        <is>
          <t>Existing</t>
        </is>
      </c>
      <c r="I1139" t="inlineStr">
        <is>
          <t>N</t>
        </is>
      </c>
    </row>
    <row r="1140">
      <c r="A1140" t="inlineStr">
        <is>
          <t>LFC8110</t>
        </is>
      </c>
      <c r="B1140" t="inlineStr">
        <is>
          <t>LFC8110</t>
        </is>
      </c>
      <c r="C1140" t="inlineStr">
        <is>
          <t>ADELANS 2</t>
        </is>
      </c>
      <c r="D1140" t="inlineStr">
        <is>
          <t>Y</t>
        </is>
      </c>
      <c r="E1140" t="inlineStr">
        <is>
          <t>Y</t>
        </is>
      </c>
      <c r="F1140" t="inlineStr">
        <is>
          <t>10</t>
        </is>
      </c>
      <c r="G1140" t="inlineStr">
        <is>
          <t>UNITY ESTATE</t>
        </is>
      </c>
      <c r="H1140" t="inlineStr">
        <is>
          <t>Existing</t>
        </is>
      </c>
      <c r="I1140" t="inlineStr">
        <is>
          <t>N</t>
        </is>
      </c>
    </row>
    <row r="1141">
      <c r="A1141" t="inlineStr">
        <is>
          <t>LFC8111</t>
        </is>
      </c>
      <c r="B1141" t="inlineStr">
        <is>
          <t>LFC8111</t>
        </is>
      </c>
      <c r="C1141" t="inlineStr">
        <is>
          <t>ADELANS 2</t>
        </is>
      </c>
      <c r="D1141" t="inlineStr">
        <is>
          <t>Y</t>
        </is>
      </c>
      <c r="E1141" t="inlineStr">
        <is>
          <t>Y</t>
        </is>
      </c>
      <c r="F1141" t="inlineStr">
        <is>
          <t>11</t>
        </is>
      </c>
      <c r="G1141" t="inlineStr">
        <is>
          <t>FATEK AREA</t>
        </is>
      </c>
      <c r="H1141" t="inlineStr">
        <is>
          <t>Existing</t>
        </is>
      </c>
      <c r="I1141" t="inlineStr">
        <is>
          <t>N</t>
        </is>
      </c>
    </row>
    <row r="1142">
      <c r="A1142" t="inlineStr">
        <is>
          <t>LFC8112</t>
        </is>
      </c>
      <c r="B1142" t="inlineStr">
        <is>
          <t>LFC8112</t>
        </is>
      </c>
      <c r="C1142" t="inlineStr">
        <is>
          <t>ADELANS 2</t>
        </is>
      </c>
      <c r="D1142" t="inlineStr">
        <is>
          <t>Y</t>
        </is>
      </c>
      <c r="E1142" t="inlineStr">
        <is>
          <t>Y</t>
        </is>
      </c>
      <c r="F1142" t="inlineStr">
        <is>
          <t>12</t>
        </is>
      </c>
      <c r="G1142" t="inlineStr">
        <is>
          <t>75 ACRES</t>
        </is>
      </c>
      <c r="H1142" t="inlineStr">
        <is>
          <t>Existing</t>
        </is>
      </c>
      <c r="I1142" t="inlineStr">
        <is>
          <t>N</t>
        </is>
      </c>
    </row>
    <row r="1143">
      <c r="A1143" t="inlineStr">
        <is>
          <t>LFC8113</t>
        </is>
      </c>
      <c r="B1143" t="inlineStr">
        <is>
          <t>LFC8113</t>
        </is>
      </c>
      <c r="C1143" t="inlineStr">
        <is>
          <t>ADELANS 2</t>
        </is>
      </c>
      <c r="D1143" t="inlineStr">
        <is>
          <t>Y</t>
        </is>
      </c>
      <c r="E1143" t="inlineStr">
        <is>
          <t>Y</t>
        </is>
      </c>
      <c r="F1143" t="inlineStr">
        <is>
          <t>13</t>
        </is>
      </c>
      <c r="G1143" t="inlineStr">
        <is>
          <t>BABA-ODE</t>
        </is>
      </c>
      <c r="H1143" t="inlineStr">
        <is>
          <t>Existing</t>
        </is>
      </c>
      <c r="I1143" t="inlineStr">
        <is>
          <t>N</t>
        </is>
      </c>
    </row>
    <row r="1144">
      <c r="A1144" t="inlineStr">
        <is>
          <t>LFC8114</t>
        </is>
      </c>
      <c r="B1144" t="inlineStr">
        <is>
          <t>LFC8114</t>
        </is>
      </c>
      <c r="C1144" t="inlineStr">
        <is>
          <t>ADELANS 2</t>
        </is>
      </c>
      <c r="D1144" t="inlineStr">
        <is>
          <t>Y</t>
        </is>
      </c>
      <c r="E1144" t="inlineStr">
        <is>
          <t>Y</t>
        </is>
      </c>
      <c r="F1144" t="inlineStr">
        <is>
          <t>14</t>
        </is>
      </c>
      <c r="G1144" t="inlineStr">
        <is>
          <t>IDIABA</t>
        </is>
      </c>
      <c r="H1144" t="inlineStr">
        <is>
          <t>Existing</t>
        </is>
      </c>
      <c r="I1144" t="inlineStr">
        <is>
          <t>N</t>
        </is>
      </c>
    </row>
    <row r="1145">
      <c r="A1145" t="inlineStr">
        <is>
          <t>LFC8115</t>
        </is>
      </c>
      <c r="B1145" t="inlineStr">
        <is>
          <t>LFC8115</t>
        </is>
      </c>
      <c r="C1145" t="inlineStr">
        <is>
          <t>ADELANS 2</t>
        </is>
      </c>
      <c r="D1145" t="inlineStr">
        <is>
          <t>N</t>
        </is>
      </c>
      <c r="E1145" t="inlineStr">
        <is>
          <t>Y</t>
        </is>
      </c>
      <c r="F1145" t="inlineStr">
        <is>
          <t>15</t>
        </is>
      </c>
      <c r="G1145" t="inlineStr">
        <is>
          <t>IDEDO</t>
        </is>
      </c>
      <c r="H1145" t="inlineStr">
        <is>
          <t>Existing</t>
        </is>
      </c>
      <c r="I1145" t="inlineStr">
        <is>
          <t>N</t>
        </is>
      </c>
    </row>
    <row r="1146">
      <c r="A1146" t="inlineStr">
        <is>
          <t>LFC8116</t>
        </is>
      </c>
      <c r="B1146" t="inlineStr">
        <is>
          <t>LFC8116</t>
        </is>
      </c>
      <c r="C1146" t="inlineStr">
        <is>
          <t>ADELANS 2</t>
        </is>
      </c>
      <c r="D1146" t="inlineStr">
        <is>
          <t>N</t>
        </is>
      </c>
      <c r="E1146" t="inlineStr">
        <is>
          <t>Y</t>
        </is>
      </c>
      <c r="F1146" t="inlineStr">
        <is>
          <t>16</t>
        </is>
      </c>
      <c r="G1146" t="inlineStr">
        <is>
          <t>SOKENU</t>
        </is>
      </c>
      <c r="H1146" t="inlineStr">
        <is>
          <t>Existing</t>
        </is>
      </c>
      <c r="I1146" t="inlineStr">
        <is>
          <t>N</t>
        </is>
      </c>
    </row>
    <row r="1147">
      <c r="A1147" t="inlineStr">
        <is>
          <t>LFC8117</t>
        </is>
      </c>
      <c r="B1147" t="inlineStr">
        <is>
          <t>LFC8117</t>
        </is>
      </c>
      <c r="C1147" t="inlineStr">
        <is>
          <t>ADELANS 2</t>
        </is>
      </c>
      <c r="D1147" t="inlineStr">
        <is>
          <t>N</t>
        </is>
      </c>
      <c r="E1147" t="inlineStr">
        <is>
          <t>Y</t>
        </is>
      </c>
      <c r="F1147" t="inlineStr">
        <is>
          <t>17</t>
        </is>
      </c>
      <c r="G1147" t="inlineStr">
        <is>
          <t>No 1 victory Avenue Ldi ada phase 2 otta</t>
        </is>
      </c>
      <c r="H1147" t="inlineStr">
        <is>
          <t>New (proposed)</t>
        </is>
      </c>
      <c r="I1147" t="inlineStr">
        <is>
          <t>N</t>
        </is>
      </c>
    </row>
    <row r="1148">
      <c r="A1148" t="inlineStr">
        <is>
          <t>LFC8118</t>
        </is>
      </c>
      <c r="B1148" t="inlineStr">
        <is>
          <t>LFC8118</t>
        </is>
      </c>
      <c r="C1148" t="inlineStr">
        <is>
          <t>ADELANS 2</t>
        </is>
      </c>
      <c r="D1148" t="inlineStr">
        <is>
          <t>N</t>
        </is>
      </c>
      <c r="E1148" t="inlineStr">
        <is>
          <t>Y</t>
        </is>
      </c>
      <c r="F1148" t="inlineStr">
        <is>
          <t>18</t>
        </is>
      </c>
      <c r="G1148" t="inlineStr">
        <is>
          <t>No. 57, Independence Avenue, Oko-owo, Babaode-Onibukun, Ota, Ogun state</t>
        </is>
      </c>
      <c r="H1148" t="inlineStr">
        <is>
          <t>New (proposed)</t>
        </is>
      </c>
      <c r="I1148" t="inlineStr">
        <is>
          <t>N</t>
        </is>
      </c>
    </row>
    <row r="1149">
      <c r="A1149" t="inlineStr">
        <is>
          <t>LFC8119</t>
        </is>
      </c>
      <c r="B1149" t="inlineStr">
        <is>
          <t>LFC8119</t>
        </is>
      </c>
      <c r="C1149" t="inlineStr">
        <is>
          <t>ADELANS 2</t>
        </is>
      </c>
      <c r="D1149" t="inlineStr">
        <is>
          <t>N</t>
        </is>
      </c>
      <c r="E1149" t="inlineStr">
        <is>
          <t>Y</t>
        </is>
      </c>
      <c r="F1149" t="inlineStr">
        <is>
          <t>19</t>
        </is>
      </c>
      <c r="G1149" t="inlineStr">
        <is>
          <t>PLOT 5 GOD'S HERITAGE STREET off community road nahco onibuku otta</t>
        </is>
      </c>
      <c r="H1149" t="inlineStr">
        <is>
          <t>New (proposed)</t>
        </is>
      </c>
      <c r="I1149" t="inlineStr">
        <is>
          <t>N</t>
        </is>
      </c>
    </row>
    <row r="1150">
      <c r="A1150" t="inlineStr">
        <is>
          <t>LFC8120</t>
        </is>
      </c>
      <c r="B1150" t="inlineStr">
        <is>
          <t>LFC8120</t>
        </is>
      </c>
      <c r="C1150" t="inlineStr">
        <is>
          <t>ADELANS 2</t>
        </is>
      </c>
      <c r="D1150" t="inlineStr">
        <is>
          <t>N</t>
        </is>
      </c>
      <c r="E1150" t="inlineStr">
        <is>
          <t>Y</t>
        </is>
      </c>
      <c r="F1150" t="inlineStr">
        <is>
          <t>20</t>
        </is>
      </c>
      <c r="G1150" t="inlineStr">
        <is>
          <t>27, FASASI ADE-ALU STREET IJU- OTA LOVE B/STOP</t>
        </is>
      </c>
      <c r="H1150" t="inlineStr">
        <is>
          <t>New (proposed)</t>
        </is>
      </c>
      <c r="I1150" t="inlineStr">
        <is>
          <t>N</t>
        </is>
      </c>
    </row>
    <row r="1151">
      <c r="A1151" t="inlineStr">
        <is>
          <t>LFC8121</t>
        </is>
      </c>
      <c r="B1151" t="inlineStr">
        <is>
          <t>LFC8121</t>
        </is>
      </c>
      <c r="C1151" t="inlineStr">
        <is>
          <t>ADELANS 2</t>
        </is>
      </c>
      <c r="D1151" t="inlineStr">
        <is>
          <t>N</t>
        </is>
      </c>
      <c r="E1151" t="inlineStr">
        <is>
          <t>Y</t>
        </is>
      </c>
      <c r="F1151" t="inlineStr">
        <is>
          <t>21</t>
        </is>
      </c>
      <c r="G1151" t="inlineStr">
        <is>
          <t>No 3, Bintinlaye Street Ise Oluwa CDA, Iju-Ota</t>
        </is>
      </c>
      <c r="H1151" t="inlineStr">
        <is>
          <t>New (proposed)</t>
        </is>
      </c>
      <c r="I1151" t="inlineStr">
        <is>
          <t>N</t>
        </is>
      </c>
    </row>
    <row r="1152">
      <c r="A1152" t="inlineStr">
        <is>
          <t>LFC8122</t>
        </is>
      </c>
      <c r="B1152" t="inlineStr">
        <is>
          <t>LFC8122</t>
        </is>
      </c>
      <c r="C1152" t="inlineStr">
        <is>
          <t>ADELANS 2</t>
        </is>
      </c>
      <c r="D1152" t="inlineStr">
        <is>
          <t>N</t>
        </is>
      </c>
      <c r="E1152" t="inlineStr">
        <is>
          <t>Y</t>
        </is>
      </c>
      <c r="F1152" t="inlineStr">
        <is>
          <t>22</t>
        </is>
      </c>
      <c r="G1152" t="inlineStr">
        <is>
          <t>EMPIRE ZONE DAIMOND ESTATE,IDIABA PHASE2</t>
        </is>
      </c>
      <c r="H1152" t="inlineStr">
        <is>
          <t>New (proposed)</t>
        </is>
      </c>
      <c r="I1152" t="inlineStr">
        <is>
          <t>N</t>
        </is>
      </c>
    </row>
    <row r="1153">
      <c r="A1153" t="inlineStr">
        <is>
          <t>LFC8201</t>
        </is>
      </c>
      <c r="B1153" t="inlineStr">
        <is>
          <t>LFC8201</t>
        </is>
      </c>
      <c r="C1153" t="inlineStr">
        <is>
          <t>AMJE</t>
        </is>
      </c>
      <c r="D1153" t="inlineStr">
        <is>
          <t>Y</t>
        </is>
      </c>
      <c r="E1153" t="inlineStr">
        <is>
          <t>Y</t>
        </is>
      </c>
      <c r="F1153" t="inlineStr">
        <is>
          <t>1</t>
        </is>
      </c>
      <c r="G1153" t="inlineStr">
        <is>
          <t>17, OLADAPO OKE STREET, MOSHALASHI</t>
        </is>
      </c>
      <c r="H1153" t="inlineStr">
        <is>
          <t>Existing</t>
        </is>
      </c>
      <c r="I1153" t="inlineStr">
        <is>
          <t>N</t>
        </is>
      </c>
    </row>
    <row r="1154">
      <c r="A1154" t="inlineStr">
        <is>
          <t>LFC8202</t>
        </is>
      </c>
      <c r="B1154" t="inlineStr">
        <is>
          <t>LFC8202</t>
        </is>
      </c>
      <c r="C1154" t="inlineStr">
        <is>
          <t>AMJE</t>
        </is>
      </c>
      <c r="D1154" t="inlineStr">
        <is>
          <t>Y</t>
        </is>
      </c>
      <c r="E1154" t="inlineStr">
        <is>
          <t>Y</t>
        </is>
      </c>
      <c r="F1154" t="inlineStr">
        <is>
          <t>2</t>
        </is>
      </c>
      <c r="G1154" t="inlineStr">
        <is>
          <t>49A, ALAFIA STREET, ALAGBADO</t>
        </is>
      </c>
      <c r="H1154" t="inlineStr">
        <is>
          <t>Existing</t>
        </is>
      </c>
      <c r="I1154" t="inlineStr">
        <is>
          <t>N</t>
        </is>
      </c>
    </row>
    <row r="1155">
      <c r="A1155" t="inlineStr">
        <is>
          <t>LFC8203</t>
        </is>
      </c>
      <c r="B1155" t="inlineStr">
        <is>
          <t>LFC8203</t>
        </is>
      </c>
      <c r="C1155" t="inlineStr">
        <is>
          <t>AMJE</t>
        </is>
      </c>
      <c r="D1155" t="inlineStr">
        <is>
          <t>N</t>
        </is>
      </c>
      <c r="E1155" t="inlineStr">
        <is>
          <t>Y</t>
        </is>
      </c>
      <c r="F1155" t="inlineStr">
        <is>
          <t>3</t>
        </is>
      </c>
      <c r="G1155" t="inlineStr">
        <is>
          <t>4, AJIKE CLOSE, AMJE ALAKUKO</t>
        </is>
      </c>
      <c r="H1155" t="inlineStr">
        <is>
          <t>Existing</t>
        </is>
      </c>
      <c r="I1155" t="inlineStr">
        <is>
          <t>N</t>
        </is>
      </c>
    </row>
    <row r="1156">
      <c r="A1156" t="inlineStr">
        <is>
          <t>LFC8204</t>
        </is>
      </c>
      <c r="B1156" t="inlineStr">
        <is>
          <t>LFC8204</t>
        </is>
      </c>
      <c r="C1156" t="inlineStr">
        <is>
          <t>AMJE</t>
        </is>
      </c>
      <c r="D1156" t="inlineStr">
        <is>
          <t>N</t>
        </is>
      </c>
      <c r="E1156" t="inlineStr">
        <is>
          <t>Y</t>
        </is>
      </c>
      <c r="F1156" t="inlineStr">
        <is>
          <t>4</t>
        </is>
      </c>
      <c r="G1156" t="inlineStr">
        <is>
          <t>4, AKEWEJE. AMJE</t>
        </is>
      </c>
      <c r="H1156" t="inlineStr">
        <is>
          <t>Existing</t>
        </is>
      </c>
      <c r="I1156" t="inlineStr">
        <is>
          <t>N</t>
        </is>
      </c>
    </row>
    <row r="1157">
      <c r="A1157" t="inlineStr">
        <is>
          <t>LFC8301</t>
        </is>
      </c>
      <c r="B1157" t="inlineStr">
        <is>
          <t>LFC8301</t>
        </is>
      </c>
      <c r="C1157" t="inlineStr">
        <is>
          <t>IKOLA COMMAND</t>
        </is>
      </c>
      <c r="D1157" t="inlineStr">
        <is>
          <t>Y</t>
        </is>
      </c>
      <c r="E1157" t="inlineStr">
        <is>
          <t>Y</t>
        </is>
      </c>
      <c r="F1157" t="inlineStr">
        <is>
          <t>1</t>
        </is>
      </c>
      <c r="G1157" t="inlineStr">
        <is>
          <t>7, COMMAND ROAD IPAJA LAGOS</t>
        </is>
      </c>
      <c r="H1157" t="inlineStr">
        <is>
          <t>Existing</t>
        </is>
      </c>
      <c r="I1157" t="inlineStr">
        <is>
          <t>N</t>
        </is>
      </c>
    </row>
    <row r="1158">
      <c r="A1158" t="inlineStr">
        <is>
          <t>LFC8302</t>
        </is>
      </c>
      <c r="B1158" t="inlineStr">
        <is>
          <t>LFC8302</t>
        </is>
      </c>
      <c r="C1158" t="inlineStr">
        <is>
          <t>IKOLA COMMAND</t>
        </is>
      </c>
      <c r="D1158" t="inlineStr">
        <is>
          <t>Y</t>
        </is>
      </c>
      <c r="E1158" t="inlineStr">
        <is>
          <t>Y</t>
        </is>
      </c>
      <c r="F1158" t="inlineStr">
        <is>
          <t>2</t>
        </is>
      </c>
      <c r="G1158" t="inlineStr">
        <is>
          <t>20, WALE AZEEZ STREETODUALADE</t>
        </is>
      </c>
      <c r="H1158" t="inlineStr">
        <is>
          <t>Existing</t>
        </is>
      </c>
      <c r="I1158" t="inlineStr">
        <is>
          <t>N</t>
        </is>
      </c>
    </row>
    <row r="1159">
      <c r="A1159" t="inlineStr">
        <is>
          <t>LFC8303</t>
        </is>
      </c>
      <c r="B1159" t="inlineStr">
        <is>
          <t>LFC8303</t>
        </is>
      </c>
      <c r="C1159" t="inlineStr">
        <is>
          <t>IKOLA COMMAND</t>
        </is>
      </c>
      <c r="D1159" t="inlineStr">
        <is>
          <t>N</t>
        </is>
      </c>
      <c r="E1159" t="inlineStr">
        <is>
          <t>Y</t>
        </is>
      </c>
      <c r="F1159" t="inlineStr">
        <is>
          <t>3</t>
        </is>
      </c>
      <c r="G1159" t="inlineStr">
        <is>
          <t>37, OGUNMUYIWA STREET, AJASA</t>
        </is>
      </c>
      <c r="H1159" t="inlineStr">
        <is>
          <t>Existing</t>
        </is>
      </c>
      <c r="I1159" t="inlineStr">
        <is>
          <t>N</t>
        </is>
      </c>
    </row>
    <row r="1160">
      <c r="A1160" t="inlineStr">
        <is>
          <t>LFC8304</t>
        </is>
      </c>
      <c r="B1160" t="inlineStr">
        <is>
          <t>LFC8304</t>
        </is>
      </c>
      <c r="C1160" t="inlineStr">
        <is>
          <t>IKOLA COMMAND</t>
        </is>
      </c>
      <c r="D1160" t="inlineStr">
        <is>
          <t>Y</t>
        </is>
      </c>
      <c r="E1160" t="inlineStr">
        <is>
          <t>Y</t>
        </is>
      </c>
      <c r="F1160" t="inlineStr">
        <is>
          <t>4</t>
        </is>
      </c>
      <c r="G1160" t="inlineStr">
        <is>
          <t>2, IGE ROAD AGBANAJE</t>
        </is>
      </c>
      <c r="H1160" t="inlineStr">
        <is>
          <t>Existing</t>
        </is>
      </c>
      <c r="I1160" t="inlineStr">
        <is>
          <t>Y</t>
        </is>
      </c>
    </row>
    <row r="1161">
      <c r="A1161" t="inlineStr">
        <is>
          <t>LFC8305</t>
        </is>
      </c>
      <c r="B1161" t="inlineStr">
        <is>
          <t>LFC8305</t>
        </is>
      </c>
      <c r="C1161" t="inlineStr">
        <is>
          <t>IKOLA COMMAND</t>
        </is>
      </c>
      <c r="D1161" t="inlineStr">
        <is>
          <t>Y</t>
        </is>
      </c>
      <c r="E1161" t="inlineStr">
        <is>
          <t>Y</t>
        </is>
      </c>
      <c r="F1161" t="inlineStr">
        <is>
          <t>5</t>
        </is>
      </c>
      <c r="G1161" t="inlineStr">
        <is>
          <t>8, IDOWU CRESCENT</t>
        </is>
      </c>
      <c r="H1161" t="inlineStr">
        <is>
          <t>Existing</t>
        </is>
      </c>
      <c r="I1161" t="inlineStr">
        <is>
          <t>N</t>
        </is>
      </c>
    </row>
    <row r="1162">
      <c r="A1162" t="inlineStr">
        <is>
          <t>LFC8306</t>
        </is>
      </c>
      <c r="B1162" t="inlineStr">
        <is>
          <t>LFC8306</t>
        </is>
      </c>
      <c r="C1162" t="inlineStr">
        <is>
          <t>IKOLA COMMAND</t>
        </is>
      </c>
      <c r="D1162" t="inlineStr">
        <is>
          <t>Y</t>
        </is>
      </c>
      <c r="E1162" t="inlineStr">
        <is>
          <t>Y</t>
        </is>
      </c>
      <c r="F1162" t="inlineStr">
        <is>
          <t>6</t>
        </is>
      </c>
      <c r="G1162" t="inlineStr">
        <is>
          <t>6, OGUNSEYE STREET IKOLA</t>
        </is>
      </c>
      <c r="H1162" t="inlineStr">
        <is>
          <t>Existing</t>
        </is>
      </c>
      <c r="I1162" t="inlineStr">
        <is>
          <t>N</t>
        </is>
      </c>
    </row>
    <row r="1163">
      <c r="A1163" t="inlineStr">
        <is>
          <t>LFC8307</t>
        </is>
      </c>
      <c r="B1163" t="inlineStr">
        <is>
          <t>LFC8307</t>
        </is>
      </c>
      <c r="C1163" t="inlineStr">
        <is>
          <t>IKOLA COMMAND</t>
        </is>
      </c>
      <c r="D1163" t="inlineStr">
        <is>
          <t>Y</t>
        </is>
      </c>
      <c r="E1163" t="inlineStr">
        <is>
          <t>Y</t>
        </is>
      </c>
      <c r="F1163" t="inlineStr">
        <is>
          <t>7</t>
        </is>
      </c>
      <c r="G1163" t="inlineStr">
        <is>
          <t>4, SURAJU STREET IKOLA ELEYIN</t>
        </is>
      </c>
      <c r="H1163" t="inlineStr">
        <is>
          <t>Existing</t>
        </is>
      </c>
      <c r="I1163" t="inlineStr">
        <is>
          <t>N</t>
        </is>
      </c>
    </row>
    <row r="1164">
      <c r="A1164" t="inlineStr">
        <is>
          <t>LFC8308</t>
        </is>
      </c>
      <c r="B1164" t="inlineStr">
        <is>
          <t>LFC8308</t>
        </is>
      </c>
      <c r="C1164" t="inlineStr">
        <is>
          <t>IKOLA COMMAND</t>
        </is>
      </c>
      <c r="D1164" t="inlineStr">
        <is>
          <t>N</t>
        </is>
      </c>
      <c r="E1164" t="inlineStr">
        <is>
          <t>Y</t>
        </is>
      </c>
      <c r="F1164" t="inlineStr">
        <is>
          <t>8</t>
        </is>
      </c>
      <c r="G1164" t="inlineStr">
        <is>
          <t>3, POWERLINE IKOLA</t>
        </is>
      </c>
      <c r="H1164" t="inlineStr">
        <is>
          <t>Existing</t>
        </is>
      </c>
      <c r="I1164" t="inlineStr">
        <is>
          <t>N</t>
        </is>
      </c>
    </row>
    <row r="1165">
      <c r="A1165" t="inlineStr">
        <is>
          <t>LFC8309</t>
        </is>
      </c>
      <c r="B1165" t="inlineStr">
        <is>
          <t>LFC8309</t>
        </is>
      </c>
      <c r="C1165" t="inlineStr">
        <is>
          <t>IKOLA COMMAND</t>
        </is>
      </c>
      <c r="D1165" t="inlineStr">
        <is>
          <t>Y</t>
        </is>
      </c>
      <c r="E1165" t="inlineStr">
        <is>
          <t>Y</t>
        </is>
      </c>
      <c r="F1165" t="inlineStr">
        <is>
          <t>9</t>
        </is>
      </c>
      <c r="G1165" t="inlineStr">
        <is>
          <t>8 ODESANYA STREET AGBELEKALE</t>
        </is>
      </c>
      <c r="H1165" t="inlineStr">
        <is>
          <t>Existing</t>
        </is>
      </c>
      <c r="I1165" t="inlineStr">
        <is>
          <t>N</t>
        </is>
      </c>
    </row>
    <row r="1166">
      <c r="A1166" t="inlineStr">
        <is>
          <t>LFC8310</t>
        </is>
      </c>
      <c r="B1166" t="inlineStr">
        <is>
          <t>LFC8310</t>
        </is>
      </c>
      <c r="C1166" t="inlineStr">
        <is>
          <t>IKOLA COMMAND</t>
        </is>
      </c>
      <c r="D1166" t="inlineStr">
        <is>
          <t>Y</t>
        </is>
      </c>
      <c r="E1166" t="inlineStr">
        <is>
          <t>Y</t>
        </is>
      </c>
      <c r="F1166" t="inlineStr">
        <is>
          <t>10</t>
        </is>
      </c>
      <c r="G1166" t="inlineStr">
        <is>
          <t>1, PAUL EKUNDAYO ST</t>
        </is>
      </c>
      <c r="H1166" t="inlineStr">
        <is>
          <t>Existing</t>
        </is>
      </c>
      <c r="I1166" t="inlineStr">
        <is>
          <t>N</t>
        </is>
      </c>
    </row>
    <row r="1167">
      <c r="A1167" t="inlineStr">
        <is>
          <t>LFC8311</t>
        </is>
      </c>
      <c r="B1167" t="inlineStr">
        <is>
          <t>LFC8311</t>
        </is>
      </c>
      <c r="C1167" t="inlineStr">
        <is>
          <t>IKOLA COMMAND</t>
        </is>
      </c>
      <c r="D1167" t="inlineStr">
        <is>
          <t>Y</t>
        </is>
      </c>
      <c r="E1167" t="inlineStr">
        <is>
          <t>Y</t>
        </is>
      </c>
      <c r="F1167" t="inlineStr">
        <is>
          <t>11</t>
        </is>
      </c>
      <c r="G1167" t="inlineStr">
        <is>
          <t>22, SOROYE STREET, COMMAND</t>
        </is>
      </c>
      <c r="H1167" t="inlineStr">
        <is>
          <t>Existing</t>
        </is>
      </c>
      <c r="I1167" t="inlineStr">
        <is>
          <t>N</t>
        </is>
      </c>
    </row>
    <row r="1168">
      <c r="A1168" t="inlineStr">
        <is>
          <t>LFC8312</t>
        </is>
      </c>
      <c r="B1168" t="inlineStr">
        <is>
          <t>LFC8312</t>
        </is>
      </c>
      <c r="C1168" t="inlineStr">
        <is>
          <t>IKOLA COMMAND</t>
        </is>
      </c>
      <c r="D1168" t="inlineStr">
        <is>
          <t>Y</t>
        </is>
      </c>
      <c r="E1168" t="inlineStr">
        <is>
          <t>Y</t>
        </is>
      </c>
      <c r="F1168" t="inlineStr">
        <is>
          <t>12</t>
        </is>
      </c>
      <c r="G1168" t="inlineStr">
        <is>
          <t>20, FELIX ONABAJO CRESCENT MEIRAN</t>
        </is>
      </c>
      <c r="H1168" t="inlineStr">
        <is>
          <t>Existing</t>
        </is>
      </c>
      <c r="I1168" t="inlineStr">
        <is>
          <t>N</t>
        </is>
      </c>
    </row>
    <row r="1169">
      <c r="A1169" t="inlineStr">
        <is>
          <t>LFC8313</t>
        </is>
      </c>
      <c r="B1169" t="inlineStr">
        <is>
          <t>LFC8313</t>
        </is>
      </c>
      <c r="C1169" t="inlineStr">
        <is>
          <t>IKOLA COMMAND</t>
        </is>
      </c>
      <c r="D1169" t="inlineStr"/>
      <c r="E1169" t="inlineStr">
        <is>
          <t>Y</t>
        </is>
      </c>
      <c r="F1169" t="inlineStr">
        <is>
          <t>13</t>
        </is>
      </c>
      <c r="G1169" t="inlineStr">
        <is>
          <t>5, Adejumo Street Meiran</t>
        </is>
      </c>
      <c r="H1169" t="inlineStr">
        <is>
          <t>New (proposed)</t>
        </is>
      </c>
      <c r="I1169" t="inlineStr"/>
    </row>
    <row r="1170">
      <c r="A1170" t="inlineStr">
        <is>
          <t>LFC8401</t>
        </is>
      </c>
      <c r="B1170" t="inlineStr">
        <is>
          <t>LFC8401</t>
        </is>
      </c>
      <c r="C1170" t="inlineStr">
        <is>
          <t>EJIGBO</t>
        </is>
      </c>
      <c r="D1170" t="inlineStr">
        <is>
          <t>Y</t>
        </is>
      </c>
      <c r="E1170" t="inlineStr">
        <is>
          <t>Y</t>
        </is>
      </c>
      <c r="F1170" t="inlineStr">
        <is>
          <t>1</t>
        </is>
      </c>
      <c r="G1170" t="inlineStr">
        <is>
          <t>11/13, Kola Rewire Street, Ejigbo</t>
        </is>
      </c>
      <c r="H1170" t="inlineStr">
        <is>
          <t>Existing</t>
        </is>
      </c>
      <c r="I1170" t="inlineStr">
        <is>
          <t>N</t>
        </is>
      </c>
    </row>
    <row r="1171">
      <c r="A1171" t="inlineStr">
        <is>
          <t>LFC8402</t>
        </is>
      </c>
      <c r="B1171" t="inlineStr">
        <is>
          <t>LFC8402</t>
        </is>
      </c>
      <c r="C1171" t="inlineStr">
        <is>
          <t>EJIGBO</t>
        </is>
      </c>
      <c r="D1171" t="inlineStr">
        <is>
          <t>Y</t>
        </is>
      </c>
      <c r="E1171" t="inlineStr">
        <is>
          <t>Y</t>
        </is>
      </c>
      <c r="F1171" t="inlineStr">
        <is>
          <t>2</t>
        </is>
      </c>
      <c r="G1171" t="inlineStr">
        <is>
          <t>1 Muyili Oshonde Street, Ejigbo</t>
        </is>
      </c>
      <c r="H1171" t="inlineStr">
        <is>
          <t>Existing</t>
        </is>
      </c>
      <c r="I1171" t="inlineStr">
        <is>
          <t>N</t>
        </is>
      </c>
    </row>
    <row r="1172">
      <c r="A1172" t="inlineStr">
        <is>
          <t>LFC8403</t>
        </is>
      </c>
      <c r="B1172" t="inlineStr">
        <is>
          <t>LFC8403</t>
        </is>
      </c>
      <c r="C1172" t="inlineStr">
        <is>
          <t>EJIGBO</t>
        </is>
      </c>
      <c r="D1172" t="inlineStr">
        <is>
          <t>N</t>
        </is>
      </c>
      <c r="E1172" t="inlineStr">
        <is>
          <t>Y</t>
        </is>
      </c>
      <c r="F1172" t="inlineStr">
        <is>
          <t>3</t>
        </is>
      </c>
      <c r="G1172" t="inlineStr">
        <is>
          <t>13 Ayenuyo Street, Ejigbo</t>
        </is>
      </c>
      <c r="H1172" t="inlineStr">
        <is>
          <t>Existing</t>
        </is>
      </c>
      <c r="I1172" t="inlineStr">
        <is>
          <t>N</t>
        </is>
      </c>
    </row>
    <row r="1173">
      <c r="A1173" t="inlineStr">
        <is>
          <t>LFC8404</t>
        </is>
      </c>
      <c r="B1173" t="inlineStr">
        <is>
          <t>LFC8404</t>
        </is>
      </c>
      <c r="C1173" t="inlineStr">
        <is>
          <t>EJIGBO</t>
        </is>
      </c>
      <c r="D1173" t="inlineStr">
        <is>
          <t>N</t>
        </is>
      </c>
      <c r="E1173" t="inlineStr">
        <is>
          <t>Y</t>
        </is>
      </c>
      <c r="F1173" t="inlineStr">
        <is>
          <t>4</t>
        </is>
      </c>
      <c r="G1173" t="inlineStr">
        <is>
          <t>13 Oluwole Street, Ejigbo</t>
        </is>
      </c>
      <c r="H1173" t="inlineStr">
        <is>
          <t>Existing</t>
        </is>
      </c>
      <c r="I1173" t="inlineStr">
        <is>
          <t>N</t>
        </is>
      </c>
    </row>
    <row r="1174">
      <c r="A1174" t="inlineStr">
        <is>
          <t>LFC8405</t>
        </is>
      </c>
      <c r="B1174" t="inlineStr">
        <is>
          <t>LFC8405</t>
        </is>
      </c>
      <c r="C1174" t="inlineStr">
        <is>
          <t>EJIGBO</t>
        </is>
      </c>
      <c r="D1174" t="inlineStr">
        <is>
          <t>Y</t>
        </is>
      </c>
      <c r="E1174" t="inlineStr">
        <is>
          <t>Y</t>
        </is>
      </c>
      <c r="F1174" t="inlineStr">
        <is>
          <t>5</t>
        </is>
      </c>
      <c r="G1174" t="inlineStr">
        <is>
          <t>plot 3 Health street jakande</t>
        </is>
      </c>
      <c r="H1174" t="inlineStr">
        <is>
          <t>Existing</t>
        </is>
      </c>
      <c r="I1174" t="inlineStr">
        <is>
          <t>N</t>
        </is>
      </c>
    </row>
    <row r="1175">
      <c r="A1175" t="inlineStr">
        <is>
          <t>LFC8406</t>
        </is>
      </c>
      <c r="B1175" t="inlineStr">
        <is>
          <t>LFC8406</t>
        </is>
      </c>
      <c r="C1175" t="inlineStr">
        <is>
          <t>EJIGBO</t>
        </is>
      </c>
      <c r="D1175" t="inlineStr">
        <is>
          <t>N</t>
        </is>
      </c>
      <c r="E1175" t="inlineStr">
        <is>
          <t>Y</t>
        </is>
      </c>
      <c r="F1175" t="inlineStr">
        <is>
          <t>6</t>
        </is>
      </c>
      <c r="G1175" t="inlineStr">
        <is>
          <t>Zonal hall, double star jakand</t>
        </is>
      </c>
      <c r="H1175" t="inlineStr">
        <is>
          <t>Existing</t>
        </is>
      </c>
      <c r="I1175" t="inlineStr">
        <is>
          <t>N</t>
        </is>
      </c>
    </row>
    <row r="1176">
      <c r="A1176" t="inlineStr">
        <is>
          <t>LFC8407</t>
        </is>
      </c>
      <c r="B1176" t="inlineStr">
        <is>
          <t>LFC8407</t>
        </is>
      </c>
      <c r="C1176" t="inlineStr">
        <is>
          <t>EJIGBO</t>
        </is>
      </c>
      <c r="D1176" t="inlineStr">
        <is>
          <t>N</t>
        </is>
      </c>
      <c r="E1176" t="inlineStr">
        <is>
          <t>Y</t>
        </is>
      </c>
      <c r="F1176" t="inlineStr">
        <is>
          <t>7</t>
        </is>
      </c>
      <c r="G1176" t="inlineStr">
        <is>
          <t>Zonal Hall Red Street, Bungalow, Jakande Estate</t>
        </is>
      </c>
      <c r="H1176" t="inlineStr">
        <is>
          <t>Existing</t>
        </is>
      </c>
      <c r="I1176" t="inlineStr">
        <is>
          <t>N</t>
        </is>
      </c>
    </row>
    <row r="1177">
      <c r="A1177" t="inlineStr">
        <is>
          <t>LFC8408</t>
        </is>
      </c>
      <c r="B1177" t="inlineStr">
        <is>
          <t>LFC8408</t>
        </is>
      </c>
      <c r="C1177" t="inlineStr">
        <is>
          <t>EJIGBO</t>
        </is>
      </c>
      <c r="D1177" t="inlineStr">
        <is>
          <t>N</t>
        </is>
      </c>
      <c r="E1177" t="inlineStr">
        <is>
          <t>Y</t>
        </is>
      </c>
      <c r="F1177" t="inlineStr">
        <is>
          <t>8</t>
        </is>
      </c>
      <c r="G1177" t="inlineStr">
        <is>
          <t>22 Duduyemi street</t>
        </is>
      </c>
      <c r="H1177" t="inlineStr">
        <is>
          <t>Existing</t>
        </is>
      </c>
      <c r="I1177" t="inlineStr">
        <is>
          <t>N</t>
        </is>
      </c>
    </row>
    <row r="1178">
      <c r="A1178" t="inlineStr">
        <is>
          <t>LFC8409</t>
        </is>
      </c>
      <c r="B1178" t="inlineStr">
        <is>
          <t>LFC8409</t>
        </is>
      </c>
      <c r="C1178" t="inlineStr">
        <is>
          <t>EJIGBO</t>
        </is>
      </c>
      <c r="D1178" t="inlineStr">
        <is>
          <t>N</t>
        </is>
      </c>
      <c r="E1178" t="inlineStr">
        <is>
          <t>Y</t>
        </is>
      </c>
      <c r="F1178" t="inlineStr">
        <is>
          <t>9</t>
        </is>
      </c>
      <c r="G1178" t="inlineStr">
        <is>
          <t>10 Apostle Morakinyo street</t>
        </is>
      </c>
      <c r="H1178" t="inlineStr">
        <is>
          <t>Existing</t>
        </is>
      </c>
      <c r="I1178" t="inlineStr">
        <is>
          <t>N</t>
        </is>
      </c>
    </row>
    <row r="1179">
      <c r="A1179" t="inlineStr">
        <is>
          <t>LFC8410</t>
        </is>
      </c>
      <c r="B1179" t="inlineStr">
        <is>
          <t>LFC8410</t>
        </is>
      </c>
      <c r="C1179" t="inlineStr">
        <is>
          <t>EJIGBO</t>
        </is>
      </c>
      <c r="D1179" t="inlineStr">
        <is>
          <t>N</t>
        </is>
      </c>
      <c r="E1179" t="inlineStr">
        <is>
          <t>Y</t>
        </is>
      </c>
      <c r="F1179" t="inlineStr">
        <is>
          <t>10</t>
        </is>
      </c>
      <c r="G1179" t="inlineStr">
        <is>
          <t>8 Lafenwa Street, Ejigbo</t>
        </is>
      </c>
      <c r="H1179" t="inlineStr">
        <is>
          <t>Existing</t>
        </is>
      </c>
      <c r="I1179" t="inlineStr">
        <is>
          <t>N</t>
        </is>
      </c>
    </row>
    <row r="1180">
      <c r="A1180" t="inlineStr">
        <is>
          <t>LFC8411</t>
        </is>
      </c>
      <c r="B1180" t="inlineStr">
        <is>
          <t>LFC8411</t>
        </is>
      </c>
      <c r="C1180" t="inlineStr">
        <is>
          <t>EJIGBO</t>
        </is>
      </c>
      <c r="D1180" t="inlineStr">
        <is>
          <t>N</t>
        </is>
      </c>
      <c r="E1180" t="inlineStr">
        <is>
          <t>Y</t>
        </is>
      </c>
      <c r="F1180" t="inlineStr">
        <is>
          <t>11</t>
        </is>
      </c>
      <c r="G1180" t="inlineStr">
        <is>
          <t>5 Egbapeju street Ejigbo</t>
        </is>
      </c>
      <c r="H1180" t="inlineStr">
        <is>
          <t>Existing</t>
        </is>
      </c>
      <c r="I1180" t="inlineStr">
        <is>
          <t>N</t>
        </is>
      </c>
    </row>
    <row r="1181">
      <c r="A1181" t="inlineStr">
        <is>
          <t>LFC8412</t>
        </is>
      </c>
      <c r="B1181" t="inlineStr">
        <is>
          <t>LFC8412</t>
        </is>
      </c>
      <c r="C1181" t="inlineStr">
        <is>
          <t>EJIGBO</t>
        </is>
      </c>
      <c r="D1181" t="inlineStr">
        <is>
          <t>Y</t>
        </is>
      </c>
      <c r="E1181" t="inlineStr">
        <is>
          <t>Y</t>
        </is>
      </c>
      <c r="F1181" t="inlineStr">
        <is>
          <t>12</t>
        </is>
      </c>
      <c r="G1181" t="inlineStr">
        <is>
          <t>4 Valentine Obasi street</t>
        </is>
      </c>
      <c r="H1181" t="inlineStr">
        <is>
          <t>Existing</t>
        </is>
      </c>
      <c r="I1181" t="inlineStr">
        <is>
          <t>N</t>
        </is>
      </c>
    </row>
    <row r="1182">
      <c r="A1182" t="inlineStr">
        <is>
          <t>LFC8413</t>
        </is>
      </c>
      <c r="B1182" t="inlineStr">
        <is>
          <t>LFC8413</t>
        </is>
      </c>
      <c r="C1182" t="inlineStr">
        <is>
          <t>EJIGBO</t>
        </is>
      </c>
      <c r="D1182" t="inlineStr">
        <is>
          <t>N</t>
        </is>
      </c>
      <c r="E1182" t="inlineStr">
        <is>
          <t>Y</t>
        </is>
      </c>
      <c r="F1182" t="inlineStr">
        <is>
          <t>13</t>
        </is>
      </c>
      <c r="G1182" t="inlineStr">
        <is>
          <t>82 Christ idowu street Ejigbo</t>
        </is>
      </c>
      <c r="H1182" t="inlineStr">
        <is>
          <t>Existing</t>
        </is>
      </c>
      <c r="I1182" t="inlineStr">
        <is>
          <t>N</t>
        </is>
      </c>
    </row>
    <row r="1183">
      <c r="A1183" t="inlineStr">
        <is>
          <t>LFC8414</t>
        </is>
      </c>
      <c r="B1183" t="inlineStr">
        <is>
          <t>LFC8414</t>
        </is>
      </c>
      <c r="C1183" t="inlineStr">
        <is>
          <t>EJIGBO</t>
        </is>
      </c>
      <c r="D1183" t="inlineStr">
        <is>
          <t>N</t>
        </is>
      </c>
      <c r="E1183" t="inlineStr">
        <is>
          <t>Y</t>
        </is>
      </c>
      <c r="F1183" t="inlineStr">
        <is>
          <t>14</t>
        </is>
      </c>
      <c r="G1183" t="inlineStr">
        <is>
          <t>23 Idimu road starlight school Ejigbo</t>
        </is>
      </c>
      <c r="H1183" t="inlineStr">
        <is>
          <t>Existing</t>
        </is>
      </c>
      <c r="I1183" t="inlineStr">
        <is>
          <t>N</t>
        </is>
      </c>
    </row>
    <row r="1184">
      <c r="A1184" t="inlineStr">
        <is>
          <t>LFC8415</t>
        </is>
      </c>
      <c r="B1184" t="inlineStr">
        <is>
          <t>LFC8415</t>
        </is>
      </c>
      <c r="C1184" t="inlineStr">
        <is>
          <t>EJIGBO</t>
        </is>
      </c>
      <c r="D1184" t="inlineStr">
        <is>
          <t>N</t>
        </is>
      </c>
      <c r="E1184" t="inlineStr">
        <is>
          <t>Y</t>
        </is>
      </c>
      <c r="F1184" t="inlineStr">
        <is>
          <t>15</t>
        </is>
      </c>
      <c r="G1184" t="inlineStr">
        <is>
          <t>75 Egbe road Ejigbo</t>
        </is>
      </c>
      <c r="H1184" t="inlineStr">
        <is>
          <t>Existing</t>
        </is>
      </c>
      <c r="I1184" t="inlineStr">
        <is>
          <t>N</t>
        </is>
      </c>
    </row>
    <row r="1185">
      <c r="A1185" t="inlineStr">
        <is>
          <t>LFC8416</t>
        </is>
      </c>
      <c r="B1185" t="inlineStr">
        <is>
          <t>LFC8416</t>
        </is>
      </c>
      <c r="C1185" t="inlineStr">
        <is>
          <t>EJIGBO</t>
        </is>
      </c>
      <c r="D1185" t="inlineStr">
        <is>
          <t>N</t>
        </is>
      </c>
      <c r="E1185" t="inlineStr">
        <is>
          <t>Y</t>
        </is>
      </c>
      <c r="F1185" t="inlineStr">
        <is>
          <t>16</t>
        </is>
      </c>
      <c r="G1185" t="inlineStr">
        <is>
          <t>96 Egbe NNPC filling station Ejigbo</t>
        </is>
      </c>
      <c r="H1185" t="inlineStr">
        <is>
          <t>Existing</t>
        </is>
      </c>
      <c r="I1185" t="inlineStr">
        <is>
          <t>N</t>
        </is>
      </c>
    </row>
    <row r="1186">
      <c r="A1186" t="inlineStr">
        <is>
          <t>LFC8501</t>
        </is>
      </c>
      <c r="B1186" t="inlineStr">
        <is>
          <t>LFC8501</t>
        </is>
      </c>
      <c r="C1186" t="inlineStr">
        <is>
          <t>IJEDODO</t>
        </is>
      </c>
      <c r="D1186" t="inlineStr">
        <is>
          <t>N</t>
        </is>
      </c>
      <c r="E1186" t="inlineStr">
        <is>
          <t>Y</t>
        </is>
      </c>
      <c r="F1186" t="inlineStr">
        <is>
          <t>1</t>
        </is>
      </c>
      <c r="G1186" t="inlineStr">
        <is>
          <t>1,OMOWUNMI AKINDUNMI DRIVE, IJEODODO</t>
        </is>
      </c>
      <c r="H1186" t="inlineStr">
        <is>
          <t>Existing</t>
        </is>
      </c>
      <c r="I1186" t="inlineStr">
        <is>
          <t>N</t>
        </is>
      </c>
    </row>
    <row r="1187">
      <c r="A1187" t="inlineStr">
        <is>
          <t>LFC8502</t>
        </is>
      </c>
      <c r="B1187" t="inlineStr">
        <is>
          <t>LFC8502</t>
        </is>
      </c>
      <c r="C1187" t="inlineStr">
        <is>
          <t>IJEDODO</t>
        </is>
      </c>
      <c r="D1187" t="inlineStr">
        <is>
          <t>Y</t>
        </is>
      </c>
      <c r="E1187" t="inlineStr">
        <is>
          <t>Y</t>
        </is>
      </c>
      <c r="F1187" t="inlineStr">
        <is>
          <t>2</t>
        </is>
      </c>
      <c r="G1187" t="inlineStr">
        <is>
          <t>WHITESAND BEHIND PILOT AMUSEMENT PARK ISHERI</t>
        </is>
      </c>
      <c r="H1187" t="inlineStr">
        <is>
          <t>Existing</t>
        </is>
      </c>
      <c r="I1187" t="inlineStr">
        <is>
          <t>N</t>
        </is>
      </c>
    </row>
    <row r="1188">
      <c r="A1188" t="inlineStr">
        <is>
          <t>LFC8503</t>
        </is>
      </c>
      <c r="B1188" t="inlineStr">
        <is>
          <t>LFC8503</t>
        </is>
      </c>
      <c r="C1188" t="inlineStr">
        <is>
          <t>IJEDODO</t>
        </is>
      </c>
      <c r="D1188" t="inlineStr">
        <is>
          <t>Y</t>
        </is>
      </c>
      <c r="E1188" t="inlineStr">
        <is>
          <t>Y</t>
        </is>
      </c>
      <c r="F1188" t="inlineStr">
        <is>
          <t>3</t>
        </is>
      </c>
      <c r="G1188" t="inlineStr">
        <is>
          <t>9, OMOTAYO STREET FAGBILE</t>
        </is>
      </c>
      <c r="H1188" t="inlineStr">
        <is>
          <t>Existing</t>
        </is>
      </c>
      <c r="I1188" t="inlineStr">
        <is>
          <t>N</t>
        </is>
      </c>
    </row>
    <row r="1189">
      <c r="A1189" t="inlineStr">
        <is>
          <t>LFC8504</t>
        </is>
      </c>
      <c r="B1189" t="inlineStr">
        <is>
          <t>LFC8504</t>
        </is>
      </c>
      <c r="C1189" t="inlineStr">
        <is>
          <t>IJEDODO</t>
        </is>
      </c>
      <c r="D1189" t="inlineStr">
        <is>
          <t>N</t>
        </is>
      </c>
      <c r="E1189" t="inlineStr">
        <is>
          <t>Y</t>
        </is>
      </c>
      <c r="F1189" t="inlineStr">
        <is>
          <t>4</t>
        </is>
      </c>
      <c r="G1189" t="inlineStr">
        <is>
          <t>32, AYOMIDE STREET, WHITESAND</t>
        </is>
      </c>
      <c r="H1189" t="inlineStr">
        <is>
          <t>Existing</t>
        </is>
      </c>
      <c r="I1189" t="inlineStr">
        <is>
          <t>N</t>
        </is>
      </c>
    </row>
    <row r="1190">
      <c r="A1190" t="inlineStr">
        <is>
          <t>LFC8505</t>
        </is>
      </c>
      <c r="B1190" t="inlineStr">
        <is>
          <t>LFC8505</t>
        </is>
      </c>
      <c r="C1190" t="inlineStr">
        <is>
          <t>IJEDODO</t>
        </is>
      </c>
      <c r="D1190" t="inlineStr">
        <is>
          <t>N</t>
        </is>
      </c>
      <c r="E1190" t="inlineStr">
        <is>
          <t>Y</t>
        </is>
      </c>
      <c r="F1190" t="inlineStr">
        <is>
          <t>5</t>
        </is>
      </c>
      <c r="G1190" t="inlineStr">
        <is>
          <t>22, RASAKI SHITU STREET</t>
        </is>
      </c>
      <c r="H1190" t="inlineStr">
        <is>
          <t>Existing</t>
        </is>
      </c>
      <c r="I1190" t="inlineStr">
        <is>
          <t>N</t>
        </is>
      </c>
    </row>
    <row r="1191">
      <c r="A1191" t="inlineStr">
        <is>
          <t>LFC8506</t>
        </is>
      </c>
      <c r="B1191" t="inlineStr">
        <is>
          <t>LFC8506</t>
        </is>
      </c>
      <c r="C1191" t="inlineStr">
        <is>
          <t>IJEDODO</t>
        </is>
      </c>
      <c r="D1191" t="inlineStr">
        <is>
          <t>N</t>
        </is>
      </c>
      <c r="E1191" t="inlineStr">
        <is>
          <t>Y</t>
        </is>
      </c>
      <c r="F1191" t="inlineStr">
        <is>
          <t>6</t>
        </is>
      </c>
      <c r="G1191" t="inlineStr">
        <is>
          <t>27, OKOYE STREET, WHITESAND</t>
        </is>
      </c>
      <c r="H1191" t="inlineStr">
        <is>
          <t>Existing</t>
        </is>
      </c>
      <c r="I1191" t="inlineStr">
        <is>
          <t>N</t>
        </is>
      </c>
    </row>
    <row r="1192">
      <c r="A1192" t="inlineStr">
        <is>
          <t>LFC8507</t>
        </is>
      </c>
      <c r="B1192" t="inlineStr">
        <is>
          <t>LFC8507</t>
        </is>
      </c>
      <c r="C1192" t="inlineStr">
        <is>
          <t>IJEDODO</t>
        </is>
      </c>
      <c r="D1192" t="inlineStr">
        <is>
          <t>N</t>
        </is>
      </c>
      <c r="E1192" t="inlineStr">
        <is>
          <t>Y</t>
        </is>
      </c>
      <c r="F1192" t="inlineStr">
        <is>
          <t>7</t>
        </is>
      </c>
      <c r="G1192" t="inlineStr">
        <is>
          <t>21 GIDEON STREET</t>
        </is>
      </c>
      <c r="H1192" t="inlineStr">
        <is>
          <t>New (proposed)</t>
        </is>
      </c>
      <c r="I1192" t="inlineStr">
        <is>
          <t>N</t>
        </is>
      </c>
    </row>
    <row r="1193">
      <c r="A1193" t="inlineStr">
        <is>
          <t>LFC8508</t>
        </is>
      </c>
      <c r="B1193" t="inlineStr">
        <is>
          <t>LFC8508</t>
        </is>
      </c>
      <c r="C1193" t="inlineStr">
        <is>
          <t>IJEDODO</t>
        </is>
      </c>
      <c r="D1193" t="inlineStr">
        <is>
          <t>N</t>
        </is>
      </c>
      <c r="E1193" t="inlineStr">
        <is>
          <t>Y</t>
        </is>
      </c>
      <c r="F1193" t="inlineStr">
        <is>
          <t>8</t>
        </is>
      </c>
      <c r="G1193" t="inlineStr">
        <is>
          <t>7 DAMMY WILLIAMS STREET</t>
        </is>
      </c>
      <c r="H1193" t="inlineStr">
        <is>
          <t>New (proposed)</t>
        </is>
      </c>
      <c r="I1193" t="inlineStr">
        <is>
          <t>N</t>
        </is>
      </c>
    </row>
    <row r="1194">
      <c r="A1194" t="inlineStr">
        <is>
          <t>LFC8509</t>
        </is>
      </c>
      <c r="B1194" t="inlineStr">
        <is>
          <t>LFC8509</t>
        </is>
      </c>
      <c r="C1194" t="inlineStr">
        <is>
          <t>IJEDODO</t>
        </is>
      </c>
      <c r="D1194" t="inlineStr">
        <is>
          <t>N</t>
        </is>
      </c>
      <c r="E1194" t="inlineStr">
        <is>
          <t>Y</t>
        </is>
      </c>
      <c r="F1194" t="inlineStr">
        <is>
          <t>9</t>
        </is>
      </c>
      <c r="G1194" t="inlineStr">
        <is>
          <t>53 OLORIEBE STREET, IDI CASHEW</t>
        </is>
      </c>
      <c r="H1194" t="inlineStr">
        <is>
          <t>New (proposed)</t>
        </is>
      </c>
      <c r="I1194" t="inlineStr">
        <is>
          <t>N</t>
        </is>
      </c>
    </row>
    <row r="1195">
      <c r="A1195" t="inlineStr">
        <is>
          <t>LFC8510</t>
        </is>
      </c>
      <c r="B1195" t="inlineStr">
        <is>
          <t>LFC8510</t>
        </is>
      </c>
      <c r="C1195" t="inlineStr">
        <is>
          <t>IJEDODO</t>
        </is>
      </c>
      <c r="D1195" t="inlineStr">
        <is>
          <t>N</t>
        </is>
      </c>
      <c r="E1195" t="inlineStr">
        <is>
          <t>Y</t>
        </is>
      </c>
      <c r="F1195" t="inlineStr">
        <is>
          <t>10</t>
        </is>
      </c>
      <c r="G1195" t="inlineStr">
        <is>
          <t>NO 23 TOLUWANI STREET</t>
        </is>
      </c>
      <c r="H1195" t="inlineStr">
        <is>
          <t>New (proposed)</t>
        </is>
      </c>
      <c r="I1195" t="inlineStr">
        <is>
          <t>N</t>
        </is>
      </c>
    </row>
    <row r="1196">
      <c r="A1196" t="inlineStr">
        <is>
          <t>LFC8511</t>
        </is>
      </c>
      <c r="B1196" t="inlineStr">
        <is>
          <t>LFC8511</t>
        </is>
      </c>
      <c r="C1196" t="inlineStr">
        <is>
          <t>IJEDODO</t>
        </is>
      </c>
      <c r="D1196" t="inlineStr">
        <is>
          <t>Y</t>
        </is>
      </c>
      <c r="E1196" t="inlineStr">
        <is>
          <t>Y</t>
        </is>
      </c>
      <c r="F1196" t="inlineStr">
        <is>
          <t>11</t>
        </is>
      </c>
      <c r="G1196" t="inlineStr">
        <is>
          <t>RAINBOW HALL FIVE JUNCTION IJEGUN-ISHERI ROAD</t>
        </is>
      </c>
      <c r="H1196" t="inlineStr">
        <is>
          <t>New (proposed)</t>
        </is>
      </c>
      <c r="I1196" t="inlineStr">
        <is>
          <t>N</t>
        </is>
      </c>
    </row>
    <row r="1197">
      <c r="A1197" t="inlineStr">
        <is>
          <t>LFC8512</t>
        </is>
      </c>
      <c r="B1197" t="inlineStr">
        <is>
          <t>LFC8512</t>
        </is>
      </c>
      <c r="C1197" t="inlineStr">
        <is>
          <t>IJEDODO</t>
        </is>
      </c>
      <c r="D1197" t="inlineStr">
        <is>
          <t>N</t>
        </is>
      </c>
      <c r="E1197" t="inlineStr">
        <is>
          <t>Y</t>
        </is>
      </c>
      <c r="F1197" t="inlineStr">
        <is>
          <t>12</t>
        </is>
      </c>
      <c r="G1197" t="inlineStr">
        <is>
          <t>BODE OWOLABI</t>
        </is>
      </c>
      <c r="H1197" t="inlineStr">
        <is>
          <t>From reporting system</t>
        </is>
      </c>
      <c r="I1197" t="inlineStr">
        <is>
          <t>N</t>
        </is>
      </c>
    </row>
    <row r="1198">
      <c r="A1198" t="inlineStr">
        <is>
          <t>LFC8601</t>
        </is>
      </c>
      <c r="B1198" t="inlineStr">
        <is>
          <t>LFC8601</t>
        </is>
      </c>
      <c r="C1198" t="inlineStr">
        <is>
          <t>LSDPC</t>
        </is>
      </c>
      <c r="D1198" t="inlineStr">
        <is>
          <t>Y</t>
        </is>
      </c>
      <c r="E1198" t="inlineStr">
        <is>
          <t>Y</t>
        </is>
      </c>
      <c r="F1198" t="inlineStr">
        <is>
          <t>1</t>
        </is>
      </c>
      <c r="G1198" t="inlineStr">
        <is>
          <t>LSDPC HOUSING ESTATE IBA</t>
        </is>
      </c>
      <c r="H1198" t="inlineStr">
        <is>
          <t>Existing</t>
        </is>
      </c>
      <c r="I1198" t="inlineStr">
        <is>
          <t>N</t>
        </is>
      </c>
    </row>
    <row r="1199">
      <c r="A1199" t="inlineStr">
        <is>
          <t>LFC8602</t>
        </is>
      </c>
      <c r="B1199" t="inlineStr">
        <is>
          <t>LFC8602</t>
        </is>
      </c>
      <c r="C1199" t="inlineStr">
        <is>
          <t>LSDPC</t>
        </is>
      </c>
      <c r="D1199" t="inlineStr">
        <is>
          <t>N</t>
        </is>
      </c>
      <c r="E1199" t="inlineStr">
        <is>
          <t>Y</t>
        </is>
      </c>
      <c r="F1199" t="inlineStr">
        <is>
          <t>2</t>
        </is>
      </c>
      <c r="G1199" t="inlineStr">
        <is>
          <t>5, Eyinle Street</t>
        </is>
      </c>
      <c r="H1199" t="inlineStr">
        <is>
          <t>Existing</t>
        </is>
      </c>
      <c r="I1199" t="inlineStr">
        <is>
          <t>N</t>
        </is>
      </c>
    </row>
    <row r="1200">
      <c r="A1200" t="inlineStr">
        <is>
          <t>LFC8603</t>
        </is>
      </c>
      <c r="B1200" t="inlineStr">
        <is>
          <t>LFC8603</t>
        </is>
      </c>
      <c r="C1200" t="inlineStr">
        <is>
          <t>LSDPC</t>
        </is>
      </c>
      <c r="D1200" t="inlineStr">
        <is>
          <t>N</t>
        </is>
      </c>
      <c r="E1200" t="inlineStr">
        <is>
          <t>Y</t>
        </is>
      </c>
      <c r="F1200" t="inlineStr">
        <is>
          <t>3</t>
        </is>
      </c>
      <c r="G1200" t="inlineStr">
        <is>
          <t>11, Bakare Str</t>
        </is>
      </c>
      <c r="H1200" t="inlineStr">
        <is>
          <t>Existing</t>
        </is>
      </c>
      <c r="I1200" t="inlineStr">
        <is>
          <t>N</t>
        </is>
      </c>
    </row>
    <row r="1201">
      <c r="A1201" t="inlineStr">
        <is>
          <t>LFC8604</t>
        </is>
      </c>
      <c r="B1201" t="inlineStr">
        <is>
          <t>LFC8604</t>
        </is>
      </c>
      <c r="C1201" t="inlineStr">
        <is>
          <t>LSDPC</t>
        </is>
      </c>
      <c r="D1201" t="inlineStr">
        <is>
          <t>N</t>
        </is>
      </c>
      <c r="E1201" t="inlineStr">
        <is>
          <t>Y</t>
        </is>
      </c>
      <c r="F1201" t="inlineStr">
        <is>
          <t>4</t>
        </is>
      </c>
      <c r="G1201" t="inlineStr">
        <is>
          <t>4 ISAAC STREET</t>
        </is>
      </c>
      <c r="H1201" t="inlineStr">
        <is>
          <t>Existing</t>
        </is>
      </c>
      <c r="I1201" t="inlineStr">
        <is>
          <t>N</t>
        </is>
      </c>
    </row>
    <row r="1202">
      <c r="A1202" t="inlineStr">
        <is>
          <t>LFC8605</t>
        </is>
      </c>
      <c r="B1202" t="inlineStr">
        <is>
          <t>LFC8605</t>
        </is>
      </c>
      <c r="C1202" t="inlineStr">
        <is>
          <t>LSDPC</t>
        </is>
      </c>
      <c r="D1202" t="inlineStr">
        <is>
          <t>Y</t>
        </is>
      </c>
      <c r="E1202" t="inlineStr">
        <is>
          <t>Y</t>
        </is>
      </c>
      <c r="F1202" t="inlineStr">
        <is>
          <t>5</t>
        </is>
      </c>
      <c r="G1202" t="inlineStr">
        <is>
          <t>1 SHEKH AVENUE WISDOM COLLEGE</t>
        </is>
      </c>
      <c r="H1202" t="inlineStr">
        <is>
          <t>Existing</t>
        </is>
      </c>
      <c r="I1202" t="inlineStr">
        <is>
          <t>N</t>
        </is>
      </c>
    </row>
    <row r="1203">
      <c r="A1203" t="inlineStr">
        <is>
          <t>LFC8606</t>
        </is>
      </c>
      <c r="B1203" t="inlineStr">
        <is>
          <t>LFC8606</t>
        </is>
      </c>
      <c r="C1203" t="inlineStr">
        <is>
          <t>LSDPC</t>
        </is>
      </c>
      <c r="D1203" t="inlineStr">
        <is>
          <t>Y</t>
        </is>
      </c>
      <c r="E1203" t="inlineStr">
        <is>
          <t>Y</t>
        </is>
      </c>
      <c r="F1203" t="inlineStr">
        <is>
          <t>6</t>
        </is>
      </c>
      <c r="G1203" t="inlineStr">
        <is>
          <t>6 sumonu street</t>
        </is>
      </c>
      <c r="H1203" t="inlineStr">
        <is>
          <t>Existing</t>
        </is>
      </c>
      <c r="I1203" t="inlineStr">
        <is>
          <t>N</t>
        </is>
      </c>
    </row>
    <row r="1204">
      <c r="A1204" t="inlineStr">
        <is>
          <t>LFC8607</t>
        </is>
      </c>
      <c r="B1204" t="inlineStr">
        <is>
          <t>LFC8607</t>
        </is>
      </c>
      <c r="C1204" t="inlineStr">
        <is>
          <t>LSDPC</t>
        </is>
      </c>
      <c r="D1204" t="inlineStr">
        <is>
          <t>N</t>
        </is>
      </c>
      <c r="E1204" t="inlineStr">
        <is>
          <t>Y</t>
        </is>
      </c>
      <c r="F1204" t="inlineStr">
        <is>
          <t>7</t>
        </is>
      </c>
      <c r="G1204" t="inlineStr">
        <is>
          <t>EKEH MACCAULAY</t>
        </is>
      </c>
      <c r="H1204" t="inlineStr">
        <is>
          <t>Existing</t>
        </is>
      </c>
      <c r="I1204" t="inlineStr">
        <is>
          <t>N</t>
        </is>
      </c>
    </row>
    <row r="1205">
      <c r="A1205" t="inlineStr">
        <is>
          <t>LFC8608</t>
        </is>
      </c>
      <c r="B1205" t="inlineStr">
        <is>
          <t>LFC8608</t>
        </is>
      </c>
      <c r="C1205" t="inlineStr">
        <is>
          <t>LSDPC</t>
        </is>
      </c>
      <c r="D1205" t="inlineStr">
        <is>
          <t>Y</t>
        </is>
      </c>
      <c r="E1205" t="inlineStr">
        <is>
          <t>Y</t>
        </is>
      </c>
      <c r="F1205" t="inlineStr">
        <is>
          <t>8</t>
        </is>
      </c>
      <c r="G1205" t="inlineStr">
        <is>
          <t>17 Alhaji lateef st</t>
        </is>
      </c>
      <c r="H1205" t="inlineStr">
        <is>
          <t>Existing</t>
        </is>
      </c>
      <c r="I1205" t="inlineStr">
        <is>
          <t>N</t>
        </is>
      </c>
    </row>
    <row r="1206">
      <c r="A1206" t="inlineStr">
        <is>
          <t>LFC8609</t>
        </is>
      </c>
      <c r="B1206" t="inlineStr">
        <is>
          <t>LFC8609</t>
        </is>
      </c>
      <c r="C1206" t="inlineStr">
        <is>
          <t>LSDPC</t>
        </is>
      </c>
      <c r="D1206" t="inlineStr">
        <is>
          <t>Y</t>
        </is>
      </c>
      <c r="E1206" t="inlineStr">
        <is>
          <t>Y</t>
        </is>
      </c>
      <c r="F1206" t="inlineStr">
        <is>
          <t>9</t>
        </is>
      </c>
      <c r="G1206" t="inlineStr">
        <is>
          <t>8 SAMUEL AYORINDE IPAYE</t>
        </is>
      </c>
      <c r="H1206" t="inlineStr">
        <is>
          <t>Existing</t>
        </is>
      </c>
      <c r="I1206" t="inlineStr">
        <is>
          <t>N</t>
        </is>
      </c>
    </row>
    <row r="1207">
      <c r="A1207" t="inlineStr">
        <is>
          <t>LFC8610</t>
        </is>
      </c>
      <c r="B1207" t="inlineStr">
        <is>
          <t>LFC8610</t>
        </is>
      </c>
      <c r="C1207" t="inlineStr">
        <is>
          <t>LSDPC</t>
        </is>
      </c>
      <c r="D1207" t="inlineStr">
        <is>
          <t>N</t>
        </is>
      </c>
      <c r="E1207" t="inlineStr">
        <is>
          <t>Y</t>
        </is>
      </c>
      <c r="F1207" t="inlineStr">
        <is>
          <t>10</t>
        </is>
      </c>
      <c r="G1207" t="inlineStr">
        <is>
          <t>SUMMIT LIGHT</t>
        </is>
      </c>
      <c r="H1207" t="inlineStr">
        <is>
          <t>Existing</t>
        </is>
      </c>
      <c r="I1207" t="inlineStr">
        <is>
          <t>N</t>
        </is>
      </c>
    </row>
    <row r="1208">
      <c r="A1208" t="inlineStr">
        <is>
          <t>LFC8611</t>
        </is>
      </c>
      <c r="B1208" t="inlineStr">
        <is>
          <t>LFC8611</t>
        </is>
      </c>
      <c r="C1208" t="inlineStr">
        <is>
          <t>LSDPC</t>
        </is>
      </c>
      <c r="D1208" t="inlineStr">
        <is>
          <t>Y</t>
        </is>
      </c>
      <c r="E1208" t="inlineStr">
        <is>
          <t>Y</t>
        </is>
      </c>
      <c r="F1208" t="inlineStr">
        <is>
          <t>11</t>
        </is>
      </c>
      <c r="G1208" t="inlineStr">
        <is>
          <t>11 Pa Clement Str</t>
        </is>
      </c>
      <c r="H1208" t="inlineStr">
        <is>
          <t>Existing</t>
        </is>
      </c>
      <c r="I1208" t="inlineStr">
        <is>
          <t>N</t>
        </is>
      </c>
    </row>
    <row r="1209">
      <c r="A1209" t="inlineStr">
        <is>
          <t>LFC8612</t>
        </is>
      </c>
      <c r="B1209" t="inlineStr">
        <is>
          <t>LFC8612</t>
        </is>
      </c>
      <c r="C1209" t="inlineStr">
        <is>
          <t>LSDPC</t>
        </is>
      </c>
      <c r="D1209" t="inlineStr">
        <is>
          <t>N</t>
        </is>
      </c>
      <c r="E1209" t="inlineStr">
        <is>
          <t>Y</t>
        </is>
      </c>
      <c r="F1209" t="inlineStr">
        <is>
          <t>12</t>
        </is>
      </c>
      <c r="G1209" t="inlineStr">
        <is>
          <t>OLOOGUNLAGBA</t>
        </is>
      </c>
      <c r="H1209" t="inlineStr">
        <is>
          <t>Existing</t>
        </is>
      </c>
      <c r="I1209" t="inlineStr">
        <is>
          <t>N</t>
        </is>
      </c>
    </row>
    <row r="1210">
      <c r="A1210" t="inlineStr">
        <is>
          <t>LFC8613</t>
        </is>
      </c>
      <c r="B1210" t="inlineStr">
        <is>
          <t>LFC8613</t>
        </is>
      </c>
      <c r="C1210" t="inlineStr">
        <is>
          <t>LSDPC</t>
        </is>
      </c>
      <c r="D1210" t="inlineStr">
        <is>
          <t>Y</t>
        </is>
      </c>
      <c r="E1210" t="inlineStr">
        <is>
          <t>Y</t>
        </is>
      </c>
      <c r="F1210" t="inlineStr">
        <is>
          <t>13</t>
        </is>
      </c>
      <c r="G1210" t="inlineStr">
        <is>
          <t>1, LAWAL STREET, AGBOROKO</t>
        </is>
      </c>
      <c r="H1210" t="inlineStr">
        <is>
          <t>Existing</t>
        </is>
      </c>
      <c r="I1210" t="inlineStr">
        <is>
          <t>N</t>
        </is>
      </c>
    </row>
    <row r="1211">
      <c r="A1211" t="inlineStr">
        <is>
          <t>LFC8614</t>
        </is>
      </c>
      <c r="B1211" t="inlineStr">
        <is>
          <t>LFC8614</t>
        </is>
      </c>
      <c r="C1211" t="inlineStr">
        <is>
          <t>LSDPC</t>
        </is>
      </c>
      <c r="D1211" t="inlineStr">
        <is>
          <t>Y</t>
        </is>
      </c>
      <c r="E1211" t="inlineStr">
        <is>
          <t>Y</t>
        </is>
      </c>
      <c r="F1211" t="inlineStr">
        <is>
          <t>14</t>
        </is>
      </c>
      <c r="G1211" t="inlineStr">
        <is>
          <t>7 EZE OKAFOR STREET</t>
        </is>
      </c>
      <c r="H1211" t="inlineStr">
        <is>
          <t>Existing</t>
        </is>
      </c>
      <c r="I1211" t="inlineStr">
        <is>
          <t>N</t>
        </is>
      </c>
    </row>
    <row r="1212">
      <c r="A1212" t="inlineStr">
        <is>
          <t>LFC8701</t>
        </is>
      </c>
      <c r="B1212" t="inlineStr">
        <is>
          <t>LFC8701</t>
        </is>
      </c>
      <c r="C1212" t="inlineStr">
        <is>
          <t>ILOGBO OKOKO</t>
        </is>
      </c>
      <c r="D1212" t="inlineStr">
        <is>
          <t>N</t>
        </is>
      </c>
      <c r="E1212" t="inlineStr">
        <is>
          <t>Y</t>
        </is>
      </c>
      <c r="F1212" t="inlineStr">
        <is>
          <t>1</t>
        </is>
      </c>
      <c r="G1212" t="inlineStr">
        <is>
          <t>SOUND FOUNDATION SCHOOL, 7 ONIBUORE AVENUE, OFF ILOGBO ROAD, AJANGBADI</t>
        </is>
      </c>
      <c r="H1212" t="inlineStr">
        <is>
          <t>Existing</t>
        </is>
      </c>
      <c r="I1212" t="inlineStr">
        <is>
          <t>N</t>
        </is>
      </c>
    </row>
    <row r="1213">
      <c r="A1213" t="inlineStr">
        <is>
          <t>LFC8702</t>
        </is>
      </c>
      <c r="B1213" t="inlineStr">
        <is>
          <t>LFC8702</t>
        </is>
      </c>
      <c r="C1213" t="inlineStr">
        <is>
          <t>ILOGBO OKOKO</t>
        </is>
      </c>
      <c r="D1213" t="inlineStr"/>
      <c r="E1213" t="inlineStr">
        <is>
          <t>Y</t>
        </is>
      </c>
      <c r="F1213" t="inlineStr">
        <is>
          <t>2</t>
        </is>
      </c>
      <c r="G1213" t="inlineStr"/>
      <c r="H1213" t="inlineStr">
        <is>
          <t>Existing</t>
        </is>
      </c>
      <c r="I1213" t="inlineStr"/>
    </row>
    <row r="1214">
      <c r="A1214" t="inlineStr">
        <is>
          <t>LFC8703</t>
        </is>
      </c>
      <c r="B1214" t="inlineStr">
        <is>
          <t>LFC8703</t>
        </is>
      </c>
      <c r="C1214" t="inlineStr">
        <is>
          <t>ILOGBO OKOKO</t>
        </is>
      </c>
      <c r="D1214" t="inlineStr">
        <is>
          <t>Y</t>
        </is>
      </c>
      <c r="E1214" t="inlineStr">
        <is>
          <t>Y</t>
        </is>
      </c>
      <c r="F1214" t="inlineStr">
        <is>
          <t>3</t>
        </is>
      </c>
      <c r="G1214" t="inlineStr">
        <is>
          <t>ADIDOGUN COMPOND, ESE OFIN VILLAGE</t>
        </is>
      </c>
      <c r="H1214" t="inlineStr">
        <is>
          <t>Existing</t>
        </is>
      </c>
      <c r="I1214" t="inlineStr">
        <is>
          <t>N</t>
        </is>
      </c>
    </row>
    <row r="1215">
      <c r="A1215" t="inlineStr">
        <is>
          <t>LFC8704</t>
        </is>
      </c>
      <c r="B1215" t="inlineStr">
        <is>
          <t>LFC8704</t>
        </is>
      </c>
      <c r="C1215" t="inlineStr">
        <is>
          <t>ILOGBO OKOKO</t>
        </is>
      </c>
      <c r="D1215" t="inlineStr"/>
      <c r="E1215" t="inlineStr">
        <is>
          <t>Y</t>
        </is>
      </c>
      <c r="F1215" t="inlineStr">
        <is>
          <t>4</t>
        </is>
      </c>
      <c r="G1215" t="inlineStr"/>
      <c r="H1215" t="inlineStr">
        <is>
          <t>Existing</t>
        </is>
      </c>
      <c r="I1215" t="inlineStr"/>
    </row>
    <row r="1216">
      <c r="A1216" t="inlineStr">
        <is>
          <t>LFC8705</t>
        </is>
      </c>
      <c r="B1216" t="inlineStr">
        <is>
          <t>LFC8705</t>
        </is>
      </c>
      <c r="C1216" t="inlineStr">
        <is>
          <t>ILOGBO OKOKO</t>
        </is>
      </c>
      <c r="D1216" t="inlineStr">
        <is>
          <t>Y</t>
        </is>
      </c>
      <c r="E1216" t="inlineStr">
        <is>
          <t>Y</t>
        </is>
      </c>
      <c r="F1216" t="inlineStr">
        <is>
          <t>5</t>
        </is>
      </c>
      <c r="G1216" t="inlineStr">
        <is>
          <t>KINGSWAY COLLEGE, ILOGBO</t>
        </is>
      </c>
      <c r="H1216" t="inlineStr">
        <is>
          <t>Existing</t>
        </is>
      </c>
      <c r="I1216" t="inlineStr">
        <is>
          <t>N</t>
        </is>
      </c>
    </row>
    <row r="1217">
      <c r="A1217" t="inlineStr">
        <is>
          <t>LFC8706</t>
        </is>
      </c>
      <c r="B1217" t="inlineStr">
        <is>
          <t>LFC8706</t>
        </is>
      </c>
      <c r="C1217" t="inlineStr">
        <is>
          <t>ILOGBO OKOKO</t>
        </is>
      </c>
      <c r="D1217" t="inlineStr">
        <is>
          <t>Y</t>
        </is>
      </c>
      <c r="E1217" t="inlineStr">
        <is>
          <t>Y</t>
        </is>
      </c>
      <c r="F1217" t="inlineStr">
        <is>
          <t>6</t>
        </is>
      </c>
      <c r="G1217" t="inlineStr">
        <is>
          <t>EGAN VILLAGE, ACCROSS RIVER</t>
        </is>
      </c>
      <c r="H1217" t="inlineStr">
        <is>
          <t>Existing</t>
        </is>
      </c>
      <c r="I1217" t="inlineStr">
        <is>
          <t>N</t>
        </is>
      </c>
    </row>
    <row r="1218">
      <c r="A1218" t="inlineStr">
        <is>
          <t>LFC8707</t>
        </is>
      </c>
      <c r="B1218" t="inlineStr">
        <is>
          <t>LFC8707</t>
        </is>
      </c>
      <c r="C1218" t="inlineStr">
        <is>
          <t>ILOGBO OKOKO</t>
        </is>
      </c>
      <c r="D1218" t="inlineStr">
        <is>
          <t>N</t>
        </is>
      </c>
      <c r="E1218" t="inlineStr">
        <is>
          <t>Y</t>
        </is>
      </c>
      <c r="F1218" t="inlineStr">
        <is>
          <t>7</t>
        </is>
      </c>
      <c r="G1218" t="inlineStr">
        <is>
          <t>TOMKEM SCHOOL, TOPE BUS STOP</t>
        </is>
      </c>
      <c r="H1218" t="inlineStr">
        <is>
          <t>Existing</t>
        </is>
      </c>
      <c r="I1218" t="inlineStr">
        <is>
          <t>N</t>
        </is>
      </c>
    </row>
    <row r="1219">
      <c r="A1219" t="inlineStr">
        <is>
          <t>LFC8708</t>
        </is>
      </c>
      <c r="B1219" t="inlineStr">
        <is>
          <t>LFC8708</t>
        </is>
      </c>
      <c r="C1219" t="inlineStr">
        <is>
          <t>ILOGBO OKOKO</t>
        </is>
      </c>
      <c r="D1219" t="inlineStr"/>
      <c r="E1219" t="inlineStr">
        <is>
          <t>Y</t>
        </is>
      </c>
      <c r="F1219" t="inlineStr">
        <is>
          <t>8</t>
        </is>
      </c>
      <c r="G1219" t="inlineStr">
        <is>
          <t>IDIROKO ELEMIJAIYE, ILOGBO ROAD</t>
        </is>
      </c>
      <c r="H1219" t="inlineStr">
        <is>
          <t>Existing</t>
        </is>
      </c>
      <c r="I1219" t="inlineStr"/>
    </row>
    <row r="1220">
      <c r="A1220" t="inlineStr">
        <is>
          <t>LFC8709</t>
        </is>
      </c>
      <c r="B1220" t="inlineStr">
        <is>
          <t>LFC8709</t>
        </is>
      </c>
      <c r="C1220" t="inlineStr">
        <is>
          <t>ILOGBO OKOKO</t>
        </is>
      </c>
      <c r="D1220" t="inlineStr">
        <is>
          <t>Y</t>
        </is>
      </c>
      <c r="E1220" t="inlineStr">
        <is>
          <t>Y</t>
        </is>
      </c>
      <c r="F1220" t="inlineStr">
        <is>
          <t>9</t>
        </is>
      </c>
      <c r="G1220" t="inlineStr">
        <is>
          <t>33, AFOLABI STREET OFF HASSAN B/STOP</t>
        </is>
      </c>
      <c r="H1220" t="inlineStr">
        <is>
          <t>Existing</t>
        </is>
      </c>
      <c r="I1220" t="inlineStr">
        <is>
          <t>N</t>
        </is>
      </c>
    </row>
    <row r="1221">
      <c r="A1221" t="inlineStr">
        <is>
          <t>LFC8710</t>
        </is>
      </c>
      <c r="B1221" t="inlineStr">
        <is>
          <t>LFC8710</t>
        </is>
      </c>
      <c r="C1221" t="inlineStr">
        <is>
          <t>ILOGBO OKOKO</t>
        </is>
      </c>
      <c r="D1221" t="inlineStr">
        <is>
          <t>Y</t>
        </is>
      </c>
      <c r="E1221" t="inlineStr">
        <is>
          <t>Y</t>
        </is>
      </c>
      <c r="F1221" t="inlineStr">
        <is>
          <t>10</t>
        </is>
      </c>
      <c r="G1221" t="inlineStr">
        <is>
          <t>86, IMUDE ROAD, SHIBIRI</t>
        </is>
      </c>
      <c r="H1221" t="inlineStr">
        <is>
          <t>Existing</t>
        </is>
      </c>
      <c r="I1221" t="inlineStr">
        <is>
          <t>N</t>
        </is>
      </c>
    </row>
    <row r="1222">
      <c r="A1222" t="inlineStr">
        <is>
          <t>LFC8711</t>
        </is>
      </c>
      <c r="B1222" t="inlineStr">
        <is>
          <t>LFC8711</t>
        </is>
      </c>
      <c r="C1222" t="inlineStr">
        <is>
          <t>ILOGBO OKOKO</t>
        </is>
      </c>
      <c r="D1222" t="inlineStr">
        <is>
          <t>Y</t>
        </is>
      </c>
      <c r="E1222" t="inlineStr">
        <is>
          <t>Y</t>
        </is>
      </c>
      <c r="F1222" t="inlineStr">
        <is>
          <t>11</t>
        </is>
      </c>
      <c r="G1222" t="inlineStr">
        <is>
          <t>13 OREMEJI CLOSE, OGBAMADAM, SHIBIRI</t>
        </is>
      </c>
      <c r="H1222" t="inlineStr">
        <is>
          <t>Existing</t>
        </is>
      </c>
      <c r="I1222" t="inlineStr">
        <is>
          <t>N</t>
        </is>
      </c>
    </row>
    <row r="1223">
      <c r="A1223" t="inlineStr">
        <is>
          <t>LFC8712</t>
        </is>
      </c>
      <c r="B1223" t="inlineStr">
        <is>
          <t>LFC8712</t>
        </is>
      </c>
      <c r="C1223" t="inlineStr">
        <is>
          <t>ILOGBO OKOKO</t>
        </is>
      </c>
      <c r="D1223" t="inlineStr">
        <is>
          <t>Y</t>
        </is>
      </c>
      <c r="E1223" t="inlineStr">
        <is>
          <t>Y</t>
        </is>
      </c>
      <c r="F1223" t="inlineStr">
        <is>
          <t>12</t>
        </is>
      </c>
      <c r="G1223" t="inlineStr">
        <is>
          <t>20 AINA STREET, SHIBIRI</t>
        </is>
      </c>
      <c r="H1223" t="inlineStr">
        <is>
          <t>Existing</t>
        </is>
      </c>
      <c r="I1223" t="inlineStr">
        <is>
          <t>N</t>
        </is>
      </c>
    </row>
    <row r="1224">
      <c r="A1224" t="inlineStr">
        <is>
          <t>LFC8713</t>
        </is>
      </c>
      <c r="B1224" t="inlineStr">
        <is>
          <t>LFC8713</t>
        </is>
      </c>
      <c r="C1224" t="inlineStr">
        <is>
          <t>ILOGBO OKOKO</t>
        </is>
      </c>
      <c r="D1224" t="inlineStr">
        <is>
          <t>Y</t>
        </is>
      </c>
      <c r="E1224" t="inlineStr">
        <is>
          <t>Y</t>
        </is>
      </c>
      <c r="F1224" t="inlineStr">
        <is>
          <t>13</t>
        </is>
      </c>
      <c r="G1224" t="inlineStr">
        <is>
          <t>16/17 MARTINEX ESTATE, SHIBIRI</t>
        </is>
      </c>
      <c r="H1224" t="inlineStr">
        <is>
          <t>Existing</t>
        </is>
      </c>
      <c r="I1224" t="inlineStr">
        <is>
          <t>N</t>
        </is>
      </c>
    </row>
    <row r="1225">
      <c r="A1225" t="inlineStr">
        <is>
          <t>LFC8714</t>
        </is>
      </c>
      <c r="B1225" t="inlineStr">
        <is>
          <t>LFC8714</t>
        </is>
      </c>
      <c r="C1225" t="inlineStr">
        <is>
          <t>ILOGBO OKOKO</t>
        </is>
      </c>
      <c r="D1225" t="inlineStr">
        <is>
          <t>Y</t>
        </is>
      </c>
      <c r="E1225" t="inlineStr">
        <is>
          <t>Y</t>
        </is>
      </c>
      <c r="F1225" t="inlineStr">
        <is>
          <t>14</t>
        </is>
      </c>
      <c r="G1225" t="inlineStr">
        <is>
          <t>JESAB SECONDARY SHOOL, SHIBIRI</t>
        </is>
      </c>
      <c r="H1225" t="inlineStr">
        <is>
          <t>Existing</t>
        </is>
      </c>
      <c r="I1225" t="inlineStr">
        <is>
          <t>N</t>
        </is>
      </c>
    </row>
    <row r="1226">
      <c r="A1226" t="inlineStr">
        <is>
          <t>LFC8715</t>
        </is>
      </c>
      <c r="B1226" t="inlineStr">
        <is>
          <t>LFC8715</t>
        </is>
      </c>
      <c r="C1226" t="inlineStr">
        <is>
          <t>ILOGBO OKOKO</t>
        </is>
      </c>
      <c r="D1226" t="inlineStr">
        <is>
          <t>N</t>
        </is>
      </c>
      <c r="E1226" t="inlineStr">
        <is>
          <t>Y</t>
        </is>
      </c>
      <c r="F1226" t="inlineStr">
        <is>
          <t>15</t>
        </is>
      </c>
      <c r="G1226" t="inlineStr">
        <is>
          <t>DE-LABIANS</t>
        </is>
      </c>
      <c r="H1226" t="inlineStr">
        <is>
          <t>From reporting system</t>
        </is>
      </c>
      <c r="I1226" t="inlineStr">
        <is>
          <t>N</t>
        </is>
      </c>
    </row>
    <row r="1227">
      <c r="A1227" t="inlineStr">
        <is>
          <t>LFC8801</t>
        </is>
      </c>
      <c r="B1227" t="inlineStr">
        <is>
          <t>LFC8801</t>
        </is>
      </c>
      <c r="C1227" t="inlineStr">
        <is>
          <t>GBAGADA</t>
        </is>
      </c>
      <c r="D1227" t="inlineStr">
        <is>
          <t>Y</t>
        </is>
      </c>
      <c r="E1227" t="inlineStr">
        <is>
          <t>Y</t>
        </is>
      </c>
      <c r="F1227" t="inlineStr">
        <is>
          <t>1</t>
        </is>
      </c>
      <c r="G1227" t="inlineStr">
        <is>
          <t>3/5 SAKIRU STREET</t>
        </is>
      </c>
      <c r="H1227" t="inlineStr">
        <is>
          <t>Existing</t>
        </is>
      </c>
      <c r="I1227" t="inlineStr">
        <is>
          <t>N</t>
        </is>
      </c>
    </row>
    <row r="1228">
      <c r="A1228" t="inlineStr">
        <is>
          <t>LFC8802</t>
        </is>
      </c>
      <c r="B1228" t="inlineStr">
        <is>
          <t>LFC8802</t>
        </is>
      </c>
      <c r="C1228" t="inlineStr">
        <is>
          <t>GBAGADA</t>
        </is>
      </c>
      <c r="D1228" t="inlineStr">
        <is>
          <t>Y</t>
        </is>
      </c>
      <c r="E1228" t="inlineStr">
        <is>
          <t>Y</t>
        </is>
      </c>
      <c r="F1228" t="inlineStr">
        <is>
          <t>2</t>
        </is>
      </c>
      <c r="G1228" t="inlineStr">
        <is>
          <t>4 ROLUGA STREET POWERLINE</t>
        </is>
      </c>
      <c r="H1228" t="inlineStr">
        <is>
          <t>Existing</t>
        </is>
      </c>
      <c r="I1228" t="inlineStr">
        <is>
          <t>N</t>
        </is>
      </c>
    </row>
    <row r="1229">
      <c r="A1229" t="inlineStr">
        <is>
          <t>LFC8803</t>
        </is>
      </c>
      <c r="B1229" t="inlineStr">
        <is>
          <t>LFC8803</t>
        </is>
      </c>
      <c r="C1229" t="inlineStr">
        <is>
          <t>GBAGADA</t>
        </is>
      </c>
      <c r="D1229" t="inlineStr">
        <is>
          <t>N</t>
        </is>
      </c>
      <c r="E1229" t="inlineStr">
        <is>
          <t>Y</t>
        </is>
      </c>
      <c r="F1229" t="inlineStr">
        <is>
          <t>3</t>
        </is>
      </c>
      <c r="G1229" t="inlineStr">
        <is>
          <t>SIKKY ROLEX HOTEL SOLUYI</t>
        </is>
      </c>
      <c r="H1229" t="inlineStr">
        <is>
          <t>Existing</t>
        </is>
      </c>
      <c r="I1229" t="inlineStr">
        <is>
          <t>N</t>
        </is>
      </c>
    </row>
    <row r="1230">
      <c r="A1230" t="inlineStr">
        <is>
          <t>LFC8804</t>
        </is>
      </c>
      <c r="B1230" t="inlineStr">
        <is>
          <t>LFC8804</t>
        </is>
      </c>
      <c r="C1230" t="inlineStr">
        <is>
          <t>GBAGADA</t>
        </is>
      </c>
      <c r="D1230" t="inlineStr">
        <is>
          <t>N</t>
        </is>
      </c>
      <c r="E1230" t="inlineStr">
        <is>
          <t>Y</t>
        </is>
      </c>
      <c r="F1230" t="inlineStr">
        <is>
          <t>4</t>
        </is>
      </c>
      <c r="G1230" t="inlineStr">
        <is>
          <t>15B TUNDE HASSAN STREET IFAKO</t>
        </is>
      </c>
      <c r="H1230" t="inlineStr">
        <is>
          <t>Existing</t>
        </is>
      </c>
      <c r="I1230" t="inlineStr">
        <is>
          <t>N</t>
        </is>
      </c>
    </row>
    <row r="1231">
      <c r="A1231" t="inlineStr">
        <is>
          <t>LFC8805</t>
        </is>
      </c>
      <c r="B1231" t="inlineStr">
        <is>
          <t>LFC8805</t>
        </is>
      </c>
      <c r="C1231" t="inlineStr">
        <is>
          <t>GBAGADA</t>
        </is>
      </c>
      <c r="D1231" t="inlineStr">
        <is>
          <t>Y</t>
        </is>
      </c>
      <c r="E1231" t="inlineStr">
        <is>
          <t>Y</t>
        </is>
      </c>
      <c r="F1231" t="inlineStr">
        <is>
          <t>5</t>
        </is>
      </c>
      <c r="G1231" t="inlineStr">
        <is>
          <t>4B BOLA AROWOLO STR ATUNRASE EST</t>
        </is>
      </c>
      <c r="H1231" t="inlineStr">
        <is>
          <t>Existing</t>
        </is>
      </c>
      <c r="I1231" t="inlineStr">
        <is>
          <t>N</t>
        </is>
      </c>
    </row>
    <row r="1232">
      <c r="A1232" t="inlineStr">
        <is>
          <t>LFC8806</t>
        </is>
      </c>
      <c r="B1232" t="inlineStr">
        <is>
          <t>LFC8806</t>
        </is>
      </c>
      <c r="C1232" t="inlineStr">
        <is>
          <t>GBAGADA</t>
        </is>
      </c>
      <c r="D1232" t="inlineStr"/>
      <c r="E1232" t="inlineStr">
        <is>
          <t>Y</t>
        </is>
      </c>
      <c r="F1232" t="inlineStr">
        <is>
          <t>6</t>
        </is>
      </c>
      <c r="G1232" t="inlineStr">
        <is>
          <t>GULF FLOWER SEC. SCHOOL OFF MIYAKI STREET OWORO</t>
        </is>
      </c>
      <c r="H1232" t="inlineStr">
        <is>
          <t>Existing</t>
        </is>
      </c>
      <c r="I1232" t="inlineStr"/>
    </row>
    <row r="1233">
      <c r="A1233" t="inlineStr">
        <is>
          <t>LFC8807</t>
        </is>
      </c>
      <c r="B1233" t="inlineStr">
        <is>
          <t>LFC8807</t>
        </is>
      </c>
      <c r="C1233" t="inlineStr">
        <is>
          <t>GBAGADA</t>
        </is>
      </c>
      <c r="D1233" t="inlineStr">
        <is>
          <t>N</t>
        </is>
      </c>
      <c r="E1233" t="inlineStr">
        <is>
          <t>Y</t>
        </is>
      </c>
      <c r="F1233" t="inlineStr">
        <is>
          <t>7</t>
        </is>
      </c>
      <c r="G1233" t="inlineStr">
        <is>
          <t>6 IFELODUN STREET GBADAGA</t>
        </is>
      </c>
      <c r="H1233" t="inlineStr">
        <is>
          <t>Existing</t>
        </is>
      </c>
      <c r="I1233" t="inlineStr">
        <is>
          <t>N</t>
        </is>
      </c>
    </row>
    <row r="1234">
      <c r="A1234" t="inlineStr">
        <is>
          <t>LFC8901</t>
        </is>
      </c>
      <c r="B1234" t="inlineStr">
        <is>
          <t>LFC8901</t>
        </is>
      </c>
      <c r="C1234" t="inlineStr">
        <is>
          <t>ILUPEJU</t>
        </is>
      </c>
      <c r="D1234" t="inlineStr">
        <is>
          <t>Y</t>
        </is>
      </c>
      <c r="E1234" t="inlineStr">
        <is>
          <t>Y</t>
        </is>
      </c>
      <c r="F1234" t="inlineStr">
        <is>
          <t>1</t>
        </is>
      </c>
      <c r="G1234" t="inlineStr">
        <is>
          <t>NO 5 B OBANLE ARO STREET ILUPEJU</t>
        </is>
      </c>
      <c r="H1234" t="inlineStr">
        <is>
          <t>Existing</t>
        </is>
      </c>
      <c r="I1234" t="inlineStr">
        <is>
          <t>N</t>
        </is>
      </c>
    </row>
    <row r="1235">
      <c r="A1235" t="inlineStr">
        <is>
          <t>LFC8902</t>
        </is>
      </c>
      <c r="B1235" t="inlineStr">
        <is>
          <t>LFC8902</t>
        </is>
      </c>
      <c r="C1235" t="inlineStr">
        <is>
          <t>ILUPEJU</t>
        </is>
      </c>
      <c r="D1235" t="inlineStr">
        <is>
          <t>N</t>
        </is>
      </c>
      <c r="E1235" t="inlineStr">
        <is>
          <t>Y</t>
        </is>
      </c>
      <c r="F1235" t="inlineStr">
        <is>
          <t>2</t>
        </is>
      </c>
      <c r="G1235" t="inlineStr">
        <is>
          <t>5, OLUSOJI IDOWU STREET,ILUPEJU</t>
        </is>
      </c>
      <c r="H1235" t="inlineStr">
        <is>
          <t>Existing</t>
        </is>
      </c>
      <c r="I1235" t="inlineStr">
        <is>
          <t>N</t>
        </is>
      </c>
    </row>
    <row r="1236">
      <c r="A1236" t="inlineStr">
        <is>
          <t>LFC8903</t>
        </is>
      </c>
      <c r="B1236" t="inlineStr">
        <is>
          <t>LFC8903</t>
        </is>
      </c>
      <c r="C1236" t="inlineStr">
        <is>
          <t>ILUPEJU</t>
        </is>
      </c>
      <c r="D1236" t="inlineStr">
        <is>
          <t>Y</t>
        </is>
      </c>
      <c r="E1236" t="inlineStr">
        <is>
          <t>Y</t>
        </is>
      </c>
      <c r="F1236" t="inlineStr">
        <is>
          <t>3</t>
        </is>
      </c>
      <c r="G1236" t="inlineStr">
        <is>
          <t>26, ADERANIJO STREET, PEDRO</t>
        </is>
      </c>
      <c r="H1236" t="inlineStr">
        <is>
          <t>Existing</t>
        </is>
      </c>
      <c r="I1236" t="inlineStr">
        <is>
          <t>N</t>
        </is>
      </c>
    </row>
    <row r="1237">
      <c r="A1237" t="inlineStr">
        <is>
          <t>LFC8904</t>
        </is>
      </c>
      <c r="B1237" t="inlineStr">
        <is>
          <t>LFC8904</t>
        </is>
      </c>
      <c r="C1237" t="inlineStr">
        <is>
          <t>ILUPEJU</t>
        </is>
      </c>
      <c r="D1237" t="inlineStr">
        <is>
          <t>N</t>
        </is>
      </c>
      <c r="E1237" t="inlineStr">
        <is>
          <t>Y</t>
        </is>
      </c>
      <c r="F1237" t="inlineStr">
        <is>
          <t>4</t>
        </is>
      </c>
      <c r="G1237" t="inlineStr">
        <is>
          <t>5, BRIDGE GATE SCHOOL, 31 AJEGUNLE STREET,ILUPEJU</t>
        </is>
      </c>
      <c r="H1237" t="inlineStr">
        <is>
          <t>Existing</t>
        </is>
      </c>
      <c r="I1237" t="inlineStr">
        <is>
          <t>N</t>
        </is>
      </c>
    </row>
    <row r="1238">
      <c r="A1238" t="inlineStr">
        <is>
          <t>LFC8905</t>
        </is>
      </c>
      <c r="B1238" t="inlineStr">
        <is>
          <t>LFC8905</t>
        </is>
      </c>
      <c r="C1238" t="inlineStr">
        <is>
          <t>ILUPEJU</t>
        </is>
      </c>
      <c r="D1238" t="inlineStr">
        <is>
          <t>N</t>
        </is>
      </c>
      <c r="E1238" t="inlineStr">
        <is>
          <t>Y</t>
        </is>
      </c>
      <c r="F1238" t="inlineStr">
        <is>
          <t>5</t>
        </is>
      </c>
      <c r="G1238" t="inlineStr">
        <is>
          <t>ladi lake zone(Solace school)</t>
        </is>
      </c>
      <c r="H1238" t="inlineStr">
        <is>
          <t>Existing</t>
        </is>
      </c>
      <c r="I1238" t="inlineStr">
        <is>
          <t>N</t>
        </is>
      </c>
    </row>
    <row r="1239">
      <c r="A1239" t="inlineStr">
        <is>
          <t>LFC8906</t>
        </is>
      </c>
      <c r="B1239" t="inlineStr">
        <is>
          <t>LFC8906</t>
        </is>
      </c>
      <c r="C1239" t="inlineStr">
        <is>
          <t>ILUPEJU</t>
        </is>
      </c>
      <c r="D1239" t="inlineStr">
        <is>
          <t>N</t>
        </is>
      </c>
      <c r="E1239" t="inlineStr">
        <is>
          <t>Y</t>
        </is>
      </c>
      <c r="F1239" t="inlineStr">
        <is>
          <t>6</t>
        </is>
      </c>
      <c r="G1239" t="inlineStr">
        <is>
          <t>14/16 ONAJIMI STREET,PEDRO.</t>
        </is>
      </c>
      <c r="H1239" t="inlineStr">
        <is>
          <t>From reporting system</t>
        </is>
      </c>
      <c r="I1239" t="inlineStr">
        <is>
          <t>N</t>
        </is>
      </c>
    </row>
    <row r="1240">
      <c r="A1240" t="inlineStr">
        <is>
          <t>LFC9001</t>
        </is>
      </c>
      <c r="B1240" t="inlineStr">
        <is>
          <t>LFC9001</t>
        </is>
      </c>
      <c r="C1240" t="inlineStr">
        <is>
          <t>SATELLITE TOWN</t>
        </is>
      </c>
      <c r="D1240" t="inlineStr">
        <is>
          <t>Y</t>
        </is>
      </c>
      <c r="E1240" t="inlineStr">
        <is>
          <t>Y</t>
        </is>
      </c>
      <c r="F1240" t="inlineStr">
        <is>
          <t>1</t>
        </is>
      </c>
      <c r="G1240" t="inlineStr">
        <is>
          <t>4/6 MISSION STREET. OFF ABULE ADO, SATELLITE TOWN</t>
        </is>
      </c>
      <c r="H1240" t="inlineStr">
        <is>
          <t>Existing</t>
        </is>
      </c>
      <c r="I1240" t="inlineStr">
        <is>
          <t>N</t>
        </is>
      </c>
    </row>
    <row r="1241">
      <c r="A1241" t="inlineStr">
        <is>
          <t>LFC9002</t>
        </is>
      </c>
      <c r="B1241" t="inlineStr">
        <is>
          <t>LFC9002</t>
        </is>
      </c>
      <c r="C1241" t="inlineStr">
        <is>
          <t>SATELLITE TOWN</t>
        </is>
      </c>
      <c r="D1241" t="inlineStr">
        <is>
          <t>Y</t>
        </is>
      </c>
      <c r="E1241" t="inlineStr">
        <is>
          <t>Y</t>
        </is>
      </c>
      <c r="F1241" t="inlineStr">
        <is>
          <t>2</t>
        </is>
      </c>
      <c r="G1241" t="inlineStr">
        <is>
          <t>A1 OREMEJI STREET, ZONE 2, S/TOWN</t>
        </is>
      </c>
      <c r="H1241" t="inlineStr">
        <is>
          <t>Existing</t>
        </is>
      </c>
      <c r="I1241" t="inlineStr">
        <is>
          <t>N</t>
        </is>
      </c>
    </row>
    <row r="1242">
      <c r="A1242" t="inlineStr">
        <is>
          <t>LFC9003</t>
        </is>
      </c>
      <c r="B1242" t="inlineStr">
        <is>
          <t>LFC9003</t>
        </is>
      </c>
      <c r="C1242" t="inlineStr">
        <is>
          <t>SATELLITE TOWN</t>
        </is>
      </c>
      <c r="D1242" t="inlineStr">
        <is>
          <t>Y</t>
        </is>
      </c>
      <c r="E1242" t="inlineStr">
        <is>
          <t>Y</t>
        </is>
      </c>
      <c r="F1242" t="inlineStr">
        <is>
          <t>3</t>
        </is>
      </c>
      <c r="G1242" t="inlineStr">
        <is>
          <t>22 SANUSI, ADEYEMO STR, S/TOWN</t>
        </is>
      </c>
      <c r="H1242" t="inlineStr">
        <is>
          <t>Existing</t>
        </is>
      </c>
      <c r="I1242" t="inlineStr">
        <is>
          <t>N</t>
        </is>
      </c>
    </row>
    <row r="1243">
      <c r="A1243" t="inlineStr">
        <is>
          <t>LFC9004</t>
        </is>
      </c>
      <c r="B1243" t="inlineStr">
        <is>
          <t>LFC9004</t>
        </is>
      </c>
      <c r="C1243" t="inlineStr">
        <is>
          <t>SATELLITE TOWN</t>
        </is>
      </c>
      <c r="D1243" t="inlineStr">
        <is>
          <t>Y</t>
        </is>
      </c>
      <c r="E1243" t="inlineStr">
        <is>
          <t>Y</t>
        </is>
      </c>
      <c r="F1243" t="inlineStr">
        <is>
          <t>4</t>
        </is>
      </c>
      <c r="G1243" t="inlineStr">
        <is>
          <t>PLOT 37, DAILY TIMES ESTATE, PHASE 2, S/TOWN</t>
        </is>
      </c>
      <c r="H1243" t="inlineStr">
        <is>
          <t>Existing</t>
        </is>
      </c>
      <c r="I1243" t="inlineStr">
        <is>
          <t>N</t>
        </is>
      </c>
    </row>
    <row r="1244">
      <c r="A1244" t="inlineStr">
        <is>
          <t>LFC9007</t>
        </is>
      </c>
      <c r="B1244" t="inlineStr">
        <is>
          <t>LFC9007</t>
        </is>
      </c>
      <c r="C1244" t="inlineStr">
        <is>
          <t>SATELLITE TOWN</t>
        </is>
      </c>
      <c r="D1244" t="inlineStr">
        <is>
          <t>Y</t>
        </is>
      </c>
      <c r="E1244" t="inlineStr">
        <is>
          <t>Y</t>
        </is>
      </c>
      <c r="F1244" t="inlineStr">
        <is>
          <t>5</t>
        </is>
      </c>
      <c r="G1244" t="inlineStr">
        <is>
          <t>5 EDOKPOLO STREET, ABULE-OSHUN, S/TOWN</t>
        </is>
      </c>
      <c r="H1244" t="inlineStr">
        <is>
          <t>Existing</t>
        </is>
      </c>
      <c r="I1244" t="inlineStr">
        <is>
          <t>N</t>
        </is>
      </c>
    </row>
    <row r="1245">
      <c r="A1245" t="inlineStr">
        <is>
          <t>LFC9008</t>
        </is>
      </c>
      <c r="B1245" t="inlineStr">
        <is>
          <t>LFC9008</t>
        </is>
      </c>
      <c r="C1245" t="inlineStr">
        <is>
          <t>SATELLITE TOWN</t>
        </is>
      </c>
      <c r="D1245" t="inlineStr">
        <is>
          <t>N</t>
        </is>
      </c>
      <c r="E1245" t="inlineStr">
        <is>
          <t>Y</t>
        </is>
      </c>
      <c r="F1245" t="inlineStr">
        <is>
          <t>6</t>
        </is>
      </c>
      <c r="G1245" t="inlineStr">
        <is>
          <t>WATER SITE, ABULEOSUN</t>
        </is>
      </c>
      <c r="H1245" t="inlineStr">
        <is>
          <t>Existing</t>
        </is>
      </c>
      <c r="I1245" t="inlineStr">
        <is>
          <t>N</t>
        </is>
      </c>
    </row>
    <row r="1246">
      <c r="A1246" t="inlineStr">
        <is>
          <t>LFC9009</t>
        </is>
      </c>
      <c r="B1246" t="inlineStr">
        <is>
          <t>LFC9009</t>
        </is>
      </c>
      <c r="C1246" t="inlineStr">
        <is>
          <t>SATELLITE TOWN</t>
        </is>
      </c>
      <c r="D1246" t="inlineStr">
        <is>
          <t>Y</t>
        </is>
      </c>
      <c r="E1246" t="inlineStr">
        <is>
          <t>Y</t>
        </is>
      </c>
      <c r="F1246" t="inlineStr">
        <is>
          <t>7</t>
        </is>
      </c>
      <c r="G1246" t="inlineStr">
        <is>
          <t>IBASA ISLAND COMMUNITY CHURCH</t>
        </is>
      </c>
      <c r="H1246" t="inlineStr">
        <is>
          <t>Existing</t>
        </is>
      </c>
      <c r="I1246" t="inlineStr">
        <is>
          <t>Y</t>
        </is>
      </c>
    </row>
    <row r="1247">
      <c r="A1247" t="inlineStr">
        <is>
          <t>LFC9010</t>
        </is>
      </c>
      <c r="B1247" t="inlineStr">
        <is>
          <t>LFC9010</t>
        </is>
      </c>
      <c r="C1247" t="inlineStr">
        <is>
          <t>SATELLITE TOWN</t>
        </is>
      </c>
      <c r="D1247" t="inlineStr">
        <is>
          <t>Y</t>
        </is>
      </c>
      <c r="E1247" t="inlineStr">
        <is>
          <t>Y</t>
        </is>
      </c>
      <c r="F1247" t="inlineStr">
        <is>
          <t>8</t>
        </is>
      </c>
      <c r="G1247" t="inlineStr">
        <is>
          <t>SITE J, CLOSE A, HSE 3A, NAVY GATE</t>
        </is>
      </c>
      <c r="H1247" t="inlineStr">
        <is>
          <t>Existing</t>
        </is>
      </c>
      <c r="I1247" t="inlineStr">
        <is>
          <t>N</t>
        </is>
      </c>
    </row>
    <row r="1248">
      <c r="A1248" t="inlineStr">
        <is>
          <t>LFC9011</t>
        </is>
      </c>
      <c r="B1248" t="inlineStr">
        <is>
          <t>LFC9011</t>
        </is>
      </c>
      <c r="C1248" t="inlineStr">
        <is>
          <t>SATELLITE TOWN</t>
        </is>
      </c>
      <c r="D1248" t="inlineStr">
        <is>
          <t>Y</t>
        </is>
      </c>
      <c r="E1248" t="inlineStr">
        <is>
          <t>Y</t>
        </is>
      </c>
      <c r="F1248" t="inlineStr">
        <is>
          <t>9</t>
        </is>
      </c>
      <c r="G1248" t="inlineStr">
        <is>
          <t>IAE, QUARTERS, OFFICERS VILLAGE</t>
        </is>
      </c>
      <c r="H1248" t="inlineStr">
        <is>
          <t>Existing</t>
        </is>
      </c>
      <c r="I1248" t="inlineStr">
        <is>
          <t>N</t>
        </is>
      </c>
    </row>
    <row r="1249">
      <c r="A1249" t="inlineStr">
        <is>
          <t>LFC9012</t>
        </is>
      </c>
      <c r="B1249" t="inlineStr">
        <is>
          <t>LFC9012</t>
        </is>
      </c>
      <c r="C1249" t="inlineStr">
        <is>
          <t>SATELLITE TOWN</t>
        </is>
      </c>
      <c r="D1249" t="inlineStr">
        <is>
          <t>Y</t>
        </is>
      </c>
      <c r="E1249" t="inlineStr">
        <is>
          <t>Y</t>
        </is>
      </c>
      <c r="F1249" t="inlineStr">
        <is>
          <t>10</t>
        </is>
      </c>
      <c r="G1249" t="inlineStr">
        <is>
          <t>BLOCK 1, FLAT 7, NEW BUILDING</t>
        </is>
      </c>
      <c r="H1249" t="inlineStr">
        <is>
          <t>Existing</t>
        </is>
      </c>
      <c r="I1249" t="inlineStr">
        <is>
          <t>N</t>
        </is>
      </c>
    </row>
    <row r="1250">
      <c r="A1250" t="inlineStr">
        <is>
          <t>LFC9013</t>
        </is>
      </c>
      <c r="B1250" t="inlineStr">
        <is>
          <t>LFC9013</t>
        </is>
      </c>
      <c r="C1250" t="inlineStr">
        <is>
          <t>SATELLITE TOWN</t>
        </is>
      </c>
      <c r="D1250" t="inlineStr">
        <is>
          <t>Y</t>
        </is>
      </c>
      <c r="E1250" t="inlineStr">
        <is>
          <t>Y</t>
        </is>
      </c>
      <c r="F1250" t="inlineStr">
        <is>
          <t>11</t>
        </is>
      </c>
      <c r="G1250" t="inlineStr">
        <is>
          <t>BRAZILIAN QUARTERS</t>
        </is>
      </c>
      <c r="H1250" t="inlineStr">
        <is>
          <t>Existing</t>
        </is>
      </c>
      <c r="I1250" t="inlineStr">
        <is>
          <t>N</t>
        </is>
      </c>
    </row>
    <row r="1251">
      <c r="A1251" t="inlineStr">
        <is>
          <t>LFC9014</t>
        </is>
      </c>
      <c r="B1251" t="inlineStr">
        <is>
          <t>LFC9014</t>
        </is>
      </c>
      <c r="C1251" t="inlineStr">
        <is>
          <t>SATELLITE TOWN</t>
        </is>
      </c>
      <c r="D1251" t="inlineStr">
        <is>
          <t>Y</t>
        </is>
      </c>
      <c r="E1251" t="inlineStr">
        <is>
          <t>Y</t>
        </is>
      </c>
      <c r="F1251" t="inlineStr">
        <is>
          <t>12</t>
        </is>
      </c>
      <c r="G1251" t="inlineStr">
        <is>
          <t>TOWN PLANING/LAWANSON</t>
        </is>
      </c>
      <c r="H1251" t="inlineStr">
        <is>
          <t>Existing</t>
        </is>
      </c>
      <c r="I1251" t="inlineStr">
        <is>
          <t>N</t>
        </is>
      </c>
    </row>
    <row r="1252">
      <c r="A1252" t="inlineStr">
        <is>
          <t>LFC9016</t>
        </is>
      </c>
      <c r="B1252" t="inlineStr">
        <is>
          <t>LFC9016</t>
        </is>
      </c>
      <c r="C1252" t="inlineStr">
        <is>
          <t>SATELLITE TOWN</t>
        </is>
      </c>
      <c r="D1252" t="inlineStr">
        <is>
          <t>Y</t>
        </is>
      </c>
      <c r="E1252" t="inlineStr">
        <is>
          <t>Y</t>
        </is>
      </c>
      <c r="F1252" t="inlineStr">
        <is>
          <t>13</t>
        </is>
      </c>
      <c r="G1252" t="inlineStr">
        <is>
          <t>14, DAVID WEST IJEGUN IMORE NEW SITE</t>
        </is>
      </c>
      <c r="H1252" t="inlineStr">
        <is>
          <t>Existing</t>
        </is>
      </c>
      <c r="I1252" t="inlineStr">
        <is>
          <t>N</t>
        </is>
      </c>
    </row>
    <row r="1253">
      <c r="A1253" t="inlineStr">
        <is>
          <t>LFC9017</t>
        </is>
      </c>
      <c r="B1253" t="inlineStr">
        <is>
          <t>LFC9017</t>
        </is>
      </c>
      <c r="C1253" t="inlineStr">
        <is>
          <t>SATELLITE TOWN</t>
        </is>
      </c>
      <c r="D1253" t="inlineStr">
        <is>
          <t>Y</t>
        </is>
      </c>
      <c r="E1253" t="inlineStr">
        <is>
          <t>Y</t>
        </is>
      </c>
      <c r="F1253" t="inlineStr">
        <is>
          <t>14</t>
        </is>
      </c>
      <c r="G1253" t="inlineStr">
        <is>
          <t>BANK ROAD, LAWANSON</t>
        </is>
      </c>
      <c r="H1253" t="inlineStr">
        <is>
          <t>Existing</t>
        </is>
      </c>
      <c r="I1253" t="inlineStr">
        <is>
          <t>N</t>
        </is>
      </c>
    </row>
    <row r="1254">
      <c r="A1254" t="inlineStr">
        <is>
          <t>LFC9018</t>
        </is>
      </c>
      <c r="B1254" t="inlineStr">
        <is>
          <t>LFC9018</t>
        </is>
      </c>
      <c r="C1254" t="inlineStr">
        <is>
          <t>SATELLITE TOWN</t>
        </is>
      </c>
      <c r="D1254" t="inlineStr">
        <is>
          <t>N</t>
        </is>
      </c>
      <c r="E1254" t="inlineStr">
        <is>
          <t>Y</t>
        </is>
      </c>
      <c r="F1254" t="inlineStr">
        <is>
          <t>15</t>
        </is>
      </c>
      <c r="G1254" t="inlineStr">
        <is>
          <t>6 IJEGUN ROAD, SATELLITE TOWN</t>
        </is>
      </c>
      <c r="H1254" t="inlineStr">
        <is>
          <t>Existing</t>
        </is>
      </c>
      <c r="I1254" t="inlineStr">
        <is>
          <t>N</t>
        </is>
      </c>
    </row>
    <row r="1255">
      <c r="A1255" t="inlineStr">
        <is>
          <t>LFC9019</t>
        </is>
      </c>
      <c r="B1255" t="inlineStr">
        <is>
          <t>LFC9019</t>
        </is>
      </c>
      <c r="C1255" t="inlineStr">
        <is>
          <t>SATELLITE TOWN</t>
        </is>
      </c>
      <c r="D1255" t="inlineStr">
        <is>
          <t>N</t>
        </is>
      </c>
      <c r="E1255" t="inlineStr">
        <is>
          <t>Y</t>
        </is>
      </c>
      <c r="F1255" t="inlineStr">
        <is>
          <t>16</t>
        </is>
      </c>
      <c r="G1255" t="inlineStr">
        <is>
          <t>3, UMUKOROSHI CLOSE, SHELL ESTATE, SATELLITE TOWN</t>
        </is>
      </c>
      <c r="H1255" t="inlineStr">
        <is>
          <t>Existing</t>
        </is>
      </c>
      <c r="I1255" t="inlineStr">
        <is>
          <t>N</t>
        </is>
      </c>
    </row>
    <row r="1256">
      <c r="A1256" t="inlineStr">
        <is>
          <t>LFC9020</t>
        </is>
      </c>
      <c r="B1256" t="inlineStr">
        <is>
          <t>LFC9020</t>
        </is>
      </c>
      <c r="C1256" t="inlineStr">
        <is>
          <t>SATELLITE TOWN</t>
        </is>
      </c>
      <c r="D1256" t="inlineStr">
        <is>
          <t>N</t>
        </is>
      </c>
      <c r="E1256" t="inlineStr">
        <is>
          <t>Y</t>
        </is>
      </c>
      <c r="F1256" t="inlineStr">
        <is>
          <t>17</t>
        </is>
      </c>
      <c r="G1256" t="inlineStr">
        <is>
          <t>SSS QUATERS VOLKS, BARRACKS</t>
        </is>
      </c>
      <c r="H1256" t="inlineStr">
        <is>
          <t>Existing</t>
        </is>
      </c>
      <c r="I1256" t="inlineStr">
        <is>
          <t>N</t>
        </is>
      </c>
    </row>
    <row r="1257">
      <c r="A1257" t="inlineStr">
        <is>
          <t>LFC9021</t>
        </is>
      </c>
      <c r="B1257" t="inlineStr">
        <is>
          <t>LFC9021</t>
        </is>
      </c>
      <c r="C1257" t="inlineStr">
        <is>
          <t>SATELLITE TOWN</t>
        </is>
      </c>
      <c r="D1257" t="inlineStr">
        <is>
          <t>N</t>
        </is>
      </c>
      <c r="E1257" t="inlineStr">
        <is>
          <t>Y</t>
        </is>
      </c>
      <c r="F1257" t="inlineStr">
        <is>
          <t>18</t>
        </is>
      </c>
      <c r="G1257" t="inlineStr">
        <is>
          <t>IMORE NEW SITE WATER SIDE IJEGUN</t>
        </is>
      </c>
      <c r="H1257" t="inlineStr">
        <is>
          <t>Existing</t>
        </is>
      </c>
      <c r="I1257" t="inlineStr">
        <is>
          <t>N</t>
        </is>
      </c>
    </row>
    <row r="1258">
      <c r="A1258" t="inlineStr">
        <is>
          <t>LFC9022</t>
        </is>
      </c>
      <c r="B1258" t="inlineStr">
        <is>
          <t>LFC9022</t>
        </is>
      </c>
      <c r="C1258" t="inlineStr">
        <is>
          <t>SATELLITE TOWN</t>
        </is>
      </c>
      <c r="D1258" t="inlineStr">
        <is>
          <t>N</t>
        </is>
      </c>
      <c r="E1258" t="inlineStr">
        <is>
          <t>Y</t>
        </is>
      </c>
      <c r="F1258" t="inlineStr">
        <is>
          <t>19</t>
        </is>
      </c>
      <c r="G1258" t="inlineStr">
        <is>
          <t>ASHOGUN HOUSE, OPOOSITE ARTICLE MARKET, ABULE OSUN</t>
        </is>
      </c>
      <c r="H1258" t="inlineStr">
        <is>
          <t>Existing</t>
        </is>
      </c>
      <c r="I1258" t="inlineStr">
        <is>
          <t>N</t>
        </is>
      </c>
    </row>
    <row r="1259">
      <c r="A1259" t="inlineStr">
        <is>
          <t>LFC9101</t>
        </is>
      </c>
      <c r="B1259" t="inlineStr">
        <is>
          <t>LFC9101</t>
        </is>
      </c>
      <c r="C1259" t="inlineStr">
        <is>
          <t>IKOYI</t>
        </is>
      </c>
      <c r="D1259" t="inlineStr">
        <is>
          <t>N</t>
        </is>
      </c>
      <c r="E1259" t="inlineStr">
        <is>
          <t>Y</t>
        </is>
      </c>
      <c r="F1259" t="inlineStr">
        <is>
          <t>1</t>
        </is>
      </c>
      <c r="G1259" t="inlineStr">
        <is>
          <t>29 TURNBULL ROAD</t>
        </is>
      </c>
      <c r="H1259" t="inlineStr">
        <is>
          <t>Existing</t>
        </is>
      </c>
      <c r="I1259" t="inlineStr">
        <is>
          <t>N</t>
        </is>
      </c>
    </row>
    <row r="1260">
      <c r="A1260" t="inlineStr">
        <is>
          <t>LFC9102</t>
        </is>
      </c>
      <c r="B1260" t="inlineStr">
        <is>
          <t>LFC9102</t>
        </is>
      </c>
      <c r="C1260" t="inlineStr">
        <is>
          <t>IKOYI</t>
        </is>
      </c>
      <c r="D1260" t="inlineStr">
        <is>
          <t>Y</t>
        </is>
      </c>
      <c r="E1260" t="inlineStr">
        <is>
          <t>Y</t>
        </is>
      </c>
      <c r="F1260" t="inlineStr">
        <is>
          <t>2</t>
        </is>
      </c>
      <c r="G1260" t="inlineStr">
        <is>
          <t>DOLPHIN ZONE</t>
        </is>
      </c>
      <c r="H1260" t="inlineStr">
        <is>
          <t>Existing</t>
        </is>
      </c>
      <c r="I1260" t="inlineStr">
        <is>
          <t>N</t>
        </is>
      </c>
    </row>
    <row r="1261">
      <c r="A1261" t="inlineStr">
        <is>
          <t>LFC9103</t>
        </is>
      </c>
      <c r="B1261" t="inlineStr">
        <is>
          <t>LFC9103</t>
        </is>
      </c>
      <c r="C1261" t="inlineStr">
        <is>
          <t>IKOYI</t>
        </is>
      </c>
      <c r="D1261" t="inlineStr">
        <is>
          <t>N</t>
        </is>
      </c>
      <c r="E1261" t="inlineStr">
        <is>
          <t>Y</t>
        </is>
      </c>
      <c r="F1261" t="inlineStr">
        <is>
          <t>3</t>
        </is>
      </c>
      <c r="G1261" t="inlineStr">
        <is>
          <t>BROAD STR ZONE</t>
        </is>
      </c>
      <c r="H1261" t="inlineStr">
        <is>
          <t>Existing</t>
        </is>
      </c>
      <c r="I1261" t="inlineStr">
        <is>
          <t>N</t>
        </is>
      </c>
    </row>
    <row r="1262">
      <c r="A1262" t="inlineStr">
        <is>
          <t>LFC9104</t>
        </is>
      </c>
      <c r="B1262" t="inlineStr">
        <is>
          <t>LFC9104</t>
        </is>
      </c>
      <c r="C1262" t="inlineStr">
        <is>
          <t>IKOYI</t>
        </is>
      </c>
      <c r="D1262" t="inlineStr">
        <is>
          <t>N</t>
        </is>
      </c>
      <c r="E1262" t="inlineStr">
        <is>
          <t>Y</t>
        </is>
      </c>
      <c r="F1262" t="inlineStr">
        <is>
          <t>4</t>
        </is>
      </c>
      <c r="G1262" t="inlineStr">
        <is>
          <t>IDOLOWU ADENIYI STREET, LAGOS</t>
        </is>
      </c>
      <c r="H1262" t="inlineStr">
        <is>
          <t>Existing</t>
        </is>
      </c>
      <c r="I1262" t="inlineStr">
        <is>
          <t>N</t>
        </is>
      </c>
    </row>
    <row r="1263">
      <c r="A1263" t="inlineStr">
        <is>
          <t>LFC9105</t>
        </is>
      </c>
      <c r="B1263" t="inlineStr">
        <is>
          <t>LFC9105</t>
        </is>
      </c>
      <c r="C1263" t="inlineStr">
        <is>
          <t>IKOYI</t>
        </is>
      </c>
      <c r="D1263" t="inlineStr">
        <is>
          <t>Y</t>
        </is>
      </c>
      <c r="E1263" t="inlineStr">
        <is>
          <t>Y</t>
        </is>
      </c>
      <c r="F1263" t="inlineStr">
        <is>
          <t>5</t>
        </is>
      </c>
      <c r="G1263" t="inlineStr">
        <is>
          <t>58, SUYA JUNCTION OBALENDE 1, DODAN BARRACKS</t>
        </is>
      </c>
      <c r="H1263" t="inlineStr">
        <is>
          <t>Existing</t>
        </is>
      </c>
      <c r="I1263" t="inlineStr">
        <is>
          <t>N</t>
        </is>
      </c>
    </row>
    <row r="1264">
      <c r="A1264" t="inlineStr">
        <is>
          <t>LFC9106</t>
        </is>
      </c>
      <c r="B1264" t="inlineStr">
        <is>
          <t>LFC9106</t>
        </is>
      </c>
      <c r="C1264" t="inlineStr">
        <is>
          <t>IKOYI</t>
        </is>
      </c>
      <c r="D1264" t="inlineStr">
        <is>
          <t>N</t>
        </is>
      </c>
      <c r="E1264" t="inlineStr">
        <is>
          <t>Y</t>
        </is>
      </c>
      <c r="F1264" t="inlineStr">
        <is>
          <t>6</t>
        </is>
      </c>
      <c r="G1264" t="inlineStr">
        <is>
          <t>BLOCK 36 POLICE BARRACKS, OBALENDE 2</t>
        </is>
      </c>
      <c r="H1264" t="inlineStr">
        <is>
          <t>Existing</t>
        </is>
      </c>
      <c r="I1264" t="inlineStr">
        <is>
          <t>N</t>
        </is>
      </c>
    </row>
    <row r="1265">
      <c r="A1265" t="inlineStr">
        <is>
          <t>LFC9107</t>
        </is>
      </c>
      <c r="B1265" t="inlineStr">
        <is>
          <t>LFC9107</t>
        </is>
      </c>
      <c r="C1265" t="inlineStr">
        <is>
          <t>IKOYI</t>
        </is>
      </c>
      <c r="D1265" t="inlineStr">
        <is>
          <t>N</t>
        </is>
      </c>
      <c r="E1265" t="inlineStr">
        <is>
          <t>Y</t>
        </is>
      </c>
      <c r="F1265" t="inlineStr">
        <is>
          <t>7</t>
        </is>
      </c>
      <c r="G1265" t="inlineStr">
        <is>
          <t>36 IGBOSERE ZONE</t>
        </is>
      </c>
      <c r="H1265" t="inlineStr">
        <is>
          <t>Existing</t>
        </is>
      </c>
      <c r="I1265" t="inlineStr">
        <is>
          <t>N</t>
        </is>
      </c>
    </row>
    <row r="1266">
      <c r="A1266" t="inlineStr">
        <is>
          <t>LFC9108</t>
        </is>
      </c>
      <c r="B1266" t="inlineStr">
        <is>
          <t>LFC9108</t>
        </is>
      </c>
      <c r="C1266" t="inlineStr">
        <is>
          <t>IKOYI</t>
        </is>
      </c>
      <c r="D1266" t="inlineStr">
        <is>
          <t>N</t>
        </is>
      </c>
      <c r="E1266" t="inlineStr">
        <is>
          <t>Y</t>
        </is>
      </c>
      <c r="F1266" t="inlineStr">
        <is>
          <t>8</t>
        </is>
      </c>
      <c r="G1266" t="inlineStr">
        <is>
          <t>ADENIJI POLICE STATION</t>
        </is>
      </c>
      <c r="H1266" t="inlineStr">
        <is>
          <t>Existing</t>
        </is>
      </c>
      <c r="I1266" t="inlineStr">
        <is>
          <t>N</t>
        </is>
      </c>
    </row>
    <row r="1267">
      <c r="A1267" t="inlineStr">
        <is>
          <t>LFC9109</t>
        </is>
      </c>
      <c r="B1267" t="inlineStr">
        <is>
          <t>LFC9109</t>
        </is>
      </c>
      <c r="C1267" t="inlineStr">
        <is>
          <t>IKOYI</t>
        </is>
      </c>
      <c r="D1267" t="inlineStr">
        <is>
          <t>N</t>
        </is>
      </c>
      <c r="E1267" t="inlineStr">
        <is>
          <t>Y</t>
        </is>
      </c>
      <c r="F1267" t="inlineStr">
        <is>
          <t>9</t>
        </is>
      </c>
      <c r="G1267" t="inlineStr">
        <is>
          <t>16 OMOSAGIE STREET OFF AWOLOWO ROAD IKOYI</t>
        </is>
      </c>
      <c r="H1267" t="inlineStr">
        <is>
          <t>Existing</t>
        </is>
      </c>
      <c r="I1267" t="inlineStr">
        <is>
          <t>N</t>
        </is>
      </c>
    </row>
    <row r="1268">
      <c r="A1268" t="inlineStr">
        <is>
          <t>LFC9110</t>
        </is>
      </c>
      <c r="B1268" t="inlineStr">
        <is>
          <t>LFC9110</t>
        </is>
      </c>
      <c r="C1268" t="inlineStr">
        <is>
          <t>IKOYI</t>
        </is>
      </c>
      <c r="D1268" t="inlineStr">
        <is>
          <t>N</t>
        </is>
      </c>
      <c r="E1268" t="inlineStr">
        <is>
          <t>Y</t>
        </is>
      </c>
      <c r="F1268" t="inlineStr">
        <is>
          <t>10</t>
        </is>
      </c>
      <c r="G1268" t="inlineStr">
        <is>
          <t>17A KING GEORGE STREET ONIKAN, LAGOS</t>
        </is>
      </c>
      <c r="H1268" t="inlineStr">
        <is>
          <t>Existing</t>
        </is>
      </c>
      <c r="I1268" t="inlineStr">
        <is>
          <t>N</t>
        </is>
      </c>
    </row>
    <row r="1269">
      <c r="A1269" t="inlineStr">
        <is>
          <t>LFC9111</t>
        </is>
      </c>
      <c r="B1269" t="inlineStr">
        <is>
          <t>LFC9111</t>
        </is>
      </c>
      <c r="C1269" t="inlineStr">
        <is>
          <t>IKOYI</t>
        </is>
      </c>
      <c r="D1269" t="inlineStr">
        <is>
          <t>N</t>
        </is>
      </c>
      <c r="E1269" t="inlineStr">
        <is>
          <t>Y</t>
        </is>
      </c>
      <c r="F1269" t="inlineStr">
        <is>
          <t>11</t>
        </is>
      </c>
      <c r="G1269" t="inlineStr">
        <is>
          <t>FEDERAL TRANING CENTRE ALAGBON</t>
        </is>
      </c>
      <c r="H1269" t="inlineStr">
        <is>
          <t>From reporting system</t>
        </is>
      </c>
      <c r="I1269" t="inlineStr">
        <is>
          <t>N</t>
        </is>
      </c>
    </row>
    <row r="1270">
      <c r="A1270" t="inlineStr">
        <is>
          <t>LFC9201</t>
        </is>
      </c>
      <c r="B1270" t="inlineStr">
        <is>
          <t>LFC9201</t>
        </is>
      </c>
      <c r="C1270" t="inlineStr">
        <is>
          <t>ETI-OSA</t>
        </is>
      </c>
      <c r="D1270" t="inlineStr">
        <is>
          <t>Y</t>
        </is>
      </c>
      <c r="E1270" t="inlineStr">
        <is>
          <t>Y</t>
        </is>
      </c>
      <c r="F1270" t="inlineStr">
        <is>
          <t>1</t>
        </is>
      </c>
      <c r="G1270" t="inlineStr">
        <is>
          <t>24, OLOKONLA ROAD, OPP REAL JOY SCHOOL, LEKKI EPE EXPRESS WAY, AJAH</t>
        </is>
      </c>
      <c r="H1270" t="inlineStr">
        <is>
          <t>Existing</t>
        </is>
      </c>
      <c r="I1270" t="inlineStr">
        <is>
          <t>N</t>
        </is>
      </c>
    </row>
    <row r="1271">
      <c r="A1271" t="inlineStr">
        <is>
          <t>LFC9202</t>
        </is>
      </c>
      <c r="B1271" t="inlineStr">
        <is>
          <t>LFC9202</t>
        </is>
      </c>
      <c r="C1271" t="inlineStr">
        <is>
          <t>ETI-OSA</t>
        </is>
      </c>
      <c r="D1271" t="inlineStr">
        <is>
          <t>Y</t>
        </is>
      </c>
      <c r="E1271" t="inlineStr">
        <is>
          <t>Y</t>
        </is>
      </c>
      <c r="F1271" t="inlineStr">
        <is>
          <t>2</t>
        </is>
      </c>
      <c r="G1271" t="inlineStr">
        <is>
          <t>7, OGBENI STREET, TERA ANNEX ESTATE, OGIDAN SANGOTEDO</t>
        </is>
      </c>
      <c r="H1271" t="inlineStr">
        <is>
          <t>Existing</t>
        </is>
      </c>
      <c r="I1271" t="inlineStr">
        <is>
          <t>N</t>
        </is>
      </c>
    </row>
    <row r="1272">
      <c r="A1272" t="inlineStr">
        <is>
          <t>LFC9203</t>
        </is>
      </c>
      <c r="B1272" t="inlineStr">
        <is>
          <t>LFC9203</t>
        </is>
      </c>
      <c r="C1272" t="inlineStr">
        <is>
          <t>ETI-OSA</t>
        </is>
      </c>
      <c r="D1272" t="inlineStr">
        <is>
          <t>N</t>
        </is>
      </c>
      <c r="E1272" t="inlineStr">
        <is>
          <t>Y</t>
        </is>
      </c>
      <c r="F1272" t="inlineStr">
        <is>
          <t>3</t>
        </is>
      </c>
      <c r="G1272" t="inlineStr">
        <is>
          <t>7, OLD OGOMBO ROAD, SANGOTEDO</t>
        </is>
      </c>
      <c r="H1272" t="inlineStr">
        <is>
          <t>Existing</t>
        </is>
      </c>
      <c r="I1272" t="inlineStr">
        <is>
          <t>N</t>
        </is>
      </c>
    </row>
    <row r="1273">
      <c r="A1273" t="inlineStr">
        <is>
          <t>LFC9204</t>
        </is>
      </c>
      <c r="B1273" t="inlineStr">
        <is>
          <t>LFC9204</t>
        </is>
      </c>
      <c r="C1273" t="inlineStr">
        <is>
          <t>ETI-OSA</t>
        </is>
      </c>
      <c r="D1273" t="inlineStr">
        <is>
          <t>Y</t>
        </is>
      </c>
      <c r="E1273" t="inlineStr">
        <is>
          <t>Y</t>
        </is>
      </c>
      <c r="F1273" t="inlineStr">
        <is>
          <t>4</t>
        </is>
      </c>
      <c r="G1273" t="inlineStr">
        <is>
          <t>15, DANIEL OLUWOLE STREET, HIGHER GROUD ESTATE, SANGOTEDO</t>
        </is>
      </c>
      <c r="H1273" t="inlineStr">
        <is>
          <t>Existing</t>
        </is>
      </c>
      <c r="I1273" t="inlineStr">
        <is>
          <t>N</t>
        </is>
      </c>
    </row>
    <row r="1274">
      <c r="A1274" t="inlineStr">
        <is>
          <t>LFC9205</t>
        </is>
      </c>
      <c r="B1274" t="inlineStr">
        <is>
          <t>LFC9205</t>
        </is>
      </c>
      <c r="C1274" t="inlineStr">
        <is>
          <t>ETI-OSA</t>
        </is>
      </c>
      <c r="D1274" t="inlineStr">
        <is>
          <t>N</t>
        </is>
      </c>
      <c r="E1274" t="inlineStr">
        <is>
          <t>Y</t>
        </is>
      </c>
      <c r="F1274" t="inlineStr">
        <is>
          <t>5</t>
        </is>
      </c>
      <c r="G1274" t="inlineStr">
        <is>
          <t>16 AYINKE PLAZA MOPOL ROAD, UNITED ESTATE SANGOTEDO</t>
        </is>
      </c>
      <c r="H1274" t="inlineStr">
        <is>
          <t>Existing</t>
        </is>
      </c>
      <c r="I1274" t="inlineStr">
        <is>
          <t>N</t>
        </is>
      </c>
    </row>
    <row r="1275">
      <c r="A1275" t="inlineStr">
        <is>
          <t>LFC9206</t>
        </is>
      </c>
      <c r="B1275" t="inlineStr">
        <is>
          <t>LFC9206</t>
        </is>
      </c>
      <c r="C1275" t="inlineStr">
        <is>
          <t>ETI-OSA</t>
        </is>
      </c>
      <c r="D1275" t="inlineStr">
        <is>
          <t>Y</t>
        </is>
      </c>
      <c r="E1275" t="inlineStr">
        <is>
          <t>Y</t>
        </is>
      </c>
      <c r="F1275" t="inlineStr">
        <is>
          <t>6</t>
        </is>
      </c>
      <c r="G1275" t="inlineStr">
        <is>
          <t>TOP NOTCH, BUILDING ABRAHAM ADESONYA</t>
        </is>
      </c>
      <c r="H1275" t="inlineStr">
        <is>
          <t>Existing</t>
        </is>
      </c>
      <c r="I1275" t="inlineStr">
        <is>
          <t>N</t>
        </is>
      </c>
    </row>
    <row r="1276">
      <c r="A1276" t="inlineStr">
        <is>
          <t>LFC9207</t>
        </is>
      </c>
      <c r="B1276" t="inlineStr">
        <is>
          <t>LFC9207</t>
        </is>
      </c>
      <c r="C1276" t="inlineStr">
        <is>
          <t>ETI-OSA</t>
        </is>
      </c>
      <c r="D1276" t="inlineStr">
        <is>
          <t>Y</t>
        </is>
      </c>
      <c r="E1276" t="inlineStr">
        <is>
          <t>Y</t>
        </is>
      </c>
      <c r="F1276" t="inlineStr">
        <is>
          <t>7</t>
        </is>
      </c>
      <c r="G1276" t="inlineStr">
        <is>
          <t>MICHEAL AND SOLOMON BUILDING AJIWE AJAH</t>
        </is>
      </c>
      <c r="H1276" t="inlineStr">
        <is>
          <t>Existing</t>
        </is>
      </c>
      <c r="I1276" t="inlineStr">
        <is>
          <t>N</t>
        </is>
      </c>
    </row>
    <row r="1277">
      <c r="A1277" t="inlineStr">
        <is>
          <t>LFC9208</t>
        </is>
      </c>
      <c r="B1277" t="inlineStr">
        <is>
          <t>LFC9208</t>
        </is>
      </c>
      <c r="C1277" t="inlineStr">
        <is>
          <t>ETI-OSA</t>
        </is>
      </c>
      <c r="D1277" t="inlineStr">
        <is>
          <t>Y</t>
        </is>
      </c>
      <c r="E1277" t="inlineStr">
        <is>
          <t>Y</t>
        </is>
      </c>
      <c r="F1277" t="inlineStr">
        <is>
          <t>8</t>
        </is>
      </c>
      <c r="G1277" t="inlineStr">
        <is>
          <t>HILLARY STREET OKUN AJAH</t>
        </is>
      </c>
      <c r="H1277" t="inlineStr">
        <is>
          <t>Existing</t>
        </is>
      </c>
      <c r="I1277" t="inlineStr">
        <is>
          <t>N</t>
        </is>
      </c>
    </row>
    <row r="1278">
      <c r="A1278" t="inlineStr">
        <is>
          <t>LFC9209</t>
        </is>
      </c>
      <c r="B1278" t="inlineStr">
        <is>
          <t>LFC9209</t>
        </is>
      </c>
      <c r="C1278" t="inlineStr">
        <is>
          <t>ETI-OSA</t>
        </is>
      </c>
      <c r="D1278" t="inlineStr">
        <is>
          <t>N</t>
        </is>
      </c>
      <c r="E1278" t="inlineStr">
        <is>
          <t>Y</t>
        </is>
      </c>
      <c r="F1278" t="inlineStr">
        <is>
          <t>9</t>
        </is>
      </c>
      <c r="G1278" t="inlineStr">
        <is>
          <t>PEACELAND ESTATE, OGMBO</t>
        </is>
      </c>
      <c r="H1278" t="inlineStr">
        <is>
          <t>Existing</t>
        </is>
      </c>
      <c r="I1278" t="inlineStr">
        <is>
          <t>N</t>
        </is>
      </c>
    </row>
    <row r="1279">
      <c r="A1279" t="inlineStr">
        <is>
          <t>LFC9210</t>
        </is>
      </c>
      <c r="B1279" t="inlineStr">
        <is>
          <t>LFC9210</t>
        </is>
      </c>
      <c r="C1279" t="inlineStr">
        <is>
          <t>ETI-OSA</t>
        </is>
      </c>
      <c r="D1279" t="inlineStr">
        <is>
          <t>Y</t>
        </is>
      </c>
      <c r="E1279" t="inlineStr">
        <is>
          <t>Y</t>
        </is>
      </c>
      <c r="F1279" t="inlineStr">
        <is>
          <t>10</t>
        </is>
      </c>
      <c r="G1279" t="inlineStr">
        <is>
          <t>7 NDAKOLO, ALAGUTAN, AJAH</t>
        </is>
      </c>
      <c r="H1279" t="inlineStr">
        <is>
          <t>Existing</t>
        </is>
      </c>
      <c r="I1279" t="inlineStr">
        <is>
          <t>N</t>
        </is>
      </c>
    </row>
    <row r="1280">
      <c r="A1280" t="inlineStr">
        <is>
          <t>LFC9211</t>
        </is>
      </c>
      <c r="B1280" t="inlineStr">
        <is>
          <t>LFC9211</t>
        </is>
      </c>
      <c r="C1280" t="inlineStr">
        <is>
          <t>ETI-OSA</t>
        </is>
      </c>
      <c r="D1280" t="inlineStr">
        <is>
          <t>N</t>
        </is>
      </c>
      <c r="E1280" t="inlineStr">
        <is>
          <t>Y</t>
        </is>
      </c>
      <c r="F1280" t="inlineStr">
        <is>
          <t>11</t>
        </is>
      </c>
      <c r="G1280" t="inlineStr">
        <is>
          <t>GARBA MOHAMMED LAWAL AVENUE (ROAD 14 ) LEKKI SCHEME 2</t>
        </is>
      </c>
      <c r="H1280" t="inlineStr">
        <is>
          <t>Existing</t>
        </is>
      </c>
      <c r="I1280" t="inlineStr">
        <is>
          <t>N</t>
        </is>
      </c>
    </row>
    <row r="1281">
      <c r="A1281" t="inlineStr">
        <is>
          <t>LFC9212</t>
        </is>
      </c>
      <c r="B1281" t="inlineStr">
        <is>
          <t>LFC9212</t>
        </is>
      </c>
      <c r="C1281" t="inlineStr">
        <is>
          <t>ETI-OSA</t>
        </is>
      </c>
      <c r="D1281" t="inlineStr">
        <is>
          <t>N</t>
        </is>
      </c>
      <c r="E1281" t="inlineStr">
        <is>
          <t>Y</t>
        </is>
      </c>
      <c r="F1281" t="inlineStr">
        <is>
          <t>12</t>
        </is>
      </c>
      <c r="G1281" t="inlineStr">
        <is>
          <t>2, PALACE WAY, BASHORUN</t>
        </is>
      </c>
      <c r="H1281" t="inlineStr">
        <is>
          <t>Existing</t>
        </is>
      </c>
      <c r="I1281" t="inlineStr">
        <is>
          <t>N</t>
        </is>
      </c>
    </row>
    <row r="1282">
      <c r="A1282" t="inlineStr">
        <is>
          <t>LFC9213</t>
        </is>
      </c>
      <c r="B1282" t="inlineStr">
        <is>
          <t>LFC9213</t>
        </is>
      </c>
      <c r="C1282" t="inlineStr">
        <is>
          <t>ETI-OSA</t>
        </is>
      </c>
      <c r="D1282" t="inlineStr">
        <is>
          <t>N</t>
        </is>
      </c>
      <c r="E1282" t="inlineStr">
        <is>
          <t>Y</t>
        </is>
      </c>
      <c r="F1282" t="inlineStr">
        <is>
          <t>13</t>
        </is>
      </c>
      <c r="G1282" t="inlineStr">
        <is>
          <t>10, COMMISSIONER OF POLICE CLOSE, BALOGUN, AJAH</t>
        </is>
      </c>
      <c r="H1282" t="inlineStr">
        <is>
          <t>Existing</t>
        </is>
      </c>
      <c r="I1282" t="inlineStr">
        <is>
          <t>N</t>
        </is>
      </c>
    </row>
    <row r="1283">
      <c r="A1283" t="inlineStr">
        <is>
          <t>LFC9214</t>
        </is>
      </c>
      <c r="B1283" t="inlineStr">
        <is>
          <t>LFC9214</t>
        </is>
      </c>
      <c r="C1283" t="inlineStr">
        <is>
          <t>ETI-OSA</t>
        </is>
      </c>
      <c r="D1283" t="inlineStr">
        <is>
          <t>N</t>
        </is>
      </c>
      <c r="E1283" t="inlineStr">
        <is>
          <t>Y</t>
        </is>
      </c>
      <c r="F1283" t="inlineStr">
        <is>
          <t>14</t>
        </is>
      </c>
      <c r="G1283" t="inlineStr">
        <is>
          <t>33, BOLA MATANMI STREET MAROKO, AJAH</t>
        </is>
      </c>
      <c r="H1283" t="inlineStr">
        <is>
          <t>Existing</t>
        </is>
      </c>
      <c r="I1283" t="inlineStr">
        <is>
          <t>N</t>
        </is>
      </c>
    </row>
    <row r="1284">
      <c r="A1284" t="inlineStr">
        <is>
          <t>LFC9215</t>
        </is>
      </c>
      <c r="B1284" t="inlineStr">
        <is>
          <t>LFC9215</t>
        </is>
      </c>
      <c r="C1284" t="inlineStr">
        <is>
          <t>ETI-OSA</t>
        </is>
      </c>
      <c r="D1284" t="inlineStr">
        <is>
          <t>N</t>
        </is>
      </c>
      <c r="E1284" t="inlineStr">
        <is>
          <t>Y</t>
        </is>
      </c>
      <c r="F1284" t="inlineStr">
        <is>
          <t>15</t>
        </is>
      </c>
      <c r="G1284" t="inlineStr">
        <is>
          <t>FUN FLOURISH CHILDREN SCHOOL, OKE IMOLE STREET OFF MTN MAST SANGOTEDO</t>
        </is>
      </c>
      <c r="H1284" t="inlineStr">
        <is>
          <t>Existing</t>
        </is>
      </c>
      <c r="I1284" t="inlineStr">
        <is>
          <t>N</t>
        </is>
      </c>
    </row>
    <row r="1285">
      <c r="A1285" t="inlineStr">
        <is>
          <t>LFC9216</t>
        </is>
      </c>
      <c r="B1285" t="inlineStr">
        <is>
          <t>LFC9216</t>
        </is>
      </c>
      <c r="C1285" t="inlineStr">
        <is>
          <t>ETI-OSA</t>
        </is>
      </c>
      <c r="D1285" t="inlineStr">
        <is>
          <t>N</t>
        </is>
      </c>
      <c r="E1285" t="inlineStr">
        <is>
          <t>Y</t>
        </is>
      </c>
      <c r="F1285" t="inlineStr">
        <is>
          <t>16</t>
        </is>
      </c>
      <c r="G1285" t="inlineStr">
        <is>
          <t>21 OKOADO ROAD AJAH LAGOS</t>
        </is>
      </c>
      <c r="H1285" t="inlineStr">
        <is>
          <t>New (proposed)</t>
        </is>
      </c>
      <c r="I1285" t="inlineStr">
        <is>
          <t>N</t>
        </is>
      </c>
    </row>
    <row r="1286">
      <c r="A1286" t="inlineStr">
        <is>
          <t>LFC9217</t>
        </is>
      </c>
      <c r="B1286" t="inlineStr">
        <is>
          <t>LFC9217</t>
        </is>
      </c>
      <c r="C1286" t="inlineStr">
        <is>
          <t>ETI-OSA</t>
        </is>
      </c>
      <c r="D1286" t="inlineStr">
        <is>
          <t>N</t>
        </is>
      </c>
      <c r="E1286" t="inlineStr">
        <is>
          <t>Y</t>
        </is>
      </c>
      <c r="F1286" t="inlineStr">
        <is>
          <t>17</t>
        </is>
      </c>
      <c r="G1286" t="inlineStr">
        <is>
          <t>GEDEGEDE ,STREET AJAH LAGOS</t>
        </is>
      </c>
      <c r="H1286" t="inlineStr">
        <is>
          <t>New (proposed)</t>
        </is>
      </c>
      <c r="I1286" t="inlineStr">
        <is>
          <t>N</t>
        </is>
      </c>
    </row>
    <row r="1287">
      <c r="A1287" t="inlineStr">
        <is>
          <t>LFC9218</t>
        </is>
      </c>
      <c r="B1287" t="inlineStr">
        <is>
          <t>LFC9218</t>
        </is>
      </c>
      <c r="C1287" t="inlineStr">
        <is>
          <t>ETI-OSA</t>
        </is>
      </c>
      <c r="D1287" t="inlineStr"/>
      <c r="E1287" t="inlineStr">
        <is>
          <t>Y</t>
        </is>
      </c>
      <c r="F1287" t="inlineStr">
        <is>
          <t>18</t>
        </is>
      </c>
      <c r="G1287" t="inlineStr">
        <is>
          <t>OKUN MOPO ZONE OKUN AJAH LAGOS</t>
        </is>
      </c>
      <c r="H1287" t="inlineStr">
        <is>
          <t>New (proposed)</t>
        </is>
      </c>
      <c r="I128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292" t="inlineStr">
        <is>
          <t>Cell</t>
        </is>
      </c>
      <c r="B1" s="292" t="inlineStr">
        <is>
          <t>Zone_Name</t>
        </is>
      </c>
      <c r="C1" s="292" t="inlineStr">
        <is>
          <t>Area_Name</t>
        </is>
      </c>
      <c r="D1" s="292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DB3B7"/>
    <outlinePr summaryBelow="1" summaryRight="1"/>
    <pageSetUpPr/>
  </sheetPr>
  <dimension ref="A1:D3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292" t="inlineStr">
        <is>
          <t>Church_ID</t>
        </is>
      </c>
      <c r="B1" s="292" t="inlineStr">
        <is>
          <t>Church_Name</t>
        </is>
      </c>
      <c r="C1" s="292" t="inlineStr">
        <is>
          <t>Location</t>
        </is>
      </c>
      <c r="D1" s="292" t="inlineStr">
        <is>
          <t>Active</t>
        </is>
      </c>
    </row>
    <row r="2">
      <c r="A2" t="inlineStr">
        <is>
          <t>LFC0412</t>
        </is>
      </c>
      <c r="B2" t="inlineStr">
        <is>
          <t>Ilogbo Palace</t>
        </is>
      </c>
      <c r="C2" t="inlineStr">
        <is>
          <t>OJU ORE</t>
        </is>
      </c>
      <c r="D2" t="inlineStr">
        <is>
          <t>Y</t>
        </is>
      </c>
    </row>
    <row r="3">
      <c r="A3" t="inlineStr">
        <is>
          <t>LFC1806</t>
        </is>
      </c>
      <c r="B3" t="inlineStr">
        <is>
          <t>1,Okunfolami Street,Oshin Ishefun</t>
        </is>
      </c>
      <c r="C3" t="inlineStr">
        <is>
          <t>AYOBO</t>
        </is>
      </c>
      <c r="D3" t="inlineStr">
        <is>
          <t>Y</t>
        </is>
      </c>
    </row>
    <row r="4">
      <c r="A4" t="inlineStr">
        <is>
          <t>LFC2202</t>
        </is>
      </c>
      <c r="B4" t="inlineStr">
        <is>
          <t>21, Oremeji St. Off Lafenwa/Itele Rd, Aiyetoro</t>
        </is>
      </c>
      <c r="C4" t="inlineStr">
        <is>
          <t>LAFENWA</t>
        </is>
      </c>
      <c r="D4" t="inlineStr">
        <is>
          <t>Y</t>
        </is>
      </c>
    </row>
    <row r="5">
      <c r="A5" t="inlineStr">
        <is>
          <t>LFC2509</t>
        </is>
      </c>
      <c r="B5" t="inlineStr">
        <is>
          <t>19/21 Sodipe Koye, Akute</t>
        </is>
      </c>
      <c r="C5" t="inlineStr">
        <is>
          <t>AKUTE</t>
        </is>
      </c>
      <c r="D5" t="inlineStr">
        <is>
          <t>Y</t>
        </is>
      </c>
    </row>
    <row r="6">
      <c r="A6" t="inlineStr">
        <is>
          <t>LFC2805</t>
        </is>
      </c>
      <c r="B6" t="inlineStr">
        <is>
          <t>Jesus Island</t>
        </is>
      </c>
      <c r="C6" t="inlineStr">
        <is>
          <t>PARKLANE APAPA</t>
        </is>
      </c>
      <c r="D6" t="inlineStr">
        <is>
          <t>Y</t>
        </is>
      </c>
    </row>
    <row r="7">
      <c r="A7" t="inlineStr">
        <is>
          <t>LFC3003</t>
        </is>
      </c>
      <c r="B7" t="inlineStr">
        <is>
          <t>44, Makinde Ilapo Village</t>
        </is>
      </c>
      <c r="C7" t="inlineStr">
        <is>
          <t>AIT</t>
        </is>
      </c>
      <c r="D7" t="inlineStr">
        <is>
          <t>Y</t>
        </is>
      </c>
    </row>
    <row r="8">
      <c r="A8" t="inlineStr">
        <is>
          <t>LFC3005</t>
        </is>
      </c>
      <c r="B8" t="inlineStr">
        <is>
          <t>4 Isiba Street Meiran</t>
        </is>
      </c>
      <c r="C8" t="inlineStr">
        <is>
          <t>AIT</t>
        </is>
      </c>
      <c r="D8" t="inlineStr">
        <is>
          <t>Y</t>
        </is>
      </c>
    </row>
    <row r="9">
      <c r="A9" t="inlineStr">
        <is>
          <t>LFC3309</t>
        </is>
      </c>
      <c r="B9" t="inlineStr">
        <is>
          <t>Igbele Ajana</t>
        </is>
      </c>
      <c r="C9" t="inlineStr">
        <is>
          <t>ATAN 1</t>
        </is>
      </c>
      <c r="D9" t="inlineStr">
        <is>
          <t>Y</t>
        </is>
      </c>
    </row>
    <row r="10">
      <c r="A10" t="inlineStr">
        <is>
          <t>LFC3310</t>
        </is>
      </c>
      <c r="B10" t="inlineStr">
        <is>
          <t>Abule Tisa</t>
        </is>
      </c>
      <c r="C10" t="inlineStr">
        <is>
          <t>ATAN 1</t>
        </is>
      </c>
      <c r="D10" t="inlineStr">
        <is>
          <t>Y</t>
        </is>
      </c>
    </row>
    <row r="11">
      <c r="A11" t="inlineStr">
        <is>
          <t>LFC3311</t>
        </is>
      </c>
      <c r="B11" t="inlineStr">
        <is>
          <t>Lemomu Village, Kajola</t>
        </is>
      </c>
      <c r="C11" t="inlineStr">
        <is>
          <t>ATAN 1</t>
        </is>
      </c>
      <c r="D11" t="inlineStr">
        <is>
          <t>Y</t>
        </is>
      </c>
    </row>
    <row r="12">
      <c r="A12" t="inlineStr">
        <is>
          <t>LFC3405</t>
        </is>
      </c>
      <c r="B12" t="inlineStr">
        <is>
          <t>Oko Omi Village</t>
        </is>
      </c>
      <c r="C12" t="inlineStr">
        <is>
          <t>ADELANS 1</t>
        </is>
      </c>
      <c r="D12" t="inlineStr">
        <is>
          <t>Y</t>
        </is>
      </c>
    </row>
    <row r="13">
      <c r="A13" t="inlineStr">
        <is>
          <t>LFC3505</t>
        </is>
      </c>
      <c r="B13" t="inlineStr">
        <is>
          <t>Imoshe Village</t>
        </is>
      </c>
      <c r="C13" t="inlineStr">
        <is>
          <t>LUSADA</t>
        </is>
      </c>
      <c r="D13" t="inlineStr">
        <is>
          <t>Y</t>
        </is>
      </c>
    </row>
    <row r="14">
      <c r="A14" t="inlineStr">
        <is>
          <t>LFC3517</t>
        </is>
      </c>
      <c r="B14" t="inlineStr">
        <is>
          <t>Silbet Filling Station Beside Deeper Life Church Lusada</t>
        </is>
      </c>
      <c r="C14" t="inlineStr">
        <is>
          <t>LUSADA</t>
        </is>
      </c>
      <c r="D14" t="inlineStr">
        <is>
          <t>Y</t>
        </is>
      </c>
    </row>
    <row r="15">
      <c r="A15" t="inlineStr">
        <is>
          <t>LFC3519</t>
        </is>
      </c>
      <c r="B15" t="inlineStr">
        <is>
          <t>Bj Walex, Lusada</t>
        </is>
      </c>
      <c r="C15" t="inlineStr">
        <is>
          <t>LUSADA</t>
        </is>
      </c>
      <c r="D15" t="inlineStr">
        <is>
          <t>Y</t>
        </is>
      </c>
    </row>
    <row r="16">
      <c r="A16" t="inlineStr">
        <is>
          <t>LFC3520</t>
        </is>
      </c>
      <c r="B16" t="inlineStr">
        <is>
          <t>Alaagba Village Alapoti Lusada</t>
        </is>
      </c>
      <c r="C16" t="inlineStr">
        <is>
          <t>LUSADA</t>
        </is>
      </c>
      <c r="D16" t="inlineStr">
        <is>
          <t>Y</t>
        </is>
      </c>
    </row>
    <row r="17">
      <c r="A17" t="inlineStr">
        <is>
          <t>LFC4402</t>
        </is>
      </c>
      <c r="B17" t="inlineStr">
        <is>
          <t>1 George Street Olowora</t>
        </is>
      </c>
      <c r="C17" t="inlineStr">
        <is>
          <t>OJODU BERGER 1</t>
        </is>
      </c>
      <c r="D17" t="inlineStr">
        <is>
          <t>Y</t>
        </is>
      </c>
    </row>
    <row r="18">
      <c r="A18" t="inlineStr">
        <is>
          <t>LFC5113</t>
        </is>
      </c>
      <c r="B18" t="inlineStr">
        <is>
          <t>Idanyin Community</t>
        </is>
      </c>
      <c r="C18" t="inlineStr">
        <is>
          <t>AGBARA</t>
        </is>
      </c>
      <c r="D18" t="inlineStr">
        <is>
          <t>Y</t>
        </is>
      </c>
    </row>
    <row r="19">
      <c r="A19" t="inlineStr">
        <is>
          <t>LFC6109</t>
        </is>
      </c>
      <c r="B19" t="inlineStr">
        <is>
          <t>50, Olaogun Road Idi-Orogbo Adiyan</t>
        </is>
      </c>
      <c r="C19" t="inlineStr">
        <is>
          <t>AGBADO</t>
        </is>
      </c>
      <c r="D19" t="inlineStr">
        <is>
          <t>Y</t>
        </is>
      </c>
    </row>
    <row r="20">
      <c r="A20" t="inlineStr">
        <is>
          <t>LFC6618</t>
        </is>
      </c>
      <c r="B20" t="inlineStr">
        <is>
          <t>Fisherman Village</t>
        </is>
      </c>
      <c r="C20" t="inlineStr">
        <is>
          <t>BADORE</t>
        </is>
      </c>
      <c r="D20" t="inlineStr">
        <is>
          <t>Y</t>
        </is>
      </c>
    </row>
    <row r="21">
      <c r="A21" t="inlineStr">
        <is>
          <t>LFC7108</t>
        </is>
      </c>
      <c r="B21" t="inlineStr">
        <is>
          <t>Onse Village Orose, Onse</t>
        </is>
      </c>
      <c r="C21" t="inlineStr">
        <is>
          <t>OWODE</t>
        </is>
      </c>
      <c r="D21" t="inlineStr">
        <is>
          <t>Y</t>
        </is>
      </c>
    </row>
    <row r="22">
      <c r="A22" t="inlineStr">
        <is>
          <t>LFC7119</t>
        </is>
      </c>
      <c r="B22" t="inlineStr">
        <is>
          <t>Petesi Meji Bus/Stop Ajilete</t>
        </is>
      </c>
      <c r="C22" t="inlineStr">
        <is>
          <t>OWODE</t>
        </is>
      </c>
      <c r="D22" t="inlineStr">
        <is>
          <t>Y</t>
        </is>
      </c>
    </row>
    <row r="23">
      <c r="A23" t="inlineStr">
        <is>
          <t>LFC7123</t>
        </is>
      </c>
      <c r="B23" t="inlineStr">
        <is>
          <t>Isalu Village</t>
        </is>
      </c>
      <c r="C23" t="inlineStr">
        <is>
          <t>OWODE</t>
        </is>
      </c>
      <c r="D23" t="inlineStr">
        <is>
          <t>Y</t>
        </is>
      </c>
    </row>
    <row r="24">
      <c r="A24" t="inlineStr">
        <is>
          <t>LFC7127</t>
        </is>
      </c>
      <c r="B24" t="inlineStr">
        <is>
          <t>Kajola</t>
        </is>
      </c>
      <c r="C24" t="inlineStr">
        <is>
          <t>OWODE</t>
        </is>
      </c>
      <c r="D24" t="inlineStr">
        <is>
          <t>Y</t>
        </is>
      </c>
    </row>
    <row r="25">
      <c r="A25" t="inlineStr">
        <is>
          <t>LFC7606</t>
        </is>
      </c>
      <c r="B25" t="inlineStr">
        <is>
          <t>10, Bashiru Atanda Street Esuyago, Iloye</t>
        </is>
      </c>
      <c r="C25" t="inlineStr">
        <is>
          <t>IJOKO</t>
        </is>
      </c>
      <c r="D25" t="inlineStr">
        <is>
          <t>Y</t>
        </is>
      </c>
    </row>
    <row r="26">
      <c r="A26" t="inlineStr">
        <is>
          <t>LFC7702</t>
        </is>
      </c>
      <c r="B26" t="inlineStr">
        <is>
          <t>132, Ntabo Road, Eruobodo, Ijoko</t>
        </is>
      </c>
      <c r="C26" t="inlineStr">
        <is>
          <t>WHITEHOUSE</t>
        </is>
      </c>
      <c r="D26" t="inlineStr">
        <is>
          <t>Y</t>
        </is>
      </c>
    </row>
    <row r="27">
      <c r="A27" t="inlineStr">
        <is>
          <t>LFC7703</t>
        </is>
      </c>
      <c r="B27" t="inlineStr">
        <is>
          <t>3, Plenty Street, Farm Area, Gboriduro, Ijoko</t>
        </is>
      </c>
      <c r="C27" t="inlineStr">
        <is>
          <t>WHITEHOUSE</t>
        </is>
      </c>
      <c r="D27" t="inlineStr">
        <is>
          <t>Y</t>
        </is>
      </c>
    </row>
    <row r="28">
      <c r="A28" t="inlineStr">
        <is>
          <t>LFC7708</t>
        </is>
      </c>
      <c r="B28" t="inlineStr">
        <is>
          <t>46, Aare Road Abule Ijoko</t>
        </is>
      </c>
      <c r="C28" t="inlineStr">
        <is>
          <t>WHITEHOUSE</t>
        </is>
      </c>
      <c r="D28" t="inlineStr">
        <is>
          <t>Y</t>
        </is>
      </c>
    </row>
    <row r="29">
      <c r="A29" t="inlineStr">
        <is>
          <t>LFC7710</t>
        </is>
      </c>
      <c r="B29" t="inlineStr">
        <is>
          <t>Odunlagun Ntabo Village</t>
        </is>
      </c>
      <c r="C29" t="inlineStr">
        <is>
          <t>WHITEHOUSE</t>
        </is>
      </c>
      <c r="D29" t="inlineStr">
        <is>
          <t>Y</t>
        </is>
      </c>
    </row>
    <row r="30">
      <c r="A30" t="inlineStr">
        <is>
          <t>LFC7711</t>
        </is>
      </c>
      <c r="B30" t="inlineStr">
        <is>
          <t>1, Obanijesu Avenue, Off Robinyan Rd.</t>
        </is>
      </c>
      <c r="C30" t="inlineStr">
        <is>
          <t>WHITEHOUSE</t>
        </is>
      </c>
      <c r="D30" t="inlineStr">
        <is>
          <t>Y</t>
        </is>
      </c>
    </row>
    <row r="31">
      <c r="A31" t="inlineStr">
        <is>
          <t>LFC7713</t>
        </is>
      </c>
      <c r="B31" t="inlineStr">
        <is>
          <t>Ewemoje Ekerin</t>
        </is>
      </c>
      <c r="C31" t="inlineStr">
        <is>
          <t>WHITEHOUSE</t>
        </is>
      </c>
      <c r="D31" t="inlineStr">
        <is>
          <t>Y</t>
        </is>
      </c>
    </row>
    <row r="32">
      <c r="A32" t="inlineStr">
        <is>
          <t>LFC7719</t>
        </is>
      </c>
      <c r="B32" t="inlineStr">
        <is>
          <t>17 Iginla Street, Gasline Ijoko</t>
        </is>
      </c>
      <c r="C32" t="inlineStr">
        <is>
          <t>WHITEHOUSE</t>
        </is>
      </c>
      <c r="D32" t="inlineStr">
        <is>
          <t>Y</t>
        </is>
      </c>
    </row>
    <row r="33">
      <c r="A33" t="inlineStr">
        <is>
          <t>LFC7916</t>
        </is>
      </c>
      <c r="B33" t="inlineStr">
        <is>
          <t>Plot 234, Aromokola Avenue, (Oko Baale Ota)</t>
        </is>
      </c>
      <c r="C33" t="inlineStr">
        <is>
          <t>HIGH COURT</t>
        </is>
      </c>
      <c r="D33" t="inlineStr">
        <is>
          <t>Y</t>
        </is>
      </c>
    </row>
    <row r="34">
      <c r="A34" t="inlineStr">
        <is>
          <t>LFC8102</t>
        </is>
      </c>
      <c r="B34" t="inlineStr">
        <is>
          <t>Idiagbon, Off Ilogbo Road, (French)</t>
        </is>
      </c>
      <c r="C34" t="inlineStr">
        <is>
          <t>ADELANS 2</t>
        </is>
      </c>
      <c r="D34" t="inlineStr">
        <is>
          <t>Y</t>
        </is>
      </c>
    </row>
    <row r="35">
      <c r="A35" t="inlineStr">
        <is>
          <t>LFC8304</t>
        </is>
      </c>
      <c r="B35" t="inlineStr">
        <is>
          <t>No 2 Ige Road, Agbenaje Village</t>
        </is>
      </c>
      <c r="C35" t="inlineStr">
        <is>
          <t>IKOLA COMMAND</t>
        </is>
      </c>
      <c r="D35" t="inlineStr">
        <is>
          <t>Y</t>
        </is>
      </c>
    </row>
    <row r="36">
      <c r="A36" t="inlineStr">
        <is>
          <t>LFC9009</t>
        </is>
      </c>
      <c r="B36" t="inlineStr">
        <is>
          <t>68, Agbojojoye Way Oko-Egun, Ibasa Island</t>
        </is>
      </c>
      <c r="C36" t="inlineStr">
        <is>
          <t>SATELLITE TOWN</t>
        </is>
      </c>
      <c r="D36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292" t="inlineStr">
        <is>
          <t>Vehicle_ID</t>
        </is>
      </c>
      <c r="B1" s="292" t="inlineStr">
        <is>
          <t>Category</t>
        </is>
      </c>
      <c r="C1" s="292" t="inlineStr">
        <is>
          <t>Capacity</t>
        </is>
      </c>
      <c r="D1" s="292" t="inlineStr">
        <is>
          <t>Owner</t>
        </is>
      </c>
      <c r="E1" s="292" t="inlineStr">
        <is>
          <t>Status</t>
        </is>
      </c>
      <c r="F1" s="292" t="inlineStr">
        <is>
          <t>Area_Name</t>
        </is>
      </c>
      <c r="G1" s="292" t="inlineStr">
        <is>
          <t>Zone_Name</t>
        </is>
      </c>
      <c r="H1" s="292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284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284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284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284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284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284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284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284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284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284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284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284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284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284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284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284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284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284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284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284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284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284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284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284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284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284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284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284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284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284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284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284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284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284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284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284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284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284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284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284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284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284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284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284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284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284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284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284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284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284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284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284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284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284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284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284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284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284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284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284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284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284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284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284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284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284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284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284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284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284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284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284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284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284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284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284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284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284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284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284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284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284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284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284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284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284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284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284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284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284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284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284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284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284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284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284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284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284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284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284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284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284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284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284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284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284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284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284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284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284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284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284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284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284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284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284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284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284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284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284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284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284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284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284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284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284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284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284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284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284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284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284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284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284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284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284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284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284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284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284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284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284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284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284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284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284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284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284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284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284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284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284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284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284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284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284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284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284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284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284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284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284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284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284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284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284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284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284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284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284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284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284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284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284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284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284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284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284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284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284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284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284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284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284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284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284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284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284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284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284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284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284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284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284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284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284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284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284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284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284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284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284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284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284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284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284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284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284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284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284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284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284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284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284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284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284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284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284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284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284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284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284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284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284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284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284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284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284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284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284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284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284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284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284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284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284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284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284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284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284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284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284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284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284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284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284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284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284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284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284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284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284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284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284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284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284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284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284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284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284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284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284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284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284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284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284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284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284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284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284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284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284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284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284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284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284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284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284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284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284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284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284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284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284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284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284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284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284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284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284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284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284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284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284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284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284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284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284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284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284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284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284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284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284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284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284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284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284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284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284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284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284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284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284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284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284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284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284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284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284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284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284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284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284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284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284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284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284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284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284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284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284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284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284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284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284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284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284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284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284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284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284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284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284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284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284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284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284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284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284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284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284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284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284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284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284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284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284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284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284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284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284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284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284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284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284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284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284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284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284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284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293" t="inlineStr">
        <is>
          <t>SETTINGS</t>
        </is>
      </c>
    </row>
    <row r="2">
      <c r="A2" s="282" t="inlineStr">
        <is>
          <t>Edit the blue values. They are kept when ingest.py rebuilds the workbook.</t>
        </is>
      </c>
    </row>
    <row r="3">
      <c r="A3" s="294" t="inlineStr">
        <is>
          <t>Setting</t>
        </is>
      </c>
      <c r="B3" s="294" t="inlineStr">
        <is>
          <t>Value</t>
        </is>
      </c>
      <c r="C3" s="294" t="inlineStr">
        <is>
          <t>What it does</t>
        </is>
      </c>
    </row>
    <row r="4">
      <c r="A4" s="27" t="inlineStr">
        <is>
          <t>WeekEndDay</t>
        </is>
      </c>
      <c r="B4" s="295" t="n">
        <v>7</v>
      </c>
      <c r="C4" s="296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297" t="n">
        <v>4</v>
      </c>
      <c r="C5" s="296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298" t="n">
        <v>0.9</v>
      </c>
      <c r="C6" s="296" t="inlineStr">
        <is>
          <t>Reporting / utilisation at or above this is green.</t>
        </is>
      </c>
    </row>
    <row r="7">
      <c r="A7" s="27" t="inlineStr">
        <is>
          <t>RAG_Amber</t>
        </is>
      </c>
      <c r="B7" s="298" t="n">
        <v>0.75</v>
      </c>
      <c r="C7" s="296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298" t="n">
        <v>0.5</v>
      </c>
      <c r="C8" s="296" t="inlineStr">
        <is>
          <t>Transport: buses/routes under this utilisation are flagged (X in the spec).</t>
        </is>
      </c>
    </row>
    <row r="9">
      <c r="A9" s="27" t="inlineStr">
        <is>
          <t>ExcessShare</t>
        </is>
      </c>
      <c r="B9" s="298" t="n">
        <v>0.1</v>
      </c>
      <c r="C9" s="296" t="inlineStr">
        <is>
          <t>Transport: flag an Area when riders beyond the seats reach this share of its seats (a full bus counts as 100%; the extra riders show unmet demand).</t>
        </is>
      </c>
    </row>
    <row r="10">
      <c r="A10" s="27" t="inlineStr">
        <is>
          <t>UtilLowWeeks</t>
        </is>
      </c>
      <c r="B10" s="297" t="n">
        <v>4</v>
      </c>
      <c r="C10" s="296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297" t="n">
        <v>22</v>
      </c>
      <c r="C11" s="296" t="inlineStr">
        <is>
          <t>Seats per trip, FT Procured (LT) buses.</t>
        </is>
      </c>
    </row>
    <row r="12">
      <c r="A12" s="27" t="inlineStr">
        <is>
          <t>Cap_Coaster</t>
        </is>
      </c>
      <c r="B12" s="297" t="n">
        <v>30</v>
      </c>
      <c r="C12" s="296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297" t="n">
        <v>70</v>
      </c>
      <c r="C13" s="296" t="inlineStr">
        <is>
          <t>Riders per trip, electric buses.</t>
        </is>
      </c>
    </row>
    <row r="14">
      <c r="A14" s="27" t="inlineStr">
        <is>
          <t>Cap_Big</t>
        </is>
      </c>
      <c r="B14" s="297" t="n">
        <v>70</v>
      </c>
      <c r="C14" s="296" t="inlineStr">
        <is>
          <t>Riders per trip, big buses.</t>
        </is>
      </c>
    </row>
    <row r="15">
      <c r="A15" s="27" t="inlineStr">
        <is>
          <t>CurrencySymbol</t>
        </is>
      </c>
      <c r="B15" s="299" t="inlineStr">
        <is>
          <t>₦</t>
        </is>
      </c>
      <c r="C15" s="296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294" t="inlineStr">
        <is>
          <t>#1B2A41</t>
        </is>
      </c>
    </row>
    <row r="20">
      <c r="A20" s="31" t="inlineStr">
        <is>
          <t>WSF</t>
        </is>
      </c>
      <c r="B20" s="283" t="inlineStr">
        <is>
          <t>#1F5FA8</t>
        </is>
      </c>
    </row>
    <row r="21">
      <c r="A21" s="31" t="inlineStr">
        <is>
          <t>MIDWEEK</t>
        </is>
      </c>
      <c r="B21" s="287" t="inlineStr">
        <is>
          <t>#0F7C74</t>
        </is>
      </c>
    </row>
    <row r="22">
      <c r="A22" s="31" t="inlineStr">
        <is>
          <t>CHOP</t>
        </is>
      </c>
      <c r="B22" s="288" t="inlineStr">
        <is>
          <t>#6A3FA0</t>
        </is>
      </c>
    </row>
    <row r="23">
      <c r="A23" s="31" t="inlineStr">
        <is>
          <t>COMMUNITY</t>
        </is>
      </c>
      <c r="B23" s="289" t="inlineStr">
        <is>
          <t>#B5446E</t>
        </is>
      </c>
    </row>
    <row r="24">
      <c r="A24" s="31" t="inlineStr">
        <is>
          <t>TRANSPORT</t>
        </is>
      </c>
      <c r="B24" s="290" t="inlineStr">
        <is>
          <t>#D9731A</t>
        </is>
      </c>
    </row>
    <row r="25">
      <c r="A25" s="31" t="inlineStr">
        <is>
          <t>QUALITY</t>
        </is>
      </c>
      <c r="B25" s="292" t="inlineStr">
        <is>
          <t>#5B6770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0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3" max="3"/>
    <col width="13" customWidth="1" min="5" max="5"/>
    <col width="13" customWidth="1" min="7" max="7"/>
    <col width="13" customWidth="1" min="9" max="9"/>
  </cols>
  <sheetData>
    <row r="1">
      <c r="A1" t="inlineStr">
        <is>
          <t>Latest</t>
        </is>
      </c>
      <c r="B1" t="inlineStr">
        <is>
          <t>WSF latest</t>
        </is>
      </c>
      <c r="C1" t="inlineStr">
        <is>
          <t>Latest</t>
        </is>
      </c>
      <c r="D1" t="inlineStr">
        <is>
          <t>TRANSPORT latest</t>
        </is>
      </c>
      <c r="E1" t="inlineStr">
        <is>
          <t>Latest</t>
        </is>
      </c>
      <c r="F1" t="inlineStr">
        <is>
          <t>MIDWEEK latest</t>
        </is>
      </c>
      <c r="G1" t="inlineStr">
        <is>
          <t>Latest</t>
        </is>
      </c>
      <c r="H1" t="inlineStr">
        <is>
          <t>CHOP latest</t>
        </is>
      </c>
      <c r="I1" t="inlineStr">
        <is>
          <t>Latest</t>
        </is>
      </c>
      <c r="J1" t="inlineStr">
        <is>
          <t>COMMUNITY latest</t>
        </is>
      </c>
    </row>
    <row r="2">
      <c r="A2" s="284">
        <f>IF($B$2=0,"",IF($B$2-0&gt;=$B$4,$B$2-0,""))</f>
        <v/>
      </c>
      <c r="B2">
        <f>MAX(DATA_WSF!$A:$A)</f>
        <v/>
      </c>
      <c r="C2" s="284">
        <f>IF($D$2=0,"",IF($D$2-0&gt;=$D$4,$D$2-0,""))</f>
        <v/>
      </c>
      <c r="D2">
        <f>MAX(DATA_TRANSPORT!$A:$A)</f>
        <v/>
      </c>
      <c r="E2" s="284">
        <f>IF($F$2=0,"",IF($F$2-0&gt;=$F$4,$F$2-0,""))</f>
        <v/>
      </c>
      <c r="F2">
        <f>MAX(DATA_MIDWEEK!$A:$A)</f>
        <v/>
      </c>
      <c r="G2" s="284">
        <f>IF($H$2=0,"",IF($H$2-0&gt;=$H$4,$H$2-0,""))</f>
        <v/>
      </c>
      <c r="H2">
        <f>MAX(DATA_CHOP!$A:$A)</f>
        <v/>
      </c>
      <c r="I2" s="284">
        <f>IF($J$2=0,"",IF($J$2-0&gt;=$J$4,$J$2-0,""))</f>
        <v/>
      </c>
      <c r="J2">
        <f>MAX(DATA_COMMUNITY!$A:$A)</f>
        <v/>
      </c>
    </row>
    <row r="3">
      <c r="A3" s="284">
        <f>IF($B$2=0,"",IF($B$2-7&gt;=$B$4,$B$2-7,""))</f>
        <v/>
      </c>
      <c r="B3" t="inlineStr">
        <is>
          <t>WSF earliest</t>
        </is>
      </c>
      <c r="C3" s="284">
        <f>IF($D$2=0,"",IF($D$2-7&gt;=$D$4,$D$2-7,""))</f>
        <v/>
      </c>
      <c r="D3" t="inlineStr">
        <is>
          <t>TRANSPORT earliest</t>
        </is>
      </c>
      <c r="E3" s="284">
        <f>IF($F$2=0,"",IF($F$2-7&gt;=$F$4,$F$2-7,""))</f>
        <v/>
      </c>
      <c r="F3" t="inlineStr">
        <is>
          <t>MIDWEEK earliest</t>
        </is>
      </c>
      <c r="G3" s="284">
        <f>IF($H$2=0,"",IF($H$2-7&gt;=$H$4,$H$2-7,""))</f>
        <v/>
      </c>
      <c r="H3" t="inlineStr">
        <is>
          <t>CHOP earliest</t>
        </is>
      </c>
      <c r="I3" s="284">
        <f>IF($J$2=0,"",IF($J$2-7&gt;=$J$4,$J$2-7,""))</f>
        <v/>
      </c>
      <c r="J3" t="inlineStr">
        <is>
          <t>COMMUNITY earliest</t>
        </is>
      </c>
    </row>
    <row r="4">
      <c r="A4" s="284">
        <f>IF($B$2=0,"",IF($B$2-14&gt;=$B$4,$B$2-14,""))</f>
        <v/>
      </c>
      <c r="B4">
        <f>MIN(DATA_WSF!$A:$A)</f>
        <v/>
      </c>
      <c r="C4" s="284">
        <f>IF($D$2=0,"",IF($D$2-14&gt;=$D$4,$D$2-14,""))</f>
        <v/>
      </c>
      <c r="D4">
        <f>MIN(DATA_TRANSPORT!$A:$A)</f>
        <v/>
      </c>
      <c r="E4" s="284">
        <f>IF($F$2=0,"",IF($F$2-14&gt;=$F$4,$F$2-14,""))</f>
        <v/>
      </c>
      <c r="F4">
        <f>MIN(DATA_MIDWEEK!$A:$A)</f>
        <v/>
      </c>
      <c r="G4" s="284">
        <f>IF($H$2=0,"",IF($H$2-14&gt;=$H$4,$H$2-14,""))</f>
        <v/>
      </c>
      <c r="H4">
        <f>MIN(DATA_CHOP!$A:$A)</f>
        <v/>
      </c>
      <c r="I4" s="284">
        <f>IF($J$2=0,"",IF($J$2-14&gt;=$J$4,$J$2-14,""))</f>
        <v/>
      </c>
      <c r="J4">
        <f>MIN(DATA_COMMUNITY!$A:$A)</f>
        <v/>
      </c>
    </row>
    <row r="5">
      <c r="A5" s="284">
        <f>IF($B$2=0,"",IF($B$2-21&gt;=$B$4,$B$2-21,""))</f>
        <v/>
      </c>
      <c r="B5" t="inlineStr">
        <is>
          <t>WSF weeks listed</t>
        </is>
      </c>
      <c r="C5" s="284">
        <f>IF($D$2=0,"",IF($D$2-21&gt;=$D$4,$D$2-21,""))</f>
        <v/>
      </c>
      <c r="D5" t="inlineStr">
        <is>
          <t>TRANSPORT weeks listed</t>
        </is>
      </c>
      <c r="E5" s="284">
        <f>IF($F$2=0,"",IF($F$2-21&gt;=$F$4,$F$2-21,""))</f>
        <v/>
      </c>
      <c r="F5" t="inlineStr">
        <is>
          <t>MIDWEEK weeks listed</t>
        </is>
      </c>
      <c r="G5" s="284">
        <f>IF($H$2=0,"",IF($H$2-21&gt;=$H$4,$H$2-21,""))</f>
        <v/>
      </c>
      <c r="H5" t="inlineStr">
        <is>
          <t>CHOP weeks listed</t>
        </is>
      </c>
      <c r="I5" s="284">
        <f>IF($J$2=0,"",IF($J$2-21&gt;=$J$4,$J$2-21,""))</f>
        <v/>
      </c>
      <c r="J5" t="inlineStr">
        <is>
          <t>COMMUNITY weeks listed</t>
        </is>
      </c>
    </row>
    <row r="6">
      <c r="A6" s="284">
        <f>IF($B$2=0,"",IF($B$2-28&gt;=$B$4,$B$2-28,""))</f>
        <v/>
      </c>
      <c r="B6">
        <f>COUNT(A2:A105)</f>
        <v/>
      </c>
      <c r="C6" s="284">
        <f>IF($D$2=0,"",IF($D$2-28&gt;=$D$4,$D$2-28,""))</f>
        <v/>
      </c>
      <c r="D6">
        <f>COUNT(C2:C105)</f>
        <v/>
      </c>
      <c r="E6" s="284">
        <f>IF($F$2=0,"",IF($F$2-28&gt;=$F$4,$F$2-28,""))</f>
        <v/>
      </c>
      <c r="F6">
        <f>COUNT(E2:E105)</f>
        <v/>
      </c>
      <c r="G6" s="284">
        <f>IF($H$2=0,"",IF($H$2-28&gt;=$H$4,$H$2-28,""))</f>
        <v/>
      </c>
      <c r="H6">
        <f>COUNT(G2:G105)</f>
        <v/>
      </c>
      <c r="I6" s="284">
        <f>IF($J$2=0,"",IF($J$2-28&gt;=$J$4,$J$2-28,""))</f>
        <v/>
      </c>
      <c r="J6">
        <f>COUNT(I2:I105)</f>
        <v/>
      </c>
    </row>
    <row r="7">
      <c r="A7" s="284">
        <f>IF($B$2=0,"",IF($B$2-35&gt;=$B$4,$B$2-35,""))</f>
        <v/>
      </c>
      <c r="C7" s="284">
        <f>IF($D$2=0,"",IF($D$2-35&gt;=$D$4,$D$2-35,""))</f>
        <v/>
      </c>
      <c r="E7" s="284">
        <f>IF($F$2=0,"",IF($F$2-35&gt;=$F$4,$F$2-35,""))</f>
        <v/>
      </c>
      <c r="G7" s="284">
        <f>IF($H$2=0,"",IF($H$2-35&gt;=$H$4,$H$2-35,""))</f>
        <v/>
      </c>
      <c r="I7" s="284">
        <f>IF($J$2=0,"",IF($J$2-35&gt;=$J$4,$J$2-35,""))</f>
        <v/>
      </c>
    </row>
    <row r="8">
      <c r="A8" s="284">
        <f>IF($B$2=0,"",IF($B$2-42&gt;=$B$4,$B$2-42,""))</f>
        <v/>
      </c>
      <c r="C8" s="284">
        <f>IF($D$2=0,"",IF($D$2-42&gt;=$D$4,$D$2-42,""))</f>
        <v/>
      </c>
      <c r="E8" s="284">
        <f>IF($F$2=0,"",IF($F$2-42&gt;=$F$4,$F$2-42,""))</f>
        <v/>
      </c>
      <c r="G8" s="284">
        <f>IF($H$2=0,"",IF($H$2-42&gt;=$H$4,$H$2-42,""))</f>
        <v/>
      </c>
      <c r="I8" s="284">
        <f>IF($J$2=0,"",IF($J$2-42&gt;=$J$4,$J$2-42,""))</f>
        <v/>
      </c>
    </row>
    <row r="9">
      <c r="A9" s="284">
        <f>IF($B$2=0,"",IF($B$2-49&gt;=$B$4,$B$2-49,""))</f>
        <v/>
      </c>
      <c r="C9" s="284">
        <f>IF($D$2=0,"",IF($D$2-49&gt;=$D$4,$D$2-49,""))</f>
        <v/>
      </c>
      <c r="E9" s="284">
        <f>IF($F$2=0,"",IF($F$2-49&gt;=$F$4,$F$2-49,""))</f>
        <v/>
      </c>
      <c r="G9" s="284">
        <f>IF($H$2=0,"",IF($H$2-49&gt;=$H$4,$H$2-49,""))</f>
        <v/>
      </c>
      <c r="I9" s="284">
        <f>IF($J$2=0,"",IF($J$2-49&gt;=$J$4,$J$2-49,""))</f>
        <v/>
      </c>
    </row>
    <row r="10">
      <c r="A10" s="284">
        <f>IF($B$2=0,"",IF($B$2-56&gt;=$B$4,$B$2-56,""))</f>
        <v/>
      </c>
      <c r="C10" s="284">
        <f>IF($D$2=0,"",IF($D$2-56&gt;=$D$4,$D$2-56,""))</f>
        <v/>
      </c>
      <c r="E10" s="284">
        <f>IF($F$2=0,"",IF($F$2-56&gt;=$F$4,$F$2-56,""))</f>
        <v/>
      </c>
      <c r="G10" s="284">
        <f>IF($H$2=0,"",IF($H$2-56&gt;=$H$4,$H$2-56,""))</f>
        <v/>
      </c>
      <c r="I10" s="284">
        <f>IF($J$2=0,"",IF($J$2-56&gt;=$J$4,$J$2-56,""))</f>
        <v/>
      </c>
    </row>
    <row r="11">
      <c r="A11" s="284">
        <f>IF($B$2=0,"",IF($B$2-63&gt;=$B$4,$B$2-63,""))</f>
        <v/>
      </c>
      <c r="C11" s="284">
        <f>IF($D$2=0,"",IF($D$2-63&gt;=$D$4,$D$2-63,""))</f>
        <v/>
      </c>
      <c r="E11" s="284">
        <f>IF($F$2=0,"",IF($F$2-63&gt;=$F$4,$F$2-63,""))</f>
        <v/>
      </c>
      <c r="G11" s="284">
        <f>IF($H$2=0,"",IF($H$2-63&gt;=$H$4,$H$2-63,""))</f>
        <v/>
      </c>
      <c r="I11" s="284">
        <f>IF($J$2=0,"",IF($J$2-63&gt;=$J$4,$J$2-63,""))</f>
        <v/>
      </c>
    </row>
    <row r="12">
      <c r="A12" s="284">
        <f>IF($B$2=0,"",IF($B$2-70&gt;=$B$4,$B$2-70,""))</f>
        <v/>
      </c>
      <c r="C12" s="284">
        <f>IF($D$2=0,"",IF($D$2-70&gt;=$D$4,$D$2-70,""))</f>
        <v/>
      </c>
      <c r="E12" s="284">
        <f>IF($F$2=0,"",IF($F$2-70&gt;=$F$4,$F$2-70,""))</f>
        <v/>
      </c>
      <c r="G12" s="284">
        <f>IF($H$2=0,"",IF($H$2-70&gt;=$H$4,$H$2-70,""))</f>
        <v/>
      </c>
      <c r="I12" s="284">
        <f>IF($J$2=0,"",IF($J$2-70&gt;=$J$4,$J$2-70,""))</f>
        <v/>
      </c>
    </row>
    <row r="13">
      <c r="A13" s="284">
        <f>IF($B$2=0,"",IF($B$2-77&gt;=$B$4,$B$2-77,""))</f>
        <v/>
      </c>
      <c r="C13" s="284">
        <f>IF($D$2=0,"",IF($D$2-77&gt;=$D$4,$D$2-77,""))</f>
        <v/>
      </c>
      <c r="E13" s="284">
        <f>IF($F$2=0,"",IF($F$2-77&gt;=$F$4,$F$2-77,""))</f>
        <v/>
      </c>
      <c r="G13" s="284">
        <f>IF($H$2=0,"",IF($H$2-77&gt;=$H$4,$H$2-77,""))</f>
        <v/>
      </c>
      <c r="I13" s="284">
        <f>IF($J$2=0,"",IF($J$2-77&gt;=$J$4,$J$2-77,""))</f>
        <v/>
      </c>
    </row>
    <row r="14">
      <c r="A14" s="284">
        <f>IF($B$2=0,"",IF($B$2-84&gt;=$B$4,$B$2-84,""))</f>
        <v/>
      </c>
      <c r="C14" s="284">
        <f>IF($D$2=0,"",IF($D$2-84&gt;=$D$4,$D$2-84,""))</f>
        <v/>
      </c>
      <c r="E14" s="284">
        <f>IF($F$2=0,"",IF($F$2-84&gt;=$F$4,$F$2-84,""))</f>
        <v/>
      </c>
      <c r="G14" s="284">
        <f>IF($H$2=0,"",IF($H$2-84&gt;=$H$4,$H$2-84,""))</f>
        <v/>
      </c>
      <c r="I14" s="284">
        <f>IF($J$2=0,"",IF($J$2-84&gt;=$J$4,$J$2-84,""))</f>
        <v/>
      </c>
    </row>
    <row r="15">
      <c r="A15" s="284">
        <f>IF($B$2=0,"",IF($B$2-91&gt;=$B$4,$B$2-91,""))</f>
        <v/>
      </c>
      <c r="C15" s="284">
        <f>IF($D$2=0,"",IF($D$2-91&gt;=$D$4,$D$2-91,""))</f>
        <v/>
      </c>
      <c r="E15" s="284">
        <f>IF($F$2=0,"",IF($F$2-91&gt;=$F$4,$F$2-91,""))</f>
        <v/>
      </c>
      <c r="G15" s="284">
        <f>IF($H$2=0,"",IF($H$2-91&gt;=$H$4,$H$2-91,""))</f>
        <v/>
      </c>
      <c r="I15" s="284">
        <f>IF($J$2=0,"",IF($J$2-91&gt;=$J$4,$J$2-91,""))</f>
        <v/>
      </c>
    </row>
    <row r="16">
      <c r="A16" s="284">
        <f>IF($B$2=0,"",IF($B$2-98&gt;=$B$4,$B$2-98,""))</f>
        <v/>
      </c>
      <c r="C16" s="284">
        <f>IF($D$2=0,"",IF($D$2-98&gt;=$D$4,$D$2-98,""))</f>
        <v/>
      </c>
      <c r="E16" s="284">
        <f>IF($F$2=0,"",IF($F$2-98&gt;=$F$4,$F$2-98,""))</f>
        <v/>
      </c>
      <c r="G16" s="284">
        <f>IF($H$2=0,"",IF($H$2-98&gt;=$H$4,$H$2-98,""))</f>
        <v/>
      </c>
      <c r="I16" s="284">
        <f>IF($J$2=0,"",IF($J$2-98&gt;=$J$4,$J$2-98,""))</f>
        <v/>
      </c>
    </row>
    <row r="17">
      <c r="A17" s="284">
        <f>IF($B$2=0,"",IF($B$2-105&gt;=$B$4,$B$2-105,""))</f>
        <v/>
      </c>
      <c r="C17" s="284">
        <f>IF($D$2=0,"",IF($D$2-105&gt;=$D$4,$D$2-105,""))</f>
        <v/>
      </c>
      <c r="E17" s="284">
        <f>IF($F$2=0,"",IF($F$2-105&gt;=$F$4,$F$2-105,""))</f>
        <v/>
      </c>
      <c r="G17" s="284">
        <f>IF($H$2=0,"",IF($H$2-105&gt;=$H$4,$H$2-105,""))</f>
        <v/>
      </c>
      <c r="I17" s="284">
        <f>IF($J$2=0,"",IF($J$2-105&gt;=$J$4,$J$2-105,""))</f>
        <v/>
      </c>
    </row>
    <row r="18">
      <c r="A18" s="284">
        <f>IF($B$2=0,"",IF($B$2-112&gt;=$B$4,$B$2-112,""))</f>
        <v/>
      </c>
      <c r="C18" s="284">
        <f>IF($D$2=0,"",IF($D$2-112&gt;=$D$4,$D$2-112,""))</f>
        <v/>
      </c>
      <c r="E18" s="284">
        <f>IF($F$2=0,"",IF($F$2-112&gt;=$F$4,$F$2-112,""))</f>
        <v/>
      </c>
      <c r="G18" s="284">
        <f>IF($H$2=0,"",IF($H$2-112&gt;=$H$4,$H$2-112,""))</f>
        <v/>
      </c>
      <c r="I18" s="284">
        <f>IF($J$2=0,"",IF($J$2-112&gt;=$J$4,$J$2-112,""))</f>
        <v/>
      </c>
    </row>
    <row r="19">
      <c r="A19" s="284">
        <f>IF($B$2=0,"",IF($B$2-119&gt;=$B$4,$B$2-119,""))</f>
        <v/>
      </c>
      <c r="C19" s="284">
        <f>IF($D$2=0,"",IF($D$2-119&gt;=$D$4,$D$2-119,""))</f>
        <v/>
      </c>
      <c r="E19" s="284">
        <f>IF($F$2=0,"",IF($F$2-119&gt;=$F$4,$F$2-119,""))</f>
        <v/>
      </c>
      <c r="G19" s="284">
        <f>IF($H$2=0,"",IF($H$2-119&gt;=$H$4,$H$2-119,""))</f>
        <v/>
      </c>
      <c r="I19" s="284">
        <f>IF($J$2=0,"",IF($J$2-119&gt;=$J$4,$J$2-119,""))</f>
        <v/>
      </c>
    </row>
    <row r="20">
      <c r="A20" s="284">
        <f>IF($B$2=0,"",IF($B$2-126&gt;=$B$4,$B$2-126,""))</f>
        <v/>
      </c>
      <c r="C20" s="284">
        <f>IF($D$2=0,"",IF($D$2-126&gt;=$D$4,$D$2-126,""))</f>
        <v/>
      </c>
      <c r="E20" s="284">
        <f>IF($F$2=0,"",IF($F$2-126&gt;=$F$4,$F$2-126,""))</f>
        <v/>
      </c>
      <c r="G20" s="284">
        <f>IF($H$2=0,"",IF($H$2-126&gt;=$H$4,$H$2-126,""))</f>
        <v/>
      </c>
      <c r="I20" s="284">
        <f>IF($J$2=0,"",IF($J$2-126&gt;=$J$4,$J$2-126,""))</f>
        <v/>
      </c>
    </row>
    <row r="21">
      <c r="A21" s="284">
        <f>IF($B$2=0,"",IF($B$2-133&gt;=$B$4,$B$2-133,""))</f>
        <v/>
      </c>
      <c r="C21" s="284">
        <f>IF($D$2=0,"",IF($D$2-133&gt;=$D$4,$D$2-133,""))</f>
        <v/>
      </c>
      <c r="E21" s="284">
        <f>IF($F$2=0,"",IF($F$2-133&gt;=$F$4,$F$2-133,""))</f>
        <v/>
      </c>
      <c r="G21" s="284">
        <f>IF($H$2=0,"",IF($H$2-133&gt;=$H$4,$H$2-133,""))</f>
        <v/>
      </c>
      <c r="I21" s="284">
        <f>IF($J$2=0,"",IF($J$2-133&gt;=$J$4,$J$2-133,""))</f>
        <v/>
      </c>
    </row>
    <row r="22">
      <c r="A22" s="284">
        <f>IF($B$2=0,"",IF($B$2-140&gt;=$B$4,$B$2-140,""))</f>
        <v/>
      </c>
      <c r="C22" s="284">
        <f>IF($D$2=0,"",IF($D$2-140&gt;=$D$4,$D$2-140,""))</f>
        <v/>
      </c>
      <c r="E22" s="284">
        <f>IF($F$2=0,"",IF($F$2-140&gt;=$F$4,$F$2-140,""))</f>
        <v/>
      </c>
      <c r="G22" s="284">
        <f>IF($H$2=0,"",IF($H$2-140&gt;=$H$4,$H$2-140,""))</f>
        <v/>
      </c>
      <c r="I22" s="284">
        <f>IF($J$2=0,"",IF($J$2-140&gt;=$J$4,$J$2-140,""))</f>
        <v/>
      </c>
    </row>
    <row r="23">
      <c r="A23" s="284">
        <f>IF($B$2=0,"",IF($B$2-147&gt;=$B$4,$B$2-147,""))</f>
        <v/>
      </c>
      <c r="C23" s="284">
        <f>IF($D$2=0,"",IF($D$2-147&gt;=$D$4,$D$2-147,""))</f>
        <v/>
      </c>
      <c r="E23" s="284">
        <f>IF($F$2=0,"",IF($F$2-147&gt;=$F$4,$F$2-147,""))</f>
        <v/>
      </c>
      <c r="G23" s="284">
        <f>IF($H$2=0,"",IF($H$2-147&gt;=$H$4,$H$2-147,""))</f>
        <v/>
      </c>
      <c r="I23" s="284">
        <f>IF($J$2=0,"",IF($J$2-147&gt;=$J$4,$J$2-147,""))</f>
        <v/>
      </c>
    </row>
    <row r="24">
      <c r="A24" s="284">
        <f>IF($B$2=0,"",IF($B$2-154&gt;=$B$4,$B$2-154,""))</f>
        <v/>
      </c>
      <c r="C24" s="284">
        <f>IF($D$2=0,"",IF($D$2-154&gt;=$D$4,$D$2-154,""))</f>
        <v/>
      </c>
      <c r="E24" s="284">
        <f>IF($F$2=0,"",IF($F$2-154&gt;=$F$4,$F$2-154,""))</f>
        <v/>
      </c>
      <c r="G24" s="284">
        <f>IF($H$2=0,"",IF($H$2-154&gt;=$H$4,$H$2-154,""))</f>
        <v/>
      </c>
      <c r="I24" s="284">
        <f>IF($J$2=0,"",IF($J$2-154&gt;=$J$4,$J$2-154,""))</f>
        <v/>
      </c>
    </row>
    <row r="25">
      <c r="A25" s="284">
        <f>IF($B$2=0,"",IF($B$2-161&gt;=$B$4,$B$2-161,""))</f>
        <v/>
      </c>
      <c r="C25" s="284">
        <f>IF($D$2=0,"",IF($D$2-161&gt;=$D$4,$D$2-161,""))</f>
        <v/>
      </c>
      <c r="E25" s="284">
        <f>IF($F$2=0,"",IF($F$2-161&gt;=$F$4,$F$2-161,""))</f>
        <v/>
      </c>
      <c r="G25" s="284">
        <f>IF($H$2=0,"",IF($H$2-161&gt;=$H$4,$H$2-161,""))</f>
        <v/>
      </c>
      <c r="I25" s="284">
        <f>IF($J$2=0,"",IF($J$2-161&gt;=$J$4,$J$2-161,""))</f>
        <v/>
      </c>
    </row>
    <row r="26">
      <c r="A26" s="284">
        <f>IF($B$2=0,"",IF($B$2-168&gt;=$B$4,$B$2-168,""))</f>
        <v/>
      </c>
      <c r="C26" s="284">
        <f>IF($D$2=0,"",IF($D$2-168&gt;=$D$4,$D$2-168,""))</f>
        <v/>
      </c>
      <c r="E26" s="284">
        <f>IF($F$2=0,"",IF($F$2-168&gt;=$F$4,$F$2-168,""))</f>
        <v/>
      </c>
      <c r="G26" s="284">
        <f>IF($H$2=0,"",IF($H$2-168&gt;=$H$4,$H$2-168,""))</f>
        <v/>
      </c>
      <c r="I26" s="284">
        <f>IF($J$2=0,"",IF($J$2-168&gt;=$J$4,$J$2-168,""))</f>
        <v/>
      </c>
    </row>
    <row r="27">
      <c r="A27" s="284">
        <f>IF($B$2=0,"",IF($B$2-175&gt;=$B$4,$B$2-175,""))</f>
        <v/>
      </c>
      <c r="C27" s="284">
        <f>IF($D$2=0,"",IF($D$2-175&gt;=$D$4,$D$2-175,""))</f>
        <v/>
      </c>
      <c r="E27" s="284">
        <f>IF($F$2=0,"",IF($F$2-175&gt;=$F$4,$F$2-175,""))</f>
        <v/>
      </c>
      <c r="G27" s="284">
        <f>IF($H$2=0,"",IF($H$2-175&gt;=$H$4,$H$2-175,""))</f>
        <v/>
      </c>
      <c r="I27" s="284">
        <f>IF($J$2=0,"",IF($J$2-175&gt;=$J$4,$J$2-175,""))</f>
        <v/>
      </c>
    </row>
    <row r="28">
      <c r="A28" s="284">
        <f>IF($B$2=0,"",IF($B$2-182&gt;=$B$4,$B$2-182,""))</f>
        <v/>
      </c>
      <c r="C28" s="284">
        <f>IF($D$2=0,"",IF($D$2-182&gt;=$D$4,$D$2-182,""))</f>
        <v/>
      </c>
      <c r="E28" s="284">
        <f>IF($F$2=0,"",IF($F$2-182&gt;=$F$4,$F$2-182,""))</f>
        <v/>
      </c>
      <c r="G28" s="284">
        <f>IF($H$2=0,"",IF($H$2-182&gt;=$H$4,$H$2-182,""))</f>
        <v/>
      </c>
      <c r="I28" s="284">
        <f>IF($J$2=0,"",IF($J$2-182&gt;=$J$4,$J$2-182,""))</f>
        <v/>
      </c>
    </row>
    <row r="29">
      <c r="A29" s="284">
        <f>IF($B$2=0,"",IF($B$2-189&gt;=$B$4,$B$2-189,""))</f>
        <v/>
      </c>
      <c r="C29" s="284">
        <f>IF($D$2=0,"",IF($D$2-189&gt;=$D$4,$D$2-189,""))</f>
        <v/>
      </c>
      <c r="E29" s="284">
        <f>IF($F$2=0,"",IF($F$2-189&gt;=$F$4,$F$2-189,""))</f>
        <v/>
      </c>
      <c r="G29" s="284">
        <f>IF($H$2=0,"",IF($H$2-189&gt;=$H$4,$H$2-189,""))</f>
        <v/>
      </c>
      <c r="I29" s="284">
        <f>IF($J$2=0,"",IF($J$2-189&gt;=$J$4,$J$2-189,""))</f>
        <v/>
      </c>
    </row>
    <row r="30">
      <c r="A30" s="284">
        <f>IF($B$2=0,"",IF($B$2-196&gt;=$B$4,$B$2-196,""))</f>
        <v/>
      </c>
      <c r="C30" s="284">
        <f>IF($D$2=0,"",IF($D$2-196&gt;=$D$4,$D$2-196,""))</f>
        <v/>
      </c>
      <c r="E30" s="284">
        <f>IF($F$2=0,"",IF($F$2-196&gt;=$F$4,$F$2-196,""))</f>
        <v/>
      </c>
      <c r="G30" s="284">
        <f>IF($H$2=0,"",IF($H$2-196&gt;=$H$4,$H$2-196,""))</f>
        <v/>
      </c>
      <c r="I30" s="284">
        <f>IF($J$2=0,"",IF($J$2-196&gt;=$J$4,$J$2-196,""))</f>
        <v/>
      </c>
    </row>
    <row r="31">
      <c r="A31" s="284">
        <f>IF($B$2=0,"",IF($B$2-203&gt;=$B$4,$B$2-203,""))</f>
        <v/>
      </c>
      <c r="C31" s="284">
        <f>IF($D$2=0,"",IF($D$2-203&gt;=$D$4,$D$2-203,""))</f>
        <v/>
      </c>
      <c r="E31" s="284">
        <f>IF($F$2=0,"",IF($F$2-203&gt;=$F$4,$F$2-203,""))</f>
        <v/>
      </c>
      <c r="G31" s="284">
        <f>IF($H$2=0,"",IF($H$2-203&gt;=$H$4,$H$2-203,""))</f>
        <v/>
      </c>
      <c r="I31" s="284">
        <f>IF($J$2=0,"",IF($J$2-203&gt;=$J$4,$J$2-203,""))</f>
        <v/>
      </c>
    </row>
    <row r="32">
      <c r="A32" s="284">
        <f>IF($B$2=0,"",IF($B$2-210&gt;=$B$4,$B$2-210,""))</f>
        <v/>
      </c>
      <c r="C32" s="284">
        <f>IF($D$2=0,"",IF($D$2-210&gt;=$D$4,$D$2-210,""))</f>
        <v/>
      </c>
      <c r="E32" s="284">
        <f>IF($F$2=0,"",IF($F$2-210&gt;=$F$4,$F$2-210,""))</f>
        <v/>
      </c>
      <c r="G32" s="284">
        <f>IF($H$2=0,"",IF($H$2-210&gt;=$H$4,$H$2-210,""))</f>
        <v/>
      </c>
      <c r="I32" s="284">
        <f>IF($J$2=0,"",IF($J$2-210&gt;=$J$4,$J$2-210,""))</f>
        <v/>
      </c>
    </row>
    <row r="33">
      <c r="A33" s="284">
        <f>IF($B$2=0,"",IF($B$2-217&gt;=$B$4,$B$2-217,""))</f>
        <v/>
      </c>
      <c r="C33" s="284">
        <f>IF($D$2=0,"",IF($D$2-217&gt;=$D$4,$D$2-217,""))</f>
        <v/>
      </c>
      <c r="E33" s="284">
        <f>IF($F$2=0,"",IF($F$2-217&gt;=$F$4,$F$2-217,""))</f>
        <v/>
      </c>
      <c r="G33" s="284">
        <f>IF($H$2=0,"",IF($H$2-217&gt;=$H$4,$H$2-217,""))</f>
        <v/>
      </c>
      <c r="I33" s="284">
        <f>IF($J$2=0,"",IF($J$2-217&gt;=$J$4,$J$2-217,""))</f>
        <v/>
      </c>
    </row>
    <row r="34">
      <c r="A34" s="284">
        <f>IF($B$2=0,"",IF($B$2-224&gt;=$B$4,$B$2-224,""))</f>
        <v/>
      </c>
      <c r="C34" s="284">
        <f>IF($D$2=0,"",IF($D$2-224&gt;=$D$4,$D$2-224,""))</f>
        <v/>
      </c>
      <c r="E34" s="284">
        <f>IF($F$2=0,"",IF($F$2-224&gt;=$F$4,$F$2-224,""))</f>
        <v/>
      </c>
      <c r="G34" s="284">
        <f>IF($H$2=0,"",IF($H$2-224&gt;=$H$4,$H$2-224,""))</f>
        <v/>
      </c>
      <c r="I34" s="284">
        <f>IF($J$2=0,"",IF($J$2-224&gt;=$J$4,$J$2-224,""))</f>
        <v/>
      </c>
    </row>
    <row r="35">
      <c r="A35" s="284">
        <f>IF($B$2=0,"",IF($B$2-231&gt;=$B$4,$B$2-231,""))</f>
        <v/>
      </c>
      <c r="C35" s="284">
        <f>IF($D$2=0,"",IF($D$2-231&gt;=$D$4,$D$2-231,""))</f>
        <v/>
      </c>
      <c r="E35" s="284">
        <f>IF($F$2=0,"",IF($F$2-231&gt;=$F$4,$F$2-231,""))</f>
        <v/>
      </c>
      <c r="G35" s="284">
        <f>IF($H$2=0,"",IF($H$2-231&gt;=$H$4,$H$2-231,""))</f>
        <v/>
      </c>
      <c r="I35" s="284">
        <f>IF($J$2=0,"",IF($J$2-231&gt;=$J$4,$J$2-231,""))</f>
        <v/>
      </c>
    </row>
    <row r="36">
      <c r="A36" s="284">
        <f>IF($B$2=0,"",IF($B$2-238&gt;=$B$4,$B$2-238,""))</f>
        <v/>
      </c>
      <c r="C36" s="284">
        <f>IF($D$2=0,"",IF($D$2-238&gt;=$D$4,$D$2-238,""))</f>
        <v/>
      </c>
      <c r="E36" s="284">
        <f>IF($F$2=0,"",IF($F$2-238&gt;=$F$4,$F$2-238,""))</f>
        <v/>
      </c>
      <c r="G36" s="284">
        <f>IF($H$2=0,"",IF($H$2-238&gt;=$H$4,$H$2-238,""))</f>
        <v/>
      </c>
      <c r="I36" s="284">
        <f>IF($J$2=0,"",IF($J$2-238&gt;=$J$4,$J$2-238,""))</f>
        <v/>
      </c>
    </row>
    <row r="37">
      <c r="A37" s="284">
        <f>IF($B$2=0,"",IF($B$2-245&gt;=$B$4,$B$2-245,""))</f>
        <v/>
      </c>
      <c r="C37" s="284">
        <f>IF($D$2=0,"",IF($D$2-245&gt;=$D$4,$D$2-245,""))</f>
        <v/>
      </c>
      <c r="E37" s="284">
        <f>IF($F$2=0,"",IF($F$2-245&gt;=$F$4,$F$2-245,""))</f>
        <v/>
      </c>
      <c r="G37" s="284">
        <f>IF($H$2=0,"",IF($H$2-245&gt;=$H$4,$H$2-245,""))</f>
        <v/>
      </c>
      <c r="I37" s="284">
        <f>IF($J$2=0,"",IF($J$2-245&gt;=$J$4,$J$2-245,""))</f>
        <v/>
      </c>
    </row>
    <row r="38">
      <c r="A38" s="284">
        <f>IF($B$2=0,"",IF($B$2-252&gt;=$B$4,$B$2-252,""))</f>
        <v/>
      </c>
      <c r="C38" s="284">
        <f>IF($D$2=0,"",IF($D$2-252&gt;=$D$4,$D$2-252,""))</f>
        <v/>
      </c>
      <c r="E38" s="284">
        <f>IF($F$2=0,"",IF($F$2-252&gt;=$F$4,$F$2-252,""))</f>
        <v/>
      </c>
      <c r="G38" s="284">
        <f>IF($H$2=0,"",IF($H$2-252&gt;=$H$4,$H$2-252,""))</f>
        <v/>
      </c>
      <c r="I38" s="284">
        <f>IF($J$2=0,"",IF($J$2-252&gt;=$J$4,$J$2-252,""))</f>
        <v/>
      </c>
    </row>
    <row r="39">
      <c r="A39" s="284">
        <f>IF($B$2=0,"",IF($B$2-259&gt;=$B$4,$B$2-259,""))</f>
        <v/>
      </c>
      <c r="C39" s="284">
        <f>IF($D$2=0,"",IF($D$2-259&gt;=$D$4,$D$2-259,""))</f>
        <v/>
      </c>
      <c r="E39" s="284">
        <f>IF($F$2=0,"",IF($F$2-259&gt;=$F$4,$F$2-259,""))</f>
        <v/>
      </c>
      <c r="G39" s="284">
        <f>IF($H$2=0,"",IF($H$2-259&gt;=$H$4,$H$2-259,""))</f>
        <v/>
      </c>
      <c r="I39" s="284">
        <f>IF($J$2=0,"",IF($J$2-259&gt;=$J$4,$J$2-259,""))</f>
        <v/>
      </c>
    </row>
    <row r="40">
      <c r="A40" s="284">
        <f>IF($B$2=0,"",IF($B$2-266&gt;=$B$4,$B$2-266,""))</f>
        <v/>
      </c>
      <c r="C40" s="284">
        <f>IF($D$2=0,"",IF($D$2-266&gt;=$D$4,$D$2-266,""))</f>
        <v/>
      </c>
      <c r="E40" s="284">
        <f>IF($F$2=0,"",IF($F$2-266&gt;=$F$4,$F$2-266,""))</f>
        <v/>
      </c>
      <c r="G40" s="284">
        <f>IF($H$2=0,"",IF($H$2-266&gt;=$H$4,$H$2-266,""))</f>
        <v/>
      </c>
      <c r="I40" s="284">
        <f>IF($J$2=0,"",IF($J$2-266&gt;=$J$4,$J$2-266,""))</f>
        <v/>
      </c>
    </row>
    <row r="41">
      <c r="A41" s="284">
        <f>IF($B$2=0,"",IF($B$2-273&gt;=$B$4,$B$2-273,""))</f>
        <v/>
      </c>
      <c r="C41" s="284">
        <f>IF($D$2=0,"",IF($D$2-273&gt;=$D$4,$D$2-273,""))</f>
        <v/>
      </c>
      <c r="E41" s="284">
        <f>IF($F$2=0,"",IF($F$2-273&gt;=$F$4,$F$2-273,""))</f>
        <v/>
      </c>
      <c r="G41" s="284">
        <f>IF($H$2=0,"",IF($H$2-273&gt;=$H$4,$H$2-273,""))</f>
        <v/>
      </c>
      <c r="I41" s="284">
        <f>IF($J$2=0,"",IF($J$2-273&gt;=$J$4,$J$2-273,""))</f>
        <v/>
      </c>
    </row>
    <row r="42">
      <c r="A42" s="284">
        <f>IF($B$2=0,"",IF($B$2-280&gt;=$B$4,$B$2-280,""))</f>
        <v/>
      </c>
      <c r="C42" s="284">
        <f>IF($D$2=0,"",IF($D$2-280&gt;=$D$4,$D$2-280,""))</f>
        <v/>
      </c>
      <c r="E42" s="284">
        <f>IF($F$2=0,"",IF($F$2-280&gt;=$F$4,$F$2-280,""))</f>
        <v/>
      </c>
      <c r="G42" s="284">
        <f>IF($H$2=0,"",IF($H$2-280&gt;=$H$4,$H$2-280,""))</f>
        <v/>
      </c>
      <c r="I42" s="284">
        <f>IF($J$2=0,"",IF($J$2-280&gt;=$J$4,$J$2-280,""))</f>
        <v/>
      </c>
    </row>
    <row r="43">
      <c r="A43" s="284">
        <f>IF($B$2=0,"",IF($B$2-287&gt;=$B$4,$B$2-287,""))</f>
        <v/>
      </c>
      <c r="C43" s="284">
        <f>IF($D$2=0,"",IF($D$2-287&gt;=$D$4,$D$2-287,""))</f>
        <v/>
      </c>
      <c r="E43" s="284">
        <f>IF($F$2=0,"",IF($F$2-287&gt;=$F$4,$F$2-287,""))</f>
        <v/>
      </c>
      <c r="G43" s="284">
        <f>IF($H$2=0,"",IF($H$2-287&gt;=$H$4,$H$2-287,""))</f>
        <v/>
      </c>
      <c r="I43" s="284">
        <f>IF($J$2=0,"",IF($J$2-287&gt;=$J$4,$J$2-287,""))</f>
        <v/>
      </c>
    </row>
    <row r="44">
      <c r="A44" s="284">
        <f>IF($B$2=0,"",IF($B$2-294&gt;=$B$4,$B$2-294,""))</f>
        <v/>
      </c>
      <c r="C44" s="284">
        <f>IF($D$2=0,"",IF($D$2-294&gt;=$D$4,$D$2-294,""))</f>
        <v/>
      </c>
      <c r="E44" s="284">
        <f>IF($F$2=0,"",IF($F$2-294&gt;=$F$4,$F$2-294,""))</f>
        <v/>
      </c>
      <c r="G44" s="284">
        <f>IF($H$2=0,"",IF($H$2-294&gt;=$H$4,$H$2-294,""))</f>
        <v/>
      </c>
      <c r="I44" s="284">
        <f>IF($J$2=0,"",IF($J$2-294&gt;=$J$4,$J$2-294,""))</f>
        <v/>
      </c>
    </row>
    <row r="45">
      <c r="A45" s="284">
        <f>IF($B$2=0,"",IF($B$2-301&gt;=$B$4,$B$2-301,""))</f>
        <v/>
      </c>
      <c r="C45" s="284">
        <f>IF($D$2=0,"",IF($D$2-301&gt;=$D$4,$D$2-301,""))</f>
        <v/>
      </c>
      <c r="E45" s="284">
        <f>IF($F$2=0,"",IF($F$2-301&gt;=$F$4,$F$2-301,""))</f>
        <v/>
      </c>
      <c r="G45" s="284">
        <f>IF($H$2=0,"",IF($H$2-301&gt;=$H$4,$H$2-301,""))</f>
        <v/>
      </c>
      <c r="I45" s="284">
        <f>IF($J$2=0,"",IF($J$2-301&gt;=$J$4,$J$2-301,""))</f>
        <v/>
      </c>
    </row>
    <row r="46">
      <c r="A46" s="284">
        <f>IF($B$2=0,"",IF($B$2-308&gt;=$B$4,$B$2-308,""))</f>
        <v/>
      </c>
      <c r="C46" s="284">
        <f>IF($D$2=0,"",IF($D$2-308&gt;=$D$4,$D$2-308,""))</f>
        <v/>
      </c>
      <c r="E46" s="284">
        <f>IF($F$2=0,"",IF($F$2-308&gt;=$F$4,$F$2-308,""))</f>
        <v/>
      </c>
      <c r="G46" s="284">
        <f>IF($H$2=0,"",IF($H$2-308&gt;=$H$4,$H$2-308,""))</f>
        <v/>
      </c>
      <c r="I46" s="284">
        <f>IF($J$2=0,"",IF($J$2-308&gt;=$J$4,$J$2-308,""))</f>
        <v/>
      </c>
    </row>
    <row r="47">
      <c r="A47" s="284">
        <f>IF($B$2=0,"",IF($B$2-315&gt;=$B$4,$B$2-315,""))</f>
        <v/>
      </c>
      <c r="C47" s="284">
        <f>IF($D$2=0,"",IF($D$2-315&gt;=$D$4,$D$2-315,""))</f>
        <v/>
      </c>
      <c r="E47" s="284">
        <f>IF($F$2=0,"",IF($F$2-315&gt;=$F$4,$F$2-315,""))</f>
        <v/>
      </c>
      <c r="G47" s="284">
        <f>IF($H$2=0,"",IF($H$2-315&gt;=$H$4,$H$2-315,""))</f>
        <v/>
      </c>
      <c r="I47" s="284">
        <f>IF($J$2=0,"",IF($J$2-315&gt;=$J$4,$J$2-315,""))</f>
        <v/>
      </c>
    </row>
    <row r="48">
      <c r="A48" s="284">
        <f>IF($B$2=0,"",IF($B$2-322&gt;=$B$4,$B$2-322,""))</f>
        <v/>
      </c>
      <c r="C48" s="284">
        <f>IF($D$2=0,"",IF($D$2-322&gt;=$D$4,$D$2-322,""))</f>
        <v/>
      </c>
      <c r="E48" s="284">
        <f>IF($F$2=0,"",IF($F$2-322&gt;=$F$4,$F$2-322,""))</f>
        <v/>
      </c>
      <c r="G48" s="284">
        <f>IF($H$2=0,"",IF($H$2-322&gt;=$H$4,$H$2-322,""))</f>
        <v/>
      </c>
      <c r="I48" s="284">
        <f>IF($J$2=0,"",IF($J$2-322&gt;=$J$4,$J$2-322,""))</f>
        <v/>
      </c>
    </row>
    <row r="49">
      <c r="A49" s="284">
        <f>IF($B$2=0,"",IF($B$2-329&gt;=$B$4,$B$2-329,""))</f>
        <v/>
      </c>
      <c r="C49" s="284">
        <f>IF($D$2=0,"",IF($D$2-329&gt;=$D$4,$D$2-329,""))</f>
        <v/>
      </c>
      <c r="E49" s="284">
        <f>IF($F$2=0,"",IF($F$2-329&gt;=$F$4,$F$2-329,""))</f>
        <v/>
      </c>
      <c r="G49" s="284">
        <f>IF($H$2=0,"",IF($H$2-329&gt;=$H$4,$H$2-329,""))</f>
        <v/>
      </c>
      <c r="I49" s="284">
        <f>IF($J$2=0,"",IF($J$2-329&gt;=$J$4,$J$2-329,""))</f>
        <v/>
      </c>
    </row>
    <row r="50">
      <c r="A50" s="284">
        <f>IF($B$2=0,"",IF($B$2-336&gt;=$B$4,$B$2-336,""))</f>
        <v/>
      </c>
      <c r="C50" s="284">
        <f>IF($D$2=0,"",IF($D$2-336&gt;=$D$4,$D$2-336,""))</f>
        <v/>
      </c>
      <c r="E50" s="284">
        <f>IF($F$2=0,"",IF($F$2-336&gt;=$F$4,$F$2-336,""))</f>
        <v/>
      </c>
      <c r="G50" s="284">
        <f>IF($H$2=0,"",IF($H$2-336&gt;=$H$4,$H$2-336,""))</f>
        <v/>
      </c>
      <c r="I50" s="284">
        <f>IF($J$2=0,"",IF($J$2-336&gt;=$J$4,$J$2-336,""))</f>
        <v/>
      </c>
    </row>
    <row r="51">
      <c r="A51" s="284">
        <f>IF($B$2=0,"",IF($B$2-343&gt;=$B$4,$B$2-343,""))</f>
        <v/>
      </c>
      <c r="C51" s="284">
        <f>IF($D$2=0,"",IF($D$2-343&gt;=$D$4,$D$2-343,""))</f>
        <v/>
      </c>
      <c r="E51" s="284">
        <f>IF($F$2=0,"",IF($F$2-343&gt;=$F$4,$F$2-343,""))</f>
        <v/>
      </c>
      <c r="G51" s="284">
        <f>IF($H$2=0,"",IF($H$2-343&gt;=$H$4,$H$2-343,""))</f>
        <v/>
      </c>
      <c r="I51" s="284">
        <f>IF($J$2=0,"",IF($J$2-343&gt;=$J$4,$J$2-343,""))</f>
        <v/>
      </c>
    </row>
    <row r="52">
      <c r="A52" s="284">
        <f>IF($B$2=0,"",IF($B$2-350&gt;=$B$4,$B$2-350,""))</f>
        <v/>
      </c>
      <c r="C52" s="284">
        <f>IF($D$2=0,"",IF($D$2-350&gt;=$D$4,$D$2-350,""))</f>
        <v/>
      </c>
      <c r="E52" s="284">
        <f>IF($F$2=0,"",IF($F$2-350&gt;=$F$4,$F$2-350,""))</f>
        <v/>
      </c>
      <c r="G52" s="284">
        <f>IF($H$2=0,"",IF($H$2-350&gt;=$H$4,$H$2-350,""))</f>
        <v/>
      </c>
      <c r="I52" s="284">
        <f>IF($J$2=0,"",IF($J$2-350&gt;=$J$4,$J$2-350,""))</f>
        <v/>
      </c>
    </row>
    <row r="53">
      <c r="A53" s="284">
        <f>IF($B$2=0,"",IF($B$2-357&gt;=$B$4,$B$2-357,""))</f>
        <v/>
      </c>
      <c r="C53" s="284">
        <f>IF($D$2=0,"",IF($D$2-357&gt;=$D$4,$D$2-357,""))</f>
        <v/>
      </c>
      <c r="E53" s="284">
        <f>IF($F$2=0,"",IF($F$2-357&gt;=$F$4,$F$2-357,""))</f>
        <v/>
      </c>
      <c r="G53" s="284">
        <f>IF($H$2=0,"",IF($H$2-357&gt;=$H$4,$H$2-357,""))</f>
        <v/>
      </c>
      <c r="I53" s="284">
        <f>IF($J$2=0,"",IF($J$2-357&gt;=$J$4,$J$2-357,""))</f>
        <v/>
      </c>
    </row>
    <row r="54">
      <c r="A54" s="284">
        <f>IF($B$2=0,"",IF($B$2-364&gt;=$B$4,$B$2-364,""))</f>
        <v/>
      </c>
      <c r="C54" s="284">
        <f>IF($D$2=0,"",IF($D$2-364&gt;=$D$4,$D$2-364,""))</f>
        <v/>
      </c>
      <c r="E54" s="284">
        <f>IF($F$2=0,"",IF($F$2-364&gt;=$F$4,$F$2-364,""))</f>
        <v/>
      </c>
      <c r="G54" s="284">
        <f>IF($H$2=0,"",IF($H$2-364&gt;=$H$4,$H$2-364,""))</f>
        <v/>
      </c>
      <c r="I54" s="284">
        <f>IF($J$2=0,"",IF($J$2-364&gt;=$J$4,$J$2-364,""))</f>
        <v/>
      </c>
    </row>
    <row r="55">
      <c r="A55" s="284">
        <f>IF($B$2=0,"",IF($B$2-371&gt;=$B$4,$B$2-371,""))</f>
        <v/>
      </c>
      <c r="C55" s="284">
        <f>IF($D$2=0,"",IF($D$2-371&gt;=$D$4,$D$2-371,""))</f>
        <v/>
      </c>
      <c r="E55" s="284">
        <f>IF($F$2=0,"",IF($F$2-371&gt;=$F$4,$F$2-371,""))</f>
        <v/>
      </c>
      <c r="G55" s="284">
        <f>IF($H$2=0,"",IF($H$2-371&gt;=$H$4,$H$2-371,""))</f>
        <v/>
      </c>
      <c r="I55" s="284">
        <f>IF($J$2=0,"",IF($J$2-371&gt;=$J$4,$J$2-371,""))</f>
        <v/>
      </c>
    </row>
    <row r="56">
      <c r="A56" s="284">
        <f>IF($B$2=0,"",IF($B$2-378&gt;=$B$4,$B$2-378,""))</f>
        <v/>
      </c>
      <c r="C56" s="284">
        <f>IF($D$2=0,"",IF($D$2-378&gt;=$D$4,$D$2-378,""))</f>
        <v/>
      </c>
      <c r="E56" s="284">
        <f>IF($F$2=0,"",IF($F$2-378&gt;=$F$4,$F$2-378,""))</f>
        <v/>
      </c>
      <c r="G56" s="284">
        <f>IF($H$2=0,"",IF($H$2-378&gt;=$H$4,$H$2-378,""))</f>
        <v/>
      </c>
      <c r="I56" s="284">
        <f>IF($J$2=0,"",IF($J$2-378&gt;=$J$4,$J$2-378,""))</f>
        <v/>
      </c>
    </row>
    <row r="57">
      <c r="A57" s="284">
        <f>IF($B$2=0,"",IF($B$2-385&gt;=$B$4,$B$2-385,""))</f>
        <v/>
      </c>
      <c r="C57" s="284">
        <f>IF($D$2=0,"",IF($D$2-385&gt;=$D$4,$D$2-385,""))</f>
        <v/>
      </c>
      <c r="E57" s="284">
        <f>IF($F$2=0,"",IF($F$2-385&gt;=$F$4,$F$2-385,""))</f>
        <v/>
      </c>
      <c r="G57" s="284">
        <f>IF($H$2=0,"",IF($H$2-385&gt;=$H$4,$H$2-385,""))</f>
        <v/>
      </c>
      <c r="I57" s="284">
        <f>IF($J$2=0,"",IF($J$2-385&gt;=$J$4,$J$2-385,""))</f>
        <v/>
      </c>
    </row>
    <row r="58">
      <c r="A58" s="284">
        <f>IF($B$2=0,"",IF($B$2-392&gt;=$B$4,$B$2-392,""))</f>
        <v/>
      </c>
      <c r="C58" s="284">
        <f>IF($D$2=0,"",IF($D$2-392&gt;=$D$4,$D$2-392,""))</f>
        <v/>
      </c>
      <c r="E58" s="284">
        <f>IF($F$2=0,"",IF($F$2-392&gt;=$F$4,$F$2-392,""))</f>
        <v/>
      </c>
      <c r="G58" s="284">
        <f>IF($H$2=0,"",IF($H$2-392&gt;=$H$4,$H$2-392,""))</f>
        <v/>
      </c>
      <c r="I58" s="284">
        <f>IF($J$2=0,"",IF($J$2-392&gt;=$J$4,$J$2-392,""))</f>
        <v/>
      </c>
    </row>
    <row r="59">
      <c r="A59" s="284">
        <f>IF($B$2=0,"",IF($B$2-399&gt;=$B$4,$B$2-399,""))</f>
        <v/>
      </c>
      <c r="C59" s="284">
        <f>IF($D$2=0,"",IF($D$2-399&gt;=$D$4,$D$2-399,""))</f>
        <v/>
      </c>
      <c r="E59" s="284">
        <f>IF($F$2=0,"",IF($F$2-399&gt;=$F$4,$F$2-399,""))</f>
        <v/>
      </c>
      <c r="G59" s="284">
        <f>IF($H$2=0,"",IF($H$2-399&gt;=$H$4,$H$2-399,""))</f>
        <v/>
      </c>
      <c r="I59" s="284">
        <f>IF($J$2=0,"",IF($J$2-399&gt;=$J$4,$J$2-399,""))</f>
        <v/>
      </c>
    </row>
    <row r="60">
      <c r="A60" s="284">
        <f>IF($B$2=0,"",IF($B$2-406&gt;=$B$4,$B$2-406,""))</f>
        <v/>
      </c>
      <c r="C60" s="284">
        <f>IF($D$2=0,"",IF($D$2-406&gt;=$D$4,$D$2-406,""))</f>
        <v/>
      </c>
      <c r="E60" s="284">
        <f>IF($F$2=0,"",IF($F$2-406&gt;=$F$4,$F$2-406,""))</f>
        <v/>
      </c>
      <c r="G60" s="284">
        <f>IF($H$2=0,"",IF($H$2-406&gt;=$H$4,$H$2-406,""))</f>
        <v/>
      </c>
      <c r="I60" s="284">
        <f>IF($J$2=0,"",IF($J$2-406&gt;=$J$4,$J$2-406,""))</f>
        <v/>
      </c>
    </row>
    <row r="61">
      <c r="A61" s="284">
        <f>IF($B$2=0,"",IF($B$2-413&gt;=$B$4,$B$2-413,""))</f>
        <v/>
      </c>
      <c r="C61" s="284">
        <f>IF($D$2=0,"",IF($D$2-413&gt;=$D$4,$D$2-413,""))</f>
        <v/>
      </c>
      <c r="E61" s="284">
        <f>IF($F$2=0,"",IF($F$2-413&gt;=$F$4,$F$2-413,""))</f>
        <v/>
      </c>
      <c r="G61" s="284">
        <f>IF($H$2=0,"",IF($H$2-413&gt;=$H$4,$H$2-413,""))</f>
        <v/>
      </c>
      <c r="I61" s="284">
        <f>IF($J$2=0,"",IF($J$2-413&gt;=$J$4,$J$2-413,""))</f>
        <v/>
      </c>
    </row>
    <row r="62">
      <c r="A62" s="284">
        <f>IF($B$2=0,"",IF($B$2-420&gt;=$B$4,$B$2-420,""))</f>
        <v/>
      </c>
      <c r="C62" s="284">
        <f>IF($D$2=0,"",IF($D$2-420&gt;=$D$4,$D$2-420,""))</f>
        <v/>
      </c>
      <c r="E62" s="284">
        <f>IF($F$2=0,"",IF($F$2-420&gt;=$F$4,$F$2-420,""))</f>
        <v/>
      </c>
      <c r="G62" s="284">
        <f>IF($H$2=0,"",IF($H$2-420&gt;=$H$4,$H$2-420,""))</f>
        <v/>
      </c>
      <c r="I62" s="284">
        <f>IF($J$2=0,"",IF($J$2-420&gt;=$J$4,$J$2-420,""))</f>
        <v/>
      </c>
    </row>
    <row r="63">
      <c r="A63" s="284">
        <f>IF($B$2=0,"",IF($B$2-427&gt;=$B$4,$B$2-427,""))</f>
        <v/>
      </c>
      <c r="C63" s="284">
        <f>IF($D$2=0,"",IF($D$2-427&gt;=$D$4,$D$2-427,""))</f>
        <v/>
      </c>
      <c r="E63" s="284">
        <f>IF($F$2=0,"",IF($F$2-427&gt;=$F$4,$F$2-427,""))</f>
        <v/>
      </c>
      <c r="G63" s="284">
        <f>IF($H$2=0,"",IF($H$2-427&gt;=$H$4,$H$2-427,""))</f>
        <v/>
      </c>
      <c r="I63" s="284">
        <f>IF($J$2=0,"",IF($J$2-427&gt;=$J$4,$J$2-427,""))</f>
        <v/>
      </c>
    </row>
    <row r="64">
      <c r="A64" s="284">
        <f>IF($B$2=0,"",IF($B$2-434&gt;=$B$4,$B$2-434,""))</f>
        <v/>
      </c>
      <c r="C64" s="284">
        <f>IF($D$2=0,"",IF($D$2-434&gt;=$D$4,$D$2-434,""))</f>
        <v/>
      </c>
      <c r="E64" s="284">
        <f>IF($F$2=0,"",IF($F$2-434&gt;=$F$4,$F$2-434,""))</f>
        <v/>
      </c>
      <c r="G64" s="284">
        <f>IF($H$2=0,"",IF($H$2-434&gt;=$H$4,$H$2-434,""))</f>
        <v/>
      </c>
      <c r="I64" s="284">
        <f>IF($J$2=0,"",IF($J$2-434&gt;=$J$4,$J$2-434,""))</f>
        <v/>
      </c>
    </row>
    <row r="65">
      <c r="A65" s="284">
        <f>IF($B$2=0,"",IF($B$2-441&gt;=$B$4,$B$2-441,""))</f>
        <v/>
      </c>
      <c r="C65" s="284">
        <f>IF($D$2=0,"",IF($D$2-441&gt;=$D$4,$D$2-441,""))</f>
        <v/>
      </c>
      <c r="E65" s="284">
        <f>IF($F$2=0,"",IF($F$2-441&gt;=$F$4,$F$2-441,""))</f>
        <v/>
      </c>
      <c r="G65" s="284">
        <f>IF($H$2=0,"",IF($H$2-441&gt;=$H$4,$H$2-441,""))</f>
        <v/>
      </c>
      <c r="I65" s="284">
        <f>IF($J$2=0,"",IF($J$2-441&gt;=$J$4,$J$2-441,""))</f>
        <v/>
      </c>
    </row>
    <row r="66">
      <c r="A66" s="284">
        <f>IF($B$2=0,"",IF($B$2-448&gt;=$B$4,$B$2-448,""))</f>
        <v/>
      </c>
      <c r="C66" s="284">
        <f>IF($D$2=0,"",IF($D$2-448&gt;=$D$4,$D$2-448,""))</f>
        <v/>
      </c>
      <c r="E66" s="284">
        <f>IF($F$2=0,"",IF($F$2-448&gt;=$F$4,$F$2-448,""))</f>
        <v/>
      </c>
      <c r="G66" s="284">
        <f>IF($H$2=0,"",IF($H$2-448&gt;=$H$4,$H$2-448,""))</f>
        <v/>
      </c>
      <c r="I66" s="284">
        <f>IF($J$2=0,"",IF($J$2-448&gt;=$J$4,$J$2-448,""))</f>
        <v/>
      </c>
    </row>
    <row r="67">
      <c r="A67" s="284">
        <f>IF($B$2=0,"",IF($B$2-455&gt;=$B$4,$B$2-455,""))</f>
        <v/>
      </c>
      <c r="C67" s="284">
        <f>IF($D$2=0,"",IF($D$2-455&gt;=$D$4,$D$2-455,""))</f>
        <v/>
      </c>
      <c r="E67" s="284">
        <f>IF($F$2=0,"",IF($F$2-455&gt;=$F$4,$F$2-455,""))</f>
        <v/>
      </c>
      <c r="G67" s="284">
        <f>IF($H$2=0,"",IF($H$2-455&gt;=$H$4,$H$2-455,""))</f>
        <v/>
      </c>
      <c r="I67" s="284">
        <f>IF($J$2=0,"",IF($J$2-455&gt;=$J$4,$J$2-455,""))</f>
        <v/>
      </c>
    </row>
    <row r="68">
      <c r="A68" s="284">
        <f>IF($B$2=0,"",IF($B$2-462&gt;=$B$4,$B$2-462,""))</f>
        <v/>
      </c>
      <c r="C68" s="284">
        <f>IF($D$2=0,"",IF($D$2-462&gt;=$D$4,$D$2-462,""))</f>
        <v/>
      </c>
      <c r="E68" s="284">
        <f>IF($F$2=0,"",IF($F$2-462&gt;=$F$4,$F$2-462,""))</f>
        <v/>
      </c>
      <c r="G68" s="284">
        <f>IF($H$2=0,"",IF($H$2-462&gt;=$H$4,$H$2-462,""))</f>
        <v/>
      </c>
      <c r="I68" s="284">
        <f>IF($J$2=0,"",IF($J$2-462&gt;=$J$4,$J$2-462,""))</f>
        <v/>
      </c>
    </row>
    <row r="69">
      <c r="A69" s="284">
        <f>IF($B$2=0,"",IF($B$2-469&gt;=$B$4,$B$2-469,""))</f>
        <v/>
      </c>
      <c r="C69" s="284">
        <f>IF($D$2=0,"",IF($D$2-469&gt;=$D$4,$D$2-469,""))</f>
        <v/>
      </c>
      <c r="E69" s="284">
        <f>IF($F$2=0,"",IF($F$2-469&gt;=$F$4,$F$2-469,""))</f>
        <v/>
      </c>
      <c r="G69" s="284">
        <f>IF($H$2=0,"",IF($H$2-469&gt;=$H$4,$H$2-469,""))</f>
        <v/>
      </c>
      <c r="I69" s="284">
        <f>IF($J$2=0,"",IF($J$2-469&gt;=$J$4,$J$2-469,""))</f>
        <v/>
      </c>
    </row>
    <row r="70">
      <c r="A70" s="284">
        <f>IF($B$2=0,"",IF($B$2-476&gt;=$B$4,$B$2-476,""))</f>
        <v/>
      </c>
      <c r="C70" s="284">
        <f>IF($D$2=0,"",IF($D$2-476&gt;=$D$4,$D$2-476,""))</f>
        <v/>
      </c>
      <c r="E70" s="284">
        <f>IF($F$2=0,"",IF($F$2-476&gt;=$F$4,$F$2-476,""))</f>
        <v/>
      </c>
      <c r="G70" s="284">
        <f>IF($H$2=0,"",IF($H$2-476&gt;=$H$4,$H$2-476,""))</f>
        <v/>
      </c>
      <c r="I70" s="284">
        <f>IF($J$2=0,"",IF($J$2-476&gt;=$J$4,$J$2-476,""))</f>
        <v/>
      </c>
    </row>
    <row r="71">
      <c r="A71" s="284">
        <f>IF($B$2=0,"",IF($B$2-483&gt;=$B$4,$B$2-483,""))</f>
        <v/>
      </c>
      <c r="C71" s="284">
        <f>IF($D$2=0,"",IF($D$2-483&gt;=$D$4,$D$2-483,""))</f>
        <v/>
      </c>
      <c r="E71" s="284">
        <f>IF($F$2=0,"",IF($F$2-483&gt;=$F$4,$F$2-483,""))</f>
        <v/>
      </c>
      <c r="G71" s="284">
        <f>IF($H$2=0,"",IF($H$2-483&gt;=$H$4,$H$2-483,""))</f>
        <v/>
      </c>
      <c r="I71" s="284">
        <f>IF($J$2=0,"",IF($J$2-483&gt;=$J$4,$J$2-483,""))</f>
        <v/>
      </c>
    </row>
    <row r="72">
      <c r="A72" s="284">
        <f>IF($B$2=0,"",IF($B$2-490&gt;=$B$4,$B$2-490,""))</f>
        <v/>
      </c>
      <c r="C72" s="284">
        <f>IF($D$2=0,"",IF($D$2-490&gt;=$D$4,$D$2-490,""))</f>
        <v/>
      </c>
      <c r="E72" s="284">
        <f>IF($F$2=0,"",IF($F$2-490&gt;=$F$4,$F$2-490,""))</f>
        <v/>
      </c>
      <c r="G72" s="284">
        <f>IF($H$2=0,"",IF($H$2-490&gt;=$H$4,$H$2-490,""))</f>
        <v/>
      </c>
      <c r="I72" s="284">
        <f>IF($J$2=0,"",IF($J$2-490&gt;=$J$4,$J$2-490,""))</f>
        <v/>
      </c>
    </row>
    <row r="73">
      <c r="A73" s="284">
        <f>IF($B$2=0,"",IF($B$2-497&gt;=$B$4,$B$2-497,""))</f>
        <v/>
      </c>
      <c r="C73" s="284">
        <f>IF($D$2=0,"",IF($D$2-497&gt;=$D$4,$D$2-497,""))</f>
        <v/>
      </c>
      <c r="E73" s="284">
        <f>IF($F$2=0,"",IF($F$2-497&gt;=$F$4,$F$2-497,""))</f>
        <v/>
      </c>
      <c r="G73" s="284">
        <f>IF($H$2=0,"",IF($H$2-497&gt;=$H$4,$H$2-497,""))</f>
        <v/>
      </c>
      <c r="I73" s="284">
        <f>IF($J$2=0,"",IF($J$2-497&gt;=$J$4,$J$2-497,""))</f>
        <v/>
      </c>
    </row>
    <row r="74">
      <c r="A74" s="284">
        <f>IF($B$2=0,"",IF($B$2-504&gt;=$B$4,$B$2-504,""))</f>
        <v/>
      </c>
      <c r="C74" s="284">
        <f>IF($D$2=0,"",IF($D$2-504&gt;=$D$4,$D$2-504,""))</f>
        <v/>
      </c>
      <c r="E74" s="284">
        <f>IF($F$2=0,"",IF($F$2-504&gt;=$F$4,$F$2-504,""))</f>
        <v/>
      </c>
      <c r="G74" s="284">
        <f>IF($H$2=0,"",IF($H$2-504&gt;=$H$4,$H$2-504,""))</f>
        <v/>
      </c>
      <c r="I74" s="284">
        <f>IF($J$2=0,"",IF($J$2-504&gt;=$J$4,$J$2-504,""))</f>
        <v/>
      </c>
    </row>
    <row r="75">
      <c r="A75" s="284">
        <f>IF($B$2=0,"",IF($B$2-511&gt;=$B$4,$B$2-511,""))</f>
        <v/>
      </c>
      <c r="C75" s="284">
        <f>IF($D$2=0,"",IF($D$2-511&gt;=$D$4,$D$2-511,""))</f>
        <v/>
      </c>
      <c r="E75" s="284">
        <f>IF($F$2=0,"",IF($F$2-511&gt;=$F$4,$F$2-511,""))</f>
        <v/>
      </c>
      <c r="G75" s="284">
        <f>IF($H$2=0,"",IF($H$2-511&gt;=$H$4,$H$2-511,""))</f>
        <v/>
      </c>
      <c r="I75" s="284">
        <f>IF($J$2=0,"",IF($J$2-511&gt;=$J$4,$J$2-511,""))</f>
        <v/>
      </c>
    </row>
    <row r="76">
      <c r="A76" s="284">
        <f>IF($B$2=0,"",IF($B$2-518&gt;=$B$4,$B$2-518,""))</f>
        <v/>
      </c>
      <c r="C76" s="284">
        <f>IF($D$2=0,"",IF($D$2-518&gt;=$D$4,$D$2-518,""))</f>
        <v/>
      </c>
      <c r="E76" s="284">
        <f>IF($F$2=0,"",IF($F$2-518&gt;=$F$4,$F$2-518,""))</f>
        <v/>
      </c>
      <c r="G76" s="284">
        <f>IF($H$2=0,"",IF($H$2-518&gt;=$H$4,$H$2-518,""))</f>
        <v/>
      </c>
      <c r="I76" s="284">
        <f>IF($J$2=0,"",IF($J$2-518&gt;=$J$4,$J$2-518,""))</f>
        <v/>
      </c>
    </row>
    <row r="77">
      <c r="A77" s="284">
        <f>IF($B$2=0,"",IF($B$2-525&gt;=$B$4,$B$2-525,""))</f>
        <v/>
      </c>
      <c r="C77" s="284">
        <f>IF($D$2=0,"",IF($D$2-525&gt;=$D$4,$D$2-525,""))</f>
        <v/>
      </c>
      <c r="E77" s="284">
        <f>IF($F$2=0,"",IF($F$2-525&gt;=$F$4,$F$2-525,""))</f>
        <v/>
      </c>
      <c r="G77" s="284">
        <f>IF($H$2=0,"",IF($H$2-525&gt;=$H$4,$H$2-525,""))</f>
        <v/>
      </c>
      <c r="I77" s="284">
        <f>IF($J$2=0,"",IF($J$2-525&gt;=$J$4,$J$2-525,""))</f>
        <v/>
      </c>
    </row>
    <row r="78">
      <c r="A78" s="284">
        <f>IF($B$2=0,"",IF($B$2-532&gt;=$B$4,$B$2-532,""))</f>
        <v/>
      </c>
      <c r="C78" s="284">
        <f>IF($D$2=0,"",IF($D$2-532&gt;=$D$4,$D$2-532,""))</f>
        <v/>
      </c>
      <c r="E78" s="284">
        <f>IF($F$2=0,"",IF($F$2-532&gt;=$F$4,$F$2-532,""))</f>
        <v/>
      </c>
      <c r="G78" s="284">
        <f>IF($H$2=0,"",IF($H$2-532&gt;=$H$4,$H$2-532,""))</f>
        <v/>
      </c>
      <c r="I78" s="284">
        <f>IF($J$2=0,"",IF($J$2-532&gt;=$J$4,$J$2-532,""))</f>
        <v/>
      </c>
    </row>
    <row r="79">
      <c r="A79" s="284">
        <f>IF($B$2=0,"",IF($B$2-539&gt;=$B$4,$B$2-539,""))</f>
        <v/>
      </c>
      <c r="C79" s="284">
        <f>IF($D$2=0,"",IF($D$2-539&gt;=$D$4,$D$2-539,""))</f>
        <v/>
      </c>
      <c r="E79" s="284">
        <f>IF($F$2=0,"",IF($F$2-539&gt;=$F$4,$F$2-539,""))</f>
        <v/>
      </c>
      <c r="G79" s="284">
        <f>IF($H$2=0,"",IF($H$2-539&gt;=$H$4,$H$2-539,""))</f>
        <v/>
      </c>
      <c r="I79" s="284">
        <f>IF($J$2=0,"",IF($J$2-539&gt;=$J$4,$J$2-539,""))</f>
        <v/>
      </c>
    </row>
    <row r="80">
      <c r="A80" s="284">
        <f>IF($B$2=0,"",IF($B$2-546&gt;=$B$4,$B$2-546,""))</f>
        <v/>
      </c>
      <c r="C80" s="284">
        <f>IF($D$2=0,"",IF($D$2-546&gt;=$D$4,$D$2-546,""))</f>
        <v/>
      </c>
      <c r="E80" s="284">
        <f>IF($F$2=0,"",IF($F$2-546&gt;=$F$4,$F$2-546,""))</f>
        <v/>
      </c>
      <c r="G80" s="284">
        <f>IF($H$2=0,"",IF($H$2-546&gt;=$H$4,$H$2-546,""))</f>
        <v/>
      </c>
      <c r="I80" s="284">
        <f>IF($J$2=0,"",IF($J$2-546&gt;=$J$4,$J$2-546,""))</f>
        <v/>
      </c>
    </row>
    <row r="81">
      <c r="A81" s="284">
        <f>IF($B$2=0,"",IF($B$2-553&gt;=$B$4,$B$2-553,""))</f>
        <v/>
      </c>
      <c r="C81" s="284">
        <f>IF($D$2=0,"",IF($D$2-553&gt;=$D$4,$D$2-553,""))</f>
        <v/>
      </c>
      <c r="E81" s="284">
        <f>IF($F$2=0,"",IF($F$2-553&gt;=$F$4,$F$2-553,""))</f>
        <v/>
      </c>
      <c r="G81" s="284">
        <f>IF($H$2=0,"",IF($H$2-553&gt;=$H$4,$H$2-553,""))</f>
        <v/>
      </c>
      <c r="I81" s="284">
        <f>IF($J$2=0,"",IF($J$2-553&gt;=$J$4,$J$2-553,""))</f>
        <v/>
      </c>
    </row>
    <row r="82">
      <c r="A82" s="284">
        <f>IF($B$2=0,"",IF($B$2-560&gt;=$B$4,$B$2-560,""))</f>
        <v/>
      </c>
      <c r="C82" s="284">
        <f>IF($D$2=0,"",IF($D$2-560&gt;=$D$4,$D$2-560,""))</f>
        <v/>
      </c>
      <c r="E82" s="284">
        <f>IF($F$2=0,"",IF($F$2-560&gt;=$F$4,$F$2-560,""))</f>
        <v/>
      </c>
      <c r="G82" s="284">
        <f>IF($H$2=0,"",IF($H$2-560&gt;=$H$4,$H$2-560,""))</f>
        <v/>
      </c>
      <c r="I82" s="284">
        <f>IF($J$2=0,"",IF($J$2-560&gt;=$J$4,$J$2-560,""))</f>
        <v/>
      </c>
    </row>
    <row r="83">
      <c r="A83" s="284">
        <f>IF($B$2=0,"",IF($B$2-567&gt;=$B$4,$B$2-567,""))</f>
        <v/>
      </c>
      <c r="C83" s="284">
        <f>IF($D$2=0,"",IF($D$2-567&gt;=$D$4,$D$2-567,""))</f>
        <v/>
      </c>
      <c r="E83" s="284">
        <f>IF($F$2=0,"",IF($F$2-567&gt;=$F$4,$F$2-567,""))</f>
        <v/>
      </c>
      <c r="G83" s="284">
        <f>IF($H$2=0,"",IF($H$2-567&gt;=$H$4,$H$2-567,""))</f>
        <v/>
      </c>
      <c r="I83" s="284">
        <f>IF($J$2=0,"",IF($J$2-567&gt;=$J$4,$J$2-567,""))</f>
        <v/>
      </c>
    </row>
    <row r="84">
      <c r="A84" s="284">
        <f>IF($B$2=0,"",IF($B$2-574&gt;=$B$4,$B$2-574,""))</f>
        <v/>
      </c>
      <c r="C84" s="284">
        <f>IF($D$2=0,"",IF($D$2-574&gt;=$D$4,$D$2-574,""))</f>
        <v/>
      </c>
      <c r="E84" s="284">
        <f>IF($F$2=0,"",IF($F$2-574&gt;=$F$4,$F$2-574,""))</f>
        <v/>
      </c>
      <c r="G84" s="284">
        <f>IF($H$2=0,"",IF($H$2-574&gt;=$H$4,$H$2-574,""))</f>
        <v/>
      </c>
      <c r="I84" s="284">
        <f>IF($J$2=0,"",IF($J$2-574&gt;=$J$4,$J$2-574,""))</f>
        <v/>
      </c>
    </row>
    <row r="85">
      <c r="A85" s="284">
        <f>IF($B$2=0,"",IF($B$2-581&gt;=$B$4,$B$2-581,""))</f>
        <v/>
      </c>
      <c r="C85" s="284">
        <f>IF($D$2=0,"",IF($D$2-581&gt;=$D$4,$D$2-581,""))</f>
        <v/>
      </c>
      <c r="E85" s="284">
        <f>IF($F$2=0,"",IF($F$2-581&gt;=$F$4,$F$2-581,""))</f>
        <v/>
      </c>
      <c r="G85" s="284">
        <f>IF($H$2=0,"",IF($H$2-581&gt;=$H$4,$H$2-581,""))</f>
        <v/>
      </c>
      <c r="I85" s="284">
        <f>IF($J$2=0,"",IF($J$2-581&gt;=$J$4,$J$2-581,""))</f>
        <v/>
      </c>
    </row>
    <row r="86">
      <c r="A86" s="284">
        <f>IF($B$2=0,"",IF($B$2-588&gt;=$B$4,$B$2-588,""))</f>
        <v/>
      </c>
      <c r="C86" s="284">
        <f>IF($D$2=0,"",IF($D$2-588&gt;=$D$4,$D$2-588,""))</f>
        <v/>
      </c>
      <c r="E86" s="284">
        <f>IF($F$2=0,"",IF($F$2-588&gt;=$F$4,$F$2-588,""))</f>
        <v/>
      </c>
      <c r="G86" s="284">
        <f>IF($H$2=0,"",IF($H$2-588&gt;=$H$4,$H$2-588,""))</f>
        <v/>
      </c>
      <c r="I86" s="284">
        <f>IF($J$2=0,"",IF($J$2-588&gt;=$J$4,$J$2-588,""))</f>
        <v/>
      </c>
    </row>
    <row r="87">
      <c r="A87" s="284">
        <f>IF($B$2=0,"",IF($B$2-595&gt;=$B$4,$B$2-595,""))</f>
        <v/>
      </c>
      <c r="C87" s="284">
        <f>IF($D$2=0,"",IF($D$2-595&gt;=$D$4,$D$2-595,""))</f>
        <v/>
      </c>
      <c r="E87" s="284">
        <f>IF($F$2=0,"",IF($F$2-595&gt;=$F$4,$F$2-595,""))</f>
        <v/>
      </c>
      <c r="G87" s="284">
        <f>IF($H$2=0,"",IF($H$2-595&gt;=$H$4,$H$2-595,""))</f>
        <v/>
      </c>
      <c r="I87" s="284">
        <f>IF($J$2=0,"",IF($J$2-595&gt;=$J$4,$J$2-595,""))</f>
        <v/>
      </c>
    </row>
    <row r="88">
      <c r="A88" s="284">
        <f>IF($B$2=0,"",IF($B$2-602&gt;=$B$4,$B$2-602,""))</f>
        <v/>
      </c>
      <c r="C88" s="284">
        <f>IF($D$2=0,"",IF($D$2-602&gt;=$D$4,$D$2-602,""))</f>
        <v/>
      </c>
      <c r="E88" s="284">
        <f>IF($F$2=0,"",IF($F$2-602&gt;=$F$4,$F$2-602,""))</f>
        <v/>
      </c>
      <c r="G88" s="284">
        <f>IF($H$2=0,"",IF($H$2-602&gt;=$H$4,$H$2-602,""))</f>
        <v/>
      </c>
      <c r="I88" s="284">
        <f>IF($J$2=0,"",IF($J$2-602&gt;=$J$4,$J$2-602,""))</f>
        <v/>
      </c>
    </row>
    <row r="89">
      <c r="A89" s="284">
        <f>IF($B$2=0,"",IF($B$2-609&gt;=$B$4,$B$2-609,""))</f>
        <v/>
      </c>
      <c r="C89" s="284">
        <f>IF($D$2=0,"",IF($D$2-609&gt;=$D$4,$D$2-609,""))</f>
        <v/>
      </c>
      <c r="E89" s="284">
        <f>IF($F$2=0,"",IF($F$2-609&gt;=$F$4,$F$2-609,""))</f>
        <v/>
      </c>
      <c r="G89" s="284">
        <f>IF($H$2=0,"",IF($H$2-609&gt;=$H$4,$H$2-609,""))</f>
        <v/>
      </c>
      <c r="I89" s="284">
        <f>IF($J$2=0,"",IF($J$2-609&gt;=$J$4,$J$2-609,""))</f>
        <v/>
      </c>
    </row>
    <row r="90">
      <c r="A90" s="284">
        <f>IF($B$2=0,"",IF($B$2-616&gt;=$B$4,$B$2-616,""))</f>
        <v/>
      </c>
      <c r="C90" s="284">
        <f>IF($D$2=0,"",IF($D$2-616&gt;=$D$4,$D$2-616,""))</f>
        <v/>
      </c>
      <c r="E90" s="284">
        <f>IF($F$2=0,"",IF($F$2-616&gt;=$F$4,$F$2-616,""))</f>
        <v/>
      </c>
      <c r="G90" s="284">
        <f>IF($H$2=0,"",IF($H$2-616&gt;=$H$4,$H$2-616,""))</f>
        <v/>
      </c>
      <c r="I90" s="284">
        <f>IF($J$2=0,"",IF($J$2-616&gt;=$J$4,$J$2-616,""))</f>
        <v/>
      </c>
    </row>
    <row r="91">
      <c r="A91" s="284">
        <f>IF($B$2=0,"",IF($B$2-623&gt;=$B$4,$B$2-623,""))</f>
        <v/>
      </c>
      <c r="C91" s="284">
        <f>IF($D$2=0,"",IF($D$2-623&gt;=$D$4,$D$2-623,""))</f>
        <v/>
      </c>
      <c r="E91" s="284">
        <f>IF($F$2=0,"",IF($F$2-623&gt;=$F$4,$F$2-623,""))</f>
        <v/>
      </c>
      <c r="G91" s="284">
        <f>IF($H$2=0,"",IF($H$2-623&gt;=$H$4,$H$2-623,""))</f>
        <v/>
      </c>
      <c r="I91" s="284">
        <f>IF($J$2=0,"",IF($J$2-623&gt;=$J$4,$J$2-623,""))</f>
        <v/>
      </c>
    </row>
    <row r="92">
      <c r="A92" s="284">
        <f>IF($B$2=0,"",IF($B$2-630&gt;=$B$4,$B$2-630,""))</f>
        <v/>
      </c>
      <c r="C92" s="284">
        <f>IF($D$2=0,"",IF($D$2-630&gt;=$D$4,$D$2-630,""))</f>
        <v/>
      </c>
      <c r="E92" s="284">
        <f>IF($F$2=0,"",IF($F$2-630&gt;=$F$4,$F$2-630,""))</f>
        <v/>
      </c>
      <c r="G92" s="284">
        <f>IF($H$2=0,"",IF($H$2-630&gt;=$H$4,$H$2-630,""))</f>
        <v/>
      </c>
      <c r="I92" s="284">
        <f>IF($J$2=0,"",IF($J$2-630&gt;=$J$4,$J$2-630,""))</f>
        <v/>
      </c>
    </row>
    <row r="93">
      <c r="A93" s="284">
        <f>IF($B$2=0,"",IF($B$2-637&gt;=$B$4,$B$2-637,""))</f>
        <v/>
      </c>
      <c r="C93" s="284">
        <f>IF($D$2=0,"",IF($D$2-637&gt;=$D$4,$D$2-637,""))</f>
        <v/>
      </c>
      <c r="E93" s="284">
        <f>IF($F$2=0,"",IF($F$2-637&gt;=$F$4,$F$2-637,""))</f>
        <v/>
      </c>
      <c r="G93" s="284">
        <f>IF($H$2=0,"",IF($H$2-637&gt;=$H$4,$H$2-637,""))</f>
        <v/>
      </c>
      <c r="I93" s="284">
        <f>IF($J$2=0,"",IF($J$2-637&gt;=$J$4,$J$2-637,""))</f>
        <v/>
      </c>
    </row>
    <row r="94">
      <c r="A94" s="284">
        <f>IF($B$2=0,"",IF($B$2-644&gt;=$B$4,$B$2-644,""))</f>
        <v/>
      </c>
      <c r="C94" s="284">
        <f>IF($D$2=0,"",IF($D$2-644&gt;=$D$4,$D$2-644,""))</f>
        <v/>
      </c>
      <c r="E94" s="284">
        <f>IF($F$2=0,"",IF($F$2-644&gt;=$F$4,$F$2-644,""))</f>
        <v/>
      </c>
      <c r="G94" s="284">
        <f>IF($H$2=0,"",IF($H$2-644&gt;=$H$4,$H$2-644,""))</f>
        <v/>
      </c>
      <c r="I94" s="284">
        <f>IF($J$2=0,"",IF($J$2-644&gt;=$J$4,$J$2-644,""))</f>
        <v/>
      </c>
    </row>
    <row r="95">
      <c r="A95" s="284">
        <f>IF($B$2=0,"",IF($B$2-651&gt;=$B$4,$B$2-651,""))</f>
        <v/>
      </c>
      <c r="C95" s="284">
        <f>IF($D$2=0,"",IF($D$2-651&gt;=$D$4,$D$2-651,""))</f>
        <v/>
      </c>
      <c r="E95" s="284">
        <f>IF($F$2=0,"",IF($F$2-651&gt;=$F$4,$F$2-651,""))</f>
        <v/>
      </c>
      <c r="G95" s="284">
        <f>IF($H$2=0,"",IF($H$2-651&gt;=$H$4,$H$2-651,""))</f>
        <v/>
      </c>
      <c r="I95" s="284">
        <f>IF($J$2=0,"",IF($J$2-651&gt;=$J$4,$J$2-651,""))</f>
        <v/>
      </c>
    </row>
    <row r="96">
      <c r="A96" s="284">
        <f>IF($B$2=0,"",IF($B$2-658&gt;=$B$4,$B$2-658,""))</f>
        <v/>
      </c>
      <c r="C96" s="284">
        <f>IF($D$2=0,"",IF($D$2-658&gt;=$D$4,$D$2-658,""))</f>
        <v/>
      </c>
      <c r="E96" s="284">
        <f>IF($F$2=0,"",IF($F$2-658&gt;=$F$4,$F$2-658,""))</f>
        <v/>
      </c>
      <c r="G96" s="284">
        <f>IF($H$2=0,"",IF($H$2-658&gt;=$H$4,$H$2-658,""))</f>
        <v/>
      </c>
      <c r="I96" s="284">
        <f>IF($J$2=0,"",IF($J$2-658&gt;=$J$4,$J$2-658,""))</f>
        <v/>
      </c>
    </row>
    <row r="97">
      <c r="A97" s="284">
        <f>IF($B$2=0,"",IF($B$2-665&gt;=$B$4,$B$2-665,""))</f>
        <v/>
      </c>
      <c r="C97" s="284">
        <f>IF($D$2=0,"",IF($D$2-665&gt;=$D$4,$D$2-665,""))</f>
        <v/>
      </c>
      <c r="E97" s="284">
        <f>IF($F$2=0,"",IF($F$2-665&gt;=$F$4,$F$2-665,""))</f>
        <v/>
      </c>
      <c r="G97" s="284">
        <f>IF($H$2=0,"",IF($H$2-665&gt;=$H$4,$H$2-665,""))</f>
        <v/>
      </c>
      <c r="I97" s="284">
        <f>IF($J$2=0,"",IF($J$2-665&gt;=$J$4,$J$2-665,""))</f>
        <v/>
      </c>
    </row>
    <row r="98">
      <c r="A98" s="284">
        <f>IF($B$2=0,"",IF($B$2-672&gt;=$B$4,$B$2-672,""))</f>
        <v/>
      </c>
      <c r="C98" s="284">
        <f>IF($D$2=0,"",IF($D$2-672&gt;=$D$4,$D$2-672,""))</f>
        <v/>
      </c>
      <c r="E98" s="284">
        <f>IF($F$2=0,"",IF($F$2-672&gt;=$F$4,$F$2-672,""))</f>
        <v/>
      </c>
      <c r="G98" s="284">
        <f>IF($H$2=0,"",IF($H$2-672&gt;=$H$4,$H$2-672,""))</f>
        <v/>
      </c>
      <c r="I98" s="284">
        <f>IF($J$2=0,"",IF($J$2-672&gt;=$J$4,$J$2-672,""))</f>
        <v/>
      </c>
    </row>
    <row r="99">
      <c r="A99" s="284">
        <f>IF($B$2=0,"",IF($B$2-679&gt;=$B$4,$B$2-679,""))</f>
        <v/>
      </c>
      <c r="C99" s="284">
        <f>IF($D$2=0,"",IF($D$2-679&gt;=$D$4,$D$2-679,""))</f>
        <v/>
      </c>
      <c r="E99" s="284">
        <f>IF($F$2=0,"",IF($F$2-679&gt;=$F$4,$F$2-679,""))</f>
        <v/>
      </c>
      <c r="G99" s="284">
        <f>IF($H$2=0,"",IF($H$2-679&gt;=$H$4,$H$2-679,""))</f>
        <v/>
      </c>
      <c r="I99" s="284">
        <f>IF($J$2=0,"",IF($J$2-679&gt;=$J$4,$J$2-679,""))</f>
        <v/>
      </c>
    </row>
    <row r="100">
      <c r="A100" s="284">
        <f>IF($B$2=0,"",IF($B$2-686&gt;=$B$4,$B$2-686,""))</f>
        <v/>
      </c>
      <c r="C100" s="284">
        <f>IF($D$2=0,"",IF($D$2-686&gt;=$D$4,$D$2-686,""))</f>
        <v/>
      </c>
      <c r="E100" s="284">
        <f>IF($F$2=0,"",IF($F$2-686&gt;=$F$4,$F$2-686,""))</f>
        <v/>
      </c>
      <c r="G100" s="284">
        <f>IF($H$2=0,"",IF($H$2-686&gt;=$H$4,$H$2-686,""))</f>
        <v/>
      </c>
      <c r="I100" s="284">
        <f>IF($J$2=0,"",IF($J$2-686&gt;=$J$4,$J$2-686,""))</f>
        <v/>
      </c>
    </row>
    <row r="101">
      <c r="A101" s="284">
        <f>IF($B$2=0,"",IF($B$2-693&gt;=$B$4,$B$2-693,""))</f>
        <v/>
      </c>
      <c r="C101" s="284">
        <f>IF($D$2=0,"",IF($D$2-693&gt;=$D$4,$D$2-693,""))</f>
        <v/>
      </c>
      <c r="E101" s="284">
        <f>IF($F$2=0,"",IF($F$2-693&gt;=$F$4,$F$2-693,""))</f>
        <v/>
      </c>
      <c r="G101" s="284">
        <f>IF($H$2=0,"",IF($H$2-693&gt;=$H$4,$H$2-693,""))</f>
        <v/>
      </c>
      <c r="I101" s="284">
        <f>IF($J$2=0,"",IF($J$2-693&gt;=$J$4,$J$2-693,""))</f>
        <v/>
      </c>
    </row>
    <row r="102">
      <c r="A102" s="284">
        <f>IF($B$2=0,"",IF($B$2-700&gt;=$B$4,$B$2-700,""))</f>
        <v/>
      </c>
      <c r="C102" s="284">
        <f>IF($D$2=0,"",IF($D$2-700&gt;=$D$4,$D$2-700,""))</f>
        <v/>
      </c>
      <c r="E102" s="284">
        <f>IF($F$2=0,"",IF($F$2-700&gt;=$F$4,$F$2-700,""))</f>
        <v/>
      </c>
      <c r="G102" s="284">
        <f>IF($H$2=0,"",IF($H$2-700&gt;=$H$4,$H$2-700,""))</f>
        <v/>
      </c>
      <c r="I102" s="284">
        <f>IF($J$2=0,"",IF($J$2-700&gt;=$J$4,$J$2-700,""))</f>
        <v/>
      </c>
    </row>
    <row r="103">
      <c r="A103" s="284">
        <f>IF($B$2=0,"",IF($B$2-707&gt;=$B$4,$B$2-707,""))</f>
        <v/>
      </c>
      <c r="C103" s="284">
        <f>IF($D$2=0,"",IF($D$2-707&gt;=$D$4,$D$2-707,""))</f>
        <v/>
      </c>
      <c r="E103" s="284">
        <f>IF($F$2=0,"",IF($F$2-707&gt;=$F$4,$F$2-707,""))</f>
        <v/>
      </c>
      <c r="G103" s="284">
        <f>IF($H$2=0,"",IF($H$2-707&gt;=$H$4,$H$2-707,""))</f>
        <v/>
      </c>
      <c r="I103" s="284">
        <f>IF($J$2=0,"",IF($J$2-707&gt;=$J$4,$J$2-707,""))</f>
        <v/>
      </c>
    </row>
    <row r="104">
      <c r="A104" s="284">
        <f>IF($B$2=0,"",IF($B$2-714&gt;=$B$4,$B$2-714,""))</f>
        <v/>
      </c>
      <c r="C104" s="284">
        <f>IF($D$2=0,"",IF($D$2-714&gt;=$D$4,$D$2-714,""))</f>
        <v/>
      </c>
      <c r="E104" s="284">
        <f>IF($F$2=0,"",IF($F$2-714&gt;=$F$4,$F$2-714,""))</f>
        <v/>
      </c>
      <c r="G104" s="284">
        <f>IF($H$2=0,"",IF($H$2-714&gt;=$H$4,$H$2-714,""))</f>
        <v/>
      </c>
      <c r="I104" s="284">
        <f>IF($J$2=0,"",IF($J$2-714&gt;=$J$4,$J$2-714,""))</f>
        <v/>
      </c>
    </row>
    <row r="105">
      <c r="A105" s="284">
        <f>IF($B$2=0,"",IF($B$2-721&gt;=$B$4,$B$2-721,""))</f>
        <v/>
      </c>
      <c r="C105" s="284">
        <f>IF($D$2=0,"",IF($D$2-721&gt;=$D$4,$D$2-721,""))</f>
        <v/>
      </c>
      <c r="E105" s="284">
        <f>IF($F$2=0,"",IF($F$2-721&gt;=$F$4,$F$2-721,""))</f>
        <v/>
      </c>
      <c r="G105" s="284">
        <f>IF($H$2=0,"",IF($H$2-721&gt;=$H$4,$H$2-721,""))</f>
        <v/>
      </c>
      <c r="I105" s="284">
        <f>IF($J$2=0,"",IF($J$2-721&gt;=$J$4,$J$2-721,""))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1487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  <c r="F1" t="inlineStr">
        <is>
          <t>TRANSPORT match row</t>
        </is>
      </c>
      <c r="G1" t="inlineStr">
        <is>
          <t>TRANSPORT k-th match</t>
        </is>
      </c>
      <c r="H1" t="inlineStr">
        <is>
          <t>TRANSPORT name</t>
        </is>
      </c>
      <c r="I1" t="inlineStr">
        <is>
          <t>TRANSPORT matches</t>
        </is>
      </c>
      <c r="K1" t="inlineStr">
        <is>
          <t>MIDWEEK match row</t>
        </is>
      </c>
      <c r="L1" t="inlineStr">
        <is>
          <t>MIDWEEK k-th match</t>
        </is>
      </c>
      <c r="M1" t="inlineStr">
        <is>
          <t>MIDWEEK name</t>
        </is>
      </c>
      <c r="N1" t="inlineStr">
        <is>
          <t>MIDWEEK matches</t>
        </is>
      </c>
      <c r="P1" t="inlineStr">
        <is>
          <t>CHOP match row</t>
        </is>
      </c>
      <c r="Q1" t="inlineStr">
        <is>
          <t>CHOP k-th match</t>
        </is>
      </c>
      <c r="R1" t="inlineStr">
        <is>
          <t>CHOP name</t>
        </is>
      </c>
      <c r="S1" t="inlineStr">
        <is>
          <t>CHOP matches</t>
        </is>
      </c>
      <c r="U1" t="inlineStr">
        <is>
          <t>COMMUNITY match row</t>
        </is>
      </c>
      <c r="V1" t="inlineStr">
        <is>
          <t>COMMUNITY k-th match</t>
        </is>
      </c>
      <c r="W1" t="inlineStr">
        <is>
          <t>COMMUNITY name</t>
        </is>
      </c>
      <c r="X1" t="inlineStr">
        <is>
          <t>COMMUNITY matches</t>
        </is>
      </c>
    </row>
    <row r="2">
      <c r="A2">
        <f>IF('WSF DASHBOARD'!$B$4="Area",IF(1&lt;=$D$3,IF(AND(OR('WSF DASHBOARD'!$C$4="",ISNUMBER(SEARCH('WSF DASHBOARD'!$C$4,INDEX(MASTER_AREAS!$B:$B,2))))),1,""),""),IF('WSF DASHBOARD'!$B$4="Zone",IF(1&lt;=$D$4,IF(OR('WSF DASHBOARD'!$C$4="",ISNUMBER(SEARCH('WSF DASHBOARD'!$C$4,INDEX(MASTER_ZONES!$B:$B,2)))),1,""),""),""))</f>
        <v/>
      </c>
      <c r="B2">
        <f>IFERROR(SMALL($A$2:$A$1487,1),"")</f>
        <v/>
      </c>
      <c r="C2">
        <f>IF(B2="","",IF('WSF DASHBOARD'!$B$4="Area",INDEX(MASTER_AREAS!$B:$B,B2+1),INDEX(MASTER_ZONES!$B:$B,B2+1)))</f>
        <v/>
      </c>
      <c r="D2">
        <f>COUNT(A2:A1487)</f>
        <v/>
      </c>
      <c r="F2">
        <f>IF('TRANSPORT DASHBOARD'!$B$4="Area",IF(1&lt;=$I$3,IF(AND(INDEX(MASTER_AREAS!$F:$F,2)&lt;&gt;"N",OR('TRANSPORT DASHBOARD'!$C$4="",ISNUMBER(SEARCH('TRANSPORT DASHBOARD'!$C$4,INDEX(MASTER_AREAS!$B:$B,2))))),1,""),""),IF('TRANSPORT DASHBOARD'!$B$4="Zone",IF(1&lt;=$I$4,IF(OR('TRANSPORT DASHBOARD'!$C$4="",ISNUMBER(SEARCH('TRANSPORT DASHBOARD'!$C$4,INDEX(MASTER_ZONES!$B:$B,2)))),1,""),""),""))</f>
        <v/>
      </c>
      <c r="G2">
        <f>IFERROR(SMALL($F$2:$F$1487,1),"")</f>
        <v/>
      </c>
      <c r="H2">
        <f>IF(G2="","",IF('TRANSPORT DASHBOARD'!$B$4="Area",INDEX(MASTER_AREAS!$B:$B,G2+1),INDEX(MASTER_ZONES!$B:$B,G2+1)))</f>
        <v/>
      </c>
      <c r="I2">
        <f>COUNT(F2:F1487)</f>
        <v/>
      </c>
      <c r="K2">
        <f>IF('MIDWEEK DASHBOARD'!$B$4="Area",IF(1&lt;=$N$3,IF(AND(OR('MIDWEEK DASHBOARD'!$C$4="",ISNUMBER(SEARCH('MIDWEEK DASHBOARD'!$C$4,INDEX(MASTER_AREAS!$B:$B,2))))),1,""),""),IF('MIDWEEK DASHBOARD'!$B$4="Zone",IF(1&lt;=$N$4,IF(OR('MIDWEEK DASHBOARD'!$C$4="",ISNUMBER(SEARCH('MIDWEEK DASHBOARD'!$C$4,INDEX(MASTER_ZONES!$B:$B,2)))),1,""),""),""))</f>
        <v/>
      </c>
      <c r="L2">
        <f>IFERROR(SMALL($K$2:$K$1487,1),"")</f>
        <v/>
      </c>
      <c r="M2">
        <f>IF(L2="","",IF('MIDWEEK DASHBOARD'!$B$4="Area",INDEX(MASTER_AREAS!$B:$B,L2+1),INDEX(MASTER_ZONES!$B:$B,L2+1)))</f>
        <v/>
      </c>
      <c r="N2">
        <f>COUNT(K2:K1487)</f>
        <v/>
      </c>
      <c r="P2">
        <f>IF('CHOP DASHBOARD'!$B$4="Area",IF(1&lt;=$S$3,IF(AND(OR('CHOP DASHBOARD'!$C$4="",ISNUMBER(SEARCH('CHOP DASHBOARD'!$C$4,INDEX(MASTER_AREAS!$B:$B,2))))),1,""),""),IF('CHOP DASHBOARD'!$B$4="Zone",IF(1&lt;=$S$4,IF(OR('CHOP DASHBOARD'!$C$4="",ISNUMBER(SEARCH('CHOP DASHBOARD'!$C$4,INDEX(MASTER_ZONES!$B:$B,2)))),1,""),""),""))</f>
        <v/>
      </c>
      <c r="Q2">
        <f>IFERROR(SMALL($P$2:$P$1487,1),"")</f>
        <v/>
      </c>
      <c r="R2">
        <f>IF(Q2="","",IF('CHOP DASHBOARD'!$B$4="Area",INDEX(MASTER_AREAS!$B:$B,Q2+1),INDEX(MASTER_ZONES!$B:$B,Q2+1)))</f>
        <v/>
      </c>
      <c r="S2">
        <f>COUNT(P2:P1487)</f>
        <v/>
      </c>
      <c r="U2">
        <f>IF('COMMUNITY CHURCH DASHBOARD'!$B$4="Area",IF(1&lt;=$X$3,IF(AND(OR('COMMUNITY CHURCH DASHBOARD'!$C$4="",ISNUMBER(SEARCH('COMMUNITY CHURCH DASHBOARD'!$C$4,INDEX(MASTER_AREAS!$B:$B,2))))),1,""),""),IF('COMMUNITY CHURCH DASHBOARD'!$B$4="Zone",IF(1&lt;=$X$4,IF(OR('COMMUNITY CHURCH DASHBOARD'!$C$4="",ISNUMBER(SEARCH('COMMUNITY CHURCH DASHBOARD'!$C$4,INDEX(MASTER_ZONES!$B:$B,2)))),1,""),""),""))</f>
        <v/>
      </c>
      <c r="V2">
        <f>IFERROR(SMALL($U$2:$U$1487,1),"")</f>
        <v/>
      </c>
      <c r="W2">
        <f>IF(V2="","",IF('COMMUNITY CHURCH DASHBOARD'!$B$4="Area",INDEX(MASTER_AREAS!$B:$B,V2+1),INDEX(MASTER_ZONES!$B:$B,V2+1)))</f>
        <v/>
      </c>
      <c r="X2">
        <f>COUNT(U2:U1487)</f>
        <v/>
      </c>
    </row>
    <row r="3">
      <c r="A3">
        <f>IF('WSF DASHBOARD'!$B$4="Area",IF(2&lt;=$D$3,IF(AND(OR('WSF DASHBOARD'!$C$4="",ISNUMBER(SEARCH('WSF DASHBOARD'!$C$4,INDEX(MASTER_AREAS!$B:$B,3))))),2,""),""),IF('WSF DASHBOARD'!$B$4="Zone",IF(2&lt;=$D$4,IF(OR('WSF DASHBOARD'!$C$4="",ISNUMBER(SEARCH('WSF DASHBOARD'!$C$4,INDEX(MASTER_ZONES!$B:$B,3)))),2,""),""),""))</f>
        <v/>
      </c>
      <c r="B3">
        <f>IFERROR(SMALL($A$2:$A$1487,2),"")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  <c r="F3">
        <f>IF('TRANSPORT DASHBOARD'!$B$4="Area",IF(2&lt;=$I$3,IF(AND(INDEX(MASTER_AREAS!$F:$F,3)&lt;&gt;"N",OR('TRANSPORT DASHBOARD'!$C$4="",ISNUMBER(SEARCH('TRANSPORT DASHBOARD'!$C$4,INDEX(MASTER_AREAS!$B:$B,3))))),2,""),""),IF('TRANSPORT DASHBOARD'!$B$4="Zone",IF(2&lt;=$I$4,IF(OR('TRANSPORT DASHBOARD'!$C$4="",ISNUMBER(SEARCH('TRANSPORT DASHBOARD'!$C$4,INDEX(MASTER_ZONES!$B:$B,3)))),2,""),""),""))</f>
        <v/>
      </c>
      <c r="G3">
        <f>IFERROR(SMALL($F$2:$F$1487,2),"")</f>
        <v/>
      </c>
      <c r="H3">
        <f>IF(G3="","",IF('TRANSPORT DASHBOARD'!$B$4="Area",INDEX(MASTER_AREAS!$B:$B,G3+1),INDEX(MASTER_ZONES!$B:$B,G3+1)))</f>
        <v/>
      </c>
      <c r="I3">
        <f>COUNTA(MASTER_AREAS!$B:$B)-1</f>
        <v/>
      </c>
      <c r="K3">
        <f>IF('MIDWEEK DASHBOARD'!$B$4="Area",IF(2&lt;=$N$3,IF(AND(OR('MIDWEEK DASHBOARD'!$C$4="",ISNUMBER(SEARCH('MIDWEEK DASHBOARD'!$C$4,INDEX(MASTER_AREAS!$B:$B,3))))),2,""),""),IF('MIDWEEK DASHBOARD'!$B$4="Zone",IF(2&lt;=$N$4,IF(OR('MIDWEEK DASHBOARD'!$C$4="",ISNUMBER(SEARCH('MIDWEEK DASHBOARD'!$C$4,INDEX(MASTER_ZONES!$B:$B,3)))),2,""),""),""))</f>
        <v/>
      </c>
      <c r="L3">
        <f>IFERROR(SMALL($K$2:$K$1487,2),"")</f>
        <v/>
      </c>
      <c r="M3">
        <f>IF(L3="","",IF('MIDWEEK DASHBOARD'!$B$4="Area",INDEX(MASTER_AREAS!$B:$B,L3+1),INDEX(MASTER_ZONES!$B:$B,L3+1)))</f>
        <v/>
      </c>
      <c r="N3">
        <f>COUNTA(MASTER_AREAS!$B:$B)-1</f>
        <v/>
      </c>
      <c r="P3">
        <f>IF('CHOP DASHBOARD'!$B$4="Area",IF(2&lt;=$S$3,IF(AND(OR('CHOP DASHBOARD'!$C$4="",ISNUMBER(SEARCH('CHOP DASHBOARD'!$C$4,INDEX(MASTER_AREAS!$B:$B,3))))),2,""),""),IF('CHOP DASHBOARD'!$B$4="Zone",IF(2&lt;=$S$4,IF(OR('CHOP DASHBOARD'!$C$4="",ISNUMBER(SEARCH('CHOP DASHBOARD'!$C$4,INDEX(MASTER_ZONES!$B:$B,3)))),2,""),""),""))</f>
        <v/>
      </c>
      <c r="Q3">
        <f>IFERROR(SMALL($P$2:$P$1487,2),"")</f>
        <v/>
      </c>
      <c r="R3">
        <f>IF(Q3="","",IF('CHOP DASHBOARD'!$B$4="Area",INDEX(MASTER_AREAS!$B:$B,Q3+1),INDEX(MASTER_ZONES!$B:$B,Q3+1)))</f>
        <v/>
      </c>
      <c r="S3">
        <f>COUNTA(MASTER_AREAS!$B:$B)-1</f>
        <v/>
      </c>
      <c r="U3">
        <f>IF('COMMUNITY CHURCH DASHBOARD'!$B$4="Area",IF(2&lt;=$X$3,IF(AND(OR('COMMUNITY CHURCH DASHBOARD'!$C$4="",ISNUMBER(SEARCH('COMMUNITY CHURCH DASHBOARD'!$C$4,INDEX(MASTER_AREAS!$B:$B,3))))),2,""),""),IF('COMMUNITY CHURCH DASHBOARD'!$B$4="Zone",IF(2&lt;=$X$4,IF(OR('COMMUNITY CHURCH DASHBOARD'!$C$4="",ISNUMBER(SEARCH('COMMUNITY CHURCH DASHBOARD'!$C$4,INDEX(MASTER_ZONES!$B:$B,3)))),2,""),""),""))</f>
        <v/>
      </c>
      <c r="V3">
        <f>IFERROR(SMALL($U$2:$U$1487,2),"")</f>
        <v/>
      </c>
      <c r="W3">
        <f>IF(V3="","",IF('COMMUNITY CHURCH DASHBOARD'!$B$4="Area",INDEX(MASTER_AREAS!$B:$B,V3+1),INDEX(MASTER_ZONES!$B:$B,V3+1)))</f>
        <v/>
      </c>
      <c r="X3">
        <f>COUNTA(MASTER_AREAS!$B:$B)-1</f>
        <v/>
      </c>
    </row>
    <row r="4">
      <c r="A4">
        <f>IF('WSF DASHBOARD'!$B$4="Area",IF(3&lt;=$D$3,IF(AND(OR('WSF DASHBOARD'!$C$4="",ISNUMBER(SEARCH('WSF DASHBOARD'!$C$4,INDEX(MASTER_AREAS!$B:$B,4))))),3,""),""),IF('WSF DASHBOARD'!$B$4="Zone",IF(3&lt;=$D$4,IF(OR('WSF DASHBOARD'!$C$4="",ISNUMBER(SEARCH('WSF DASHBOARD'!$C$4,INDEX(MASTER_ZONES!$B:$B,4)))),3,""),""),""))</f>
        <v/>
      </c>
      <c r="B4">
        <f>IFERROR(SMALL($A$2:$A$1487,3),"")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  <c r="F4">
        <f>IF('TRANSPORT DASHBOARD'!$B$4="Area",IF(3&lt;=$I$3,IF(AND(INDEX(MASTER_AREAS!$F:$F,4)&lt;&gt;"N",OR('TRANSPORT DASHBOARD'!$C$4="",ISNUMBER(SEARCH('TRANSPORT DASHBOARD'!$C$4,INDEX(MASTER_AREAS!$B:$B,4))))),3,""),""),IF('TRANSPORT DASHBOARD'!$B$4="Zone",IF(3&lt;=$I$4,IF(OR('TRANSPORT DASHBOARD'!$C$4="",ISNUMBER(SEARCH('TRANSPORT DASHBOARD'!$C$4,INDEX(MASTER_ZONES!$B:$B,4)))),3,""),""),""))</f>
        <v/>
      </c>
      <c r="G4">
        <f>IFERROR(SMALL($F$2:$F$1487,3),"")</f>
        <v/>
      </c>
      <c r="H4">
        <f>IF(G4="","",IF('TRANSPORT DASHBOARD'!$B$4="Area",INDEX(MASTER_AREAS!$B:$B,G4+1),INDEX(MASTER_ZONES!$B:$B,G4+1)))</f>
        <v/>
      </c>
      <c r="I4">
        <f>COUNTA(MASTER_ZONES!$B:$B)-1</f>
        <v/>
      </c>
      <c r="K4">
        <f>IF('MIDWEEK DASHBOARD'!$B$4="Area",IF(3&lt;=$N$3,IF(AND(OR('MIDWEEK DASHBOARD'!$C$4="",ISNUMBER(SEARCH('MIDWEEK DASHBOARD'!$C$4,INDEX(MASTER_AREAS!$B:$B,4))))),3,""),""),IF('MIDWEEK DASHBOARD'!$B$4="Zone",IF(3&lt;=$N$4,IF(OR('MIDWEEK DASHBOARD'!$C$4="",ISNUMBER(SEARCH('MIDWEEK DASHBOARD'!$C$4,INDEX(MASTER_ZONES!$B:$B,4)))),3,""),""),""))</f>
        <v/>
      </c>
      <c r="L4">
        <f>IFERROR(SMALL($K$2:$K$1487,3),"")</f>
        <v/>
      </c>
      <c r="M4">
        <f>IF(L4="","",IF('MIDWEEK DASHBOARD'!$B$4="Area",INDEX(MASTER_AREAS!$B:$B,L4+1),INDEX(MASTER_ZONES!$B:$B,L4+1)))</f>
        <v/>
      </c>
      <c r="N4">
        <f>COUNTA(MASTER_ZONES!$B:$B)-1</f>
        <v/>
      </c>
      <c r="P4">
        <f>IF('CHOP DASHBOARD'!$B$4="Area",IF(3&lt;=$S$3,IF(AND(OR('CHOP DASHBOARD'!$C$4="",ISNUMBER(SEARCH('CHOP DASHBOARD'!$C$4,INDEX(MASTER_AREAS!$B:$B,4))))),3,""),""),IF('CHOP DASHBOARD'!$B$4="Zone",IF(3&lt;=$S$4,IF(OR('CHOP DASHBOARD'!$C$4="",ISNUMBER(SEARCH('CHOP DASHBOARD'!$C$4,INDEX(MASTER_ZONES!$B:$B,4)))),3,""),""),""))</f>
        <v/>
      </c>
      <c r="Q4">
        <f>IFERROR(SMALL($P$2:$P$1487,3),"")</f>
        <v/>
      </c>
      <c r="R4">
        <f>IF(Q4="","",IF('CHOP DASHBOARD'!$B$4="Area",INDEX(MASTER_AREAS!$B:$B,Q4+1),INDEX(MASTER_ZONES!$B:$B,Q4+1)))</f>
        <v/>
      </c>
      <c r="S4">
        <f>COUNTA(MASTER_ZONES!$B:$B)-1</f>
        <v/>
      </c>
      <c r="U4">
        <f>IF('COMMUNITY CHURCH DASHBOARD'!$B$4="Area",IF(3&lt;=$X$3,IF(AND(OR('COMMUNITY CHURCH DASHBOARD'!$C$4="",ISNUMBER(SEARCH('COMMUNITY CHURCH DASHBOARD'!$C$4,INDEX(MASTER_AREAS!$B:$B,4))))),3,""),""),IF('COMMUNITY CHURCH DASHBOARD'!$B$4="Zone",IF(3&lt;=$X$4,IF(OR('COMMUNITY CHURCH DASHBOARD'!$C$4="",ISNUMBER(SEARCH('COMMUNITY CHURCH DASHBOARD'!$C$4,INDEX(MASTER_ZONES!$B:$B,4)))),3,""),""),""))</f>
        <v/>
      </c>
      <c r="V4">
        <f>IFERROR(SMALL($U$2:$U$1487,3),"")</f>
        <v/>
      </c>
      <c r="W4">
        <f>IF(V4="","",IF('COMMUNITY CHURCH DASHBOARD'!$B$4="Area",INDEX(MASTER_AREAS!$B:$B,V4+1),INDEX(MASTER_ZONES!$B:$B,V4+1)))</f>
        <v/>
      </c>
      <c r="X4">
        <f>COUNTA(MASTER_ZONES!$B:$B)-1</f>
        <v/>
      </c>
    </row>
    <row r="5">
      <c r="A5">
        <f>IF('WSF DASHBOARD'!$B$4="Area",IF(4&lt;=$D$3,IF(AND(OR('WSF DASHBOARD'!$C$4="",ISNUMBER(SEARCH('WSF DASHBOARD'!$C$4,INDEX(MASTER_AREAS!$B:$B,5))))),4,""),""),IF('WSF DASHBOARD'!$B$4="Zone",IF(4&lt;=$D$4,IF(OR('WSF DASHBOARD'!$C$4="",ISNUMBER(SEARCH('WSF DASHBOARD'!$C$4,INDEX(MASTER_ZONES!$B:$B,5)))),4,""),""),""))</f>
        <v/>
      </c>
      <c r="B5">
        <f>IFERROR(SMALL($A$2:$A$1487,4),"")</f>
        <v/>
      </c>
      <c r="C5">
        <f>IF(B5="","",IF('WSF DASHBOARD'!$B$4="Area",INDEX(MASTER_AREAS!$B:$B,B5+1),INDEX(MASTER_ZONES!$B:$B,B5+1)))</f>
        <v/>
      </c>
      <c r="F5">
        <f>IF('TRANSPORT DASHBOARD'!$B$4="Area",IF(4&lt;=$I$3,IF(AND(INDEX(MASTER_AREAS!$F:$F,5)&lt;&gt;"N",OR('TRANSPORT DASHBOARD'!$C$4="",ISNUMBER(SEARCH('TRANSPORT DASHBOARD'!$C$4,INDEX(MASTER_AREAS!$B:$B,5))))),4,""),""),IF('TRANSPORT DASHBOARD'!$B$4="Zone",IF(4&lt;=$I$4,IF(OR('TRANSPORT DASHBOARD'!$C$4="",ISNUMBER(SEARCH('TRANSPORT DASHBOARD'!$C$4,INDEX(MASTER_ZONES!$B:$B,5)))),4,""),""),""))</f>
        <v/>
      </c>
      <c r="G5">
        <f>IFERROR(SMALL($F$2:$F$1487,4),"")</f>
        <v/>
      </c>
      <c r="H5">
        <f>IF(G5="","",IF('TRANSPORT DASHBOARD'!$B$4="Area",INDEX(MASTER_AREAS!$B:$B,G5+1),INDEX(MASTER_ZONES!$B:$B,G5+1)))</f>
        <v/>
      </c>
      <c r="K5">
        <f>IF('MIDWEEK DASHBOARD'!$B$4="Area",IF(4&lt;=$N$3,IF(AND(OR('MIDWEEK DASHBOARD'!$C$4="",ISNUMBER(SEARCH('MIDWEEK DASHBOARD'!$C$4,INDEX(MASTER_AREAS!$B:$B,5))))),4,""),""),IF('MIDWEEK DASHBOARD'!$B$4="Zone",IF(4&lt;=$N$4,IF(OR('MIDWEEK DASHBOARD'!$C$4="",ISNUMBER(SEARCH('MIDWEEK DASHBOARD'!$C$4,INDEX(MASTER_ZONES!$B:$B,5)))),4,""),""),""))</f>
        <v/>
      </c>
      <c r="L5">
        <f>IFERROR(SMALL($K$2:$K$1487,4),"")</f>
        <v/>
      </c>
      <c r="M5">
        <f>IF(L5="","",IF('MIDWEEK DASHBOARD'!$B$4="Area",INDEX(MASTER_AREAS!$B:$B,L5+1),INDEX(MASTER_ZONES!$B:$B,L5+1)))</f>
        <v/>
      </c>
      <c r="P5">
        <f>IF('CHOP DASHBOARD'!$B$4="Area",IF(4&lt;=$S$3,IF(AND(OR('CHOP DASHBOARD'!$C$4="",ISNUMBER(SEARCH('CHOP DASHBOARD'!$C$4,INDEX(MASTER_AREAS!$B:$B,5))))),4,""),""),IF('CHOP DASHBOARD'!$B$4="Zone",IF(4&lt;=$S$4,IF(OR('CHOP DASHBOARD'!$C$4="",ISNUMBER(SEARCH('CHOP DASHBOARD'!$C$4,INDEX(MASTER_ZONES!$B:$B,5)))),4,""),""),""))</f>
        <v/>
      </c>
      <c r="Q5">
        <f>IFERROR(SMALL($P$2:$P$1487,4),"")</f>
        <v/>
      </c>
      <c r="R5">
        <f>IF(Q5="","",IF('CHOP DASHBOARD'!$B$4="Area",INDEX(MASTER_AREAS!$B:$B,Q5+1),INDEX(MASTER_ZONES!$B:$B,Q5+1)))</f>
        <v/>
      </c>
      <c r="U5">
        <f>IF('COMMUNITY CHURCH DASHBOARD'!$B$4="Area",IF(4&lt;=$X$3,IF(AND(OR('COMMUNITY CHURCH DASHBOARD'!$C$4="",ISNUMBER(SEARCH('COMMUNITY CHURCH DASHBOARD'!$C$4,INDEX(MASTER_AREAS!$B:$B,5))))),4,""),""),IF('COMMUNITY CHURCH DASHBOARD'!$B$4="Zone",IF(4&lt;=$X$4,IF(OR('COMMUNITY CHURCH DASHBOARD'!$C$4="",ISNUMBER(SEARCH('COMMUNITY CHURCH DASHBOARD'!$C$4,INDEX(MASTER_ZONES!$B:$B,5)))),4,""),""),""))</f>
        <v/>
      </c>
      <c r="V5">
        <f>IFERROR(SMALL($U$2:$U$1487,4),"")</f>
        <v/>
      </c>
      <c r="W5">
        <f>IF(V5="","",IF('COMMUNITY CHURCH DASHBOARD'!$B$4="Area",INDEX(MASTER_AREAS!$B:$B,V5+1),INDEX(MASTER_ZONES!$B:$B,V5+1)))</f>
        <v/>
      </c>
    </row>
    <row r="6">
      <c r="A6">
        <f>IF('WSF DASHBOARD'!$B$4="Area",IF(5&lt;=$D$3,IF(AND(OR('WSF DASHBOARD'!$C$4="",ISNUMBER(SEARCH('WSF DASHBOARD'!$C$4,INDEX(MASTER_AREAS!$B:$B,6))))),5,""),""),IF('WSF DASHBOARD'!$B$4="Zone",IF(5&lt;=$D$4,IF(OR('WSF DASHBOARD'!$C$4="",ISNUMBER(SEARCH('WSF DASHBOARD'!$C$4,INDEX(MASTER_ZONES!$B:$B,6)))),5,""),""),""))</f>
        <v/>
      </c>
      <c r="B6">
        <f>IFERROR(SMALL($A$2:$A$1487,5),"")</f>
        <v/>
      </c>
      <c r="C6">
        <f>IF(B6="","",IF('WSF DASHBOARD'!$B$4="Area",INDEX(MASTER_AREAS!$B:$B,B6+1),INDEX(MASTER_ZONES!$B:$B,B6+1)))</f>
        <v/>
      </c>
      <c r="F6">
        <f>IF('TRANSPORT DASHBOARD'!$B$4="Area",IF(5&lt;=$I$3,IF(AND(INDEX(MASTER_AREAS!$F:$F,6)&lt;&gt;"N",OR('TRANSPORT DASHBOARD'!$C$4="",ISNUMBER(SEARCH('TRANSPORT DASHBOARD'!$C$4,INDEX(MASTER_AREAS!$B:$B,6))))),5,""),""),IF('TRANSPORT DASHBOARD'!$B$4="Zone",IF(5&lt;=$I$4,IF(OR('TRANSPORT DASHBOARD'!$C$4="",ISNUMBER(SEARCH('TRANSPORT DASHBOARD'!$C$4,INDEX(MASTER_ZONES!$B:$B,6)))),5,""),""),""))</f>
        <v/>
      </c>
      <c r="G6">
        <f>IFERROR(SMALL($F$2:$F$1487,5),"")</f>
        <v/>
      </c>
      <c r="H6">
        <f>IF(G6="","",IF('TRANSPORT DASHBOARD'!$B$4="Area",INDEX(MASTER_AREAS!$B:$B,G6+1),INDEX(MASTER_ZONES!$B:$B,G6+1)))</f>
        <v/>
      </c>
      <c r="K6">
        <f>IF('MIDWEEK DASHBOARD'!$B$4="Area",IF(5&lt;=$N$3,IF(AND(OR('MIDWEEK DASHBOARD'!$C$4="",ISNUMBER(SEARCH('MIDWEEK DASHBOARD'!$C$4,INDEX(MASTER_AREAS!$B:$B,6))))),5,""),""),IF('MIDWEEK DASHBOARD'!$B$4="Zone",IF(5&lt;=$N$4,IF(OR('MIDWEEK DASHBOARD'!$C$4="",ISNUMBER(SEARCH('MIDWEEK DASHBOARD'!$C$4,INDEX(MASTER_ZONES!$B:$B,6)))),5,""),""),""))</f>
        <v/>
      </c>
      <c r="L6">
        <f>IFERROR(SMALL($K$2:$K$1487,5),"")</f>
        <v/>
      </c>
      <c r="M6">
        <f>IF(L6="","",IF('MIDWEEK DASHBOARD'!$B$4="Area",INDEX(MASTER_AREAS!$B:$B,L6+1),INDEX(MASTER_ZONES!$B:$B,L6+1)))</f>
        <v/>
      </c>
      <c r="P6">
        <f>IF('CHOP DASHBOARD'!$B$4="Area",IF(5&lt;=$S$3,IF(AND(OR('CHOP DASHBOARD'!$C$4="",ISNUMBER(SEARCH('CHOP DASHBOARD'!$C$4,INDEX(MASTER_AREAS!$B:$B,6))))),5,""),""),IF('CHOP DASHBOARD'!$B$4="Zone",IF(5&lt;=$S$4,IF(OR('CHOP DASHBOARD'!$C$4="",ISNUMBER(SEARCH('CHOP DASHBOARD'!$C$4,INDEX(MASTER_ZONES!$B:$B,6)))),5,""),""),""))</f>
        <v/>
      </c>
      <c r="Q6">
        <f>IFERROR(SMALL($P$2:$P$1487,5),"")</f>
        <v/>
      </c>
      <c r="R6">
        <f>IF(Q6="","",IF('CHOP DASHBOARD'!$B$4="Area",INDEX(MASTER_AREAS!$B:$B,Q6+1),INDEX(MASTER_ZONES!$B:$B,Q6+1)))</f>
        <v/>
      </c>
      <c r="U6">
        <f>IF('COMMUNITY CHURCH DASHBOARD'!$B$4="Area",IF(5&lt;=$X$3,IF(AND(OR('COMMUNITY CHURCH DASHBOARD'!$C$4="",ISNUMBER(SEARCH('COMMUNITY CHURCH DASHBOARD'!$C$4,INDEX(MASTER_AREAS!$B:$B,6))))),5,""),""),IF('COMMUNITY CHURCH DASHBOARD'!$B$4="Zone",IF(5&lt;=$X$4,IF(OR('COMMUNITY CHURCH DASHBOARD'!$C$4="",ISNUMBER(SEARCH('COMMUNITY CHURCH DASHBOARD'!$C$4,INDEX(MASTER_ZONES!$B:$B,6)))),5,""),""),""))</f>
        <v/>
      </c>
      <c r="V6">
        <f>IFERROR(SMALL($U$2:$U$1487,5),"")</f>
        <v/>
      </c>
      <c r="W6">
        <f>IF(V6="","",IF('COMMUNITY CHURCH DASHBOARD'!$B$4="Area",INDEX(MASTER_AREAS!$B:$B,V6+1),INDEX(MASTER_ZONES!$B:$B,V6+1)))</f>
        <v/>
      </c>
    </row>
    <row r="7">
      <c r="A7">
        <f>IF('WSF DASHBOARD'!$B$4="Area",IF(6&lt;=$D$3,IF(AND(OR('WSF DASHBOARD'!$C$4="",ISNUMBER(SEARCH('WSF DASHBOARD'!$C$4,INDEX(MASTER_AREAS!$B:$B,7))))),6,""),""),IF('WSF DASHBOARD'!$B$4="Zone",IF(6&lt;=$D$4,IF(OR('WSF DASHBOARD'!$C$4="",ISNUMBER(SEARCH('WSF DASHBOARD'!$C$4,INDEX(MASTER_ZONES!$B:$B,7)))),6,""),""),""))</f>
        <v/>
      </c>
      <c r="B7">
        <f>IFERROR(SMALL($A$2:$A$1487,6),"")</f>
        <v/>
      </c>
      <c r="C7">
        <f>IF(B7="","",IF('WSF DASHBOARD'!$B$4="Area",INDEX(MASTER_AREAS!$B:$B,B7+1),INDEX(MASTER_ZONES!$B:$B,B7+1)))</f>
        <v/>
      </c>
      <c r="F7">
        <f>IF('TRANSPORT DASHBOARD'!$B$4="Area",IF(6&lt;=$I$3,IF(AND(INDEX(MASTER_AREAS!$F:$F,7)&lt;&gt;"N",OR('TRANSPORT DASHBOARD'!$C$4="",ISNUMBER(SEARCH('TRANSPORT DASHBOARD'!$C$4,INDEX(MASTER_AREAS!$B:$B,7))))),6,""),""),IF('TRANSPORT DASHBOARD'!$B$4="Zone",IF(6&lt;=$I$4,IF(OR('TRANSPORT DASHBOARD'!$C$4="",ISNUMBER(SEARCH('TRANSPORT DASHBOARD'!$C$4,INDEX(MASTER_ZONES!$B:$B,7)))),6,""),""),""))</f>
        <v/>
      </c>
      <c r="G7">
        <f>IFERROR(SMALL($F$2:$F$1487,6),"")</f>
        <v/>
      </c>
      <c r="H7">
        <f>IF(G7="","",IF('TRANSPORT DASHBOARD'!$B$4="Area",INDEX(MASTER_AREAS!$B:$B,G7+1),INDEX(MASTER_ZONES!$B:$B,G7+1)))</f>
        <v/>
      </c>
      <c r="K7">
        <f>IF('MIDWEEK DASHBOARD'!$B$4="Area",IF(6&lt;=$N$3,IF(AND(OR('MIDWEEK DASHBOARD'!$C$4="",ISNUMBER(SEARCH('MIDWEEK DASHBOARD'!$C$4,INDEX(MASTER_AREAS!$B:$B,7))))),6,""),""),IF('MIDWEEK DASHBOARD'!$B$4="Zone",IF(6&lt;=$N$4,IF(OR('MIDWEEK DASHBOARD'!$C$4="",ISNUMBER(SEARCH('MIDWEEK DASHBOARD'!$C$4,INDEX(MASTER_ZONES!$B:$B,7)))),6,""),""),""))</f>
        <v/>
      </c>
      <c r="L7">
        <f>IFERROR(SMALL($K$2:$K$1487,6),"")</f>
        <v/>
      </c>
      <c r="M7">
        <f>IF(L7="","",IF('MIDWEEK DASHBOARD'!$B$4="Area",INDEX(MASTER_AREAS!$B:$B,L7+1),INDEX(MASTER_ZONES!$B:$B,L7+1)))</f>
        <v/>
      </c>
      <c r="P7">
        <f>IF('CHOP DASHBOARD'!$B$4="Area",IF(6&lt;=$S$3,IF(AND(OR('CHOP DASHBOARD'!$C$4="",ISNUMBER(SEARCH('CHOP DASHBOARD'!$C$4,INDEX(MASTER_AREAS!$B:$B,7))))),6,""),""),IF('CHOP DASHBOARD'!$B$4="Zone",IF(6&lt;=$S$4,IF(OR('CHOP DASHBOARD'!$C$4="",ISNUMBER(SEARCH('CHOP DASHBOARD'!$C$4,INDEX(MASTER_ZONES!$B:$B,7)))),6,""),""),""))</f>
        <v/>
      </c>
      <c r="Q7">
        <f>IFERROR(SMALL($P$2:$P$1487,6),"")</f>
        <v/>
      </c>
      <c r="R7">
        <f>IF(Q7="","",IF('CHOP DASHBOARD'!$B$4="Area",INDEX(MASTER_AREAS!$B:$B,Q7+1),INDEX(MASTER_ZONES!$B:$B,Q7+1)))</f>
        <v/>
      </c>
      <c r="U7">
        <f>IF('COMMUNITY CHURCH DASHBOARD'!$B$4="Area",IF(6&lt;=$X$3,IF(AND(OR('COMMUNITY CHURCH DASHBOARD'!$C$4="",ISNUMBER(SEARCH('COMMUNITY CHURCH DASHBOARD'!$C$4,INDEX(MASTER_AREAS!$B:$B,7))))),6,""),""),IF('COMMUNITY CHURCH DASHBOARD'!$B$4="Zone",IF(6&lt;=$X$4,IF(OR('COMMUNITY CHURCH DASHBOARD'!$C$4="",ISNUMBER(SEARCH('COMMUNITY CHURCH DASHBOARD'!$C$4,INDEX(MASTER_ZONES!$B:$B,7)))),6,""),""),""))</f>
        <v/>
      </c>
      <c r="V7">
        <f>IFERROR(SMALL($U$2:$U$1487,6),"")</f>
        <v/>
      </c>
      <c r="W7">
        <f>IF(V7="","",IF('COMMUNITY CHURCH DASHBOARD'!$B$4="Area",INDEX(MASTER_AREAS!$B:$B,V7+1),INDEX(MASTER_ZONES!$B:$B,V7+1)))</f>
        <v/>
      </c>
    </row>
    <row r="8">
      <c r="A8">
        <f>IF('WSF DASHBOARD'!$B$4="Area",IF(7&lt;=$D$3,IF(AND(OR('WSF DASHBOARD'!$C$4="",ISNUMBER(SEARCH('WSF DASHBOARD'!$C$4,INDEX(MASTER_AREAS!$B:$B,8))))),7,""),""),IF('WSF DASHBOARD'!$B$4="Zone",IF(7&lt;=$D$4,IF(OR('WSF DASHBOARD'!$C$4="",ISNUMBER(SEARCH('WSF DASHBOARD'!$C$4,INDEX(MASTER_ZONES!$B:$B,8)))),7,""),""),""))</f>
        <v/>
      </c>
      <c r="B8">
        <f>IFERROR(SMALL($A$2:$A$1487,7),"")</f>
        <v/>
      </c>
      <c r="C8">
        <f>IF(B8="","",IF('WSF DASHBOARD'!$B$4="Area",INDEX(MASTER_AREAS!$B:$B,B8+1),INDEX(MASTER_ZONES!$B:$B,B8+1)))</f>
        <v/>
      </c>
      <c r="F8">
        <f>IF('TRANSPORT DASHBOARD'!$B$4="Area",IF(7&lt;=$I$3,IF(AND(INDEX(MASTER_AREAS!$F:$F,8)&lt;&gt;"N",OR('TRANSPORT DASHBOARD'!$C$4="",ISNUMBER(SEARCH('TRANSPORT DASHBOARD'!$C$4,INDEX(MASTER_AREAS!$B:$B,8))))),7,""),""),IF('TRANSPORT DASHBOARD'!$B$4="Zone",IF(7&lt;=$I$4,IF(OR('TRANSPORT DASHBOARD'!$C$4="",ISNUMBER(SEARCH('TRANSPORT DASHBOARD'!$C$4,INDEX(MASTER_ZONES!$B:$B,8)))),7,""),""),""))</f>
        <v/>
      </c>
      <c r="G8">
        <f>IFERROR(SMALL($F$2:$F$1487,7),"")</f>
        <v/>
      </c>
      <c r="H8">
        <f>IF(G8="","",IF('TRANSPORT DASHBOARD'!$B$4="Area",INDEX(MASTER_AREAS!$B:$B,G8+1),INDEX(MASTER_ZONES!$B:$B,G8+1)))</f>
        <v/>
      </c>
      <c r="K8">
        <f>IF('MIDWEEK DASHBOARD'!$B$4="Area",IF(7&lt;=$N$3,IF(AND(OR('MIDWEEK DASHBOARD'!$C$4="",ISNUMBER(SEARCH('MIDWEEK DASHBOARD'!$C$4,INDEX(MASTER_AREAS!$B:$B,8))))),7,""),""),IF('MIDWEEK DASHBOARD'!$B$4="Zone",IF(7&lt;=$N$4,IF(OR('MIDWEEK DASHBOARD'!$C$4="",ISNUMBER(SEARCH('MIDWEEK DASHBOARD'!$C$4,INDEX(MASTER_ZONES!$B:$B,8)))),7,""),""),""))</f>
        <v/>
      </c>
      <c r="L8">
        <f>IFERROR(SMALL($K$2:$K$1487,7),"")</f>
        <v/>
      </c>
      <c r="M8">
        <f>IF(L8="","",IF('MIDWEEK DASHBOARD'!$B$4="Area",INDEX(MASTER_AREAS!$B:$B,L8+1),INDEX(MASTER_ZONES!$B:$B,L8+1)))</f>
        <v/>
      </c>
      <c r="P8">
        <f>IF('CHOP DASHBOARD'!$B$4="Area",IF(7&lt;=$S$3,IF(AND(OR('CHOP DASHBOARD'!$C$4="",ISNUMBER(SEARCH('CHOP DASHBOARD'!$C$4,INDEX(MASTER_AREAS!$B:$B,8))))),7,""),""),IF('CHOP DASHBOARD'!$B$4="Zone",IF(7&lt;=$S$4,IF(OR('CHOP DASHBOARD'!$C$4="",ISNUMBER(SEARCH('CHOP DASHBOARD'!$C$4,INDEX(MASTER_ZONES!$B:$B,8)))),7,""),""),""))</f>
        <v/>
      </c>
      <c r="Q8">
        <f>IFERROR(SMALL($P$2:$P$1487,7),"")</f>
        <v/>
      </c>
      <c r="R8">
        <f>IF(Q8="","",IF('CHOP DASHBOARD'!$B$4="Area",INDEX(MASTER_AREAS!$B:$B,Q8+1),INDEX(MASTER_ZONES!$B:$B,Q8+1)))</f>
        <v/>
      </c>
      <c r="U8">
        <f>IF('COMMUNITY CHURCH DASHBOARD'!$B$4="Area",IF(7&lt;=$X$3,IF(AND(OR('COMMUNITY CHURCH DASHBOARD'!$C$4="",ISNUMBER(SEARCH('COMMUNITY CHURCH DASHBOARD'!$C$4,INDEX(MASTER_AREAS!$B:$B,8))))),7,""),""),IF('COMMUNITY CHURCH DASHBOARD'!$B$4="Zone",IF(7&lt;=$X$4,IF(OR('COMMUNITY CHURCH DASHBOARD'!$C$4="",ISNUMBER(SEARCH('COMMUNITY CHURCH DASHBOARD'!$C$4,INDEX(MASTER_ZONES!$B:$B,8)))),7,""),""),""))</f>
        <v/>
      </c>
      <c r="V8">
        <f>IFERROR(SMALL($U$2:$U$1487,7),"")</f>
        <v/>
      </c>
      <c r="W8">
        <f>IF(V8="","",IF('COMMUNITY CHURCH DASHBOARD'!$B$4="Area",INDEX(MASTER_AREAS!$B:$B,V8+1),INDEX(MASTER_ZONES!$B:$B,V8+1)))</f>
        <v/>
      </c>
    </row>
    <row r="9">
      <c r="A9">
        <f>IF('WSF DASHBOARD'!$B$4="Area",IF(8&lt;=$D$3,IF(AND(OR('WSF DASHBOARD'!$C$4="",ISNUMBER(SEARCH('WSF DASHBOARD'!$C$4,INDEX(MASTER_AREAS!$B:$B,9))))),8,""),""),IF('WSF DASHBOARD'!$B$4="Zone",IF(8&lt;=$D$4,IF(OR('WSF DASHBOARD'!$C$4="",ISNUMBER(SEARCH('WSF DASHBOARD'!$C$4,INDEX(MASTER_ZONES!$B:$B,9)))),8,""),""),""))</f>
        <v/>
      </c>
      <c r="B9">
        <f>IFERROR(SMALL($A$2:$A$1487,8),"")</f>
        <v/>
      </c>
      <c r="C9">
        <f>IF(B9="","",IF('WSF DASHBOARD'!$B$4="Area",INDEX(MASTER_AREAS!$B:$B,B9+1),INDEX(MASTER_ZONES!$B:$B,B9+1)))</f>
        <v/>
      </c>
      <c r="F9">
        <f>IF('TRANSPORT DASHBOARD'!$B$4="Area",IF(8&lt;=$I$3,IF(AND(INDEX(MASTER_AREAS!$F:$F,9)&lt;&gt;"N",OR('TRANSPORT DASHBOARD'!$C$4="",ISNUMBER(SEARCH('TRANSPORT DASHBOARD'!$C$4,INDEX(MASTER_AREAS!$B:$B,9))))),8,""),""),IF('TRANSPORT DASHBOARD'!$B$4="Zone",IF(8&lt;=$I$4,IF(OR('TRANSPORT DASHBOARD'!$C$4="",ISNUMBER(SEARCH('TRANSPORT DASHBOARD'!$C$4,INDEX(MASTER_ZONES!$B:$B,9)))),8,""),""),""))</f>
        <v/>
      </c>
      <c r="G9">
        <f>IFERROR(SMALL($F$2:$F$1487,8),"")</f>
        <v/>
      </c>
      <c r="H9">
        <f>IF(G9="","",IF('TRANSPORT DASHBOARD'!$B$4="Area",INDEX(MASTER_AREAS!$B:$B,G9+1),INDEX(MASTER_ZONES!$B:$B,G9+1)))</f>
        <v/>
      </c>
      <c r="K9">
        <f>IF('MIDWEEK DASHBOARD'!$B$4="Area",IF(8&lt;=$N$3,IF(AND(OR('MIDWEEK DASHBOARD'!$C$4="",ISNUMBER(SEARCH('MIDWEEK DASHBOARD'!$C$4,INDEX(MASTER_AREAS!$B:$B,9))))),8,""),""),IF('MIDWEEK DASHBOARD'!$B$4="Zone",IF(8&lt;=$N$4,IF(OR('MIDWEEK DASHBOARD'!$C$4="",ISNUMBER(SEARCH('MIDWEEK DASHBOARD'!$C$4,INDEX(MASTER_ZONES!$B:$B,9)))),8,""),""),""))</f>
        <v/>
      </c>
      <c r="L9">
        <f>IFERROR(SMALL($K$2:$K$1487,8),"")</f>
        <v/>
      </c>
      <c r="M9">
        <f>IF(L9="","",IF('MIDWEEK DASHBOARD'!$B$4="Area",INDEX(MASTER_AREAS!$B:$B,L9+1),INDEX(MASTER_ZONES!$B:$B,L9+1)))</f>
        <v/>
      </c>
      <c r="P9">
        <f>IF('CHOP DASHBOARD'!$B$4="Area",IF(8&lt;=$S$3,IF(AND(OR('CHOP DASHBOARD'!$C$4="",ISNUMBER(SEARCH('CHOP DASHBOARD'!$C$4,INDEX(MASTER_AREAS!$B:$B,9))))),8,""),""),IF('CHOP DASHBOARD'!$B$4="Zone",IF(8&lt;=$S$4,IF(OR('CHOP DASHBOARD'!$C$4="",ISNUMBER(SEARCH('CHOP DASHBOARD'!$C$4,INDEX(MASTER_ZONES!$B:$B,9)))),8,""),""),""))</f>
        <v/>
      </c>
      <c r="Q9">
        <f>IFERROR(SMALL($P$2:$P$1487,8),"")</f>
        <v/>
      </c>
      <c r="R9">
        <f>IF(Q9="","",IF('CHOP DASHBOARD'!$B$4="Area",INDEX(MASTER_AREAS!$B:$B,Q9+1),INDEX(MASTER_ZONES!$B:$B,Q9+1)))</f>
        <v/>
      </c>
      <c r="U9">
        <f>IF('COMMUNITY CHURCH DASHBOARD'!$B$4="Area",IF(8&lt;=$X$3,IF(AND(OR('COMMUNITY CHURCH DASHBOARD'!$C$4="",ISNUMBER(SEARCH('COMMUNITY CHURCH DASHBOARD'!$C$4,INDEX(MASTER_AREAS!$B:$B,9))))),8,""),""),IF('COMMUNITY CHURCH DASHBOARD'!$B$4="Zone",IF(8&lt;=$X$4,IF(OR('COMMUNITY CHURCH DASHBOARD'!$C$4="",ISNUMBER(SEARCH('COMMUNITY CHURCH DASHBOARD'!$C$4,INDEX(MASTER_ZONES!$B:$B,9)))),8,""),""),""))</f>
        <v/>
      </c>
      <c r="V9">
        <f>IFERROR(SMALL($U$2:$U$1487,8),"")</f>
        <v/>
      </c>
      <c r="W9">
        <f>IF(V9="","",IF('COMMUNITY CHURCH DASHBOARD'!$B$4="Area",INDEX(MASTER_AREAS!$B:$B,V9+1),INDEX(MASTER_ZONES!$B:$B,V9+1)))</f>
        <v/>
      </c>
    </row>
    <row r="10">
      <c r="A10">
        <f>IF('WSF DASHBOARD'!$B$4="Area",IF(9&lt;=$D$3,IF(AND(OR('WSF DASHBOARD'!$C$4="",ISNUMBER(SEARCH('WSF DASHBOARD'!$C$4,INDEX(MASTER_AREAS!$B:$B,10))))),9,""),""),IF('WSF DASHBOARD'!$B$4="Zone",IF(9&lt;=$D$4,IF(OR('WSF DASHBOARD'!$C$4="",ISNUMBER(SEARCH('WSF DASHBOARD'!$C$4,INDEX(MASTER_ZONES!$B:$B,10)))),9,""),""),""))</f>
        <v/>
      </c>
      <c r="B10">
        <f>IFERROR(SMALL($A$2:$A$1487,9),"")</f>
        <v/>
      </c>
      <c r="C10">
        <f>IF(B10="","",IF('WSF DASHBOARD'!$B$4="Area",INDEX(MASTER_AREAS!$B:$B,B10+1),INDEX(MASTER_ZONES!$B:$B,B10+1)))</f>
        <v/>
      </c>
      <c r="F10">
        <f>IF('TRANSPORT DASHBOARD'!$B$4="Area",IF(9&lt;=$I$3,IF(AND(INDEX(MASTER_AREAS!$F:$F,10)&lt;&gt;"N",OR('TRANSPORT DASHBOARD'!$C$4="",ISNUMBER(SEARCH('TRANSPORT DASHBOARD'!$C$4,INDEX(MASTER_AREAS!$B:$B,10))))),9,""),""),IF('TRANSPORT DASHBOARD'!$B$4="Zone",IF(9&lt;=$I$4,IF(OR('TRANSPORT DASHBOARD'!$C$4="",ISNUMBER(SEARCH('TRANSPORT DASHBOARD'!$C$4,INDEX(MASTER_ZONES!$B:$B,10)))),9,""),""),""))</f>
        <v/>
      </c>
      <c r="G10">
        <f>IFERROR(SMALL($F$2:$F$1487,9),"")</f>
        <v/>
      </c>
      <c r="H10">
        <f>IF(G10="","",IF('TRANSPORT DASHBOARD'!$B$4="Area",INDEX(MASTER_AREAS!$B:$B,G10+1),INDEX(MASTER_ZONES!$B:$B,G10+1)))</f>
        <v/>
      </c>
      <c r="K10">
        <f>IF('MIDWEEK DASHBOARD'!$B$4="Area",IF(9&lt;=$N$3,IF(AND(OR('MIDWEEK DASHBOARD'!$C$4="",ISNUMBER(SEARCH('MIDWEEK DASHBOARD'!$C$4,INDEX(MASTER_AREAS!$B:$B,10))))),9,""),""),IF('MIDWEEK DASHBOARD'!$B$4="Zone",IF(9&lt;=$N$4,IF(OR('MIDWEEK DASHBOARD'!$C$4="",ISNUMBER(SEARCH('MIDWEEK DASHBOARD'!$C$4,INDEX(MASTER_ZONES!$B:$B,10)))),9,""),""),""))</f>
        <v/>
      </c>
      <c r="L10">
        <f>IFERROR(SMALL($K$2:$K$1487,9),"")</f>
        <v/>
      </c>
      <c r="M10">
        <f>IF(L10="","",IF('MIDWEEK DASHBOARD'!$B$4="Area",INDEX(MASTER_AREAS!$B:$B,L10+1),INDEX(MASTER_ZONES!$B:$B,L10+1)))</f>
        <v/>
      </c>
      <c r="P10">
        <f>IF('CHOP DASHBOARD'!$B$4="Area",IF(9&lt;=$S$3,IF(AND(OR('CHOP DASHBOARD'!$C$4="",ISNUMBER(SEARCH('CHOP DASHBOARD'!$C$4,INDEX(MASTER_AREAS!$B:$B,10))))),9,""),""),IF('CHOP DASHBOARD'!$B$4="Zone",IF(9&lt;=$S$4,IF(OR('CHOP DASHBOARD'!$C$4="",ISNUMBER(SEARCH('CHOP DASHBOARD'!$C$4,INDEX(MASTER_ZONES!$B:$B,10)))),9,""),""),""))</f>
        <v/>
      </c>
      <c r="Q10">
        <f>IFERROR(SMALL($P$2:$P$1487,9),"")</f>
        <v/>
      </c>
      <c r="R10">
        <f>IF(Q10="","",IF('CHOP DASHBOARD'!$B$4="Area",INDEX(MASTER_AREAS!$B:$B,Q10+1),INDEX(MASTER_ZONES!$B:$B,Q10+1)))</f>
        <v/>
      </c>
      <c r="U10">
        <f>IF('COMMUNITY CHURCH DASHBOARD'!$B$4="Area",IF(9&lt;=$X$3,IF(AND(OR('COMMUNITY CHURCH DASHBOARD'!$C$4="",ISNUMBER(SEARCH('COMMUNITY CHURCH DASHBOARD'!$C$4,INDEX(MASTER_AREAS!$B:$B,10))))),9,""),""),IF('COMMUNITY CHURCH DASHBOARD'!$B$4="Zone",IF(9&lt;=$X$4,IF(OR('COMMUNITY CHURCH DASHBOARD'!$C$4="",ISNUMBER(SEARCH('COMMUNITY CHURCH DASHBOARD'!$C$4,INDEX(MASTER_ZONES!$B:$B,10)))),9,""),""),""))</f>
        <v/>
      </c>
      <c r="V10">
        <f>IFERROR(SMALL($U$2:$U$1487,9),"")</f>
        <v/>
      </c>
      <c r="W10">
        <f>IF(V10="","",IF('COMMUNITY CHURCH DASHBOARD'!$B$4="Area",INDEX(MASTER_AREAS!$B:$B,V10+1),INDEX(MASTER_ZONES!$B:$B,V10+1)))</f>
        <v/>
      </c>
    </row>
    <row r="11">
      <c r="A11">
        <f>IF('WSF DASHBOARD'!$B$4="Area",IF(10&lt;=$D$3,IF(AND(OR('WSF DASHBOARD'!$C$4="",ISNUMBER(SEARCH('WSF DASHBOARD'!$C$4,INDEX(MASTER_AREAS!$B:$B,11))))),10,""),""),IF('WSF DASHBOARD'!$B$4="Zone",IF(10&lt;=$D$4,IF(OR('WSF DASHBOARD'!$C$4="",ISNUMBER(SEARCH('WSF DASHBOARD'!$C$4,INDEX(MASTER_ZONES!$B:$B,11)))),10,""),""),""))</f>
        <v/>
      </c>
      <c r="B11">
        <f>IFERROR(SMALL($A$2:$A$1487,10),"")</f>
        <v/>
      </c>
      <c r="C11">
        <f>IF(B11="","",IF('WSF DASHBOARD'!$B$4="Area",INDEX(MASTER_AREAS!$B:$B,B11+1),INDEX(MASTER_ZONES!$B:$B,B11+1)))</f>
        <v/>
      </c>
      <c r="F11">
        <f>IF('TRANSPORT DASHBOARD'!$B$4="Area",IF(10&lt;=$I$3,IF(AND(INDEX(MASTER_AREAS!$F:$F,11)&lt;&gt;"N",OR('TRANSPORT DASHBOARD'!$C$4="",ISNUMBER(SEARCH('TRANSPORT DASHBOARD'!$C$4,INDEX(MASTER_AREAS!$B:$B,11))))),10,""),""),IF('TRANSPORT DASHBOARD'!$B$4="Zone",IF(10&lt;=$I$4,IF(OR('TRANSPORT DASHBOARD'!$C$4="",ISNUMBER(SEARCH('TRANSPORT DASHBOARD'!$C$4,INDEX(MASTER_ZONES!$B:$B,11)))),10,""),""),""))</f>
        <v/>
      </c>
      <c r="G11">
        <f>IFERROR(SMALL($F$2:$F$1487,10),"")</f>
        <v/>
      </c>
      <c r="H11">
        <f>IF(G11="","",IF('TRANSPORT DASHBOARD'!$B$4="Area",INDEX(MASTER_AREAS!$B:$B,G11+1),INDEX(MASTER_ZONES!$B:$B,G11+1)))</f>
        <v/>
      </c>
      <c r="K11">
        <f>IF('MIDWEEK DASHBOARD'!$B$4="Area",IF(10&lt;=$N$3,IF(AND(OR('MIDWEEK DASHBOARD'!$C$4="",ISNUMBER(SEARCH('MIDWEEK DASHBOARD'!$C$4,INDEX(MASTER_AREAS!$B:$B,11))))),10,""),""),IF('MIDWEEK DASHBOARD'!$B$4="Zone",IF(10&lt;=$N$4,IF(OR('MIDWEEK DASHBOARD'!$C$4="",ISNUMBER(SEARCH('MIDWEEK DASHBOARD'!$C$4,INDEX(MASTER_ZONES!$B:$B,11)))),10,""),""),""))</f>
        <v/>
      </c>
      <c r="L11">
        <f>IFERROR(SMALL($K$2:$K$1487,10),"")</f>
        <v/>
      </c>
      <c r="M11">
        <f>IF(L11="","",IF('MIDWEEK DASHBOARD'!$B$4="Area",INDEX(MASTER_AREAS!$B:$B,L11+1),INDEX(MASTER_ZONES!$B:$B,L11+1)))</f>
        <v/>
      </c>
      <c r="P11">
        <f>IF('CHOP DASHBOARD'!$B$4="Area",IF(10&lt;=$S$3,IF(AND(OR('CHOP DASHBOARD'!$C$4="",ISNUMBER(SEARCH('CHOP DASHBOARD'!$C$4,INDEX(MASTER_AREAS!$B:$B,11))))),10,""),""),IF('CHOP DASHBOARD'!$B$4="Zone",IF(10&lt;=$S$4,IF(OR('CHOP DASHBOARD'!$C$4="",ISNUMBER(SEARCH('CHOP DASHBOARD'!$C$4,INDEX(MASTER_ZONES!$B:$B,11)))),10,""),""),""))</f>
        <v/>
      </c>
      <c r="Q11">
        <f>IFERROR(SMALL($P$2:$P$1487,10),"")</f>
        <v/>
      </c>
      <c r="R11">
        <f>IF(Q11="","",IF('CHOP DASHBOARD'!$B$4="Area",INDEX(MASTER_AREAS!$B:$B,Q11+1),INDEX(MASTER_ZONES!$B:$B,Q11+1)))</f>
        <v/>
      </c>
      <c r="U11">
        <f>IF('COMMUNITY CHURCH DASHBOARD'!$B$4="Area",IF(10&lt;=$X$3,IF(AND(OR('COMMUNITY CHURCH DASHBOARD'!$C$4="",ISNUMBER(SEARCH('COMMUNITY CHURCH DASHBOARD'!$C$4,INDEX(MASTER_AREAS!$B:$B,11))))),10,""),""),IF('COMMUNITY CHURCH DASHBOARD'!$B$4="Zone",IF(10&lt;=$X$4,IF(OR('COMMUNITY CHURCH DASHBOARD'!$C$4="",ISNUMBER(SEARCH('COMMUNITY CHURCH DASHBOARD'!$C$4,INDEX(MASTER_ZONES!$B:$B,11)))),10,""),""),""))</f>
        <v/>
      </c>
      <c r="V11">
        <f>IFERROR(SMALL($U$2:$U$1487,10),"")</f>
        <v/>
      </c>
      <c r="W11">
        <f>IF(V11="","",IF('COMMUNITY CHURCH DASHBOARD'!$B$4="Area",INDEX(MASTER_AREAS!$B:$B,V11+1),INDEX(MASTER_ZONES!$B:$B,V11+1)))</f>
        <v/>
      </c>
    </row>
    <row r="12">
      <c r="A12">
        <f>IF('WSF DASHBOARD'!$B$4="Area",IF(11&lt;=$D$3,IF(AND(OR('WSF DASHBOARD'!$C$4="",ISNUMBER(SEARCH('WSF DASHBOARD'!$C$4,INDEX(MASTER_AREAS!$B:$B,12))))),11,""),""),IF('WSF DASHBOARD'!$B$4="Zone",IF(11&lt;=$D$4,IF(OR('WSF DASHBOARD'!$C$4="",ISNUMBER(SEARCH('WSF DASHBOARD'!$C$4,INDEX(MASTER_ZONES!$B:$B,12)))),11,""),""),""))</f>
        <v/>
      </c>
      <c r="B12">
        <f>IFERROR(SMALL($A$2:$A$1487,11),"")</f>
        <v/>
      </c>
      <c r="C12">
        <f>IF(B12="","",IF('WSF DASHBOARD'!$B$4="Area",INDEX(MASTER_AREAS!$B:$B,B12+1),INDEX(MASTER_ZONES!$B:$B,B12+1)))</f>
        <v/>
      </c>
      <c r="F12">
        <f>IF('TRANSPORT DASHBOARD'!$B$4="Area",IF(11&lt;=$I$3,IF(AND(INDEX(MASTER_AREAS!$F:$F,12)&lt;&gt;"N",OR('TRANSPORT DASHBOARD'!$C$4="",ISNUMBER(SEARCH('TRANSPORT DASHBOARD'!$C$4,INDEX(MASTER_AREAS!$B:$B,12))))),11,""),""),IF('TRANSPORT DASHBOARD'!$B$4="Zone",IF(11&lt;=$I$4,IF(OR('TRANSPORT DASHBOARD'!$C$4="",ISNUMBER(SEARCH('TRANSPORT DASHBOARD'!$C$4,INDEX(MASTER_ZONES!$B:$B,12)))),11,""),""),""))</f>
        <v/>
      </c>
      <c r="G12">
        <f>IFERROR(SMALL($F$2:$F$1487,11),"")</f>
        <v/>
      </c>
      <c r="H12">
        <f>IF(G12="","",IF('TRANSPORT DASHBOARD'!$B$4="Area",INDEX(MASTER_AREAS!$B:$B,G12+1),INDEX(MASTER_ZONES!$B:$B,G12+1)))</f>
        <v/>
      </c>
      <c r="K12">
        <f>IF('MIDWEEK DASHBOARD'!$B$4="Area",IF(11&lt;=$N$3,IF(AND(OR('MIDWEEK DASHBOARD'!$C$4="",ISNUMBER(SEARCH('MIDWEEK DASHBOARD'!$C$4,INDEX(MASTER_AREAS!$B:$B,12))))),11,""),""),IF('MIDWEEK DASHBOARD'!$B$4="Zone",IF(11&lt;=$N$4,IF(OR('MIDWEEK DASHBOARD'!$C$4="",ISNUMBER(SEARCH('MIDWEEK DASHBOARD'!$C$4,INDEX(MASTER_ZONES!$B:$B,12)))),11,""),""),""))</f>
        <v/>
      </c>
      <c r="L12">
        <f>IFERROR(SMALL($K$2:$K$1487,11),"")</f>
        <v/>
      </c>
      <c r="M12">
        <f>IF(L12="","",IF('MIDWEEK DASHBOARD'!$B$4="Area",INDEX(MASTER_AREAS!$B:$B,L12+1),INDEX(MASTER_ZONES!$B:$B,L12+1)))</f>
        <v/>
      </c>
      <c r="P12">
        <f>IF('CHOP DASHBOARD'!$B$4="Area",IF(11&lt;=$S$3,IF(AND(OR('CHOP DASHBOARD'!$C$4="",ISNUMBER(SEARCH('CHOP DASHBOARD'!$C$4,INDEX(MASTER_AREAS!$B:$B,12))))),11,""),""),IF('CHOP DASHBOARD'!$B$4="Zone",IF(11&lt;=$S$4,IF(OR('CHOP DASHBOARD'!$C$4="",ISNUMBER(SEARCH('CHOP DASHBOARD'!$C$4,INDEX(MASTER_ZONES!$B:$B,12)))),11,""),""),""))</f>
        <v/>
      </c>
      <c r="Q12">
        <f>IFERROR(SMALL($P$2:$P$1487,11),"")</f>
        <v/>
      </c>
      <c r="R12">
        <f>IF(Q12="","",IF('CHOP DASHBOARD'!$B$4="Area",INDEX(MASTER_AREAS!$B:$B,Q12+1),INDEX(MASTER_ZONES!$B:$B,Q12+1)))</f>
        <v/>
      </c>
      <c r="U12">
        <f>IF('COMMUNITY CHURCH DASHBOARD'!$B$4="Area",IF(11&lt;=$X$3,IF(AND(OR('COMMUNITY CHURCH DASHBOARD'!$C$4="",ISNUMBER(SEARCH('COMMUNITY CHURCH DASHBOARD'!$C$4,INDEX(MASTER_AREAS!$B:$B,12))))),11,""),""),IF('COMMUNITY CHURCH DASHBOARD'!$B$4="Zone",IF(11&lt;=$X$4,IF(OR('COMMUNITY CHURCH DASHBOARD'!$C$4="",ISNUMBER(SEARCH('COMMUNITY CHURCH DASHBOARD'!$C$4,INDEX(MASTER_ZONES!$B:$B,12)))),11,""),""),""))</f>
        <v/>
      </c>
      <c r="V12">
        <f>IFERROR(SMALL($U$2:$U$1487,11),"")</f>
        <v/>
      </c>
      <c r="W12">
        <f>IF(V12="","",IF('COMMUNITY CHURCH DASHBOARD'!$B$4="Area",INDEX(MASTER_AREAS!$B:$B,V12+1),INDEX(MASTER_ZONES!$B:$B,V12+1)))</f>
        <v/>
      </c>
    </row>
    <row r="13">
      <c r="A13">
        <f>IF('WSF DASHBOARD'!$B$4="Area",IF(12&lt;=$D$3,IF(AND(OR('WSF DASHBOARD'!$C$4="",ISNUMBER(SEARCH('WSF DASHBOARD'!$C$4,INDEX(MASTER_AREAS!$B:$B,13))))),12,""),""),IF('WSF DASHBOARD'!$B$4="Zone",IF(12&lt;=$D$4,IF(OR('WSF DASHBOARD'!$C$4="",ISNUMBER(SEARCH('WSF DASHBOARD'!$C$4,INDEX(MASTER_ZONES!$B:$B,13)))),12,""),""),""))</f>
        <v/>
      </c>
      <c r="B13">
        <f>IFERROR(SMALL($A$2:$A$1487,12),"")</f>
        <v/>
      </c>
      <c r="C13">
        <f>IF(B13="","",IF('WSF DASHBOARD'!$B$4="Area",INDEX(MASTER_AREAS!$B:$B,B13+1),INDEX(MASTER_ZONES!$B:$B,B13+1)))</f>
        <v/>
      </c>
      <c r="F13">
        <f>IF('TRANSPORT DASHBOARD'!$B$4="Area",IF(12&lt;=$I$3,IF(AND(INDEX(MASTER_AREAS!$F:$F,13)&lt;&gt;"N",OR('TRANSPORT DASHBOARD'!$C$4="",ISNUMBER(SEARCH('TRANSPORT DASHBOARD'!$C$4,INDEX(MASTER_AREAS!$B:$B,13))))),12,""),""),IF('TRANSPORT DASHBOARD'!$B$4="Zone",IF(12&lt;=$I$4,IF(OR('TRANSPORT DASHBOARD'!$C$4="",ISNUMBER(SEARCH('TRANSPORT DASHBOARD'!$C$4,INDEX(MASTER_ZONES!$B:$B,13)))),12,""),""),""))</f>
        <v/>
      </c>
      <c r="G13">
        <f>IFERROR(SMALL($F$2:$F$1487,12),"")</f>
        <v/>
      </c>
      <c r="H13">
        <f>IF(G13="","",IF('TRANSPORT DASHBOARD'!$B$4="Area",INDEX(MASTER_AREAS!$B:$B,G13+1),INDEX(MASTER_ZONES!$B:$B,G13+1)))</f>
        <v/>
      </c>
      <c r="K13">
        <f>IF('MIDWEEK DASHBOARD'!$B$4="Area",IF(12&lt;=$N$3,IF(AND(OR('MIDWEEK DASHBOARD'!$C$4="",ISNUMBER(SEARCH('MIDWEEK DASHBOARD'!$C$4,INDEX(MASTER_AREAS!$B:$B,13))))),12,""),""),IF('MIDWEEK DASHBOARD'!$B$4="Zone",IF(12&lt;=$N$4,IF(OR('MIDWEEK DASHBOARD'!$C$4="",ISNUMBER(SEARCH('MIDWEEK DASHBOARD'!$C$4,INDEX(MASTER_ZONES!$B:$B,13)))),12,""),""),""))</f>
        <v/>
      </c>
      <c r="L13">
        <f>IFERROR(SMALL($K$2:$K$1487,12),"")</f>
        <v/>
      </c>
      <c r="M13">
        <f>IF(L13="","",IF('MIDWEEK DASHBOARD'!$B$4="Area",INDEX(MASTER_AREAS!$B:$B,L13+1),INDEX(MASTER_ZONES!$B:$B,L13+1)))</f>
        <v/>
      </c>
      <c r="P13">
        <f>IF('CHOP DASHBOARD'!$B$4="Area",IF(12&lt;=$S$3,IF(AND(OR('CHOP DASHBOARD'!$C$4="",ISNUMBER(SEARCH('CHOP DASHBOARD'!$C$4,INDEX(MASTER_AREAS!$B:$B,13))))),12,""),""),IF('CHOP DASHBOARD'!$B$4="Zone",IF(12&lt;=$S$4,IF(OR('CHOP DASHBOARD'!$C$4="",ISNUMBER(SEARCH('CHOP DASHBOARD'!$C$4,INDEX(MASTER_ZONES!$B:$B,13)))),12,""),""),""))</f>
        <v/>
      </c>
      <c r="Q13">
        <f>IFERROR(SMALL($P$2:$P$1487,12),"")</f>
        <v/>
      </c>
      <c r="R13">
        <f>IF(Q13="","",IF('CHOP DASHBOARD'!$B$4="Area",INDEX(MASTER_AREAS!$B:$B,Q13+1),INDEX(MASTER_ZONES!$B:$B,Q13+1)))</f>
        <v/>
      </c>
      <c r="U13">
        <f>IF('COMMUNITY CHURCH DASHBOARD'!$B$4="Area",IF(12&lt;=$X$3,IF(AND(OR('COMMUNITY CHURCH DASHBOARD'!$C$4="",ISNUMBER(SEARCH('COMMUNITY CHURCH DASHBOARD'!$C$4,INDEX(MASTER_AREAS!$B:$B,13))))),12,""),""),IF('COMMUNITY CHURCH DASHBOARD'!$B$4="Zone",IF(12&lt;=$X$4,IF(OR('COMMUNITY CHURCH DASHBOARD'!$C$4="",ISNUMBER(SEARCH('COMMUNITY CHURCH DASHBOARD'!$C$4,INDEX(MASTER_ZONES!$B:$B,13)))),12,""),""),""))</f>
        <v/>
      </c>
      <c r="V13">
        <f>IFERROR(SMALL($U$2:$U$1487,12),"")</f>
        <v/>
      </c>
      <c r="W13">
        <f>IF(V13="","",IF('COMMUNITY CHURCH DASHBOARD'!$B$4="Area",INDEX(MASTER_AREAS!$B:$B,V13+1),INDEX(MASTER_ZONES!$B:$B,V13+1)))</f>
        <v/>
      </c>
    </row>
    <row r="14">
      <c r="A14">
        <f>IF('WSF DASHBOARD'!$B$4="Area",IF(13&lt;=$D$3,IF(AND(OR('WSF DASHBOARD'!$C$4="",ISNUMBER(SEARCH('WSF DASHBOARD'!$C$4,INDEX(MASTER_AREAS!$B:$B,14))))),13,""),""),IF('WSF DASHBOARD'!$B$4="Zone",IF(13&lt;=$D$4,IF(OR('WSF DASHBOARD'!$C$4="",ISNUMBER(SEARCH('WSF DASHBOARD'!$C$4,INDEX(MASTER_ZONES!$B:$B,14)))),13,""),""),""))</f>
        <v/>
      </c>
      <c r="B14">
        <f>IFERROR(SMALL($A$2:$A$1487,13),"")</f>
        <v/>
      </c>
      <c r="C14">
        <f>IF(B14="","",IF('WSF DASHBOARD'!$B$4="Area",INDEX(MASTER_AREAS!$B:$B,B14+1),INDEX(MASTER_ZONES!$B:$B,B14+1)))</f>
        <v/>
      </c>
      <c r="F14">
        <f>IF('TRANSPORT DASHBOARD'!$B$4="Area",IF(13&lt;=$I$3,IF(AND(INDEX(MASTER_AREAS!$F:$F,14)&lt;&gt;"N",OR('TRANSPORT DASHBOARD'!$C$4="",ISNUMBER(SEARCH('TRANSPORT DASHBOARD'!$C$4,INDEX(MASTER_AREAS!$B:$B,14))))),13,""),""),IF('TRANSPORT DASHBOARD'!$B$4="Zone",IF(13&lt;=$I$4,IF(OR('TRANSPORT DASHBOARD'!$C$4="",ISNUMBER(SEARCH('TRANSPORT DASHBOARD'!$C$4,INDEX(MASTER_ZONES!$B:$B,14)))),13,""),""),""))</f>
        <v/>
      </c>
      <c r="G14">
        <f>IFERROR(SMALL($F$2:$F$1487,13),"")</f>
        <v/>
      </c>
      <c r="H14">
        <f>IF(G14="","",IF('TRANSPORT DASHBOARD'!$B$4="Area",INDEX(MASTER_AREAS!$B:$B,G14+1),INDEX(MASTER_ZONES!$B:$B,G14+1)))</f>
        <v/>
      </c>
      <c r="K14">
        <f>IF('MIDWEEK DASHBOARD'!$B$4="Area",IF(13&lt;=$N$3,IF(AND(OR('MIDWEEK DASHBOARD'!$C$4="",ISNUMBER(SEARCH('MIDWEEK DASHBOARD'!$C$4,INDEX(MASTER_AREAS!$B:$B,14))))),13,""),""),IF('MIDWEEK DASHBOARD'!$B$4="Zone",IF(13&lt;=$N$4,IF(OR('MIDWEEK DASHBOARD'!$C$4="",ISNUMBER(SEARCH('MIDWEEK DASHBOARD'!$C$4,INDEX(MASTER_ZONES!$B:$B,14)))),13,""),""),""))</f>
        <v/>
      </c>
      <c r="L14">
        <f>IFERROR(SMALL($K$2:$K$1487,13),"")</f>
        <v/>
      </c>
      <c r="M14">
        <f>IF(L14="","",IF('MIDWEEK DASHBOARD'!$B$4="Area",INDEX(MASTER_AREAS!$B:$B,L14+1),INDEX(MASTER_ZONES!$B:$B,L14+1)))</f>
        <v/>
      </c>
      <c r="P14">
        <f>IF('CHOP DASHBOARD'!$B$4="Area",IF(13&lt;=$S$3,IF(AND(OR('CHOP DASHBOARD'!$C$4="",ISNUMBER(SEARCH('CHOP DASHBOARD'!$C$4,INDEX(MASTER_AREAS!$B:$B,14))))),13,""),""),IF('CHOP DASHBOARD'!$B$4="Zone",IF(13&lt;=$S$4,IF(OR('CHOP DASHBOARD'!$C$4="",ISNUMBER(SEARCH('CHOP DASHBOARD'!$C$4,INDEX(MASTER_ZONES!$B:$B,14)))),13,""),""),""))</f>
        <v/>
      </c>
      <c r="Q14">
        <f>IFERROR(SMALL($P$2:$P$1487,13),"")</f>
        <v/>
      </c>
      <c r="R14">
        <f>IF(Q14="","",IF('CHOP DASHBOARD'!$B$4="Area",INDEX(MASTER_AREAS!$B:$B,Q14+1),INDEX(MASTER_ZONES!$B:$B,Q14+1)))</f>
        <v/>
      </c>
      <c r="U14">
        <f>IF('COMMUNITY CHURCH DASHBOARD'!$B$4="Area",IF(13&lt;=$X$3,IF(AND(OR('COMMUNITY CHURCH DASHBOARD'!$C$4="",ISNUMBER(SEARCH('COMMUNITY CHURCH DASHBOARD'!$C$4,INDEX(MASTER_AREAS!$B:$B,14))))),13,""),""),IF('COMMUNITY CHURCH DASHBOARD'!$B$4="Zone",IF(13&lt;=$X$4,IF(OR('COMMUNITY CHURCH DASHBOARD'!$C$4="",ISNUMBER(SEARCH('COMMUNITY CHURCH DASHBOARD'!$C$4,INDEX(MASTER_ZONES!$B:$B,14)))),13,""),""),""))</f>
        <v/>
      </c>
      <c r="V14">
        <f>IFERROR(SMALL($U$2:$U$1487,13),"")</f>
        <v/>
      </c>
      <c r="W14">
        <f>IF(V14="","",IF('COMMUNITY CHURCH DASHBOARD'!$B$4="Area",INDEX(MASTER_AREAS!$B:$B,V14+1),INDEX(MASTER_ZONES!$B:$B,V14+1)))</f>
        <v/>
      </c>
    </row>
    <row r="15">
      <c r="A15">
        <f>IF('WSF DASHBOARD'!$B$4="Area",IF(14&lt;=$D$3,IF(AND(OR('WSF DASHBOARD'!$C$4="",ISNUMBER(SEARCH('WSF DASHBOARD'!$C$4,INDEX(MASTER_AREAS!$B:$B,15))))),14,""),""),IF('WSF DASHBOARD'!$B$4="Zone",IF(14&lt;=$D$4,IF(OR('WSF DASHBOARD'!$C$4="",ISNUMBER(SEARCH('WSF DASHBOARD'!$C$4,INDEX(MASTER_ZONES!$B:$B,15)))),14,""),""),""))</f>
        <v/>
      </c>
      <c r="B15">
        <f>IFERROR(SMALL($A$2:$A$1487,14),"")</f>
        <v/>
      </c>
      <c r="C15">
        <f>IF(B15="","",IF('WSF DASHBOARD'!$B$4="Area",INDEX(MASTER_AREAS!$B:$B,B15+1),INDEX(MASTER_ZONES!$B:$B,B15+1)))</f>
        <v/>
      </c>
      <c r="F15">
        <f>IF('TRANSPORT DASHBOARD'!$B$4="Area",IF(14&lt;=$I$3,IF(AND(INDEX(MASTER_AREAS!$F:$F,15)&lt;&gt;"N",OR('TRANSPORT DASHBOARD'!$C$4="",ISNUMBER(SEARCH('TRANSPORT DASHBOARD'!$C$4,INDEX(MASTER_AREAS!$B:$B,15))))),14,""),""),IF('TRANSPORT DASHBOARD'!$B$4="Zone",IF(14&lt;=$I$4,IF(OR('TRANSPORT DASHBOARD'!$C$4="",ISNUMBER(SEARCH('TRANSPORT DASHBOARD'!$C$4,INDEX(MASTER_ZONES!$B:$B,15)))),14,""),""),""))</f>
        <v/>
      </c>
      <c r="G15">
        <f>IFERROR(SMALL($F$2:$F$1487,14),"")</f>
        <v/>
      </c>
      <c r="H15">
        <f>IF(G15="","",IF('TRANSPORT DASHBOARD'!$B$4="Area",INDEX(MASTER_AREAS!$B:$B,G15+1),INDEX(MASTER_ZONES!$B:$B,G15+1)))</f>
        <v/>
      </c>
      <c r="K15">
        <f>IF('MIDWEEK DASHBOARD'!$B$4="Area",IF(14&lt;=$N$3,IF(AND(OR('MIDWEEK DASHBOARD'!$C$4="",ISNUMBER(SEARCH('MIDWEEK DASHBOARD'!$C$4,INDEX(MASTER_AREAS!$B:$B,15))))),14,""),""),IF('MIDWEEK DASHBOARD'!$B$4="Zone",IF(14&lt;=$N$4,IF(OR('MIDWEEK DASHBOARD'!$C$4="",ISNUMBER(SEARCH('MIDWEEK DASHBOARD'!$C$4,INDEX(MASTER_ZONES!$B:$B,15)))),14,""),""),""))</f>
        <v/>
      </c>
      <c r="L15">
        <f>IFERROR(SMALL($K$2:$K$1487,14),"")</f>
        <v/>
      </c>
      <c r="M15">
        <f>IF(L15="","",IF('MIDWEEK DASHBOARD'!$B$4="Area",INDEX(MASTER_AREAS!$B:$B,L15+1),INDEX(MASTER_ZONES!$B:$B,L15+1)))</f>
        <v/>
      </c>
      <c r="P15">
        <f>IF('CHOP DASHBOARD'!$B$4="Area",IF(14&lt;=$S$3,IF(AND(OR('CHOP DASHBOARD'!$C$4="",ISNUMBER(SEARCH('CHOP DASHBOARD'!$C$4,INDEX(MASTER_AREAS!$B:$B,15))))),14,""),""),IF('CHOP DASHBOARD'!$B$4="Zone",IF(14&lt;=$S$4,IF(OR('CHOP DASHBOARD'!$C$4="",ISNUMBER(SEARCH('CHOP DASHBOARD'!$C$4,INDEX(MASTER_ZONES!$B:$B,15)))),14,""),""),""))</f>
        <v/>
      </c>
      <c r="Q15">
        <f>IFERROR(SMALL($P$2:$P$1487,14),"")</f>
        <v/>
      </c>
      <c r="R15">
        <f>IF(Q15="","",IF('CHOP DASHBOARD'!$B$4="Area",INDEX(MASTER_AREAS!$B:$B,Q15+1),INDEX(MASTER_ZONES!$B:$B,Q15+1)))</f>
        <v/>
      </c>
      <c r="U15">
        <f>IF('COMMUNITY CHURCH DASHBOARD'!$B$4="Area",IF(14&lt;=$X$3,IF(AND(OR('COMMUNITY CHURCH DASHBOARD'!$C$4="",ISNUMBER(SEARCH('COMMUNITY CHURCH DASHBOARD'!$C$4,INDEX(MASTER_AREAS!$B:$B,15))))),14,""),""),IF('COMMUNITY CHURCH DASHBOARD'!$B$4="Zone",IF(14&lt;=$X$4,IF(OR('COMMUNITY CHURCH DASHBOARD'!$C$4="",ISNUMBER(SEARCH('COMMUNITY CHURCH DASHBOARD'!$C$4,INDEX(MASTER_ZONES!$B:$B,15)))),14,""),""),""))</f>
        <v/>
      </c>
      <c r="V15">
        <f>IFERROR(SMALL($U$2:$U$1487,14),"")</f>
        <v/>
      </c>
      <c r="W15">
        <f>IF(V15="","",IF('COMMUNITY CHURCH DASHBOARD'!$B$4="Area",INDEX(MASTER_AREAS!$B:$B,V15+1),INDEX(MASTER_ZONES!$B:$B,V15+1)))</f>
        <v/>
      </c>
    </row>
    <row r="16">
      <c r="A16">
        <f>IF('WSF DASHBOARD'!$B$4="Area",IF(15&lt;=$D$3,IF(AND(OR('WSF DASHBOARD'!$C$4="",ISNUMBER(SEARCH('WSF DASHBOARD'!$C$4,INDEX(MASTER_AREAS!$B:$B,16))))),15,""),""),IF('WSF DASHBOARD'!$B$4="Zone",IF(15&lt;=$D$4,IF(OR('WSF DASHBOARD'!$C$4="",ISNUMBER(SEARCH('WSF DASHBOARD'!$C$4,INDEX(MASTER_ZONES!$B:$B,16)))),15,""),""),""))</f>
        <v/>
      </c>
      <c r="B16">
        <f>IFERROR(SMALL($A$2:$A$1487,15),"")</f>
        <v/>
      </c>
      <c r="C16">
        <f>IF(B16="","",IF('WSF DASHBOARD'!$B$4="Area",INDEX(MASTER_AREAS!$B:$B,B16+1),INDEX(MASTER_ZONES!$B:$B,B16+1)))</f>
        <v/>
      </c>
      <c r="F16">
        <f>IF('TRANSPORT DASHBOARD'!$B$4="Area",IF(15&lt;=$I$3,IF(AND(INDEX(MASTER_AREAS!$F:$F,16)&lt;&gt;"N",OR('TRANSPORT DASHBOARD'!$C$4="",ISNUMBER(SEARCH('TRANSPORT DASHBOARD'!$C$4,INDEX(MASTER_AREAS!$B:$B,16))))),15,""),""),IF('TRANSPORT DASHBOARD'!$B$4="Zone",IF(15&lt;=$I$4,IF(OR('TRANSPORT DASHBOARD'!$C$4="",ISNUMBER(SEARCH('TRANSPORT DASHBOARD'!$C$4,INDEX(MASTER_ZONES!$B:$B,16)))),15,""),""),""))</f>
        <v/>
      </c>
      <c r="G16">
        <f>IFERROR(SMALL($F$2:$F$1487,15),"")</f>
        <v/>
      </c>
      <c r="H16">
        <f>IF(G16="","",IF('TRANSPORT DASHBOARD'!$B$4="Area",INDEX(MASTER_AREAS!$B:$B,G16+1),INDEX(MASTER_ZONES!$B:$B,G16+1)))</f>
        <v/>
      </c>
      <c r="K16">
        <f>IF('MIDWEEK DASHBOARD'!$B$4="Area",IF(15&lt;=$N$3,IF(AND(OR('MIDWEEK DASHBOARD'!$C$4="",ISNUMBER(SEARCH('MIDWEEK DASHBOARD'!$C$4,INDEX(MASTER_AREAS!$B:$B,16))))),15,""),""),IF('MIDWEEK DASHBOARD'!$B$4="Zone",IF(15&lt;=$N$4,IF(OR('MIDWEEK DASHBOARD'!$C$4="",ISNUMBER(SEARCH('MIDWEEK DASHBOARD'!$C$4,INDEX(MASTER_ZONES!$B:$B,16)))),15,""),""),""))</f>
        <v/>
      </c>
      <c r="L16">
        <f>IFERROR(SMALL($K$2:$K$1487,15),"")</f>
        <v/>
      </c>
      <c r="M16">
        <f>IF(L16="","",IF('MIDWEEK DASHBOARD'!$B$4="Area",INDEX(MASTER_AREAS!$B:$B,L16+1),INDEX(MASTER_ZONES!$B:$B,L16+1)))</f>
        <v/>
      </c>
      <c r="P16">
        <f>IF('CHOP DASHBOARD'!$B$4="Area",IF(15&lt;=$S$3,IF(AND(OR('CHOP DASHBOARD'!$C$4="",ISNUMBER(SEARCH('CHOP DASHBOARD'!$C$4,INDEX(MASTER_AREAS!$B:$B,16))))),15,""),""),IF('CHOP DASHBOARD'!$B$4="Zone",IF(15&lt;=$S$4,IF(OR('CHOP DASHBOARD'!$C$4="",ISNUMBER(SEARCH('CHOP DASHBOARD'!$C$4,INDEX(MASTER_ZONES!$B:$B,16)))),15,""),""),""))</f>
        <v/>
      </c>
      <c r="Q16">
        <f>IFERROR(SMALL($P$2:$P$1487,15),"")</f>
        <v/>
      </c>
      <c r="R16">
        <f>IF(Q16="","",IF('CHOP DASHBOARD'!$B$4="Area",INDEX(MASTER_AREAS!$B:$B,Q16+1),INDEX(MASTER_ZONES!$B:$B,Q16+1)))</f>
        <v/>
      </c>
      <c r="U16">
        <f>IF('COMMUNITY CHURCH DASHBOARD'!$B$4="Area",IF(15&lt;=$X$3,IF(AND(OR('COMMUNITY CHURCH DASHBOARD'!$C$4="",ISNUMBER(SEARCH('COMMUNITY CHURCH DASHBOARD'!$C$4,INDEX(MASTER_AREAS!$B:$B,16))))),15,""),""),IF('COMMUNITY CHURCH DASHBOARD'!$B$4="Zone",IF(15&lt;=$X$4,IF(OR('COMMUNITY CHURCH DASHBOARD'!$C$4="",ISNUMBER(SEARCH('COMMUNITY CHURCH DASHBOARD'!$C$4,INDEX(MASTER_ZONES!$B:$B,16)))),15,""),""),""))</f>
        <v/>
      </c>
      <c r="V16">
        <f>IFERROR(SMALL($U$2:$U$1487,15),"")</f>
        <v/>
      </c>
      <c r="W16">
        <f>IF(V16="","",IF('COMMUNITY CHURCH DASHBOARD'!$B$4="Area",INDEX(MASTER_AREAS!$B:$B,V16+1),INDEX(MASTER_ZONES!$B:$B,V16+1)))</f>
        <v/>
      </c>
    </row>
    <row r="17">
      <c r="A17">
        <f>IF('WSF DASHBOARD'!$B$4="Area",IF(16&lt;=$D$3,IF(AND(OR('WSF DASHBOARD'!$C$4="",ISNUMBER(SEARCH('WSF DASHBOARD'!$C$4,INDEX(MASTER_AREAS!$B:$B,17))))),16,""),""),IF('WSF DASHBOARD'!$B$4="Zone",IF(16&lt;=$D$4,IF(OR('WSF DASHBOARD'!$C$4="",ISNUMBER(SEARCH('WSF DASHBOARD'!$C$4,INDEX(MASTER_ZONES!$B:$B,17)))),16,""),""),""))</f>
        <v/>
      </c>
      <c r="B17">
        <f>IFERROR(SMALL($A$2:$A$1487,16),"")</f>
        <v/>
      </c>
      <c r="C17">
        <f>IF(B17="","",IF('WSF DASHBOARD'!$B$4="Area",INDEX(MASTER_AREAS!$B:$B,B17+1),INDEX(MASTER_ZONES!$B:$B,B17+1)))</f>
        <v/>
      </c>
      <c r="F17">
        <f>IF('TRANSPORT DASHBOARD'!$B$4="Area",IF(16&lt;=$I$3,IF(AND(INDEX(MASTER_AREAS!$F:$F,17)&lt;&gt;"N",OR('TRANSPORT DASHBOARD'!$C$4="",ISNUMBER(SEARCH('TRANSPORT DASHBOARD'!$C$4,INDEX(MASTER_AREAS!$B:$B,17))))),16,""),""),IF('TRANSPORT DASHBOARD'!$B$4="Zone",IF(16&lt;=$I$4,IF(OR('TRANSPORT DASHBOARD'!$C$4="",ISNUMBER(SEARCH('TRANSPORT DASHBOARD'!$C$4,INDEX(MASTER_ZONES!$B:$B,17)))),16,""),""),""))</f>
        <v/>
      </c>
      <c r="G17">
        <f>IFERROR(SMALL($F$2:$F$1487,16),"")</f>
        <v/>
      </c>
      <c r="H17">
        <f>IF(G17="","",IF('TRANSPORT DASHBOARD'!$B$4="Area",INDEX(MASTER_AREAS!$B:$B,G17+1),INDEX(MASTER_ZONES!$B:$B,G17+1)))</f>
        <v/>
      </c>
      <c r="K17">
        <f>IF('MIDWEEK DASHBOARD'!$B$4="Area",IF(16&lt;=$N$3,IF(AND(OR('MIDWEEK DASHBOARD'!$C$4="",ISNUMBER(SEARCH('MIDWEEK DASHBOARD'!$C$4,INDEX(MASTER_AREAS!$B:$B,17))))),16,""),""),IF('MIDWEEK DASHBOARD'!$B$4="Zone",IF(16&lt;=$N$4,IF(OR('MIDWEEK DASHBOARD'!$C$4="",ISNUMBER(SEARCH('MIDWEEK DASHBOARD'!$C$4,INDEX(MASTER_ZONES!$B:$B,17)))),16,""),""),""))</f>
        <v/>
      </c>
      <c r="L17">
        <f>IFERROR(SMALL($K$2:$K$1487,16),"")</f>
        <v/>
      </c>
      <c r="M17">
        <f>IF(L17="","",IF('MIDWEEK DASHBOARD'!$B$4="Area",INDEX(MASTER_AREAS!$B:$B,L17+1),INDEX(MASTER_ZONES!$B:$B,L17+1)))</f>
        <v/>
      </c>
      <c r="P17">
        <f>IF('CHOP DASHBOARD'!$B$4="Area",IF(16&lt;=$S$3,IF(AND(OR('CHOP DASHBOARD'!$C$4="",ISNUMBER(SEARCH('CHOP DASHBOARD'!$C$4,INDEX(MASTER_AREAS!$B:$B,17))))),16,""),""),IF('CHOP DASHBOARD'!$B$4="Zone",IF(16&lt;=$S$4,IF(OR('CHOP DASHBOARD'!$C$4="",ISNUMBER(SEARCH('CHOP DASHBOARD'!$C$4,INDEX(MASTER_ZONES!$B:$B,17)))),16,""),""),""))</f>
        <v/>
      </c>
      <c r="Q17">
        <f>IFERROR(SMALL($P$2:$P$1487,16),"")</f>
        <v/>
      </c>
      <c r="R17">
        <f>IF(Q17="","",IF('CHOP DASHBOARD'!$B$4="Area",INDEX(MASTER_AREAS!$B:$B,Q17+1),INDEX(MASTER_ZONES!$B:$B,Q17+1)))</f>
        <v/>
      </c>
      <c r="U17">
        <f>IF('COMMUNITY CHURCH DASHBOARD'!$B$4="Area",IF(16&lt;=$X$3,IF(AND(OR('COMMUNITY CHURCH DASHBOARD'!$C$4="",ISNUMBER(SEARCH('COMMUNITY CHURCH DASHBOARD'!$C$4,INDEX(MASTER_AREAS!$B:$B,17))))),16,""),""),IF('COMMUNITY CHURCH DASHBOARD'!$B$4="Zone",IF(16&lt;=$X$4,IF(OR('COMMUNITY CHURCH DASHBOARD'!$C$4="",ISNUMBER(SEARCH('COMMUNITY CHURCH DASHBOARD'!$C$4,INDEX(MASTER_ZONES!$B:$B,17)))),16,""),""),""))</f>
        <v/>
      </c>
      <c r="V17">
        <f>IFERROR(SMALL($U$2:$U$1487,16),"")</f>
        <v/>
      </c>
      <c r="W17">
        <f>IF(V17="","",IF('COMMUNITY CHURCH DASHBOARD'!$B$4="Area",INDEX(MASTER_AREAS!$B:$B,V17+1),INDEX(MASTER_ZONES!$B:$B,V17+1)))</f>
        <v/>
      </c>
    </row>
    <row r="18">
      <c r="A18">
        <f>IF('WSF DASHBOARD'!$B$4="Area",IF(17&lt;=$D$3,IF(AND(OR('WSF DASHBOARD'!$C$4="",ISNUMBER(SEARCH('WSF DASHBOARD'!$C$4,INDEX(MASTER_AREAS!$B:$B,18))))),17,""),""),IF('WSF DASHBOARD'!$B$4="Zone",IF(17&lt;=$D$4,IF(OR('WSF DASHBOARD'!$C$4="",ISNUMBER(SEARCH('WSF DASHBOARD'!$C$4,INDEX(MASTER_ZONES!$B:$B,18)))),17,""),""),""))</f>
        <v/>
      </c>
      <c r="B18">
        <f>IFERROR(SMALL($A$2:$A$1487,17),"")</f>
        <v/>
      </c>
      <c r="C18">
        <f>IF(B18="","",IF('WSF DASHBOARD'!$B$4="Area",INDEX(MASTER_AREAS!$B:$B,B18+1),INDEX(MASTER_ZONES!$B:$B,B18+1)))</f>
        <v/>
      </c>
      <c r="F18">
        <f>IF('TRANSPORT DASHBOARD'!$B$4="Area",IF(17&lt;=$I$3,IF(AND(INDEX(MASTER_AREAS!$F:$F,18)&lt;&gt;"N",OR('TRANSPORT DASHBOARD'!$C$4="",ISNUMBER(SEARCH('TRANSPORT DASHBOARD'!$C$4,INDEX(MASTER_AREAS!$B:$B,18))))),17,""),""),IF('TRANSPORT DASHBOARD'!$B$4="Zone",IF(17&lt;=$I$4,IF(OR('TRANSPORT DASHBOARD'!$C$4="",ISNUMBER(SEARCH('TRANSPORT DASHBOARD'!$C$4,INDEX(MASTER_ZONES!$B:$B,18)))),17,""),""),""))</f>
        <v/>
      </c>
      <c r="G18">
        <f>IFERROR(SMALL($F$2:$F$1487,17),"")</f>
        <v/>
      </c>
      <c r="H18">
        <f>IF(G18="","",IF('TRANSPORT DASHBOARD'!$B$4="Area",INDEX(MASTER_AREAS!$B:$B,G18+1),INDEX(MASTER_ZONES!$B:$B,G18+1)))</f>
        <v/>
      </c>
      <c r="K18">
        <f>IF('MIDWEEK DASHBOARD'!$B$4="Area",IF(17&lt;=$N$3,IF(AND(OR('MIDWEEK DASHBOARD'!$C$4="",ISNUMBER(SEARCH('MIDWEEK DASHBOARD'!$C$4,INDEX(MASTER_AREAS!$B:$B,18))))),17,""),""),IF('MIDWEEK DASHBOARD'!$B$4="Zone",IF(17&lt;=$N$4,IF(OR('MIDWEEK DASHBOARD'!$C$4="",ISNUMBER(SEARCH('MIDWEEK DASHBOARD'!$C$4,INDEX(MASTER_ZONES!$B:$B,18)))),17,""),""),""))</f>
        <v/>
      </c>
      <c r="L18">
        <f>IFERROR(SMALL($K$2:$K$1487,17),"")</f>
        <v/>
      </c>
      <c r="M18">
        <f>IF(L18="","",IF('MIDWEEK DASHBOARD'!$B$4="Area",INDEX(MASTER_AREAS!$B:$B,L18+1),INDEX(MASTER_ZONES!$B:$B,L18+1)))</f>
        <v/>
      </c>
      <c r="P18">
        <f>IF('CHOP DASHBOARD'!$B$4="Area",IF(17&lt;=$S$3,IF(AND(OR('CHOP DASHBOARD'!$C$4="",ISNUMBER(SEARCH('CHOP DASHBOARD'!$C$4,INDEX(MASTER_AREAS!$B:$B,18))))),17,""),""),IF('CHOP DASHBOARD'!$B$4="Zone",IF(17&lt;=$S$4,IF(OR('CHOP DASHBOARD'!$C$4="",ISNUMBER(SEARCH('CHOP DASHBOARD'!$C$4,INDEX(MASTER_ZONES!$B:$B,18)))),17,""),""),""))</f>
        <v/>
      </c>
      <c r="Q18">
        <f>IFERROR(SMALL($P$2:$P$1487,17),"")</f>
        <v/>
      </c>
      <c r="R18">
        <f>IF(Q18="","",IF('CHOP DASHBOARD'!$B$4="Area",INDEX(MASTER_AREAS!$B:$B,Q18+1),INDEX(MASTER_ZONES!$B:$B,Q18+1)))</f>
        <v/>
      </c>
      <c r="U18">
        <f>IF('COMMUNITY CHURCH DASHBOARD'!$B$4="Area",IF(17&lt;=$X$3,IF(AND(OR('COMMUNITY CHURCH DASHBOARD'!$C$4="",ISNUMBER(SEARCH('COMMUNITY CHURCH DASHBOARD'!$C$4,INDEX(MASTER_AREAS!$B:$B,18))))),17,""),""),IF('COMMUNITY CHURCH DASHBOARD'!$B$4="Zone",IF(17&lt;=$X$4,IF(OR('COMMUNITY CHURCH DASHBOARD'!$C$4="",ISNUMBER(SEARCH('COMMUNITY CHURCH DASHBOARD'!$C$4,INDEX(MASTER_ZONES!$B:$B,18)))),17,""),""),""))</f>
        <v/>
      </c>
      <c r="V18">
        <f>IFERROR(SMALL($U$2:$U$1487,17),"")</f>
        <v/>
      </c>
      <c r="W18">
        <f>IF(V18="","",IF('COMMUNITY CHURCH DASHBOARD'!$B$4="Area",INDEX(MASTER_AREAS!$B:$B,V18+1),INDEX(MASTER_ZONES!$B:$B,V18+1)))</f>
        <v/>
      </c>
    </row>
    <row r="19">
      <c r="A19">
        <f>IF('WSF DASHBOARD'!$B$4="Area",IF(18&lt;=$D$3,IF(AND(OR('WSF DASHBOARD'!$C$4="",ISNUMBER(SEARCH('WSF DASHBOARD'!$C$4,INDEX(MASTER_AREAS!$B:$B,19))))),18,""),""),IF('WSF DASHBOARD'!$B$4="Zone",IF(18&lt;=$D$4,IF(OR('WSF DASHBOARD'!$C$4="",ISNUMBER(SEARCH('WSF DASHBOARD'!$C$4,INDEX(MASTER_ZONES!$B:$B,19)))),18,""),""),""))</f>
        <v/>
      </c>
      <c r="B19">
        <f>IFERROR(SMALL($A$2:$A$1487,18),"")</f>
        <v/>
      </c>
      <c r="C19">
        <f>IF(B19="","",IF('WSF DASHBOARD'!$B$4="Area",INDEX(MASTER_AREAS!$B:$B,B19+1),INDEX(MASTER_ZONES!$B:$B,B19+1)))</f>
        <v/>
      </c>
      <c r="F19">
        <f>IF('TRANSPORT DASHBOARD'!$B$4="Area",IF(18&lt;=$I$3,IF(AND(INDEX(MASTER_AREAS!$F:$F,19)&lt;&gt;"N",OR('TRANSPORT DASHBOARD'!$C$4="",ISNUMBER(SEARCH('TRANSPORT DASHBOARD'!$C$4,INDEX(MASTER_AREAS!$B:$B,19))))),18,""),""),IF('TRANSPORT DASHBOARD'!$B$4="Zone",IF(18&lt;=$I$4,IF(OR('TRANSPORT DASHBOARD'!$C$4="",ISNUMBER(SEARCH('TRANSPORT DASHBOARD'!$C$4,INDEX(MASTER_ZONES!$B:$B,19)))),18,""),""),""))</f>
        <v/>
      </c>
      <c r="G19">
        <f>IFERROR(SMALL($F$2:$F$1487,18),"")</f>
        <v/>
      </c>
      <c r="H19">
        <f>IF(G19="","",IF('TRANSPORT DASHBOARD'!$B$4="Area",INDEX(MASTER_AREAS!$B:$B,G19+1),INDEX(MASTER_ZONES!$B:$B,G19+1)))</f>
        <v/>
      </c>
      <c r="K19">
        <f>IF('MIDWEEK DASHBOARD'!$B$4="Area",IF(18&lt;=$N$3,IF(AND(OR('MIDWEEK DASHBOARD'!$C$4="",ISNUMBER(SEARCH('MIDWEEK DASHBOARD'!$C$4,INDEX(MASTER_AREAS!$B:$B,19))))),18,""),""),IF('MIDWEEK DASHBOARD'!$B$4="Zone",IF(18&lt;=$N$4,IF(OR('MIDWEEK DASHBOARD'!$C$4="",ISNUMBER(SEARCH('MIDWEEK DASHBOARD'!$C$4,INDEX(MASTER_ZONES!$B:$B,19)))),18,""),""),""))</f>
        <v/>
      </c>
      <c r="L19">
        <f>IFERROR(SMALL($K$2:$K$1487,18),"")</f>
        <v/>
      </c>
      <c r="M19">
        <f>IF(L19="","",IF('MIDWEEK DASHBOARD'!$B$4="Area",INDEX(MASTER_AREAS!$B:$B,L19+1),INDEX(MASTER_ZONES!$B:$B,L19+1)))</f>
        <v/>
      </c>
      <c r="P19">
        <f>IF('CHOP DASHBOARD'!$B$4="Area",IF(18&lt;=$S$3,IF(AND(OR('CHOP DASHBOARD'!$C$4="",ISNUMBER(SEARCH('CHOP DASHBOARD'!$C$4,INDEX(MASTER_AREAS!$B:$B,19))))),18,""),""),IF('CHOP DASHBOARD'!$B$4="Zone",IF(18&lt;=$S$4,IF(OR('CHOP DASHBOARD'!$C$4="",ISNUMBER(SEARCH('CHOP DASHBOARD'!$C$4,INDEX(MASTER_ZONES!$B:$B,19)))),18,""),""),""))</f>
        <v/>
      </c>
      <c r="Q19">
        <f>IFERROR(SMALL($P$2:$P$1487,18),"")</f>
        <v/>
      </c>
      <c r="R19">
        <f>IF(Q19="","",IF('CHOP DASHBOARD'!$B$4="Area",INDEX(MASTER_AREAS!$B:$B,Q19+1),INDEX(MASTER_ZONES!$B:$B,Q19+1)))</f>
        <v/>
      </c>
      <c r="U19">
        <f>IF('COMMUNITY CHURCH DASHBOARD'!$B$4="Area",IF(18&lt;=$X$3,IF(AND(OR('COMMUNITY CHURCH DASHBOARD'!$C$4="",ISNUMBER(SEARCH('COMMUNITY CHURCH DASHBOARD'!$C$4,INDEX(MASTER_AREAS!$B:$B,19))))),18,""),""),IF('COMMUNITY CHURCH DASHBOARD'!$B$4="Zone",IF(18&lt;=$X$4,IF(OR('COMMUNITY CHURCH DASHBOARD'!$C$4="",ISNUMBER(SEARCH('COMMUNITY CHURCH DASHBOARD'!$C$4,INDEX(MASTER_ZONES!$B:$B,19)))),18,""),""),""))</f>
        <v/>
      </c>
      <c r="V19">
        <f>IFERROR(SMALL($U$2:$U$1487,18),"")</f>
        <v/>
      </c>
      <c r="W19">
        <f>IF(V19="","",IF('COMMUNITY CHURCH DASHBOARD'!$B$4="Area",INDEX(MASTER_AREAS!$B:$B,V19+1),INDEX(MASTER_ZONES!$B:$B,V19+1)))</f>
        <v/>
      </c>
    </row>
    <row r="20">
      <c r="A20">
        <f>IF('WSF DASHBOARD'!$B$4="Area",IF(19&lt;=$D$3,IF(AND(OR('WSF DASHBOARD'!$C$4="",ISNUMBER(SEARCH('WSF DASHBOARD'!$C$4,INDEX(MASTER_AREAS!$B:$B,20))))),19,""),""),IF('WSF DASHBOARD'!$B$4="Zone",IF(19&lt;=$D$4,IF(OR('WSF DASHBOARD'!$C$4="",ISNUMBER(SEARCH('WSF DASHBOARD'!$C$4,INDEX(MASTER_ZONES!$B:$B,20)))),19,""),""),""))</f>
        <v/>
      </c>
      <c r="B20">
        <f>IFERROR(SMALL($A$2:$A$1487,19),"")</f>
        <v/>
      </c>
      <c r="C20">
        <f>IF(B20="","",IF('WSF DASHBOARD'!$B$4="Area",INDEX(MASTER_AREAS!$B:$B,B20+1),INDEX(MASTER_ZONES!$B:$B,B20+1)))</f>
        <v/>
      </c>
      <c r="F20">
        <f>IF('TRANSPORT DASHBOARD'!$B$4="Area",IF(19&lt;=$I$3,IF(AND(INDEX(MASTER_AREAS!$F:$F,20)&lt;&gt;"N",OR('TRANSPORT DASHBOARD'!$C$4="",ISNUMBER(SEARCH('TRANSPORT DASHBOARD'!$C$4,INDEX(MASTER_AREAS!$B:$B,20))))),19,""),""),IF('TRANSPORT DASHBOARD'!$B$4="Zone",IF(19&lt;=$I$4,IF(OR('TRANSPORT DASHBOARD'!$C$4="",ISNUMBER(SEARCH('TRANSPORT DASHBOARD'!$C$4,INDEX(MASTER_ZONES!$B:$B,20)))),19,""),""),""))</f>
        <v/>
      </c>
      <c r="G20">
        <f>IFERROR(SMALL($F$2:$F$1487,19),"")</f>
        <v/>
      </c>
      <c r="H20">
        <f>IF(G20="","",IF('TRANSPORT DASHBOARD'!$B$4="Area",INDEX(MASTER_AREAS!$B:$B,G20+1),INDEX(MASTER_ZONES!$B:$B,G20+1)))</f>
        <v/>
      </c>
      <c r="K20">
        <f>IF('MIDWEEK DASHBOARD'!$B$4="Area",IF(19&lt;=$N$3,IF(AND(OR('MIDWEEK DASHBOARD'!$C$4="",ISNUMBER(SEARCH('MIDWEEK DASHBOARD'!$C$4,INDEX(MASTER_AREAS!$B:$B,20))))),19,""),""),IF('MIDWEEK DASHBOARD'!$B$4="Zone",IF(19&lt;=$N$4,IF(OR('MIDWEEK DASHBOARD'!$C$4="",ISNUMBER(SEARCH('MIDWEEK DASHBOARD'!$C$4,INDEX(MASTER_ZONES!$B:$B,20)))),19,""),""),""))</f>
        <v/>
      </c>
      <c r="L20">
        <f>IFERROR(SMALL($K$2:$K$1487,19),"")</f>
        <v/>
      </c>
      <c r="M20">
        <f>IF(L20="","",IF('MIDWEEK DASHBOARD'!$B$4="Area",INDEX(MASTER_AREAS!$B:$B,L20+1),INDEX(MASTER_ZONES!$B:$B,L20+1)))</f>
        <v/>
      </c>
      <c r="P20">
        <f>IF('CHOP DASHBOARD'!$B$4="Area",IF(19&lt;=$S$3,IF(AND(OR('CHOP DASHBOARD'!$C$4="",ISNUMBER(SEARCH('CHOP DASHBOARD'!$C$4,INDEX(MASTER_AREAS!$B:$B,20))))),19,""),""),IF('CHOP DASHBOARD'!$B$4="Zone",IF(19&lt;=$S$4,IF(OR('CHOP DASHBOARD'!$C$4="",ISNUMBER(SEARCH('CHOP DASHBOARD'!$C$4,INDEX(MASTER_ZONES!$B:$B,20)))),19,""),""),""))</f>
        <v/>
      </c>
      <c r="Q20">
        <f>IFERROR(SMALL($P$2:$P$1487,19),"")</f>
        <v/>
      </c>
      <c r="R20">
        <f>IF(Q20="","",IF('CHOP DASHBOARD'!$B$4="Area",INDEX(MASTER_AREAS!$B:$B,Q20+1),INDEX(MASTER_ZONES!$B:$B,Q20+1)))</f>
        <v/>
      </c>
      <c r="U20">
        <f>IF('COMMUNITY CHURCH DASHBOARD'!$B$4="Area",IF(19&lt;=$X$3,IF(AND(OR('COMMUNITY CHURCH DASHBOARD'!$C$4="",ISNUMBER(SEARCH('COMMUNITY CHURCH DASHBOARD'!$C$4,INDEX(MASTER_AREAS!$B:$B,20))))),19,""),""),IF('COMMUNITY CHURCH DASHBOARD'!$B$4="Zone",IF(19&lt;=$X$4,IF(OR('COMMUNITY CHURCH DASHBOARD'!$C$4="",ISNUMBER(SEARCH('COMMUNITY CHURCH DASHBOARD'!$C$4,INDEX(MASTER_ZONES!$B:$B,20)))),19,""),""),""))</f>
        <v/>
      </c>
      <c r="V20">
        <f>IFERROR(SMALL($U$2:$U$1487,19),"")</f>
        <v/>
      </c>
      <c r="W20">
        <f>IF(V20="","",IF('COMMUNITY CHURCH DASHBOARD'!$B$4="Area",INDEX(MASTER_AREAS!$B:$B,V20+1),INDEX(MASTER_ZONES!$B:$B,V20+1)))</f>
        <v/>
      </c>
    </row>
    <row r="21">
      <c r="A21">
        <f>IF('WSF DASHBOARD'!$B$4="Area",IF(20&lt;=$D$3,IF(AND(OR('WSF DASHBOARD'!$C$4="",ISNUMBER(SEARCH('WSF DASHBOARD'!$C$4,INDEX(MASTER_AREAS!$B:$B,21))))),20,""),""),IF('WSF DASHBOARD'!$B$4="Zone",IF(20&lt;=$D$4,IF(OR('WSF DASHBOARD'!$C$4="",ISNUMBER(SEARCH('WSF DASHBOARD'!$C$4,INDEX(MASTER_ZONES!$B:$B,21)))),20,""),""),""))</f>
        <v/>
      </c>
      <c r="B21">
        <f>IFERROR(SMALL($A$2:$A$1487,20),"")</f>
        <v/>
      </c>
      <c r="C21">
        <f>IF(B21="","",IF('WSF DASHBOARD'!$B$4="Area",INDEX(MASTER_AREAS!$B:$B,B21+1),INDEX(MASTER_ZONES!$B:$B,B21+1)))</f>
        <v/>
      </c>
      <c r="F21">
        <f>IF('TRANSPORT DASHBOARD'!$B$4="Area",IF(20&lt;=$I$3,IF(AND(INDEX(MASTER_AREAS!$F:$F,21)&lt;&gt;"N",OR('TRANSPORT DASHBOARD'!$C$4="",ISNUMBER(SEARCH('TRANSPORT DASHBOARD'!$C$4,INDEX(MASTER_AREAS!$B:$B,21))))),20,""),""),IF('TRANSPORT DASHBOARD'!$B$4="Zone",IF(20&lt;=$I$4,IF(OR('TRANSPORT DASHBOARD'!$C$4="",ISNUMBER(SEARCH('TRANSPORT DASHBOARD'!$C$4,INDEX(MASTER_ZONES!$B:$B,21)))),20,""),""),""))</f>
        <v/>
      </c>
      <c r="G21">
        <f>IFERROR(SMALL($F$2:$F$1487,20),"")</f>
        <v/>
      </c>
      <c r="H21">
        <f>IF(G21="","",IF('TRANSPORT DASHBOARD'!$B$4="Area",INDEX(MASTER_AREAS!$B:$B,G21+1),INDEX(MASTER_ZONES!$B:$B,G21+1)))</f>
        <v/>
      </c>
      <c r="K21">
        <f>IF('MIDWEEK DASHBOARD'!$B$4="Area",IF(20&lt;=$N$3,IF(AND(OR('MIDWEEK DASHBOARD'!$C$4="",ISNUMBER(SEARCH('MIDWEEK DASHBOARD'!$C$4,INDEX(MASTER_AREAS!$B:$B,21))))),20,""),""),IF('MIDWEEK DASHBOARD'!$B$4="Zone",IF(20&lt;=$N$4,IF(OR('MIDWEEK DASHBOARD'!$C$4="",ISNUMBER(SEARCH('MIDWEEK DASHBOARD'!$C$4,INDEX(MASTER_ZONES!$B:$B,21)))),20,""),""),""))</f>
        <v/>
      </c>
      <c r="L21">
        <f>IFERROR(SMALL($K$2:$K$1487,20),"")</f>
        <v/>
      </c>
      <c r="M21">
        <f>IF(L21="","",IF('MIDWEEK DASHBOARD'!$B$4="Area",INDEX(MASTER_AREAS!$B:$B,L21+1),INDEX(MASTER_ZONES!$B:$B,L21+1)))</f>
        <v/>
      </c>
      <c r="P21">
        <f>IF('CHOP DASHBOARD'!$B$4="Area",IF(20&lt;=$S$3,IF(AND(OR('CHOP DASHBOARD'!$C$4="",ISNUMBER(SEARCH('CHOP DASHBOARD'!$C$4,INDEX(MASTER_AREAS!$B:$B,21))))),20,""),""),IF('CHOP DASHBOARD'!$B$4="Zone",IF(20&lt;=$S$4,IF(OR('CHOP DASHBOARD'!$C$4="",ISNUMBER(SEARCH('CHOP DASHBOARD'!$C$4,INDEX(MASTER_ZONES!$B:$B,21)))),20,""),""),""))</f>
        <v/>
      </c>
      <c r="Q21">
        <f>IFERROR(SMALL($P$2:$P$1487,20),"")</f>
        <v/>
      </c>
      <c r="R21">
        <f>IF(Q21="","",IF('CHOP DASHBOARD'!$B$4="Area",INDEX(MASTER_AREAS!$B:$B,Q21+1),INDEX(MASTER_ZONES!$B:$B,Q21+1)))</f>
        <v/>
      </c>
      <c r="U21">
        <f>IF('COMMUNITY CHURCH DASHBOARD'!$B$4="Area",IF(20&lt;=$X$3,IF(AND(OR('COMMUNITY CHURCH DASHBOARD'!$C$4="",ISNUMBER(SEARCH('COMMUNITY CHURCH DASHBOARD'!$C$4,INDEX(MASTER_AREAS!$B:$B,21))))),20,""),""),IF('COMMUNITY CHURCH DASHBOARD'!$B$4="Zone",IF(20&lt;=$X$4,IF(OR('COMMUNITY CHURCH DASHBOARD'!$C$4="",ISNUMBER(SEARCH('COMMUNITY CHURCH DASHBOARD'!$C$4,INDEX(MASTER_ZONES!$B:$B,21)))),20,""),""),""))</f>
        <v/>
      </c>
      <c r="V21">
        <f>IFERROR(SMALL($U$2:$U$1487,20),"")</f>
        <v/>
      </c>
      <c r="W21">
        <f>IF(V21="","",IF('COMMUNITY CHURCH DASHBOARD'!$B$4="Area",INDEX(MASTER_AREAS!$B:$B,V21+1),INDEX(MASTER_ZONES!$B:$B,V21+1)))</f>
        <v/>
      </c>
    </row>
    <row r="22">
      <c r="A22">
        <f>IF('WSF DASHBOARD'!$B$4="Area",IF(21&lt;=$D$3,IF(AND(OR('WSF DASHBOARD'!$C$4="",ISNUMBER(SEARCH('WSF DASHBOARD'!$C$4,INDEX(MASTER_AREAS!$B:$B,22))))),21,""),""),IF('WSF DASHBOARD'!$B$4="Zone",IF(21&lt;=$D$4,IF(OR('WSF DASHBOARD'!$C$4="",ISNUMBER(SEARCH('WSF DASHBOARD'!$C$4,INDEX(MASTER_ZONES!$B:$B,22)))),21,""),""),""))</f>
        <v/>
      </c>
      <c r="B22">
        <f>IFERROR(SMALL($A$2:$A$1487,21),"")</f>
        <v/>
      </c>
      <c r="C22">
        <f>IF(B22="","",IF('WSF DASHBOARD'!$B$4="Area",INDEX(MASTER_AREAS!$B:$B,B22+1),INDEX(MASTER_ZONES!$B:$B,B22+1)))</f>
        <v/>
      </c>
      <c r="F22">
        <f>IF('TRANSPORT DASHBOARD'!$B$4="Area",IF(21&lt;=$I$3,IF(AND(INDEX(MASTER_AREAS!$F:$F,22)&lt;&gt;"N",OR('TRANSPORT DASHBOARD'!$C$4="",ISNUMBER(SEARCH('TRANSPORT DASHBOARD'!$C$4,INDEX(MASTER_AREAS!$B:$B,22))))),21,""),""),IF('TRANSPORT DASHBOARD'!$B$4="Zone",IF(21&lt;=$I$4,IF(OR('TRANSPORT DASHBOARD'!$C$4="",ISNUMBER(SEARCH('TRANSPORT DASHBOARD'!$C$4,INDEX(MASTER_ZONES!$B:$B,22)))),21,""),""),""))</f>
        <v/>
      </c>
      <c r="G22">
        <f>IFERROR(SMALL($F$2:$F$1487,21),"")</f>
        <v/>
      </c>
      <c r="H22">
        <f>IF(G22="","",IF('TRANSPORT DASHBOARD'!$B$4="Area",INDEX(MASTER_AREAS!$B:$B,G22+1),INDEX(MASTER_ZONES!$B:$B,G22+1)))</f>
        <v/>
      </c>
      <c r="K22">
        <f>IF('MIDWEEK DASHBOARD'!$B$4="Area",IF(21&lt;=$N$3,IF(AND(OR('MIDWEEK DASHBOARD'!$C$4="",ISNUMBER(SEARCH('MIDWEEK DASHBOARD'!$C$4,INDEX(MASTER_AREAS!$B:$B,22))))),21,""),""),IF('MIDWEEK DASHBOARD'!$B$4="Zone",IF(21&lt;=$N$4,IF(OR('MIDWEEK DASHBOARD'!$C$4="",ISNUMBER(SEARCH('MIDWEEK DASHBOARD'!$C$4,INDEX(MASTER_ZONES!$B:$B,22)))),21,""),""),""))</f>
        <v/>
      </c>
      <c r="L22">
        <f>IFERROR(SMALL($K$2:$K$1487,21),"")</f>
        <v/>
      </c>
      <c r="M22">
        <f>IF(L22="","",IF('MIDWEEK DASHBOARD'!$B$4="Area",INDEX(MASTER_AREAS!$B:$B,L22+1),INDEX(MASTER_ZONES!$B:$B,L22+1)))</f>
        <v/>
      </c>
      <c r="P22">
        <f>IF('CHOP DASHBOARD'!$B$4="Area",IF(21&lt;=$S$3,IF(AND(OR('CHOP DASHBOARD'!$C$4="",ISNUMBER(SEARCH('CHOP DASHBOARD'!$C$4,INDEX(MASTER_AREAS!$B:$B,22))))),21,""),""),IF('CHOP DASHBOARD'!$B$4="Zone",IF(21&lt;=$S$4,IF(OR('CHOP DASHBOARD'!$C$4="",ISNUMBER(SEARCH('CHOP DASHBOARD'!$C$4,INDEX(MASTER_ZONES!$B:$B,22)))),21,""),""),""))</f>
        <v/>
      </c>
      <c r="Q22">
        <f>IFERROR(SMALL($P$2:$P$1487,21),"")</f>
        <v/>
      </c>
      <c r="R22">
        <f>IF(Q22="","",IF('CHOP DASHBOARD'!$B$4="Area",INDEX(MASTER_AREAS!$B:$B,Q22+1),INDEX(MASTER_ZONES!$B:$B,Q22+1)))</f>
        <v/>
      </c>
      <c r="U22">
        <f>IF('COMMUNITY CHURCH DASHBOARD'!$B$4="Area",IF(21&lt;=$X$3,IF(AND(OR('COMMUNITY CHURCH DASHBOARD'!$C$4="",ISNUMBER(SEARCH('COMMUNITY CHURCH DASHBOARD'!$C$4,INDEX(MASTER_AREAS!$B:$B,22))))),21,""),""),IF('COMMUNITY CHURCH DASHBOARD'!$B$4="Zone",IF(21&lt;=$X$4,IF(OR('COMMUNITY CHURCH DASHBOARD'!$C$4="",ISNUMBER(SEARCH('COMMUNITY CHURCH DASHBOARD'!$C$4,INDEX(MASTER_ZONES!$B:$B,22)))),21,""),""),""))</f>
        <v/>
      </c>
      <c r="V22">
        <f>IFERROR(SMALL($U$2:$U$1487,21),"")</f>
        <v/>
      </c>
      <c r="W22">
        <f>IF(V22="","",IF('COMMUNITY CHURCH DASHBOARD'!$B$4="Area",INDEX(MASTER_AREAS!$B:$B,V22+1),INDEX(MASTER_ZONES!$B:$B,V22+1)))</f>
        <v/>
      </c>
    </row>
    <row r="23">
      <c r="A23">
        <f>IF('WSF DASHBOARD'!$B$4="Area",IF(22&lt;=$D$3,IF(AND(OR('WSF DASHBOARD'!$C$4="",ISNUMBER(SEARCH('WSF DASHBOARD'!$C$4,INDEX(MASTER_AREAS!$B:$B,23))))),22,""),""),IF('WSF DASHBOARD'!$B$4="Zone",IF(22&lt;=$D$4,IF(OR('WSF DASHBOARD'!$C$4="",ISNUMBER(SEARCH('WSF DASHBOARD'!$C$4,INDEX(MASTER_ZONES!$B:$B,23)))),22,""),""),""))</f>
        <v/>
      </c>
      <c r="B23">
        <f>IFERROR(SMALL($A$2:$A$1487,22),"")</f>
        <v/>
      </c>
      <c r="C23">
        <f>IF(B23="","",IF('WSF DASHBOARD'!$B$4="Area",INDEX(MASTER_AREAS!$B:$B,B23+1),INDEX(MASTER_ZONES!$B:$B,B23+1)))</f>
        <v/>
      </c>
      <c r="F23">
        <f>IF('TRANSPORT DASHBOARD'!$B$4="Area",IF(22&lt;=$I$3,IF(AND(INDEX(MASTER_AREAS!$F:$F,23)&lt;&gt;"N",OR('TRANSPORT DASHBOARD'!$C$4="",ISNUMBER(SEARCH('TRANSPORT DASHBOARD'!$C$4,INDEX(MASTER_AREAS!$B:$B,23))))),22,""),""),IF('TRANSPORT DASHBOARD'!$B$4="Zone",IF(22&lt;=$I$4,IF(OR('TRANSPORT DASHBOARD'!$C$4="",ISNUMBER(SEARCH('TRANSPORT DASHBOARD'!$C$4,INDEX(MASTER_ZONES!$B:$B,23)))),22,""),""),""))</f>
        <v/>
      </c>
      <c r="G23">
        <f>IFERROR(SMALL($F$2:$F$1487,22),"")</f>
        <v/>
      </c>
      <c r="H23">
        <f>IF(G23="","",IF('TRANSPORT DASHBOARD'!$B$4="Area",INDEX(MASTER_AREAS!$B:$B,G23+1),INDEX(MASTER_ZONES!$B:$B,G23+1)))</f>
        <v/>
      </c>
      <c r="K23">
        <f>IF('MIDWEEK DASHBOARD'!$B$4="Area",IF(22&lt;=$N$3,IF(AND(OR('MIDWEEK DASHBOARD'!$C$4="",ISNUMBER(SEARCH('MIDWEEK DASHBOARD'!$C$4,INDEX(MASTER_AREAS!$B:$B,23))))),22,""),""),IF('MIDWEEK DASHBOARD'!$B$4="Zone",IF(22&lt;=$N$4,IF(OR('MIDWEEK DASHBOARD'!$C$4="",ISNUMBER(SEARCH('MIDWEEK DASHBOARD'!$C$4,INDEX(MASTER_ZONES!$B:$B,23)))),22,""),""),""))</f>
        <v/>
      </c>
      <c r="L23">
        <f>IFERROR(SMALL($K$2:$K$1487,22),"")</f>
        <v/>
      </c>
      <c r="M23">
        <f>IF(L23="","",IF('MIDWEEK DASHBOARD'!$B$4="Area",INDEX(MASTER_AREAS!$B:$B,L23+1),INDEX(MASTER_ZONES!$B:$B,L23+1)))</f>
        <v/>
      </c>
      <c r="P23">
        <f>IF('CHOP DASHBOARD'!$B$4="Area",IF(22&lt;=$S$3,IF(AND(OR('CHOP DASHBOARD'!$C$4="",ISNUMBER(SEARCH('CHOP DASHBOARD'!$C$4,INDEX(MASTER_AREAS!$B:$B,23))))),22,""),""),IF('CHOP DASHBOARD'!$B$4="Zone",IF(22&lt;=$S$4,IF(OR('CHOP DASHBOARD'!$C$4="",ISNUMBER(SEARCH('CHOP DASHBOARD'!$C$4,INDEX(MASTER_ZONES!$B:$B,23)))),22,""),""),""))</f>
        <v/>
      </c>
      <c r="Q23">
        <f>IFERROR(SMALL($P$2:$P$1487,22),"")</f>
        <v/>
      </c>
      <c r="R23">
        <f>IF(Q23="","",IF('CHOP DASHBOARD'!$B$4="Area",INDEX(MASTER_AREAS!$B:$B,Q23+1),INDEX(MASTER_ZONES!$B:$B,Q23+1)))</f>
        <v/>
      </c>
      <c r="U23">
        <f>IF('COMMUNITY CHURCH DASHBOARD'!$B$4="Area",IF(22&lt;=$X$3,IF(AND(OR('COMMUNITY CHURCH DASHBOARD'!$C$4="",ISNUMBER(SEARCH('COMMUNITY CHURCH DASHBOARD'!$C$4,INDEX(MASTER_AREAS!$B:$B,23))))),22,""),""),IF('COMMUNITY CHURCH DASHBOARD'!$B$4="Zone",IF(22&lt;=$X$4,IF(OR('COMMUNITY CHURCH DASHBOARD'!$C$4="",ISNUMBER(SEARCH('COMMUNITY CHURCH DASHBOARD'!$C$4,INDEX(MASTER_ZONES!$B:$B,23)))),22,""),""),""))</f>
        <v/>
      </c>
      <c r="V23">
        <f>IFERROR(SMALL($U$2:$U$1487,22),"")</f>
        <v/>
      </c>
      <c r="W23">
        <f>IF(V23="","",IF('COMMUNITY CHURCH DASHBOARD'!$B$4="Area",INDEX(MASTER_AREAS!$B:$B,V23+1),INDEX(MASTER_ZONES!$B:$B,V23+1)))</f>
        <v/>
      </c>
    </row>
    <row r="24">
      <c r="A24">
        <f>IF('WSF DASHBOARD'!$B$4="Area",IF(23&lt;=$D$3,IF(AND(OR('WSF DASHBOARD'!$C$4="",ISNUMBER(SEARCH('WSF DASHBOARD'!$C$4,INDEX(MASTER_AREAS!$B:$B,24))))),23,""),""),IF('WSF DASHBOARD'!$B$4="Zone",IF(23&lt;=$D$4,IF(OR('WSF DASHBOARD'!$C$4="",ISNUMBER(SEARCH('WSF DASHBOARD'!$C$4,INDEX(MASTER_ZONES!$B:$B,24)))),23,""),""),""))</f>
        <v/>
      </c>
      <c r="B24">
        <f>IFERROR(SMALL($A$2:$A$1487,23),"")</f>
        <v/>
      </c>
      <c r="C24">
        <f>IF(B24="","",IF('WSF DASHBOARD'!$B$4="Area",INDEX(MASTER_AREAS!$B:$B,B24+1),INDEX(MASTER_ZONES!$B:$B,B24+1)))</f>
        <v/>
      </c>
      <c r="F24">
        <f>IF('TRANSPORT DASHBOARD'!$B$4="Area",IF(23&lt;=$I$3,IF(AND(INDEX(MASTER_AREAS!$F:$F,24)&lt;&gt;"N",OR('TRANSPORT DASHBOARD'!$C$4="",ISNUMBER(SEARCH('TRANSPORT DASHBOARD'!$C$4,INDEX(MASTER_AREAS!$B:$B,24))))),23,""),""),IF('TRANSPORT DASHBOARD'!$B$4="Zone",IF(23&lt;=$I$4,IF(OR('TRANSPORT DASHBOARD'!$C$4="",ISNUMBER(SEARCH('TRANSPORT DASHBOARD'!$C$4,INDEX(MASTER_ZONES!$B:$B,24)))),23,""),""),""))</f>
        <v/>
      </c>
      <c r="G24">
        <f>IFERROR(SMALL($F$2:$F$1487,23),"")</f>
        <v/>
      </c>
      <c r="H24">
        <f>IF(G24="","",IF('TRANSPORT DASHBOARD'!$B$4="Area",INDEX(MASTER_AREAS!$B:$B,G24+1),INDEX(MASTER_ZONES!$B:$B,G24+1)))</f>
        <v/>
      </c>
      <c r="K24">
        <f>IF('MIDWEEK DASHBOARD'!$B$4="Area",IF(23&lt;=$N$3,IF(AND(OR('MIDWEEK DASHBOARD'!$C$4="",ISNUMBER(SEARCH('MIDWEEK DASHBOARD'!$C$4,INDEX(MASTER_AREAS!$B:$B,24))))),23,""),""),IF('MIDWEEK DASHBOARD'!$B$4="Zone",IF(23&lt;=$N$4,IF(OR('MIDWEEK DASHBOARD'!$C$4="",ISNUMBER(SEARCH('MIDWEEK DASHBOARD'!$C$4,INDEX(MASTER_ZONES!$B:$B,24)))),23,""),""),""))</f>
        <v/>
      </c>
      <c r="L24">
        <f>IFERROR(SMALL($K$2:$K$1487,23),"")</f>
        <v/>
      </c>
      <c r="M24">
        <f>IF(L24="","",IF('MIDWEEK DASHBOARD'!$B$4="Area",INDEX(MASTER_AREAS!$B:$B,L24+1),INDEX(MASTER_ZONES!$B:$B,L24+1)))</f>
        <v/>
      </c>
      <c r="P24">
        <f>IF('CHOP DASHBOARD'!$B$4="Area",IF(23&lt;=$S$3,IF(AND(OR('CHOP DASHBOARD'!$C$4="",ISNUMBER(SEARCH('CHOP DASHBOARD'!$C$4,INDEX(MASTER_AREAS!$B:$B,24))))),23,""),""),IF('CHOP DASHBOARD'!$B$4="Zone",IF(23&lt;=$S$4,IF(OR('CHOP DASHBOARD'!$C$4="",ISNUMBER(SEARCH('CHOP DASHBOARD'!$C$4,INDEX(MASTER_ZONES!$B:$B,24)))),23,""),""),""))</f>
        <v/>
      </c>
      <c r="Q24">
        <f>IFERROR(SMALL($P$2:$P$1487,23),"")</f>
        <v/>
      </c>
      <c r="R24">
        <f>IF(Q24="","",IF('CHOP DASHBOARD'!$B$4="Area",INDEX(MASTER_AREAS!$B:$B,Q24+1),INDEX(MASTER_ZONES!$B:$B,Q24+1)))</f>
        <v/>
      </c>
      <c r="U24">
        <f>IF('COMMUNITY CHURCH DASHBOARD'!$B$4="Area",IF(23&lt;=$X$3,IF(AND(OR('COMMUNITY CHURCH DASHBOARD'!$C$4="",ISNUMBER(SEARCH('COMMUNITY CHURCH DASHBOARD'!$C$4,INDEX(MASTER_AREAS!$B:$B,24))))),23,""),""),IF('COMMUNITY CHURCH DASHBOARD'!$B$4="Zone",IF(23&lt;=$X$4,IF(OR('COMMUNITY CHURCH DASHBOARD'!$C$4="",ISNUMBER(SEARCH('COMMUNITY CHURCH DASHBOARD'!$C$4,INDEX(MASTER_ZONES!$B:$B,24)))),23,""),""),""))</f>
        <v/>
      </c>
      <c r="V24">
        <f>IFERROR(SMALL($U$2:$U$1487,23),"")</f>
        <v/>
      </c>
      <c r="W24">
        <f>IF(V24="","",IF('COMMUNITY CHURCH DASHBOARD'!$B$4="Area",INDEX(MASTER_AREAS!$B:$B,V24+1),INDEX(MASTER_ZONES!$B:$B,V24+1)))</f>
        <v/>
      </c>
    </row>
    <row r="25">
      <c r="A25">
        <f>IF('WSF DASHBOARD'!$B$4="Area",IF(24&lt;=$D$3,IF(AND(OR('WSF DASHBOARD'!$C$4="",ISNUMBER(SEARCH('WSF DASHBOARD'!$C$4,INDEX(MASTER_AREAS!$B:$B,25))))),24,""),""),IF('WSF DASHBOARD'!$B$4="Zone",IF(24&lt;=$D$4,IF(OR('WSF DASHBOARD'!$C$4="",ISNUMBER(SEARCH('WSF DASHBOARD'!$C$4,INDEX(MASTER_ZONES!$B:$B,25)))),24,""),""),""))</f>
        <v/>
      </c>
      <c r="B25">
        <f>IFERROR(SMALL($A$2:$A$1487,24),"")</f>
        <v/>
      </c>
      <c r="C25">
        <f>IF(B25="","",IF('WSF DASHBOARD'!$B$4="Area",INDEX(MASTER_AREAS!$B:$B,B25+1),INDEX(MASTER_ZONES!$B:$B,B25+1)))</f>
        <v/>
      </c>
      <c r="F25">
        <f>IF('TRANSPORT DASHBOARD'!$B$4="Area",IF(24&lt;=$I$3,IF(AND(INDEX(MASTER_AREAS!$F:$F,25)&lt;&gt;"N",OR('TRANSPORT DASHBOARD'!$C$4="",ISNUMBER(SEARCH('TRANSPORT DASHBOARD'!$C$4,INDEX(MASTER_AREAS!$B:$B,25))))),24,""),""),IF('TRANSPORT DASHBOARD'!$B$4="Zone",IF(24&lt;=$I$4,IF(OR('TRANSPORT DASHBOARD'!$C$4="",ISNUMBER(SEARCH('TRANSPORT DASHBOARD'!$C$4,INDEX(MASTER_ZONES!$B:$B,25)))),24,""),""),""))</f>
        <v/>
      </c>
      <c r="G25">
        <f>IFERROR(SMALL($F$2:$F$1487,24),"")</f>
        <v/>
      </c>
      <c r="H25">
        <f>IF(G25="","",IF('TRANSPORT DASHBOARD'!$B$4="Area",INDEX(MASTER_AREAS!$B:$B,G25+1),INDEX(MASTER_ZONES!$B:$B,G25+1)))</f>
        <v/>
      </c>
      <c r="K25">
        <f>IF('MIDWEEK DASHBOARD'!$B$4="Area",IF(24&lt;=$N$3,IF(AND(OR('MIDWEEK DASHBOARD'!$C$4="",ISNUMBER(SEARCH('MIDWEEK DASHBOARD'!$C$4,INDEX(MASTER_AREAS!$B:$B,25))))),24,""),""),IF('MIDWEEK DASHBOARD'!$B$4="Zone",IF(24&lt;=$N$4,IF(OR('MIDWEEK DASHBOARD'!$C$4="",ISNUMBER(SEARCH('MIDWEEK DASHBOARD'!$C$4,INDEX(MASTER_ZONES!$B:$B,25)))),24,""),""),""))</f>
        <v/>
      </c>
      <c r="L25">
        <f>IFERROR(SMALL($K$2:$K$1487,24),"")</f>
        <v/>
      </c>
      <c r="M25">
        <f>IF(L25="","",IF('MIDWEEK DASHBOARD'!$B$4="Area",INDEX(MASTER_AREAS!$B:$B,L25+1),INDEX(MASTER_ZONES!$B:$B,L25+1)))</f>
        <v/>
      </c>
      <c r="P25">
        <f>IF('CHOP DASHBOARD'!$B$4="Area",IF(24&lt;=$S$3,IF(AND(OR('CHOP DASHBOARD'!$C$4="",ISNUMBER(SEARCH('CHOP DASHBOARD'!$C$4,INDEX(MASTER_AREAS!$B:$B,25))))),24,""),""),IF('CHOP DASHBOARD'!$B$4="Zone",IF(24&lt;=$S$4,IF(OR('CHOP DASHBOARD'!$C$4="",ISNUMBER(SEARCH('CHOP DASHBOARD'!$C$4,INDEX(MASTER_ZONES!$B:$B,25)))),24,""),""),""))</f>
        <v/>
      </c>
      <c r="Q25">
        <f>IFERROR(SMALL($P$2:$P$1487,24),"")</f>
        <v/>
      </c>
      <c r="R25">
        <f>IF(Q25="","",IF('CHOP DASHBOARD'!$B$4="Area",INDEX(MASTER_AREAS!$B:$B,Q25+1),INDEX(MASTER_ZONES!$B:$B,Q25+1)))</f>
        <v/>
      </c>
      <c r="U25">
        <f>IF('COMMUNITY CHURCH DASHBOARD'!$B$4="Area",IF(24&lt;=$X$3,IF(AND(OR('COMMUNITY CHURCH DASHBOARD'!$C$4="",ISNUMBER(SEARCH('COMMUNITY CHURCH DASHBOARD'!$C$4,INDEX(MASTER_AREAS!$B:$B,25))))),24,""),""),IF('COMMUNITY CHURCH DASHBOARD'!$B$4="Zone",IF(24&lt;=$X$4,IF(OR('COMMUNITY CHURCH DASHBOARD'!$C$4="",ISNUMBER(SEARCH('COMMUNITY CHURCH DASHBOARD'!$C$4,INDEX(MASTER_ZONES!$B:$B,25)))),24,""),""),""))</f>
        <v/>
      </c>
      <c r="V25">
        <f>IFERROR(SMALL($U$2:$U$1487,24),"")</f>
        <v/>
      </c>
      <c r="W25">
        <f>IF(V25="","",IF('COMMUNITY CHURCH DASHBOARD'!$B$4="Area",INDEX(MASTER_AREAS!$B:$B,V25+1),INDEX(MASTER_ZONES!$B:$B,V25+1)))</f>
        <v/>
      </c>
    </row>
    <row r="26">
      <c r="A26">
        <f>IF('WSF DASHBOARD'!$B$4="Area",IF(25&lt;=$D$3,IF(AND(OR('WSF DASHBOARD'!$C$4="",ISNUMBER(SEARCH('WSF DASHBOARD'!$C$4,INDEX(MASTER_AREAS!$B:$B,26))))),25,""),""),IF('WSF DASHBOARD'!$B$4="Zone",IF(25&lt;=$D$4,IF(OR('WSF DASHBOARD'!$C$4="",ISNUMBER(SEARCH('WSF DASHBOARD'!$C$4,INDEX(MASTER_ZONES!$B:$B,26)))),25,""),""),""))</f>
        <v/>
      </c>
      <c r="B26">
        <f>IFERROR(SMALL($A$2:$A$1487,25),"")</f>
        <v/>
      </c>
      <c r="C26">
        <f>IF(B26="","",IF('WSF DASHBOARD'!$B$4="Area",INDEX(MASTER_AREAS!$B:$B,B26+1),INDEX(MASTER_ZONES!$B:$B,B26+1)))</f>
        <v/>
      </c>
      <c r="F26">
        <f>IF('TRANSPORT DASHBOARD'!$B$4="Area",IF(25&lt;=$I$3,IF(AND(INDEX(MASTER_AREAS!$F:$F,26)&lt;&gt;"N",OR('TRANSPORT DASHBOARD'!$C$4="",ISNUMBER(SEARCH('TRANSPORT DASHBOARD'!$C$4,INDEX(MASTER_AREAS!$B:$B,26))))),25,""),""),IF('TRANSPORT DASHBOARD'!$B$4="Zone",IF(25&lt;=$I$4,IF(OR('TRANSPORT DASHBOARD'!$C$4="",ISNUMBER(SEARCH('TRANSPORT DASHBOARD'!$C$4,INDEX(MASTER_ZONES!$B:$B,26)))),25,""),""),""))</f>
        <v/>
      </c>
      <c r="G26">
        <f>IFERROR(SMALL($F$2:$F$1487,25),"")</f>
        <v/>
      </c>
      <c r="H26">
        <f>IF(G26="","",IF('TRANSPORT DASHBOARD'!$B$4="Area",INDEX(MASTER_AREAS!$B:$B,G26+1),INDEX(MASTER_ZONES!$B:$B,G26+1)))</f>
        <v/>
      </c>
      <c r="K26">
        <f>IF('MIDWEEK DASHBOARD'!$B$4="Area",IF(25&lt;=$N$3,IF(AND(OR('MIDWEEK DASHBOARD'!$C$4="",ISNUMBER(SEARCH('MIDWEEK DASHBOARD'!$C$4,INDEX(MASTER_AREAS!$B:$B,26))))),25,""),""),IF('MIDWEEK DASHBOARD'!$B$4="Zone",IF(25&lt;=$N$4,IF(OR('MIDWEEK DASHBOARD'!$C$4="",ISNUMBER(SEARCH('MIDWEEK DASHBOARD'!$C$4,INDEX(MASTER_ZONES!$B:$B,26)))),25,""),""),""))</f>
        <v/>
      </c>
      <c r="L26">
        <f>IFERROR(SMALL($K$2:$K$1487,25),"")</f>
        <v/>
      </c>
      <c r="M26">
        <f>IF(L26="","",IF('MIDWEEK DASHBOARD'!$B$4="Area",INDEX(MASTER_AREAS!$B:$B,L26+1),INDEX(MASTER_ZONES!$B:$B,L26+1)))</f>
        <v/>
      </c>
      <c r="P26">
        <f>IF('CHOP DASHBOARD'!$B$4="Area",IF(25&lt;=$S$3,IF(AND(OR('CHOP DASHBOARD'!$C$4="",ISNUMBER(SEARCH('CHOP DASHBOARD'!$C$4,INDEX(MASTER_AREAS!$B:$B,26))))),25,""),""),IF('CHOP DASHBOARD'!$B$4="Zone",IF(25&lt;=$S$4,IF(OR('CHOP DASHBOARD'!$C$4="",ISNUMBER(SEARCH('CHOP DASHBOARD'!$C$4,INDEX(MASTER_ZONES!$B:$B,26)))),25,""),""),""))</f>
        <v/>
      </c>
      <c r="Q26">
        <f>IFERROR(SMALL($P$2:$P$1487,25),"")</f>
        <v/>
      </c>
      <c r="R26">
        <f>IF(Q26="","",IF('CHOP DASHBOARD'!$B$4="Area",INDEX(MASTER_AREAS!$B:$B,Q26+1),INDEX(MASTER_ZONES!$B:$B,Q26+1)))</f>
        <v/>
      </c>
      <c r="U26">
        <f>IF('COMMUNITY CHURCH DASHBOARD'!$B$4="Area",IF(25&lt;=$X$3,IF(AND(OR('COMMUNITY CHURCH DASHBOARD'!$C$4="",ISNUMBER(SEARCH('COMMUNITY CHURCH DASHBOARD'!$C$4,INDEX(MASTER_AREAS!$B:$B,26))))),25,""),""),IF('COMMUNITY CHURCH DASHBOARD'!$B$4="Zone",IF(25&lt;=$X$4,IF(OR('COMMUNITY CHURCH DASHBOARD'!$C$4="",ISNUMBER(SEARCH('COMMUNITY CHURCH DASHBOARD'!$C$4,INDEX(MASTER_ZONES!$B:$B,26)))),25,""),""),""))</f>
        <v/>
      </c>
      <c r="V26">
        <f>IFERROR(SMALL($U$2:$U$1487,25),"")</f>
        <v/>
      </c>
      <c r="W26">
        <f>IF(V26="","",IF('COMMUNITY CHURCH DASHBOARD'!$B$4="Area",INDEX(MASTER_AREAS!$B:$B,V26+1),INDEX(MASTER_ZONES!$B:$B,V26+1)))</f>
        <v/>
      </c>
    </row>
    <row r="27">
      <c r="A27">
        <f>IF('WSF DASHBOARD'!$B$4="Area",IF(26&lt;=$D$3,IF(AND(OR('WSF DASHBOARD'!$C$4="",ISNUMBER(SEARCH('WSF DASHBOARD'!$C$4,INDEX(MASTER_AREAS!$B:$B,27))))),26,""),""),IF('WSF DASHBOARD'!$B$4="Zone",IF(26&lt;=$D$4,IF(OR('WSF DASHBOARD'!$C$4="",ISNUMBER(SEARCH('WSF DASHBOARD'!$C$4,INDEX(MASTER_ZONES!$B:$B,27)))),26,""),""),""))</f>
        <v/>
      </c>
      <c r="B27">
        <f>IFERROR(SMALL($A$2:$A$1487,26),"")</f>
        <v/>
      </c>
      <c r="C27">
        <f>IF(B27="","",IF('WSF DASHBOARD'!$B$4="Area",INDEX(MASTER_AREAS!$B:$B,B27+1),INDEX(MASTER_ZONES!$B:$B,B27+1)))</f>
        <v/>
      </c>
      <c r="F27">
        <f>IF('TRANSPORT DASHBOARD'!$B$4="Area",IF(26&lt;=$I$3,IF(AND(INDEX(MASTER_AREAS!$F:$F,27)&lt;&gt;"N",OR('TRANSPORT DASHBOARD'!$C$4="",ISNUMBER(SEARCH('TRANSPORT DASHBOARD'!$C$4,INDEX(MASTER_AREAS!$B:$B,27))))),26,""),""),IF('TRANSPORT DASHBOARD'!$B$4="Zone",IF(26&lt;=$I$4,IF(OR('TRANSPORT DASHBOARD'!$C$4="",ISNUMBER(SEARCH('TRANSPORT DASHBOARD'!$C$4,INDEX(MASTER_ZONES!$B:$B,27)))),26,""),""),""))</f>
        <v/>
      </c>
      <c r="G27">
        <f>IFERROR(SMALL($F$2:$F$1487,26),"")</f>
        <v/>
      </c>
      <c r="H27">
        <f>IF(G27="","",IF('TRANSPORT DASHBOARD'!$B$4="Area",INDEX(MASTER_AREAS!$B:$B,G27+1),INDEX(MASTER_ZONES!$B:$B,G27+1)))</f>
        <v/>
      </c>
      <c r="K27">
        <f>IF('MIDWEEK DASHBOARD'!$B$4="Area",IF(26&lt;=$N$3,IF(AND(OR('MIDWEEK DASHBOARD'!$C$4="",ISNUMBER(SEARCH('MIDWEEK DASHBOARD'!$C$4,INDEX(MASTER_AREAS!$B:$B,27))))),26,""),""),IF('MIDWEEK DASHBOARD'!$B$4="Zone",IF(26&lt;=$N$4,IF(OR('MIDWEEK DASHBOARD'!$C$4="",ISNUMBER(SEARCH('MIDWEEK DASHBOARD'!$C$4,INDEX(MASTER_ZONES!$B:$B,27)))),26,""),""),""))</f>
        <v/>
      </c>
      <c r="L27">
        <f>IFERROR(SMALL($K$2:$K$1487,26),"")</f>
        <v/>
      </c>
      <c r="M27">
        <f>IF(L27="","",IF('MIDWEEK DASHBOARD'!$B$4="Area",INDEX(MASTER_AREAS!$B:$B,L27+1),INDEX(MASTER_ZONES!$B:$B,L27+1)))</f>
        <v/>
      </c>
      <c r="P27">
        <f>IF('CHOP DASHBOARD'!$B$4="Area",IF(26&lt;=$S$3,IF(AND(OR('CHOP DASHBOARD'!$C$4="",ISNUMBER(SEARCH('CHOP DASHBOARD'!$C$4,INDEX(MASTER_AREAS!$B:$B,27))))),26,""),""),IF('CHOP DASHBOARD'!$B$4="Zone",IF(26&lt;=$S$4,IF(OR('CHOP DASHBOARD'!$C$4="",ISNUMBER(SEARCH('CHOP DASHBOARD'!$C$4,INDEX(MASTER_ZONES!$B:$B,27)))),26,""),""),""))</f>
        <v/>
      </c>
      <c r="Q27">
        <f>IFERROR(SMALL($P$2:$P$1487,26),"")</f>
        <v/>
      </c>
      <c r="R27">
        <f>IF(Q27="","",IF('CHOP DASHBOARD'!$B$4="Area",INDEX(MASTER_AREAS!$B:$B,Q27+1),INDEX(MASTER_ZONES!$B:$B,Q27+1)))</f>
        <v/>
      </c>
      <c r="U27">
        <f>IF('COMMUNITY CHURCH DASHBOARD'!$B$4="Area",IF(26&lt;=$X$3,IF(AND(OR('COMMUNITY CHURCH DASHBOARD'!$C$4="",ISNUMBER(SEARCH('COMMUNITY CHURCH DASHBOARD'!$C$4,INDEX(MASTER_AREAS!$B:$B,27))))),26,""),""),IF('COMMUNITY CHURCH DASHBOARD'!$B$4="Zone",IF(26&lt;=$X$4,IF(OR('COMMUNITY CHURCH DASHBOARD'!$C$4="",ISNUMBER(SEARCH('COMMUNITY CHURCH DASHBOARD'!$C$4,INDEX(MASTER_ZONES!$B:$B,27)))),26,""),""),""))</f>
        <v/>
      </c>
      <c r="V27">
        <f>IFERROR(SMALL($U$2:$U$1487,26),"")</f>
        <v/>
      </c>
      <c r="W27">
        <f>IF(V27="","",IF('COMMUNITY CHURCH DASHBOARD'!$B$4="Area",INDEX(MASTER_AREAS!$B:$B,V27+1),INDEX(MASTER_ZONES!$B:$B,V27+1)))</f>
        <v/>
      </c>
    </row>
    <row r="28">
      <c r="A28">
        <f>IF('WSF DASHBOARD'!$B$4="Area",IF(27&lt;=$D$3,IF(AND(OR('WSF DASHBOARD'!$C$4="",ISNUMBER(SEARCH('WSF DASHBOARD'!$C$4,INDEX(MASTER_AREAS!$B:$B,28))))),27,""),""),IF('WSF DASHBOARD'!$B$4="Zone",IF(27&lt;=$D$4,IF(OR('WSF DASHBOARD'!$C$4="",ISNUMBER(SEARCH('WSF DASHBOARD'!$C$4,INDEX(MASTER_ZONES!$B:$B,28)))),27,""),""),""))</f>
        <v/>
      </c>
      <c r="B28">
        <f>IFERROR(SMALL($A$2:$A$1487,27),"")</f>
        <v/>
      </c>
      <c r="C28">
        <f>IF(B28="","",IF('WSF DASHBOARD'!$B$4="Area",INDEX(MASTER_AREAS!$B:$B,B28+1),INDEX(MASTER_ZONES!$B:$B,B28+1)))</f>
        <v/>
      </c>
      <c r="F28">
        <f>IF('TRANSPORT DASHBOARD'!$B$4="Area",IF(27&lt;=$I$3,IF(AND(INDEX(MASTER_AREAS!$F:$F,28)&lt;&gt;"N",OR('TRANSPORT DASHBOARD'!$C$4="",ISNUMBER(SEARCH('TRANSPORT DASHBOARD'!$C$4,INDEX(MASTER_AREAS!$B:$B,28))))),27,""),""),IF('TRANSPORT DASHBOARD'!$B$4="Zone",IF(27&lt;=$I$4,IF(OR('TRANSPORT DASHBOARD'!$C$4="",ISNUMBER(SEARCH('TRANSPORT DASHBOARD'!$C$4,INDEX(MASTER_ZONES!$B:$B,28)))),27,""),""),""))</f>
        <v/>
      </c>
      <c r="G28">
        <f>IFERROR(SMALL($F$2:$F$1487,27),"")</f>
        <v/>
      </c>
      <c r="H28">
        <f>IF(G28="","",IF('TRANSPORT DASHBOARD'!$B$4="Area",INDEX(MASTER_AREAS!$B:$B,G28+1),INDEX(MASTER_ZONES!$B:$B,G28+1)))</f>
        <v/>
      </c>
      <c r="K28">
        <f>IF('MIDWEEK DASHBOARD'!$B$4="Area",IF(27&lt;=$N$3,IF(AND(OR('MIDWEEK DASHBOARD'!$C$4="",ISNUMBER(SEARCH('MIDWEEK DASHBOARD'!$C$4,INDEX(MASTER_AREAS!$B:$B,28))))),27,""),""),IF('MIDWEEK DASHBOARD'!$B$4="Zone",IF(27&lt;=$N$4,IF(OR('MIDWEEK DASHBOARD'!$C$4="",ISNUMBER(SEARCH('MIDWEEK DASHBOARD'!$C$4,INDEX(MASTER_ZONES!$B:$B,28)))),27,""),""),""))</f>
        <v/>
      </c>
      <c r="L28">
        <f>IFERROR(SMALL($K$2:$K$1487,27),"")</f>
        <v/>
      </c>
      <c r="M28">
        <f>IF(L28="","",IF('MIDWEEK DASHBOARD'!$B$4="Area",INDEX(MASTER_AREAS!$B:$B,L28+1),INDEX(MASTER_ZONES!$B:$B,L28+1)))</f>
        <v/>
      </c>
      <c r="P28">
        <f>IF('CHOP DASHBOARD'!$B$4="Area",IF(27&lt;=$S$3,IF(AND(OR('CHOP DASHBOARD'!$C$4="",ISNUMBER(SEARCH('CHOP DASHBOARD'!$C$4,INDEX(MASTER_AREAS!$B:$B,28))))),27,""),""),IF('CHOP DASHBOARD'!$B$4="Zone",IF(27&lt;=$S$4,IF(OR('CHOP DASHBOARD'!$C$4="",ISNUMBER(SEARCH('CHOP DASHBOARD'!$C$4,INDEX(MASTER_ZONES!$B:$B,28)))),27,""),""),""))</f>
        <v/>
      </c>
      <c r="Q28">
        <f>IFERROR(SMALL($P$2:$P$1487,27),"")</f>
        <v/>
      </c>
      <c r="R28">
        <f>IF(Q28="","",IF('CHOP DASHBOARD'!$B$4="Area",INDEX(MASTER_AREAS!$B:$B,Q28+1),INDEX(MASTER_ZONES!$B:$B,Q28+1)))</f>
        <v/>
      </c>
      <c r="U28">
        <f>IF('COMMUNITY CHURCH DASHBOARD'!$B$4="Area",IF(27&lt;=$X$3,IF(AND(OR('COMMUNITY CHURCH DASHBOARD'!$C$4="",ISNUMBER(SEARCH('COMMUNITY CHURCH DASHBOARD'!$C$4,INDEX(MASTER_AREAS!$B:$B,28))))),27,""),""),IF('COMMUNITY CHURCH DASHBOARD'!$B$4="Zone",IF(27&lt;=$X$4,IF(OR('COMMUNITY CHURCH DASHBOARD'!$C$4="",ISNUMBER(SEARCH('COMMUNITY CHURCH DASHBOARD'!$C$4,INDEX(MASTER_ZONES!$B:$B,28)))),27,""),""),""))</f>
        <v/>
      </c>
      <c r="V28">
        <f>IFERROR(SMALL($U$2:$U$1487,27),"")</f>
        <v/>
      </c>
      <c r="W28">
        <f>IF(V28="","",IF('COMMUNITY CHURCH DASHBOARD'!$B$4="Area",INDEX(MASTER_AREAS!$B:$B,V28+1),INDEX(MASTER_ZONES!$B:$B,V28+1)))</f>
        <v/>
      </c>
    </row>
    <row r="29">
      <c r="A29">
        <f>IF('WSF DASHBOARD'!$B$4="Area",IF(28&lt;=$D$3,IF(AND(OR('WSF DASHBOARD'!$C$4="",ISNUMBER(SEARCH('WSF DASHBOARD'!$C$4,INDEX(MASTER_AREAS!$B:$B,29))))),28,""),""),IF('WSF DASHBOARD'!$B$4="Zone",IF(28&lt;=$D$4,IF(OR('WSF DASHBOARD'!$C$4="",ISNUMBER(SEARCH('WSF DASHBOARD'!$C$4,INDEX(MASTER_ZONES!$B:$B,29)))),28,""),""),""))</f>
        <v/>
      </c>
      <c r="B29">
        <f>IFERROR(SMALL($A$2:$A$1487,28),"")</f>
        <v/>
      </c>
      <c r="C29">
        <f>IF(B29="","",IF('WSF DASHBOARD'!$B$4="Area",INDEX(MASTER_AREAS!$B:$B,B29+1),INDEX(MASTER_ZONES!$B:$B,B29+1)))</f>
        <v/>
      </c>
      <c r="F29">
        <f>IF('TRANSPORT DASHBOARD'!$B$4="Area",IF(28&lt;=$I$3,IF(AND(INDEX(MASTER_AREAS!$F:$F,29)&lt;&gt;"N",OR('TRANSPORT DASHBOARD'!$C$4="",ISNUMBER(SEARCH('TRANSPORT DASHBOARD'!$C$4,INDEX(MASTER_AREAS!$B:$B,29))))),28,""),""),IF('TRANSPORT DASHBOARD'!$B$4="Zone",IF(28&lt;=$I$4,IF(OR('TRANSPORT DASHBOARD'!$C$4="",ISNUMBER(SEARCH('TRANSPORT DASHBOARD'!$C$4,INDEX(MASTER_ZONES!$B:$B,29)))),28,""),""),""))</f>
        <v/>
      </c>
      <c r="G29">
        <f>IFERROR(SMALL($F$2:$F$1487,28),"")</f>
        <v/>
      </c>
      <c r="H29">
        <f>IF(G29="","",IF('TRANSPORT DASHBOARD'!$B$4="Area",INDEX(MASTER_AREAS!$B:$B,G29+1),INDEX(MASTER_ZONES!$B:$B,G29+1)))</f>
        <v/>
      </c>
      <c r="K29">
        <f>IF('MIDWEEK DASHBOARD'!$B$4="Area",IF(28&lt;=$N$3,IF(AND(OR('MIDWEEK DASHBOARD'!$C$4="",ISNUMBER(SEARCH('MIDWEEK DASHBOARD'!$C$4,INDEX(MASTER_AREAS!$B:$B,29))))),28,""),""),IF('MIDWEEK DASHBOARD'!$B$4="Zone",IF(28&lt;=$N$4,IF(OR('MIDWEEK DASHBOARD'!$C$4="",ISNUMBER(SEARCH('MIDWEEK DASHBOARD'!$C$4,INDEX(MASTER_ZONES!$B:$B,29)))),28,""),""),""))</f>
        <v/>
      </c>
      <c r="L29">
        <f>IFERROR(SMALL($K$2:$K$1487,28),"")</f>
        <v/>
      </c>
      <c r="M29">
        <f>IF(L29="","",IF('MIDWEEK DASHBOARD'!$B$4="Area",INDEX(MASTER_AREAS!$B:$B,L29+1),INDEX(MASTER_ZONES!$B:$B,L29+1)))</f>
        <v/>
      </c>
      <c r="P29">
        <f>IF('CHOP DASHBOARD'!$B$4="Area",IF(28&lt;=$S$3,IF(AND(OR('CHOP DASHBOARD'!$C$4="",ISNUMBER(SEARCH('CHOP DASHBOARD'!$C$4,INDEX(MASTER_AREAS!$B:$B,29))))),28,""),""),IF('CHOP DASHBOARD'!$B$4="Zone",IF(28&lt;=$S$4,IF(OR('CHOP DASHBOARD'!$C$4="",ISNUMBER(SEARCH('CHOP DASHBOARD'!$C$4,INDEX(MASTER_ZONES!$B:$B,29)))),28,""),""),""))</f>
        <v/>
      </c>
      <c r="Q29">
        <f>IFERROR(SMALL($P$2:$P$1487,28),"")</f>
        <v/>
      </c>
      <c r="R29">
        <f>IF(Q29="","",IF('CHOP DASHBOARD'!$B$4="Area",INDEX(MASTER_AREAS!$B:$B,Q29+1),INDEX(MASTER_ZONES!$B:$B,Q29+1)))</f>
        <v/>
      </c>
      <c r="U29">
        <f>IF('COMMUNITY CHURCH DASHBOARD'!$B$4="Area",IF(28&lt;=$X$3,IF(AND(OR('COMMUNITY CHURCH DASHBOARD'!$C$4="",ISNUMBER(SEARCH('COMMUNITY CHURCH DASHBOARD'!$C$4,INDEX(MASTER_AREAS!$B:$B,29))))),28,""),""),IF('COMMUNITY CHURCH DASHBOARD'!$B$4="Zone",IF(28&lt;=$X$4,IF(OR('COMMUNITY CHURCH DASHBOARD'!$C$4="",ISNUMBER(SEARCH('COMMUNITY CHURCH DASHBOARD'!$C$4,INDEX(MASTER_ZONES!$B:$B,29)))),28,""),""),""))</f>
        <v/>
      </c>
      <c r="V29">
        <f>IFERROR(SMALL($U$2:$U$1487,28),"")</f>
        <v/>
      </c>
      <c r="W29">
        <f>IF(V29="","",IF('COMMUNITY CHURCH DASHBOARD'!$B$4="Area",INDEX(MASTER_AREAS!$B:$B,V29+1),INDEX(MASTER_ZONES!$B:$B,V29+1)))</f>
        <v/>
      </c>
    </row>
    <row r="30">
      <c r="A30">
        <f>IF('WSF DASHBOARD'!$B$4="Area",IF(29&lt;=$D$3,IF(AND(OR('WSF DASHBOARD'!$C$4="",ISNUMBER(SEARCH('WSF DASHBOARD'!$C$4,INDEX(MASTER_AREAS!$B:$B,30))))),29,""),""),IF('WSF DASHBOARD'!$B$4="Zone",IF(29&lt;=$D$4,IF(OR('WSF DASHBOARD'!$C$4="",ISNUMBER(SEARCH('WSF DASHBOARD'!$C$4,INDEX(MASTER_ZONES!$B:$B,30)))),29,""),""),""))</f>
        <v/>
      </c>
      <c r="B30">
        <f>IFERROR(SMALL($A$2:$A$1487,29),"")</f>
        <v/>
      </c>
      <c r="C30">
        <f>IF(B30="","",IF('WSF DASHBOARD'!$B$4="Area",INDEX(MASTER_AREAS!$B:$B,B30+1),INDEX(MASTER_ZONES!$B:$B,B30+1)))</f>
        <v/>
      </c>
      <c r="F30">
        <f>IF('TRANSPORT DASHBOARD'!$B$4="Area",IF(29&lt;=$I$3,IF(AND(INDEX(MASTER_AREAS!$F:$F,30)&lt;&gt;"N",OR('TRANSPORT DASHBOARD'!$C$4="",ISNUMBER(SEARCH('TRANSPORT DASHBOARD'!$C$4,INDEX(MASTER_AREAS!$B:$B,30))))),29,""),""),IF('TRANSPORT DASHBOARD'!$B$4="Zone",IF(29&lt;=$I$4,IF(OR('TRANSPORT DASHBOARD'!$C$4="",ISNUMBER(SEARCH('TRANSPORT DASHBOARD'!$C$4,INDEX(MASTER_ZONES!$B:$B,30)))),29,""),""),""))</f>
        <v/>
      </c>
      <c r="G30">
        <f>IFERROR(SMALL($F$2:$F$1487,29),"")</f>
        <v/>
      </c>
      <c r="H30">
        <f>IF(G30="","",IF('TRANSPORT DASHBOARD'!$B$4="Area",INDEX(MASTER_AREAS!$B:$B,G30+1),INDEX(MASTER_ZONES!$B:$B,G30+1)))</f>
        <v/>
      </c>
      <c r="K30">
        <f>IF('MIDWEEK DASHBOARD'!$B$4="Area",IF(29&lt;=$N$3,IF(AND(OR('MIDWEEK DASHBOARD'!$C$4="",ISNUMBER(SEARCH('MIDWEEK DASHBOARD'!$C$4,INDEX(MASTER_AREAS!$B:$B,30))))),29,""),""),IF('MIDWEEK DASHBOARD'!$B$4="Zone",IF(29&lt;=$N$4,IF(OR('MIDWEEK DASHBOARD'!$C$4="",ISNUMBER(SEARCH('MIDWEEK DASHBOARD'!$C$4,INDEX(MASTER_ZONES!$B:$B,30)))),29,""),""),""))</f>
        <v/>
      </c>
      <c r="L30">
        <f>IFERROR(SMALL($K$2:$K$1487,29),"")</f>
        <v/>
      </c>
      <c r="M30">
        <f>IF(L30="","",IF('MIDWEEK DASHBOARD'!$B$4="Area",INDEX(MASTER_AREAS!$B:$B,L30+1),INDEX(MASTER_ZONES!$B:$B,L30+1)))</f>
        <v/>
      </c>
      <c r="P30">
        <f>IF('CHOP DASHBOARD'!$B$4="Area",IF(29&lt;=$S$3,IF(AND(OR('CHOP DASHBOARD'!$C$4="",ISNUMBER(SEARCH('CHOP DASHBOARD'!$C$4,INDEX(MASTER_AREAS!$B:$B,30))))),29,""),""),IF('CHOP DASHBOARD'!$B$4="Zone",IF(29&lt;=$S$4,IF(OR('CHOP DASHBOARD'!$C$4="",ISNUMBER(SEARCH('CHOP DASHBOARD'!$C$4,INDEX(MASTER_ZONES!$B:$B,30)))),29,""),""),""))</f>
        <v/>
      </c>
      <c r="Q30">
        <f>IFERROR(SMALL($P$2:$P$1487,29),"")</f>
        <v/>
      </c>
      <c r="R30">
        <f>IF(Q30="","",IF('CHOP DASHBOARD'!$B$4="Area",INDEX(MASTER_AREAS!$B:$B,Q30+1),INDEX(MASTER_ZONES!$B:$B,Q30+1)))</f>
        <v/>
      </c>
      <c r="U30">
        <f>IF('COMMUNITY CHURCH DASHBOARD'!$B$4="Area",IF(29&lt;=$X$3,IF(AND(OR('COMMUNITY CHURCH DASHBOARD'!$C$4="",ISNUMBER(SEARCH('COMMUNITY CHURCH DASHBOARD'!$C$4,INDEX(MASTER_AREAS!$B:$B,30))))),29,""),""),IF('COMMUNITY CHURCH DASHBOARD'!$B$4="Zone",IF(29&lt;=$X$4,IF(OR('COMMUNITY CHURCH DASHBOARD'!$C$4="",ISNUMBER(SEARCH('COMMUNITY CHURCH DASHBOARD'!$C$4,INDEX(MASTER_ZONES!$B:$B,30)))),29,""),""),""))</f>
        <v/>
      </c>
      <c r="V30">
        <f>IFERROR(SMALL($U$2:$U$1487,29),"")</f>
        <v/>
      </c>
      <c r="W30">
        <f>IF(V30="","",IF('COMMUNITY CHURCH DASHBOARD'!$B$4="Area",INDEX(MASTER_AREAS!$B:$B,V30+1),INDEX(MASTER_ZONES!$B:$B,V30+1)))</f>
        <v/>
      </c>
    </row>
    <row r="31">
      <c r="A31">
        <f>IF('WSF DASHBOARD'!$B$4="Area",IF(30&lt;=$D$3,IF(AND(OR('WSF DASHBOARD'!$C$4="",ISNUMBER(SEARCH('WSF DASHBOARD'!$C$4,INDEX(MASTER_AREAS!$B:$B,31))))),30,""),""),IF('WSF DASHBOARD'!$B$4="Zone",IF(30&lt;=$D$4,IF(OR('WSF DASHBOARD'!$C$4="",ISNUMBER(SEARCH('WSF DASHBOARD'!$C$4,INDEX(MASTER_ZONES!$B:$B,31)))),30,""),""),""))</f>
        <v/>
      </c>
      <c r="B31">
        <f>IFERROR(SMALL($A$2:$A$1487,30),"")</f>
        <v/>
      </c>
      <c r="C31">
        <f>IF(B31="","",IF('WSF DASHBOARD'!$B$4="Area",INDEX(MASTER_AREAS!$B:$B,B31+1),INDEX(MASTER_ZONES!$B:$B,B31+1)))</f>
        <v/>
      </c>
      <c r="F31">
        <f>IF('TRANSPORT DASHBOARD'!$B$4="Area",IF(30&lt;=$I$3,IF(AND(INDEX(MASTER_AREAS!$F:$F,31)&lt;&gt;"N",OR('TRANSPORT DASHBOARD'!$C$4="",ISNUMBER(SEARCH('TRANSPORT DASHBOARD'!$C$4,INDEX(MASTER_AREAS!$B:$B,31))))),30,""),""),IF('TRANSPORT DASHBOARD'!$B$4="Zone",IF(30&lt;=$I$4,IF(OR('TRANSPORT DASHBOARD'!$C$4="",ISNUMBER(SEARCH('TRANSPORT DASHBOARD'!$C$4,INDEX(MASTER_ZONES!$B:$B,31)))),30,""),""),""))</f>
        <v/>
      </c>
      <c r="G31">
        <f>IFERROR(SMALL($F$2:$F$1487,30),"")</f>
        <v/>
      </c>
      <c r="H31">
        <f>IF(G31="","",IF('TRANSPORT DASHBOARD'!$B$4="Area",INDEX(MASTER_AREAS!$B:$B,G31+1),INDEX(MASTER_ZONES!$B:$B,G31+1)))</f>
        <v/>
      </c>
      <c r="K31">
        <f>IF('MIDWEEK DASHBOARD'!$B$4="Area",IF(30&lt;=$N$3,IF(AND(OR('MIDWEEK DASHBOARD'!$C$4="",ISNUMBER(SEARCH('MIDWEEK DASHBOARD'!$C$4,INDEX(MASTER_AREAS!$B:$B,31))))),30,""),""),IF('MIDWEEK DASHBOARD'!$B$4="Zone",IF(30&lt;=$N$4,IF(OR('MIDWEEK DASHBOARD'!$C$4="",ISNUMBER(SEARCH('MIDWEEK DASHBOARD'!$C$4,INDEX(MASTER_ZONES!$B:$B,31)))),30,""),""),""))</f>
        <v/>
      </c>
      <c r="L31">
        <f>IFERROR(SMALL($K$2:$K$1487,30),"")</f>
        <v/>
      </c>
      <c r="M31">
        <f>IF(L31="","",IF('MIDWEEK DASHBOARD'!$B$4="Area",INDEX(MASTER_AREAS!$B:$B,L31+1),INDEX(MASTER_ZONES!$B:$B,L31+1)))</f>
        <v/>
      </c>
      <c r="P31">
        <f>IF('CHOP DASHBOARD'!$B$4="Area",IF(30&lt;=$S$3,IF(AND(OR('CHOP DASHBOARD'!$C$4="",ISNUMBER(SEARCH('CHOP DASHBOARD'!$C$4,INDEX(MASTER_AREAS!$B:$B,31))))),30,""),""),IF('CHOP DASHBOARD'!$B$4="Zone",IF(30&lt;=$S$4,IF(OR('CHOP DASHBOARD'!$C$4="",ISNUMBER(SEARCH('CHOP DASHBOARD'!$C$4,INDEX(MASTER_ZONES!$B:$B,31)))),30,""),""),""))</f>
        <v/>
      </c>
      <c r="Q31">
        <f>IFERROR(SMALL($P$2:$P$1487,30),"")</f>
        <v/>
      </c>
      <c r="R31">
        <f>IF(Q31="","",IF('CHOP DASHBOARD'!$B$4="Area",INDEX(MASTER_AREAS!$B:$B,Q31+1),INDEX(MASTER_ZONES!$B:$B,Q31+1)))</f>
        <v/>
      </c>
      <c r="U31">
        <f>IF('COMMUNITY CHURCH DASHBOARD'!$B$4="Area",IF(30&lt;=$X$3,IF(AND(OR('COMMUNITY CHURCH DASHBOARD'!$C$4="",ISNUMBER(SEARCH('COMMUNITY CHURCH DASHBOARD'!$C$4,INDEX(MASTER_AREAS!$B:$B,31))))),30,""),""),IF('COMMUNITY CHURCH DASHBOARD'!$B$4="Zone",IF(30&lt;=$X$4,IF(OR('COMMUNITY CHURCH DASHBOARD'!$C$4="",ISNUMBER(SEARCH('COMMUNITY CHURCH DASHBOARD'!$C$4,INDEX(MASTER_ZONES!$B:$B,31)))),30,""),""),""))</f>
        <v/>
      </c>
      <c r="V31">
        <f>IFERROR(SMALL($U$2:$U$1487,30),"")</f>
        <v/>
      </c>
      <c r="W31">
        <f>IF(V31="","",IF('COMMUNITY CHURCH DASHBOARD'!$B$4="Area",INDEX(MASTER_AREAS!$B:$B,V31+1),INDEX(MASTER_ZONES!$B:$B,V31+1)))</f>
        <v/>
      </c>
    </row>
    <row r="32">
      <c r="A32">
        <f>IF('WSF DASHBOARD'!$B$4="Area",IF(31&lt;=$D$3,IF(AND(OR('WSF DASHBOARD'!$C$4="",ISNUMBER(SEARCH('WSF DASHBOARD'!$C$4,INDEX(MASTER_AREAS!$B:$B,32))))),31,""),""),IF('WSF DASHBOARD'!$B$4="Zone",IF(31&lt;=$D$4,IF(OR('WSF DASHBOARD'!$C$4="",ISNUMBER(SEARCH('WSF DASHBOARD'!$C$4,INDEX(MASTER_ZONES!$B:$B,32)))),31,""),""),""))</f>
        <v/>
      </c>
      <c r="B32">
        <f>IFERROR(SMALL($A$2:$A$1487,31),"")</f>
        <v/>
      </c>
      <c r="C32">
        <f>IF(B32="","",IF('WSF DASHBOARD'!$B$4="Area",INDEX(MASTER_AREAS!$B:$B,B32+1),INDEX(MASTER_ZONES!$B:$B,B32+1)))</f>
        <v/>
      </c>
      <c r="F32">
        <f>IF('TRANSPORT DASHBOARD'!$B$4="Area",IF(31&lt;=$I$3,IF(AND(INDEX(MASTER_AREAS!$F:$F,32)&lt;&gt;"N",OR('TRANSPORT DASHBOARD'!$C$4="",ISNUMBER(SEARCH('TRANSPORT DASHBOARD'!$C$4,INDEX(MASTER_AREAS!$B:$B,32))))),31,""),""),IF('TRANSPORT DASHBOARD'!$B$4="Zone",IF(31&lt;=$I$4,IF(OR('TRANSPORT DASHBOARD'!$C$4="",ISNUMBER(SEARCH('TRANSPORT DASHBOARD'!$C$4,INDEX(MASTER_ZONES!$B:$B,32)))),31,""),""),""))</f>
        <v/>
      </c>
      <c r="G32">
        <f>IFERROR(SMALL($F$2:$F$1487,31),"")</f>
        <v/>
      </c>
      <c r="H32">
        <f>IF(G32="","",IF('TRANSPORT DASHBOARD'!$B$4="Area",INDEX(MASTER_AREAS!$B:$B,G32+1),INDEX(MASTER_ZONES!$B:$B,G32+1)))</f>
        <v/>
      </c>
      <c r="K32">
        <f>IF('MIDWEEK DASHBOARD'!$B$4="Area",IF(31&lt;=$N$3,IF(AND(OR('MIDWEEK DASHBOARD'!$C$4="",ISNUMBER(SEARCH('MIDWEEK DASHBOARD'!$C$4,INDEX(MASTER_AREAS!$B:$B,32))))),31,""),""),IF('MIDWEEK DASHBOARD'!$B$4="Zone",IF(31&lt;=$N$4,IF(OR('MIDWEEK DASHBOARD'!$C$4="",ISNUMBER(SEARCH('MIDWEEK DASHBOARD'!$C$4,INDEX(MASTER_ZONES!$B:$B,32)))),31,""),""),""))</f>
        <v/>
      </c>
      <c r="L32">
        <f>IFERROR(SMALL($K$2:$K$1487,31),"")</f>
        <v/>
      </c>
      <c r="M32">
        <f>IF(L32="","",IF('MIDWEEK DASHBOARD'!$B$4="Area",INDEX(MASTER_AREAS!$B:$B,L32+1),INDEX(MASTER_ZONES!$B:$B,L32+1)))</f>
        <v/>
      </c>
      <c r="P32">
        <f>IF('CHOP DASHBOARD'!$B$4="Area",IF(31&lt;=$S$3,IF(AND(OR('CHOP DASHBOARD'!$C$4="",ISNUMBER(SEARCH('CHOP DASHBOARD'!$C$4,INDEX(MASTER_AREAS!$B:$B,32))))),31,""),""),IF('CHOP DASHBOARD'!$B$4="Zone",IF(31&lt;=$S$4,IF(OR('CHOP DASHBOARD'!$C$4="",ISNUMBER(SEARCH('CHOP DASHBOARD'!$C$4,INDEX(MASTER_ZONES!$B:$B,32)))),31,""),""),""))</f>
        <v/>
      </c>
      <c r="Q32">
        <f>IFERROR(SMALL($P$2:$P$1487,31),"")</f>
        <v/>
      </c>
      <c r="R32">
        <f>IF(Q32="","",IF('CHOP DASHBOARD'!$B$4="Area",INDEX(MASTER_AREAS!$B:$B,Q32+1),INDEX(MASTER_ZONES!$B:$B,Q32+1)))</f>
        <v/>
      </c>
      <c r="U32">
        <f>IF('COMMUNITY CHURCH DASHBOARD'!$B$4="Area",IF(31&lt;=$X$3,IF(AND(OR('COMMUNITY CHURCH DASHBOARD'!$C$4="",ISNUMBER(SEARCH('COMMUNITY CHURCH DASHBOARD'!$C$4,INDEX(MASTER_AREAS!$B:$B,32))))),31,""),""),IF('COMMUNITY CHURCH DASHBOARD'!$B$4="Zone",IF(31&lt;=$X$4,IF(OR('COMMUNITY CHURCH DASHBOARD'!$C$4="",ISNUMBER(SEARCH('COMMUNITY CHURCH DASHBOARD'!$C$4,INDEX(MASTER_ZONES!$B:$B,32)))),31,""),""),""))</f>
        <v/>
      </c>
      <c r="V32">
        <f>IFERROR(SMALL($U$2:$U$1487,31),"")</f>
        <v/>
      </c>
      <c r="W32">
        <f>IF(V32="","",IF('COMMUNITY CHURCH DASHBOARD'!$B$4="Area",INDEX(MASTER_AREAS!$B:$B,V32+1),INDEX(MASTER_ZONES!$B:$B,V32+1)))</f>
        <v/>
      </c>
    </row>
    <row r="33">
      <c r="A33">
        <f>IF('WSF DASHBOARD'!$B$4="Area",IF(32&lt;=$D$3,IF(AND(OR('WSF DASHBOARD'!$C$4="",ISNUMBER(SEARCH('WSF DASHBOARD'!$C$4,INDEX(MASTER_AREAS!$B:$B,33))))),32,""),""),IF('WSF DASHBOARD'!$B$4="Zone",IF(32&lt;=$D$4,IF(OR('WSF DASHBOARD'!$C$4="",ISNUMBER(SEARCH('WSF DASHBOARD'!$C$4,INDEX(MASTER_ZONES!$B:$B,33)))),32,""),""),""))</f>
        <v/>
      </c>
      <c r="B33">
        <f>IFERROR(SMALL($A$2:$A$1487,32),"")</f>
        <v/>
      </c>
      <c r="C33">
        <f>IF(B33="","",IF('WSF DASHBOARD'!$B$4="Area",INDEX(MASTER_AREAS!$B:$B,B33+1),INDEX(MASTER_ZONES!$B:$B,B33+1)))</f>
        <v/>
      </c>
      <c r="F33">
        <f>IF('TRANSPORT DASHBOARD'!$B$4="Area",IF(32&lt;=$I$3,IF(AND(INDEX(MASTER_AREAS!$F:$F,33)&lt;&gt;"N",OR('TRANSPORT DASHBOARD'!$C$4="",ISNUMBER(SEARCH('TRANSPORT DASHBOARD'!$C$4,INDEX(MASTER_AREAS!$B:$B,33))))),32,""),""),IF('TRANSPORT DASHBOARD'!$B$4="Zone",IF(32&lt;=$I$4,IF(OR('TRANSPORT DASHBOARD'!$C$4="",ISNUMBER(SEARCH('TRANSPORT DASHBOARD'!$C$4,INDEX(MASTER_ZONES!$B:$B,33)))),32,""),""),""))</f>
        <v/>
      </c>
      <c r="G33">
        <f>IFERROR(SMALL($F$2:$F$1487,32),"")</f>
        <v/>
      </c>
      <c r="H33">
        <f>IF(G33="","",IF('TRANSPORT DASHBOARD'!$B$4="Area",INDEX(MASTER_AREAS!$B:$B,G33+1),INDEX(MASTER_ZONES!$B:$B,G33+1)))</f>
        <v/>
      </c>
      <c r="K33">
        <f>IF('MIDWEEK DASHBOARD'!$B$4="Area",IF(32&lt;=$N$3,IF(AND(OR('MIDWEEK DASHBOARD'!$C$4="",ISNUMBER(SEARCH('MIDWEEK DASHBOARD'!$C$4,INDEX(MASTER_AREAS!$B:$B,33))))),32,""),""),IF('MIDWEEK DASHBOARD'!$B$4="Zone",IF(32&lt;=$N$4,IF(OR('MIDWEEK DASHBOARD'!$C$4="",ISNUMBER(SEARCH('MIDWEEK DASHBOARD'!$C$4,INDEX(MASTER_ZONES!$B:$B,33)))),32,""),""),""))</f>
        <v/>
      </c>
      <c r="L33">
        <f>IFERROR(SMALL($K$2:$K$1487,32),"")</f>
        <v/>
      </c>
      <c r="M33">
        <f>IF(L33="","",IF('MIDWEEK DASHBOARD'!$B$4="Area",INDEX(MASTER_AREAS!$B:$B,L33+1),INDEX(MASTER_ZONES!$B:$B,L33+1)))</f>
        <v/>
      </c>
      <c r="P33">
        <f>IF('CHOP DASHBOARD'!$B$4="Area",IF(32&lt;=$S$3,IF(AND(OR('CHOP DASHBOARD'!$C$4="",ISNUMBER(SEARCH('CHOP DASHBOARD'!$C$4,INDEX(MASTER_AREAS!$B:$B,33))))),32,""),""),IF('CHOP DASHBOARD'!$B$4="Zone",IF(32&lt;=$S$4,IF(OR('CHOP DASHBOARD'!$C$4="",ISNUMBER(SEARCH('CHOP DASHBOARD'!$C$4,INDEX(MASTER_ZONES!$B:$B,33)))),32,""),""),""))</f>
        <v/>
      </c>
      <c r="Q33">
        <f>IFERROR(SMALL($P$2:$P$1487,32),"")</f>
        <v/>
      </c>
      <c r="R33">
        <f>IF(Q33="","",IF('CHOP DASHBOARD'!$B$4="Area",INDEX(MASTER_AREAS!$B:$B,Q33+1),INDEX(MASTER_ZONES!$B:$B,Q33+1)))</f>
        <v/>
      </c>
      <c r="U33">
        <f>IF('COMMUNITY CHURCH DASHBOARD'!$B$4="Area",IF(32&lt;=$X$3,IF(AND(OR('COMMUNITY CHURCH DASHBOARD'!$C$4="",ISNUMBER(SEARCH('COMMUNITY CHURCH DASHBOARD'!$C$4,INDEX(MASTER_AREAS!$B:$B,33))))),32,""),""),IF('COMMUNITY CHURCH DASHBOARD'!$B$4="Zone",IF(32&lt;=$X$4,IF(OR('COMMUNITY CHURCH DASHBOARD'!$C$4="",ISNUMBER(SEARCH('COMMUNITY CHURCH DASHBOARD'!$C$4,INDEX(MASTER_ZONES!$B:$B,33)))),32,""),""),""))</f>
        <v/>
      </c>
      <c r="V33">
        <f>IFERROR(SMALL($U$2:$U$1487,32),"")</f>
        <v/>
      </c>
      <c r="W33">
        <f>IF(V33="","",IF('COMMUNITY CHURCH DASHBOARD'!$B$4="Area",INDEX(MASTER_AREAS!$B:$B,V33+1),INDEX(MASTER_ZONES!$B:$B,V33+1)))</f>
        <v/>
      </c>
    </row>
    <row r="34">
      <c r="A34">
        <f>IF('WSF DASHBOARD'!$B$4="Area",IF(33&lt;=$D$3,IF(AND(OR('WSF DASHBOARD'!$C$4="",ISNUMBER(SEARCH('WSF DASHBOARD'!$C$4,INDEX(MASTER_AREAS!$B:$B,34))))),33,""),""),IF('WSF DASHBOARD'!$B$4="Zone",IF(33&lt;=$D$4,IF(OR('WSF DASHBOARD'!$C$4="",ISNUMBER(SEARCH('WSF DASHBOARD'!$C$4,INDEX(MASTER_ZONES!$B:$B,34)))),33,""),""),""))</f>
        <v/>
      </c>
      <c r="B34">
        <f>IFERROR(SMALL($A$2:$A$1487,33),"")</f>
        <v/>
      </c>
      <c r="C34">
        <f>IF(B34="","",IF('WSF DASHBOARD'!$B$4="Area",INDEX(MASTER_AREAS!$B:$B,B34+1),INDEX(MASTER_ZONES!$B:$B,B34+1)))</f>
        <v/>
      </c>
      <c r="F34">
        <f>IF('TRANSPORT DASHBOARD'!$B$4="Area",IF(33&lt;=$I$3,IF(AND(INDEX(MASTER_AREAS!$F:$F,34)&lt;&gt;"N",OR('TRANSPORT DASHBOARD'!$C$4="",ISNUMBER(SEARCH('TRANSPORT DASHBOARD'!$C$4,INDEX(MASTER_AREAS!$B:$B,34))))),33,""),""),IF('TRANSPORT DASHBOARD'!$B$4="Zone",IF(33&lt;=$I$4,IF(OR('TRANSPORT DASHBOARD'!$C$4="",ISNUMBER(SEARCH('TRANSPORT DASHBOARD'!$C$4,INDEX(MASTER_ZONES!$B:$B,34)))),33,""),""),""))</f>
        <v/>
      </c>
      <c r="G34">
        <f>IFERROR(SMALL($F$2:$F$1487,33),"")</f>
        <v/>
      </c>
      <c r="H34">
        <f>IF(G34="","",IF('TRANSPORT DASHBOARD'!$B$4="Area",INDEX(MASTER_AREAS!$B:$B,G34+1),INDEX(MASTER_ZONES!$B:$B,G34+1)))</f>
        <v/>
      </c>
      <c r="K34">
        <f>IF('MIDWEEK DASHBOARD'!$B$4="Area",IF(33&lt;=$N$3,IF(AND(OR('MIDWEEK DASHBOARD'!$C$4="",ISNUMBER(SEARCH('MIDWEEK DASHBOARD'!$C$4,INDEX(MASTER_AREAS!$B:$B,34))))),33,""),""),IF('MIDWEEK DASHBOARD'!$B$4="Zone",IF(33&lt;=$N$4,IF(OR('MIDWEEK DASHBOARD'!$C$4="",ISNUMBER(SEARCH('MIDWEEK DASHBOARD'!$C$4,INDEX(MASTER_ZONES!$B:$B,34)))),33,""),""),""))</f>
        <v/>
      </c>
      <c r="L34">
        <f>IFERROR(SMALL($K$2:$K$1487,33),"")</f>
        <v/>
      </c>
      <c r="M34">
        <f>IF(L34="","",IF('MIDWEEK DASHBOARD'!$B$4="Area",INDEX(MASTER_AREAS!$B:$B,L34+1),INDEX(MASTER_ZONES!$B:$B,L34+1)))</f>
        <v/>
      </c>
      <c r="P34">
        <f>IF('CHOP DASHBOARD'!$B$4="Area",IF(33&lt;=$S$3,IF(AND(OR('CHOP DASHBOARD'!$C$4="",ISNUMBER(SEARCH('CHOP DASHBOARD'!$C$4,INDEX(MASTER_AREAS!$B:$B,34))))),33,""),""),IF('CHOP DASHBOARD'!$B$4="Zone",IF(33&lt;=$S$4,IF(OR('CHOP DASHBOARD'!$C$4="",ISNUMBER(SEARCH('CHOP DASHBOARD'!$C$4,INDEX(MASTER_ZONES!$B:$B,34)))),33,""),""),""))</f>
        <v/>
      </c>
      <c r="Q34">
        <f>IFERROR(SMALL($P$2:$P$1487,33),"")</f>
        <v/>
      </c>
      <c r="R34">
        <f>IF(Q34="","",IF('CHOP DASHBOARD'!$B$4="Area",INDEX(MASTER_AREAS!$B:$B,Q34+1),INDEX(MASTER_ZONES!$B:$B,Q34+1)))</f>
        <v/>
      </c>
      <c r="U34">
        <f>IF('COMMUNITY CHURCH DASHBOARD'!$B$4="Area",IF(33&lt;=$X$3,IF(AND(OR('COMMUNITY CHURCH DASHBOARD'!$C$4="",ISNUMBER(SEARCH('COMMUNITY CHURCH DASHBOARD'!$C$4,INDEX(MASTER_AREAS!$B:$B,34))))),33,""),""),IF('COMMUNITY CHURCH DASHBOARD'!$B$4="Zone",IF(33&lt;=$X$4,IF(OR('COMMUNITY CHURCH DASHBOARD'!$C$4="",ISNUMBER(SEARCH('COMMUNITY CHURCH DASHBOARD'!$C$4,INDEX(MASTER_ZONES!$B:$B,34)))),33,""),""),""))</f>
        <v/>
      </c>
      <c r="V34">
        <f>IFERROR(SMALL($U$2:$U$1487,33),"")</f>
        <v/>
      </c>
      <c r="W34">
        <f>IF(V34="","",IF('COMMUNITY CHURCH DASHBOARD'!$B$4="Area",INDEX(MASTER_AREAS!$B:$B,V34+1),INDEX(MASTER_ZONES!$B:$B,V34+1)))</f>
        <v/>
      </c>
    </row>
    <row r="35">
      <c r="A35">
        <f>IF('WSF DASHBOARD'!$B$4="Area",IF(34&lt;=$D$3,IF(AND(OR('WSF DASHBOARD'!$C$4="",ISNUMBER(SEARCH('WSF DASHBOARD'!$C$4,INDEX(MASTER_AREAS!$B:$B,35))))),34,""),""),IF('WSF DASHBOARD'!$B$4="Zone",IF(34&lt;=$D$4,IF(OR('WSF DASHBOARD'!$C$4="",ISNUMBER(SEARCH('WSF DASHBOARD'!$C$4,INDEX(MASTER_ZONES!$B:$B,35)))),34,""),""),""))</f>
        <v/>
      </c>
      <c r="B35">
        <f>IFERROR(SMALL($A$2:$A$1487,34),"")</f>
        <v/>
      </c>
      <c r="C35">
        <f>IF(B35="","",IF('WSF DASHBOARD'!$B$4="Area",INDEX(MASTER_AREAS!$B:$B,B35+1),INDEX(MASTER_ZONES!$B:$B,B35+1)))</f>
        <v/>
      </c>
      <c r="F35">
        <f>IF('TRANSPORT DASHBOARD'!$B$4="Area",IF(34&lt;=$I$3,IF(AND(INDEX(MASTER_AREAS!$F:$F,35)&lt;&gt;"N",OR('TRANSPORT DASHBOARD'!$C$4="",ISNUMBER(SEARCH('TRANSPORT DASHBOARD'!$C$4,INDEX(MASTER_AREAS!$B:$B,35))))),34,""),""),IF('TRANSPORT DASHBOARD'!$B$4="Zone",IF(34&lt;=$I$4,IF(OR('TRANSPORT DASHBOARD'!$C$4="",ISNUMBER(SEARCH('TRANSPORT DASHBOARD'!$C$4,INDEX(MASTER_ZONES!$B:$B,35)))),34,""),""),""))</f>
        <v/>
      </c>
      <c r="G35">
        <f>IFERROR(SMALL($F$2:$F$1487,34),"")</f>
        <v/>
      </c>
      <c r="H35">
        <f>IF(G35="","",IF('TRANSPORT DASHBOARD'!$B$4="Area",INDEX(MASTER_AREAS!$B:$B,G35+1),INDEX(MASTER_ZONES!$B:$B,G35+1)))</f>
        <v/>
      </c>
      <c r="K35">
        <f>IF('MIDWEEK DASHBOARD'!$B$4="Area",IF(34&lt;=$N$3,IF(AND(OR('MIDWEEK DASHBOARD'!$C$4="",ISNUMBER(SEARCH('MIDWEEK DASHBOARD'!$C$4,INDEX(MASTER_AREAS!$B:$B,35))))),34,""),""),IF('MIDWEEK DASHBOARD'!$B$4="Zone",IF(34&lt;=$N$4,IF(OR('MIDWEEK DASHBOARD'!$C$4="",ISNUMBER(SEARCH('MIDWEEK DASHBOARD'!$C$4,INDEX(MASTER_ZONES!$B:$B,35)))),34,""),""),""))</f>
        <v/>
      </c>
      <c r="L35">
        <f>IFERROR(SMALL($K$2:$K$1487,34),"")</f>
        <v/>
      </c>
      <c r="M35">
        <f>IF(L35="","",IF('MIDWEEK DASHBOARD'!$B$4="Area",INDEX(MASTER_AREAS!$B:$B,L35+1),INDEX(MASTER_ZONES!$B:$B,L35+1)))</f>
        <v/>
      </c>
      <c r="P35">
        <f>IF('CHOP DASHBOARD'!$B$4="Area",IF(34&lt;=$S$3,IF(AND(OR('CHOP DASHBOARD'!$C$4="",ISNUMBER(SEARCH('CHOP DASHBOARD'!$C$4,INDEX(MASTER_AREAS!$B:$B,35))))),34,""),""),IF('CHOP DASHBOARD'!$B$4="Zone",IF(34&lt;=$S$4,IF(OR('CHOP DASHBOARD'!$C$4="",ISNUMBER(SEARCH('CHOP DASHBOARD'!$C$4,INDEX(MASTER_ZONES!$B:$B,35)))),34,""),""),""))</f>
        <v/>
      </c>
      <c r="Q35">
        <f>IFERROR(SMALL($P$2:$P$1487,34),"")</f>
        <v/>
      </c>
      <c r="R35">
        <f>IF(Q35="","",IF('CHOP DASHBOARD'!$B$4="Area",INDEX(MASTER_AREAS!$B:$B,Q35+1),INDEX(MASTER_ZONES!$B:$B,Q35+1)))</f>
        <v/>
      </c>
      <c r="U35">
        <f>IF('COMMUNITY CHURCH DASHBOARD'!$B$4="Area",IF(34&lt;=$X$3,IF(AND(OR('COMMUNITY CHURCH DASHBOARD'!$C$4="",ISNUMBER(SEARCH('COMMUNITY CHURCH DASHBOARD'!$C$4,INDEX(MASTER_AREAS!$B:$B,35))))),34,""),""),IF('COMMUNITY CHURCH DASHBOARD'!$B$4="Zone",IF(34&lt;=$X$4,IF(OR('COMMUNITY CHURCH DASHBOARD'!$C$4="",ISNUMBER(SEARCH('COMMUNITY CHURCH DASHBOARD'!$C$4,INDEX(MASTER_ZONES!$B:$B,35)))),34,""),""),""))</f>
        <v/>
      </c>
      <c r="V35">
        <f>IFERROR(SMALL($U$2:$U$1487,34),"")</f>
        <v/>
      </c>
      <c r="W35">
        <f>IF(V35="","",IF('COMMUNITY CHURCH DASHBOARD'!$B$4="Area",INDEX(MASTER_AREAS!$B:$B,V35+1),INDEX(MASTER_ZONES!$B:$B,V35+1)))</f>
        <v/>
      </c>
    </row>
    <row r="36">
      <c r="A36">
        <f>IF('WSF DASHBOARD'!$B$4="Area",IF(35&lt;=$D$3,IF(AND(OR('WSF DASHBOARD'!$C$4="",ISNUMBER(SEARCH('WSF DASHBOARD'!$C$4,INDEX(MASTER_AREAS!$B:$B,36))))),35,""),""),IF('WSF DASHBOARD'!$B$4="Zone",IF(35&lt;=$D$4,IF(OR('WSF DASHBOARD'!$C$4="",ISNUMBER(SEARCH('WSF DASHBOARD'!$C$4,INDEX(MASTER_ZONES!$B:$B,36)))),35,""),""),""))</f>
        <v/>
      </c>
      <c r="B36">
        <f>IFERROR(SMALL($A$2:$A$1487,35),"")</f>
        <v/>
      </c>
      <c r="C36">
        <f>IF(B36="","",IF('WSF DASHBOARD'!$B$4="Area",INDEX(MASTER_AREAS!$B:$B,B36+1),INDEX(MASTER_ZONES!$B:$B,B36+1)))</f>
        <v/>
      </c>
      <c r="F36">
        <f>IF('TRANSPORT DASHBOARD'!$B$4="Area",IF(35&lt;=$I$3,IF(AND(INDEX(MASTER_AREAS!$F:$F,36)&lt;&gt;"N",OR('TRANSPORT DASHBOARD'!$C$4="",ISNUMBER(SEARCH('TRANSPORT DASHBOARD'!$C$4,INDEX(MASTER_AREAS!$B:$B,36))))),35,""),""),IF('TRANSPORT DASHBOARD'!$B$4="Zone",IF(35&lt;=$I$4,IF(OR('TRANSPORT DASHBOARD'!$C$4="",ISNUMBER(SEARCH('TRANSPORT DASHBOARD'!$C$4,INDEX(MASTER_ZONES!$B:$B,36)))),35,""),""),""))</f>
        <v/>
      </c>
      <c r="G36">
        <f>IFERROR(SMALL($F$2:$F$1487,35),"")</f>
        <v/>
      </c>
      <c r="H36">
        <f>IF(G36="","",IF('TRANSPORT DASHBOARD'!$B$4="Area",INDEX(MASTER_AREAS!$B:$B,G36+1),INDEX(MASTER_ZONES!$B:$B,G36+1)))</f>
        <v/>
      </c>
      <c r="K36">
        <f>IF('MIDWEEK DASHBOARD'!$B$4="Area",IF(35&lt;=$N$3,IF(AND(OR('MIDWEEK DASHBOARD'!$C$4="",ISNUMBER(SEARCH('MIDWEEK DASHBOARD'!$C$4,INDEX(MASTER_AREAS!$B:$B,36))))),35,""),""),IF('MIDWEEK DASHBOARD'!$B$4="Zone",IF(35&lt;=$N$4,IF(OR('MIDWEEK DASHBOARD'!$C$4="",ISNUMBER(SEARCH('MIDWEEK DASHBOARD'!$C$4,INDEX(MASTER_ZONES!$B:$B,36)))),35,""),""),""))</f>
        <v/>
      </c>
      <c r="L36">
        <f>IFERROR(SMALL($K$2:$K$1487,35),"")</f>
        <v/>
      </c>
      <c r="M36">
        <f>IF(L36="","",IF('MIDWEEK DASHBOARD'!$B$4="Area",INDEX(MASTER_AREAS!$B:$B,L36+1),INDEX(MASTER_ZONES!$B:$B,L36+1)))</f>
        <v/>
      </c>
      <c r="P36">
        <f>IF('CHOP DASHBOARD'!$B$4="Area",IF(35&lt;=$S$3,IF(AND(OR('CHOP DASHBOARD'!$C$4="",ISNUMBER(SEARCH('CHOP DASHBOARD'!$C$4,INDEX(MASTER_AREAS!$B:$B,36))))),35,""),""),IF('CHOP DASHBOARD'!$B$4="Zone",IF(35&lt;=$S$4,IF(OR('CHOP DASHBOARD'!$C$4="",ISNUMBER(SEARCH('CHOP DASHBOARD'!$C$4,INDEX(MASTER_ZONES!$B:$B,36)))),35,""),""),""))</f>
        <v/>
      </c>
      <c r="Q36">
        <f>IFERROR(SMALL($P$2:$P$1487,35),"")</f>
        <v/>
      </c>
      <c r="R36">
        <f>IF(Q36="","",IF('CHOP DASHBOARD'!$B$4="Area",INDEX(MASTER_AREAS!$B:$B,Q36+1),INDEX(MASTER_ZONES!$B:$B,Q36+1)))</f>
        <v/>
      </c>
      <c r="U36">
        <f>IF('COMMUNITY CHURCH DASHBOARD'!$B$4="Area",IF(35&lt;=$X$3,IF(AND(OR('COMMUNITY CHURCH DASHBOARD'!$C$4="",ISNUMBER(SEARCH('COMMUNITY CHURCH DASHBOARD'!$C$4,INDEX(MASTER_AREAS!$B:$B,36))))),35,""),""),IF('COMMUNITY CHURCH DASHBOARD'!$B$4="Zone",IF(35&lt;=$X$4,IF(OR('COMMUNITY CHURCH DASHBOARD'!$C$4="",ISNUMBER(SEARCH('COMMUNITY CHURCH DASHBOARD'!$C$4,INDEX(MASTER_ZONES!$B:$B,36)))),35,""),""),""))</f>
        <v/>
      </c>
      <c r="V36">
        <f>IFERROR(SMALL($U$2:$U$1487,35),"")</f>
        <v/>
      </c>
      <c r="W36">
        <f>IF(V36="","",IF('COMMUNITY CHURCH DASHBOARD'!$B$4="Area",INDEX(MASTER_AREAS!$B:$B,V36+1),INDEX(MASTER_ZONES!$B:$B,V36+1)))</f>
        <v/>
      </c>
    </row>
    <row r="37">
      <c r="A37">
        <f>IF('WSF DASHBOARD'!$B$4="Area",IF(36&lt;=$D$3,IF(AND(OR('WSF DASHBOARD'!$C$4="",ISNUMBER(SEARCH('WSF DASHBOARD'!$C$4,INDEX(MASTER_AREAS!$B:$B,37))))),36,""),""),IF('WSF DASHBOARD'!$B$4="Zone",IF(36&lt;=$D$4,IF(OR('WSF DASHBOARD'!$C$4="",ISNUMBER(SEARCH('WSF DASHBOARD'!$C$4,INDEX(MASTER_ZONES!$B:$B,37)))),36,""),""),""))</f>
        <v/>
      </c>
      <c r="B37">
        <f>IFERROR(SMALL($A$2:$A$1487,36),"")</f>
        <v/>
      </c>
      <c r="C37">
        <f>IF(B37="","",IF('WSF DASHBOARD'!$B$4="Area",INDEX(MASTER_AREAS!$B:$B,B37+1),INDEX(MASTER_ZONES!$B:$B,B37+1)))</f>
        <v/>
      </c>
      <c r="F37">
        <f>IF('TRANSPORT DASHBOARD'!$B$4="Area",IF(36&lt;=$I$3,IF(AND(INDEX(MASTER_AREAS!$F:$F,37)&lt;&gt;"N",OR('TRANSPORT DASHBOARD'!$C$4="",ISNUMBER(SEARCH('TRANSPORT DASHBOARD'!$C$4,INDEX(MASTER_AREAS!$B:$B,37))))),36,""),""),IF('TRANSPORT DASHBOARD'!$B$4="Zone",IF(36&lt;=$I$4,IF(OR('TRANSPORT DASHBOARD'!$C$4="",ISNUMBER(SEARCH('TRANSPORT DASHBOARD'!$C$4,INDEX(MASTER_ZONES!$B:$B,37)))),36,""),""),""))</f>
        <v/>
      </c>
      <c r="G37">
        <f>IFERROR(SMALL($F$2:$F$1487,36),"")</f>
        <v/>
      </c>
      <c r="H37">
        <f>IF(G37="","",IF('TRANSPORT DASHBOARD'!$B$4="Area",INDEX(MASTER_AREAS!$B:$B,G37+1),INDEX(MASTER_ZONES!$B:$B,G37+1)))</f>
        <v/>
      </c>
      <c r="K37">
        <f>IF('MIDWEEK DASHBOARD'!$B$4="Area",IF(36&lt;=$N$3,IF(AND(OR('MIDWEEK DASHBOARD'!$C$4="",ISNUMBER(SEARCH('MIDWEEK DASHBOARD'!$C$4,INDEX(MASTER_AREAS!$B:$B,37))))),36,""),""),IF('MIDWEEK DASHBOARD'!$B$4="Zone",IF(36&lt;=$N$4,IF(OR('MIDWEEK DASHBOARD'!$C$4="",ISNUMBER(SEARCH('MIDWEEK DASHBOARD'!$C$4,INDEX(MASTER_ZONES!$B:$B,37)))),36,""),""),""))</f>
        <v/>
      </c>
      <c r="L37">
        <f>IFERROR(SMALL($K$2:$K$1487,36),"")</f>
        <v/>
      </c>
      <c r="M37">
        <f>IF(L37="","",IF('MIDWEEK DASHBOARD'!$B$4="Area",INDEX(MASTER_AREAS!$B:$B,L37+1),INDEX(MASTER_ZONES!$B:$B,L37+1)))</f>
        <v/>
      </c>
      <c r="P37">
        <f>IF('CHOP DASHBOARD'!$B$4="Area",IF(36&lt;=$S$3,IF(AND(OR('CHOP DASHBOARD'!$C$4="",ISNUMBER(SEARCH('CHOP DASHBOARD'!$C$4,INDEX(MASTER_AREAS!$B:$B,37))))),36,""),""),IF('CHOP DASHBOARD'!$B$4="Zone",IF(36&lt;=$S$4,IF(OR('CHOP DASHBOARD'!$C$4="",ISNUMBER(SEARCH('CHOP DASHBOARD'!$C$4,INDEX(MASTER_ZONES!$B:$B,37)))),36,""),""),""))</f>
        <v/>
      </c>
      <c r="Q37">
        <f>IFERROR(SMALL($P$2:$P$1487,36),"")</f>
        <v/>
      </c>
      <c r="R37">
        <f>IF(Q37="","",IF('CHOP DASHBOARD'!$B$4="Area",INDEX(MASTER_AREAS!$B:$B,Q37+1),INDEX(MASTER_ZONES!$B:$B,Q37+1)))</f>
        <v/>
      </c>
      <c r="U37">
        <f>IF('COMMUNITY CHURCH DASHBOARD'!$B$4="Area",IF(36&lt;=$X$3,IF(AND(OR('COMMUNITY CHURCH DASHBOARD'!$C$4="",ISNUMBER(SEARCH('COMMUNITY CHURCH DASHBOARD'!$C$4,INDEX(MASTER_AREAS!$B:$B,37))))),36,""),""),IF('COMMUNITY CHURCH DASHBOARD'!$B$4="Zone",IF(36&lt;=$X$4,IF(OR('COMMUNITY CHURCH DASHBOARD'!$C$4="",ISNUMBER(SEARCH('COMMUNITY CHURCH DASHBOARD'!$C$4,INDEX(MASTER_ZONES!$B:$B,37)))),36,""),""),""))</f>
        <v/>
      </c>
      <c r="V37">
        <f>IFERROR(SMALL($U$2:$U$1487,36),"")</f>
        <v/>
      </c>
      <c r="W37">
        <f>IF(V37="","",IF('COMMUNITY CHURCH DASHBOARD'!$B$4="Area",INDEX(MASTER_AREAS!$B:$B,V37+1),INDEX(MASTER_ZONES!$B:$B,V37+1)))</f>
        <v/>
      </c>
    </row>
    <row r="38">
      <c r="A38">
        <f>IF('WSF DASHBOARD'!$B$4="Area",IF(37&lt;=$D$3,IF(AND(OR('WSF DASHBOARD'!$C$4="",ISNUMBER(SEARCH('WSF DASHBOARD'!$C$4,INDEX(MASTER_AREAS!$B:$B,38))))),37,""),""),IF('WSF DASHBOARD'!$B$4="Zone",IF(37&lt;=$D$4,IF(OR('WSF DASHBOARD'!$C$4="",ISNUMBER(SEARCH('WSF DASHBOARD'!$C$4,INDEX(MASTER_ZONES!$B:$B,38)))),37,""),""),""))</f>
        <v/>
      </c>
      <c r="B38">
        <f>IFERROR(SMALL($A$2:$A$1487,37),"")</f>
        <v/>
      </c>
      <c r="C38">
        <f>IF(B38="","",IF('WSF DASHBOARD'!$B$4="Area",INDEX(MASTER_AREAS!$B:$B,B38+1),INDEX(MASTER_ZONES!$B:$B,B38+1)))</f>
        <v/>
      </c>
      <c r="F38">
        <f>IF('TRANSPORT DASHBOARD'!$B$4="Area",IF(37&lt;=$I$3,IF(AND(INDEX(MASTER_AREAS!$F:$F,38)&lt;&gt;"N",OR('TRANSPORT DASHBOARD'!$C$4="",ISNUMBER(SEARCH('TRANSPORT DASHBOARD'!$C$4,INDEX(MASTER_AREAS!$B:$B,38))))),37,""),""),IF('TRANSPORT DASHBOARD'!$B$4="Zone",IF(37&lt;=$I$4,IF(OR('TRANSPORT DASHBOARD'!$C$4="",ISNUMBER(SEARCH('TRANSPORT DASHBOARD'!$C$4,INDEX(MASTER_ZONES!$B:$B,38)))),37,""),""),""))</f>
        <v/>
      </c>
      <c r="G38">
        <f>IFERROR(SMALL($F$2:$F$1487,37),"")</f>
        <v/>
      </c>
      <c r="H38">
        <f>IF(G38="","",IF('TRANSPORT DASHBOARD'!$B$4="Area",INDEX(MASTER_AREAS!$B:$B,G38+1),INDEX(MASTER_ZONES!$B:$B,G38+1)))</f>
        <v/>
      </c>
      <c r="K38">
        <f>IF('MIDWEEK DASHBOARD'!$B$4="Area",IF(37&lt;=$N$3,IF(AND(OR('MIDWEEK DASHBOARD'!$C$4="",ISNUMBER(SEARCH('MIDWEEK DASHBOARD'!$C$4,INDEX(MASTER_AREAS!$B:$B,38))))),37,""),""),IF('MIDWEEK DASHBOARD'!$B$4="Zone",IF(37&lt;=$N$4,IF(OR('MIDWEEK DASHBOARD'!$C$4="",ISNUMBER(SEARCH('MIDWEEK DASHBOARD'!$C$4,INDEX(MASTER_ZONES!$B:$B,38)))),37,""),""),""))</f>
        <v/>
      </c>
      <c r="L38">
        <f>IFERROR(SMALL($K$2:$K$1487,37),"")</f>
        <v/>
      </c>
      <c r="M38">
        <f>IF(L38="","",IF('MIDWEEK DASHBOARD'!$B$4="Area",INDEX(MASTER_AREAS!$B:$B,L38+1),INDEX(MASTER_ZONES!$B:$B,L38+1)))</f>
        <v/>
      </c>
      <c r="P38">
        <f>IF('CHOP DASHBOARD'!$B$4="Area",IF(37&lt;=$S$3,IF(AND(OR('CHOP DASHBOARD'!$C$4="",ISNUMBER(SEARCH('CHOP DASHBOARD'!$C$4,INDEX(MASTER_AREAS!$B:$B,38))))),37,""),""),IF('CHOP DASHBOARD'!$B$4="Zone",IF(37&lt;=$S$4,IF(OR('CHOP DASHBOARD'!$C$4="",ISNUMBER(SEARCH('CHOP DASHBOARD'!$C$4,INDEX(MASTER_ZONES!$B:$B,38)))),37,""),""),""))</f>
        <v/>
      </c>
      <c r="Q38">
        <f>IFERROR(SMALL($P$2:$P$1487,37),"")</f>
        <v/>
      </c>
      <c r="R38">
        <f>IF(Q38="","",IF('CHOP DASHBOARD'!$B$4="Area",INDEX(MASTER_AREAS!$B:$B,Q38+1),INDEX(MASTER_ZONES!$B:$B,Q38+1)))</f>
        <v/>
      </c>
      <c r="U38">
        <f>IF('COMMUNITY CHURCH DASHBOARD'!$B$4="Area",IF(37&lt;=$X$3,IF(AND(OR('COMMUNITY CHURCH DASHBOARD'!$C$4="",ISNUMBER(SEARCH('COMMUNITY CHURCH DASHBOARD'!$C$4,INDEX(MASTER_AREAS!$B:$B,38))))),37,""),""),IF('COMMUNITY CHURCH DASHBOARD'!$B$4="Zone",IF(37&lt;=$X$4,IF(OR('COMMUNITY CHURCH DASHBOARD'!$C$4="",ISNUMBER(SEARCH('COMMUNITY CHURCH DASHBOARD'!$C$4,INDEX(MASTER_ZONES!$B:$B,38)))),37,""),""),""))</f>
        <v/>
      </c>
      <c r="V38">
        <f>IFERROR(SMALL($U$2:$U$1487,37),"")</f>
        <v/>
      </c>
      <c r="W38">
        <f>IF(V38="","",IF('COMMUNITY CHURCH DASHBOARD'!$B$4="Area",INDEX(MASTER_AREAS!$B:$B,V38+1),INDEX(MASTER_ZONES!$B:$B,V38+1)))</f>
        <v/>
      </c>
    </row>
    <row r="39">
      <c r="A39">
        <f>IF('WSF DASHBOARD'!$B$4="Area",IF(38&lt;=$D$3,IF(AND(OR('WSF DASHBOARD'!$C$4="",ISNUMBER(SEARCH('WSF DASHBOARD'!$C$4,INDEX(MASTER_AREAS!$B:$B,39))))),38,""),""),IF('WSF DASHBOARD'!$B$4="Zone",IF(38&lt;=$D$4,IF(OR('WSF DASHBOARD'!$C$4="",ISNUMBER(SEARCH('WSF DASHBOARD'!$C$4,INDEX(MASTER_ZONES!$B:$B,39)))),38,""),""),""))</f>
        <v/>
      </c>
      <c r="B39">
        <f>IFERROR(SMALL($A$2:$A$1487,38),"")</f>
        <v/>
      </c>
      <c r="C39">
        <f>IF(B39="","",IF('WSF DASHBOARD'!$B$4="Area",INDEX(MASTER_AREAS!$B:$B,B39+1),INDEX(MASTER_ZONES!$B:$B,B39+1)))</f>
        <v/>
      </c>
      <c r="F39">
        <f>IF('TRANSPORT DASHBOARD'!$B$4="Area",IF(38&lt;=$I$3,IF(AND(INDEX(MASTER_AREAS!$F:$F,39)&lt;&gt;"N",OR('TRANSPORT DASHBOARD'!$C$4="",ISNUMBER(SEARCH('TRANSPORT DASHBOARD'!$C$4,INDEX(MASTER_AREAS!$B:$B,39))))),38,""),""),IF('TRANSPORT DASHBOARD'!$B$4="Zone",IF(38&lt;=$I$4,IF(OR('TRANSPORT DASHBOARD'!$C$4="",ISNUMBER(SEARCH('TRANSPORT DASHBOARD'!$C$4,INDEX(MASTER_ZONES!$B:$B,39)))),38,""),""),""))</f>
        <v/>
      </c>
      <c r="G39">
        <f>IFERROR(SMALL($F$2:$F$1487,38),"")</f>
        <v/>
      </c>
      <c r="H39">
        <f>IF(G39="","",IF('TRANSPORT DASHBOARD'!$B$4="Area",INDEX(MASTER_AREAS!$B:$B,G39+1),INDEX(MASTER_ZONES!$B:$B,G39+1)))</f>
        <v/>
      </c>
      <c r="K39">
        <f>IF('MIDWEEK DASHBOARD'!$B$4="Area",IF(38&lt;=$N$3,IF(AND(OR('MIDWEEK DASHBOARD'!$C$4="",ISNUMBER(SEARCH('MIDWEEK DASHBOARD'!$C$4,INDEX(MASTER_AREAS!$B:$B,39))))),38,""),""),IF('MIDWEEK DASHBOARD'!$B$4="Zone",IF(38&lt;=$N$4,IF(OR('MIDWEEK DASHBOARD'!$C$4="",ISNUMBER(SEARCH('MIDWEEK DASHBOARD'!$C$4,INDEX(MASTER_ZONES!$B:$B,39)))),38,""),""),""))</f>
        <v/>
      </c>
      <c r="L39">
        <f>IFERROR(SMALL($K$2:$K$1487,38),"")</f>
        <v/>
      </c>
      <c r="M39">
        <f>IF(L39="","",IF('MIDWEEK DASHBOARD'!$B$4="Area",INDEX(MASTER_AREAS!$B:$B,L39+1),INDEX(MASTER_ZONES!$B:$B,L39+1)))</f>
        <v/>
      </c>
      <c r="P39">
        <f>IF('CHOP DASHBOARD'!$B$4="Area",IF(38&lt;=$S$3,IF(AND(OR('CHOP DASHBOARD'!$C$4="",ISNUMBER(SEARCH('CHOP DASHBOARD'!$C$4,INDEX(MASTER_AREAS!$B:$B,39))))),38,""),""),IF('CHOP DASHBOARD'!$B$4="Zone",IF(38&lt;=$S$4,IF(OR('CHOP DASHBOARD'!$C$4="",ISNUMBER(SEARCH('CHOP DASHBOARD'!$C$4,INDEX(MASTER_ZONES!$B:$B,39)))),38,""),""),""))</f>
        <v/>
      </c>
      <c r="Q39">
        <f>IFERROR(SMALL($P$2:$P$1487,38),"")</f>
        <v/>
      </c>
      <c r="R39">
        <f>IF(Q39="","",IF('CHOP DASHBOARD'!$B$4="Area",INDEX(MASTER_AREAS!$B:$B,Q39+1),INDEX(MASTER_ZONES!$B:$B,Q39+1)))</f>
        <v/>
      </c>
      <c r="U39">
        <f>IF('COMMUNITY CHURCH DASHBOARD'!$B$4="Area",IF(38&lt;=$X$3,IF(AND(OR('COMMUNITY CHURCH DASHBOARD'!$C$4="",ISNUMBER(SEARCH('COMMUNITY CHURCH DASHBOARD'!$C$4,INDEX(MASTER_AREAS!$B:$B,39))))),38,""),""),IF('COMMUNITY CHURCH DASHBOARD'!$B$4="Zone",IF(38&lt;=$X$4,IF(OR('COMMUNITY CHURCH DASHBOARD'!$C$4="",ISNUMBER(SEARCH('COMMUNITY CHURCH DASHBOARD'!$C$4,INDEX(MASTER_ZONES!$B:$B,39)))),38,""),""),""))</f>
        <v/>
      </c>
      <c r="V39">
        <f>IFERROR(SMALL($U$2:$U$1487,38),"")</f>
        <v/>
      </c>
      <c r="W39">
        <f>IF(V39="","",IF('COMMUNITY CHURCH DASHBOARD'!$B$4="Area",INDEX(MASTER_AREAS!$B:$B,V39+1),INDEX(MASTER_ZONES!$B:$B,V39+1)))</f>
        <v/>
      </c>
    </row>
    <row r="40">
      <c r="A40">
        <f>IF('WSF DASHBOARD'!$B$4="Area",IF(39&lt;=$D$3,IF(AND(OR('WSF DASHBOARD'!$C$4="",ISNUMBER(SEARCH('WSF DASHBOARD'!$C$4,INDEX(MASTER_AREAS!$B:$B,40))))),39,""),""),IF('WSF DASHBOARD'!$B$4="Zone",IF(39&lt;=$D$4,IF(OR('WSF DASHBOARD'!$C$4="",ISNUMBER(SEARCH('WSF DASHBOARD'!$C$4,INDEX(MASTER_ZONES!$B:$B,40)))),39,""),""),""))</f>
        <v/>
      </c>
      <c r="B40">
        <f>IFERROR(SMALL($A$2:$A$1487,39),"")</f>
        <v/>
      </c>
      <c r="C40">
        <f>IF(B40="","",IF('WSF DASHBOARD'!$B$4="Area",INDEX(MASTER_AREAS!$B:$B,B40+1),INDEX(MASTER_ZONES!$B:$B,B40+1)))</f>
        <v/>
      </c>
      <c r="F40">
        <f>IF('TRANSPORT DASHBOARD'!$B$4="Area",IF(39&lt;=$I$3,IF(AND(INDEX(MASTER_AREAS!$F:$F,40)&lt;&gt;"N",OR('TRANSPORT DASHBOARD'!$C$4="",ISNUMBER(SEARCH('TRANSPORT DASHBOARD'!$C$4,INDEX(MASTER_AREAS!$B:$B,40))))),39,""),""),IF('TRANSPORT DASHBOARD'!$B$4="Zone",IF(39&lt;=$I$4,IF(OR('TRANSPORT DASHBOARD'!$C$4="",ISNUMBER(SEARCH('TRANSPORT DASHBOARD'!$C$4,INDEX(MASTER_ZONES!$B:$B,40)))),39,""),""),""))</f>
        <v/>
      </c>
      <c r="G40">
        <f>IFERROR(SMALL($F$2:$F$1487,39),"")</f>
        <v/>
      </c>
      <c r="H40">
        <f>IF(G40="","",IF('TRANSPORT DASHBOARD'!$B$4="Area",INDEX(MASTER_AREAS!$B:$B,G40+1),INDEX(MASTER_ZONES!$B:$B,G40+1)))</f>
        <v/>
      </c>
      <c r="K40">
        <f>IF('MIDWEEK DASHBOARD'!$B$4="Area",IF(39&lt;=$N$3,IF(AND(OR('MIDWEEK DASHBOARD'!$C$4="",ISNUMBER(SEARCH('MIDWEEK DASHBOARD'!$C$4,INDEX(MASTER_AREAS!$B:$B,40))))),39,""),""),IF('MIDWEEK DASHBOARD'!$B$4="Zone",IF(39&lt;=$N$4,IF(OR('MIDWEEK DASHBOARD'!$C$4="",ISNUMBER(SEARCH('MIDWEEK DASHBOARD'!$C$4,INDEX(MASTER_ZONES!$B:$B,40)))),39,""),""),""))</f>
        <v/>
      </c>
      <c r="L40">
        <f>IFERROR(SMALL($K$2:$K$1487,39),"")</f>
        <v/>
      </c>
      <c r="M40">
        <f>IF(L40="","",IF('MIDWEEK DASHBOARD'!$B$4="Area",INDEX(MASTER_AREAS!$B:$B,L40+1),INDEX(MASTER_ZONES!$B:$B,L40+1)))</f>
        <v/>
      </c>
      <c r="P40">
        <f>IF('CHOP DASHBOARD'!$B$4="Area",IF(39&lt;=$S$3,IF(AND(OR('CHOP DASHBOARD'!$C$4="",ISNUMBER(SEARCH('CHOP DASHBOARD'!$C$4,INDEX(MASTER_AREAS!$B:$B,40))))),39,""),""),IF('CHOP DASHBOARD'!$B$4="Zone",IF(39&lt;=$S$4,IF(OR('CHOP DASHBOARD'!$C$4="",ISNUMBER(SEARCH('CHOP DASHBOARD'!$C$4,INDEX(MASTER_ZONES!$B:$B,40)))),39,""),""),""))</f>
        <v/>
      </c>
      <c r="Q40">
        <f>IFERROR(SMALL($P$2:$P$1487,39),"")</f>
        <v/>
      </c>
      <c r="R40">
        <f>IF(Q40="","",IF('CHOP DASHBOARD'!$B$4="Area",INDEX(MASTER_AREAS!$B:$B,Q40+1),INDEX(MASTER_ZONES!$B:$B,Q40+1)))</f>
        <v/>
      </c>
      <c r="U40">
        <f>IF('COMMUNITY CHURCH DASHBOARD'!$B$4="Area",IF(39&lt;=$X$3,IF(AND(OR('COMMUNITY CHURCH DASHBOARD'!$C$4="",ISNUMBER(SEARCH('COMMUNITY CHURCH DASHBOARD'!$C$4,INDEX(MASTER_AREAS!$B:$B,40))))),39,""),""),IF('COMMUNITY CHURCH DASHBOARD'!$B$4="Zone",IF(39&lt;=$X$4,IF(OR('COMMUNITY CHURCH DASHBOARD'!$C$4="",ISNUMBER(SEARCH('COMMUNITY CHURCH DASHBOARD'!$C$4,INDEX(MASTER_ZONES!$B:$B,40)))),39,""),""),""))</f>
        <v/>
      </c>
      <c r="V40">
        <f>IFERROR(SMALL($U$2:$U$1487,39),"")</f>
        <v/>
      </c>
      <c r="W40">
        <f>IF(V40="","",IF('COMMUNITY CHURCH DASHBOARD'!$B$4="Area",INDEX(MASTER_AREAS!$B:$B,V40+1),INDEX(MASTER_ZONES!$B:$B,V40+1)))</f>
        <v/>
      </c>
    </row>
    <row r="41">
      <c r="A41">
        <f>IF('WSF DASHBOARD'!$B$4="Area",IF(40&lt;=$D$3,IF(AND(OR('WSF DASHBOARD'!$C$4="",ISNUMBER(SEARCH('WSF DASHBOARD'!$C$4,INDEX(MASTER_AREAS!$B:$B,41))))),40,""),""),IF('WSF DASHBOARD'!$B$4="Zone",IF(40&lt;=$D$4,IF(OR('WSF DASHBOARD'!$C$4="",ISNUMBER(SEARCH('WSF DASHBOARD'!$C$4,INDEX(MASTER_ZONES!$B:$B,41)))),40,""),""),""))</f>
        <v/>
      </c>
      <c r="B41">
        <f>IFERROR(SMALL($A$2:$A$1487,40),"")</f>
        <v/>
      </c>
      <c r="C41">
        <f>IF(B41="","",IF('WSF DASHBOARD'!$B$4="Area",INDEX(MASTER_AREAS!$B:$B,B41+1),INDEX(MASTER_ZONES!$B:$B,B41+1)))</f>
        <v/>
      </c>
      <c r="F41">
        <f>IF('TRANSPORT DASHBOARD'!$B$4="Area",IF(40&lt;=$I$3,IF(AND(INDEX(MASTER_AREAS!$F:$F,41)&lt;&gt;"N",OR('TRANSPORT DASHBOARD'!$C$4="",ISNUMBER(SEARCH('TRANSPORT DASHBOARD'!$C$4,INDEX(MASTER_AREAS!$B:$B,41))))),40,""),""),IF('TRANSPORT DASHBOARD'!$B$4="Zone",IF(40&lt;=$I$4,IF(OR('TRANSPORT DASHBOARD'!$C$4="",ISNUMBER(SEARCH('TRANSPORT DASHBOARD'!$C$4,INDEX(MASTER_ZONES!$B:$B,41)))),40,""),""),""))</f>
        <v/>
      </c>
      <c r="G41">
        <f>IFERROR(SMALL($F$2:$F$1487,40),"")</f>
        <v/>
      </c>
      <c r="H41">
        <f>IF(G41="","",IF('TRANSPORT DASHBOARD'!$B$4="Area",INDEX(MASTER_AREAS!$B:$B,G41+1),INDEX(MASTER_ZONES!$B:$B,G41+1)))</f>
        <v/>
      </c>
      <c r="K41">
        <f>IF('MIDWEEK DASHBOARD'!$B$4="Area",IF(40&lt;=$N$3,IF(AND(OR('MIDWEEK DASHBOARD'!$C$4="",ISNUMBER(SEARCH('MIDWEEK DASHBOARD'!$C$4,INDEX(MASTER_AREAS!$B:$B,41))))),40,""),""),IF('MIDWEEK DASHBOARD'!$B$4="Zone",IF(40&lt;=$N$4,IF(OR('MIDWEEK DASHBOARD'!$C$4="",ISNUMBER(SEARCH('MIDWEEK DASHBOARD'!$C$4,INDEX(MASTER_ZONES!$B:$B,41)))),40,""),""),""))</f>
        <v/>
      </c>
      <c r="L41">
        <f>IFERROR(SMALL($K$2:$K$1487,40),"")</f>
        <v/>
      </c>
      <c r="M41">
        <f>IF(L41="","",IF('MIDWEEK DASHBOARD'!$B$4="Area",INDEX(MASTER_AREAS!$B:$B,L41+1),INDEX(MASTER_ZONES!$B:$B,L41+1)))</f>
        <v/>
      </c>
      <c r="P41">
        <f>IF('CHOP DASHBOARD'!$B$4="Area",IF(40&lt;=$S$3,IF(AND(OR('CHOP DASHBOARD'!$C$4="",ISNUMBER(SEARCH('CHOP DASHBOARD'!$C$4,INDEX(MASTER_AREAS!$B:$B,41))))),40,""),""),IF('CHOP DASHBOARD'!$B$4="Zone",IF(40&lt;=$S$4,IF(OR('CHOP DASHBOARD'!$C$4="",ISNUMBER(SEARCH('CHOP DASHBOARD'!$C$4,INDEX(MASTER_ZONES!$B:$B,41)))),40,""),""),""))</f>
        <v/>
      </c>
      <c r="Q41">
        <f>IFERROR(SMALL($P$2:$P$1487,40),"")</f>
        <v/>
      </c>
      <c r="R41">
        <f>IF(Q41="","",IF('CHOP DASHBOARD'!$B$4="Area",INDEX(MASTER_AREAS!$B:$B,Q41+1),INDEX(MASTER_ZONES!$B:$B,Q41+1)))</f>
        <v/>
      </c>
      <c r="U41">
        <f>IF('COMMUNITY CHURCH DASHBOARD'!$B$4="Area",IF(40&lt;=$X$3,IF(AND(OR('COMMUNITY CHURCH DASHBOARD'!$C$4="",ISNUMBER(SEARCH('COMMUNITY CHURCH DASHBOARD'!$C$4,INDEX(MASTER_AREAS!$B:$B,41))))),40,""),""),IF('COMMUNITY CHURCH DASHBOARD'!$B$4="Zone",IF(40&lt;=$X$4,IF(OR('COMMUNITY CHURCH DASHBOARD'!$C$4="",ISNUMBER(SEARCH('COMMUNITY CHURCH DASHBOARD'!$C$4,INDEX(MASTER_ZONES!$B:$B,41)))),40,""),""),""))</f>
        <v/>
      </c>
      <c r="V41">
        <f>IFERROR(SMALL($U$2:$U$1487,40),"")</f>
        <v/>
      </c>
      <c r="W41">
        <f>IF(V41="","",IF('COMMUNITY CHURCH DASHBOARD'!$B$4="Area",INDEX(MASTER_AREAS!$B:$B,V41+1),INDEX(MASTER_ZONES!$B:$B,V41+1)))</f>
        <v/>
      </c>
    </row>
    <row r="42">
      <c r="A42">
        <f>IF('WSF DASHBOARD'!$B$4="Area",IF(41&lt;=$D$3,IF(AND(OR('WSF DASHBOARD'!$C$4="",ISNUMBER(SEARCH('WSF DASHBOARD'!$C$4,INDEX(MASTER_AREAS!$B:$B,42))))),41,""),""),IF('WSF DASHBOARD'!$B$4="Zone",IF(41&lt;=$D$4,IF(OR('WSF DASHBOARD'!$C$4="",ISNUMBER(SEARCH('WSF DASHBOARD'!$C$4,INDEX(MASTER_ZONES!$B:$B,42)))),41,""),""),""))</f>
        <v/>
      </c>
      <c r="B42">
        <f>IFERROR(SMALL($A$2:$A$1487,41),"")</f>
        <v/>
      </c>
      <c r="C42">
        <f>IF(B42="","",IF('WSF DASHBOARD'!$B$4="Area",INDEX(MASTER_AREAS!$B:$B,B42+1),INDEX(MASTER_ZONES!$B:$B,B42+1)))</f>
        <v/>
      </c>
      <c r="F42">
        <f>IF('TRANSPORT DASHBOARD'!$B$4="Area",IF(41&lt;=$I$3,IF(AND(INDEX(MASTER_AREAS!$F:$F,42)&lt;&gt;"N",OR('TRANSPORT DASHBOARD'!$C$4="",ISNUMBER(SEARCH('TRANSPORT DASHBOARD'!$C$4,INDEX(MASTER_AREAS!$B:$B,42))))),41,""),""),IF('TRANSPORT DASHBOARD'!$B$4="Zone",IF(41&lt;=$I$4,IF(OR('TRANSPORT DASHBOARD'!$C$4="",ISNUMBER(SEARCH('TRANSPORT DASHBOARD'!$C$4,INDEX(MASTER_ZONES!$B:$B,42)))),41,""),""),""))</f>
        <v/>
      </c>
      <c r="G42">
        <f>IFERROR(SMALL($F$2:$F$1487,41),"")</f>
        <v/>
      </c>
      <c r="H42">
        <f>IF(G42="","",IF('TRANSPORT DASHBOARD'!$B$4="Area",INDEX(MASTER_AREAS!$B:$B,G42+1),INDEX(MASTER_ZONES!$B:$B,G42+1)))</f>
        <v/>
      </c>
      <c r="K42">
        <f>IF('MIDWEEK DASHBOARD'!$B$4="Area",IF(41&lt;=$N$3,IF(AND(OR('MIDWEEK DASHBOARD'!$C$4="",ISNUMBER(SEARCH('MIDWEEK DASHBOARD'!$C$4,INDEX(MASTER_AREAS!$B:$B,42))))),41,""),""),IF('MIDWEEK DASHBOARD'!$B$4="Zone",IF(41&lt;=$N$4,IF(OR('MIDWEEK DASHBOARD'!$C$4="",ISNUMBER(SEARCH('MIDWEEK DASHBOARD'!$C$4,INDEX(MASTER_ZONES!$B:$B,42)))),41,""),""),""))</f>
        <v/>
      </c>
      <c r="L42">
        <f>IFERROR(SMALL($K$2:$K$1487,41),"")</f>
        <v/>
      </c>
      <c r="M42">
        <f>IF(L42="","",IF('MIDWEEK DASHBOARD'!$B$4="Area",INDEX(MASTER_AREAS!$B:$B,L42+1),INDEX(MASTER_ZONES!$B:$B,L42+1)))</f>
        <v/>
      </c>
      <c r="P42">
        <f>IF('CHOP DASHBOARD'!$B$4="Area",IF(41&lt;=$S$3,IF(AND(OR('CHOP DASHBOARD'!$C$4="",ISNUMBER(SEARCH('CHOP DASHBOARD'!$C$4,INDEX(MASTER_AREAS!$B:$B,42))))),41,""),""),IF('CHOP DASHBOARD'!$B$4="Zone",IF(41&lt;=$S$4,IF(OR('CHOP DASHBOARD'!$C$4="",ISNUMBER(SEARCH('CHOP DASHBOARD'!$C$4,INDEX(MASTER_ZONES!$B:$B,42)))),41,""),""),""))</f>
        <v/>
      </c>
      <c r="Q42">
        <f>IFERROR(SMALL($P$2:$P$1487,41),"")</f>
        <v/>
      </c>
      <c r="R42">
        <f>IF(Q42="","",IF('CHOP DASHBOARD'!$B$4="Area",INDEX(MASTER_AREAS!$B:$B,Q42+1),INDEX(MASTER_ZONES!$B:$B,Q42+1)))</f>
        <v/>
      </c>
      <c r="U42">
        <f>IF('COMMUNITY CHURCH DASHBOARD'!$B$4="Area",IF(41&lt;=$X$3,IF(AND(OR('COMMUNITY CHURCH DASHBOARD'!$C$4="",ISNUMBER(SEARCH('COMMUNITY CHURCH DASHBOARD'!$C$4,INDEX(MASTER_AREAS!$B:$B,42))))),41,""),""),IF('COMMUNITY CHURCH DASHBOARD'!$B$4="Zone",IF(41&lt;=$X$4,IF(OR('COMMUNITY CHURCH DASHBOARD'!$C$4="",ISNUMBER(SEARCH('COMMUNITY CHURCH DASHBOARD'!$C$4,INDEX(MASTER_ZONES!$B:$B,42)))),41,""),""),""))</f>
        <v/>
      </c>
      <c r="V42">
        <f>IFERROR(SMALL($U$2:$U$1487,41),"")</f>
        <v/>
      </c>
      <c r="W42">
        <f>IF(V42="","",IF('COMMUNITY CHURCH DASHBOARD'!$B$4="Area",INDEX(MASTER_AREAS!$B:$B,V42+1),INDEX(MASTER_ZONES!$B:$B,V42+1)))</f>
        <v/>
      </c>
    </row>
    <row r="43">
      <c r="A43">
        <f>IF('WSF DASHBOARD'!$B$4="Area",IF(42&lt;=$D$3,IF(AND(OR('WSF DASHBOARD'!$C$4="",ISNUMBER(SEARCH('WSF DASHBOARD'!$C$4,INDEX(MASTER_AREAS!$B:$B,43))))),42,""),""),IF('WSF DASHBOARD'!$B$4="Zone",IF(42&lt;=$D$4,IF(OR('WSF DASHBOARD'!$C$4="",ISNUMBER(SEARCH('WSF DASHBOARD'!$C$4,INDEX(MASTER_ZONES!$B:$B,43)))),42,""),""),""))</f>
        <v/>
      </c>
      <c r="B43">
        <f>IFERROR(SMALL($A$2:$A$1487,42),"")</f>
        <v/>
      </c>
      <c r="C43">
        <f>IF(B43="","",IF('WSF DASHBOARD'!$B$4="Area",INDEX(MASTER_AREAS!$B:$B,B43+1),INDEX(MASTER_ZONES!$B:$B,B43+1)))</f>
        <v/>
      </c>
      <c r="F43">
        <f>IF('TRANSPORT DASHBOARD'!$B$4="Area",IF(42&lt;=$I$3,IF(AND(INDEX(MASTER_AREAS!$F:$F,43)&lt;&gt;"N",OR('TRANSPORT DASHBOARD'!$C$4="",ISNUMBER(SEARCH('TRANSPORT DASHBOARD'!$C$4,INDEX(MASTER_AREAS!$B:$B,43))))),42,""),""),IF('TRANSPORT DASHBOARD'!$B$4="Zone",IF(42&lt;=$I$4,IF(OR('TRANSPORT DASHBOARD'!$C$4="",ISNUMBER(SEARCH('TRANSPORT DASHBOARD'!$C$4,INDEX(MASTER_ZONES!$B:$B,43)))),42,""),""),""))</f>
        <v/>
      </c>
      <c r="G43">
        <f>IFERROR(SMALL($F$2:$F$1487,42),"")</f>
        <v/>
      </c>
      <c r="H43">
        <f>IF(G43="","",IF('TRANSPORT DASHBOARD'!$B$4="Area",INDEX(MASTER_AREAS!$B:$B,G43+1),INDEX(MASTER_ZONES!$B:$B,G43+1)))</f>
        <v/>
      </c>
      <c r="K43">
        <f>IF('MIDWEEK DASHBOARD'!$B$4="Area",IF(42&lt;=$N$3,IF(AND(OR('MIDWEEK DASHBOARD'!$C$4="",ISNUMBER(SEARCH('MIDWEEK DASHBOARD'!$C$4,INDEX(MASTER_AREAS!$B:$B,43))))),42,""),""),IF('MIDWEEK DASHBOARD'!$B$4="Zone",IF(42&lt;=$N$4,IF(OR('MIDWEEK DASHBOARD'!$C$4="",ISNUMBER(SEARCH('MIDWEEK DASHBOARD'!$C$4,INDEX(MASTER_ZONES!$B:$B,43)))),42,""),""),""))</f>
        <v/>
      </c>
      <c r="L43">
        <f>IFERROR(SMALL($K$2:$K$1487,42),"")</f>
        <v/>
      </c>
      <c r="M43">
        <f>IF(L43="","",IF('MIDWEEK DASHBOARD'!$B$4="Area",INDEX(MASTER_AREAS!$B:$B,L43+1),INDEX(MASTER_ZONES!$B:$B,L43+1)))</f>
        <v/>
      </c>
      <c r="P43">
        <f>IF('CHOP DASHBOARD'!$B$4="Area",IF(42&lt;=$S$3,IF(AND(OR('CHOP DASHBOARD'!$C$4="",ISNUMBER(SEARCH('CHOP DASHBOARD'!$C$4,INDEX(MASTER_AREAS!$B:$B,43))))),42,""),""),IF('CHOP DASHBOARD'!$B$4="Zone",IF(42&lt;=$S$4,IF(OR('CHOP DASHBOARD'!$C$4="",ISNUMBER(SEARCH('CHOP DASHBOARD'!$C$4,INDEX(MASTER_ZONES!$B:$B,43)))),42,""),""),""))</f>
        <v/>
      </c>
      <c r="Q43">
        <f>IFERROR(SMALL($P$2:$P$1487,42),"")</f>
        <v/>
      </c>
      <c r="R43">
        <f>IF(Q43="","",IF('CHOP DASHBOARD'!$B$4="Area",INDEX(MASTER_AREAS!$B:$B,Q43+1),INDEX(MASTER_ZONES!$B:$B,Q43+1)))</f>
        <v/>
      </c>
      <c r="U43">
        <f>IF('COMMUNITY CHURCH DASHBOARD'!$B$4="Area",IF(42&lt;=$X$3,IF(AND(OR('COMMUNITY CHURCH DASHBOARD'!$C$4="",ISNUMBER(SEARCH('COMMUNITY CHURCH DASHBOARD'!$C$4,INDEX(MASTER_AREAS!$B:$B,43))))),42,""),""),IF('COMMUNITY CHURCH DASHBOARD'!$B$4="Zone",IF(42&lt;=$X$4,IF(OR('COMMUNITY CHURCH DASHBOARD'!$C$4="",ISNUMBER(SEARCH('COMMUNITY CHURCH DASHBOARD'!$C$4,INDEX(MASTER_ZONES!$B:$B,43)))),42,""),""),""))</f>
        <v/>
      </c>
      <c r="V43">
        <f>IFERROR(SMALL($U$2:$U$1487,42),"")</f>
        <v/>
      </c>
      <c r="W43">
        <f>IF(V43="","",IF('COMMUNITY CHURCH DASHBOARD'!$B$4="Area",INDEX(MASTER_AREAS!$B:$B,V43+1),INDEX(MASTER_ZONES!$B:$B,V43+1)))</f>
        <v/>
      </c>
    </row>
    <row r="44">
      <c r="A44">
        <f>IF('WSF DASHBOARD'!$B$4="Area",IF(43&lt;=$D$3,IF(AND(OR('WSF DASHBOARD'!$C$4="",ISNUMBER(SEARCH('WSF DASHBOARD'!$C$4,INDEX(MASTER_AREAS!$B:$B,44))))),43,""),""),IF('WSF DASHBOARD'!$B$4="Zone",IF(43&lt;=$D$4,IF(OR('WSF DASHBOARD'!$C$4="",ISNUMBER(SEARCH('WSF DASHBOARD'!$C$4,INDEX(MASTER_ZONES!$B:$B,44)))),43,""),""),""))</f>
        <v/>
      </c>
      <c r="B44">
        <f>IFERROR(SMALL($A$2:$A$1487,43),"")</f>
        <v/>
      </c>
      <c r="C44">
        <f>IF(B44="","",IF('WSF DASHBOARD'!$B$4="Area",INDEX(MASTER_AREAS!$B:$B,B44+1),INDEX(MASTER_ZONES!$B:$B,B44+1)))</f>
        <v/>
      </c>
      <c r="F44">
        <f>IF('TRANSPORT DASHBOARD'!$B$4="Area",IF(43&lt;=$I$3,IF(AND(INDEX(MASTER_AREAS!$F:$F,44)&lt;&gt;"N",OR('TRANSPORT DASHBOARD'!$C$4="",ISNUMBER(SEARCH('TRANSPORT DASHBOARD'!$C$4,INDEX(MASTER_AREAS!$B:$B,44))))),43,""),""),IF('TRANSPORT DASHBOARD'!$B$4="Zone",IF(43&lt;=$I$4,IF(OR('TRANSPORT DASHBOARD'!$C$4="",ISNUMBER(SEARCH('TRANSPORT DASHBOARD'!$C$4,INDEX(MASTER_ZONES!$B:$B,44)))),43,""),""),""))</f>
        <v/>
      </c>
      <c r="G44">
        <f>IFERROR(SMALL($F$2:$F$1487,43),"")</f>
        <v/>
      </c>
      <c r="H44">
        <f>IF(G44="","",IF('TRANSPORT DASHBOARD'!$B$4="Area",INDEX(MASTER_AREAS!$B:$B,G44+1),INDEX(MASTER_ZONES!$B:$B,G44+1)))</f>
        <v/>
      </c>
      <c r="K44">
        <f>IF('MIDWEEK DASHBOARD'!$B$4="Area",IF(43&lt;=$N$3,IF(AND(OR('MIDWEEK DASHBOARD'!$C$4="",ISNUMBER(SEARCH('MIDWEEK DASHBOARD'!$C$4,INDEX(MASTER_AREAS!$B:$B,44))))),43,""),""),IF('MIDWEEK DASHBOARD'!$B$4="Zone",IF(43&lt;=$N$4,IF(OR('MIDWEEK DASHBOARD'!$C$4="",ISNUMBER(SEARCH('MIDWEEK DASHBOARD'!$C$4,INDEX(MASTER_ZONES!$B:$B,44)))),43,""),""),""))</f>
        <v/>
      </c>
      <c r="L44">
        <f>IFERROR(SMALL($K$2:$K$1487,43),"")</f>
        <v/>
      </c>
      <c r="M44">
        <f>IF(L44="","",IF('MIDWEEK DASHBOARD'!$B$4="Area",INDEX(MASTER_AREAS!$B:$B,L44+1),INDEX(MASTER_ZONES!$B:$B,L44+1)))</f>
        <v/>
      </c>
      <c r="P44">
        <f>IF('CHOP DASHBOARD'!$B$4="Area",IF(43&lt;=$S$3,IF(AND(OR('CHOP DASHBOARD'!$C$4="",ISNUMBER(SEARCH('CHOP DASHBOARD'!$C$4,INDEX(MASTER_AREAS!$B:$B,44))))),43,""),""),IF('CHOP DASHBOARD'!$B$4="Zone",IF(43&lt;=$S$4,IF(OR('CHOP DASHBOARD'!$C$4="",ISNUMBER(SEARCH('CHOP DASHBOARD'!$C$4,INDEX(MASTER_ZONES!$B:$B,44)))),43,""),""),""))</f>
        <v/>
      </c>
      <c r="Q44">
        <f>IFERROR(SMALL($P$2:$P$1487,43),"")</f>
        <v/>
      </c>
      <c r="R44">
        <f>IF(Q44="","",IF('CHOP DASHBOARD'!$B$4="Area",INDEX(MASTER_AREAS!$B:$B,Q44+1),INDEX(MASTER_ZONES!$B:$B,Q44+1)))</f>
        <v/>
      </c>
      <c r="U44">
        <f>IF('COMMUNITY CHURCH DASHBOARD'!$B$4="Area",IF(43&lt;=$X$3,IF(AND(OR('COMMUNITY CHURCH DASHBOARD'!$C$4="",ISNUMBER(SEARCH('COMMUNITY CHURCH DASHBOARD'!$C$4,INDEX(MASTER_AREAS!$B:$B,44))))),43,""),""),IF('COMMUNITY CHURCH DASHBOARD'!$B$4="Zone",IF(43&lt;=$X$4,IF(OR('COMMUNITY CHURCH DASHBOARD'!$C$4="",ISNUMBER(SEARCH('COMMUNITY CHURCH DASHBOARD'!$C$4,INDEX(MASTER_ZONES!$B:$B,44)))),43,""),""),""))</f>
        <v/>
      </c>
      <c r="V44">
        <f>IFERROR(SMALL($U$2:$U$1487,43),"")</f>
        <v/>
      </c>
      <c r="W44">
        <f>IF(V44="","",IF('COMMUNITY CHURCH DASHBOARD'!$B$4="Area",INDEX(MASTER_AREAS!$B:$B,V44+1),INDEX(MASTER_ZONES!$B:$B,V44+1)))</f>
        <v/>
      </c>
    </row>
    <row r="45">
      <c r="A45">
        <f>IF('WSF DASHBOARD'!$B$4="Area",IF(44&lt;=$D$3,IF(AND(OR('WSF DASHBOARD'!$C$4="",ISNUMBER(SEARCH('WSF DASHBOARD'!$C$4,INDEX(MASTER_AREAS!$B:$B,45))))),44,""),""),IF('WSF DASHBOARD'!$B$4="Zone",IF(44&lt;=$D$4,IF(OR('WSF DASHBOARD'!$C$4="",ISNUMBER(SEARCH('WSF DASHBOARD'!$C$4,INDEX(MASTER_ZONES!$B:$B,45)))),44,""),""),""))</f>
        <v/>
      </c>
      <c r="B45">
        <f>IFERROR(SMALL($A$2:$A$1487,44),"")</f>
        <v/>
      </c>
      <c r="C45">
        <f>IF(B45="","",IF('WSF DASHBOARD'!$B$4="Area",INDEX(MASTER_AREAS!$B:$B,B45+1),INDEX(MASTER_ZONES!$B:$B,B45+1)))</f>
        <v/>
      </c>
      <c r="F45">
        <f>IF('TRANSPORT DASHBOARD'!$B$4="Area",IF(44&lt;=$I$3,IF(AND(INDEX(MASTER_AREAS!$F:$F,45)&lt;&gt;"N",OR('TRANSPORT DASHBOARD'!$C$4="",ISNUMBER(SEARCH('TRANSPORT DASHBOARD'!$C$4,INDEX(MASTER_AREAS!$B:$B,45))))),44,""),""),IF('TRANSPORT DASHBOARD'!$B$4="Zone",IF(44&lt;=$I$4,IF(OR('TRANSPORT DASHBOARD'!$C$4="",ISNUMBER(SEARCH('TRANSPORT DASHBOARD'!$C$4,INDEX(MASTER_ZONES!$B:$B,45)))),44,""),""),""))</f>
        <v/>
      </c>
      <c r="G45">
        <f>IFERROR(SMALL($F$2:$F$1487,44),"")</f>
        <v/>
      </c>
      <c r="H45">
        <f>IF(G45="","",IF('TRANSPORT DASHBOARD'!$B$4="Area",INDEX(MASTER_AREAS!$B:$B,G45+1),INDEX(MASTER_ZONES!$B:$B,G45+1)))</f>
        <v/>
      </c>
      <c r="K45">
        <f>IF('MIDWEEK DASHBOARD'!$B$4="Area",IF(44&lt;=$N$3,IF(AND(OR('MIDWEEK DASHBOARD'!$C$4="",ISNUMBER(SEARCH('MIDWEEK DASHBOARD'!$C$4,INDEX(MASTER_AREAS!$B:$B,45))))),44,""),""),IF('MIDWEEK DASHBOARD'!$B$4="Zone",IF(44&lt;=$N$4,IF(OR('MIDWEEK DASHBOARD'!$C$4="",ISNUMBER(SEARCH('MIDWEEK DASHBOARD'!$C$4,INDEX(MASTER_ZONES!$B:$B,45)))),44,""),""),""))</f>
        <v/>
      </c>
      <c r="L45">
        <f>IFERROR(SMALL($K$2:$K$1487,44),"")</f>
        <v/>
      </c>
      <c r="M45">
        <f>IF(L45="","",IF('MIDWEEK DASHBOARD'!$B$4="Area",INDEX(MASTER_AREAS!$B:$B,L45+1),INDEX(MASTER_ZONES!$B:$B,L45+1)))</f>
        <v/>
      </c>
      <c r="P45">
        <f>IF('CHOP DASHBOARD'!$B$4="Area",IF(44&lt;=$S$3,IF(AND(OR('CHOP DASHBOARD'!$C$4="",ISNUMBER(SEARCH('CHOP DASHBOARD'!$C$4,INDEX(MASTER_AREAS!$B:$B,45))))),44,""),""),IF('CHOP DASHBOARD'!$B$4="Zone",IF(44&lt;=$S$4,IF(OR('CHOP DASHBOARD'!$C$4="",ISNUMBER(SEARCH('CHOP DASHBOARD'!$C$4,INDEX(MASTER_ZONES!$B:$B,45)))),44,""),""),""))</f>
        <v/>
      </c>
      <c r="Q45">
        <f>IFERROR(SMALL($P$2:$P$1487,44),"")</f>
        <v/>
      </c>
      <c r="R45">
        <f>IF(Q45="","",IF('CHOP DASHBOARD'!$B$4="Area",INDEX(MASTER_AREAS!$B:$B,Q45+1),INDEX(MASTER_ZONES!$B:$B,Q45+1)))</f>
        <v/>
      </c>
      <c r="U45">
        <f>IF('COMMUNITY CHURCH DASHBOARD'!$B$4="Area",IF(44&lt;=$X$3,IF(AND(OR('COMMUNITY CHURCH DASHBOARD'!$C$4="",ISNUMBER(SEARCH('COMMUNITY CHURCH DASHBOARD'!$C$4,INDEX(MASTER_AREAS!$B:$B,45))))),44,""),""),IF('COMMUNITY CHURCH DASHBOARD'!$B$4="Zone",IF(44&lt;=$X$4,IF(OR('COMMUNITY CHURCH DASHBOARD'!$C$4="",ISNUMBER(SEARCH('COMMUNITY CHURCH DASHBOARD'!$C$4,INDEX(MASTER_ZONES!$B:$B,45)))),44,""),""),""))</f>
        <v/>
      </c>
      <c r="V45">
        <f>IFERROR(SMALL($U$2:$U$1487,44),"")</f>
        <v/>
      </c>
      <c r="W45">
        <f>IF(V45="","",IF('COMMUNITY CHURCH DASHBOARD'!$B$4="Area",INDEX(MASTER_AREAS!$B:$B,V45+1),INDEX(MASTER_ZONES!$B:$B,V45+1)))</f>
        <v/>
      </c>
    </row>
    <row r="46">
      <c r="A46">
        <f>IF('WSF DASHBOARD'!$B$4="Area",IF(45&lt;=$D$3,IF(AND(OR('WSF DASHBOARD'!$C$4="",ISNUMBER(SEARCH('WSF DASHBOARD'!$C$4,INDEX(MASTER_AREAS!$B:$B,46))))),45,""),""),IF('WSF DASHBOARD'!$B$4="Zone",IF(45&lt;=$D$4,IF(OR('WSF DASHBOARD'!$C$4="",ISNUMBER(SEARCH('WSF DASHBOARD'!$C$4,INDEX(MASTER_ZONES!$B:$B,46)))),45,""),""),""))</f>
        <v/>
      </c>
      <c r="B46">
        <f>IFERROR(SMALL($A$2:$A$1487,45),"")</f>
        <v/>
      </c>
      <c r="C46">
        <f>IF(B46="","",IF('WSF DASHBOARD'!$B$4="Area",INDEX(MASTER_AREAS!$B:$B,B46+1),INDEX(MASTER_ZONES!$B:$B,B46+1)))</f>
        <v/>
      </c>
      <c r="F46">
        <f>IF('TRANSPORT DASHBOARD'!$B$4="Area",IF(45&lt;=$I$3,IF(AND(INDEX(MASTER_AREAS!$F:$F,46)&lt;&gt;"N",OR('TRANSPORT DASHBOARD'!$C$4="",ISNUMBER(SEARCH('TRANSPORT DASHBOARD'!$C$4,INDEX(MASTER_AREAS!$B:$B,46))))),45,""),""),IF('TRANSPORT DASHBOARD'!$B$4="Zone",IF(45&lt;=$I$4,IF(OR('TRANSPORT DASHBOARD'!$C$4="",ISNUMBER(SEARCH('TRANSPORT DASHBOARD'!$C$4,INDEX(MASTER_ZONES!$B:$B,46)))),45,""),""),""))</f>
        <v/>
      </c>
      <c r="G46">
        <f>IFERROR(SMALL($F$2:$F$1487,45),"")</f>
        <v/>
      </c>
      <c r="H46">
        <f>IF(G46="","",IF('TRANSPORT DASHBOARD'!$B$4="Area",INDEX(MASTER_AREAS!$B:$B,G46+1),INDEX(MASTER_ZONES!$B:$B,G46+1)))</f>
        <v/>
      </c>
      <c r="K46">
        <f>IF('MIDWEEK DASHBOARD'!$B$4="Area",IF(45&lt;=$N$3,IF(AND(OR('MIDWEEK DASHBOARD'!$C$4="",ISNUMBER(SEARCH('MIDWEEK DASHBOARD'!$C$4,INDEX(MASTER_AREAS!$B:$B,46))))),45,""),""),IF('MIDWEEK DASHBOARD'!$B$4="Zone",IF(45&lt;=$N$4,IF(OR('MIDWEEK DASHBOARD'!$C$4="",ISNUMBER(SEARCH('MIDWEEK DASHBOARD'!$C$4,INDEX(MASTER_ZONES!$B:$B,46)))),45,""),""),""))</f>
        <v/>
      </c>
      <c r="L46">
        <f>IFERROR(SMALL($K$2:$K$1487,45),"")</f>
        <v/>
      </c>
      <c r="M46">
        <f>IF(L46="","",IF('MIDWEEK DASHBOARD'!$B$4="Area",INDEX(MASTER_AREAS!$B:$B,L46+1),INDEX(MASTER_ZONES!$B:$B,L46+1)))</f>
        <v/>
      </c>
      <c r="P46">
        <f>IF('CHOP DASHBOARD'!$B$4="Area",IF(45&lt;=$S$3,IF(AND(OR('CHOP DASHBOARD'!$C$4="",ISNUMBER(SEARCH('CHOP DASHBOARD'!$C$4,INDEX(MASTER_AREAS!$B:$B,46))))),45,""),""),IF('CHOP DASHBOARD'!$B$4="Zone",IF(45&lt;=$S$4,IF(OR('CHOP DASHBOARD'!$C$4="",ISNUMBER(SEARCH('CHOP DASHBOARD'!$C$4,INDEX(MASTER_ZONES!$B:$B,46)))),45,""),""),""))</f>
        <v/>
      </c>
      <c r="Q46">
        <f>IFERROR(SMALL($P$2:$P$1487,45),"")</f>
        <v/>
      </c>
      <c r="R46">
        <f>IF(Q46="","",IF('CHOP DASHBOARD'!$B$4="Area",INDEX(MASTER_AREAS!$B:$B,Q46+1),INDEX(MASTER_ZONES!$B:$B,Q46+1)))</f>
        <v/>
      </c>
      <c r="U46">
        <f>IF('COMMUNITY CHURCH DASHBOARD'!$B$4="Area",IF(45&lt;=$X$3,IF(AND(OR('COMMUNITY CHURCH DASHBOARD'!$C$4="",ISNUMBER(SEARCH('COMMUNITY CHURCH DASHBOARD'!$C$4,INDEX(MASTER_AREAS!$B:$B,46))))),45,""),""),IF('COMMUNITY CHURCH DASHBOARD'!$B$4="Zone",IF(45&lt;=$X$4,IF(OR('COMMUNITY CHURCH DASHBOARD'!$C$4="",ISNUMBER(SEARCH('COMMUNITY CHURCH DASHBOARD'!$C$4,INDEX(MASTER_ZONES!$B:$B,46)))),45,""),""),""))</f>
        <v/>
      </c>
      <c r="V46">
        <f>IFERROR(SMALL($U$2:$U$1487,45),"")</f>
        <v/>
      </c>
      <c r="W46">
        <f>IF(V46="","",IF('COMMUNITY CHURCH DASHBOARD'!$B$4="Area",INDEX(MASTER_AREAS!$B:$B,V46+1),INDEX(MASTER_ZONES!$B:$B,V46+1)))</f>
        <v/>
      </c>
    </row>
    <row r="47">
      <c r="A47">
        <f>IF('WSF DASHBOARD'!$B$4="Area",IF(46&lt;=$D$3,IF(AND(OR('WSF DASHBOARD'!$C$4="",ISNUMBER(SEARCH('WSF DASHBOARD'!$C$4,INDEX(MASTER_AREAS!$B:$B,47))))),46,""),""),IF('WSF DASHBOARD'!$B$4="Zone",IF(46&lt;=$D$4,IF(OR('WSF DASHBOARD'!$C$4="",ISNUMBER(SEARCH('WSF DASHBOARD'!$C$4,INDEX(MASTER_ZONES!$B:$B,47)))),46,""),""),""))</f>
        <v/>
      </c>
      <c r="B47">
        <f>IFERROR(SMALL($A$2:$A$1487,46),"")</f>
        <v/>
      </c>
      <c r="C47">
        <f>IF(B47="","",IF('WSF DASHBOARD'!$B$4="Area",INDEX(MASTER_AREAS!$B:$B,B47+1),INDEX(MASTER_ZONES!$B:$B,B47+1)))</f>
        <v/>
      </c>
      <c r="F47">
        <f>IF('TRANSPORT DASHBOARD'!$B$4="Area",IF(46&lt;=$I$3,IF(AND(INDEX(MASTER_AREAS!$F:$F,47)&lt;&gt;"N",OR('TRANSPORT DASHBOARD'!$C$4="",ISNUMBER(SEARCH('TRANSPORT DASHBOARD'!$C$4,INDEX(MASTER_AREAS!$B:$B,47))))),46,""),""),IF('TRANSPORT DASHBOARD'!$B$4="Zone",IF(46&lt;=$I$4,IF(OR('TRANSPORT DASHBOARD'!$C$4="",ISNUMBER(SEARCH('TRANSPORT DASHBOARD'!$C$4,INDEX(MASTER_ZONES!$B:$B,47)))),46,""),""),""))</f>
        <v/>
      </c>
      <c r="G47">
        <f>IFERROR(SMALL($F$2:$F$1487,46),"")</f>
        <v/>
      </c>
      <c r="H47">
        <f>IF(G47="","",IF('TRANSPORT DASHBOARD'!$B$4="Area",INDEX(MASTER_AREAS!$B:$B,G47+1),INDEX(MASTER_ZONES!$B:$B,G47+1)))</f>
        <v/>
      </c>
      <c r="K47">
        <f>IF('MIDWEEK DASHBOARD'!$B$4="Area",IF(46&lt;=$N$3,IF(AND(OR('MIDWEEK DASHBOARD'!$C$4="",ISNUMBER(SEARCH('MIDWEEK DASHBOARD'!$C$4,INDEX(MASTER_AREAS!$B:$B,47))))),46,""),""),IF('MIDWEEK DASHBOARD'!$B$4="Zone",IF(46&lt;=$N$4,IF(OR('MIDWEEK DASHBOARD'!$C$4="",ISNUMBER(SEARCH('MIDWEEK DASHBOARD'!$C$4,INDEX(MASTER_ZONES!$B:$B,47)))),46,""),""),""))</f>
        <v/>
      </c>
      <c r="L47">
        <f>IFERROR(SMALL($K$2:$K$1487,46),"")</f>
        <v/>
      </c>
      <c r="M47">
        <f>IF(L47="","",IF('MIDWEEK DASHBOARD'!$B$4="Area",INDEX(MASTER_AREAS!$B:$B,L47+1),INDEX(MASTER_ZONES!$B:$B,L47+1)))</f>
        <v/>
      </c>
      <c r="P47">
        <f>IF('CHOP DASHBOARD'!$B$4="Area",IF(46&lt;=$S$3,IF(AND(OR('CHOP DASHBOARD'!$C$4="",ISNUMBER(SEARCH('CHOP DASHBOARD'!$C$4,INDEX(MASTER_AREAS!$B:$B,47))))),46,""),""),IF('CHOP DASHBOARD'!$B$4="Zone",IF(46&lt;=$S$4,IF(OR('CHOP DASHBOARD'!$C$4="",ISNUMBER(SEARCH('CHOP DASHBOARD'!$C$4,INDEX(MASTER_ZONES!$B:$B,47)))),46,""),""),""))</f>
        <v/>
      </c>
      <c r="Q47">
        <f>IFERROR(SMALL($P$2:$P$1487,46),"")</f>
        <v/>
      </c>
      <c r="R47">
        <f>IF(Q47="","",IF('CHOP DASHBOARD'!$B$4="Area",INDEX(MASTER_AREAS!$B:$B,Q47+1),INDEX(MASTER_ZONES!$B:$B,Q47+1)))</f>
        <v/>
      </c>
      <c r="U47">
        <f>IF('COMMUNITY CHURCH DASHBOARD'!$B$4="Area",IF(46&lt;=$X$3,IF(AND(OR('COMMUNITY CHURCH DASHBOARD'!$C$4="",ISNUMBER(SEARCH('COMMUNITY CHURCH DASHBOARD'!$C$4,INDEX(MASTER_AREAS!$B:$B,47))))),46,""),""),IF('COMMUNITY CHURCH DASHBOARD'!$B$4="Zone",IF(46&lt;=$X$4,IF(OR('COMMUNITY CHURCH DASHBOARD'!$C$4="",ISNUMBER(SEARCH('COMMUNITY CHURCH DASHBOARD'!$C$4,INDEX(MASTER_ZONES!$B:$B,47)))),46,""),""),""))</f>
        <v/>
      </c>
      <c r="V47">
        <f>IFERROR(SMALL($U$2:$U$1487,46),"")</f>
        <v/>
      </c>
      <c r="W47">
        <f>IF(V47="","",IF('COMMUNITY CHURCH DASHBOARD'!$B$4="Area",INDEX(MASTER_AREAS!$B:$B,V47+1),INDEX(MASTER_ZONES!$B:$B,V47+1)))</f>
        <v/>
      </c>
    </row>
    <row r="48">
      <c r="A48">
        <f>IF('WSF DASHBOARD'!$B$4="Area",IF(47&lt;=$D$3,IF(AND(OR('WSF DASHBOARD'!$C$4="",ISNUMBER(SEARCH('WSF DASHBOARD'!$C$4,INDEX(MASTER_AREAS!$B:$B,48))))),47,""),""),IF('WSF DASHBOARD'!$B$4="Zone",IF(47&lt;=$D$4,IF(OR('WSF DASHBOARD'!$C$4="",ISNUMBER(SEARCH('WSF DASHBOARD'!$C$4,INDEX(MASTER_ZONES!$B:$B,48)))),47,""),""),""))</f>
        <v/>
      </c>
      <c r="B48">
        <f>IFERROR(SMALL($A$2:$A$1487,47),"")</f>
        <v/>
      </c>
      <c r="C48">
        <f>IF(B48="","",IF('WSF DASHBOARD'!$B$4="Area",INDEX(MASTER_AREAS!$B:$B,B48+1),INDEX(MASTER_ZONES!$B:$B,B48+1)))</f>
        <v/>
      </c>
      <c r="F48">
        <f>IF('TRANSPORT DASHBOARD'!$B$4="Area",IF(47&lt;=$I$3,IF(AND(INDEX(MASTER_AREAS!$F:$F,48)&lt;&gt;"N",OR('TRANSPORT DASHBOARD'!$C$4="",ISNUMBER(SEARCH('TRANSPORT DASHBOARD'!$C$4,INDEX(MASTER_AREAS!$B:$B,48))))),47,""),""),IF('TRANSPORT DASHBOARD'!$B$4="Zone",IF(47&lt;=$I$4,IF(OR('TRANSPORT DASHBOARD'!$C$4="",ISNUMBER(SEARCH('TRANSPORT DASHBOARD'!$C$4,INDEX(MASTER_ZONES!$B:$B,48)))),47,""),""),""))</f>
        <v/>
      </c>
      <c r="G48">
        <f>IFERROR(SMALL($F$2:$F$1487,47),"")</f>
        <v/>
      </c>
      <c r="H48">
        <f>IF(G48="","",IF('TRANSPORT DASHBOARD'!$B$4="Area",INDEX(MASTER_AREAS!$B:$B,G48+1),INDEX(MASTER_ZONES!$B:$B,G48+1)))</f>
        <v/>
      </c>
      <c r="K48">
        <f>IF('MIDWEEK DASHBOARD'!$B$4="Area",IF(47&lt;=$N$3,IF(AND(OR('MIDWEEK DASHBOARD'!$C$4="",ISNUMBER(SEARCH('MIDWEEK DASHBOARD'!$C$4,INDEX(MASTER_AREAS!$B:$B,48))))),47,""),""),IF('MIDWEEK DASHBOARD'!$B$4="Zone",IF(47&lt;=$N$4,IF(OR('MIDWEEK DASHBOARD'!$C$4="",ISNUMBER(SEARCH('MIDWEEK DASHBOARD'!$C$4,INDEX(MASTER_ZONES!$B:$B,48)))),47,""),""),""))</f>
        <v/>
      </c>
      <c r="L48">
        <f>IFERROR(SMALL($K$2:$K$1487,47),"")</f>
        <v/>
      </c>
      <c r="M48">
        <f>IF(L48="","",IF('MIDWEEK DASHBOARD'!$B$4="Area",INDEX(MASTER_AREAS!$B:$B,L48+1),INDEX(MASTER_ZONES!$B:$B,L48+1)))</f>
        <v/>
      </c>
      <c r="P48">
        <f>IF('CHOP DASHBOARD'!$B$4="Area",IF(47&lt;=$S$3,IF(AND(OR('CHOP DASHBOARD'!$C$4="",ISNUMBER(SEARCH('CHOP DASHBOARD'!$C$4,INDEX(MASTER_AREAS!$B:$B,48))))),47,""),""),IF('CHOP DASHBOARD'!$B$4="Zone",IF(47&lt;=$S$4,IF(OR('CHOP DASHBOARD'!$C$4="",ISNUMBER(SEARCH('CHOP DASHBOARD'!$C$4,INDEX(MASTER_ZONES!$B:$B,48)))),47,""),""),""))</f>
        <v/>
      </c>
      <c r="Q48">
        <f>IFERROR(SMALL($P$2:$P$1487,47),"")</f>
        <v/>
      </c>
      <c r="R48">
        <f>IF(Q48="","",IF('CHOP DASHBOARD'!$B$4="Area",INDEX(MASTER_AREAS!$B:$B,Q48+1),INDEX(MASTER_ZONES!$B:$B,Q48+1)))</f>
        <v/>
      </c>
      <c r="U48">
        <f>IF('COMMUNITY CHURCH DASHBOARD'!$B$4="Area",IF(47&lt;=$X$3,IF(AND(OR('COMMUNITY CHURCH DASHBOARD'!$C$4="",ISNUMBER(SEARCH('COMMUNITY CHURCH DASHBOARD'!$C$4,INDEX(MASTER_AREAS!$B:$B,48))))),47,""),""),IF('COMMUNITY CHURCH DASHBOARD'!$B$4="Zone",IF(47&lt;=$X$4,IF(OR('COMMUNITY CHURCH DASHBOARD'!$C$4="",ISNUMBER(SEARCH('COMMUNITY CHURCH DASHBOARD'!$C$4,INDEX(MASTER_ZONES!$B:$B,48)))),47,""),""),""))</f>
        <v/>
      </c>
      <c r="V48">
        <f>IFERROR(SMALL($U$2:$U$1487,47),"")</f>
        <v/>
      </c>
      <c r="W48">
        <f>IF(V48="","",IF('COMMUNITY CHURCH DASHBOARD'!$B$4="Area",INDEX(MASTER_AREAS!$B:$B,V48+1),INDEX(MASTER_ZONES!$B:$B,V48+1)))</f>
        <v/>
      </c>
    </row>
    <row r="49">
      <c r="A49">
        <f>IF('WSF DASHBOARD'!$B$4="Area",IF(48&lt;=$D$3,IF(AND(OR('WSF DASHBOARD'!$C$4="",ISNUMBER(SEARCH('WSF DASHBOARD'!$C$4,INDEX(MASTER_AREAS!$B:$B,49))))),48,""),""),IF('WSF DASHBOARD'!$B$4="Zone",IF(48&lt;=$D$4,IF(OR('WSF DASHBOARD'!$C$4="",ISNUMBER(SEARCH('WSF DASHBOARD'!$C$4,INDEX(MASTER_ZONES!$B:$B,49)))),48,""),""),""))</f>
        <v/>
      </c>
      <c r="B49">
        <f>IFERROR(SMALL($A$2:$A$1487,48),"")</f>
        <v/>
      </c>
      <c r="C49">
        <f>IF(B49="","",IF('WSF DASHBOARD'!$B$4="Area",INDEX(MASTER_AREAS!$B:$B,B49+1),INDEX(MASTER_ZONES!$B:$B,B49+1)))</f>
        <v/>
      </c>
      <c r="F49">
        <f>IF('TRANSPORT DASHBOARD'!$B$4="Area",IF(48&lt;=$I$3,IF(AND(INDEX(MASTER_AREAS!$F:$F,49)&lt;&gt;"N",OR('TRANSPORT DASHBOARD'!$C$4="",ISNUMBER(SEARCH('TRANSPORT DASHBOARD'!$C$4,INDEX(MASTER_AREAS!$B:$B,49))))),48,""),""),IF('TRANSPORT DASHBOARD'!$B$4="Zone",IF(48&lt;=$I$4,IF(OR('TRANSPORT DASHBOARD'!$C$4="",ISNUMBER(SEARCH('TRANSPORT DASHBOARD'!$C$4,INDEX(MASTER_ZONES!$B:$B,49)))),48,""),""),""))</f>
        <v/>
      </c>
      <c r="G49">
        <f>IFERROR(SMALL($F$2:$F$1487,48),"")</f>
        <v/>
      </c>
      <c r="H49">
        <f>IF(G49="","",IF('TRANSPORT DASHBOARD'!$B$4="Area",INDEX(MASTER_AREAS!$B:$B,G49+1),INDEX(MASTER_ZONES!$B:$B,G49+1)))</f>
        <v/>
      </c>
      <c r="K49">
        <f>IF('MIDWEEK DASHBOARD'!$B$4="Area",IF(48&lt;=$N$3,IF(AND(OR('MIDWEEK DASHBOARD'!$C$4="",ISNUMBER(SEARCH('MIDWEEK DASHBOARD'!$C$4,INDEX(MASTER_AREAS!$B:$B,49))))),48,""),""),IF('MIDWEEK DASHBOARD'!$B$4="Zone",IF(48&lt;=$N$4,IF(OR('MIDWEEK DASHBOARD'!$C$4="",ISNUMBER(SEARCH('MIDWEEK DASHBOARD'!$C$4,INDEX(MASTER_ZONES!$B:$B,49)))),48,""),""),""))</f>
        <v/>
      </c>
      <c r="L49">
        <f>IFERROR(SMALL($K$2:$K$1487,48),"")</f>
        <v/>
      </c>
      <c r="M49">
        <f>IF(L49="","",IF('MIDWEEK DASHBOARD'!$B$4="Area",INDEX(MASTER_AREAS!$B:$B,L49+1),INDEX(MASTER_ZONES!$B:$B,L49+1)))</f>
        <v/>
      </c>
      <c r="P49">
        <f>IF('CHOP DASHBOARD'!$B$4="Area",IF(48&lt;=$S$3,IF(AND(OR('CHOP DASHBOARD'!$C$4="",ISNUMBER(SEARCH('CHOP DASHBOARD'!$C$4,INDEX(MASTER_AREAS!$B:$B,49))))),48,""),""),IF('CHOP DASHBOARD'!$B$4="Zone",IF(48&lt;=$S$4,IF(OR('CHOP DASHBOARD'!$C$4="",ISNUMBER(SEARCH('CHOP DASHBOARD'!$C$4,INDEX(MASTER_ZONES!$B:$B,49)))),48,""),""),""))</f>
        <v/>
      </c>
      <c r="Q49">
        <f>IFERROR(SMALL($P$2:$P$1487,48),"")</f>
        <v/>
      </c>
      <c r="R49">
        <f>IF(Q49="","",IF('CHOP DASHBOARD'!$B$4="Area",INDEX(MASTER_AREAS!$B:$B,Q49+1),INDEX(MASTER_ZONES!$B:$B,Q49+1)))</f>
        <v/>
      </c>
      <c r="U49">
        <f>IF('COMMUNITY CHURCH DASHBOARD'!$B$4="Area",IF(48&lt;=$X$3,IF(AND(OR('COMMUNITY CHURCH DASHBOARD'!$C$4="",ISNUMBER(SEARCH('COMMUNITY CHURCH DASHBOARD'!$C$4,INDEX(MASTER_AREAS!$B:$B,49))))),48,""),""),IF('COMMUNITY CHURCH DASHBOARD'!$B$4="Zone",IF(48&lt;=$X$4,IF(OR('COMMUNITY CHURCH DASHBOARD'!$C$4="",ISNUMBER(SEARCH('COMMUNITY CHURCH DASHBOARD'!$C$4,INDEX(MASTER_ZONES!$B:$B,49)))),48,""),""),""))</f>
        <v/>
      </c>
      <c r="V49">
        <f>IFERROR(SMALL($U$2:$U$1487,48),"")</f>
        <v/>
      </c>
      <c r="W49">
        <f>IF(V49="","",IF('COMMUNITY CHURCH DASHBOARD'!$B$4="Area",INDEX(MASTER_AREAS!$B:$B,V49+1),INDEX(MASTER_ZONES!$B:$B,V49+1)))</f>
        <v/>
      </c>
    </row>
    <row r="50">
      <c r="A50">
        <f>IF('WSF DASHBOARD'!$B$4="Area",IF(49&lt;=$D$3,IF(AND(OR('WSF DASHBOARD'!$C$4="",ISNUMBER(SEARCH('WSF DASHBOARD'!$C$4,INDEX(MASTER_AREAS!$B:$B,50))))),49,""),""),IF('WSF DASHBOARD'!$B$4="Zone",IF(49&lt;=$D$4,IF(OR('WSF DASHBOARD'!$C$4="",ISNUMBER(SEARCH('WSF DASHBOARD'!$C$4,INDEX(MASTER_ZONES!$B:$B,50)))),49,""),""),""))</f>
        <v/>
      </c>
      <c r="B50">
        <f>IFERROR(SMALL($A$2:$A$1487,49),"")</f>
        <v/>
      </c>
      <c r="C50">
        <f>IF(B50="","",IF('WSF DASHBOARD'!$B$4="Area",INDEX(MASTER_AREAS!$B:$B,B50+1),INDEX(MASTER_ZONES!$B:$B,B50+1)))</f>
        <v/>
      </c>
      <c r="F50">
        <f>IF('TRANSPORT DASHBOARD'!$B$4="Area",IF(49&lt;=$I$3,IF(AND(INDEX(MASTER_AREAS!$F:$F,50)&lt;&gt;"N",OR('TRANSPORT DASHBOARD'!$C$4="",ISNUMBER(SEARCH('TRANSPORT DASHBOARD'!$C$4,INDEX(MASTER_AREAS!$B:$B,50))))),49,""),""),IF('TRANSPORT DASHBOARD'!$B$4="Zone",IF(49&lt;=$I$4,IF(OR('TRANSPORT DASHBOARD'!$C$4="",ISNUMBER(SEARCH('TRANSPORT DASHBOARD'!$C$4,INDEX(MASTER_ZONES!$B:$B,50)))),49,""),""),""))</f>
        <v/>
      </c>
      <c r="G50">
        <f>IFERROR(SMALL($F$2:$F$1487,49),"")</f>
        <v/>
      </c>
      <c r="H50">
        <f>IF(G50="","",IF('TRANSPORT DASHBOARD'!$B$4="Area",INDEX(MASTER_AREAS!$B:$B,G50+1),INDEX(MASTER_ZONES!$B:$B,G50+1)))</f>
        <v/>
      </c>
      <c r="K50">
        <f>IF('MIDWEEK DASHBOARD'!$B$4="Area",IF(49&lt;=$N$3,IF(AND(OR('MIDWEEK DASHBOARD'!$C$4="",ISNUMBER(SEARCH('MIDWEEK DASHBOARD'!$C$4,INDEX(MASTER_AREAS!$B:$B,50))))),49,""),""),IF('MIDWEEK DASHBOARD'!$B$4="Zone",IF(49&lt;=$N$4,IF(OR('MIDWEEK DASHBOARD'!$C$4="",ISNUMBER(SEARCH('MIDWEEK DASHBOARD'!$C$4,INDEX(MASTER_ZONES!$B:$B,50)))),49,""),""),""))</f>
        <v/>
      </c>
      <c r="L50">
        <f>IFERROR(SMALL($K$2:$K$1487,49),"")</f>
        <v/>
      </c>
      <c r="M50">
        <f>IF(L50="","",IF('MIDWEEK DASHBOARD'!$B$4="Area",INDEX(MASTER_AREAS!$B:$B,L50+1),INDEX(MASTER_ZONES!$B:$B,L50+1)))</f>
        <v/>
      </c>
      <c r="P50">
        <f>IF('CHOP DASHBOARD'!$B$4="Area",IF(49&lt;=$S$3,IF(AND(OR('CHOP DASHBOARD'!$C$4="",ISNUMBER(SEARCH('CHOP DASHBOARD'!$C$4,INDEX(MASTER_AREAS!$B:$B,50))))),49,""),""),IF('CHOP DASHBOARD'!$B$4="Zone",IF(49&lt;=$S$4,IF(OR('CHOP DASHBOARD'!$C$4="",ISNUMBER(SEARCH('CHOP DASHBOARD'!$C$4,INDEX(MASTER_ZONES!$B:$B,50)))),49,""),""),""))</f>
        <v/>
      </c>
      <c r="Q50">
        <f>IFERROR(SMALL($P$2:$P$1487,49),"")</f>
        <v/>
      </c>
      <c r="R50">
        <f>IF(Q50="","",IF('CHOP DASHBOARD'!$B$4="Area",INDEX(MASTER_AREAS!$B:$B,Q50+1),INDEX(MASTER_ZONES!$B:$B,Q50+1)))</f>
        <v/>
      </c>
      <c r="U50">
        <f>IF('COMMUNITY CHURCH DASHBOARD'!$B$4="Area",IF(49&lt;=$X$3,IF(AND(OR('COMMUNITY CHURCH DASHBOARD'!$C$4="",ISNUMBER(SEARCH('COMMUNITY CHURCH DASHBOARD'!$C$4,INDEX(MASTER_AREAS!$B:$B,50))))),49,""),""),IF('COMMUNITY CHURCH DASHBOARD'!$B$4="Zone",IF(49&lt;=$X$4,IF(OR('COMMUNITY CHURCH DASHBOARD'!$C$4="",ISNUMBER(SEARCH('COMMUNITY CHURCH DASHBOARD'!$C$4,INDEX(MASTER_ZONES!$B:$B,50)))),49,""),""),""))</f>
        <v/>
      </c>
      <c r="V50">
        <f>IFERROR(SMALL($U$2:$U$1487,49),"")</f>
        <v/>
      </c>
      <c r="W50">
        <f>IF(V50="","",IF('COMMUNITY CHURCH DASHBOARD'!$B$4="Area",INDEX(MASTER_AREAS!$B:$B,V50+1),INDEX(MASTER_ZONES!$B:$B,V50+1)))</f>
        <v/>
      </c>
    </row>
    <row r="51">
      <c r="A51">
        <f>IF('WSF DASHBOARD'!$B$4="Area",IF(50&lt;=$D$3,IF(AND(OR('WSF DASHBOARD'!$C$4="",ISNUMBER(SEARCH('WSF DASHBOARD'!$C$4,INDEX(MASTER_AREAS!$B:$B,51))))),50,""),""),IF('WSF DASHBOARD'!$B$4="Zone",IF(50&lt;=$D$4,IF(OR('WSF DASHBOARD'!$C$4="",ISNUMBER(SEARCH('WSF DASHBOARD'!$C$4,INDEX(MASTER_ZONES!$B:$B,51)))),50,""),""),""))</f>
        <v/>
      </c>
      <c r="B51">
        <f>IFERROR(SMALL($A$2:$A$1487,50),"")</f>
        <v/>
      </c>
      <c r="C51">
        <f>IF(B51="","",IF('WSF DASHBOARD'!$B$4="Area",INDEX(MASTER_AREAS!$B:$B,B51+1),INDEX(MASTER_ZONES!$B:$B,B51+1)))</f>
        <v/>
      </c>
      <c r="F51">
        <f>IF('TRANSPORT DASHBOARD'!$B$4="Area",IF(50&lt;=$I$3,IF(AND(INDEX(MASTER_AREAS!$F:$F,51)&lt;&gt;"N",OR('TRANSPORT DASHBOARD'!$C$4="",ISNUMBER(SEARCH('TRANSPORT DASHBOARD'!$C$4,INDEX(MASTER_AREAS!$B:$B,51))))),50,""),""),IF('TRANSPORT DASHBOARD'!$B$4="Zone",IF(50&lt;=$I$4,IF(OR('TRANSPORT DASHBOARD'!$C$4="",ISNUMBER(SEARCH('TRANSPORT DASHBOARD'!$C$4,INDEX(MASTER_ZONES!$B:$B,51)))),50,""),""),""))</f>
        <v/>
      </c>
      <c r="G51">
        <f>IFERROR(SMALL($F$2:$F$1487,50),"")</f>
        <v/>
      </c>
      <c r="H51">
        <f>IF(G51="","",IF('TRANSPORT DASHBOARD'!$B$4="Area",INDEX(MASTER_AREAS!$B:$B,G51+1),INDEX(MASTER_ZONES!$B:$B,G51+1)))</f>
        <v/>
      </c>
      <c r="K51">
        <f>IF('MIDWEEK DASHBOARD'!$B$4="Area",IF(50&lt;=$N$3,IF(AND(OR('MIDWEEK DASHBOARD'!$C$4="",ISNUMBER(SEARCH('MIDWEEK DASHBOARD'!$C$4,INDEX(MASTER_AREAS!$B:$B,51))))),50,""),""),IF('MIDWEEK DASHBOARD'!$B$4="Zone",IF(50&lt;=$N$4,IF(OR('MIDWEEK DASHBOARD'!$C$4="",ISNUMBER(SEARCH('MIDWEEK DASHBOARD'!$C$4,INDEX(MASTER_ZONES!$B:$B,51)))),50,""),""),""))</f>
        <v/>
      </c>
      <c r="L51">
        <f>IFERROR(SMALL($K$2:$K$1487,50),"")</f>
        <v/>
      </c>
      <c r="M51">
        <f>IF(L51="","",IF('MIDWEEK DASHBOARD'!$B$4="Area",INDEX(MASTER_AREAS!$B:$B,L51+1),INDEX(MASTER_ZONES!$B:$B,L51+1)))</f>
        <v/>
      </c>
      <c r="P51">
        <f>IF('CHOP DASHBOARD'!$B$4="Area",IF(50&lt;=$S$3,IF(AND(OR('CHOP DASHBOARD'!$C$4="",ISNUMBER(SEARCH('CHOP DASHBOARD'!$C$4,INDEX(MASTER_AREAS!$B:$B,51))))),50,""),""),IF('CHOP DASHBOARD'!$B$4="Zone",IF(50&lt;=$S$4,IF(OR('CHOP DASHBOARD'!$C$4="",ISNUMBER(SEARCH('CHOP DASHBOARD'!$C$4,INDEX(MASTER_ZONES!$B:$B,51)))),50,""),""),""))</f>
        <v/>
      </c>
      <c r="Q51">
        <f>IFERROR(SMALL($P$2:$P$1487,50),"")</f>
        <v/>
      </c>
      <c r="R51">
        <f>IF(Q51="","",IF('CHOP DASHBOARD'!$B$4="Area",INDEX(MASTER_AREAS!$B:$B,Q51+1),INDEX(MASTER_ZONES!$B:$B,Q51+1)))</f>
        <v/>
      </c>
      <c r="U51">
        <f>IF('COMMUNITY CHURCH DASHBOARD'!$B$4="Area",IF(50&lt;=$X$3,IF(AND(OR('COMMUNITY CHURCH DASHBOARD'!$C$4="",ISNUMBER(SEARCH('COMMUNITY CHURCH DASHBOARD'!$C$4,INDEX(MASTER_AREAS!$B:$B,51))))),50,""),""),IF('COMMUNITY CHURCH DASHBOARD'!$B$4="Zone",IF(50&lt;=$X$4,IF(OR('COMMUNITY CHURCH DASHBOARD'!$C$4="",ISNUMBER(SEARCH('COMMUNITY CHURCH DASHBOARD'!$C$4,INDEX(MASTER_ZONES!$B:$B,51)))),50,""),""),""))</f>
        <v/>
      </c>
      <c r="V51">
        <f>IFERROR(SMALL($U$2:$U$1487,50),"")</f>
        <v/>
      </c>
      <c r="W51">
        <f>IF(V51="","",IF('COMMUNITY CHURCH DASHBOARD'!$B$4="Area",INDEX(MASTER_AREAS!$B:$B,V51+1),INDEX(MASTER_ZONES!$B:$B,V51+1)))</f>
        <v/>
      </c>
    </row>
    <row r="52">
      <c r="A52">
        <f>IF('WSF DASHBOARD'!$B$4="Area",IF(51&lt;=$D$3,IF(AND(OR('WSF DASHBOARD'!$C$4="",ISNUMBER(SEARCH('WSF DASHBOARD'!$C$4,INDEX(MASTER_AREAS!$B:$B,52))))),51,""),""),IF('WSF DASHBOARD'!$B$4="Zone",IF(51&lt;=$D$4,IF(OR('WSF DASHBOARD'!$C$4="",ISNUMBER(SEARCH('WSF DASHBOARD'!$C$4,INDEX(MASTER_ZONES!$B:$B,52)))),51,""),""),""))</f>
        <v/>
      </c>
      <c r="B52">
        <f>IFERROR(SMALL($A$2:$A$1487,51),"")</f>
        <v/>
      </c>
      <c r="C52">
        <f>IF(B52="","",IF('WSF DASHBOARD'!$B$4="Area",INDEX(MASTER_AREAS!$B:$B,B52+1),INDEX(MASTER_ZONES!$B:$B,B52+1)))</f>
        <v/>
      </c>
      <c r="F52">
        <f>IF('TRANSPORT DASHBOARD'!$B$4="Area",IF(51&lt;=$I$3,IF(AND(INDEX(MASTER_AREAS!$F:$F,52)&lt;&gt;"N",OR('TRANSPORT DASHBOARD'!$C$4="",ISNUMBER(SEARCH('TRANSPORT DASHBOARD'!$C$4,INDEX(MASTER_AREAS!$B:$B,52))))),51,""),""),IF('TRANSPORT DASHBOARD'!$B$4="Zone",IF(51&lt;=$I$4,IF(OR('TRANSPORT DASHBOARD'!$C$4="",ISNUMBER(SEARCH('TRANSPORT DASHBOARD'!$C$4,INDEX(MASTER_ZONES!$B:$B,52)))),51,""),""),""))</f>
        <v/>
      </c>
      <c r="G52">
        <f>IFERROR(SMALL($F$2:$F$1487,51),"")</f>
        <v/>
      </c>
      <c r="H52">
        <f>IF(G52="","",IF('TRANSPORT DASHBOARD'!$B$4="Area",INDEX(MASTER_AREAS!$B:$B,G52+1),INDEX(MASTER_ZONES!$B:$B,G52+1)))</f>
        <v/>
      </c>
      <c r="K52">
        <f>IF('MIDWEEK DASHBOARD'!$B$4="Area",IF(51&lt;=$N$3,IF(AND(OR('MIDWEEK DASHBOARD'!$C$4="",ISNUMBER(SEARCH('MIDWEEK DASHBOARD'!$C$4,INDEX(MASTER_AREAS!$B:$B,52))))),51,""),""),IF('MIDWEEK DASHBOARD'!$B$4="Zone",IF(51&lt;=$N$4,IF(OR('MIDWEEK DASHBOARD'!$C$4="",ISNUMBER(SEARCH('MIDWEEK DASHBOARD'!$C$4,INDEX(MASTER_ZONES!$B:$B,52)))),51,""),""),""))</f>
        <v/>
      </c>
      <c r="L52">
        <f>IFERROR(SMALL($K$2:$K$1487,51),"")</f>
        <v/>
      </c>
      <c r="M52">
        <f>IF(L52="","",IF('MIDWEEK DASHBOARD'!$B$4="Area",INDEX(MASTER_AREAS!$B:$B,L52+1),INDEX(MASTER_ZONES!$B:$B,L52+1)))</f>
        <v/>
      </c>
      <c r="P52">
        <f>IF('CHOP DASHBOARD'!$B$4="Area",IF(51&lt;=$S$3,IF(AND(OR('CHOP DASHBOARD'!$C$4="",ISNUMBER(SEARCH('CHOP DASHBOARD'!$C$4,INDEX(MASTER_AREAS!$B:$B,52))))),51,""),""),IF('CHOP DASHBOARD'!$B$4="Zone",IF(51&lt;=$S$4,IF(OR('CHOP DASHBOARD'!$C$4="",ISNUMBER(SEARCH('CHOP DASHBOARD'!$C$4,INDEX(MASTER_ZONES!$B:$B,52)))),51,""),""),""))</f>
        <v/>
      </c>
      <c r="Q52">
        <f>IFERROR(SMALL($P$2:$P$1487,51),"")</f>
        <v/>
      </c>
      <c r="R52">
        <f>IF(Q52="","",IF('CHOP DASHBOARD'!$B$4="Area",INDEX(MASTER_AREAS!$B:$B,Q52+1),INDEX(MASTER_ZONES!$B:$B,Q52+1)))</f>
        <v/>
      </c>
      <c r="U52">
        <f>IF('COMMUNITY CHURCH DASHBOARD'!$B$4="Area",IF(51&lt;=$X$3,IF(AND(OR('COMMUNITY CHURCH DASHBOARD'!$C$4="",ISNUMBER(SEARCH('COMMUNITY CHURCH DASHBOARD'!$C$4,INDEX(MASTER_AREAS!$B:$B,52))))),51,""),""),IF('COMMUNITY CHURCH DASHBOARD'!$B$4="Zone",IF(51&lt;=$X$4,IF(OR('COMMUNITY CHURCH DASHBOARD'!$C$4="",ISNUMBER(SEARCH('COMMUNITY CHURCH DASHBOARD'!$C$4,INDEX(MASTER_ZONES!$B:$B,52)))),51,""),""),""))</f>
        <v/>
      </c>
      <c r="V52">
        <f>IFERROR(SMALL($U$2:$U$1487,51),"")</f>
        <v/>
      </c>
      <c r="W52">
        <f>IF(V52="","",IF('COMMUNITY CHURCH DASHBOARD'!$B$4="Area",INDEX(MASTER_AREAS!$B:$B,V52+1),INDEX(MASTER_ZONES!$B:$B,V52+1)))</f>
        <v/>
      </c>
    </row>
    <row r="53">
      <c r="A53">
        <f>IF('WSF DASHBOARD'!$B$4="Area",IF(52&lt;=$D$3,IF(AND(OR('WSF DASHBOARD'!$C$4="",ISNUMBER(SEARCH('WSF DASHBOARD'!$C$4,INDEX(MASTER_AREAS!$B:$B,53))))),52,""),""),IF('WSF DASHBOARD'!$B$4="Zone",IF(52&lt;=$D$4,IF(OR('WSF DASHBOARD'!$C$4="",ISNUMBER(SEARCH('WSF DASHBOARD'!$C$4,INDEX(MASTER_ZONES!$B:$B,53)))),52,""),""),""))</f>
        <v/>
      </c>
      <c r="B53">
        <f>IFERROR(SMALL($A$2:$A$1487,52),"")</f>
        <v/>
      </c>
      <c r="C53">
        <f>IF(B53="","",IF('WSF DASHBOARD'!$B$4="Area",INDEX(MASTER_AREAS!$B:$B,B53+1),INDEX(MASTER_ZONES!$B:$B,B53+1)))</f>
        <v/>
      </c>
      <c r="F53">
        <f>IF('TRANSPORT DASHBOARD'!$B$4="Area",IF(52&lt;=$I$3,IF(AND(INDEX(MASTER_AREAS!$F:$F,53)&lt;&gt;"N",OR('TRANSPORT DASHBOARD'!$C$4="",ISNUMBER(SEARCH('TRANSPORT DASHBOARD'!$C$4,INDEX(MASTER_AREAS!$B:$B,53))))),52,""),""),IF('TRANSPORT DASHBOARD'!$B$4="Zone",IF(52&lt;=$I$4,IF(OR('TRANSPORT DASHBOARD'!$C$4="",ISNUMBER(SEARCH('TRANSPORT DASHBOARD'!$C$4,INDEX(MASTER_ZONES!$B:$B,53)))),52,""),""),""))</f>
        <v/>
      </c>
      <c r="G53">
        <f>IFERROR(SMALL($F$2:$F$1487,52),"")</f>
        <v/>
      </c>
      <c r="H53">
        <f>IF(G53="","",IF('TRANSPORT DASHBOARD'!$B$4="Area",INDEX(MASTER_AREAS!$B:$B,G53+1),INDEX(MASTER_ZONES!$B:$B,G53+1)))</f>
        <v/>
      </c>
      <c r="K53">
        <f>IF('MIDWEEK DASHBOARD'!$B$4="Area",IF(52&lt;=$N$3,IF(AND(OR('MIDWEEK DASHBOARD'!$C$4="",ISNUMBER(SEARCH('MIDWEEK DASHBOARD'!$C$4,INDEX(MASTER_AREAS!$B:$B,53))))),52,""),""),IF('MIDWEEK DASHBOARD'!$B$4="Zone",IF(52&lt;=$N$4,IF(OR('MIDWEEK DASHBOARD'!$C$4="",ISNUMBER(SEARCH('MIDWEEK DASHBOARD'!$C$4,INDEX(MASTER_ZONES!$B:$B,53)))),52,""),""),""))</f>
        <v/>
      </c>
      <c r="L53">
        <f>IFERROR(SMALL($K$2:$K$1487,52),"")</f>
        <v/>
      </c>
      <c r="M53">
        <f>IF(L53="","",IF('MIDWEEK DASHBOARD'!$B$4="Area",INDEX(MASTER_AREAS!$B:$B,L53+1),INDEX(MASTER_ZONES!$B:$B,L53+1)))</f>
        <v/>
      </c>
      <c r="P53">
        <f>IF('CHOP DASHBOARD'!$B$4="Area",IF(52&lt;=$S$3,IF(AND(OR('CHOP DASHBOARD'!$C$4="",ISNUMBER(SEARCH('CHOP DASHBOARD'!$C$4,INDEX(MASTER_AREAS!$B:$B,53))))),52,""),""),IF('CHOP DASHBOARD'!$B$4="Zone",IF(52&lt;=$S$4,IF(OR('CHOP DASHBOARD'!$C$4="",ISNUMBER(SEARCH('CHOP DASHBOARD'!$C$4,INDEX(MASTER_ZONES!$B:$B,53)))),52,""),""),""))</f>
        <v/>
      </c>
      <c r="Q53">
        <f>IFERROR(SMALL($P$2:$P$1487,52),"")</f>
        <v/>
      </c>
      <c r="R53">
        <f>IF(Q53="","",IF('CHOP DASHBOARD'!$B$4="Area",INDEX(MASTER_AREAS!$B:$B,Q53+1),INDEX(MASTER_ZONES!$B:$B,Q53+1)))</f>
        <v/>
      </c>
      <c r="U53">
        <f>IF('COMMUNITY CHURCH DASHBOARD'!$B$4="Area",IF(52&lt;=$X$3,IF(AND(OR('COMMUNITY CHURCH DASHBOARD'!$C$4="",ISNUMBER(SEARCH('COMMUNITY CHURCH DASHBOARD'!$C$4,INDEX(MASTER_AREAS!$B:$B,53))))),52,""),""),IF('COMMUNITY CHURCH DASHBOARD'!$B$4="Zone",IF(52&lt;=$X$4,IF(OR('COMMUNITY CHURCH DASHBOARD'!$C$4="",ISNUMBER(SEARCH('COMMUNITY CHURCH DASHBOARD'!$C$4,INDEX(MASTER_ZONES!$B:$B,53)))),52,""),""),""))</f>
        <v/>
      </c>
      <c r="V53">
        <f>IFERROR(SMALL($U$2:$U$1487,52),"")</f>
        <v/>
      </c>
      <c r="W53">
        <f>IF(V53="","",IF('COMMUNITY CHURCH DASHBOARD'!$B$4="Area",INDEX(MASTER_AREAS!$B:$B,V53+1),INDEX(MASTER_ZONES!$B:$B,V53+1)))</f>
        <v/>
      </c>
    </row>
    <row r="54">
      <c r="A54">
        <f>IF('WSF DASHBOARD'!$B$4="Area",IF(53&lt;=$D$3,IF(AND(OR('WSF DASHBOARD'!$C$4="",ISNUMBER(SEARCH('WSF DASHBOARD'!$C$4,INDEX(MASTER_AREAS!$B:$B,54))))),53,""),""),IF('WSF DASHBOARD'!$B$4="Zone",IF(53&lt;=$D$4,IF(OR('WSF DASHBOARD'!$C$4="",ISNUMBER(SEARCH('WSF DASHBOARD'!$C$4,INDEX(MASTER_ZONES!$B:$B,54)))),53,""),""),""))</f>
        <v/>
      </c>
      <c r="B54">
        <f>IFERROR(SMALL($A$2:$A$1487,53),"")</f>
        <v/>
      </c>
      <c r="C54">
        <f>IF(B54="","",IF('WSF DASHBOARD'!$B$4="Area",INDEX(MASTER_AREAS!$B:$B,B54+1),INDEX(MASTER_ZONES!$B:$B,B54+1)))</f>
        <v/>
      </c>
      <c r="F54">
        <f>IF('TRANSPORT DASHBOARD'!$B$4="Area",IF(53&lt;=$I$3,IF(AND(INDEX(MASTER_AREAS!$F:$F,54)&lt;&gt;"N",OR('TRANSPORT DASHBOARD'!$C$4="",ISNUMBER(SEARCH('TRANSPORT DASHBOARD'!$C$4,INDEX(MASTER_AREAS!$B:$B,54))))),53,""),""),IF('TRANSPORT DASHBOARD'!$B$4="Zone",IF(53&lt;=$I$4,IF(OR('TRANSPORT DASHBOARD'!$C$4="",ISNUMBER(SEARCH('TRANSPORT DASHBOARD'!$C$4,INDEX(MASTER_ZONES!$B:$B,54)))),53,""),""),""))</f>
        <v/>
      </c>
      <c r="G54">
        <f>IFERROR(SMALL($F$2:$F$1487,53),"")</f>
        <v/>
      </c>
      <c r="H54">
        <f>IF(G54="","",IF('TRANSPORT DASHBOARD'!$B$4="Area",INDEX(MASTER_AREAS!$B:$B,G54+1),INDEX(MASTER_ZONES!$B:$B,G54+1)))</f>
        <v/>
      </c>
      <c r="K54">
        <f>IF('MIDWEEK DASHBOARD'!$B$4="Area",IF(53&lt;=$N$3,IF(AND(OR('MIDWEEK DASHBOARD'!$C$4="",ISNUMBER(SEARCH('MIDWEEK DASHBOARD'!$C$4,INDEX(MASTER_AREAS!$B:$B,54))))),53,""),""),IF('MIDWEEK DASHBOARD'!$B$4="Zone",IF(53&lt;=$N$4,IF(OR('MIDWEEK DASHBOARD'!$C$4="",ISNUMBER(SEARCH('MIDWEEK DASHBOARD'!$C$4,INDEX(MASTER_ZONES!$B:$B,54)))),53,""),""),""))</f>
        <v/>
      </c>
      <c r="L54">
        <f>IFERROR(SMALL($K$2:$K$1487,53),"")</f>
        <v/>
      </c>
      <c r="M54">
        <f>IF(L54="","",IF('MIDWEEK DASHBOARD'!$B$4="Area",INDEX(MASTER_AREAS!$B:$B,L54+1),INDEX(MASTER_ZONES!$B:$B,L54+1)))</f>
        <v/>
      </c>
      <c r="P54">
        <f>IF('CHOP DASHBOARD'!$B$4="Area",IF(53&lt;=$S$3,IF(AND(OR('CHOP DASHBOARD'!$C$4="",ISNUMBER(SEARCH('CHOP DASHBOARD'!$C$4,INDEX(MASTER_AREAS!$B:$B,54))))),53,""),""),IF('CHOP DASHBOARD'!$B$4="Zone",IF(53&lt;=$S$4,IF(OR('CHOP DASHBOARD'!$C$4="",ISNUMBER(SEARCH('CHOP DASHBOARD'!$C$4,INDEX(MASTER_ZONES!$B:$B,54)))),53,""),""),""))</f>
        <v/>
      </c>
      <c r="Q54">
        <f>IFERROR(SMALL($P$2:$P$1487,53),"")</f>
        <v/>
      </c>
      <c r="R54">
        <f>IF(Q54="","",IF('CHOP DASHBOARD'!$B$4="Area",INDEX(MASTER_AREAS!$B:$B,Q54+1),INDEX(MASTER_ZONES!$B:$B,Q54+1)))</f>
        <v/>
      </c>
      <c r="U54">
        <f>IF('COMMUNITY CHURCH DASHBOARD'!$B$4="Area",IF(53&lt;=$X$3,IF(AND(OR('COMMUNITY CHURCH DASHBOARD'!$C$4="",ISNUMBER(SEARCH('COMMUNITY CHURCH DASHBOARD'!$C$4,INDEX(MASTER_AREAS!$B:$B,54))))),53,""),""),IF('COMMUNITY CHURCH DASHBOARD'!$B$4="Zone",IF(53&lt;=$X$4,IF(OR('COMMUNITY CHURCH DASHBOARD'!$C$4="",ISNUMBER(SEARCH('COMMUNITY CHURCH DASHBOARD'!$C$4,INDEX(MASTER_ZONES!$B:$B,54)))),53,""),""),""))</f>
        <v/>
      </c>
      <c r="V54">
        <f>IFERROR(SMALL($U$2:$U$1487,53),"")</f>
        <v/>
      </c>
      <c r="W54">
        <f>IF(V54="","",IF('COMMUNITY CHURCH DASHBOARD'!$B$4="Area",INDEX(MASTER_AREAS!$B:$B,V54+1),INDEX(MASTER_ZONES!$B:$B,V54+1)))</f>
        <v/>
      </c>
    </row>
    <row r="55">
      <c r="A55">
        <f>IF('WSF DASHBOARD'!$B$4="Area",IF(54&lt;=$D$3,IF(AND(OR('WSF DASHBOARD'!$C$4="",ISNUMBER(SEARCH('WSF DASHBOARD'!$C$4,INDEX(MASTER_AREAS!$B:$B,55))))),54,""),""),IF('WSF DASHBOARD'!$B$4="Zone",IF(54&lt;=$D$4,IF(OR('WSF DASHBOARD'!$C$4="",ISNUMBER(SEARCH('WSF DASHBOARD'!$C$4,INDEX(MASTER_ZONES!$B:$B,55)))),54,""),""),""))</f>
        <v/>
      </c>
      <c r="B55">
        <f>IFERROR(SMALL($A$2:$A$1487,54),"")</f>
        <v/>
      </c>
      <c r="C55">
        <f>IF(B55="","",IF('WSF DASHBOARD'!$B$4="Area",INDEX(MASTER_AREAS!$B:$B,B55+1),INDEX(MASTER_ZONES!$B:$B,B55+1)))</f>
        <v/>
      </c>
      <c r="F55">
        <f>IF('TRANSPORT DASHBOARD'!$B$4="Area",IF(54&lt;=$I$3,IF(AND(INDEX(MASTER_AREAS!$F:$F,55)&lt;&gt;"N",OR('TRANSPORT DASHBOARD'!$C$4="",ISNUMBER(SEARCH('TRANSPORT DASHBOARD'!$C$4,INDEX(MASTER_AREAS!$B:$B,55))))),54,""),""),IF('TRANSPORT DASHBOARD'!$B$4="Zone",IF(54&lt;=$I$4,IF(OR('TRANSPORT DASHBOARD'!$C$4="",ISNUMBER(SEARCH('TRANSPORT DASHBOARD'!$C$4,INDEX(MASTER_ZONES!$B:$B,55)))),54,""),""),""))</f>
        <v/>
      </c>
      <c r="G55">
        <f>IFERROR(SMALL($F$2:$F$1487,54),"")</f>
        <v/>
      </c>
      <c r="H55">
        <f>IF(G55="","",IF('TRANSPORT DASHBOARD'!$B$4="Area",INDEX(MASTER_AREAS!$B:$B,G55+1),INDEX(MASTER_ZONES!$B:$B,G55+1)))</f>
        <v/>
      </c>
      <c r="K55">
        <f>IF('MIDWEEK DASHBOARD'!$B$4="Area",IF(54&lt;=$N$3,IF(AND(OR('MIDWEEK DASHBOARD'!$C$4="",ISNUMBER(SEARCH('MIDWEEK DASHBOARD'!$C$4,INDEX(MASTER_AREAS!$B:$B,55))))),54,""),""),IF('MIDWEEK DASHBOARD'!$B$4="Zone",IF(54&lt;=$N$4,IF(OR('MIDWEEK DASHBOARD'!$C$4="",ISNUMBER(SEARCH('MIDWEEK DASHBOARD'!$C$4,INDEX(MASTER_ZONES!$B:$B,55)))),54,""),""),""))</f>
        <v/>
      </c>
      <c r="L55">
        <f>IFERROR(SMALL($K$2:$K$1487,54),"")</f>
        <v/>
      </c>
      <c r="M55">
        <f>IF(L55="","",IF('MIDWEEK DASHBOARD'!$B$4="Area",INDEX(MASTER_AREAS!$B:$B,L55+1),INDEX(MASTER_ZONES!$B:$B,L55+1)))</f>
        <v/>
      </c>
      <c r="P55">
        <f>IF('CHOP DASHBOARD'!$B$4="Area",IF(54&lt;=$S$3,IF(AND(OR('CHOP DASHBOARD'!$C$4="",ISNUMBER(SEARCH('CHOP DASHBOARD'!$C$4,INDEX(MASTER_AREAS!$B:$B,55))))),54,""),""),IF('CHOP DASHBOARD'!$B$4="Zone",IF(54&lt;=$S$4,IF(OR('CHOP DASHBOARD'!$C$4="",ISNUMBER(SEARCH('CHOP DASHBOARD'!$C$4,INDEX(MASTER_ZONES!$B:$B,55)))),54,""),""),""))</f>
        <v/>
      </c>
      <c r="Q55">
        <f>IFERROR(SMALL($P$2:$P$1487,54),"")</f>
        <v/>
      </c>
      <c r="R55">
        <f>IF(Q55="","",IF('CHOP DASHBOARD'!$B$4="Area",INDEX(MASTER_AREAS!$B:$B,Q55+1),INDEX(MASTER_ZONES!$B:$B,Q55+1)))</f>
        <v/>
      </c>
      <c r="U55">
        <f>IF('COMMUNITY CHURCH DASHBOARD'!$B$4="Area",IF(54&lt;=$X$3,IF(AND(OR('COMMUNITY CHURCH DASHBOARD'!$C$4="",ISNUMBER(SEARCH('COMMUNITY CHURCH DASHBOARD'!$C$4,INDEX(MASTER_AREAS!$B:$B,55))))),54,""),""),IF('COMMUNITY CHURCH DASHBOARD'!$B$4="Zone",IF(54&lt;=$X$4,IF(OR('COMMUNITY CHURCH DASHBOARD'!$C$4="",ISNUMBER(SEARCH('COMMUNITY CHURCH DASHBOARD'!$C$4,INDEX(MASTER_ZONES!$B:$B,55)))),54,""),""),""))</f>
        <v/>
      </c>
      <c r="V55">
        <f>IFERROR(SMALL($U$2:$U$1487,54),"")</f>
        <v/>
      </c>
      <c r="W55">
        <f>IF(V55="","",IF('COMMUNITY CHURCH DASHBOARD'!$B$4="Area",INDEX(MASTER_AREAS!$B:$B,V55+1),INDEX(MASTER_ZONES!$B:$B,V55+1)))</f>
        <v/>
      </c>
    </row>
    <row r="56">
      <c r="A56">
        <f>IF('WSF DASHBOARD'!$B$4="Area",IF(55&lt;=$D$3,IF(AND(OR('WSF DASHBOARD'!$C$4="",ISNUMBER(SEARCH('WSF DASHBOARD'!$C$4,INDEX(MASTER_AREAS!$B:$B,56))))),55,""),""),IF('WSF DASHBOARD'!$B$4="Zone",IF(55&lt;=$D$4,IF(OR('WSF DASHBOARD'!$C$4="",ISNUMBER(SEARCH('WSF DASHBOARD'!$C$4,INDEX(MASTER_ZONES!$B:$B,56)))),55,""),""),""))</f>
        <v/>
      </c>
      <c r="B56">
        <f>IFERROR(SMALL($A$2:$A$1487,55),"")</f>
        <v/>
      </c>
      <c r="C56">
        <f>IF(B56="","",IF('WSF DASHBOARD'!$B$4="Area",INDEX(MASTER_AREAS!$B:$B,B56+1),INDEX(MASTER_ZONES!$B:$B,B56+1)))</f>
        <v/>
      </c>
      <c r="F56">
        <f>IF('TRANSPORT DASHBOARD'!$B$4="Area",IF(55&lt;=$I$3,IF(AND(INDEX(MASTER_AREAS!$F:$F,56)&lt;&gt;"N",OR('TRANSPORT DASHBOARD'!$C$4="",ISNUMBER(SEARCH('TRANSPORT DASHBOARD'!$C$4,INDEX(MASTER_AREAS!$B:$B,56))))),55,""),""),IF('TRANSPORT DASHBOARD'!$B$4="Zone",IF(55&lt;=$I$4,IF(OR('TRANSPORT DASHBOARD'!$C$4="",ISNUMBER(SEARCH('TRANSPORT DASHBOARD'!$C$4,INDEX(MASTER_ZONES!$B:$B,56)))),55,""),""),""))</f>
        <v/>
      </c>
      <c r="G56">
        <f>IFERROR(SMALL($F$2:$F$1487,55),"")</f>
        <v/>
      </c>
      <c r="H56">
        <f>IF(G56="","",IF('TRANSPORT DASHBOARD'!$B$4="Area",INDEX(MASTER_AREAS!$B:$B,G56+1),INDEX(MASTER_ZONES!$B:$B,G56+1)))</f>
        <v/>
      </c>
      <c r="K56">
        <f>IF('MIDWEEK DASHBOARD'!$B$4="Area",IF(55&lt;=$N$3,IF(AND(OR('MIDWEEK DASHBOARD'!$C$4="",ISNUMBER(SEARCH('MIDWEEK DASHBOARD'!$C$4,INDEX(MASTER_AREAS!$B:$B,56))))),55,""),""),IF('MIDWEEK DASHBOARD'!$B$4="Zone",IF(55&lt;=$N$4,IF(OR('MIDWEEK DASHBOARD'!$C$4="",ISNUMBER(SEARCH('MIDWEEK DASHBOARD'!$C$4,INDEX(MASTER_ZONES!$B:$B,56)))),55,""),""),""))</f>
        <v/>
      </c>
      <c r="L56">
        <f>IFERROR(SMALL($K$2:$K$1487,55),"")</f>
        <v/>
      </c>
      <c r="M56">
        <f>IF(L56="","",IF('MIDWEEK DASHBOARD'!$B$4="Area",INDEX(MASTER_AREAS!$B:$B,L56+1),INDEX(MASTER_ZONES!$B:$B,L56+1)))</f>
        <v/>
      </c>
      <c r="P56">
        <f>IF('CHOP DASHBOARD'!$B$4="Area",IF(55&lt;=$S$3,IF(AND(OR('CHOP DASHBOARD'!$C$4="",ISNUMBER(SEARCH('CHOP DASHBOARD'!$C$4,INDEX(MASTER_AREAS!$B:$B,56))))),55,""),""),IF('CHOP DASHBOARD'!$B$4="Zone",IF(55&lt;=$S$4,IF(OR('CHOP DASHBOARD'!$C$4="",ISNUMBER(SEARCH('CHOP DASHBOARD'!$C$4,INDEX(MASTER_ZONES!$B:$B,56)))),55,""),""),""))</f>
        <v/>
      </c>
      <c r="Q56">
        <f>IFERROR(SMALL($P$2:$P$1487,55),"")</f>
        <v/>
      </c>
      <c r="R56">
        <f>IF(Q56="","",IF('CHOP DASHBOARD'!$B$4="Area",INDEX(MASTER_AREAS!$B:$B,Q56+1),INDEX(MASTER_ZONES!$B:$B,Q56+1)))</f>
        <v/>
      </c>
      <c r="U56">
        <f>IF('COMMUNITY CHURCH DASHBOARD'!$B$4="Area",IF(55&lt;=$X$3,IF(AND(OR('COMMUNITY CHURCH DASHBOARD'!$C$4="",ISNUMBER(SEARCH('COMMUNITY CHURCH DASHBOARD'!$C$4,INDEX(MASTER_AREAS!$B:$B,56))))),55,""),""),IF('COMMUNITY CHURCH DASHBOARD'!$B$4="Zone",IF(55&lt;=$X$4,IF(OR('COMMUNITY CHURCH DASHBOARD'!$C$4="",ISNUMBER(SEARCH('COMMUNITY CHURCH DASHBOARD'!$C$4,INDEX(MASTER_ZONES!$B:$B,56)))),55,""),""),""))</f>
        <v/>
      </c>
      <c r="V56">
        <f>IFERROR(SMALL($U$2:$U$1487,55),"")</f>
        <v/>
      </c>
      <c r="W56">
        <f>IF(V56="","",IF('COMMUNITY CHURCH DASHBOARD'!$B$4="Area",INDEX(MASTER_AREAS!$B:$B,V56+1),INDEX(MASTER_ZONES!$B:$B,V56+1)))</f>
        <v/>
      </c>
    </row>
    <row r="57">
      <c r="A57">
        <f>IF('WSF DASHBOARD'!$B$4="Area",IF(56&lt;=$D$3,IF(AND(OR('WSF DASHBOARD'!$C$4="",ISNUMBER(SEARCH('WSF DASHBOARD'!$C$4,INDEX(MASTER_AREAS!$B:$B,57))))),56,""),""),IF('WSF DASHBOARD'!$B$4="Zone",IF(56&lt;=$D$4,IF(OR('WSF DASHBOARD'!$C$4="",ISNUMBER(SEARCH('WSF DASHBOARD'!$C$4,INDEX(MASTER_ZONES!$B:$B,57)))),56,""),""),""))</f>
        <v/>
      </c>
      <c r="B57">
        <f>IFERROR(SMALL($A$2:$A$1487,56),"")</f>
        <v/>
      </c>
      <c r="C57">
        <f>IF(B57="","",IF('WSF DASHBOARD'!$B$4="Area",INDEX(MASTER_AREAS!$B:$B,B57+1),INDEX(MASTER_ZONES!$B:$B,B57+1)))</f>
        <v/>
      </c>
      <c r="F57">
        <f>IF('TRANSPORT DASHBOARD'!$B$4="Area",IF(56&lt;=$I$3,IF(AND(INDEX(MASTER_AREAS!$F:$F,57)&lt;&gt;"N",OR('TRANSPORT DASHBOARD'!$C$4="",ISNUMBER(SEARCH('TRANSPORT DASHBOARD'!$C$4,INDEX(MASTER_AREAS!$B:$B,57))))),56,""),""),IF('TRANSPORT DASHBOARD'!$B$4="Zone",IF(56&lt;=$I$4,IF(OR('TRANSPORT DASHBOARD'!$C$4="",ISNUMBER(SEARCH('TRANSPORT DASHBOARD'!$C$4,INDEX(MASTER_ZONES!$B:$B,57)))),56,""),""),""))</f>
        <v/>
      </c>
      <c r="G57">
        <f>IFERROR(SMALL($F$2:$F$1487,56),"")</f>
        <v/>
      </c>
      <c r="H57">
        <f>IF(G57="","",IF('TRANSPORT DASHBOARD'!$B$4="Area",INDEX(MASTER_AREAS!$B:$B,G57+1),INDEX(MASTER_ZONES!$B:$B,G57+1)))</f>
        <v/>
      </c>
      <c r="K57">
        <f>IF('MIDWEEK DASHBOARD'!$B$4="Area",IF(56&lt;=$N$3,IF(AND(OR('MIDWEEK DASHBOARD'!$C$4="",ISNUMBER(SEARCH('MIDWEEK DASHBOARD'!$C$4,INDEX(MASTER_AREAS!$B:$B,57))))),56,""),""),IF('MIDWEEK DASHBOARD'!$B$4="Zone",IF(56&lt;=$N$4,IF(OR('MIDWEEK DASHBOARD'!$C$4="",ISNUMBER(SEARCH('MIDWEEK DASHBOARD'!$C$4,INDEX(MASTER_ZONES!$B:$B,57)))),56,""),""),""))</f>
        <v/>
      </c>
      <c r="L57">
        <f>IFERROR(SMALL($K$2:$K$1487,56),"")</f>
        <v/>
      </c>
      <c r="M57">
        <f>IF(L57="","",IF('MIDWEEK DASHBOARD'!$B$4="Area",INDEX(MASTER_AREAS!$B:$B,L57+1),INDEX(MASTER_ZONES!$B:$B,L57+1)))</f>
        <v/>
      </c>
      <c r="P57">
        <f>IF('CHOP DASHBOARD'!$B$4="Area",IF(56&lt;=$S$3,IF(AND(OR('CHOP DASHBOARD'!$C$4="",ISNUMBER(SEARCH('CHOP DASHBOARD'!$C$4,INDEX(MASTER_AREAS!$B:$B,57))))),56,""),""),IF('CHOP DASHBOARD'!$B$4="Zone",IF(56&lt;=$S$4,IF(OR('CHOP DASHBOARD'!$C$4="",ISNUMBER(SEARCH('CHOP DASHBOARD'!$C$4,INDEX(MASTER_ZONES!$B:$B,57)))),56,""),""),""))</f>
        <v/>
      </c>
      <c r="Q57">
        <f>IFERROR(SMALL($P$2:$P$1487,56),"")</f>
        <v/>
      </c>
      <c r="R57">
        <f>IF(Q57="","",IF('CHOP DASHBOARD'!$B$4="Area",INDEX(MASTER_AREAS!$B:$B,Q57+1),INDEX(MASTER_ZONES!$B:$B,Q57+1)))</f>
        <v/>
      </c>
      <c r="U57">
        <f>IF('COMMUNITY CHURCH DASHBOARD'!$B$4="Area",IF(56&lt;=$X$3,IF(AND(OR('COMMUNITY CHURCH DASHBOARD'!$C$4="",ISNUMBER(SEARCH('COMMUNITY CHURCH DASHBOARD'!$C$4,INDEX(MASTER_AREAS!$B:$B,57))))),56,""),""),IF('COMMUNITY CHURCH DASHBOARD'!$B$4="Zone",IF(56&lt;=$X$4,IF(OR('COMMUNITY CHURCH DASHBOARD'!$C$4="",ISNUMBER(SEARCH('COMMUNITY CHURCH DASHBOARD'!$C$4,INDEX(MASTER_ZONES!$B:$B,57)))),56,""),""),""))</f>
        <v/>
      </c>
      <c r="V57">
        <f>IFERROR(SMALL($U$2:$U$1487,56),"")</f>
        <v/>
      </c>
      <c r="W57">
        <f>IF(V57="","",IF('COMMUNITY CHURCH DASHBOARD'!$B$4="Area",INDEX(MASTER_AREAS!$B:$B,V57+1),INDEX(MASTER_ZONES!$B:$B,V57+1)))</f>
        <v/>
      </c>
    </row>
    <row r="58">
      <c r="A58">
        <f>IF('WSF DASHBOARD'!$B$4="Area",IF(57&lt;=$D$3,IF(AND(OR('WSF DASHBOARD'!$C$4="",ISNUMBER(SEARCH('WSF DASHBOARD'!$C$4,INDEX(MASTER_AREAS!$B:$B,58))))),57,""),""),IF('WSF DASHBOARD'!$B$4="Zone",IF(57&lt;=$D$4,IF(OR('WSF DASHBOARD'!$C$4="",ISNUMBER(SEARCH('WSF DASHBOARD'!$C$4,INDEX(MASTER_ZONES!$B:$B,58)))),57,""),""),""))</f>
        <v/>
      </c>
      <c r="B58">
        <f>IFERROR(SMALL($A$2:$A$1487,57),"")</f>
        <v/>
      </c>
      <c r="C58">
        <f>IF(B58="","",IF('WSF DASHBOARD'!$B$4="Area",INDEX(MASTER_AREAS!$B:$B,B58+1),INDEX(MASTER_ZONES!$B:$B,B58+1)))</f>
        <v/>
      </c>
      <c r="F58">
        <f>IF('TRANSPORT DASHBOARD'!$B$4="Area",IF(57&lt;=$I$3,IF(AND(INDEX(MASTER_AREAS!$F:$F,58)&lt;&gt;"N",OR('TRANSPORT DASHBOARD'!$C$4="",ISNUMBER(SEARCH('TRANSPORT DASHBOARD'!$C$4,INDEX(MASTER_AREAS!$B:$B,58))))),57,""),""),IF('TRANSPORT DASHBOARD'!$B$4="Zone",IF(57&lt;=$I$4,IF(OR('TRANSPORT DASHBOARD'!$C$4="",ISNUMBER(SEARCH('TRANSPORT DASHBOARD'!$C$4,INDEX(MASTER_ZONES!$B:$B,58)))),57,""),""),""))</f>
        <v/>
      </c>
      <c r="G58">
        <f>IFERROR(SMALL($F$2:$F$1487,57),"")</f>
        <v/>
      </c>
      <c r="H58">
        <f>IF(G58="","",IF('TRANSPORT DASHBOARD'!$B$4="Area",INDEX(MASTER_AREAS!$B:$B,G58+1),INDEX(MASTER_ZONES!$B:$B,G58+1)))</f>
        <v/>
      </c>
      <c r="K58">
        <f>IF('MIDWEEK DASHBOARD'!$B$4="Area",IF(57&lt;=$N$3,IF(AND(OR('MIDWEEK DASHBOARD'!$C$4="",ISNUMBER(SEARCH('MIDWEEK DASHBOARD'!$C$4,INDEX(MASTER_AREAS!$B:$B,58))))),57,""),""),IF('MIDWEEK DASHBOARD'!$B$4="Zone",IF(57&lt;=$N$4,IF(OR('MIDWEEK DASHBOARD'!$C$4="",ISNUMBER(SEARCH('MIDWEEK DASHBOARD'!$C$4,INDEX(MASTER_ZONES!$B:$B,58)))),57,""),""),""))</f>
        <v/>
      </c>
      <c r="L58">
        <f>IFERROR(SMALL($K$2:$K$1487,57),"")</f>
        <v/>
      </c>
      <c r="M58">
        <f>IF(L58="","",IF('MIDWEEK DASHBOARD'!$B$4="Area",INDEX(MASTER_AREAS!$B:$B,L58+1),INDEX(MASTER_ZONES!$B:$B,L58+1)))</f>
        <v/>
      </c>
      <c r="P58">
        <f>IF('CHOP DASHBOARD'!$B$4="Area",IF(57&lt;=$S$3,IF(AND(OR('CHOP DASHBOARD'!$C$4="",ISNUMBER(SEARCH('CHOP DASHBOARD'!$C$4,INDEX(MASTER_AREAS!$B:$B,58))))),57,""),""),IF('CHOP DASHBOARD'!$B$4="Zone",IF(57&lt;=$S$4,IF(OR('CHOP DASHBOARD'!$C$4="",ISNUMBER(SEARCH('CHOP DASHBOARD'!$C$4,INDEX(MASTER_ZONES!$B:$B,58)))),57,""),""),""))</f>
        <v/>
      </c>
      <c r="Q58">
        <f>IFERROR(SMALL($P$2:$P$1487,57),"")</f>
        <v/>
      </c>
      <c r="R58">
        <f>IF(Q58="","",IF('CHOP DASHBOARD'!$B$4="Area",INDEX(MASTER_AREAS!$B:$B,Q58+1),INDEX(MASTER_ZONES!$B:$B,Q58+1)))</f>
        <v/>
      </c>
      <c r="U58">
        <f>IF('COMMUNITY CHURCH DASHBOARD'!$B$4="Area",IF(57&lt;=$X$3,IF(AND(OR('COMMUNITY CHURCH DASHBOARD'!$C$4="",ISNUMBER(SEARCH('COMMUNITY CHURCH DASHBOARD'!$C$4,INDEX(MASTER_AREAS!$B:$B,58))))),57,""),""),IF('COMMUNITY CHURCH DASHBOARD'!$B$4="Zone",IF(57&lt;=$X$4,IF(OR('COMMUNITY CHURCH DASHBOARD'!$C$4="",ISNUMBER(SEARCH('COMMUNITY CHURCH DASHBOARD'!$C$4,INDEX(MASTER_ZONES!$B:$B,58)))),57,""),""),""))</f>
        <v/>
      </c>
      <c r="V58">
        <f>IFERROR(SMALL($U$2:$U$1487,57),"")</f>
        <v/>
      </c>
      <c r="W58">
        <f>IF(V58="","",IF('COMMUNITY CHURCH DASHBOARD'!$B$4="Area",INDEX(MASTER_AREAS!$B:$B,V58+1),INDEX(MASTER_ZONES!$B:$B,V58+1)))</f>
        <v/>
      </c>
    </row>
    <row r="59">
      <c r="A59">
        <f>IF('WSF DASHBOARD'!$B$4="Area",IF(58&lt;=$D$3,IF(AND(OR('WSF DASHBOARD'!$C$4="",ISNUMBER(SEARCH('WSF DASHBOARD'!$C$4,INDEX(MASTER_AREAS!$B:$B,59))))),58,""),""),IF('WSF DASHBOARD'!$B$4="Zone",IF(58&lt;=$D$4,IF(OR('WSF DASHBOARD'!$C$4="",ISNUMBER(SEARCH('WSF DASHBOARD'!$C$4,INDEX(MASTER_ZONES!$B:$B,59)))),58,""),""),""))</f>
        <v/>
      </c>
      <c r="B59">
        <f>IFERROR(SMALL($A$2:$A$1487,58),"")</f>
        <v/>
      </c>
      <c r="C59">
        <f>IF(B59="","",IF('WSF DASHBOARD'!$B$4="Area",INDEX(MASTER_AREAS!$B:$B,B59+1),INDEX(MASTER_ZONES!$B:$B,B59+1)))</f>
        <v/>
      </c>
      <c r="F59">
        <f>IF('TRANSPORT DASHBOARD'!$B$4="Area",IF(58&lt;=$I$3,IF(AND(INDEX(MASTER_AREAS!$F:$F,59)&lt;&gt;"N",OR('TRANSPORT DASHBOARD'!$C$4="",ISNUMBER(SEARCH('TRANSPORT DASHBOARD'!$C$4,INDEX(MASTER_AREAS!$B:$B,59))))),58,""),""),IF('TRANSPORT DASHBOARD'!$B$4="Zone",IF(58&lt;=$I$4,IF(OR('TRANSPORT DASHBOARD'!$C$4="",ISNUMBER(SEARCH('TRANSPORT DASHBOARD'!$C$4,INDEX(MASTER_ZONES!$B:$B,59)))),58,""),""),""))</f>
        <v/>
      </c>
      <c r="G59">
        <f>IFERROR(SMALL($F$2:$F$1487,58),"")</f>
        <v/>
      </c>
      <c r="H59">
        <f>IF(G59="","",IF('TRANSPORT DASHBOARD'!$B$4="Area",INDEX(MASTER_AREAS!$B:$B,G59+1),INDEX(MASTER_ZONES!$B:$B,G59+1)))</f>
        <v/>
      </c>
      <c r="K59">
        <f>IF('MIDWEEK DASHBOARD'!$B$4="Area",IF(58&lt;=$N$3,IF(AND(OR('MIDWEEK DASHBOARD'!$C$4="",ISNUMBER(SEARCH('MIDWEEK DASHBOARD'!$C$4,INDEX(MASTER_AREAS!$B:$B,59))))),58,""),""),IF('MIDWEEK DASHBOARD'!$B$4="Zone",IF(58&lt;=$N$4,IF(OR('MIDWEEK DASHBOARD'!$C$4="",ISNUMBER(SEARCH('MIDWEEK DASHBOARD'!$C$4,INDEX(MASTER_ZONES!$B:$B,59)))),58,""),""),""))</f>
        <v/>
      </c>
      <c r="L59">
        <f>IFERROR(SMALL($K$2:$K$1487,58),"")</f>
        <v/>
      </c>
      <c r="M59">
        <f>IF(L59="","",IF('MIDWEEK DASHBOARD'!$B$4="Area",INDEX(MASTER_AREAS!$B:$B,L59+1),INDEX(MASTER_ZONES!$B:$B,L59+1)))</f>
        <v/>
      </c>
      <c r="P59">
        <f>IF('CHOP DASHBOARD'!$B$4="Area",IF(58&lt;=$S$3,IF(AND(OR('CHOP DASHBOARD'!$C$4="",ISNUMBER(SEARCH('CHOP DASHBOARD'!$C$4,INDEX(MASTER_AREAS!$B:$B,59))))),58,""),""),IF('CHOP DASHBOARD'!$B$4="Zone",IF(58&lt;=$S$4,IF(OR('CHOP DASHBOARD'!$C$4="",ISNUMBER(SEARCH('CHOP DASHBOARD'!$C$4,INDEX(MASTER_ZONES!$B:$B,59)))),58,""),""),""))</f>
        <v/>
      </c>
      <c r="Q59">
        <f>IFERROR(SMALL($P$2:$P$1487,58),"")</f>
        <v/>
      </c>
      <c r="R59">
        <f>IF(Q59="","",IF('CHOP DASHBOARD'!$B$4="Area",INDEX(MASTER_AREAS!$B:$B,Q59+1),INDEX(MASTER_ZONES!$B:$B,Q59+1)))</f>
        <v/>
      </c>
      <c r="U59">
        <f>IF('COMMUNITY CHURCH DASHBOARD'!$B$4="Area",IF(58&lt;=$X$3,IF(AND(OR('COMMUNITY CHURCH DASHBOARD'!$C$4="",ISNUMBER(SEARCH('COMMUNITY CHURCH DASHBOARD'!$C$4,INDEX(MASTER_AREAS!$B:$B,59))))),58,""),""),IF('COMMUNITY CHURCH DASHBOARD'!$B$4="Zone",IF(58&lt;=$X$4,IF(OR('COMMUNITY CHURCH DASHBOARD'!$C$4="",ISNUMBER(SEARCH('COMMUNITY CHURCH DASHBOARD'!$C$4,INDEX(MASTER_ZONES!$B:$B,59)))),58,""),""),""))</f>
        <v/>
      </c>
      <c r="V59">
        <f>IFERROR(SMALL($U$2:$U$1487,58),"")</f>
        <v/>
      </c>
      <c r="W59">
        <f>IF(V59="","",IF('COMMUNITY CHURCH DASHBOARD'!$B$4="Area",INDEX(MASTER_AREAS!$B:$B,V59+1),INDEX(MASTER_ZONES!$B:$B,V59+1)))</f>
        <v/>
      </c>
    </row>
    <row r="60">
      <c r="A60">
        <f>IF('WSF DASHBOARD'!$B$4="Area",IF(59&lt;=$D$3,IF(AND(OR('WSF DASHBOARD'!$C$4="",ISNUMBER(SEARCH('WSF DASHBOARD'!$C$4,INDEX(MASTER_AREAS!$B:$B,60))))),59,""),""),IF('WSF DASHBOARD'!$B$4="Zone",IF(59&lt;=$D$4,IF(OR('WSF DASHBOARD'!$C$4="",ISNUMBER(SEARCH('WSF DASHBOARD'!$C$4,INDEX(MASTER_ZONES!$B:$B,60)))),59,""),""),""))</f>
        <v/>
      </c>
      <c r="B60">
        <f>IFERROR(SMALL($A$2:$A$1487,59),"")</f>
        <v/>
      </c>
      <c r="C60">
        <f>IF(B60="","",IF('WSF DASHBOARD'!$B$4="Area",INDEX(MASTER_AREAS!$B:$B,B60+1),INDEX(MASTER_ZONES!$B:$B,B60+1)))</f>
        <v/>
      </c>
      <c r="F60">
        <f>IF('TRANSPORT DASHBOARD'!$B$4="Area",IF(59&lt;=$I$3,IF(AND(INDEX(MASTER_AREAS!$F:$F,60)&lt;&gt;"N",OR('TRANSPORT DASHBOARD'!$C$4="",ISNUMBER(SEARCH('TRANSPORT DASHBOARD'!$C$4,INDEX(MASTER_AREAS!$B:$B,60))))),59,""),""),IF('TRANSPORT DASHBOARD'!$B$4="Zone",IF(59&lt;=$I$4,IF(OR('TRANSPORT DASHBOARD'!$C$4="",ISNUMBER(SEARCH('TRANSPORT DASHBOARD'!$C$4,INDEX(MASTER_ZONES!$B:$B,60)))),59,""),""),""))</f>
        <v/>
      </c>
      <c r="G60">
        <f>IFERROR(SMALL($F$2:$F$1487,59),"")</f>
        <v/>
      </c>
      <c r="H60">
        <f>IF(G60="","",IF('TRANSPORT DASHBOARD'!$B$4="Area",INDEX(MASTER_AREAS!$B:$B,G60+1),INDEX(MASTER_ZONES!$B:$B,G60+1)))</f>
        <v/>
      </c>
      <c r="K60">
        <f>IF('MIDWEEK DASHBOARD'!$B$4="Area",IF(59&lt;=$N$3,IF(AND(OR('MIDWEEK DASHBOARD'!$C$4="",ISNUMBER(SEARCH('MIDWEEK DASHBOARD'!$C$4,INDEX(MASTER_AREAS!$B:$B,60))))),59,""),""),IF('MIDWEEK DASHBOARD'!$B$4="Zone",IF(59&lt;=$N$4,IF(OR('MIDWEEK DASHBOARD'!$C$4="",ISNUMBER(SEARCH('MIDWEEK DASHBOARD'!$C$4,INDEX(MASTER_ZONES!$B:$B,60)))),59,""),""),""))</f>
        <v/>
      </c>
      <c r="L60">
        <f>IFERROR(SMALL($K$2:$K$1487,59),"")</f>
        <v/>
      </c>
      <c r="M60">
        <f>IF(L60="","",IF('MIDWEEK DASHBOARD'!$B$4="Area",INDEX(MASTER_AREAS!$B:$B,L60+1),INDEX(MASTER_ZONES!$B:$B,L60+1)))</f>
        <v/>
      </c>
      <c r="P60">
        <f>IF('CHOP DASHBOARD'!$B$4="Area",IF(59&lt;=$S$3,IF(AND(OR('CHOP DASHBOARD'!$C$4="",ISNUMBER(SEARCH('CHOP DASHBOARD'!$C$4,INDEX(MASTER_AREAS!$B:$B,60))))),59,""),""),IF('CHOP DASHBOARD'!$B$4="Zone",IF(59&lt;=$S$4,IF(OR('CHOP DASHBOARD'!$C$4="",ISNUMBER(SEARCH('CHOP DASHBOARD'!$C$4,INDEX(MASTER_ZONES!$B:$B,60)))),59,""),""),""))</f>
        <v/>
      </c>
      <c r="Q60">
        <f>IFERROR(SMALL($P$2:$P$1487,59),"")</f>
        <v/>
      </c>
      <c r="R60">
        <f>IF(Q60="","",IF('CHOP DASHBOARD'!$B$4="Area",INDEX(MASTER_AREAS!$B:$B,Q60+1),INDEX(MASTER_ZONES!$B:$B,Q60+1)))</f>
        <v/>
      </c>
      <c r="U60">
        <f>IF('COMMUNITY CHURCH DASHBOARD'!$B$4="Area",IF(59&lt;=$X$3,IF(AND(OR('COMMUNITY CHURCH DASHBOARD'!$C$4="",ISNUMBER(SEARCH('COMMUNITY CHURCH DASHBOARD'!$C$4,INDEX(MASTER_AREAS!$B:$B,60))))),59,""),""),IF('COMMUNITY CHURCH DASHBOARD'!$B$4="Zone",IF(59&lt;=$X$4,IF(OR('COMMUNITY CHURCH DASHBOARD'!$C$4="",ISNUMBER(SEARCH('COMMUNITY CHURCH DASHBOARD'!$C$4,INDEX(MASTER_ZONES!$B:$B,60)))),59,""),""),""))</f>
        <v/>
      </c>
      <c r="V60">
        <f>IFERROR(SMALL($U$2:$U$1487,59),"")</f>
        <v/>
      </c>
      <c r="W60">
        <f>IF(V60="","",IF('COMMUNITY CHURCH DASHBOARD'!$B$4="Area",INDEX(MASTER_AREAS!$B:$B,V60+1),INDEX(MASTER_ZONES!$B:$B,V60+1)))</f>
        <v/>
      </c>
    </row>
    <row r="61">
      <c r="A61">
        <f>IF('WSF DASHBOARD'!$B$4="Area",IF(60&lt;=$D$3,IF(AND(OR('WSF DASHBOARD'!$C$4="",ISNUMBER(SEARCH('WSF DASHBOARD'!$C$4,INDEX(MASTER_AREAS!$B:$B,61))))),60,""),""),IF('WSF DASHBOARD'!$B$4="Zone",IF(60&lt;=$D$4,IF(OR('WSF DASHBOARD'!$C$4="",ISNUMBER(SEARCH('WSF DASHBOARD'!$C$4,INDEX(MASTER_ZONES!$B:$B,61)))),60,""),""),""))</f>
        <v/>
      </c>
      <c r="B61">
        <f>IFERROR(SMALL($A$2:$A$1487,60),"")</f>
        <v/>
      </c>
      <c r="C61">
        <f>IF(B61="","",IF('WSF DASHBOARD'!$B$4="Area",INDEX(MASTER_AREAS!$B:$B,B61+1),INDEX(MASTER_ZONES!$B:$B,B61+1)))</f>
        <v/>
      </c>
      <c r="F61">
        <f>IF('TRANSPORT DASHBOARD'!$B$4="Area",IF(60&lt;=$I$3,IF(AND(INDEX(MASTER_AREAS!$F:$F,61)&lt;&gt;"N",OR('TRANSPORT DASHBOARD'!$C$4="",ISNUMBER(SEARCH('TRANSPORT DASHBOARD'!$C$4,INDEX(MASTER_AREAS!$B:$B,61))))),60,""),""),IF('TRANSPORT DASHBOARD'!$B$4="Zone",IF(60&lt;=$I$4,IF(OR('TRANSPORT DASHBOARD'!$C$4="",ISNUMBER(SEARCH('TRANSPORT DASHBOARD'!$C$4,INDEX(MASTER_ZONES!$B:$B,61)))),60,""),""),""))</f>
        <v/>
      </c>
      <c r="G61">
        <f>IFERROR(SMALL($F$2:$F$1487,60),"")</f>
        <v/>
      </c>
      <c r="H61">
        <f>IF(G61="","",IF('TRANSPORT DASHBOARD'!$B$4="Area",INDEX(MASTER_AREAS!$B:$B,G61+1),INDEX(MASTER_ZONES!$B:$B,G61+1)))</f>
        <v/>
      </c>
      <c r="K61">
        <f>IF('MIDWEEK DASHBOARD'!$B$4="Area",IF(60&lt;=$N$3,IF(AND(OR('MIDWEEK DASHBOARD'!$C$4="",ISNUMBER(SEARCH('MIDWEEK DASHBOARD'!$C$4,INDEX(MASTER_AREAS!$B:$B,61))))),60,""),""),IF('MIDWEEK DASHBOARD'!$B$4="Zone",IF(60&lt;=$N$4,IF(OR('MIDWEEK DASHBOARD'!$C$4="",ISNUMBER(SEARCH('MIDWEEK DASHBOARD'!$C$4,INDEX(MASTER_ZONES!$B:$B,61)))),60,""),""),""))</f>
        <v/>
      </c>
      <c r="L61">
        <f>IFERROR(SMALL($K$2:$K$1487,60),"")</f>
        <v/>
      </c>
      <c r="M61">
        <f>IF(L61="","",IF('MIDWEEK DASHBOARD'!$B$4="Area",INDEX(MASTER_AREAS!$B:$B,L61+1),INDEX(MASTER_ZONES!$B:$B,L61+1)))</f>
        <v/>
      </c>
      <c r="P61">
        <f>IF('CHOP DASHBOARD'!$B$4="Area",IF(60&lt;=$S$3,IF(AND(OR('CHOP DASHBOARD'!$C$4="",ISNUMBER(SEARCH('CHOP DASHBOARD'!$C$4,INDEX(MASTER_AREAS!$B:$B,61))))),60,""),""),IF('CHOP DASHBOARD'!$B$4="Zone",IF(60&lt;=$S$4,IF(OR('CHOP DASHBOARD'!$C$4="",ISNUMBER(SEARCH('CHOP DASHBOARD'!$C$4,INDEX(MASTER_ZONES!$B:$B,61)))),60,""),""),""))</f>
        <v/>
      </c>
      <c r="Q61">
        <f>IFERROR(SMALL($P$2:$P$1487,60),"")</f>
        <v/>
      </c>
      <c r="R61">
        <f>IF(Q61="","",IF('CHOP DASHBOARD'!$B$4="Area",INDEX(MASTER_AREAS!$B:$B,Q61+1),INDEX(MASTER_ZONES!$B:$B,Q61+1)))</f>
        <v/>
      </c>
      <c r="U61">
        <f>IF('COMMUNITY CHURCH DASHBOARD'!$B$4="Area",IF(60&lt;=$X$3,IF(AND(OR('COMMUNITY CHURCH DASHBOARD'!$C$4="",ISNUMBER(SEARCH('COMMUNITY CHURCH DASHBOARD'!$C$4,INDEX(MASTER_AREAS!$B:$B,61))))),60,""),""),IF('COMMUNITY CHURCH DASHBOARD'!$B$4="Zone",IF(60&lt;=$X$4,IF(OR('COMMUNITY CHURCH DASHBOARD'!$C$4="",ISNUMBER(SEARCH('COMMUNITY CHURCH DASHBOARD'!$C$4,INDEX(MASTER_ZONES!$B:$B,61)))),60,""),""),""))</f>
        <v/>
      </c>
      <c r="V61">
        <f>IFERROR(SMALL($U$2:$U$1487,60),"")</f>
        <v/>
      </c>
      <c r="W61">
        <f>IF(V61="","",IF('COMMUNITY CHURCH DASHBOARD'!$B$4="Area",INDEX(MASTER_AREAS!$B:$B,V61+1),INDEX(MASTER_ZONES!$B:$B,V61+1)))</f>
        <v/>
      </c>
    </row>
    <row r="62">
      <c r="A62">
        <f>IF('WSF DASHBOARD'!$B$4="Area",IF(61&lt;=$D$3,IF(AND(OR('WSF DASHBOARD'!$C$4="",ISNUMBER(SEARCH('WSF DASHBOARD'!$C$4,INDEX(MASTER_AREAS!$B:$B,62))))),61,""),""),IF('WSF DASHBOARD'!$B$4="Zone",IF(61&lt;=$D$4,IF(OR('WSF DASHBOARD'!$C$4="",ISNUMBER(SEARCH('WSF DASHBOARD'!$C$4,INDEX(MASTER_ZONES!$B:$B,62)))),61,""),""),""))</f>
        <v/>
      </c>
      <c r="B62">
        <f>IFERROR(SMALL($A$2:$A$1487,61),"")</f>
        <v/>
      </c>
      <c r="C62">
        <f>IF(B62="","",IF('WSF DASHBOARD'!$B$4="Area",INDEX(MASTER_AREAS!$B:$B,B62+1),INDEX(MASTER_ZONES!$B:$B,B62+1)))</f>
        <v/>
      </c>
      <c r="F62">
        <f>IF('TRANSPORT DASHBOARD'!$B$4="Area",IF(61&lt;=$I$3,IF(AND(INDEX(MASTER_AREAS!$F:$F,62)&lt;&gt;"N",OR('TRANSPORT DASHBOARD'!$C$4="",ISNUMBER(SEARCH('TRANSPORT DASHBOARD'!$C$4,INDEX(MASTER_AREAS!$B:$B,62))))),61,""),""),IF('TRANSPORT DASHBOARD'!$B$4="Zone",IF(61&lt;=$I$4,IF(OR('TRANSPORT DASHBOARD'!$C$4="",ISNUMBER(SEARCH('TRANSPORT DASHBOARD'!$C$4,INDEX(MASTER_ZONES!$B:$B,62)))),61,""),""),""))</f>
        <v/>
      </c>
      <c r="G62">
        <f>IFERROR(SMALL($F$2:$F$1487,61),"")</f>
        <v/>
      </c>
      <c r="H62">
        <f>IF(G62="","",IF('TRANSPORT DASHBOARD'!$B$4="Area",INDEX(MASTER_AREAS!$B:$B,G62+1),INDEX(MASTER_ZONES!$B:$B,G62+1)))</f>
        <v/>
      </c>
      <c r="K62">
        <f>IF('MIDWEEK DASHBOARD'!$B$4="Area",IF(61&lt;=$N$3,IF(AND(OR('MIDWEEK DASHBOARD'!$C$4="",ISNUMBER(SEARCH('MIDWEEK DASHBOARD'!$C$4,INDEX(MASTER_AREAS!$B:$B,62))))),61,""),""),IF('MIDWEEK DASHBOARD'!$B$4="Zone",IF(61&lt;=$N$4,IF(OR('MIDWEEK DASHBOARD'!$C$4="",ISNUMBER(SEARCH('MIDWEEK DASHBOARD'!$C$4,INDEX(MASTER_ZONES!$B:$B,62)))),61,""),""),""))</f>
        <v/>
      </c>
      <c r="L62">
        <f>IFERROR(SMALL($K$2:$K$1487,61),"")</f>
        <v/>
      </c>
      <c r="M62">
        <f>IF(L62="","",IF('MIDWEEK DASHBOARD'!$B$4="Area",INDEX(MASTER_AREAS!$B:$B,L62+1),INDEX(MASTER_ZONES!$B:$B,L62+1)))</f>
        <v/>
      </c>
      <c r="P62">
        <f>IF('CHOP DASHBOARD'!$B$4="Area",IF(61&lt;=$S$3,IF(AND(OR('CHOP DASHBOARD'!$C$4="",ISNUMBER(SEARCH('CHOP DASHBOARD'!$C$4,INDEX(MASTER_AREAS!$B:$B,62))))),61,""),""),IF('CHOP DASHBOARD'!$B$4="Zone",IF(61&lt;=$S$4,IF(OR('CHOP DASHBOARD'!$C$4="",ISNUMBER(SEARCH('CHOP DASHBOARD'!$C$4,INDEX(MASTER_ZONES!$B:$B,62)))),61,""),""),""))</f>
        <v/>
      </c>
      <c r="Q62">
        <f>IFERROR(SMALL($P$2:$P$1487,61),"")</f>
        <v/>
      </c>
      <c r="R62">
        <f>IF(Q62="","",IF('CHOP DASHBOARD'!$B$4="Area",INDEX(MASTER_AREAS!$B:$B,Q62+1),INDEX(MASTER_ZONES!$B:$B,Q62+1)))</f>
        <v/>
      </c>
      <c r="U62">
        <f>IF('COMMUNITY CHURCH DASHBOARD'!$B$4="Area",IF(61&lt;=$X$3,IF(AND(OR('COMMUNITY CHURCH DASHBOARD'!$C$4="",ISNUMBER(SEARCH('COMMUNITY CHURCH DASHBOARD'!$C$4,INDEX(MASTER_AREAS!$B:$B,62))))),61,""),""),IF('COMMUNITY CHURCH DASHBOARD'!$B$4="Zone",IF(61&lt;=$X$4,IF(OR('COMMUNITY CHURCH DASHBOARD'!$C$4="",ISNUMBER(SEARCH('COMMUNITY CHURCH DASHBOARD'!$C$4,INDEX(MASTER_ZONES!$B:$B,62)))),61,""),""),""))</f>
        <v/>
      </c>
      <c r="V62">
        <f>IFERROR(SMALL($U$2:$U$1487,61),"")</f>
        <v/>
      </c>
      <c r="W62">
        <f>IF(V62="","",IF('COMMUNITY CHURCH DASHBOARD'!$B$4="Area",INDEX(MASTER_AREAS!$B:$B,V62+1),INDEX(MASTER_ZONES!$B:$B,V62+1)))</f>
        <v/>
      </c>
    </row>
    <row r="63">
      <c r="A63">
        <f>IF('WSF DASHBOARD'!$B$4="Area",IF(62&lt;=$D$3,IF(AND(OR('WSF DASHBOARD'!$C$4="",ISNUMBER(SEARCH('WSF DASHBOARD'!$C$4,INDEX(MASTER_AREAS!$B:$B,63))))),62,""),""),IF('WSF DASHBOARD'!$B$4="Zone",IF(62&lt;=$D$4,IF(OR('WSF DASHBOARD'!$C$4="",ISNUMBER(SEARCH('WSF DASHBOARD'!$C$4,INDEX(MASTER_ZONES!$B:$B,63)))),62,""),""),""))</f>
        <v/>
      </c>
      <c r="B63">
        <f>IFERROR(SMALL($A$2:$A$1487,62),"")</f>
        <v/>
      </c>
      <c r="C63">
        <f>IF(B63="","",IF('WSF DASHBOARD'!$B$4="Area",INDEX(MASTER_AREAS!$B:$B,B63+1),INDEX(MASTER_ZONES!$B:$B,B63+1)))</f>
        <v/>
      </c>
      <c r="F63">
        <f>IF('TRANSPORT DASHBOARD'!$B$4="Area",IF(62&lt;=$I$3,IF(AND(INDEX(MASTER_AREAS!$F:$F,63)&lt;&gt;"N",OR('TRANSPORT DASHBOARD'!$C$4="",ISNUMBER(SEARCH('TRANSPORT DASHBOARD'!$C$4,INDEX(MASTER_AREAS!$B:$B,63))))),62,""),""),IF('TRANSPORT DASHBOARD'!$B$4="Zone",IF(62&lt;=$I$4,IF(OR('TRANSPORT DASHBOARD'!$C$4="",ISNUMBER(SEARCH('TRANSPORT DASHBOARD'!$C$4,INDEX(MASTER_ZONES!$B:$B,63)))),62,""),""),""))</f>
        <v/>
      </c>
      <c r="G63">
        <f>IFERROR(SMALL($F$2:$F$1487,62),"")</f>
        <v/>
      </c>
      <c r="H63">
        <f>IF(G63="","",IF('TRANSPORT DASHBOARD'!$B$4="Area",INDEX(MASTER_AREAS!$B:$B,G63+1),INDEX(MASTER_ZONES!$B:$B,G63+1)))</f>
        <v/>
      </c>
      <c r="K63">
        <f>IF('MIDWEEK DASHBOARD'!$B$4="Area",IF(62&lt;=$N$3,IF(AND(OR('MIDWEEK DASHBOARD'!$C$4="",ISNUMBER(SEARCH('MIDWEEK DASHBOARD'!$C$4,INDEX(MASTER_AREAS!$B:$B,63))))),62,""),""),IF('MIDWEEK DASHBOARD'!$B$4="Zone",IF(62&lt;=$N$4,IF(OR('MIDWEEK DASHBOARD'!$C$4="",ISNUMBER(SEARCH('MIDWEEK DASHBOARD'!$C$4,INDEX(MASTER_ZONES!$B:$B,63)))),62,""),""),""))</f>
        <v/>
      </c>
      <c r="L63">
        <f>IFERROR(SMALL($K$2:$K$1487,62),"")</f>
        <v/>
      </c>
      <c r="M63">
        <f>IF(L63="","",IF('MIDWEEK DASHBOARD'!$B$4="Area",INDEX(MASTER_AREAS!$B:$B,L63+1),INDEX(MASTER_ZONES!$B:$B,L63+1)))</f>
        <v/>
      </c>
      <c r="P63">
        <f>IF('CHOP DASHBOARD'!$B$4="Area",IF(62&lt;=$S$3,IF(AND(OR('CHOP DASHBOARD'!$C$4="",ISNUMBER(SEARCH('CHOP DASHBOARD'!$C$4,INDEX(MASTER_AREAS!$B:$B,63))))),62,""),""),IF('CHOP DASHBOARD'!$B$4="Zone",IF(62&lt;=$S$4,IF(OR('CHOP DASHBOARD'!$C$4="",ISNUMBER(SEARCH('CHOP DASHBOARD'!$C$4,INDEX(MASTER_ZONES!$B:$B,63)))),62,""),""),""))</f>
        <v/>
      </c>
      <c r="Q63">
        <f>IFERROR(SMALL($P$2:$P$1487,62),"")</f>
        <v/>
      </c>
      <c r="R63">
        <f>IF(Q63="","",IF('CHOP DASHBOARD'!$B$4="Area",INDEX(MASTER_AREAS!$B:$B,Q63+1),INDEX(MASTER_ZONES!$B:$B,Q63+1)))</f>
        <v/>
      </c>
      <c r="U63">
        <f>IF('COMMUNITY CHURCH DASHBOARD'!$B$4="Area",IF(62&lt;=$X$3,IF(AND(OR('COMMUNITY CHURCH DASHBOARD'!$C$4="",ISNUMBER(SEARCH('COMMUNITY CHURCH DASHBOARD'!$C$4,INDEX(MASTER_AREAS!$B:$B,63))))),62,""),""),IF('COMMUNITY CHURCH DASHBOARD'!$B$4="Zone",IF(62&lt;=$X$4,IF(OR('COMMUNITY CHURCH DASHBOARD'!$C$4="",ISNUMBER(SEARCH('COMMUNITY CHURCH DASHBOARD'!$C$4,INDEX(MASTER_ZONES!$B:$B,63)))),62,""),""),""))</f>
        <v/>
      </c>
      <c r="V63">
        <f>IFERROR(SMALL($U$2:$U$1487,62),"")</f>
        <v/>
      </c>
      <c r="W63">
        <f>IF(V63="","",IF('COMMUNITY CHURCH DASHBOARD'!$B$4="Area",INDEX(MASTER_AREAS!$B:$B,V63+1),INDEX(MASTER_ZONES!$B:$B,V63+1)))</f>
        <v/>
      </c>
    </row>
    <row r="64">
      <c r="A64">
        <f>IF('WSF DASHBOARD'!$B$4="Area",IF(63&lt;=$D$3,IF(AND(OR('WSF DASHBOARD'!$C$4="",ISNUMBER(SEARCH('WSF DASHBOARD'!$C$4,INDEX(MASTER_AREAS!$B:$B,64))))),63,""),""),IF('WSF DASHBOARD'!$B$4="Zone",IF(63&lt;=$D$4,IF(OR('WSF DASHBOARD'!$C$4="",ISNUMBER(SEARCH('WSF DASHBOARD'!$C$4,INDEX(MASTER_ZONES!$B:$B,64)))),63,""),""),""))</f>
        <v/>
      </c>
      <c r="B64">
        <f>IFERROR(SMALL($A$2:$A$1487,63),"")</f>
        <v/>
      </c>
      <c r="C64">
        <f>IF(B64="","",IF('WSF DASHBOARD'!$B$4="Area",INDEX(MASTER_AREAS!$B:$B,B64+1),INDEX(MASTER_ZONES!$B:$B,B64+1)))</f>
        <v/>
      </c>
      <c r="F64">
        <f>IF('TRANSPORT DASHBOARD'!$B$4="Area",IF(63&lt;=$I$3,IF(AND(INDEX(MASTER_AREAS!$F:$F,64)&lt;&gt;"N",OR('TRANSPORT DASHBOARD'!$C$4="",ISNUMBER(SEARCH('TRANSPORT DASHBOARD'!$C$4,INDEX(MASTER_AREAS!$B:$B,64))))),63,""),""),IF('TRANSPORT DASHBOARD'!$B$4="Zone",IF(63&lt;=$I$4,IF(OR('TRANSPORT DASHBOARD'!$C$4="",ISNUMBER(SEARCH('TRANSPORT DASHBOARD'!$C$4,INDEX(MASTER_ZONES!$B:$B,64)))),63,""),""),""))</f>
        <v/>
      </c>
      <c r="G64">
        <f>IFERROR(SMALL($F$2:$F$1487,63),"")</f>
        <v/>
      </c>
      <c r="H64">
        <f>IF(G64="","",IF('TRANSPORT DASHBOARD'!$B$4="Area",INDEX(MASTER_AREAS!$B:$B,G64+1),INDEX(MASTER_ZONES!$B:$B,G64+1)))</f>
        <v/>
      </c>
      <c r="K64">
        <f>IF('MIDWEEK DASHBOARD'!$B$4="Area",IF(63&lt;=$N$3,IF(AND(OR('MIDWEEK DASHBOARD'!$C$4="",ISNUMBER(SEARCH('MIDWEEK DASHBOARD'!$C$4,INDEX(MASTER_AREAS!$B:$B,64))))),63,""),""),IF('MIDWEEK DASHBOARD'!$B$4="Zone",IF(63&lt;=$N$4,IF(OR('MIDWEEK DASHBOARD'!$C$4="",ISNUMBER(SEARCH('MIDWEEK DASHBOARD'!$C$4,INDEX(MASTER_ZONES!$B:$B,64)))),63,""),""),""))</f>
        <v/>
      </c>
      <c r="L64">
        <f>IFERROR(SMALL($K$2:$K$1487,63),"")</f>
        <v/>
      </c>
      <c r="M64">
        <f>IF(L64="","",IF('MIDWEEK DASHBOARD'!$B$4="Area",INDEX(MASTER_AREAS!$B:$B,L64+1),INDEX(MASTER_ZONES!$B:$B,L64+1)))</f>
        <v/>
      </c>
      <c r="P64">
        <f>IF('CHOP DASHBOARD'!$B$4="Area",IF(63&lt;=$S$3,IF(AND(OR('CHOP DASHBOARD'!$C$4="",ISNUMBER(SEARCH('CHOP DASHBOARD'!$C$4,INDEX(MASTER_AREAS!$B:$B,64))))),63,""),""),IF('CHOP DASHBOARD'!$B$4="Zone",IF(63&lt;=$S$4,IF(OR('CHOP DASHBOARD'!$C$4="",ISNUMBER(SEARCH('CHOP DASHBOARD'!$C$4,INDEX(MASTER_ZONES!$B:$B,64)))),63,""),""),""))</f>
        <v/>
      </c>
      <c r="Q64">
        <f>IFERROR(SMALL($P$2:$P$1487,63),"")</f>
        <v/>
      </c>
      <c r="R64">
        <f>IF(Q64="","",IF('CHOP DASHBOARD'!$B$4="Area",INDEX(MASTER_AREAS!$B:$B,Q64+1),INDEX(MASTER_ZONES!$B:$B,Q64+1)))</f>
        <v/>
      </c>
      <c r="U64">
        <f>IF('COMMUNITY CHURCH DASHBOARD'!$B$4="Area",IF(63&lt;=$X$3,IF(AND(OR('COMMUNITY CHURCH DASHBOARD'!$C$4="",ISNUMBER(SEARCH('COMMUNITY CHURCH DASHBOARD'!$C$4,INDEX(MASTER_AREAS!$B:$B,64))))),63,""),""),IF('COMMUNITY CHURCH DASHBOARD'!$B$4="Zone",IF(63&lt;=$X$4,IF(OR('COMMUNITY CHURCH DASHBOARD'!$C$4="",ISNUMBER(SEARCH('COMMUNITY CHURCH DASHBOARD'!$C$4,INDEX(MASTER_ZONES!$B:$B,64)))),63,""),""),""))</f>
        <v/>
      </c>
      <c r="V64">
        <f>IFERROR(SMALL($U$2:$U$1487,63),"")</f>
        <v/>
      </c>
      <c r="W64">
        <f>IF(V64="","",IF('COMMUNITY CHURCH DASHBOARD'!$B$4="Area",INDEX(MASTER_AREAS!$B:$B,V64+1),INDEX(MASTER_ZONES!$B:$B,V64+1)))</f>
        <v/>
      </c>
    </row>
    <row r="65">
      <c r="A65">
        <f>IF('WSF DASHBOARD'!$B$4="Area",IF(64&lt;=$D$3,IF(AND(OR('WSF DASHBOARD'!$C$4="",ISNUMBER(SEARCH('WSF DASHBOARD'!$C$4,INDEX(MASTER_AREAS!$B:$B,65))))),64,""),""),IF('WSF DASHBOARD'!$B$4="Zone",IF(64&lt;=$D$4,IF(OR('WSF DASHBOARD'!$C$4="",ISNUMBER(SEARCH('WSF DASHBOARD'!$C$4,INDEX(MASTER_ZONES!$B:$B,65)))),64,""),""),""))</f>
        <v/>
      </c>
      <c r="B65">
        <f>IFERROR(SMALL($A$2:$A$1487,64),"")</f>
        <v/>
      </c>
      <c r="C65">
        <f>IF(B65="","",IF('WSF DASHBOARD'!$B$4="Area",INDEX(MASTER_AREAS!$B:$B,B65+1),INDEX(MASTER_ZONES!$B:$B,B65+1)))</f>
        <v/>
      </c>
      <c r="F65">
        <f>IF('TRANSPORT DASHBOARD'!$B$4="Area",IF(64&lt;=$I$3,IF(AND(INDEX(MASTER_AREAS!$F:$F,65)&lt;&gt;"N",OR('TRANSPORT DASHBOARD'!$C$4="",ISNUMBER(SEARCH('TRANSPORT DASHBOARD'!$C$4,INDEX(MASTER_AREAS!$B:$B,65))))),64,""),""),IF('TRANSPORT DASHBOARD'!$B$4="Zone",IF(64&lt;=$I$4,IF(OR('TRANSPORT DASHBOARD'!$C$4="",ISNUMBER(SEARCH('TRANSPORT DASHBOARD'!$C$4,INDEX(MASTER_ZONES!$B:$B,65)))),64,""),""),""))</f>
        <v/>
      </c>
      <c r="G65">
        <f>IFERROR(SMALL($F$2:$F$1487,64),"")</f>
        <v/>
      </c>
      <c r="H65">
        <f>IF(G65="","",IF('TRANSPORT DASHBOARD'!$B$4="Area",INDEX(MASTER_AREAS!$B:$B,G65+1),INDEX(MASTER_ZONES!$B:$B,G65+1)))</f>
        <v/>
      </c>
      <c r="K65">
        <f>IF('MIDWEEK DASHBOARD'!$B$4="Area",IF(64&lt;=$N$3,IF(AND(OR('MIDWEEK DASHBOARD'!$C$4="",ISNUMBER(SEARCH('MIDWEEK DASHBOARD'!$C$4,INDEX(MASTER_AREAS!$B:$B,65))))),64,""),""),IF('MIDWEEK DASHBOARD'!$B$4="Zone",IF(64&lt;=$N$4,IF(OR('MIDWEEK DASHBOARD'!$C$4="",ISNUMBER(SEARCH('MIDWEEK DASHBOARD'!$C$4,INDEX(MASTER_ZONES!$B:$B,65)))),64,""),""),""))</f>
        <v/>
      </c>
      <c r="L65">
        <f>IFERROR(SMALL($K$2:$K$1487,64),"")</f>
        <v/>
      </c>
      <c r="M65">
        <f>IF(L65="","",IF('MIDWEEK DASHBOARD'!$B$4="Area",INDEX(MASTER_AREAS!$B:$B,L65+1),INDEX(MASTER_ZONES!$B:$B,L65+1)))</f>
        <v/>
      </c>
      <c r="P65">
        <f>IF('CHOP DASHBOARD'!$B$4="Area",IF(64&lt;=$S$3,IF(AND(OR('CHOP DASHBOARD'!$C$4="",ISNUMBER(SEARCH('CHOP DASHBOARD'!$C$4,INDEX(MASTER_AREAS!$B:$B,65))))),64,""),""),IF('CHOP DASHBOARD'!$B$4="Zone",IF(64&lt;=$S$4,IF(OR('CHOP DASHBOARD'!$C$4="",ISNUMBER(SEARCH('CHOP DASHBOARD'!$C$4,INDEX(MASTER_ZONES!$B:$B,65)))),64,""),""),""))</f>
        <v/>
      </c>
      <c r="Q65">
        <f>IFERROR(SMALL($P$2:$P$1487,64),"")</f>
        <v/>
      </c>
      <c r="R65">
        <f>IF(Q65="","",IF('CHOP DASHBOARD'!$B$4="Area",INDEX(MASTER_AREAS!$B:$B,Q65+1),INDEX(MASTER_ZONES!$B:$B,Q65+1)))</f>
        <v/>
      </c>
      <c r="U65">
        <f>IF('COMMUNITY CHURCH DASHBOARD'!$B$4="Area",IF(64&lt;=$X$3,IF(AND(OR('COMMUNITY CHURCH DASHBOARD'!$C$4="",ISNUMBER(SEARCH('COMMUNITY CHURCH DASHBOARD'!$C$4,INDEX(MASTER_AREAS!$B:$B,65))))),64,""),""),IF('COMMUNITY CHURCH DASHBOARD'!$B$4="Zone",IF(64&lt;=$X$4,IF(OR('COMMUNITY CHURCH DASHBOARD'!$C$4="",ISNUMBER(SEARCH('COMMUNITY CHURCH DASHBOARD'!$C$4,INDEX(MASTER_ZONES!$B:$B,65)))),64,""),""),""))</f>
        <v/>
      </c>
      <c r="V65">
        <f>IFERROR(SMALL($U$2:$U$1487,64),"")</f>
        <v/>
      </c>
      <c r="W65">
        <f>IF(V65="","",IF('COMMUNITY CHURCH DASHBOARD'!$B$4="Area",INDEX(MASTER_AREAS!$B:$B,V65+1),INDEX(MASTER_ZONES!$B:$B,V65+1)))</f>
        <v/>
      </c>
    </row>
    <row r="66">
      <c r="A66">
        <f>IF('WSF DASHBOARD'!$B$4="Area",IF(65&lt;=$D$3,IF(AND(OR('WSF DASHBOARD'!$C$4="",ISNUMBER(SEARCH('WSF DASHBOARD'!$C$4,INDEX(MASTER_AREAS!$B:$B,66))))),65,""),""),IF('WSF DASHBOARD'!$B$4="Zone",IF(65&lt;=$D$4,IF(OR('WSF DASHBOARD'!$C$4="",ISNUMBER(SEARCH('WSF DASHBOARD'!$C$4,INDEX(MASTER_ZONES!$B:$B,66)))),65,""),""),""))</f>
        <v/>
      </c>
      <c r="B66">
        <f>IFERROR(SMALL($A$2:$A$1487,65),"")</f>
        <v/>
      </c>
      <c r="C66">
        <f>IF(B66="","",IF('WSF DASHBOARD'!$B$4="Area",INDEX(MASTER_AREAS!$B:$B,B66+1),INDEX(MASTER_ZONES!$B:$B,B66+1)))</f>
        <v/>
      </c>
      <c r="F66">
        <f>IF('TRANSPORT DASHBOARD'!$B$4="Area",IF(65&lt;=$I$3,IF(AND(INDEX(MASTER_AREAS!$F:$F,66)&lt;&gt;"N",OR('TRANSPORT DASHBOARD'!$C$4="",ISNUMBER(SEARCH('TRANSPORT DASHBOARD'!$C$4,INDEX(MASTER_AREAS!$B:$B,66))))),65,""),""),IF('TRANSPORT DASHBOARD'!$B$4="Zone",IF(65&lt;=$I$4,IF(OR('TRANSPORT DASHBOARD'!$C$4="",ISNUMBER(SEARCH('TRANSPORT DASHBOARD'!$C$4,INDEX(MASTER_ZONES!$B:$B,66)))),65,""),""),""))</f>
        <v/>
      </c>
      <c r="G66">
        <f>IFERROR(SMALL($F$2:$F$1487,65),"")</f>
        <v/>
      </c>
      <c r="H66">
        <f>IF(G66="","",IF('TRANSPORT DASHBOARD'!$B$4="Area",INDEX(MASTER_AREAS!$B:$B,G66+1),INDEX(MASTER_ZONES!$B:$B,G66+1)))</f>
        <v/>
      </c>
      <c r="K66">
        <f>IF('MIDWEEK DASHBOARD'!$B$4="Area",IF(65&lt;=$N$3,IF(AND(OR('MIDWEEK DASHBOARD'!$C$4="",ISNUMBER(SEARCH('MIDWEEK DASHBOARD'!$C$4,INDEX(MASTER_AREAS!$B:$B,66))))),65,""),""),IF('MIDWEEK DASHBOARD'!$B$4="Zone",IF(65&lt;=$N$4,IF(OR('MIDWEEK DASHBOARD'!$C$4="",ISNUMBER(SEARCH('MIDWEEK DASHBOARD'!$C$4,INDEX(MASTER_ZONES!$B:$B,66)))),65,""),""),""))</f>
        <v/>
      </c>
      <c r="L66">
        <f>IFERROR(SMALL($K$2:$K$1487,65),"")</f>
        <v/>
      </c>
      <c r="M66">
        <f>IF(L66="","",IF('MIDWEEK DASHBOARD'!$B$4="Area",INDEX(MASTER_AREAS!$B:$B,L66+1),INDEX(MASTER_ZONES!$B:$B,L66+1)))</f>
        <v/>
      </c>
      <c r="P66">
        <f>IF('CHOP DASHBOARD'!$B$4="Area",IF(65&lt;=$S$3,IF(AND(OR('CHOP DASHBOARD'!$C$4="",ISNUMBER(SEARCH('CHOP DASHBOARD'!$C$4,INDEX(MASTER_AREAS!$B:$B,66))))),65,""),""),IF('CHOP DASHBOARD'!$B$4="Zone",IF(65&lt;=$S$4,IF(OR('CHOP DASHBOARD'!$C$4="",ISNUMBER(SEARCH('CHOP DASHBOARD'!$C$4,INDEX(MASTER_ZONES!$B:$B,66)))),65,""),""),""))</f>
        <v/>
      </c>
      <c r="Q66">
        <f>IFERROR(SMALL($P$2:$P$1487,65),"")</f>
        <v/>
      </c>
      <c r="R66">
        <f>IF(Q66="","",IF('CHOP DASHBOARD'!$B$4="Area",INDEX(MASTER_AREAS!$B:$B,Q66+1),INDEX(MASTER_ZONES!$B:$B,Q66+1)))</f>
        <v/>
      </c>
      <c r="U66">
        <f>IF('COMMUNITY CHURCH DASHBOARD'!$B$4="Area",IF(65&lt;=$X$3,IF(AND(OR('COMMUNITY CHURCH DASHBOARD'!$C$4="",ISNUMBER(SEARCH('COMMUNITY CHURCH DASHBOARD'!$C$4,INDEX(MASTER_AREAS!$B:$B,66))))),65,""),""),IF('COMMUNITY CHURCH DASHBOARD'!$B$4="Zone",IF(65&lt;=$X$4,IF(OR('COMMUNITY CHURCH DASHBOARD'!$C$4="",ISNUMBER(SEARCH('COMMUNITY CHURCH DASHBOARD'!$C$4,INDEX(MASTER_ZONES!$B:$B,66)))),65,""),""),""))</f>
        <v/>
      </c>
      <c r="V66">
        <f>IFERROR(SMALL($U$2:$U$1487,65),"")</f>
        <v/>
      </c>
      <c r="W66">
        <f>IF(V66="","",IF('COMMUNITY CHURCH DASHBOARD'!$B$4="Area",INDEX(MASTER_AREAS!$B:$B,V66+1),INDEX(MASTER_ZONES!$B:$B,V66+1)))</f>
        <v/>
      </c>
    </row>
    <row r="67">
      <c r="A67">
        <f>IF('WSF DASHBOARD'!$B$4="Area",IF(66&lt;=$D$3,IF(AND(OR('WSF DASHBOARD'!$C$4="",ISNUMBER(SEARCH('WSF DASHBOARD'!$C$4,INDEX(MASTER_AREAS!$B:$B,67))))),66,""),""),IF('WSF DASHBOARD'!$B$4="Zone",IF(66&lt;=$D$4,IF(OR('WSF DASHBOARD'!$C$4="",ISNUMBER(SEARCH('WSF DASHBOARD'!$C$4,INDEX(MASTER_ZONES!$B:$B,67)))),66,""),""),""))</f>
        <v/>
      </c>
      <c r="B67">
        <f>IFERROR(SMALL($A$2:$A$1487,66),"")</f>
        <v/>
      </c>
      <c r="C67">
        <f>IF(B67="","",IF('WSF DASHBOARD'!$B$4="Area",INDEX(MASTER_AREAS!$B:$B,B67+1),INDEX(MASTER_ZONES!$B:$B,B67+1)))</f>
        <v/>
      </c>
      <c r="F67">
        <f>IF('TRANSPORT DASHBOARD'!$B$4="Area",IF(66&lt;=$I$3,IF(AND(INDEX(MASTER_AREAS!$F:$F,67)&lt;&gt;"N",OR('TRANSPORT DASHBOARD'!$C$4="",ISNUMBER(SEARCH('TRANSPORT DASHBOARD'!$C$4,INDEX(MASTER_AREAS!$B:$B,67))))),66,""),""),IF('TRANSPORT DASHBOARD'!$B$4="Zone",IF(66&lt;=$I$4,IF(OR('TRANSPORT DASHBOARD'!$C$4="",ISNUMBER(SEARCH('TRANSPORT DASHBOARD'!$C$4,INDEX(MASTER_ZONES!$B:$B,67)))),66,""),""),""))</f>
        <v/>
      </c>
      <c r="G67">
        <f>IFERROR(SMALL($F$2:$F$1487,66),"")</f>
        <v/>
      </c>
      <c r="H67">
        <f>IF(G67="","",IF('TRANSPORT DASHBOARD'!$B$4="Area",INDEX(MASTER_AREAS!$B:$B,G67+1),INDEX(MASTER_ZONES!$B:$B,G67+1)))</f>
        <v/>
      </c>
      <c r="K67">
        <f>IF('MIDWEEK DASHBOARD'!$B$4="Area",IF(66&lt;=$N$3,IF(AND(OR('MIDWEEK DASHBOARD'!$C$4="",ISNUMBER(SEARCH('MIDWEEK DASHBOARD'!$C$4,INDEX(MASTER_AREAS!$B:$B,67))))),66,""),""),IF('MIDWEEK DASHBOARD'!$B$4="Zone",IF(66&lt;=$N$4,IF(OR('MIDWEEK DASHBOARD'!$C$4="",ISNUMBER(SEARCH('MIDWEEK DASHBOARD'!$C$4,INDEX(MASTER_ZONES!$B:$B,67)))),66,""),""),""))</f>
        <v/>
      </c>
      <c r="L67">
        <f>IFERROR(SMALL($K$2:$K$1487,66),"")</f>
        <v/>
      </c>
      <c r="M67">
        <f>IF(L67="","",IF('MIDWEEK DASHBOARD'!$B$4="Area",INDEX(MASTER_AREAS!$B:$B,L67+1),INDEX(MASTER_ZONES!$B:$B,L67+1)))</f>
        <v/>
      </c>
      <c r="P67">
        <f>IF('CHOP DASHBOARD'!$B$4="Area",IF(66&lt;=$S$3,IF(AND(OR('CHOP DASHBOARD'!$C$4="",ISNUMBER(SEARCH('CHOP DASHBOARD'!$C$4,INDEX(MASTER_AREAS!$B:$B,67))))),66,""),""),IF('CHOP DASHBOARD'!$B$4="Zone",IF(66&lt;=$S$4,IF(OR('CHOP DASHBOARD'!$C$4="",ISNUMBER(SEARCH('CHOP DASHBOARD'!$C$4,INDEX(MASTER_ZONES!$B:$B,67)))),66,""),""),""))</f>
        <v/>
      </c>
      <c r="Q67">
        <f>IFERROR(SMALL($P$2:$P$1487,66),"")</f>
        <v/>
      </c>
      <c r="R67">
        <f>IF(Q67="","",IF('CHOP DASHBOARD'!$B$4="Area",INDEX(MASTER_AREAS!$B:$B,Q67+1),INDEX(MASTER_ZONES!$B:$B,Q67+1)))</f>
        <v/>
      </c>
      <c r="U67">
        <f>IF('COMMUNITY CHURCH DASHBOARD'!$B$4="Area",IF(66&lt;=$X$3,IF(AND(OR('COMMUNITY CHURCH DASHBOARD'!$C$4="",ISNUMBER(SEARCH('COMMUNITY CHURCH DASHBOARD'!$C$4,INDEX(MASTER_AREAS!$B:$B,67))))),66,""),""),IF('COMMUNITY CHURCH DASHBOARD'!$B$4="Zone",IF(66&lt;=$X$4,IF(OR('COMMUNITY CHURCH DASHBOARD'!$C$4="",ISNUMBER(SEARCH('COMMUNITY CHURCH DASHBOARD'!$C$4,INDEX(MASTER_ZONES!$B:$B,67)))),66,""),""),""))</f>
        <v/>
      </c>
      <c r="V67">
        <f>IFERROR(SMALL($U$2:$U$1487,66),"")</f>
        <v/>
      </c>
      <c r="W67">
        <f>IF(V67="","",IF('COMMUNITY CHURCH DASHBOARD'!$B$4="Area",INDEX(MASTER_AREAS!$B:$B,V67+1),INDEX(MASTER_ZONES!$B:$B,V67+1)))</f>
        <v/>
      </c>
    </row>
    <row r="68">
      <c r="A68">
        <f>IF('WSF DASHBOARD'!$B$4="Area",IF(67&lt;=$D$3,IF(AND(OR('WSF DASHBOARD'!$C$4="",ISNUMBER(SEARCH('WSF DASHBOARD'!$C$4,INDEX(MASTER_AREAS!$B:$B,68))))),67,""),""),IF('WSF DASHBOARD'!$B$4="Zone",IF(67&lt;=$D$4,IF(OR('WSF DASHBOARD'!$C$4="",ISNUMBER(SEARCH('WSF DASHBOARD'!$C$4,INDEX(MASTER_ZONES!$B:$B,68)))),67,""),""),""))</f>
        <v/>
      </c>
      <c r="B68">
        <f>IFERROR(SMALL($A$2:$A$1487,67),"")</f>
        <v/>
      </c>
      <c r="C68">
        <f>IF(B68="","",IF('WSF DASHBOARD'!$B$4="Area",INDEX(MASTER_AREAS!$B:$B,B68+1),INDEX(MASTER_ZONES!$B:$B,B68+1)))</f>
        <v/>
      </c>
      <c r="F68">
        <f>IF('TRANSPORT DASHBOARD'!$B$4="Area",IF(67&lt;=$I$3,IF(AND(INDEX(MASTER_AREAS!$F:$F,68)&lt;&gt;"N",OR('TRANSPORT DASHBOARD'!$C$4="",ISNUMBER(SEARCH('TRANSPORT DASHBOARD'!$C$4,INDEX(MASTER_AREAS!$B:$B,68))))),67,""),""),IF('TRANSPORT DASHBOARD'!$B$4="Zone",IF(67&lt;=$I$4,IF(OR('TRANSPORT DASHBOARD'!$C$4="",ISNUMBER(SEARCH('TRANSPORT DASHBOARD'!$C$4,INDEX(MASTER_ZONES!$B:$B,68)))),67,""),""),""))</f>
        <v/>
      </c>
      <c r="G68">
        <f>IFERROR(SMALL($F$2:$F$1487,67),"")</f>
        <v/>
      </c>
      <c r="H68">
        <f>IF(G68="","",IF('TRANSPORT DASHBOARD'!$B$4="Area",INDEX(MASTER_AREAS!$B:$B,G68+1),INDEX(MASTER_ZONES!$B:$B,G68+1)))</f>
        <v/>
      </c>
      <c r="K68">
        <f>IF('MIDWEEK DASHBOARD'!$B$4="Area",IF(67&lt;=$N$3,IF(AND(OR('MIDWEEK DASHBOARD'!$C$4="",ISNUMBER(SEARCH('MIDWEEK DASHBOARD'!$C$4,INDEX(MASTER_AREAS!$B:$B,68))))),67,""),""),IF('MIDWEEK DASHBOARD'!$B$4="Zone",IF(67&lt;=$N$4,IF(OR('MIDWEEK DASHBOARD'!$C$4="",ISNUMBER(SEARCH('MIDWEEK DASHBOARD'!$C$4,INDEX(MASTER_ZONES!$B:$B,68)))),67,""),""),""))</f>
        <v/>
      </c>
      <c r="L68">
        <f>IFERROR(SMALL($K$2:$K$1487,67),"")</f>
        <v/>
      </c>
      <c r="M68">
        <f>IF(L68="","",IF('MIDWEEK DASHBOARD'!$B$4="Area",INDEX(MASTER_AREAS!$B:$B,L68+1),INDEX(MASTER_ZONES!$B:$B,L68+1)))</f>
        <v/>
      </c>
      <c r="P68">
        <f>IF('CHOP DASHBOARD'!$B$4="Area",IF(67&lt;=$S$3,IF(AND(OR('CHOP DASHBOARD'!$C$4="",ISNUMBER(SEARCH('CHOP DASHBOARD'!$C$4,INDEX(MASTER_AREAS!$B:$B,68))))),67,""),""),IF('CHOP DASHBOARD'!$B$4="Zone",IF(67&lt;=$S$4,IF(OR('CHOP DASHBOARD'!$C$4="",ISNUMBER(SEARCH('CHOP DASHBOARD'!$C$4,INDEX(MASTER_ZONES!$B:$B,68)))),67,""),""),""))</f>
        <v/>
      </c>
      <c r="Q68">
        <f>IFERROR(SMALL($P$2:$P$1487,67),"")</f>
        <v/>
      </c>
      <c r="R68">
        <f>IF(Q68="","",IF('CHOP DASHBOARD'!$B$4="Area",INDEX(MASTER_AREAS!$B:$B,Q68+1),INDEX(MASTER_ZONES!$B:$B,Q68+1)))</f>
        <v/>
      </c>
      <c r="U68">
        <f>IF('COMMUNITY CHURCH DASHBOARD'!$B$4="Area",IF(67&lt;=$X$3,IF(AND(OR('COMMUNITY CHURCH DASHBOARD'!$C$4="",ISNUMBER(SEARCH('COMMUNITY CHURCH DASHBOARD'!$C$4,INDEX(MASTER_AREAS!$B:$B,68))))),67,""),""),IF('COMMUNITY CHURCH DASHBOARD'!$B$4="Zone",IF(67&lt;=$X$4,IF(OR('COMMUNITY CHURCH DASHBOARD'!$C$4="",ISNUMBER(SEARCH('COMMUNITY CHURCH DASHBOARD'!$C$4,INDEX(MASTER_ZONES!$B:$B,68)))),67,""),""),""))</f>
        <v/>
      </c>
      <c r="V68">
        <f>IFERROR(SMALL($U$2:$U$1487,67),"")</f>
        <v/>
      </c>
      <c r="W68">
        <f>IF(V68="","",IF('COMMUNITY CHURCH DASHBOARD'!$B$4="Area",INDEX(MASTER_AREAS!$B:$B,V68+1),INDEX(MASTER_ZONES!$B:$B,V68+1)))</f>
        <v/>
      </c>
    </row>
    <row r="69">
      <c r="A69">
        <f>IF('WSF DASHBOARD'!$B$4="Area",IF(68&lt;=$D$3,IF(AND(OR('WSF DASHBOARD'!$C$4="",ISNUMBER(SEARCH('WSF DASHBOARD'!$C$4,INDEX(MASTER_AREAS!$B:$B,69))))),68,""),""),IF('WSF DASHBOARD'!$B$4="Zone",IF(68&lt;=$D$4,IF(OR('WSF DASHBOARD'!$C$4="",ISNUMBER(SEARCH('WSF DASHBOARD'!$C$4,INDEX(MASTER_ZONES!$B:$B,69)))),68,""),""),""))</f>
        <v/>
      </c>
      <c r="B69">
        <f>IFERROR(SMALL($A$2:$A$1487,68),"")</f>
        <v/>
      </c>
      <c r="C69">
        <f>IF(B69="","",IF('WSF DASHBOARD'!$B$4="Area",INDEX(MASTER_AREAS!$B:$B,B69+1),INDEX(MASTER_ZONES!$B:$B,B69+1)))</f>
        <v/>
      </c>
      <c r="F69">
        <f>IF('TRANSPORT DASHBOARD'!$B$4="Area",IF(68&lt;=$I$3,IF(AND(INDEX(MASTER_AREAS!$F:$F,69)&lt;&gt;"N",OR('TRANSPORT DASHBOARD'!$C$4="",ISNUMBER(SEARCH('TRANSPORT DASHBOARD'!$C$4,INDEX(MASTER_AREAS!$B:$B,69))))),68,""),""),IF('TRANSPORT DASHBOARD'!$B$4="Zone",IF(68&lt;=$I$4,IF(OR('TRANSPORT DASHBOARD'!$C$4="",ISNUMBER(SEARCH('TRANSPORT DASHBOARD'!$C$4,INDEX(MASTER_ZONES!$B:$B,69)))),68,""),""),""))</f>
        <v/>
      </c>
      <c r="G69">
        <f>IFERROR(SMALL($F$2:$F$1487,68),"")</f>
        <v/>
      </c>
      <c r="H69">
        <f>IF(G69="","",IF('TRANSPORT DASHBOARD'!$B$4="Area",INDEX(MASTER_AREAS!$B:$B,G69+1),INDEX(MASTER_ZONES!$B:$B,G69+1)))</f>
        <v/>
      </c>
      <c r="K69">
        <f>IF('MIDWEEK DASHBOARD'!$B$4="Area",IF(68&lt;=$N$3,IF(AND(OR('MIDWEEK DASHBOARD'!$C$4="",ISNUMBER(SEARCH('MIDWEEK DASHBOARD'!$C$4,INDEX(MASTER_AREAS!$B:$B,69))))),68,""),""),IF('MIDWEEK DASHBOARD'!$B$4="Zone",IF(68&lt;=$N$4,IF(OR('MIDWEEK DASHBOARD'!$C$4="",ISNUMBER(SEARCH('MIDWEEK DASHBOARD'!$C$4,INDEX(MASTER_ZONES!$B:$B,69)))),68,""),""),""))</f>
        <v/>
      </c>
      <c r="L69">
        <f>IFERROR(SMALL($K$2:$K$1487,68),"")</f>
        <v/>
      </c>
      <c r="M69">
        <f>IF(L69="","",IF('MIDWEEK DASHBOARD'!$B$4="Area",INDEX(MASTER_AREAS!$B:$B,L69+1),INDEX(MASTER_ZONES!$B:$B,L69+1)))</f>
        <v/>
      </c>
      <c r="P69">
        <f>IF('CHOP DASHBOARD'!$B$4="Area",IF(68&lt;=$S$3,IF(AND(OR('CHOP DASHBOARD'!$C$4="",ISNUMBER(SEARCH('CHOP DASHBOARD'!$C$4,INDEX(MASTER_AREAS!$B:$B,69))))),68,""),""),IF('CHOP DASHBOARD'!$B$4="Zone",IF(68&lt;=$S$4,IF(OR('CHOP DASHBOARD'!$C$4="",ISNUMBER(SEARCH('CHOP DASHBOARD'!$C$4,INDEX(MASTER_ZONES!$B:$B,69)))),68,""),""),""))</f>
        <v/>
      </c>
      <c r="Q69">
        <f>IFERROR(SMALL($P$2:$P$1487,68),"")</f>
        <v/>
      </c>
      <c r="R69">
        <f>IF(Q69="","",IF('CHOP DASHBOARD'!$B$4="Area",INDEX(MASTER_AREAS!$B:$B,Q69+1),INDEX(MASTER_ZONES!$B:$B,Q69+1)))</f>
        <v/>
      </c>
      <c r="U69">
        <f>IF('COMMUNITY CHURCH DASHBOARD'!$B$4="Area",IF(68&lt;=$X$3,IF(AND(OR('COMMUNITY CHURCH DASHBOARD'!$C$4="",ISNUMBER(SEARCH('COMMUNITY CHURCH DASHBOARD'!$C$4,INDEX(MASTER_AREAS!$B:$B,69))))),68,""),""),IF('COMMUNITY CHURCH DASHBOARD'!$B$4="Zone",IF(68&lt;=$X$4,IF(OR('COMMUNITY CHURCH DASHBOARD'!$C$4="",ISNUMBER(SEARCH('COMMUNITY CHURCH DASHBOARD'!$C$4,INDEX(MASTER_ZONES!$B:$B,69)))),68,""),""),""))</f>
        <v/>
      </c>
      <c r="V69">
        <f>IFERROR(SMALL($U$2:$U$1487,68),"")</f>
        <v/>
      </c>
      <c r="W69">
        <f>IF(V69="","",IF('COMMUNITY CHURCH DASHBOARD'!$B$4="Area",INDEX(MASTER_AREAS!$B:$B,V69+1),INDEX(MASTER_ZONES!$B:$B,V69+1)))</f>
        <v/>
      </c>
    </row>
    <row r="70">
      <c r="A70">
        <f>IF('WSF DASHBOARD'!$B$4="Area",IF(69&lt;=$D$3,IF(AND(OR('WSF DASHBOARD'!$C$4="",ISNUMBER(SEARCH('WSF DASHBOARD'!$C$4,INDEX(MASTER_AREAS!$B:$B,70))))),69,""),""),IF('WSF DASHBOARD'!$B$4="Zone",IF(69&lt;=$D$4,IF(OR('WSF DASHBOARD'!$C$4="",ISNUMBER(SEARCH('WSF DASHBOARD'!$C$4,INDEX(MASTER_ZONES!$B:$B,70)))),69,""),""),""))</f>
        <v/>
      </c>
      <c r="B70">
        <f>IFERROR(SMALL($A$2:$A$1487,69),"")</f>
        <v/>
      </c>
      <c r="C70">
        <f>IF(B70="","",IF('WSF DASHBOARD'!$B$4="Area",INDEX(MASTER_AREAS!$B:$B,B70+1),INDEX(MASTER_ZONES!$B:$B,B70+1)))</f>
        <v/>
      </c>
      <c r="F70">
        <f>IF('TRANSPORT DASHBOARD'!$B$4="Area",IF(69&lt;=$I$3,IF(AND(INDEX(MASTER_AREAS!$F:$F,70)&lt;&gt;"N",OR('TRANSPORT DASHBOARD'!$C$4="",ISNUMBER(SEARCH('TRANSPORT DASHBOARD'!$C$4,INDEX(MASTER_AREAS!$B:$B,70))))),69,""),""),IF('TRANSPORT DASHBOARD'!$B$4="Zone",IF(69&lt;=$I$4,IF(OR('TRANSPORT DASHBOARD'!$C$4="",ISNUMBER(SEARCH('TRANSPORT DASHBOARD'!$C$4,INDEX(MASTER_ZONES!$B:$B,70)))),69,""),""),""))</f>
        <v/>
      </c>
      <c r="G70">
        <f>IFERROR(SMALL($F$2:$F$1487,69),"")</f>
        <v/>
      </c>
      <c r="H70">
        <f>IF(G70="","",IF('TRANSPORT DASHBOARD'!$B$4="Area",INDEX(MASTER_AREAS!$B:$B,G70+1),INDEX(MASTER_ZONES!$B:$B,G70+1)))</f>
        <v/>
      </c>
      <c r="K70">
        <f>IF('MIDWEEK DASHBOARD'!$B$4="Area",IF(69&lt;=$N$3,IF(AND(OR('MIDWEEK DASHBOARD'!$C$4="",ISNUMBER(SEARCH('MIDWEEK DASHBOARD'!$C$4,INDEX(MASTER_AREAS!$B:$B,70))))),69,""),""),IF('MIDWEEK DASHBOARD'!$B$4="Zone",IF(69&lt;=$N$4,IF(OR('MIDWEEK DASHBOARD'!$C$4="",ISNUMBER(SEARCH('MIDWEEK DASHBOARD'!$C$4,INDEX(MASTER_ZONES!$B:$B,70)))),69,""),""),""))</f>
        <v/>
      </c>
      <c r="L70">
        <f>IFERROR(SMALL($K$2:$K$1487,69),"")</f>
        <v/>
      </c>
      <c r="M70">
        <f>IF(L70="","",IF('MIDWEEK DASHBOARD'!$B$4="Area",INDEX(MASTER_AREAS!$B:$B,L70+1),INDEX(MASTER_ZONES!$B:$B,L70+1)))</f>
        <v/>
      </c>
      <c r="P70">
        <f>IF('CHOP DASHBOARD'!$B$4="Area",IF(69&lt;=$S$3,IF(AND(OR('CHOP DASHBOARD'!$C$4="",ISNUMBER(SEARCH('CHOP DASHBOARD'!$C$4,INDEX(MASTER_AREAS!$B:$B,70))))),69,""),""),IF('CHOP DASHBOARD'!$B$4="Zone",IF(69&lt;=$S$4,IF(OR('CHOP DASHBOARD'!$C$4="",ISNUMBER(SEARCH('CHOP DASHBOARD'!$C$4,INDEX(MASTER_ZONES!$B:$B,70)))),69,""),""),""))</f>
        <v/>
      </c>
      <c r="Q70">
        <f>IFERROR(SMALL($P$2:$P$1487,69),"")</f>
        <v/>
      </c>
      <c r="R70">
        <f>IF(Q70="","",IF('CHOP DASHBOARD'!$B$4="Area",INDEX(MASTER_AREAS!$B:$B,Q70+1),INDEX(MASTER_ZONES!$B:$B,Q70+1)))</f>
        <v/>
      </c>
      <c r="U70">
        <f>IF('COMMUNITY CHURCH DASHBOARD'!$B$4="Area",IF(69&lt;=$X$3,IF(AND(OR('COMMUNITY CHURCH DASHBOARD'!$C$4="",ISNUMBER(SEARCH('COMMUNITY CHURCH DASHBOARD'!$C$4,INDEX(MASTER_AREAS!$B:$B,70))))),69,""),""),IF('COMMUNITY CHURCH DASHBOARD'!$B$4="Zone",IF(69&lt;=$X$4,IF(OR('COMMUNITY CHURCH DASHBOARD'!$C$4="",ISNUMBER(SEARCH('COMMUNITY CHURCH DASHBOARD'!$C$4,INDEX(MASTER_ZONES!$B:$B,70)))),69,""),""),""))</f>
        <v/>
      </c>
      <c r="V70">
        <f>IFERROR(SMALL($U$2:$U$1487,69),"")</f>
        <v/>
      </c>
      <c r="W70">
        <f>IF(V70="","",IF('COMMUNITY CHURCH DASHBOARD'!$B$4="Area",INDEX(MASTER_AREAS!$B:$B,V70+1),INDEX(MASTER_ZONES!$B:$B,V70+1)))</f>
        <v/>
      </c>
    </row>
    <row r="71">
      <c r="A71">
        <f>IF('WSF DASHBOARD'!$B$4="Area",IF(70&lt;=$D$3,IF(AND(OR('WSF DASHBOARD'!$C$4="",ISNUMBER(SEARCH('WSF DASHBOARD'!$C$4,INDEX(MASTER_AREAS!$B:$B,71))))),70,""),""),IF('WSF DASHBOARD'!$B$4="Zone",IF(70&lt;=$D$4,IF(OR('WSF DASHBOARD'!$C$4="",ISNUMBER(SEARCH('WSF DASHBOARD'!$C$4,INDEX(MASTER_ZONES!$B:$B,71)))),70,""),""),""))</f>
        <v/>
      </c>
      <c r="B71">
        <f>IFERROR(SMALL($A$2:$A$1487,70),"")</f>
        <v/>
      </c>
      <c r="C71">
        <f>IF(B71="","",IF('WSF DASHBOARD'!$B$4="Area",INDEX(MASTER_AREAS!$B:$B,B71+1),INDEX(MASTER_ZONES!$B:$B,B71+1)))</f>
        <v/>
      </c>
      <c r="F71">
        <f>IF('TRANSPORT DASHBOARD'!$B$4="Area",IF(70&lt;=$I$3,IF(AND(INDEX(MASTER_AREAS!$F:$F,71)&lt;&gt;"N",OR('TRANSPORT DASHBOARD'!$C$4="",ISNUMBER(SEARCH('TRANSPORT DASHBOARD'!$C$4,INDEX(MASTER_AREAS!$B:$B,71))))),70,""),""),IF('TRANSPORT DASHBOARD'!$B$4="Zone",IF(70&lt;=$I$4,IF(OR('TRANSPORT DASHBOARD'!$C$4="",ISNUMBER(SEARCH('TRANSPORT DASHBOARD'!$C$4,INDEX(MASTER_ZONES!$B:$B,71)))),70,""),""),""))</f>
        <v/>
      </c>
      <c r="G71">
        <f>IFERROR(SMALL($F$2:$F$1487,70),"")</f>
        <v/>
      </c>
      <c r="H71">
        <f>IF(G71="","",IF('TRANSPORT DASHBOARD'!$B$4="Area",INDEX(MASTER_AREAS!$B:$B,G71+1),INDEX(MASTER_ZONES!$B:$B,G71+1)))</f>
        <v/>
      </c>
      <c r="K71">
        <f>IF('MIDWEEK DASHBOARD'!$B$4="Area",IF(70&lt;=$N$3,IF(AND(OR('MIDWEEK DASHBOARD'!$C$4="",ISNUMBER(SEARCH('MIDWEEK DASHBOARD'!$C$4,INDEX(MASTER_AREAS!$B:$B,71))))),70,""),""),IF('MIDWEEK DASHBOARD'!$B$4="Zone",IF(70&lt;=$N$4,IF(OR('MIDWEEK DASHBOARD'!$C$4="",ISNUMBER(SEARCH('MIDWEEK DASHBOARD'!$C$4,INDEX(MASTER_ZONES!$B:$B,71)))),70,""),""),""))</f>
        <v/>
      </c>
      <c r="L71">
        <f>IFERROR(SMALL($K$2:$K$1487,70),"")</f>
        <v/>
      </c>
      <c r="M71">
        <f>IF(L71="","",IF('MIDWEEK DASHBOARD'!$B$4="Area",INDEX(MASTER_AREAS!$B:$B,L71+1),INDEX(MASTER_ZONES!$B:$B,L71+1)))</f>
        <v/>
      </c>
      <c r="P71">
        <f>IF('CHOP DASHBOARD'!$B$4="Area",IF(70&lt;=$S$3,IF(AND(OR('CHOP DASHBOARD'!$C$4="",ISNUMBER(SEARCH('CHOP DASHBOARD'!$C$4,INDEX(MASTER_AREAS!$B:$B,71))))),70,""),""),IF('CHOP DASHBOARD'!$B$4="Zone",IF(70&lt;=$S$4,IF(OR('CHOP DASHBOARD'!$C$4="",ISNUMBER(SEARCH('CHOP DASHBOARD'!$C$4,INDEX(MASTER_ZONES!$B:$B,71)))),70,""),""),""))</f>
        <v/>
      </c>
      <c r="Q71">
        <f>IFERROR(SMALL($P$2:$P$1487,70),"")</f>
        <v/>
      </c>
      <c r="R71">
        <f>IF(Q71="","",IF('CHOP DASHBOARD'!$B$4="Area",INDEX(MASTER_AREAS!$B:$B,Q71+1),INDEX(MASTER_ZONES!$B:$B,Q71+1)))</f>
        <v/>
      </c>
      <c r="U71">
        <f>IF('COMMUNITY CHURCH DASHBOARD'!$B$4="Area",IF(70&lt;=$X$3,IF(AND(OR('COMMUNITY CHURCH DASHBOARD'!$C$4="",ISNUMBER(SEARCH('COMMUNITY CHURCH DASHBOARD'!$C$4,INDEX(MASTER_AREAS!$B:$B,71))))),70,""),""),IF('COMMUNITY CHURCH DASHBOARD'!$B$4="Zone",IF(70&lt;=$X$4,IF(OR('COMMUNITY CHURCH DASHBOARD'!$C$4="",ISNUMBER(SEARCH('COMMUNITY CHURCH DASHBOARD'!$C$4,INDEX(MASTER_ZONES!$B:$B,71)))),70,""),""),""))</f>
        <v/>
      </c>
      <c r="V71">
        <f>IFERROR(SMALL($U$2:$U$1487,70),"")</f>
        <v/>
      </c>
      <c r="W71">
        <f>IF(V71="","",IF('COMMUNITY CHURCH DASHBOARD'!$B$4="Area",INDEX(MASTER_AREAS!$B:$B,V71+1),INDEX(MASTER_ZONES!$B:$B,V71+1)))</f>
        <v/>
      </c>
    </row>
    <row r="72">
      <c r="A72">
        <f>IF('WSF DASHBOARD'!$B$4="Area",IF(71&lt;=$D$3,IF(AND(OR('WSF DASHBOARD'!$C$4="",ISNUMBER(SEARCH('WSF DASHBOARD'!$C$4,INDEX(MASTER_AREAS!$B:$B,72))))),71,""),""),IF('WSF DASHBOARD'!$B$4="Zone",IF(71&lt;=$D$4,IF(OR('WSF DASHBOARD'!$C$4="",ISNUMBER(SEARCH('WSF DASHBOARD'!$C$4,INDEX(MASTER_ZONES!$B:$B,72)))),71,""),""),""))</f>
        <v/>
      </c>
      <c r="B72">
        <f>IFERROR(SMALL($A$2:$A$1487,71),"")</f>
        <v/>
      </c>
      <c r="C72">
        <f>IF(B72="","",IF('WSF DASHBOARD'!$B$4="Area",INDEX(MASTER_AREAS!$B:$B,B72+1),INDEX(MASTER_ZONES!$B:$B,B72+1)))</f>
        <v/>
      </c>
      <c r="F72">
        <f>IF('TRANSPORT DASHBOARD'!$B$4="Area",IF(71&lt;=$I$3,IF(AND(INDEX(MASTER_AREAS!$F:$F,72)&lt;&gt;"N",OR('TRANSPORT DASHBOARD'!$C$4="",ISNUMBER(SEARCH('TRANSPORT DASHBOARD'!$C$4,INDEX(MASTER_AREAS!$B:$B,72))))),71,""),""),IF('TRANSPORT DASHBOARD'!$B$4="Zone",IF(71&lt;=$I$4,IF(OR('TRANSPORT DASHBOARD'!$C$4="",ISNUMBER(SEARCH('TRANSPORT DASHBOARD'!$C$4,INDEX(MASTER_ZONES!$B:$B,72)))),71,""),""),""))</f>
        <v/>
      </c>
      <c r="G72">
        <f>IFERROR(SMALL($F$2:$F$1487,71),"")</f>
        <v/>
      </c>
      <c r="H72">
        <f>IF(G72="","",IF('TRANSPORT DASHBOARD'!$B$4="Area",INDEX(MASTER_AREAS!$B:$B,G72+1),INDEX(MASTER_ZONES!$B:$B,G72+1)))</f>
        <v/>
      </c>
      <c r="K72">
        <f>IF('MIDWEEK DASHBOARD'!$B$4="Area",IF(71&lt;=$N$3,IF(AND(OR('MIDWEEK DASHBOARD'!$C$4="",ISNUMBER(SEARCH('MIDWEEK DASHBOARD'!$C$4,INDEX(MASTER_AREAS!$B:$B,72))))),71,""),""),IF('MIDWEEK DASHBOARD'!$B$4="Zone",IF(71&lt;=$N$4,IF(OR('MIDWEEK DASHBOARD'!$C$4="",ISNUMBER(SEARCH('MIDWEEK DASHBOARD'!$C$4,INDEX(MASTER_ZONES!$B:$B,72)))),71,""),""),""))</f>
        <v/>
      </c>
      <c r="L72">
        <f>IFERROR(SMALL($K$2:$K$1487,71),"")</f>
        <v/>
      </c>
      <c r="M72">
        <f>IF(L72="","",IF('MIDWEEK DASHBOARD'!$B$4="Area",INDEX(MASTER_AREAS!$B:$B,L72+1),INDEX(MASTER_ZONES!$B:$B,L72+1)))</f>
        <v/>
      </c>
      <c r="P72">
        <f>IF('CHOP DASHBOARD'!$B$4="Area",IF(71&lt;=$S$3,IF(AND(OR('CHOP DASHBOARD'!$C$4="",ISNUMBER(SEARCH('CHOP DASHBOARD'!$C$4,INDEX(MASTER_AREAS!$B:$B,72))))),71,""),""),IF('CHOP DASHBOARD'!$B$4="Zone",IF(71&lt;=$S$4,IF(OR('CHOP DASHBOARD'!$C$4="",ISNUMBER(SEARCH('CHOP DASHBOARD'!$C$4,INDEX(MASTER_ZONES!$B:$B,72)))),71,""),""),""))</f>
        <v/>
      </c>
      <c r="Q72">
        <f>IFERROR(SMALL($P$2:$P$1487,71),"")</f>
        <v/>
      </c>
      <c r="R72">
        <f>IF(Q72="","",IF('CHOP DASHBOARD'!$B$4="Area",INDEX(MASTER_AREAS!$B:$B,Q72+1),INDEX(MASTER_ZONES!$B:$B,Q72+1)))</f>
        <v/>
      </c>
      <c r="U72">
        <f>IF('COMMUNITY CHURCH DASHBOARD'!$B$4="Area",IF(71&lt;=$X$3,IF(AND(OR('COMMUNITY CHURCH DASHBOARD'!$C$4="",ISNUMBER(SEARCH('COMMUNITY CHURCH DASHBOARD'!$C$4,INDEX(MASTER_AREAS!$B:$B,72))))),71,""),""),IF('COMMUNITY CHURCH DASHBOARD'!$B$4="Zone",IF(71&lt;=$X$4,IF(OR('COMMUNITY CHURCH DASHBOARD'!$C$4="",ISNUMBER(SEARCH('COMMUNITY CHURCH DASHBOARD'!$C$4,INDEX(MASTER_ZONES!$B:$B,72)))),71,""),""),""))</f>
        <v/>
      </c>
      <c r="V72">
        <f>IFERROR(SMALL($U$2:$U$1487,71),"")</f>
        <v/>
      </c>
      <c r="W72">
        <f>IF(V72="","",IF('COMMUNITY CHURCH DASHBOARD'!$B$4="Area",INDEX(MASTER_AREAS!$B:$B,V72+1),INDEX(MASTER_ZONES!$B:$B,V72+1)))</f>
        <v/>
      </c>
    </row>
    <row r="73">
      <c r="A73">
        <f>IF('WSF DASHBOARD'!$B$4="Area",IF(72&lt;=$D$3,IF(AND(OR('WSF DASHBOARD'!$C$4="",ISNUMBER(SEARCH('WSF DASHBOARD'!$C$4,INDEX(MASTER_AREAS!$B:$B,73))))),72,""),""),IF('WSF DASHBOARD'!$B$4="Zone",IF(72&lt;=$D$4,IF(OR('WSF DASHBOARD'!$C$4="",ISNUMBER(SEARCH('WSF DASHBOARD'!$C$4,INDEX(MASTER_ZONES!$B:$B,73)))),72,""),""),""))</f>
        <v/>
      </c>
      <c r="B73">
        <f>IFERROR(SMALL($A$2:$A$1487,72),"")</f>
        <v/>
      </c>
      <c r="C73">
        <f>IF(B73="","",IF('WSF DASHBOARD'!$B$4="Area",INDEX(MASTER_AREAS!$B:$B,B73+1),INDEX(MASTER_ZONES!$B:$B,B73+1)))</f>
        <v/>
      </c>
      <c r="F73">
        <f>IF('TRANSPORT DASHBOARD'!$B$4="Area",IF(72&lt;=$I$3,IF(AND(INDEX(MASTER_AREAS!$F:$F,73)&lt;&gt;"N",OR('TRANSPORT DASHBOARD'!$C$4="",ISNUMBER(SEARCH('TRANSPORT DASHBOARD'!$C$4,INDEX(MASTER_AREAS!$B:$B,73))))),72,""),""),IF('TRANSPORT DASHBOARD'!$B$4="Zone",IF(72&lt;=$I$4,IF(OR('TRANSPORT DASHBOARD'!$C$4="",ISNUMBER(SEARCH('TRANSPORT DASHBOARD'!$C$4,INDEX(MASTER_ZONES!$B:$B,73)))),72,""),""),""))</f>
        <v/>
      </c>
      <c r="G73">
        <f>IFERROR(SMALL($F$2:$F$1487,72),"")</f>
        <v/>
      </c>
      <c r="H73">
        <f>IF(G73="","",IF('TRANSPORT DASHBOARD'!$B$4="Area",INDEX(MASTER_AREAS!$B:$B,G73+1),INDEX(MASTER_ZONES!$B:$B,G73+1)))</f>
        <v/>
      </c>
      <c r="K73">
        <f>IF('MIDWEEK DASHBOARD'!$B$4="Area",IF(72&lt;=$N$3,IF(AND(OR('MIDWEEK DASHBOARD'!$C$4="",ISNUMBER(SEARCH('MIDWEEK DASHBOARD'!$C$4,INDEX(MASTER_AREAS!$B:$B,73))))),72,""),""),IF('MIDWEEK DASHBOARD'!$B$4="Zone",IF(72&lt;=$N$4,IF(OR('MIDWEEK DASHBOARD'!$C$4="",ISNUMBER(SEARCH('MIDWEEK DASHBOARD'!$C$4,INDEX(MASTER_ZONES!$B:$B,73)))),72,""),""),""))</f>
        <v/>
      </c>
      <c r="L73">
        <f>IFERROR(SMALL($K$2:$K$1487,72),"")</f>
        <v/>
      </c>
      <c r="M73">
        <f>IF(L73="","",IF('MIDWEEK DASHBOARD'!$B$4="Area",INDEX(MASTER_AREAS!$B:$B,L73+1),INDEX(MASTER_ZONES!$B:$B,L73+1)))</f>
        <v/>
      </c>
      <c r="P73">
        <f>IF('CHOP DASHBOARD'!$B$4="Area",IF(72&lt;=$S$3,IF(AND(OR('CHOP DASHBOARD'!$C$4="",ISNUMBER(SEARCH('CHOP DASHBOARD'!$C$4,INDEX(MASTER_AREAS!$B:$B,73))))),72,""),""),IF('CHOP DASHBOARD'!$B$4="Zone",IF(72&lt;=$S$4,IF(OR('CHOP DASHBOARD'!$C$4="",ISNUMBER(SEARCH('CHOP DASHBOARD'!$C$4,INDEX(MASTER_ZONES!$B:$B,73)))),72,""),""),""))</f>
        <v/>
      </c>
      <c r="Q73">
        <f>IFERROR(SMALL($P$2:$P$1487,72),"")</f>
        <v/>
      </c>
      <c r="R73">
        <f>IF(Q73="","",IF('CHOP DASHBOARD'!$B$4="Area",INDEX(MASTER_AREAS!$B:$B,Q73+1),INDEX(MASTER_ZONES!$B:$B,Q73+1)))</f>
        <v/>
      </c>
      <c r="U73">
        <f>IF('COMMUNITY CHURCH DASHBOARD'!$B$4="Area",IF(72&lt;=$X$3,IF(AND(OR('COMMUNITY CHURCH DASHBOARD'!$C$4="",ISNUMBER(SEARCH('COMMUNITY CHURCH DASHBOARD'!$C$4,INDEX(MASTER_AREAS!$B:$B,73))))),72,""),""),IF('COMMUNITY CHURCH DASHBOARD'!$B$4="Zone",IF(72&lt;=$X$4,IF(OR('COMMUNITY CHURCH DASHBOARD'!$C$4="",ISNUMBER(SEARCH('COMMUNITY CHURCH DASHBOARD'!$C$4,INDEX(MASTER_ZONES!$B:$B,73)))),72,""),""),""))</f>
        <v/>
      </c>
      <c r="V73">
        <f>IFERROR(SMALL($U$2:$U$1487,72),"")</f>
        <v/>
      </c>
      <c r="W73">
        <f>IF(V73="","",IF('COMMUNITY CHURCH DASHBOARD'!$B$4="Area",INDEX(MASTER_AREAS!$B:$B,V73+1),INDEX(MASTER_ZONES!$B:$B,V73+1)))</f>
        <v/>
      </c>
    </row>
    <row r="74">
      <c r="A74">
        <f>IF('WSF DASHBOARD'!$B$4="Area",IF(73&lt;=$D$3,IF(AND(OR('WSF DASHBOARD'!$C$4="",ISNUMBER(SEARCH('WSF DASHBOARD'!$C$4,INDEX(MASTER_AREAS!$B:$B,74))))),73,""),""),IF('WSF DASHBOARD'!$B$4="Zone",IF(73&lt;=$D$4,IF(OR('WSF DASHBOARD'!$C$4="",ISNUMBER(SEARCH('WSF DASHBOARD'!$C$4,INDEX(MASTER_ZONES!$B:$B,74)))),73,""),""),""))</f>
        <v/>
      </c>
      <c r="B74">
        <f>IFERROR(SMALL($A$2:$A$1487,73),"")</f>
        <v/>
      </c>
      <c r="C74">
        <f>IF(B74="","",IF('WSF DASHBOARD'!$B$4="Area",INDEX(MASTER_AREAS!$B:$B,B74+1),INDEX(MASTER_ZONES!$B:$B,B74+1)))</f>
        <v/>
      </c>
      <c r="F74">
        <f>IF('TRANSPORT DASHBOARD'!$B$4="Area",IF(73&lt;=$I$3,IF(AND(INDEX(MASTER_AREAS!$F:$F,74)&lt;&gt;"N",OR('TRANSPORT DASHBOARD'!$C$4="",ISNUMBER(SEARCH('TRANSPORT DASHBOARD'!$C$4,INDEX(MASTER_AREAS!$B:$B,74))))),73,""),""),IF('TRANSPORT DASHBOARD'!$B$4="Zone",IF(73&lt;=$I$4,IF(OR('TRANSPORT DASHBOARD'!$C$4="",ISNUMBER(SEARCH('TRANSPORT DASHBOARD'!$C$4,INDEX(MASTER_ZONES!$B:$B,74)))),73,""),""),""))</f>
        <v/>
      </c>
      <c r="G74">
        <f>IFERROR(SMALL($F$2:$F$1487,73),"")</f>
        <v/>
      </c>
      <c r="H74">
        <f>IF(G74="","",IF('TRANSPORT DASHBOARD'!$B$4="Area",INDEX(MASTER_AREAS!$B:$B,G74+1),INDEX(MASTER_ZONES!$B:$B,G74+1)))</f>
        <v/>
      </c>
      <c r="K74">
        <f>IF('MIDWEEK DASHBOARD'!$B$4="Area",IF(73&lt;=$N$3,IF(AND(OR('MIDWEEK DASHBOARD'!$C$4="",ISNUMBER(SEARCH('MIDWEEK DASHBOARD'!$C$4,INDEX(MASTER_AREAS!$B:$B,74))))),73,""),""),IF('MIDWEEK DASHBOARD'!$B$4="Zone",IF(73&lt;=$N$4,IF(OR('MIDWEEK DASHBOARD'!$C$4="",ISNUMBER(SEARCH('MIDWEEK DASHBOARD'!$C$4,INDEX(MASTER_ZONES!$B:$B,74)))),73,""),""),""))</f>
        <v/>
      </c>
      <c r="L74">
        <f>IFERROR(SMALL($K$2:$K$1487,73),"")</f>
        <v/>
      </c>
      <c r="M74">
        <f>IF(L74="","",IF('MIDWEEK DASHBOARD'!$B$4="Area",INDEX(MASTER_AREAS!$B:$B,L74+1),INDEX(MASTER_ZONES!$B:$B,L74+1)))</f>
        <v/>
      </c>
      <c r="P74">
        <f>IF('CHOP DASHBOARD'!$B$4="Area",IF(73&lt;=$S$3,IF(AND(OR('CHOP DASHBOARD'!$C$4="",ISNUMBER(SEARCH('CHOP DASHBOARD'!$C$4,INDEX(MASTER_AREAS!$B:$B,74))))),73,""),""),IF('CHOP DASHBOARD'!$B$4="Zone",IF(73&lt;=$S$4,IF(OR('CHOP DASHBOARD'!$C$4="",ISNUMBER(SEARCH('CHOP DASHBOARD'!$C$4,INDEX(MASTER_ZONES!$B:$B,74)))),73,""),""),""))</f>
        <v/>
      </c>
      <c r="Q74">
        <f>IFERROR(SMALL($P$2:$P$1487,73),"")</f>
        <v/>
      </c>
      <c r="R74">
        <f>IF(Q74="","",IF('CHOP DASHBOARD'!$B$4="Area",INDEX(MASTER_AREAS!$B:$B,Q74+1),INDEX(MASTER_ZONES!$B:$B,Q74+1)))</f>
        <v/>
      </c>
      <c r="U74">
        <f>IF('COMMUNITY CHURCH DASHBOARD'!$B$4="Area",IF(73&lt;=$X$3,IF(AND(OR('COMMUNITY CHURCH DASHBOARD'!$C$4="",ISNUMBER(SEARCH('COMMUNITY CHURCH DASHBOARD'!$C$4,INDEX(MASTER_AREAS!$B:$B,74))))),73,""),""),IF('COMMUNITY CHURCH DASHBOARD'!$B$4="Zone",IF(73&lt;=$X$4,IF(OR('COMMUNITY CHURCH DASHBOARD'!$C$4="",ISNUMBER(SEARCH('COMMUNITY CHURCH DASHBOARD'!$C$4,INDEX(MASTER_ZONES!$B:$B,74)))),73,""),""),""))</f>
        <v/>
      </c>
      <c r="V74">
        <f>IFERROR(SMALL($U$2:$U$1487,73),"")</f>
        <v/>
      </c>
      <c r="W74">
        <f>IF(V74="","",IF('COMMUNITY CHURCH DASHBOARD'!$B$4="Area",INDEX(MASTER_AREAS!$B:$B,V74+1),INDEX(MASTER_ZONES!$B:$B,V74+1)))</f>
        <v/>
      </c>
    </row>
    <row r="75">
      <c r="A75">
        <f>IF('WSF DASHBOARD'!$B$4="Area",IF(74&lt;=$D$3,IF(AND(OR('WSF DASHBOARD'!$C$4="",ISNUMBER(SEARCH('WSF DASHBOARD'!$C$4,INDEX(MASTER_AREAS!$B:$B,75))))),74,""),""),IF('WSF DASHBOARD'!$B$4="Zone",IF(74&lt;=$D$4,IF(OR('WSF DASHBOARD'!$C$4="",ISNUMBER(SEARCH('WSF DASHBOARD'!$C$4,INDEX(MASTER_ZONES!$B:$B,75)))),74,""),""),""))</f>
        <v/>
      </c>
      <c r="B75">
        <f>IFERROR(SMALL($A$2:$A$1487,74),"")</f>
        <v/>
      </c>
      <c r="C75">
        <f>IF(B75="","",IF('WSF DASHBOARD'!$B$4="Area",INDEX(MASTER_AREAS!$B:$B,B75+1),INDEX(MASTER_ZONES!$B:$B,B75+1)))</f>
        <v/>
      </c>
      <c r="F75">
        <f>IF('TRANSPORT DASHBOARD'!$B$4="Area",IF(74&lt;=$I$3,IF(AND(INDEX(MASTER_AREAS!$F:$F,75)&lt;&gt;"N",OR('TRANSPORT DASHBOARD'!$C$4="",ISNUMBER(SEARCH('TRANSPORT DASHBOARD'!$C$4,INDEX(MASTER_AREAS!$B:$B,75))))),74,""),""),IF('TRANSPORT DASHBOARD'!$B$4="Zone",IF(74&lt;=$I$4,IF(OR('TRANSPORT DASHBOARD'!$C$4="",ISNUMBER(SEARCH('TRANSPORT DASHBOARD'!$C$4,INDEX(MASTER_ZONES!$B:$B,75)))),74,""),""),""))</f>
        <v/>
      </c>
      <c r="G75">
        <f>IFERROR(SMALL($F$2:$F$1487,74),"")</f>
        <v/>
      </c>
      <c r="H75">
        <f>IF(G75="","",IF('TRANSPORT DASHBOARD'!$B$4="Area",INDEX(MASTER_AREAS!$B:$B,G75+1),INDEX(MASTER_ZONES!$B:$B,G75+1)))</f>
        <v/>
      </c>
      <c r="K75">
        <f>IF('MIDWEEK DASHBOARD'!$B$4="Area",IF(74&lt;=$N$3,IF(AND(OR('MIDWEEK DASHBOARD'!$C$4="",ISNUMBER(SEARCH('MIDWEEK DASHBOARD'!$C$4,INDEX(MASTER_AREAS!$B:$B,75))))),74,""),""),IF('MIDWEEK DASHBOARD'!$B$4="Zone",IF(74&lt;=$N$4,IF(OR('MIDWEEK DASHBOARD'!$C$4="",ISNUMBER(SEARCH('MIDWEEK DASHBOARD'!$C$4,INDEX(MASTER_ZONES!$B:$B,75)))),74,""),""),""))</f>
        <v/>
      </c>
      <c r="L75">
        <f>IFERROR(SMALL($K$2:$K$1487,74),"")</f>
        <v/>
      </c>
      <c r="M75">
        <f>IF(L75="","",IF('MIDWEEK DASHBOARD'!$B$4="Area",INDEX(MASTER_AREAS!$B:$B,L75+1),INDEX(MASTER_ZONES!$B:$B,L75+1)))</f>
        <v/>
      </c>
      <c r="P75">
        <f>IF('CHOP DASHBOARD'!$B$4="Area",IF(74&lt;=$S$3,IF(AND(OR('CHOP DASHBOARD'!$C$4="",ISNUMBER(SEARCH('CHOP DASHBOARD'!$C$4,INDEX(MASTER_AREAS!$B:$B,75))))),74,""),""),IF('CHOP DASHBOARD'!$B$4="Zone",IF(74&lt;=$S$4,IF(OR('CHOP DASHBOARD'!$C$4="",ISNUMBER(SEARCH('CHOP DASHBOARD'!$C$4,INDEX(MASTER_ZONES!$B:$B,75)))),74,""),""),""))</f>
        <v/>
      </c>
      <c r="Q75">
        <f>IFERROR(SMALL($P$2:$P$1487,74),"")</f>
        <v/>
      </c>
      <c r="R75">
        <f>IF(Q75="","",IF('CHOP DASHBOARD'!$B$4="Area",INDEX(MASTER_AREAS!$B:$B,Q75+1),INDEX(MASTER_ZONES!$B:$B,Q75+1)))</f>
        <v/>
      </c>
      <c r="U75">
        <f>IF('COMMUNITY CHURCH DASHBOARD'!$B$4="Area",IF(74&lt;=$X$3,IF(AND(OR('COMMUNITY CHURCH DASHBOARD'!$C$4="",ISNUMBER(SEARCH('COMMUNITY CHURCH DASHBOARD'!$C$4,INDEX(MASTER_AREAS!$B:$B,75))))),74,""),""),IF('COMMUNITY CHURCH DASHBOARD'!$B$4="Zone",IF(74&lt;=$X$4,IF(OR('COMMUNITY CHURCH DASHBOARD'!$C$4="",ISNUMBER(SEARCH('COMMUNITY CHURCH DASHBOARD'!$C$4,INDEX(MASTER_ZONES!$B:$B,75)))),74,""),""),""))</f>
        <v/>
      </c>
      <c r="V75">
        <f>IFERROR(SMALL($U$2:$U$1487,74),"")</f>
        <v/>
      </c>
      <c r="W75">
        <f>IF(V75="","",IF('COMMUNITY CHURCH DASHBOARD'!$B$4="Area",INDEX(MASTER_AREAS!$B:$B,V75+1),INDEX(MASTER_ZONES!$B:$B,V75+1)))</f>
        <v/>
      </c>
    </row>
    <row r="76">
      <c r="A76">
        <f>IF('WSF DASHBOARD'!$B$4="Area",IF(75&lt;=$D$3,IF(AND(OR('WSF DASHBOARD'!$C$4="",ISNUMBER(SEARCH('WSF DASHBOARD'!$C$4,INDEX(MASTER_AREAS!$B:$B,76))))),75,""),""),IF('WSF DASHBOARD'!$B$4="Zone",IF(75&lt;=$D$4,IF(OR('WSF DASHBOARD'!$C$4="",ISNUMBER(SEARCH('WSF DASHBOARD'!$C$4,INDEX(MASTER_ZONES!$B:$B,76)))),75,""),""),""))</f>
        <v/>
      </c>
      <c r="B76">
        <f>IFERROR(SMALL($A$2:$A$1487,75),"")</f>
        <v/>
      </c>
      <c r="C76">
        <f>IF(B76="","",IF('WSF DASHBOARD'!$B$4="Area",INDEX(MASTER_AREAS!$B:$B,B76+1),INDEX(MASTER_ZONES!$B:$B,B76+1)))</f>
        <v/>
      </c>
      <c r="F76">
        <f>IF('TRANSPORT DASHBOARD'!$B$4="Area",IF(75&lt;=$I$3,IF(AND(INDEX(MASTER_AREAS!$F:$F,76)&lt;&gt;"N",OR('TRANSPORT DASHBOARD'!$C$4="",ISNUMBER(SEARCH('TRANSPORT DASHBOARD'!$C$4,INDEX(MASTER_AREAS!$B:$B,76))))),75,""),""),IF('TRANSPORT DASHBOARD'!$B$4="Zone",IF(75&lt;=$I$4,IF(OR('TRANSPORT DASHBOARD'!$C$4="",ISNUMBER(SEARCH('TRANSPORT DASHBOARD'!$C$4,INDEX(MASTER_ZONES!$B:$B,76)))),75,""),""),""))</f>
        <v/>
      </c>
      <c r="G76">
        <f>IFERROR(SMALL($F$2:$F$1487,75),"")</f>
        <v/>
      </c>
      <c r="H76">
        <f>IF(G76="","",IF('TRANSPORT DASHBOARD'!$B$4="Area",INDEX(MASTER_AREAS!$B:$B,G76+1),INDEX(MASTER_ZONES!$B:$B,G76+1)))</f>
        <v/>
      </c>
      <c r="K76">
        <f>IF('MIDWEEK DASHBOARD'!$B$4="Area",IF(75&lt;=$N$3,IF(AND(OR('MIDWEEK DASHBOARD'!$C$4="",ISNUMBER(SEARCH('MIDWEEK DASHBOARD'!$C$4,INDEX(MASTER_AREAS!$B:$B,76))))),75,""),""),IF('MIDWEEK DASHBOARD'!$B$4="Zone",IF(75&lt;=$N$4,IF(OR('MIDWEEK DASHBOARD'!$C$4="",ISNUMBER(SEARCH('MIDWEEK DASHBOARD'!$C$4,INDEX(MASTER_ZONES!$B:$B,76)))),75,""),""),""))</f>
        <v/>
      </c>
      <c r="L76">
        <f>IFERROR(SMALL($K$2:$K$1487,75),"")</f>
        <v/>
      </c>
      <c r="M76">
        <f>IF(L76="","",IF('MIDWEEK DASHBOARD'!$B$4="Area",INDEX(MASTER_AREAS!$B:$B,L76+1),INDEX(MASTER_ZONES!$B:$B,L76+1)))</f>
        <v/>
      </c>
      <c r="P76">
        <f>IF('CHOP DASHBOARD'!$B$4="Area",IF(75&lt;=$S$3,IF(AND(OR('CHOP DASHBOARD'!$C$4="",ISNUMBER(SEARCH('CHOP DASHBOARD'!$C$4,INDEX(MASTER_AREAS!$B:$B,76))))),75,""),""),IF('CHOP DASHBOARD'!$B$4="Zone",IF(75&lt;=$S$4,IF(OR('CHOP DASHBOARD'!$C$4="",ISNUMBER(SEARCH('CHOP DASHBOARD'!$C$4,INDEX(MASTER_ZONES!$B:$B,76)))),75,""),""),""))</f>
        <v/>
      </c>
      <c r="Q76">
        <f>IFERROR(SMALL($P$2:$P$1487,75),"")</f>
        <v/>
      </c>
      <c r="R76">
        <f>IF(Q76="","",IF('CHOP DASHBOARD'!$B$4="Area",INDEX(MASTER_AREAS!$B:$B,Q76+1),INDEX(MASTER_ZONES!$B:$B,Q76+1)))</f>
        <v/>
      </c>
      <c r="U76">
        <f>IF('COMMUNITY CHURCH DASHBOARD'!$B$4="Area",IF(75&lt;=$X$3,IF(AND(OR('COMMUNITY CHURCH DASHBOARD'!$C$4="",ISNUMBER(SEARCH('COMMUNITY CHURCH DASHBOARD'!$C$4,INDEX(MASTER_AREAS!$B:$B,76))))),75,""),""),IF('COMMUNITY CHURCH DASHBOARD'!$B$4="Zone",IF(75&lt;=$X$4,IF(OR('COMMUNITY CHURCH DASHBOARD'!$C$4="",ISNUMBER(SEARCH('COMMUNITY CHURCH DASHBOARD'!$C$4,INDEX(MASTER_ZONES!$B:$B,76)))),75,""),""),""))</f>
        <v/>
      </c>
      <c r="V76">
        <f>IFERROR(SMALL($U$2:$U$1487,75),"")</f>
        <v/>
      </c>
      <c r="W76">
        <f>IF(V76="","",IF('COMMUNITY CHURCH DASHBOARD'!$B$4="Area",INDEX(MASTER_AREAS!$B:$B,V76+1),INDEX(MASTER_ZONES!$B:$B,V76+1)))</f>
        <v/>
      </c>
    </row>
    <row r="77">
      <c r="A77">
        <f>IF('WSF DASHBOARD'!$B$4="Area",IF(76&lt;=$D$3,IF(AND(OR('WSF DASHBOARD'!$C$4="",ISNUMBER(SEARCH('WSF DASHBOARD'!$C$4,INDEX(MASTER_AREAS!$B:$B,77))))),76,""),""),IF('WSF DASHBOARD'!$B$4="Zone",IF(76&lt;=$D$4,IF(OR('WSF DASHBOARD'!$C$4="",ISNUMBER(SEARCH('WSF DASHBOARD'!$C$4,INDEX(MASTER_ZONES!$B:$B,77)))),76,""),""),""))</f>
        <v/>
      </c>
      <c r="B77">
        <f>IFERROR(SMALL($A$2:$A$1487,76),"")</f>
        <v/>
      </c>
      <c r="C77">
        <f>IF(B77="","",IF('WSF DASHBOARD'!$B$4="Area",INDEX(MASTER_AREAS!$B:$B,B77+1),INDEX(MASTER_ZONES!$B:$B,B77+1)))</f>
        <v/>
      </c>
      <c r="F77">
        <f>IF('TRANSPORT DASHBOARD'!$B$4="Area",IF(76&lt;=$I$3,IF(AND(INDEX(MASTER_AREAS!$F:$F,77)&lt;&gt;"N",OR('TRANSPORT DASHBOARD'!$C$4="",ISNUMBER(SEARCH('TRANSPORT DASHBOARD'!$C$4,INDEX(MASTER_AREAS!$B:$B,77))))),76,""),""),IF('TRANSPORT DASHBOARD'!$B$4="Zone",IF(76&lt;=$I$4,IF(OR('TRANSPORT DASHBOARD'!$C$4="",ISNUMBER(SEARCH('TRANSPORT DASHBOARD'!$C$4,INDEX(MASTER_ZONES!$B:$B,77)))),76,""),""),""))</f>
        <v/>
      </c>
      <c r="G77">
        <f>IFERROR(SMALL($F$2:$F$1487,76),"")</f>
        <v/>
      </c>
      <c r="H77">
        <f>IF(G77="","",IF('TRANSPORT DASHBOARD'!$B$4="Area",INDEX(MASTER_AREAS!$B:$B,G77+1),INDEX(MASTER_ZONES!$B:$B,G77+1)))</f>
        <v/>
      </c>
      <c r="K77">
        <f>IF('MIDWEEK DASHBOARD'!$B$4="Area",IF(76&lt;=$N$3,IF(AND(OR('MIDWEEK DASHBOARD'!$C$4="",ISNUMBER(SEARCH('MIDWEEK DASHBOARD'!$C$4,INDEX(MASTER_AREAS!$B:$B,77))))),76,""),""),IF('MIDWEEK DASHBOARD'!$B$4="Zone",IF(76&lt;=$N$4,IF(OR('MIDWEEK DASHBOARD'!$C$4="",ISNUMBER(SEARCH('MIDWEEK DASHBOARD'!$C$4,INDEX(MASTER_ZONES!$B:$B,77)))),76,""),""),""))</f>
        <v/>
      </c>
      <c r="L77">
        <f>IFERROR(SMALL($K$2:$K$1487,76),"")</f>
        <v/>
      </c>
      <c r="M77">
        <f>IF(L77="","",IF('MIDWEEK DASHBOARD'!$B$4="Area",INDEX(MASTER_AREAS!$B:$B,L77+1),INDEX(MASTER_ZONES!$B:$B,L77+1)))</f>
        <v/>
      </c>
      <c r="P77">
        <f>IF('CHOP DASHBOARD'!$B$4="Area",IF(76&lt;=$S$3,IF(AND(OR('CHOP DASHBOARD'!$C$4="",ISNUMBER(SEARCH('CHOP DASHBOARD'!$C$4,INDEX(MASTER_AREAS!$B:$B,77))))),76,""),""),IF('CHOP DASHBOARD'!$B$4="Zone",IF(76&lt;=$S$4,IF(OR('CHOP DASHBOARD'!$C$4="",ISNUMBER(SEARCH('CHOP DASHBOARD'!$C$4,INDEX(MASTER_ZONES!$B:$B,77)))),76,""),""),""))</f>
        <v/>
      </c>
      <c r="Q77">
        <f>IFERROR(SMALL($P$2:$P$1487,76),"")</f>
        <v/>
      </c>
      <c r="R77">
        <f>IF(Q77="","",IF('CHOP DASHBOARD'!$B$4="Area",INDEX(MASTER_AREAS!$B:$B,Q77+1),INDEX(MASTER_ZONES!$B:$B,Q77+1)))</f>
        <v/>
      </c>
      <c r="U77">
        <f>IF('COMMUNITY CHURCH DASHBOARD'!$B$4="Area",IF(76&lt;=$X$3,IF(AND(OR('COMMUNITY CHURCH DASHBOARD'!$C$4="",ISNUMBER(SEARCH('COMMUNITY CHURCH DASHBOARD'!$C$4,INDEX(MASTER_AREAS!$B:$B,77))))),76,""),""),IF('COMMUNITY CHURCH DASHBOARD'!$B$4="Zone",IF(76&lt;=$X$4,IF(OR('COMMUNITY CHURCH DASHBOARD'!$C$4="",ISNUMBER(SEARCH('COMMUNITY CHURCH DASHBOARD'!$C$4,INDEX(MASTER_ZONES!$B:$B,77)))),76,""),""),""))</f>
        <v/>
      </c>
      <c r="V77">
        <f>IFERROR(SMALL($U$2:$U$1487,76),"")</f>
        <v/>
      </c>
      <c r="W77">
        <f>IF(V77="","",IF('COMMUNITY CHURCH DASHBOARD'!$B$4="Area",INDEX(MASTER_AREAS!$B:$B,V77+1),INDEX(MASTER_ZONES!$B:$B,V77+1)))</f>
        <v/>
      </c>
    </row>
    <row r="78">
      <c r="A78">
        <f>IF('WSF DASHBOARD'!$B$4="Area",IF(77&lt;=$D$3,IF(AND(OR('WSF DASHBOARD'!$C$4="",ISNUMBER(SEARCH('WSF DASHBOARD'!$C$4,INDEX(MASTER_AREAS!$B:$B,78))))),77,""),""),IF('WSF DASHBOARD'!$B$4="Zone",IF(77&lt;=$D$4,IF(OR('WSF DASHBOARD'!$C$4="",ISNUMBER(SEARCH('WSF DASHBOARD'!$C$4,INDEX(MASTER_ZONES!$B:$B,78)))),77,""),""),""))</f>
        <v/>
      </c>
      <c r="B78">
        <f>IFERROR(SMALL($A$2:$A$1487,77),"")</f>
        <v/>
      </c>
      <c r="C78">
        <f>IF(B78="","",IF('WSF DASHBOARD'!$B$4="Area",INDEX(MASTER_AREAS!$B:$B,B78+1),INDEX(MASTER_ZONES!$B:$B,B78+1)))</f>
        <v/>
      </c>
      <c r="F78">
        <f>IF('TRANSPORT DASHBOARD'!$B$4="Area",IF(77&lt;=$I$3,IF(AND(INDEX(MASTER_AREAS!$F:$F,78)&lt;&gt;"N",OR('TRANSPORT DASHBOARD'!$C$4="",ISNUMBER(SEARCH('TRANSPORT DASHBOARD'!$C$4,INDEX(MASTER_AREAS!$B:$B,78))))),77,""),""),IF('TRANSPORT DASHBOARD'!$B$4="Zone",IF(77&lt;=$I$4,IF(OR('TRANSPORT DASHBOARD'!$C$4="",ISNUMBER(SEARCH('TRANSPORT DASHBOARD'!$C$4,INDEX(MASTER_ZONES!$B:$B,78)))),77,""),""),""))</f>
        <v/>
      </c>
      <c r="G78">
        <f>IFERROR(SMALL($F$2:$F$1487,77),"")</f>
        <v/>
      </c>
      <c r="H78">
        <f>IF(G78="","",IF('TRANSPORT DASHBOARD'!$B$4="Area",INDEX(MASTER_AREAS!$B:$B,G78+1),INDEX(MASTER_ZONES!$B:$B,G78+1)))</f>
        <v/>
      </c>
      <c r="K78">
        <f>IF('MIDWEEK DASHBOARD'!$B$4="Area",IF(77&lt;=$N$3,IF(AND(OR('MIDWEEK DASHBOARD'!$C$4="",ISNUMBER(SEARCH('MIDWEEK DASHBOARD'!$C$4,INDEX(MASTER_AREAS!$B:$B,78))))),77,""),""),IF('MIDWEEK DASHBOARD'!$B$4="Zone",IF(77&lt;=$N$4,IF(OR('MIDWEEK DASHBOARD'!$C$4="",ISNUMBER(SEARCH('MIDWEEK DASHBOARD'!$C$4,INDEX(MASTER_ZONES!$B:$B,78)))),77,""),""),""))</f>
        <v/>
      </c>
      <c r="L78">
        <f>IFERROR(SMALL($K$2:$K$1487,77),"")</f>
        <v/>
      </c>
      <c r="M78">
        <f>IF(L78="","",IF('MIDWEEK DASHBOARD'!$B$4="Area",INDEX(MASTER_AREAS!$B:$B,L78+1),INDEX(MASTER_ZONES!$B:$B,L78+1)))</f>
        <v/>
      </c>
      <c r="P78">
        <f>IF('CHOP DASHBOARD'!$B$4="Area",IF(77&lt;=$S$3,IF(AND(OR('CHOP DASHBOARD'!$C$4="",ISNUMBER(SEARCH('CHOP DASHBOARD'!$C$4,INDEX(MASTER_AREAS!$B:$B,78))))),77,""),""),IF('CHOP DASHBOARD'!$B$4="Zone",IF(77&lt;=$S$4,IF(OR('CHOP DASHBOARD'!$C$4="",ISNUMBER(SEARCH('CHOP DASHBOARD'!$C$4,INDEX(MASTER_ZONES!$B:$B,78)))),77,""),""),""))</f>
        <v/>
      </c>
      <c r="Q78">
        <f>IFERROR(SMALL($P$2:$P$1487,77),"")</f>
        <v/>
      </c>
      <c r="R78">
        <f>IF(Q78="","",IF('CHOP DASHBOARD'!$B$4="Area",INDEX(MASTER_AREAS!$B:$B,Q78+1),INDEX(MASTER_ZONES!$B:$B,Q78+1)))</f>
        <v/>
      </c>
      <c r="U78">
        <f>IF('COMMUNITY CHURCH DASHBOARD'!$B$4="Area",IF(77&lt;=$X$3,IF(AND(OR('COMMUNITY CHURCH DASHBOARD'!$C$4="",ISNUMBER(SEARCH('COMMUNITY CHURCH DASHBOARD'!$C$4,INDEX(MASTER_AREAS!$B:$B,78))))),77,""),""),IF('COMMUNITY CHURCH DASHBOARD'!$B$4="Zone",IF(77&lt;=$X$4,IF(OR('COMMUNITY CHURCH DASHBOARD'!$C$4="",ISNUMBER(SEARCH('COMMUNITY CHURCH DASHBOARD'!$C$4,INDEX(MASTER_ZONES!$B:$B,78)))),77,""),""),""))</f>
        <v/>
      </c>
      <c r="V78">
        <f>IFERROR(SMALL($U$2:$U$1487,77),"")</f>
        <v/>
      </c>
      <c r="W78">
        <f>IF(V78="","",IF('COMMUNITY CHURCH DASHBOARD'!$B$4="Area",INDEX(MASTER_AREAS!$B:$B,V78+1),INDEX(MASTER_ZONES!$B:$B,V78+1)))</f>
        <v/>
      </c>
    </row>
    <row r="79">
      <c r="A79">
        <f>IF('WSF DASHBOARD'!$B$4="Area",IF(78&lt;=$D$3,IF(AND(OR('WSF DASHBOARD'!$C$4="",ISNUMBER(SEARCH('WSF DASHBOARD'!$C$4,INDEX(MASTER_AREAS!$B:$B,79))))),78,""),""),IF('WSF DASHBOARD'!$B$4="Zone",IF(78&lt;=$D$4,IF(OR('WSF DASHBOARD'!$C$4="",ISNUMBER(SEARCH('WSF DASHBOARD'!$C$4,INDEX(MASTER_ZONES!$B:$B,79)))),78,""),""),""))</f>
        <v/>
      </c>
      <c r="B79">
        <f>IFERROR(SMALL($A$2:$A$1487,78),"")</f>
        <v/>
      </c>
      <c r="C79">
        <f>IF(B79="","",IF('WSF DASHBOARD'!$B$4="Area",INDEX(MASTER_AREAS!$B:$B,B79+1),INDEX(MASTER_ZONES!$B:$B,B79+1)))</f>
        <v/>
      </c>
      <c r="F79">
        <f>IF('TRANSPORT DASHBOARD'!$B$4="Area",IF(78&lt;=$I$3,IF(AND(INDEX(MASTER_AREAS!$F:$F,79)&lt;&gt;"N",OR('TRANSPORT DASHBOARD'!$C$4="",ISNUMBER(SEARCH('TRANSPORT DASHBOARD'!$C$4,INDEX(MASTER_AREAS!$B:$B,79))))),78,""),""),IF('TRANSPORT DASHBOARD'!$B$4="Zone",IF(78&lt;=$I$4,IF(OR('TRANSPORT DASHBOARD'!$C$4="",ISNUMBER(SEARCH('TRANSPORT DASHBOARD'!$C$4,INDEX(MASTER_ZONES!$B:$B,79)))),78,""),""),""))</f>
        <v/>
      </c>
      <c r="G79">
        <f>IFERROR(SMALL($F$2:$F$1487,78),"")</f>
        <v/>
      </c>
      <c r="H79">
        <f>IF(G79="","",IF('TRANSPORT DASHBOARD'!$B$4="Area",INDEX(MASTER_AREAS!$B:$B,G79+1),INDEX(MASTER_ZONES!$B:$B,G79+1)))</f>
        <v/>
      </c>
      <c r="K79">
        <f>IF('MIDWEEK DASHBOARD'!$B$4="Area",IF(78&lt;=$N$3,IF(AND(OR('MIDWEEK DASHBOARD'!$C$4="",ISNUMBER(SEARCH('MIDWEEK DASHBOARD'!$C$4,INDEX(MASTER_AREAS!$B:$B,79))))),78,""),""),IF('MIDWEEK DASHBOARD'!$B$4="Zone",IF(78&lt;=$N$4,IF(OR('MIDWEEK DASHBOARD'!$C$4="",ISNUMBER(SEARCH('MIDWEEK DASHBOARD'!$C$4,INDEX(MASTER_ZONES!$B:$B,79)))),78,""),""),""))</f>
        <v/>
      </c>
      <c r="L79">
        <f>IFERROR(SMALL($K$2:$K$1487,78),"")</f>
        <v/>
      </c>
      <c r="M79">
        <f>IF(L79="","",IF('MIDWEEK DASHBOARD'!$B$4="Area",INDEX(MASTER_AREAS!$B:$B,L79+1),INDEX(MASTER_ZONES!$B:$B,L79+1)))</f>
        <v/>
      </c>
      <c r="P79">
        <f>IF('CHOP DASHBOARD'!$B$4="Area",IF(78&lt;=$S$3,IF(AND(OR('CHOP DASHBOARD'!$C$4="",ISNUMBER(SEARCH('CHOP DASHBOARD'!$C$4,INDEX(MASTER_AREAS!$B:$B,79))))),78,""),""),IF('CHOP DASHBOARD'!$B$4="Zone",IF(78&lt;=$S$4,IF(OR('CHOP DASHBOARD'!$C$4="",ISNUMBER(SEARCH('CHOP DASHBOARD'!$C$4,INDEX(MASTER_ZONES!$B:$B,79)))),78,""),""),""))</f>
        <v/>
      </c>
      <c r="Q79">
        <f>IFERROR(SMALL($P$2:$P$1487,78),"")</f>
        <v/>
      </c>
      <c r="R79">
        <f>IF(Q79="","",IF('CHOP DASHBOARD'!$B$4="Area",INDEX(MASTER_AREAS!$B:$B,Q79+1),INDEX(MASTER_ZONES!$B:$B,Q79+1)))</f>
        <v/>
      </c>
      <c r="U79">
        <f>IF('COMMUNITY CHURCH DASHBOARD'!$B$4="Area",IF(78&lt;=$X$3,IF(AND(OR('COMMUNITY CHURCH DASHBOARD'!$C$4="",ISNUMBER(SEARCH('COMMUNITY CHURCH DASHBOARD'!$C$4,INDEX(MASTER_AREAS!$B:$B,79))))),78,""),""),IF('COMMUNITY CHURCH DASHBOARD'!$B$4="Zone",IF(78&lt;=$X$4,IF(OR('COMMUNITY CHURCH DASHBOARD'!$C$4="",ISNUMBER(SEARCH('COMMUNITY CHURCH DASHBOARD'!$C$4,INDEX(MASTER_ZONES!$B:$B,79)))),78,""),""),""))</f>
        <v/>
      </c>
      <c r="V79">
        <f>IFERROR(SMALL($U$2:$U$1487,78),"")</f>
        <v/>
      </c>
      <c r="W79">
        <f>IF(V79="","",IF('COMMUNITY CHURCH DASHBOARD'!$B$4="Area",INDEX(MASTER_AREAS!$B:$B,V79+1),INDEX(MASTER_ZONES!$B:$B,V79+1)))</f>
        <v/>
      </c>
    </row>
    <row r="80">
      <c r="A80">
        <f>IF('WSF DASHBOARD'!$B$4="Area",IF(79&lt;=$D$3,IF(AND(OR('WSF DASHBOARD'!$C$4="",ISNUMBER(SEARCH('WSF DASHBOARD'!$C$4,INDEX(MASTER_AREAS!$B:$B,80))))),79,""),""),IF('WSF DASHBOARD'!$B$4="Zone",IF(79&lt;=$D$4,IF(OR('WSF DASHBOARD'!$C$4="",ISNUMBER(SEARCH('WSF DASHBOARD'!$C$4,INDEX(MASTER_ZONES!$B:$B,80)))),79,""),""),""))</f>
        <v/>
      </c>
      <c r="B80">
        <f>IFERROR(SMALL($A$2:$A$1487,79),"")</f>
        <v/>
      </c>
      <c r="C80">
        <f>IF(B80="","",IF('WSF DASHBOARD'!$B$4="Area",INDEX(MASTER_AREAS!$B:$B,B80+1),INDEX(MASTER_ZONES!$B:$B,B80+1)))</f>
        <v/>
      </c>
      <c r="F80">
        <f>IF('TRANSPORT DASHBOARD'!$B$4="Area",IF(79&lt;=$I$3,IF(AND(INDEX(MASTER_AREAS!$F:$F,80)&lt;&gt;"N",OR('TRANSPORT DASHBOARD'!$C$4="",ISNUMBER(SEARCH('TRANSPORT DASHBOARD'!$C$4,INDEX(MASTER_AREAS!$B:$B,80))))),79,""),""),IF('TRANSPORT DASHBOARD'!$B$4="Zone",IF(79&lt;=$I$4,IF(OR('TRANSPORT DASHBOARD'!$C$4="",ISNUMBER(SEARCH('TRANSPORT DASHBOARD'!$C$4,INDEX(MASTER_ZONES!$B:$B,80)))),79,""),""),""))</f>
        <v/>
      </c>
      <c r="G80">
        <f>IFERROR(SMALL($F$2:$F$1487,79),"")</f>
        <v/>
      </c>
      <c r="H80">
        <f>IF(G80="","",IF('TRANSPORT DASHBOARD'!$B$4="Area",INDEX(MASTER_AREAS!$B:$B,G80+1),INDEX(MASTER_ZONES!$B:$B,G80+1)))</f>
        <v/>
      </c>
      <c r="K80">
        <f>IF('MIDWEEK DASHBOARD'!$B$4="Area",IF(79&lt;=$N$3,IF(AND(OR('MIDWEEK DASHBOARD'!$C$4="",ISNUMBER(SEARCH('MIDWEEK DASHBOARD'!$C$4,INDEX(MASTER_AREAS!$B:$B,80))))),79,""),""),IF('MIDWEEK DASHBOARD'!$B$4="Zone",IF(79&lt;=$N$4,IF(OR('MIDWEEK DASHBOARD'!$C$4="",ISNUMBER(SEARCH('MIDWEEK DASHBOARD'!$C$4,INDEX(MASTER_ZONES!$B:$B,80)))),79,""),""),""))</f>
        <v/>
      </c>
      <c r="L80">
        <f>IFERROR(SMALL($K$2:$K$1487,79),"")</f>
        <v/>
      </c>
      <c r="M80">
        <f>IF(L80="","",IF('MIDWEEK DASHBOARD'!$B$4="Area",INDEX(MASTER_AREAS!$B:$B,L80+1),INDEX(MASTER_ZONES!$B:$B,L80+1)))</f>
        <v/>
      </c>
      <c r="P80">
        <f>IF('CHOP DASHBOARD'!$B$4="Area",IF(79&lt;=$S$3,IF(AND(OR('CHOP DASHBOARD'!$C$4="",ISNUMBER(SEARCH('CHOP DASHBOARD'!$C$4,INDEX(MASTER_AREAS!$B:$B,80))))),79,""),""),IF('CHOP DASHBOARD'!$B$4="Zone",IF(79&lt;=$S$4,IF(OR('CHOP DASHBOARD'!$C$4="",ISNUMBER(SEARCH('CHOP DASHBOARD'!$C$4,INDEX(MASTER_ZONES!$B:$B,80)))),79,""),""),""))</f>
        <v/>
      </c>
      <c r="Q80">
        <f>IFERROR(SMALL($P$2:$P$1487,79),"")</f>
        <v/>
      </c>
      <c r="R80">
        <f>IF(Q80="","",IF('CHOP DASHBOARD'!$B$4="Area",INDEX(MASTER_AREAS!$B:$B,Q80+1),INDEX(MASTER_ZONES!$B:$B,Q80+1)))</f>
        <v/>
      </c>
      <c r="U80">
        <f>IF('COMMUNITY CHURCH DASHBOARD'!$B$4="Area",IF(79&lt;=$X$3,IF(AND(OR('COMMUNITY CHURCH DASHBOARD'!$C$4="",ISNUMBER(SEARCH('COMMUNITY CHURCH DASHBOARD'!$C$4,INDEX(MASTER_AREAS!$B:$B,80))))),79,""),""),IF('COMMUNITY CHURCH DASHBOARD'!$B$4="Zone",IF(79&lt;=$X$4,IF(OR('COMMUNITY CHURCH DASHBOARD'!$C$4="",ISNUMBER(SEARCH('COMMUNITY CHURCH DASHBOARD'!$C$4,INDEX(MASTER_ZONES!$B:$B,80)))),79,""),""),""))</f>
        <v/>
      </c>
      <c r="V80">
        <f>IFERROR(SMALL($U$2:$U$1487,79),"")</f>
        <v/>
      </c>
      <c r="W80">
        <f>IF(V80="","",IF('COMMUNITY CHURCH DASHBOARD'!$B$4="Area",INDEX(MASTER_AREAS!$B:$B,V80+1),INDEX(MASTER_ZONES!$B:$B,V80+1)))</f>
        <v/>
      </c>
    </row>
    <row r="81">
      <c r="A81">
        <f>IF('WSF DASHBOARD'!$B$4="Area",IF(80&lt;=$D$3,IF(AND(OR('WSF DASHBOARD'!$C$4="",ISNUMBER(SEARCH('WSF DASHBOARD'!$C$4,INDEX(MASTER_AREAS!$B:$B,81))))),80,""),""),IF('WSF DASHBOARD'!$B$4="Zone",IF(80&lt;=$D$4,IF(OR('WSF DASHBOARD'!$C$4="",ISNUMBER(SEARCH('WSF DASHBOARD'!$C$4,INDEX(MASTER_ZONES!$B:$B,81)))),80,""),""),""))</f>
        <v/>
      </c>
      <c r="B81">
        <f>IFERROR(SMALL($A$2:$A$1487,80),"")</f>
        <v/>
      </c>
      <c r="C81">
        <f>IF(B81="","",IF('WSF DASHBOARD'!$B$4="Area",INDEX(MASTER_AREAS!$B:$B,B81+1),INDEX(MASTER_ZONES!$B:$B,B81+1)))</f>
        <v/>
      </c>
      <c r="F81">
        <f>IF('TRANSPORT DASHBOARD'!$B$4="Area",IF(80&lt;=$I$3,IF(AND(INDEX(MASTER_AREAS!$F:$F,81)&lt;&gt;"N",OR('TRANSPORT DASHBOARD'!$C$4="",ISNUMBER(SEARCH('TRANSPORT DASHBOARD'!$C$4,INDEX(MASTER_AREAS!$B:$B,81))))),80,""),""),IF('TRANSPORT DASHBOARD'!$B$4="Zone",IF(80&lt;=$I$4,IF(OR('TRANSPORT DASHBOARD'!$C$4="",ISNUMBER(SEARCH('TRANSPORT DASHBOARD'!$C$4,INDEX(MASTER_ZONES!$B:$B,81)))),80,""),""),""))</f>
        <v/>
      </c>
      <c r="G81">
        <f>IFERROR(SMALL($F$2:$F$1487,80),"")</f>
        <v/>
      </c>
      <c r="H81">
        <f>IF(G81="","",IF('TRANSPORT DASHBOARD'!$B$4="Area",INDEX(MASTER_AREAS!$B:$B,G81+1),INDEX(MASTER_ZONES!$B:$B,G81+1)))</f>
        <v/>
      </c>
      <c r="K81">
        <f>IF('MIDWEEK DASHBOARD'!$B$4="Area",IF(80&lt;=$N$3,IF(AND(OR('MIDWEEK DASHBOARD'!$C$4="",ISNUMBER(SEARCH('MIDWEEK DASHBOARD'!$C$4,INDEX(MASTER_AREAS!$B:$B,81))))),80,""),""),IF('MIDWEEK DASHBOARD'!$B$4="Zone",IF(80&lt;=$N$4,IF(OR('MIDWEEK DASHBOARD'!$C$4="",ISNUMBER(SEARCH('MIDWEEK DASHBOARD'!$C$4,INDEX(MASTER_ZONES!$B:$B,81)))),80,""),""),""))</f>
        <v/>
      </c>
      <c r="L81">
        <f>IFERROR(SMALL($K$2:$K$1487,80),"")</f>
        <v/>
      </c>
      <c r="M81">
        <f>IF(L81="","",IF('MIDWEEK DASHBOARD'!$B$4="Area",INDEX(MASTER_AREAS!$B:$B,L81+1),INDEX(MASTER_ZONES!$B:$B,L81+1)))</f>
        <v/>
      </c>
      <c r="P81">
        <f>IF('CHOP DASHBOARD'!$B$4="Area",IF(80&lt;=$S$3,IF(AND(OR('CHOP DASHBOARD'!$C$4="",ISNUMBER(SEARCH('CHOP DASHBOARD'!$C$4,INDEX(MASTER_AREAS!$B:$B,81))))),80,""),""),IF('CHOP DASHBOARD'!$B$4="Zone",IF(80&lt;=$S$4,IF(OR('CHOP DASHBOARD'!$C$4="",ISNUMBER(SEARCH('CHOP DASHBOARD'!$C$4,INDEX(MASTER_ZONES!$B:$B,81)))),80,""),""),""))</f>
        <v/>
      </c>
      <c r="Q81">
        <f>IFERROR(SMALL($P$2:$P$1487,80),"")</f>
        <v/>
      </c>
      <c r="R81">
        <f>IF(Q81="","",IF('CHOP DASHBOARD'!$B$4="Area",INDEX(MASTER_AREAS!$B:$B,Q81+1),INDEX(MASTER_ZONES!$B:$B,Q81+1)))</f>
        <v/>
      </c>
      <c r="U81">
        <f>IF('COMMUNITY CHURCH DASHBOARD'!$B$4="Area",IF(80&lt;=$X$3,IF(AND(OR('COMMUNITY CHURCH DASHBOARD'!$C$4="",ISNUMBER(SEARCH('COMMUNITY CHURCH DASHBOARD'!$C$4,INDEX(MASTER_AREAS!$B:$B,81))))),80,""),""),IF('COMMUNITY CHURCH DASHBOARD'!$B$4="Zone",IF(80&lt;=$X$4,IF(OR('COMMUNITY CHURCH DASHBOARD'!$C$4="",ISNUMBER(SEARCH('COMMUNITY CHURCH DASHBOARD'!$C$4,INDEX(MASTER_ZONES!$B:$B,81)))),80,""),""),""))</f>
        <v/>
      </c>
      <c r="V81">
        <f>IFERROR(SMALL($U$2:$U$1487,80),"")</f>
        <v/>
      </c>
      <c r="W81">
        <f>IF(V81="","",IF('COMMUNITY CHURCH DASHBOARD'!$B$4="Area",INDEX(MASTER_AREAS!$B:$B,V81+1),INDEX(MASTER_ZONES!$B:$B,V81+1)))</f>
        <v/>
      </c>
    </row>
    <row r="82">
      <c r="A82">
        <f>IF('WSF DASHBOARD'!$B$4="Area",IF(81&lt;=$D$3,IF(AND(OR('WSF DASHBOARD'!$C$4="",ISNUMBER(SEARCH('WSF DASHBOARD'!$C$4,INDEX(MASTER_AREAS!$B:$B,82))))),81,""),""),IF('WSF DASHBOARD'!$B$4="Zone",IF(81&lt;=$D$4,IF(OR('WSF DASHBOARD'!$C$4="",ISNUMBER(SEARCH('WSF DASHBOARD'!$C$4,INDEX(MASTER_ZONES!$B:$B,82)))),81,""),""),""))</f>
        <v/>
      </c>
      <c r="B82">
        <f>IFERROR(SMALL($A$2:$A$1487,81),"")</f>
        <v/>
      </c>
      <c r="C82">
        <f>IF(B82="","",IF('WSF DASHBOARD'!$B$4="Area",INDEX(MASTER_AREAS!$B:$B,B82+1),INDEX(MASTER_ZONES!$B:$B,B82+1)))</f>
        <v/>
      </c>
      <c r="F82">
        <f>IF('TRANSPORT DASHBOARD'!$B$4="Area",IF(81&lt;=$I$3,IF(AND(INDEX(MASTER_AREAS!$F:$F,82)&lt;&gt;"N",OR('TRANSPORT DASHBOARD'!$C$4="",ISNUMBER(SEARCH('TRANSPORT DASHBOARD'!$C$4,INDEX(MASTER_AREAS!$B:$B,82))))),81,""),""),IF('TRANSPORT DASHBOARD'!$B$4="Zone",IF(81&lt;=$I$4,IF(OR('TRANSPORT DASHBOARD'!$C$4="",ISNUMBER(SEARCH('TRANSPORT DASHBOARD'!$C$4,INDEX(MASTER_ZONES!$B:$B,82)))),81,""),""),""))</f>
        <v/>
      </c>
      <c r="G82">
        <f>IFERROR(SMALL($F$2:$F$1487,81),"")</f>
        <v/>
      </c>
      <c r="H82">
        <f>IF(G82="","",IF('TRANSPORT DASHBOARD'!$B$4="Area",INDEX(MASTER_AREAS!$B:$B,G82+1),INDEX(MASTER_ZONES!$B:$B,G82+1)))</f>
        <v/>
      </c>
      <c r="K82">
        <f>IF('MIDWEEK DASHBOARD'!$B$4="Area",IF(81&lt;=$N$3,IF(AND(OR('MIDWEEK DASHBOARD'!$C$4="",ISNUMBER(SEARCH('MIDWEEK DASHBOARD'!$C$4,INDEX(MASTER_AREAS!$B:$B,82))))),81,""),""),IF('MIDWEEK DASHBOARD'!$B$4="Zone",IF(81&lt;=$N$4,IF(OR('MIDWEEK DASHBOARD'!$C$4="",ISNUMBER(SEARCH('MIDWEEK DASHBOARD'!$C$4,INDEX(MASTER_ZONES!$B:$B,82)))),81,""),""),""))</f>
        <v/>
      </c>
      <c r="L82">
        <f>IFERROR(SMALL($K$2:$K$1487,81),"")</f>
        <v/>
      </c>
      <c r="M82">
        <f>IF(L82="","",IF('MIDWEEK DASHBOARD'!$B$4="Area",INDEX(MASTER_AREAS!$B:$B,L82+1),INDEX(MASTER_ZONES!$B:$B,L82+1)))</f>
        <v/>
      </c>
      <c r="P82">
        <f>IF('CHOP DASHBOARD'!$B$4="Area",IF(81&lt;=$S$3,IF(AND(OR('CHOP DASHBOARD'!$C$4="",ISNUMBER(SEARCH('CHOP DASHBOARD'!$C$4,INDEX(MASTER_AREAS!$B:$B,82))))),81,""),""),IF('CHOP DASHBOARD'!$B$4="Zone",IF(81&lt;=$S$4,IF(OR('CHOP DASHBOARD'!$C$4="",ISNUMBER(SEARCH('CHOP DASHBOARD'!$C$4,INDEX(MASTER_ZONES!$B:$B,82)))),81,""),""),""))</f>
        <v/>
      </c>
      <c r="Q82">
        <f>IFERROR(SMALL($P$2:$P$1487,81),"")</f>
        <v/>
      </c>
      <c r="R82">
        <f>IF(Q82="","",IF('CHOP DASHBOARD'!$B$4="Area",INDEX(MASTER_AREAS!$B:$B,Q82+1),INDEX(MASTER_ZONES!$B:$B,Q82+1)))</f>
        <v/>
      </c>
      <c r="U82">
        <f>IF('COMMUNITY CHURCH DASHBOARD'!$B$4="Area",IF(81&lt;=$X$3,IF(AND(OR('COMMUNITY CHURCH DASHBOARD'!$C$4="",ISNUMBER(SEARCH('COMMUNITY CHURCH DASHBOARD'!$C$4,INDEX(MASTER_AREAS!$B:$B,82))))),81,""),""),IF('COMMUNITY CHURCH DASHBOARD'!$B$4="Zone",IF(81&lt;=$X$4,IF(OR('COMMUNITY CHURCH DASHBOARD'!$C$4="",ISNUMBER(SEARCH('COMMUNITY CHURCH DASHBOARD'!$C$4,INDEX(MASTER_ZONES!$B:$B,82)))),81,""),""),""))</f>
        <v/>
      </c>
      <c r="V82">
        <f>IFERROR(SMALL($U$2:$U$1487,81),"")</f>
        <v/>
      </c>
      <c r="W82">
        <f>IF(V82="","",IF('COMMUNITY CHURCH DASHBOARD'!$B$4="Area",INDEX(MASTER_AREAS!$B:$B,V82+1),INDEX(MASTER_ZONES!$B:$B,V82+1)))</f>
        <v/>
      </c>
    </row>
    <row r="83">
      <c r="A83">
        <f>IF('WSF DASHBOARD'!$B$4="Area",IF(82&lt;=$D$3,IF(AND(OR('WSF DASHBOARD'!$C$4="",ISNUMBER(SEARCH('WSF DASHBOARD'!$C$4,INDEX(MASTER_AREAS!$B:$B,83))))),82,""),""),IF('WSF DASHBOARD'!$B$4="Zone",IF(82&lt;=$D$4,IF(OR('WSF DASHBOARD'!$C$4="",ISNUMBER(SEARCH('WSF DASHBOARD'!$C$4,INDEX(MASTER_ZONES!$B:$B,83)))),82,""),""),""))</f>
        <v/>
      </c>
      <c r="B83">
        <f>IFERROR(SMALL($A$2:$A$1487,82),"")</f>
        <v/>
      </c>
      <c r="C83">
        <f>IF(B83="","",IF('WSF DASHBOARD'!$B$4="Area",INDEX(MASTER_AREAS!$B:$B,B83+1),INDEX(MASTER_ZONES!$B:$B,B83+1)))</f>
        <v/>
      </c>
      <c r="F83">
        <f>IF('TRANSPORT DASHBOARD'!$B$4="Area",IF(82&lt;=$I$3,IF(AND(INDEX(MASTER_AREAS!$F:$F,83)&lt;&gt;"N",OR('TRANSPORT DASHBOARD'!$C$4="",ISNUMBER(SEARCH('TRANSPORT DASHBOARD'!$C$4,INDEX(MASTER_AREAS!$B:$B,83))))),82,""),""),IF('TRANSPORT DASHBOARD'!$B$4="Zone",IF(82&lt;=$I$4,IF(OR('TRANSPORT DASHBOARD'!$C$4="",ISNUMBER(SEARCH('TRANSPORT DASHBOARD'!$C$4,INDEX(MASTER_ZONES!$B:$B,83)))),82,""),""),""))</f>
        <v/>
      </c>
      <c r="G83">
        <f>IFERROR(SMALL($F$2:$F$1487,82),"")</f>
        <v/>
      </c>
      <c r="H83">
        <f>IF(G83="","",IF('TRANSPORT DASHBOARD'!$B$4="Area",INDEX(MASTER_AREAS!$B:$B,G83+1),INDEX(MASTER_ZONES!$B:$B,G83+1)))</f>
        <v/>
      </c>
      <c r="K83">
        <f>IF('MIDWEEK DASHBOARD'!$B$4="Area",IF(82&lt;=$N$3,IF(AND(OR('MIDWEEK DASHBOARD'!$C$4="",ISNUMBER(SEARCH('MIDWEEK DASHBOARD'!$C$4,INDEX(MASTER_AREAS!$B:$B,83))))),82,""),""),IF('MIDWEEK DASHBOARD'!$B$4="Zone",IF(82&lt;=$N$4,IF(OR('MIDWEEK DASHBOARD'!$C$4="",ISNUMBER(SEARCH('MIDWEEK DASHBOARD'!$C$4,INDEX(MASTER_ZONES!$B:$B,83)))),82,""),""),""))</f>
        <v/>
      </c>
      <c r="L83">
        <f>IFERROR(SMALL($K$2:$K$1487,82),"")</f>
        <v/>
      </c>
      <c r="M83">
        <f>IF(L83="","",IF('MIDWEEK DASHBOARD'!$B$4="Area",INDEX(MASTER_AREAS!$B:$B,L83+1),INDEX(MASTER_ZONES!$B:$B,L83+1)))</f>
        <v/>
      </c>
      <c r="P83">
        <f>IF('CHOP DASHBOARD'!$B$4="Area",IF(82&lt;=$S$3,IF(AND(OR('CHOP DASHBOARD'!$C$4="",ISNUMBER(SEARCH('CHOP DASHBOARD'!$C$4,INDEX(MASTER_AREAS!$B:$B,83))))),82,""),""),IF('CHOP DASHBOARD'!$B$4="Zone",IF(82&lt;=$S$4,IF(OR('CHOP DASHBOARD'!$C$4="",ISNUMBER(SEARCH('CHOP DASHBOARD'!$C$4,INDEX(MASTER_ZONES!$B:$B,83)))),82,""),""),""))</f>
        <v/>
      </c>
      <c r="Q83">
        <f>IFERROR(SMALL($P$2:$P$1487,82),"")</f>
        <v/>
      </c>
      <c r="R83">
        <f>IF(Q83="","",IF('CHOP DASHBOARD'!$B$4="Area",INDEX(MASTER_AREAS!$B:$B,Q83+1),INDEX(MASTER_ZONES!$B:$B,Q83+1)))</f>
        <v/>
      </c>
      <c r="U83">
        <f>IF('COMMUNITY CHURCH DASHBOARD'!$B$4="Area",IF(82&lt;=$X$3,IF(AND(OR('COMMUNITY CHURCH DASHBOARD'!$C$4="",ISNUMBER(SEARCH('COMMUNITY CHURCH DASHBOARD'!$C$4,INDEX(MASTER_AREAS!$B:$B,83))))),82,""),""),IF('COMMUNITY CHURCH DASHBOARD'!$B$4="Zone",IF(82&lt;=$X$4,IF(OR('COMMUNITY CHURCH DASHBOARD'!$C$4="",ISNUMBER(SEARCH('COMMUNITY CHURCH DASHBOARD'!$C$4,INDEX(MASTER_ZONES!$B:$B,83)))),82,""),""),""))</f>
        <v/>
      </c>
      <c r="V83">
        <f>IFERROR(SMALL($U$2:$U$1487,82),"")</f>
        <v/>
      </c>
      <c r="W83">
        <f>IF(V83="","",IF('COMMUNITY CHURCH DASHBOARD'!$B$4="Area",INDEX(MASTER_AREAS!$B:$B,V83+1),INDEX(MASTER_ZONES!$B:$B,V83+1)))</f>
        <v/>
      </c>
    </row>
    <row r="84">
      <c r="A84">
        <f>IF('WSF DASHBOARD'!$B$4="Area",IF(83&lt;=$D$3,IF(AND(OR('WSF DASHBOARD'!$C$4="",ISNUMBER(SEARCH('WSF DASHBOARD'!$C$4,INDEX(MASTER_AREAS!$B:$B,84))))),83,""),""),IF('WSF DASHBOARD'!$B$4="Zone",IF(83&lt;=$D$4,IF(OR('WSF DASHBOARD'!$C$4="",ISNUMBER(SEARCH('WSF DASHBOARD'!$C$4,INDEX(MASTER_ZONES!$B:$B,84)))),83,""),""),""))</f>
        <v/>
      </c>
      <c r="B84">
        <f>IFERROR(SMALL($A$2:$A$1487,83),"")</f>
        <v/>
      </c>
      <c r="C84">
        <f>IF(B84="","",IF('WSF DASHBOARD'!$B$4="Area",INDEX(MASTER_AREAS!$B:$B,B84+1),INDEX(MASTER_ZONES!$B:$B,B84+1)))</f>
        <v/>
      </c>
      <c r="F84">
        <f>IF('TRANSPORT DASHBOARD'!$B$4="Area",IF(83&lt;=$I$3,IF(AND(INDEX(MASTER_AREAS!$F:$F,84)&lt;&gt;"N",OR('TRANSPORT DASHBOARD'!$C$4="",ISNUMBER(SEARCH('TRANSPORT DASHBOARD'!$C$4,INDEX(MASTER_AREAS!$B:$B,84))))),83,""),""),IF('TRANSPORT DASHBOARD'!$B$4="Zone",IF(83&lt;=$I$4,IF(OR('TRANSPORT DASHBOARD'!$C$4="",ISNUMBER(SEARCH('TRANSPORT DASHBOARD'!$C$4,INDEX(MASTER_ZONES!$B:$B,84)))),83,""),""),""))</f>
        <v/>
      </c>
      <c r="G84">
        <f>IFERROR(SMALL($F$2:$F$1487,83),"")</f>
        <v/>
      </c>
      <c r="H84">
        <f>IF(G84="","",IF('TRANSPORT DASHBOARD'!$B$4="Area",INDEX(MASTER_AREAS!$B:$B,G84+1),INDEX(MASTER_ZONES!$B:$B,G84+1)))</f>
        <v/>
      </c>
      <c r="K84">
        <f>IF('MIDWEEK DASHBOARD'!$B$4="Area",IF(83&lt;=$N$3,IF(AND(OR('MIDWEEK DASHBOARD'!$C$4="",ISNUMBER(SEARCH('MIDWEEK DASHBOARD'!$C$4,INDEX(MASTER_AREAS!$B:$B,84))))),83,""),""),IF('MIDWEEK DASHBOARD'!$B$4="Zone",IF(83&lt;=$N$4,IF(OR('MIDWEEK DASHBOARD'!$C$4="",ISNUMBER(SEARCH('MIDWEEK DASHBOARD'!$C$4,INDEX(MASTER_ZONES!$B:$B,84)))),83,""),""),""))</f>
        <v/>
      </c>
      <c r="L84">
        <f>IFERROR(SMALL($K$2:$K$1487,83),"")</f>
        <v/>
      </c>
      <c r="M84">
        <f>IF(L84="","",IF('MIDWEEK DASHBOARD'!$B$4="Area",INDEX(MASTER_AREAS!$B:$B,L84+1),INDEX(MASTER_ZONES!$B:$B,L84+1)))</f>
        <v/>
      </c>
      <c r="P84">
        <f>IF('CHOP DASHBOARD'!$B$4="Area",IF(83&lt;=$S$3,IF(AND(OR('CHOP DASHBOARD'!$C$4="",ISNUMBER(SEARCH('CHOP DASHBOARD'!$C$4,INDEX(MASTER_AREAS!$B:$B,84))))),83,""),""),IF('CHOP DASHBOARD'!$B$4="Zone",IF(83&lt;=$S$4,IF(OR('CHOP DASHBOARD'!$C$4="",ISNUMBER(SEARCH('CHOP DASHBOARD'!$C$4,INDEX(MASTER_ZONES!$B:$B,84)))),83,""),""),""))</f>
        <v/>
      </c>
      <c r="Q84">
        <f>IFERROR(SMALL($P$2:$P$1487,83),"")</f>
        <v/>
      </c>
      <c r="R84">
        <f>IF(Q84="","",IF('CHOP DASHBOARD'!$B$4="Area",INDEX(MASTER_AREAS!$B:$B,Q84+1),INDEX(MASTER_ZONES!$B:$B,Q84+1)))</f>
        <v/>
      </c>
      <c r="U84">
        <f>IF('COMMUNITY CHURCH DASHBOARD'!$B$4="Area",IF(83&lt;=$X$3,IF(AND(OR('COMMUNITY CHURCH DASHBOARD'!$C$4="",ISNUMBER(SEARCH('COMMUNITY CHURCH DASHBOARD'!$C$4,INDEX(MASTER_AREAS!$B:$B,84))))),83,""),""),IF('COMMUNITY CHURCH DASHBOARD'!$B$4="Zone",IF(83&lt;=$X$4,IF(OR('COMMUNITY CHURCH DASHBOARD'!$C$4="",ISNUMBER(SEARCH('COMMUNITY CHURCH DASHBOARD'!$C$4,INDEX(MASTER_ZONES!$B:$B,84)))),83,""),""),""))</f>
        <v/>
      </c>
      <c r="V84">
        <f>IFERROR(SMALL($U$2:$U$1487,83),"")</f>
        <v/>
      </c>
      <c r="W84">
        <f>IF(V84="","",IF('COMMUNITY CHURCH DASHBOARD'!$B$4="Area",INDEX(MASTER_AREAS!$B:$B,V84+1),INDEX(MASTER_ZONES!$B:$B,V84+1)))</f>
        <v/>
      </c>
    </row>
    <row r="85">
      <c r="A85">
        <f>IF('WSF DASHBOARD'!$B$4="Area",IF(84&lt;=$D$3,IF(AND(OR('WSF DASHBOARD'!$C$4="",ISNUMBER(SEARCH('WSF DASHBOARD'!$C$4,INDEX(MASTER_AREAS!$B:$B,85))))),84,""),""),IF('WSF DASHBOARD'!$B$4="Zone",IF(84&lt;=$D$4,IF(OR('WSF DASHBOARD'!$C$4="",ISNUMBER(SEARCH('WSF DASHBOARD'!$C$4,INDEX(MASTER_ZONES!$B:$B,85)))),84,""),""),""))</f>
        <v/>
      </c>
      <c r="B85">
        <f>IFERROR(SMALL($A$2:$A$1487,84),"")</f>
        <v/>
      </c>
      <c r="C85">
        <f>IF(B85="","",IF('WSF DASHBOARD'!$B$4="Area",INDEX(MASTER_AREAS!$B:$B,B85+1),INDEX(MASTER_ZONES!$B:$B,B85+1)))</f>
        <v/>
      </c>
      <c r="F85">
        <f>IF('TRANSPORT DASHBOARD'!$B$4="Area",IF(84&lt;=$I$3,IF(AND(INDEX(MASTER_AREAS!$F:$F,85)&lt;&gt;"N",OR('TRANSPORT DASHBOARD'!$C$4="",ISNUMBER(SEARCH('TRANSPORT DASHBOARD'!$C$4,INDEX(MASTER_AREAS!$B:$B,85))))),84,""),""),IF('TRANSPORT DASHBOARD'!$B$4="Zone",IF(84&lt;=$I$4,IF(OR('TRANSPORT DASHBOARD'!$C$4="",ISNUMBER(SEARCH('TRANSPORT DASHBOARD'!$C$4,INDEX(MASTER_ZONES!$B:$B,85)))),84,""),""),""))</f>
        <v/>
      </c>
      <c r="G85">
        <f>IFERROR(SMALL($F$2:$F$1487,84),"")</f>
        <v/>
      </c>
      <c r="H85">
        <f>IF(G85="","",IF('TRANSPORT DASHBOARD'!$B$4="Area",INDEX(MASTER_AREAS!$B:$B,G85+1),INDEX(MASTER_ZONES!$B:$B,G85+1)))</f>
        <v/>
      </c>
      <c r="K85">
        <f>IF('MIDWEEK DASHBOARD'!$B$4="Area",IF(84&lt;=$N$3,IF(AND(OR('MIDWEEK DASHBOARD'!$C$4="",ISNUMBER(SEARCH('MIDWEEK DASHBOARD'!$C$4,INDEX(MASTER_AREAS!$B:$B,85))))),84,""),""),IF('MIDWEEK DASHBOARD'!$B$4="Zone",IF(84&lt;=$N$4,IF(OR('MIDWEEK DASHBOARD'!$C$4="",ISNUMBER(SEARCH('MIDWEEK DASHBOARD'!$C$4,INDEX(MASTER_ZONES!$B:$B,85)))),84,""),""),""))</f>
        <v/>
      </c>
      <c r="L85">
        <f>IFERROR(SMALL($K$2:$K$1487,84),"")</f>
        <v/>
      </c>
      <c r="M85">
        <f>IF(L85="","",IF('MIDWEEK DASHBOARD'!$B$4="Area",INDEX(MASTER_AREAS!$B:$B,L85+1),INDEX(MASTER_ZONES!$B:$B,L85+1)))</f>
        <v/>
      </c>
      <c r="P85">
        <f>IF('CHOP DASHBOARD'!$B$4="Area",IF(84&lt;=$S$3,IF(AND(OR('CHOP DASHBOARD'!$C$4="",ISNUMBER(SEARCH('CHOP DASHBOARD'!$C$4,INDEX(MASTER_AREAS!$B:$B,85))))),84,""),""),IF('CHOP DASHBOARD'!$B$4="Zone",IF(84&lt;=$S$4,IF(OR('CHOP DASHBOARD'!$C$4="",ISNUMBER(SEARCH('CHOP DASHBOARD'!$C$4,INDEX(MASTER_ZONES!$B:$B,85)))),84,""),""),""))</f>
        <v/>
      </c>
      <c r="Q85">
        <f>IFERROR(SMALL($P$2:$P$1487,84),"")</f>
        <v/>
      </c>
      <c r="R85">
        <f>IF(Q85="","",IF('CHOP DASHBOARD'!$B$4="Area",INDEX(MASTER_AREAS!$B:$B,Q85+1),INDEX(MASTER_ZONES!$B:$B,Q85+1)))</f>
        <v/>
      </c>
      <c r="U85">
        <f>IF('COMMUNITY CHURCH DASHBOARD'!$B$4="Area",IF(84&lt;=$X$3,IF(AND(OR('COMMUNITY CHURCH DASHBOARD'!$C$4="",ISNUMBER(SEARCH('COMMUNITY CHURCH DASHBOARD'!$C$4,INDEX(MASTER_AREAS!$B:$B,85))))),84,""),""),IF('COMMUNITY CHURCH DASHBOARD'!$B$4="Zone",IF(84&lt;=$X$4,IF(OR('COMMUNITY CHURCH DASHBOARD'!$C$4="",ISNUMBER(SEARCH('COMMUNITY CHURCH DASHBOARD'!$C$4,INDEX(MASTER_ZONES!$B:$B,85)))),84,""),""),""))</f>
        <v/>
      </c>
      <c r="V85">
        <f>IFERROR(SMALL($U$2:$U$1487,84),"")</f>
        <v/>
      </c>
      <c r="W85">
        <f>IF(V85="","",IF('COMMUNITY CHURCH DASHBOARD'!$B$4="Area",INDEX(MASTER_AREAS!$B:$B,V85+1),INDEX(MASTER_ZONES!$B:$B,V85+1)))</f>
        <v/>
      </c>
    </row>
    <row r="86">
      <c r="A86">
        <f>IF('WSF DASHBOARD'!$B$4="Area",IF(85&lt;=$D$3,IF(AND(OR('WSF DASHBOARD'!$C$4="",ISNUMBER(SEARCH('WSF DASHBOARD'!$C$4,INDEX(MASTER_AREAS!$B:$B,86))))),85,""),""),IF('WSF DASHBOARD'!$B$4="Zone",IF(85&lt;=$D$4,IF(OR('WSF DASHBOARD'!$C$4="",ISNUMBER(SEARCH('WSF DASHBOARD'!$C$4,INDEX(MASTER_ZONES!$B:$B,86)))),85,""),""),""))</f>
        <v/>
      </c>
      <c r="B86">
        <f>IFERROR(SMALL($A$2:$A$1487,85),"")</f>
        <v/>
      </c>
      <c r="C86">
        <f>IF(B86="","",IF('WSF DASHBOARD'!$B$4="Area",INDEX(MASTER_AREAS!$B:$B,B86+1),INDEX(MASTER_ZONES!$B:$B,B86+1)))</f>
        <v/>
      </c>
      <c r="F86">
        <f>IF('TRANSPORT DASHBOARD'!$B$4="Area",IF(85&lt;=$I$3,IF(AND(INDEX(MASTER_AREAS!$F:$F,86)&lt;&gt;"N",OR('TRANSPORT DASHBOARD'!$C$4="",ISNUMBER(SEARCH('TRANSPORT DASHBOARD'!$C$4,INDEX(MASTER_AREAS!$B:$B,86))))),85,""),""),IF('TRANSPORT DASHBOARD'!$B$4="Zone",IF(85&lt;=$I$4,IF(OR('TRANSPORT DASHBOARD'!$C$4="",ISNUMBER(SEARCH('TRANSPORT DASHBOARD'!$C$4,INDEX(MASTER_ZONES!$B:$B,86)))),85,""),""),""))</f>
        <v/>
      </c>
      <c r="G86">
        <f>IFERROR(SMALL($F$2:$F$1487,85),"")</f>
        <v/>
      </c>
      <c r="H86">
        <f>IF(G86="","",IF('TRANSPORT DASHBOARD'!$B$4="Area",INDEX(MASTER_AREAS!$B:$B,G86+1),INDEX(MASTER_ZONES!$B:$B,G86+1)))</f>
        <v/>
      </c>
      <c r="K86">
        <f>IF('MIDWEEK DASHBOARD'!$B$4="Area",IF(85&lt;=$N$3,IF(AND(OR('MIDWEEK DASHBOARD'!$C$4="",ISNUMBER(SEARCH('MIDWEEK DASHBOARD'!$C$4,INDEX(MASTER_AREAS!$B:$B,86))))),85,""),""),IF('MIDWEEK DASHBOARD'!$B$4="Zone",IF(85&lt;=$N$4,IF(OR('MIDWEEK DASHBOARD'!$C$4="",ISNUMBER(SEARCH('MIDWEEK DASHBOARD'!$C$4,INDEX(MASTER_ZONES!$B:$B,86)))),85,""),""),""))</f>
        <v/>
      </c>
      <c r="L86">
        <f>IFERROR(SMALL($K$2:$K$1487,85),"")</f>
        <v/>
      </c>
      <c r="M86">
        <f>IF(L86="","",IF('MIDWEEK DASHBOARD'!$B$4="Area",INDEX(MASTER_AREAS!$B:$B,L86+1),INDEX(MASTER_ZONES!$B:$B,L86+1)))</f>
        <v/>
      </c>
      <c r="P86">
        <f>IF('CHOP DASHBOARD'!$B$4="Area",IF(85&lt;=$S$3,IF(AND(OR('CHOP DASHBOARD'!$C$4="",ISNUMBER(SEARCH('CHOP DASHBOARD'!$C$4,INDEX(MASTER_AREAS!$B:$B,86))))),85,""),""),IF('CHOP DASHBOARD'!$B$4="Zone",IF(85&lt;=$S$4,IF(OR('CHOP DASHBOARD'!$C$4="",ISNUMBER(SEARCH('CHOP DASHBOARD'!$C$4,INDEX(MASTER_ZONES!$B:$B,86)))),85,""),""),""))</f>
        <v/>
      </c>
      <c r="Q86">
        <f>IFERROR(SMALL($P$2:$P$1487,85),"")</f>
        <v/>
      </c>
      <c r="R86">
        <f>IF(Q86="","",IF('CHOP DASHBOARD'!$B$4="Area",INDEX(MASTER_AREAS!$B:$B,Q86+1),INDEX(MASTER_ZONES!$B:$B,Q86+1)))</f>
        <v/>
      </c>
      <c r="U86">
        <f>IF('COMMUNITY CHURCH DASHBOARD'!$B$4="Area",IF(85&lt;=$X$3,IF(AND(OR('COMMUNITY CHURCH DASHBOARD'!$C$4="",ISNUMBER(SEARCH('COMMUNITY CHURCH DASHBOARD'!$C$4,INDEX(MASTER_AREAS!$B:$B,86))))),85,""),""),IF('COMMUNITY CHURCH DASHBOARD'!$B$4="Zone",IF(85&lt;=$X$4,IF(OR('COMMUNITY CHURCH DASHBOARD'!$C$4="",ISNUMBER(SEARCH('COMMUNITY CHURCH DASHBOARD'!$C$4,INDEX(MASTER_ZONES!$B:$B,86)))),85,""),""),""))</f>
        <v/>
      </c>
      <c r="V86">
        <f>IFERROR(SMALL($U$2:$U$1487,85),"")</f>
        <v/>
      </c>
      <c r="W86">
        <f>IF(V86="","",IF('COMMUNITY CHURCH DASHBOARD'!$B$4="Area",INDEX(MASTER_AREAS!$B:$B,V86+1),INDEX(MASTER_ZONES!$B:$B,V86+1)))</f>
        <v/>
      </c>
    </row>
    <row r="87">
      <c r="A87">
        <f>IF('WSF DASHBOARD'!$B$4="Area",IF(86&lt;=$D$3,IF(AND(OR('WSF DASHBOARD'!$C$4="",ISNUMBER(SEARCH('WSF DASHBOARD'!$C$4,INDEX(MASTER_AREAS!$B:$B,87))))),86,""),""),IF('WSF DASHBOARD'!$B$4="Zone",IF(86&lt;=$D$4,IF(OR('WSF DASHBOARD'!$C$4="",ISNUMBER(SEARCH('WSF DASHBOARD'!$C$4,INDEX(MASTER_ZONES!$B:$B,87)))),86,""),""),""))</f>
        <v/>
      </c>
      <c r="B87">
        <f>IFERROR(SMALL($A$2:$A$1487,86),"")</f>
        <v/>
      </c>
      <c r="C87">
        <f>IF(B87="","",IF('WSF DASHBOARD'!$B$4="Area",INDEX(MASTER_AREAS!$B:$B,B87+1),INDEX(MASTER_ZONES!$B:$B,B87+1)))</f>
        <v/>
      </c>
      <c r="F87">
        <f>IF('TRANSPORT DASHBOARD'!$B$4="Area",IF(86&lt;=$I$3,IF(AND(INDEX(MASTER_AREAS!$F:$F,87)&lt;&gt;"N",OR('TRANSPORT DASHBOARD'!$C$4="",ISNUMBER(SEARCH('TRANSPORT DASHBOARD'!$C$4,INDEX(MASTER_AREAS!$B:$B,87))))),86,""),""),IF('TRANSPORT DASHBOARD'!$B$4="Zone",IF(86&lt;=$I$4,IF(OR('TRANSPORT DASHBOARD'!$C$4="",ISNUMBER(SEARCH('TRANSPORT DASHBOARD'!$C$4,INDEX(MASTER_ZONES!$B:$B,87)))),86,""),""),""))</f>
        <v/>
      </c>
      <c r="G87">
        <f>IFERROR(SMALL($F$2:$F$1487,86),"")</f>
        <v/>
      </c>
      <c r="H87">
        <f>IF(G87="","",IF('TRANSPORT DASHBOARD'!$B$4="Area",INDEX(MASTER_AREAS!$B:$B,G87+1),INDEX(MASTER_ZONES!$B:$B,G87+1)))</f>
        <v/>
      </c>
      <c r="K87">
        <f>IF('MIDWEEK DASHBOARD'!$B$4="Area",IF(86&lt;=$N$3,IF(AND(OR('MIDWEEK DASHBOARD'!$C$4="",ISNUMBER(SEARCH('MIDWEEK DASHBOARD'!$C$4,INDEX(MASTER_AREAS!$B:$B,87))))),86,""),""),IF('MIDWEEK DASHBOARD'!$B$4="Zone",IF(86&lt;=$N$4,IF(OR('MIDWEEK DASHBOARD'!$C$4="",ISNUMBER(SEARCH('MIDWEEK DASHBOARD'!$C$4,INDEX(MASTER_ZONES!$B:$B,87)))),86,""),""),""))</f>
        <v/>
      </c>
      <c r="L87">
        <f>IFERROR(SMALL($K$2:$K$1487,86),"")</f>
        <v/>
      </c>
      <c r="M87">
        <f>IF(L87="","",IF('MIDWEEK DASHBOARD'!$B$4="Area",INDEX(MASTER_AREAS!$B:$B,L87+1),INDEX(MASTER_ZONES!$B:$B,L87+1)))</f>
        <v/>
      </c>
      <c r="P87">
        <f>IF('CHOP DASHBOARD'!$B$4="Area",IF(86&lt;=$S$3,IF(AND(OR('CHOP DASHBOARD'!$C$4="",ISNUMBER(SEARCH('CHOP DASHBOARD'!$C$4,INDEX(MASTER_AREAS!$B:$B,87))))),86,""),""),IF('CHOP DASHBOARD'!$B$4="Zone",IF(86&lt;=$S$4,IF(OR('CHOP DASHBOARD'!$C$4="",ISNUMBER(SEARCH('CHOP DASHBOARD'!$C$4,INDEX(MASTER_ZONES!$B:$B,87)))),86,""),""),""))</f>
        <v/>
      </c>
      <c r="Q87">
        <f>IFERROR(SMALL($P$2:$P$1487,86),"")</f>
        <v/>
      </c>
      <c r="R87">
        <f>IF(Q87="","",IF('CHOP DASHBOARD'!$B$4="Area",INDEX(MASTER_AREAS!$B:$B,Q87+1),INDEX(MASTER_ZONES!$B:$B,Q87+1)))</f>
        <v/>
      </c>
      <c r="U87">
        <f>IF('COMMUNITY CHURCH DASHBOARD'!$B$4="Area",IF(86&lt;=$X$3,IF(AND(OR('COMMUNITY CHURCH DASHBOARD'!$C$4="",ISNUMBER(SEARCH('COMMUNITY CHURCH DASHBOARD'!$C$4,INDEX(MASTER_AREAS!$B:$B,87))))),86,""),""),IF('COMMUNITY CHURCH DASHBOARD'!$B$4="Zone",IF(86&lt;=$X$4,IF(OR('COMMUNITY CHURCH DASHBOARD'!$C$4="",ISNUMBER(SEARCH('COMMUNITY CHURCH DASHBOARD'!$C$4,INDEX(MASTER_ZONES!$B:$B,87)))),86,""),""),""))</f>
        <v/>
      </c>
      <c r="V87">
        <f>IFERROR(SMALL($U$2:$U$1487,86),"")</f>
        <v/>
      </c>
      <c r="W87">
        <f>IF(V87="","",IF('COMMUNITY CHURCH DASHBOARD'!$B$4="Area",INDEX(MASTER_AREAS!$B:$B,V87+1),INDEX(MASTER_ZONES!$B:$B,V87+1)))</f>
        <v/>
      </c>
    </row>
    <row r="88">
      <c r="A88">
        <f>IF('WSF DASHBOARD'!$B$4="Area",IF(87&lt;=$D$3,IF(AND(OR('WSF DASHBOARD'!$C$4="",ISNUMBER(SEARCH('WSF DASHBOARD'!$C$4,INDEX(MASTER_AREAS!$B:$B,88))))),87,""),""),IF('WSF DASHBOARD'!$B$4="Zone",IF(87&lt;=$D$4,IF(OR('WSF DASHBOARD'!$C$4="",ISNUMBER(SEARCH('WSF DASHBOARD'!$C$4,INDEX(MASTER_ZONES!$B:$B,88)))),87,""),""),""))</f>
        <v/>
      </c>
      <c r="B88">
        <f>IFERROR(SMALL($A$2:$A$1487,87),"")</f>
        <v/>
      </c>
      <c r="C88">
        <f>IF(B88="","",IF('WSF DASHBOARD'!$B$4="Area",INDEX(MASTER_AREAS!$B:$B,B88+1),INDEX(MASTER_ZONES!$B:$B,B88+1)))</f>
        <v/>
      </c>
      <c r="F88">
        <f>IF('TRANSPORT DASHBOARD'!$B$4="Area",IF(87&lt;=$I$3,IF(AND(INDEX(MASTER_AREAS!$F:$F,88)&lt;&gt;"N",OR('TRANSPORT DASHBOARD'!$C$4="",ISNUMBER(SEARCH('TRANSPORT DASHBOARD'!$C$4,INDEX(MASTER_AREAS!$B:$B,88))))),87,""),""),IF('TRANSPORT DASHBOARD'!$B$4="Zone",IF(87&lt;=$I$4,IF(OR('TRANSPORT DASHBOARD'!$C$4="",ISNUMBER(SEARCH('TRANSPORT DASHBOARD'!$C$4,INDEX(MASTER_ZONES!$B:$B,88)))),87,""),""),""))</f>
        <v/>
      </c>
      <c r="G88">
        <f>IFERROR(SMALL($F$2:$F$1487,87),"")</f>
        <v/>
      </c>
      <c r="H88">
        <f>IF(G88="","",IF('TRANSPORT DASHBOARD'!$B$4="Area",INDEX(MASTER_AREAS!$B:$B,G88+1),INDEX(MASTER_ZONES!$B:$B,G88+1)))</f>
        <v/>
      </c>
      <c r="K88">
        <f>IF('MIDWEEK DASHBOARD'!$B$4="Area",IF(87&lt;=$N$3,IF(AND(OR('MIDWEEK DASHBOARD'!$C$4="",ISNUMBER(SEARCH('MIDWEEK DASHBOARD'!$C$4,INDEX(MASTER_AREAS!$B:$B,88))))),87,""),""),IF('MIDWEEK DASHBOARD'!$B$4="Zone",IF(87&lt;=$N$4,IF(OR('MIDWEEK DASHBOARD'!$C$4="",ISNUMBER(SEARCH('MIDWEEK DASHBOARD'!$C$4,INDEX(MASTER_ZONES!$B:$B,88)))),87,""),""),""))</f>
        <v/>
      </c>
      <c r="L88">
        <f>IFERROR(SMALL($K$2:$K$1487,87),"")</f>
        <v/>
      </c>
      <c r="M88">
        <f>IF(L88="","",IF('MIDWEEK DASHBOARD'!$B$4="Area",INDEX(MASTER_AREAS!$B:$B,L88+1),INDEX(MASTER_ZONES!$B:$B,L88+1)))</f>
        <v/>
      </c>
      <c r="P88">
        <f>IF('CHOP DASHBOARD'!$B$4="Area",IF(87&lt;=$S$3,IF(AND(OR('CHOP DASHBOARD'!$C$4="",ISNUMBER(SEARCH('CHOP DASHBOARD'!$C$4,INDEX(MASTER_AREAS!$B:$B,88))))),87,""),""),IF('CHOP DASHBOARD'!$B$4="Zone",IF(87&lt;=$S$4,IF(OR('CHOP DASHBOARD'!$C$4="",ISNUMBER(SEARCH('CHOP DASHBOARD'!$C$4,INDEX(MASTER_ZONES!$B:$B,88)))),87,""),""),""))</f>
        <v/>
      </c>
      <c r="Q88">
        <f>IFERROR(SMALL($P$2:$P$1487,87),"")</f>
        <v/>
      </c>
      <c r="R88">
        <f>IF(Q88="","",IF('CHOP DASHBOARD'!$B$4="Area",INDEX(MASTER_AREAS!$B:$B,Q88+1),INDEX(MASTER_ZONES!$B:$B,Q88+1)))</f>
        <v/>
      </c>
      <c r="U88">
        <f>IF('COMMUNITY CHURCH DASHBOARD'!$B$4="Area",IF(87&lt;=$X$3,IF(AND(OR('COMMUNITY CHURCH DASHBOARD'!$C$4="",ISNUMBER(SEARCH('COMMUNITY CHURCH DASHBOARD'!$C$4,INDEX(MASTER_AREAS!$B:$B,88))))),87,""),""),IF('COMMUNITY CHURCH DASHBOARD'!$B$4="Zone",IF(87&lt;=$X$4,IF(OR('COMMUNITY CHURCH DASHBOARD'!$C$4="",ISNUMBER(SEARCH('COMMUNITY CHURCH DASHBOARD'!$C$4,INDEX(MASTER_ZONES!$B:$B,88)))),87,""),""),""))</f>
        <v/>
      </c>
      <c r="V88">
        <f>IFERROR(SMALL($U$2:$U$1487,87),"")</f>
        <v/>
      </c>
      <c r="W88">
        <f>IF(V88="","",IF('COMMUNITY CHURCH DASHBOARD'!$B$4="Area",INDEX(MASTER_AREAS!$B:$B,V88+1),INDEX(MASTER_ZONES!$B:$B,V88+1)))</f>
        <v/>
      </c>
    </row>
    <row r="89">
      <c r="A89">
        <f>IF('WSF DASHBOARD'!$B$4="Area",IF(88&lt;=$D$3,IF(AND(OR('WSF DASHBOARD'!$C$4="",ISNUMBER(SEARCH('WSF DASHBOARD'!$C$4,INDEX(MASTER_AREAS!$B:$B,89))))),88,""),""),IF('WSF DASHBOARD'!$B$4="Zone",IF(88&lt;=$D$4,IF(OR('WSF DASHBOARD'!$C$4="",ISNUMBER(SEARCH('WSF DASHBOARD'!$C$4,INDEX(MASTER_ZONES!$B:$B,89)))),88,""),""),""))</f>
        <v/>
      </c>
      <c r="B89">
        <f>IFERROR(SMALL($A$2:$A$1487,88),"")</f>
        <v/>
      </c>
      <c r="C89">
        <f>IF(B89="","",IF('WSF DASHBOARD'!$B$4="Area",INDEX(MASTER_AREAS!$B:$B,B89+1),INDEX(MASTER_ZONES!$B:$B,B89+1)))</f>
        <v/>
      </c>
      <c r="F89">
        <f>IF('TRANSPORT DASHBOARD'!$B$4="Area",IF(88&lt;=$I$3,IF(AND(INDEX(MASTER_AREAS!$F:$F,89)&lt;&gt;"N",OR('TRANSPORT DASHBOARD'!$C$4="",ISNUMBER(SEARCH('TRANSPORT DASHBOARD'!$C$4,INDEX(MASTER_AREAS!$B:$B,89))))),88,""),""),IF('TRANSPORT DASHBOARD'!$B$4="Zone",IF(88&lt;=$I$4,IF(OR('TRANSPORT DASHBOARD'!$C$4="",ISNUMBER(SEARCH('TRANSPORT DASHBOARD'!$C$4,INDEX(MASTER_ZONES!$B:$B,89)))),88,""),""),""))</f>
        <v/>
      </c>
      <c r="G89">
        <f>IFERROR(SMALL($F$2:$F$1487,88),"")</f>
        <v/>
      </c>
      <c r="H89">
        <f>IF(G89="","",IF('TRANSPORT DASHBOARD'!$B$4="Area",INDEX(MASTER_AREAS!$B:$B,G89+1),INDEX(MASTER_ZONES!$B:$B,G89+1)))</f>
        <v/>
      </c>
      <c r="K89">
        <f>IF('MIDWEEK DASHBOARD'!$B$4="Area",IF(88&lt;=$N$3,IF(AND(OR('MIDWEEK DASHBOARD'!$C$4="",ISNUMBER(SEARCH('MIDWEEK DASHBOARD'!$C$4,INDEX(MASTER_AREAS!$B:$B,89))))),88,""),""),IF('MIDWEEK DASHBOARD'!$B$4="Zone",IF(88&lt;=$N$4,IF(OR('MIDWEEK DASHBOARD'!$C$4="",ISNUMBER(SEARCH('MIDWEEK DASHBOARD'!$C$4,INDEX(MASTER_ZONES!$B:$B,89)))),88,""),""),""))</f>
        <v/>
      </c>
      <c r="L89">
        <f>IFERROR(SMALL($K$2:$K$1487,88),"")</f>
        <v/>
      </c>
      <c r="M89">
        <f>IF(L89="","",IF('MIDWEEK DASHBOARD'!$B$4="Area",INDEX(MASTER_AREAS!$B:$B,L89+1),INDEX(MASTER_ZONES!$B:$B,L89+1)))</f>
        <v/>
      </c>
      <c r="P89">
        <f>IF('CHOP DASHBOARD'!$B$4="Area",IF(88&lt;=$S$3,IF(AND(OR('CHOP DASHBOARD'!$C$4="",ISNUMBER(SEARCH('CHOP DASHBOARD'!$C$4,INDEX(MASTER_AREAS!$B:$B,89))))),88,""),""),IF('CHOP DASHBOARD'!$B$4="Zone",IF(88&lt;=$S$4,IF(OR('CHOP DASHBOARD'!$C$4="",ISNUMBER(SEARCH('CHOP DASHBOARD'!$C$4,INDEX(MASTER_ZONES!$B:$B,89)))),88,""),""),""))</f>
        <v/>
      </c>
      <c r="Q89">
        <f>IFERROR(SMALL($P$2:$P$1487,88),"")</f>
        <v/>
      </c>
      <c r="R89">
        <f>IF(Q89="","",IF('CHOP DASHBOARD'!$B$4="Area",INDEX(MASTER_AREAS!$B:$B,Q89+1),INDEX(MASTER_ZONES!$B:$B,Q89+1)))</f>
        <v/>
      </c>
      <c r="U89">
        <f>IF('COMMUNITY CHURCH DASHBOARD'!$B$4="Area",IF(88&lt;=$X$3,IF(AND(OR('COMMUNITY CHURCH DASHBOARD'!$C$4="",ISNUMBER(SEARCH('COMMUNITY CHURCH DASHBOARD'!$C$4,INDEX(MASTER_AREAS!$B:$B,89))))),88,""),""),IF('COMMUNITY CHURCH DASHBOARD'!$B$4="Zone",IF(88&lt;=$X$4,IF(OR('COMMUNITY CHURCH DASHBOARD'!$C$4="",ISNUMBER(SEARCH('COMMUNITY CHURCH DASHBOARD'!$C$4,INDEX(MASTER_ZONES!$B:$B,89)))),88,""),""),""))</f>
        <v/>
      </c>
      <c r="V89">
        <f>IFERROR(SMALL($U$2:$U$1487,88),"")</f>
        <v/>
      </c>
      <c r="W89">
        <f>IF(V89="","",IF('COMMUNITY CHURCH DASHBOARD'!$B$4="Area",INDEX(MASTER_AREAS!$B:$B,V89+1),INDEX(MASTER_ZONES!$B:$B,V89+1)))</f>
        <v/>
      </c>
    </row>
    <row r="90">
      <c r="A90">
        <f>IF('WSF DASHBOARD'!$B$4="Area",IF(89&lt;=$D$3,IF(AND(OR('WSF DASHBOARD'!$C$4="",ISNUMBER(SEARCH('WSF DASHBOARD'!$C$4,INDEX(MASTER_AREAS!$B:$B,90))))),89,""),""),IF('WSF DASHBOARD'!$B$4="Zone",IF(89&lt;=$D$4,IF(OR('WSF DASHBOARD'!$C$4="",ISNUMBER(SEARCH('WSF DASHBOARD'!$C$4,INDEX(MASTER_ZONES!$B:$B,90)))),89,""),""),""))</f>
        <v/>
      </c>
      <c r="B90">
        <f>IFERROR(SMALL($A$2:$A$1487,89),"")</f>
        <v/>
      </c>
      <c r="C90">
        <f>IF(B90="","",IF('WSF DASHBOARD'!$B$4="Area",INDEX(MASTER_AREAS!$B:$B,B90+1),INDEX(MASTER_ZONES!$B:$B,B90+1)))</f>
        <v/>
      </c>
      <c r="F90">
        <f>IF('TRANSPORT DASHBOARD'!$B$4="Area",IF(89&lt;=$I$3,IF(AND(INDEX(MASTER_AREAS!$F:$F,90)&lt;&gt;"N",OR('TRANSPORT DASHBOARD'!$C$4="",ISNUMBER(SEARCH('TRANSPORT DASHBOARD'!$C$4,INDEX(MASTER_AREAS!$B:$B,90))))),89,""),""),IF('TRANSPORT DASHBOARD'!$B$4="Zone",IF(89&lt;=$I$4,IF(OR('TRANSPORT DASHBOARD'!$C$4="",ISNUMBER(SEARCH('TRANSPORT DASHBOARD'!$C$4,INDEX(MASTER_ZONES!$B:$B,90)))),89,""),""),""))</f>
        <v/>
      </c>
      <c r="G90">
        <f>IFERROR(SMALL($F$2:$F$1487,89),"")</f>
        <v/>
      </c>
      <c r="H90">
        <f>IF(G90="","",IF('TRANSPORT DASHBOARD'!$B$4="Area",INDEX(MASTER_AREAS!$B:$B,G90+1),INDEX(MASTER_ZONES!$B:$B,G90+1)))</f>
        <v/>
      </c>
      <c r="K90">
        <f>IF('MIDWEEK DASHBOARD'!$B$4="Area",IF(89&lt;=$N$3,IF(AND(OR('MIDWEEK DASHBOARD'!$C$4="",ISNUMBER(SEARCH('MIDWEEK DASHBOARD'!$C$4,INDEX(MASTER_AREAS!$B:$B,90))))),89,""),""),IF('MIDWEEK DASHBOARD'!$B$4="Zone",IF(89&lt;=$N$4,IF(OR('MIDWEEK DASHBOARD'!$C$4="",ISNUMBER(SEARCH('MIDWEEK DASHBOARD'!$C$4,INDEX(MASTER_ZONES!$B:$B,90)))),89,""),""),""))</f>
        <v/>
      </c>
      <c r="L90">
        <f>IFERROR(SMALL($K$2:$K$1487,89),"")</f>
        <v/>
      </c>
      <c r="M90">
        <f>IF(L90="","",IF('MIDWEEK DASHBOARD'!$B$4="Area",INDEX(MASTER_AREAS!$B:$B,L90+1),INDEX(MASTER_ZONES!$B:$B,L90+1)))</f>
        <v/>
      </c>
      <c r="P90">
        <f>IF('CHOP DASHBOARD'!$B$4="Area",IF(89&lt;=$S$3,IF(AND(OR('CHOP DASHBOARD'!$C$4="",ISNUMBER(SEARCH('CHOP DASHBOARD'!$C$4,INDEX(MASTER_AREAS!$B:$B,90))))),89,""),""),IF('CHOP DASHBOARD'!$B$4="Zone",IF(89&lt;=$S$4,IF(OR('CHOP DASHBOARD'!$C$4="",ISNUMBER(SEARCH('CHOP DASHBOARD'!$C$4,INDEX(MASTER_ZONES!$B:$B,90)))),89,""),""),""))</f>
        <v/>
      </c>
      <c r="Q90">
        <f>IFERROR(SMALL($P$2:$P$1487,89),"")</f>
        <v/>
      </c>
      <c r="R90">
        <f>IF(Q90="","",IF('CHOP DASHBOARD'!$B$4="Area",INDEX(MASTER_AREAS!$B:$B,Q90+1),INDEX(MASTER_ZONES!$B:$B,Q90+1)))</f>
        <v/>
      </c>
      <c r="U90">
        <f>IF('COMMUNITY CHURCH DASHBOARD'!$B$4="Area",IF(89&lt;=$X$3,IF(AND(OR('COMMUNITY CHURCH DASHBOARD'!$C$4="",ISNUMBER(SEARCH('COMMUNITY CHURCH DASHBOARD'!$C$4,INDEX(MASTER_AREAS!$B:$B,90))))),89,""),""),IF('COMMUNITY CHURCH DASHBOARD'!$B$4="Zone",IF(89&lt;=$X$4,IF(OR('COMMUNITY CHURCH DASHBOARD'!$C$4="",ISNUMBER(SEARCH('COMMUNITY CHURCH DASHBOARD'!$C$4,INDEX(MASTER_ZONES!$B:$B,90)))),89,""),""),""))</f>
        <v/>
      </c>
      <c r="V90">
        <f>IFERROR(SMALL($U$2:$U$1487,89),"")</f>
        <v/>
      </c>
      <c r="W90">
        <f>IF(V90="","",IF('COMMUNITY CHURCH DASHBOARD'!$B$4="Area",INDEX(MASTER_AREAS!$B:$B,V90+1),INDEX(MASTER_ZONES!$B:$B,V90+1)))</f>
        <v/>
      </c>
    </row>
    <row r="91">
      <c r="A91">
        <f>IF('WSF DASHBOARD'!$B$4="Area",IF(90&lt;=$D$3,IF(AND(OR('WSF DASHBOARD'!$C$4="",ISNUMBER(SEARCH('WSF DASHBOARD'!$C$4,INDEX(MASTER_AREAS!$B:$B,91))))),90,""),""),IF('WSF DASHBOARD'!$B$4="Zone",IF(90&lt;=$D$4,IF(OR('WSF DASHBOARD'!$C$4="",ISNUMBER(SEARCH('WSF DASHBOARD'!$C$4,INDEX(MASTER_ZONES!$B:$B,91)))),90,""),""),""))</f>
        <v/>
      </c>
      <c r="B91">
        <f>IFERROR(SMALL($A$2:$A$1487,90),"")</f>
        <v/>
      </c>
      <c r="C91">
        <f>IF(B91="","",IF('WSF DASHBOARD'!$B$4="Area",INDEX(MASTER_AREAS!$B:$B,B91+1),INDEX(MASTER_ZONES!$B:$B,B91+1)))</f>
        <v/>
      </c>
      <c r="F91">
        <f>IF('TRANSPORT DASHBOARD'!$B$4="Area",IF(90&lt;=$I$3,IF(AND(INDEX(MASTER_AREAS!$F:$F,91)&lt;&gt;"N",OR('TRANSPORT DASHBOARD'!$C$4="",ISNUMBER(SEARCH('TRANSPORT DASHBOARD'!$C$4,INDEX(MASTER_AREAS!$B:$B,91))))),90,""),""),IF('TRANSPORT DASHBOARD'!$B$4="Zone",IF(90&lt;=$I$4,IF(OR('TRANSPORT DASHBOARD'!$C$4="",ISNUMBER(SEARCH('TRANSPORT DASHBOARD'!$C$4,INDEX(MASTER_ZONES!$B:$B,91)))),90,""),""),""))</f>
        <v/>
      </c>
      <c r="G91">
        <f>IFERROR(SMALL($F$2:$F$1487,90),"")</f>
        <v/>
      </c>
      <c r="H91">
        <f>IF(G91="","",IF('TRANSPORT DASHBOARD'!$B$4="Area",INDEX(MASTER_AREAS!$B:$B,G91+1),INDEX(MASTER_ZONES!$B:$B,G91+1)))</f>
        <v/>
      </c>
      <c r="K91">
        <f>IF('MIDWEEK DASHBOARD'!$B$4="Area",IF(90&lt;=$N$3,IF(AND(OR('MIDWEEK DASHBOARD'!$C$4="",ISNUMBER(SEARCH('MIDWEEK DASHBOARD'!$C$4,INDEX(MASTER_AREAS!$B:$B,91))))),90,""),""),IF('MIDWEEK DASHBOARD'!$B$4="Zone",IF(90&lt;=$N$4,IF(OR('MIDWEEK DASHBOARD'!$C$4="",ISNUMBER(SEARCH('MIDWEEK DASHBOARD'!$C$4,INDEX(MASTER_ZONES!$B:$B,91)))),90,""),""),""))</f>
        <v/>
      </c>
      <c r="L91">
        <f>IFERROR(SMALL($K$2:$K$1487,90),"")</f>
        <v/>
      </c>
      <c r="M91">
        <f>IF(L91="","",IF('MIDWEEK DASHBOARD'!$B$4="Area",INDEX(MASTER_AREAS!$B:$B,L91+1),INDEX(MASTER_ZONES!$B:$B,L91+1)))</f>
        <v/>
      </c>
      <c r="P91">
        <f>IF('CHOP DASHBOARD'!$B$4="Area",IF(90&lt;=$S$3,IF(AND(OR('CHOP DASHBOARD'!$C$4="",ISNUMBER(SEARCH('CHOP DASHBOARD'!$C$4,INDEX(MASTER_AREAS!$B:$B,91))))),90,""),""),IF('CHOP DASHBOARD'!$B$4="Zone",IF(90&lt;=$S$4,IF(OR('CHOP DASHBOARD'!$C$4="",ISNUMBER(SEARCH('CHOP DASHBOARD'!$C$4,INDEX(MASTER_ZONES!$B:$B,91)))),90,""),""),""))</f>
        <v/>
      </c>
      <c r="Q91">
        <f>IFERROR(SMALL($P$2:$P$1487,90),"")</f>
        <v/>
      </c>
      <c r="R91">
        <f>IF(Q91="","",IF('CHOP DASHBOARD'!$B$4="Area",INDEX(MASTER_AREAS!$B:$B,Q91+1),INDEX(MASTER_ZONES!$B:$B,Q91+1)))</f>
        <v/>
      </c>
      <c r="U91">
        <f>IF('COMMUNITY CHURCH DASHBOARD'!$B$4="Area",IF(90&lt;=$X$3,IF(AND(OR('COMMUNITY CHURCH DASHBOARD'!$C$4="",ISNUMBER(SEARCH('COMMUNITY CHURCH DASHBOARD'!$C$4,INDEX(MASTER_AREAS!$B:$B,91))))),90,""),""),IF('COMMUNITY CHURCH DASHBOARD'!$B$4="Zone",IF(90&lt;=$X$4,IF(OR('COMMUNITY CHURCH DASHBOARD'!$C$4="",ISNUMBER(SEARCH('COMMUNITY CHURCH DASHBOARD'!$C$4,INDEX(MASTER_ZONES!$B:$B,91)))),90,""),""),""))</f>
        <v/>
      </c>
      <c r="V91">
        <f>IFERROR(SMALL($U$2:$U$1487,90),"")</f>
        <v/>
      </c>
      <c r="W91">
        <f>IF(V91="","",IF('COMMUNITY CHURCH DASHBOARD'!$B$4="Area",INDEX(MASTER_AREAS!$B:$B,V91+1),INDEX(MASTER_ZONES!$B:$B,V91+1)))</f>
        <v/>
      </c>
    </row>
    <row r="92">
      <c r="A92">
        <f>IF('WSF DASHBOARD'!$B$4="Area",IF(91&lt;=$D$3,IF(AND(OR('WSF DASHBOARD'!$C$4="",ISNUMBER(SEARCH('WSF DASHBOARD'!$C$4,INDEX(MASTER_AREAS!$B:$B,92))))),91,""),""),IF('WSF DASHBOARD'!$B$4="Zone",IF(91&lt;=$D$4,IF(OR('WSF DASHBOARD'!$C$4="",ISNUMBER(SEARCH('WSF DASHBOARD'!$C$4,INDEX(MASTER_ZONES!$B:$B,92)))),91,""),""),""))</f>
        <v/>
      </c>
      <c r="B92">
        <f>IFERROR(SMALL($A$2:$A$1487,91),"")</f>
        <v/>
      </c>
      <c r="C92">
        <f>IF(B92="","",IF('WSF DASHBOARD'!$B$4="Area",INDEX(MASTER_AREAS!$B:$B,B92+1),INDEX(MASTER_ZONES!$B:$B,B92+1)))</f>
        <v/>
      </c>
      <c r="F92">
        <f>IF('TRANSPORT DASHBOARD'!$B$4="Area",IF(91&lt;=$I$3,IF(AND(INDEX(MASTER_AREAS!$F:$F,92)&lt;&gt;"N",OR('TRANSPORT DASHBOARD'!$C$4="",ISNUMBER(SEARCH('TRANSPORT DASHBOARD'!$C$4,INDEX(MASTER_AREAS!$B:$B,92))))),91,""),""),IF('TRANSPORT DASHBOARD'!$B$4="Zone",IF(91&lt;=$I$4,IF(OR('TRANSPORT DASHBOARD'!$C$4="",ISNUMBER(SEARCH('TRANSPORT DASHBOARD'!$C$4,INDEX(MASTER_ZONES!$B:$B,92)))),91,""),""),""))</f>
        <v/>
      </c>
      <c r="G92">
        <f>IFERROR(SMALL($F$2:$F$1487,91),"")</f>
        <v/>
      </c>
      <c r="H92">
        <f>IF(G92="","",IF('TRANSPORT DASHBOARD'!$B$4="Area",INDEX(MASTER_AREAS!$B:$B,G92+1),INDEX(MASTER_ZONES!$B:$B,G92+1)))</f>
        <v/>
      </c>
      <c r="K92">
        <f>IF('MIDWEEK DASHBOARD'!$B$4="Area",IF(91&lt;=$N$3,IF(AND(OR('MIDWEEK DASHBOARD'!$C$4="",ISNUMBER(SEARCH('MIDWEEK DASHBOARD'!$C$4,INDEX(MASTER_AREAS!$B:$B,92))))),91,""),""),IF('MIDWEEK DASHBOARD'!$B$4="Zone",IF(91&lt;=$N$4,IF(OR('MIDWEEK DASHBOARD'!$C$4="",ISNUMBER(SEARCH('MIDWEEK DASHBOARD'!$C$4,INDEX(MASTER_ZONES!$B:$B,92)))),91,""),""),""))</f>
        <v/>
      </c>
      <c r="L92">
        <f>IFERROR(SMALL($K$2:$K$1487,91),"")</f>
        <v/>
      </c>
      <c r="M92">
        <f>IF(L92="","",IF('MIDWEEK DASHBOARD'!$B$4="Area",INDEX(MASTER_AREAS!$B:$B,L92+1),INDEX(MASTER_ZONES!$B:$B,L92+1)))</f>
        <v/>
      </c>
      <c r="P92">
        <f>IF('CHOP DASHBOARD'!$B$4="Area",IF(91&lt;=$S$3,IF(AND(OR('CHOP DASHBOARD'!$C$4="",ISNUMBER(SEARCH('CHOP DASHBOARD'!$C$4,INDEX(MASTER_AREAS!$B:$B,92))))),91,""),""),IF('CHOP DASHBOARD'!$B$4="Zone",IF(91&lt;=$S$4,IF(OR('CHOP DASHBOARD'!$C$4="",ISNUMBER(SEARCH('CHOP DASHBOARD'!$C$4,INDEX(MASTER_ZONES!$B:$B,92)))),91,""),""),""))</f>
        <v/>
      </c>
      <c r="Q92">
        <f>IFERROR(SMALL($P$2:$P$1487,91),"")</f>
        <v/>
      </c>
      <c r="R92">
        <f>IF(Q92="","",IF('CHOP DASHBOARD'!$B$4="Area",INDEX(MASTER_AREAS!$B:$B,Q92+1),INDEX(MASTER_ZONES!$B:$B,Q92+1)))</f>
        <v/>
      </c>
      <c r="U92">
        <f>IF('COMMUNITY CHURCH DASHBOARD'!$B$4="Area",IF(91&lt;=$X$3,IF(AND(OR('COMMUNITY CHURCH DASHBOARD'!$C$4="",ISNUMBER(SEARCH('COMMUNITY CHURCH DASHBOARD'!$C$4,INDEX(MASTER_AREAS!$B:$B,92))))),91,""),""),IF('COMMUNITY CHURCH DASHBOARD'!$B$4="Zone",IF(91&lt;=$X$4,IF(OR('COMMUNITY CHURCH DASHBOARD'!$C$4="",ISNUMBER(SEARCH('COMMUNITY CHURCH DASHBOARD'!$C$4,INDEX(MASTER_ZONES!$B:$B,92)))),91,""),""),""))</f>
        <v/>
      </c>
      <c r="V92">
        <f>IFERROR(SMALL($U$2:$U$1487,91),"")</f>
        <v/>
      </c>
      <c r="W92">
        <f>IF(V92="","",IF('COMMUNITY CHURCH DASHBOARD'!$B$4="Area",INDEX(MASTER_AREAS!$B:$B,V92+1),INDEX(MASTER_ZONES!$B:$B,V92+1)))</f>
        <v/>
      </c>
    </row>
    <row r="93">
      <c r="A93">
        <f>IF('WSF DASHBOARD'!$B$4="Area",IF(92&lt;=$D$3,IF(AND(OR('WSF DASHBOARD'!$C$4="",ISNUMBER(SEARCH('WSF DASHBOARD'!$C$4,INDEX(MASTER_AREAS!$B:$B,93))))),92,""),""),IF('WSF DASHBOARD'!$B$4="Zone",IF(92&lt;=$D$4,IF(OR('WSF DASHBOARD'!$C$4="",ISNUMBER(SEARCH('WSF DASHBOARD'!$C$4,INDEX(MASTER_ZONES!$B:$B,93)))),92,""),""),""))</f>
        <v/>
      </c>
      <c r="B93">
        <f>IFERROR(SMALL($A$2:$A$1487,92),"")</f>
        <v/>
      </c>
      <c r="C93">
        <f>IF(B93="","",IF('WSF DASHBOARD'!$B$4="Area",INDEX(MASTER_AREAS!$B:$B,B93+1),INDEX(MASTER_ZONES!$B:$B,B93+1)))</f>
        <v/>
      </c>
      <c r="F93">
        <f>IF('TRANSPORT DASHBOARD'!$B$4="Area",IF(92&lt;=$I$3,IF(AND(INDEX(MASTER_AREAS!$F:$F,93)&lt;&gt;"N",OR('TRANSPORT DASHBOARD'!$C$4="",ISNUMBER(SEARCH('TRANSPORT DASHBOARD'!$C$4,INDEX(MASTER_AREAS!$B:$B,93))))),92,""),""),IF('TRANSPORT DASHBOARD'!$B$4="Zone",IF(92&lt;=$I$4,IF(OR('TRANSPORT DASHBOARD'!$C$4="",ISNUMBER(SEARCH('TRANSPORT DASHBOARD'!$C$4,INDEX(MASTER_ZONES!$B:$B,93)))),92,""),""),""))</f>
        <v/>
      </c>
      <c r="G93">
        <f>IFERROR(SMALL($F$2:$F$1487,92),"")</f>
        <v/>
      </c>
      <c r="H93">
        <f>IF(G93="","",IF('TRANSPORT DASHBOARD'!$B$4="Area",INDEX(MASTER_AREAS!$B:$B,G93+1),INDEX(MASTER_ZONES!$B:$B,G93+1)))</f>
        <v/>
      </c>
      <c r="K93">
        <f>IF('MIDWEEK DASHBOARD'!$B$4="Area",IF(92&lt;=$N$3,IF(AND(OR('MIDWEEK DASHBOARD'!$C$4="",ISNUMBER(SEARCH('MIDWEEK DASHBOARD'!$C$4,INDEX(MASTER_AREAS!$B:$B,93))))),92,""),""),IF('MIDWEEK DASHBOARD'!$B$4="Zone",IF(92&lt;=$N$4,IF(OR('MIDWEEK DASHBOARD'!$C$4="",ISNUMBER(SEARCH('MIDWEEK DASHBOARD'!$C$4,INDEX(MASTER_ZONES!$B:$B,93)))),92,""),""),""))</f>
        <v/>
      </c>
      <c r="L93">
        <f>IFERROR(SMALL($K$2:$K$1487,92),"")</f>
        <v/>
      </c>
      <c r="M93">
        <f>IF(L93="","",IF('MIDWEEK DASHBOARD'!$B$4="Area",INDEX(MASTER_AREAS!$B:$B,L93+1),INDEX(MASTER_ZONES!$B:$B,L93+1)))</f>
        <v/>
      </c>
      <c r="P93">
        <f>IF('CHOP DASHBOARD'!$B$4="Area",IF(92&lt;=$S$3,IF(AND(OR('CHOP DASHBOARD'!$C$4="",ISNUMBER(SEARCH('CHOP DASHBOARD'!$C$4,INDEX(MASTER_AREAS!$B:$B,93))))),92,""),""),IF('CHOP DASHBOARD'!$B$4="Zone",IF(92&lt;=$S$4,IF(OR('CHOP DASHBOARD'!$C$4="",ISNUMBER(SEARCH('CHOP DASHBOARD'!$C$4,INDEX(MASTER_ZONES!$B:$B,93)))),92,""),""),""))</f>
        <v/>
      </c>
      <c r="Q93">
        <f>IFERROR(SMALL($P$2:$P$1487,92),"")</f>
        <v/>
      </c>
      <c r="R93">
        <f>IF(Q93="","",IF('CHOP DASHBOARD'!$B$4="Area",INDEX(MASTER_AREAS!$B:$B,Q93+1),INDEX(MASTER_ZONES!$B:$B,Q93+1)))</f>
        <v/>
      </c>
      <c r="U93">
        <f>IF('COMMUNITY CHURCH DASHBOARD'!$B$4="Area",IF(92&lt;=$X$3,IF(AND(OR('COMMUNITY CHURCH DASHBOARD'!$C$4="",ISNUMBER(SEARCH('COMMUNITY CHURCH DASHBOARD'!$C$4,INDEX(MASTER_AREAS!$B:$B,93))))),92,""),""),IF('COMMUNITY CHURCH DASHBOARD'!$B$4="Zone",IF(92&lt;=$X$4,IF(OR('COMMUNITY CHURCH DASHBOARD'!$C$4="",ISNUMBER(SEARCH('COMMUNITY CHURCH DASHBOARD'!$C$4,INDEX(MASTER_ZONES!$B:$B,93)))),92,""),""),""))</f>
        <v/>
      </c>
      <c r="V93">
        <f>IFERROR(SMALL($U$2:$U$1487,92),"")</f>
        <v/>
      </c>
      <c r="W93">
        <f>IF(V93="","",IF('COMMUNITY CHURCH DASHBOARD'!$B$4="Area",INDEX(MASTER_AREAS!$B:$B,V93+1),INDEX(MASTER_ZONES!$B:$B,V93+1)))</f>
        <v/>
      </c>
    </row>
    <row r="94">
      <c r="A94">
        <f>IF('WSF DASHBOARD'!$B$4="Area",IF(93&lt;=$D$3,IF(AND(OR('WSF DASHBOARD'!$C$4="",ISNUMBER(SEARCH('WSF DASHBOARD'!$C$4,INDEX(MASTER_AREAS!$B:$B,94))))),93,""),""),IF('WSF DASHBOARD'!$B$4="Zone",IF(93&lt;=$D$4,IF(OR('WSF DASHBOARD'!$C$4="",ISNUMBER(SEARCH('WSF DASHBOARD'!$C$4,INDEX(MASTER_ZONES!$B:$B,94)))),93,""),""),""))</f>
        <v/>
      </c>
      <c r="B94">
        <f>IFERROR(SMALL($A$2:$A$1487,93),"")</f>
        <v/>
      </c>
      <c r="C94">
        <f>IF(B94="","",IF('WSF DASHBOARD'!$B$4="Area",INDEX(MASTER_AREAS!$B:$B,B94+1),INDEX(MASTER_ZONES!$B:$B,B94+1)))</f>
        <v/>
      </c>
      <c r="F94">
        <f>IF('TRANSPORT DASHBOARD'!$B$4="Area",IF(93&lt;=$I$3,IF(AND(INDEX(MASTER_AREAS!$F:$F,94)&lt;&gt;"N",OR('TRANSPORT DASHBOARD'!$C$4="",ISNUMBER(SEARCH('TRANSPORT DASHBOARD'!$C$4,INDEX(MASTER_AREAS!$B:$B,94))))),93,""),""),IF('TRANSPORT DASHBOARD'!$B$4="Zone",IF(93&lt;=$I$4,IF(OR('TRANSPORT DASHBOARD'!$C$4="",ISNUMBER(SEARCH('TRANSPORT DASHBOARD'!$C$4,INDEX(MASTER_ZONES!$B:$B,94)))),93,""),""),""))</f>
        <v/>
      </c>
      <c r="G94">
        <f>IFERROR(SMALL($F$2:$F$1487,93),"")</f>
        <v/>
      </c>
      <c r="H94">
        <f>IF(G94="","",IF('TRANSPORT DASHBOARD'!$B$4="Area",INDEX(MASTER_AREAS!$B:$B,G94+1),INDEX(MASTER_ZONES!$B:$B,G94+1)))</f>
        <v/>
      </c>
      <c r="K94">
        <f>IF('MIDWEEK DASHBOARD'!$B$4="Area",IF(93&lt;=$N$3,IF(AND(OR('MIDWEEK DASHBOARD'!$C$4="",ISNUMBER(SEARCH('MIDWEEK DASHBOARD'!$C$4,INDEX(MASTER_AREAS!$B:$B,94))))),93,""),""),IF('MIDWEEK DASHBOARD'!$B$4="Zone",IF(93&lt;=$N$4,IF(OR('MIDWEEK DASHBOARD'!$C$4="",ISNUMBER(SEARCH('MIDWEEK DASHBOARD'!$C$4,INDEX(MASTER_ZONES!$B:$B,94)))),93,""),""),""))</f>
        <v/>
      </c>
      <c r="L94">
        <f>IFERROR(SMALL($K$2:$K$1487,93),"")</f>
        <v/>
      </c>
      <c r="M94">
        <f>IF(L94="","",IF('MIDWEEK DASHBOARD'!$B$4="Area",INDEX(MASTER_AREAS!$B:$B,L94+1),INDEX(MASTER_ZONES!$B:$B,L94+1)))</f>
        <v/>
      </c>
      <c r="P94">
        <f>IF('CHOP DASHBOARD'!$B$4="Area",IF(93&lt;=$S$3,IF(AND(OR('CHOP DASHBOARD'!$C$4="",ISNUMBER(SEARCH('CHOP DASHBOARD'!$C$4,INDEX(MASTER_AREAS!$B:$B,94))))),93,""),""),IF('CHOP DASHBOARD'!$B$4="Zone",IF(93&lt;=$S$4,IF(OR('CHOP DASHBOARD'!$C$4="",ISNUMBER(SEARCH('CHOP DASHBOARD'!$C$4,INDEX(MASTER_ZONES!$B:$B,94)))),93,""),""),""))</f>
        <v/>
      </c>
      <c r="Q94">
        <f>IFERROR(SMALL($P$2:$P$1487,93),"")</f>
        <v/>
      </c>
      <c r="R94">
        <f>IF(Q94="","",IF('CHOP DASHBOARD'!$B$4="Area",INDEX(MASTER_AREAS!$B:$B,Q94+1),INDEX(MASTER_ZONES!$B:$B,Q94+1)))</f>
        <v/>
      </c>
      <c r="U94">
        <f>IF('COMMUNITY CHURCH DASHBOARD'!$B$4="Area",IF(93&lt;=$X$3,IF(AND(OR('COMMUNITY CHURCH DASHBOARD'!$C$4="",ISNUMBER(SEARCH('COMMUNITY CHURCH DASHBOARD'!$C$4,INDEX(MASTER_AREAS!$B:$B,94))))),93,""),""),IF('COMMUNITY CHURCH DASHBOARD'!$B$4="Zone",IF(93&lt;=$X$4,IF(OR('COMMUNITY CHURCH DASHBOARD'!$C$4="",ISNUMBER(SEARCH('COMMUNITY CHURCH DASHBOARD'!$C$4,INDEX(MASTER_ZONES!$B:$B,94)))),93,""),""),""))</f>
        <v/>
      </c>
      <c r="V94">
        <f>IFERROR(SMALL($U$2:$U$1487,93),"")</f>
        <v/>
      </c>
      <c r="W94">
        <f>IF(V94="","",IF('COMMUNITY CHURCH DASHBOARD'!$B$4="Area",INDEX(MASTER_AREAS!$B:$B,V94+1),INDEX(MASTER_ZONES!$B:$B,V94+1)))</f>
        <v/>
      </c>
    </row>
    <row r="95">
      <c r="A95">
        <f>IF('WSF DASHBOARD'!$B$4="Area",IF(94&lt;=$D$3,IF(AND(OR('WSF DASHBOARD'!$C$4="",ISNUMBER(SEARCH('WSF DASHBOARD'!$C$4,INDEX(MASTER_AREAS!$B:$B,95))))),94,""),""),IF('WSF DASHBOARD'!$B$4="Zone",IF(94&lt;=$D$4,IF(OR('WSF DASHBOARD'!$C$4="",ISNUMBER(SEARCH('WSF DASHBOARD'!$C$4,INDEX(MASTER_ZONES!$B:$B,95)))),94,""),""),""))</f>
        <v/>
      </c>
      <c r="B95">
        <f>IFERROR(SMALL($A$2:$A$1487,94),"")</f>
        <v/>
      </c>
      <c r="C95">
        <f>IF(B95="","",IF('WSF DASHBOARD'!$B$4="Area",INDEX(MASTER_AREAS!$B:$B,B95+1),INDEX(MASTER_ZONES!$B:$B,B95+1)))</f>
        <v/>
      </c>
      <c r="F95">
        <f>IF('TRANSPORT DASHBOARD'!$B$4="Area",IF(94&lt;=$I$3,IF(AND(INDEX(MASTER_AREAS!$F:$F,95)&lt;&gt;"N",OR('TRANSPORT DASHBOARD'!$C$4="",ISNUMBER(SEARCH('TRANSPORT DASHBOARD'!$C$4,INDEX(MASTER_AREAS!$B:$B,95))))),94,""),""),IF('TRANSPORT DASHBOARD'!$B$4="Zone",IF(94&lt;=$I$4,IF(OR('TRANSPORT DASHBOARD'!$C$4="",ISNUMBER(SEARCH('TRANSPORT DASHBOARD'!$C$4,INDEX(MASTER_ZONES!$B:$B,95)))),94,""),""),""))</f>
        <v/>
      </c>
      <c r="G95">
        <f>IFERROR(SMALL($F$2:$F$1487,94),"")</f>
        <v/>
      </c>
      <c r="H95">
        <f>IF(G95="","",IF('TRANSPORT DASHBOARD'!$B$4="Area",INDEX(MASTER_AREAS!$B:$B,G95+1),INDEX(MASTER_ZONES!$B:$B,G95+1)))</f>
        <v/>
      </c>
      <c r="K95">
        <f>IF('MIDWEEK DASHBOARD'!$B$4="Area",IF(94&lt;=$N$3,IF(AND(OR('MIDWEEK DASHBOARD'!$C$4="",ISNUMBER(SEARCH('MIDWEEK DASHBOARD'!$C$4,INDEX(MASTER_AREAS!$B:$B,95))))),94,""),""),IF('MIDWEEK DASHBOARD'!$B$4="Zone",IF(94&lt;=$N$4,IF(OR('MIDWEEK DASHBOARD'!$C$4="",ISNUMBER(SEARCH('MIDWEEK DASHBOARD'!$C$4,INDEX(MASTER_ZONES!$B:$B,95)))),94,""),""),""))</f>
        <v/>
      </c>
      <c r="L95">
        <f>IFERROR(SMALL($K$2:$K$1487,94),"")</f>
        <v/>
      </c>
      <c r="M95">
        <f>IF(L95="","",IF('MIDWEEK DASHBOARD'!$B$4="Area",INDEX(MASTER_AREAS!$B:$B,L95+1),INDEX(MASTER_ZONES!$B:$B,L95+1)))</f>
        <v/>
      </c>
      <c r="P95">
        <f>IF('CHOP DASHBOARD'!$B$4="Area",IF(94&lt;=$S$3,IF(AND(OR('CHOP DASHBOARD'!$C$4="",ISNUMBER(SEARCH('CHOP DASHBOARD'!$C$4,INDEX(MASTER_AREAS!$B:$B,95))))),94,""),""),IF('CHOP DASHBOARD'!$B$4="Zone",IF(94&lt;=$S$4,IF(OR('CHOP DASHBOARD'!$C$4="",ISNUMBER(SEARCH('CHOP DASHBOARD'!$C$4,INDEX(MASTER_ZONES!$B:$B,95)))),94,""),""),""))</f>
        <v/>
      </c>
      <c r="Q95">
        <f>IFERROR(SMALL($P$2:$P$1487,94),"")</f>
        <v/>
      </c>
      <c r="R95">
        <f>IF(Q95="","",IF('CHOP DASHBOARD'!$B$4="Area",INDEX(MASTER_AREAS!$B:$B,Q95+1),INDEX(MASTER_ZONES!$B:$B,Q95+1)))</f>
        <v/>
      </c>
      <c r="U95">
        <f>IF('COMMUNITY CHURCH DASHBOARD'!$B$4="Area",IF(94&lt;=$X$3,IF(AND(OR('COMMUNITY CHURCH DASHBOARD'!$C$4="",ISNUMBER(SEARCH('COMMUNITY CHURCH DASHBOARD'!$C$4,INDEX(MASTER_AREAS!$B:$B,95))))),94,""),""),IF('COMMUNITY CHURCH DASHBOARD'!$B$4="Zone",IF(94&lt;=$X$4,IF(OR('COMMUNITY CHURCH DASHBOARD'!$C$4="",ISNUMBER(SEARCH('COMMUNITY CHURCH DASHBOARD'!$C$4,INDEX(MASTER_ZONES!$B:$B,95)))),94,""),""),""))</f>
        <v/>
      </c>
      <c r="V95">
        <f>IFERROR(SMALL($U$2:$U$1487,94),"")</f>
        <v/>
      </c>
      <c r="W95">
        <f>IF(V95="","",IF('COMMUNITY CHURCH DASHBOARD'!$B$4="Area",INDEX(MASTER_AREAS!$B:$B,V95+1),INDEX(MASTER_ZONES!$B:$B,V95+1)))</f>
        <v/>
      </c>
    </row>
    <row r="96">
      <c r="A96">
        <f>IF('WSF DASHBOARD'!$B$4="Area",IF(95&lt;=$D$3,IF(AND(OR('WSF DASHBOARD'!$C$4="",ISNUMBER(SEARCH('WSF DASHBOARD'!$C$4,INDEX(MASTER_AREAS!$B:$B,96))))),95,""),""),IF('WSF DASHBOARD'!$B$4="Zone",IF(95&lt;=$D$4,IF(OR('WSF DASHBOARD'!$C$4="",ISNUMBER(SEARCH('WSF DASHBOARD'!$C$4,INDEX(MASTER_ZONES!$B:$B,96)))),95,""),""),""))</f>
        <v/>
      </c>
      <c r="B96">
        <f>IFERROR(SMALL($A$2:$A$1487,95),"")</f>
        <v/>
      </c>
      <c r="C96">
        <f>IF(B96="","",IF('WSF DASHBOARD'!$B$4="Area",INDEX(MASTER_AREAS!$B:$B,B96+1),INDEX(MASTER_ZONES!$B:$B,B96+1)))</f>
        <v/>
      </c>
      <c r="F96">
        <f>IF('TRANSPORT DASHBOARD'!$B$4="Area",IF(95&lt;=$I$3,IF(AND(INDEX(MASTER_AREAS!$F:$F,96)&lt;&gt;"N",OR('TRANSPORT DASHBOARD'!$C$4="",ISNUMBER(SEARCH('TRANSPORT DASHBOARD'!$C$4,INDEX(MASTER_AREAS!$B:$B,96))))),95,""),""),IF('TRANSPORT DASHBOARD'!$B$4="Zone",IF(95&lt;=$I$4,IF(OR('TRANSPORT DASHBOARD'!$C$4="",ISNUMBER(SEARCH('TRANSPORT DASHBOARD'!$C$4,INDEX(MASTER_ZONES!$B:$B,96)))),95,""),""),""))</f>
        <v/>
      </c>
      <c r="G96">
        <f>IFERROR(SMALL($F$2:$F$1487,95),"")</f>
        <v/>
      </c>
      <c r="H96">
        <f>IF(G96="","",IF('TRANSPORT DASHBOARD'!$B$4="Area",INDEX(MASTER_AREAS!$B:$B,G96+1),INDEX(MASTER_ZONES!$B:$B,G96+1)))</f>
        <v/>
      </c>
      <c r="K96">
        <f>IF('MIDWEEK DASHBOARD'!$B$4="Area",IF(95&lt;=$N$3,IF(AND(OR('MIDWEEK DASHBOARD'!$C$4="",ISNUMBER(SEARCH('MIDWEEK DASHBOARD'!$C$4,INDEX(MASTER_AREAS!$B:$B,96))))),95,""),""),IF('MIDWEEK DASHBOARD'!$B$4="Zone",IF(95&lt;=$N$4,IF(OR('MIDWEEK DASHBOARD'!$C$4="",ISNUMBER(SEARCH('MIDWEEK DASHBOARD'!$C$4,INDEX(MASTER_ZONES!$B:$B,96)))),95,""),""),""))</f>
        <v/>
      </c>
      <c r="L96">
        <f>IFERROR(SMALL($K$2:$K$1487,95),"")</f>
        <v/>
      </c>
      <c r="M96">
        <f>IF(L96="","",IF('MIDWEEK DASHBOARD'!$B$4="Area",INDEX(MASTER_AREAS!$B:$B,L96+1),INDEX(MASTER_ZONES!$B:$B,L96+1)))</f>
        <v/>
      </c>
      <c r="P96">
        <f>IF('CHOP DASHBOARD'!$B$4="Area",IF(95&lt;=$S$3,IF(AND(OR('CHOP DASHBOARD'!$C$4="",ISNUMBER(SEARCH('CHOP DASHBOARD'!$C$4,INDEX(MASTER_AREAS!$B:$B,96))))),95,""),""),IF('CHOP DASHBOARD'!$B$4="Zone",IF(95&lt;=$S$4,IF(OR('CHOP DASHBOARD'!$C$4="",ISNUMBER(SEARCH('CHOP DASHBOARD'!$C$4,INDEX(MASTER_ZONES!$B:$B,96)))),95,""),""),""))</f>
        <v/>
      </c>
      <c r="Q96">
        <f>IFERROR(SMALL($P$2:$P$1487,95),"")</f>
        <v/>
      </c>
      <c r="R96">
        <f>IF(Q96="","",IF('CHOP DASHBOARD'!$B$4="Area",INDEX(MASTER_AREAS!$B:$B,Q96+1),INDEX(MASTER_ZONES!$B:$B,Q96+1)))</f>
        <v/>
      </c>
      <c r="U96">
        <f>IF('COMMUNITY CHURCH DASHBOARD'!$B$4="Area",IF(95&lt;=$X$3,IF(AND(OR('COMMUNITY CHURCH DASHBOARD'!$C$4="",ISNUMBER(SEARCH('COMMUNITY CHURCH DASHBOARD'!$C$4,INDEX(MASTER_AREAS!$B:$B,96))))),95,""),""),IF('COMMUNITY CHURCH DASHBOARD'!$B$4="Zone",IF(95&lt;=$X$4,IF(OR('COMMUNITY CHURCH DASHBOARD'!$C$4="",ISNUMBER(SEARCH('COMMUNITY CHURCH DASHBOARD'!$C$4,INDEX(MASTER_ZONES!$B:$B,96)))),95,""),""),""))</f>
        <v/>
      </c>
      <c r="V96">
        <f>IFERROR(SMALL($U$2:$U$1487,95),"")</f>
        <v/>
      </c>
      <c r="W96">
        <f>IF(V96="","",IF('COMMUNITY CHURCH DASHBOARD'!$B$4="Area",INDEX(MASTER_AREAS!$B:$B,V96+1),INDEX(MASTER_ZONES!$B:$B,V96+1)))</f>
        <v/>
      </c>
    </row>
    <row r="97">
      <c r="A97">
        <f>IF('WSF DASHBOARD'!$B$4="Area",IF(96&lt;=$D$3,IF(AND(OR('WSF DASHBOARD'!$C$4="",ISNUMBER(SEARCH('WSF DASHBOARD'!$C$4,INDEX(MASTER_AREAS!$B:$B,97))))),96,""),""),IF('WSF DASHBOARD'!$B$4="Zone",IF(96&lt;=$D$4,IF(OR('WSF DASHBOARD'!$C$4="",ISNUMBER(SEARCH('WSF DASHBOARD'!$C$4,INDEX(MASTER_ZONES!$B:$B,97)))),96,""),""),""))</f>
        <v/>
      </c>
      <c r="B97">
        <f>IFERROR(SMALL($A$2:$A$1487,96),"")</f>
        <v/>
      </c>
      <c r="C97">
        <f>IF(B97="","",IF('WSF DASHBOARD'!$B$4="Area",INDEX(MASTER_AREAS!$B:$B,B97+1),INDEX(MASTER_ZONES!$B:$B,B97+1)))</f>
        <v/>
      </c>
      <c r="F97">
        <f>IF('TRANSPORT DASHBOARD'!$B$4="Area",IF(96&lt;=$I$3,IF(AND(INDEX(MASTER_AREAS!$F:$F,97)&lt;&gt;"N",OR('TRANSPORT DASHBOARD'!$C$4="",ISNUMBER(SEARCH('TRANSPORT DASHBOARD'!$C$4,INDEX(MASTER_AREAS!$B:$B,97))))),96,""),""),IF('TRANSPORT DASHBOARD'!$B$4="Zone",IF(96&lt;=$I$4,IF(OR('TRANSPORT DASHBOARD'!$C$4="",ISNUMBER(SEARCH('TRANSPORT DASHBOARD'!$C$4,INDEX(MASTER_ZONES!$B:$B,97)))),96,""),""),""))</f>
        <v/>
      </c>
      <c r="G97">
        <f>IFERROR(SMALL($F$2:$F$1487,96),"")</f>
        <v/>
      </c>
      <c r="H97">
        <f>IF(G97="","",IF('TRANSPORT DASHBOARD'!$B$4="Area",INDEX(MASTER_AREAS!$B:$B,G97+1),INDEX(MASTER_ZONES!$B:$B,G97+1)))</f>
        <v/>
      </c>
      <c r="K97">
        <f>IF('MIDWEEK DASHBOARD'!$B$4="Area",IF(96&lt;=$N$3,IF(AND(OR('MIDWEEK DASHBOARD'!$C$4="",ISNUMBER(SEARCH('MIDWEEK DASHBOARD'!$C$4,INDEX(MASTER_AREAS!$B:$B,97))))),96,""),""),IF('MIDWEEK DASHBOARD'!$B$4="Zone",IF(96&lt;=$N$4,IF(OR('MIDWEEK DASHBOARD'!$C$4="",ISNUMBER(SEARCH('MIDWEEK DASHBOARD'!$C$4,INDEX(MASTER_ZONES!$B:$B,97)))),96,""),""),""))</f>
        <v/>
      </c>
      <c r="L97">
        <f>IFERROR(SMALL($K$2:$K$1487,96),"")</f>
        <v/>
      </c>
      <c r="M97">
        <f>IF(L97="","",IF('MIDWEEK DASHBOARD'!$B$4="Area",INDEX(MASTER_AREAS!$B:$B,L97+1),INDEX(MASTER_ZONES!$B:$B,L97+1)))</f>
        <v/>
      </c>
      <c r="P97">
        <f>IF('CHOP DASHBOARD'!$B$4="Area",IF(96&lt;=$S$3,IF(AND(OR('CHOP DASHBOARD'!$C$4="",ISNUMBER(SEARCH('CHOP DASHBOARD'!$C$4,INDEX(MASTER_AREAS!$B:$B,97))))),96,""),""),IF('CHOP DASHBOARD'!$B$4="Zone",IF(96&lt;=$S$4,IF(OR('CHOP DASHBOARD'!$C$4="",ISNUMBER(SEARCH('CHOP DASHBOARD'!$C$4,INDEX(MASTER_ZONES!$B:$B,97)))),96,""),""),""))</f>
        <v/>
      </c>
      <c r="Q97">
        <f>IFERROR(SMALL($P$2:$P$1487,96),"")</f>
        <v/>
      </c>
      <c r="R97">
        <f>IF(Q97="","",IF('CHOP DASHBOARD'!$B$4="Area",INDEX(MASTER_AREAS!$B:$B,Q97+1),INDEX(MASTER_ZONES!$B:$B,Q97+1)))</f>
        <v/>
      </c>
      <c r="U97">
        <f>IF('COMMUNITY CHURCH DASHBOARD'!$B$4="Area",IF(96&lt;=$X$3,IF(AND(OR('COMMUNITY CHURCH DASHBOARD'!$C$4="",ISNUMBER(SEARCH('COMMUNITY CHURCH DASHBOARD'!$C$4,INDEX(MASTER_AREAS!$B:$B,97))))),96,""),""),IF('COMMUNITY CHURCH DASHBOARD'!$B$4="Zone",IF(96&lt;=$X$4,IF(OR('COMMUNITY CHURCH DASHBOARD'!$C$4="",ISNUMBER(SEARCH('COMMUNITY CHURCH DASHBOARD'!$C$4,INDEX(MASTER_ZONES!$B:$B,97)))),96,""),""),""))</f>
        <v/>
      </c>
      <c r="V97">
        <f>IFERROR(SMALL($U$2:$U$1487,96),"")</f>
        <v/>
      </c>
      <c r="W97">
        <f>IF(V97="","",IF('COMMUNITY CHURCH DASHBOARD'!$B$4="Area",INDEX(MASTER_AREAS!$B:$B,V97+1),INDEX(MASTER_ZONES!$B:$B,V97+1)))</f>
        <v/>
      </c>
    </row>
    <row r="98">
      <c r="A98">
        <f>IF('WSF DASHBOARD'!$B$4="Area",IF(97&lt;=$D$3,IF(AND(OR('WSF DASHBOARD'!$C$4="",ISNUMBER(SEARCH('WSF DASHBOARD'!$C$4,INDEX(MASTER_AREAS!$B:$B,98))))),97,""),""),IF('WSF DASHBOARD'!$B$4="Zone",IF(97&lt;=$D$4,IF(OR('WSF DASHBOARD'!$C$4="",ISNUMBER(SEARCH('WSF DASHBOARD'!$C$4,INDEX(MASTER_ZONES!$B:$B,98)))),97,""),""),""))</f>
        <v/>
      </c>
      <c r="B98">
        <f>IFERROR(SMALL($A$2:$A$1487,97),"")</f>
        <v/>
      </c>
      <c r="C98">
        <f>IF(B98="","",IF('WSF DASHBOARD'!$B$4="Area",INDEX(MASTER_AREAS!$B:$B,B98+1),INDEX(MASTER_ZONES!$B:$B,B98+1)))</f>
        <v/>
      </c>
      <c r="F98">
        <f>IF('TRANSPORT DASHBOARD'!$B$4="Area",IF(97&lt;=$I$3,IF(AND(INDEX(MASTER_AREAS!$F:$F,98)&lt;&gt;"N",OR('TRANSPORT DASHBOARD'!$C$4="",ISNUMBER(SEARCH('TRANSPORT DASHBOARD'!$C$4,INDEX(MASTER_AREAS!$B:$B,98))))),97,""),""),IF('TRANSPORT DASHBOARD'!$B$4="Zone",IF(97&lt;=$I$4,IF(OR('TRANSPORT DASHBOARD'!$C$4="",ISNUMBER(SEARCH('TRANSPORT DASHBOARD'!$C$4,INDEX(MASTER_ZONES!$B:$B,98)))),97,""),""),""))</f>
        <v/>
      </c>
      <c r="G98">
        <f>IFERROR(SMALL($F$2:$F$1487,97),"")</f>
        <v/>
      </c>
      <c r="H98">
        <f>IF(G98="","",IF('TRANSPORT DASHBOARD'!$B$4="Area",INDEX(MASTER_AREAS!$B:$B,G98+1),INDEX(MASTER_ZONES!$B:$B,G98+1)))</f>
        <v/>
      </c>
      <c r="K98">
        <f>IF('MIDWEEK DASHBOARD'!$B$4="Area",IF(97&lt;=$N$3,IF(AND(OR('MIDWEEK DASHBOARD'!$C$4="",ISNUMBER(SEARCH('MIDWEEK DASHBOARD'!$C$4,INDEX(MASTER_AREAS!$B:$B,98))))),97,""),""),IF('MIDWEEK DASHBOARD'!$B$4="Zone",IF(97&lt;=$N$4,IF(OR('MIDWEEK DASHBOARD'!$C$4="",ISNUMBER(SEARCH('MIDWEEK DASHBOARD'!$C$4,INDEX(MASTER_ZONES!$B:$B,98)))),97,""),""),""))</f>
        <v/>
      </c>
      <c r="L98">
        <f>IFERROR(SMALL($K$2:$K$1487,97),"")</f>
        <v/>
      </c>
      <c r="M98">
        <f>IF(L98="","",IF('MIDWEEK DASHBOARD'!$B$4="Area",INDEX(MASTER_AREAS!$B:$B,L98+1),INDEX(MASTER_ZONES!$B:$B,L98+1)))</f>
        <v/>
      </c>
      <c r="P98">
        <f>IF('CHOP DASHBOARD'!$B$4="Area",IF(97&lt;=$S$3,IF(AND(OR('CHOP DASHBOARD'!$C$4="",ISNUMBER(SEARCH('CHOP DASHBOARD'!$C$4,INDEX(MASTER_AREAS!$B:$B,98))))),97,""),""),IF('CHOP DASHBOARD'!$B$4="Zone",IF(97&lt;=$S$4,IF(OR('CHOP DASHBOARD'!$C$4="",ISNUMBER(SEARCH('CHOP DASHBOARD'!$C$4,INDEX(MASTER_ZONES!$B:$B,98)))),97,""),""),""))</f>
        <v/>
      </c>
      <c r="Q98">
        <f>IFERROR(SMALL($P$2:$P$1487,97),"")</f>
        <v/>
      </c>
      <c r="R98">
        <f>IF(Q98="","",IF('CHOP DASHBOARD'!$B$4="Area",INDEX(MASTER_AREAS!$B:$B,Q98+1),INDEX(MASTER_ZONES!$B:$B,Q98+1)))</f>
        <v/>
      </c>
      <c r="U98">
        <f>IF('COMMUNITY CHURCH DASHBOARD'!$B$4="Area",IF(97&lt;=$X$3,IF(AND(OR('COMMUNITY CHURCH DASHBOARD'!$C$4="",ISNUMBER(SEARCH('COMMUNITY CHURCH DASHBOARD'!$C$4,INDEX(MASTER_AREAS!$B:$B,98))))),97,""),""),IF('COMMUNITY CHURCH DASHBOARD'!$B$4="Zone",IF(97&lt;=$X$4,IF(OR('COMMUNITY CHURCH DASHBOARD'!$C$4="",ISNUMBER(SEARCH('COMMUNITY CHURCH DASHBOARD'!$C$4,INDEX(MASTER_ZONES!$B:$B,98)))),97,""),""),""))</f>
        <v/>
      </c>
      <c r="V98">
        <f>IFERROR(SMALL($U$2:$U$1487,97),"")</f>
        <v/>
      </c>
      <c r="W98">
        <f>IF(V98="","",IF('COMMUNITY CHURCH DASHBOARD'!$B$4="Area",INDEX(MASTER_AREAS!$B:$B,V98+1),INDEX(MASTER_ZONES!$B:$B,V98+1)))</f>
        <v/>
      </c>
    </row>
    <row r="99">
      <c r="A99">
        <f>IF('WSF DASHBOARD'!$B$4="Area",IF(98&lt;=$D$3,IF(AND(OR('WSF DASHBOARD'!$C$4="",ISNUMBER(SEARCH('WSF DASHBOARD'!$C$4,INDEX(MASTER_AREAS!$B:$B,99))))),98,""),""),IF('WSF DASHBOARD'!$B$4="Zone",IF(98&lt;=$D$4,IF(OR('WSF DASHBOARD'!$C$4="",ISNUMBER(SEARCH('WSF DASHBOARD'!$C$4,INDEX(MASTER_ZONES!$B:$B,99)))),98,""),""),""))</f>
        <v/>
      </c>
      <c r="B99">
        <f>IFERROR(SMALL($A$2:$A$1487,98),"")</f>
        <v/>
      </c>
      <c r="C99">
        <f>IF(B99="","",IF('WSF DASHBOARD'!$B$4="Area",INDEX(MASTER_AREAS!$B:$B,B99+1),INDEX(MASTER_ZONES!$B:$B,B99+1)))</f>
        <v/>
      </c>
      <c r="F99">
        <f>IF('TRANSPORT DASHBOARD'!$B$4="Area",IF(98&lt;=$I$3,IF(AND(INDEX(MASTER_AREAS!$F:$F,99)&lt;&gt;"N",OR('TRANSPORT DASHBOARD'!$C$4="",ISNUMBER(SEARCH('TRANSPORT DASHBOARD'!$C$4,INDEX(MASTER_AREAS!$B:$B,99))))),98,""),""),IF('TRANSPORT DASHBOARD'!$B$4="Zone",IF(98&lt;=$I$4,IF(OR('TRANSPORT DASHBOARD'!$C$4="",ISNUMBER(SEARCH('TRANSPORT DASHBOARD'!$C$4,INDEX(MASTER_ZONES!$B:$B,99)))),98,""),""),""))</f>
        <v/>
      </c>
      <c r="G99">
        <f>IFERROR(SMALL($F$2:$F$1487,98),"")</f>
        <v/>
      </c>
      <c r="H99">
        <f>IF(G99="","",IF('TRANSPORT DASHBOARD'!$B$4="Area",INDEX(MASTER_AREAS!$B:$B,G99+1),INDEX(MASTER_ZONES!$B:$B,G99+1)))</f>
        <v/>
      </c>
      <c r="K99">
        <f>IF('MIDWEEK DASHBOARD'!$B$4="Area",IF(98&lt;=$N$3,IF(AND(OR('MIDWEEK DASHBOARD'!$C$4="",ISNUMBER(SEARCH('MIDWEEK DASHBOARD'!$C$4,INDEX(MASTER_AREAS!$B:$B,99))))),98,""),""),IF('MIDWEEK DASHBOARD'!$B$4="Zone",IF(98&lt;=$N$4,IF(OR('MIDWEEK DASHBOARD'!$C$4="",ISNUMBER(SEARCH('MIDWEEK DASHBOARD'!$C$4,INDEX(MASTER_ZONES!$B:$B,99)))),98,""),""),""))</f>
        <v/>
      </c>
      <c r="L99">
        <f>IFERROR(SMALL($K$2:$K$1487,98),"")</f>
        <v/>
      </c>
      <c r="M99">
        <f>IF(L99="","",IF('MIDWEEK DASHBOARD'!$B$4="Area",INDEX(MASTER_AREAS!$B:$B,L99+1),INDEX(MASTER_ZONES!$B:$B,L99+1)))</f>
        <v/>
      </c>
      <c r="P99">
        <f>IF('CHOP DASHBOARD'!$B$4="Area",IF(98&lt;=$S$3,IF(AND(OR('CHOP DASHBOARD'!$C$4="",ISNUMBER(SEARCH('CHOP DASHBOARD'!$C$4,INDEX(MASTER_AREAS!$B:$B,99))))),98,""),""),IF('CHOP DASHBOARD'!$B$4="Zone",IF(98&lt;=$S$4,IF(OR('CHOP DASHBOARD'!$C$4="",ISNUMBER(SEARCH('CHOP DASHBOARD'!$C$4,INDEX(MASTER_ZONES!$B:$B,99)))),98,""),""),""))</f>
        <v/>
      </c>
      <c r="Q99">
        <f>IFERROR(SMALL($P$2:$P$1487,98),"")</f>
        <v/>
      </c>
      <c r="R99">
        <f>IF(Q99="","",IF('CHOP DASHBOARD'!$B$4="Area",INDEX(MASTER_AREAS!$B:$B,Q99+1),INDEX(MASTER_ZONES!$B:$B,Q99+1)))</f>
        <v/>
      </c>
      <c r="U99">
        <f>IF('COMMUNITY CHURCH DASHBOARD'!$B$4="Area",IF(98&lt;=$X$3,IF(AND(OR('COMMUNITY CHURCH DASHBOARD'!$C$4="",ISNUMBER(SEARCH('COMMUNITY CHURCH DASHBOARD'!$C$4,INDEX(MASTER_AREAS!$B:$B,99))))),98,""),""),IF('COMMUNITY CHURCH DASHBOARD'!$B$4="Zone",IF(98&lt;=$X$4,IF(OR('COMMUNITY CHURCH DASHBOARD'!$C$4="",ISNUMBER(SEARCH('COMMUNITY CHURCH DASHBOARD'!$C$4,INDEX(MASTER_ZONES!$B:$B,99)))),98,""),""),""))</f>
        <v/>
      </c>
      <c r="V99">
        <f>IFERROR(SMALL($U$2:$U$1487,98),"")</f>
        <v/>
      </c>
      <c r="W99">
        <f>IF(V99="","",IF('COMMUNITY CHURCH DASHBOARD'!$B$4="Area",INDEX(MASTER_AREAS!$B:$B,V99+1),INDEX(MASTER_ZONES!$B:$B,V99+1)))</f>
        <v/>
      </c>
    </row>
    <row r="100">
      <c r="A100">
        <f>IF('WSF DASHBOARD'!$B$4="Area",IF(99&lt;=$D$3,IF(AND(OR('WSF DASHBOARD'!$C$4="",ISNUMBER(SEARCH('WSF DASHBOARD'!$C$4,INDEX(MASTER_AREAS!$B:$B,100))))),99,""),""),IF('WSF DASHBOARD'!$B$4="Zone",IF(99&lt;=$D$4,IF(OR('WSF DASHBOARD'!$C$4="",ISNUMBER(SEARCH('WSF DASHBOARD'!$C$4,INDEX(MASTER_ZONES!$B:$B,100)))),99,""),""),""))</f>
        <v/>
      </c>
      <c r="B100">
        <f>IFERROR(SMALL($A$2:$A$1487,99),"")</f>
        <v/>
      </c>
      <c r="C100">
        <f>IF(B100="","",IF('WSF DASHBOARD'!$B$4="Area",INDEX(MASTER_AREAS!$B:$B,B100+1),INDEX(MASTER_ZONES!$B:$B,B100+1)))</f>
        <v/>
      </c>
      <c r="F100">
        <f>IF('TRANSPORT DASHBOARD'!$B$4="Area",IF(99&lt;=$I$3,IF(AND(INDEX(MASTER_AREAS!$F:$F,100)&lt;&gt;"N",OR('TRANSPORT DASHBOARD'!$C$4="",ISNUMBER(SEARCH('TRANSPORT DASHBOARD'!$C$4,INDEX(MASTER_AREAS!$B:$B,100))))),99,""),""),IF('TRANSPORT DASHBOARD'!$B$4="Zone",IF(99&lt;=$I$4,IF(OR('TRANSPORT DASHBOARD'!$C$4="",ISNUMBER(SEARCH('TRANSPORT DASHBOARD'!$C$4,INDEX(MASTER_ZONES!$B:$B,100)))),99,""),""),""))</f>
        <v/>
      </c>
      <c r="G100">
        <f>IFERROR(SMALL($F$2:$F$1487,99),"")</f>
        <v/>
      </c>
      <c r="H100">
        <f>IF(G100="","",IF('TRANSPORT DASHBOARD'!$B$4="Area",INDEX(MASTER_AREAS!$B:$B,G100+1),INDEX(MASTER_ZONES!$B:$B,G100+1)))</f>
        <v/>
      </c>
      <c r="K100">
        <f>IF('MIDWEEK DASHBOARD'!$B$4="Area",IF(99&lt;=$N$3,IF(AND(OR('MIDWEEK DASHBOARD'!$C$4="",ISNUMBER(SEARCH('MIDWEEK DASHBOARD'!$C$4,INDEX(MASTER_AREAS!$B:$B,100))))),99,""),""),IF('MIDWEEK DASHBOARD'!$B$4="Zone",IF(99&lt;=$N$4,IF(OR('MIDWEEK DASHBOARD'!$C$4="",ISNUMBER(SEARCH('MIDWEEK DASHBOARD'!$C$4,INDEX(MASTER_ZONES!$B:$B,100)))),99,""),""),""))</f>
        <v/>
      </c>
      <c r="L100">
        <f>IFERROR(SMALL($K$2:$K$1487,99),"")</f>
        <v/>
      </c>
      <c r="M100">
        <f>IF(L100="","",IF('MIDWEEK DASHBOARD'!$B$4="Area",INDEX(MASTER_AREAS!$B:$B,L100+1),INDEX(MASTER_ZONES!$B:$B,L100+1)))</f>
        <v/>
      </c>
      <c r="P100">
        <f>IF('CHOP DASHBOARD'!$B$4="Area",IF(99&lt;=$S$3,IF(AND(OR('CHOP DASHBOARD'!$C$4="",ISNUMBER(SEARCH('CHOP DASHBOARD'!$C$4,INDEX(MASTER_AREAS!$B:$B,100))))),99,""),""),IF('CHOP DASHBOARD'!$B$4="Zone",IF(99&lt;=$S$4,IF(OR('CHOP DASHBOARD'!$C$4="",ISNUMBER(SEARCH('CHOP DASHBOARD'!$C$4,INDEX(MASTER_ZONES!$B:$B,100)))),99,""),""),""))</f>
        <v/>
      </c>
      <c r="Q100">
        <f>IFERROR(SMALL($P$2:$P$1487,99),"")</f>
        <v/>
      </c>
      <c r="R100">
        <f>IF(Q100="","",IF('CHOP DASHBOARD'!$B$4="Area",INDEX(MASTER_AREAS!$B:$B,Q100+1),INDEX(MASTER_ZONES!$B:$B,Q100+1)))</f>
        <v/>
      </c>
      <c r="U100">
        <f>IF('COMMUNITY CHURCH DASHBOARD'!$B$4="Area",IF(99&lt;=$X$3,IF(AND(OR('COMMUNITY CHURCH DASHBOARD'!$C$4="",ISNUMBER(SEARCH('COMMUNITY CHURCH DASHBOARD'!$C$4,INDEX(MASTER_AREAS!$B:$B,100))))),99,""),""),IF('COMMUNITY CHURCH DASHBOARD'!$B$4="Zone",IF(99&lt;=$X$4,IF(OR('COMMUNITY CHURCH DASHBOARD'!$C$4="",ISNUMBER(SEARCH('COMMUNITY CHURCH DASHBOARD'!$C$4,INDEX(MASTER_ZONES!$B:$B,100)))),99,""),""),""))</f>
        <v/>
      </c>
      <c r="V100">
        <f>IFERROR(SMALL($U$2:$U$1487,99),"")</f>
        <v/>
      </c>
      <c r="W100">
        <f>IF(V100="","",IF('COMMUNITY CHURCH DASHBOARD'!$B$4="Area",INDEX(MASTER_AREAS!$B:$B,V100+1),INDEX(MASTER_ZONES!$B:$B,V100+1)))</f>
        <v/>
      </c>
    </row>
    <row r="101">
      <c r="A101">
        <f>IF('WSF DASHBOARD'!$B$4="Area",IF(100&lt;=$D$3,IF(AND(OR('WSF DASHBOARD'!$C$4="",ISNUMBER(SEARCH('WSF DASHBOARD'!$C$4,INDEX(MASTER_AREAS!$B:$B,101))))),100,""),""),IF('WSF DASHBOARD'!$B$4="Zone",IF(100&lt;=$D$4,IF(OR('WSF DASHBOARD'!$C$4="",ISNUMBER(SEARCH('WSF DASHBOARD'!$C$4,INDEX(MASTER_ZONES!$B:$B,101)))),100,""),""),""))</f>
        <v/>
      </c>
      <c r="B101">
        <f>IFERROR(SMALL($A$2:$A$1487,100),"")</f>
        <v/>
      </c>
      <c r="C101">
        <f>IF(B101="","",IF('WSF DASHBOARD'!$B$4="Area",INDEX(MASTER_AREAS!$B:$B,B101+1),INDEX(MASTER_ZONES!$B:$B,B101+1)))</f>
        <v/>
      </c>
      <c r="F101">
        <f>IF('TRANSPORT DASHBOARD'!$B$4="Area",IF(100&lt;=$I$3,IF(AND(INDEX(MASTER_AREAS!$F:$F,101)&lt;&gt;"N",OR('TRANSPORT DASHBOARD'!$C$4="",ISNUMBER(SEARCH('TRANSPORT DASHBOARD'!$C$4,INDEX(MASTER_AREAS!$B:$B,101))))),100,""),""),IF('TRANSPORT DASHBOARD'!$B$4="Zone",IF(100&lt;=$I$4,IF(OR('TRANSPORT DASHBOARD'!$C$4="",ISNUMBER(SEARCH('TRANSPORT DASHBOARD'!$C$4,INDEX(MASTER_ZONES!$B:$B,101)))),100,""),""),""))</f>
        <v/>
      </c>
      <c r="G101">
        <f>IFERROR(SMALL($F$2:$F$1487,100),"")</f>
        <v/>
      </c>
      <c r="H101">
        <f>IF(G101="","",IF('TRANSPORT DASHBOARD'!$B$4="Area",INDEX(MASTER_AREAS!$B:$B,G101+1),INDEX(MASTER_ZONES!$B:$B,G101+1)))</f>
        <v/>
      </c>
      <c r="K101">
        <f>IF('MIDWEEK DASHBOARD'!$B$4="Area",IF(100&lt;=$N$3,IF(AND(OR('MIDWEEK DASHBOARD'!$C$4="",ISNUMBER(SEARCH('MIDWEEK DASHBOARD'!$C$4,INDEX(MASTER_AREAS!$B:$B,101))))),100,""),""),IF('MIDWEEK DASHBOARD'!$B$4="Zone",IF(100&lt;=$N$4,IF(OR('MIDWEEK DASHBOARD'!$C$4="",ISNUMBER(SEARCH('MIDWEEK DASHBOARD'!$C$4,INDEX(MASTER_ZONES!$B:$B,101)))),100,""),""),""))</f>
        <v/>
      </c>
      <c r="L101">
        <f>IFERROR(SMALL($K$2:$K$1487,100),"")</f>
        <v/>
      </c>
      <c r="M101">
        <f>IF(L101="","",IF('MIDWEEK DASHBOARD'!$B$4="Area",INDEX(MASTER_AREAS!$B:$B,L101+1),INDEX(MASTER_ZONES!$B:$B,L101+1)))</f>
        <v/>
      </c>
      <c r="P101">
        <f>IF('CHOP DASHBOARD'!$B$4="Area",IF(100&lt;=$S$3,IF(AND(OR('CHOP DASHBOARD'!$C$4="",ISNUMBER(SEARCH('CHOP DASHBOARD'!$C$4,INDEX(MASTER_AREAS!$B:$B,101))))),100,""),""),IF('CHOP DASHBOARD'!$B$4="Zone",IF(100&lt;=$S$4,IF(OR('CHOP DASHBOARD'!$C$4="",ISNUMBER(SEARCH('CHOP DASHBOARD'!$C$4,INDEX(MASTER_ZONES!$B:$B,101)))),100,""),""),""))</f>
        <v/>
      </c>
      <c r="Q101">
        <f>IFERROR(SMALL($P$2:$P$1487,100),"")</f>
        <v/>
      </c>
      <c r="R101">
        <f>IF(Q101="","",IF('CHOP DASHBOARD'!$B$4="Area",INDEX(MASTER_AREAS!$B:$B,Q101+1),INDEX(MASTER_ZONES!$B:$B,Q101+1)))</f>
        <v/>
      </c>
      <c r="U101">
        <f>IF('COMMUNITY CHURCH DASHBOARD'!$B$4="Area",IF(100&lt;=$X$3,IF(AND(OR('COMMUNITY CHURCH DASHBOARD'!$C$4="",ISNUMBER(SEARCH('COMMUNITY CHURCH DASHBOARD'!$C$4,INDEX(MASTER_AREAS!$B:$B,101))))),100,""),""),IF('COMMUNITY CHURCH DASHBOARD'!$B$4="Zone",IF(100&lt;=$X$4,IF(OR('COMMUNITY CHURCH DASHBOARD'!$C$4="",ISNUMBER(SEARCH('COMMUNITY CHURCH DASHBOARD'!$C$4,INDEX(MASTER_ZONES!$B:$B,101)))),100,""),""),""))</f>
        <v/>
      </c>
      <c r="V101">
        <f>IFERROR(SMALL($U$2:$U$1487,100),"")</f>
        <v/>
      </c>
      <c r="W101">
        <f>IF(V101="","",IF('COMMUNITY CHURCH DASHBOARD'!$B$4="Area",INDEX(MASTER_AREAS!$B:$B,V101+1),INDEX(MASTER_ZONES!$B:$B,V101+1)))</f>
        <v/>
      </c>
    </row>
    <row r="102">
      <c r="A102">
        <f>IF('WSF DASHBOARD'!$B$4="Area",IF(101&lt;=$D$3,IF(AND(OR('WSF DASHBOARD'!$C$4="",ISNUMBER(SEARCH('WSF DASHBOARD'!$C$4,INDEX(MASTER_AREAS!$B:$B,102))))),101,""),""),IF('WSF DASHBOARD'!$B$4="Zone",IF(101&lt;=$D$4,IF(OR('WSF DASHBOARD'!$C$4="",ISNUMBER(SEARCH('WSF DASHBOARD'!$C$4,INDEX(MASTER_ZONES!$B:$B,102)))),101,""),""),""))</f>
        <v/>
      </c>
      <c r="B102">
        <f>IFERROR(SMALL($A$2:$A$1487,101),"")</f>
        <v/>
      </c>
      <c r="C102">
        <f>IF(B102="","",IF('WSF DASHBOARD'!$B$4="Area",INDEX(MASTER_AREAS!$B:$B,B102+1),INDEX(MASTER_ZONES!$B:$B,B102+1)))</f>
        <v/>
      </c>
      <c r="F102">
        <f>IF('TRANSPORT DASHBOARD'!$B$4="Area",IF(101&lt;=$I$3,IF(AND(INDEX(MASTER_AREAS!$F:$F,102)&lt;&gt;"N",OR('TRANSPORT DASHBOARD'!$C$4="",ISNUMBER(SEARCH('TRANSPORT DASHBOARD'!$C$4,INDEX(MASTER_AREAS!$B:$B,102))))),101,""),""),IF('TRANSPORT DASHBOARD'!$B$4="Zone",IF(101&lt;=$I$4,IF(OR('TRANSPORT DASHBOARD'!$C$4="",ISNUMBER(SEARCH('TRANSPORT DASHBOARD'!$C$4,INDEX(MASTER_ZONES!$B:$B,102)))),101,""),""),""))</f>
        <v/>
      </c>
      <c r="G102">
        <f>IFERROR(SMALL($F$2:$F$1487,101),"")</f>
        <v/>
      </c>
      <c r="H102">
        <f>IF(G102="","",IF('TRANSPORT DASHBOARD'!$B$4="Area",INDEX(MASTER_AREAS!$B:$B,G102+1),INDEX(MASTER_ZONES!$B:$B,G102+1)))</f>
        <v/>
      </c>
      <c r="K102">
        <f>IF('MIDWEEK DASHBOARD'!$B$4="Area",IF(101&lt;=$N$3,IF(AND(OR('MIDWEEK DASHBOARD'!$C$4="",ISNUMBER(SEARCH('MIDWEEK DASHBOARD'!$C$4,INDEX(MASTER_AREAS!$B:$B,102))))),101,""),""),IF('MIDWEEK DASHBOARD'!$B$4="Zone",IF(101&lt;=$N$4,IF(OR('MIDWEEK DASHBOARD'!$C$4="",ISNUMBER(SEARCH('MIDWEEK DASHBOARD'!$C$4,INDEX(MASTER_ZONES!$B:$B,102)))),101,""),""),""))</f>
        <v/>
      </c>
      <c r="L102">
        <f>IFERROR(SMALL($K$2:$K$1487,101),"")</f>
        <v/>
      </c>
      <c r="M102">
        <f>IF(L102="","",IF('MIDWEEK DASHBOARD'!$B$4="Area",INDEX(MASTER_AREAS!$B:$B,L102+1),INDEX(MASTER_ZONES!$B:$B,L102+1)))</f>
        <v/>
      </c>
      <c r="P102">
        <f>IF('CHOP DASHBOARD'!$B$4="Area",IF(101&lt;=$S$3,IF(AND(OR('CHOP DASHBOARD'!$C$4="",ISNUMBER(SEARCH('CHOP DASHBOARD'!$C$4,INDEX(MASTER_AREAS!$B:$B,102))))),101,""),""),IF('CHOP DASHBOARD'!$B$4="Zone",IF(101&lt;=$S$4,IF(OR('CHOP DASHBOARD'!$C$4="",ISNUMBER(SEARCH('CHOP DASHBOARD'!$C$4,INDEX(MASTER_ZONES!$B:$B,102)))),101,""),""),""))</f>
        <v/>
      </c>
      <c r="Q102">
        <f>IFERROR(SMALL($P$2:$P$1487,101),"")</f>
        <v/>
      </c>
      <c r="R102">
        <f>IF(Q102="","",IF('CHOP DASHBOARD'!$B$4="Area",INDEX(MASTER_AREAS!$B:$B,Q102+1),INDEX(MASTER_ZONES!$B:$B,Q102+1)))</f>
        <v/>
      </c>
      <c r="U102">
        <f>IF('COMMUNITY CHURCH DASHBOARD'!$B$4="Area",IF(101&lt;=$X$3,IF(AND(OR('COMMUNITY CHURCH DASHBOARD'!$C$4="",ISNUMBER(SEARCH('COMMUNITY CHURCH DASHBOARD'!$C$4,INDEX(MASTER_AREAS!$B:$B,102))))),101,""),""),IF('COMMUNITY CHURCH DASHBOARD'!$B$4="Zone",IF(101&lt;=$X$4,IF(OR('COMMUNITY CHURCH DASHBOARD'!$C$4="",ISNUMBER(SEARCH('COMMUNITY CHURCH DASHBOARD'!$C$4,INDEX(MASTER_ZONES!$B:$B,102)))),101,""),""),""))</f>
        <v/>
      </c>
      <c r="V102">
        <f>IFERROR(SMALL($U$2:$U$1487,101),"")</f>
        <v/>
      </c>
      <c r="W102">
        <f>IF(V102="","",IF('COMMUNITY CHURCH DASHBOARD'!$B$4="Area",INDEX(MASTER_AREAS!$B:$B,V102+1),INDEX(MASTER_ZONES!$B:$B,V102+1)))</f>
        <v/>
      </c>
    </row>
    <row r="103">
      <c r="A103">
        <f>IF('WSF DASHBOARD'!$B$4="Area",IF(102&lt;=$D$3,IF(AND(OR('WSF DASHBOARD'!$C$4="",ISNUMBER(SEARCH('WSF DASHBOARD'!$C$4,INDEX(MASTER_AREAS!$B:$B,103))))),102,""),""),IF('WSF DASHBOARD'!$B$4="Zone",IF(102&lt;=$D$4,IF(OR('WSF DASHBOARD'!$C$4="",ISNUMBER(SEARCH('WSF DASHBOARD'!$C$4,INDEX(MASTER_ZONES!$B:$B,103)))),102,""),""),""))</f>
        <v/>
      </c>
      <c r="B103">
        <f>IFERROR(SMALL($A$2:$A$1487,102),"")</f>
        <v/>
      </c>
      <c r="C103">
        <f>IF(B103="","",IF('WSF DASHBOARD'!$B$4="Area",INDEX(MASTER_AREAS!$B:$B,B103+1),INDEX(MASTER_ZONES!$B:$B,B103+1)))</f>
        <v/>
      </c>
      <c r="F103">
        <f>IF('TRANSPORT DASHBOARD'!$B$4="Area",IF(102&lt;=$I$3,IF(AND(INDEX(MASTER_AREAS!$F:$F,103)&lt;&gt;"N",OR('TRANSPORT DASHBOARD'!$C$4="",ISNUMBER(SEARCH('TRANSPORT DASHBOARD'!$C$4,INDEX(MASTER_AREAS!$B:$B,103))))),102,""),""),IF('TRANSPORT DASHBOARD'!$B$4="Zone",IF(102&lt;=$I$4,IF(OR('TRANSPORT DASHBOARD'!$C$4="",ISNUMBER(SEARCH('TRANSPORT DASHBOARD'!$C$4,INDEX(MASTER_ZONES!$B:$B,103)))),102,""),""),""))</f>
        <v/>
      </c>
      <c r="G103">
        <f>IFERROR(SMALL($F$2:$F$1487,102),"")</f>
        <v/>
      </c>
      <c r="H103">
        <f>IF(G103="","",IF('TRANSPORT DASHBOARD'!$B$4="Area",INDEX(MASTER_AREAS!$B:$B,G103+1),INDEX(MASTER_ZONES!$B:$B,G103+1)))</f>
        <v/>
      </c>
      <c r="K103">
        <f>IF('MIDWEEK DASHBOARD'!$B$4="Area",IF(102&lt;=$N$3,IF(AND(OR('MIDWEEK DASHBOARD'!$C$4="",ISNUMBER(SEARCH('MIDWEEK DASHBOARD'!$C$4,INDEX(MASTER_AREAS!$B:$B,103))))),102,""),""),IF('MIDWEEK DASHBOARD'!$B$4="Zone",IF(102&lt;=$N$4,IF(OR('MIDWEEK DASHBOARD'!$C$4="",ISNUMBER(SEARCH('MIDWEEK DASHBOARD'!$C$4,INDEX(MASTER_ZONES!$B:$B,103)))),102,""),""),""))</f>
        <v/>
      </c>
      <c r="L103">
        <f>IFERROR(SMALL($K$2:$K$1487,102),"")</f>
        <v/>
      </c>
      <c r="M103">
        <f>IF(L103="","",IF('MIDWEEK DASHBOARD'!$B$4="Area",INDEX(MASTER_AREAS!$B:$B,L103+1),INDEX(MASTER_ZONES!$B:$B,L103+1)))</f>
        <v/>
      </c>
      <c r="P103">
        <f>IF('CHOP DASHBOARD'!$B$4="Area",IF(102&lt;=$S$3,IF(AND(OR('CHOP DASHBOARD'!$C$4="",ISNUMBER(SEARCH('CHOP DASHBOARD'!$C$4,INDEX(MASTER_AREAS!$B:$B,103))))),102,""),""),IF('CHOP DASHBOARD'!$B$4="Zone",IF(102&lt;=$S$4,IF(OR('CHOP DASHBOARD'!$C$4="",ISNUMBER(SEARCH('CHOP DASHBOARD'!$C$4,INDEX(MASTER_ZONES!$B:$B,103)))),102,""),""),""))</f>
        <v/>
      </c>
      <c r="Q103">
        <f>IFERROR(SMALL($P$2:$P$1487,102),"")</f>
        <v/>
      </c>
      <c r="R103">
        <f>IF(Q103="","",IF('CHOP DASHBOARD'!$B$4="Area",INDEX(MASTER_AREAS!$B:$B,Q103+1),INDEX(MASTER_ZONES!$B:$B,Q103+1)))</f>
        <v/>
      </c>
      <c r="U103">
        <f>IF('COMMUNITY CHURCH DASHBOARD'!$B$4="Area",IF(102&lt;=$X$3,IF(AND(OR('COMMUNITY CHURCH DASHBOARD'!$C$4="",ISNUMBER(SEARCH('COMMUNITY CHURCH DASHBOARD'!$C$4,INDEX(MASTER_AREAS!$B:$B,103))))),102,""),""),IF('COMMUNITY CHURCH DASHBOARD'!$B$4="Zone",IF(102&lt;=$X$4,IF(OR('COMMUNITY CHURCH DASHBOARD'!$C$4="",ISNUMBER(SEARCH('COMMUNITY CHURCH DASHBOARD'!$C$4,INDEX(MASTER_ZONES!$B:$B,103)))),102,""),""),""))</f>
        <v/>
      </c>
      <c r="V103">
        <f>IFERROR(SMALL($U$2:$U$1487,102),"")</f>
        <v/>
      </c>
      <c r="W103">
        <f>IF(V103="","",IF('COMMUNITY CHURCH DASHBOARD'!$B$4="Area",INDEX(MASTER_AREAS!$B:$B,V103+1),INDEX(MASTER_ZONES!$B:$B,V103+1)))</f>
        <v/>
      </c>
    </row>
    <row r="104">
      <c r="A104">
        <f>IF('WSF DASHBOARD'!$B$4="Area",IF(103&lt;=$D$3,IF(AND(OR('WSF DASHBOARD'!$C$4="",ISNUMBER(SEARCH('WSF DASHBOARD'!$C$4,INDEX(MASTER_AREAS!$B:$B,104))))),103,""),""),IF('WSF DASHBOARD'!$B$4="Zone",IF(103&lt;=$D$4,IF(OR('WSF DASHBOARD'!$C$4="",ISNUMBER(SEARCH('WSF DASHBOARD'!$C$4,INDEX(MASTER_ZONES!$B:$B,104)))),103,""),""),""))</f>
        <v/>
      </c>
      <c r="B104">
        <f>IFERROR(SMALL($A$2:$A$1487,103),"")</f>
        <v/>
      </c>
      <c r="C104">
        <f>IF(B104="","",IF('WSF DASHBOARD'!$B$4="Area",INDEX(MASTER_AREAS!$B:$B,B104+1),INDEX(MASTER_ZONES!$B:$B,B104+1)))</f>
        <v/>
      </c>
      <c r="F104">
        <f>IF('TRANSPORT DASHBOARD'!$B$4="Area",IF(103&lt;=$I$3,IF(AND(INDEX(MASTER_AREAS!$F:$F,104)&lt;&gt;"N",OR('TRANSPORT DASHBOARD'!$C$4="",ISNUMBER(SEARCH('TRANSPORT DASHBOARD'!$C$4,INDEX(MASTER_AREAS!$B:$B,104))))),103,""),""),IF('TRANSPORT DASHBOARD'!$B$4="Zone",IF(103&lt;=$I$4,IF(OR('TRANSPORT DASHBOARD'!$C$4="",ISNUMBER(SEARCH('TRANSPORT DASHBOARD'!$C$4,INDEX(MASTER_ZONES!$B:$B,104)))),103,""),""),""))</f>
        <v/>
      </c>
      <c r="G104">
        <f>IFERROR(SMALL($F$2:$F$1487,103),"")</f>
        <v/>
      </c>
      <c r="H104">
        <f>IF(G104="","",IF('TRANSPORT DASHBOARD'!$B$4="Area",INDEX(MASTER_AREAS!$B:$B,G104+1),INDEX(MASTER_ZONES!$B:$B,G104+1)))</f>
        <v/>
      </c>
      <c r="K104">
        <f>IF('MIDWEEK DASHBOARD'!$B$4="Area",IF(103&lt;=$N$3,IF(AND(OR('MIDWEEK DASHBOARD'!$C$4="",ISNUMBER(SEARCH('MIDWEEK DASHBOARD'!$C$4,INDEX(MASTER_AREAS!$B:$B,104))))),103,""),""),IF('MIDWEEK DASHBOARD'!$B$4="Zone",IF(103&lt;=$N$4,IF(OR('MIDWEEK DASHBOARD'!$C$4="",ISNUMBER(SEARCH('MIDWEEK DASHBOARD'!$C$4,INDEX(MASTER_ZONES!$B:$B,104)))),103,""),""),""))</f>
        <v/>
      </c>
      <c r="L104">
        <f>IFERROR(SMALL($K$2:$K$1487,103),"")</f>
        <v/>
      </c>
      <c r="M104">
        <f>IF(L104="","",IF('MIDWEEK DASHBOARD'!$B$4="Area",INDEX(MASTER_AREAS!$B:$B,L104+1),INDEX(MASTER_ZONES!$B:$B,L104+1)))</f>
        <v/>
      </c>
      <c r="P104">
        <f>IF('CHOP DASHBOARD'!$B$4="Area",IF(103&lt;=$S$3,IF(AND(OR('CHOP DASHBOARD'!$C$4="",ISNUMBER(SEARCH('CHOP DASHBOARD'!$C$4,INDEX(MASTER_AREAS!$B:$B,104))))),103,""),""),IF('CHOP DASHBOARD'!$B$4="Zone",IF(103&lt;=$S$4,IF(OR('CHOP DASHBOARD'!$C$4="",ISNUMBER(SEARCH('CHOP DASHBOARD'!$C$4,INDEX(MASTER_ZONES!$B:$B,104)))),103,""),""),""))</f>
        <v/>
      </c>
      <c r="Q104">
        <f>IFERROR(SMALL($P$2:$P$1487,103),"")</f>
        <v/>
      </c>
      <c r="R104">
        <f>IF(Q104="","",IF('CHOP DASHBOARD'!$B$4="Area",INDEX(MASTER_AREAS!$B:$B,Q104+1),INDEX(MASTER_ZONES!$B:$B,Q104+1)))</f>
        <v/>
      </c>
      <c r="U104">
        <f>IF('COMMUNITY CHURCH DASHBOARD'!$B$4="Area",IF(103&lt;=$X$3,IF(AND(OR('COMMUNITY CHURCH DASHBOARD'!$C$4="",ISNUMBER(SEARCH('COMMUNITY CHURCH DASHBOARD'!$C$4,INDEX(MASTER_AREAS!$B:$B,104))))),103,""),""),IF('COMMUNITY CHURCH DASHBOARD'!$B$4="Zone",IF(103&lt;=$X$4,IF(OR('COMMUNITY CHURCH DASHBOARD'!$C$4="",ISNUMBER(SEARCH('COMMUNITY CHURCH DASHBOARD'!$C$4,INDEX(MASTER_ZONES!$B:$B,104)))),103,""),""),""))</f>
        <v/>
      </c>
      <c r="V104">
        <f>IFERROR(SMALL($U$2:$U$1487,103),"")</f>
        <v/>
      </c>
      <c r="W104">
        <f>IF(V104="","",IF('COMMUNITY CHURCH DASHBOARD'!$B$4="Area",INDEX(MASTER_AREAS!$B:$B,V104+1),INDEX(MASTER_ZONES!$B:$B,V104+1)))</f>
        <v/>
      </c>
    </row>
    <row r="105">
      <c r="A105">
        <f>IF('WSF DASHBOARD'!$B$4="Area",IF(104&lt;=$D$3,IF(AND(OR('WSF DASHBOARD'!$C$4="",ISNUMBER(SEARCH('WSF DASHBOARD'!$C$4,INDEX(MASTER_AREAS!$B:$B,105))))),104,""),""),IF('WSF DASHBOARD'!$B$4="Zone",IF(104&lt;=$D$4,IF(OR('WSF DASHBOARD'!$C$4="",ISNUMBER(SEARCH('WSF DASHBOARD'!$C$4,INDEX(MASTER_ZONES!$B:$B,105)))),104,""),""),""))</f>
        <v/>
      </c>
      <c r="B105">
        <f>IFERROR(SMALL($A$2:$A$1487,104),"")</f>
        <v/>
      </c>
      <c r="C105">
        <f>IF(B105="","",IF('WSF DASHBOARD'!$B$4="Area",INDEX(MASTER_AREAS!$B:$B,B105+1),INDEX(MASTER_ZONES!$B:$B,B105+1)))</f>
        <v/>
      </c>
      <c r="F105">
        <f>IF('TRANSPORT DASHBOARD'!$B$4="Area",IF(104&lt;=$I$3,IF(AND(INDEX(MASTER_AREAS!$F:$F,105)&lt;&gt;"N",OR('TRANSPORT DASHBOARD'!$C$4="",ISNUMBER(SEARCH('TRANSPORT DASHBOARD'!$C$4,INDEX(MASTER_AREAS!$B:$B,105))))),104,""),""),IF('TRANSPORT DASHBOARD'!$B$4="Zone",IF(104&lt;=$I$4,IF(OR('TRANSPORT DASHBOARD'!$C$4="",ISNUMBER(SEARCH('TRANSPORT DASHBOARD'!$C$4,INDEX(MASTER_ZONES!$B:$B,105)))),104,""),""),""))</f>
        <v/>
      </c>
      <c r="G105">
        <f>IFERROR(SMALL($F$2:$F$1487,104),"")</f>
        <v/>
      </c>
      <c r="H105">
        <f>IF(G105="","",IF('TRANSPORT DASHBOARD'!$B$4="Area",INDEX(MASTER_AREAS!$B:$B,G105+1),INDEX(MASTER_ZONES!$B:$B,G105+1)))</f>
        <v/>
      </c>
      <c r="K105">
        <f>IF('MIDWEEK DASHBOARD'!$B$4="Area",IF(104&lt;=$N$3,IF(AND(OR('MIDWEEK DASHBOARD'!$C$4="",ISNUMBER(SEARCH('MIDWEEK DASHBOARD'!$C$4,INDEX(MASTER_AREAS!$B:$B,105))))),104,""),""),IF('MIDWEEK DASHBOARD'!$B$4="Zone",IF(104&lt;=$N$4,IF(OR('MIDWEEK DASHBOARD'!$C$4="",ISNUMBER(SEARCH('MIDWEEK DASHBOARD'!$C$4,INDEX(MASTER_ZONES!$B:$B,105)))),104,""),""),""))</f>
        <v/>
      </c>
      <c r="L105">
        <f>IFERROR(SMALL($K$2:$K$1487,104),"")</f>
        <v/>
      </c>
      <c r="M105">
        <f>IF(L105="","",IF('MIDWEEK DASHBOARD'!$B$4="Area",INDEX(MASTER_AREAS!$B:$B,L105+1),INDEX(MASTER_ZONES!$B:$B,L105+1)))</f>
        <v/>
      </c>
      <c r="P105">
        <f>IF('CHOP DASHBOARD'!$B$4="Area",IF(104&lt;=$S$3,IF(AND(OR('CHOP DASHBOARD'!$C$4="",ISNUMBER(SEARCH('CHOP DASHBOARD'!$C$4,INDEX(MASTER_AREAS!$B:$B,105))))),104,""),""),IF('CHOP DASHBOARD'!$B$4="Zone",IF(104&lt;=$S$4,IF(OR('CHOP DASHBOARD'!$C$4="",ISNUMBER(SEARCH('CHOP DASHBOARD'!$C$4,INDEX(MASTER_ZONES!$B:$B,105)))),104,""),""),""))</f>
        <v/>
      </c>
      <c r="Q105">
        <f>IFERROR(SMALL($P$2:$P$1487,104),"")</f>
        <v/>
      </c>
      <c r="R105">
        <f>IF(Q105="","",IF('CHOP DASHBOARD'!$B$4="Area",INDEX(MASTER_AREAS!$B:$B,Q105+1),INDEX(MASTER_ZONES!$B:$B,Q105+1)))</f>
        <v/>
      </c>
      <c r="U105">
        <f>IF('COMMUNITY CHURCH DASHBOARD'!$B$4="Area",IF(104&lt;=$X$3,IF(AND(OR('COMMUNITY CHURCH DASHBOARD'!$C$4="",ISNUMBER(SEARCH('COMMUNITY CHURCH DASHBOARD'!$C$4,INDEX(MASTER_AREAS!$B:$B,105))))),104,""),""),IF('COMMUNITY CHURCH DASHBOARD'!$B$4="Zone",IF(104&lt;=$X$4,IF(OR('COMMUNITY CHURCH DASHBOARD'!$C$4="",ISNUMBER(SEARCH('COMMUNITY CHURCH DASHBOARD'!$C$4,INDEX(MASTER_ZONES!$B:$B,105)))),104,""),""),""))</f>
        <v/>
      </c>
      <c r="V105">
        <f>IFERROR(SMALL($U$2:$U$1487,104),"")</f>
        <v/>
      </c>
      <c r="W105">
        <f>IF(V105="","",IF('COMMUNITY CHURCH DASHBOARD'!$B$4="Area",INDEX(MASTER_AREAS!$B:$B,V105+1),INDEX(MASTER_ZONES!$B:$B,V105+1)))</f>
        <v/>
      </c>
    </row>
    <row r="106">
      <c r="A106">
        <f>IF('WSF DASHBOARD'!$B$4="Area",IF(105&lt;=$D$3,IF(AND(OR('WSF DASHBOARD'!$C$4="",ISNUMBER(SEARCH('WSF DASHBOARD'!$C$4,INDEX(MASTER_AREAS!$B:$B,106))))),105,""),""),IF('WSF DASHBOARD'!$B$4="Zone",IF(105&lt;=$D$4,IF(OR('WSF DASHBOARD'!$C$4="",ISNUMBER(SEARCH('WSF DASHBOARD'!$C$4,INDEX(MASTER_ZONES!$B:$B,106)))),105,""),""),""))</f>
        <v/>
      </c>
      <c r="B106">
        <f>IFERROR(SMALL($A$2:$A$1487,105),"")</f>
        <v/>
      </c>
      <c r="C106">
        <f>IF(B106="","",IF('WSF DASHBOARD'!$B$4="Area",INDEX(MASTER_AREAS!$B:$B,B106+1),INDEX(MASTER_ZONES!$B:$B,B106+1)))</f>
        <v/>
      </c>
      <c r="F106">
        <f>IF('TRANSPORT DASHBOARD'!$B$4="Area",IF(105&lt;=$I$3,IF(AND(INDEX(MASTER_AREAS!$F:$F,106)&lt;&gt;"N",OR('TRANSPORT DASHBOARD'!$C$4="",ISNUMBER(SEARCH('TRANSPORT DASHBOARD'!$C$4,INDEX(MASTER_AREAS!$B:$B,106))))),105,""),""),IF('TRANSPORT DASHBOARD'!$B$4="Zone",IF(105&lt;=$I$4,IF(OR('TRANSPORT DASHBOARD'!$C$4="",ISNUMBER(SEARCH('TRANSPORT DASHBOARD'!$C$4,INDEX(MASTER_ZONES!$B:$B,106)))),105,""),""),""))</f>
        <v/>
      </c>
      <c r="G106">
        <f>IFERROR(SMALL($F$2:$F$1487,105),"")</f>
        <v/>
      </c>
      <c r="H106">
        <f>IF(G106="","",IF('TRANSPORT DASHBOARD'!$B$4="Area",INDEX(MASTER_AREAS!$B:$B,G106+1),INDEX(MASTER_ZONES!$B:$B,G106+1)))</f>
        <v/>
      </c>
      <c r="K106">
        <f>IF('MIDWEEK DASHBOARD'!$B$4="Area",IF(105&lt;=$N$3,IF(AND(OR('MIDWEEK DASHBOARD'!$C$4="",ISNUMBER(SEARCH('MIDWEEK DASHBOARD'!$C$4,INDEX(MASTER_AREAS!$B:$B,106))))),105,""),""),IF('MIDWEEK DASHBOARD'!$B$4="Zone",IF(105&lt;=$N$4,IF(OR('MIDWEEK DASHBOARD'!$C$4="",ISNUMBER(SEARCH('MIDWEEK DASHBOARD'!$C$4,INDEX(MASTER_ZONES!$B:$B,106)))),105,""),""),""))</f>
        <v/>
      </c>
      <c r="L106">
        <f>IFERROR(SMALL($K$2:$K$1487,105),"")</f>
        <v/>
      </c>
      <c r="M106">
        <f>IF(L106="","",IF('MIDWEEK DASHBOARD'!$B$4="Area",INDEX(MASTER_AREAS!$B:$B,L106+1),INDEX(MASTER_ZONES!$B:$B,L106+1)))</f>
        <v/>
      </c>
      <c r="P106">
        <f>IF('CHOP DASHBOARD'!$B$4="Area",IF(105&lt;=$S$3,IF(AND(OR('CHOP DASHBOARD'!$C$4="",ISNUMBER(SEARCH('CHOP DASHBOARD'!$C$4,INDEX(MASTER_AREAS!$B:$B,106))))),105,""),""),IF('CHOP DASHBOARD'!$B$4="Zone",IF(105&lt;=$S$4,IF(OR('CHOP DASHBOARD'!$C$4="",ISNUMBER(SEARCH('CHOP DASHBOARD'!$C$4,INDEX(MASTER_ZONES!$B:$B,106)))),105,""),""),""))</f>
        <v/>
      </c>
      <c r="Q106">
        <f>IFERROR(SMALL($P$2:$P$1487,105),"")</f>
        <v/>
      </c>
      <c r="R106">
        <f>IF(Q106="","",IF('CHOP DASHBOARD'!$B$4="Area",INDEX(MASTER_AREAS!$B:$B,Q106+1),INDEX(MASTER_ZONES!$B:$B,Q106+1)))</f>
        <v/>
      </c>
      <c r="U106">
        <f>IF('COMMUNITY CHURCH DASHBOARD'!$B$4="Area",IF(105&lt;=$X$3,IF(AND(OR('COMMUNITY CHURCH DASHBOARD'!$C$4="",ISNUMBER(SEARCH('COMMUNITY CHURCH DASHBOARD'!$C$4,INDEX(MASTER_AREAS!$B:$B,106))))),105,""),""),IF('COMMUNITY CHURCH DASHBOARD'!$B$4="Zone",IF(105&lt;=$X$4,IF(OR('COMMUNITY CHURCH DASHBOARD'!$C$4="",ISNUMBER(SEARCH('COMMUNITY CHURCH DASHBOARD'!$C$4,INDEX(MASTER_ZONES!$B:$B,106)))),105,""),""),""))</f>
        <v/>
      </c>
      <c r="V106">
        <f>IFERROR(SMALL($U$2:$U$1487,105),"")</f>
        <v/>
      </c>
      <c r="W106">
        <f>IF(V106="","",IF('COMMUNITY CHURCH DASHBOARD'!$B$4="Area",INDEX(MASTER_AREAS!$B:$B,V106+1),INDEX(MASTER_ZONES!$B:$B,V106+1)))</f>
        <v/>
      </c>
    </row>
    <row r="107">
      <c r="A107">
        <f>IF('WSF DASHBOARD'!$B$4="Area",IF(106&lt;=$D$3,IF(AND(OR('WSF DASHBOARD'!$C$4="",ISNUMBER(SEARCH('WSF DASHBOARD'!$C$4,INDEX(MASTER_AREAS!$B:$B,107))))),106,""),""),IF('WSF DASHBOARD'!$B$4="Zone",IF(106&lt;=$D$4,IF(OR('WSF DASHBOARD'!$C$4="",ISNUMBER(SEARCH('WSF DASHBOARD'!$C$4,INDEX(MASTER_ZONES!$B:$B,107)))),106,""),""),""))</f>
        <v/>
      </c>
      <c r="B107">
        <f>IFERROR(SMALL($A$2:$A$1487,106),"")</f>
        <v/>
      </c>
      <c r="C107">
        <f>IF(B107="","",IF('WSF DASHBOARD'!$B$4="Area",INDEX(MASTER_AREAS!$B:$B,B107+1),INDEX(MASTER_ZONES!$B:$B,B107+1)))</f>
        <v/>
      </c>
      <c r="F107">
        <f>IF('TRANSPORT DASHBOARD'!$B$4="Area",IF(106&lt;=$I$3,IF(AND(INDEX(MASTER_AREAS!$F:$F,107)&lt;&gt;"N",OR('TRANSPORT DASHBOARD'!$C$4="",ISNUMBER(SEARCH('TRANSPORT DASHBOARD'!$C$4,INDEX(MASTER_AREAS!$B:$B,107))))),106,""),""),IF('TRANSPORT DASHBOARD'!$B$4="Zone",IF(106&lt;=$I$4,IF(OR('TRANSPORT DASHBOARD'!$C$4="",ISNUMBER(SEARCH('TRANSPORT DASHBOARD'!$C$4,INDEX(MASTER_ZONES!$B:$B,107)))),106,""),""),""))</f>
        <v/>
      </c>
      <c r="G107">
        <f>IFERROR(SMALL($F$2:$F$1487,106),"")</f>
        <v/>
      </c>
      <c r="H107">
        <f>IF(G107="","",IF('TRANSPORT DASHBOARD'!$B$4="Area",INDEX(MASTER_AREAS!$B:$B,G107+1),INDEX(MASTER_ZONES!$B:$B,G107+1)))</f>
        <v/>
      </c>
      <c r="K107">
        <f>IF('MIDWEEK DASHBOARD'!$B$4="Area",IF(106&lt;=$N$3,IF(AND(OR('MIDWEEK DASHBOARD'!$C$4="",ISNUMBER(SEARCH('MIDWEEK DASHBOARD'!$C$4,INDEX(MASTER_AREAS!$B:$B,107))))),106,""),""),IF('MIDWEEK DASHBOARD'!$B$4="Zone",IF(106&lt;=$N$4,IF(OR('MIDWEEK DASHBOARD'!$C$4="",ISNUMBER(SEARCH('MIDWEEK DASHBOARD'!$C$4,INDEX(MASTER_ZONES!$B:$B,107)))),106,""),""),""))</f>
        <v/>
      </c>
      <c r="L107">
        <f>IFERROR(SMALL($K$2:$K$1487,106),"")</f>
        <v/>
      </c>
      <c r="M107">
        <f>IF(L107="","",IF('MIDWEEK DASHBOARD'!$B$4="Area",INDEX(MASTER_AREAS!$B:$B,L107+1),INDEX(MASTER_ZONES!$B:$B,L107+1)))</f>
        <v/>
      </c>
      <c r="P107">
        <f>IF('CHOP DASHBOARD'!$B$4="Area",IF(106&lt;=$S$3,IF(AND(OR('CHOP DASHBOARD'!$C$4="",ISNUMBER(SEARCH('CHOP DASHBOARD'!$C$4,INDEX(MASTER_AREAS!$B:$B,107))))),106,""),""),IF('CHOP DASHBOARD'!$B$4="Zone",IF(106&lt;=$S$4,IF(OR('CHOP DASHBOARD'!$C$4="",ISNUMBER(SEARCH('CHOP DASHBOARD'!$C$4,INDEX(MASTER_ZONES!$B:$B,107)))),106,""),""),""))</f>
        <v/>
      </c>
      <c r="Q107">
        <f>IFERROR(SMALL($P$2:$P$1487,106),"")</f>
        <v/>
      </c>
      <c r="R107">
        <f>IF(Q107="","",IF('CHOP DASHBOARD'!$B$4="Area",INDEX(MASTER_AREAS!$B:$B,Q107+1),INDEX(MASTER_ZONES!$B:$B,Q107+1)))</f>
        <v/>
      </c>
      <c r="U107">
        <f>IF('COMMUNITY CHURCH DASHBOARD'!$B$4="Area",IF(106&lt;=$X$3,IF(AND(OR('COMMUNITY CHURCH DASHBOARD'!$C$4="",ISNUMBER(SEARCH('COMMUNITY CHURCH DASHBOARD'!$C$4,INDEX(MASTER_AREAS!$B:$B,107))))),106,""),""),IF('COMMUNITY CHURCH DASHBOARD'!$B$4="Zone",IF(106&lt;=$X$4,IF(OR('COMMUNITY CHURCH DASHBOARD'!$C$4="",ISNUMBER(SEARCH('COMMUNITY CHURCH DASHBOARD'!$C$4,INDEX(MASTER_ZONES!$B:$B,107)))),106,""),""),""))</f>
        <v/>
      </c>
      <c r="V107">
        <f>IFERROR(SMALL($U$2:$U$1487,106),"")</f>
        <v/>
      </c>
      <c r="W107">
        <f>IF(V107="","",IF('COMMUNITY CHURCH DASHBOARD'!$B$4="Area",INDEX(MASTER_AREAS!$B:$B,V107+1),INDEX(MASTER_ZONES!$B:$B,V107+1)))</f>
        <v/>
      </c>
    </row>
    <row r="108">
      <c r="A108">
        <f>IF('WSF DASHBOARD'!$B$4="Area",IF(107&lt;=$D$3,IF(AND(OR('WSF DASHBOARD'!$C$4="",ISNUMBER(SEARCH('WSF DASHBOARD'!$C$4,INDEX(MASTER_AREAS!$B:$B,108))))),107,""),""),IF('WSF DASHBOARD'!$B$4="Zone",IF(107&lt;=$D$4,IF(OR('WSF DASHBOARD'!$C$4="",ISNUMBER(SEARCH('WSF DASHBOARD'!$C$4,INDEX(MASTER_ZONES!$B:$B,108)))),107,""),""),""))</f>
        <v/>
      </c>
      <c r="B108">
        <f>IFERROR(SMALL($A$2:$A$1487,107),"")</f>
        <v/>
      </c>
      <c r="C108">
        <f>IF(B108="","",IF('WSF DASHBOARD'!$B$4="Area",INDEX(MASTER_AREAS!$B:$B,B108+1),INDEX(MASTER_ZONES!$B:$B,B108+1)))</f>
        <v/>
      </c>
      <c r="F108">
        <f>IF('TRANSPORT DASHBOARD'!$B$4="Area",IF(107&lt;=$I$3,IF(AND(INDEX(MASTER_AREAS!$F:$F,108)&lt;&gt;"N",OR('TRANSPORT DASHBOARD'!$C$4="",ISNUMBER(SEARCH('TRANSPORT DASHBOARD'!$C$4,INDEX(MASTER_AREAS!$B:$B,108))))),107,""),""),IF('TRANSPORT DASHBOARD'!$B$4="Zone",IF(107&lt;=$I$4,IF(OR('TRANSPORT DASHBOARD'!$C$4="",ISNUMBER(SEARCH('TRANSPORT DASHBOARD'!$C$4,INDEX(MASTER_ZONES!$B:$B,108)))),107,""),""),""))</f>
        <v/>
      </c>
      <c r="G108">
        <f>IFERROR(SMALL($F$2:$F$1487,107),"")</f>
        <v/>
      </c>
      <c r="H108">
        <f>IF(G108="","",IF('TRANSPORT DASHBOARD'!$B$4="Area",INDEX(MASTER_AREAS!$B:$B,G108+1),INDEX(MASTER_ZONES!$B:$B,G108+1)))</f>
        <v/>
      </c>
      <c r="K108">
        <f>IF('MIDWEEK DASHBOARD'!$B$4="Area",IF(107&lt;=$N$3,IF(AND(OR('MIDWEEK DASHBOARD'!$C$4="",ISNUMBER(SEARCH('MIDWEEK DASHBOARD'!$C$4,INDEX(MASTER_AREAS!$B:$B,108))))),107,""),""),IF('MIDWEEK DASHBOARD'!$B$4="Zone",IF(107&lt;=$N$4,IF(OR('MIDWEEK DASHBOARD'!$C$4="",ISNUMBER(SEARCH('MIDWEEK DASHBOARD'!$C$4,INDEX(MASTER_ZONES!$B:$B,108)))),107,""),""),""))</f>
        <v/>
      </c>
      <c r="L108">
        <f>IFERROR(SMALL($K$2:$K$1487,107),"")</f>
        <v/>
      </c>
      <c r="M108">
        <f>IF(L108="","",IF('MIDWEEK DASHBOARD'!$B$4="Area",INDEX(MASTER_AREAS!$B:$B,L108+1),INDEX(MASTER_ZONES!$B:$B,L108+1)))</f>
        <v/>
      </c>
      <c r="P108">
        <f>IF('CHOP DASHBOARD'!$B$4="Area",IF(107&lt;=$S$3,IF(AND(OR('CHOP DASHBOARD'!$C$4="",ISNUMBER(SEARCH('CHOP DASHBOARD'!$C$4,INDEX(MASTER_AREAS!$B:$B,108))))),107,""),""),IF('CHOP DASHBOARD'!$B$4="Zone",IF(107&lt;=$S$4,IF(OR('CHOP DASHBOARD'!$C$4="",ISNUMBER(SEARCH('CHOP DASHBOARD'!$C$4,INDEX(MASTER_ZONES!$B:$B,108)))),107,""),""),""))</f>
        <v/>
      </c>
      <c r="Q108">
        <f>IFERROR(SMALL($P$2:$P$1487,107),"")</f>
        <v/>
      </c>
      <c r="R108">
        <f>IF(Q108="","",IF('CHOP DASHBOARD'!$B$4="Area",INDEX(MASTER_AREAS!$B:$B,Q108+1),INDEX(MASTER_ZONES!$B:$B,Q108+1)))</f>
        <v/>
      </c>
      <c r="U108">
        <f>IF('COMMUNITY CHURCH DASHBOARD'!$B$4="Area",IF(107&lt;=$X$3,IF(AND(OR('COMMUNITY CHURCH DASHBOARD'!$C$4="",ISNUMBER(SEARCH('COMMUNITY CHURCH DASHBOARD'!$C$4,INDEX(MASTER_AREAS!$B:$B,108))))),107,""),""),IF('COMMUNITY CHURCH DASHBOARD'!$B$4="Zone",IF(107&lt;=$X$4,IF(OR('COMMUNITY CHURCH DASHBOARD'!$C$4="",ISNUMBER(SEARCH('COMMUNITY CHURCH DASHBOARD'!$C$4,INDEX(MASTER_ZONES!$B:$B,108)))),107,""),""),""))</f>
        <v/>
      </c>
      <c r="V108">
        <f>IFERROR(SMALL($U$2:$U$1487,107),"")</f>
        <v/>
      </c>
      <c r="W108">
        <f>IF(V108="","",IF('COMMUNITY CHURCH DASHBOARD'!$B$4="Area",INDEX(MASTER_AREAS!$B:$B,V108+1),INDEX(MASTER_ZONES!$B:$B,V108+1)))</f>
        <v/>
      </c>
    </row>
    <row r="109">
      <c r="A109">
        <f>IF('WSF DASHBOARD'!$B$4="Area",IF(108&lt;=$D$3,IF(AND(OR('WSF DASHBOARD'!$C$4="",ISNUMBER(SEARCH('WSF DASHBOARD'!$C$4,INDEX(MASTER_AREAS!$B:$B,109))))),108,""),""),IF('WSF DASHBOARD'!$B$4="Zone",IF(108&lt;=$D$4,IF(OR('WSF DASHBOARD'!$C$4="",ISNUMBER(SEARCH('WSF DASHBOARD'!$C$4,INDEX(MASTER_ZONES!$B:$B,109)))),108,""),""),""))</f>
        <v/>
      </c>
      <c r="B109">
        <f>IFERROR(SMALL($A$2:$A$1487,108),"")</f>
        <v/>
      </c>
      <c r="C109">
        <f>IF(B109="","",IF('WSF DASHBOARD'!$B$4="Area",INDEX(MASTER_AREAS!$B:$B,B109+1),INDEX(MASTER_ZONES!$B:$B,B109+1)))</f>
        <v/>
      </c>
      <c r="F109">
        <f>IF('TRANSPORT DASHBOARD'!$B$4="Area",IF(108&lt;=$I$3,IF(AND(INDEX(MASTER_AREAS!$F:$F,109)&lt;&gt;"N",OR('TRANSPORT DASHBOARD'!$C$4="",ISNUMBER(SEARCH('TRANSPORT DASHBOARD'!$C$4,INDEX(MASTER_AREAS!$B:$B,109))))),108,""),""),IF('TRANSPORT DASHBOARD'!$B$4="Zone",IF(108&lt;=$I$4,IF(OR('TRANSPORT DASHBOARD'!$C$4="",ISNUMBER(SEARCH('TRANSPORT DASHBOARD'!$C$4,INDEX(MASTER_ZONES!$B:$B,109)))),108,""),""),""))</f>
        <v/>
      </c>
      <c r="G109">
        <f>IFERROR(SMALL($F$2:$F$1487,108),"")</f>
        <v/>
      </c>
      <c r="H109">
        <f>IF(G109="","",IF('TRANSPORT DASHBOARD'!$B$4="Area",INDEX(MASTER_AREAS!$B:$B,G109+1),INDEX(MASTER_ZONES!$B:$B,G109+1)))</f>
        <v/>
      </c>
      <c r="K109">
        <f>IF('MIDWEEK DASHBOARD'!$B$4="Area",IF(108&lt;=$N$3,IF(AND(OR('MIDWEEK DASHBOARD'!$C$4="",ISNUMBER(SEARCH('MIDWEEK DASHBOARD'!$C$4,INDEX(MASTER_AREAS!$B:$B,109))))),108,""),""),IF('MIDWEEK DASHBOARD'!$B$4="Zone",IF(108&lt;=$N$4,IF(OR('MIDWEEK DASHBOARD'!$C$4="",ISNUMBER(SEARCH('MIDWEEK DASHBOARD'!$C$4,INDEX(MASTER_ZONES!$B:$B,109)))),108,""),""),""))</f>
        <v/>
      </c>
      <c r="L109">
        <f>IFERROR(SMALL($K$2:$K$1487,108),"")</f>
        <v/>
      </c>
      <c r="M109">
        <f>IF(L109="","",IF('MIDWEEK DASHBOARD'!$B$4="Area",INDEX(MASTER_AREAS!$B:$B,L109+1),INDEX(MASTER_ZONES!$B:$B,L109+1)))</f>
        <v/>
      </c>
      <c r="P109">
        <f>IF('CHOP DASHBOARD'!$B$4="Area",IF(108&lt;=$S$3,IF(AND(OR('CHOP DASHBOARD'!$C$4="",ISNUMBER(SEARCH('CHOP DASHBOARD'!$C$4,INDEX(MASTER_AREAS!$B:$B,109))))),108,""),""),IF('CHOP DASHBOARD'!$B$4="Zone",IF(108&lt;=$S$4,IF(OR('CHOP DASHBOARD'!$C$4="",ISNUMBER(SEARCH('CHOP DASHBOARD'!$C$4,INDEX(MASTER_ZONES!$B:$B,109)))),108,""),""),""))</f>
        <v/>
      </c>
      <c r="Q109">
        <f>IFERROR(SMALL($P$2:$P$1487,108),"")</f>
        <v/>
      </c>
      <c r="R109">
        <f>IF(Q109="","",IF('CHOP DASHBOARD'!$B$4="Area",INDEX(MASTER_AREAS!$B:$B,Q109+1),INDEX(MASTER_ZONES!$B:$B,Q109+1)))</f>
        <v/>
      </c>
      <c r="U109">
        <f>IF('COMMUNITY CHURCH DASHBOARD'!$B$4="Area",IF(108&lt;=$X$3,IF(AND(OR('COMMUNITY CHURCH DASHBOARD'!$C$4="",ISNUMBER(SEARCH('COMMUNITY CHURCH DASHBOARD'!$C$4,INDEX(MASTER_AREAS!$B:$B,109))))),108,""),""),IF('COMMUNITY CHURCH DASHBOARD'!$B$4="Zone",IF(108&lt;=$X$4,IF(OR('COMMUNITY CHURCH DASHBOARD'!$C$4="",ISNUMBER(SEARCH('COMMUNITY CHURCH DASHBOARD'!$C$4,INDEX(MASTER_ZONES!$B:$B,109)))),108,""),""),""))</f>
        <v/>
      </c>
      <c r="V109">
        <f>IFERROR(SMALL($U$2:$U$1487,108),"")</f>
        <v/>
      </c>
      <c r="W109">
        <f>IF(V109="","",IF('COMMUNITY CHURCH DASHBOARD'!$B$4="Area",INDEX(MASTER_AREAS!$B:$B,V109+1),INDEX(MASTER_ZONES!$B:$B,V109+1)))</f>
        <v/>
      </c>
    </row>
    <row r="110">
      <c r="A110">
        <f>IF('WSF DASHBOARD'!$B$4="Area",IF(109&lt;=$D$3,IF(AND(OR('WSF DASHBOARD'!$C$4="",ISNUMBER(SEARCH('WSF DASHBOARD'!$C$4,INDEX(MASTER_AREAS!$B:$B,110))))),109,""),""),IF('WSF DASHBOARD'!$B$4="Zone",IF(109&lt;=$D$4,IF(OR('WSF DASHBOARD'!$C$4="",ISNUMBER(SEARCH('WSF DASHBOARD'!$C$4,INDEX(MASTER_ZONES!$B:$B,110)))),109,""),""),""))</f>
        <v/>
      </c>
      <c r="B110">
        <f>IFERROR(SMALL($A$2:$A$1487,109),"")</f>
        <v/>
      </c>
      <c r="C110">
        <f>IF(B110="","",IF('WSF DASHBOARD'!$B$4="Area",INDEX(MASTER_AREAS!$B:$B,B110+1),INDEX(MASTER_ZONES!$B:$B,B110+1)))</f>
        <v/>
      </c>
      <c r="F110">
        <f>IF('TRANSPORT DASHBOARD'!$B$4="Area",IF(109&lt;=$I$3,IF(AND(INDEX(MASTER_AREAS!$F:$F,110)&lt;&gt;"N",OR('TRANSPORT DASHBOARD'!$C$4="",ISNUMBER(SEARCH('TRANSPORT DASHBOARD'!$C$4,INDEX(MASTER_AREAS!$B:$B,110))))),109,""),""),IF('TRANSPORT DASHBOARD'!$B$4="Zone",IF(109&lt;=$I$4,IF(OR('TRANSPORT DASHBOARD'!$C$4="",ISNUMBER(SEARCH('TRANSPORT DASHBOARD'!$C$4,INDEX(MASTER_ZONES!$B:$B,110)))),109,""),""),""))</f>
        <v/>
      </c>
      <c r="G110">
        <f>IFERROR(SMALL($F$2:$F$1487,109),"")</f>
        <v/>
      </c>
      <c r="H110">
        <f>IF(G110="","",IF('TRANSPORT DASHBOARD'!$B$4="Area",INDEX(MASTER_AREAS!$B:$B,G110+1),INDEX(MASTER_ZONES!$B:$B,G110+1)))</f>
        <v/>
      </c>
      <c r="K110">
        <f>IF('MIDWEEK DASHBOARD'!$B$4="Area",IF(109&lt;=$N$3,IF(AND(OR('MIDWEEK DASHBOARD'!$C$4="",ISNUMBER(SEARCH('MIDWEEK DASHBOARD'!$C$4,INDEX(MASTER_AREAS!$B:$B,110))))),109,""),""),IF('MIDWEEK DASHBOARD'!$B$4="Zone",IF(109&lt;=$N$4,IF(OR('MIDWEEK DASHBOARD'!$C$4="",ISNUMBER(SEARCH('MIDWEEK DASHBOARD'!$C$4,INDEX(MASTER_ZONES!$B:$B,110)))),109,""),""),""))</f>
        <v/>
      </c>
      <c r="L110">
        <f>IFERROR(SMALL($K$2:$K$1487,109),"")</f>
        <v/>
      </c>
      <c r="M110">
        <f>IF(L110="","",IF('MIDWEEK DASHBOARD'!$B$4="Area",INDEX(MASTER_AREAS!$B:$B,L110+1),INDEX(MASTER_ZONES!$B:$B,L110+1)))</f>
        <v/>
      </c>
      <c r="P110">
        <f>IF('CHOP DASHBOARD'!$B$4="Area",IF(109&lt;=$S$3,IF(AND(OR('CHOP DASHBOARD'!$C$4="",ISNUMBER(SEARCH('CHOP DASHBOARD'!$C$4,INDEX(MASTER_AREAS!$B:$B,110))))),109,""),""),IF('CHOP DASHBOARD'!$B$4="Zone",IF(109&lt;=$S$4,IF(OR('CHOP DASHBOARD'!$C$4="",ISNUMBER(SEARCH('CHOP DASHBOARD'!$C$4,INDEX(MASTER_ZONES!$B:$B,110)))),109,""),""),""))</f>
        <v/>
      </c>
      <c r="Q110">
        <f>IFERROR(SMALL($P$2:$P$1487,109),"")</f>
        <v/>
      </c>
      <c r="R110">
        <f>IF(Q110="","",IF('CHOP DASHBOARD'!$B$4="Area",INDEX(MASTER_AREAS!$B:$B,Q110+1),INDEX(MASTER_ZONES!$B:$B,Q110+1)))</f>
        <v/>
      </c>
      <c r="U110">
        <f>IF('COMMUNITY CHURCH DASHBOARD'!$B$4="Area",IF(109&lt;=$X$3,IF(AND(OR('COMMUNITY CHURCH DASHBOARD'!$C$4="",ISNUMBER(SEARCH('COMMUNITY CHURCH DASHBOARD'!$C$4,INDEX(MASTER_AREAS!$B:$B,110))))),109,""),""),IF('COMMUNITY CHURCH DASHBOARD'!$B$4="Zone",IF(109&lt;=$X$4,IF(OR('COMMUNITY CHURCH DASHBOARD'!$C$4="",ISNUMBER(SEARCH('COMMUNITY CHURCH DASHBOARD'!$C$4,INDEX(MASTER_ZONES!$B:$B,110)))),109,""),""),""))</f>
        <v/>
      </c>
      <c r="V110">
        <f>IFERROR(SMALL($U$2:$U$1487,109),"")</f>
        <v/>
      </c>
      <c r="W110">
        <f>IF(V110="","",IF('COMMUNITY CHURCH DASHBOARD'!$B$4="Area",INDEX(MASTER_AREAS!$B:$B,V110+1),INDEX(MASTER_ZONES!$B:$B,V110+1)))</f>
        <v/>
      </c>
    </row>
    <row r="111">
      <c r="A111">
        <f>IF('WSF DASHBOARD'!$B$4="Area",IF(110&lt;=$D$3,IF(AND(OR('WSF DASHBOARD'!$C$4="",ISNUMBER(SEARCH('WSF DASHBOARD'!$C$4,INDEX(MASTER_AREAS!$B:$B,111))))),110,""),""),IF('WSF DASHBOARD'!$B$4="Zone",IF(110&lt;=$D$4,IF(OR('WSF DASHBOARD'!$C$4="",ISNUMBER(SEARCH('WSF DASHBOARD'!$C$4,INDEX(MASTER_ZONES!$B:$B,111)))),110,""),""),""))</f>
        <v/>
      </c>
      <c r="B111">
        <f>IFERROR(SMALL($A$2:$A$1487,110),"")</f>
        <v/>
      </c>
      <c r="C111">
        <f>IF(B111="","",IF('WSF DASHBOARD'!$B$4="Area",INDEX(MASTER_AREAS!$B:$B,B111+1),INDEX(MASTER_ZONES!$B:$B,B111+1)))</f>
        <v/>
      </c>
      <c r="F111">
        <f>IF('TRANSPORT DASHBOARD'!$B$4="Area",IF(110&lt;=$I$3,IF(AND(INDEX(MASTER_AREAS!$F:$F,111)&lt;&gt;"N",OR('TRANSPORT DASHBOARD'!$C$4="",ISNUMBER(SEARCH('TRANSPORT DASHBOARD'!$C$4,INDEX(MASTER_AREAS!$B:$B,111))))),110,""),""),IF('TRANSPORT DASHBOARD'!$B$4="Zone",IF(110&lt;=$I$4,IF(OR('TRANSPORT DASHBOARD'!$C$4="",ISNUMBER(SEARCH('TRANSPORT DASHBOARD'!$C$4,INDEX(MASTER_ZONES!$B:$B,111)))),110,""),""),""))</f>
        <v/>
      </c>
      <c r="G111">
        <f>IFERROR(SMALL($F$2:$F$1487,110),"")</f>
        <v/>
      </c>
      <c r="H111">
        <f>IF(G111="","",IF('TRANSPORT DASHBOARD'!$B$4="Area",INDEX(MASTER_AREAS!$B:$B,G111+1),INDEX(MASTER_ZONES!$B:$B,G111+1)))</f>
        <v/>
      </c>
      <c r="K111">
        <f>IF('MIDWEEK DASHBOARD'!$B$4="Area",IF(110&lt;=$N$3,IF(AND(OR('MIDWEEK DASHBOARD'!$C$4="",ISNUMBER(SEARCH('MIDWEEK DASHBOARD'!$C$4,INDEX(MASTER_AREAS!$B:$B,111))))),110,""),""),IF('MIDWEEK DASHBOARD'!$B$4="Zone",IF(110&lt;=$N$4,IF(OR('MIDWEEK DASHBOARD'!$C$4="",ISNUMBER(SEARCH('MIDWEEK DASHBOARD'!$C$4,INDEX(MASTER_ZONES!$B:$B,111)))),110,""),""),""))</f>
        <v/>
      </c>
      <c r="L111">
        <f>IFERROR(SMALL($K$2:$K$1487,110),"")</f>
        <v/>
      </c>
      <c r="M111">
        <f>IF(L111="","",IF('MIDWEEK DASHBOARD'!$B$4="Area",INDEX(MASTER_AREAS!$B:$B,L111+1),INDEX(MASTER_ZONES!$B:$B,L111+1)))</f>
        <v/>
      </c>
      <c r="P111">
        <f>IF('CHOP DASHBOARD'!$B$4="Area",IF(110&lt;=$S$3,IF(AND(OR('CHOP DASHBOARD'!$C$4="",ISNUMBER(SEARCH('CHOP DASHBOARD'!$C$4,INDEX(MASTER_AREAS!$B:$B,111))))),110,""),""),IF('CHOP DASHBOARD'!$B$4="Zone",IF(110&lt;=$S$4,IF(OR('CHOP DASHBOARD'!$C$4="",ISNUMBER(SEARCH('CHOP DASHBOARD'!$C$4,INDEX(MASTER_ZONES!$B:$B,111)))),110,""),""),""))</f>
        <v/>
      </c>
      <c r="Q111">
        <f>IFERROR(SMALL($P$2:$P$1487,110),"")</f>
        <v/>
      </c>
      <c r="R111">
        <f>IF(Q111="","",IF('CHOP DASHBOARD'!$B$4="Area",INDEX(MASTER_AREAS!$B:$B,Q111+1),INDEX(MASTER_ZONES!$B:$B,Q111+1)))</f>
        <v/>
      </c>
      <c r="U111">
        <f>IF('COMMUNITY CHURCH DASHBOARD'!$B$4="Area",IF(110&lt;=$X$3,IF(AND(OR('COMMUNITY CHURCH DASHBOARD'!$C$4="",ISNUMBER(SEARCH('COMMUNITY CHURCH DASHBOARD'!$C$4,INDEX(MASTER_AREAS!$B:$B,111))))),110,""),""),IF('COMMUNITY CHURCH DASHBOARD'!$B$4="Zone",IF(110&lt;=$X$4,IF(OR('COMMUNITY CHURCH DASHBOARD'!$C$4="",ISNUMBER(SEARCH('COMMUNITY CHURCH DASHBOARD'!$C$4,INDEX(MASTER_ZONES!$B:$B,111)))),110,""),""),""))</f>
        <v/>
      </c>
      <c r="V111">
        <f>IFERROR(SMALL($U$2:$U$1487,110),"")</f>
        <v/>
      </c>
      <c r="W111">
        <f>IF(V111="","",IF('COMMUNITY CHURCH DASHBOARD'!$B$4="Area",INDEX(MASTER_AREAS!$B:$B,V111+1),INDEX(MASTER_ZONES!$B:$B,V111+1)))</f>
        <v/>
      </c>
    </row>
    <row r="112">
      <c r="A112">
        <f>IF('WSF DASHBOARD'!$B$4="Area",IF(111&lt;=$D$3,IF(AND(OR('WSF DASHBOARD'!$C$4="",ISNUMBER(SEARCH('WSF DASHBOARD'!$C$4,INDEX(MASTER_AREAS!$B:$B,112))))),111,""),""),IF('WSF DASHBOARD'!$B$4="Zone",IF(111&lt;=$D$4,IF(OR('WSF DASHBOARD'!$C$4="",ISNUMBER(SEARCH('WSF DASHBOARD'!$C$4,INDEX(MASTER_ZONES!$B:$B,112)))),111,""),""),""))</f>
        <v/>
      </c>
      <c r="B112">
        <f>IFERROR(SMALL($A$2:$A$1487,111),"")</f>
        <v/>
      </c>
      <c r="C112">
        <f>IF(B112="","",IF('WSF DASHBOARD'!$B$4="Area",INDEX(MASTER_AREAS!$B:$B,B112+1),INDEX(MASTER_ZONES!$B:$B,B112+1)))</f>
        <v/>
      </c>
      <c r="F112">
        <f>IF('TRANSPORT DASHBOARD'!$B$4="Area",IF(111&lt;=$I$3,IF(AND(INDEX(MASTER_AREAS!$F:$F,112)&lt;&gt;"N",OR('TRANSPORT DASHBOARD'!$C$4="",ISNUMBER(SEARCH('TRANSPORT DASHBOARD'!$C$4,INDEX(MASTER_AREAS!$B:$B,112))))),111,""),""),IF('TRANSPORT DASHBOARD'!$B$4="Zone",IF(111&lt;=$I$4,IF(OR('TRANSPORT DASHBOARD'!$C$4="",ISNUMBER(SEARCH('TRANSPORT DASHBOARD'!$C$4,INDEX(MASTER_ZONES!$B:$B,112)))),111,""),""),""))</f>
        <v/>
      </c>
      <c r="G112">
        <f>IFERROR(SMALL($F$2:$F$1487,111),"")</f>
        <v/>
      </c>
      <c r="H112">
        <f>IF(G112="","",IF('TRANSPORT DASHBOARD'!$B$4="Area",INDEX(MASTER_AREAS!$B:$B,G112+1),INDEX(MASTER_ZONES!$B:$B,G112+1)))</f>
        <v/>
      </c>
      <c r="K112">
        <f>IF('MIDWEEK DASHBOARD'!$B$4="Area",IF(111&lt;=$N$3,IF(AND(OR('MIDWEEK DASHBOARD'!$C$4="",ISNUMBER(SEARCH('MIDWEEK DASHBOARD'!$C$4,INDEX(MASTER_AREAS!$B:$B,112))))),111,""),""),IF('MIDWEEK DASHBOARD'!$B$4="Zone",IF(111&lt;=$N$4,IF(OR('MIDWEEK DASHBOARD'!$C$4="",ISNUMBER(SEARCH('MIDWEEK DASHBOARD'!$C$4,INDEX(MASTER_ZONES!$B:$B,112)))),111,""),""),""))</f>
        <v/>
      </c>
      <c r="L112">
        <f>IFERROR(SMALL($K$2:$K$1487,111),"")</f>
        <v/>
      </c>
      <c r="M112">
        <f>IF(L112="","",IF('MIDWEEK DASHBOARD'!$B$4="Area",INDEX(MASTER_AREAS!$B:$B,L112+1),INDEX(MASTER_ZONES!$B:$B,L112+1)))</f>
        <v/>
      </c>
      <c r="P112">
        <f>IF('CHOP DASHBOARD'!$B$4="Area",IF(111&lt;=$S$3,IF(AND(OR('CHOP DASHBOARD'!$C$4="",ISNUMBER(SEARCH('CHOP DASHBOARD'!$C$4,INDEX(MASTER_AREAS!$B:$B,112))))),111,""),""),IF('CHOP DASHBOARD'!$B$4="Zone",IF(111&lt;=$S$4,IF(OR('CHOP DASHBOARD'!$C$4="",ISNUMBER(SEARCH('CHOP DASHBOARD'!$C$4,INDEX(MASTER_ZONES!$B:$B,112)))),111,""),""),""))</f>
        <v/>
      </c>
      <c r="Q112">
        <f>IFERROR(SMALL($P$2:$P$1487,111),"")</f>
        <v/>
      </c>
      <c r="R112">
        <f>IF(Q112="","",IF('CHOP DASHBOARD'!$B$4="Area",INDEX(MASTER_AREAS!$B:$B,Q112+1),INDEX(MASTER_ZONES!$B:$B,Q112+1)))</f>
        <v/>
      </c>
      <c r="U112">
        <f>IF('COMMUNITY CHURCH DASHBOARD'!$B$4="Area",IF(111&lt;=$X$3,IF(AND(OR('COMMUNITY CHURCH DASHBOARD'!$C$4="",ISNUMBER(SEARCH('COMMUNITY CHURCH DASHBOARD'!$C$4,INDEX(MASTER_AREAS!$B:$B,112))))),111,""),""),IF('COMMUNITY CHURCH DASHBOARD'!$B$4="Zone",IF(111&lt;=$X$4,IF(OR('COMMUNITY CHURCH DASHBOARD'!$C$4="",ISNUMBER(SEARCH('COMMUNITY CHURCH DASHBOARD'!$C$4,INDEX(MASTER_ZONES!$B:$B,112)))),111,""),""),""))</f>
        <v/>
      </c>
      <c r="V112">
        <f>IFERROR(SMALL($U$2:$U$1487,111),"")</f>
        <v/>
      </c>
      <c r="W112">
        <f>IF(V112="","",IF('COMMUNITY CHURCH DASHBOARD'!$B$4="Area",INDEX(MASTER_AREAS!$B:$B,V112+1),INDEX(MASTER_ZONES!$B:$B,V112+1)))</f>
        <v/>
      </c>
    </row>
    <row r="113">
      <c r="A113">
        <f>IF('WSF DASHBOARD'!$B$4="Area",IF(112&lt;=$D$3,IF(AND(OR('WSF DASHBOARD'!$C$4="",ISNUMBER(SEARCH('WSF DASHBOARD'!$C$4,INDEX(MASTER_AREAS!$B:$B,113))))),112,""),""),IF('WSF DASHBOARD'!$B$4="Zone",IF(112&lt;=$D$4,IF(OR('WSF DASHBOARD'!$C$4="",ISNUMBER(SEARCH('WSF DASHBOARD'!$C$4,INDEX(MASTER_ZONES!$B:$B,113)))),112,""),""),""))</f>
        <v/>
      </c>
      <c r="B113">
        <f>IFERROR(SMALL($A$2:$A$1487,112),"")</f>
        <v/>
      </c>
      <c r="C113">
        <f>IF(B113="","",IF('WSF DASHBOARD'!$B$4="Area",INDEX(MASTER_AREAS!$B:$B,B113+1),INDEX(MASTER_ZONES!$B:$B,B113+1)))</f>
        <v/>
      </c>
      <c r="F113">
        <f>IF('TRANSPORT DASHBOARD'!$B$4="Area",IF(112&lt;=$I$3,IF(AND(INDEX(MASTER_AREAS!$F:$F,113)&lt;&gt;"N",OR('TRANSPORT DASHBOARD'!$C$4="",ISNUMBER(SEARCH('TRANSPORT DASHBOARD'!$C$4,INDEX(MASTER_AREAS!$B:$B,113))))),112,""),""),IF('TRANSPORT DASHBOARD'!$B$4="Zone",IF(112&lt;=$I$4,IF(OR('TRANSPORT DASHBOARD'!$C$4="",ISNUMBER(SEARCH('TRANSPORT DASHBOARD'!$C$4,INDEX(MASTER_ZONES!$B:$B,113)))),112,""),""),""))</f>
        <v/>
      </c>
      <c r="G113">
        <f>IFERROR(SMALL($F$2:$F$1487,112),"")</f>
        <v/>
      </c>
      <c r="H113">
        <f>IF(G113="","",IF('TRANSPORT DASHBOARD'!$B$4="Area",INDEX(MASTER_AREAS!$B:$B,G113+1),INDEX(MASTER_ZONES!$B:$B,G113+1)))</f>
        <v/>
      </c>
      <c r="K113">
        <f>IF('MIDWEEK DASHBOARD'!$B$4="Area",IF(112&lt;=$N$3,IF(AND(OR('MIDWEEK DASHBOARD'!$C$4="",ISNUMBER(SEARCH('MIDWEEK DASHBOARD'!$C$4,INDEX(MASTER_AREAS!$B:$B,113))))),112,""),""),IF('MIDWEEK DASHBOARD'!$B$4="Zone",IF(112&lt;=$N$4,IF(OR('MIDWEEK DASHBOARD'!$C$4="",ISNUMBER(SEARCH('MIDWEEK DASHBOARD'!$C$4,INDEX(MASTER_ZONES!$B:$B,113)))),112,""),""),""))</f>
        <v/>
      </c>
      <c r="L113">
        <f>IFERROR(SMALL($K$2:$K$1487,112),"")</f>
        <v/>
      </c>
      <c r="M113">
        <f>IF(L113="","",IF('MIDWEEK DASHBOARD'!$B$4="Area",INDEX(MASTER_AREAS!$B:$B,L113+1),INDEX(MASTER_ZONES!$B:$B,L113+1)))</f>
        <v/>
      </c>
      <c r="P113">
        <f>IF('CHOP DASHBOARD'!$B$4="Area",IF(112&lt;=$S$3,IF(AND(OR('CHOP DASHBOARD'!$C$4="",ISNUMBER(SEARCH('CHOP DASHBOARD'!$C$4,INDEX(MASTER_AREAS!$B:$B,113))))),112,""),""),IF('CHOP DASHBOARD'!$B$4="Zone",IF(112&lt;=$S$4,IF(OR('CHOP DASHBOARD'!$C$4="",ISNUMBER(SEARCH('CHOP DASHBOARD'!$C$4,INDEX(MASTER_ZONES!$B:$B,113)))),112,""),""),""))</f>
        <v/>
      </c>
      <c r="Q113">
        <f>IFERROR(SMALL($P$2:$P$1487,112),"")</f>
        <v/>
      </c>
      <c r="R113">
        <f>IF(Q113="","",IF('CHOP DASHBOARD'!$B$4="Area",INDEX(MASTER_AREAS!$B:$B,Q113+1),INDEX(MASTER_ZONES!$B:$B,Q113+1)))</f>
        <v/>
      </c>
      <c r="U113">
        <f>IF('COMMUNITY CHURCH DASHBOARD'!$B$4="Area",IF(112&lt;=$X$3,IF(AND(OR('COMMUNITY CHURCH DASHBOARD'!$C$4="",ISNUMBER(SEARCH('COMMUNITY CHURCH DASHBOARD'!$C$4,INDEX(MASTER_AREAS!$B:$B,113))))),112,""),""),IF('COMMUNITY CHURCH DASHBOARD'!$B$4="Zone",IF(112&lt;=$X$4,IF(OR('COMMUNITY CHURCH DASHBOARD'!$C$4="",ISNUMBER(SEARCH('COMMUNITY CHURCH DASHBOARD'!$C$4,INDEX(MASTER_ZONES!$B:$B,113)))),112,""),""),""))</f>
        <v/>
      </c>
      <c r="V113">
        <f>IFERROR(SMALL($U$2:$U$1487,112),"")</f>
        <v/>
      </c>
      <c r="W113">
        <f>IF(V113="","",IF('COMMUNITY CHURCH DASHBOARD'!$B$4="Area",INDEX(MASTER_AREAS!$B:$B,V113+1),INDEX(MASTER_ZONES!$B:$B,V113+1)))</f>
        <v/>
      </c>
    </row>
    <row r="114">
      <c r="A114">
        <f>IF('WSF DASHBOARD'!$B$4="Area",IF(113&lt;=$D$3,IF(AND(OR('WSF DASHBOARD'!$C$4="",ISNUMBER(SEARCH('WSF DASHBOARD'!$C$4,INDEX(MASTER_AREAS!$B:$B,114))))),113,""),""),IF('WSF DASHBOARD'!$B$4="Zone",IF(113&lt;=$D$4,IF(OR('WSF DASHBOARD'!$C$4="",ISNUMBER(SEARCH('WSF DASHBOARD'!$C$4,INDEX(MASTER_ZONES!$B:$B,114)))),113,""),""),""))</f>
        <v/>
      </c>
      <c r="B114">
        <f>IFERROR(SMALL($A$2:$A$1487,113),"")</f>
        <v/>
      </c>
      <c r="C114">
        <f>IF(B114="","",IF('WSF DASHBOARD'!$B$4="Area",INDEX(MASTER_AREAS!$B:$B,B114+1),INDEX(MASTER_ZONES!$B:$B,B114+1)))</f>
        <v/>
      </c>
      <c r="F114">
        <f>IF('TRANSPORT DASHBOARD'!$B$4="Area",IF(113&lt;=$I$3,IF(AND(INDEX(MASTER_AREAS!$F:$F,114)&lt;&gt;"N",OR('TRANSPORT DASHBOARD'!$C$4="",ISNUMBER(SEARCH('TRANSPORT DASHBOARD'!$C$4,INDEX(MASTER_AREAS!$B:$B,114))))),113,""),""),IF('TRANSPORT DASHBOARD'!$B$4="Zone",IF(113&lt;=$I$4,IF(OR('TRANSPORT DASHBOARD'!$C$4="",ISNUMBER(SEARCH('TRANSPORT DASHBOARD'!$C$4,INDEX(MASTER_ZONES!$B:$B,114)))),113,""),""),""))</f>
        <v/>
      </c>
      <c r="G114">
        <f>IFERROR(SMALL($F$2:$F$1487,113),"")</f>
        <v/>
      </c>
      <c r="H114">
        <f>IF(G114="","",IF('TRANSPORT DASHBOARD'!$B$4="Area",INDEX(MASTER_AREAS!$B:$B,G114+1),INDEX(MASTER_ZONES!$B:$B,G114+1)))</f>
        <v/>
      </c>
      <c r="K114">
        <f>IF('MIDWEEK DASHBOARD'!$B$4="Area",IF(113&lt;=$N$3,IF(AND(OR('MIDWEEK DASHBOARD'!$C$4="",ISNUMBER(SEARCH('MIDWEEK DASHBOARD'!$C$4,INDEX(MASTER_AREAS!$B:$B,114))))),113,""),""),IF('MIDWEEK DASHBOARD'!$B$4="Zone",IF(113&lt;=$N$4,IF(OR('MIDWEEK DASHBOARD'!$C$4="",ISNUMBER(SEARCH('MIDWEEK DASHBOARD'!$C$4,INDEX(MASTER_ZONES!$B:$B,114)))),113,""),""),""))</f>
        <v/>
      </c>
      <c r="L114">
        <f>IFERROR(SMALL($K$2:$K$1487,113),"")</f>
        <v/>
      </c>
      <c r="M114">
        <f>IF(L114="","",IF('MIDWEEK DASHBOARD'!$B$4="Area",INDEX(MASTER_AREAS!$B:$B,L114+1),INDEX(MASTER_ZONES!$B:$B,L114+1)))</f>
        <v/>
      </c>
      <c r="P114">
        <f>IF('CHOP DASHBOARD'!$B$4="Area",IF(113&lt;=$S$3,IF(AND(OR('CHOP DASHBOARD'!$C$4="",ISNUMBER(SEARCH('CHOP DASHBOARD'!$C$4,INDEX(MASTER_AREAS!$B:$B,114))))),113,""),""),IF('CHOP DASHBOARD'!$B$4="Zone",IF(113&lt;=$S$4,IF(OR('CHOP DASHBOARD'!$C$4="",ISNUMBER(SEARCH('CHOP DASHBOARD'!$C$4,INDEX(MASTER_ZONES!$B:$B,114)))),113,""),""),""))</f>
        <v/>
      </c>
      <c r="Q114">
        <f>IFERROR(SMALL($P$2:$P$1487,113),"")</f>
        <v/>
      </c>
      <c r="R114">
        <f>IF(Q114="","",IF('CHOP DASHBOARD'!$B$4="Area",INDEX(MASTER_AREAS!$B:$B,Q114+1),INDEX(MASTER_ZONES!$B:$B,Q114+1)))</f>
        <v/>
      </c>
      <c r="U114">
        <f>IF('COMMUNITY CHURCH DASHBOARD'!$B$4="Area",IF(113&lt;=$X$3,IF(AND(OR('COMMUNITY CHURCH DASHBOARD'!$C$4="",ISNUMBER(SEARCH('COMMUNITY CHURCH DASHBOARD'!$C$4,INDEX(MASTER_AREAS!$B:$B,114))))),113,""),""),IF('COMMUNITY CHURCH DASHBOARD'!$B$4="Zone",IF(113&lt;=$X$4,IF(OR('COMMUNITY CHURCH DASHBOARD'!$C$4="",ISNUMBER(SEARCH('COMMUNITY CHURCH DASHBOARD'!$C$4,INDEX(MASTER_ZONES!$B:$B,114)))),113,""),""),""))</f>
        <v/>
      </c>
      <c r="V114">
        <f>IFERROR(SMALL($U$2:$U$1487,113),"")</f>
        <v/>
      </c>
      <c r="W114">
        <f>IF(V114="","",IF('COMMUNITY CHURCH DASHBOARD'!$B$4="Area",INDEX(MASTER_AREAS!$B:$B,V114+1),INDEX(MASTER_ZONES!$B:$B,V114+1)))</f>
        <v/>
      </c>
    </row>
    <row r="115">
      <c r="A115">
        <f>IF('WSF DASHBOARD'!$B$4="Area",IF(114&lt;=$D$3,IF(AND(OR('WSF DASHBOARD'!$C$4="",ISNUMBER(SEARCH('WSF DASHBOARD'!$C$4,INDEX(MASTER_AREAS!$B:$B,115))))),114,""),""),IF('WSF DASHBOARD'!$B$4="Zone",IF(114&lt;=$D$4,IF(OR('WSF DASHBOARD'!$C$4="",ISNUMBER(SEARCH('WSF DASHBOARD'!$C$4,INDEX(MASTER_ZONES!$B:$B,115)))),114,""),""),""))</f>
        <v/>
      </c>
      <c r="B115">
        <f>IFERROR(SMALL($A$2:$A$1487,114),"")</f>
        <v/>
      </c>
      <c r="C115">
        <f>IF(B115="","",IF('WSF DASHBOARD'!$B$4="Area",INDEX(MASTER_AREAS!$B:$B,B115+1),INDEX(MASTER_ZONES!$B:$B,B115+1)))</f>
        <v/>
      </c>
      <c r="F115">
        <f>IF('TRANSPORT DASHBOARD'!$B$4="Area",IF(114&lt;=$I$3,IF(AND(INDEX(MASTER_AREAS!$F:$F,115)&lt;&gt;"N",OR('TRANSPORT DASHBOARD'!$C$4="",ISNUMBER(SEARCH('TRANSPORT DASHBOARD'!$C$4,INDEX(MASTER_AREAS!$B:$B,115))))),114,""),""),IF('TRANSPORT DASHBOARD'!$B$4="Zone",IF(114&lt;=$I$4,IF(OR('TRANSPORT DASHBOARD'!$C$4="",ISNUMBER(SEARCH('TRANSPORT DASHBOARD'!$C$4,INDEX(MASTER_ZONES!$B:$B,115)))),114,""),""),""))</f>
        <v/>
      </c>
      <c r="G115">
        <f>IFERROR(SMALL($F$2:$F$1487,114),"")</f>
        <v/>
      </c>
      <c r="H115">
        <f>IF(G115="","",IF('TRANSPORT DASHBOARD'!$B$4="Area",INDEX(MASTER_AREAS!$B:$B,G115+1),INDEX(MASTER_ZONES!$B:$B,G115+1)))</f>
        <v/>
      </c>
      <c r="K115">
        <f>IF('MIDWEEK DASHBOARD'!$B$4="Area",IF(114&lt;=$N$3,IF(AND(OR('MIDWEEK DASHBOARD'!$C$4="",ISNUMBER(SEARCH('MIDWEEK DASHBOARD'!$C$4,INDEX(MASTER_AREAS!$B:$B,115))))),114,""),""),IF('MIDWEEK DASHBOARD'!$B$4="Zone",IF(114&lt;=$N$4,IF(OR('MIDWEEK DASHBOARD'!$C$4="",ISNUMBER(SEARCH('MIDWEEK DASHBOARD'!$C$4,INDEX(MASTER_ZONES!$B:$B,115)))),114,""),""),""))</f>
        <v/>
      </c>
      <c r="L115">
        <f>IFERROR(SMALL($K$2:$K$1487,114),"")</f>
        <v/>
      </c>
      <c r="M115">
        <f>IF(L115="","",IF('MIDWEEK DASHBOARD'!$B$4="Area",INDEX(MASTER_AREAS!$B:$B,L115+1),INDEX(MASTER_ZONES!$B:$B,L115+1)))</f>
        <v/>
      </c>
      <c r="P115">
        <f>IF('CHOP DASHBOARD'!$B$4="Area",IF(114&lt;=$S$3,IF(AND(OR('CHOP DASHBOARD'!$C$4="",ISNUMBER(SEARCH('CHOP DASHBOARD'!$C$4,INDEX(MASTER_AREAS!$B:$B,115))))),114,""),""),IF('CHOP DASHBOARD'!$B$4="Zone",IF(114&lt;=$S$4,IF(OR('CHOP DASHBOARD'!$C$4="",ISNUMBER(SEARCH('CHOP DASHBOARD'!$C$4,INDEX(MASTER_ZONES!$B:$B,115)))),114,""),""),""))</f>
        <v/>
      </c>
      <c r="Q115">
        <f>IFERROR(SMALL($P$2:$P$1487,114),"")</f>
        <v/>
      </c>
      <c r="R115">
        <f>IF(Q115="","",IF('CHOP DASHBOARD'!$B$4="Area",INDEX(MASTER_AREAS!$B:$B,Q115+1),INDEX(MASTER_ZONES!$B:$B,Q115+1)))</f>
        <v/>
      </c>
      <c r="U115">
        <f>IF('COMMUNITY CHURCH DASHBOARD'!$B$4="Area",IF(114&lt;=$X$3,IF(AND(OR('COMMUNITY CHURCH DASHBOARD'!$C$4="",ISNUMBER(SEARCH('COMMUNITY CHURCH DASHBOARD'!$C$4,INDEX(MASTER_AREAS!$B:$B,115))))),114,""),""),IF('COMMUNITY CHURCH DASHBOARD'!$B$4="Zone",IF(114&lt;=$X$4,IF(OR('COMMUNITY CHURCH DASHBOARD'!$C$4="",ISNUMBER(SEARCH('COMMUNITY CHURCH DASHBOARD'!$C$4,INDEX(MASTER_ZONES!$B:$B,115)))),114,""),""),""))</f>
        <v/>
      </c>
      <c r="V115">
        <f>IFERROR(SMALL($U$2:$U$1487,114),"")</f>
        <v/>
      </c>
      <c r="W115">
        <f>IF(V115="","",IF('COMMUNITY CHURCH DASHBOARD'!$B$4="Area",INDEX(MASTER_AREAS!$B:$B,V115+1),INDEX(MASTER_ZONES!$B:$B,V115+1)))</f>
        <v/>
      </c>
    </row>
    <row r="116">
      <c r="A116">
        <f>IF('WSF DASHBOARD'!$B$4="Area",IF(115&lt;=$D$3,IF(AND(OR('WSF DASHBOARD'!$C$4="",ISNUMBER(SEARCH('WSF DASHBOARD'!$C$4,INDEX(MASTER_AREAS!$B:$B,116))))),115,""),""),IF('WSF DASHBOARD'!$B$4="Zone",IF(115&lt;=$D$4,IF(OR('WSF DASHBOARD'!$C$4="",ISNUMBER(SEARCH('WSF DASHBOARD'!$C$4,INDEX(MASTER_ZONES!$B:$B,116)))),115,""),""),""))</f>
        <v/>
      </c>
      <c r="B116">
        <f>IFERROR(SMALL($A$2:$A$1487,115),"")</f>
        <v/>
      </c>
      <c r="C116">
        <f>IF(B116="","",IF('WSF DASHBOARD'!$B$4="Area",INDEX(MASTER_AREAS!$B:$B,B116+1),INDEX(MASTER_ZONES!$B:$B,B116+1)))</f>
        <v/>
      </c>
      <c r="F116">
        <f>IF('TRANSPORT DASHBOARD'!$B$4="Area",IF(115&lt;=$I$3,IF(AND(INDEX(MASTER_AREAS!$F:$F,116)&lt;&gt;"N",OR('TRANSPORT DASHBOARD'!$C$4="",ISNUMBER(SEARCH('TRANSPORT DASHBOARD'!$C$4,INDEX(MASTER_AREAS!$B:$B,116))))),115,""),""),IF('TRANSPORT DASHBOARD'!$B$4="Zone",IF(115&lt;=$I$4,IF(OR('TRANSPORT DASHBOARD'!$C$4="",ISNUMBER(SEARCH('TRANSPORT DASHBOARD'!$C$4,INDEX(MASTER_ZONES!$B:$B,116)))),115,""),""),""))</f>
        <v/>
      </c>
      <c r="G116">
        <f>IFERROR(SMALL($F$2:$F$1487,115),"")</f>
        <v/>
      </c>
      <c r="H116">
        <f>IF(G116="","",IF('TRANSPORT DASHBOARD'!$B$4="Area",INDEX(MASTER_AREAS!$B:$B,G116+1),INDEX(MASTER_ZONES!$B:$B,G116+1)))</f>
        <v/>
      </c>
      <c r="K116">
        <f>IF('MIDWEEK DASHBOARD'!$B$4="Area",IF(115&lt;=$N$3,IF(AND(OR('MIDWEEK DASHBOARD'!$C$4="",ISNUMBER(SEARCH('MIDWEEK DASHBOARD'!$C$4,INDEX(MASTER_AREAS!$B:$B,116))))),115,""),""),IF('MIDWEEK DASHBOARD'!$B$4="Zone",IF(115&lt;=$N$4,IF(OR('MIDWEEK DASHBOARD'!$C$4="",ISNUMBER(SEARCH('MIDWEEK DASHBOARD'!$C$4,INDEX(MASTER_ZONES!$B:$B,116)))),115,""),""),""))</f>
        <v/>
      </c>
      <c r="L116">
        <f>IFERROR(SMALL($K$2:$K$1487,115),"")</f>
        <v/>
      </c>
      <c r="M116">
        <f>IF(L116="","",IF('MIDWEEK DASHBOARD'!$B$4="Area",INDEX(MASTER_AREAS!$B:$B,L116+1),INDEX(MASTER_ZONES!$B:$B,L116+1)))</f>
        <v/>
      </c>
      <c r="P116">
        <f>IF('CHOP DASHBOARD'!$B$4="Area",IF(115&lt;=$S$3,IF(AND(OR('CHOP DASHBOARD'!$C$4="",ISNUMBER(SEARCH('CHOP DASHBOARD'!$C$4,INDEX(MASTER_AREAS!$B:$B,116))))),115,""),""),IF('CHOP DASHBOARD'!$B$4="Zone",IF(115&lt;=$S$4,IF(OR('CHOP DASHBOARD'!$C$4="",ISNUMBER(SEARCH('CHOP DASHBOARD'!$C$4,INDEX(MASTER_ZONES!$B:$B,116)))),115,""),""),""))</f>
        <v/>
      </c>
      <c r="Q116">
        <f>IFERROR(SMALL($P$2:$P$1487,115),"")</f>
        <v/>
      </c>
      <c r="R116">
        <f>IF(Q116="","",IF('CHOP DASHBOARD'!$B$4="Area",INDEX(MASTER_AREAS!$B:$B,Q116+1),INDEX(MASTER_ZONES!$B:$B,Q116+1)))</f>
        <v/>
      </c>
      <c r="U116">
        <f>IF('COMMUNITY CHURCH DASHBOARD'!$B$4="Area",IF(115&lt;=$X$3,IF(AND(OR('COMMUNITY CHURCH DASHBOARD'!$C$4="",ISNUMBER(SEARCH('COMMUNITY CHURCH DASHBOARD'!$C$4,INDEX(MASTER_AREAS!$B:$B,116))))),115,""),""),IF('COMMUNITY CHURCH DASHBOARD'!$B$4="Zone",IF(115&lt;=$X$4,IF(OR('COMMUNITY CHURCH DASHBOARD'!$C$4="",ISNUMBER(SEARCH('COMMUNITY CHURCH DASHBOARD'!$C$4,INDEX(MASTER_ZONES!$B:$B,116)))),115,""),""),""))</f>
        <v/>
      </c>
      <c r="V116">
        <f>IFERROR(SMALL($U$2:$U$1487,115),"")</f>
        <v/>
      </c>
      <c r="W116">
        <f>IF(V116="","",IF('COMMUNITY CHURCH DASHBOARD'!$B$4="Area",INDEX(MASTER_AREAS!$B:$B,V116+1),INDEX(MASTER_ZONES!$B:$B,V116+1)))</f>
        <v/>
      </c>
    </row>
    <row r="117">
      <c r="A117">
        <f>IF('WSF DASHBOARD'!$B$4="Area",IF(116&lt;=$D$3,IF(AND(OR('WSF DASHBOARD'!$C$4="",ISNUMBER(SEARCH('WSF DASHBOARD'!$C$4,INDEX(MASTER_AREAS!$B:$B,117))))),116,""),""),IF('WSF DASHBOARD'!$B$4="Zone",IF(116&lt;=$D$4,IF(OR('WSF DASHBOARD'!$C$4="",ISNUMBER(SEARCH('WSF DASHBOARD'!$C$4,INDEX(MASTER_ZONES!$B:$B,117)))),116,""),""),""))</f>
        <v/>
      </c>
      <c r="B117">
        <f>IFERROR(SMALL($A$2:$A$1487,116),"")</f>
        <v/>
      </c>
      <c r="C117">
        <f>IF(B117="","",IF('WSF DASHBOARD'!$B$4="Area",INDEX(MASTER_AREAS!$B:$B,B117+1),INDEX(MASTER_ZONES!$B:$B,B117+1)))</f>
        <v/>
      </c>
      <c r="F117">
        <f>IF('TRANSPORT DASHBOARD'!$B$4="Area",IF(116&lt;=$I$3,IF(AND(INDEX(MASTER_AREAS!$F:$F,117)&lt;&gt;"N",OR('TRANSPORT DASHBOARD'!$C$4="",ISNUMBER(SEARCH('TRANSPORT DASHBOARD'!$C$4,INDEX(MASTER_AREAS!$B:$B,117))))),116,""),""),IF('TRANSPORT DASHBOARD'!$B$4="Zone",IF(116&lt;=$I$4,IF(OR('TRANSPORT DASHBOARD'!$C$4="",ISNUMBER(SEARCH('TRANSPORT DASHBOARD'!$C$4,INDEX(MASTER_ZONES!$B:$B,117)))),116,""),""),""))</f>
        <v/>
      </c>
      <c r="G117">
        <f>IFERROR(SMALL($F$2:$F$1487,116),"")</f>
        <v/>
      </c>
      <c r="H117">
        <f>IF(G117="","",IF('TRANSPORT DASHBOARD'!$B$4="Area",INDEX(MASTER_AREAS!$B:$B,G117+1),INDEX(MASTER_ZONES!$B:$B,G117+1)))</f>
        <v/>
      </c>
      <c r="K117">
        <f>IF('MIDWEEK DASHBOARD'!$B$4="Area",IF(116&lt;=$N$3,IF(AND(OR('MIDWEEK DASHBOARD'!$C$4="",ISNUMBER(SEARCH('MIDWEEK DASHBOARD'!$C$4,INDEX(MASTER_AREAS!$B:$B,117))))),116,""),""),IF('MIDWEEK DASHBOARD'!$B$4="Zone",IF(116&lt;=$N$4,IF(OR('MIDWEEK DASHBOARD'!$C$4="",ISNUMBER(SEARCH('MIDWEEK DASHBOARD'!$C$4,INDEX(MASTER_ZONES!$B:$B,117)))),116,""),""),""))</f>
        <v/>
      </c>
      <c r="L117">
        <f>IFERROR(SMALL($K$2:$K$1487,116),"")</f>
        <v/>
      </c>
      <c r="M117">
        <f>IF(L117="","",IF('MIDWEEK DASHBOARD'!$B$4="Area",INDEX(MASTER_AREAS!$B:$B,L117+1),INDEX(MASTER_ZONES!$B:$B,L117+1)))</f>
        <v/>
      </c>
      <c r="P117">
        <f>IF('CHOP DASHBOARD'!$B$4="Area",IF(116&lt;=$S$3,IF(AND(OR('CHOP DASHBOARD'!$C$4="",ISNUMBER(SEARCH('CHOP DASHBOARD'!$C$4,INDEX(MASTER_AREAS!$B:$B,117))))),116,""),""),IF('CHOP DASHBOARD'!$B$4="Zone",IF(116&lt;=$S$4,IF(OR('CHOP DASHBOARD'!$C$4="",ISNUMBER(SEARCH('CHOP DASHBOARD'!$C$4,INDEX(MASTER_ZONES!$B:$B,117)))),116,""),""),""))</f>
        <v/>
      </c>
      <c r="Q117">
        <f>IFERROR(SMALL($P$2:$P$1487,116),"")</f>
        <v/>
      </c>
      <c r="R117">
        <f>IF(Q117="","",IF('CHOP DASHBOARD'!$B$4="Area",INDEX(MASTER_AREAS!$B:$B,Q117+1),INDEX(MASTER_ZONES!$B:$B,Q117+1)))</f>
        <v/>
      </c>
      <c r="U117">
        <f>IF('COMMUNITY CHURCH DASHBOARD'!$B$4="Area",IF(116&lt;=$X$3,IF(AND(OR('COMMUNITY CHURCH DASHBOARD'!$C$4="",ISNUMBER(SEARCH('COMMUNITY CHURCH DASHBOARD'!$C$4,INDEX(MASTER_AREAS!$B:$B,117))))),116,""),""),IF('COMMUNITY CHURCH DASHBOARD'!$B$4="Zone",IF(116&lt;=$X$4,IF(OR('COMMUNITY CHURCH DASHBOARD'!$C$4="",ISNUMBER(SEARCH('COMMUNITY CHURCH DASHBOARD'!$C$4,INDEX(MASTER_ZONES!$B:$B,117)))),116,""),""),""))</f>
        <v/>
      </c>
      <c r="V117">
        <f>IFERROR(SMALL($U$2:$U$1487,116),"")</f>
        <v/>
      </c>
      <c r="W117">
        <f>IF(V117="","",IF('COMMUNITY CHURCH DASHBOARD'!$B$4="Area",INDEX(MASTER_AREAS!$B:$B,V117+1),INDEX(MASTER_ZONES!$B:$B,V117+1)))</f>
        <v/>
      </c>
    </row>
    <row r="118">
      <c r="A118">
        <f>IF('WSF DASHBOARD'!$B$4="Area",IF(117&lt;=$D$3,IF(AND(OR('WSF DASHBOARD'!$C$4="",ISNUMBER(SEARCH('WSF DASHBOARD'!$C$4,INDEX(MASTER_AREAS!$B:$B,118))))),117,""),""),IF('WSF DASHBOARD'!$B$4="Zone",IF(117&lt;=$D$4,IF(OR('WSF DASHBOARD'!$C$4="",ISNUMBER(SEARCH('WSF DASHBOARD'!$C$4,INDEX(MASTER_ZONES!$B:$B,118)))),117,""),""),""))</f>
        <v/>
      </c>
      <c r="B118">
        <f>IFERROR(SMALL($A$2:$A$1487,117),"")</f>
        <v/>
      </c>
      <c r="C118">
        <f>IF(B118="","",IF('WSF DASHBOARD'!$B$4="Area",INDEX(MASTER_AREAS!$B:$B,B118+1),INDEX(MASTER_ZONES!$B:$B,B118+1)))</f>
        <v/>
      </c>
      <c r="F118">
        <f>IF('TRANSPORT DASHBOARD'!$B$4="Area",IF(117&lt;=$I$3,IF(AND(INDEX(MASTER_AREAS!$F:$F,118)&lt;&gt;"N",OR('TRANSPORT DASHBOARD'!$C$4="",ISNUMBER(SEARCH('TRANSPORT DASHBOARD'!$C$4,INDEX(MASTER_AREAS!$B:$B,118))))),117,""),""),IF('TRANSPORT DASHBOARD'!$B$4="Zone",IF(117&lt;=$I$4,IF(OR('TRANSPORT DASHBOARD'!$C$4="",ISNUMBER(SEARCH('TRANSPORT DASHBOARD'!$C$4,INDEX(MASTER_ZONES!$B:$B,118)))),117,""),""),""))</f>
        <v/>
      </c>
      <c r="G118">
        <f>IFERROR(SMALL($F$2:$F$1487,117),"")</f>
        <v/>
      </c>
      <c r="H118">
        <f>IF(G118="","",IF('TRANSPORT DASHBOARD'!$B$4="Area",INDEX(MASTER_AREAS!$B:$B,G118+1),INDEX(MASTER_ZONES!$B:$B,G118+1)))</f>
        <v/>
      </c>
      <c r="K118">
        <f>IF('MIDWEEK DASHBOARD'!$B$4="Area",IF(117&lt;=$N$3,IF(AND(OR('MIDWEEK DASHBOARD'!$C$4="",ISNUMBER(SEARCH('MIDWEEK DASHBOARD'!$C$4,INDEX(MASTER_AREAS!$B:$B,118))))),117,""),""),IF('MIDWEEK DASHBOARD'!$B$4="Zone",IF(117&lt;=$N$4,IF(OR('MIDWEEK DASHBOARD'!$C$4="",ISNUMBER(SEARCH('MIDWEEK DASHBOARD'!$C$4,INDEX(MASTER_ZONES!$B:$B,118)))),117,""),""),""))</f>
        <v/>
      </c>
      <c r="L118">
        <f>IFERROR(SMALL($K$2:$K$1487,117),"")</f>
        <v/>
      </c>
      <c r="M118">
        <f>IF(L118="","",IF('MIDWEEK DASHBOARD'!$B$4="Area",INDEX(MASTER_AREAS!$B:$B,L118+1),INDEX(MASTER_ZONES!$B:$B,L118+1)))</f>
        <v/>
      </c>
      <c r="P118">
        <f>IF('CHOP DASHBOARD'!$B$4="Area",IF(117&lt;=$S$3,IF(AND(OR('CHOP DASHBOARD'!$C$4="",ISNUMBER(SEARCH('CHOP DASHBOARD'!$C$4,INDEX(MASTER_AREAS!$B:$B,118))))),117,""),""),IF('CHOP DASHBOARD'!$B$4="Zone",IF(117&lt;=$S$4,IF(OR('CHOP DASHBOARD'!$C$4="",ISNUMBER(SEARCH('CHOP DASHBOARD'!$C$4,INDEX(MASTER_ZONES!$B:$B,118)))),117,""),""),""))</f>
        <v/>
      </c>
      <c r="Q118">
        <f>IFERROR(SMALL($P$2:$P$1487,117),"")</f>
        <v/>
      </c>
      <c r="R118">
        <f>IF(Q118="","",IF('CHOP DASHBOARD'!$B$4="Area",INDEX(MASTER_AREAS!$B:$B,Q118+1),INDEX(MASTER_ZONES!$B:$B,Q118+1)))</f>
        <v/>
      </c>
      <c r="U118">
        <f>IF('COMMUNITY CHURCH DASHBOARD'!$B$4="Area",IF(117&lt;=$X$3,IF(AND(OR('COMMUNITY CHURCH DASHBOARD'!$C$4="",ISNUMBER(SEARCH('COMMUNITY CHURCH DASHBOARD'!$C$4,INDEX(MASTER_AREAS!$B:$B,118))))),117,""),""),IF('COMMUNITY CHURCH DASHBOARD'!$B$4="Zone",IF(117&lt;=$X$4,IF(OR('COMMUNITY CHURCH DASHBOARD'!$C$4="",ISNUMBER(SEARCH('COMMUNITY CHURCH DASHBOARD'!$C$4,INDEX(MASTER_ZONES!$B:$B,118)))),117,""),""),""))</f>
        <v/>
      </c>
      <c r="V118">
        <f>IFERROR(SMALL($U$2:$U$1487,117),"")</f>
        <v/>
      </c>
      <c r="W118">
        <f>IF(V118="","",IF('COMMUNITY CHURCH DASHBOARD'!$B$4="Area",INDEX(MASTER_AREAS!$B:$B,V118+1),INDEX(MASTER_ZONES!$B:$B,V118+1)))</f>
        <v/>
      </c>
    </row>
    <row r="119">
      <c r="A119">
        <f>IF('WSF DASHBOARD'!$B$4="Area",IF(118&lt;=$D$3,IF(AND(OR('WSF DASHBOARD'!$C$4="",ISNUMBER(SEARCH('WSF DASHBOARD'!$C$4,INDEX(MASTER_AREAS!$B:$B,119))))),118,""),""),IF('WSF DASHBOARD'!$B$4="Zone",IF(118&lt;=$D$4,IF(OR('WSF DASHBOARD'!$C$4="",ISNUMBER(SEARCH('WSF DASHBOARD'!$C$4,INDEX(MASTER_ZONES!$B:$B,119)))),118,""),""),""))</f>
        <v/>
      </c>
      <c r="B119">
        <f>IFERROR(SMALL($A$2:$A$1487,118),"")</f>
        <v/>
      </c>
      <c r="C119">
        <f>IF(B119="","",IF('WSF DASHBOARD'!$B$4="Area",INDEX(MASTER_AREAS!$B:$B,B119+1),INDEX(MASTER_ZONES!$B:$B,B119+1)))</f>
        <v/>
      </c>
      <c r="F119">
        <f>IF('TRANSPORT DASHBOARD'!$B$4="Area",IF(118&lt;=$I$3,IF(AND(INDEX(MASTER_AREAS!$F:$F,119)&lt;&gt;"N",OR('TRANSPORT DASHBOARD'!$C$4="",ISNUMBER(SEARCH('TRANSPORT DASHBOARD'!$C$4,INDEX(MASTER_AREAS!$B:$B,119))))),118,""),""),IF('TRANSPORT DASHBOARD'!$B$4="Zone",IF(118&lt;=$I$4,IF(OR('TRANSPORT DASHBOARD'!$C$4="",ISNUMBER(SEARCH('TRANSPORT DASHBOARD'!$C$4,INDEX(MASTER_ZONES!$B:$B,119)))),118,""),""),""))</f>
        <v/>
      </c>
      <c r="G119">
        <f>IFERROR(SMALL($F$2:$F$1487,118),"")</f>
        <v/>
      </c>
      <c r="H119">
        <f>IF(G119="","",IF('TRANSPORT DASHBOARD'!$B$4="Area",INDEX(MASTER_AREAS!$B:$B,G119+1),INDEX(MASTER_ZONES!$B:$B,G119+1)))</f>
        <v/>
      </c>
      <c r="K119">
        <f>IF('MIDWEEK DASHBOARD'!$B$4="Area",IF(118&lt;=$N$3,IF(AND(OR('MIDWEEK DASHBOARD'!$C$4="",ISNUMBER(SEARCH('MIDWEEK DASHBOARD'!$C$4,INDEX(MASTER_AREAS!$B:$B,119))))),118,""),""),IF('MIDWEEK DASHBOARD'!$B$4="Zone",IF(118&lt;=$N$4,IF(OR('MIDWEEK DASHBOARD'!$C$4="",ISNUMBER(SEARCH('MIDWEEK DASHBOARD'!$C$4,INDEX(MASTER_ZONES!$B:$B,119)))),118,""),""),""))</f>
        <v/>
      </c>
      <c r="L119">
        <f>IFERROR(SMALL($K$2:$K$1487,118),"")</f>
        <v/>
      </c>
      <c r="M119">
        <f>IF(L119="","",IF('MIDWEEK DASHBOARD'!$B$4="Area",INDEX(MASTER_AREAS!$B:$B,L119+1),INDEX(MASTER_ZONES!$B:$B,L119+1)))</f>
        <v/>
      </c>
      <c r="P119">
        <f>IF('CHOP DASHBOARD'!$B$4="Area",IF(118&lt;=$S$3,IF(AND(OR('CHOP DASHBOARD'!$C$4="",ISNUMBER(SEARCH('CHOP DASHBOARD'!$C$4,INDEX(MASTER_AREAS!$B:$B,119))))),118,""),""),IF('CHOP DASHBOARD'!$B$4="Zone",IF(118&lt;=$S$4,IF(OR('CHOP DASHBOARD'!$C$4="",ISNUMBER(SEARCH('CHOP DASHBOARD'!$C$4,INDEX(MASTER_ZONES!$B:$B,119)))),118,""),""),""))</f>
        <v/>
      </c>
      <c r="Q119">
        <f>IFERROR(SMALL($P$2:$P$1487,118),"")</f>
        <v/>
      </c>
      <c r="R119">
        <f>IF(Q119="","",IF('CHOP DASHBOARD'!$B$4="Area",INDEX(MASTER_AREAS!$B:$B,Q119+1),INDEX(MASTER_ZONES!$B:$B,Q119+1)))</f>
        <v/>
      </c>
      <c r="U119">
        <f>IF('COMMUNITY CHURCH DASHBOARD'!$B$4="Area",IF(118&lt;=$X$3,IF(AND(OR('COMMUNITY CHURCH DASHBOARD'!$C$4="",ISNUMBER(SEARCH('COMMUNITY CHURCH DASHBOARD'!$C$4,INDEX(MASTER_AREAS!$B:$B,119))))),118,""),""),IF('COMMUNITY CHURCH DASHBOARD'!$B$4="Zone",IF(118&lt;=$X$4,IF(OR('COMMUNITY CHURCH DASHBOARD'!$C$4="",ISNUMBER(SEARCH('COMMUNITY CHURCH DASHBOARD'!$C$4,INDEX(MASTER_ZONES!$B:$B,119)))),118,""),""),""))</f>
        <v/>
      </c>
      <c r="V119">
        <f>IFERROR(SMALL($U$2:$U$1487,118),"")</f>
        <v/>
      </c>
      <c r="W119">
        <f>IF(V119="","",IF('COMMUNITY CHURCH DASHBOARD'!$B$4="Area",INDEX(MASTER_AREAS!$B:$B,V119+1),INDEX(MASTER_ZONES!$B:$B,V119+1)))</f>
        <v/>
      </c>
    </row>
    <row r="120">
      <c r="A120">
        <f>IF('WSF DASHBOARD'!$B$4="Area",IF(119&lt;=$D$3,IF(AND(OR('WSF DASHBOARD'!$C$4="",ISNUMBER(SEARCH('WSF DASHBOARD'!$C$4,INDEX(MASTER_AREAS!$B:$B,120))))),119,""),""),IF('WSF DASHBOARD'!$B$4="Zone",IF(119&lt;=$D$4,IF(OR('WSF DASHBOARD'!$C$4="",ISNUMBER(SEARCH('WSF DASHBOARD'!$C$4,INDEX(MASTER_ZONES!$B:$B,120)))),119,""),""),""))</f>
        <v/>
      </c>
      <c r="B120">
        <f>IFERROR(SMALL($A$2:$A$1487,119),"")</f>
        <v/>
      </c>
      <c r="C120">
        <f>IF(B120="","",IF('WSF DASHBOARD'!$B$4="Area",INDEX(MASTER_AREAS!$B:$B,B120+1),INDEX(MASTER_ZONES!$B:$B,B120+1)))</f>
        <v/>
      </c>
      <c r="F120">
        <f>IF('TRANSPORT DASHBOARD'!$B$4="Area",IF(119&lt;=$I$3,IF(AND(INDEX(MASTER_AREAS!$F:$F,120)&lt;&gt;"N",OR('TRANSPORT DASHBOARD'!$C$4="",ISNUMBER(SEARCH('TRANSPORT DASHBOARD'!$C$4,INDEX(MASTER_AREAS!$B:$B,120))))),119,""),""),IF('TRANSPORT DASHBOARD'!$B$4="Zone",IF(119&lt;=$I$4,IF(OR('TRANSPORT DASHBOARD'!$C$4="",ISNUMBER(SEARCH('TRANSPORT DASHBOARD'!$C$4,INDEX(MASTER_ZONES!$B:$B,120)))),119,""),""),""))</f>
        <v/>
      </c>
      <c r="G120">
        <f>IFERROR(SMALL($F$2:$F$1487,119),"")</f>
        <v/>
      </c>
      <c r="H120">
        <f>IF(G120="","",IF('TRANSPORT DASHBOARD'!$B$4="Area",INDEX(MASTER_AREAS!$B:$B,G120+1),INDEX(MASTER_ZONES!$B:$B,G120+1)))</f>
        <v/>
      </c>
      <c r="K120">
        <f>IF('MIDWEEK DASHBOARD'!$B$4="Area",IF(119&lt;=$N$3,IF(AND(OR('MIDWEEK DASHBOARD'!$C$4="",ISNUMBER(SEARCH('MIDWEEK DASHBOARD'!$C$4,INDEX(MASTER_AREAS!$B:$B,120))))),119,""),""),IF('MIDWEEK DASHBOARD'!$B$4="Zone",IF(119&lt;=$N$4,IF(OR('MIDWEEK DASHBOARD'!$C$4="",ISNUMBER(SEARCH('MIDWEEK DASHBOARD'!$C$4,INDEX(MASTER_ZONES!$B:$B,120)))),119,""),""),""))</f>
        <v/>
      </c>
      <c r="L120">
        <f>IFERROR(SMALL($K$2:$K$1487,119),"")</f>
        <v/>
      </c>
      <c r="M120">
        <f>IF(L120="","",IF('MIDWEEK DASHBOARD'!$B$4="Area",INDEX(MASTER_AREAS!$B:$B,L120+1),INDEX(MASTER_ZONES!$B:$B,L120+1)))</f>
        <v/>
      </c>
      <c r="P120">
        <f>IF('CHOP DASHBOARD'!$B$4="Area",IF(119&lt;=$S$3,IF(AND(OR('CHOP DASHBOARD'!$C$4="",ISNUMBER(SEARCH('CHOP DASHBOARD'!$C$4,INDEX(MASTER_AREAS!$B:$B,120))))),119,""),""),IF('CHOP DASHBOARD'!$B$4="Zone",IF(119&lt;=$S$4,IF(OR('CHOP DASHBOARD'!$C$4="",ISNUMBER(SEARCH('CHOP DASHBOARD'!$C$4,INDEX(MASTER_ZONES!$B:$B,120)))),119,""),""),""))</f>
        <v/>
      </c>
      <c r="Q120">
        <f>IFERROR(SMALL($P$2:$P$1487,119),"")</f>
        <v/>
      </c>
      <c r="R120">
        <f>IF(Q120="","",IF('CHOP DASHBOARD'!$B$4="Area",INDEX(MASTER_AREAS!$B:$B,Q120+1),INDEX(MASTER_ZONES!$B:$B,Q120+1)))</f>
        <v/>
      </c>
      <c r="U120">
        <f>IF('COMMUNITY CHURCH DASHBOARD'!$B$4="Area",IF(119&lt;=$X$3,IF(AND(OR('COMMUNITY CHURCH DASHBOARD'!$C$4="",ISNUMBER(SEARCH('COMMUNITY CHURCH DASHBOARD'!$C$4,INDEX(MASTER_AREAS!$B:$B,120))))),119,""),""),IF('COMMUNITY CHURCH DASHBOARD'!$B$4="Zone",IF(119&lt;=$X$4,IF(OR('COMMUNITY CHURCH DASHBOARD'!$C$4="",ISNUMBER(SEARCH('COMMUNITY CHURCH DASHBOARD'!$C$4,INDEX(MASTER_ZONES!$B:$B,120)))),119,""),""),""))</f>
        <v/>
      </c>
      <c r="V120">
        <f>IFERROR(SMALL($U$2:$U$1487,119),"")</f>
        <v/>
      </c>
      <c r="W120">
        <f>IF(V120="","",IF('COMMUNITY CHURCH DASHBOARD'!$B$4="Area",INDEX(MASTER_AREAS!$B:$B,V120+1),INDEX(MASTER_ZONES!$B:$B,V120+1)))</f>
        <v/>
      </c>
    </row>
    <row r="121">
      <c r="A121">
        <f>IF('WSF DASHBOARD'!$B$4="Area",IF(120&lt;=$D$3,IF(AND(OR('WSF DASHBOARD'!$C$4="",ISNUMBER(SEARCH('WSF DASHBOARD'!$C$4,INDEX(MASTER_AREAS!$B:$B,121))))),120,""),""),IF('WSF DASHBOARD'!$B$4="Zone",IF(120&lt;=$D$4,IF(OR('WSF DASHBOARD'!$C$4="",ISNUMBER(SEARCH('WSF DASHBOARD'!$C$4,INDEX(MASTER_ZONES!$B:$B,121)))),120,""),""),""))</f>
        <v/>
      </c>
      <c r="B121">
        <f>IFERROR(SMALL($A$2:$A$1487,120),"")</f>
        <v/>
      </c>
      <c r="C121">
        <f>IF(B121="","",IF('WSF DASHBOARD'!$B$4="Area",INDEX(MASTER_AREAS!$B:$B,B121+1),INDEX(MASTER_ZONES!$B:$B,B121+1)))</f>
        <v/>
      </c>
      <c r="F121">
        <f>IF('TRANSPORT DASHBOARD'!$B$4="Area",IF(120&lt;=$I$3,IF(AND(INDEX(MASTER_AREAS!$F:$F,121)&lt;&gt;"N",OR('TRANSPORT DASHBOARD'!$C$4="",ISNUMBER(SEARCH('TRANSPORT DASHBOARD'!$C$4,INDEX(MASTER_AREAS!$B:$B,121))))),120,""),""),IF('TRANSPORT DASHBOARD'!$B$4="Zone",IF(120&lt;=$I$4,IF(OR('TRANSPORT DASHBOARD'!$C$4="",ISNUMBER(SEARCH('TRANSPORT DASHBOARD'!$C$4,INDEX(MASTER_ZONES!$B:$B,121)))),120,""),""),""))</f>
        <v/>
      </c>
      <c r="G121">
        <f>IFERROR(SMALL($F$2:$F$1487,120),"")</f>
        <v/>
      </c>
      <c r="H121">
        <f>IF(G121="","",IF('TRANSPORT DASHBOARD'!$B$4="Area",INDEX(MASTER_AREAS!$B:$B,G121+1),INDEX(MASTER_ZONES!$B:$B,G121+1)))</f>
        <v/>
      </c>
      <c r="K121">
        <f>IF('MIDWEEK DASHBOARD'!$B$4="Area",IF(120&lt;=$N$3,IF(AND(OR('MIDWEEK DASHBOARD'!$C$4="",ISNUMBER(SEARCH('MIDWEEK DASHBOARD'!$C$4,INDEX(MASTER_AREAS!$B:$B,121))))),120,""),""),IF('MIDWEEK DASHBOARD'!$B$4="Zone",IF(120&lt;=$N$4,IF(OR('MIDWEEK DASHBOARD'!$C$4="",ISNUMBER(SEARCH('MIDWEEK DASHBOARD'!$C$4,INDEX(MASTER_ZONES!$B:$B,121)))),120,""),""),""))</f>
        <v/>
      </c>
      <c r="L121">
        <f>IFERROR(SMALL($K$2:$K$1487,120),"")</f>
        <v/>
      </c>
      <c r="M121">
        <f>IF(L121="","",IF('MIDWEEK DASHBOARD'!$B$4="Area",INDEX(MASTER_AREAS!$B:$B,L121+1),INDEX(MASTER_ZONES!$B:$B,L121+1)))</f>
        <v/>
      </c>
      <c r="P121">
        <f>IF('CHOP DASHBOARD'!$B$4="Area",IF(120&lt;=$S$3,IF(AND(OR('CHOP DASHBOARD'!$C$4="",ISNUMBER(SEARCH('CHOP DASHBOARD'!$C$4,INDEX(MASTER_AREAS!$B:$B,121))))),120,""),""),IF('CHOP DASHBOARD'!$B$4="Zone",IF(120&lt;=$S$4,IF(OR('CHOP DASHBOARD'!$C$4="",ISNUMBER(SEARCH('CHOP DASHBOARD'!$C$4,INDEX(MASTER_ZONES!$B:$B,121)))),120,""),""),""))</f>
        <v/>
      </c>
      <c r="Q121">
        <f>IFERROR(SMALL($P$2:$P$1487,120),"")</f>
        <v/>
      </c>
      <c r="R121">
        <f>IF(Q121="","",IF('CHOP DASHBOARD'!$B$4="Area",INDEX(MASTER_AREAS!$B:$B,Q121+1),INDEX(MASTER_ZONES!$B:$B,Q121+1)))</f>
        <v/>
      </c>
      <c r="U121">
        <f>IF('COMMUNITY CHURCH DASHBOARD'!$B$4="Area",IF(120&lt;=$X$3,IF(AND(OR('COMMUNITY CHURCH DASHBOARD'!$C$4="",ISNUMBER(SEARCH('COMMUNITY CHURCH DASHBOARD'!$C$4,INDEX(MASTER_AREAS!$B:$B,121))))),120,""),""),IF('COMMUNITY CHURCH DASHBOARD'!$B$4="Zone",IF(120&lt;=$X$4,IF(OR('COMMUNITY CHURCH DASHBOARD'!$C$4="",ISNUMBER(SEARCH('COMMUNITY CHURCH DASHBOARD'!$C$4,INDEX(MASTER_ZONES!$B:$B,121)))),120,""),""),""))</f>
        <v/>
      </c>
      <c r="V121">
        <f>IFERROR(SMALL($U$2:$U$1487,120),"")</f>
        <v/>
      </c>
      <c r="W121">
        <f>IF(V121="","",IF('COMMUNITY CHURCH DASHBOARD'!$B$4="Area",INDEX(MASTER_AREAS!$B:$B,V121+1),INDEX(MASTER_ZONES!$B:$B,V121+1)))</f>
        <v/>
      </c>
    </row>
    <row r="122">
      <c r="A122">
        <f>IF('WSF DASHBOARD'!$B$4="Area",IF(121&lt;=$D$3,IF(AND(OR('WSF DASHBOARD'!$C$4="",ISNUMBER(SEARCH('WSF DASHBOARD'!$C$4,INDEX(MASTER_AREAS!$B:$B,122))))),121,""),""),IF('WSF DASHBOARD'!$B$4="Zone",IF(121&lt;=$D$4,IF(OR('WSF DASHBOARD'!$C$4="",ISNUMBER(SEARCH('WSF DASHBOARD'!$C$4,INDEX(MASTER_ZONES!$B:$B,122)))),121,""),""),""))</f>
        <v/>
      </c>
      <c r="B122">
        <f>IFERROR(SMALL($A$2:$A$1487,121),"")</f>
        <v/>
      </c>
      <c r="C122">
        <f>IF(B122="","",IF('WSF DASHBOARD'!$B$4="Area",INDEX(MASTER_AREAS!$B:$B,B122+1),INDEX(MASTER_ZONES!$B:$B,B122+1)))</f>
        <v/>
      </c>
      <c r="F122">
        <f>IF('TRANSPORT DASHBOARD'!$B$4="Area",IF(121&lt;=$I$3,IF(AND(INDEX(MASTER_AREAS!$F:$F,122)&lt;&gt;"N",OR('TRANSPORT DASHBOARD'!$C$4="",ISNUMBER(SEARCH('TRANSPORT DASHBOARD'!$C$4,INDEX(MASTER_AREAS!$B:$B,122))))),121,""),""),IF('TRANSPORT DASHBOARD'!$B$4="Zone",IF(121&lt;=$I$4,IF(OR('TRANSPORT DASHBOARD'!$C$4="",ISNUMBER(SEARCH('TRANSPORT DASHBOARD'!$C$4,INDEX(MASTER_ZONES!$B:$B,122)))),121,""),""),""))</f>
        <v/>
      </c>
      <c r="G122">
        <f>IFERROR(SMALL($F$2:$F$1487,121),"")</f>
        <v/>
      </c>
      <c r="H122">
        <f>IF(G122="","",IF('TRANSPORT DASHBOARD'!$B$4="Area",INDEX(MASTER_AREAS!$B:$B,G122+1),INDEX(MASTER_ZONES!$B:$B,G122+1)))</f>
        <v/>
      </c>
      <c r="K122">
        <f>IF('MIDWEEK DASHBOARD'!$B$4="Area",IF(121&lt;=$N$3,IF(AND(OR('MIDWEEK DASHBOARD'!$C$4="",ISNUMBER(SEARCH('MIDWEEK DASHBOARD'!$C$4,INDEX(MASTER_AREAS!$B:$B,122))))),121,""),""),IF('MIDWEEK DASHBOARD'!$B$4="Zone",IF(121&lt;=$N$4,IF(OR('MIDWEEK DASHBOARD'!$C$4="",ISNUMBER(SEARCH('MIDWEEK DASHBOARD'!$C$4,INDEX(MASTER_ZONES!$B:$B,122)))),121,""),""),""))</f>
        <v/>
      </c>
      <c r="L122">
        <f>IFERROR(SMALL($K$2:$K$1487,121),"")</f>
        <v/>
      </c>
      <c r="M122">
        <f>IF(L122="","",IF('MIDWEEK DASHBOARD'!$B$4="Area",INDEX(MASTER_AREAS!$B:$B,L122+1),INDEX(MASTER_ZONES!$B:$B,L122+1)))</f>
        <v/>
      </c>
      <c r="P122">
        <f>IF('CHOP DASHBOARD'!$B$4="Area",IF(121&lt;=$S$3,IF(AND(OR('CHOP DASHBOARD'!$C$4="",ISNUMBER(SEARCH('CHOP DASHBOARD'!$C$4,INDEX(MASTER_AREAS!$B:$B,122))))),121,""),""),IF('CHOP DASHBOARD'!$B$4="Zone",IF(121&lt;=$S$4,IF(OR('CHOP DASHBOARD'!$C$4="",ISNUMBER(SEARCH('CHOP DASHBOARD'!$C$4,INDEX(MASTER_ZONES!$B:$B,122)))),121,""),""),""))</f>
        <v/>
      </c>
      <c r="Q122">
        <f>IFERROR(SMALL($P$2:$P$1487,121),"")</f>
        <v/>
      </c>
      <c r="R122">
        <f>IF(Q122="","",IF('CHOP DASHBOARD'!$B$4="Area",INDEX(MASTER_AREAS!$B:$B,Q122+1),INDEX(MASTER_ZONES!$B:$B,Q122+1)))</f>
        <v/>
      </c>
      <c r="U122">
        <f>IF('COMMUNITY CHURCH DASHBOARD'!$B$4="Area",IF(121&lt;=$X$3,IF(AND(OR('COMMUNITY CHURCH DASHBOARD'!$C$4="",ISNUMBER(SEARCH('COMMUNITY CHURCH DASHBOARD'!$C$4,INDEX(MASTER_AREAS!$B:$B,122))))),121,""),""),IF('COMMUNITY CHURCH DASHBOARD'!$B$4="Zone",IF(121&lt;=$X$4,IF(OR('COMMUNITY CHURCH DASHBOARD'!$C$4="",ISNUMBER(SEARCH('COMMUNITY CHURCH DASHBOARD'!$C$4,INDEX(MASTER_ZONES!$B:$B,122)))),121,""),""),""))</f>
        <v/>
      </c>
      <c r="V122">
        <f>IFERROR(SMALL($U$2:$U$1487,121),"")</f>
        <v/>
      </c>
      <c r="W122">
        <f>IF(V122="","",IF('COMMUNITY CHURCH DASHBOARD'!$B$4="Area",INDEX(MASTER_AREAS!$B:$B,V122+1),INDEX(MASTER_ZONES!$B:$B,V122+1)))</f>
        <v/>
      </c>
    </row>
    <row r="123">
      <c r="A123">
        <f>IF('WSF DASHBOARD'!$B$4="Area",IF(122&lt;=$D$3,IF(AND(OR('WSF DASHBOARD'!$C$4="",ISNUMBER(SEARCH('WSF DASHBOARD'!$C$4,INDEX(MASTER_AREAS!$B:$B,123))))),122,""),""),IF('WSF DASHBOARD'!$B$4="Zone",IF(122&lt;=$D$4,IF(OR('WSF DASHBOARD'!$C$4="",ISNUMBER(SEARCH('WSF DASHBOARD'!$C$4,INDEX(MASTER_ZONES!$B:$B,123)))),122,""),""),""))</f>
        <v/>
      </c>
      <c r="B123">
        <f>IFERROR(SMALL($A$2:$A$1487,122),"")</f>
        <v/>
      </c>
      <c r="C123">
        <f>IF(B123="","",IF('WSF DASHBOARD'!$B$4="Area",INDEX(MASTER_AREAS!$B:$B,B123+1),INDEX(MASTER_ZONES!$B:$B,B123+1)))</f>
        <v/>
      </c>
      <c r="F123">
        <f>IF('TRANSPORT DASHBOARD'!$B$4="Area",IF(122&lt;=$I$3,IF(AND(INDEX(MASTER_AREAS!$F:$F,123)&lt;&gt;"N",OR('TRANSPORT DASHBOARD'!$C$4="",ISNUMBER(SEARCH('TRANSPORT DASHBOARD'!$C$4,INDEX(MASTER_AREAS!$B:$B,123))))),122,""),""),IF('TRANSPORT DASHBOARD'!$B$4="Zone",IF(122&lt;=$I$4,IF(OR('TRANSPORT DASHBOARD'!$C$4="",ISNUMBER(SEARCH('TRANSPORT DASHBOARD'!$C$4,INDEX(MASTER_ZONES!$B:$B,123)))),122,""),""),""))</f>
        <v/>
      </c>
      <c r="G123">
        <f>IFERROR(SMALL($F$2:$F$1487,122),"")</f>
        <v/>
      </c>
      <c r="H123">
        <f>IF(G123="","",IF('TRANSPORT DASHBOARD'!$B$4="Area",INDEX(MASTER_AREAS!$B:$B,G123+1),INDEX(MASTER_ZONES!$B:$B,G123+1)))</f>
        <v/>
      </c>
      <c r="K123">
        <f>IF('MIDWEEK DASHBOARD'!$B$4="Area",IF(122&lt;=$N$3,IF(AND(OR('MIDWEEK DASHBOARD'!$C$4="",ISNUMBER(SEARCH('MIDWEEK DASHBOARD'!$C$4,INDEX(MASTER_AREAS!$B:$B,123))))),122,""),""),IF('MIDWEEK DASHBOARD'!$B$4="Zone",IF(122&lt;=$N$4,IF(OR('MIDWEEK DASHBOARD'!$C$4="",ISNUMBER(SEARCH('MIDWEEK DASHBOARD'!$C$4,INDEX(MASTER_ZONES!$B:$B,123)))),122,""),""),""))</f>
        <v/>
      </c>
      <c r="L123">
        <f>IFERROR(SMALL($K$2:$K$1487,122),"")</f>
        <v/>
      </c>
      <c r="M123">
        <f>IF(L123="","",IF('MIDWEEK DASHBOARD'!$B$4="Area",INDEX(MASTER_AREAS!$B:$B,L123+1),INDEX(MASTER_ZONES!$B:$B,L123+1)))</f>
        <v/>
      </c>
      <c r="P123">
        <f>IF('CHOP DASHBOARD'!$B$4="Area",IF(122&lt;=$S$3,IF(AND(OR('CHOP DASHBOARD'!$C$4="",ISNUMBER(SEARCH('CHOP DASHBOARD'!$C$4,INDEX(MASTER_AREAS!$B:$B,123))))),122,""),""),IF('CHOP DASHBOARD'!$B$4="Zone",IF(122&lt;=$S$4,IF(OR('CHOP DASHBOARD'!$C$4="",ISNUMBER(SEARCH('CHOP DASHBOARD'!$C$4,INDEX(MASTER_ZONES!$B:$B,123)))),122,""),""),""))</f>
        <v/>
      </c>
      <c r="Q123">
        <f>IFERROR(SMALL($P$2:$P$1487,122),"")</f>
        <v/>
      </c>
      <c r="R123">
        <f>IF(Q123="","",IF('CHOP DASHBOARD'!$B$4="Area",INDEX(MASTER_AREAS!$B:$B,Q123+1),INDEX(MASTER_ZONES!$B:$B,Q123+1)))</f>
        <v/>
      </c>
      <c r="U123">
        <f>IF('COMMUNITY CHURCH DASHBOARD'!$B$4="Area",IF(122&lt;=$X$3,IF(AND(OR('COMMUNITY CHURCH DASHBOARD'!$C$4="",ISNUMBER(SEARCH('COMMUNITY CHURCH DASHBOARD'!$C$4,INDEX(MASTER_AREAS!$B:$B,123))))),122,""),""),IF('COMMUNITY CHURCH DASHBOARD'!$B$4="Zone",IF(122&lt;=$X$4,IF(OR('COMMUNITY CHURCH DASHBOARD'!$C$4="",ISNUMBER(SEARCH('COMMUNITY CHURCH DASHBOARD'!$C$4,INDEX(MASTER_ZONES!$B:$B,123)))),122,""),""),""))</f>
        <v/>
      </c>
      <c r="V123">
        <f>IFERROR(SMALL($U$2:$U$1487,122),"")</f>
        <v/>
      </c>
      <c r="W123">
        <f>IF(V123="","",IF('COMMUNITY CHURCH DASHBOARD'!$B$4="Area",INDEX(MASTER_AREAS!$B:$B,V123+1),INDEX(MASTER_ZONES!$B:$B,V123+1)))</f>
        <v/>
      </c>
    </row>
    <row r="124">
      <c r="A124">
        <f>IF('WSF DASHBOARD'!$B$4="Area",IF(123&lt;=$D$3,IF(AND(OR('WSF DASHBOARD'!$C$4="",ISNUMBER(SEARCH('WSF DASHBOARD'!$C$4,INDEX(MASTER_AREAS!$B:$B,124))))),123,""),""),IF('WSF DASHBOARD'!$B$4="Zone",IF(123&lt;=$D$4,IF(OR('WSF DASHBOARD'!$C$4="",ISNUMBER(SEARCH('WSF DASHBOARD'!$C$4,INDEX(MASTER_ZONES!$B:$B,124)))),123,""),""),""))</f>
        <v/>
      </c>
      <c r="B124">
        <f>IFERROR(SMALL($A$2:$A$1487,123),"")</f>
        <v/>
      </c>
      <c r="C124">
        <f>IF(B124="","",IF('WSF DASHBOARD'!$B$4="Area",INDEX(MASTER_AREAS!$B:$B,B124+1),INDEX(MASTER_ZONES!$B:$B,B124+1)))</f>
        <v/>
      </c>
      <c r="F124">
        <f>IF('TRANSPORT DASHBOARD'!$B$4="Area",IF(123&lt;=$I$3,IF(AND(INDEX(MASTER_AREAS!$F:$F,124)&lt;&gt;"N",OR('TRANSPORT DASHBOARD'!$C$4="",ISNUMBER(SEARCH('TRANSPORT DASHBOARD'!$C$4,INDEX(MASTER_AREAS!$B:$B,124))))),123,""),""),IF('TRANSPORT DASHBOARD'!$B$4="Zone",IF(123&lt;=$I$4,IF(OR('TRANSPORT DASHBOARD'!$C$4="",ISNUMBER(SEARCH('TRANSPORT DASHBOARD'!$C$4,INDEX(MASTER_ZONES!$B:$B,124)))),123,""),""),""))</f>
        <v/>
      </c>
      <c r="G124">
        <f>IFERROR(SMALL($F$2:$F$1487,123),"")</f>
        <v/>
      </c>
      <c r="H124">
        <f>IF(G124="","",IF('TRANSPORT DASHBOARD'!$B$4="Area",INDEX(MASTER_AREAS!$B:$B,G124+1),INDEX(MASTER_ZONES!$B:$B,G124+1)))</f>
        <v/>
      </c>
      <c r="K124">
        <f>IF('MIDWEEK DASHBOARD'!$B$4="Area",IF(123&lt;=$N$3,IF(AND(OR('MIDWEEK DASHBOARD'!$C$4="",ISNUMBER(SEARCH('MIDWEEK DASHBOARD'!$C$4,INDEX(MASTER_AREAS!$B:$B,124))))),123,""),""),IF('MIDWEEK DASHBOARD'!$B$4="Zone",IF(123&lt;=$N$4,IF(OR('MIDWEEK DASHBOARD'!$C$4="",ISNUMBER(SEARCH('MIDWEEK DASHBOARD'!$C$4,INDEX(MASTER_ZONES!$B:$B,124)))),123,""),""),""))</f>
        <v/>
      </c>
      <c r="L124">
        <f>IFERROR(SMALL($K$2:$K$1487,123),"")</f>
        <v/>
      </c>
      <c r="M124">
        <f>IF(L124="","",IF('MIDWEEK DASHBOARD'!$B$4="Area",INDEX(MASTER_AREAS!$B:$B,L124+1),INDEX(MASTER_ZONES!$B:$B,L124+1)))</f>
        <v/>
      </c>
      <c r="P124">
        <f>IF('CHOP DASHBOARD'!$B$4="Area",IF(123&lt;=$S$3,IF(AND(OR('CHOP DASHBOARD'!$C$4="",ISNUMBER(SEARCH('CHOP DASHBOARD'!$C$4,INDEX(MASTER_AREAS!$B:$B,124))))),123,""),""),IF('CHOP DASHBOARD'!$B$4="Zone",IF(123&lt;=$S$4,IF(OR('CHOP DASHBOARD'!$C$4="",ISNUMBER(SEARCH('CHOP DASHBOARD'!$C$4,INDEX(MASTER_ZONES!$B:$B,124)))),123,""),""),""))</f>
        <v/>
      </c>
      <c r="Q124">
        <f>IFERROR(SMALL($P$2:$P$1487,123),"")</f>
        <v/>
      </c>
      <c r="R124">
        <f>IF(Q124="","",IF('CHOP DASHBOARD'!$B$4="Area",INDEX(MASTER_AREAS!$B:$B,Q124+1),INDEX(MASTER_ZONES!$B:$B,Q124+1)))</f>
        <v/>
      </c>
      <c r="U124">
        <f>IF('COMMUNITY CHURCH DASHBOARD'!$B$4="Area",IF(123&lt;=$X$3,IF(AND(OR('COMMUNITY CHURCH DASHBOARD'!$C$4="",ISNUMBER(SEARCH('COMMUNITY CHURCH DASHBOARD'!$C$4,INDEX(MASTER_AREAS!$B:$B,124))))),123,""),""),IF('COMMUNITY CHURCH DASHBOARD'!$B$4="Zone",IF(123&lt;=$X$4,IF(OR('COMMUNITY CHURCH DASHBOARD'!$C$4="",ISNUMBER(SEARCH('COMMUNITY CHURCH DASHBOARD'!$C$4,INDEX(MASTER_ZONES!$B:$B,124)))),123,""),""),""))</f>
        <v/>
      </c>
      <c r="V124">
        <f>IFERROR(SMALL($U$2:$U$1487,123),"")</f>
        <v/>
      </c>
      <c r="W124">
        <f>IF(V124="","",IF('COMMUNITY CHURCH DASHBOARD'!$B$4="Area",INDEX(MASTER_AREAS!$B:$B,V124+1),INDEX(MASTER_ZONES!$B:$B,V124+1)))</f>
        <v/>
      </c>
    </row>
    <row r="125">
      <c r="A125">
        <f>IF('WSF DASHBOARD'!$B$4="Area",IF(124&lt;=$D$3,IF(AND(OR('WSF DASHBOARD'!$C$4="",ISNUMBER(SEARCH('WSF DASHBOARD'!$C$4,INDEX(MASTER_AREAS!$B:$B,125))))),124,""),""),IF('WSF DASHBOARD'!$B$4="Zone",IF(124&lt;=$D$4,IF(OR('WSF DASHBOARD'!$C$4="",ISNUMBER(SEARCH('WSF DASHBOARD'!$C$4,INDEX(MASTER_ZONES!$B:$B,125)))),124,""),""),""))</f>
        <v/>
      </c>
      <c r="B125">
        <f>IFERROR(SMALL($A$2:$A$1487,124),"")</f>
        <v/>
      </c>
      <c r="C125">
        <f>IF(B125="","",IF('WSF DASHBOARD'!$B$4="Area",INDEX(MASTER_AREAS!$B:$B,B125+1),INDEX(MASTER_ZONES!$B:$B,B125+1)))</f>
        <v/>
      </c>
      <c r="F125">
        <f>IF('TRANSPORT DASHBOARD'!$B$4="Area",IF(124&lt;=$I$3,IF(AND(INDEX(MASTER_AREAS!$F:$F,125)&lt;&gt;"N",OR('TRANSPORT DASHBOARD'!$C$4="",ISNUMBER(SEARCH('TRANSPORT DASHBOARD'!$C$4,INDEX(MASTER_AREAS!$B:$B,125))))),124,""),""),IF('TRANSPORT DASHBOARD'!$B$4="Zone",IF(124&lt;=$I$4,IF(OR('TRANSPORT DASHBOARD'!$C$4="",ISNUMBER(SEARCH('TRANSPORT DASHBOARD'!$C$4,INDEX(MASTER_ZONES!$B:$B,125)))),124,""),""),""))</f>
        <v/>
      </c>
      <c r="G125">
        <f>IFERROR(SMALL($F$2:$F$1487,124),"")</f>
        <v/>
      </c>
      <c r="H125">
        <f>IF(G125="","",IF('TRANSPORT DASHBOARD'!$B$4="Area",INDEX(MASTER_AREAS!$B:$B,G125+1),INDEX(MASTER_ZONES!$B:$B,G125+1)))</f>
        <v/>
      </c>
      <c r="K125">
        <f>IF('MIDWEEK DASHBOARD'!$B$4="Area",IF(124&lt;=$N$3,IF(AND(OR('MIDWEEK DASHBOARD'!$C$4="",ISNUMBER(SEARCH('MIDWEEK DASHBOARD'!$C$4,INDEX(MASTER_AREAS!$B:$B,125))))),124,""),""),IF('MIDWEEK DASHBOARD'!$B$4="Zone",IF(124&lt;=$N$4,IF(OR('MIDWEEK DASHBOARD'!$C$4="",ISNUMBER(SEARCH('MIDWEEK DASHBOARD'!$C$4,INDEX(MASTER_ZONES!$B:$B,125)))),124,""),""),""))</f>
        <v/>
      </c>
      <c r="L125">
        <f>IFERROR(SMALL($K$2:$K$1487,124),"")</f>
        <v/>
      </c>
      <c r="M125">
        <f>IF(L125="","",IF('MIDWEEK DASHBOARD'!$B$4="Area",INDEX(MASTER_AREAS!$B:$B,L125+1),INDEX(MASTER_ZONES!$B:$B,L125+1)))</f>
        <v/>
      </c>
      <c r="P125">
        <f>IF('CHOP DASHBOARD'!$B$4="Area",IF(124&lt;=$S$3,IF(AND(OR('CHOP DASHBOARD'!$C$4="",ISNUMBER(SEARCH('CHOP DASHBOARD'!$C$4,INDEX(MASTER_AREAS!$B:$B,125))))),124,""),""),IF('CHOP DASHBOARD'!$B$4="Zone",IF(124&lt;=$S$4,IF(OR('CHOP DASHBOARD'!$C$4="",ISNUMBER(SEARCH('CHOP DASHBOARD'!$C$4,INDEX(MASTER_ZONES!$B:$B,125)))),124,""),""),""))</f>
        <v/>
      </c>
      <c r="Q125">
        <f>IFERROR(SMALL($P$2:$P$1487,124),"")</f>
        <v/>
      </c>
      <c r="R125">
        <f>IF(Q125="","",IF('CHOP DASHBOARD'!$B$4="Area",INDEX(MASTER_AREAS!$B:$B,Q125+1),INDEX(MASTER_ZONES!$B:$B,Q125+1)))</f>
        <v/>
      </c>
      <c r="U125">
        <f>IF('COMMUNITY CHURCH DASHBOARD'!$B$4="Area",IF(124&lt;=$X$3,IF(AND(OR('COMMUNITY CHURCH DASHBOARD'!$C$4="",ISNUMBER(SEARCH('COMMUNITY CHURCH DASHBOARD'!$C$4,INDEX(MASTER_AREAS!$B:$B,125))))),124,""),""),IF('COMMUNITY CHURCH DASHBOARD'!$B$4="Zone",IF(124&lt;=$X$4,IF(OR('COMMUNITY CHURCH DASHBOARD'!$C$4="",ISNUMBER(SEARCH('COMMUNITY CHURCH DASHBOARD'!$C$4,INDEX(MASTER_ZONES!$B:$B,125)))),124,""),""),""))</f>
        <v/>
      </c>
      <c r="V125">
        <f>IFERROR(SMALL($U$2:$U$1487,124),"")</f>
        <v/>
      </c>
      <c r="W125">
        <f>IF(V125="","",IF('COMMUNITY CHURCH DASHBOARD'!$B$4="Area",INDEX(MASTER_AREAS!$B:$B,V125+1),INDEX(MASTER_ZONES!$B:$B,V125+1)))</f>
        <v/>
      </c>
    </row>
    <row r="126">
      <c r="A126">
        <f>IF('WSF DASHBOARD'!$B$4="Area",IF(125&lt;=$D$3,IF(AND(OR('WSF DASHBOARD'!$C$4="",ISNUMBER(SEARCH('WSF DASHBOARD'!$C$4,INDEX(MASTER_AREAS!$B:$B,126))))),125,""),""),IF('WSF DASHBOARD'!$B$4="Zone",IF(125&lt;=$D$4,IF(OR('WSF DASHBOARD'!$C$4="",ISNUMBER(SEARCH('WSF DASHBOARD'!$C$4,INDEX(MASTER_ZONES!$B:$B,126)))),125,""),""),""))</f>
        <v/>
      </c>
      <c r="B126">
        <f>IFERROR(SMALL($A$2:$A$1487,125),"")</f>
        <v/>
      </c>
      <c r="C126">
        <f>IF(B126="","",IF('WSF DASHBOARD'!$B$4="Area",INDEX(MASTER_AREAS!$B:$B,B126+1),INDEX(MASTER_ZONES!$B:$B,B126+1)))</f>
        <v/>
      </c>
      <c r="F126">
        <f>IF('TRANSPORT DASHBOARD'!$B$4="Area",IF(125&lt;=$I$3,IF(AND(INDEX(MASTER_AREAS!$F:$F,126)&lt;&gt;"N",OR('TRANSPORT DASHBOARD'!$C$4="",ISNUMBER(SEARCH('TRANSPORT DASHBOARD'!$C$4,INDEX(MASTER_AREAS!$B:$B,126))))),125,""),""),IF('TRANSPORT DASHBOARD'!$B$4="Zone",IF(125&lt;=$I$4,IF(OR('TRANSPORT DASHBOARD'!$C$4="",ISNUMBER(SEARCH('TRANSPORT DASHBOARD'!$C$4,INDEX(MASTER_ZONES!$B:$B,126)))),125,""),""),""))</f>
        <v/>
      </c>
      <c r="G126">
        <f>IFERROR(SMALL($F$2:$F$1487,125),"")</f>
        <v/>
      </c>
      <c r="H126">
        <f>IF(G126="","",IF('TRANSPORT DASHBOARD'!$B$4="Area",INDEX(MASTER_AREAS!$B:$B,G126+1),INDEX(MASTER_ZONES!$B:$B,G126+1)))</f>
        <v/>
      </c>
      <c r="K126">
        <f>IF('MIDWEEK DASHBOARD'!$B$4="Area",IF(125&lt;=$N$3,IF(AND(OR('MIDWEEK DASHBOARD'!$C$4="",ISNUMBER(SEARCH('MIDWEEK DASHBOARD'!$C$4,INDEX(MASTER_AREAS!$B:$B,126))))),125,""),""),IF('MIDWEEK DASHBOARD'!$B$4="Zone",IF(125&lt;=$N$4,IF(OR('MIDWEEK DASHBOARD'!$C$4="",ISNUMBER(SEARCH('MIDWEEK DASHBOARD'!$C$4,INDEX(MASTER_ZONES!$B:$B,126)))),125,""),""),""))</f>
        <v/>
      </c>
      <c r="L126">
        <f>IFERROR(SMALL($K$2:$K$1487,125),"")</f>
        <v/>
      </c>
      <c r="M126">
        <f>IF(L126="","",IF('MIDWEEK DASHBOARD'!$B$4="Area",INDEX(MASTER_AREAS!$B:$B,L126+1),INDEX(MASTER_ZONES!$B:$B,L126+1)))</f>
        <v/>
      </c>
      <c r="P126">
        <f>IF('CHOP DASHBOARD'!$B$4="Area",IF(125&lt;=$S$3,IF(AND(OR('CHOP DASHBOARD'!$C$4="",ISNUMBER(SEARCH('CHOP DASHBOARD'!$C$4,INDEX(MASTER_AREAS!$B:$B,126))))),125,""),""),IF('CHOP DASHBOARD'!$B$4="Zone",IF(125&lt;=$S$4,IF(OR('CHOP DASHBOARD'!$C$4="",ISNUMBER(SEARCH('CHOP DASHBOARD'!$C$4,INDEX(MASTER_ZONES!$B:$B,126)))),125,""),""),""))</f>
        <v/>
      </c>
      <c r="Q126">
        <f>IFERROR(SMALL($P$2:$P$1487,125),"")</f>
        <v/>
      </c>
      <c r="R126">
        <f>IF(Q126="","",IF('CHOP DASHBOARD'!$B$4="Area",INDEX(MASTER_AREAS!$B:$B,Q126+1),INDEX(MASTER_ZONES!$B:$B,Q126+1)))</f>
        <v/>
      </c>
      <c r="U126">
        <f>IF('COMMUNITY CHURCH DASHBOARD'!$B$4="Area",IF(125&lt;=$X$3,IF(AND(OR('COMMUNITY CHURCH DASHBOARD'!$C$4="",ISNUMBER(SEARCH('COMMUNITY CHURCH DASHBOARD'!$C$4,INDEX(MASTER_AREAS!$B:$B,126))))),125,""),""),IF('COMMUNITY CHURCH DASHBOARD'!$B$4="Zone",IF(125&lt;=$X$4,IF(OR('COMMUNITY CHURCH DASHBOARD'!$C$4="",ISNUMBER(SEARCH('COMMUNITY CHURCH DASHBOARD'!$C$4,INDEX(MASTER_ZONES!$B:$B,126)))),125,""),""),""))</f>
        <v/>
      </c>
      <c r="V126">
        <f>IFERROR(SMALL($U$2:$U$1487,125),"")</f>
        <v/>
      </c>
      <c r="W126">
        <f>IF(V126="","",IF('COMMUNITY CHURCH DASHBOARD'!$B$4="Area",INDEX(MASTER_AREAS!$B:$B,V126+1),INDEX(MASTER_ZONES!$B:$B,V126+1)))</f>
        <v/>
      </c>
    </row>
    <row r="127">
      <c r="A127">
        <f>IF('WSF DASHBOARD'!$B$4="Area",IF(126&lt;=$D$3,IF(AND(OR('WSF DASHBOARD'!$C$4="",ISNUMBER(SEARCH('WSF DASHBOARD'!$C$4,INDEX(MASTER_AREAS!$B:$B,127))))),126,""),""),IF('WSF DASHBOARD'!$B$4="Zone",IF(126&lt;=$D$4,IF(OR('WSF DASHBOARD'!$C$4="",ISNUMBER(SEARCH('WSF DASHBOARD'!$C$4,INDEX(MASTER_ZONES!$B:$B,127)))),126,""),""),""))</f>
        <v/>
      </c>
      <c r="B127">
        <f>IFERROR(SMALL($A$2:$A$1487,126),"")</f>
        <v/>
      </c>
      <c r="C127">
        <f>IF(B127="","",IF('WSF DASHBOARD'!$B$4="Area",INDEX(MASTER_AREAS!$B:$B,B127+1),INDEX(MASTER_ZONES!$B:$B,B127+1)))</f>
        <v/>
      </c>
      <c r="F127">
        <f>IF('TRANSPORT DASHBOARD'!$B$4="Area",IF(126&lt;=$I$3,IF(AND(INDEX(MASTER_AREAS!$F:$F,127)&lt;&gt;"N",OR('TRANSPORT DASHBOARD'!$C$4="",ISNUMBER(SEARCH('TRANSPORT DASHBOARD'!$C$4,INDEX(MASTER_AREAS!$B:$B,127))))),126,""),""),IF('TRANSPORT DASHBOARD'!$B$4="Zone",IF(126&lt;=$I$4,IF(OR('TRANSPORT DASHBOARD'!$C$4="",ISNUMBER(SEARCH('TRANSPORT DASHBOARD'!$C$4,INDEX(MASTER_ZONES!$B:$B,127)))),126,""),""),""))</f>
        <v/>
      </c>
      <c r="G127">
        <f>IFERROR(SMALL($F$2:$F$1487,126),"")</f>
        <v/>
      </c>
      <c r="H127">
        <f>IF(G127="","",IF('TRANSPORT DASHBOARD'!$B$4="Area",INDEX(MASTER_AREAS!$B:$B,G127+1),INDEX(MASTER_ZONES!$B:$B,G127+1)))</f>
        <v/>
      </c>
      <c r="K127">
        <f>IF('MIDWEEK DASHBOARD'!$B$4="Area",IF(126&lt;=$N$3,IF(AND(OR('MIDWEEK DASHBOARD'!$C$4="",ISNUMBER(SEARCH('MIDWEEK DASHBOARD'!$C$4,INDEX(MASTER_AREAS!$B:$B,127))))),126,""),""),IF('MIDWEEK DASHBOARD'!$B$4="Zone",IF(126&lt;=$N$4,IF(OR('MIDWEEK DASHBOARD'!$C$4="",ISNUMBER(SEARCH('MIDWEEK DASHBOARD'!$C$4,INDEX(MASTER_ZONES!$B:$B,127)))),126,""),""),""))</f>
        <v/>
      </c>
      <c r="L127">
        <f>IFERROR(SMALL($K$2:$K$1487,126),"")</f>
        <v/>
      </c>
      <c r="M127">
        <f>IF(L127="","",IF('MIDWEEK DASHBOARD'!$B$4="Area",INDEX(MASTER_AREAS!$B:$B,L127+1),INDEX(MASTER_ZONES!$B:$B,L127+1)))</f>
        <v/>
      </c>
      <c r="P127">
        <f>IF('CHOP DASHBOARD'!$B$4="Area",IF(126&lt;=$S$3,IF(AND(OR('CHOP DASHBOARD'!$C$4="",ISNUMBER(SEARCH('CHOP DASHBOARD'!$C$4,INDEX(MASTER_AREAS!$B:$B,127))))),126,""),""),IF('CHOP DASHBOARD'!$B$4="Zone",IF(126&lt;=$S$4,IF(OR('CHOP DASHBOARD'!$C$4="",ISNUMBER(SEARCH('CHOP DASHBOARD'!$C$4,INDEX(MASTER_ZONES!$B:$B,127)))),126,""),""),""))</f>
        <v/>
      </c>
      <c r="Q127">
        <f>IFERROR(SMALL($P$2:$P$1487,126),"")</f>
        <v/>
      </c>
      <c r="R127">
        <f>IF(Q127="","",IF('CHOP DASHBOARD'!$B$4="Area",INDEX(MASTER_AREAS!$B:$B,Q127+1),INDEX(MASTER_ZONES!$B:$B,Q127+1)))</f>
        <v/>
      </c>
      <c r="U127">
        <f>IF('COMMUNITY CHURCH DASHBOARD'!$B$4="Area",IF(126&lt;=$X$3,IF(AND(OR('COMMUNITY CHURCH DASHBOARD'!$C$4="",ISNUMBER(SEARCH('COMMUNITY CHURCH DASHBOARD'!$C$4,INDEX(MASTER_AREAS!$B:$B,127))))),126,""),""),IF('COMMUNITY CHURCH DASHBOARD'!$B$4="Zone",IF(126&lt;=$X$4,IF(OR('COMMUNITY CHURCH DASHBOARD'!$C$4="",ISNUMBER(SEARCH('COMMUNITY CHURCH DASHBOARD'!$C$4,INDEX(MASTER_ZONES!$B:$B,127)))),126,""),""),""))</f>
        <v/>
      </c>
      <c r="V127">
        <f>IFERROR(SMALL($U$2:$U$1487,126),"")</f>
        <v/>
      </c>
      <c r="W127">
        <f>IF(V127="","",IF('COMMUNITY CHURCH DASHBOARD'!$B$4="Area",INDEX(MASTER_AREAS!$B:$B,V127+1),INDEX(MASTER_ZONES!$B:$B,V127+1)))</f>
        <v/>
      </c>
    </row>
    <row r="128">
      <c r="A128">
        <f>IF('WSF DASHBOARD'!$B$4="Area",IF(127&lt;=$D$3,IF(AND(OR('WSF DASHBOARD'!$C$4="",ISNUMBER(SEARCH('WSF DASHBOARD'!$C$4,INDEX(MASTER_AREAS!$B:$B,128))))),127,""),""),IF('WSF DASHBOARD'!$B$4="Zone",IF(127&lt;=$D$4,IF(OR('WSF DASHBOARD'!$C$4="",ISNUMBER(SEARCH('WSF DASHBOARD'!$C$4,INDEX(MASTER_ZONES!$B:$B,128)))),127,""),""),""))</f>
        <v/>
      </c>
      <c r="B128">
        <f>IFERROR(SMALL($A$2:$A$1487,127),"")</f>
        <v/>
      </c>
      <c r="C128">
        <f>IF(B128="","",IF('WSF DASHBOARD'!$B$4="Area",INDEX(MASTER_AREAS!$B:$B,B128+1),INDEX(MASTER_ZONES!$B:$B,B128+1)))</f>
        <v/>
      </c>
      <c r="F128">
        <f>IF('TRANSPORT DASHBOARD'!$B$4="Area",IF(127&lt;=$I$3,IF(AND(INDEX(MASTER_AREAS!$F:$F,128)&lt;&gt;"N",OR('TRANSPORT DASHBOARD'!$C$4="",ISNUMBER(SEARCH('TRANSPORT DASHBOARD'!$C$4,INDEX(MASTER_AREAS!$B:$B,128))))),127,""),""),IF('TRANSPORT DASHBOARD'!$B$4="Zone",IF(127&lt;=$I$4,IF(OR('TRANSPORT DASHBOARD'!$C$4="",ISNUMBER(SEARCH('TRANSPORT DASHBOARD'!$C$4,INDEX(MASTER_ZONES!$B:$B,128)))),127,""),""),""))</f>
        <v/>
      </c>
      <c r="G128">
        <f>IFERROR(SMALL($F$2:$F$1487,127),"")</f>
        <v/>
      </c>
      <c r="H128">
        <f>IF(G128="","",IF('TRANSPORT DASHBOARD'!$B$4="Area",INDEX(MASTER_AREAS!$B:$B,G128+1),INDEX(MASTER_ZONES!$B:$B,G128+1)))</f>
        <v/>
      </c>
      <c r="K128">
        <f>IF('MIDWEEK DASHBOARD'!$B$4="Area",IF(127&lt;=$N$3,IF(AND(OR('MIDWEEK DASHBOARD'!$C$4="",ISNUMBER(SEARCH('MIDWEEK DASHBOARD'!$C$4,INDEX(MASTER_AREAS!$B:$B,128))))),127,""),""),IF('MIDWEEK DASHBOARD'!$B$4="Zone",IF(127&lt;=$N$4,IF(OR('MIDWEEK DASHBOARD'!$C$4="",ISNUMBER(SEARCH('MIDWEEK DASHBOARD'!$C$4,INDEX(MASTER_ZONES!$B:$B,128)))),127,""),""),""))</f>
        <v/>
      </c>
      <c r="L128">
        <f>IFERROR(SMALL($K$2:$K$1487,127),"")</f>
        <v/>
      </c>
      <c r="M128">
        <f>IF(L128="","",IF('MIDWEEK DASHBOARD'!$B$4="Area",INDEX(MASTER_AREAS!$B:$B,L128+1),INDEX(MASTER_ZONES!$B:$B,L128+1)))</f>
        <v/>
      </c>
      <c r="P128">
        <f>IF('CHOP DASHBOARD'!$B$4="Area",IF(127&lt;=$S$3,IF(AND(OR('CHOP DASHBOARD'!$C$4="",ISNUMBER(SEARCH('CHOP DASHBOARD'!$C$4,INDEX(MASTER_AREAS!$B:$B,128))))),127,""),""),IF('CHOP DASHBOARD'!$B$4="Zone",IF(127&lt;=$S$4,IF(OR('CHOP DASHBOARD'!$C$4="",ISNUMBER(SEARCH('CHOP DASHBOARD'!$C$4,INDEX(MASTER_ZONES!$B:$B,128)))),127,""),""),""))</f>
        <v/>
      </c>
      <c r="Q128">
        <f>IFERROR(SMALL($P$2:$P$1487,127),"")</f>
        <v/>
      </c>
      <c r="R128">
        <f>IF(Q128="","",IF('CHOP DASHBOARD'!$B$4="Area",INDEX(MASTER_AREAS!$B:$B,Q128+1),INDEX(MASTER_ZONES!$B:$B,Q128+1)))</f>
        <v/>
      </c>
      <c r="U128">
        <f>IF('COMMUNITY CHURCH DASHBOARD'!$B$4="Area",IF(127&lt;=$X$3,IF(AND(OR('COMMUNITY CHURCH DASHBOARD'!$C$4="",ISNUMBER(SEARCH('COMMUNITY CHURCH DASHBOARD'!$C$4,INDEX(MASTER_AREAS!$B:$B,128))))),127,""),""),IF('COMMUNITY CHURCH DASHBOARD'!$B$4="Zone",IF(127&lt;=$X$4,IF(OR('COMMUNITY CHURCH DASHBOARD'!$C$4="",ISNUMBER(SEARCH('COMMUNITY CHURCH DASHBOARD'!$C$4,INDEX(MASTER_ZONES!$B:$B,128)))),127,""),""),""))</f>
        <v/>
      </c>
      <c r="V128">
        <f>IFERROR(SMALL($U$2:$U$1487,127),"")</f>
        <v/>
      </c>
      <c r="W128">
        <f>IF(V128="","",IF('COMMUNITY CHURCH DASHBOARD'!$B$4="Area",INDEX(MASTER_AREAS!$B:$B,V128+1),INDEX(MASTER_ZONES!$B:$B,V128+1)))</f>
        <v/>
      </c>
    </row>
    <row r="129">
      <c r="A129">
        <f>IF('WSF DASHBOARD'!$B$4="Area",IF(128&lt;=$D$3,IF(AND(OR('WSF DASHBOARD'!$C$4="",ISNUMBER(SEARCH('WSF DASHBOARD'!$C$4,INDEX(MASTER_AREAS!$B:$B,129))))),128,""),""),IF('WSF DASHBOARD'!$B$4="Zone",IF(128&lt;=$D$4,IF(OR('WSF DASHBOARD'!$C$4="",ISNUMBER(SEARCH('WSF DASHBOARD'!$C$4,INDEX(MASTER_ZONES!$B:$B,129)))),128,""),""),""))</f>
        <v/>
      </c>
      <c r="B129">
        <f>IFERROR(SMALL($A$2:$A$1487,128),"")</f>
        <v/>
      </c>
      <c r="C129">
        <f>IF(B129="","",IF('WSF DASHBOARD'!$B$4="Area",INDEX(MASTER_AREAS!$B:$B,B129+1),INDEX(MASTER_ZONES!$B:$B,B129+1)))</f>
        <v/>
      </c>
      <c r="F129">
        <f>IF('TRANSPORT DASHBOARD'!$B$4="Area",IF(128&lt;=$I$3,IF(AND(INDEX(MASTER_AREAS!$F:$F,129)&lt;&gt;"N",OR('TRANSPORT DASHBOARD'!$C$4="",ISNUMBER(SEARCH('TRANSPORT DASHBOARD'!$C$4,INDEX(MASTER_AREAS!$B:$B,129))))),128,""),""),IF('TRANSPORT DASHBOARD'!$B$4="Zone",IF(128&lt;=$I$4,IF(OR('TRANSPORT DASHBOARD'!$C$4="",ISNUMBER(SEARCH('TRANSPORT DASHBOARD'!$C$4,INDEX(MASTER_ZONES!$B:$B,129)))),128,""),""),""))</f>
        <v/>
      </c>
      <c r="G129">
        <f>IFERROR(SMALL($F$2:$F$1487,128),"")</f>
        <v/>
      </c>
      <c r="H129">
        <f>IF(G129="","",IF('TRANSPORT DASHBOARD'!$B$4="Area",INDEX(MASTER_AREAS!$B:$B,G129+1),INDEX(MASTER_ZONES!$B:$B,G129+1)))</f>
        <v/>
      </c>
      <c r="K129">
        <f>IF('MIDWEEK DASHBOARD'!$B$4="Area",IF(128&lt;=$N$3,IF(AND(OR('MIDWEEK DASHBOARD'!$C$4="",ISNUMBER(SEARCH('MIDWEEK DASHBOARD'!$C$4,INDEX(MASTER_AREAS!$B:$B,129))))),128,""),""),IF('MIDWEEK DASHBOARD'!$B$4="Zone",IF(128&lt;=$N$4,IF(OR('MIDWEEK DASHBOARD'!$C$4="",ISNUMBER(SEARCH('MIDWEEK DASHBOARD'!$C$4,INDEX(MASTER_ZONES!$B:$B,129)))),128,""),""),""))</f>
        <v/>
      </c>
      <c r="L129">
        <f>IFERROR(SMALL($K$2:$K$1487,128),"")</f>
        <v/>
      </c>
      <c r="M129">
        <f>IF(L129="","",IF('MIDWEEK DASHBOARD'!$B$4="Area",INDEX(MASTER_AREAS!$B:$B,L129+1),INDEX(MASTER_ZONES!$B:$B,L129+1)))</f>
        <v/>
      </c>
      <c r="P129">
        <f>IF('CHOP DASHBOARD'!$B$4="Area",IF(128&lt;=$S$3,IF(AND(OR('CHOP DASHBOARD'!$C$4="",ISNUMBER(SEARCH('CHOP DASHBOARD'!$C$4,INDEX(MASTER_AREAS!$B:$B,129))))),128,""),""),IF('CHOP DASHBOARD'!$B$4="Zone",IF(128&lt;=$S$4,IF(OR('CHOP DASHBOARD'!$C$4="",ISNUMBER(SEARCH('CHOP DASHBOARD'!$C$4,INDEX(MASTER_ZONES!$B:$B,129)))),128,""),""),""))</f>
        <v/>
      </c>
      <c r="Q129">
        <f>IFERROR(SMALL($P$2:$P$1487,128),"")</f>
        <v/>
      </c>
      <c r="R129">
        <f>IF(Q129="","",IF('CHOP DASHBOARD'!$B$4="Area",INDEX(MASTER_AREAS!$B:$B,Q129+1),INDEX(MASTER_ZONES!$B:$B,Q129+1)))</f>
        <v/>
      </c>
      <c r="U129">
        <f>IF('COMMUNITY CHURCH DASHBOARD'!$B$4="Area",IF(128&lt;=$X$3,IF(AND(OR('COMMUNITY CHURCH DASHBOARD'!$C$4="",ISNUMBER(SEARCH('COMMUNITY CHURCH DASHBOARD'!$C$4,INDEX(MASTER_AREAS!$B:$B,129))))),128,""),""),IF('COMMUNITY CHURCH DASHBOARD'!$B$4="Zone",IF(128&lt;=$X$4,IF(OR('COMMUNITY CHURCH DASHBOARD'!$C$4="",ISNUMBER(SEARCH('COMMUNITY CHURCH DASHBOARD'!$C$4,INDEX(MASTER_ZONES!$B:$B,129)))),128,""),""),""))</f>
        <v/>
      </c>
      <c r="V129">
        <f>IFERROR(SMALL($U$2:$U$1487,128),"")</f>
        <v/>
      </c>
      <c r="W129">
        <f>IF(V129="","",IF('COMMUNITY CHURCH DASHBOARD'!$B$4="Area",INDEX(MASTER_AREAS!$B:$B,V129+1),INDEX(MASTER_ZONES!$B:$B,V129+1)))</f>
        <v/>
      </c>
    </row>
    <row r="130">
      <c r="A130">
        <f>IF('WSF DASHBOARD'!$B$4="Area",IF(129&lt;=$D$3,IF(AND(OR('WSF DASHBOARD'!$C$4="",ISNUMBER(SEARCH('WSF DASHBOARD'!$C$4,INDEX(MASTER_AREAS!$B:$B,130))))),129,""),""),IF('WSF DASHBOARD'!$B$4="Zone",IF(129&lt;=$D$4,IF(OR('WSF DASHBOARD'!$C$4="",ISNUMBER(SEARCH('WSF DASHBOARD'!$C$4,INDEX(MASTER_ZONES!$B:$B,130)))),129,""),""),""))</f>
        <v/>
      </c>
      <c r="B130">
        <f>IFERROR(SMALL($A$2:$A$1487,129),"")</f>
        <v/>
      </c>
      <c r="C130">
        <f>IF(B130="","",IF('WSF DASHBOARD'!$B$4="Area",INDEX(MASTER_AREAS!$B:$B,B130+1),INDEX(MASTER_ZONES!$B:$B,B130+1)))</f>
        <v/>
      </c>
      <c r="F130">
        <f>IF('TRANSPORT DASHBOARD'!$B$4="Area",IF(129&lt;=$I$3,IF(AND(INDEX(MASTER_AREAS!$F:$F,130)&lt;&gt;"N",OR('TRANSPORT DASHBOARD'!$C$4="",ISNUMBER(SEARCH('TRANSPORT DASHBOARD'!$C$4,INDEX(MASTER_AREAS!$B:$B,130))))),129,""),""),IF('TRANSPORT DASHBOARD'!$B$4="Zone",IF(129&lt;=$I$4,IF(OR('TRANSPORT DASHBOARD'!$C$4="",ISNUMBER(SEARCH('TRANSPORT DASHBOARD'!$C$4,INDEX(MASTER_ZONES!$B:$B,130)))),129,""),""),""))</f>
        <v/>
      </c>
      <c r="G130">
        <f>IFERROR(SMALL($F$2:$F$1487,129),"")</f>
        <v/>
      </c>
      <c r="H130">
        <f>IF(G130="","",IF('TRANSPORT DASHBOARD'!$B$4="Area",INDEX(MASTER_AREAS!$B:$B,G130+1),INDEX(MASTER_ZONES!$B:$B,G130+1)))</f>
        <v/>
      </c>
      <c r="K130">
        <f>IF('MIDWEEK DASHBOARD'!$B$4="Area",IF(129&lt;=$N$3,IF(AND(OR('MIDWEEK DASHBOARD'!$C$4="",ISNUMBER(SEARCH('MIDWEEK DASHBOARD'!$C$4,INDEX(MASTER_AREAS!$B:$B,130))))),129,""),""),IF('MIDWEEK DASHBOARD'!$B$4="Zone",IF(129&lt;=$N$4,IF(OR('MIDWEEK DASHBOARD'!$C$4="",ISNUMBER(SEARCH('MIDWEEK DASHBOARD'!$C$4,INDEX(MASTER_ZONES!$B:$B,130)))),129,""),""),""))</f>
        <v/>
      </c>
      <c r="L130">
        <f>IFERROR(SMALL($K$2:$K$1487,129),"")</f>
        <v/>
      </c>
      <c r="M130">
        <f>IF(L130="","",IF('MIDWEEK DASHBOARD'!$B$4="Area",INDEX(MASTER_AREAS!$B:$B,L130+1),INDEX(MASTER_ZONES!$B:$B,L130+1)))</f>
        <v/>
      </c>
      <c r="P130">
        <f>IF('CHOP DASHBOARD'!$B$4="Area",IF(129&lt;=$S$3,IF(AND(OR('CHOP DASHBOARD'!$C$4="",ISNUMBER(SEARCH('CHOP DASHBOARD'!$C$4,INDEX(MASTER_AREAS!$B:$B,130))))),129,""),""),IF('CHOP DASHBOARD'!$B$4="Zone",IF(129&lt;=$S$4,IF(OR('CHOP DASHBOARD'!$C$4="",ISNUMBER(SEARCH('CHOP DASHBOARD'!$C$4,INDEX(MASTER_ZONES!$B:$B,130)))),129,""),""),""))</f>
        <v/>
      </c>
      <c r="Q130">
        <f>IFERROR(SMALL($P$2:$P$1487,129),"")</f>
        <v/>
      </c>
      <c r="R130">
        <f>IF(Q130="","",IF('CHOP DASHBOARD'!$B$4="Area",INDEX(MASTER_AREAS!$B:$B,Q130+1),INDEX(MASTER_ZONES!$B:$B,Q130+1)))</f>
        <v/>
      </c>
      <c r="U130">
        <f>IF('COMMUNITY CHURCH DASHBOARD'!$B$4="Area",IF(129&lt;=$X$3,IF(AND(OR('COMMUNITY CHURCH DASHBOARD'!$C$4="",ISNUMBER(SEARCH('COMMUNITY CHURCH DASHBOARD'!$C$4,INDEX(MASTER_AREAS!$B:$B,130))))),129,""),""),IF('COMMUNITY CHURCH DASHBOARD'!$B$4="Zone",IF(129&lt;=$X$4,IF(OR('COMMUNITY CHURCH DASHBOARD'!$C$4="",ISNUMBER(SEARCH('COMMUNITY CHURCH DASHBOARD'!$C$4,INDEX(MASTER_ZONES!$B:$B,130)))),129,""),""),""))</f>
        <v/>
      </c>
      <c r="V130">
        <f>IFERROR(SMALL($U$2:$U$1487,129),"")</f>
        <v/>
      </c>
      <c r="W130">
        <f>IF(V130="","",IF('COMMUNITY CHURCH DASHBOARD'!$B$4="Area",INDEX(MASTER_AREAS!$B:$B,V130+1),INDEX(MASTER_ZONES!$B:$B,V130+1)))</f>
        <v/>
      </c>
    </row>
    <row r="131">
      <c r="A131">
        <f>IF('WSF DASHBOARD'!$B$4="Area",IF(130&lt;=$D$3,IF(AND(OR('WSF DASHBOARD'!$C$4="",ISNUMBER(SEARCH('WSF DASHBOARD'!$C$4,INDEX(MASTER_AREAS!$B:$B,131))))),130,""),""),IF('WSF DASHBOARD'!$B$4="Zone",IF(130&lt;=$D$4,IF(OR('WSF DASHBOARD'!$C$4="",ISNUMBER(SEARCH('WSF DASHBOARD'!$C$4,INDEX(MASTER_ZONES!$B:$B,131)))),130,""),""),""))</f>
        <v/>
      </c>
      <c r="B131">
        <f>IFERROR(SMALL($A$2:$A$1487,130),"")</f>
        <v/>
      </c>
      <c r="C131">
        <f>IF(B131="","",IF('WSF DASHBOARD'!$B$4="Area",INDEX(MASTER_AREAS!$B:$B,B131+1),INDEX(MASTER_ZONES!$B:$B,B131+1)))</f>
        <v/>
      </c>
      <c r="F131">
        <f>IF('TRANSPORT DASHBOARD'!$B$4="Area",IF(130&lt;=$I$3,IF(AND(INDEX(MASTER_AREAS!$F:$F,131)&lt;&gt;"N",OR('TRANSPORT DASHBOARD'!$C$4="",ISNUMBER(SEARCH('TRANSPORT DASHBOARD'!$C$4,INDEX(MASTER_AREAS!$B:$B,131))))),130,""),""),IF('TRANSPORT DASHBOARD'!$B$4="Zone",IF(130&lt;=$I$4,IF(OR('TRANSPORT DASHBOARD'!$C$4="",ISNUMBER(SEARCH('TRANSPORT DASHBOARD'!$C$4,INDEX(MASTER_ZONES!$B:$B,131)))),130,""),""),""))</f>
        <v/>
      </c>
      <c r="G131">
        <f>IFERROR(SMALL($F$2:$F$1487,130),"")</f>
        <v/>
      </c>
      <c r="H131">
        <f>IF(G131="","",IF('TRANSPORT DASHBOARD'!$B$4="Area",INDEX(MASTER_AREAS!$B:$B,G131+1),INDEX(MASTER_ZONES!$B:$B,G131+1)))</f>
        <v/>
      </c>
      <c r="K131">
        <f>IF('MIDWEEK DASHBOARD'!$B$4="Area",IF(130&lt;=$N$3,IF(AND(OR('MIDWEEK DASHBOARD'!$C$4="",ISNUMBER(SEARCH('MIDWEEK DASHBOARD'!$C$4,INDEX(MASTER_AREAS!$B:$B,131))))),130,""),""),IF('MIDWEEK DASHBOARD'!$B$4="Zone",IF(130&lt;=$N$4,IF(OR('MIDWEEK DASHBOARD'!$C$4="",ISNUMBER(SEARCH('MIDWEEK DASHBOARD'!$C$4,INDEX(MASTER_ZONES!$B:$B,131)))),130,""),""),""))</f>
        <v/>
      </c>
      <c r="L131">
        <f>IFERROR(SMALL($K$2:$K$1487,130),"")</f>
        <v/>
      </c>
      <c r="M131">
        <f>IF(L131="","",IF('MIDWEEK DASHBOARD'!$B$4="Area",INDEX(MASTER_AREAS!$B:$B,L131+1),INDEX(MASTER_ZONES!$B:$B,L131+1)))</f>
        <v/>
      </c>
      <c r="P131">
        <f>IF('CHOP DASHBOARD'!$B$4="Area",IF(130&lt;=$S$3,IF(AND(OR('CHOP DASHBOARD'!$C$4="",ISNUMBER(SEARCH('CHOP DASHBOARD'!$C$4,INDEX(MASTER_AREAS!$B:$B,131))))),130,""),""),IF('CHOP DASHBOARD'!$B$4="Zone",IF(130&lt;=$S$4,IF(OR('CHOP DASHBOARD'!$C$4="",ISNUMBER(SEARCH('CHOP DASHBOARD'!$C$4,INDEX(MASTER_ZONES!$B:$B,131)))),130,""),""),""))</f>
        <v/>
      </c>
      <c r="Q131">
        <f>IFERROR(SMALL($P$2:$P$1487,130),"")</f>
        <v/>
      </c>
      <c r="R131">
        <f>IF(Q131="","",IF('CHOP DASHBOARD'!$B$4="Area",INDEX(MASTER_AREAS!$B:$B,Q131+1),INDEX(MASTER_ZONES!$B:$B,Q131+1)))</f>
        <v/>
      </c>
      <c r="U131">
        <f>IF('COMMUNITY CHURCH DASHBOARD'!$B$4="Area",IF(130&lt;=$X$3,IF(AND(OR('COMMUNITY CHURCH DASHBOARD'!$C$4="",ISNUMBER(SEARCH('COMMUNITY CHURCH DASHBOARD'!$C$4,INDEX(MASTER_AREAS!$B:$B,131))))),130,""),""),IF('COMMUNITY CHURCH DASHBOARD'!$B$4="Zone",IF(130&lt;=$X$4,IF(OR('COMMUNITY CHURCH DASHBOARD'!$C$4="",ISNUMBER(SEARCH('COMMUNITY CHURCH DASHBOARD'!$C$4,INDEX(MASTER_ZONES!$B:$B,131)))),130,""),""),""))</f>
        <v/>
      </c>
      <c r="V131">
        <f>IFERROR(SMALL($U$2:$U$1487,130),"")</f>
        <v/>
      </c>
      <c r="W131">
        <f>IF(V131="","",IF('COMMUNITY CHURCH DASHBOARD'!$B$4="Area",INDEX(MASTER_AREAS!$B:$B,V131+1),INDEX(MASTER_ZONES!$B:$B,V131+1)))</f>
        <v/>
      </c>
    </row>
    <row r="132">
      <c r="A132">
        <f>IF('WSF DASHBOARD'!$B$4="Area",IF(131&lt;=$D$3,IF(AND(OR('WSF DASHBOARD'!$C$4="",ISNUMBER(SEARCH('WSF DASHBOARD'!$C$4,INDEX(MASTER_AREAS!$B:$B,132))))),131,""),""),IF('WSF DASHBOARD'!$B$4="Zone",IF(131&lt;=$D$4,IF(OR('WSF DASHBOARD'!$C$4="",ISNUMBER(SEARCH('WSF DASHBOARD'!$C$4,INDEX(MASTER_ZONES!$B:$B,132)))),131,""),""),""))</f>
        <v/>
      </c>
      <c r="B132">
        <f>IFERROR(SMALL($A$2:$A$1487,131),"")</f>
        <v/>
      </c>
      <c r="C132">
        <f>IF(B132="","",IF('WSF DASHBOARD'!$B$4="Area",INDEX(MASTER_AREAS!$B:$B,B132+1),INDEX(MASTER_ZONES!$B:$B,B132+1)))</f>
        <v/>
      </c>
      <c r="F132">
        <f>IF('TRANSPORT DASHBOARD'!$B$4="Area",IF(131&lt;=$I$3,IF(AND(INDEX(MASTER_AREAS!$F:$F,132)&lt;&gt;"N",OR('TRANSPORT DASHBOARD'!$C$4="",ISNUMBER(SEARCH('TRANSPORT DASHBOARD'!$C$4,INDEX(MASTER_AREAS!$B:$B,132))))),131,""),""),IF('TRANSPORT DASHBOARD'!$B$4="Zone",IF(131&lt;=$I$4,IF(OR('TRANSPORT DASHBOARD'!$C$4="",ISNUMBER(SEARCH('TRANSPORT DASHBOARD'!$C$4,INDEX(MASTER_ZONES!$B:$B,132)))),131,""),""),""))</f>
        <v/>
      </c>
      <c r="G132">
        <f>IFERROR(SMALL($F$2:$F$1487,131),"")</f>
        <v/>
      </c>
      <c r="H132">
        <f>IF(G132="","",IF('TRANSPORT DASHBOARD'!$B$4="Area",INDEX(MASTER_AREAS!$B:$B,G132+1),INDEX(MASTER_ZONES!$B:$B,G132+1)))</f>
        <v/>
      </c>
      <c r="K132">
        <f>IF('MIDWEEK DASHBOARD'!$B$4="Area",IF(131&lt;=$N$3,IF(AND(OR('MIDWEEK DASHBOARD'!$C$4="",ISNUMBER(SEARCH('MIDWEEK DASHBOARD'!$C$4,INDEX(MASTER_AREAS!$B:$B,132))))),131,""),""),IF('MIDWEEK DASHBOARD'!$B$4="Zone",IF(131&lt;=$N$4,IF(OR('MIDWEEK DASHBOARD'!$C$4="",ISNUMBER(SEARCH('MIDWEEK DASHBOARD'!$C$4,INDEX(MASTER_ZONES!$B:$B,132)))),131,""),""),""))</f>
        <v/>
      </c>
      <c r="L132">
        <f>IFERROR(SMALL($K$2:$K$1487,131),"")</f>
        <v/>
      </c>
      <c r="M132">
        <f>IF(L132="","",IF('MIDWEEK DASHBOARD'!$B$4="Area",INDEX(MASTER_AREAS!$B:$B,L132+1),INDEX(MASTER_ZONES!$B:$B,L132+1)))</f>
        <v/>
      </c>
      <c r="P132">
        <f>IF('CHOP DASHBOARD'!$B$4="Area",IF(131&lt;=$S$3,IF(AND(OR('CHOP DASHBOARD'!$C$4="",ISNUMBER(SEARCH('CHOP DASHBOARD'!$C$4,INDEX(MASTER_AREAS!$B:$B,132))))),131,""),""),IF('CHOP DASHBOARD'!$B$4="Zone",IF(131&lt;=$S$4,IF(OR('CHOP DASHBOARD'!$C$4="",ISNUMBER(SEARCH('CHOP DASHBOARD'!$C$4,INDEX(MASTER_ZONES!$B:$B,132)))),131,""),""),""))</f>
        <v/>
      </c>
      <c r="Q132">
        <f>IFERROR(SMALL($P$2:$P$1487,131),"")</f>
        <v/>
      </c>
      <c r="R132">
        <f>IF(Q132="","",IF('CHOP DASHBOARD'!$B$4="Area",INDEX(MASTER_AREAS!$B:$B,Q132+1),INDEX(MASTER_ZONES!$B:$B,Q132+1)))</f>
        <v/>
      </c>
      <c r="U132">
        <f>IF('COMMUNITY CHURCH DASHBOARD'!$B$4="Area",IF(131&lt;=$X$3,IF(AND(OR('COMMUNITY CHURCH DASHBOARD'!$C$4="",ISNUMBER(SEARCH('COMMUNITY CHURCH DASHBOARD'!$C$4,INDEX(MASTER_AREAS!$B:$B,132))))),131,""),""),IF('COMMUNITY CHURCH DASHBOARD'!$B$4="Zone",IF(131&lt;=$X$4,IF(OR('COMMUNITY CHURCH DASHBOARD'!$C$4="",ISNUMBER(SEARCH('COMMUNITY CHURCH DASHBOARD'!$C$4,INDEX(MASTER_ZONES!$B:$B,132)))),131,""),""),""))</f>
        <v/>
      </c>
      <c r="V132">
        <f>IFERROR(SMALL($U$2:$U$1487,131),"")</f>
        <v/>
      </c>
      <c r="W132">
        <f>IF(V132="","",IF('COMMUNITY CHURCH DASHBOARD'!$B$4="Area",INDEX(MASTER_AREAS!$B:$B,V132+1),INDEX(MASTER_ZONES!$B:$B,V132+1)))</f>
        <v/>
      </c>
    </row>
    <row r="133">
      <c r="A133">
        <f>IF('WSF DASHBOARD'!$B$4="Area",IF(132&lt;=$D$3,IF(AND(OR('WSF DASHBOARD'!$C$4="",ISNUMBER(SEARCH('WSF DASHBOARD'!$C$4,INDEX(MASTER_AREAS!$B:$B,133))))),132,""),""),IF('WSF DASHBOARD'!$B$4="Zone",IF(132&lt;=$D$4,IF(OR('WSF DASHBOARD'!$C$4="",ISNUMBER(SEARCH('WSF DASHBOARD'!$C$4,INDEX(MASTER_ZONES!$B:$B,133)))),132,""),""),""))</f>
        <v/>
      </c>
      <c r="B133">
        <f>IFERROR(SMALL($A$2:$A$1487,132),"")</f>
        <v/>
      </c>
      <c r="C133">
        <f>IF(B133="","",IF('WSF DASHBOARD'!$B$4="Area",INDEX(MASTER_AREAS!$B:$B,B133+1),INDEX(MASTER_ZONES!$B:$B,B133+1)))</f>
        <v/>
      </c>
      <c r="F133">
        <f>IF('TRANSPORT DASHBOARD'!$B$4="Area",IF(132&lt;=$I$3,IF(AND(INDEX(MASTER_AREAS!$F:$F,133)&lt;&gt;"N",OR('TRANSPORT DASHBOARD'!$C$4="",ISNUMBER(SEARCH('TRANSPORT DASHBOARD'!$C$4,INDEX(MASTER_AREAS!$B:$B,133))))),132,""),""),IF('TRANSPORT DASHBOARD'!$B$4="Zone",IF(132&lt;=$I$4,IF(OR('TRANSPORT DASHBOARD'!$C$4="",ISNUMBER(SEARCH('TRANSPORT DASHBOARD'!$C$4,INDEX(MASTER_ZONES!$B:$B,133)))),132,""),""),""))</f>
        <v/>
      </c>
      <c r="G133">
        <f>IFERROR(SMALL($F$2:$F$1487,132),"")</f>
        <v/>
      </c>
      <c r="H133">
        <f>IF(G133="","",IF('TRANSPORT DASHBOARD'!$B$4="Area",INDEX(MASTER_AREAS!$B:$B,G133+1),INDEX(MASTER_ZONES!$B:$B,G133+1)))</f>
        <v/>
      </c>
      <c r="K133">
        <f>IF('MIDWEEK DASHBOARD'!$B$4="Area",IF(132&lt;=$N$3,IF(AND(OR('MIDWEEK DASHBOARD'!$C$4="",ISNUMBER(SEARCH('MIDWEEK DASHBOARD'!$C$4,INDEX(MASTER_AREAS!$B:$B,133))))),132,""),""),IF('MIDWEEK DASHBOARD'!$B$4="Zone",IF(132&lt;=$N$4,IF(OR('MIDWEEK DASHBOARD'!$C$4="",ISNUMBER(SEARCH('MIDWEEK DASHBOARD'!$C$4,INDEX(MASTER_ZONES!$B:$B,133)))),132,""),""),""))</f>
        <v/>
      </c>
      <c r="L133">
        <f>IFERROR(SMALL($K$2:$K$1487,132),"")</f>
        <v/>
      </c>
      <c r="M133">
        <f>IF(L133="","",IF('MIDWEEK DASHBOARD'!$B$4="Area",INDEX(MASTER_AREAS!$B:$B,L133+1),INDEX(MASTER_ZONES!$B:$B,L133+1)))</f>
        <v/>
      </c>
      <c r="P133">
        <f>IF('CHOP DASHBOARD'!$B$4="Area",IF(132&lt;=$S$3,IF(AND(OR('CHOP DASHBOARD'!$C$4="",ISNUMBER(SEARCH('CHOP DASHBOARD'!$C$4,INDEX(MASTER_AREAS!$B:$B,133))))),132,""),""),IF('CHOP DASHBOARD'!$B$4="Zone",IF(132&lt;=$S$4,IF(OR('CHOP DASHBOARD'!$C$4="",ISNUMBER(SEARCH('CHOP DASHBOARD'!$C$4,INDEX(MASTER_ZONES!$B:$B,133)))),132,""),""),""))</f>
        <v/>
      </c>
      <c r="Q133">
        <f>IFERROR(SMALL($P$2:$P$1487,132),"")</f>
        <v/>
      </c>
      <c r="R133">
        <f>IF(Q133="","",IF('CHOP DASHBOARD'!$B$4="Area",INDEX(MASTER_AREAS!$B:$B,Q133+1),INDEX(MASTER_ZONES!$B:$B,Q133+1)))</f>
        <v/>
      </c>
      <c r="U133">
        <f>IF('COMMUNITY CHURCH DASHBOARD'!$B$4="Area",IF(132&lt;=$X$3,IF(AND(OR('COMMUNITY CHURCH DASHBOARD'!$C$4="",ISNUMBER(SEARCH('COMMUNITY CHURCH DASHBOARD'!$C$4,INDEX(MASTER_AREAS!$B:$B,133))))),132,""),""),IF('COMMUNITY CHURCH DASHBOARD'!$B$4="Zone",IF(132&lt;=$X$4,IF(OR('COMMUNITY CHURCH DASHBOARD'!$C$4="",ISNUMBER(SEARCH('COMMUNITY CHURCH DASHBOARD'!$C$4,INDEX(MASTER_ZONES!$B:$B,133)))),132,""),""),""))</f>
        <v/>
      </c>
      <c r="V133">
        <f>IFERROR(SMALL($U$2:$U$1487,132),"")</f>
        <v/>
      </c>
      <c r="W133">
        <f>IF(V133="","",IF('COMMUNITY CHURCH DASHBOARD'!$B$4="Area",INDEX(MASTER_AREAS!$B:$B,V133+1),INDEX(MASTER_ZONES!$B:$B,V133+1)))</f>
        <v/>
      </c>
    </row>
    <row r="134">
      <c r="A134">
        <f>IF('WSF DASHBOARD'!$B$4="Area",IF(133&lt;=$D$3,IF(AND(OR('WSF DASHBOARD'!$C$4="",ISNUMBER(SEARCH('WSF DASHBOARD'!$C$4,INDEX(MASTER_AREAS!$B:$B,134))))),133,""),""),IF('WSF DASHBOARD'!$B$4="Zone",IF(133&lt;=$D$4,IF(OR('WSF DASHBOARD'!$C$4="",ISNUMBER(SEARCH('WSF DASHBOARD'!$C$4,INDEX(MASTER_ZONES!$B:$B,134)))),133,""),""),""))</f>
        <v/>
      </c>
      <c r="B134">
        <f>IFERROR(SMALL($A$2:$A$1487,133),"")</f>
        <v/>
      </c>
      <c r="C134">
        <f>IF(B134="","",IF('WSF DASHBOARD'!$B$4="Area",INDEX(MASTER_AREAS!$B:$B,B134+1),INDEX(MASTER_ZONES!$B:$B,B134+1)))</f>
        <v/>
      </c>
      <c r="F134">
        <f>IF('TRANSPORT DASHBOARD'!$B$4="Area",IF(133&lt;=$I$3,IF(AND(INDEX(MASTER_AREAS!$F:$F,134)&lt;&gt;"N",OR('TRANSPORT DASHBOARD'!$C$4="",ISNUMBER(SEARCH('TRANSPORT DASHBOARD'!$C$4,INDEX(MASTER_AREAS!$B:$B,134))))),133,""),""),IF('TRANSPORT DASHBOARD'!$B$4="Zone",IF(133&lt;=$I$4,IF(OR('TRANSPORT DASHBOARD'!$C$4="",ISNUMBER(SEARCH('TRANSPORT DASHBOARD'!$C$4,INDEX(MASTER_ZONES!$B:$B,134)))),133,""),""),""))</f>
        <v/>
      </c>
      <c r="G134">
        <f>IFERROR(SMALL($F$2:$F$1487,133),"")</f>
        <v/>
      </c>
      <c r="H134">
        <f>IF(G134="","",IF('TRANSPORT DASHBOARD'!$B$4="Area",INDEX(MASTER_AREAS!$B:$B,G134+1),INDEX(MASTER_ZONES!$B:$B,G134+1)))</f>
        <v/>
      </c>
      <c r="K134">
        <f>IF('MIDWEEK DASHBOARD'!$B$4="Area",IF(133&lt;=$N$3,IF(AND(OR('MIDWEEK DASHBOARD'!$C$4="",ISNUMBER(SEARCH('MIDWEEK DASHBOARD'!$C$4,INDEX(MASTER_AREAS!$B:$B,134))))),133,""),""),IF('MIDWEEK DASHBOARD'!$B$4="Zone",IF(133&lt;=$N$4,IF(OR('MIDWEEK DASHBOARD'!$C$4="",ISNUMBER(SEARCH('MIDWEEK DASHBOARD'!$C$4,INDEX(MASTER_ZONES!$B:$B,134)))),133,""),""),""))</f>
        <v/>
      </c>
      <c r="L134">
        <f>IFERROR(SMALL($K$2:$K$1487,133),"")</f>
        <v/>
      </c>
      <c r="M134">
        <f>IF(L134="","",IF('MIDWEEK DASHBOARD'!$B$4="Area",INDEX(MASTER_AREAS!$B:$B,L134+1),INDEX(MASTER_ZONES!$B:$B,L134+1)))</f>
        <v/>
      </c>
      <c r="P134">
        <f>IF('CHOP DASHBOARD'!$B$4="Area",IF(133&lt;=$S$3,IF(AND(OR('CHOP DASHBOARD'!$C$4="",ISNUMBER(SEARCH('CHOP DASHBOARD'!$C$4,INDEX(MASTER_AREAS!$B:$B,134))))),133,""),""),IF('CHOP DASHBOARD'!$B$4="Zone",IF(133&lt;=$S$4,IF(OR('CHOP DASHBOARD'!$C$4="",ISNUMBER(SEARCH('CHOP DASHBOARD'!$C$4,INDEX(MASTER_ZONES!$B:$B,134)))),133,""),""),""))</f>
        <v/>
      </c>
      <c r="Q134">
        <f>IFERROR(SMALL($P$2:$P$1487,133),"")</f>
        <v/>
      </c>
      <c r="R134">
        <f>IF(Q134="","",IF('CHOP DASHBOARD'!$B$4="Area",INDEX(MASTER_AREAS!$B:$B,Q134+1),INDEX(MASTER_ZONES!$B:$B,Q134+1)))</f>
        <v/>
      </c>
      <c r="U134">
        <f>IF('COMMUNITY CHURCH DASHBOARD'!$B$4="Area",IF(133&lt;=$X$3,IF(AND(OR('COMMUNITY CHURCH DASHBOARD'!$C$4="",ISNUMBER(SEARCH('COMMUNITY CHURCH DASHBOARD'!$C$4,INDEX(MASTER_AREAS!$B:$B,134))))),133,""),""),IF('COMMUNITY CHURCH DASHBOARD'!$B$4="Zone",IF(133&lt;=$X$4,IF(OR('COMMUNITY CHURCH DASHBOARD'!$C$4="",ISNUMBER(SEARCH('COMMUNITY CHURCH DASHBOARD'!$C$4,INDEX(MASTER_ZONES!$B:$B,134)))),133,""),""),""))</f>
        <v/>
      </c>
      <c r="V134">
        <f>IFERROR(SMALL($U$2:$U$1487,133),"")</f>
        <v/>
      </c>
      <c r="W134">
        <f>IF(V134="","",IF('COMMUNITY CHURCH DASHBOARD'!$B$4="Area",INDEX(MASTER_AREAS!$B:$B,V134+1),INDEX(MASTER_ZONES!$B:$B,V134+1)))</f>
        <v/>
      </c>
    </row>
    <row r="135">
      <c r="A135">
        <f>IF('WSF DASHBOARD'!$B$4="Area",IF(134&lt;=$D$3,IF(AND(OR('WSF DASHBOARD'!$C$4="",ISNUMBER(SEARCH('WSF DASHBOARD'!$C$4,INDEX(MASTER_AREAS!$B:$B,135))))),134,""),""),IF('WSF DASHBOARD'!$B$4="Zone",IF(134&lt;=$D$4,IF(OR('WSF DASHBOARD'!$C$4="",ISNUMBER(SEARCH('WSF DASHBOARD'!$C$4,INDEX(MASTER_ZONES!$B:$B,135)))),134,""),""),""))</f>
        <v/>
      </c>
      <c r="B135">
        <f>IFERROR(SMALL($A$2:$A$1487,134),"")</f>
        <v/>
      </c>
      <c r="C135">
        <f>IF(B135="","",IF('WSF DASHBOARD'!$B$4="Area",INDEX(MASTER_AREAS!$B:$B,B135+1),INDEX(MASTER_ZONES!$B:$B,B135+1)))</f>
        <v/>
      </c>
      <c r="F135">
        <f>IF('TRANSPORT DASHBOARD'!$B$4="Area",IF(134&lt;=$I$3,IF(AND(INDEX(MASTER_AREAS!$F:$F,135)&lt;&gt;"N",OR('TRANSPORT DASHBOARD'!$C$4="",ISNUMBER(SEARCH('TRANSPORT DASHBOARD'!$C$4,INDEX(MASTER_AREAS!$B:$B,135))))),134,""),""),IF('TRANSPORT DASHBOARD'!$B$4="Zone",IF(134&lt;=$I$4,IF(OR('TRANSPORT DASHBOARD'!$C$4="",ISNUMBER(SEARCH('TRANSPORT DASHBOARD'!$C$4,INDEX(MASTER_ZONES!$B:$B,135)))),134,""),""),""))</f>
        <v/>
      </c>
      <c r="G135">
        <f>IFERROR(SMALL($F$2:$F$1487,134),"")</f>
        <v/>
      </c>
      <c r="H135">
        <f>IF(G135="","",IF('TRANSPORT DASHBOARD'!$B$4="Area",INDEX(MASTER_AREAS!$B:$B,G135+1),INDEX(MASTER_ZONES!$B:$B,G135+1)))</f>
        <v/>
      </c>
      <c r="K135">
        <f>IF('MIDWEEK DASHBOARD'!$B$4="Area",IF(134&lt;=$N$3,IF(AND(OR('MIDWEEK DASHBOARD'!$C$4="",ISNUMBER(SEARCH('MIDWEEK DASHBOARD'!$C$4,INDEX(MASTER_AREAS!$B:$B,135))))),134,""),""),IF('MIDWEEK DASHBOARD'!$B$4="Zone",IF(134&lt;=$N$4,IF(OR('MIDWEEK DASHBOARD'!$C$4="",ISNUMBER(SEARCH('MIDWEEK DASHBOARD'!$C$4,INDEX(MASTER_ZONES!$B:$B,135)))),134,""),""),""))</f>
        <v/>
      </c>
      <c r="L135">
        <f>IFERROR(SMALL($K$2:$K$1487,134),"")</f>
        <v/>
      </c>
      <c r="M135">
        <f>IF(L135="","",IF('MIDWEEK DASHBOARD'!$B$4="Area",INDEX(MASTER_AREAS!$B:$B,L135+1),INDEX(MASTER_ZONES!$B:$B,L135+1)))</f>
        <v/>
      </c>
      <c r="P135">
        <f>IF('CHOP DASHBOARD'!$B$4="Area",IF(134&lt;=$S$3,IF(AND(OR('CHOP DASHBOARD'!$C$4="",ISNUMBER(SEARCH('CHOP DASHBOARD'!$C$4,INDEX(MASTER_AREAS!$B:$B,135))))),134,""),""),IF('CHOP DASHBOARD'!$B$4="Zone",IF(134&lt;=$S$4,IF(OR('CHOP DASHBOARD'!$C$4="",ISNUMBER(SEARCH('CHOP DASHBOARD'!$C$4,INDEX(MASTER_ZONES!$B:$B,135)))),134,""),""),""))</f>
        <v/>
      </c>
      <c r="Q135">
        <f>IFERROR(SMALL($P$2:$P$1487,134),"")</f>
        <v/>
      </c>
      <c r="R135">
        <f>IF(Q135="","",IF('CHOP DASHBOARD'!$B$4="Area",INDEX(MASTER_AREAS!$B:$B,Q135+1),INDEX(MASTER_ZONES!$B:$B,Q135+1)))</f>
        <v/>
      </c>
      <c r="U135">
        <f>IF('COMMUNITY CHURCH DASHBOARD'!$B$4="Area",IF(134&lt;=$X$3,IF(AND(OR('COMMUNITY CHURCH DASHBOARD'!$C$4="",ISNUMBER(SEARCH('COMMUNITY CHURCH DASHBOARD'!$C$4,INDEX(MASTER_AREAS!$B:$B,135))))),134,""),""),IF('COMMUNITY CHURCH DASHBOARD'!$B$4="Zone",IF(134&lt;=$X$4,IF(OR('COMMUNITY CHURCH DASHBOARD'!$C$4="",ISNUMBER(SEARCH('COMMUNITY CHURCH DASHBOARD'!$C$4,INDEX(MASTER_ZONES!$B:$B,135)))),134,""),""),""))</f>
        <v/>
      </c>
      <c r="V135">
        <f>IFERROR(SMALL($U$2:$U$1487,134),"")</f>
        <v/>
      </c>
      <c r="W135">
        <f>IF(V135="","",IF('COMMUNITY CHURCH DASHBOARD'!$B$4="Area",INDEX(MASTER_AREAS!$B:$B,V135+1),INDEX(MASTER_ZONES!$B:$B,V135+1)))</f>
        <v/>
      </c>
    </row>
    <row r="136">
      <c r="A136">
        <f>IF('WSF DASHBOARD'!$B$4="Area",IF(135&lt;=$D$3,IF(AND(OR('WSF DASHBOARD'!$C$4="",ISNUMBER(SEARCH('WSF DASHBOARD'!$C$4,INDEX(MASTER_AREAS!$B:$B,136))))),135,""),""),IF('WSF DASHBOARD'!$B$4="Zone",IF(135&lt;=$D$4,IF(OR('WSF DASHBOARD'!$C$4="",ISNUMBER(SEARCH('WSF DASHBOARD'!$C$4,INDEX(MASTER_ZONES!$B:$B,136)))),135,""),""),""))</f>
        <v/>
      </c>
      <c r="B136">
        <f>IFERROR(SMALL($A$2:$A$1487,135),"")</f>
        <v/>
      </c>
      <c r="C136">
        <f>IF(B136="","",IF('WSF DASHBOARD'!$B$4="Area",INDEX(MASTER_AREAS!$B:$B,B136+1),INDEX(MASTER_ZONES!$B:$B,B136+1)))</f>
        <v/>
      </c>
      <c r="F136">
        <f>IF('TRANSPORT DASHBOARD'!$B$4="Area",IF(135&lt;=$I$3,IF(AND(INDEX(MASTER_AREAS!$F:$F,136)&lt;&gt;"N",OR('TRANSPORT DASHBOARD'!$C$4="",ISNUMBER(SEARCH('TRANSPORT DASHBOARD'!$C$4,INDEX(MASTER_AREAS!$B:$B,136))))),135,""),""),IF('TRANSPORT DASHBOARD'!$B$4="Zone",IF(135&lt;=$I$4,IF(OR('TRANSPORT DASHBOARD'!$C$4="",ISNUMBER(SEARCH('TRANSPORT DASHBOARD'!$C$4,INDEX(MASTER_ZONES!$B:$B,136)))),135,""),""),""))</f>
        <v/>
      </c>
      <c r="G136">
        <f>IFERROR(SMALL($F$2:$F$1487,135),"")</f>
        <v/>
      </c>
      <c r="H136">
        <f>IF(G136="","",IF('TRANSPORT DASHBOARD'!$B$4="Area",INDEX(MASTER_AREAS!$B:$B,G136+1),INDEX(MASTER_ZONES!$B:$B,G136+1)))</f>
        <v/>
      </c>
      <c r="K136">
        <f>IF('MIDWEEK DASHBOARD'!$B$4="Area",IF(135&lt;=$N$3,IF(AND(OR('MIDWEEK DASHBOARD'!$C$4="",ISNUMBER(SEARCH('MIDWEEK DASHBOARD'!$C$4,INDEX(MASTER_AREAS!$B:$B,136))))),135,""),""),IF('MIDWEEK DASHBOARD'!$B$4="Zone",IF(135&lt;=$N$4,IF(OR('MIDWEEK DASHBOARD'!$C$4="",ISNUMBER(SEARCH('MIDWEEK DASHBOARD'!$C$4,INDEX(MASTER_ZONES!$B:$B,136)))),135,""),""),""))</f>
        <v/>
      </c>
      <c r="L136">
        <f>IFERROR(SMALL($K$2:$K$1487,135),"")</f>
        <v/>
      </c>
      <c r="M136">
        <f>IF(L136="","",IF('MIDWEEK DASHBOARD'!$B$4="Area",INDEX(MASTER_AREAS!$B:$B,L136+1),INDEX(MASTER_ZONES!$B:$B,L136+1)))</f>
        <v/>
      </c>
      <c r="P136">
        <f>IF('CHOP DASHBOARD'!$B$4="Area",IF(135&lt;=$S$3,IF(AND(OR('CHOP DASHBOARD'!$C$4="",ISNUMBER(SEARCH('CHOP DASHBOARD'!$C$4,INDEX(MASTER_AREAS!$B:$B,136))))),135,""),""),IF('CHOP DASHBOARD'!$B$4="Zone",IF(135&lt;=$S$4,IF(OR('CHOP DASHBOARD'!$C$4="",ISNUMBER(SEARCH('CHOP DASHBOARD'!$C$4,INDEX(MASTER_ZONES!$B:$B,136)))),135,""),""),""))</f>
        <v/>
      </c>
      <c r="Q136">
        <f>IFERROR(SMALL($P$2:$P$1487,135),"")</f>
        <v/>
      </c>
      <c r="R136">
        <f>IF(Q136="","",IF('CHOP DASHBOARD'!$B$4="Area",INDEX(MASTER_AREAS!$B:$B,Q136+1),INDEX(MASTER_ZONES!$B:$B,Q136+1)))</f>
        <v/>
      </c>
      <c r="U136">
        <f>IF('COMMUNITY CHURCH DASHBOARD'!$B$4="Area",IF(135&lt;=$X$3,IF(AND(OR('COMMUNITY CHURCH DASHBOARD'!$C$4="",ISNUMBER(SEARCH('COMMUNITY CHURCH DASHBOARD'!$C$4,INDEX(MASTER_AREAS!$B:$B,136))))),135,""),""),IF('COMMUNITY CHURCH DASHBOARD'!$B$4="Zone",IF(135&lt;=$X$4,IF(OR('COMMUNITY CHURCH DASHBOARD'!$C$4="",ISNUMBER(SEARCH('COMMUNITY CHURCH DASHBOARD'!$C$4,INDEX(MASTER_ZONES!$B:$B,136)))),135,""),""),""))</f>
        <v/>
      </c>
      <c r="V136">
        <f>IFERROR(SMALL($U$2:$U$1487,135),"")</f>
        <v/>
      </c>
      <c r="W136">
        <f>IF(V136="","",IF('COMMUNITY CHURCH DASHBOARD'!$B$4="Area",INDEX(MASTER_AREAS!$B:$B,V136+1),INDEX(MASTER_ZONES!$B:$B,V136+1)))</f>
        <v/>
      </c>
    </row>
    <row r="137">
      <c r="A137">
        <f>IF('WSF DASHBOARD'!$B$4="Area",IF(136&lt;=$D$3,IF(AND(OR('WSF DASHBOARD'!$C$4="",ISNUMBER(SEARCH('WSF DASHBOARD'!$C$4,INDEX(MASTER_AREAS!$B:$B,137))))),136,""),""),IF('WSF DASHBOARD'!$B$4="Zone",IF(136&lt;=$D$4,IF(OR('WSF DASHBOARD'!$C$4="",ISNUMBER(SEARCH('WSF DASHBOARD'!$C$4,INDEX(MASTER_ZONES!$B:$B,137)))),136,""),""),""))</f>
        <v/>
      </c>
      <c r="B137">
        <f>IFERROR(SMALL($A$2:$A$1487,136),"")</f>
        <v/>
      </c>
      <c r="C137">
        <f>IF(B137="","",IF('WSF DASHBOARD'!$B$4="Area",INDEX(MASTER_AREAS!$B:$B,B137+1),INDEX(MASTER_ZONES!$B:$B,B137+1)))</f>
        <v/>
      </c>
      <c r="F137">
        <f>IF('TRANSPORT DASHBOARD'!$B$4="Area",IF(136&lt;=$I$3,IF(AND(INDEX(MASTER_AREAS!$F:$F,137)&lt;&gt;"N",OR('TRANSPORT DASHBOARD'!$C$4="",ISNUMBER(SEARCH('TRANSPORT DASHBOARD'!$C$4,INDEX(MASTER_AREAS!$B:$B,137))))),136,""),""),IF('TRANSPORT DASHBOARD'!$B$4="Zone",IF(136&lt;=$I$4,IF(OR('TRANSPORT DASHBOARD'!$C$4="",ISNUMBER(SEARCH('TRANSPORT DASHBOARD'!$C$4,INDEX(MASTER_ZONES!$B:$B,137)))),136,""),""),""))</f>
        <v/>
      </c>
      <c r="G137">
        <f>IFERROR(SMALL($F$2:$F$1487,136),"")</f>
        <v/>
      </c>
      <c r="H137">
        <f>IF(G137="","",IF('TRANSPORT DASHBOARD'!$B$4="Area",INDEX(MASTER_AREAS!$B:$B,G137+1),INDEX(MASTER_ZONES!$B:$B,G137+1)))</f>
        <v/>
      </c>
      <c r="K137">
        <f>IF('MIDWEEK DASHBOARD'!$B$4="Area",IF(136&lt;=$N$3,IF(AND(OR('MIDWEEK DASHBOARD'!$C$4="",ISNUMBER(SEARCH('MIDWEEK DASHBOARD'!$C$4,INDEX(MASTER_AREAS!$B:$B,137))))),136,""),""),IF('MIDWEEK DASHBOARD'!$B$4="Zone",IF(136&lt;=$N$4,IF(OR('MIDWEEK DASHBOARD'!$C$4="",ISNUMBER(SEARCH('MIDWEEK DASHBOARD'!$C$4,INDEX(MASTER_ZONES!$B:$B,137)))),136,""),""),""))</f>
        <v/>
      </c>
      <c r="L137">
        <f>IFERROR(SMALL($K$2:$K$1487,136),"")</f>
        <v/>
      </c>
      <c r="M137">
        <f>IF(L137="","",IF('MIDWEEK DASHBOARD'!$B$4="Area",INDEX(MASTER_AREAS!$B:$B,L137+1),INDEX(MASTER_ZONES!$B:$B,L137+1)))</f>
        <v/>
      </c>
      <c r="P137">
        <f>IF('CHOP DASHBOARD'!$B$4="Area",IF(136&lt;=$S$3,IF(AND(OR('CHOP DASHBOARD'!$C$4="",ISNUMBER(SEARCH('CHOP DASHBOARD'!$C$4,INDEX(MASTER_AREAS!$B:$B,137))))),136,""),""),IF('CHOP DASHBOARD'!$B$4="Zone",IF(136&lt;=$S$4,IF(OR('CHOP DASHBOARD'!$C$4="",ISNUMBER(SEARCH('CHOP DASHBOARD'!$C$4,INDEX(MASTER_ZONES!$B:$B,137)))),136,""),""),""))</f>
        <v/>
      </c>
      <c r="Q137">
        <f>IFERROR(SMALL($P$2:$P$1487,136),"")</f>
        <v/>
      </c>
      <c r="R137">
        <f>IF(Q137="","",IF('CHOP DASHBOARD'!$B$4="Area",INDEX(MASTER_AREAS!$B:$B,Q137+1),INDEX(MASTER_ZONES!$B:$B,Q137+1)))</f>
        <v/>
      </c>
      <c r="U137">
        <f>IF('COMMUNITY CHURCH DASHBOARD'!$B$4="Area",IF(136&lt;=$X$3,IF(AND(OR('COMMUNITY CHURCH DASHBOARD'!$C$4="",ISNUMBER(SEARCH('COMMUNITY CHURCH DASHBOARD'!$C$4,INDEX(MASTER_AREAS!$B:$B,137))))),136,""),""),IF('COMMUNITY CHURCH DASHBOARD'!$B$4="Zone",IF(136&lt;=$X$4,IF(OR('COMMUNITY CHURCH DASHBOARD'!$C$4="",ISNUMBER(SEARCH('COMMUNITY CHURCH DASHBOARD'!$C$4,INDEX(MASTER_ZONES!$B:$B,137)))),136,""),""),""))</f>
        <v/>
      </c>
      <c r="V137">
        <f>IFERROR(SMALL($U$2:$U$1487,136),"")</f>
        <v/>
      </c>
      <c r="W137">
        <f>IF(V137="","",IF('COMMUNITY CHURCH DASHBOARD'!$B$4="Area",INDEX(MASTER_AREAS!$B:$B,V137+1),INDEX(MASTER_ZONES!$B:$B,V137+1)))</f>
        <v/>
      </c>
    </row>
    <row r="138">
      <c r="A138">
        <f>IF('WSF DASHBOARD'!$B$4="Area",IF(137&lt;=$D$3,IF(AND(OR('WSF DASHBOARD'!$C$4="",ISNUMBER(SEARCH('WSF DASHBOARD'!$C$4,INDEX(MASTER_AREAS!$B:$B,138))))),137,""),""),IF('WSF DASHBOARD'!$B$4="Zone",IF(137&lt;=$D$4,IF(OR('WSF DASHBOARD'!$C$4="",ISNUMBER(SEARCH('WSF DASHBOARD'!$C$4,INDEX(MASTER_ZONES!$B:$B,138)))),137,""),""),""))</f>
        <v/>
      </c>
      <c r="B138">
        <f>IFERROR(SMALL($A$2:$A$1487,137),"")</f>
        <v/>
      </c>
      <c r="C138">
        <f>IF(B138="","",IF('WSF DASHBOARD'!$B$4="Area",INDEX(MASTER_AREAS!$B:$B,B138+1),INDEX(MASTER_ZONES!$B:$B,B138+1)))</f>
        <v/>
      </c>
      <c r="F138">
        <f>IF('TRANSPORT DASHBOARD'!$B$4="Area",IF(137&lt;=$I$3,IF(AND(INDEX(MASTER_AREAS!$F:$F,138)&lt;&gt;"N",OR('TRANSPORT DASHBOARD'!$C$4="",ISNUMBER(SEARCH('TRANSPORT DASHBOARD'!$C$4,INDEX(MASTER_AREAS!$B:$B,138))))),137,""),""),IF('TRANSPORT DASHBOARD'!$B$4="Zone",IF(137&lt;=$I$4,IF(OR('TRANSPORT DASHBOARD'!$C$4="",ISNUMBER(SEARCH('TRANSPORT DASHBOARD'!$C$4,INDEX(MASTER_ZONES!$B:$B,138)))),137,""),""),""))</f>
        <v/>
      </c>
      <c r="G138">
        <f>IFERROR(SMALL($F$2:$F$1487,137),"")</f>
        <v/>
      </c>
      <c r="H138">
        <f>IF(G138="","",IF('TRANSPORT DASHBOARD'!$B$4="Area",INDEX(MASTER_AREAS!$B:$B,G138+1),INDEX(MASTER_ZONES!$B:$B,G138+1)))</f>
        <v/>
      </c>
      <c r="K138">
        <f>IF('MIDWEEK DASHBOARD'!$B$4="Area",IF(137&lt;=$N$3,IF(AND(OR('MIDWEEK DASHBOARD'!$C$4="",ISNUMBER(SEARCH('MIDWEEK DASHBOARD'!$C$4,INDEX(MASTER_AREAS!$B:$B,138))))),137,""),""),IF('MIDWEEK DASHBOARD'!$B$4="Zone",IF(137&lt;=$N$4,IF(OR('MIDWEEK DASHBOARD'!$C$4="",ISNUMBER(SEARCH('MIDWEEK DASHBOARD'!$C$4,INDEX(MASTER_ZONES!$B:$B,138)))),137,""),""),""))</f>
        <v/>
      </c>
      <c r="L138">
        <f>IFERROR(SMALL($K$2:$K$1487,137),"")</f>
        <v/>
      </c>
      <c r="M138">
        <f>IF(L138="","",IF('MIDWEEK DASHBOARD'!$B$4="Area",INDEX(MASTER_AREAS!$B:$B,L138+1),INDEX(MASTER_ZONES!$B:$B,L138+1)))</f>
        <v/>
      </c>
      <c r="P138">
        <f>IF('CHOP DASHBOARD'!$B$4="Area",IF(137&lt;=$S$3,IF(AND(OR('CHOP DASHBOARD'!$C$4="",ISNUMBER(SEARCH('CHOP DASHBOARD'!$C$4,INDEX(MASTER_AREAS!$B:$B,138))))),137,""),""),IF('CHOP DASHBOARD'!$B$4="Zone",IF(137&lt;=$S$4,IF(OR('CHOP DASHBOARD'!$C$4="",ISNUMBER(SEARCH('CHOP DASHBOARD'!$C$4,INDEX(MASTER_ZONES!$B:$B,138)))),137,""),""),""))</f>
        <v/>
      </c>
      <c r="Q138">
        <f>IFERROR(SMALL($P$2:$P$1487,137),"")</f>
        <v/>
      </c>
      <c r="R138">
        <f>IF(Q138="","",IF('CHOP DASHBOARD'!$B$4="Area",INDEX(MASTER_AREAS!$B:$B,Q138+1),INDEX(MASTER_ZONES!$B:$B,Q138+1)))</f>
        <v/>
      </c>
      <c r="U138">
        <f>IF('COMMUNITY CHURCH DASHBOARD'!$B$4="Area",IF(137&lt;=$X$3,IF(AND(OR('COMMUNITY CHURCH DASHBOARD'!$C$4="",ISNUMBER(SEARCH('COMMUNITY CHURCH DASHBOARD'!$C$4,INDEX(MASTER_AREAS!$B:$B,138))))),137,""),""),IF('COMMUNITY CHURCH DASHBOARD'!$B$4="Zone",IF(137&lt;=$X$4,IF(OR('COMMUNITY CHURCH DASHBOARD'!$C$4="",ISNUMBER(SEARCH('COMMUNITY CHURCH DASHBOARD'!$C$4,INDEX(MASTER_ZONES!$B:$B,138)))),137,""),""),""))</f>
        <v/>
      </c>
      <c r="V138">
        <f>IFERROR(SMALL($U$2:$U$1487,137),"")</f>
        <v/>
      </c>
      <c r="W138">
        <f>IF(V138="","",IF('COMMUNITY CHURCH DASHBOARD'!$B$4="Area",INDEX(MASTER_AREAS!$B:$B,V138+1),INDEX(MASTER_ZONES!$B:$B,V138+1)))</f>
        <v/>
      </c>
    </row>
    <row r="139">
      <c r="A139">
        <f>IF('WSF DASHBOARD'!$B$4="Area",IF(138&lt;=$D$3,IF(AND(OR('WSF DASHBOARD'!$C$4="",ISNUMBER(SEARCH('WSF DASHBOARD'!$C$4,INDEX(MASTER_AREAS!$B:$B,139))))),138,""),""),IF('WSF DASHBOARD'!$B$4="Zone",IF(138&lt;=$D$4,IF(OR('WSF DASHBOARD'!$C$4="",ISNUMBER(SEARCH('WSF DASHBOARD'!$C$4,INDEX(MASTER_ZONES!$B:$B,139)))),138,""),""),""))</f>
        <v/>
      </c>
      <c r="B139">
        <f>IFERROR(SMALL($A$2:$A$1487,138),"")</f>
        <v/>
      </c>
      <c r="C139">
        <f>IF(B139="","",IF('WSF DASHBOARD'!$B$4="Area",INDEX(MASTER_AREAS!$B:$B,B139+1),INDEX(MASTER_ZONES!$B:$B,B139+1)))</f>
        <v/>
      </c>
      <c r="F139">
        <f>IF('TRANSPORT DASHBOARD'!$B$4="Area",IF(138&lt;=$I$3,IF(AND(INDEX(MASTER_AREAS!$F:$F,139)&lt;&gt;"N",OR('TRANSPORT DASHBOARD'!$C$4="",ISNUMBER(SEARCH('TRANSPORT DASHBOARD'!$C$4,INDEX(MASTER_AREAS!$B:$B,139))))),138,""),""),IF('TRANSPORT DASHBOARD'!$B$4="Zone",IF(138&lt;=$I$4,IF(OR('TRANSPORT DASHBOARD'!$C$4="",ISNUMBER(SEARCH('TRANSPORT DASHBOARD'!$C$4,INDEX(MASTER_ZONES!$B:$B,139)))),138,""),""),""))</f>
        <v/>
      </c>
      <c r="G139">
        <f>IFERROR(SMALL($F$2:$F$1487,138),"")</f>
        <v/>
      </c>
      <c r="H139">
        <f>IF(G139="","",IF('TRANSPORT DASHBOARD'!$B$4="Area",INDEX(MASTER_AREAS!$B:$B,G139+1),INDEX(MASTER_ZONES!$B:$B,G139+1)))</f>
        <v/>
      </c>
      <c r="K139">
        <f>IF('MIDWEEK DASHBOARD'!$B$4="Area",IF(138&lt;=$N$3,IF(AND(OR('MIDWEEK DASHBOARD'!$C$4="",ISNUMBER(SEARCH('MIDWEEK DASHBOARD'!$C$4,INDEX(MASTER_AREAS!$B:$B,139))))),138,""),""),IF('MIDWEEK DASHBOARD'!$B$4="Zone",IF(138&lt;=$N$4,IF(OR('MIDWEEK DASHBOARD'!$C$4="",ISNUMBER(SEARCH('MIDWEEK DASHBOARD'!$C$4,INDEX(MASTER_ZONES!$B:$B,139)))),138,""),""),""))</f>
        <v/>
      </c>
      <c r="L139">
        <f>IFERROR(SMALL($K$2:$K$1487,138),"")</f>
        <v/>
      </c>
      <c r="M139">
        <f>IF(L139="","",IF('MIDWEEK DASHBOARD'!$B$4="Area",INDEX(MASTER_AREAS!$B:$B,L139+1),INDEX(MASTER_ZONES!$B:$B,L139+1)))</f>
        <v/>
      </c>
      <c r="P139">
        <f>IF('CHOP DASHBOARD'!$B$4="Area",IF(138&lt;=$S$3,IF(AND(OR('CHOP DASHBOARD'!$C$4="",ISNUMBER(SEARCH('CHOP DASHBOARD'!$C$4,INDEX(MASTER_AREAS!$B:$B,139))))),138,""),""),IF('CHOP DASHBOARD'!$B$4="Zone",IF(138&lt;=$S$4,IF(OR('CHOP DASHBOARD'!$C$4="",ISNUMBER(SEARCH('CHOP DASHBOARD'!$C$4,INDEX(MASTER_ZONES!$B:$B,139)))),138,""),""),""))</f>
        <v/>
      </c>
      <c r="Q139">
        <f>IFERROR(SMALL($P$2:$P$1487,138),"")</f>
        <v/>
      </c>
      <c r="R139">
        <f>IF(Q139="","",IF('CHOP DASHBOARD'!$B$4="Area",INDEX(MASTER_AREAS!$B:$B,Q139+1),INDEX(MASTER_ZONES!$B:$B,Q139+1)))</f>
        <v/>
      </c>
      <c r="U139">
        <f>IF('COMMUNITY CHURCH DASHBOARD'!$B$4="Area",IF(138&lt;=$X$3,IF(AND(OR('COMMUNITY CHURCH DASHBOARD'!$C$4="",ISNUMBER(SEARCH('COMMUNITY CHURCH DASHBOARD'!$C$4,INDEX(MASTER_AREAS!$B:$B,139))))),138,""),""),IF('COMMUNITY CHURCH DASHBOARD'!$B$4="Zone",IF(138&lt;=$X$4,IF(OR('COMMUNITY CHURCH DASHBOARD'!$C$4="",ISNUMBER(SEARCH('COMMUNITY CHURCH DASHBOARD'!$C$4,INDEX(MASTER_ZONES!$B:$B,139)))),138,""),""),""))</f>
        <v/>
      </c>
      <c r="V139">
        <f>IFERROR(SMALL($U$2:$U$1487,138),"")</f>
        <v/>
      </c>
      <c r="W139">
        <f>IF(V139="","",IF('COMMUNITY CHURCH DASHBOARD'!$B$4="Area",INDEX(MASTER_AREAS!$B:$B,V139+1),INDEX(MASTER_ZONES!$B:$B,V139+1)))</f>
        <v/>
      </c>
    </row>
    <row r="140">
      <c r="A140">
        <f>IF('WSF DASHBOARD'!$B$4="Area",IF(139&lt;=$D$3,IF(AND(OR('WSF DASHBOARD'!$C$4="",ISNUMBER(SEARCH('WSF DASHBOARD'!$C$4,INDEX(MASTER_AREAS!$B:$B,140))))),139,""),""),IF('WSF DASHBOARD'!$B$4="Zone",IF(139&lt;=$D$4,IF(OR('WSF DASHBOARD'!$C$4="",ISNUMBER(SEARCH('WSF DASHBOARD'!$C$4,INDEX(MASTER_ZONES!$B:$B,140)))),139,""),""),""))</f>
        <v/>
      </c>
      <c r="B140">
        <f>IFERROR(SMALL($A$2:$A$1487,139),"")</f>
        <v/>
      </c>
      <c r="C140">
        <f>IF(B140="","",IF('WSF DASHBOARD'!$B$4="Area",INDEX(MASTER_AREAS!$B:$B,B140+1),INDEX(MASTER_ZONES!$B:$B,B140+1)))</f>
        <v/>
      </c>
      <c r="F140">
        <f>IF('TRANSPORT DASHBOARD'!$B$4="Area",IF(139&lt;=$I$3,IF(AND(INDEX(MASTER_AREAS!$F:$F,140)&lt;&gt;"N",OR('TRANSPORT DASHBOARD'!$C$4="",ISNUMBER(SEARCH('TRANSPORT DASHBOARD'!$C$4,INDEX(MASTER_AREAS!$B:$B,140))))),139,""),""),IF('TRANSPORT DASHBOARD'!$B$4="Zone",IF(139&lt;=$I$4,IF(OR('TRANSPORT DASHBOARD'!$C$4="",ISNUMBER(SEARCH('TRANSPORT DASHBOARD'!$C$4,INDEX(MASTER_ZONES!$B:$B,140)))),139,""),""),""))</f>
        <v/>
      </c>
      <c r="G140">
        <f>IFERROR(SMALL($F$2:$F$1487,139),"")</f>
        <v/>
      </c>
      <c r="H140">
        <f>IF(G140="","",IF('TRANSPORT DASHBOARD'!$B$4="Area",INDEX(MASTER_AREAS!$B:$B,G140+1),INDEX(MASTER_ZONES!$B:$B,G140+1)))</f>
        <v/>
      </c>
      <c r="K140">
        <f>IF('MIDWEEK DASHBOARD'!$B$4="Area",IF(139&lt;=$N$3,IF(AND(OR('MIDWEEK DASHBOARD'!$C$4="",ISNUMBER(SEARCH('MIDWEEK DASHBOARD'!$C$4,INDEX(MASTER_AREAS!$B:$B,140))))),139,""),""),IF('MIDWEEK DASHBOARD'!$B$4="Zone",IF(139&lt;=$N$4,IF(OR('MIDWEEK DASHBOARD'!$C$4="",ISNUMBER(SEARCH('MIDWEEK DASHBOARD'!$C$4,INDEX(MASTER_ZONES!$B:$B,140)))),139,""),""),""))</f>
        <v/>
      </c>
      <c r="L140">
        <f>IFERROR(SMALL($K$2:$K$1487,139),"")</f>
        <v/>
      </c>
      <c r="M140">
        <f>IF(L140="","",IF('MIDWEEK DASHBOARD'!$B$4="Area",INDEX(MASTER_AREAS!$B:$B,L140+1),INDEX(MASTER_ZONES!$B:$B,L140+1)))</f>
        <v/>
      </c>
      <c r="P140">
        <f>IF('CHOP DASHBOARD'!$B$4="Area",IF(139&lt;=$S$3,IF(AND(OR('CHOP DASHBOARD'!$C$4="",ISNUMBER(SEARCH('CHOP DASHBOARD'!$C$4,INDEX(MASTER_AREAS!$B:$B,140))))),139,""),""),IF('CHOP DASHBOARD'!$B$4="Zone",IF(139&lt;=$S$4,IF(OR('CHOP DASHBOARD'!$C$4="",ISNUMBER(SEARCH('CHOP DASHBOARD'!$C$4,INDEX(MASTER_ZONES!$B:$B,140)))),139,""),""),""))</f>
        <v/>
      </c>
      <c r="Q140">
        <f>IFERROR(SMALL($P$2:$P$1487,139),"")</f>
        <v/>
      </c>
      <c r="R140">
        <f>IF(Q140="","",IF('CHOP DASHBOARD'!$B$4="Area",INDEX(MASTER_AREAS!$B:$B,Q140+1),INDEX(MASTER_ZONES!$B:$B,Q140+1)))</f>
        <v/>
      </c>
      <c r="U140">
        <f>IF('COMMUNITY CHURCH DASHBOARD'!$B$4="Area",IF(139&lt;=$X$3,IF(AND(OR('COMMUNITY CHURCH DASHBOARD'!$C$4="",ISNUMBER(SEARCH('COMMUNITY CHURCH DASHBOARD'!$C$4,INDEX(MASTER_AREAS!$B:$B,140))))),139,""),""),IF('COMMUNITY CHURCH DASHBOARD'!$B$4="Zone",IF(139&lt;=$X$4,IF(OR('COMMUNITY CHURCH DASHBOARD'!$C$4="",ISNUMBER(SEARCH('COMMUNITY CHURCH DASHBOARD'!$C$4,INDEX(MASTER_ZONES!$B:$B,140)))),139,""),""),""))</f>
        <v/>
      </c>
      <c r="V140">
        <f>IFERROR(SMALL($U$2:$U$1487,139),"")</f>
        <v/>
      </c>
      <c r="W140">
        <f>IF(V140="","",IF('COMMUNITY CHURCH DASHBOARD'!$B$4="Area",INDEX(MASTER_AREAS!$B:$B,V140+1),INDEX(MASTER_ZONES!$B:$B,V140+1)))</f>
        <v/>
      </c>
    </row>
    <row r="141">
      <c r="A141">
        <f>IF('WSF DASHBOARD'!$B$4="Area",IF(140&lt;=$D$3,IF(AND(OR('WSF DASHBOARD'!$C$4="",ISNUMBER(SEARCH('WSF DASHBOARD'!$C$4,INDEX(MASTER_AREAS!$B:$B,141))))),140,""),""),IF('WSF DASHBOARD'!$B$4="Zone",IF(140&lt;=$D$4,IF(OR('WSF DASHBOARD'!$C$4="",ISNUMBER(SEARCH('WSF DASHBOARD'!$C$4,INDEX(MASTER_ZONES!$B:$B,141)))),140,""),""),""))</f>
        <v/>
      </c>
      <c r="B141">
        <f>IFERROR(SMALL($A$2:$A$1487,140),"")</f>
        <v/>
      </c>
      <c r="C141">
        <f>IF(B141="","",IF('WSF DASHBOARD'!$B$4="Area",INDEX(MASTER_AREAS!$B:$B,B141+1),INDEX(MASTER_ZONES!$B:$B,B141+1)))</f>
        <v/>
      </c>
      <c r="F141">
        <f>IF('TRANSPORT DASHBOARD'!$B$4="Area",IF(140&lt;=$I$3,IF(AND(INDEX(MASTER_AREAS!$F:$F,141)&lt;&gt;"N",OR('TRANSPORT DASHBOARD'!$C$4="",ISNUMBER(SEARCH('TRANSPORT DASHBOARD'!$C$4,INDEX(MASTER_AREAS!$B:$B,141))))),140,""),""),IF('TRANSPORT DASHBOARD'!$B$4="Zone",IF(140&lt;=$I$4,IF(OR('TRANSPORT DASHBOARD'!$C$4="",ISNUMBER(SEARCH('TRANSPORT DASHBOARD'!$C$4,INDEX(MASTER_ZONES!$B:$B,141)))),140,""),""),""))</f>
        <v/>
      </c>
      <c r="G141">
        <f>IFERROR(SMALL($F$2:$F$1487,140),"")</f>
        <v/>
      </c>
      <c r="H141">
        <f>IF(G141="","",IF('TRANSPORT DASHBOARD'!$B$4="Area",INDEX(MASTER_AREAS!$B:$B,G141+1),INDEX(MASTER_ZONES!$B:$B,G141+1)))</f>
        <v/>
      </c>
      <c r="K141">
        <f>IF('MIDWEEK DASHBOARD'!$B$4="Area",IF(140&lt;=$N$3,IF(AND(OR('MIDWEEK DASHBOARD'!$C$4="",ISNUMBER(SEARCH('MIDWEEK DASHBOARD'!$C$4,INDEX(MASTER_AREAS!$B:$B,141))))),140,""),""),IF('MIDWEEK DASHBOARD'!$B$4="Zone",IF(140&lt;=$N$4,IF(OR('MIDWEEK DASHBOARD'!$C$4="",ISNUMBER(SEARCH('MIDWEEK DASHBOARD'!$C$4,INDEX(MASTER_ZONES!$B:$B,141)))),140,""),""),""))</f>
        <v/>
      </c>
      <c r="L141">
        <f>IFERROR(SMALL($K$2:$K$1487,140),"")</f>
        <v/>
      </c>
      <c r="M141">
        <f>IF(L141="","",IF('MIDWEEK DASHBOARD'!$B$4="Area",INDEX(MASTER_AREAS!$B:$B,L141+1),INDEX(MASTER_ZONES!$B:$B,L141+1)))</f>
        <v/>
      </c>
      <c r="P141">
        <f>IF('CHOP DASHBOARD'!$B$4="Area",IF(140&lt;=$S$3,IF(AND(OR('CHOP DASHBOARD'!$C$4="",ISNUMBER(SEARCH('CHOP DASHBOARD'!$C$4,INDEX(MASTER_AREAS!$B:$B,141))))),140,""),""),IF('CHOP DASHBOARD'!$B$4="Zone",IF(140&lt;=$S$4,IF(OR('CHOP DASHBOARD'!$C$4="",ISNUMBER(SEARCH('CHOP DASHBOARD'!$C$4,INDEX(MASTER_ZONES!$B:$B,141)))),140,""),""),""))</f>
        <v/>
      </c>
      <c r="Q141">
        <f>IFERROR(SMALL($P$2:$P$1487,140),"")</f>
        <v/>
      </c>
      <c r="R141">
        <f>IF(Q141="","",IF('CHOP DASHBOARD'!$B$4="Area",INDEX(MASTER_AREAS!$B:$B,Q141+1),INDEX(MASTER_ZONES!$B:$B,Q141+1)))</f>
        <v/>
      </c>
      <c r="U141">
        <f>IF('COMMUNITY CHURCH DASHBOARD'!$B$4="Area",IF(140&lt;=$X$3,IF(AND(OR('COMMUNITY CHURCH DASHBOARD'!$C$4="",ISNUMBER(SEARCH('COMMUNITY CHURCH DASHBOARD'!$C$4,INDEX(MASTER_AREAS!$B:$B,141))))),140,""),""),IF('COMMUNITY CHURCH DASHBOARD'!$B$4="Zone",IF(140&lt;=$X$4,IF(OR('COMMUNITY CHURCH DASHBOARD'!$C$4="",ISNUMBER(SEARCH('COMMUNITY CHURCH DASHBOARD'!$C$4,INDEX(MASTER_ZONES!$B:$B,141)))),140,""),""),""))</f>
        <v/>
      </c>
      <c r="V141">
        <f>IFERROR(SMALL($U$2:$U$1487,140),"")</f>
        <v/>
      </c>
      <c r="W141">
        <f>IF(V141="","",IF('COMMUNITY CHURCH DASHBOARD'!$B$4="Area",INDEX(MASTER_AREAS!$B:$B,V141+1),INDEX(MASTER_ZONES!$B:$B,V141+1)))</f>
        <v/>
      </c>
    </row>
    <row r="142">
      <c r="A142">
        <f>IF('WSF DASHBOARD'!$B$4="Area",IF(141&lt;=$D$3,IF(AND(OR('WSF DASHBOARD'!$C$4="",ISNUMBER(SEARCH('WSF DASHBOARD'!$C$4,INDEX(MASTER_AREAS!$B:$B,142))))),141,""),""),IF('WSF DASHBOARD'!$B$4="Zone",IF(141&lt;=$D$4,IF(OR('WSF DASHBOARD'!$C$4="",ISNUMBER(SEARCH('WSF DASHBOARD'!$C$4,INDEX(MASTER_ZONES!$B:$B,142)))),141,""),""),""))</f>
        <v/>
      </c>
      <c r="B142">
        <f>IFERROR(SMALL($A$2:$A$1487,141),"")</f>
        <v/>
      </c>
      <c r="C142">
        <f>IF(B142="","",IF('WSF DASHBOARD'!$B$4="Area",INDEX(MASTER_AREAS!$B:$B,B142+1),INDEX(MASTER_ZONES!$B:$B,B142+1)))</f>
        <v/>
      </c>
      <c r="F142">
        <f>IF('TRANSPORT DASHBOARD'!$B$4="Area",IF(141&lt;=$I$3,IF(AND(INDEX(MASTER_AREAS!$F:$F,142)&lt;&gt;"N",OR('TRANSPORT DASHBOARD'!$C$4="",ISNUMBER(SEARCH('TRANSPORT DASHBOARD'!$C$4,INDEX(MASTER_AREAS!$B:$B,142))))),141,""),""),IF('TRANSPORT DASHBOARD'!$B$4="Zone",IF(141&lt;=$I$4,IF(OR('TRANSPORT DASHBOARD'!$C$4="",ISNUMBER(SEARCH('TRANSPORT DASHBOARD'!$C$4,INDEX(MASTER_ZONES!$B:$B,142)))),141,""),""),""))</f>
        <v/>
      </c>
      <c r="G142">
        <f>IFERROR(SMALL($F$2:$F$1487,141),"")</f>
        <v/>
      </c>
      <c r="H142">
        <f>IF(G142="","",IF('TRANSPORT DASHBOARD'!$B$4="Area",INDEX(MASTER_AREAS!$B:$B,G142+1),INDEX(MASTER_ZONES!$B:$B,G142+1)))</f>
        <v/>
      </c>
      <c r="K142">
        <f>IF('MIDWEEK DASHBOARD'!$B$4="Area",IF(141&lt;=$N$3,IF(AND(OR('MIDWEEK DASHBOARD'!$C$4="",ISNUMBER(SEARCH('MIDWEEK DASHBOARD'!$C$4,INDEX(MASTER_AREAS!$B:$B,142))))),141,""),""),IF('MIDWEEK DASHBOARD'!$B$4="Zone",IF(141&lt;=$N$4,IF(OR('MIDWEEK DASHBOARD'!$C$4="",ISNUMBER(SEARCH('MIDWEEK DASHBOARD'!$C$4,INDEX(MASTER_ZONES!$B:$B,142)))),141,""),""),""))</f>
        <v/>
      </c>
      <c r="L142">
        <f>IFERROR(SMALL($K$2:$K$1487,141),"")</f>
        <v/>
      </c>
      <c r="M142">
        <f>IF(L142="","",IF('MIDWEEK DASHBOARD'!$B$4="Area",INDEX(MASTER_AREAS!$B:$B,L142+1),INDEX(MASTER_ZONES!$B:$B,L142+1)))</f>
        <v/>
      </c>
      <c r="P142">
        <f>IF('CHOP DASHBOARD'!$B$4="Area",IF(141&lt;=$S$3,IF(AND(OR('CHOP DASHBOARD'!$C$4="",ISNUMBER(SEARCH('CHOP DASHBOARD'!$C$4,INDEX(MASTER_AREAS!$B:$B,142))))),141,""),""),IF('CHOP DASHBOARD'!$B$4="Zone",IF(141&lt;=$S$4,IF(OR('CHOP DASHBOARD'!$C$4="",ISNUMBER(SEARCH('CHOP DASHBOARD'!$C$4,INDEX(MASTER_ZONES!$B:$B,142)))),141,""),""),""))</f>
        <v/>
      </c>
      <c r="Q142">
        <f>IFERROR(SMALL($P$2:$P$1487,141),"")</f>
        <v/>
      </c>
      <c r="R142">
        <f>IF(Q142="","",IF('CHOP DASHBOARD'!$B$4="Area",INDEX(MASTER_AREAS!$B:$B,Q142+1),INDEX(MASTER_ZONES!$B:$B,Q142+1)))</f>
        <v/>
      </c>
      <c r="U142">
        <f>IF('COMMUNITY CHURCH DASHBOARD'!$B$4="Area",IF(141&lt;=$X$3,IF(AND(OR('COMMUNITY CHURCH DASHBOARD'!$C$4="",ISNUMBER(SEARCH('COMMUNITY CHURCH DASHBOARD'!$C$4,INDEX(MASTER_AREAS!$B:$B,142))))),141,""),""),IF('COMMUNITY CHURCH DASHBOARD'!$B$4="Zone",IF(141&lt;=$X$4,IF(OR('COMMUNITY CHURCH DASHBOARD'!$C$4="",ISNUMBER(SEARCH('COMMUNITY CHURCH DASHBOARD'!$C$4,INDEX(MASTER_ZONES!$B:$B,142)))),141,""),""),""))</f>
        <v/>
      </c>
      <c r="V142">
        <f>IFERROR(SMALL($U$2:$U$1487,141),"")</f>
        <v/>
      </c>
      <c r="W142">
        <f>IF(V142="","",IF('COMMUNITY CHURCH DASHBOARD'!$B$4="Area",INDEX(MASTER_AREAS!$B:$B,V142+1),INDEX(MASTER_ZONES!$B:$B,V142+1)))</f>
        <v/>
      </c>
    </row>
    <row r="143">
      <c r="A143">
        <f>IF('WSF DASHBOARD'!$B$4="Area",IF(142&lt;=$D$3,IF(AND(OR('WSF DASHBOARD'!$C$4="",ISNUMBER(SEARCH('WSF DASHBOARD'!$C$4,INDEX(MASTER_AREAS!$B:$B,143))))),142,""),""),IF('WSF DASHBOARD'!$B$4="Zone",IF(142&lt;=$D$4,IF(OR('WSF DASHBOARD'!$C$4="",ISNUMBER(SEARCH('WSF DASHBOARD'!$C$4,INDEX(MASTER_ZONES!$B:$B,143)))),142,""),""),""))</f>
        <v/>
      </c>
      <c r="B143">
        <f>IFERROR(SMALL($A$2:$A$1487,142),"")</f>
        <v/>
      </c>
      <c r="C143">
        <f>IF(B143="","",IF('WSF DASHBOARD'!$B$4="Area",INDEX(MASTER_AREAS!$B:$B,B143+1),INDEX(MASTER_ZONES!$B:$B,B143+1)))</f>
        <v/>
      </c>
      <c r="F143">
        <f>IF('TRANSPORT DASHBOARD'!$B$4="Area",IF(142&lt;=$I$3,IF(AND(INDEX(MASTER_AREAS!$F:$F,143)&lt;&gt;"N",OR('TRANSPORT DASHBOARD'!$C$4="",ISNUMBER(SEARCH('TRANSPORT DASHBOARD'!$C$4,INDEX(MASTER_AREAS!$B:$B,143))))),142,""),""),IF('TRANSPORT DASHBOARD'!$B$4="Zone",IF(142&lt;=$I$4,IF(OR('TRANSPORT DASHBOARD'!$C$4="",ISNUMBER(SEARCH('TRANSPORT DASHBOARD'!$C$4,INDEX(MASTER_ZONES!$B:$B,143)))),142,""),""),""))</f>
        <v/>
      </c>
      <c r="G143">
        <f>IFERROR(SMALL($F$2:$F$1487,142),"")</f>
        <v/>
      </c>
      <c r="H143">
        <f>IF(G143="","",IF('TRANSPORT DASHBOARD'!$B$4="Area",INDEX(MASTER_AREAS!$B:$B,G143+1),INDEX(MASTER_ZONES!$B:$B,G143+1)))</f>
        <v/>
      </c>
      <c r="K143">
        <f>IF('MIDWEEK DASHBOARD'!$B$4="Area",IF(142&lt;=$N$3,IF(AND(OR('MIDWEEK DASHBOARD'!$C$4="",ISNUMBER(SEARCH('MIDWEEK DASHBOARD'!$C$4,INDEX(MASTER_AREAS!$B:$B,143))))),142,""),""),IF('MIDWEEK DASHBOARD'!$B$4="Zone",IF(142&lt;=$N$4,IF(OR('MIDWEEK DASHBOARD'!$C$4="",ISNUMBER(SEARCH('MIDWEEK DASHBOARD'!$C$4,INDEX(MASTER_ZONES!$B:$B,143)))),142,""),""),""))</f>
        <v/>
      </c>
      <c r="L143">
        <f>IFERROR(SMALL($K$2:$K$1487,142),"")</f>
        <v/>
      </c>
      <c r="M143">
        <f>IF(L143="","",IF('MIDWEEK DASHBOARD'!$B$4="Area",INDEX(MASTER_AREAS!$B:$B,L143+1),INDEX(MASTER_ZONES!$B:$B,L143+1)))</f>
        <v/>
      </c>
      <c r="P143">
        <f>IF('CHOP DASHBOARD'!$B$4="Area",IF(142&lt;=$S$3,IF(AND(OR('CHOP DASHBOARD'!$C$4="",ISNUMBER(SEARCH('CHOP DASHBOARD'!$C$4,INDEX(MASTER_AREAS!$B:$B,143))))),142,""),""),IF('CHOP DASHBOARD'!$B$4="Zone",IF(142&lt;=$S$4,IF(OR('CHOP DASHBOARD'!$C$4="",ISNUMBER(SEARCH('CHOP DASHBOARD'!$C$4,INDEX(MASTER_ZONES!$B:$B,143)))),142,""),""),""))</f>
        <v/>
      </c>
      <c r="Q143">
        <f>IFERROR(SMALL($P$2:$P$1487,142),"")</f>
        <v/>
      </c>
      <c r="R143">
        <f>IF(Q143="","",IF('CHOP DASHBOARD'!$B$4="Area",INDEX(MASTER_AREAS!$B:$B,Q143+1),INDEX(MASTER_ZONES!$B:$B,Q143+1)))</f>
        <v/>
      </c>
      <c r="U143">
        <f>IF('COMMUNITY CHURCH DASHBOARD'!$B$4="Area",IF(142&lt;=$X$3,IF(AND(OR('COMMUNITY CHURCH DASHBOARD'!$C$4="",ISNUMBER(SEARCH('COMMUNITY CHURCH DASHBOARD'!$C$4,INDEX(MASTER_AREAS!$B:$B,143))))),142,""),""),IF('COMMUNITY CHURCH DASHBOARD'!$B$4="Zone",IF(142&lt;=$X$4,IF(OR('COMMUNITY CHURCH DASHBOARD'!$C$4="",ISNUMBER(SEARCH('COMMUNITY CHURCH DASHBOARD'!$C$4,INDEX(MASTER_ZONES!$B:$B,143)))),142,""),""),""))</f>
        <v/>
      </c>
      <c r="V143">
        <f>IFERROR(SMALL($U$2:$U$1487,142),"")</f>
        <v/>
      </c>
      <c r="W143">
        <f>IF(V143="","",IF('COMMUNITY CHURCH DASHBOARD'!$B$4="Area",INDEX(MASTER_AREAS!$B:$B,V143+1),INDEX(MASTER_ZONES!$B:$B,V143+1)))</f>
        <v/>
      </c>
    </row>
    <row r="144">
      <c r="A144">
        <f>IF('WSF DASHBOARD'!$B$4="Area",IF(143&lt;=$D$3,IF(AND(OR('WSF DASHBOARD'!$C$4="",ISNUMBER(SEARCH('WSF DASHBOARD'!$C$4,INDEX(MASTER_AREAS!$B:$B,144))))),143,""),""),IF('WSF DASHBOARD'!$B$4="Zone",IF(143&lt;=$D$4,IF(OR('WSF DASHBOARD'!$C$4="",ISNUMBER(SEARCH('WSF DASHBOARD'!$C$4,INDEX(MASTER_ZONES!$B:$B,144)))),143,""),""),""))</f>
        <v/>
      </c>
      <c r="B144">
        <f>IFERROR(SMALL($A$2:$A$1487,143),"")</f>
        <v/>
      </c>
      <c r="C144">
        <f>IF(B144="","",IF('WSF DASHBOARD'!$B$4="Area",INDEX(MASTER_AREAS!$B:$B,B144+1),INDEX(MASTER_ZONES!$B:$B,B144+1)))</f>
        <v/>
      </c>
      <c r="F144">
        <f>IF('TRANSPORT DASHBOARD'!$B$4="Area",IF(143&lt;=$I$3,IF(AND(INDEX(MASTER_AREAS!$F:$F,144)&lt;&gt;"N",OR('TRANSPORT DASHBOARD'!$C$4="",ISNUMBER(SEARCH('TRANSPORT DASHBOARD'!$C$4,INDEX(MASTER_AREAS!$B:$B,144))))),143,""),""),IF('TRANSPORT DASHBOARD'!$B$4="Zone",IF(143&lt;=$I$4,IF(OR('TRANSPORT DASHBOARD'!$C$4="",ISNUMBER(SEARCH('TRANSPORT DASHBOARD'!$C$4,INDEX(MASTER_ZONES!$B:$B,144)))),143,""),""),""))</f>
        <v/>
      </c>
      <c r="G144">
        <f>IFERROR(SMALL($F$2:$F$1487,143),"")</f>
        <v/>
      </c>
      <c r="H144">
        <f>IF(G144="","",IF('TRANSPORT DASHBOARD'!$B$4="Area",INDEX(MASTER_AREAS!$B:$B,G144+1),INDEX(MASTER_ZONES!$B:$B,G144+1)))</f>
        <v/>
      </c>
      <c r="K144">
        <f>IF('MIDWEEK DASHBOARD'!$B$4="Area",IF(143&lt;=$N$3,IF(AND(OR('MIDWEEK DASHBOARD'!$C$4="",ISNUMBER(SEARCH('MIDWEEK DASHBOARD'!$C$4,INDEX(MASTER_AREAS!$B:$B,144))))),143,""),""),IF('MIDWEEK DASHBOARD'!$B$4="Zone",IF(143&lt;=$N$4,IF(OR('MIDWEEK DASHBOARD'!$C$4="",ISNUMBER(SEARCH('MIDWEEK DASHBOARD'!$C$4,INDEX(MASTER_ZONES!$B:$B,144)))),143,""),""),""))</f>
        <v/>
      </c>
      <c r="L144">
        <f>IFERROR(SMALL($K$2:$K$1487,143),"")</f>
        <v/>
      </c>
      <c r="M144">
        <f>IF(L144="","",IF('MIDWEEK DASHBOARD'!$B$4="Area",INDEX(MASTER_AREAS!$B:$B,L144+1),INDEX(MASTER_ZONES!$B:$B,L144+1)))</f>
        <v/>
      </c>
      <c r="P144">
        <f>IF('CHOP DASHBOARD'!$B$4="Area",IF(143&lt;=$S$3,IF(AND(OR('CHOP DASHBOARD'!$C$4="",ISNUMBER(SEARCH('CHOP DASHBOARD'!$C$4,INDEX(MASTER_AREAS!$B:$B,144))))),143,""),""),IF('CHOP DASHBOARD'!$B$4="Zone",IF(143&lt;=$S$4,IF(OR('CHOP DASHBOARD'!$C$4="",ISNUMBER(SEARCH('CHOP DASHBOARD'!$C$4,INDEX(MASTER_ZONES!$B:$B,144)))),143,""),""),""))</f>
        <v/>
      </c>
      <c r="Q144">
        <f>IFERROR(SMALL($P$2:$P$1487,143),"")</f>
        <v/>
      </c>
      <c r="R144">
        <f>IF(Q144="","",IF('CHOP DASHBOARD'!$B$4="Area",INDEX(MASTER_AREAS!$B:$B,Q144+1),INDEX(MASTER_ZONES!$B:$B,Q144+1)))</f>
        <v/>
      </c>
      <c r="U144">
        <f>IF('COMMUNITY CHURCH DASHBOARD'!$B$4="Area",IF(143&lt;=$X$3,IF(AND(OR('COMMUNITY CHURCH DASHBOARD'!$C$4="",ISNUMBER(SEARCH('COMMUNITY CHURCH DASHBOARD'!$C$4,INDEX(MASTER_AREAS!$B:$B,144))))),143,""),""),IF('COMMUNITY CHURCH DASHBOARD'!$B$4="Zone",IF(143&lt;=$X$4,IF(OR('COMMUNITY CHURCH DASHBOARD'!$C$4="",ISNUMBER(SEARCH('COMMUNITY CHURCH DASHBOARD'!$C$4,INDEX(MASTER_ZONES!$B:$B,144)))),143,""),""),""))</f>
        <v/>
      </c>
      <c r="V144">
        <f>IFERROR(SMALL($U$2:$U$1487,143),"")</f>
        <v/>
      </c>
      <c r="W144">
        <f>IF(V144="","",IF('COMMUNITY CHURCH DASHBOARD'!$B$4="Area",INDEX(MASTER_AREAS!$B:$B,V144+1),INDEX(MASTER_ZONES!$B:$B,V144+1)))</f>
        <v/>
      </c>
    </row>
    <row r="145">
      <c r="A145">
        <f>IF('WSF DASHBOARD'!$B$4="Area",IF(144&lt;=$D$3,IF(AND(OR('WSF DASHBOARD'!$C$4="",ISNUMBER(SEARCH('WSF DASHBOARD'!$C$4,INDEX(MASTER_AREAS!$B:$B,145))))),144,""),""),IF('WSF DASHBOARD'!$B$4="Zone",IF(144&lt;=$D$4,IF(OR('WSF DASHBOARD'!$C$4="",ISNUMBER(SEARCH('WSF DASHBOARD'!$C$4,INDEX(MASTER_ZONES!$B:$B,145)))),144,""),""),""))</f>
        <v/>
      </c>
      <c r="B145">
        <f>IFERROR(SMALL($A$2:$A$1487,144),"")</f>
        <v/>
      </c>
      <c r="C145">
        <f>IF(B145="","",IF('WSF DASHBOARD'!$B$4="Area",INDEX(MASTER_AREAS!$B:$B,B145+1),INDEX(MASTER_ZONES!$B:$B,B145+1)))</f>
        <v/>
      </c>
      <c r="F145">
        <f>IF('TRANSPORT DASHBOARD'!$B$4="Area",IF(144&lt;=$I$3,IF(AND(INDEX(MASTER_AREAS!$F:$F,145)&lt;&gt;"N",OR('TRANSPORT DASHBOARD'!$C$4="",ISNUMBER(SEARCH('TRANSPORT DASHBOARD'!$C$4,INDEX(MASTER_AREAS!$B:$B,145))))),144,""),""),IF('TRANSPORT DASHBOARD'!$B$4="Zone",IF(144&lt;=$I$4,IF(OR('TRANSPORT DASHBOARD'!$C$4="",ISNUMBER(SEARCH('TRANSPORT DASHBOARD'!$C$4,INDEX(MASTER_ZONES!$B:$B,145)))),144,""),""),""))</f>
        <v/>
      </c>
      <c r="G145">
        <f>IFERROR(SMALL($F$2:$F$1487,144),"")</f>
        <v/>
      </c>
      <c r="H145">
        <f>IF(G145="","",IF('TRANSPORT DASHBOARD'!$B$4="Area",INDEX(MASTER_AREAS!$B:$B,G145+1),INDEX(MASTER_ZONES!$B:$B,G145+1)))</f>
        <v/>
      </c>
      <c r="K145">
        <f>IF('MIDWEEK DASHBOARD'!$B$4="Area",IF(144&lt;=$N$3,IF(AND(OR('MIDWEEK DASHBOARD'!$C$4="",ISNUMBER(SEARCH('MIDWEEK DASHBOARD'!$C$4,INDEX(MASTER_AREAS!$B:$B,145))))),144,""),""),IF('MIDWEEK DASHBOARD'!$B$4="Zone",IF(144&lt;=$N$4,IF(OR('MIDWEEK DASHBOARD'!$C$4="",ISNUMBER(SEARCH('MIDWEEK DASHBOARD'!$C$4,INDEX(MASTER_ZONES!$B:$B,145)))),144,""),""),""))</f>
        <v/>
      </c>
      <c r="L145">
        <f>IFERROR(SMALL($K$2:$K$1487,144),"")</f>
        <v/>
      </c>
      <c r="M145">
        <f>IF(L145="","",IF('MIDWEEK DASHBOARD'!$B$4="Area",INDEX(MASTER_AREAS!$B:$B,L145+1),INDEX(MASTER_ZONES!$B:$B,L145+1)))</f>
        <v/>
      </c>
      <c r="P145">
        <f>IF('CHOP DASHBOARD'!$B$4="Area",IF(144&lt;=$S$3,IF(AND(OR('CHOP DASHBOARD'!$C$4="",ISNUMBER(SEARCH('CHOP DASHBOARD'!$C$4,INDEX(MASTER_AREAS!$B:$B,145))))),144,""),""),IF('CHOP DASHBOARD'!$B$4="Zone",IF(144&lt;=$S$4,IF(OR('CHOP DASHBOARD'!$C$4="",ISNUMBER(SEARCH('CHOP DASHBOARD'!$C$4,INDEX(MASTER_ZONES!$B:$B,145)))),144,""),""),""))</f>
        <v/>
      </c>
      <c r="Q145">
        <f>IFERROR(SMALL($P$2:$P$1487,144),"")</f>
        <v/>
      </c>
      <c r="R145">
        <f>IF(Q145="","",IF('CHOP DASHBOARD'!$B$4="Area",INDEX(MASTER_AREAS!$B:$B,Q145+1),INDEX(MASTER_ZONES!$B:$B,Q145+1)))</f>
        <v/>
      </c>
      <c r="U145">
        <f>IF('COMMUNITY CHURCH DASHBOARD'!$B$4="Area",IF(144&lt;=$X$3,IF(AND(OR('COMMUNITY CHURCH DASHBOARD'!$C$4="",ISNUMBER(SEARCH('COMMUNITY CHURCH DASHBOARD'!$C$4,INDEX(MASTER_AREAS!$B:$B,145))))),144,""),""),IF('COMMUNITY CHURCH DASHBOARD'!$B$4="Zone",IF(144&lt;=$X$4,IF(OR('COMMUNITY CHURCH DASHBOARD'!$C$4="",ISNUMBER(SEARCH('COMMUNITY CHURCH DASHBOARD'!$C$4,INDEX(MASTER_ZONES!$B:$B,145)))),144,""),""),""))</f>
        <v/>
      </c>
      <c r="V145">
        <f>IFERROR(SMALL($U$2:$U$1487,144),"")</f>
        <v/>
      </c>
      <c r="W145">
        <f>IF(V145="","",IF('COMMUNITY CHURCH DASHBOARD'!$B$4="Area",INDEX(MASTER_AREAS!$B:$B,V145+1),INDEX(MASTER_ZONES!$B:$B,V145+1)))</f>
        <v/>
      </c>
    </row>
    <row r="146">
      <c r="A146">
        <f>IF('WSF DASHBOARD'!$B$4="Area",IF(145&lt;=$D$3,IF(AND(OR('WSF DASHBOARD'!$C$4="",ISNUMBER(SEARCH('WSF DASHBOARD'!$C$4,INDEX(MASTER_AREAS!$B:$B,146))))),145,""),""),IF('WSF DASHBOARD'!$B$4="Zone",IF(145&lt;=$D$4,IF(OR('WSF DASHBOARD'!$C$4="",ISNUMBER(SEARCH('WSF DASHBOARD'!$C$4,INDEX(MASTER_ZONES!$B:$B,146)))),145,""),""),""))</f>
        <v/>
      </c>
      <c r="B146">
        <f>IFERROR(SMALL($A$2:$A$1487,145),"")</f>
        <v/>
      </c>
      <c r="C146">
        <f>IF(B146="","",IF('WSF DASHBOARD'!$B$4="Area",INDEX(MASTER_AREAS!$B:$B,B146+1),INDEX(MASTER_ZONES!$B:$B,B146+1)))</f>
        <v/>
      </c>
      <c r="F146">
        <f>IF('TRANSPORT DASHBOARD'!$B$4="Area",IF(145&lt;=$I$3,IF(AND(INDEX(MASTER_AREAS!$F:$F,146)&lt;&gt;"N",OR('TRANSPORT DASHBOARD'!$C$4="",ISNUMBER(SEARCH('TRANSPORT DASHBOARD'!$C$4,INDEX(MASTER_AREAS!$B:$B,146))))),145,""),""),IF('TRANSPORT DASHBOARD'!$B$4="Zone",IF(145&lt;=$I$4,IF(OR('TRANSPORT DASHBOARD'!$C$4="",ISNUMBER(SEARCH('TRANSPORT DASHBOARD'!$C$4,INDEX(MASTER_ZONES!$B:$B,146)))),145,""),""),""))</f>
        <v/>
      </c>
      <c r="G146">
        <f>IFERROR(SMALL($F$2:$F$1487,145),"")</f>
        <v/>
      </c>
      <c r="H146">
        <f>IF(G146="","",IF('TRANSPORT DASHBOARD'!$B$4="Area",INDEX(MASTER_AREAS!$B:$B,G146+1),INDEX(MASTER_ZONES!$B:$B,G146+1)))</f>
        <v/>
      </c>
      <c r="K146">
        <f>IF('MIDWEEK DASHBOARD'!$B$4="Area",IF(145&lt;=$N$3,IF(AND(OR('MIDWEEK DASHBOARD'!$C$4="",ISNUMBER(SEARCH('MIDWEEK DASHBOARD'!$C$4,INDEX(MASTER_AREAS!$B:$B,146))))),145,""),""),IF('MIDWEEK DASHBOARD'!$B$4="Zone",IF(145&lt;=$N$4,IF(OR('MIDWEEK DASHBOARD'!$C$4="",ISNUMBER(SEARCH('MIDWEEK DASHBOARD'!$C$4,INDEX(MASTER_ZONES!$B:$B,146)))),145,""),""),""))</f>
        <v/>
      </c>
      <c r="L146">
        <f>IFERROR(SMALL($K$2:$K$1487,145),"")</f>
        <v/>
      </c>
      <c r="M146">
        <f>IF(L146="","",IF('MIDWEEK DASHBOARD'!$B$4="Area",INDEX(MASTER_AREAS!$B:$B,L146+1),INDEX(MASTER_ZONES!$B:$B,L146+1)))</f>
        <v/>
      </c>
      <c r="P146">
        <f>IF('CHOP DASHBOARD'!$B$4="Area",IF(145&lt;=$S$3,IF(AND(OR('CHOP DASHBOARD'!$C$4="",ISNUMBER(SEARCH('CHOP DASHBOARD'!$C$4,INDEX(MASTER_AREAS!$B:$B,146))))),145,""),""),IF('CHOP DASHBOARD'!$B$4="Zone",IF(145&lt;=$S$4,IF(OR('CHOP DASHBOARD'!$C$4="",ISNUMBER(SEARCH('CHOP DASHBOARD'!$C$4,INDEX(MASTER_ZONES!$B:$B,146)))),145,""),""),""))</f>
        <v/>
      </c>
      <c r="Q146">
        <f>IFERROR(SMALL($P$2:$P$1487,145),"")</f>
        <v/>
      </c>
      <c r="R146">
        <f>IF(Q146="","",IF('CHOP DASHBOARD'!$B$4="Area",INDEX(MASTER_AREAS!$B:$B,Q146+1),INDEX(MASTER_ZONES!$B:$B,Q146+1)))</f>
        <v/>
      </c>
      <c r="U146">
        <f>IF('COMMUNITY CHURCH DASHBOARD'!$B$4="Area",IF(145&lt;=$X$3,IF(AND(OR('COMMUNITY CHURCH DASHBOARD'!$C$4="",ISNUMBER(SEARCH('COMMUNITY CHURCH DASHBOARD'!$C$4,INDEX(MASTER_AREAS!$B:$B,146))))),145,""),""),IF('COMMUNITY CHURCH DASHBOARD'!$B$4="Zone",IF(145&lt;=$X$4,IF(OR('COMMUNITY CHURCH DASHBOARD'!$C$4="",ISNUMBER(SEARCH('COMMUNITY CHURCH DASHBOARD'!$C$4,INDEX(MASTER_ZONES!$B:$B,146)))),145,""),""),""))</f>
        <v/>
      </c>
      <c r="V146">
        <f>IFERROR(SMALL($U$2:$U$1487,145),"")</f>
        <v/>
      </c>
      <c r="W146">
        <f>IF(V146="","",IF('COMMUNITY CHURCH DASHBOARD'!$B$4="Area",INDEX(MASTER_AREAS!$B:$B,V146+1),INDEX(MASTER_ZONES!$B:$B,V146+1)))</f>
        <v/>
      </c>
    </row>
    <row r="147">
      <c r="A147">
        <f>IF('WSF DASHBOARD'!$B$4="Area",IF(146&lt;=$D$3,IF(AND(OR('WSF DASHBOARD'!$C$4="",ISNUMBER(SEARCH('WSF DASHBOARD'!$C$4,INDEX(MASTER_AREAS!$B:$B,147))))),146,""),""),IF('WSF DASHBOARD'!$B$4="Zone",IF(146&lt;=$D$4,IF(OR('WSF DASHBOARD'!$C$4="",ISNUMBER(SEARCH('WSF DASHBOARD'!$C$4,INDEX(MASTER_ZONES!$B:$B,147)))),146,""),""),""))</f>
        <v/>
      </c>
      <c r="B147">
        <f>IFERROR(SMALL($A$2:$A$1487,146),"")</f>
        <v/>
      </c>
      <c r="C147">
        <f>IF(B147="","",IF('WSF DASHBOARD'!$B$4="Area",INDEX(MASTER_AREAS!$B:$B,B147+1),INDEX(MASTER_ZONES!$B:$B,B147+1)))</f>
        <v/>
      </c>
      <c r="F147">
        <f>IF('TRANSPORT DASHBOARD'!$B$4="Area",IF(146&lt;=$I$3,IF(AND(INDEX(MASTER_AREAS!$F:$F,147)&lt;&gt;"N",OR('TRANSPORT DASHBOARD'!$C$4="",ISNUMBER(SEARCH('TRANSPORT DASHBOARD'!$C$4,INDEX(MASTER_AREAS!$B:$B,147))))),146,""),""),IF('TRANSPORT DASHBOARD'!$B$4="Zone",IF(146&lt;=$I$4,IF(OR('TRANSPORT DASHBOARD'!$C$4="",ISNUMBER(SEARCH('TRANSPORT DASHBOARD'!$C$4,INDEX(MASTER_ZONES!$B:$B,147)))),146,""),""),""))</f>
        <v/>
      </c>
      <c r="G147">
        <f>IFERROR(SMALL($F$2:$F$1487,146),"")</f>
        <v/>
      </c>
      <c r="H147">
        <f>IF(G147="","",IF('TRANSPORT DASHBOARD'!$B$4="Area",INDEX(MASTER_AREAS!$B:$B,G147+1),INDEX(MASTER_ZONES!$B:$B,G147+1)))</f>
        <v/>
      </c>
      <c r="K147">
        <f>IF('MIDWEEK DASHBOARD'!$B$4="Area",IF(146&lt;=$N$3,IF(AND(OR('MIDWEEK DASHBOARD'!$C$4="",ISNUMBER(SEARCH('MIDWEEK DASHBOARD'!$C$4,INDEX(MASTER_AREAS!$B:$B,147))))),146,""),""),IF('MIDWEEK DASHBOARD'!$B$4="Zone",IF(146&lt;=$N$4,IF(OR('MIDWEEK DASHBOARD'!$C$4="",ISNUMBER(SEARCH('MIDWEEK DASHBOARD'!$C$4,INDEX(MASTER_ZONES!$B:$B,147)))),146,""),""),""))</f>
        <v/>
      </c>
      <c r="L147">
        <f>IFERROR(SMALL($K$2:$K$1487,146),"")</f>
        <v/>
      </c>
      <c r="M147">
        <f>IF(L147="","",IF('MIDWEEK DASHBOARD'!$B$4="Area",INDEX(MASTER_AREAS!$B:$B,L147+1),INDEX(MASTER_ZONES!$B:$B,L147+1)))</f>
        <v/>
      </c>
      <c r="P147">
        <f>IF('CHOP DASHBOARD'!$B$4="Area",IF(146&lt;=$S$3,IF(AND(OR('CHOP DASHBOARD'!$C$4="",ISNUMBER(SEARCH('CHOP DASHBOARD'!$C$4,INDEX(MASTER_AREAS!$B:$B,147))))),146,""),""),IF('CHOP DASHBOARD'!$B$4="Zone",IF(146&lt;=$S$4,IF(OR('CHOP DASHBOARD'!$C$4="",ISNUMBER(SEARCH('CHOP DASHBOARD'!$C$4,INDEX(MASTER_ZONES!$B:$B,147)))),146,""),""),""))</f>
        <v/>
      </c>
      <c r="Q147">
        <f>IFERROR(SMALL($P$2:$P$1487,146),"")</f>
        <v/>
      </c>
      <c r="R147">
        <f>IF(Q147="","",IF('CHOP DASHBOARD'!$B$4="Area",INDEX(MASTER_AREAS!$B:$B,Q147+1),INDEX(MASTER_ZONES!$B:$B,Q147+1)))</f>
        <v/>
      </c>
      <c r="U147">
        <f>IF('COMMUNITY CHURCH DASHBOARD'!$B$4="Area",IF(146&lt;=$X$3,IF(AND(OR('COMMUNITY CHURCH DASHBOARD'!$C$4="",ISNUMBER(SEARCH('COMMUNITY CHURCH DASHBOARD'!$C$4,INDEX(MASTER_AREAS!$B:$B,147))))),146,""),""),IF('COMMUNITY CHURCH DASHBOARD'!$B$4="Zone",IF(146&lt;=$X$4,IF(OR('COMMUNITY CHURCH DASHBOARD'!$C$4="",ISNUMBER(SEARCH('COMMUNITY CHURCH DASHBOARD'!$C$4,INDEX(MASTER_ZONES!$B:$B,147)))),146,""),""),""))</f>
        <v/>
      </c>
      <c r="V147">
        <f>IFERROR(SMALL($U$2:$U$1487,146),"")</f>
        <v/>
      </c>
      <c r="W147">
        <f>IF(V147="","",IF('COMMUNITY CHURCH DASHBOARD'!$B$4="Area",INDEX(MASTER_AREAS!$B:$B,V147+1),INDEX(MASTER_ZONES!$B:$B,V147+1)))</f>
        <v/>
      </c>
    </row>
    <row r="148">
      <c r="A148">
        <f>IF('WSF DASHBOARD'!$B$4="Area",IF(147&lt;=$D$3,IF(AND(OR('WSF DASHBOARD'!$C$4="",ISNUMBER(SEARCH('WSF DASHBOARD'!$C$4,INDEX(MASTER_AREAS!$B:$B,148))))),147,""),""),IF('WSF DASHBOARD'!$B$4="Zone",IF(147&lt;=$D$4,IF(OR('WSF DASHBOARD'!$C$4="",ISNUMBER(SEARCH('WSF DASHBOARD'!$C$4,INDEX(MASTER_ZONES!$B:$B,148)))),147,""),""),""))</f>
        <v/>
      </c>
      <c r="B148">
        <f>IFERROR(SMALL($A$2:$A$1487,147),"")</f>
        <v/>
      </c>
      <c r="C148">
        <f>IF(B148="","",IF('WSF DASHBOARD'!$B$4="Area",INDEX(MASTER_AREAS!$B:$B,B148+1),INDEX(MASTER_ZONES!$B:$B,B148+1)))</f>
        <v/>
      </c>
      <c r="F148">
        <f>IF('TRANSPORT DASHBOARD'!$B$4="Area",IF(147&lt;=$I$3,IF(AND(INDEX(MASTER_AREAS!$F:$F,148)&lt;&gt;"N",OR('TRANSPORT DASHBOARD'!$C$4="",ISNUMBER(SEARCH('TRANSPORT DASHBOARD'!$C$4,INDEX(MASTER_AREAS!$B:$B,148))))),147,""),""),IF('TRANSPORT DASHBOARD'!$B$4="Zone",IF(147&lt;=$I$4,IF(OR('TRANSPORT DASHBOARD'!$C$4="",ISNUMBER(SEARCH('TRANSPORT DASHBOARD'!$C$4,INDEX(MASTER_ZONES!$B:$B,148)))),147,""),""),""))</f>
        <v/>
      </c>
      <c r="G148">
        <f>IFERROR(SMALL($F$2:$F$1487,147),"")</f>
        <v/>
      </c>
      <c r="H148">
        <f>IF(G148="","",IF('TRANSPORT DASHBOARD'!$B$4="Area",INDEX(MASTER_AREAS!$B:$B,G148+1),INDEX(MASTER_ZONES!$B:$B,G148+1)))</f>
        <v/>
      </c>
      <c r="K148">
        <f>IF('MIDWEEK DASHBOARD'!$B$4="Area",IF(147&lt;=$N$3,IF(AND(OR('MIDWEEK DASHBOARD'!$C$4="",ISNUMBER(SEARCH('MIDWEEK DASHBOARD'!$C$4,INDEX(MASTER_AREAS!$B:$B,148))))),147,""),""),IF('MIDWEEK DASHBOARD'!$B$4="Zone",IF(147&lt;=$N$4,IF(OR('MIDWEEK DASHBOARD'!$C$4="",ISNUMBER(SEARCH('MIDWEEK DASHBOARD'!$C$4,INDEX(MASTER_ZONES!$B:$B,148)))),147,""),""),""))</f>
        <v/>
      </c>
      <c r="L148">
        <f>IFERROR(SMALL($K$2:$K$1487,147),"")</f>
        <v/>
      </c>
      <c r="M148">
        <f>IF(L148="","",IF('MIDWEEK DASHBOARD'!$B$4="Area",INDEX(MASTER_AREAS!$B:$B,L148+1),INDEX(MASTER_ZONES!$B:$B,L148+1)))</f>
        <v/>
      </c>
      <c r="P148">
        <f>IF('CHOP DASHBOARD'!$B$4="Area",IF(147&lt;=$S$3,IF(AND(OR('CHOP DASHBOARD'!$C$4="",ISNUMBER(SEARCH('CHOP DASHBOARD'!$C$4,INDEX(MASTER_AREAS!$B:$B,148))))),147,""),""),IF('CHOP DASHBOARD'!$B$4="Zone",IF(147&lt;=$S$4,IF(OR('CHOP DASHBOARD'!$C$4="",ISNUMBER(SEARCH('CHOP DASHBOARD'!$C$4,INDEX(MASTER_ZONES!$B:$B,148)))),147,""),""),""))</f>
        <v/>
      </c>
      <c r="Q148">
        <f>IFERROR(SMALL($P$2:$P$1487,147),"")</f>
        <v/>
      </c>
      <c r="R148">
        <f>IF(Q148="","",IF('CHOP DASHBOARD'!$B$4="Area",INDEX(MASTER_AREAS!$B:$B,Q148+1),INDEX(MASTER_ZONES!$B:$B,Q148+1)))</f>
        <v/>
      </c>
      <c r="U148">
        <f>IF('COMMUNITY CHURCH DASHBOARD'!$B$4="Area",IF(147&lt;=$X$3,IF(AND(OR('COMMUNITY CHURCH DASHBOARD'!$C$4="",ISNUMBER(SEARCH('COMMUNITY CHURCH DASHBOARD'!$C$4,INDEX(MASTER_AREAS!$B:$B,148))))),147,""),""),IF('COMMUNITY CHURCH DASHBOARD'!$B$4="Zone",IF(147&lt;=$X$4,IF(OR('COMMUNITY CHURCH DASHBOARD'!$C$4="",ISNUMBER(SEARCH('COMMUNITY CHURCH DASHBOARD'!$C$4,INDEX(MASTER_ZONES!$B:$B,148)))),147,""),""),""))</f>
        <v/>
      </c>
      <c r="V148">
        <f>IFERROR(SMALL($U$2:$U$1487,147),"")</f>
        <v/>
      </c>
      <c r="W148">
        <f>IF(V148="","",IF('COMMUNITY CHURCH DASHBOARD'!$B$4="Area",INDEX(MASTER_AREAS!$B:$B,V148+1),INDEX(MASTER_ZONES!$B:$B,V148+1)))</f>
        <v/>
      </c>
    </row>
    <row r="149">
      <c r="A149">
        <f>IF('WSF DASHBOARD'!$B$4="Area",IF(148&lt;=$D$3,IF(AND(OR('WSF DASHBOARD'!$C$4="",ISNUMBER(SEARCH('WSF DASHBOARD'!$C$4,INDEX(MASTER_AREAS!$B:$B,149))))),148,""),""),IF('WSF DASHBOARD'!$B$4="Zone",IF(148&lt;=$D$4,IF(OR('WSF DASHBOARD'!$C$4="",ISNUMBER(SEARCH('WSF DASHBOARD'!$C$4,INDEX(MASTER_ZONES!$B:$B,149)))),148,""),""),""))</f>
        <v/>
      </c>
      <c r="B149">
        <f>IFERROR(SMALL($A$2:$A$1487,148),"")</f>
        <v/>
      </c>
      <c r="C149">
        <f>IF(B149="","",IF('WSF DASHBOARD'!$B$4="Area",INDEX(MASTER_AREAS!$B:$B,B149+1),INDEX(MASTER_ZONES!$B:$B,B149+1)))</f>
        <v/>
      </c>
      <c r="F149">
        <f>IF('TRANSPORT DASHBOARD'!$B$4="Area",IF(148&lt;=$I$3,IF(AND(INDEX(MASTER_AREAS!$F:$F,149)&lt;&gt;"N",OR('TRANSPORT DASHBOARD'!$C$4="",ISNUMBER(SEARCH('TRANSPORT DASHBOARD'!$C$4,INDEX(MASTER_AREAS!$B:$B,149))))),148,""),""),IF('TRANSPORT DASHBOARD'!$B$4="Zone",IF(148&lt;=$I$4,IF(OR('TRANSPORT DASHBOARD'!$C$4="",ISNUMBER(SEARCH('TRANSPORT DASHBOARD'!$C$4,INDEX(MASTER_ZONES!$B:$B,149)))),148,""),""),""))</f>
        <v/>
      </c>
      <c r="G149">
        <f>IFERROR(SMALL($F$2:$F$1487,148),"")</f>
        <v/>
      </c>
      <c r="H149">
        <f>IF(G149="","",IF('TRANSPORT DASHBOARD'!$B$4="Area",INDEX(MASTER_AREAS!$B:$B,G149+1),INDEX(MASTER_ZONES!$B:$B,G149+1)))</f>
        <v/>
      </c>
      <c r="K149">
        <f>IF('MIDWEEK DASHBOARD'!$B$4="Area",IF(148&lt;=$N$3,IF(AND(OR('MIDWEEK DASHBOARD'!$C$4="",ISNUMBER(SEARCH('MIDWEEK DASHBOARD'!$C$4,INDEX(MASTER_AREAS!$B:$B,149))))),148,""),""),IF('MIDWEEK DASHBOARD'!$B$4="Zone",IF(148&lt;=$N$4,IF(OR('MIDWEEK DASHBOARD'!$C$4="",ISNUMBER(SEARCH('MIDWEEK DASHBOARD'!$C$4,INDEX(MASTER_ZONES!$B:$B,149)))),148,""),""),""))</f>
        <v/>
      </c>
      <c r="L149">
        <f>IFERROR(SMALL($K$2:$K$1487,148),"")</f>
        <v/>
      </c>
      <c r="M149">
        <f>IF(L149="","",IF('MIDWEEK DASHBOARD'!$B$4="Area",INDEX(MASTER_AREAS!$B:$B,L149+1),INDEX(MASTER_ZONES!$B:$B,L149+1)))</f>
        <v/>
      </c>
      <c r="P149">
        <f>IF('CHOP DASHBOARD'!$B$4="Area",IF(148&lt;=$S$3,IF(AND(OR('CHOP DASHBOARD'!$C$4="",ISNUMBER(SEARCH('CHOP DASHBOARD'!$C$4,INDEX(MASTER_AREAS!$B:$B,149))))),148,""),""),IF('CHOP DASHBOARD'!$B$4="Zone",IF(148&lt;=$S$4,IF(OR('CHOP DASHBOARD'!$C$4="",ISNUMBER(SEARCH('CHOP DASHBOARD'!$C$4,INDEX(MASTER_ZONES!$B:$B,149)))),148,""),""),""))</f>
        <v/>
      </c>
      <c r="Q149">
        <f>IFERROR(SMALL($P$2:$P$1487,148),"")</f>
        <v/>
      </c>
      <c r="R149">
        <f>IF(Q149="","",IF('CHOP DASHBOARD'!$B$4="Area",INDEX(MASTER_AREAS!$B:$B,Q149+1),INDEX(MASTER_ZONES!$B:$B,Q149+1)))</f>
        <v/>
      </c>
      <c r="U149">
        <f>IF('COMMUNITY CHURCH DASHBOARD'!$B$4="Area",IF(148&lt;=$X$3,IF(AND(OR('COMMUNITY CHURCH DASHBOARD'!$C$4="",ISNUMBER(SEARCH('COMMUNITY CHURCH DASHBOARD'!$C$4,INDEX(MASTER_AREAS!$B:$B,149))))),148,""),""),IF('COMMUNITY CHURCH DASHBOARD'!$B$4="Zone",IF(148&lt;=$X$4,IF(OR('COMMUNITY CHURCH DASHBOARD'!$C$4="",ISNUMBER(SEARCH('COMMUNITY CHURCH DASHBOARD'!$C$4,INDEX(MASTER_ZONES!$B:$B,149)))),148,""),""),""))</f>
        <v/>
      </c>
      <c r="V149">
        <f>IFERROR(SMALL($U$2:$U$1487,148),"")</f>
        <v/>
      </c>
      <c r="W149">
        <f>IF(V149="","",IF('COMMUNITY CHURCH DASHBOARD'!$B$4="Area",INDEX(MASTER_AREAS!$B:$B,V149+1),INDEX(MASTER_ZONES!$B:$B,V149+1)))</f>
        <v/>
      </c>
    </row>
    <row r="150">
      <c r="A150">
        <f>IF('WSF DASHBOARD'!$B$4="Area",IF(149&lt;=$D$3,IF(AND(OR('WSF DASHBOARD'!$C$4="",ISNUMBER(SEARCH('WSF DASHBOARD'!$C$4,INDEX(MASTER_AREAS!$B:$B,150))))),149,""),""),IF('WSF DASHBOARD'!$B$4="Zone",IF(149&lt;=$D$4,IF(OR('WSF DASHBOARD'!$C$4="",ISNUMBER(SEARCH('WSF DASHBOARD'!$C$4,INDEX(MASTER_ZONES!$B:$B,150)))),149,""),""),""))</f>
        <v/>
      </c>
      <c r="B150">
        <f>IFERROR(SMALL($A$2:$A$1487,149),"")</f>
        <v/>
      </c>
      <c r="C150">
        <f>IF(B150="","",IF('WSF DASHBOARD'!$B$4="Area",INDEX(MASTER_AREAS!$B:$B,B150+1),INDEX(MASTER_ZONES!$B:$B,B150+1)))</f>
        <v/>
      </c>
      <c r="F150">
        <f>IF('TRANSPORT DASHBOARD'!$B$4="Area",IF(149&lt;=$I$3,IF(AND(INDEX(MASTER_AREAS!$F:$F,150)&lt;&gt;"N",OR('TRANSPORT DASHBOARD'!$C$4="",ISNUMBER(SEARCH('TRANSPORT DASHBOARD'!$C$4,INDEX(MASTER_AREAS!$B:$B,150))))),149,""),""),IF('TRANSPORT DASHBOARD'!$B$4="Zone",IF(149&lt;=$I$4,IF(OR('TRANSPORT DASHBOARD'!$C$4="",ISNUMBER(SEARCH('TRANSPORT DASHBOARD'!$C$4,INDEX(MASTER_ZONES!$B:$B,150)))),149,""),""),""))</f>
        <v/>
      </c>
      <c r="G150">
        <f>IFERROR(SMALL($F$2:$F$1487,149),"")</f>
        <v/>
      </c>
      <c r="H150">
        <f>IF(G150="","",IF('TRANSPORT DASHBOARD'!$B$4="Area",INDEX(MASTER_AREAS!$B:$B,G150+1),INDEX(MASTER_ZONES!$B:$B,G150+1)))</f>
        <v/>
      </c>
      <c r="K150">
        <f>IF('MIDWEEK DASHBOARD'!$B$4="Area",IF(149&lt;=$N$3,IF(AND(OR('MIDWEEK DASHBOARD'!$C$4="",ISNUMBER(SEARCH('MIDWEEK DASHBOARD'!$C$4,INDEX(MASTER_AREAS!$B:$B,150))))),149,""),""),IF('MIDWEEK DASHBOARD'!$B$4="Zone",IF(149&lt;=$N$4,IF(OR('MIDWEEK DASHBOARD'!$C$4="",ISNUMBER(SEARCH('MIDWEEK DASHBOARD'!$C$4,INDEX(MASTER_ZONES!$B:$B,150)))),149,""),""),""))</f>
        <v/>
      </c>
      <c r="L150">
        <f>IFERROR(SMALL($K$2:$K$1487,149),"")</f>
        <v/>
      </c>
      <c r="M150">
        <f>IF(L150="","",IF('MIDWEEK DASHBOARD'!$B$4="Area",INDEX(MASTER_AREAS!$B:$B,L150+1),INDEX(MASTER_ZONES!$B:$B,L150+1)))</f>
        <v/>
      </c>
      <c r="P150">
        <f>IF('CHOP DASHBOARD'!$B$4="Area",IF(149&lt;=$S$3,IF(AND(OR('CHOP DASHBOARD'!$C$4="",ISNUMBER(SEARCH('CHOP DASHBOARD'!$C$4,INDEX(MASTER_AREAS!$B:$B,150))))),149,""),""),IF('CHOP DASHBOARD'!$B$4="Zone",IF(149&lt;=$S$4,IF(OR('CHOP DASHBOARD'!$C$4="",ISNUMBER(SEARCH('CHOP DASHBOARD'!$C$4,INDEX(MASTER_ZONES!$B:$B,150)))),149,""),""),""))</f>
        <v/>
      </c>
      <c r="Q150">
        <f>IFERROR(SMALL($P$2:$P$1487,149),"")</f>
        <v/>
      </c>
      <c r="R150">
        <f>IF(Q150="","",IF('CHOP DASHBOARD'!$B$4="Area",INDEX(MASTER_AREAS!$B:$B,Q150+1),INDEX(MASTER_ZONES!$B:$B,Q150+1)))</f>
        <v/>
      </c>
      <c r="U150">
        <f>IF('COMMUNITY CHURCH DASHBOARD'!$B$4="Area",IF(149&lt;=$X$3,IF(AND(OR('COMMUNITY CHURCH DASHBOARD'!$C$4="",ISNUMBER(SEARCH('COMMUNITY CHURCH DASHBOARD'!$C$4,INDEX(MASTER_AREAS!$B:$B,150))))),149,""),""),IF('COMMUNITY CHURCH DASHBOARD'!$B$4="Zone",IF(149&lt;=$X$4,IF(OR('COMMUNITY CHURCH DASHBOARD'!$C$4="",ISNUMBER(SEARCH('COMMUNITY CHURCH DASHBOARD'!$C$4,INDEX(MASTER_ZONES!$B:$B,150)))),149,""),""),""))</f>
        <v/>
      </c>
      <c r="V150">
        <f>IFERROR(SMALL($U$2:$U$1487,149),"")</f>
        <v/>
      </c>
      <c r="W150">
        <f>IF(V150="","",IF('COMMUNITY CHURCH DASHBOARD'!$B$4="Area",INDEX(MASTER_AREAS!$B:$B,V150+1),INDEX(MASTER_ZONES!$B:$B,V150+1)))</f>
        <v/>
      </c>
    </row>
    <row r="151">
      <c r="A151">
        <f>IF('WSF DASHBOARD'!$B$4="Area",IF(150&lt;=$D$3,IF(AND(OR('WSF DASHBOARD'!$C$4="",ISNUMBER(SEARCH('WSF DASHBOARD'!$C$4,INDEX(MASTER_AREAS!$B:$B,151))))),150,""),""),IF('WSF DASHBOARD'!$B$4="Zone",IF(150&lt;=$D$4,IF(OR('WSF DASHBOARD'!$C$4="",ISNUMBER(SEARCH('WSF DASHBOARD'!$C$4,INDEX(MASTER_ZONES!$B:$B,151)))),150,""),""),""))</f>
        <v/>
      </c>
      <c r="B151">
        <f>IFERROR(SMALL($A$2:$A$1487,150),"")</f>
        <v/>
      </c>
      <c r="C151">
        <f>IF(B151="","",IF('WSF DASHBOARD'!$B$4="Area",INDEX(MASTER_AREAS!$B:$B,B151+1),INDEX(MASTER_ZONES!$B:$B,B151+1)))</f>
        <v/>
      </c>
      <c r="F151">
        <f>IF('TRANSPORT DASHBOARD'!$B$4="Area",IF(150&lt;=$I$3,IF(AND(INDEX(MASTER_AREAS!$F:$F,151)&lt;&gt;"N",OR('TRANSPORT DASHBOARD'!$C$4="",ISNUMBER(SEARCH('TRANSPORT DASHBOARD'!$C$4,INDEX(MASTER_AREAS!$B:$B,151))))),150,""),""),IF('TRANSPORT DASHBOARD'!$B$4="Zone",IF(150&lt;=$I$4,IF(OR('TRANSPORT DASHBOARD'!$C$4="",ISNUMBER(SEARCH('TRANSPORT DASHBOARD'!$C$4,INDEX(MASTER_ZONES!$B:$B,151)))),150,""),""),""))</f>
        <v/>
      </c>
      <c r="G151">
        <f>IFERROR(SMALL($F$2:$F$1487,150),"")</f>
        <v/>
      </c>
      <c r="H151">
        <f>IF(G151="","",IF('TRANSPORT DASHBOARD'!$B$4="Area",INDEX(MASTER_AREAS!$B:$B,G151+1),INDEX(MASTER_ZONES!$B:$B,G151+1)))</f>
        <v/>
      </c>
      <c r="K151">
        <f>IF('MIDWEEK DASHBOARD'!$B$4="Area",IF(150&lt;=$N$3,IF(AND(OR('MIDWEEK DASHBOARD'!$C$4="",ISNUMBER(SEARCH('MIDWEEK DASHBOARD'!$C$4,INDEX(MASTER_AREAS!$B:$B,151))))),150,""),""),IF('MIDWEEK DASHBOARD'!$B$4="Zone",IF(150&lt;=$N$4,IF(OR('MIDWEEK DASHBOARD'!$C$4="",ISNUMBER(SEARCH('MIDWEEK DASHBOARD'!$C$4,INDEX(MASTER_ZONES!$B:$B,151)))),150,""),""),""))</f>
        <v/>
      </c>
      <c r="L151">
        <f>IFERROR(SMALL($K$2:$K$1487,150),"")</f>
        <v/>
      </c>
      <c r="M151">
        <f>IF(L151="","",IF('MIDWEEK DASHBOARD'!$B$4="Area",INDEX(MASTER_AREAS!$B:$B,L151+1),INDEX(MASTER_ZONES!$B:$B,L151+1)))</f>
        <v/>
      </c>
      <c r="P151">
        <f>IF('CHOP DASHBOARD'!$B$4="Area",IF(150&lt;=$S$3,IF(AND(OR('CHOP DASHBOARD'!$C$4="",ISNUMBER(SEARCH('CHOP DASHBOARD'!$C$4,INDEX(MASTER_AREAS!$B:$B,151))))),150,""),""),IF('CHOP DASHBOARD'!$B$4="Zone",IF(150&lt;=$S$4,IF(OR('CHOP DASHBOARD'!$C$4="",ISNUMBER(SEARCH('CHOP DASHBOARD'!$C$4,INDEX(MASTER_ZONES!$B:$B,151)))),150,""),""),""))</f>
        <v/>
      </c>
      <c r="Q151">
        <f>IFERROR(SMALL($P$2:$P$1487,150),"")</f>
        <v/>
      </c>
      <c r="R151">
        <f>IF(Q151="","",IF('CHOP DASHBOARD'!$B$4="Area",INDEX(MASTER_AREAS!$B:$B,Q151+1),INDEX(MASTER_ZONES!$B:$B,Q151+1)))</f>
        <v/>
      </c>
      <c r="U151">
        <f>IF('COMMUNITY CHURCH DASHBOARD'!$B$4="Area",IF(150&lt;=$X$3,IF(AND(OR('COMMUNITY CHURCH DASHBOARD'!$C$4="",ISNUMBER(SEARCH('COMMUNITY CHURCH DASHBOARD'!$C$4,INDEX(MASTER_AREAS!$B:$B,151))))),150,""),""),IF('COMMUNITY CHURCH DASHBOARD'!$B$4="Zone",IF(150&lt;=$X$4,IF(OR('COMMUNITY CHURCH DASHBOARD'!$C$4="",ISNUMBER(SEARCH('COMMUNITY CHURCH DASHBOARD'!$C$4,INDEX(MASTER_ZONES!$B:$B,151)))),150,""),""),""))</f>
        <v/>
      </c>
      <c r="V151">
        <f>IFERROR(SMALL($U$2:$U$1487,150),"")</f>
        <v/>
      </c>
      <c r="W151">
        <f>IF(V151="","",IF('COMMUNITY CHURCH DASHBOARD'!$B$4="Area",INDEX(MASTER_AREAS!$B:$B,V151+1),INDEX(MASTER_ZONES!$B:$B,V151+1)))</f>
        <v/>
      </c>
    </row>
    <row r="152">
      <c r="A152">
        <f>IF('WSF DASHBOARD'!$B$4="Area",IF(151&lt;=$D$3,IF(AND(OR('WSF DASHBOARD'!$C$4="",ISNUMBER(SEARCH('WSF DASHBOARD'!$C$4,INDEX(MASTER_AREAS!$B:$B,152))))),151,""),""),IF('WSF DASHBOARD'!$B$4="Zone",IF(151&lt;=$D$4,IF(OR('WSF DASHBOARD'!$C$4="",ISNUMBER(SEARCH('WSF DASHBOARD'!$C$4,INDEX(MASTER_ZONES!$B:$B,152)))),151,""),""),""))</f>
        <v/>
      </c>
      <c r="B152">
        <f>IFERROR(SMALL($A$2:$A$1487,151),"")</f>
        <v/>
      </c>
      <c r="C152">
        <f>IF(B152="","",IF('WSF DASHBOARD'!$B$4="Area",INDEX(MASTER_AREAS!$B:$B,B152+1),INDEX(MASTER_ZONES!$B:$B,B152+1)))</f>
        <v/>
      </c>
      <c r="F152">
        <f>IF('TRANSPORT DASHBOARD'!$B$4="Area",IF(151&lt;=$I$3,IF(AND(INDEX(MASTER_AREAS!$F:$F,152)&lt;&gt;"N",OR('TRANSPORT DASHBOARD'!$C$4="",ISNUMBER(SEARCH('TRANSPORT DASHBOARD'!$C$4,INDEX(MASTER_AREAS!$B:$B,152))))),151,""),""),IF('TRANSPORT DASHBOARD'!$B$4="Zone",IF(151&lt;=$I$4,IF(OR('TRANSPORT DASHBOARD'!$C$4="",ISNUMBER(SEARCH('TRANSPORT DASHBOARD'!$C$4,INDEX(MASTER_ZONES!$B:$B,152)))),151,""),""),""))</f>
        <v/>
      </c>
      <c r="G152">
        <f>IFERROR(SMALL($F$2:$F$1487,151),"")</f>
        <v/>
      </c>
      <c r="H152">
        <f>IF(G152="","",IF('TRANSPORT DASHBOARD'!$B$4="Area",INDEX(MASTER_AREAS!$B:$B,G152+1),INDEX(MASTER_ZONES!$B:$B,G152+1)))</f>
        <v/>
      </c>
      <c r="K152">
        <f>IF('MIDWEEK DASHBOARD'!$B$4="Area",IF(151&lt;=$N$3,IF(AND(OR('MIDWEEK DASHBOARD'!$C$4="",ISNUMBER(SEARCH('MIDWEEK DASHBOARD'!$C$4,INDEX(MASTER_AREAS!$B:$B,152))))),151,""),""),IF('MIDWEEK DASHBOARD'!$B$4="Zone",IF(151&lt;=$N$4,IF(OR('MIDWEEK DASHBOARD'!$C$4="",ISNUMBER(SEARCH('MIDWEEK DASHBOARD'!$C$4,INDEX(MASTER_ZONES!$B:$B,152)))),151,""),""),""))</f>
        <v/>
      </c>
      <c r="L152">
        <f>IFERROR(SMALL($K$2:$K$1487,151),"")</f>
        <v/>
      </c>
      <c r="M152">
        <f>IF(L152="","",IF('MIDWEEK DASHBOARD'!$B$4="Area",INDEX(MASTER_AREAS!$B:$B,L152+1),INDEX(MASTER_ZONES!$B:$B,L152+1)))</f>
        <v/>
      </c>
      <c r="P152">
        <f>IF('CHOP DASHBOARD'!$B$4="Area",IF(151&lt;=$S$3,IF(AND(OR('CHOP DASHBOARD'!$C$4="",ISNUMBER(SEARCH('CHOP DASHBOARD'!$C$4,INDEX(MASTER_AREAS!$B:$B,152))))),151,""),""),IF('CHOP DASHBOARD'!$B$4="Zone",IF(151&lt;=$S$4,IF(OR('CHOP DASHBOARD'!$C$4="",ISNUMBER(SEARCH('CHOP DASHBOARD'!$C$4,INDEX(MASTER_ZONES!$B:$B,152)))),151,""),""),""))</f>
        <v/>
      </c>
      <c r="Q152">
        <f>IFERROR(SMALL($P$2:$P$1487,151),"")</f>
        <v/>
      </c>
      <c r="R152">
        <f>IF(Q152="","",IF('CHOP DASHBOARD'!$B$4="Area",INDEX(MASTER_AREAS!$B:$B,Q152+1),INDEX(MASTER_ZONES!$B:$B,Q152+1)))</f>
        <v/>
      </c>
      <c r="U152">
        <f>IF('COMMUNITY CHURCH DASHBOARD'!$B$4="Area",IF(151&lt;=$X$3,IF(AND(OR('COMMUNITY CHURCH DASHBOARD'!$C$4="",ISNUMBER(SEARCH('COMMUNITY CHURCH DASHBOARD'!$C$4,INDEX(MASTER_AREAS!$B:$B,152))))),151,""),""),IF('COMMUNITY CHURCH DASHBOARD'!$B$4="Zone",IF(151&lt;=$X$4,IF(OR('COMMUNITY CHURCH DASHBOARD'!$C$4="",ISNUMBER(SEARCH('COMMUNITY CHURCH DASHBOARD'!$C$4,INDEX(MASTER_ZONES!$B:$B,152)))),151,""),""),""))</f>
        <v/>
      </c>
      <c r="V152">
        <f>IFERROR(SMALL($U$2:$U$1487,151),"")</f>
        <v/>
      </c>
      <c r="W152">
        <f>IF(V152="","",IF('COMMUNITY CHURCH DASHBOARD'!$B$4="Area",INDEX(MASTER_AREAS!$B:$B,V152+1),INDEX(MASTER_ZONES!$B:$B,V152+1)))</f>
        <v/>
      </c>
    </row>
    <row r="153">
      <c r="A153">
        <f>IF('WSF DASHBOARD'!$B$4="Area",IF(152&lt;=$D$3,IF(AND(OR('WSF DASHBOARD'!$C$4="",ISNUMBER(SEARCH('WSF DASHBOARD'!$C$4,INDEX(MASTER_AREAS!$B:$B,153))))),152,""),""),IF('WSF DASHBOARD'!$B$4="Zone",IF(152&lt;=$D$4,IF(OR('WSF DASHBOARD'!$C$4="",ISNUMBER(SEARCH('WSF DASHBOARD'!$C$4,INDEX(MASTER_ZONES!$B:$B,153)))),152,""),""),""))</f>
        <v/>
      </c>
      <c r="B153">
        <f>IFERROR(SMALL($A$2:$A$1487,152),"")</f>
        <v/>
      </c>
      <c r="C153">
        <f>IF(B153="","",IF('WSF DASHBOARD'!$B$4="Area",INDEX(MASTER_AREAS!$B:$B,B153+1),INDEX(MASTER_ZONES!$B:$B,B153+1)))</f>
        <v/>
      </c>
      <c r="F153">
        <f>IF('TRANSPORT DASHBOARD'!$B$4="Area",IF(152&lt;=$I$3,IF(AND(INDEX(MASTER_AREAS!$F:$F,153)&lt;&gt;"N",OR('TRANSPORT DASHBOARD'!$C$4="",ISNUMBER(SEARCH('TRANSPORT DASHBOARD'!$C$4,INDEX(MASTER_AREAS!$B:$B,153))))),152,""),""),IF('TRANSPORT DASHBOARD'!$B$4="Zone",IF(152&lt;=$I$4,IF(OR('TRANSPORT DASHBOARD'!$C$4="",ISNUMBER(SEARCH('TRANSPORT DASHBOARD'!$C$4,INDEX(MASTER_ZONES!$B:$B,153)))),152,""),""),""))</f>
        <v/>
      </c>
      <c r="G153">
        <f>IFERROR(SMALL($F$2:$F$1487,152),"")</f>
        <v/>
      </c>
      <c r="H153">
        <f>IF(G153="","",IF('TRANSPORT DASHBOARD'!$B$4="Area",INDEX(MASTER_AREAS!$B:$B,G153+1),INDEX(MASTER_ZONES!$B:$B,G153+1)))</f>
        <v/>
      </c>
      <c r="K153">
        <f>IF('MIDWEEK DASHBOARD'!$B$4="Area",IF(152&lt;=$N$3,IF(AND(OR('MIDWEEK DASHBOARD'!$C$4="",ISNUMBER(SEARCH('MIDWEEK DASHBOARD'!$C$4,INDEX(MASTER_AREAS!$B:$B,153))))),152,""),""),IF('MIDWEEK DASHBOARD'!$B$4="Zone",IF(152&lt;=$N$4,IF(OR('MIDWEEK DASHBOARD'!$C$4="",ISNUMBER(SEARCH('MIDWEEK DASHBOARD'!$C$4,INDEX(MASTER_ZONES!$B:$B,153)))),152,""),""),""))</f>
        <v/>
      </c>
      <c r="L153">
        <f>IFERROR(SMALL($K$2:$K$1487,152),"")</f>
        <v/>
      </c>
      <c r="M153">
        <f>IF(L153="","",IF('MIDWEEK DASHBOARD'!$B$4="Area",INDEX(MASTER_AREAS!$B:$B,L153+1),INDEX(MASTER_ZONES!$B:$B,L153+1)))</f>
        <v/>
      </c>
      <c r="P153">
        <f>IF('CHOP DASHBOARD'!$B$4="Area",IF(152&lt;=$S$3,IF(AND(OR('CHOP DASHBOARD'!$C$4="",ISNUMBER(SEARCH('CHOP DASHBOARD'!$C$4,INDEX(MASTER_AREAS!$B:$B,153))))),152,""),""),IF('CHOP DASHBOARD'!$B$4="Zone",IF(152&lt;=$S$4,IF(OR('CHOP DASHBOARD'!$C$4="",ISNUMBER(SEARCH('CHOP DASHBOARD'!$C$4,INDEX(MASTER_ZONES!$B:$B,153)))),152,""),""),""))</f>
        <v/>
      </c>
      <c r="Q153">
        <f>IFERROR(SMALL($P$2:$P$1487,152),"")</f>
        <v/>
      </c>
      <c r="R153">
        <f>IF(Q153="","",IF('CHOP DASHBOARD'!$B$4="Area",INDEX(MASTER_AREAS!$B:$B,Q153+1),INDEX(MASTER_ZONES!$B:$B,Q153+1)))</f>
        <v/>
      </c>
      <c r="U153">
        <f>IF('COMMUNITY CHURCH DASHBOARD'!$B$4="Area",IF(152&lt;=$X$3,IF(AND(OR('COMMUNITY CHURCH DASHBOARD'!$C$4="",ISNUMBER(SEARCH('COMMUNITY CHURCH DASHBOARD'!$C$4,INDEX(MASTER_AREAS!$B:$B,153))))),152,""),""),IF('COMMUNITY CHURCH DASHBOARD'!$B$4="Zone",IF(152&lt;=$X$4,IF(OR('COMMUNITY CHURCH DASHBOARD'!$C$4="",ISNUMBER(SEARCH('COMMUNITY CHURCH DASHBOARD'!$C$4,INDEX(MASTER_ZONES!$B:$B,153)))),152,""),""),""))</f>
        <v/>
      </c>
      <c r="V153">
        <f>IFERROR(SMALL($U$2:$U$1487,152),"")</f>
        <v/>
      </c>
      <c r="W153">
        <f>IF(V153="","",IF('COMMUNITY CHURCH DASHBOARD'!$B$4="Area",INDEX(MASTER_AREAS!$B:$B,V153+1),INDEX(MASTER_ZONES!$B:$B,V153+1)))</f>
        <v/>
      </c>
    </row>
    <row r="154">
      <c r="A154">
        <f>IF('WSF DASHBOARD'!$B$4="Area",IF(153&lt;=$D$3,IF(AND(OR('WSF DASHBOARD'!$C$4="",ISNUMBER(SEARCH('WSF DASHBOARD'!$C$4,INDEX(MASTER_AREAS!$B:$B,154))))),153,""),""),IF('WSF DASHBOARD'!$B$4="Zone",IF(153&lt;=$D$4,IF(OR('WSF DASHBOARD'!$C$4="",ISNUMBER(SEARCH('WSF DASHBOARD'!$C$4,INDEX(MASTER_ZONES!$B:$B,154)))),153,""),""),""))</f>
        <v/>
      </c>
      <c r="B154">
        <f>IFERROR(SMALL($A$2:$A$1487,153),"")</f>
        <v/>
      </c>
      <c r="C154">
        <f>IF(B154="","",IF('WSF DASHBOARD'!$B$4="Area",INDEX(MASTER_AREAS!$B:$B,B154+1),INDEX(MASTER_ZONES!$B:$B,B154+1)))</f>
        <v/>
      </c>
      <c r="F154">
        <f>IF('TRANSPORT DASHBOARD'!$B$4="Area",IF(153&lt;=$I$3,IF(AND(INDEX(MASTER_AREAS!$F:$F,154)&lt;&gt;"N",OR('TRANSPORT DASHBOARD'!$C$4="",ISNUMBER(SEARCH('TRANSPORT DASHBOARD'!$C$4,INDEX(MASTER_AREAS!$B:$B,154))))),153,""),""),IF('TRANSPORT DASHBOARD'!$B$4="Zone",IF(153&lt;=$I$4,IF(OR('TRANSPORT DASHBOARD'!$C$4="",ISNUMBER(SEARCH('TRANSPORT DASHBOARD'!$C$4,INDEX(MASTER_ZONES!$B:$B,154)))),153,""),""),""))</f>
        <v/>
      </c>
      <c r="G154">
        <f>IFERROR(SMALL($F$2:$F$1487,153),"")</f>
        <v/>
      </c>
      <c r="H154">
        <f>IF(G154="","",IF('TRANSPORT DASHBOARD'!$B$4="Area",INDEX(MASTER_AREAS!$B:$B,G154+1),INDEX(MASTER_ZONES!$B:$B,G154+1)))</f>
        <v/>
      </c>
      <c r="K154">
        <f>IF('MIDWEEK DASHBOARD'!$B$4="Area",IF(153&lt;=$N$3,IF(AND(OR('MIDWEEK DASHBOARD'!$C$4="",ISNUMBER(SEARCH('MIDWEEK DASHBOARD'!$C$4,INDEX(MASTER_AREAS!$B:$B,154))))),153,""),""),IF('MIDWEEK DASHBOARD'!$B$4="Zone",IF(153&lt;=$N$4,IF(OR('MIDWEEK DASHBOARD'!$C$4="",ISNUMBER(SEARCH('MIDWEEK DASHBOARD'!$C$4,INDEX(MASTER_ZONES!$B:$B,154)))),153,""),""),""))</f>
        <v/>
      </c>
      <c r="L154">
        <f>IFERROR(SMALL($K$2:$K$1487,153),"")</f>
        <v/>
      </c>
      <c r="M154">
        <f>IF(L154="","",IF('MIDWEEK DASHBOARD'!$B$4="Area",INDEX(MASTER_AREAS!$B:$B,L154+1),INDEX(MASTER_ZONES!$B:$B,L154+1)))</f>
        <v/>
      </c>
      <c r="P154">
        <f>IF('CHOP DASHBOARD'!$B$4="Area",IF(153&lt;=$S$3,IF(AND(OR('CHOP DASHBOARD'!$C$4="",ISNUMBER(SEARCH('CHOP DASHBOARD'!$C$4,INDEX(MASTER_AREAS!$B:$B,154))))),153,""),""),IF('CHOP DASHBOARD'!$B$4="Zone",IF(153&lt;=$S$4,IF(OR('CHOP DASHBOARD'!$C$4="",ISNUMBER(SEARCH('CHOP DASHBOARD'!$C$4,INDEX(MASTER_ZONES!$B:$B,154)))),153,""),""),""))</f>
        <v/>
      </c>
      <c r="Q154">
        <f>IFERROR(SMALL($P$2:$P$1487,153),"")</f>
        <v/>
      </c>
      <c r="R154">
        <f>IF(Q154="","",IF('CHOP DASHBOARD'!$B$4="Area",INDEX(MASTER_AREAS!$B:$B,Q154+1),INDEX(MASTER_ZONES!$B:$B,Q154+1)))</f>
        <v/>
      </c>
      <c r="U154">
        <f>IF('COMMUNITY CHURCH DASHBOARD'!$B$4="Area",IF(153&lt;=$X$3,IF(AND(OR('COMMUNITY CHURCH DASHBOARD'!$C$4="",ISNUMBER(SEARCH('COMMUNITY CHURCH DASHBOARD'!$C$4,INDEX(MASTER_AREAS!$B:$B,154))))),153,""),""),IF('COMMUNITY CHURCH DASHBOARD'!$B$4="Zone",IF(153&lt;=$X$4,IF(OR('COMMUNITY CHURCH DASHBOARD'!$C$4="",ISNUMBER(SEARCH('COMMUNITY CHURCH DASHBOARD'!$C$4,INDEX(MASTER_ZONES!$B:$B,154)))),153,""),""),""))</f>
        <v/>
      </c>
      <c r="V154">
        <f>IFERROR(SMALL($U$2:$U$1487,153),"")</f>
        <v/>
      </c>
      <c r="W154">
        <f>IF(V154="","",IF('COMMUNITY CHURCH DASHBOARD'!$B$4="Area",INDEX(MASTER_AREAS!$B:$B,V154+1),INDEX(MASTER_ZONES!$B:$B,V154+1)))</f>
        <v/>
      </c>
    </row>
    <row r="155">
      <c r="A155">
        <f>IF('WSF DASHBOARD'!$B$4="Area",IF(154&lt;=$D$3,IF(AND(OR('WSF DASHBOARD'!$C$4="",ISNUMBER(SEARCH('WSF DASHBOARD'!$C$4,INDEX(MASTER_AREAS!$B:$B,155))))),154,""),""),IF('WSF DASHBOARD'!$B$4="Zone",IF(154&lt;=$D$4,IF(OR('WSF DASHBOARD'!$C$4="",ISNUMBER(SEARCH('WSF DASHBOARD'!$C$4,INDEX(MASTER_ZONES!$B:$B,155)))),154,""),""),""))</f>
        <v/>
      </c>
      <c r="B155">
        <f>IFERROR(SMALL($A$2:$A$1487,154),"")</f>
        <v/>
      </c>
      <c r="C155">
        <f>IF(B155="","",IF('WSF DASHBOARD'!$B$4="Area",INDEX(MASTER_AREAS!$B:$B,B155+1),INDEX(MASTER_ZONES!$B:$B,B155+1)))</f>
        <v/>
      </c>
      <c r="F155">
        <f>IF('TRANSPORT DASHBOARD'!$B$4="Area",IF(154&lt;=$I$3,IF(AND(INDEX(MASTER_AREAS!$F:$F,155)&lt;&gt;"N",OR('TRANSPORT DASHBOARD'!$C$4="",ISNUMBER(SEARCH('TRANSPORT DASHBOARD'!$C$4,INDEX(MASTER_AREAS!$B:$B,155))))),154,""),""),IF('TRANSPORT DASHBOARD'!$B$4="Zone",IF(154&lt;=$I$4,IF(OR('TRANSPORT DASHBOARD'!$C$4="",ISNUMBER(SEARCH('TRANSPORT DASHBOARD'!$C$4,INDEX(MASTER_ZONES!$B:$B,155)))),154,""),""),""))</f>
        <v/>
      </c>
      <c r="G155">
        <f>IFERROR(SMALL($F$2:$F$1487,154),"")</f>
        <v/>
      </c>
      <c r="H155">
        <f>IF(G155="","",IF('TRANSPORT DASHBOARD'!$B$4="Area",INDEX(MASTER_AREAS!$B:$B,G155+1),INDEX(MASTER_ZONES!$B:$B,G155+1)))</f>
        <v/>
      </c>
      <c r="K155">
        <f>IF('MIDWEEK DASHBOARD'!$B$4="Area",IF(154&lt;=$N$3,IF(AND(OR('MIDWEEK DASHBOARD'!$C$4="",ISNUMBER(SEARCH('MIDWEEK DASHBOARD'!$C$4,INDEX(MASTER_AREAS!$B:$B,155))))),154,""),""),IF('MIDWEEK DASHBOARD'!$B$4="Zone",IF(154&lt;=$N$4,IF(OR('MIDWEEK DASHBOARD'!$C$4="",ISNUMBER(SEARCH('MIDWEEK DASHBOARD'!$C$4,INDEX(MASTER_ZONES!$B:$B,155)))),154,""),""),""))</f>
        <v/>
      </c>
      <c r="L155">
        <f>IFERROR(SMALL($K$2:$K$1487,154),"")</f>
        <v/>
      </c>
      <c r="M155">
        <f>IF(L155="","",IF('MIDWEEK DASHBOARD'!$B$4="Area",INDEX(MASTER_AREAS!$B:$B,L155+1),INDEX(MASTER_ZONES!$B:$B,L155+1)))</f>
        <v/>
      </c>
      <c r="P155">
        <f>IF('CHOP DASHBOARD'!$B$4="Area",IF(154&lt;=$S$3,IF(AND(OR('CHOP DASHBOARD'!$C$4="",ISNUMBER(SEARCH('CHOP DASHBOARD'!$C$4,INDEX(MASTER_AREAS!$B:$B,155))))),154,""),""),IF('CHOP DASHBOARD'!$B$4="Zone",IF(154&lt;=$S$4,IF(OR('CHOP DASHBOARD'!$C$4="",ISNUMBER(SEARCH('CHOP DASHBOARD'!$C$4,INDEX(MASTER_ZONES!$B:$B,155)))),154,""),""),""))</f>
        <v/>
      </c>
      <c r="Q155">
        <f>IFERROR(SMALL($P$2:$P$1487,154),"")</f>
        <v/>
      </c>
      <c r="R155">
        <f>IF(Q155="","",IF('CHOP DASHBOARD'!$B$4="Area",INDEX(MASTER_AREAS!$B:$B,Q155+1),INDEX(MASTER_ZONES!$B:$B,Q155+1)))</f>
        <v/>
      </c>
      <c r="U155">
        <f>IF('COMMUNITY CHURCH DASHBOARD'!$B$4="Area",IF(154&lt;=$X$3,IF(AND(OR('COMMUNITY CHURCH DASHBOARD'!$C$4="",ISNUMBER(SEARCH('COMMUNITY CHURCH DASHBOARD'!$C$4,INDEX(MASTER_AREAS!$B:$B,155))))),154,""),""),IF('COMMUNITY CHURCH DASHBOARD'!$B$4="Zone",IF(154&lt;=$X$4,IF(OR('COMMUNITY CHURCH DASHBOARD'!$C$4="",ISNUMBER(SEARCH('COMMUNITY CHURCH DASHBOARD'!$C$4,INDEX(MASTER_ZONES!$B:$B,155)))),154,""),""),""))</f>
        <v/>
      </c>
      <c r="V155">
        <f>IFERROR(SMALL($U$2:$U$1487,154),"")</f>
        <v/>
      </c>
      <c r="W155">
        <f>IF(V155="","",IF('COMMUNITY CHURCH DASHBOARD'!$B$4="Area",INDEX(MASTER_AREAS!$B:$B,V155+1),INDEX(MASTER_ZONES!$B:$B,V155+1)))</f>
        <v/>
      </c>
    </row>
    <row r="156">
      <c r="A156">
        <f>IF('WSF DASHBOARD'!$B$4="Area",IF(155&lt;=$D$3,IF(AND(OR('WSF DASHBOARD'!$C$4="",ISNUMBER(SEARCH('WSF DASHBOARD'!$C$4,INDEX(MASTER_AREAS!$B:$B,156))))),155,""),""),IF('WSF DASHBOARD'!$B$4="Zone",IF(155&lt;=$D$4,IF(OR('WSF DASHBOARD'!$C$4="",ISNUMBER(SEARCH('WSF DASHBOARD'!$C$4,INDEX(MASTER_ZONES!$B:$B,156)))),155,""),""),""))</f>
        <v/>
      </c>
      <c r="B156">
        <f>IFERROR(SMALL($A$2:$A$1487,155),"")</f>
        <v/>
      </c>
      <c r="C156">
        <f>IF(B156="","",IF('WSF DASHBOARD'!$B$4="Area",INDEX(MASTER_AREAS!$B:$B,B156+1),INDEX(MASTER_ZONES!$B:$B,B156+1)))</f>
        <v/>
      </c>
      <c r="F156">
        <f>IF('TRANSPORT DASHBOARD'!$B$4="Area",IF(155&lt;=$I$3,IF(AND(INDEX(MASTER_AREAS!$F:$F,156)&lt;&gt;"N",OR('TRANSPORT DASHBOARD'!$C$4="",ISNUMBER(SEARCH('TRANSPORT DASHBOARD'!$C$4,INDEX(MASTER_AREAS!$B:$B,156))))),155,""),""),IF('TRANSPORT DASHBOARD'!$B$4="Zone",IF(155&lt;=$I$4,IF(OR('TRANSPORT DASHBOARD'!$C$4="",ISNUMBER(SEARCH('TRANSPORT DASHBOARD'!$C$4,INDEX(MASTER_ZONES!$B:$B,156)))),155,""),""),""))</f>
        <v/>
      </c>
      <c r="G156">
        <f>IFERROR(SMALL($F$2:$F$1487,155),"")</f>
        <v/>
      </c>
      <c r="H156">
        <f>IF(G156="","",IF('TRANSPORT DASHBOARD'!$B$4="Area",INDEX(MASTER_AREAS!$B:$B,G156+1),INDEX(MASTER_ZONES!$B:$B,G156+1)))</f>
        <v/>
      </c>
      <c r="K156">
        <f>IF('MIDWEEK DASHBOARD'!$B$4="Area",IF(155&lt;=$N$3,IF(AND(OR('MIDWEEK DASHBOARD'!$C$4="",ISNUMBER(SEARCH('MIDWEEK DASHBOARD'!$C$4,INDEX(MASTER_AREAS!$B:$B,156))))),155,""),""),IF('MIDWEEK DASHBOARD'!$B$4="Zone",IF(155&lt;=$N$4,IF(OR('MIDWEEK DASHBOARD'!$C$4="",ISNUMBER(SEARCH('MIDWEEK DASHBOARD'!$C$4,INDEX(MASTER_ZONES!$B:$B,156)))),155,""),""),""))</f>
        <v/>
      </c>
      <c r="L156">
        <f>IFERROR(SMALL($K$2:$K$1487,155),"")</f>
        <v/>
      </c>
      <c r="M156">
        <f>IF(L156="","",IF('MIDWEEK DASHBOARD'!$B$4="Area",INDEX(MASTER_AREAS!$B:$B,L156+1),INDEX(MASTER_ZONES!$B:$B,L156+1)))</f>
        <v/>
      </c>
      <c r="P156">
        <f>IF('CHOP DASHBOARD'!$B$4="Area",IF(155&lt;=$S$3,IF(AND(OR('CHOP DASHBOARD'!$C$4="",ISNUMBER(SEARCH('CHOP DASHBOARD'!$C$4,INDEX(MASTER_AREAS!$B:$B,156))))),155,""),""),IF('CHOP DASHBOARD'!$B$4="Zone",IF(155&lt;=$S$4,IF(OR('CHOP DASHBOARD'!$C$4="",ISNUMBER(SEARCH('CHOP DASHBOARD'!$C$4,INDEX(MASTER_ZONES!$B:$B,156)))),155,""),""),""))</f>
        <v/>
      </c>
      <c r="Q156">
        <f>IFERROR(SMALL($P$2:$P$1487,155),"")</f>
        <v/>
      </c>
      <c r="R156">
        <f>IF(Q156="","",IF('CHOP DASHBOARD'!$B$4="Area",INDEX(MASTER_AREAS!$B:$B,Q156+1),INDEX(MASTER_ZONES!$B:$B,Q156+1)))</f>
        <v/>
      </c>
      <c r="U156">
        <f>IF('COMMUNITY CHURCH DASHBOARD'!$B$4="Area",IF(155&lt;=$X$3,IF(AND(OR('COMMUNITY CHURCH DASHBOARD'!$C$4="",ISNUMBER(SEARCH('COMMUNITY CHURCH DASHBOARD'!$C$4,INDEX(MASTER_AREAS!$B:$B,156))))),155,""),""),IF('COMMUNITY CHURCH DASHBOARD'!$B$4="Zone",IF(155&lt;=$X$4,IF(OR('COMMUNITY CHURCH DASHBOARD'!$C$4="",ISNUMBER(SEARCH('COMMUNITY CHURCH DASHBOARD'!$C$4,INDEX(MASTER_ZONES!$B:$B,156)))),155,""),""),""))</f>
        <v/>
      </c>
      <c r="V156">
        <f>IFERROR(SMALL($U$2:$U$1487,155),"")</f>
        <v/>
      </c>
      <c r="W156">
        <f>IF(V156="","",IF('COMMUNITY CHURCH DASHBOARD'!$B$4="Area",INDEX(MASTER_AREAS!$B:$B,V156+1),INDEX(MASTER_ZONES!$B:$B,V156+1)))</f>
        <v/>
      </c>
    </row>
    <row r="157">
      <c r="A157">
        <f>IF('WSF DASHBOARD'!$B$4="Area",IF(156&lt;=$D$3,IF(AND(OR('WSF DASHBOARD'!$C$4="",ISNUMBER(SEARCH('WSF DASHBOARD'!$C$4,INDEX(MASTER_AREAS!$B:$B,157))))),156,""),""),IF('WSF DASHBOARD'!$B$4="Zone",IF(156&lt;=$D$4,IF(OR('WSF DASHBOARD'!$C$4="",ISNUMBER(SEARCH('WSF DASHBOARD'!$C$4,INDEX(MASTER_ZONES!$B:$B,157)))),156,""),""),""))</f>
        <v/>
      </c>
      <c r="B157">
        <f>IFERROR(SMALL($A$2:$A$1487,156),"")</f>
        <v/>
      </c>
      <c r="C157">
        <f>IF(B157="","",IF('WSF DASHBOARD'!$B$4="Area",INDEX(MASTER_AREAS!$B:$B,B157+1),INDEX(MASTER_ZONES!$B:$B,B157+1)))</f>
        <v/>
      </c>
      <c r="F157">
        <f>IF('TRANSPORT DASHBOARD'!$B$4="Area",IF(156&lt;=$I$3,IF(AND(INDEX(MASTER_AREAS!$F:$F,157)&lt;&gt;"N",OR('TRANSPORT DASHBOARD'!$C$4="",ISNUMBER(SEARCH('TRANSPORT DASHBOARD'!$C$4,INDEX(MASTER_AREAS!$B:$B,157))))),156,""),""),IF('TRANSPORT DASHBOARD'!$B$4="Zone",IF(156&lt;=$I$4,IF(OR('TRANSPORT DASHBOARD'!$C$4="",ISNUMBER(SEARCH('TRANSPORT DASHBOARD'!$C$4,INDEX(MASTER_ZONES!$B:$B,157)))),156,""),""),""))</f>
        <v/>
      </c>
      <c r="G157">
        <f>IFERROR(SMALL($F$2:$F$1487,156),"")</f>
        <v/>
      </c>
      <c r="H157">
        <f>IF(G157="","",IF('TRANSPORT DASHBOARD'!$B$4="Area",INDEX(MASTER_AREAS!$B:$B,G157+1),INDEX(MASTER_ZONES!$B:$B,G157+1)))</f>
        <v/>
      </c>
      <c r="K157">
        <f>IF('MIDWEEK DASHBOARD'!$B$4="Area",IF(156&lt;=$N$3,IF(AND(OR('MIDWEEK DASHBOARD'!$C$4="",ISNUMBER(SEARCH('MIDWEEK DASHBOARD'!$C$4,INDEX(MASTER_AREAS!$B:$B,157))))),156,""),""),IF('MIDWEEK DASHBOARD'!$B$4="Zone",IF(156&lt;=$N$4,IF(OR('MIDWEEK DASHBOARD'!$C$4="",ISNUMBER(SEARCH('MIDWEEK DASHBOARD'!$C$4,INDEX(MASTER_ZONES!$B:$B,157)))),156,""),""),""))</f>
        <v/>
      </c>
      <c r="L157">
        <f>IFERROR(SMALL($K$2:$K$1487,156),"")</f>
        <v/>
      </c>
      <c r="M157">
        <f>IF(L157="","",IF('MIDWEEK DASHBOARD'!$B$4="Area",INDEX(MASTER_AREAS!$B:$B,L157+1),INDEX(MASTER_ZONES!$B:$B,L157+1)))</f>
        <v/>
      </c>
      <c r="P157">
        <f>IF('CHOP DASHBOARD'!$B$4="Area",IF(156&lt;=$S$3,IF(AND(OR('CHOP DASHBOARD'!$C$4="",ISNUMBER(SEARCH('CHOP DASHBOARD'!$C$4,INDEX(MASTER_AREAS!$B:$B,157))))),156,""),""),IF('CHOP DASHBOARD'!$B$4="Zone",IF(156&lt;=$S$4,IF(OR('CHOP DASHBOARD'!$C$4="",ISNUMBER(SEARCH('CHOP DASHBOARD'!$C$4,INDEX(MASTER_ZONES!$B:$B,157)))),156,""),""),""))</f>
        <v/>
      </c>
      <c r="Q157">
        <f>IFERROR(SMALL($P$2:$P$1487,156),"")</f>
        <v/>
      </c>
      <c r="R157">
        <f>IF(Q157="","",IF('CHOP DASHBOARD'!$B$4="Area",INDEX(MASTER_AREAS!$B:$B,Q157+1),INDEX(MASTER_ZONES!$B:$B,Q157+1)))</f>
        <v/>
      </c>
      <c r="U157">
        <f>IF('COMMUNITY CHURCH DASHBOARD'!$B$4="Area",IF(156&lt;=$X$3,IF(AND(OR('COMMUNITY CHURCH DASHBOARD'!$C$4="",ISNUMBER(SEARCH('COMMUNITY CHURCH DASHBOARD'!$C$4,INDEX(MASTER_AREAS!$B:$B,157))))),156,""),""),IF('COMMUNITY CHURCH DASHBOARD'!$B$4="Zone",IF(156&lt;=$X$4,IF(OR('COMMUNITY CHURCH DASHBOARD'!$C$4="",ISNUMBER(SEARCH('COMMUNITY CHURCH DASHBOARD'!$C$4,INDEX(MASTER_ZONES!$B:$B,157)))),156,""),""),""))</f>
        <v/>
      </c>
      <c r="V157">
        <f>IFERROR(SMALL($U$2:$U$1487,156),"")</f>
        <v/>
      </c>
      <c r="W157">
        <f>IF(V157="","",IF('COMMUNITY CHURCH DASHBOARD'!$B$4="Area",INDEX(MASTER_AREAS!$B:$B,V157+1),INDEX(MASTER_ZONES!$B:$B,V157+1)))</f>
        <v/>
      </c>
    </row>
    <row r="158">
      <c r="A158">
        <f>IF('WSF DASHBOARD'!$B$4="Area",IF(157&lt;=$D$3,IF(AND(OR('WSF DASHBOARD'!$C$4="",ISNUMBER(SEARCH('WSF DASHBOARD'!$C$4,INDEX(MASTER_AREAS!$B:$B,158))))),157,""),""),IF('WSF DASHBOARD'!$B$4="Zone",IF(157&lt;=$D$4,IF(OR('WSF DASHBOARD'!$C$4="",ISNUMBER(SEARCH('WSF DASHBOARD'!$C$4,INDEX(MASTER_ZONES!$B:$B,158)))),157,""),""),""))</f>
        <v/>
      </c>
      <c r="B158">
        <f>IFERROR(SMALL($A$2:$A$1487,157),"")</f>
        <v/>
      </c>
      <c r="C158">
        <f>IF(B158="","",IF('WSF DASHBOARD'!$B$4="Area",INDEX(MASTER_AREAS!$B:$B,B158+1),INDEX(MASTER_ZONES!$B:$B,B158+1)))</f>
        <v/>
      </c>
      <c r="F158">
        <f>IF('TRANSPORT DASHBOARD'!$B$4="Area",IF(157&lt;=$I$3,IF(AND(INDEX(MASTER_AREAS!$F:$F,158)&lt;&gt;"N",OR('TRANSPORT DASHBOARD'!$C$4="",ISNUMBER(SEARCH('TRANSPORT DASHBOARD'!$C$4,INDEX(MASTER_AREAS!$B:$B,158))))),157,""),""),IF('TRANSPORT DASHBOARD'!$B$4="Zone",IF(157&lt;=$I$4,IF(OR('TRANSPORT DASHBOARD'!$C$4="",ISNUMBER(SEARCH('TRANSPORT DASHBOARD'!$C$4,INDEX(MASTER_ZONES!$B:$B,158)))),157,""),""),""))</f>
        <v/>
      </c>
      <c r="G158">
        <f>IFERROR(SMALL($F$2:$F$1487,157),"")</f>
        <v/>
      </c>
      <c r="H158">
        <f>IF(G158="","",IF('TRANSPORT DASHBOARD'!$B$4="Area",INDEX(MASTER_AREAS!$B:$B,G158+1),INDEX(MASTER_ZONES!$B:$B,G158+1)))</f>
        <v/>
      </c>
      <c r="K158">
        <f>IF('MIDWEEK DASHBOARD'!$B$4="Area",IF(157&lt;=$N$3,IF(AND(OR('MIDWEEK DASHBOARD'!$C$4="",ISNUMBER(SEARCH('MIDWEEK DASHBOARD'!$C$4,INDEX(MASTER_AREAS!$B:$B,158))))),157,""),""),IF('MIDWEEK DASHBOARD'!$B$4="Zone",IF(157&lt;=$N$4,IF(OR('MIDWEEK DASHBOARD'!$C$4="",ISNUMBER(SEARCH('MIDWEEK DASHBOARD'!$C$4,INDEX(MASTER_ZONES!$B:$B,158)))),157,""),""),""))</f>
        <v/>
      </c>
      <c r="L158">
        <f>IFERROR(SMALL($K$2:$K$1487,157),"")</f>
        <v/>
      </c>
      <c r="M158">
        <f>IF(L158="","",IF('MIDWEEK DASHBOARD'!$B$4="Area",INDEX(MASTER_AREAS!$B:$B,L158+1),INDEX(MASTER_ZONES!$B:$B,L158+1)))</f>
        <v/>
      </c>
      <c r="P158">
        <f>IF('CHOP DASHBOARD'!$B$4="Area",IF(157&lt;=$S$3,IF(AND(OR('CHOP DASHBOARD'!$C$4="",ISNUMBER(SEARCH('CHOP DASHBOARD'!$C$4,INDEX(MASTER_AREAS!$B:$B,158))))),157,""),""),IF('CHOP DASHBOARD'!$B$4="Zone",IF(157&lt;=$S$4,IF(OR('CHOP DASHBOARD'!$C$4="",ISNUMBER(SEARCH('CHOP DASHBOARD'!$C$4,INDEX(MASTER_ZONES!$B:$B,158)))),157,""),""),""))</f>
        <v/>
      </c>
      <c r="Q158">
        <f>IFERROR(SMALL($P$2:$P$1487,157),"")</f>
        <v/>
      </c>
      <c r="R158">
        <f>IF(Q158="","",IF('CHOP DASHBOARD'!$B$4="Area",INDEX(MASTER_AREAS!$B:$B,Q158+1),INDEX(MASTER_ZONES!$B:$B,Q158+1)))</f>
        <v/>
      </c>
      <c r="U158">
        <f>IF('COMMUNITY CHURCH DASHBOARD'!$B$4="Area",IF(157&lt;=$X$3,IF(AND(OR('COMMUNITY CHURCH DASHBOARD'!$C$4="",ISNUMBER(SEARCH('COMMUNITY CHURCH DASHBOARD'!$C$4,INDEX(MASTER_AREAS!$B:$B,158))))),157,""),""),IF('COMMUNITY CHURCH DASHBOARD'!$B$4="Zone",IF(157&lt;=$X$4,IF(OR('COMMUNITY CHURCH DASHBOARD'!$C$4="",ISNUMBER(SEARCH('COMMUNITY CHURCH DASHBOARD'!$C$4,INDEX(MASTER_ZONES!$B:$B,158)))),157,""),""),""))</f>
        <v/>
      </c>
      <c r="V158">
        <f>IFERROR(SMALL($U$2:$U$1487,157),"")</f>
        <v/>
      </c>
      <c r="W158">
        <f>IF(V158="","",IF('COMMUNITY CHURCH DASHBOARD'!$B$4="Area",INDEX(MASTER_AREAS!$B:$B,V158+1),INDEX(MASTER_ZONES!$B:$B,V158+1)))</f>
        <v/>
      </c>
    </row>
    <row r="159">
      <c r="A159">
        <f>IF('WSF DASHBOARD'!$B$4="Area",IF(158&lt;=$D$3,IF(AND(OR('WSF DASHBOARD'!$C$4="",ISNUMBER(SEARCH('WSF DASHBOARD'!$C$4,INDEX(MASTER_AREAS!$B:$B,159))))),158,""),""),IF('WSF DASHBOARD'!$B$4="Zone",IF(158&lt;=$D$4,IF(OR('WSF DASHBOARD'!$C$4="",ISNUMBER(SEARCH('WSF DASHBOARD'!$C$4,INDEX(MASTER_ZONES!$B:$B,159)))),158,""),""),""))</f>
        <v/>
      </c>
      <c r="B159">
        <f>IFERROR(SMALL($A$2:$A$1487,158),"")</f>
        <v/>
      </c>
      <c r="C159">
        <f>IF(B159="","",IF('WSF DASHBOARD'!$B$4="Area",INDEX(MASTER_AREAS!$B:$B,B159+1),INDEX(MASTER_ZONES!$B:$B,B159+1)))</f>
        <v/>
      </c>
      <c r="F159">
        <f>IF('TRANSPORT DASHBOARD'!$B$4="Area",IF(158&lt;=$I$3,IF(AND(INDEX(MASTER_AREAS!$F:$F,159)&lt;&gt;"N",OR('TRANSPORT DASHBOARD'!$C$4="",ISNUMBER(SEARCH('TRANSPORT DASHBOARD'!$C$4,INDEX(MASTER_AREAS!$B:$B,159))))),158,""),""),IF('TRANSPORT DASHBOARD'!$B$4="Zone",IF(158&lt;=$I$4,IF(OR('TRANSPORT DASHBOARD'!$C$4="",ISNUMBER(SEARCH('TRANSPORT DASHBOARD'!$C$4,INDEX(MASTER_ZONES!$B:$B,159)))),158,""),""),""))</f>
        <v/>
      </c>
      <c r="G159">
        <f>IFERROR(SMALL($F$2:$F$1487,158),"")</f>
        <v/>
      </c>
      <c r="H159">
        <f>IF(G159="","",IF('TRANSPORT DASHBOARD'!$B$4="Area",INDEX(MASTER_AREAS!$B:$B,G159+1),INDEX(MASTER_ZONES!$B:$B,G159+1)))</f>
        <v/>
      </c>
      <c r="K159">
        <f>IF('MIDWEEK DASHBOARD'!$B$4="Area",IF(158&lt;=$N$3,IF(AND(OR('MIDWEEK DASHBOARD'!$C$4="",ISNUMBER(SEARCH('MIDWEEK DASHBOARD'!$C$4,INDEX(MASTER_AREAS!$B:$B,159))))),158,""),""),IF('MIDWEEK DASHBOARD'!$B$4="Zone",IF(158&lt;=$N$4,IF(OR('MIDWEEK DASHBOARD'!$C$4="",ISNUMBER(SEARCH('MIDWEEK DASHBOARD'!$C$4,INDEX(MASTER_ZONES!$B:$B,159)))),158,""),""),""))</f>
        <v/>
      </c>
      <c r="L159">
        <f>IFERROR(SMALL($K$2:$K$1487,158),"")</f>
        <v/>
      </c>
      <c r="M159">
        <f>IF(L159="","",IF('MIDWEEK DASHBOARD'!$B$4="Area",INDEX(MASTER_AREAS!$B:$B,L159+1),INDEX(MASTER_ZONES!$B:$B,L159+1)))</f>
        <v/>
      </c>
      <c r="P159">
        <f>IF('CHOP DASHBOARD'!$B$4="Area",IF(158&lt;=$S$3,IF(AND(OR('CHOP DASHBOARD'!$C$4="",ISNUMBER(SEARCH('CHOP DASHBOARD'!$C$4,INDEX(MASTER_AREAS!$B:$B,159))))),158,""),""),IF('CHOP DASHBOARD'!$B$4="Zone",IF(158&lt;=$S$4,IF(OR('CHOP DASHBOARD'!$C$4="",ISNUMBER(SEARCH('CHOP DASHBOARD'!$C$4,INDEX(MASTER_ZONES!$B:$B,159)))),158,""),""),""))</f>
        <v/>
      </c>
      <c r="Q159">
        <f>IFERROR(SMALL($P$2:$P$1487,158),"")</f>
        <v/>
      </c>
      <c r="R159">
        <f>IF(Q159="","",IF('CHOP DASHBOARD'!$B$4="Area",INDEX(MASTER_AREAS!$B:$B,Q159+1),INDEX(MASTER_ZONES!$B:$B,Q159+1)))</f>
        <v/>
      </c>
      <c r="U159">
        <f>IF('COMMUNITY CHURCH DASHBOARD'!$B$4="Area",IF(158&lt;=$X$3,IF(AND(OR('COMMUNITY CHURCH DASHBOARD'!$C$4="",ISNUMBER(SEARCH('COMMUNITY CHURCH DASHBOARD'!$C$4,INDEX(MASTER_AREAS!$B:$B,159))))),158,""),""),IF('COMMUNITY CHURCH DASHBOARD'!$B$4="Zone",IF(158&lt;=$X$4,IF(OR('COMMUNITY CHURCH DASHBOARD'!$C$4="",ISNUMBER(SEARCH('COMMUNITY CHURCH DASHBOARD'!$C$4,INDEX(MASTER_ZONES!$B:$B,159)))),158,""),""),""))</f>
        <v/>
      </c>
      <c r="V159">
        <f>IFERROR(SMALL($U$2:$U$1487,158),"")</f>
        <v/>
      </c>
      <c r="W159">
        <f>IF(V159="","",IF('COMMUNITY CHURCH DASHBOARD'!$B$4="Area",INDEX(MASTER_AREAS!$B:$B,V159+1),INDEX(MASTER_ZONES!$B:$B,V159+1)))</f>
        <v/>
      </c>
    </row>
    <row r="160">
      <c r="A160">
        <f>IF('WSF DASHBOARD'!$B$4="Area",IF(159&lt;=$D$3,IF(AND(OR('WSF DASHBOARD'!$C$4="",ISNUMBER(SEARCH('WSF DASHBOARD'!$C$4,INDEX(MASTER_AREAS!$B:$B,160))))),159,""),""),IF('WSF DASHBOARD'!$B$4="Zone",IF(159&lt;=$D$4,IF(OR('WSF DASHBOARD'!$C$4="",ISNUMBER(SEARCH('WSF DASHBOARD'!$C$4,INDEX(MASTER_ZONES!$B:$B,160)))),159,""),""),""))</f>
        <v/>
      </c>
      <c r="B160">
        <f>IFERROR(SMALL($A$2:$A$1487,159),"")</f>
        <v/>
      </c>
      <c r="C160">
        <f>IF(B160="","",IF('WSF DASHBOARD'!$B$4="Area",INDEX(MASTER_AREAS!$B:$B,B160+1),INDEX(MASTER_ZONES!$B:$B,B160+1)))</f>
        <v/>
      </c>
      <c r="F160">
        <f>IF('TRANSPORT DASHBOARD'!$B$4="Area",IF(159&lt;=$I$3,IF(AND(INDEX(MASTER_AREAS!$F:$F,160)&lt;&gt;"N",OR('TRANSPORT DASHBOARD'!$C$4="",ISNUMBER(SEARCH('TRANSPORT DASHBOARD'!$C$4,INDEX(MASTER_AREAS!$B:$B,160))))),159,""),""),IF('TRANSPORT DASHBOARD'!$B$4="Zone",IF(159&lt;=$I$4,IF(OR('TRANSPORT DASHBOARD'!$C$4="",ISNUMBER(SEARCH('TRANSPORT DASHBOARD'!$C$4,INDEX(MASTER_ZONES!$B:$B,160)))),159,""),""),""))</f>
        <v/>
      </c>
      <c r="G160">
        <f>IFERROR(SMALL($F$2:$F$1487,159),"")</f>
        <v/>
      </c>
      <c r="H160">
        <f>IF(G160="","",IF('TRANSPORT DASHBOARD'!$B$4="Area",INDEX(MASTER_AREAS!$B:$B,G160+1),INDEX(MASTER_ZONES!$B:$B,G160+1)))</f>
        <v/>
      </c>
      <c r="K160">
        <f>IF('MIDWEEK DASHBOARD'!$B$4="Area",IF(159&lt;=$N$3,IF(AND(OR('MIDWEEK DASHBOARD'!$C$4="",ISNUMBER(SEARCH('MIDWEEK DASHBOARD'!$C$4,INDEX(MASTER_AREAS!$B:$B,160))))),159,""),""),IF('MIDWEEK DASHBOARD'!$B$4="Zone",IF(159&lt;=$N$4,IF(OR('MIDWEEK DASHBOARD'!$C$4="",ISNUMBER(SEARCH('MIDWEEK DASHBOARD'!$C$4,INDEX(MASTER_ZONES!$B:$B,160)))),159,""),""),""))</f>
        <v/>
      </c>
      <c r="L160">
        <f>IFERROR(SMALL($K$2:$K$1487,159),"")</f>
        <v/>
      </c>
      <c r="M160">
        <f>IF(L160="","",IF('MIDWEEK DASHBOARD'!$B$4="Area",INDEX(MASTER_AREAS!$B:$B,L160+1),INDEX(MASTER_ZONES!$B:$B,L160+1)))</f>
        <v/>
      </c>
      <c r="P160">
        <f>IF('CHOP DASHBOARD'!$B$4="Area",IF(159&lt;=$S$3,IF(AND(OR('CHOP DASHBOARD'!$C$4="",ISNUMBER(SEARCH('CHOP DASHBOARD'!$C$4,INDEX(MASTER_AREAS!$B:$B,160))))),159,""),""),IF('CHOP DASHBOARD'!$B$4="Zone",IF(159&lt;=$S$4,IF(OR('CHOP DASHBOARD'!$C$4="",ISNUMBER(SEARCH('CHOP DASHBOARD'!$C$4,INDEX(MASTER_ZONES!$B:$B,160)))),159,""),""),""))</f>
        <v/>
      </c>
      <c r="Q160">
        <f>IFERROR(SMALL($P$2:$P$1487,159),"")</f>
        <v/>
      </c>
      <c r="R160">
        <f>IF(Q160="","",IF('CHOP DASHBOARD'!$B$4="Area",INDEX(MASTER_AREAS!$B:$B,Q160+1),INDEX(MASTER_ZONES!$B:$B,Q160+1)))</f>
        <v/>
      </c>
      <c r="U160">
        <f>IF('COMMUNITY CHURCH DASHBOARD'!$B$4="Area",IF(159&lt;=$X$3,IF(AND(OR('COMMUNITY CHURCH DASHBOARD'!$C$4="",ISNUMBER(SEARCH('COMMUNITY CHURCH DASHBOARD'!$C$4,INDEX(MASTER_AREAS!$B:$B,160))))),159,""),""),IF('COMMUNITY CHURCH DASHBOARD'!$B$4="Zone",IF(159&lt;=$X$4,IF(OR('COMMUNITY CHURCH DASHBOARD'!$C$4="",ISNUMBER(SEARCH('COMMUNITY CHURCH DASHBOARD'!$C$4,INDEX(MASTER_ZONES!$B:$B,160)))),159,""),""),""))</f>
        <v/>
      </c>
      <c r="V160">
        <f>IFERROR(SMALL($U$2:$U$1487,159),"")</f>
        <v/>
      </c>
      <c r="W160">
        <f>IF(V160="","",IF('COMMUNITY CHURCH DASHBOARD'!$B$4="Area",INDEX(MASTER_AREAS!$B:$B,V160+1),INDEX(MASTER_ZONES!$B:$B,V160+1)))</f>
        <v/>
      </c>
    </row>
    <row r="161">
      <c r="A161">
        <f>IF('WSF DASHBOARD'!$B$4="Area",IF(160&lt;=$D$3,IF(AND(OR('WSF DASHBOARD'!$C$4="",ISNUMBER(SEARCH('WSF DASHBOARD'!$C$4,INDEX(MASTER_AREAS!$B:$B,161))))),160,""),""),IF('WSF DASHBOARD'!$B$4="Zone",IF(160&lt;=$D$4,IF(OR('WSF DASHBOARD'!$C$4="",ISNUMBER(SEARCH('WSF DASHBOARD'!$C$4,INDEX(MASTER_ZONES!$B:$B,161)))),160,""),""),""))</f>
        <v/>
      </c>
      <c r="B161">
        <f>IFERROR(SMALL($A$2:$A$1487,160),"")</f>
        <v/>
      </c>
      <c r="C161">
        <f>IF(B161="","",IF('WSF DASHBOARD'!$B$4="Area",INDEX(MASTER_AREAS!$B:$B,B161+1),INDEX(MASTER_ZONES!$B:$B,B161+1)))</f>
        <v/>
      </c>
      <c r="F161">
        <f>IF('TRANSPORT DASHBOARD'!$B$4="Area",IF(160&lt;=$I$3,IF(AND(INDEX(MASTER_AREAS!$F:$F,161)&lt;&gt;"N",OR('TRANSPORT DASHBOARD'!$C$4="",ISNUMBER(SEARCH('TRANSPORT DASHBOARD'!$C$4,INDEX(MASTER_AREAS!$B:$B,161))))),160,""),""),IF('TRANSPORT DASHBOARD'!$B$4="Zone",IF(160&lt;=$I$4,IF(OR('TRANSPORT DASHBOARD'!$C$4="",ISNUMBER(SEARCH('TRANSPORT DASHBOARD'!$C$4,INDEX(MASTER_ZONES!$B:$B,161)))),160,""),""),""))</f>
        <v/>
      </c>
      <c r="G161">
        <f>IFERROR(SMALL($F$2:$F$1487,160),"")</f>
        <v/>
      </c>
      <c r="H161">
        <f>IF(G161="","",IF('TRANSPORT DASHBOARD'!$B$4="Area",INDEX(MASTER_AREAS!$B:$B,G161+1),INDEX(MASTER_ZONES!$B:$B,G161+1)))</f>
        <v/>
      </c>
      <c r="K161">
        <f>IF('MIDWEEK DASHBOARD'!$B$4="Area",IF(160&lt;=$N$3,IF(AND(OR('MIDWEEK DASHBOARD'!$C$4="",ISNUMBER(SEARCH('MIDWEEK DASHBOARD'!$C$4,INDEX(MASTER_AREAS!$B:$B,161))))),160,""),""),IF('MIDWEEK DASHBOARD'!$B$4="Zone",IF(160&lt;=$N$4,IF(OR('MIDWEEK DASHBOARD'!$C$4="",ISNUMBER(SEARCH('MIDWEEK DASHBOARD'!$C$4,INDEX(MASTER_ZONES!$B:$B,161)))),160,""),""),""))</f>
        <v/>
      </c>
      <c r="L161">
        <f>IFERROR(SMALL($K$2:$K$1487,160),"")</f>
        <v/>
      </c>
      <c r="M161">
        <f>IF(L161="","",IF('MIDWEEK DASHBOARD'!$B$4="Area",INDEX(MASTER_AREAS!$B:$B,L161+1),INDEX(MASTER_ZONES!$B:$B,L161+1)))</f>
        <v/>
      </c>
      <c r="P161">
        <f>IF('CHOP DASHBOARD'!$B$4="Area",IF(160&lt;=$S$3,IF(AND(OR('CHOP DASHBOARD'!$C$4="",ISNUMBER(SEARCH('CHOP DASHBOARD'!$C$4,INDEX(MASTER_AREAS!$B:$B,161))))),160,""),""),IF('CHOP DASHBOARD'!$B$4="Zone",IF(160&lt;=$S$4,IF(OR('CHOP DASHBOARD'!$C$4="",ISNUMBER(SEARCH('CHOP DASHBOARD'!$C$4,INDEX(MASTER_ZONES!$B:$B,161)))),160,""),""),""))</f>
        <v/>
      </c>
      <c r="Q161">
        <f>IFERROR(SMALL($P$2:$P$1487,160),"")</f>
        <v/>
      </c>
      <c r="R161">
        <f>IF(Q161="","",IF('CHOP DASHBOARD'!$B$4="Area",INDEX(MASTER_AREAS!$B:$B,Q161+1),INDEX(MASTER_ZONES!$B:$B,Q161+1)))</f>
        <v/>
      </c>
      <c r="U161">
        <f>IF('COMMUNITY CHURCH DASHBOARD'!$B$4="Area",IF(160&lt;=$X$3,IF(AND(OR('COMMUNITY CHURCH DASHBOARD'!$C$4="",ISNUMBER(SEARCH('COMMUNITY CHURCH DASHBOARD'!$C$4,INDEX(MASTER_AREAS!$B:$B,161))))),160,""),""),IF('COMMUNITY CHURCH DASHBOARD'!$B$4="Zone",IF(160&lt;=$X$4,IF(OR('COMMUNITY CHURCH DASHBOARD'!$C$4="",ISNUMBER(SEARCH('COMMUNITY CHURCH DASHBOARD'!$C$4,INDEX(MASTER_ZONES!$B:$B,161)))),160,""),""),""))</f>
        <v/>
      </c>
      <c r="V161">
        <f>IFERROR(SMALL($U$2:$U$1487,160),"")</f>
        <v/>
      </c>
      <c r="W161">
        <f>IF(V161="","",IF('COMMUNITY CHURCH DASHBOARD'!$B$4="Area",INDEX(MASTER_AREAS!$B:$B,V161+1),INDEX(MASTER_ZONES!$B:$B,V161+1)))</f>
        <v/>
      </c>
    </row>
    <row r="162">
      <c r="A162">
        <f>IF('WSF DASHBOARD'!$B$4="Area",IF(161&lt;=$D$3,IF(AND(OR('WSF DASHBOARD'!$C$4="",ISNUMBER(SEARCH('WSF DASHBOARD'!$C$4,INDEX(MASTER_AREAS!$B:$B,162))))),161,""),""),IF('WSF DASHBOARD'!$B$4="Zone",IF(161&lt;=$D$4,IF(OR('WSF DASHBOARD'!$C$4="",ISNUMBER(SEARCH('WSF DASHBOARD'!$C$4,INDEX(MASTER_ZONES!$B:$B,162)))),161,""),""),""))</f>
        <v/>
      </c>
      <c r="B162">
        <f>IFERROR(SMALL($A$2:$A$1487,161),"")</f>
        <v/>
      </c>
      <c r="C162">
        <f>IF(B162="","",IF('WSF DASHBOARD'!$B$4="Area",INDEX(MASTER_AREAS!$B:$B,B162+1),INDEX(MASTER_ZONES!$B:$B,B162+1)))</f>
        <v/>
      </c>
      <c r="F162">
        <f>IF('TRANSPORT DASHBOARD'!$B$4="Area",IF(161&lt;=$I$3,IF(AND(INDEX(MASTER_AREAS!$F:$F,162)&lt;&gt;"N",OR('TRANSPORT DASHBOARD'!$C$4="",ISNUMBER(SEARCH('TRANSPORT DASHBOARD'!$C$4,INDEX(MASTER_AREAS!$B:$B,162))))),161,""),""),IF('TRANSPORT DASHBOARD'!$B$4="Zone",IF(161&lt;=$I$4,IF(OR('TRANSPORT DASHBOARD'!$C$4="",ISNUMBER(SEARCH('TRANSPORT DASHBOARD'!$C$4,INDEX(MASTER_ZONES!$B:$B,162)))),161,""),""),""))</f>
        <v/>
      </c>
      <c r="G162">
        <f>IFERROR(SMALL($F$2:$F$1487,161),"")</f>
        <v/>
      </c>
      <c r="H162">
        <f>IF(G162="","",IF('TRANSPORT DASHBOARD'!$B$4="Area",INDEX(MASTER_AREAS!$B:$B,G162+1),INDEX(MASTER_ZONES!$B:$B,G162+1)))</f>
        <v/>
      </c>
      <c r="K162">
        <f>IF('MIDWEEK DASHBOARD'!$B$4="Area",IF(161&lt;=$N$3,IF(AND(OR('MIDWEEK DASHBOARD'!$C$4="",ISNUMBER(SEARCH('MIDWEEK DASHBOARD'!$C$4,INDEX(MASTER_AREAS!$B:$B,162))))),161,""),""),IF('MIDWEEK DASHBOARD'!$B$4="Zone",IF(161&lt;=$N$4,IF(OR('MIDWEEK DASHBOARD'!$C$4="",ISNUMBER(SEARCH('MIDWEEK DASHBOARD'!$C$4,INDEX(MASTER_ZONES!$B:$B,162)))),161,""),""),""))</f>
        <v/>
      </c>
      <c r="L162">
        <f>IFERROR(SMALL($K$2:$K$1487,161),"")</f>
        <v/>
      </c>
      <c r="M162">
        <f>IF(L162="","",IF('MIDWEEK DASHBOARD'!$B$4="Area",INDEX(MASTER_AREAS!$B:$B,L162+1),INDEX(MASTER_ZONES!$B:$B,L162+1)))</f>
        <v/>
      </c>
      <c r="P162">
        <f>IF('CHOP DASHBOARD'!$B$4="Area",IF(161&lt;=$S$3,IF(AND(OR('CHOP DASHBOARD'!$C$4="",ISNUMBER(SEARCH('CHOP DASHBOARD'!$C$4,INDEX(MASTER_AREAS!$B:$B,162))))),161,""),""),IF('CHOP DASHBOARD'!$B$4="Zone",IF(161&lt;=$S$4,IF(OR('CHOP DASHBOARD'!$C$4="",ISNUMBER(SEARCH('CHOP DASHBOARD'!$C$4,INDEX(MASTER_ZONES!$B:$B,162)))),161,""),""),""))</f>
        <v/>
      </c>
      <c r="Q162">
        <f>IFERROR(SMALL($P$2:$P$1487,161),"")</f>
        <v/>
      </c>
      <c r="R162">
        <f>IF(Q162="","",IF('CHOP DASHBOARD'!$B$4="Area",INDEX(MASTER_AREAS!$B:$B,Q162+1),INDEX(MASTER_ZONES!$B:$B,Q162+1)))</f>
        <v/>
      </c>
      <c r="U162">
        <f>IF('COMMUNITY CHURCH DASHBOARD'!$B$4="Area",IF(161&lt;=$X$3,IF(AND(OR('COMMUNITY CHURCH DASHBOARD'!$C$4="",ISNUMBER(SEARCH('COMMUNITY CHURCH DASHBOARD'!$C$4,INDEX(MASTER_AREAS!$B:$B,162))))),161,""),""),IF('COMMUNITY CHURCH DASHBOARD'!$B$4="Zone",IF(161&lt;=$X$4,IF(OR('COMMUNITY CHURCH DASHBOARD'!$C$4="",ISNUMBER(SEARCH('COMMUNITY CHURCH DASHBOARD'!$C$4,INDEX(MASTER_ZONES!$B:$B,162)))),161,""),""),""))</f>
        <v/>
      </c>
      <c r="V162">
        <f>IFERROR(SMALL($U$2:$U$1487,161),"")</f>
        <v/>
      </c>
      <c r="W162">
        <f>IF(V162="","",IF('COMMUNITY CHURCH DASHBOARD'!$B$4="Area",INDEX(MASTER_AREAS!$B:$B,V162+1),INDEX(MASTER_ZONES!$B:$B,V162+1)))</f>
        <v/>
      </c>
    </row>
    <row r="163">
      <c r="A163">
        <f>IF('WSF DASHBOARD'!$B$4="Area",IF(162&lt;=$D$3,IF(AND(OR('WSF DASHBOARD'!$C$4="",ISNUMBER(SEARCH('WSF DASHBOARD'!$C$4,INDEX(MASTER_AREAS!$B:$B,163))))),162,""),""),IF('WSF DASHBOARD'!$B$4="Zone",IF(162&lt;=$D$4,IF(OR('WSF DASHBOARD'!$C$4="",ISNUMBER(SEARCH('WSF DASHBOARD'!$C$4,INDEX(MASTER_ZONES!$B:$B,163)))),162,""),""),""))</f>
        <v/>
      </c>
      <c r="B163">
        <f>IFERROR(SMALL($A$2:$A$1487,162),"")</f>
        <v/>
      </c>
      <c r="C163">
        <f>IF(B163="","",IF('WSF DASHBOARD'!$B$4="Area",INDEX(MASTER_AREAS!$B:$B,B163+1),INDEX(MASTER_ZONES!$B:$B,B163+1)))</f>
        <v/>
      </c>
      <c r="F163">
        <f>IF('TRANSPORT DASHBOARD'!$B$4="Area",IF(162&lt;=$I$3,IF(AND(INDEX(MASTER_AREAS!$F:$F,163)&lt;&gt;"N",OR('TRANSPORT DASHBOARD'!$C$4="",ISNUMBER(SEARCH('TRANSPORT DASHBOARD'!$C$4,INDEX(MASTER_AREAS!$B:$B,163))))),162,""),""),IF('TRANSPORT DASHBOARD'!$B$4="Zone",IF(162&lt;=$I$4,IF(OR('TRANSPORT DASHBOARD'!$C$4="",ISNUMBER(SEARCH('TRANSPORT DASHBOARD'!$C$4,INDEX(MASTER_ZONES!$B:$B,163)))),162,""),""),""))</f>
        <v/>
      </c>
      <c r="G163">
        <f>IFERROR(SMALL($F$2:$F$1487,162),"")</f>
        <v/>
      </c>
      <c r="H163">
        <f>IF(G163="","",IF('TRANSPORT DASHBOARD'!$B$4="Area",INDEX(MASTER_AREAS!$B:$B,G163+1),INDEX(MASTER_ZONES!$B:$B,G163+1)))</f>
        <v/>
      </c>
      <c r="K163">
        <f>IF('MIDWEEK DASHBOARD'!$B$4="Area",IF(162&lt;=$N$3,IF(AND(OR('MIDWEEK DASHBOARD'!$C$4="",ISNUMBER(SEARCH('MIDWEEK DASHBOARD'!$C$4,INDEX(MASTER_AREAS!$B:$B,163))))),162,""),""),IF('MIDWEEK DASHBOARD'!$B$4="Zone",IF(162&lt;=$N$4,IF(OR('MIDWEEK DASHBOARD'!$C$4="",ISNUMBER(SEARCH('MIDWEEK DASHBOARD'!$C$4,INDEX(MASTER_ZONES!$B:$B,163)))),162,""),""),""))</f>
        <v/>
      </c>
      <c r="L163">
        <f>IFERROR(SMALL($K$2:$K$1487,162),"")</f>
        <v/>
      </c>
      <c r="M163">
        <f>IF(L163="","",IF('MIDWEEK DASHBOARD'!$B$4="Area",INDEX(MASTER_AREAS!$B:$B,L163+1),INDEX(MASTER_ZONES!$B:$B,L163+1)))</f>
        <v/>
      </c>
      <c r="P163">
        <f>IF('CHOP DASHBOARD'!$B$4="Area",IF(162&lt;=$S$3,IF(AND(OR('CHOP DASHBOARD'!$C$4="",ISNUMBER(SEARCH('CHOP DASHBOARD'!$C$4,INDEX(MASTER_AREAS!$B:$B,163))))),162,""),""),IF('CHOP DASHBOARD'!$B$4="Zone",IF(162&lt;=$S$4,IF(OR('CHOP DASHBOARD'!$C$4="",ISNUMBER(SEARCH('CHOP DASHBOARD'!$C$4,INDEX(MASTER_ZONES!$B:$B,163)))),162,""),""),""))</f>
        <v/>
      </c>
      <c r="Q163">
        <f>IFERROR(SMALL($P$2:$P$1487,162),"")</f>
        <v/>
      </c>
      <c r="R163">
        <f>IF(Q163="","",IF('CHOP DASHBOARD'!$B$4="Area",INDEX(MASTER_AREAS!$B:$B,Q163+1),INDEX(MASTER_ZONES!$B:$B,Q163+1)))</f>
        <v/>
      </c>
      <c r="U163">
        <f>IF('COMMUNITY CHURCH DASHBOARD'!$B$4="Area",IF(162&lt;=$X$3,IF(AND(OR('COMMUNITY CHURCH DASHBOARD'!$C$4="",ISNUMBER(SEARCH('COMMUNITY CHURCH DASHBOARD'!$C$4,INDEX(MASTER_AREAS!$B:$B,163))))),162,""),""),IF('COMMUNITY CHURCH DASHBOARD'!$B$4="Zone",IF(162&lt;=$X$4,IF(OR('COMMUNITY CHURCH DASHBOARD'!$C$4="",ISNUMBER(SEARCH('COMMUNITY CHURCH DASHBOARD'!$C$4,INDEX(MASTER_ZONES!$B:$B,163)))),162,""),""),""))</f>
        <v/>
      </c>
      <c r="V163">
        <f>IFERROR(SMALL($U$2:$U$1487,162),"")</f>
        <v/>
      </c>
      <c r="W163">
        <f>IF(V163="","",IF('COMMUNITY CHURCH DASHBOARD'!$B$4="Area",INDEX(MASTER_AREAS!$B:$B,V163+1),INDEX(MASTER_ZONES!$B:$B,V163+1)))</f>
        <v/>
      </c>
    </row>
    <row r="164">
      <c r="A164">
        <f>IF('WSF DASHBOARD'!$B$4="Area",IF(163&lt;=$D$3,IF(AND(OR('WSF DASHBOARD'!$C$4="",ISNUMBER(SEARCH('WSF DASHBOARD'!$C$4,INDEX(MASTER_AREAS!$B:$B,164))))),163,""),""),IF('WSF DASHBOARD'!$B$4="Zone",IF(163&lt;=$D$4,IF(OR('WSF DASHBOARD'!$C$4="",ISNUMBER(SEARCH('WSF DASHBOARD'!$C$4,INDEX(MASTER_ZONES!$B:$B,164)))),163,""),""),""))</f>
        <v/>
      </c>
      <c r="B164">
        <f>IFERROR(SMALL($A$2:$A$1487,163),"")</f>
        <v/>
      </c>
      <c r="C164">
        <f>IF(B164="","",IF('WSF DASHBOARD'!$B$4="Area",INDEX(MASTER_AREAS!$B:$B,B164+1),INDEX(MASTER_ZONES!$B:$B,B164+1)))</f>
        <v/>
      </c>
      <c r="F164">
        <f>IF('TRANSPORT DASHBOARD'!$B$4="Area",IF(163&lt;=$I$3,IF(AND(INDEX(MASTER_AREAS!$F:$F,164)&lt;&gt;"N",OR('TRANSPORT DASHBOARD'!$C$4="",ISNUMBER(SEARCH('TRANSPORT DASHBOARD'!$C$4,INDEX(MASTER_AREAS!$B:$B,164))))),163,""),""),IF('TRANSPORT DASHBOARD'!$B$4="Zone",IF(163&lt;=$I$4,IF(OR('TRANSPORT DASHBOARD'!$C$4="",ISNUMBER(SEARCH('TRANSPORT DASHBOARD'!$C$4,INDEX(MASTER_ZONES!$B:$B,164)))),163,""),""),""))</f>
        <v/>
      </c>
      <c r="G164">
        <f>IFERROR(SMALL($F$2:$F$1487,163),"")</f>
        <v/>
      </c>
      <c r="H164">
        <f>IF(G164="","",IF('TRANSPORT DASHBOARD'!$B$4="Area",INDEX(MASTER_AREAS!$B:$B,G164+1),INDEX(MASTER_ZONES!$B:$B,G164+1)))</f>
        <v/>
      </c>
      <c r="K164">
        <f>IF('MIDWEEK DASHBOARD'!$B$4="Area",IF(163&lt;=$N$3,IF(AND(OR('MIDWEEK DASHBOARD'!$C$4="",ISNUMBER(SEARCH('MIDWEEK DASHBOARD'!$C$4,INDEX(MASTER_AREAS!$B:$B,164))))),163,""),""),IF('MIDWEEK DASHBOARD'!$B$4="Zone",IF(163&lt;=$N$4,IF(OR('MIDWEEK DASHBOARD'!$C$4="",ISNUMBER(SEARCH('MIDWEEK DASHBOARD'!$C$4,INDEX(MASTER_ZONES!$B:$B,164)))),163,""),""),""))</f>
        <v/>
      </c>
      <c r="L164">
        <f>IFERROR(SMALL($K$2:$K$1487,163),"")</f>
        <v/>
      </c>
      <c r="M164">
        <f>IF(L164="","",IF('MIDWEEK DASHBOARD'!$B$4="Area",INDEX(MASTER_AREAS!$B:$B,L164+1),INDEX(MASTER_ZONES!$B:$B,L164+1)))</f>
        <v/>
      </c>
      <c r="P164">
        <f>IF('CHOP DASHBOARD'!$B$4="Area",IF(163&lt;=$S$3,IF(AND(OR('CHOP DASHBOARD'!$C$4="",ISNUMBER(SEARCH('CHOP DASHBOARD'!$C$4,INDEX(MASTER_AREAS!$B:$B,164))))),163,""),""),IF('CHOP DASHBOARD'!$B$4="Zone",IF(163&lt;=$S$4,IF(OR('CHOP DASHBOARD'!$C$4="",ISNUMBER(SEARCH('CHOP DASHBOARD'!$C$4,INDEX(MASTER_ZONES!$B:$B,164)))),163,""),""),""))</f>
        <v/>
      </c>
      <c r="Q164">
        <f>IFERROR(SMALL($P$2:$P$1487,163),"")</f>
        <v/>
      </c>
      <c r="R164">
        <f>IF(Q164="","",IF('CHOP DASHBOARD'!$B$4="Area",INDEX(MASTER_AREAS!$B:$B,Q164+1),INDEX(MASTER_ZONES!$B:$B,Q164+1)))</f>
        <v/>
      </c>
      <c r="U164">
        <f>IF('COMMUNITY CHURCH DASHBOARD'!$B$4="Area",IF(163&lt;=$X$3,IF(AND(OR('COMMUNITY CHURCH DASHBOARD'!$C$4="",ISNUMBER(SEARCH('COMMUNITY CHURCH DASHBOARD'!$C$4,INDEX(MASTER_AREAS!$B:$B,164))))),163,""),""),IF('COMMUNITY CHURCH DASHBOARD'!$B$4="Zone",IF(163&lt;=$X$4,IF(OR('COMMUNITY CHURCH DASHBOARD'!$C$4="",ISNUMBER(SEARCH('COMMUNITY CHURCH DASHBOARD'!$C$4,INDEX(MASTER_ZONES!$B:$B,164)))),163,""),""),""))</f>
        <v/>
      </c>
      <c r="V164">
        <f>IFERROR(SMALL($U$2:$U$1487,163),"")</f>
        <v/>
      </c>
      <c r="W164">
        <f>IF(V164="","",IF('COMMUNITY CHURCH DASHBOARD'!$B$4="Area",INDEX(MASTER_AREAS!$B:$B,V164+1),INDEX(MASTER_ZONES!$B:$B,V164+1)))</f>
        <v/>
      </c>
    </row>
    <row r="165">
      <c r="A165">
        <f>IF('WSF DASHBOARD'!$B$4="Area",IF(164&lt;=$D$3,IF(AND(OR('WSF DASHBOARD'!$C$4="",ISNUMBER(SEARCH('WSF DASHBOARD'!$C$4,INDEX(MASTER_AREAS!$B:$B,165))))),164,""),""),IF('WSF DASHBOARD'!$B$4="Zone",IF(164&lt;=$D$4,IF(OR('WSF DASHBOARD'!$C$4="",ISNUMBER(SEARCH('WSF DASHBOARD'!$C$4,INDEX(MASTER_ZONES!$B:$B,165)))),164,""),""),""))</f>
        <v/>
      </c>
      <c r="B165">
        <f>IFERROR(SMALL($A$2:$A$1487,164),"")</f>
        <v/>
      </c>
      <c r="C165">
        <f>IF(B165="","",IF('WSF DASHBOARD'!$B$4="Area",INDEX(MASTER_AREAS!$B:$B,B165+1),INDEX(MASTER_ZONES!$B:$B,B165+1)))</f>
        <v/>
      </c>
      <c r="F165">
        <f>IF('TRANSPORT DASHBOARD'!$B$4="Area",IF(164&lt;=$I$3,IF(AND(INDEX(MASTER_AREAS!$F:$F,165)&lt;&gt;"N",OR('TRANSPORT DASHBOARD'!$C$4="",ISNUMBER(SEARCH('TRANSPORT DASHBOARD'!$C$4,INDEX(MASTER_AREAS!$B:$B,165))))),164,""),""),IF('TRANSPORT DASHBOARD'!$B$4="Zone",IF(164&lt;=$I$4,IF(OR('TRANSPORT DASHBOARD'!$C$4="",ISNUMBER(SEARCH('TRANSPORT DASHBOARD'!$C$4,INDEX(MASTER_ZONES!$B:$B,165)))),164,""),""),""))</f>
        <v/>
      </c>
      <c r="G165">
        <f>IFERROR(SMALL($F$2:$F$1487,164),"")</f>
        <v/>
      </c>
      <c r="H165">
        <f>IF(G165="","",IF('TRANSPORT DASHBOARD'!$B$4="Area",INDEX(MASTER_AREAS!$B:$B,G165+1),INDEX(MASTER_ZONES!$B:$B,G165+1)))</f>
        <v/>
      </c>
      <c r="K165">
        <f>IF('MIDWEEK DASHBOARD'!$B$4="Area",IF(164&lt;=$N$3,IF(AND(OR('MIDWEEK DASHBOARD'!$C$4="",ISNUMBER(SEARCH('MIDWEEK DASHBOARD'!$C$4,INDEX(MASTER_AREAS!$B:$B,165))))),164,""),""),IF('MIDWEEK DASHBOARD'!$B$4="Zone",IF(164&lt;=$N$4,IF(OR('MIDWEEK DASHBOARD'!$C$4="",ISNUMBER(SEARCH('MIDWEEK DASHBOARD'!$C$4,INDEX(MASTER_ZONES!$B:$B,165)))),164,""),""),""))</f>
        <v/>
      </c>
      <c r="L165">
        <f>IFERROR(SMALL($K$2:$K$1487,164),"")</f>
        <v/>
      </c>
      <c r="M165">
        <f>IF(L165="","",IF('MIDWEEK DASHBOARD'!$B$4="Area",INDEX(MASTER_AREAS!$B:$B,L165+1),INDEX(MASTER_ZONES!$B:$B,L165+1)))</f>
        <v/>
      </c>
      <c r="P165">
        <f>IF('CHOP DASHBOARD'!$B$4="Area",IF(164&lt;=$S$3,IF(AND(OR('CHOP DASHBOARD'!$C$4="",ISNUMBER(SEARCH('CHOP DASHBOARD'!$C$4,INDEX(MASTER_AREAS!$B:$B,165))))),164,""),""),IF('CHOP DASHBOARD'!$B$4="Zone",IF(164&lt;=$S$4,IF(OR('CHOP DASHBOARD'!$C$4="",ISNUMBER(SEARCH('CHOP DASHBOARD'!$C$4,INDEX(MASTER_ZONES!$B:$B,165)))),164,""),""),""))</f>
        <v/>
      </c>
      <c r="Q165">
        <f>IFERROR(SMALL($P$2:$P$1487,164),"")</f>
        <v/>
      </c>
      <c r="R165">
        <f>IF(Q165="","",IF('CHOP DASHBOARD'!$B$4="Area",INDEX(MASTER_AREAS!$B:$B,Q165+1),INDEX(MASTER_ZONES!$B:$B,Q165+1)))</f>
        <v/>
      </c>
      <c r="U165">
        <f>IF('COMMUNITY CHURCH DASHBOARD'!$B$4="Area",IF(164&lt;=$X$3,IF(AND(OR('COMMUNITY CHURCH DASHBOARD'!$C$4="",ISNUMBER(SEARCH('COMMUNITY CHURCH DASHBOARD'!$C$4,INDEX(MASTER_AREAS!$B:$B,165))))),164,""),""),IF('COMMUNITY CHURCH DASHBOARD'!$B$4="Zone",IF(164&lt;=$X$4,IF(OR('COMMUNITY CHURCH DASHBOARD'!$C$4="",ISNUMBER(SEARCH('COMMUNITY CHURCH DASHBOARD'!$C$4,INDEX(MASTER_ZONES!$B:$B,165)))),164,""),""),""))</f>
        <v/>
      </c>
      <c r="V165">
        <f>IFERROR(SMALL($U$2:$U$1487,164),"")</f>
        <v/>
      </c>
      <c r="W165">
        <f>IF(V165="","",IF('COMMUNITY CHURCH DASHBOARD'!$B$4="Area",INDEX(MASTER_AREAS!$B:$B,V165+1),INDEX(MASTER_ZONES!$B:$B,V165+1)))</f>
        <v/>
      </c>
    </row>
    <row r="166">
      <c r="A166">
        <f>IF('WSF DASHBOARD'!$B$4="Area",IF(165&lt;=$D$3,IF(AND(OR('WSF DASHBOARD'!$C$4="",ISNUMBER(SEARCH('WSF DASHBOARD'!$C$4,INDEX(MASTER_AREAS!$B:$B,166))))),165,""),""),IF('WSF DASHBOARD'!$B$4="Zone",IF(165&lt;=$D$4,IF(OR('WSF DASHBOARD'!$C$4="",ISNUMBER(SEARCH('WSF DASHBOARD'!$C$4,INDEX(MASTER_ZONES!$B:$B,166)))),165,""),""),""))</f>
        <v/>
      </c>
      <c r="B166">
        <f>IFERROR(SMALL($A$2:$A$1487,165),"")</f>
        <v/>
      </c>
      <c r="C166">
        <f>IF(B166="","",IF('WSF DASHBOARD'!$B$4="Area",INDEX(MASTER_AREAS!$B:$B,B166+1),INDEX(MASTER_ZONES!$B:$B,B166+1)))</f>
        <v/>
      </c>
      <c r="F166">
        <f>IF('TRANSPORT DASHBOARD'!$B$4="Area",IF(165&lt;=$I$3,IF(AND(INDEX(MASTER_AREAS!$F:$F,166)&lt;&gt;"N",OR('TRANSPORT DASHBOARD'!$C$4="",ISNUMBER(SEARCH('TRANSPORT DASHBOARD'!$C$4,INDEX(MASTER_AREAS!$B:$B,166))))),165,""),""),IF('TRANSPORT DASHBOARD'!$B$4="Zone",IF(165&lt;=$I$4,IF(OR('TRANSPORT DASHBOARD'!$C$4="",ISNUMBER(SEARCH('TRANSPORT DASHBOARD'!$C$4,INDEX(MASTER_ZONES!$B:$B,166)))),165,""),""),""))</f>
        <v/>
      </c>
      <c r="G166">
        <f>IFERROR(SMALL($F$2:$F$1487,165),"")</f>
        <v/>
      </c>
      <c r="H166">
        <f>IF(G166="","",IF('TRANSPORT DASHBOARD'!$B$4="Area",INDEX(MASTER_AREAS!$B:$B,G166+1),INDEX(MASTER_ZONES!$B:$B,G166+1)))</f>
        <v/>
      </c>
      <c r="K166">
        <f>IF('MIDWEEK DASHBOARD'!$B$4="Area",IF(165&lt;=$N$3,IF(AND(OR('MIDWEEK DASHBOARD'!$C$4="",ISNUMBER(SEARCH('MIDWEEK DASHBOARD'!$C$4,INDEX(MASTER_AREAS!$B:$B,166))))),165,""),""),IF('MIDWEEK DASHBOARD'!$B$4="Zone",IF(165&lt;=$N$4,IF(OR('MIDWEEK DASHBOARD'!$C$4="",ISNUMBER(SEARCH('MIDWEEK DASHBOARD'!$C$4,INDEX(MASTER_ZONES!$B:$B,166)))),165,""),""),""))</f>
        <v/>
      </c>
      <c r="L166">
        <f>IFERROR(SMALL($K$2:$K$1487,165),"")</f>
        <v/>
      </c>
      <c r="M166">
        <f>IF(L166="","",IF('MIDWEEK DASHBOARD'!$B$4="Area",INDEX(MASTER_AREAS!$B:$B,L166+1),INDEX(MASTER_ZONES!$B:$B,L166+1)))</f>
        <v/>
      </c>
      <c r="P166">
        <f>IF('CHOP DASHBOARD'!$B$4="Area",IF(165&lt;=$S$3,IF(AND(OR('CHOP DASHBOARD'!$C$4="",ISNUMBER(SEARCH('CHOP DASHBOARD'!$C$4,INDEX(MASTER_AREAS!$B:$B,166))))),165,""),""),IF('CHOP DASHBOARD'!$B$4="Zone",IF(165&lt;=$S$4,IF(OR('CHOP DASHBOARD'!$C$4="",ISNUMBER(SEARCH('CHOP DASHBOARD'!$C$4,INDEX(MASTER_ZONES!$B:$B,166)))),165,""),""),""))</f>
        <v/>
      </c>
      <c r="Q166">
        <f>IFERROR(SMALL($P$2:$P$1487,165),"")</f>
        <v/>
      </c>
      <c r="R166">
        <f>IF(Q166="","",IF('CHOP DASHBOARD'!$B$4="Area",INDEX(MASTER_AREAS!$B:$B,Q166+1),INDEX(MASTER_ZONES!$B:$B,Q166+1)))</f>
        <v/>
      </c>
      <c r="U166">
        <f>IF('COMMUNITY CHURCH DASHBOARD'!$B$4="Area",IF(165&lt;=$X$3,IF(AND(OR('COMMUNITY CHURCH DASHBOARD'!$C$4="",ISNUMBER(SEARCH('COMMUNITY CHURCH DASHBOARD'!$C$4,INDEX(MASTER_AREAS!$B:$B,166))))),165,""),""),IF('COMMUNITY CHURCH DASHBOARD'!$B$4="Zone",IF(165&lt;=$X$4,IF(OR('COMMUNITY CHURCH DASHBOARD'!$C$4="",ISNUMBER(SEARCH('COMMUNITY CHURCH DASHBOARD'!$C$4,INDEX(MASTER_ZONES!$B:$B,166)))),165,""),""),""))</f>
        <v/>
      </c>
      <c r="V166">
        <f>IFERROR(SMALL($U$2:$U$1487,165),"")</f>
        <v/>
      </c>
      <c r="W166">
        <f>IF(V166="","",IF('COMMUNITY CHURCH DASHBOARD'!$B$4="Area",INDEX(MASTER_AREAS!$B:$B,V166+1),INDEX(MASTER_ZONES!$B:$B,V166+1)))</f>
        <v/>
      </c>
    </row>
    <row r="167">
      <c r="A167">
        <f>IF('WSF DASHBOARD'!$B$4="Area",IF(166&lt;=$D$3,IF(AND(OR('WSF DASHBOARD'!$C$4="",ISNUMBER(SEARCH('WSF DASHBOARD'!$C$4,INDEX(MASTER_AREAS!$B:$B,167))))),166,""),""),IF('WSF DASHBOARD'!$B$4="Zone",IF(166&lt;=$D$4,IF(OR('WSF DASHBOARD'!$C$4="",ISNUMBER(SEARCH('WSF DASHBOARD'!$C$4,INDEX(MASTER_ZONES!$B:$B,167)))),166,""),""),""))</f>
        <v/>
      </c>
      <c r="B167">
        <f>IFERROR(SMALL($A$2:$A$1487,166),"")</f>
        <v/>
      </c>
      <c r="C167">
        <f>IF(B167="","",IF('WSF DASHBOARD'!$B$4="Area",INDEX(MASTER_AREAS!$B:$B,B167+1),INDEX(MASTER_ZONES!$B:$B,B167+1)))</f>
        <v/>
      </c>
      <c r="F167">
        <f>IF('TRANSPORT DASHBOARD'!$B$4="Area",IF(166&lt;=$I$3,IF(AND(INDEX(MASTER_AREAS!$F:$F,167)&lt;&gt;"N",OR('TRANSPORT DASHBOARD'!$C$4="",ISNUMBER(SEARCH('TRANSPORT DASHBOARD'!$C$4,INDEX(MASTER_AREAS!$B:$B,167))))),166,""),""),IF('TRANSPORT DASHBOARD'!$B$4="Zone",IF(166&lt;=$I$4,IF(OR('TRANSPORT DASHBOARD'!$C$4="",ISNUMBER(SEARCH('TRANSPORT DASHBOARD'!$C$4,INDEX(MASTER_ZONES!$B:$B,167)))),166,""),""),""))</f>
        <v/>
      </c>
      <c r="G167">
        <f>IFERROR(SMALL($F$2:$F$1487,166),"")</f>
        <v/>
      </c>
      <c r="H167">
        <f>IF(G167="","",IF('TRANSPORT DASHBOARD'!$B$4="Area",INDEX(MASTER_AREAS!$B:$B,G167+1),INDEX(MASTER_ZONES!$B:$B,G167+1)))</f>
        <v/>
      </c>
      <c r="K167">
        <f>IF('MIDWEEK DASHBOARD'!$B$4="Area",IF(166&lt;=$N$3,IF(AND(OR('MIDWEEK DASHBOARD'!$C$4="",ISNUMBER(SEARCH('MIDWEEK DASHBOARD'!$C$4,INDEX(MASTER_AREAS!$B:$B,167))))),166,""),""),IF('MIDWEEK DASHBOARD'!$B$4="Zone",IF(166&lt;=$N$4,IF(OR('MIDWEEK DASHBOARD'!$C$4="",ISNUMBER(SEARCH('MIDWEEK DASHBOARD'!$C$4,INDEX(MASTER_ZONES!$B:$B,167)))),166,""),""),""))</f>
        <v/>
      </c>
      <c r="L167">
        <f>IFERROR(SMALL($K$2:$K$1487,166),"")</f>
        <v/>
      </c>
      <c r="M167">
        <f>IF(L167="","",IF('MIDWEEK DASHBOARD'!$B$4="Area",INDEX(MASTER_AREAS!$B:$B,L167+1),INDEX(MASTER_ZONES!$B:$B,L167+1)))</f>
        <v/>
      </c>
      <c r="P167">
        <f>IF('CHOP DASHBOARD'!$B$4="Area",IF(166&lt;=$S$3,IF(AND(OR('CHOP DASHBOARD'!$C$4="",ISNUMBER(SEARCH('CHOP DASHBOARD'!$C$4,INDEX(MASTER_AREAS!$B:$B,167))))),166,""),""),IF('CHOP DASHBOARD'!$B$4="Zone",IF(166&lt;=$S$4,IF(OR('CHOP DASHBOARD'!$C$4="",ISNUMBER(SEARCH('CHOP DASHBOARD'!$C$4,INDEX(MASTER_ZONES!$B:$B,167)))),166,""),""),""))</f>
        <v/>
      </c>
      <c r="Q167">
        <f>IFERROR(SMALL($P$2:$P$1487,166),"")</f>
        <v/>
      </c>
      <c r="R167">
        <f>IF(Q167="","",IF('CHOP DASHBOARD'!$B$4="Area",INDEX(MASTER_AREAS!$B:$B,Q167+1),INDEX(MASTER_ZONES!$B:$B,Q167+1)))</f>
        <v/>
      </c>
      <c r="U167">
        <f>IF('COMMUNITY CHURCH DASHBOARD'!$B$4="Area",IF(166&lt;=$X$3,IF(AND(OR('COMMUNITY CHURCH DASHBOARD'!$C$4="",ISNUMBER(SEARCH('COMMUNITY CHURCH DASHBOARD'!$C$4,INDEX(MASTER_AREAS!$B:$B,167))))),166,""),""),IF('COMMUNITY CHURCH DASHBOARD'!$B$4="Zone",IF(166&lt;=$X$4,IF(OR('COMMUNITY CHURCH DASHBOARD'!$C$4="",ISNUMBER(SEARCH('COMMUNITY CHURCH DASHBOARD'!$C$4,INDEX(MASTER_ZONES!$B:$B,167)))),166,""),""),""))</f>
        <v/>
      </c>
      <c r="V167">
        <f>IFERROR(SMALL($U$2:$U$1487,166),"")</f>
        <v/>
      </c>
      <c r="W167">
        <f>IF(V167="","",IF('COMMUNITY CHURCH DASHBOARD'!$B$4="Area",INDEX(MASTER_AREAS!$B:$B,V167+1),INDEX(MASTER_ZONES!$B:$B,V167+1)))</f>
        <v/>
      </c>
    </row>
    <row r="168">
      <c r="A168">
        <f>IF('WSF DASHBOARD'!$B$4="Area",IF(167&lt;=$D$3,IF(AND(OR('WSF DASHBOARD'!$C$4="",ISNUMBER(SEARCH('WSF DASHBOARD'!$C$4,INDEX(MASTER_AREAS!$B:$B,168))))),167,""),""),IF('WSF DASHBOARD'!$B$4="Zone",IF(167&lt;=$D$4,IF(OR('WSF DASHBOARD'!$C$4="",ISNUMBER(SEARCH('WSF DASHBOARD'!$C$4,INDEX(MASTER_ZONES!$B:$B,168)))),167,""),""),""))</f>
        <v/>
      </c>
      <c r="B168">
        <f>IFERROR(SMALL($A$2:$A$1487,167),"")</f>
        <v/>
      </c>
      <c r="C168">
        <f>IF(B168="","",IF('WSF DASHBOARD'!$B$4="Area",INDEX(MASTER_AREAS!$B:$B,B168+1),INDEX(MASTER_ZONES!$B:$B,B168+1)))</f>
        <v/>
      </c>
      <c r="F168">
        <f>IF('TRANSPORT DASHBOARD'!$B$4="Area",IF(167&lt;=$I$3,IF(AND(INDEX(MASTER_AREAS!$F:$F,168)&lt;&gt;"N",OR('TRANSPORT DASHBOARD'!$C$4="",ISNUMBER(SEARCH('TRANSPORT DASHBOARD'!$C$4,INDEX(MASTER_AREAS!$B:$B,168))))),167,""),""),IF('TRANSPORT DASHBOARD'!$B$4="Zone",IF(167&lt;=$I$4,IF(OR('TRANSPORT DASHBOARD'!$C$4="",ISNUMBER(SEARCH('TRANSPORT DASHBOARD'!$C$4,INDEX(MASTER_ZONES!$B:$B,168)))),167,""),""),""))</f>
        <v/>
      </c>
      <c r="G168">
        <f>IFERROR(SMALL($F$2:$F$1487,167),"")</f>
        <v/>
      </c>
      <c r="H168">
        <f>IF(G168="","",IF('TRANSPORT DASHBOARD'!$B$4="Area",INDEX(MASTER_AREAS!$B:$B,G168+1),INDEX(MASTER_ZONES!$B:$B,G168+1)))</f>
        <v/>
      </c>
      <c r="K168">
        <f>IF('MIDWEEK DASHBOARD'!$B$4="Area",IF(167&lt;=$N$3,IF(AND(OR('MIDWEEK DASHBOARD'!$C$4="",ISNUMBER(SEARCH('MIDWEEK DASHBOARD'!$C$4,INDEX(MASTER_AREAS!$B:$B,168))))),167,""),""),IF('MIDWEEK DASHBOARD'!$B$4="Zone",IF(167&lt;=$N$4,IF(OR('MIDWEEK DASHBOARD'!$C$4="",ISNUMBER(SEARCH('MIDWEEK DASHBOARD'!$C$4,INDEX(MASTER_ZONES!$B:$B,168)))),167,""),""),""))</f>
        <v/>
      </c>
      <c r="L168">
        <f>IFERROR(SMALL($K$2:$K$1487,167),"")</f>
        <v/>
      </c>
      <c r="M168">
        <f>IF(L168="","",IF('MIDWEEK DASHBOARD'!$B$4="Area",INDEX(MASTER_AREAS!$B:$B,L168+1),INDEX(MASTER_ZONES!$B:$B,L168+1)))</f>
        <v/>
      </c>
      <c r="P168">
        <f>IF('CHOP DASHBOARD'!$B$4="Area",IF(167&lt;=$S$3,IF(AND(OR('CHOP DASHBOARD'!$C$4="",ISNUMBER(SEARCH('CHOP DASHBOARD'!$C$4,INDEX(MASTER_AREAS!$B:$B,168))))),167,""),""),IF('CHOP DASHBOARD'!$B$4="Zone",IF(167&lt;=$S$4,IF(OR('CHOP DASHBOARD'!$C$4="",ISNUMBER(SEARCH('CHOP DASHBOARD'!$C$4,INDEX(MASTER_ZONES!$B:$B,168)))),167,""),""),""))</f>
        <v/>
      </c>
      <c r="Q168">
        <f>IFERROR(SMALL($P$2:$P$1487,167),"")</f>
        <v/>
      </c>
      <c r="R168">
        <f>IF(Q168="","",IF('CHOP DASHBOARD'!$B$4="Area",INDEX(MASTER_AREAS!$B:$B,Q168+1),INDEX(MASTER_ZONES!$B:$B,Q168+1)))</f>
        <v/>
      </c>
      <c r="U168">
        <f>IF('COMMUNITY CHURCH DASHBOARD'!$B$4="Area",IF(167&lt;=$X$3,IF(AND(OR('COMMUNITY CHURCH DASHBOARD'!$C$4="",ISNUMBER(SEARCH('COMMUNITY CHURCH DASHBOARD'!$C$4,INDEX(MASTER_AREAS!$B:$B,168))))),167,""),""),IF('COMMUNITY CHURCH DASHBOARD'!$B$4="Zone",IF(167&lt;=$X$4,IF(OR('COMMUNITY CHURCH DASHBOARD'!$C$4="",ISNUMBER(SEARCH('COMMUNITY CHURCH DASHBOARD'!$C$4,INDEX(MASTER_ZONES!$B:$B,168)))),167,""),""),""))</f>
        <v/>
      </c>
      <c r="V168">
        <f>IFERROR(SMALL($U$2:$U$1487,167),"")</f>
        <v/>
      </c>
      <c r="W168">
        <f>IF(V168="","",IF('COMMUNITY CHURCH DASHBOARD'!$B$4="Area",INDEX(MASTER_AREAS!$B:$B,V168+1),INDEX(MASTER_ZONES!$B:$B,V168+1)))</f>
        <v/>
      </c>
    </row>
    <row r="169">
      <c r="A169">
        <f>IF('WSF DASHBOARD'!$B$4="Area",IF(168&lt;=$D$3,IF(AND(OR('WSF DASHBOARD'!$C$4="",ISNUMBER(SEARCH('WSF DASHBOARD'!$C$4,INDEX(MASTER_AREAS!$B:$B,169))))),168,""),""),IF('WSF DASHBOARD'!$B$4="Zone",IF(168&lt;=$D$4,IF(OR('WSF DASHBOARD'!$C$4="",ISNUMBER(SEARCH('WSF DASHBOARD'!$C$4,INDEX(MASTER_ZONES!$B:$B,169)))),168,""),""),""))</f>
        <v/>
      </c>
      <c r="B169">
        <f>IFERROR(SMALL($A$2:$A$1487,168),"")</f>
        <v/>
      </c>
      <c r="C169">
        <f>IF(B169="","",IF('WSF DASHBOARD'!$B$4="Area",INDEX(MASTER_AREAS!$B:$B,B169+1),INDEX(MASTER_ZONES!$B:$B,B169+1)))</f>
        <v/>
      </c>
      <c r="F169">
        <f>IF('TRANSPORT DASHBOARD'!$B$4="Area",IF(168&lt;=$I$3,IF(AND(INDEX(MASTER_AREAS!$F:$F,169)&lt;&gt;"N",OR('TRANSPORT DASHBOARD'!$C$4="",ISNUMBER(SEARCH('TRANSPORT DASHBOARD'!$C$4,INDEX(MASTER_AREAS!$B:$B,169))))),168,""),""),IF('TRANSPORT DASHBOARD'!$B$4="Zone",IF(168&lt;=$I$4,IF(OR('TRANSPORT DASHBOARD'!$C$4="",ISNUMBER(SEARCH('TRANSPORT DASHBOARD'!$C$4,INDEX(MASTER_ZONES!$B:$B,169)))),168,""),""),""))</f>
        <v/>
      </c>
      <c r="G169">
        <f>IFERROR(SMALL($F$2:$F$1487,168),"")</f>
        <v/>
      </c>
      <c r="H169">
        <f>IF(G169="","",IF('TRANSPORT DASHBOARD'!$B$4="Area",INDEX(MASTER_AREAS!$B:$B,G169+1),INDEX(MASTER_ZONES!$B:$B,G169+1)))</f>
        <v/>
      </c>
      <c r="K169">
        <f>IF('MIDWEEK DASHBOARD'!$B$4="Area",IF(168&lt;=$N$3,IF(AND(OR('MIDWEEK DASHBOARD'!$C$4="",ISNUMBER(SEARCH('MIDWEEK DASHBOARD'!$C$4,INDEX(MASTER_AREAS!$B:$B,169))))),168,""),""),IF('MIDWEEK DASHBOARD'!$B$4="Zone",IF(168&lt;=$N$4,IF(OR('MIDWEEK DASHBOARD'!$C$4="",ISNUMBER(SEARCH('MIDWEEK DASHBOARD'!$C$4,INDEX(MASTER_ZONES!$B:$B,169)))),168,""),""),""))</f>
        <v/>
      </c>
      <c r="L169">
        <f>IFERROR(SMALL($K$2:$K$1487,168),"")</f>
        <v/>
      </c>
      <c r="M169">
        <f>IF(L169="","",IF('MIDWEEK DASHBOARD'!$B$4="Area",INDEX(MASTER_AREAS!$B:$B,L169+1),INDEX(MASTER_ZONES!$B:$B,L169+1)))</f>
        <v/>
      </c>
      <c r="P169">
        <f>IF('CHOP DASHBOARD'!$B$4="Area",IF(168&lt;=$S$3,IF(AND(OR('CHOP DASHBOARD'!$C$4="",ISNUMBER(SEARCH('CHOP DASHBOARD'!$C$4,INDEX(MASTER_AREAS!$B:$B,169))))),168,""),""),IF('CHOP DASHBOARD'!$B$4="Zone",IF(168&lt;=$S$4,IF(OR('CHOP DASHBOARD'!$C$4="",ISNUMBER(SEARCH('CHOP DASHBOARD'!$C$4,INDEX(MASTER_ZONES!$B:$B,169)))),168,""),""),""))</f>
        <v/>
      </c>
      <c r="Q169">
        <f>IFERROR(SMALL($P$2:$P$1487,168),"")</f>
        <v/>
      </c>
      <c r="R169">
        <f>IF(Q169="","",IF('CHOP DASHBOARD'!$B$4="Area",INDEX(MASTER_AREAS!$B:$B,Q169+1),INDEX(MASTER_ZONES!$B:$B,Q169+1)))</f>
        <v/>
      </c>
      <c r="U169">
        <f>IF('COMMUNITY CHURCH DASHBOARD'!$B$4="Area",IF(168&lt;=$X$3,IF(AND(OR('COMMUNITY CHURCH DASHBOARD'!$C$4="",ISNUMBER(SEARCH('COMMUNITY CHURCH DASHBOARD'!$C$4,INDEX(MASTER_AREAS!$B:$B,169))))),168,""),""),IF('COMMUNITY CHURCH DASHBOARD'!$B$4="Zone",IF(168&lt;=$X$4,IF(OR('COMMUNITY CHURCH DASHBOARD'!$C$4="",ISNUMBER(SEARCH('COMMUNITY CHURCH DASHBOARD'!$C$4,INDEX(MASTER_ZONES!$B:$B,169)))),168,""),""),""))</f>
        <v/>
      </c>
      <c r="V169">
        <f>IFERROR(SMALL($U$2:$U$1487,168),"")</f>
        <v/>
      </c>
      <c r="W169">
        <f>IF(V169="","",IF('COMMUNITY CHURCH DASHBOARD'!$B$4="Area",INDEX(MASTER_AREAS!$B:$B,V169+1),INDEX(MASTER_ZONES!$B:$B,V169+1)))</f>
        <v/>
      </c>
    </row>
    <row r="170">
      <c r="A170">
        <f>IF('WSF DASHBOARD'!$B$4="Area",IF(169&lt;=$D$3,IF(AND(OR('WSF DASHBOARD'!$C$4="",ISNUMBER(SEARCH('WSF DASHBOARD'!$C$4,INDEX(MASTER_AREAS!$B:$B,170))))),169,""),""),IF('WSF DASHBOARD'!$B$4="Zone",IF(169&lt;=$D$4,IF(OR('WSF DASHBOARD'!$C$4="",ISNUMBER(SEARCH('WSF DASHBOARD'!$C$4,INDEX(MASTER_ZONES!$B:$B,170)))),169,""),""),""))</f>
        <v/>
      </c>
      <c r="B170">
        <f>IFERROR(SMALL($A$2:$A$1487,169),"")</f>
        <v/>
      </c>
      <c r="C170">
        <f>IF(B170="","",IF('WSF DASHBOARD'!$B$4="Area",INDEX(MASTER_AREAS!$B:$B,B170+1),INDEX(MASTER_ZONES!$B:$B,B170+1)))</f>
        <v/>
      </c>
      <c r="F170">
        <f>IF('TRANSPORT DASHBOARD'!$B$4="Area",IF(169&lt;=$I$3,IF(AND(INDEX(MASTER_AREAS!$F:$F,170)&lt;&gt;"N",OR('TRANSPORT DASHBOARD'!$C$4="",ISNUMBER(SEARCH('TRANSPORT DASHBOARD'!$C$4,INDEX(MASTER_AREAS!$B:$B,170))))),169,""),""),IF('TRANSPORT DASHBOARD'!$B$4="Zone",IF(169&lt;=$I$4,IF(OR('TRANSPORT DASHBOARD'!$C$4="",ISNUMBER(SEARCH('TRANSPORT DASHBOARD'!$C$4,INDEX(MASTER_ZONES!$B:$B,170)))),169,""),""),""))</f>
        <v/>
      </c>
      <c r="G170">
        <f>IFERROR(SMALL($F$2:$F$1487,169),"")</f>
        <v/>
      </c>
      <c r="H170">
        <f>IF(G170="","",IF('TRANSPORT DASHBOARD'!$B$4="Area",INDEX(MASTER_AREAS!$B:$B,G170+1),INDEX(MASTER_ZONES!$B:$B,G170+1)))</f>
        <v/>
      </c>
      <c r="K170">
        <f>IF('MIDWEEK DASHBOARD'!$B$4="Area",IF(169&lt;=$N$3,IF(AND(OR('MIDWEEK DASHBOARD'!$C$4="",ISNUMBER(SEARCH('MIDWEEK DASHBOARD'!$C$4,INDEX(MASTER_AREAS!$B:$B,170))))),169,""),""),IF('MIDWEEK DASHBOARD'!$B$4="Zone",IF(169&lt;=$N$4,IF(OR('MIDWEEK DASHBOARD'!$C$4="",ISNUMBER(SEARCH('MIDWEEK DASHBOARD'!$C$4,INDEX(MASTER_ZONES!$B:$B,170)))),169,""),""),""))</f>
        <v/>
      </c>
      <c r="L170">
        <f>IFERROR(SMALL($K$2:$K$1487,169),"")</f>
        <v/>
      </c>
      <c r="M170">
        <f>IF(L170="","",IF('MIDWEEK DASHBOARD'!$B$4="Area",INDEX(MASTER_AREAS!$B:$B,L170+1),INDEX(MASTER_ZONES!$B:$B,L170+1)))</f>
        <v/>
      </c>
      <c r="P170">
        <f>IF('CHOP DASHBOARD'!$B$4="Area",IF(169&lt;=$S$3,IF(AND(OR('CHOP DASHBOARD'!$C$4="",ISNUMBER(SEARCH('CHOP DASHBOARD'!$C$4,INDEX(MASTER_AREAS!$B:$B,170))))),169,""),""),IF('CHOP DASHBOARD'!$B$4="Zone",IF(169&lt;=$S$4,IF(OR('CHOP DASHBOARD'!$C$4="",ISNUMBER(SEARCH('CHOP DASHBOARD'!$C$4,INDEX(MASTER_ZONES!$B:$B,170)))),169,""),""),""))</f>
        <v/>
      </c>
      <c r="Q170">
        <f>IFERROR(SMALL($P$2:$P$1487,169),"")</f>
        <v/>
      </c>
      <c r="R170">
        <f>IF(Q170="","",IF('CHOP DASHBOARD'!$B$4="Area",INDEX(MASTER_AREAS!$B:$B,Q170+1),INDEX(MASTER_ZONES!$B:$B,Q170+1)))</f>
        <v/>
      </c>
      <c r="U170">
        <f>IF('COMMUNITY CHURCH DASHBOARD'!$B$4="Area",IF(169&lt;=$X$3,IF(AND(OR('COMMUNITY CHURCH DASHBOARD'!$C$4="",ISNUMBER(SEARCH('COMMUNITY CHURCH DASHBOARD'!$C$4,INDEX(MASTER_AREAS!$B:$B,170))))),169,""),""),IF('COMMUNITY CHURCH DASHBOARD'!$B$4="Zone",IF(169&lt;=$X$4,IF(OR('COMMUNITY CHURCH DASHBOARD'!$C$4="",ISNUMBER(SEARCH('COMMUNITY CHURCH DASHBOARD'!$C$4,INDEX(MASTER_ZONES!$B:$B,170)))),169,""),""),""))</f>
        <v/>
      </c>
      <c r="V170">
        <f>IFERROR(SMALL($U$2:$U$1487,169),"")</f>
        <v/>
      </c>
      <c r="W170">
        <f>IF(V170="","",IF('COMMUNITY CHURCH DASHBOARD'!$B$4="Area",INDEX(MASTER_AREAS!$B:$B,V170+1),INDEX(MASTER_ZONES!$B:$B,V170+1)))</f>
        <v/>
      </c>
    </row>
    <row r="171">
      <c r="A171">
        <f>IF('WSF DASHBOARD'!$B$4="Area",IF(170&lt;=$D$3,IF(AND(OR('WSF DASHBOARD'!$C$4="",ISNUMBER(SEARCH('WSF DASHBOARD'!$C$4,INDEX(MASTER_AREAS!$B:$B,171))))),170,""),""),IF('WSF DASHBOARD'!$B$4="Zone",IF(170&lt;=$D$4,IF(OR('WSF DASHBOARD'!$C$4="",ISNUMBER(SEARCH('WSF DASHBOARD'!$C$4,INDEX(MASTER_ZONES!$B:$B,171)))),170,""),""),""))</f>
        <v/>
      </c>
      <c r="B171">
        <f>IFERROR(SMALL($A$2:$A$1487,170),"")</f>
        <v/>
      </c>
      <c r="C171">
        <f>IF(B171="","",IF('WSF DASHBOARD'!$B$4="Area",INDEX(MASTER_AREAS!$B:$B,B171+1),INDEX(MASTER_ZONES!$B:$B,B171+1)))</f>
        <v/>
      </c>
      <c r="F171">
        <f>IF('TRANSPORT DASHBOARD'!$B$4="Area",IF(170&lt;=$I$3,IF(AND(INDEX(MASTER_AREAS!$F:$F,171)&lt;&gt;"N",OR('TRANSPORT DASHBOARD'!$C$4="",ISNUMBER(SEARCH('TRANSPORT DASHBOARD'!$C$4,INDEX(MASTER_AREAS!$B:$B,171))))),170,""),""),IF('TRANSPORT DASHBOARD'!$B$4="Zone",IF(170&lt;=$I$4,IF(OR('TRANSPORT DASHBOARD'!$C$4="",ISNUMBER(SEARCH('TRANSPORT DASHBOARD'!$C$4,INDEX(MASTER_ZONES!$B:$B,171)))),170,""),""),""))</f>
        <v/>
      </c>
      <c r="G171">
        <f>IFERROR(SMALL($F$2:$F$1487,170),"")</f>
        <v/>
      </c>
      <c r="H171">
        <f>IF(G171="","",IF('TRANSPORT DASHBOARD'!$B$4="Area",INDEX(MASTER_AREAS!$B:$B,G171+1),INDEX(MASTER_ZONES!$B:$B,G171+1)))</f>
        <v/>
      </c>
      <c r="K171">
        <f>IF('MIDWEEK DASHBOARD'!$B$4="Area",IF(170&lt;=$N$3,IF(AND(OR('MIDWEEK DASHBOARD'!$C$4="",ISNUMBER(SEARCH('MIDWEEK DASHBOARD'!$C$4,INDEX(MASTER_AREAS!$B:$B,171))))),170,""),""),IF('MIDWEEK DASHBOARD'!$B$4="Zone",IF(170&lt;=$N$4,IF(OR('MIDWEEK DASHBOARD'!$C$4="",ISNUMBER(SEARCH('MIDWEEK DASHBOARD'!$C$4,INDEX(MASTER_ZONES!$B:$B,171)))),170,""),""),""))</f>
        <v/>
      </c>
      <c r="L171">
        <f>IFERROR(SMALL($K$2:$K$1487,170),"")</f>
        <v/>
      </c>
      <c r="M171">
        <f>IF(L171="","",IF('MIDWEEK DASHBOARD'!$B$4="Area",INDEX(MASTER_AREAS!$B:$B,L171+1),INDEX(MASTER_ZONES!$B:$B,L171+1)))</f>
        <v/>
      </c>
      <c r="P171">
        <f>IF('CHOP DASHBOARD'!$B$4="Area",IF(170&lt;=$S$3,IF(AND(OR('CHOP DASHBOARD'!$C$4="",ISNUMBER(SEARCH('CHOP DASHBOARD'!$C$4,INDEX(MASTER_AREAS!$B:$B,171))))),170,""),""),IF('CHOP DASHBOARD'!$B$4="Zone",IF(170&lt;=$S$4,IF(OR('CHOP DASHBOARD'!$C$4="",ISNUMBER(SEARCH('CHOP DASHBOARD'!$C$4,INDEX(MASTER_ZONES!$B:$B,171)))),170,""),""),""))</f>
        <v/>
      </c>
      <c r="Q171">
        <f>IFERROR(SMALL($P$2:$P$1487,170),"")</f>
        <v/>
      </c>
      <c r="R171">
        <f>IF(Q171="","",IF('CHOP DASHBOARD'!$B$4="Area",INDEX(MASTER_AREAS!$B:$B,Q171+1),INDEX(MASTER_ZONES!$B:$B,Q171+1)))</f>
        <v/>
      </c>
      <c r="U171">
        <f>IF('COMMUNITY CHURCH DASHBOARD'!$B$4="Area",IF(170&lt;=$X$3,IF(AND(OR('COMMUNITY CHURCH DASHBOARD'!$C$4="",ISNUMBER(SEARCH('COMMUNITY CHURCH DASHBOARD'!$C$4,INDEX(MASTER_AREAS!$B:$B,171))))),170,""),""),IF('COMMUNITY CHURCH DASHBOARD'!$B$4="Zone",IF(170&lt;=$X$4,IF(OR('COMMUNITY CHURCH DASHBOARD'!$C$4="",ISNUMBER(SEARCH('COMMUNITY CHURCH DASHBOARD'!$C$4,INDEX(MASTER_ZONES!$B:$B,171)))),170,""),""),""))</f>
        <v/>
      </c>
      <c r="V171">
        <f>IFERROR(SMALL($U$2:$U$1487,170),"")</f>
        <v/>
      </c>
      <c r="W171">
        <f>IF(V171="","",IF('COMMUNITY CHURCH DASHBOARD'!$B$4="Area",INDEX(MASTER_AREAS!$B:$B,V171+1),INDEX(MASTER_ZONES!$B:$B,V171+1)))</f>
        <v/>
      </c>
    </row>
    <row r="172">
      <c r="A172">
        <f>IF('WSF DASHBOARD'!$B$4="Area",IF(171&lt;=$D$3,IF(AND(OR('WSF DASHBOARD'!$C$4="",ISNUMBER(SEARCH('WSF DASHBOARD'!$C$4,INDEX(MASTER_AREAS!$B:$B,172))))),171,""),""),IF('WSF DASHBOARD'!$B$4="Zone",IF(171&lt;=$D$4,IF(OR('WSF DASHBOARD'!$C$4="",ISNUMBER(SEARCH('WSF DASHBOARD'!$C$4,INDEX(MASTER_ZONES!$B:$B,172)))),171,""),""),""))</f>
        <v/>
      </c>
      <c r="B172">
        <f>IFERROR(SMALL($A$2:$A$1487,171),"")</f>
        <v/>
      </c>
      <c r="C172">
        <f>IF(B172="","",IF('WSF DASHBOARD'!$B$4="Area",INDEX(MASTER_AREAS!$B:$B,B172+1),INDEX(MASTER_ZONES!$B:$B,B172+1)))</f>
        <v/>
      </c>
      <c r="F172">
        <f>IF('TRANSPORT DASHBOARD'!$B$4="Area",IF(171&lt;=$I$3,IF(AND(INDEX(MASTER_AREAS!$F:$F,172)&lt;&gt;"N",OR('TRANSPORT DASHBOARD'!$C$4="",ISNUMBER(SEARCH('TRANSPORT DASHBOARD'!$C$4,INDEX(MASTER_AREAS!$B:$B,172))))),171,""),""),IF('TRANSPORT DASHBOARD'!$B$4="Zone",IF(171&lt;=$I$4,IF(OR('TRANSPORT DASHBOARD'!$C$4="",ISNUMBER(SEARCH('TRANSPORT DASHBOARD'!$C$4,INDEX(MASTER_ZONES!$B:$B,172)))),171,""),""),""))</f>
        <v/>
      </c>
      <c r="G172">
        <f>IFERROR(SMALL($F$2:$F$1487,171),"")</f>
        <v/>
      </c>
      <c r="H172">
        <f>IF(G172="","",IF('TRANSPORT DASHBOARD'!$B$4="Area",INDEX(MASTER_AREAS!$B:$B,G172+1),INDEX(MASTER_ZONES!$B:$B,G172+1)))</f>
        <v/>
      </c>
      <c r="K172">
        <f>IF('MIDWEEK DASHBOARD'!$B$4="Area",IF(171&lt;=$N$3,IF(AND(OR('MIDWEEK DASHBOARD'!$C$4="",ISNUMBER(SEARCH('MIDWEEK DASHBOARD'!$C$4,INDEX(MASTER_AREAS!$B:$B,172))))),171,""),""),IF('MIDWEEK DASHBOARD'!$B$4="Zone",IF(171&lt;=$N$4,IF(OR('MIDWEEK DASHBOARD'!$C$4="",ISNUMBER(SEARCH('MIDWEEK DASHBOARD'!$C$4,INDEX(MASTER_ZONES!$B:$B,172)))),171,""),""),""))</f>
        <v/>
      </c>
      <c r="L172">
        <f>IFERROR(SMALL($K$2:$K$1487,171),"")</f>
        <v/>
      </c>
      <c r="M172">
        <f>IF(L172="","",IF('MIDWEEK DASHBOARD'!$B$4="Area",INDEX(MASTER_AREAS!$B:$B,L172+1),INDEX(MASTER_ZONES!$B:$B,L172+1)))</f>
        <v/>
      </c>
      <c r="P172">
        <f>IF('CHOP DASHBOARD'!$B$4="Area",IF(171&lt;=$S$3,IF(AND(OR('CHOP DASHBOARD'!$C$4="",ISNUMBER(SEARCH('CHOP DASHBOARD'!$C$4,INDEX(MASTER_AREAS!$B:$B,172))))),171,""),""),IF('CHOP DASHBOARD'!$B$4="Zone",IF(171&lt;=$S$4,IF(OR('CHOP DASHBOARD'!$C$4="",ISNUMBER(SEARCH('CHOP DASHBOARD'!$C$4,INDEX(MASTER_ZONES!$B:$B,172)))),171,""),""),""))</f>
        <v/>
      </c>
      <c r="Q172">
        <f>IFERROR(SMALL($P$2:$P$1487,171),"")</f>
        <v/>
      </c>
      <c r="R172">
        <f>IF(Q172="","",IF('CHOP DASHBOARD'!$B$4="Area",INDEX(MASTER_AREAS!$B:$B,Q172+1),INDEX(MASTER_ZONES!$B:$B,Q172+1)))</f>
        <v/>
      </c>
      <c r="U172">
        <f>IF('COMMUNITY CHURCH DASHBOARD'!$B$4="Area",IF(171&lt;=$X$3,IF(AND(OR('COMMUNITY CHURCH DASHBOARD'!$C$4="",ISNUMBER(SEARCH('COMMUNITY CHURCH DASHBOARD'!$C$4,INDEX(MASTER_AREAS!$B:$B,172))))),171,""),""),IF('COMMUNITY CHURCH DASHBOARD'!$B$4="Zone",IF(171&lt;=$X$4,IF(OR('COMMUNITY CHURCH DASHBOARD'!$C$4="",ISNUMBER(SEARCH('COMMUNITY CHURCH DASHBOARD'!$C$4,INDEX(MASTER_ZONES!$B:$B,172)))),171,""),""),""))</f>
        <v/>
      </c>
      <c r="V172">
        <f>IFERROR(SMALL($U$2:$U$1487,171),"")</f>
        <v/>
      </c>
      <c r="W172">
        <f>IF(V172="","",IF('COMMUNITY CHURCH DASHBOARD'!$B$4="Area",INDEX(MASTER_AREAS!$B:$B,V172+1),INDEX(MASTER_ZONES!$B:$B,V172+1)))</f>
        <v/>
      </c>
    </row>
    <row r="173">
      <c r="A173">
        <f>IF('WSF DASHBOARD'!$B$4="Area",IF(172&lt;=$D$3,IF(AND(OR('WSF DASHBOARD'!$C$4="",ISNUMBER(SEARCH('WSF DASHBOARD'!$C$4,INDEX(MASTER_AREAS!$B:$B,173))))),172,""),""),IF('WSF DASHBOARD'!$B$4="Zone",IF(172&lt;=$D$4,IF(OR('WSF DASHBOARD'!$C$4="",ISNUMBER(SEARCH('WSF DASHBOARD'!$C$4,INDEX(MASTER_ZONES!$B:$B,173)))),172,""),""),""))</f>
        <v/>
      </c>
      <c r="B173">
        <f>IFERROR(SMALL($A$2:$A$1487,172),"")</f>
        <v/>
      </c>
      <c r="C173">
        <f>IF(B173="","",IF('WSF DASHBOARD'!$B$4="Area",INDEX(MASTER_AREAS!$B:$B,B173+1),INDEX(MASTER_ZONES!$B:$B,B173+1)))</f>
        <v/>
      </c>
      <c r="F173">
        <f>IF('TRANSPORT DASHBOARD'!$B$4="Area",IF(172&lt;=$I$3,IF(AND(INDEX(MASTER_AREAS!$F:$F,173)&lt;&gt;"N",OR('TRANSPORT DASHBOARD'!$C$4="",ISNUMBER(SEARCH('TRANSPORT DASHBOARD'!$C$4,INDEX(MASTER_AREAS!$B:$B,173))))),172,""),""),IF('TRANSPORT DASHBOARD'!$B$4="Zone",IF(172&lt;=$I$4,IF(OR('TRANSPORT DASHBOARD'!$C$4="",ISNUMBER(SEARCH('TRANSPORT DASHBOARD'!$C$4,INDEX(MASTER_ZONES!$B:$B,173)))),172,""),""),""))</f>
        <v/>
      </c>
      <c r="G173">
        <f>IFERROR(SMALL($F$2:$F$1487,172),"")</f>
        <v/>
      </c>
      <c r="H173">
        <f>IF(G173="","",IF('TRANSPORT DASHBOARD'!$B$4="Area",INDEX(MASTER_AREAS!$B:$B,G173+1),INDEX(MASTER_ZONES!$B:$B,G173+1)))</f>
        <v/>
      </c>
      <c r="K173">
        <f>IF('MIDWEEK DASHBOARD'!$B$4="Area",IF(172&lt;=$N$3,IF(AND(OR('MIDWEEK DASHBOARD'!$C$4="",ISNUMBER(SEARCH('MIDWEEK DASHBOARD'!$C$4,INDEX(MASTER_AREAS!$B:$B,173))))),172,""),""),IF('MIDWEEK DASHBOARD'!$B$4="Zone",IF(172&lt;=$N$4,IF(OR('MIDWEEK DASHBOARD'!$C$4="",ISNUMBER(SEARCH('MIDWEEK DASHBOARD'!$C$4,INDEX(MASTER_ZONES!$B:$B,173)))),172,""),""),""))</f>
        <v/>
      </c>
      <c r="L173">
        <f>IFERROR(SMALL($K$2:$K$1487,172),"")</f>
        <v/>
      </c>
      <c r="M173">
        <f>IF(L173="","",IF('MIDWEEK DASHBOARD'!$B$4="Area",INDEX(MASTER_AREAS!$B:$B,L173+1),INDEX(MASTER_ZONES!$B:$B,L173+1)))</f>
        <v/>
      </c>
      <c r="P173">
        <f>IF('CHOP DASHBOARD'!$B$4="Area",IF(172&lt;=$S$3,IF(AND(OR('CHOP DASHBOARD'!$C$4="",ISNUMBER(SEARCH('CHOP DASHBOARD'!$C$4,INDEX(MASTER_AREAS!$B:$B,173))))),172,""),""),IF('CHOP DASHBOARD'!$B$4="Zone",IF(172&lt;=$S$4,IF(OR('CHOP DASHBOARD'!$C$4="",ISNUMBER(SEARCH('CHOP DASHBOARD'!$C$4,INDEX(MASTER_ZONES!$B:$B,173)))),172,""),""),""))</f>
        <v/>
      </c>
      <c r="Q173">
        <f>IFERROR(SMALL($P$2:$P$1487,172),"")</f>
        <v/>
      </c>
      <c r="R173">
        <f>IF(Q173="","",IF('CHOP DASHBOARD'!$B$4="Area",INDEX(MASTER_AREAS!$B:$B,Q173+1),INDEX(MASTER_ZONES!$B:$B,Q173+1)))</f>
        <v/>
      </c>
      <c r="U173">
        <f>IF('COMMUNITY CHURCH DASHBOARD'!$B$4="Area",IF(172&lt;=$X$3,IF(AND(OR('COMMUNITY CHURCH DASHBOARD'!$C$4="",ISNUMBER(SEARCH('COMMUNITY CHURCH DASHBOARD'!$C$4,INDEX(MASTER_AREAS!$B:$B,173))))),172,""),""),IF('COMMUNITY CHURCH DASHBOARD'!$B$4="Zone",IF(172&lt;=$X$4,IF(OR('COMMUNITY CHURCH DASHBOARD'!$C$4="",ISNUMBER(SEARCH('COMMUNITY CHURCH DASHBOARD'!$C$4,INDEX(MASTER_ZONES!$B:$B,173)))),172,""),""),""))</f>
        <v/>
      </c>
      <c r="V173">
        <f>IFERROR(SMALL($U$2:$U$1487,172),"")</f>
        <v/>
      </c>
      <c r="W173">
        <f>IF(V173="","",IF('COMMUNITY CHURCH DASHBOARD'!$B$4="Area",INDEX(MASTER_AREAS!$B:$B,V173+1),INDEX(MASTER_ZONES!$B:$B,V173+1)))</f>
        <v/>
      </c>
    </row>
    <row r="174">
      <c r="A174">
        <f>IF('WSF DASHBOARD'!$B$4="Area",IF(173&lt;=$D$3,IF(AND(OR('WSF DASHBOARD'!$C$4="",ISNUMBER(SEARCH('WSF DASHBOARD'!$C$4,INDEX(MASTER_AREAS!$B:$B,174))))),173,""),""),IF('WSF DASHBOARD'!$B$4="Zone",IF(173&lt;=$D$4,IF(OR('WSF DASHBOARD'!$C$4="",ISNUMBER(SEARCH('WSF DASHBOARD'!$C$4,INDEX(MASTER_ZONES!$B:$B,174)))),173,""),""),""))</f>
        <v/>
      </c>
      <c r="B174">
        <f>IFERROR(SMALL($A$2:$A$1487,173),"")</f>
        <v/>
      </c>
      <c r="C174">
        <f>IF(B174="","",IF('WSF DASHBOARD'!$B$4="Area",INDEX(MASTER_AREAS!$B:$B,B174+1),INDEX(MASTER_ZONES!$B:$B,B174+1)))</f>
        <v/>
      </c>
      <c r="F174">
        <f>IF('TRANSPORT DASHBOARD'!$B$4="Area",IF(173&lt;=$I$3,IF(AND(INDEX(MASTER_AREAS!$F:$F,174)&lt;&gt;"N",OR('TRANSPORT DASHBOARD'!$C$4="",ISNUMBER(SEARCH('TRANSPORT DASHBOARD'!$C$4,INDEX(MASTER_AREAS!$B:$B,174))))),173,""),""),IF('TRANSPORT DASHBOARD'!$B$4="Zone",IF(173&lt;=$I$4,IF(OR('TRANSPORT DASHBOARD'!$C$4="",ISNUMBER(SEARCH('TRANSPORT DASHBOARD'!$C$4,INDEX(MASTER_ZONES!$B:$B,174)))),173,""),""),""))</f>
        <v/>
      </c>
      <c r="G174">
        <f>IFERROR(SMALL($F$2:$F$1487,173),"")</f>
        <v/>
      </c>
      <c r="H174">
        <f>IF(G174="","",IF('TRANSPORT DASHBOARD'!$B$4="Area",INDEX(MASTER_AREAS!$B:$B,G174+1),INDEX(MASTER_ZONES!$B:$B,G174+1)))</f>
        <v/>
      </c>
      <c r="K174">
        <f>IF('MIDWEEK DASHBOARD'!$B$4="Area",IF(173&lt;=$N$3,IF(AND(OR('MIDWEEK DASHBOARD'!$C$4="",ISNUMBER(SEARCH('MIDWEEK DASHBOARD'!$C$4,INDEX(MASTER_AREAS!$B:$B,174))))),173,""),""),IF('MIDWEEK DASHBOARD'!$B$4="Zone",IF(173&lt;=$N$4,IF(OR('MIDWEEK DASHBOARD'!$C$4="",ISNUMBER(SEARCH('MIDWEEK DASHBOARD'!$C$4,INDEX(MASTER_ZONES!$B:$B,174)))),173,""),""),""))</f>
        <v/>
      </c>
      <c r="L174">
        <f>IFERROR(SMALL($K$2:$K$1487,173),"")</f>
        <v/>
      </c>
      <c r="M174">
        <f>IF(L174="","",IF('MIDWEEK DASHBOARD'!$B$4="Area",INDEX(MASTER_AREAS!$B:$B,L174+1),INDEX(MASTER_ZONES!$B:$B,L174+1)))</f>
        <v/>
      </c>
      <c r="P174">
        <f>IF('CHOP DASHBOARD'!$B$4="Area",IF(173&lt;=$S$3,IF(AND(OR('CHOP DASHBOARD'!$C$4="",ISNUMBER(SEARCH('CHOP DASHBOARD'!$C$4,INDEX(MASTER_AREAS!$B:$B,174))))),173,""),""),IF('CHOP DASHBOARD'!$B$4="Zone",IF(173&lt;=$S$4,IF(OR('CHOP DASHBOARD'!$C$4="",ISNUMBER(SEARCH('CHOP DASHBOARD'!$C$4,INDEX(MASTER_ZONES!$B:$B,174)))),173,""),""),""))</f>
        <v/>
      </c>
      <c r="Q174">
        <f>IFERROR(SMALL($P$2:$P$1487,173),"")</f>
        <v/>
      </c>
      <c r="R174">
        <f>IF(Q174="","",IF('CHOP DASHBOARD'!$B$4="Area",INDEX(MASTER_AREAS!$B:$B,Q174+1),INDEX(MASTER_ZONES!$B:$B,Q174+1)))</f>
        <v/>
      </c>
      <c r="U174">
        <f>IF('COMMUNITY CHURCH DASHBOARD'!$B$4="Area",IF(173&lt;=$X$3,IF(AND(OR('COMMUNITY CHURCH DASHBOARD'!$C$4="",ISNUMBER(SEARCH('COMMUNITY CHURCH DASHBOARD'!$C$4,INDEX(MASTER_AREAS!$B:$B,174))))),173,""),""),IF('COMMUNITY CHURCH DASHBOARD'!$B$4="Zone",IF(173&lt;=$X$4,IF(OR('COMMUNITY CHURCH DASHBOARD'!$C$4="",ISNUMBER(SEARCH('COMMUNITY CHURCH DASHBOARD'!$C$4,INDEX(MASTER_ZONES!$B:$B,174)))),173,""),""),""))</f>
        <v/>
      </c>
      <c r="V174">
        <f>IFERROR(SMALL($U$2:$U$1487,173),"")</f>
        <v/>
      </c>
      <c r="W174">
        <f>IF(V174="","",IF('COMMUNITY CHURCH DASHBOARD'!$B$4="Area",INDEX(MASTER_AREAS!$B:$B,V174+1),INDEX(MASTER_ZONES!$B:$B,V174+1)))</f>
        <v/>
      </c>
    </row>
    <row r="175">
      <c r="A175">
        <f>IF('WSF DASHBOARD'!$B$4="Area",IF(174&lt;=$D$3,IF(AND(OR('WSF DASHBOARD'!$C$4="",ISNUMBER(SEARCH('WSF DASHBOARD'!$C$4,INDEX(MASTER_AREAS!$B:$B,175))))),174,""),""),IF('WSF DASHBOARD'!$B$4="Zone",IF(174&lt;=$D$4,IF(OR('WSF DASHBOARD'!$C$4="",ISNUMBER(SEARCH('WSF DASHBOARD'!$C$4,INDEX(MASTER_ZONES!$B:$B,175)))),174,""),""),""))</f>
        <v/>
      </c>
      <c r="B175">
        <f>IFERROR(SMALL($A$2:$A$1487,174),"")</f>
        <v/>
      </c>
      <c r="C175">
        <f>IF(B175="","",IF('WSF DASHBOARD'!$B$4="Area",INDEX(MASTER_AREAS!$B:$B,B175+1),INDEX(MASTER_ZONES!$B:$B,B175+1)))</f>
        <v/>
      </c>
      <c r="F175">
        <f>IF('TRANSPORT DASHBOARD'!$B$4="Area",IF(174&lt;=$I$3,IF(AND(INDEX(MASTER_AREAS!$F:$F,175)&lt;&gt;"N",OR('TRANSPORT DASHBOARD'!$C$4="",ISNUMBER(SEARCH('TRANSPORT DASHBOARD'!$C$4,INDEX(MASTER_AREAS!$B:$B,175))))),174,""),""),IF('TRANSPORT DASHBOARD'!$B$4="Zone",IF(174&lt;=$I$4,IF(OR('TRANSPORT DASHBOARD'!$C$4="",ISNUMBER(SEARCH('TRANSPORT DASHBOARD'!$C$4,INDEX(MASTER_ZONES!$B:$B,175)))),174,""),""),""))</f>
        <v/>
      </c>
      <c r="G175">
        <f>IFERROR(SMALL($F$2:$F$1487,174),"")</f>
        <v/>
      </c>
      <c r="H175">
        <f>IF(G175="","",IF('TRANSPORT DASHBOARD'!$B$4="Area",INDEX(MASTER_AREAS!$B:$B,G175+1),INDEX(MASTER_ZONES!$B:$B,G175+1)))</f>
        <v/>
      </c>
      <c r="K175">
        <f>IF('MIDWEEK DASHBOARD'!$B$4="Area",IF(174&lt;=$N$3,IF(AND(OR('MIDWEEK DASHBOARD'!$C$4="",ISNUMBER(SEARCH('MIDWEEK DASHBOARD'!$C$4,INDEX(MASTER_AREAS!$B:$B,175))))),174,""),""),IF('MIDWEEK DASHBOARD'!$B$4="Zone",IF(174&lt;=$N$4,IF(OR('MIDWEEK DASHBOARD'!$C$4="",ISNUMBER(SEARCH('MIDWEEK DASHBOARD'!$C$4,INDEX(MASTER_ZONES!$B:$B,175)))),174,""),""),""))</f>
        <v/>
      </c>
      <c r="L175">
        <f>IFERROR(SMALL($K$2:$K$1487,174),"")</f>
        <v/>
      </c>
      <c r="M175">
        <f>IF(L175="","",IF('MIDWEEK DASHBOARD'!$B$4="Area",INDEX(MASTER_AREAS!$B:$B,L175+1),INDEX(MASTER_ZONES!$B:$B,L175+1)))</f>
        <v/>
      </c>
      <c r="P175">
        <f>IF('CHOP DASHBOARD'!$B$4="Area",IF(174&lt;=$S$3,IF(AND(OR('CHOP DASHBOARD'!$C$4="",ISNUMBER(SEARCH('CHOP DASHBOARD'!$C$4,INDEX(MASTER_AREAS!$B:$B,175))))),174,""),""),IF('CHOP DASHBOARD'!$B$4="Zone",IF(174&lt;=$S$4,IF(OR('CHOP DASHBOARD'!$C$4="",ISNUMBER(SEARCH('CHOP DASHBOARD'!$C$4,INDEX(MASTER_ZONES!$B:$B,175)))),174,""),""),""))</f>
        <v/>
      </c>
      <c r="Q175">
        <f>IFERROR(SMALL($P$2:$P$1487,174),"")</f>
        <v/>
      </c>
      <c r="R175">
        <f>IF(Q175="","",IF('CHOP DASHBOARD'!$B$4="Area",INDEX(MASTER_AREAS!$B:$B,Q175+1),INDEX(MASTER_ZONES!$B:$B,Q175+1)))</f>
        <v/>
      </c>
      <c r="U175">
        <f>IF('COMMUNITY CHURCH DASHBOARD'!$B$4="Area",IF(174&lt;=$X$3,IF(AND(OR('COMMUNITY CHURCH DASHBOARD'!$C$4="",ISNUMBER(SEARCH('COMMUNITY CHURCH DASHBOARD'!$C$4,INDEX(MASTER_AREAS!$B:$B,175))))),174,""),""),IF('COMMUNITY CHURCH DASHBOARD'!$B$4="Zone",IF(174&lt;=$X$4,IF(OR('COMMUNITY CHURCH DASHBOARD'!$C$4="",ISNUMBER(SEARCH('COMMUNITY CHURCH DASHBOARD'!$C$4,INDEX(MASTER_ZONES!$B:$B,175)))),174,""),""),""))</f>
        <v/>
      </c>
      <c r="V175">
        <f>IFERROR(SMALL($U$2:$U$1487,174),"")</f>
        <v/>
      </c>
      <c r="W175">
        <f>IF(V175="","",IF('COMMUNITY CHURCH DASHBOARD'!$B$4="Area",INDEX(MASTER_AREAS!$B:$B,V175+1),INDEX(MASTER_ZONES!$B:$B,V175+1)))</f>
        <v/>
      </c>
    </row>
    <row r="176">
      <c r="A176">
        <f>IF('WSF DASHBOARD'!$B$4="Area",IF(175&lt;=$D$3,IF(AND(OR('WSF DASHBOARD'!$C$4="",ISNUMBER(SEARCH('WSF DASHBOARD'!$C$4,INDEX(MASTER_AREAS!$B:$B,176))))),175,""),""),IF('WSF DASHBOARD'!$B$4="Zone",IF(175&lt;=$D$4,IF(OR('WSF DASHBOARD'!$C$4="",ISNUMBER(SEARCH('WSF DASHBOARD'!$C$4,INDEX(MASTER_ZONES!$B:$B,176)))),175,""),""),""))</f>
        <v/>
      </c>
      <c r="B176">
        <f>IFERROR(SMALL($A$2:$A$1487,175),"")</f>
        <v/>
      </c>
      <c r="C176">
        <f>IF(B176="","",IF('WSF DASHBOARD'!$B$4="Area",INDEX(MASTER_AREAS!$B:$B,B176+1),INDEX(MASTER_ZONES!$B:$B,B176+1)))</f>
        <v/>
      </c>
      <c r="F176">
        <f>IF('TRANSPORT DASHBOARD'!$B$4="Area",IF(175&lt;=$I$3,IF(AND(INDEX(MASTER_AREAS!$F:$F,176)&lt;&gt;"N",OR('TRANSPORT DASHBOARD'!$C$4="",ISNUMBER(SEARCH('TRANSPORT DASHBOARD'!$C$4,INDEX(MASTER_AREAS!$B:$B,176))))),175,""),""),IF('TRANSPORT DASHBOARD'!$B$4="Zone",IF(175&lt;=$I$4,IF(OR('TRANSPORT DASHBOARD'!$C$4="",ISNUMBER(SEARCH('TRANSPORT DASHBOARD'!$C$4,INDEX(MASTER_ZONES!$B:$B,176)))),175,""),""),""))</f>
        <v/>
      </c>
      <c r="G176">
        <f>IFERROR(SMALL($F$2:$F$1487,175),"")</f>
        <v/>
      </c>
      <c r="H176">
        <f>IF(G176="","",IF('TRANSPORT DASHBOARD'!$B$4="Area",INDEX(MASTER_AREAS!$B:$B,G176+1),INDEX(MASTER_ZONES!$B:$B,G176+1)))</f>
        <v/>
      </c>
      <c r="K176">
        <f>IF('MIDWEEK DASHBOARD'!$B$4="Area",IF(175&lt;=$N$3,IF(AND(OR('MIDWEEK DASHBOARD'!$C$4="",ISNUMBER(SEARCH('MIDWEEK DASHBOARD'!$C$4,INDEX(MASTER_AREAS!$B:$B,176))))),175,""),""),IF('MIDWEEK DASHBOARD'!$B$4="Zone",IF(175&lt;=$N$4,IF(OR('MIDWEEK DASHBOARD'!$C$4="",ISNUMBER(SEARCH('MIDWEEK DASHBOARD'!$C$4,INDEX(MASTER_ZONES!$B:$B,176)))),175,""),""),""))</f>
        <v/>
      </c>
      <c r="L176">
        <f>IFERROR(SMALL($K$2:$K$1487,175),"")</f>
        <v/>
      </c>
      <c r="M176">
        <f>IF(L176="","",IF('MIDWEEK DASHBOARD'!$B$4="Area",INDEX(MASTER_AREAS!$B:$B,L176+1),INDEX(MASTER_ZONES!$B:$B,L176+1)))</f>
        <v/>
      </c>
      <c r="P176">
        <f>IF('CHOP DASHBOARD'!$B$4="Area",IF(175&lt;=$S$3,IF(AND(OR('CHOP DASHBOARD'!$C$4="",ISNUMBER(SEARCH('CHOP DASHBOARD'!$C$4,INDEX(MASTER_AREAS!$B:$B,176))))),175,""),""),IF('CHOP DASHBOARD'!$B$4="Zone",IF(175&lt;=$S$4,IF(OR('CHOP DASHBOARD'!$C$4="",ISNUMBER(SEARCH('CHOP DASHBOARD'!$C$4,INDEX(MASTER_ZONES!$B:$B,176)))),175,""),""),""))</f>
        <v/>
      </c>
      <c r="Q176">
        <f>IFERROR(SMALL($P$2:$P$1487,175),"")</f>
        <v/>
      </c>
      <c r="R176">
        <f>IF(Q176="","",IF('CHOP DASHBOARD'!$B$4="Area",INDEX(MASTER_AREAS!$B:$B,Q176+1),INDEX(MASTER_ZONES!$B:$B,Q176+1)))</f>
        <v/>
      </c>
      <c r="U176">
        <f>IF('COMMUNITY CHURCH DASHBOARD'!$B$4="Area",IF(175&lt;=$X$3,IF(AND(OR('COMMUNITY CHURCH DASHBOARD'!$C$4="",ISNUMBER(SEARCH('COMMUNITY CHURCH DASHBOARD'!$C$4,INDEX(MASTER_AREAS!$B:$B,176))))),175,""),""),IF('COMMUNITY CHURCH DASHBOARD'!$B$4="Zone",IF(175&lt;=$X$4,IF(OR('COMMUNITY CHURCH DASHBOARD'!$C$4="",ISNUMBER(SEARCH('COMMUNITY CHURCH DASHBOARD'!$C$4,INDEX(MASTER_ZONES!$B:$B,176)))),175,""),""),""))</f>
        <v/>
      </c>
      <c r="V176">
        <f>IFERROR(SMALL($U$2:$U$1487,175),"")</f>
        <v/>
      </c>
      <c r="W176">
        <f>IF(V176="","",IF('COMMUNITY CHURCH DASHBOARD'!$B$4="Area",INDEX(MASTER_AREAS!$B:$B,V176+1),INDEX(MASTER_ZONES!$B:$B,V176+1)))</f>
        <v/>
      </c>
    </row>
    <row r="177">
      <c r="A177">
        <f>IF('WSF DASHBOARD'!$B$4="Area",IF(176&lt;=$D$3,IF(AND(OR('WSF DASHBOARD'!$C$4="",ISNUMBER(SEARCH('WSF DASHBOARD'!$C$4,INDEX(MASTER_AREAS!$B:$B,177))))),176,""),""),IF('WSF DASHBOARD'!$B$4="Zone",IF(176&lt;=$D$4,IF(OR('WSF DASHBOARD'!$C$4="",ISNUMBER(SEARCH('WSF DASHBOARD'!$C$4,INDEX(MASTER_ZONES!$B:$B,177)))),176,""),""),""))</f>
        <v/>
      </c>
      <c r="B177">
        <f>IFERROR(SMALL($A$2:$A$1487,176),"")</f>
        <v/>
      </c>
      <c r="C177">
        <f>IF(B177="","",IF('WSF DASHBOARD'!$B$4="Area",INDEX(MASTER_AREAS!$B:$B,B177+1),INDEX(MASTER_ZONES!$B:$B,B177+1)))</f>
        <v/>
      </c>
      <c r="F177">
        <f>IF('TRANSPORT DASHBOARD'!$B$4="Area",IF(176&lt;=$I$3,IF(AND(INDEX(MASTER_AREAS!$F:$F,177)&lt;&gt;"N",OR('TRANSPORT DASHBOARD'!$C$4="",ISNUMBER(SEARCH('TRANSPORT DASHBOARD'!$C$4,INDEX(MASTER_AREAS!$B:$B,177))))),176,""),""),IF('TRANSPORT DASHBOARD'!$B$4="Zone",IF(176&lt;=$I$4,IF(OR('TRANSPORT DASHBOARD'!$C$4="",ISNUMBER(SEARCH('TRANSPORT DASHBOARD'!$C$4,INDEX(MASTER_ZONES!$B:$B,177)))),176,""),""),""))</f>
        <v/>
      </c>
      <c r="G177">
        <f>IFERROR(SMALL($F$2:$F$1487,176),"")</f>
        <v/>
      </c>
      <c r="H177">
        <f>IF(G177="","",IF('TRANSPORT DASHBOARD'!$B$4="Area",INDEX(MASTER_AREAS!$B:$B,G177+1),INDEX(MASTER_ZONES!$B:$B,G177+1)))</f>
        <v/>
      </c>
      <c r="K177">
        <f>IF('MIDWEEK DASHBOARD'!$B$4="Area",IF(176&lt;=$N$3,IF(AND(OR('MIDWEEK DASHBOARD'!$C$4="",ISNUMBER(SEARCH('MIDWEEK DASHBOARD'!$C$4,INDEX(MASTER_AREAS!$B:$B,177))))),176,""),""),IF('MIDWEEK DASHBOARD'!$B$4="Zone",IF(176&lt;=$N$4,IF(OR('MIDWEEK DASHBOARD'!$C$4="",ISNUMBER(SEARCH('MIDWEEK DASHBOARD'!$C$4,INDEX(MASTER_ZONES!$B:$B,177)))),176,""),""),""))</f>
        <v/>
      </c>
      <c r="L177">
        <f>IFERROR(SMALL($K$2:$K$1487,176),"")</f>
        <v/>
      </c>
      <c r="M177">
        <f>IF(L177="","",IF('MIDWEEK DASHBOARD'!$B$4="Area",INDEX(MASTER_AREAS!$B:$B,L177+1),INDEX(MASTER_ZONES!$B:$B,L177+1)))</f>
        <v/>
      </c>
      <c r="P177">
        <f>IF('CHOP DASHBOARD'!$B$4="Area",IF(176&lt;=$S$3,IF(AND(OR('CHOP DASHBOARD'!$C$4="",ISNUMBER(SEARCH('CHOP DASHBOARD'!$C$4,INDEX(MASTER_AREAS!$B:$B,177))))),176,""),""),IF('CHOP DASHBOARD'!$B$4="Zone",IF(176&lt;=$S$4,IF(OR('CHOP DASHBOARD'!$C$4="",ISNUMBER(SEARCH('CHOP DASHBOARD'!$C$4,INDEX(MASTER_ZONES!$B:$B,177)))),176,""),""),""))</f>
        <v/>
      </c>
      <c r="Q177">
        <f>IFERROR(SMALL($P$2:$P$1487,176),"")</f>
        <v/>
      </c>
      <c r="R177">
        <f>IF(Q177="","",IF('CHOP DASHBOARD'!$B$4="Area",INDEX(MASTER_AREAS!$B:$B,Q177+1),INDEX(MASTER_ZONES!$B:$B,Q177+1)))</f>
        <v/>
      </c>
      <c r="U177">
        <f>IF('COMMUNITY CHURCH DASHBOARD'!$B$4="Area",IF(176&lt;=$X$3,IF(AND(OR('COMMUNITY CHURCH DASHBOARD'!$C$4="",ISNUMBER(SEARCH('COMMUNITY CHURCH DASHBOARD'!$C$4,INDEX(MASTER_AREAS!$B:$B,177))))),176,""),""),IF('COMMUNITY CHURCH DASHBOARD'!$B$4="Zone",IF(176&lt;=$X$4,IF(OR('COMMUNITY CHURCH DASHBOARD'!$C$4="",ISNUMBER(SEARCH('COMMUNITY CHURCH DASHBOARD'!$C$4,INDEX(MASTER_ZONES!$B:$B,177)))),176,""),""),""))</f>
        <v/>
      </c>
      <c r="V177">
        <f>IFERROR(SMALL($U$2:$U$1487,176),"")</f>
        <v/>
      </c>
      <c r="W177">
        <f>IF(V177="","",IF('COMMUNITY CHURCH DASHBOARD'!$B$4="Area",INDEX(MASTER_AREAS!$B:$B,V177+1),INDEX(MASTER_ZONES!$B:$B,V177+1)))</f>
        <v/>
      </c>
    </row>
    <row r="178">
      <c r="A178">
        <f>IF('WSF DASHBOARD'!$B$4="Area",IF(177&lt;=$D$3,IF(AND(OR('WSF DASHBOARD'!$C$4="",ISNUMBER(SEARCH('WSF DASHBOARD'!$C$4,INDEX(MASTER_AREAS!$B:$B,178))))),177,""),""),IF('WSF DASHBOARD'!$B$4="Zone",IF(177&lt;=$D$4,IF(OR('WSF DASHBOARD'!$C$4="",ISNUMBER(SEARCH('WSF DASHBOARD'!$C$4,INDEX(MASTER_ZONES!$B:$B,178)))),177,""),""),""))</f>
        <v/>
      </c>
      <c r="B178">
        <f>IFERROR(SMALL($A$2:$A$1487,177),"")</f>
        <v/>
      </c>
      <c r="C178">
        <f>IF(B178="","",IF('WSF DASHBOARD'!$B$4="Area",INDEX(MASTER_AREAS!$B:$B,B178+1),INDEX(MASTER_ZONES!$B:$B,B178+1)))</f>
        <v/>
      </c>
      <c r="F178">
        <f>IF('TRANSPORT DASHBOARD'!$B$4="Area",IF(177&lt;=$I$3,IF(AND(INDEX(MASTER_AREAS!$F:$F,178)&lt;&gt;"N",OR('TRANSPORT DASHBOARD'!$C$4="",ISNUMBER(SEARCH('TRANSPORT DASHBOARD'!$C$4,INDEX(MASTER_AREAS!$B:$B,178))))),177,""),""),IF('TRANSPORT DASHBOARD'!$B$4="Zone",IF(177&lt;=$I$4,IF(OR('TRANSPORT DASHBOARD'!$C$4="",ISNUMBER(SEARCH('TRANSPORT DASHBOARD'!$C$4,INDEX(MASTER_ZONES!$B:$B,178)))),177,""),""),""))</f>
        <v/>
      </c>
      <c r="G178">
        <f>IFERROR(SMALL($F$2:$F$1487,177),"")</f>
        <v/>
      </c>
      <c r="H178">
        <f>IF(G178="","",IF('TRANSPORT DASHBOARD'!$B$4="Area",INDEX(MASTER_AREAS!$B:$B,G178+1),INDEX(MASTER_ZONES!$B:$B,G178+1)))</f>
        <v/>
      </c>
      <c r="K178">
        <f>IF('MIDWEEK DASHBOARD'!$B$4="Area",IF(177&lt;=$N$3,IF(AND(OR('MIDWEEK DASHBOARD'!$C$4="",ISNUMBER(SEARCH('MIDWEEK DASHBOARD'!$C$4,INDEX(MASTER_AREAS!$B:$B,178))))),177,""),""),IF('MIDWEEK DASHBOARD'!$B$4="Zone",IF(177&lt;=$N$4,IF(OR('MIDWEEK DASHBOARD'!$C$4="",ISNUMBER(SEARCH('MIDWEEK DASHBOARD'!$C$4,INDEX(MASTER_ZONES!$B:$B,178)))),177,""),""),""))</f>
        <v/>
      </c>
      <c r="L178">
        <f>IFERROR(SMALL($K$2:$K$1487,177),"")</f>
        <v/>
      </c>
      <c r="M178">
        <f>IF(L178="","",IF('MIDWEEK DASHBOARD'!$B$4="Area",INDEX(MASTER_AREAS!$B:$B,L178+1),INDEX(MASTER_ZONES!$B:$B,L178+1)))</f>
        <v/>
      </c>
      <c r="P178">
        <f>IF('CHOP DASHBOARD'!$B$4="Area",IF(177&lt;=$S$3,IF(AND(OR('CHOP DASHBOARD'!$C$4="",ISNUMBER(SEARCH('CHOP DASHBOARD'!$C$4,INDEX(MASTER_AREAS!$B:$B,178))))),177,""),""),IF('CHOP DASHBOARD'!$B$4="Zone",IF(177&lt;=$S$4,IF(OR('CHOP DASHBOARD'!$C$4="",ISNUMBER(SEARCH('CHOP DASHBOARD'!$C$4,INDEX(MASTER_ZONES!$B:$B,178)))),177,""),""),""))</f>
        <v/>
      </c>
      <c r="Q178">
        <f>IFERROR(SMALL($P$2:$P$1487,177),"")</f>
        <v/>
      </c>
      <c r="R178">
        <f>IF(Q178="","",IF('CHOP DASHBOARD'!$B$4="Area",INDEX(MASTER_AREAS!$B:$B,Q178+1),INDEX(MASTER_ZONES!$B:$B,Q178+1)))</f>
        <v/>
      </c>
      <c r="U178">
        <f>IF('COMMUNITY CHURCH DASHBOARD'!$B$4="Area",IF(177&lt;=$X$3,IF(AND(OR('COMMUNITY CHURCH DASHBOARD'!$C$4="",ISNUMBER(SEARCH('COMMUNITY CHURCH DASHBOARD'!$C$4,INDEX(MASTER_AREAS!$B:$B,178))))),177,""),""),IF('COMMUNITY CHURCH DASHBOARD'!$B$4="Zone",IF(177&lt;=$X$4,IF(OR('COMMUNITY CHURCH DASHBOARD'!$C$4="",ISNUMBER(SEARCH('COMMUNITY CHURCH DASHBOARD'!$C$4,INDEX(MASTER_ZONES!$B:$B,178)))),177,""),""),""))</f>
        <v/>
      </c>
      <c r="V178">
        <f>IFERROR(SMALL($U$2:$U$1487,177),"")</f>
        <v/>
      </c>
      <c r="W178">
        <f>IF(V178="","",IF('COMMUNITY CHURCH DASHBOARD'!$B$4="Area",INDEX(MASTER_AREAS!$B:$B,V178+1),INDEX(MASTER_ZONES!$B:$B,V178+1)))</f>
        <v/>
      </c>
    </row>
    <row r="179">
      <c r="A179">
        <f>IF('WSF DASHBOARD'!$B$4="Area",IF(178&lt;=$D$3,IF(AND(OR('WSF DASHBOARD'!$C$4="",ISNUMBER(SEARCH('WSF DASHBOARD'!$C$4,INDEX(MASTER_AREAS!$B:$B,179))))),178,""),""),IF('WSF DASHBOARD'!$B$4="Zone",IF(178&lt;=$D$4,IF(OR('WSF DASHBOARD'!$C$4="",ISNUMBER(SEARCH('WSF DASHBOARD'!$C$4,INDEX(MASTER_ZONES!$B:$B,179)))),178,""),""),""))</f>
        <v/>
      </c>
      <c r="B179">
        <f>IFERROR(SMALL($A$2:$A$1487,178),"")</f>
        <v/>
      </c>
      <c r="C179">
        <f>IF(B179="","",IF('WSF DASHBOARD'!$B$4="Area",INDEX(MASTER_AREAS!$B:$B,B179+1),INDEX(MASTER_ZONES!$B:$B,B179+1)))</f>
        <v/>
      </c>
      <c r="F179">
        <f>IF('TRANSPORT DASHBOARD'!$B$4="Area",IF(178&lt;=$I$3,IF(AND(INDEX(MASTER_AREAS!$F:$F,179)&lt;&gt;"N",OR('TRANSPORT DASHBOARD'!$C$4="",ISNUMBER(SEARCH('TRANSPORT DASHBOARD'!$C$4,INDEX(MASTER_AREAS!$B:$B,179))))),178,""),""),IF('TRANSPORT DASHBOARD'!$B$4="Zone",IF(178&lt;=$I$4,IF(OR('TRANSPORT DASHBOARD'!$C$4="",ISNUMBER(SEARCH('TRANSPORT DASHBOARD'!$C$4,INDEX(MASTER_ZONES!$B:$B,179)))),178,""),""),""))</f>
        <v/>
      </c>
      <c r="G179">
        <f>IFERROR(SMALL($F$2:$F$1487,178),"")</f>
        <v/>
      </c>
      <c r="H179">
        <f>IF(G179="","",IF('TRANSPORT DASHBOARD'!$B$4="Area",INDEX(MASTER_AREAS!$B:$B,G179+1),INDEX(MASTER_ZONES!$B:$B,G179+1)))</f>
        <v/>
      </c>
      <c r="K179">
        <f>IF('MIDWEEK DASHBOARD'!$B$4="Area",IF(178&lt;=$N$3,IF(AND(OR('MIDWEEK DASHBOARD'!$C$4="",ISNUMBER(SEARCH('MIDWEEK DASHBOARD'!$C$4,INDEX(MASTER_AREAS!$B:$B,179))))),178,""),""),IF('MIDWEEK DASHBOARD'!$B$4="Zone",IF(178&lt;=$N$4,IF(OR('MIDWEEK DASHBOARD'!$C$4="",ISNUMBER(SEARCH('MIDWEEK DASHBOARD'!$C$4,INDEX(MASTER_ZONES!$B:$B,179)))),178,""),""),""))</f>
        <v/>
      </c>
      <c r="L179">
        <f>IFERROR(SMALL($K$2:$K$1487,178),"")</f>
        <v/>
      </c>
      <c r="M179">
        <f>IF(L179="","",IF('MIDWEEK DASHBOARD'!$B$4="Area",INDEX(MASTER_AREAS!$B:$B,L179+1),INDEX(MASTER_ZONES!$B:$B,L179+1)))</f>
        <v/>
      </c>
      <c r="P179">
        <f>IF('CHOP DASHBOARD'!$B$4="Area",IF(178&lt;=$S$3,IF(AND(OR('CHOP DASHBOARD'!$C$4="",ISNUMBER(SEARCH('CHOP DASHBOARD'!$C$4,INDEX(MASTER_AREAS!$B:$B,179))))),178,""),""),IF('CHOP DASHBOARD'!$B$4="Zone",IF(178&lt;=$S$4,IF(OR('CHOP DASHBOARD'!$C$4="",ISNUMBER(SEARCH('CHOP DASHBOARD'!$C$4,INDEX(MASTER_ZONES!$B:$B,179)))),178,""),""),""))</f>
        <v/>
      </c>
      <c r="Q179">
        <f>IFERROR(SMALL($P$2:$P$1487,178),"")</f>
        <v/>
      </c>
      <c r="R179">
        <f>IF(Q179="","",IF('CHOP DASHBOARD'!$B$4="Area",INDEX(MASTER_AREAS!$B:$B,Q179+1),INDEX(MASTER_ZONES!$B:$B,Q179+1)))</f>
        <v/>
      </c>
      <c r="U179">
        <f>IF('COMMUNITY CHURCH DASHBOARD'!$B$4="Area",IF(178&lt;=$X$3,IF(AND(OR('COMMUNITY CHURCH DASHBOARD'!$C$4="",ISNUMBER(SEARCH('COMMUNITY CHURCH DASHBOARD'!$C$4,INDEX(MASTER_AREAS!$B:$B,179))))),178,""),""),IF('COMMUNITY CHURCH DASHBOARD'!$B$4="Zone",IF(178&lt;=$X$4,IF(OR('COMMUNITY CHURCH DASHBOARD'!$C$4="",ISNUMBER(SEARCH('COMMUNITY CHURCH DASHBOARD'!$C$4,INDEX(MASTER_ZONES!$B:$B,179)))),178,""),""),""))</f>
        <v/>
      </c>
      <c r="V179">
        <f>IFERROR(SMALL($U$2:$U$1487,178),"")</f>
        <v/>
      </c>
      <c r="W179">
        <f>IF(V179="","",IF('COMMUNITY CHURCH DASHBOARD'!$B$4="Area",INDEX(MASTER_AREAS!$B:$B,V179+1),INDEX(MASTER_ZONES!$B:$B,V179+1)))</f>
        <v/>
      </c>
    </row>
    <row r="180">
      <c r="A180">
        <f>IF('WSF DASHBOARD'!$B$4="Area",IF(179&lt;=$D$3,IF(AND(OR('WSF DASHBOARD'!$C$4="",ISNUMBER(SEARCH('WSF DASHBOARD'!$C$4,INDEX(MASTER_AREAS!$B:$B,180))))),179,""),""),IF('WSF DASHBOARD'!$B$4="Zone",IF(179&lt;=$D$4,IF(OR('WSF DASHBOARD'!$C$4="",ISNUMBER(SEARCH('WSF DASHBOARD'!$C$4,INDEX(MASTER_ZONES!$B:$B,180)))),179,""),""),""))</f>
        <v/>
      </c>
      <c r="B180">
        <f>IFERROR(SMALL($A$2:$A$1487,179),"")</f>
        <v/>
      </c>
      <c r="C180">
        <f>IF(B180="","",IF('WSF DASHBOARD'!$B$4="Area",INDEX(MASTER_AREAS!$B:$B,B180+1),INDEX(MASTER_ZONES!$B:$B,B180+1)))</f>
        <v/>
      </c>
      <c r="F180">
        <f>IF('TRANSPORT DASHBOARD'!$B$4="Area",IF(179&lt;=$I$3,IF(AND(INDEX(MASTER_AREAS!$F:$F,180)&lt;&gt;"N",OR('TRANSPORT DASHBOARD'!$C$4="",ISNUMBER(SEARCH('TRANSPORT DASHBOARD'!$C$4,INDEX(MASTER_AREAS!$B:$B,180))))),179,""),""),IF('TRANSPORT DASHBOARD'!$B$4="Zone",IF(179&lt;=$I$4,IF(OR('TRANSPORT DASHBOARD'!$C$4="",ISNUMBER(SEARCH('TRANSPORT DASHBOARD'!$C$4,INDEX(MASTER_ZONES!$B:$B,180)))),179,""),""),""))</f>
        <v/>
      </c>
      <c r="G180">
        <f>IFERROR(SMALL($F$2:$F$1487,179),"")</f>
        <v/>
      </c>
      <c r="H180">
        <f>IF(G180="","",IF('TRANSPORT DASHBOARD'!$B$4="Area",INDEX(MASTER_AREAS!$B:$B,G180+1),INDEX(MASTER_ZONES!$B:$B,G180+1)))</f>
        <v/>
      </c>
      <c r="K180">
        <f>IF('MIDWEEK DASHBOARD'!$B$4="Area",IF(179&lt;=$N$3,IF(AND(OR('MIDWEEK DASHBOARD'!$C$4="",ISNUMBER(SEARCH('MIDWEEK DASHBOARD'!$C$4,INDEX(MASTER_AREAS!$B:$B,180))))),179,""),""),IF('MIDWEEK DASHBOARD'!$B$4="Zone",IF(179&lt;=$N$4,IF(OR('MIDWEEK DASHBOARD'!$C$4="",ISNUMBER(SEARCH('MIDWEEK DASHBOARD'!$C$4,INDEX(MASTER_ZONES!$B:$B,180)))),179,""),""),""))</f>
        <v/>
      </c>
      <c r="L180">
        <f>IFERROR(SMALL($K$2:$K$1487,179),"")</f>
        <v/>
      </c>
      <c r="M180">
        <f>IF(L180="","",IF('MIDWEEK DASHBOARD'!$B$4="Area",INDEX(MASTER_AREAS!$B:$B,L180+1),INDEX(MASTER_ZONES!$B:$B,L180+1)))</f>
        <v/>
      </c>
      <c r="P180">
        <f>IF('CHOP DASHBOARD'!$B$4="Area",IF(179&lt;=$S$3,IF(AND(OR('CHOP DASHBOARD'!$C$4="",ISNUMBER(SEARCH('CHOP DASHBOARD'!$C$4,INDEX(MASTER_AREAS!$B:$B,180))))),179,""),""),IF('CHOP DASHBOARD'!$B$4="Zone",IF(179&lt;=$S$4,IF(OR('CHOP DASHBOARD'!$C$4="",ISNUMBER(SEARCH('CHOP DASHBOARD'!$C$4,INDEX(MASTER_ZONES!$B:$B,180)))),179,""),""),""))</f>
        <v/>
      </c>
      <c r="Q180">
        <f>IFERROR(SMALL($P$2:$P$1487,179),"")</f>
        <v/>
      </c>
      <c r="R180">
        <f>IF(Q180="","",IF('CHOP DASHBOARD'!$B$4="Area",INDEX(MASTER_AREAS!$B:$B,Q180+1),INDEX(MASTER_ZONES!$B:$B,Q180+1)))</f>
        <v/>
      </c>
      <c r="U180">
        <f>IF('COMMUNITY CHURCH DASHBOARD'!$B$4="Area",IF(179&lt;=$X$3,IF(AND(OR('COMMUNITY CHURCH DASHBOARD'!$C$4="",ISNUMBER(SEARCH('COMMUNITY CHURCH DASHBOARD'!$C$4,INDEX(MASTER_AREAS!$B:$B,180))))),179,""),""),IF('COMMUNITY CHURCH DASHBOARD'!$B$4="Zone",IF(179&lt;=$X$4,IF(OR('COMMUNITY CHURCH DASHBOARD'!$C$4="",ISNUMBER(SEARCH('COMMUNITY CHURCH DASHBOARD'!$C$4,INDEX(MASTER_ZONES!$B:$B,180)))),179,""),""),""))</f>
        <v/>
      </c>
      <c r="V180">
        <f>IFERROR(SMALL($U$2:$U$1487,179),"")</f>
        <v/>
      </c>
      <c r="W180">
        <f>IF(V180="","",IF('COMMUNITY CHURCH DASHBOARD'!$B$4="Area",INDEX(MASTER_AREAS!$B:$B,V180+1),INDEX(MASTER_ZONES!$B:$B,V180+1)))</f>
        <v/>
      </c>
    </row>
    <row r="181">
      <c r="A181">
        <f>IF('WSF DASHBOARD'!$B$4="Area",IF(180&lt;=$D$3,IF(AND(OR('WSF DASHBOARD'!$C$4="",ISNUMBER(SEARCH('WSF DASHBOARD'!$C$4,INDEX(MASTER_AREAS!$B:$B,181))))),180,""),""),IF('WSF DASHBOARD'!$B$4="Zone",IF(180&lt;=$D$4,IF(OR('WSF DASHBOARD'!$C$4="",ISNUMBER(SEARCH('WSF DASHBOARD'!$C$4,INDEX(MASTER_ZONES!$B:$B,181)))),180,""),""),""))</f>
        <v/>
      </c>
      <c r="B181">
        <f>IFERROR(SMALL($A$2:$A$1487,180),"")</f>
        <v/>
      </c>
      <c r="C181">
        <f>IF(B181="","",IF('WSF DASHBOARD'!$B$4="Area",INDEX(MASTER_AREAS!$B:$B,B181+1),INDEX(MASTER_ZONES!$B:$B,B181+1)))</f>
        <v/>
      </c>
      <c r="F181">
        <f>IF('TRANSPORT DASHBOARD'!$B$4="Area",IF(180&lt;=$I$3,IF(AND(INDEX(MASTER_AREAS!$F:$F,181)&lt;&gt;"N",OR('TRANSPORT DASHBOARD'!$C$4="",ISNUMBER(SEARCH('TRANSPORT DASHBOARD'!$C$4,INDEX(MASTER_AREAS!$B:$B,181))))),180,""),""),IF('TRANSPORT DASHBOARD'!$B$4="Zone",IF(180&lt;=$I$4,IF(OR('TRANSPORT DASHBOARD'!$C$4="",ISNUMBER(SEARCH('TRANSPORT DASHBOARD'!$C$4,INDEX(MASTER_ZONES!$B:$B,181)))),180,""),""),""))</f>
        <v/>
      </c>
      <c r="G181">
        <f>IFERROR(SMALL($F$2:$F$1487,180),"")</f>
        <v/>
      </c>
      <c r="H181">
        <f>IF(G181="","",IF('TRANSPORT DASHBOARD'!$B$4="Area",INDEX(MASTER_AREAS!$B:$B,G181+1),INDEX(MASTER_ZONES!$B:$B,G181+1)))</f>
        <v/>
      </c>
      <c r="K181">
        <f>IF('MIDWEEK DASHBOARD'!$B$4="Area",IF(180&lt;=$N$3,IF(AND(OR('MIDWEEK DASHBOARD'!$C$4="",ISNUMBER(SEARCH('MIDWEEK DASHBOARD'!$C$4,INDEX(MASTER_AREAS!$B:$B,181))))),180,""),""),IF('MIDWEEK DASHBOARD'!$B$4="Zone",IF(180&lt;=$N$4,IF(OR('MIDWEEK DASHBOARD'!$C$4="",ISNUMBER(SEARCH('MIDWEEK DASHBOARD'!$C$4,INDEX(MASTER_ZONES!$B:$B,181)))),180,""),""),""))</f>
        <v/>
      </c>
      <c r="L181">
        <f>IFERROR(SMALL($K$2:$K$1487,180),"")</f>
        <v/>
      </c>
      <c r="M181">
        <f>IF(L181="","",IF('MIDWEEK DASHBOARD'!$B$4="Area",INDEX(MASTER_AREAS!$B:$B,L181+1),INDEX(MASTER_ZONES!$B:$B,L181+1)))</f>
        <v/>
      </c>
      <c r="P181">
        <f>IF('CHOP DASHBOARD'!$B$4="Area",IF(180&lt;=$S$3,IF(AND(OR('CHOP DASHBOARD'!$C$4="",ISNUMBER(SEARCH('CHOP DASHBOARD'!$C$4,INDEX(MASTER_AREAS!$B:$B,181))))),180,""),""),IF('CHOP DASHBOARD'!$B$4="Zone",IF(180&lt;=$S$4,IF(OR('CHOP DASHBOARD'!$C$4="",ISNUMBER(SEARCH('CHOP DASHBOARD'!$C$4,INDEX(MASTER_ZONES!$B:$B,181)))),180,""),""),""))</f>
        <v/>
      </c>
      <c r="Q181">
        <f>IFERROR(SMALL($P$2:$P$1487,180),"")</f>
        <v/>
      </c>
      <c r="R181">
        <f>IF(Q181="","",IF('CHOP DASHBOARD'!$B$4="Area",INDEX(MASTER_AREAS!$B:$B,Q181+1),INDEX(MASTER_ZONES!$B:$B,Q181+1)))</f>
        <v/>
      </c>
      <c r="U181">
        <f>IF('COMMUNITY CHURCH DASHBOARD'!$B$4="Area",IF(180&lt;=$X$3,IF(AND(OR('COMMUNITY CHURCH DASHBOARD'!$C$4="",ISNUMBER(SEARCH('COMMUNITY CHURCH DASHBOARD'!$C$4,INDEX(MASTER_AREAS!$B:$B,181))))),180,""),""),IF('COMMUNITY CHURCH DASHBOARD'!$B$4="Zone",IF(180&lt;=$X$4,IF(OR('COMMUNITY CHURCH DASHBOARD'!$C$4="",ISNUMBER(SEARCH('COMMUNITY CHURCH DASHBOARD'!$C$4,INDEX(MASTER_ZONES!$B:$B,181)))),180,""),""),""))</f>
        <v/>
      </c>
      <c r="V181">
        <f>IFERROR(SMALL($U$2:$U$1487,180),"")</f>
        <v/>
      </c>
      <c r="W181">
        <f>IF(V181="","",IF('COMMUNITY CHURCH DASHBOARD'!$B$4="Area",INDEX(MASTER_AREAS!$B:$B,V181+1),INDEX(MASTER_ZONES!$B:$B,V181+1)))</f>
        <v/>
      </c>
    </row>
    <row r="182">
      <c r="A182">
        <f>IF('WSF DASHBOARD'!$B$4="Area",IF(181&lt;=$D$3,IF(AND(OR('WSF DASHBOARD'!$C$4="",ISNUMBER(SEARCH('WSF DASHBOARD'!$C$4,INDEX(MASTER_AREAS!$B:$B,182))))),181,""),""),IF('WSF DASHBOARD'!$B$4="Zone",IF(181&lt;=$D$4,IF(OR('WSF DASHBOARD'!$C$4="",ISNUMBER(SEARCH('WSF DASHBOARD'!$C$4,INDEX(MASTER_ZONES!$B:$B,182)))),181,""),""),""))</f>
        <v/>
      </c>
      <c r="B182">
        <f>IFERROR(SMALL($A$2:$A$1487,181),"")</f>
        <v/>
      </c>
      <c r="C182">
        <f>IF(B182="","",IF('WSF DASHBOARD'!$B$4="Area",INDEX(MASTER_AREAS!$B:$B,B182+1),INDEX(MASTER_ZONES!$B:$B,B182+1)))</f>
        <v/>
      </c>
      <c r="F182">
        <f>IF('TRANSPORT DASHBOARD'!$B$4="Area",IF(181&lt;=$I$3,IF(AND(INDEX(MASTER_AREAS!$F:$F,182)&lt;&gt;"N",OR('TRANSPORT DASHBOARD'!$C$4="",ISNUMBER(SEARCH('TRANSPORT DASHBOARD'!$C$4,INDEX(MASTER_AREAS!$B:$B,182))))),181,""),""),IF('TRANSPORT DASHBOARD'!$B$4="Zone",IF(181&lt;=$I$4,IF(OR('TRANSPORT DASHBOARD'!$C$4="",ISNUMBER(SEARCH('TRANSPORT DASHBOARD'!$C$4,INDEX(MASTER_ZONES!$B:$B,182)))),181,""),""),""))</f>
        <v/>
      </c>
      <c r="G182">
        <f>IFERROR(SMALL($F$2:$F$1487,181),"")</f>
        <v/>
      </c>
      <c r="H182">
        <f>IF(G182="","",IF('TRANSPORT DASHBOARD'!$B$4="Area",INDEX(MASTER_AREAS!$B:$B,G182+1),INDEX(MASTER_ZONES!$B:$B,G182+1)))</f>
        <v/>
      </c>
      <c r="K182">
        <f>IF('MIDWEEK DASHBOARD'!$B$4="Area",IF(181&lt;=$N$3,IF(AND(OR('MIDWEEK DASHBOARD'!$C$4="",ISNUMBER(SEARCH('MIDWEEK DASHBOARD'!$C$4,INDEX(MASTER_AREAS!$B:$B,182))))),181,""),""),IF('MIDWEEK DASHBOARD'!$B$4="Zone",IF(181&lt;=$N$4,IF(OR('MIDWEEK DASHBOARD'!$C$4="",ISNUMBER(SEARCH('MIDWEEK DASHBOARD'!$C$4,INDEX(MASTER_ZONES!$B:$B,182)))),181,""),""),""))</f>
        <v/>
      </c>
      <c r="L182">
        <f>IFERROR(SMALL($K$2:$K$1487,181),"")</f>
        <v/>
      </c>
      <c r="M182">
        <f>IF(L182="","",IF('MIDWEEK DASHBOARD'!$B$4="Area",INDEX(MASTER_AREAS!$B:$B,L182+1),INDEX(MASTER_ZONES!$B:$B,L182+1)))</f>
        <v/>
      </c>
      <c r="P182">
        <f>IF('CHOP DASHBOARD'!$B$4="Area",IF(181&lt;=$S$3,IF(AND(OR('CHOP DASHBOARD'!$C$4="",ISNUMBER(SEARCH('CHOP DASHBOARD'!$C$4,INDEX(MASTER_AREAS!$B:$B,182))))),181,""),""),IF('CHOP DASHBOARD'!$B$4="Zone",IF(181&lt;=$S$4,IF(OR('CHOP DASHBOARD'!$C$4="",ISNUMBER(SEARCH('CHOP DASHBOARD'!$C$4,INDEX(MASTER_ZONES!$B:$B,182)))),181,""),""),""))</f>
        <v/>
      </c>
      <c r="Q182">
        <f>IFERROR(SMALL($P$2:$P$1487,181),"")</f>
        <v/>
      </c>
      <c r="R182">
        <f>IF(Q182="","",IF('CHOP DASHBOARD'!$B$4="Area",INDEX(MASTER_AREAS!$B:$B,Q182+1),INDEX(MASTER_ZONES!$B:$B,Q182+1)))</f>
        <v/>
      </c>
      <c r="U182">
        <f>IF('COMMUNITY CHURCH DASHBOARD'!$B$4="Area",IF(181&lt;=$X$3,IF(AND(OR('COMMUNITY CHURCH DASHBOARD'!$C$4="",ISNUMBER(SEARCH('COMMUNITY CHURCH DASHBOARD'!$C$4,INDEX(MASTER_AREAS!$B:$B,182))))),181,""),""),IF('COMMUNITY CHURCH DASHBOARD'!$B$4="Zone",IF(181&lt;=$X$4,IF(OR('COMMUNITY CHURCH DASHBOARD'!$C$4="",ISNUMBER(SEARCH('COMMUNITY CHURCH DASHBOARD'!$C$4,INDEX(MASTER_ZONES!$B:$B,182)))),181,""),""),""))</f>
        <v/>
      </c>
      <c r="V182">
        <f>IFERROR(SMALL($U$2:$U$1487,181),"")</f>
        <v/>
      </c>
      <c r="W182">
        <f>IF(V182="","",IF('COMMUNITY CHURCH DASHBOARD'!$B$4="Area",INDEX(MASTER_AREAS!$B:$B,V182+1),INDEX(MASTER_ZONES!$B:$B,V182+1)))</f>
        <v/>
      </c>
    </row>
    <row r="183">
      <c r="A183">
        <f>IF('WSF DASHBOARD'!$B$4="Area",IF(182&lt;=$D$3,IF(AND(OR('WSF DASHBOARD'!$C$4="",ISNUMBER(SEARCH('WSF DASHBOARD'!$C$4,INDEX(MASTER_AREAS!$B:$B,183))))),182,""),""),IF('WSF DASHBOARD'!$B$4="Zone",IF(182&lt;=$D$4,IF(OR('WSF DASHBOARD'!$C$4="",ISNUMBER(SEARCH('WSF DASHBOARD'!$C$4,INDEX(MASTER_ZONES!$B:$B,183)))),182,""),""),""))</f>
        <v/>
      </c>
      <c r="B183">
        <f>IFERROR(SMALL($A$2:$A$1487,182),"")</f>
        <v/>
      </c>
      <c r="C183">
        <f>IF(B183="","",IF('WSF DASHBOARD'!$B$4="Area",INDEX(MASTER_AREAS!$B:$B,B183+1),INDEX(MASTER_ZONES!$B:$B,B183+1)))</f>
        <v/>
      </c>
      <c r="F183">
        <f>IF('TRANSPORT DASHBOARD'!$B$4="Area",IF(182&lt;=$I$3,IF(AND(INDEX(MASTER_AREAS!$F:$F,183)&lt;&gt;"N",OR('TRANSPORT DASHBOARD'!$C$4="",ISNUMBER(SEARCH('TRANSPORT DASHBOARD'!$C$4,INDEX(MASTER_AREAS!$B:$B,183))))),182,""),""),IF('TRANSPORT DASHBOARD'!$B$4="Zone",IF(182&lt;=$I$4,IF(OR('TRANSPORT DASHBOARD'!$C$4="",ISNUMBER(SEARCH('TRANSPORT DASHBOARD'!$C$4,INDEX(MASTER_ZONES!$B:$B,183)))),182,""),""),""))</f>
        <v/>
      </c>
      <c r="G183">
        <f>IFERROR(SMALL($F$2:$F$1487,182),"")</f>
        <v/>
      </c>
      <c r="H183">
        <f>IF(G183="","",IF('TRANSPORT DASHBOARD'!$B$4="Area",INDEX(MASTER_AREAS!$B:$B,G183+1),INDEX(MASTER_ZONES!$B:$B,G183+1)))</f>
        <v/>
      </c>
      <c r="K183">
        <f>IF('MIDWEEK DASHBOARD'!$B$4="Area",IF(182&lt;=$N$3,IF(AND(OR('MIDWEEK DASHBOARD'!$C$4="",ISNUMBER(SEARCH('MIDWEEK DASHBOARD'!$C$4,INDEX(MASTER_AREAS!$B:$B,183))))),182,""),""),IF('MIDWEEK DASHBOARD'!$B$4="Zone",IF(182&lt;=$N$4,IF(OR('MIDWEEK DASHBOARD'!$C$4="",ISNUMBER(SEARCH('MIDWEEK DASHBOARD'!$C$4,INDEX(MASTER_ZONES!$B:$B,183)))),182,""),""),""))</f>
        <v/>
      </c>
      <c r="L183">
        <f>IFERROR(SMALL($K$2:$K$1487,182),"")</f>
        <v/>
      </c>
      <c r="M183">
        <f>IF(L183="","",IF('MIDWEEK DASHBOARD'!$B$4="Area",INDEX(MASTER_AREAS!$B:$B,L183+1),INDEX(MASTER_ZONES!$B:$B,L183+1)))</f>
        <v/>
      </c>
      <c r="P183">
        <f>IF('CHOP DASHBOARD'!$B$4="Area",IF(182&lt;=$S$3,IF(AND(OR('CHOP DASHBOARD'!$C$4="",ISNUMBER(SEARCH('CHOP DASHBOARD'!$C$4,INDEX(MASTER_AREAS!$B:$B,183))))),182,""),""),IF('CHOP DASHBOARD'!$B$4="Zone",IF(182&lt;=$S$4,IF(OR('CHOP DASHBOARD'!$C$4="",ISNUMBER(SEARCH('CHOP DASHBOARD'!$C$4,INDEX(MASTER_ZONES!$B:$B,183)))),182,""),""),""))</f>
        <v/>
      </c>
      <c r="Q183">
        <f>IFERROR(SMALL($P$2:$P$1487,182),"")</f>
        <v/>
      </c>
      <c r="R183">
        <f>IF(Q183="","",IF('CHOP DASHBOARD'!$B$4="Area",INDEX(MASTER_AREAS!$B:$B,Q183+1),INDEX(MASTER_ZONES!$B:$B,Q183+1)))</f>
        <v/>
      </c>
      <c r="U183">
        <f>IF('COMMUNITY CHURCH DASHBOARD'!$B$4="Area",IF(182&lt;=$X$3,IF(AND(OR('COMMUNITY CHURCH DASHBOARD'!$C$4="",ISNUMBER(SEARCH('COMMUNITY CHURCH DASHBOARD'!$C$4,INDEX(MASTER_AREAS!$B:$B,183))))),182,""),""),IF('COMMUNITY CHURCH DASHBOARD'!$B$4="Zone",IF(182&lt;=$X$4,IF(OR('COMMUNITY CHURCH DASHBOARD'!$C$4="",ISNUMBER(SEARCH('COMMUNITY CHURCH DASHBOARD'!$C$4,INDEX(MASTER_ZONES!$B:$B,183)))),182,""),""),""))</f>
        <v/>
      </c>
      <c r="V183">
        <f>IFERROR(SMALL($U$2:$U$1487,182),"")</f>
        <v/>
      </c>
      <c r="W183">
        <f>IF(V183="","",IF('COMMUNITY CHURCH DASHBOARD'!$B$4="Area",INDEX(MASTER_AREAS!$B:$B,V183+1),INDEX(MASTER_ZONES!$B:$B,V183+1)))</f>
        <v/>
      </c>
    </row>
    <row r="184">
      <c r="A184">
        <f>IF('WSF DASHBOARD'!$B$4="Area",IF(183&lt;=$D$3,IF(AND(OR('WSF DASHBOARD'!$C$4="",ISNUMBER(SEARCH('WSF DASHBOARD'!$C$4,INDEX(MASTER_AREAS!$B:$B,184))))),183,""),""),IF('WSF DASHBOARD'!$B$4="Zone",IF(183&lt;=$D$4,IF(OR('WSF DASHBOARD'!$C$4="",ISNUMBER(SEARCH('WSF DASHBOARD'!$C$4,INDEX(MASTER_ZONES!$B:$B,184)))),183,""),""),""))</f>
        <v/>
      </c>
      <c r="B184">
        <f>IFERROR(SMALL($A$2:$A$1487,183),"")</f>
        <v/>
      </c>
      <c r="C184">
        <f>IF(B184="","",IF('WSF DASHBOARD'!$B$4="Area",INDEX(MASTER_AREAS!$B:$B,B184+1),INDEX(MASTER_ZONES!$B:$B,B184+1)))</f>
        <v/>
      </c>
      <c r="F184">
        <f>IF('TRANSPORT DASHBOARD'!$B$4="Area",IF(183&lt;=$I$3,IF(AND(INDEX(MASTER_AREAS!$F:$F,184)&lt;&gt;"N",OR('TRANSPORT DASHBOARD'!$C$4="",ISNUMBER(SEARCH('TRANSPORT DASHBOARD'!$C$4,INDEX(MASTER_AREAS!$B:$B,184))))),183,""),""),IF('TRANSPORT DASHBOARD'!$B$4="Zone",IF(183&lt;=$I$4,IF(OR('TRANSPORT DASHBOARD'!$C$4="",ISNUMBER(SEARCH('TRANSPORT DASHBOARD'!$C$4,INDEX(MASTER_ZONES!$B:$B,184)))),183,""),""),""))</f>
        <v/>
      </c>
      <c r="G184">
        <f>IFERROR(SMALL($F$2:$F$1487,183),"")</f>
        <v/>
      </c>
      <c r="H184">
        <f>IF(G184="","",IF('TRANSPORT DASHBOARD'!$B$4="Area",INDEX(MASTER_AREAS!$B:$B,G184+1),INDEX(MASTER_ZONES!$B:$B,G184+1)))</f>
        <v/>
      </c>
      <c r="K184">
        <f>IF('MIDWEEK DASHBOARD'!$B$4="Area",IF(183&lt;=$N$3,IF(AND(OR('MIDWEEK DASHBOARD'!$C$4="",ISNUMBER(SEARCH('MIDWEEK DASHBOARD'!$C$4,INDEX(MASTER_AREAS!$B:$B,184))))),183,""),""),IF('MIDWEEK DASHBOARD'!$B$4="Zone",IF(183&lt;=$N$4,IF(OR('MIDWEEK DASHBOARD'!$C$4="",ISNUMBER(SEARCH('MIDWEEK DASHBOARD'!$C$4,INDEX(MASTER_ZONES!$B:$B,184)))),183,""),""),""))</f>
        <v/>
      </c>
      <c r="L184">
        <f>IFERROR(SMALL($K$2:$K$1487,183),"")</f>
        <v/>
      </c>
      <c r="M184">
        <f>IF(L184="","",IF('MIDWEEK DASHBOARD'!$B$4="Area",INDEX(MASTER_AREAS!$B:$B,L184+1),INDEX(MASTER_ZONES!$B:$B,L184+1)))</f>
        <v/>
      </c>
      <c r="P184">
        <f>IF('CHOP DASHBOARD'!$B$4="Area",IF(183&lt;=$S$3,IF(AND(OR('CHOP DASHBOARD'!$C$4="",ISNUMBER(SEARCH('CHOP DASHBOARD'!$C$4,INDEX(MASTER_AREAS!$B:$B,184))))),183,""),""),IF('CHOP DASHBOARD'!$B$4="Zone",IF(183&lt;=$S$4,IF(OR('CHOP DASHBOARD'!$C$4="",ISNUMBER(SEARCH('CHOP DASHBOARD'!$C$4,INDEX(MASTER_ZONES!$B:$B,184)))),183,""),""),""))</f>
        <v/>
      </c>
      <c r="Q184">
        <f>IFERROR(SMALL($P$2:$P$1487,183),"")</f>
        <v/>
      </c>
      <c r="R184">
        <f>IF(Q184="","",IF('CHOP DASHBOARD'!$B$4="Area",INDEX(MASTER_AREAS!$B:$B,Q184+1),INDEX(MASTER_ZONES!$B:$B,Q184+1)))</f>
        <v/>
      </c>
      <c r="U184">
        <f>IF('COMMUNITY CHURCH DASHBOARD'!$B$4="Area",IF(183&lt;=$X$3,IF(AND(OR('COMMUNITY CHURCH DASHBOARD'!$C$4="",ISNUMBER(SEARCH('COMMUNITY CHURCH DASHBOARD'!$C$4,INDEX(MASTER_AREAS!$B:$B,184))))),183,""),""),IF('COMMUNITY CHURCH DASHBOARD'!$B$4="Zone",IF(183&lt;=$X$4,IF(OR('COMMUNITY CHURCH DASHBOARD'!$C$4="",ISNUMBER(SEARCH('COMMUNITY CHURCH DASHBOARD'!$C$4,INDEX(MASTER_ZONES!$B:$B,184)))),183,""),""),""))</f>
        <v/>
      </c>
      <c r="V184">
        <f>IFERROR(SMALL($U$2:$U$1487,183),"")</f>
        <v/>
      </c>
      <c r="W184">
        <f>IF(V184="","",IF('COMMUNITY CHURCH DASHBOARD'!$B$4="Area",INDEX(MASTER_AREAS!$B:$B,V184+1),INDEX(MASTER_ZONES!$B:$B,V184+1)))</f>
        <v/>
      </c>
    </row>
    <row r="185">
      <c r="A185">
        <f>IF('WSF DASHBOARD'!$B$4="Area",IF(184&lt;=$D$3,IF(AND(OR('WSF DASHBOARD'!$C$4="",ISNUMBER(SEARCH('WSF DASHBOARD'!$C$4,INDEX(MASTER_AREAS!$B:$B,185))))),184,""),""),IF('WSF DASHBOARD'!$B$4="Zone",IF(184&lt;=$D$4,IF(OR('WSF DASHBOARD'!$C$4="",ISNUMBER(SEARCH('WSF DASHBOARD'!$C$4,INDEX(MASTER_ZONES!$B:$B,185)))),184,""),""),""))</f>
        <v/>
      </c>
      <c r="B185">
        <f>IFERROR(SMALL($A$2:$A$1487,184),"")</f>
        <v/>
      </c>
      <c r="C185">
        <f>IF(B185="","",IF('WSF DASHBOARD'!$B$4="Area",INDEX(MASTER_AREAS!$B:$B,B185+1),INDEX(MASTER_ZONES!$B:$B,B185+1)))</f>
        <v/>
      </c>
      <c r="F185">
        <f>IF('TRANSPORT DASHBOARD'!$B$4="Area",IF(184&lt;=$I$3,IF(AND(INDEX(MASTER_AREAS!$F:$F,185)&lt;&gt;"N",OR('TRANSPORT DASHBOARD'!$C$4="",ISNUMBER(SEARCH('TRANSPORT DASHBOARD'!$C$4,INDEX(MASTER_AREAS!$B:$B,185))))),184,""),""),IF('TRANSPORT DASHBOARD'!$B$4="Zone",IF(184&lt;=$I$4,IF(OR('TRANSPORT DASHBOARD'!$C$4="",ISNUMBER(SEARCH('TRANSPORT DASHBOARD'!$C$4,INDEX(MASTER_ZONES!$B:$B,185)))),184,""),""),""))</f>
        <v/>
      </c>
      <c r="G185">
        <f>IFERROR(SMALL($F$2:$F$1487,184),"")</f>
        <v/>
      </c>
      <c r="H185">
        <f>IF(G185="","",IF('TRANSPORT DASHBOARD'!$B$4="Area",INDEX(MASTER_AREAS!$B:$B,G185+1),INDEX(MASTER_ZONES!$B:$B,G185+1)))</f>
        <v/>
      </c>
      <c r="K185">
        <f>IF('MIDWEEK DASHBOARD'!$B$4="Area",IF(184&lt;=$N$3,IF(AND(OR('MIDWEEK DASHBOARD'!$C$4="",ISNUMBER(SEARCH('MIDWEEK DASHBOARD'!$C$4,INDEX(MASTER_AREAS!$B:$B,185))))),184,""),""),IF('MIDWEEK DASHBOARD'!$B$4="Zone",IF(184&lt;=$N$4,IF(OR('MIDWEEK DASHBOARD'!$C$4="",ISNUMBER(SEARCH('MIDWEEK DASHBOARD'!$C$4,INDEX(MASTER_ZONES!$B:$B,185)))),184,""),""),""))</f>
        <v/>
      </c>
      <c r="L185">
        <f>IFERROR(SMALL($K$2:$K$1487,184),"")</f>
        <v/>
      </c>
      <c r="M185">
        <f>IF(L185="","",IF('MIDWEEK DASHBOARD'!$B$4="Area",INDEX(MASTER_AREAS!$B:$B,L185+1),INDEX(MASTER_ZONES!$B:$B,L185+1)))</f>
        <v/>
      </c>
      <c r="P185">
        <f>IF('CHOP DASHBOARD'!$B$4="Area",IF(184&lt;=$S$3,IF(AND(OR('CHOP DASHBOARD'!$C$4="",ISNUMBER(SEARCH('CHOP DASHBOARD'!$C$4,INDEX(MASTER_AREAS!$B:$B,185))))),184,""),""),IF('CHOP DASHBOARD'!$B$4="Zone",IF(184&lt;=$S$4,IF(OR('CHOP DASHBOARD'!$C$4="",ISNUMBER(SEARCH('CHOP DASHBOARD'!$C$4,INDEX(MASTER_ZONES!$B:$B,185)))),184,""),""),""))</f>
        <v/>
      </c>
      <c r="Q185">
        <f>IFERROR(SMALL($P$2:$P$1487,184),"")</f>
        <v/>
      </c>
      <c r="R185">
        <f>IF(Q185="","",IF('CHOP DASHBOARD'!$B$4="Area",INDEX(MASTER_AREAS!$B:$B,Q185+1),INDEX(MASTER_ZONES!$B:$B,Q185+1)))</f>
        <v/>
      </c>
      <c r="U185">
        <f>IF('COMMUNITY CHURCH DASHBOARD'!$B$4="Area",IF(184&lt;=$X$3,IF(AND(OR('COMMUNITY CHURCH DASHBOARD'!$C$4="",ISNUMBER(SEARCH('COMMUNITY CHURCH DASHBOARD'!$C$4,INDEX(MASTER_AREAS!$B:$B,185))))),184,""),""),IF('COMMUNITY CHURCH DASHBOARD'!$B$4="Zone",IF(184&lt;=$X$4,IF(OR('COMMUNITY CHURCH DASHBOARD'!$C$4="",ISNUMBER(SEARCH('COMMUNITY CHURCH DASHBOARD'!$C$4,INDEX(MASTER_ZONES!$B:$B,185)))),184,""),""),""))</f>
        <v/>
      </c>
      <c r="V185">
        <f>IFERROR(SMALL($U$2:$U$1487,184),"")</f>
        <v/>
      </c>
      <c r="W185">
        <f>IF(V185="","",IF('COMMUNITY CHURCH DASHBOARD'!$B$4="Area",INDEX(MASTER_AREAS!$B:$B,V185+1),INDEX(MASTER_ZONES!$B:$B,V185+1)))</f>
        <v/>
      </c>
    </row>
    <row r="186">
      <c r="A186">
        <f>IF('WSF DASHBOARD'!$B$4="Area",IF(185&lt;=$D$3,IF(AND(OR('WSF DASHBOARD'!$C$4="",ISNUMBER(SEARCH('WSF DASHBOARD'!$C$4,INDEX(MASTER_AREAS!$B:$B,186))))),185,""),""),IF('WSF DASHBOARD'!$B$4="Zone",IF(185&lt;=$D$4,IF(OR('WSF DASHBOARD'!$C$4="",ISNUMBER(SEARCH('WSF DASHBOARD'!$C$4,INDEX(MASTER_ZONES!$B:$B,186)))),185,""),""),""))</f>
        <v/>
      </c>
      <c r="B186">
        <f>IFERROR(SMALL($A$2:$A$1487,185),"")</f>
        <v/>
      </c>
      <c r="C186">
        <f>IF(B186="","",IF('WSF DASHBOARD'!$B$4="Area",INDEX(MASTER_AREAS!$B:$B,B186+1),INDEX(MASTER_ZONES!$B:$B,B186+1)))</f>
        <v/>
      </c>
      <c r="F186">
        <f>IF('TRANSPORT DASHBOARD'!$B$4="Area",IF(185&lt;=$I$3,IF(AND(INDEX(MASTER_AREAS!$F:$F,186)&lt;&gt;"N",OR('TRANSPORT DASHBOARD'!$C$4="",ISNUMBER(SEARCH('TRANSPORT DASHBOARD'!$C$4,INDEX(MASTER_AREAS!$B:$B,186))))),185,""),""),IF('TRANSPORT DASHBOARD'!$B$4="Zone",IF(185&lt;=$I$4,IF(OR('TRANSPORT DASHBOARD'!$C$4="",ISNUMBER(SEARCH('TRANSPORT DASHBOARD'!$C$4,INDEX(MASTER_ZONES!$B:$B,186)))),185,""),""),""))</f>
        <v/>
      </c>
      <c r="G186">
        <f>IFERROR(SMALL($F$2:$F$1487,185),"")</f>
        <v/>
      </c>
      <c r="H186">
        <f>IF(G186="","",IF('TRANSPORT DASHBOARD'!$B$4="Area",INDEX(MASTER_AREAS!$B:$B,G186+1),INDEX(MASTER_ZONES!$B:$B,G186+1)))</f>
        <v/>
      </c>
      <c r="K186">
        <f>IF('MIDWEEK DASHBOARD'!$B$4="Area",IF(185&lt;=$N$3,IF(AND(OR('MIDWEEK DASHBOARD'!$C$4="",ISNUMBER(SEARCH('MIDWEEK DASHBOARD'!$C$4,INDEX(MASTER_AREAS!$B:$B,186))))),185,""),""),IF('MIDWEEK DASHBOARD'!$B$4="Zone",IF(185&lt;=$N$4,IF(OR('MIDWEEK DASHBOARD'!$C$4="",ISNUMBER(SEARCH('MIDWEEK DASHBOARD'!$C$4,INDEX(MASTER_ZONES!$B:$B,186)))),185,""),""),""))</f>
        <v/>
      </c>
      <c r="L186">
        <f>IFERROR(SMALL($K$2:$K$1487,185),"")</f>
        <v/>
      </c>
      <c r="M186">
        <f>IF(L186="","",IF('MIDWEEK DASHBOARD'!$B$4="Area",INDEX(MASTER_AREAS!$B:$B,L186+1),INDEX(MASTER_ZONES!$B:$B,L186+1)))</f>
        <v/>
      </c>
      <c r="P186">
        <f>IF('CHOP DASHBOARD'!$B$4="Area",IF(185&lt;=$S$3,IF(AND(OR('CHOP DASHBOARD'!$C$4="",ISNUMBER(SEARCH('CHOP DASHBOARD'!$C$4,INDEX(MASTER_AREAS!$B:$B,186))))),185,""),""),IF('CHOP DASHBOARD'!$B$4="Zone",IF(185&lt;=$S$4,IF(OR('CHOP DASHBOARD'!$C$4="",ISNUMBER(SEARCH('CHOP DASHBOARD'!$C$4,INDEX(MASTER_ZONES!$B:$B,186)))),185,""),""),""))</f>
        <v/>
      </c>
      <c r="Q186">
        <f>IFERROR(SMALL($P$2:$P$1487,185),"")</f>
        <v/>
      </c>
      <c r="R186">
        <f>IF(Q186="","",IF('CHOP DASHBOARD'!$B$4="Area",INDEX(MASTER_AREAS!$B:$B,Q186+1),INDEX(MASTER_ZONES!$B:$B,Q186+1)))</f>
        <v/>
      </c>
      <c r="U186">
        <f>IF('COMMUNITY CHURCH DASHBOARD'!$B$4="Area",IF(185&lt;=$X$3,IF(AND(OR('COMMUNITY CHURCH DASHBOARD'!$C$4="",ISNUMBER(SEARCH('COMMUNITY CHURCH DASHBOARD'!$C$4,INDEX(MASTER_AREAS!$B:$B,186))))),185,""),""),IF('COMMUNITY CHURCH DASHBOARD'!$B$4="Zone",IF(185&lt;=$X$4,IF(OR('COMMUNITY CHURCH DASHBOARD'!$C$4="",ISNUMBER(SEARCH('COMMUNITY CHURCH DASHBOARD'!$C$4,INDEX(MASTER_ZONES!$B:$B,186)))),185,""),""),""))</f>
        <v/>
      </c>
      <c r="V186">
        <f>IFERROR(SMALL($U$2:$U$1487,185),"")</f>
        <v/>
      </c>
      <c r="W186">
        <f>IF(V186="","",IF('COMMUNITY CHURCH DASHBOARD'!$B$4="Area",INDEX(MASTER_AREAS!$B:$B,V186+1),INDEX(MASTER_ZONES!$B:$B,V186+1)))</f>
        <v/>
      </c>
    </row>
    <row r="187">
      <c r="A187">
        <f>IF('WSF DASHBOARD'!$B$4="Area",IF(186&lt;=$D$3,IF(AND(OR('WSF DASHBOARD'!$C$4="",ISNUMBER(SEARCH('WSF DASHBOARD'!$C$4,INDEX(MASTER_AREAS!$B:$B,187))))),186,""),""),IF('WSF DASHBOARD'!$B$4="Zone",IF(186&lt;=$D$4,IF(OR('WSF DASHBOARD'!$C$4="",ISNUMBER(SEARCH('WSF DASHBOARD'!$C$4,INDEX(MASTER_ZONES!$B:$B,187)))),186,""),""),""))</f>
        <v/>
      </c>
      <c r="B187">
        <f>IFERROR(SMALL($A$2:$A$1487,186),"")</f>
        <v/>
      </c>
      <c r="C187">
        <f>IF(B187="","",IF('WSF DASHBOARD'!$B$4="Area",INDEX(MASTER_AREAS!$B:$B,B187+1),INDEX(MASTER_ZONES!$B:$B,B187+1)))</f>
        <v/>
      </c>
      <c r="F187">
        <f>IF('TRANSPORT DASHBOARD'!$B$4="Area",IF(186&lt;=$I$3,IF(AND(INDEX(MASTER_AREAS!$F:$F,187)&lt;&gt;"N",OR('TRANSPORT DASHBOARD'!$C$4="",ISNUMBER(SEARCH('TRANSPORT DASHBOARD'!$C$4,INDEX(MASTER_AREAS!$B:$B,187))))),186,""),""),IF('TRANSPORT DASHBOARD'!$B$4="Zone",IF(186&lt;=$I$4,IF(OR('TRANSPORT DASHBOARD'!$C$4="",ISNUMBER(SEARCH('TRANSPORT DASHBOARD'!$C$4,INDEX(MASTER_ZONES!$B:$B,187)))),186,""),""),""))</f>
        <v/>
      </c>
      <c r="G187">
        <f>IFERROR(SMALL($F$2:$F$1487,186),"")</f>
        <v/>
      </c>
      <c r="H187">
        <f>IF(G187="","",IF('TRANSPORT DASHBOARD'!$B$4="Area",INDEX(MASTER_AREAS!$B:$B,G187+1),INDEX(MASTER_ZONES!$B:$B,G187+1)))</f>
        <v/>
      </c>
      <c r="K187">
        <f>IF('MIDWEEK DASHBOARD'!$B$4="Area",IF(186&lt;=$N$3,IF(AND(OR('MIDWEEK DASHBOARD'!$C$4="",ISNUMBER(SEARCH('MIDWEEK DASHBOARD'!$C$4,INDEX(MASTER_AREAS!$B:$B,187))))),186,""),""),IF('MIDWEEK DASHBOARD'!$B$4="Zone",IF(186&lt;=$N$4,IF(OR('MIDWEEK DASHBOARD'!$C$4="",ISNUMBER(SEARCH('MIDWEEK DASHBOARD'!$C$4,INDEX(MASTER_ZONES!$B:$B,187)))),186,""),""),""))</f>
        <v/>
      </c>
      <c r="L187">
        <f>IFERROR(SMALL($K$2:$K$1487,186),"")</f>
        <v/>
      </c>
      <c r="M187">
        <f>IF(L187="","",IF('MIDWEEK DASHBOARD'!$B$4="Area",INDEX(MASTER_AREAS!$B:$B,L187+1),INDEX(MASTER_ZONES!$B:$B,L187+1)))</f>
        <v/>
      </c>
      <c r="P187">
        <f>IF('CHOP DASHBOARD'!$B$4="Area",IF(186&lt;=$S$3,IF(AND(OR('CHOP DASHBOARD'!$C$4="",ISNUMBER(SEARCH('CHOP DASHBOARD'!$C$4,INDEX(MASTER_AREAS!$B:$B,187))))),186,""),""),IF('CHOP DASHBOARD'!$B$4="Zone",IF(186&lt;=$S$4,IF(OR('CHOP DASHBOARD'!$C$4="",ISNUMBER(SEARCH('CHOP DASHBOARD'!$C$4,INDEX(MASTER_ZONES!$B:$B,187)))),186,""),""),""))</f>
        <v/>
      </c>
      <c r="Q187">
        <f>IFERROR(SMALL($P$2:$P$1487,186),"")</f>
        <v/>
      </c>
      <c r="R187">
        <f>IF(Q187="","",IF('CHOP DASHBOARD'!$B$4="Area",INDEX(MASTER_AREAS!$B:$B,Q187+1),INDEX(MASTER_ZONES!$B:$B,Q187+1)))</f>
        <v/>
      </c>
      <c r="U187">
        <f>IF('COMMUNITY CHURCH DASHBOARD'!$B$4="Area",IF(186&lt;=$X$3,IF(AND(OR('COMMUNITY CHURCH DASHBOARD'!$C$4="",ISNUMBER(SEARCH('COMMUNITY CHURCH DASHBOARD'!$C$4,INDEX(MASTER_AREAS!$B:$B,187))))),186,""),""),IF('COMMUNITY CHURCH DASHBOARD'!$B$4="Zone",IF(186&lt;=$X$4,IF(OR('COMMUNITY CHURCH DASHBOARD'!$C$4="",ISNUMBER(SEARCH('COMMUNITY CHURCH DASHBOARD'!$C$4,INDEX(MASTER_ZONES!$B:$B,187)))),186,""),""),""))</f>
        <v/>
      </c>
      <c r="V187">
        <f>IFERROR(SMALL($U$2:$U$1487,186),"")</f>
        <v/>
      </c>
      <c r="W187">
        <f>IF(V187="","",IF('COMMUNITY CHURCH DASHBOARD'!$B$4="Area",INDEX(MASTER_AREAS!$B:$B,V187+1),INDEX(MASTER_ZONES!$B:$B,V187+1)))</f>
        <v/>
      </c>
    </row>
    <row r="188">
      <c r="A188">
        <f>IF('WSF DASHBOARD'!$B$4="Area",IF(187&lt;=$D$3,IF(AND(OR('WSF DASHBOARD'!$C$4="",ISNUMBER(SEARCH('WSF DASHBOARD'!$C$4,INDEX(MASTER_AREAS!$B:$B,188))))),187,""),""),IF('WSF DASHBOARD'!$B$4="Zone",IF(187&lt;=$D$4,IF(OR('WSF DASHBOARD'!$C$4="",ISNUMBER(SEARCH('WSF DASHBOARD'!$C$4,INDEX(MASTER_ZONES!$B:$B,188)))),187,""),""),""))</f>
        <v/>
      </c>
      <c r="B188">
        <f>IFERROR(SMALL($A$2:$A$1487,187),"")</f>
        <v/>
      </c>
      <c r="C188">
        <f>IF(B188="","",IF('WSF DASHBOARD'!$B$4="Area",INDEX(MASTER_AREAS!$B:$B,B188+1),INDEX(MASTER_ZONES!$B:$B,B188+1)))</f>
        <v/>
      </c>
      <c r="F188">
        <f>IF('TRANSPORT DASHBOARD'!$B$4="Area",IF(187&lt;=$I$3,IF(AND(INDEX(MASTER_AREAS!$F:$F,188)&lt;&gt;"N",OR('TRANSPORT DASHBOARD'!$C$4="",ISNUMBER(SEARCH('TRANSPORT DASHBOARD'!$C$4,INDEX(MASTER_AREAS!$B:$B,188))))),187,""),""),IF('TRANSPORT DASHBOARD'!$B$4="Zone",IF(187&lt;=$I$4,IF(OR('TRANSPORT DASHBOARD'!$C$4="",ISNUMBER(SEARCH('TRANSPORT DASHBOARD'!$C$4,INDEX(MASTER_ZONES!$B:$B,188)))),187,""),""),""))</f>
        <v/>
      </c>
      <c r="G188">
        <f>IFERROR(SMALL($F$2:$F$1487,187),"")</f>
        <v/>
      </c>
      <c r="H188">
        <f>IF(G188="","",IF('TRANSPORT DASHBOARD'!$B$4="Area",INDEX(MASTER_AREAS!$B:$B,G188+1),INDEX(MASTER_ZONES!$B:$B,G188+1)))</f>
        <v/>
      </c>
      <c r="K188">
        <f>IF('MIDWEEK DASHBOARD'!$B$4="Area",IF(187&lt;=$N$3,IF(AND(OR('MIDWEEK DASHBOARD'!$C$4="",ISNUMBER(SEARCH('MIDWEEK DASHBOARD'!$C$4,INDEX(MASTER_AREAS!$B:$B,188))))),187,""),""),IF('MIDWEEK DASHBOARD'!$B$4="Zone",IF(187&lt;=$N$4,IF(OR('MIDWEEK DASHBOARD'!$C$4="",ISNUMBER(SEARCH('MIDWEEK DASHBOARD'!$C$4,INDEX(MASTER_ZONES!$B:$B,188)))),187,""),""),""))</f>
        <v/>
      </c>
      <c r="L188">
        <f>IFERROR(SMALL($K$2:$K$1487,187),"")</f>
        <v/>
      </c>
      <c r="M188">
        <f>IF(L188="","",IF('MIDWEEK DASHBOARD'!$B$4="Area",INDEX(MASTER_AREAS!$B:$B,L188+1),INDEX(MASTER_ZONES!$B:$B,L188+1)))</f>
        <v/>
      </c>
      <c r="P188">
        <f>IF('CHOP DASHBOARD'!$B$4="Area",IF(187&lt;=$S$3,IF(AND(OR('CHOP DASHBOARD'!$C$4="",ISNUMBER(SEARCH('CHOP DASHBOARD'!$C$4,INDEX(MASTER_AREAS!$B:$B,188))))),187,""),""),IF('CHOP DASHBOARD'!$B$4="Zone",IF(187&lt;=$S$4,IF(OR('CHOP DASHBOARD'!$C$4="",ISNUMBER(SEARCH('CHOP DASHBOARD'!$C$4,INDEX(MASTER_ZONES!$B:$B,188)))),187,""),""),""))</f>
        <v/>
      </c>
      <c r="Q188">
        <f>IFERROR(SMALL($P$2:$P$1487,187),"")</f>
        <v/>
      </c>
      <c r="R188">
        <f>IF(Q188="","",IF('CHOP DASHBOARD'!$B$4="Area",INDEX(MASTER_AREAS!$B:$B,Q188+1),INDEX(MASTER_ZONES!$B:$B,Q188+1)))</f>
        <v/>
      </c>
      <c r="U188">
        <f>IF('COMMUNITY CHURCH DASHBOARD'!$B$4="Area",IF(187&lt;=$X$3,IF(AND(OR('COMMUNITY CHURCH DASHBOARD'!$C$4="",ISNUMBER(SEARCH('COMMUNITY CHURCH DASHBOARD'!$C$4,INDEX(MASTER_AREAS!$B:$B,188))))),187,""),""),IF('COMMUNITY CHURCH DASHBOARD'!$B$4="Zone",IF(187&lt;=$X$4,IF(OR('COMMUNITY CHURCH DASHBOARD'!$C$4="",ISNUMBER(SEARCH('COMMUNITY CHURCH DASHBOARD'!$C$4,INDEX(MASTER_ZONES!$B:$B,188)))),187,""),""),""))</f>
        <v/>
      </c>
      <c r="V188">
        <f>IFERROR(SMALL($U$2:$U$1487,187),"")</f>
        <v/>
      </c>
      <c r="W188">
        <f>IF(V188="","",IF('COMMUNITY CHURCH DASHBOARD'!$B$4="Area",INDEX(MASTER_AREAS!$B:$B,V188+1),INDEX(MASTER_ZONES!$B:$B,V188+1)))</f>
        <v/>
      </c>
    </row>
    <row r="189">
      <c r="A189">
        <f>IF('WSF DASHBOARD'!$B$4="Area",IF(188&lt;=$D$3,IF(AND(OR('WSF DASHBOARD'!$C$4="",ISNUMBER(SEARCH('WSF DASHBOARD'!$C$4,INDEX(MASTER_AREAS!$B:$B,189))))),188,""),""),IF('WSF DASHBOARD'!$B$4="Zone",IF(188&lt;=$D$4,IF(OR('WSF DASHBOARD'!$C$4="",ISNUMBER(SEARCH('WSF DASHBOARD'!$C$4,INDEX(MASTER_ZONES!$B:$B,189)))),188,""),""),""))</f>
        <v/>
      </c>
      <c r="B189">
        <f>IFERROR(SMALL($A$2:$A$1487,188),"")</f>
        <v/>
      </c>
      <c r="C189">
        <f>IF(B189="","",IF('WSF DASHBOARD'!$B$4="Area",INDEX(MASTER_AREAS!$B:$B,B189+1),INDEX(MASTER_ZONES!$B:$B,B189+1)))</f>
        <v/>
      </c>
      <c r="F189">
        <f>IF('TRANSPORT DASHBOARD'!$B$4="Area",IF(188&lt;=$I$3,IF(AND(INDEX(MASTER_AREAS!$F:$F,189)&lt;&gt;"N",OR('TRANSPORT DASHBOARD'!$C$4="",ISNUMBER(SEARCH('TRANSPORT DASHBOARD'!$C$4,INDEX(MASTER_AREAS!$B:$B,189))))),188,""),""),IF('TRANSPORT DASHBOARD'!$B$4="Zone",IF(188&lt;=$I$4,IF(OR('TRANSPORT DASHBOARD'!$C$4="",ISNUMBER(SEARCH('TRANSPORT DASHBOARD'!$C$4,INDEX(MASTER_ZONES!$B:$B,189)))),188,""),""),""))</f>
        <v/>
      </c>
      <c r="G189">
        <f>IFERROR(SMALL($F$2:$F$1487,188),"")</f>
        <v/>
      </c>
      <c r="H189">
        <f>IF(G189="","",IF('TRANSPORT DASHBOARD'!$B$4="Area",INDEX(MASTER_AREAS!$B:$B,G189+1),INDEX(MASTER_ZONES!$B:$B,G189+1)))</f>
        <v/>
      </c>
      <c r="K189">
        <f>IF('MIDWEEK DASHBOARD'!$B$4="Area",IF(188&lt;=$N$3,IF(AND(OR('MIDWEEK DASHBOARD'!$C$4="",ISNUMBER(SEARCH('MIDWEEK DASHBOARD'!$C$4,INDEX(MASTER_AREAS!$B:$B,189))))),188,""),""),IF('MIDWEEK DASHBOARD'!$B$4="Zone",IF(188&lt;=$N$4,IF(OR('MIDWEEK DASHBOARD'!$C$4="",ISNUMBER(SEARCH('MIDWEEK DASHBOARD'!$C$4,INDEX(MASTER_ZONES!$B:$B,189)))),188,""),""),""))</f>
        <v/>
      </c>
      <c r="L189">
        <f>IFERROR(SMALL($K$2:$K$1487,188),"")</f>
        <v/>
      </c>
      <c r="M189">
        <f>IF(L189="","",IF('MIDWEEK DASHBOARD'!$B$4="Area",INDEX(MASTER_AREAS!$B:$B,L189+1),INDEX(MASTER_ZONES!$B:$B,L189+1)))</f>
        <v/>
      </c>
      <c r="P189">
        <f>IF('CHOP DASHBOARD'!$B$4="Area",IF(188&lt;=$S$3,IF(AND(OR('CHOP DASHBOARD'!$C$4="",ISNUMBER(SEARCH('CHOP DASHBOARD'!$C$4,INDEX(MASTER_AREAS!$B:$B,189))))),188,""),""),IF('CHOP DASHBOARD'!$B$4="Zone",IF(188&lt;=$S$4,IF(OR('CHOP DASHBOARD'!$C$4="",ISNUMBER(SEARCH('CHOP DASHBOARD'!$C$4,INDEX(MASTER_ZONES!$B:$B,189)))),188,""),""),""))</f>
        <v/>
      </c>
      <c r="Q189">
        <f>IFERROR(SMALL($P$2:$P$1487,188),"")</f>
        <v/>
      </c>
      <c r="R189">
        <f>IF(Q189="","",IF('CHOP DASHBOARD'!$B$4="Area",INDEX(MASTER_AREAS!$B:$B,Q189+1),INDEX(MASTER_ZONES!$B:$B,Q189+1)))</f>
        <v/>
      </c>
      <c r="U189">
        <f>IF('COMMUNITY CHURCH DASHBOARD'!$B$4="Area",IF(188&lt;=$X$3,IF(AND(OR('COMMUNITY CHURCH DASHBOARD'!$C$4="",ISNUMBER(SEARCH('COMMUNITY CHURCH DASHBOARD'!$C$4,INDEX(MASTER_AREAS!$B:$B,189))))),188,""),""),IF('COMMUNITY CHURCH DASHBOARD'!$B$4="Zone",IF(188&lt;=$X$4,IF(OR('COMMUNITY CHURCH DASHBOARD'!$C$4="",ISNUMBER(SEARCH('COMMUNITY CHURCH DASHBOARD'!$C$4,INDEX(MASTER_ZONES!$B:$B,189)))),188,""),""),""))</f>
        <v/>
      </c>
      <c r="V189">
        <f>IFERROR(SMALL($U$2:$U$1487,188),"")</f>
        <v/>
      </c>
      <c r="W189">
        <f>IF(V189="","",IF('COMMUNITY CHURCH DASHBOARD'!$B$4="Area",INDEX(MASTER_AREAS!$B:$B,V189+1),INDEX(MASTER_ZONES!$B:$B,V189+1)))</f>
        <v/>
      </c>
    </row>
    <row r="190">
      <c r="A190">
        <f>IF('WSF DASHBOARD'!$B$4="Area",IF(189&lt;=$D$3,IF(AND(OR('WSF DASHBOARD'!$C$4="",ISNUMBER(SEARCH('WSF DASHBOARD'!$C$4,INDEX(MASTER_AREAS!$B:$B,190))))),189,""),""),IF('WSF DASHBOARD'!$B$4="Zone",IF(189&lt;=$D$4,IF(OR('WSF DASHBOARD'!$C$4="",ISNUMBER(SEARCH('WSF DASHBOARD'!$C$4,INDEX(MASTER_ZONES!$B:$B,190)))),189,""),""),""))</f>
        <v/>
      </c>
      <c r="B190">
        <f>IFERROR(SMALL($A$2:$A$1487,189),"")</f>
        <v/>
      </c>
      <c r="C190">
        <f>IF(B190="","",IF('WSF DASHBOARD'!$B$4="Area",INDEX(MASTER_AREAS!$B:$B,B190+1),INDEX(MASTER_ZONES!$B:$B,B190+1)))</f>
        <v/>
      </c>
      <c r="F190">
        <f>IF('TRANSPORT DASHBOARD'!$B$4="Area",IF(189&lt;=$I$3,IF(AND(INDEX(MASTER_AREAS!$F:$F,190)&lt;&gt;"N",OR('TRANSPORT DASHBOARD'!$C$4="",ISNUMBER(SEARCH('TRANSPORT DASHBOARD'!$C$4,INDEX(MASTER_AREAS!$B:$B,190))))),189,""),""),IF('TRANSPORT DASHBOARD'!$B$4="Zone",IF(189&lt;=$I$4,IF(OR('TRANSPORT DASHBOARD'!$C$4="",ISNUMBER(SEARCH('TRANSPORT DASHBOARD'!$C$4,INDEX(MASTER_ZONES!$B:$B,190)))),189,""),""),""))</f>
        <v/>
      </c>
      <c r="G190">
        <f>IFERROR(SMALL($F$2:$F$1487,189),"")</f>
        <v/>
      </c>
      <c r="H190">
        <f>IF(G190="","",IF('TRANSPORT DASHBOARD'!$B$4="Area",INDEX(MASTER_AREAS!$B:$B,G190+1),INDEX(MASTER_ZONES!$B:$B,G190+1)))</f>
        <v/>
      </c>
      <c r="K190">
        <f>IF('MIDWEEK DASHBOARD'!$B$4="Area",IF(189&lt;=$N$3,IF(AND(OR('MIDWEEK DASHBOARD'!$C$4="",ISNUMBER(SEARCH('MIDWEEK DASHBOARD'!$C$4,INDEX(MASTER_AREAS!$B:$B,190))))),189,""),""),IF('MIDWEEK DASHBOARD'!$B$4="Zone",IF(189&lt;=$N$4,IF(OR('MIDWEEK DASHBOARD'!$C$4="",ISNUMBER(SEARCH('MIDWEEK DASHBOARD'!$C$4,INDEX(MASTER_ZONES!$B:$B,190)))),189,""),""),""))</f>
        <v/>
      </c>
      <c r="L190">
        <f>IFERROR(SMALL($K$2:$K$1487,189),"")</f>
        <v/>
      </c>
      <c r="M190">
        <f>IF(L190="","",IF('MIDWEEK DASHBOARD'!$B$4="Area",INDEX(MASTER_AREAS!$B:$B,L190+1),INDEX(MASTER_ZONES!$B:$B,L190+1)))</f>
        <v/>
      </c>
      <c r="P190">
        <f>IF('CHOP DASHBOARD'!$B$4="Area",IF(189&lt;=$S$3,IF(AND(OR('CHOP DASHBOARD'!$C$4="",ISNUMBER(SEARCH('CHOP DASHBOARD'!$C$4,INDEX(MASTER_AREAS!$B:$B,190))))),189,""),""),IF('CHOP DASHBOARD'!$B$4="Zone",IF(189&lt;=$S$4,IF(OR('CHOP DASHBOARD'!$C$4="",ISNUMBER(SEARCH('CHOP DASHBOARD'!$C$4,INDEX(MASTER_ZONES!$B:$B,190)))),189,""),""),""))</f>
        <v/>
      </c>
      <c r="Q190">
        <f>IFERROR(SMALL($P$2:$P$1487,189),"")</f>
        <v/>
      </c>
      <c r="R190">
        <f>IF(Q190="","",IF('CHOP DASHBOARD'!$B$4="Area",INDEX(MASTER_AREAS!$B:$B,Q190+1),INDEX(MASTER_ZONES!$B:$B,Q190+1)))</f>
        <v/>
      </c>
      <c r="U190">
        <f>IF('COMMUNITY CHURCH DASHBOARD'!$B$4="Area",IF(189&lt;=$X$3,IF(AND(OR('COMMUNITY CHURCH DASHBOARD'!$C$4="",ISNUMBER(SEARCH('COMMUNITY CHURCH DASHBOARD'!$C$4,INDEX(MASTER_AREAS!$B:$B,190))))),189,""),""),IF('COMMUNITY CHURCH DASHBOARD'!$B$4="Zone",IF(189&lt;=$X$4,IF(OR('COMMUNITY CHURCH DASHBOARD'!$C$4="",ISNUMBER(SEARCH('COMMUNITY CHURCH DASHBOARD'!$C$4,INDEX(MASTER_ZONES!$B:$B,190)))),189,""),""),""))</f>
        <v/>
      </c>
      <c r="V190">
        <f>IFERROR(SMALL($U$2:$U$1487,189),"")</f>
        <v/>
      </c>
      <c r="W190">
        <f>IF(V190="","",IF('COMMUNITY CHURCH DASHBOARD'!$B$4="Area",INDEX(MASTER_AREAS!$B:$B,V190+1),INDEX(MASTER_ZONES!$B:$B,V190+1)))</f>
        <v/>
      </c>
    </row>
    <row r="191">
      <c r="A191">
        <f>IF('WSF DASHBOARD'!$B$4="Area",IF(190&lt;=$D$3,IF(AND(OR('WSF DASHBOARD'!$C$4="",ISNUMBER(SEARCH('WSF DASHBOARD'!$C$4,INDEX(MASTER_AREAS!$B:$B,191))))),190,""),""),IF('WSF DASHBOARD'!$B$4="Zone",IF(190&lt;=$D$4,IF(OR('WSF DASHBOARD'!$C$4="",ISNUMBER(SEARCH('WSF DASHBOARD'!$C$4,INDEX(MASTER_ZONES!$B:$B,191)))),190,""),""),""))</f>
        <v/>
      </c>
      <c r="B191">
        <f>IFERROR(SMALL($A$2:$A$1487,190),"")</f>
        <v/>
      </c>
      <c r="C191">
        <f>IF(B191="","",IF('WSF DASHBOARD'!$B$4="Area",INDEX(MASTER_AREAS!$B:$B,B191+1),INDEX(MASTER_ZONES!$B:$B,B191+1)))</f>
        <v/>
      </c>
      <c r="F191">
        <f>IF('TRANSPORT DASHBOARD'!$B$4="Area",IF(190&lt;=$I$3,IF(AND(INDEX(MASTER_AREAS!$F:$F,191)&lt;&gt;"N",OR('TRANSPORT DASHBOARD'!$C$4="",ISNUMBER(SEARCH('TRANSPORT DASHBOARD'!$C$4,INDEX(MASTER_AREAS!$B:$B,191))))),190,""),""),IF('TRANSPORT DASHBOARD'!$B$4="Zone",IF(190&lt;=$I$4,IF(OR('TRANSPORT DASHBOARD'!$C$4="",ISNUMBER(SEARCH('TRANSPORT DASHBOARD'!$C$4,INDEX(MASTER_ZONES!$B:$B,191)))),190,""),""),""))</f>
        <v/>
      </c>
      <c r="G191">
        <f>IFERROR(SMALL($F$2:$F$1487,190),"")</f>
        <v/>
      </c>
      <c r="H191">
        <f>IF(G191="","",IF('TRANSPORT DASHBOARD'!$B$4="Area",INDEX(MASTER_AREAS!$B:$B,G191+1),INDEX(MASTER_ZONES!$B:$B,G191+1)))</f>
        <v/>
      </c>
      <c r="K191">
        <f>IF('MIDWEEK DASHBOARD'!$B$4="Area",IF(190&lt;=$N$3,IF(AND(OR('MIDWEEK DASHBOARD'!$C$4="",ISNUMBER(SEARCH('MIDWEEK DASHBOARD'!$C$4,INDEX(MASTER_AREAS!$B:$B,191))))),190,""),""),IF('MIDWEEK DASHBOARD'!$B$4="Zone",IF(190&lt;=$N$4,IF(OR('MIDWEEK DASHBOARD'!$C$4="",ISNUMBER(SEARCH('MIDWEEK DASHBOARD'!$C$4,INDEX(MASTER_ZONES!$B:$B,191)))),190,""),""),""))</f>
        <v/>
      </c>
      <c r="L191">
        <f>IFERROR(SMALL($K$2:$K$1487,190),"")</f>
        <v/>
      </c>
      <c r="M191">
        <f>IF(L191="","",IF('MIDWEEK DASHBOARD'!$B$4="Area",INDEX(MASTER_AREAS!$B:$B,L191+1),INDEX(MASTER_ZONES!$B:$B,L191+1)))</f>
        <v/>
      </c>
      <c r="P191">
        <f>IF('CHOP DASHBOARD'!$B$4="Area",IF(190&lt;=$S$3,IF(AND(OR('CHOP DASHBOARD'!$C$4="",ISNUMBER(SEARCH('CHOP DASHBOARD'!$C$4,INDEX(MASTER_AREAS!$B:$B,191))))),190,""),""),IF('CHOP DASHBOARD'!$B$4="Zone",IF(190&lt;=$S$4,IF(OR('CHOP DASHBOARD'!$C$4="",ISNUMBER(SEARCH('CHOP DASHBOARD'!$C$4,INDEX(MASTER_ZONES!$B:$B,191)))),190,""),""),""))</f>
        <v/>
      </c>
      <c r="Q191">
        <f>IFERROR(SMALL($P$2:$P$1487,190),"")</f>
        <v/>
      </c>
      <c r="R191">
        <f>IF(Q191="","",IF('CHOP DASHBOARD'!$B$4="Area",INDEX(MASTER_AREAS!$B:$B,Q191+1),INDEX(MASTER_ZONES!$B:$B,Q191+1)))</f>
        <v/>
      </c>
      <c r="U191">
        <f>IF('COMMUNITY CHURCH DASHBOARD'!$B$4="Area",IF(190&lt;=$X$3,IF(AND(OR('COMMUNITY CHURCH DASHBOARD'!$C$4="",ISNUMBER(SEARCH('COMMUNITY CHURCH DASHBOARD'!$C$4,INDEX(MASTER_AREAS!$B:$B,191))))),190,""),""),IF('COMMUNITY CHURCH DASHBOARD'!$B$4="Zone",IF(190&lt;=$X$4,IF(OR('COMMUNITY CHURCH DASHBOARD'!$C$4="",ISNUMBER(SEARCH('COMMUNITY CHURCH DASHBOARD'!$C$4,INDEX(MASTER_ZONES!$B:$B,191)))),190,""),""),""))</f>
        <v/>
      </c>
      <c r="V191">
        <f>IFERROR(SMALL($U$2:$U$1487,190),"")</f>
        <v/>
      </c>
      <c r="W191">
        <f>IF(V191="","",IF('COMMUNITY CHURCH DASHBOARD'!$B$4="Area",INDEX(MASTER_AREAS!$B:$B,V191+1),INDEX(MASTER_ZONES!$B:$B,V191+1)))</f>
        <v/>
      </c>
    </row>
    <row r="192">
      <c r="A192">
        <f>IF('WSF DASHBOARD'!$B$4="Area",IF(191&lt;=$D$3,IF(AND(OR('WSF DASHBOARD'!$C$4="",ISNUMBER(SEARCH('WSF DASHBOARD'!$C$4,INDEX(MASTER_AREAS!$B:$B,192))))),191,""),""),IF('WSF DASHBOARD'!$B$4="Zone",IF(191&lt;=$D$4,IF(OR('WSF DASHBOARD'!$C$4="",ISNUMBER(SEARCH('WSF DASHBOARD'!$C$4,INDEX(MASTER_ZONES!$B:$B,192)))),191,""),""),""))</f>
        <v/>
      </c>
      <c r="B192">
        <f>IFERROR(SMALL($A$2:$A$1487,191),"")</f>
        <v/>
      </c>
      <c r="C192">
        <f>IF(B192="","",IF('WSF DASHBOARD'!$B$4="Area",INDEX(MASTER_AREAS!$B:$B,B192+1),INDEX(MASTER_ZONES!$B:$B,B192+1)))</f>
        <v/>
      </c>
      <c r="F192">
        <f>IF('TRANSPORT DASHBOARD'!$B$4="Area",IF(191&lt;=$I$3,IF(AND(INDEX(MASTER_AREAS!$F:$F,192)&lt;&gt;"N",OR('TRANSPORT DASHBOARD'!$C$4="",ISNUMBER(SEARCH('TRANSPORT DASHBOARD'!$C$4,INDEX(MASTER_AREAS!$B:$B,192))))),191,""),""),IF('TRANSPORT DASHBOARD'!$B$4="Zone",IF(191&lt;=$I$4,IF(OR('TRANSPORT DASHBOARD'!$C$4="",ISNUMBER(SEARCH('TRANSPORT DASHBOARD'!$C$4,INDEX(MASTER_ZONES!$B:$B,192)))),191,""),""),""))</f>
        <v/>
      </c>
      <c r="G192">
        <f>IFERROR(SMALL($F$2:$F$1487,191),"")</f>
        <v/>
      </c>
      <c r="H192">
        <f>IF(G192="","",IF('TRANSPORT DASHBOARD'!$B$4="Area",INDEX(MASTER_AREAS!$B:$B,G192+1),INDEX(MASTER_ZONES!$B:$B,G192+1)))</f>
        <v/>
      </c>
      <c r="K192">
        <f>IF('MIDWEEK DASHBOARD'!$B$4="Area",IF(191&lt;=$N$3,IF(AND(OR('MIDWEEK DASHBOARD'!$C$4="",ISNUMBER(SEARCH('MIDWEEK DASHBOARD'!$C$4,INDEX(MASTER_AREAS!$B:$B,192))))),191,""),""),IF('MIDWEEK DASHBOARD'!$B$4="Zone",IF(191&lt;=$N$4,IF(OR('MIDWEEK DASHBOARD'!$C$4="",ISNUMBER(SEARCH('MIDWEEK DASHBOARD'!$C$4,INDEX(MASTER_ZONES!$B:$B,192)))),191,""),""),""))</f>
        <v/>
      </c>
      <c r="L192">
        <f>IFERROR(SMALL($K$2:$K$1487,191),"")</f>
        <v/>
      </c>
      <c r="M192">
        <f>IF(L192="","",IF('MIDWEEK DASHBOARD'!$B$4="Area",INDEX(MASTER_AREAS!$B:$B,L192+1),INDEX(MASTER_ZONES!$B:$B,L192+1)))</f>
        <v/>
      </c>
      <c r="P192">
        <f>IF('CHOP DASHBOARD'!$B$4="Area",IF(191&lt;=$S$3,IF(AND(OR('CHOP DASHBOARD'!$C$4="",ISNUMBER(SEARCH('CHOP DASHBOARD'!$C$4,INDEX(MASTER_AREAS!$B:$B,192))))),191,""),""),IF('CHOP DASHBOARD'!$B$4="Zone",IF(191&lt;=$S$4,IF(OR('CHOP DASHBOARD'!$C$4="",ISNUMBER(SEARCH('CHOP DASHBOARD'!$C$4,INDEX(MASTER_ZONES!$B:$B,192)))),191,""),""),""))</f>
        <v/>
      </c>
      <c r="Q192">
        <f>IFERROR(SMALL($P$2:$P$1487,191),"")</f>
        <v/>
      </c>
      <c r="R192">
        <f>IF(Q192="","",IF('CHOP DASHBOARD'!$B$4="Area",INDEX(MASTER_AREAS!$B:$B,Q192+1),INDEX(MASTER_ZONES!$B:$B,Q192+1)))</f>
        <v/>
      </c>
      <c r="U192">
        <f>IF('COMMUNITY CHURCH DASHBOARD'!$B$4="Area",IF(191&lt;=$X$3,IF(AND(OR('COMMUNITY CHURCH DASHBOARD'!$C$4="",ISNUMBER(SEARCH('COMMUNITY CHURCH DASHBOARD'!$C$4,INDEX(MASTER_AREAS!$B:$B,192))))),191,""),""),IF('COMMUNITY CHURCH DASHBOARD'!$B$4="Zone",IF(191&lt;=$X$4,IF(OR('COMMUNITY CHURCH DASHBOARD'!$C$4="",ISNUMBER(SEARCH('COMMUNITY CHURCH DASHBOARD'!$C$4,INDEX(MASTER_ZONES!$B:$B,192)))),191,""),""),""))</f>
        <v/>
      </c>
      <c r="V192">
        <f>IFERROR(SMALL($U$2:$U$1487,191),"")</f>
        <v/>
      </c>
      <c r="W192">
        <f>IF(V192="","",IF('COMMUNITY CHURCH DASHBOARD'!$B$4="Area",INDEX(MASTER_AREAS!$B:$B,V192+1),INDEX(MASTER_ZONES!$B:$B,V192+1)))</f>
        <v/>
      </c>
    </row>
    <row r="193">
      <c r="A193">
        <f>IF('WSF DASHBOARD'!$B$4="Area",IF(192&lt;=$D$3,IF(AND(OR('WSF DASHBOARD'!$C$4="",ISNUMBER(SEARCH('WSF DASHBOARD'!$C$4,INDEX(MASTER_AREAS!$B:$B,193))))),192,""),""),IF('WSF DASHBOARD'!$B$4="Zone",IF(192&lt;=$D$4,IF(OR('WSF DASHBOARD'!$C$4="",ISNUMBER(SEARCH('WSF DASHBOARD'!$C$4,INDEX(MASTER_ZONES!$B:$B,193)))),192,""),""),""))</f>
        <v/>
      </c>
      <c r="B193">
        <f>IFERROR(SMALL($A$2:$A$1487,192),"")</f>
        <v/>
      </c>
      <c r="C193">
        <f>IF(B193="","",IF('WSF DASHBOARD'!$B$4="Area",INDEX(MASTER_AREAS!$B:$B,B193+1),INDEX(MASTER_ZONES!$B:$B,B193+1)))</f>
        <v/>
      </c>
      <c r="F193">
        <f>IF('TRANSPORT DASHBOARD'!$B$4="Area",IF(192&lt;=$I$3,IF(AND(INDEX(MASTER_AREAS!$F:$F,193)&lt;&gt;"N",OR('TRANSPORT DASHBOARD'!$C$4="",ISNUMBER(SEARCH('TRANSPORT DASHBOARD'!$C$4,INDEX(MASTER_AREAS!$B:$B,193))))),192,""),""),IF('TRANSPORT DASHBOARD'!$B$4="Zone",IF(192&lt;=$I$4,IF(OR('TRANSPORT DASHBOARD'!$C$4="",ISNUMBER(SEARCH('TRANSPORT DASHBOARD'!$C$4,INDEX(MASTER_ZONES!$B:$B,193)))),192,""),""),""))</f>
        <v/>
      </c>
      <c r="G193">
        <f>IFERROR(SMALL($F$2:$F$1487,192),"")</f>
        <v/>
      </c>
      <c r="H193">
        <f>IF(G193="","",IF('TRANSPORT DASHBOARD'!$B$4="Area",INDEX(MASTER_AREAS!$B:$B,G193+1),INDEX(MASTER_ZONES!$B:$B,G193+1)))</f>
        <v/>
      </c>
      <c r="K193">
        <f>IF('MIDWEEK DASHBOARD'!$B$4="Area",IF(192&lt;=$N$3,IF(AND(OR('MIDWEEK DASHBOARD'!$C$4="",ISNUMBER(SEARCH('MIDWEEK DASHBOARD'!$C$4,INDEX(MASTER_AREAS!$B:$B,193))))),192,""),""),IF('MIDWEEK DASHBOARD'!$B$4="Zone",IF(192&lt;=$N$4,IF(OR('MIDWEEK DASHBOARD'!$C$4="",ISNUMBER(SEARCH('MIDWEEK DASHBOARD'!$C$4,INDEX(MASTER_ZONES!$B:$B,193)))),192,""),""),""))</f>
        <v/>
      </c>
      <c r="L193">
        <f>IFERROR(SMALL($K$2:$K$1487,192),"")</f>
        <v/>
      </c>
      <c r="M193">
        <f>IF(L193="","",IF('MIDWEEK DASHBOARD'!$B$4="Area",INDEX(MASTER_AREAS!$B:$B,L193+1),INDEX(MASTER_ZONES!$B:$B,L193+1)))</f>
        <v/>
      </c>
      <c r="P193">
        <f>IF('CHOP DASHBOARD'!$B$4="Area",IF(192&lt;=$S$3,IF(AND(OR('CHOP DASHBOARD'!$C$4="",ISNUMBER(SEARCH('CHOP DASHBOARD'!$C$4,INDEX(MASTER_AREAS!$B:$B,193))))),192,""),""),IF('CHOP DASHBOARD'!$B$4="Zone",IF(192&lt;=$S$4,IF(OR('CHOP DASHBOARD'!$C$4="",ISNUMBER(SEARCH('CHOP DASHBOARD'!$C$4,INDEX(MASTER_ZONES!$B:$B,193)))),192,""),""),""))</f>
        <v/>
      </c>
      <c r="Q193">
        <f>IFERROR(SMALL($P$2:$P$1487,192),"")</f>
        <v/>
      </c>
      <c r="R193">
        <f>IF(Q193="","",IF('CHOP DASHBOARD'!$B$4="Area",INDEX(MASTER_AREAS!$B:$B,Q193+1),INDEX(MASTER_ZONES!$B:$B,Q193+1)))</f>
        <v/>
      </c>
      <c r="U193">
        <f>IF('COMMUNITY CHURCH DASHBOARD'!$B$4="Area",IF(192&lt;=$X$3,IF(AND(OR('COMMUNITY CHURCH DASHBOARD'!$C$4="",ISNUMBER(SEARCH('COMMUNITY CHURCH DASHBOARD'!$C$4,INDEX(MASTER_AREAS!$B:$B,193))))),192,""),""),IF('COMMUNITY CHURCH DASHBOARD'!$B$4="Zone",IF(192&lt;=$X$4,IF(OR('COMMUNITY CHURCH DASHBOARD'!$C$4="",ISNUMBER(SEARCH('COMMUNITY CHURCH DASHBOARD'!$C$4,INDEX(MASTER_ZONES!$B:$B,193)))),192,""),""),""))</f>
        <v/>
      </c>
      <c r="V193">
        <f>IFERROR(SMALL($U$2:$U$1487,192),"")</f>
        <v/>
      </c>
      <c r="W193">
        <f>IF(V193="","",IF('COMMUNITY CHURCH DASHBOARD'!$B$4="Area",INDEX(MASTER_AREAS!$B:$B,V193+1),INDEX(MASTER_ZONES!$B:$B,V193+1)))</f>
        <v/>
      </c>
    </row>
    <row r="194">
      <c r="A194">
        <f>IF('WSF DASHBOARD'!$B$4="Area",IF(193&lt;=$D$3,IF(AND(OR('WSF DASHBOARD'!$C$4="",ISNUMBER(SEARCH('WSF DASHBOARD'!$C$4,INDEX(MASTER_AREAS!$B:$B,194))))),193,""),""),IF('WSF DASHBOARD'!$B$4="Zone",IF(193&lt;=$D$4,IF(OR('WSF DASHBOARD'!$C$4="",ISNUMBER(SEARCH('WSF DASHBOARD'!$C$4,INDEX(MASTER_ZONES!$B:$B,194)))),193,""),""),""))</f>
        <v/>
      </c>
      <c r="B194">
        <f>IFERROR(SMALL($A$2:$A$1487,193),"")</f>
        <v/>
      </c>
      <c r="C194">
        <f>IF(B194="","",IF('WSF DASHBOARD'!$B$4="Area",INDEX(MASTER_AREAS!$B:$B,B194+1),INDEX(MASTER_ZONES!$B:$B,B194+1)))</f>
        <v/>
      </c>
      <c r="F194">
        <f>IF('TRANSPORT DASHBOARD'!$B$4="Area",IF(193&lt;=$I$3,IF(AND(INDEX(MASTER_AREAS!$F:$F,194)&lt;&gt;"N",OR('TRANSPORT DASHBOARD'!$C$4="",ISNUMBER(SEARCH('TRANSPORT DASHBOARD'!$C$4,INDEX(MASTER_AREAS!$B:$B,194))))),193,""),""),IF('TRANSPORT DASHBOARD'!$B$4="Zone",IF(193&lt;=$I$4,IF(OR('TRANSPORT DASHBOARD'!$C$4="",ISNUMBER(SEARCH('TRANSPORT DASHBOARD'!$C$4,INDEX(MASTER_ZONES!$B:$B,194)))),193,""),""),""))</f>
        <v/>
      </c>
      <c r="G194">
        <f>IFERROR(SMALL($F$2:$F$1487,193),"")</f>
        <v/>
      </c>
      <c r="H194">
        <f>IF(G194="","",IF('TRANSPORT DASHBOARD'!$B$4="Area",INDEX(MASTER_AREAS!$B:$B,G194+1),INDEX(MASTER_ZONES!$B:$B,G194+1)))</f>
        <v/>
      </c>
      <c r="K194">
        <f>IF('MIDWEEK DASHBOARD'!$B$4="Area",IF(193&lt;=$N$3,IF(AND(OR('MIDWEEK DASHBOARD'!$C$4="",ISNUMBER(SEARCH('MIDWEEK DASHBOARD'!$C$4,INDEX(MASTER_AREAS!$B:$B,194))))),193,""),""),IF('MIDWEEK DASHBOARD'!$B$4="Zone",IF(193&lt;=$N$4,IF(OR('MIDWEEK DASHBOARD'!$C$4="",ISNUMBER(SEARCH('MIDWEEK DASHBOARD'!$C$4,INDEX(MASTER_ZONES!$B:$B,194)))),193,""),""),""))</f>
        <v/>
      </c>
      <c r="L194">
        <f>IFERROR(SMALL($K$2:$K$1487,193),"")</f>
        <v/>
      </c>
      <c r="M194">
        <f>IF(L194="","",IF('MIDWEEK DASHBOARD'!$B$4="Area",INDEX(MASTER_AREAS!$B:$B,L194+1),INDEX(MASTER_ZONES!$B:$B,L194+1)))</f>
        <v/>
      </c>
      <c r="P194">
        <f>IF('CHOP DASHBOARD'!$B$4="Area",IF(193&lt;=$S$3,IF(AND(OR('CHOP DASHBOARD'!$C$4="",ISNUMBER(SEARCH('CHOP DASHBOARD'!$C$4,INDEX(MASTER_AREAS!$B:$B,194))))),193,""),""),IF('CHOP DASHBOARD'!$B$4="Zone",IF(193&lt;=$S$4,IF(OR('CHOP DASHBOARD'!$C$4="",ISNUMBER(SEARCH('CHOP DASHBOARD'!$C$4,INDEX(MASTER_ZONES!$B:$B,194)))),193,""),""),""))</f>
        <v/>
      </c>
      <c r="Q194">
        <f>IFERROR(SMALL($P$2:$P$1487,193),"")</f>
        <v/>
      </c>
      <c r="R194">
        <f>IF(Q194="","",IF('CHOP DASHBOARD'!$B$4="Area",INDEX(MASTER_AREAS!$B:$B,Q194+1),INDEX(MASTER_ZONES!$B:$B,Q194+1)))</f>
        <v/>
      </c>
      <c r="U194">
        <f>IF('COMMUNITY CHURCH DASHBOARD'!$B$4="Area",IF(193&lt;=$X$3,IF(AND(OR('COMMUNITY CHURCH DASHBOARD'!$C$4="",ISNUMBER(SEARCH('COMMUNITY CHURCH DASHBOARD'!$C$4,INDEX(MASTER_AREAS!$B:$B,194))))),193,""),""),IF('COMMUNITY CHURCH DASHBOARD'!$B$4="Zone",IF(193&lt;=$X$4,IF(OR('COMMUNITY CHURCH DASHBOARD'!$C$4="",ISNUMBER(SEARCH('COMMUNITY CHURCH DASHBOARD'!$C$4,INDEX(MASTER_ZONES!$B:$B,194)))),193,""),""),""))</f>
        <v/>
      </c>
      <c r="V194">
        <f>IFERROR(SMALL($U$2:$U$1487,193),"")</f>
        <v/>
      </c>
      <c r="W194">
        <f>IF(V194="","",IF('COMMUNITY CHURCH DASHBOARD'!$B$4="Area",INDEX(MASTER_AREAS!$B:$B,V194+1),INDEX(MASTER_ZONES!$B:$B,V194+1)))</f>
        <v/>
      </c>
    </row>
    <row r="195">
      <c r="A195">
        <f>IF('WSF DASHBOARD'!$B$4="Area",IF(194&lt;=$D$3,IF(AND(OR('WSF DASHBOARD'!$C$4="",ISNUMBER(SEARCH('WSF DASHBOARD'!$C$4,INDEX(MASTER_AREAS!$B:$B,195))))),194,""),""),IF('WSF DASHBOARD'!$B$4="Zone",IF(194&lt;=$D$4,IF(OR('WSF DASHBOARD'!$C$4="",ISNUMBER(SEARCH('WSF DASHBOARD'!$C$4,INDEX(MASTER_ZONES!$B:$B,195)))),194,""),""),""))</f>
        <v/>
      </c>
      <c r="B195">
        <f>IFERROR(SMALL($A$2:$A$1487,194),"")</f>
        <v/>
      </c>
      <c r="C195">
        <f>IF(B195="","",IF('WSF DASHBOARD'!$B$4="Area",INDEX(MASTER_AREAS!$B:$B,B195+1),INDEX(MASTER_ZONES!$B:$B,B195+1)))</f>
        <v/>
      </c>
      <c r="F195">
        <f>IF('TRANSPORT DASHBOARD'!$B$4="Area",IF(194&lt;=$I$3,IF(AND(INDEX(MASTER_AREAS!$F:$F,195)&lt;&gt;"N",OR('TRANSPORT DASHBOARD'!$C$4="",ISNUMBER(SEARCH('TRANSPORT DASHBOARD'!$C$4,INDEX(MASTER_AREAS!$B:$B,195))))),194,""),""),IF('TRANSPORT DASHBOARD'!$B$4="Zone",IF(194&lt;=$I$4,IF(OR('TRANSPORT DASHBOARD'!$C$4="",ISNUMBER(SEARCH('TRANSPORT DASHBOARD'!$C$4,INDEX(MASTER_ZONES!$B:$B,195)))),194,""),""),""))</f>
        <v/>
      </c>
      <c r="G195">
        <f>IFERROR(SMALL($F$2:$F$1487,194),"")</f>
        <v/>
      </c>
      <c r="H195">
        <f>IF(G195="","",IF('TRANSPORT DASHBOARD'!$B$4="Area",INDEX(MASTER_AREAS!$B:$B,G195+1),INDEX(MASTER_ZONES!$B:$B,G195+1)))</f>
        <v/>
      </c>
      <c r="K195">
        <f>IF('MIDWEEK DASHBOARD'!$B$4="Area",IF(194&lt;=$N$3,IF(AND(OR('MIDWEEK DASHBOARD'!$C$4="",ISNUMBER(SEARCH('MIDWEEK DASHBOARD'!$C$4,INDEX(MASTER_AREAS!$B:$B,195))))),194,""),""),IF('MIDWEEK DASHBOARD'!$B$4="Zone",IF(194&lt;=$N$4,IF(OR('MIDWEEK DASHBOARD'!$C$4="",ISNUMBER(SEARCH('MIDWEEK DASHBOARD'!$C$4,INDEX(MASTER_ZONES!$B:$B,195)))),194,""),""),""))</f>
        <v/>
      </c>
      <c r="L195">
        <f>IFERROR(SMALL($K$2:$K$1487,194),"")</f>
        <v/>
      </c>
      <c r="M195">
        <f>IF(L195="","",IF('MIDWEEK DASHBOARD'!$B$4="Area",INDEX(MASTER_AREAS!$B:$B,L195+1),INDEX(MASTER_ZONES!$B:$B,L195+1)))</f>
        <v/>
      </c>
      <c r="P195">
        <f>IF('CHOP DASHBOARD'!$B$4="Area",IF(194&lt;=$S$3,IF(AND(OR('CHOP DASHBOARD'!$C$4="",ISNUMBER(SEARCH('CHOP DASHBOARD'!$C$4,INDEX(MASTER_AREAS!$B:$B,195))))),194,""),""),IF('CHOP DASHBOARD'!$B$4="Zone",IF(194&lt;=$S$4,IF(OR('CHOP DASHBOARD'!$C$4="",ISNUMBER(SEARCH('CHOP DASHBOARD'!$C$4,INDEX(MASTER_ZONES!$B:$B,195)))),194,""),""),""))</f>
        <v/>
      </c>
      <c r="Q195">
        <f>IFERROR(SMALL($P$2:$P$1487,194),"")</f>
        <v/>
      </c>
      <c r="R195">
        <f>IF(Q195="","",IF('CHOP DASHBOARD'!$B$4="Area",INDEX(MASTER_AREAS!$B:$B,Q195+1),INDEX(MASTER_ZONES!$B:$B,Q195+1)))</f>
        <v/>
      </c>
      <c r="U195">
        <f>IF('COMMUNITY CHURCH DASHBOARD'!$B$4="Area",IF(194&lt;=$X$3,IF(AND(OR('COMMUNITY CHURCH DASHBOARD'!$C$4="",ISNUMBER(SEARCH('COMMUNITY CHURCH DASHBOARD'!$C$4,INDEX(MASTER_AREAS!$B:$B,195))))),194,""),""),IF('COMMUNITY CHURCH DASHBOARD'!$B$4="Zone",IF(194&lt;=$X$4,IF(OR('COMMUNITY CHURCH DASHBOARD'!$C$4="",ISNUMBER(SEARCH('COMMUNITY CHURCH DASHBOARD'!$C$4,INDEX(MASTER_ZONES!$B:$B,195)))),194,""),""),""))</f>
        <v/>
      </c>
      <c r="V195">
        <f>IFERROR(SMALL($U$2:$U$1487,194),"")</f>
        <v/>
      </c>
      <c r="W195">
        <f>IF(V195="","",IF('COMMUNITY CHURCH DASHBOARD'!$B$4="Area",INDEX(MASTER_AREAS!$B:$B,V195+1),INDEX(MASTER_ZONES!$B:$B,V195+1)))</f>
        <v/>
      </c>
    </row>
    <row r="196">
      <c r="A196">
        <f>IF('WSF DASHBOARD'!$B$4="Area",IF(195&lt;=$D$3,IF(AND(OR('WSF DASHBOARD'!$C$4="",ISNUMBER(SEARCH('WSF DASHBOARD'!$C$4,INDEX(MASTER_AREAS!$B:$B,196))))),195,""),""),IF('WSF DASHBOARD'!$B$4="Zone",IF(195&lt;=$D$4,IF(OR('WSF DASHBOARD'!$C$4="",ISNUMBER(SEARCH('WSF DASHBOARD'!$C$4,INDEX(MASTER_ZONES!$B:$B,196)))),195,""),""),""))</f>
        <v/>
      </c>
      <c r="B196">
        <f>IFERROR(SMALL($A$2:$A$1487,195),"")</f>
        <v/>
      </c>
      <c r="C196">
        <f>IF(B196="","",IF('WSF DASHBOARD'!$B$4="Area",INDEX(MASTER_AREAS!$B:$B,B196+1),INDEX(MASTER_ZONES!$B:$B,B196+1)))</f>
        <v/>
      </c>
      <c r="F196">
        <f>IF('TRANSPORT DASHBOARD'!$B$4="Area",IF(195&lt;=$I$3,IF(AND(INDEX(MASTER_AREAS!$F:$F,196)&lt;&gt;"N",OR('TRANSPORT DASHBOARD'!$C$4="",ISNUMBER(SEARCH('TRANSPORT DASHBOARD'!$C$4,INDEX(MASTER_AREAS!$B:$B,196))))),195,""),""),IF('TRANSPORT DASHBOARD'!$B$4="Zone",IF(195&lt;=$I$4,IF(OR('TRANSPORT DASHBOARD'!$C$4="",ISNUMBER(SEARCH('TRANSPORT DASHBOARD'!$C$4,INDEX(MASTER_ZONES!$B:$B,196)))),195,""),""),""))</f>
        <v/>
      </c>
      <c r="G196">
        <f>IFERROR(SMALL($F$2:$F$1487,195),"")</f>
        <v/>
      </c>
      <c r="H196">
        <f>IF(G196="","",IF('TRANSPORT DASHBOARD'!$B$4="Area",INDEX(MASTER_AREAS!$B:$B,G196+1),INDEX(MASTER_ZONES!$B:$B,G196+1)))</f>
        <v/>
      </c>
      <c r="K196">
        <f>IF('MIDWEEK DASHBOARD'!$B$4="Area",IF(195&lt;=$N$3,IF(AND(OR('MIDWEEK DASHBOARD'!$C$4="",ISNUMBER(SEARCH('MIDWEEK DASHBOARD'!$C$4,INDEX(MASTER_AREAS!$B:$B,196))))),195,""),""),IF('MIDWEEK DASHBOARD'!$B$4="Zone",IF(195&lt;=$N$4,IF(OR('MIDWEEK DASHBOARD'!$C$4="",ISNUMBER(SEARCH('MIDWEEK DASHBOARD'!$C$4,INDEX(MASTER_ZONES!$B:$B,196)))),195,""),""),""))</f>
        <v/>
      </c>
      <c r="L196">
        <f>IFERROR(SMALL($K$2:$K$1487,195),"")</f>
        <v/>
      </c>
      <c r="M196">
        <f>IF(L196="","",IF('MIDWEEK DASHBOARD'!$B$4="Area",INDEX(MASTER_AREAS!$B:$B,L196+1),INDEX(MASTER_ZONES!$B:$B,L196+1)))</f>
        <v/>
      </c>
      <c r="P196">
        <f>IF('CHOP DASHBOARD'!$B$4="Area",IF(195&lt;=$S$3,IF(AND(OR('CHOP DASHBOARD'!$C$4="",ISNUMBER(SEARCH('CHOP DASHBOARD'!$C$4,INDEX(MASTER_AREAS!$B:$B,196))))),195,""),""),IF('CHOP DASHBOARD'!$B$4="Zone",IF(195&lt;=$S$4,IF(OR('CHOP DASHBOARD'!$C$4="",ISNUMBER(SEARCH('CHOP DASHBOARD'!$C$4,INDEX(MASTER_ZONES!$B:$B,196)))),195,""),""),""))</f>
        <v/>
      </c>
      <c r="Q196">
        <f>IFERROR(SMALL($P$2:$P$1487,195),"")</f>
        <v/>
      </c>
      <c r="R196">
        <f>IF(Q196="","",IF('CHOP DASHBOARD'!$B$4="Area",INDEX(MASTER_AREAS!$B:$B,Q196+1),INDEX(MASTER_ZONES!$B:$B,Q196+1)))</f>
        <v/>
      </c>
      <c r="U196">
        <f>IF('COMMUNITY CHURCH DASHBOARD'!$B$4="Area",IF(195&lt;=$X$3,IF(AND(OR('COMMUNITY CHURCH DASHBOARD'!$C$4="",ISNUMBER(SEARCH('COMMUNITY CHURCH DASHBOARD'!$C$4,INDEX(MASTER_AREAS!$B:$B,196))))),195,""),""),IF('COMMUNITY CHURCH DASHBOARD'!$B$4="Zone",IF(195&lt;=$X$4,IF(OR('COMMUNITY CHURCH DASHBOARD'!$C$4="",ISNUMBER(SEARCH('COMMUNITY CHURCH DASHBOARD'!$C$4,INDEX(MASTER_ZONES!$B:$B,196)))),195,""),""),""))</f>
        <v/>
      </c>
      <c r="V196">
        <f>IFERROR(SMALL($U$2:$U$1487,195),"")</f>
        <v/>
      </c>
      <c r="W196">
        <f>IF(V196="","",IF('COMMUNITY CHURCH DASHBOARD'!$B$4="Area",INDEX(MASTER_AREAS!$B:$B,V196+1),INDEX(MASTER_ZONES!$B:$B,V196+1)))</f>
        <v/>
      </c>
    </row>
    <row r="197">
      <c r="A197">
        <f>IF('WSF DASHBOARD'!$B$4="Area",IF(196&lt;=$D$3,IF(AND(OR('WSF DASHBOARD'!$C$4="",ISNUMBER(SEARCH('WSF DASHBOARD'!$C$4,INDEX(MASTER_AREAS!$B:$B,197))))),196,""),""),IF('WSF DASHBOARD'!$B$4="Zone",IF(196&lt;=$D$4,IF(OR('WSF DASHBOARD'!$C$4="",ISNUMBER(SEARCH('WSF DASHBOARD'!$C$4,INDEX(MASTER_ZONES!$B:$B,197)))),196,""),""),""))</f>
        <v/>
      </c>
      <c r="B197">
        <f>IFERROR(SMALL($A$2:$A$1487,196),"")</f>
        <v/>
      </c>
      <c r="C197">
        <f>IF(B197="","",IF('WSF DASHBOARD'!$B$4="Area",INDEX(MASTER_AREAS!$B:$B,B197+1),INDEX(MASTER_ZONES!$B:$B,B197+1)))</f>
        <v/>
      </c>
      <c r="F197">
        <f>IF('TRANSPORT DASHBOARD'!$B$4="Area",IF(196&lt;=$I$3,IF(AND(INDEX(MASTER_AREAS!$F:$F,197)&lt;&gt;"N",OR('TRANSPORT DASHBOARD'!$C$4="",ISNUMBER(SEARCH('TRANSPORT DASHBOARD'!$C$4,INDEX(MASTER_AREAS!$B:$B,197))))),196,""),""),IF('TRANSPORT DASHBOARD'!$B$4="Zone",IF(196&lt;=$I$4,IF(OR('TRANSPORT DASHBOARD'!$C$4="",ISNUMBER(SEARCH('TRANSPORT DASHBOARD'!$C$4,INDEX(MASTER_ZONES!$B:$B,197)))),196,""),""),""))</f>
        <v/>
      </c>
      <c r="G197">
        <f>IFERROR(SMALL($F$2:$F$1487,196),"")</f>
        <v/>
      </c>
      <c r="H197">
        <f>IF(G197="","",IF('TRANSPORT DASHBOARD'!$B$4="Area",INDEX(MASTER_AREAS!$B:$B,G197+1),INDEX(MASTER_ZONES!$B:$B,G197+1)))</f>
        <v/>
      </c>
      <c r="K197">
        <f>IF('MIDWEEK DASHBOARD'!$B$4="Area",IF(196&lt;=$N$3,IF(AND(OR('MIDWEEK DASHBOARD'!$C$4="",ISNUMBER(SEARCH('MIDWEEK DASHBOARD'!$C$4,INDEX(MASTER_AREAS!$B:$B,197))))),196,""),""),IF('MIDWEEK DASHBOARD'!$B$4="Zone",IF(196&lt;=$N$4,IF(OR('MIDWEEK DASHBOARD'!$C$4="",ISNUMBER(SEARCH('MIDWEEK DASHBOARD'!$C$4,INDEX(MASTER_ZONES!$B:$B,197)))),196,""),""),""))</f>
        <v/>
      </c>
      <c r="L197">
        <f>IFERROR(SMALL($K$2:$K$1487,196),"")</f>
        <v/>
      </c>
      <c r="M197">
        <f>IF(L197="","",IF('MIDWEEK DASHBOARD'!$B$4="Area",INDEX(MASTER_AREAS!$B:$B,L197+1),INDEX(MASTER_ZONES!$B:$B,L197+1)))</f>
        <v/>
      </c>
      <c r="P197">
        <f>IF('CHOP DASHBOARD'!$B$4="Area",IF(196&lt;=$S$3,IF(AND(OR('CHOP DASHBOARD'!$C$4="",ISNUMBER(SEARCH('CHOP DASHBOARD'!$C$4,INDEX(MASTER_AREAS!$B:$B,197))))),196,""),""),IF('CHOP DASHBOARD'!$B$4="Zone",IF(196&lt;=$S$4,IF(OR('CHOP DASHBOARD'!$C$4="",ISNUMBER(SEARCH('CHOP DASHBOARD'!$C$4,INDEX(MASTER_ZONES!$B:$B,197)))),196,""),""),""))</f>
        <v/>
      </c>
      <c r="Q197">
        <f>IFERROR(SMALL($P$2:$P$1487,196),"")</f>
        <v/>
      </c>
      <c r="R197">
        <f>IF(Q197="","",IF('CHOP DASHBOARD'!$B$4="Area",INDEX(MASTER_AREAS!$B:$B,Q197+1),INDEX(MASTER_ZONES!$B:$B,Q197+1)))</f>
        <v/>
      </c>
      <c r="U197">
        <f>IF('COMMUNITY CHURCH DASHBOARD'!$B$4="Area",IF(196&lt;=$X$3,IF(AND(OR('COMMUNITY CHURCH DASHBOARD'!$C$4="",ISNUMBER(SEARCH('COMMUNITY CHURCH DASHBOARD'!$C$4,INDEX(MASTER_AREAS!$B:$B,197))))),196,""),""),IF('COMMUNITY CHURCH DASHBOARD'!$B$4="Zone",IF(196&lt;=$X$4,IF(OR('COMMUNITY CHURCH DASHBOARD'!$C$4="",ISNUMBER(SEARCH('COMMUNITY CHURCH DASHBOARD'!$C$4,INDEX(MASTER_ZONES!$B:$B,197)))),196,""),""),""))</f>
        <v/>
      </c>
      <c r="V197">
        <f>IFERROR(SMALL($U$2:$U$1487,196),"")</f>
        <v/>
      </c>
      <c r="W197">
        <f>IF(V197="","",IF('COMMUNITY CHURCH DASHBOARD'!$B$4="Area",INDEX(MASTER_AREAS!$B:$B,V197+1),INDEX(MASTER_ZONES!$B:$B,V197+1)))</f>
        <v/>
      </c>
    </row>
    <row r="198">
      <c r="A198">
        <f>IF('WSF DASHBOARD'!$B$4="Area",IF(197&lt;=$D$3,IF(AND(OR('WSF DASHBOARD'!$C$4="",ISNUMBER(SEARCH('WSF DASHBOARD'!$C$4,INDEX(MASTER_AREAS!$B:$B,198))))),197,""),""),IF('WSF DASHBOARD'!$B$4="Zone",IF(197&lt;=$D$4,IF(OR('WSF DASHBOARD'!$C$4="",ISNUMBER(SEARCH('WSF DASHBOARD'!$C$4,INDEX(MASTER_ZONES!$B:$B,198)))),197,""),""),""))</f>
        <v/>
      </c>
      <c r="B198">
        <f>IFERROR(SMALL($A$2:$A$1487,197),"")</f>
        <v/>
      </c>
      <c r="C198">
        <f>IF(B198="","",IF('WSF DASHBOARD'!$B$4="Area",INDEX(MASTER_AREAS!$B:$B,B198+1),INDEX(MASTER_ZONES!$B:$B,B198+1)))</f>
        <v/>
      </c>
      <c r="F198">
        <f>IF('TRANSPORT DASHBOARD'!$B$4="Area",IF(197&lt;=$I$3,IF(AND(INDEX(MASTER_AREAS!$F:$F,198)&lt;&gt;"N",OR('TRANSPORT DASHBOARD'!$C$4="",ISNUMBER(SEARCH('TRANSPORT DASHBOARD'!$C$4,INDEX(MASTER_AREAS!$B:$B,198))))),197,""),""),IF('TRANSPORT DASHBOARD'!$B$4="Zone",IF(197&lt;=$I$4,IF(OR('TRANSPORT DASHBOARD'!$C$4="",ISNUMBER(SEARCH('TRANSPORT DASHBOARD'!$C$4,INDEX(MASTER_ZONES!$B:$B,198)))),197,""),""),""))</f>
        <v/>
      </c>
      <c r="G198">
        <f>IFERROR(SMALL($F$2:$F$1487,197),"")</f>
        <v/>
      </c>
      <c r="H198">
        <f>IF(G198="","",IF('TRANSPORT DASHBOARD'!$B$4="Area",INDEX(MASTER_AREAS!$B:$B,G198+1),INDEX(MASTER_ZONES!$B:$B,G198+1)))</f>
        <v/>
      </c>
      <c r="K198">
        <f>IF('MIDWEEK DASHBOARD'!$B$4="Area",IF(197&lt;=$N$3,IF(AND(OR('MIDWEEK DASHBOARD'!$C$4="",ISNUMBER(SEARCH('MIDWEEK DASHBOARD'!$C$4,INDEX(MASTER_AREAS!$B:$B,198))))),197,""),""),IF('MIDWEEK DASHBOARD'!$B$4="Zone",IF(197&lt;=$N$4,IF(OR('MIDWEEK DASHBOARD'!$C$4="",ISNUMBER(SEARCH('MIDWEEK DASHBOARD'!$C$4,INDEX(MASTER_ZONES!$B:$B,198)))),197,""),""),""))</f>
        <v/>
      </c>
      <c r="L198">
        <f>IFERROR(SMALL($K$2:$K$1487,197),"")</f>
        <v/>
      </c>
      <c r="M198">
        <f>IF(L198="","",IF('MIDWEEK DASHBOARD'!$B$4="Area",INDEX(MASTER_AREAS!$B:$B,L198+1),INDEX(MASTER_ZONES!$B:$B,L198+1)))</f>
        <v/>
      </c>
      <c r="P198">
        <f>IF('CHOP DASHBOARD'!$B$4="Area",IF(197&lt;=$S$3,IF(AND(OR('CHOP DASHBOARD'!$C$4="",ISNUMBER(SEARCH('CHOP DASHBOARD'!$C$4,INDEX(MASTER_AREAS!$B:$B,198))))),197,""),""),IF('CHOP DASHBOARD'!$B$4="Zone",IF(197&lt;=$S$4,IF(OR('CHOP DASHBOARD'!$C$4="",ISNUMBER(SEARCH('CHOP DASHBOARD'!$C$4,INDEX(MASTER_ZONES!$B:$B,198)))),197,""),""),""))</f>
        <v/>
      </c>
      <c r="Q198">
        <f>IFERROR(SMALL($P$2:$P$1487,197),"")</f>
        <v/>
      </c>
      <c r="R198">
        <f>IF(Q198="","",IF('CHOP DASHBOARD'!$B$4="Area",INDEX(MASTER_AREAS!$B:$B,Q198+1),INDEX(MASTER_ZONES!$B:$B,Q198+1)))</f>
        <v/>
      </c>
      <c r="U198">
        <f>IF('COMMUNITY CHURCH DASHBOARD'!$B$4="Area",IF(197&lt;=$X$3,IF(AND(OR('COMMUNITY CHURCH DASHBOARD'!$C$4="",ISNUMBER(SEARCH('COMMUNITY CHURCH DASHBOARD'!$C$4,INDEX(MASTER_AREAS!$B:$B,198))))),197,""),""),IF('COMMUNITY CHURCH DASHBOARD'!$B$4="Zone",IF(197&lt;=$X$4,IF(OR('COMMUNITY CHURCH DASHBOARD'!$C$4="",ISNUMBER(SEARCH('COMMUNITY CHURCH DASHBOARD'!$C$4,INDEX(MASTER_ZONES!$B:$B,198)))),197,""),""),""))</f>
        <v/>
      </c>
      <c r="V198">
        <f>IFERROR(SMALL($U$2:$U$1487,197),"")</f>
        <v/>
      </c>
      <c r="W198">
        <f>IF(V198="","",IF('COMMUNITY CHURCH DASHBOARD'!$B$4="Area",INDEX(MASTER_AREAS!$B:$B,V198+1),INDEX(MASTER_ZONES!$B:$B,V198+1)))</f>
        <v/>
      </c>
    </row>
    <row r="199">
      <c r="A199">
        <f>IF('WSF DASHBOARD'!$B$4="Area",IF(198&lt;=$D$3,IF(AND(OR('WSF DASHBOARD'!$C$4="",ISNUMBER(SEARCH('WSF DASHBOARD'!$C$4,INDEX(MASTER_AREAS!$B:$B,199))))),198,""),""),IF('WSF DASHBOARD'!$B$4="Zone",IF(198&lt;=$D$4,IF(OR('WSF DASHBOARD'!$C$4="",ISNUMBER(SEARCH('WSF DASHBOARD'!$C$4,INDEX(MASTER_ZONES!$B:$B,199)))),198,""),""),""))</f>
        <v/>
      </c>
      <c r="B199">
        <f>IFERROR(SMALL($A$2:$A$1487,198),"")</f>
        <v/>
      </c>
      <c r="C199">
        <f>IF(B199="","",IF('WSF DASHBOARD'!$B$4="Area",INDEX(MASTER_AREAS!$B:$B,B199+1),INDEX(MASTER_ZONES!$B:$B,B199+1)))</f>
        <v/>
      </c>
      <c r="F199">
        <f>IF('TRANSPORT DASHBOARD'!$B$4="Area",IF(198&lt;=$I$3,IF(AND(INDEX(MASTER_AREAS!$F:$F,199)&lt;&gt;"N",OR('TRANSPORT DASHBOARD'!$C$4="",ISNUMBER(SEARCH('TRANSPORT DASHBOARD'!$C$4,INDEX(MASTER_AREAS!$B:$B,199))))),198,""),""),IF('TRANSPORT DASHBOARD'!$B$4="Zone",IF(198&lt;=$I$4,IF(OR('TRANSPORT DASHBOARD'!$C$4="",ISNUMBER(SEARCH('TRANSPORT DASHBOARD'!$C$4,INDEX(MASTER_ZONES!$B:$B,199)))),198,""),""),""))</f>
        <v/>
      </c>
      <c r="G199">
        <f>IFERROR(SMALL($F$2:$F$1487,198),"")</f>
        <v/>
      </c>
      <c r="H199">
        <f>IF(G199="","",IF('TRANSPORT DASHBOARD'!$B$4="Area",INDEX(MASTER_AREAS!$B:$B,G199+1),INDEX(MASTER_ZONES!$B:$B,G199+1)))</f>
        <v/>
      </c>
      <c r="K199">
        <f>IF('MIDWEEK DASHBOARD'!$B$4="Area",IF(198&lt;=$N$3,IF(AND(OR('MIDWEEK DASHBOARD'!$C$4="",ISNUMBER(SEARCH('MIDWEEK DASHBOARD'!$C$4,INDEX(MASTER_AREAS!$B:$B,199))))),198,""),""),IF('MIDWEEK DASHBOARD'!$B$4="Zone",IF(198&lt;=$N$4,IF(OR('MIDWEEK DASHBOARD'!$C$4="",ISNUMBER(SEARCH('MIDWEEK DASHBOARD'!$C$4,INDEX(MASTER_ZONES!$B:$B,199)))),198,""),""),""))</f>
        <v/>
      </c>
      <c r="L199">
        <f>IFERROR(SMALL($K$2:$K$1487,198),"")</f>
        <v/>
      </c>
      <c r="M199">
        <f>IF(L199="","",IF('MIDWEEK DASHBOARD'!$B$4="Area",INDEX(MASTER_AREAS!$B:$B,L199+1),INDEX(MASTER_ZONES!$B:$B,L199+1)))</f>
        <v/>
      </c>
      <c r="P199">
        <f>IF('CHOP DASHBOARD'!$B$4="Area",IF(198&lt;=$S$3,IF(AND(OR('CHOP DASHBOARD'!$C$4="",ISNUMBER(SEARCH('CHOP DASHBOARD'!$C$4,INDEX(MASTER_AREAS!$B:$B,199))))),198,""),""),IF('CHOP DASHBOARD'!$B$4="Zone",IF(198&lt;=$S$4,IF(OR('CHOP DASHBOARD'!$C$4="",ISNUMBER(SEARCH('CHOP DASHBOARD'!$C$4,INDEX(MASTER_ZONES!$B:$B,199)))),198,""),""),""))</f>
        <v/>
      </c>
      <c r="Q199">
        <f>IFERROR(SMALL($P$2:$P$1487,198),"")</f>
        <v/>
      </c>
      <c r="R199">
        <f>IF(Q199="","",IF('CHOP DASHBOARD'!$B$4="Area",INDEX(MASTER_AREAS!$B:$B,Q199+1),INDEX(MASTER_ZONES!$B:$B,Q199+1)))</f>
        <v/>
      </c>
      <c r="U199">
        <f>IF('COMMUNITY CHURCH DASHBOARD'!$B$4="Area",IF(198&lt;=$X$3,IF(AND(OR('COMMUNITY CHURCH DASHBOARD'!$C$4="",ISNUMBER(SEARCH('COMMUNITY CHURCH DASHBOARD'!$C$4,INDEX(MASTER_AREAS!$B:$B,199))))),198,""),""),IF('COMMUNITY CHURCH DASHBOARD'!$B$4="Zone",IF(198&lt;=$X$4,IF(OR('COMMUNITY CHURCH DASHBOARD'!$C$4="",ISNUMBER(SEARCH('COMMUNITY CHURCH DASHBOARD'!$C$4,INDEX(MASTER_ZONES!$B:$B,199)))),198,""),""),""))</f>
        <v/>
      </c>
      <c r="V199">
        <f>IFERROR(SMALL($U$2:$U$1487,198),"")</f>
        <v/>
      </c>
      <c r="W199">
        <f>IF(V199="","",IF('COMMUNITY CHURCH DASHBOARD'!$B$4="Area",INDEX(MASTER_AREAS!$B:$B,V199+1),INDEX(MASTER_ZONES!$B:$B,V199+1)))</f>
        <v/>
      </c>
    </row>
    <row r="200">
      <c r="A200">
        <f>IF('WSF DASHBOARD'!$B$4="Area",IF(199&lt;=$D$3,IF(AND(OR('WSF DASHBOARD'!$C$4="",ISNUMBER(SEARCH('WSF DASHBOARD'!$C$4,INDEX(MASTER_AREAS!$B:$B,200))))),199,""),""),IF('WSF DASHBOARD'!$B$4="Zone",IF(199&lt;=$D$4,IF(OR('WSF DASHBOARD'!$C$4="",ISNUMBER(SEARCH('WSF DASHBOARD'!$C$4,INDEX(MASTER_ZONES!$B:$B,200)))),199,""),""),""))</f>
        <v/>
      </c>
      <c r="B200">
        <f>IFERROR(SMALL($A$2:$A$1487,199),"")</f>
        <v/>
      </c>
      <c r="C200">
        <f>IF(B200="","",IF('WSF DASHBOARD'!$B$4="Area",INDEX(MASTER_AREAS!$B:$B,B200+1),INDEX(MASTER_ZONES!$B:$B,B200+1)))</f>
        <v/>
      </c>
      <c r="F200">
        <f>IF('TRANSPORT DASHBOARD'!$B$4="Area",IF(199&lt;=$I$3,IF(AND(INDEX(MASTER_AREAS!$F:$F,200)&lt;&gt;"N",OR('TRANSPORT DASHBOARD'!$C$4="",ISNUMBER(SEARCH('TRANSPORT DASHBOARD'!$C$4,INDEX(MASTER_AREAS!$B:$B,200))))),199,""),""),IF('TRANSPORT DASHBOARD'!$B$4="Zone",IF(199&lt;=$I$4,IF(OR('TRANSPORT DASHBOARD'!$C$4="",ISNUMBER(SEARCH('TRANSPORT DASHBOARD'!$C$4,INDEX(MASTER_ZONES!$B:$B,200)))),199,""),""),""))</f>
        <v/>
      </c>
      <c r="G200">
        <f>IFERROR(SMALL($F$2:$F$1487,199),"")</f>
        <v/>
      </c>
      <c r="H200">
        <f>IF(G200="","",IF('TRANSPORT DASHBOARD'!$B$4="Area",INDEX(MASTER_AREAS!$B:$B,G200+1),INDEX(MASTER_ZONES!$B:$B,G200+1)))</f>
        <v/>
      </c>
      <c r="K200">
        <f>IF('MIDWEEK DASHBOARD'!$B$4="Area",IF(199&lt;=$N$3,IF(AND(OR('MIDWEEK DASHBOARD'!$C$4="",ISNUMBER(SEARCH('MIDWEEK DASHBOARD'!$C$4,INDEX(MASTER_AREAS!$B:$B,200))))),199,""),""),IF('MIDWEEK DASHBOARD'!$B$4="Zone",IF(199&lt;=$N$4,IF(OR('MIDWEEK DASHBOARD'!$C$4="",ISNUMBER(SEARCH('MIDWEEK DASHBOARD'!$C$4,INDEX(MASTER_ZONES!$B:$B,200)))),199,""),""),""))</f>
        <v/>
      </c>
      <c r="L200">
        <f>IFERROR(SMALL($K$2:$K$1487,199),"")</f>
        <v/>
      </c>
      <c r="M200">
        <f>IF(L200="","",IF('MIDWEEK DASHBOARD'!$B$4="Area",INDEX(MASTER_AREAS!$B:$B,L200+1),INDEX(MASTER_ZONES!$B:$B,L200+1)))</f>
        <v/>
      </c>
      <c r="P200">
        <f>IF('CHOP DASHBOARD'!$B$4="Area",IF(199&lt;=$S$3,IF(AND(OR('CHOP DASHBOARD'!$C$4="",ISNUMBER(SEARCH('CHOP DASHBOARD'!$C$4,INDEX(MASTER_AREAS!$B:$B,200))))),199,""),""),IF('CHOP DASHBOARD'!$B$4="Zone",IF(199&lt;=$S$4,IF(OR('CHOP DASHBOARD'!$C$4="",ISNUMBER(SEARCH('CHOP DASHBOARD'!$C$4,INDEX(MASTER_ZONES!$B:$B,200)))),199,""),""),""))</f>
        <v/>
      </c>
      <c r="Q200">
        <f>IFERROR(SMALL($P$2:$P$1487,199),"")</f>
        <v/>
      </c>
      <c r="R200">
        <f>IF(Q200="","",IF('CHOP DASHBOARD'!$B$4="Area",INDEX(MASTER_AREAS!$B:$B,Q200+1),INDEX(MASTER_ZONES!$B:$B,Q200+1)))</f>
        <v/>
      </c>
      <c r="U200">
        <f>IF('COMMUNITY CHURCH DASHBOARD'!$B$4="Area",IF(199&lt;=$X$3,IF(AND(OR('COMMUNITY CHURCH DASHBOARD'!$C$4="",ISNUMBER(SEARCH('COMMUNITY CHURCH DASHBOARD'!$C$4,INDEX(MASTER_AREAS!$B:$B,200))))),199,""),""),IF('COMMUNITY CHURCH DASHBOARD'!$B$4="Zone",IF(199&lt;=$X$4,IF(OR('COMMUNITY CHURCH DASHBOARD'!$C$4="",ISNUMBER(SEARCH('COMMUNITY CHURCH DASHBOARD'!$C$4,INDEX(MASTER_ZONES!$B:$B,200)))),199,""),""),""))</f>
        <v/>
      </c>
      <c r="V200">
        <f>IFERROR(SMALL($U$2:$U$1487,199),"")</f>
        <v/>
      </c>
      <c r="W200">
        <f>IF(V200="","",IF('COMMUNITY CHURCH DASHBOARD'!$B$4="Area",INDEX(MASTER_AREAS!$B:$B,V200+1),INDEX(MASTER_ZONES!$B:$B,V200+1)))</f>
        <v/>
      </c>
    </row>
    <row r="201">
      <c r="A201">
        <f>IF('WSF DASHBOARD'!$B$4="Area",IF(200&lt;=$D$3,IF(AND(OR('WSF DASHBOARD'!$C$4="",ISNUMBER(SEARCH('WSF DASHBOARD'!$C$4,INDEX(MASTER_AREAS!$B:$B,201))))),200,""),""),IF('WSF DASHBOARD'!$B$4="Zone",IF(200&lt;=$D$4,IF(OR('WSF DASHBOARD'!$C$4="",ISNUMBER(SEARCH('WSF DASHBOARD'!$C$4,INDEX(MASTER_ZONES!$B:$B,201)))),200,""),""),""))</f>
        <v/>
      </c>
      <c r="B201">
        <f>IFERROR(SMALL($A$2:$A$1487,200),"")</f>
        <v/>
      </c>
      <c r="C201">
        <f>IF(B201="","",IF('WSF DASHBOARD'!$B$4="Area",INDEX(MASTER_AREAS!$B:$B,B201+1),INDEX(MASTER_ZONES!$B:$B,B201+1)))</f>
        <v/>
      </c>
      <c r="F201">
        <f>IF('TRANSPORT DASHBOARD'!$B$4="Area",IF(200&lt;=$I$3,IF(AND(INDEX(MASTER_AREAS!$F:$F,201)&lt;&gt;"N",OR('TRANSPORT DASHBOARD'!$C$4="",ISNUMBER(SEARCH('TRANSPORT DASHBOARD'!$C$4,INDEX(MASTER_AREAS!$B:$B,201))))),200,""),""),IF('TRANSPORT DASHBOARD'!$B$4="Zone",IF(200&lt;=$I$4,IF(OR('TRANSPORT DASHBOARD'!$C$4="",ISNUMBER(SEARCH('TRANSPORT DASHBOARD'!$C$4,INDEX(MASTER_ZONES!$B:$B,201)))),200,""),""),""))</f>
        <v/>
      </c>
      <c r="G201">
        <f>IFERROR(SMALL($F$2:$F$1487,200),"")</f>
        <v/>
      </c>
      <c r="H201">
        <f>IF(G201="","",IF('TRANSPORT DASHBOARD'!$B$4="Area",INDEX(MASTER_AREAS!$B:$B,G201+1),INDEX(MASTER_ZONES!$B:$B,G201+1)))</f>
        <v/>
      </c>
      <c r="K201">
        <f>IF('MIDWEEK DASHBOARD'!$B$4="Area",IF(200&lt;=$N$3,IF(AND(OR('MIDWEEK DASHBOARD'!$C$4="",ISNUMBER(SEARCH('MIDWEEK DASHBOARD'!$C$4,INDEX(MASTER_AREAS!$B:$B,201))))),200,""),""),IF('MIDWEEK DASHBOARD'!$B$4="Zone",IF(200&lt;=$N$4,IF(OR('MIDWEEK DASHBOARD'!$C$4="",ISNUMBER(SEARCH('MIDWEEK DASHBOARD'!$C$4,INDEX(MASTER_ZONES!$B:$B,201)))),200,""),""),""))</f>
        <v/>
      </c>
      <c r="L201">
        <f>IFERROR(SMALL($K$2:$K$1487,200),"")</f>
        <v/>
      </c>
      <c r="M201">
        <f>IF(L201="","",IF('MIDWEEK DASHBOARD'!$B$4="Area",INDEX(MASTER_AREAS!$B:$B,L201+1),INDEX(MASTER_ZONES!$B:$B,L201+1)))</f>
        <v/>
      </c>
      <c r="P201">
        <f>IF('CHOP DASHBOARD'!$B$4="Area",IF(200&lt;=$S$3,IF(AND(OR('CHOP DASHBOARD'!$C$4="",ISNUMBER(SEARCH('CHOP DASHBOARD'!$C$4,INDEX(MASTER_AREAS!$B:$B,201))))),200,""),""),IF('CHOP DASHBOARD'!$B$4="Zone",IF(200&lt;=$S$4,IF(OR('CHOP DASHBOARD'!$C$4="",ISNUMBER(SEARCH('CHOP DASHBOARD'!$C$4,INDEX(MASTER_ZONES!$B:$B,201)))),200,""),""),""))</f>
        <v/>
      </c>
      <c r="Q201">
        <f>IFERROR(SMALL($P$2:$P$1487,200),"")</f>
        <v/>
      </c>
      <c r="R201">
        <f>IF(Q201="","",IF('CHOP DASHBOARD'!$B$4="Area",INDEX(MASTER_AREAS!$B:$B,Q201+1),INDEX(MASTER_ZONES!$B:$B,Q201+1)))</f>
        <v/>
      </c>
      <c r="U201">
        <f>IF('COMMUNITY CHURCH DASHBOARD'!$B$4="Area",IF(200&lt;=$X$3,IF(AND(OR('COMMUNITY CHURCH DASHBOARD'!$C$4="",ISNUMBER(SEARCH('COMMUNITY CHURCH DASHBOARD'!$C$4,INDEX(MASTER_AREAS!$B:$B,201))))),200,""),""),IF('COMMUNITY CHURCH DASHBOARD'!$B$4="Zone",IF(200&lt;=$X$4,IF(OR('COMMUNITY CHURCH DASHBOARD'!$C$4="",ISNUMBER(SEARCH('COMMUNITY CHURCH DASHBOARD'!$C$4,INDEX(MASTER_ZONES!$B:$B,201)))),200,""),""),""))</f>
        <v/>
      </c>
      <c r="V201">
        <f>IFERROR(SMALL($U$2:$U$1487,200),"")</f>
        <v/>
      </c>
      <c r="W201">
        <f>IF(V201="","",IF('COMMUNITY CHURCH DASHBOARD'!$B$4="Area",INDEX(MASTER_AREAS!$B:$B,V201+1),INDEX(MASTER_ZONES!$B:$B,V201+1)))</f>
        <v/>
      </c>
    </row>
    <row r="202">
      <c r="A202">
        <f>IF('WSF DASHBOARD'!$B$4="Area",IF(201&lt;=$D$3,IF(AND(OR('WSF DASHBOARD'!$C$4="",ISNUMBER(SEARCH('WSF DASHBOARD'!$C$4,INDEX(MASTER_AREAS!$B:$B,202))))),201,""),""),IF('WSF DASHBOARD'!$B$4="Zone",IF(201&lt;=$D$4,IF(OR('WSF DASHBOARD'!$C$4="",ISNUMBER(SEARCH('WSF DASHBOARD'!$C$4,INDEX(MASTER_ZONES!$B:$B,202)))),201,""),""),""))</f>
        <v/>
      </c>
      <c r="B202">
        <f>IFERROR(SMALL($A$2:$A$1487,201),"")</f>
        <v/>
      </c>
      <c r="C202">
        <f>IF(B202="","",IF('WSF DASHBOARD'!$B$4="Area",INDEX(MASTER_AREAS!$B:$B,B202+1),INDEX(MASTER_ZONES!$B:$B,B202+1)))</f>
        <v/>
      </c>
      <c r="F202">
        <f>IF('TRANSPORT DASHBOARD'!$B$4="Area",IF(201&lt;=$I$3,IF(AND(INDEX(MASTER_AREAS!$F:$F,202)&lt;&gt;"N",OR('TRANSPORT DASHBOARD'!$C$4="",ISNUMBER(SEARCH('TRANSPORT DASHBOARD'!$C$4,INDEX(MASTER_AREAS!$B:$B,202))))),201,""),""),IF('TRANSPORT DASHBOARD'!$B$4="Zone",IF(201&lt;=$I$4,IF(OR('TRANSPORT DASHBOARD'!$C$4="",ISNUMBER(SEARCH('TRANSPORT DASHBOARD'!$C$4,INDEX(MASTER_ZONES!$B:$B,202)))),201,""),""),""))</f>
        <v/>
      </c>
      <c r="G202">
        <f>IFERROR(SMALL($F$2:$F$1487,201),"")</f>
        <v/>
      </c>
      <c r="H202">
        <f>IF(G202="","",IF('TRANSPORT DASHBOARD'!$B$4="Area",INDEX(MASTER_AREAS!$B:$B,G202+1),INDEX(MASTER_ZONES!$B:$B,G202+1)))</f>
        <v/>
      </c>
      <c r="K202">
        <f>IF('MIDWEEK DASHBOARD'!$B$4="Area",IF(201&lt;=$N$3,IF(AND(OR('MIDWEEK DASHBOARD'!$C$4="",ISNUMBER(SEARCH('MIDWEEK DASHBOARD'!$C$4,INDEX(MASTER_AREAS!$B:$B,202))))),201,""),""),IF('MIDWEEK DASHBOARD'!$B$4="Zone",IF(201&lt;=$N$4,IF(OR('MIDWEEK DASHBOARD'!$C$4="",ISNUMBER(SEARCH('MIDWEEK DASHBOARD'!$C$4,INDEX(MASTER_ZONES!$B:$B,202)))),201,""),""),""))</f>
        <v/>
      </c>
      <c r="L202">
        <f>IFERROR(SMALL($K$2:$K$1487,201),"")</f>
        <v/>
      </c>
      <c r="M202">
        <f>IF(L202="","",IF('MIDWEEK DASHBOARD'!$B$4="Area",INDEX(MASTER_AREAS!$B:$B,L202+1),INDEX(MASTER_ZONES!$B:$B,L202+1)))</f>
        <v/>
      </c>
      <c r="P202">
        <f>IF('CHOP DASHBOARD'!$B$4="Area",IF(201&lt;=$S$3,IF(AND(OR('CHOP DASHBOARD'!$C$4="",ISNUMBER(SEARCH('CHOP DASHBOARD'!$C$4,INDEX(MASTER_AREAS!$B:$B,202))))),201,""),""),IF('CHOP DASHBOARD'!$B$4="Zone",IF(201&lt;=$S$4,IF(OR('CHOP DASHBOARD'!$C$4="",ISNUMBER(SEARCH('CHOP DASHBOARD'!$C$4,INDEX(MASTER_ZONES!$B:$B,202)))),201,""),""),""))</f>
        <v/>
      </c>
      <c r="Q202">
        <f>IFERROR(SMALL($P$2:$P$1487,201),"")</f>
        <v/>
      </c>
      <c r="R202">
        <f>IF(Q202="","",IF('CHOP DASHBOARD'!$B$4="Area",INDEX(MASTER_AREAS!$B:$B,Q202+1),INDEX(MASTER_ZONES!$B:$B,Q202+1)))</f>
        <v/>
      </c>
      <c r="U202">
        <f>IF('COMMUNITY CHURCH DASHBOARD'!$B$4="Area",IF(201&lt;=$X$3,IF(AND(OR('COMMUNITY CHURCH DASHBOARD'!$C$4="",ISNUMBER(SEARCH('COMMUNITY CHURCH DASHBOARD'!$C$4,INDEX(MASTER_AREAS!$B:$B,202))))),201,""),""),IF('COMMUNITY CHURCH DASHBOARD'!$B$4="Zone",IF(201&lt;=$X$4,IF(OR('COMMUNITY CHURCH DASHBOARD'!$C$4="",ISNUMBER(SEARCH('COMMUNITY CHURCH DASHBOARD'!$C$4,INDEX(MASTER_ZONES!$B:$B,202)))),201,""),""),""))</f>
        <v/>
      </c>
      <c r="V202">
        <f>IFERROR(SMALL($U$2:$U$1487,201),"")</f>
        <v/>
      </c>
      <c r="W202">
        <f>IF(V202="","",IF('COMMUNITY CHURCH DASHBOARD'!$B$4="Area",INDEX(MASTER_AREAS!$B:$B,V202+1),INDEX(MASTER_ZONES!$B:$B,V202+1)))</f>
        <v/>
      </c>
    </row>
    <row r="203">
      <c r="A203">
        <f>IF('WSF DASHBOARD'!$B$4="Area",IF(202&lt;=$D$3,IF(AND(OR('WSF DASHBOARD'!$C$4="",ISNUMBER(SEARCH('WSF DASHBOARD'!$C$4,INDEX(MASTER_AREAS!$B:$B,203))))),202,""),""),IF('WSF DASHBOARD'!$B$4="Zone",IF(202&lt;=$D$4,IF(OR('WSF DASHBOARD'!$C$4="",ISNUMBER(SEARCH('WSF DASHBOARD'!$C$4,INDEX(MASTER_ZONES!$B:$B,203)))),202,""),""),""))</f>
        <v/>
      </c>
      <c r="B203">
        <f>IFERROR(SMALL($A$2:$A$1487,202),"")</f>
        <v/>
      </c>
      <c r="C203">
        <f>IF(B203="","",IF('WSF DASHBOARD'!$B$4="Area",INDEX(MASTER_AREAS!$B:$B,B203+1),INDEX(MASTER_ZONES!$B:$B,B203+1)))</f>
        <v/>
      </c>
      <c r="F203">
        <f>IF('TRANSPORT DASHBOARD'!$B$4="Area",IF(202&lt;=$I$3,IF(AND(INDEX(MASTER_AREAS!$F:$F,203)&lt;&gt;"N",OR('TRANSPORT DASHBOARD'!$C$4="",ISNUMBER(SEARCH('TRANSPORT DASHBOARD'!$C$4,INDEX(MASTER_AREAS!$B:$B,203))))),202,""),""),IF('TRANSPORT DASHBOARD'!$B$4="Zone",IF(202&lt;=$I$4,IF(OR('TRANSPORT DASHBOARD'!$C$4="",ISNUMBER(SEARCH('TRANSPORT DASHBOARD'!$C$4,INDEX(MASTER_ZONES!$B:$B,203)))),202,""),""),""))</f>
        <v/>
      </c>
      <c r="G203">
        <f>IFERROR(SMALL($F$2:$F$1487,202),"")</f>
        <v/>
      </c>
      <c r="H203">
        <f>IF(G203="","",IF('TRANSPORT DASHBOARD'!$B$4="Area",INDEX(MASTER_AREAS!$B:$B,G203+1),INDEX(MASTER_ZONES!$B:$B,G203+1)))</f>
        <v/>
      </c>
      <c r="K203">
        <f>IF('MIDWEEK DASHBOARD'!$B$4="Area",IF(202&lt;=$N$3,IF(AND(OR('MIDWEEK DASHBOARD'!$C$4="",ISNUMBER(SEARCH('MIDWEEK DASHBOARD'!$C$4,INDEX(MASTER_AREAS!$B:$B,203))))),202,""),""),IF('MIDWEEK DASHBOARD'!$B$4="Zone",IF(202&lt;=$N$4,IF(OR('MIDWEEK DASHBOARD'!$C$4="",ISNUMBER(SEARCH('MIDWEEK DASHBOARD'!$C$4,INDEX(MASTER_ZONES!$B:$B,203)))),202,""),""),""))</f>
        <v/>
      </c>
      <c r="L203">
        <f>IFERROR(SMALL($K$2:$K$1487,202),"")</f>
        <v/>
      </c>
      <c r="M203">
        <f>IF(L203="","",IF('MIDWEEK DASHBOARD'!$B$4="Area",INDEX(MASTER_AREAS!$B:$B,L203+1),INDEX(MASTER_ZONES!$B:$B,L203+1)))</f>
        <v/>
      </c>
      <c r="P203">
        <f>IF('CHOP DASHBOARD'!$B$4="Area",IF(202&lt;=$S$3,IF(AND(OR('CHOP DASHBOARD'!$C$4="",ISNUMBER(SEARCH('CHOP DASHBOARD'!$C$4,INDEX(MASTER_AREAS!$B:$B,203))))),202,""),""),IF('CHOP DASHBOARD'!$B$4="Zone",IF(202&lt;=$S$4,IF(OR('CHOP DASHBOARD'!$C$4="",ISNUMBER(SEARCH('CHOP DASHBOARD'!$C$4,INDEX(MASTER_ZONES!$B:$B,203)))),202,""),""),""))</f>
        <v/>
      </c>
      <c r="Q203">
        <f>IFERROR(SMALL($P$2:$P$1487,202),"")</f>
        <v/>
      </c>
      <c r="R203">
        <f>IF(Q203="","",IF('CHOP DASHBOARD'!$B$4="Area",INDEX(MASTER_AREAS!$B:$B,Q203+1),INDEX(MASTER_ZONES!$B:$B,Q203+1)))</f>
        <v/>
      </c>
      <c r="U203">
        <f>IF('COMMUNITY CHURCH DASHBOARD'!$B$4="Area",IF(202&lt;=$X$3,IF(AND(OR('COMMUNITY CHURCH DASHBOARD'!$C$4="",ISNUMBER(SEARCH('COMMUNITY CHURCH DASHBOARD'!$C$4,INDEX(MASTER_AREAS!$B:$B,203))))),202,""),""),IF('COMMUNITY CHURCH DASHBOARD'!$B$4="Zone",IF(202&lt;=$X$4,IF(OR('COMMUNITY CHURCH DASHBOARD'!$C$4="",ISNUMBER(SEARCH('COMMUNITY CHURCH DASHBOARD'!$C$4,INDEX(MASTER_ZONES!$B:$B,203)))),202,""),""),""))</f>
        <v/>
      </c>
      <c r="V203">
        <f>IFERROR(SMALL($U$2:$U$1487,202),"")</f>
        <v/>
      </c>
      <c r="W203">
        <f>IF(V203="","",IF('COMMUNITY CHURCH DASHBOARD'!$B$4="Area",INDEX(MASTER_AREAS!$B:$B,V203+1),INDEX(MASTER_ZONES!$B:$B,V203+1)))</f>
        <v/>
      </c>
    </row>
    <row r="204">
      <c r="A204">
        <f>IF('WSF DASHBOARD'!$B$4="Area",IF(203&lt;=$D$3,IF(AND(OR('WSF DASHBOARD'!$C$4="",ISNUMBER(SEARCH('WSF DASHBOARD'!$C$4,INDEX(MASTER_AREAS!$B:$B,204))))),203,""),""),IF('WSF DASHBOARD'!$B$4="Zone",IF(203&lt;=$D$4,IF(OR('WSF DASHBOARD'!$C$4="",ISNUMBER(SEARCH('WSF DASHBOARD'!$C$4,INDEX(MASTER_ZONES!$B:$B,204)))),203,""),""),""))</f>
        <v/>
      </c>
      <c r="B204">
        <f>IFERROR(SMALL($A$2:$A$1487,203),"")</f>
        <v/>
      </c>
      <c r="C204">
        <f>IF(B204="","",IF('WSF DASHBOARD'!$B$4="Area",INDEX(MASTER_AREAS!$B:$B,B204+1),INDEX(MASTER_ZONES!$B:$B,B204+1)))</f>
        <v/>
      </c>
      <c r="F204">
        <f>IF('TRANSPORT DASHBOARD'!$B$4="Area",IF(203&lt;=$I$3,IF(AND(INDEX(MASTER_AREAS!$F:$F,204)&lt;&gt;"N",OR('TRANSPORT DASHBOARD'!$C$4="",ISNUMBER(SEARCH('TRANSPORT DASHBOARD'!$C$4,INDEX(MASTER_AREAS!$B:$B,204))))),203,""),""),IF('TRANSPORT DASHBOARD'!$B$4="Zone",IF(203&lt;=$I$4,IF(OR('TRANSPORT DASHBOARD'!$C$4="",ISNUMBER(SEARCH('TRANSPORT DASHBOARD'!$C$4,INDEX(MASTER_ZONES!$B:$B,204)))),203,""),""),""))</f>
        <v/>
      </c>
      <c r="G204">
        <f>IFERROR(SMALL($F$2:$F$1487,203),"")</f>
        <v/>
      </c>
      <c r="H204">
        <f>IF(G204="","",IF('TRANSPORT DASHBOARD'!$B$4="Area",INDEX(MASTER_AREAS!$B:$B,G204+1),INDEX(MASTER_ZONES!$B:$B,G204+1)))</f>
        <v/>
      </c>
      <c r="K204">
        <f>IF('MIDWEEK DASHBOARD'!$B$4="Area",IF(203&lt;=$N$3,IF(AND(OR('MIDWEEK DASHBOARD'!$C$4="",ISNUMBER(SEARCH('MIDWEEK DASHBOARD'!$C$4,INDEX(MASTER_AREAS!$B:$B,204))))),203,""),""),IF('MIDWEEK DASHBOARD'!$B$4="Zone",IF(203&lt;=$N$4,IF(OR('MIDWEEK DASHBOARD'!$C$4="",ISNUMBER(SEARCH('MIDWEEK DASHBOARD'!$C$4,INDEX(MASTER_ZONES!$B:$B,204)))),203,""),""),""))</f>
        <v/>
      </c>
      <c r="L204">
        <f>IFERROR(SMALL($K$2:$K$1487,203),"")</f>
        <v/>
      </c>
      <c r="M204">
        <f>IF(L204="","",IF('MIDWEEK DASHBOARD'!$B$4="Area",INDEX(MASTER_AREAS!$B:$B,L204+1),INDEX(MASTER_ZONES!$B:$B,L204+1)))</f>
        <v/>
      </c>
      <c r="P204">
        <f>IF('CHOP DASHBOARD'!$B$4="Area",IF(203&lt;=$S$3,IF(AND(OR('CHOP DASHBOARD'!$C$4="",ISNUMBER(SEARCH('CHOP DASHBOARD'!$C$4,INDEX(MASTER_AREAS!$B:$B,204))))),203,""),""),IF('CHOP DASHBOARD'!$B$4="Zone",IF(203&lt;=$S$4,IF(OR('CHOP DASHBOARD'!$C$4="",ISNUMBER(SEARCH('CHOP DASHBOARD'!$C$4,INDEX(MASTER_ZONES!$B:$B,204)))),203,""),""),""))</f>
        <v/>
      </c>
      <c r="Q204">
        <f>IFERROR(SMALL($P$2:$P$1487,203),"")</f>
        <v/>
      </c>
      <c r="R204">
        <f>IF(Q204="","",IF('CHOP DASHBOARD'!$B$4="Area",INDEX(MASTER_AREAS!$B:$B,Q204+1),INDEX(MASTER_ZONES!$B:$B,Q204+1)))</f>
        <v/>
      </c>
      <c r="U204">
        <f>IF('COMMUNITY CHURCH DASHBOARD'!$B$4="Area",IF(203&lt;=$X$3,IF(AND(OR('COMMUNITY CHURCH DASHBOARD'!$C$4="",ISNUMBER(SEARCH('COMMUNITY CHURCH DASHBOARD'!$C$4,INDEX(MASTER_AREAS!$B:$B,204))))),203,""),""),IF('COMMUNITY CHURCH DASHBOARD'!$B$4="Zone",IF(203&lt;=$X$4,IF(OR('COMMUNITY CHURCH DASHBOARD'!$C$4="",ISNUMBER(SEARCH('COMMUNITY CHURCH DASHBOARD'!$C$4,INDEX(MASTER_ZONES!$B:$B,204)))),203,""),""),""))</f>
        <v/>
      </c>
      <c r="V204">
        <f>IFERROR(SMALL($U$2:$U$1487,203),"")</f>
        <v/>
      </c>
      <c r="W204">
        <f>IF(V204="","",IF('COMMUNITY CHURCH DASHBOARD'!$B$4="Area",INDEX(MASTER_AREAS!$B:$B,V204+1),INDEX(MASTER_ZONES!$B:$B,V204+1)))</f>
        <v/>
      </c>
    </row>
    <row r="205">
      <c r="A205">
        <f>IF('WSF DASHBOARD'!$B$4="Area",IF(204&lt;=$D$3,IF(AND(OR('WSF DASHBOARD'!$C$4="",ISNUMBER(SEARCH('WSF DASHBOARD'!$C$4,INDEX(MASTER_AREAS!$B:$B,205))))),204,""),""),IF('WSF DASHBOARD'!$B$4="Zone",IF(204&lt;=$D$4,IF(OR('WSF DASHBOARD'!$C$4="",ISNUMBER(SEARCH('WSF DASHBOARD'!$C$4,INDEX(MASTER_ZONES!$B:$B,205)))),204,""),""),""))</f>
        <v/>
      </c>
      <c r="B205">
        <f>IFERROR(SMALL($A$2:$A$1487,204),"")</f>
        <v/>
      </c>
      <c r="C205">
        <f>IF(B205="","",IF('WSF DASHBOARD'!$B$4="Area",INDEX(MASTER_AREAS!$B:$B,B205+1),INDEX(MASTER_ZONES!$B:$B,B205+1)))</f>
        <v/>
      </c>
      <c r="F205">
        <f>IF('TRANSPORT DASHBOARD'!$B$4="Area",IF(204&lt;=$I$3,IF(AND(INDEX(MASTER_AREAS!$F:$F,205)&lt;&gt;"N",OR('TRANSPORT DASHBOARD'!$C$4="",ISNUMBER(SEARCH('TRANSPORT DASHBOARD'!$C$4,INDEX(MASTER_AREAS!$B:$B,205))))),204,""),""),IF('TRANSPORT DASHBOARD'!$B$4="Zone",IF(204&lt;=$I$4,IF(OR('TRANSPORT DASHBOARD'!$C$4="",ISNUMBER(SEARCH('TRANSPORT DASHBOARD'!$C$4,INDEX(MASTER_ZONES!$B:$B,205)))),204,""),""),""))</f>
        <v/>
      </c>
      <c r="G205">
        <f>IFERROR(SMALL($F$2:$F$1487,204),"")</f>
        <v/>
      </c>
      <c r="H205">
        <f>IF(G205="","",IF('TRANSPORT DASHBOARD'!$B$4="Area",INDEX(MASTER_AREAS!$B:$B,G205+1),INDEX(MASTER_ZONES!$B:$B,G205+1)))</f>
        <v/>
      </c>
      <c r="K205">
        <f>IF('MIDWEEK DASHBOARD'!$B$4="Area",IF(204&lt;=$N$3,IF(AND(OR('MIDWEEK DASHBOARD'!$C$4="",ISNUMBER(SEARCH('MIDWEEK DASHBOARD'!$C$4,INDEX(MASTER_AREAS!$B:$B,205))))),204,""),""),IF('MIDWEEK DASHBOARD'!$B$4="Zone",IF(204&lt;=$N$4,IF(OR('MIDWEEK DASHBOARD'!$C$4="",ISNUMBER(SEARCH('MIDWEEK DASHBOARD'!$C$4,INDEX(MASTER_ZONES!$B:$B,205)))),204,""),""),""))</f>
        <v/>
      </c>
      <c r="L205">
        <f>IFERROR(SMALL($K$2:$K$1487,204),"")</f>
        <v/>
      </c>
      <c r="M205">
        <f>IF(L205="","",IF('MIDWEEK DASHBOARD'!$B$4="Area",INDEX(MASTER_AREAS!$B:$B,L205+1),INDEX(MASTER_ZONES!$B:$B,L205+1)))</f>
        <v/>
      </c>
      <c r="P205">
        <f>IF('CHOP DASHBOARD'!$B$4="Area",IF(204&lt;=$S$3,IF(AND(OR('CHOP DASHBOARD'!$C$4="",ISNUMBER(SEARCH('CHOP DASHBOARD'!$C$4,INDEX(MASTER_AREAS!$B:$B,205))))),204,""),""),IF('CHOP DASHBOARD'!$B$4="Zone",IF(204&lt;=$S$4,IF(OR('CHOP DASHBOARD'!$C$4="",ISNUMBER(SEARCH('CHOP DASHBOARD'!$C$4,INDEX(MASTER_ZONES!$B:$B,205)))),204,""),""),""))</f>
        <v/>
      </c>
      <c r="Q205">
        <f>IFERROR(SMALL($P$2:$P$1487,204),"")</f>
        <v/>
      </c>
      <c r="R205">
        <f>IF(Q205="","",IF('CHOP DASHBOARD'!$B$4="Area",INDEX(MASTER_AREAS!$B:$B,Q205+1),INDEX(MASTER_ZONES!$B:$B,Q205+1)))</f>
        <v/>
      </c>
      <c r="U205">
        <f>IF('COMMUNITY CHURCH DASHBOARD'!$B$4="Area",IF(204&lt;=$X$3,IF(AND(OR('COMMUNITY CHURCH DASHBOARD'!$C$4="",ISNUMBER(SEARCH('COMMUNITY CHURCH DASHBOARD'!$C$4,INDEX(MASTER_AREAS!$B:$B,205))))),204,""),""),IF('COMMUNITY CHURCH DASHBOARD'!$B$4="Zone",IF(204&lt;=$X$4,IF(OR('COMMUNITY CHURCH DASHBOARD'!$C$4="",ISNUMBER(SEARCH('COMMUNITY CHURCH DASHBOARD'!$C$4,INDEX(MASTER_ZONES!$B:$B,205)))),204,""),""),""))</f>
        <v/>
      </c>
      <c r="V205">
        <f>IFERROR(SMALL($U$2:$U$1487,204),"")</f>
        <v/>
      </c>
      <c r="W205">
        <f>IF(V205="","",IF('COMMUNITY CHURCH DASHBOARD'!$B$4="Area",INDEX(MASTER_AREAS!$B:$B,V205+1),INDEX(MASTER_ZONES!$B:$B,V205+1)))</f>
        <v/>
      </c>
    </row>
    <row r="206">
      <c r="A206">
        <f>IF('WSF DASHBOARD'!$B$4="Area",IF(205&lt;=$D$3,IF(AND(OR('WSF DASHBOARD'!$C$4="",ISNUMBER(SEARCH('WSF DASHBOARD'!$C$4,INDEX(MASTER_AREAS!$B:$B,206))))),205,""),""),IF('WSF DASHBOARD'!$B$4="Zone",IF(205&lt;=$D$4,IF(OR('WSF DASHBOARD'!$C$4="",ISNUMBER(SEARCH('WSF DASHBOARD'!$C$4,INDEX(MASTER_ZONES!$B:$B,206)))),205,""),""),""))</f>
        <v/>
      </c>
      <c r="B206">
        <f>IFERROR(SMALL($A$2:$A$1487,205),"")</f>
        <v/>
      </c>
      <c r="C206">
        <f>IF(B206="","",IF('WSF DASHBOARD'!$B$4="Area",INDEX(MASTER_AREAS!$B:$B,B206+1),INDEX(MASTER_ZONES!$B:$B,B206+1)))</f>
        <v/>
      </c>
      <c r="F206">
        <f>IF('TRANSPORT DASHBOARD'!$B$4="Area",IF(205&lt;=$I$3,IF(AND(INDEX(MASTER_AREAS!$F:$F,206)&lt;&gt;"N",OR('TRANSPORT DASHBOARD'!$C$4="",ISNUMBER(SEARCH('TRANSPORT DASHBOARD'!$C$4,INDEX(MASTER_AREAS!$B:$B,206))))),205,""),""),IF('TRANSPORT DASHBOARD'!$B$4="Zone",IF(205&lt;=$I$4,IF(OR('TRANSPORT DASHBOARD'!$C$4="",ISNUMBER(SEARCH('TRANSPORT DASHBOARD'!$C$4,INDEX(MASTER_ZONES!$B:$B,206)))),205,""),""),""))</f>
        <v/>
      </c>
      <c r="G206">
        <f>IFERROR(SMALL($F$2:$F$1487,205),"")</f>
        <v/>
      </c>
      <c r="H206">
        <f>IF(G206="","",IF('TRANSPORT DASHBOARD'!$B$4="Area",INDEX(MASTER_AREAS!$B:$B,G206+1),INDEX(MASTER_ZONES!$B:$B,G206+1)))</f>
        <v/>
      </c>
      <c r="K206">
        <f>IF('MIDWEEK DASHBOARD'!$B$4="Area",IF(205&lt;=$N$3,IF(AND(OR('MIDWEEK DASHBOARD'!$C$4="",ISNUMBER(SEARCH('MIDWEEK DASHBOARD'!$C$4,INDEX(MASTER_AREAS!$B:$B,206))))),205,""),""),IF('MIDWEEK DASHBOARD'!$B$4="Zone",IF(205&lt;=$N$4,IF(OR('MIDWEEK DASHBOARD'!$C$4="",ISNUMBER(SEARCH('MIDWEEK DASHBOARD'!$C$4,INDEX(MASTER_ZONES!$B:$B,206)))),205,""),""),""))</f>
        <v/>
      </c>
      <c r="L206">
        <f>IFERROR(SMALL($K$2:$K$1487,205),"")</f>
        <v/>
      </c>
      <c r="M206">
        <f>IF(L206="","",IF('MIDWEEK DASHBOARD'!$B$4="Area",INDEX(MASTER_AREAS!$B:$B,L206+1),INDEX(MASTER_ZONES!$B:$B,L206+1)))</f>
        <v/>
      </c>
      <c r="P206">
        <f>IF('CHOP DASHBOARD'!$B$4="Area",IF(205&lt;=$S$3,IF(AND(OR('CHOP DASHBOARD'!$C$4="",ISNUMBER(SEARCH('CHOP DASHBOARD'!$C$4,INDEX(MASTER_AREAS!$B:$B,206))))),205,""),""),IF('CHOP DASHBOARD'!$B$4="Zone",IF(205&lt;=$S$4,IF(OR('CHOP DASHBOARD'!$C$4="",ISNUMBER(SEARCH('CHOP DASHBOARD'!$C$4,INDEX(MASTER_ZONES!$B:$B,206)))),205,""),""),""))</f>
        <v/>
      </c>
      <c r="Q206">
        <f>IFERROR(SMALL($P$2:$P$1487,205),"")</f>
        <v/>
      </c>
      <c r="R206">
        <f>IF(Q206="","",IF('CHOP DASHBOARD'!$B$4="Area",INDEX(MASTER_AREAS!$B:$B,Q206+1),INDEX(MASTER_ZONES!$B:$B,Q206+1)))</f>
        <v/>
      </c>
      <c r="U206">
        <f>IF('COMMUNITY CHURCH DASHBOARD'!$B$4="Area",IF(205&lt;=$X$3,IF(AND(OR('COMMUNITY CHURCH DASHBOARD'!$C$4="",ISNUMBER(SEARCH('COMMUNITY CHURCH DASHBOARD'!$C$4,INDEX(MASTER_AREAS!$B:$B,206))))),205,""),""),IF('COMMUNITY CHURCH DASHBOARD'!$B$4="Zone",IF(205&lt;=$X$4,IF(OR('COMMUNITY CHURCH DASHBOARD'!$C$4="",ISNUMBER(SEARCH('COMMUNITY CHURCH DASHBOARD'!$C$4,INDEX(MASTER_ZONES!$B:$B,206)))),205,""),""),""))</f>
        <v/>
      </c>
      <c r="V206">
        <f>IFERROR(SMALL($U$2:$U$1487,205),"")</f>
        <v/>
      </c>
      <c r="W206">
        <f>IF(V206="","",IF('COMMUNITY CHURCH DASHBOARD'!$B$4="Area",INDEX(MASTER_AREAS!$B:$B,V206+1),INDEX(MASTER_ZONES!$B:$B,V206+1)))</f>
        <v/>
      </c>
    </row>
    <row r="207">
      <c r="A207">
        <f>IF('WSF DASHBOARD'!$B$4="Area",IF(206&lt;=$D$3,IF(AND(OR('WSF DASHBOARD'!$C$4="",ISNUMBER(SEARCH('WSF DASHBOARD'!$C$4,INDEX(MASTER_AREAS!$B:$B,207))))),206,""),""),IF('WSF DASHBOARD'!$B$4="Zone",IF(206&lt;=$D$4,IF(OR('WSF DASHBOARD'!$C$4="",ISNUMBER(SEARCH('WSF DASHBOARD'!$C$4,INDEX(MASTER_ZONES!$B:$B,207)))),206,""),""),""))</f>
        <v/>
      </c>
      <c r="B207">
        <f>IFERROR(SMALL($A$2:$A$1487,206),"")</f>
        <v/>
      </c>
      <c r="C207">
        <f>IF(B207="","",IF('WSF DASHBOARD'!$B$4="Area",INDEX(MASTER_AREAS!$B:$B,B207+1),INDEX(MASTER_ZONES!$B:$B,B207+1)))</f>
        <v/>
      </c>
      <c r="F207">
        <f>IF('TRANSPORT DASHBOARD'!$B$4="Area",IF(206&lt;=$I$3,IF(AND(INDEX(MASTER_AREAS!$F:$F,207)&lt;&gt;"N",OR('TRANSPORT DASHBOARD'!$C$4="",ISNUMBER(SEARCH('TRANSPORT DASHBOARD'!$C$4,INDEX(MASTER_AREAS!$B:$B,207))))),206,""),""),IF('TRANSPORT DASHBOARD'!$B$4="Zone",IF(206&lt;=$I$4,IF(OR('TRANSPORT DASHBOARD'!$C$4="",ISNUMBER(SEARCH('TRANSPORT DASHBOARD'!$C$4,INDEX(MASTER_ZONES!$B:$B,207)))),206,""),""),""))</f>
        <v/>
      </c>
      <c r="G207">
        <f>IFERROR(SMALL($F$2:$F$1487,206),"")</f>
        <v/>
      </c>
      <c r="H207">
        <f>IF(G207="","",IF('TRANSPORT DASHBOARD'!$B$4="Area",INDEX(MASTER_AREAS!$B:$B,G207+1),INDEX(MASTER_ZONES!$B:$B,G207+1)))</f>
        <v/>
      </c>
      <c r="K207">
        <f>IF('MIDWEEK DASHBOARD'!$B$4="Area",IF(206&lt;=$N$3,IF(AND(OR('MIDWEEK DASHBOARD'!$C$4="",ISNUMBER(SEARCH('MIDWEEK DASHBOARD'!$C$4,INDEX(MASTER_AREAS!$B:$B,207))))),206,""),""),IF('MIDWEEK DASHBOARD'!$B$4="Zone",IF(206&lt;=$N$4,IF(OR('MIDWEEK DASHBOARD'!$C$4="",ISNUMBER(SEARCH('MIDWEEK DASHBOARD'!$C$4,INDEX(MASTER_ZONES!$B:$B,207)))),206,""),""),""))</f>
        <v/>
      </c>
      <c r="L207">
        <f>IFERROR(SMALL($K$2:$K$1487,206),"")</f>
        <v/>
      </c>
      <c r="M207">
        <f>IF(L207="","",IF('MIDWEEK DASHBOARD'!$B$4="Area",INDEX(MASTER_AREAS!$B:$B,L207+1),INDEX(MASTER_ZONES!$B:$B,L207+1)))</f>
        <v/>
      </c>
      <c r="P207">
        <f>IF('CHOP DASHBOARD'!$B$4="Area",IF(206&lt;=$S$3,IF(AND(OR('CHOP DASHBOARD'!$C$4="",ISNUMBER(SEARCH('CHOP DASHBOARD'!$C$4,INDEX(MASTER_AREAS!$B:$B,207))))),206,""),""),IF('CHOP DASHBOARD'!$B$4="Zone",IF(206&lt;=$S$4,IF(OR('CHOP DASHBOARD'!$C$4="",ISNUMBER(SEARCH('CHOP DASHBOARD'!$C$4,INDEX(MASTER_ZONES!$B:$B,207)))),206,""),""),""))</f>
        <v/>
      </c>
      <c r="Q207">
        <f>IFERROR(SMALL($P$2:$P$1487,206),"")</f>
        <v/>
      </c>
      <c r="R207">
        <f>IF(Q207="","",IF('CHOP DASHBOARD'!$B$4="Area",INDEX(MASTER_AREAS!$B:$B,Q207+1),INDEX(MASTER_ZONES!$B:$B,Q207+1)))</f>
        <v/>
      </c>
      <c r="U207">
        <f>IF('COMMUNITY CHURCH DASHBOARD'!$B$4="Area",IF(206&lt;=$X$3,IF(AND(OR('COMMUNITY CHURCH DASHBOARD'!$C$4="",ISNUMBER(SEARCH('COMMUNITY CHURCH DASHBOARD'!$C$4,INDEX(MASTER_AREAS!$B:$B,207))))),206,""),""),IF('COMMUNITY CHURCH DASHBOARD'!$B$4="Zone",IF(206&lt;=$X$4,IF(OR('COMMUNITY CHURCH DASHBOARD'!$C$4="",ISNUMBER(SEARCH('COMMUNITY CHURCH DASHBOARD'!$C$4,INDEX(MASTER_ZONES!$B:$B,207)))),206,""),""),""))</f>
        <v/>
      </c>
      <c r="V207">
        <f>IFERROR(SMALL($U$2:$U$1487,206),"")</f>
        <v/>
      </c>
      <c r="W207">
        <f>IF(V207="","",IF('COMMUNITY CHURCH DASHBOARD'!$B$4="Area",INDEX(MASTER_AREAS!$B:$B,V207+1),INDEX(MASTER_ZONES!$B:$B,V207+1)))</f>
        <v/>
      </c>
    </row>
    <row r="208">
      <c r="A208">
        <f>IF('WSF DASHBOARD'!$B$4="Area",IF(207&lt;=$D$3,IF(AND(OR('WSF DASHBOARD'!$C$4="",ISNUMBER(SEARCH('WSF DASHBOARD'!$C$4,INDEX(MASTER_AREAS!$B:$B,208))))),207,""),""),IF('WSF DASHBOARD'!$B$4="Zone",IF(207&lt;=$D$4,IF(OR('WSF DASHBOARD'!$C$4="",ISNUMBER(SEARCH('WSF DASHBOARD'!$C$4,INDEX(MASTER_ZONES!$B:$B,208)))),207,""),""),""))</f>
        <v/>
      </c>
      <c r="B208">
        <f>IFERROR(SMALL($A$2:$A$1487,207),"")</f>
        <v/>
      </c>
      <c r="C208">
        <f>IF(B208="","",IF('WSF DASHBOARD'!$B$4="Area",INDEX(MASTER_AREAS!$B:$B,B208+1),INDEX(MASTER_ZONES!$B:$B,B208+1)))</f>
        <v/>
      </c>
      <c r="F208">
        <f>IF('TRANSPORT DASHBOARD'!$B$4="Area",IF(207&lt;=$I$3,IF(AND(INDEX(MASTER_AREAS!$F:$F,208)&lt;&gt;"N",OR('TRANSPORT DASHBOARD'!$C$4="",ISNUMBER(SEARCH('TRANSPORT DASHBOARD'!$C$4,INDEX(MASTER_AREAS!$B:$B,208))))),207,""),""),IF('TRANSPORT DASHBOARD'!$B$4="Zone",IF(207&lt;=$I$4,IF(OR('TRANSPORT DASHBOARD'!$C$4="",ISNUMBER(SEARCH('TRANSPORT DASHBOARD'!$C$4,INDEX(MASTER_ZONES!$B:$B,208)))),207,""),""),""))</f>
        <v/>
      </c>
      <c r="G208">
        <f>IFERROR(SMALL($F$2:$F$1487,207),"")</f>
        <v/>
      </c>
      <c r="H208">
        <f>IF(G208="","",IF('TRANSPORT DASHBOARD'!$B$4="Area",INDEX(MASTER_AREAS!$B:$B,G208+1),INDEX(MASTER_ZONES!$B:$B,G208+1)))</f>
        <v/>
      </c>
      <c r="K208">
        <f>IF('MIDWEEK DASHBOARD'!$B$4="Area",IF(207&lt;=$N$3,IF(AND(OR('MIDWEEK DASHBOARD'!$C$4="",ISNUMBER(SEARCH('MIDWEEK DASHBOARD'!$C$4,INDEX(MASTER_AREAS!$B:$B,208))))),207,""),""),IF('MIDWEEK DASHBOARD'!$B$4="Zone",IF(207&lt;=$N$4,IF(OR('MIDWEEK DASHBOARD'!$C$4="",ISNUMBER(SEARCH('MIDWEEK DASHBOARD'!$C$4,INDEX(MASTER_ZONES!$B:$B,208)))),207,""),""),""))</f>
        <v/>
      </c>
      <c r="L208">
        <f>IFERROR(SMALL($K$2:$K$1487,207),"")</f>
        <v/>
      </c>
      <c r="M208">
        <f>IF(L208="","",IF('MIDWEEK DASHBOARD'!$B$4="Area",INDEX(MASTER_AREAS!$B:$B,L208+1),INDEX(MASTER_ZONES!$B:$B,L208+1)))</f>
        <v/>
      </c>
      <c r="P208">
        <f>IF('CHOP DASHBOARD'!$B$4="Area",IF(207&lt;=$S$3,IF(AND(OR('CHOP DASHBOARD'!$C$4="",ISNUMBER(SEARCH('CHOP DASHBOARD'!$C$4,INDEX(MASTER_AREAS!$B:$B,208))))),207,""),""),IF('CHOP DASHBOARD'!$B$4="Zone",IF(207&lt;=$S$4,IF(OR('CHOP DASHBOARD'!$C$4="",ISNUMBER(SEARCH('CHOP DASHBOARD'!$C$4,INDEX(MASTER_ZONES!$B:$B,208)))),207,""),""),""))</f>
        <v/>
      </c>
      <c r="Q208">
        <f>IFERROR(SMALL($P$2:$P$1487,207),"")</f>
        <v/>
      </c>
      <c r="R208">
        <f>IF(Q208="","",IF('CHOP DASHBOARD'!$B$4="Area",INDEX(MASTER_AREAS!$B:$B,Q208+1),INDEX(MASTER_ZONES!$B:$B,Q208+1)))</f>
        <v/>
      </c>
      <c r="U208">
        <f>IF('COMMUNITY CHURCH DASHBOARD'!$B$4="Area",IF(207&lt;=$X$3,IF(AND(OR('COMMUNITY CHURCH DASHBOARD'!$C$4="",ISNUMBER(SEARCH('COMMUNITY CHURCH DASHBOARD'!$C$4,INDEX(MASTER_AREAS!$B:$B,208))))),207,""),""),IF('COMMUNITY CHURCH DASHBOARD'!$B$4="Zone",IF(207&lt;=$X$4,IF(OR('COMMUNITY CHURCH DASHBOARD'!$C$4="",ISNUMBER(SEARCH('COMMUNITY CHURCH DASHBOARD'!$C$4,INDEX(MASTER_ZONES!$B:$B,208)))),207,""),""),""))</f>
        <v/>
      </c>
      <c r="V208">
        <f>IFERROR(SMALL($U$2:$U$1487,207),"")</f>
        <v/>
      </c>
      <c r="W208">
        <f>IF(V208="","",IF('COMMUNITY CHURCH DASHBOARD'!$B$4="Area",INDEX(MASTER_AREAS!$B:$B,V208+1),INDEX(MASTER_ZONES!$B:$B,V208+1)))</f>
        <v/>
      </c>
    </row>
    <row r="209">
      <c r="A209">
        <f>IF('WSF DASHBOARD'!$B$4="Area",IF(208&lt;=$D$3,IF(AND(OR('WSF DASHBOARD'!$C$4="",ISNUMBER(SEARCH('WSF DASHBOARD'!$C$4,INDEX(MASTER_AREAS!$B:$B,209))))),208,""),""),IF('WSF DASHBOARD'!$B$4="Zone",IF(208&lt;=$D$4,IF(OR('WSF DASHBOARD'!$C$4="",ISNUMBER(SEARCH('WSF DASHBOARD'!$C$4,INDEX(MASTER_ZONES!$B:$B,209)))),208,""),""),""))</f>
        <v/>
      </c>
      <c r="B209">
        <f>IFERROR(SMALL($A$2:$A$1487,208),"")</f>
        <v/>
      </c>
      <c r="C209">
        <f>IF(B209="","",IF('WSF DASHBOARD'!$B$4="Area",INDEX(MASTER_AREAS!$B:$B,B209+1),INDEX(MASTER_ZONES!$B:$B,B209+1)))</f>
        <v/>
      </c>
      <c r="F209">
        <f>IF('TRANSPORT DASHBOARD'!$B$4="Area",IF(208&lt;=$I$3,IF(AND(INDEX(MASTER_AREAS!$F:$F,209)&lt;&gt;"N",OR('TRANSPORT DASHBOARD'!$C$4="",ISNUMBER(SEARCH('TRANSPORT DASHBOARD'!$C$4,INDEX(MASTER_AREAS!$B:$B,209))))),208,""),""),IF('TRANSPORT DASHBOARD'!$B$4="Zone",IF(208&lt;=$I$4,IF(OR('TRANSPORT DASHBOARD'!$C$4="",ISNUMBER(SEARCH('TRANSPORT DASHBOARD'!$C$4,INDEX(MASTER_ZONES!$B:$B,209)))),208,""),""),""))</f>
        <v/>
      </c>
      <c r="G209">
        <f>IFERROR(SMALL($F$2:$F$1487,208),"")</f>
        <v/>
      </c>
      <c r="H209">
        <f>IF(G209="","",IF('TRANSPORT DASHBOARD'!$B$4="Area",INDEX(MASTER_AREAS!$B:$B,G209+1),INDEX(MASTER_ZONES!$B:$B,G209+1)))</f>
        <v/>
      </c>
      <c r="K209">
        <f>IF('MIDWEEK DASHBOARD'!$B$4="Area",IF(208&lt;=$N$3,IF(AND(OR('MIDWEEK DASHBOARD'!$C$4="",ISNUMBER(SEARCH('MIDWEEK DASHBOARD'!$C$4,INDEX(MASTER_AREAS!$B:$B,209))))),208,""),""),IF('MIDWEEK DASHBOARD'!$B$4="Zone",IF(208&lt;=$N$4,IF(OR('MIDWEEK DASHBOARD'!$C$4="",ISNUMBER(SEARCH('MIDWEEK DASHBOARD'!$C$4,INDEX(MASTER_ZONES!$B:$B,209)))),208,""),""),""))</f>
        <v/>
      </c>
      <c r="L209">
        <f>IFERROR(SMALL($K$2:$K$1487,208),"")</f>
        <v/>
      </c>
      <c r="M209">
        <f>IF(L209="","",IF('MIDWEEK DASHBOARD'!$B$4="Area",INDEX(MASTER_AREAS!$B:$B,L209+1),INDEX(MASTER_ZONES!$B:$B,L209+1)))</f>
        <v/>
      </c>
      <c r="P209">
        <f>IF('CHOP DASHBOARD'!$B$4="Area",IF(208&lt;=$S$3,IF(AND(OR('CHOP DASHBOARD'!$C$4="",ISNUMBER(SEARCH('CHOP DASHBOARD'!$C$4,INDEX(MASTER_AREAS!$B:$B,209))))),208,""),""),IF('CHOP DASHBOARD'!$B$4="Zone",IF(208&lt;=$S$4,IF(OR('CHOP DASHBOARD'!$C$4="",ISNUMBER(SEARCH('CHOP DASHBOARD'!$C$4,INDEX(MASTER_ZONES!$B:$B,209)))),208,""),""),""))</f>
        <v/>
      </c>
      <c r="Q209">
        <f>IFERROR(SMALL($P$2:$P$1487,208),"")</f>
        <v/>
      </c>
      <c r="R209">
        <f>IF(Q209="","",IF('CHOP DASHBOARD'!$B$4="Area",INDEX(MASTER_AREAS!$B:$B,Q209+1),INDEX(MASTER_ZONES!$B:$B,Q209+1)))</f>
        <v/>
      </c>
      <c r="U209">
        <f>IF('COMMUNITY CHURCH DASHBOARD'!$B$4="Area",IF(208&lt;=$X$3,IF(AND(OR('COMMUNITY CHURCH DASHBOARD'!$C$4="",ISNUMBER(SEARCH('COMMUNITY CHURCH DASHBOARD'!$C$4,INDEX(MASTER_AREAS!$B:$B,209))))),208,""),""),IF('COMMUNITY CHURCH DASHBOARD'!$B$4="Zone",IF(208&lt;=$X$4,IF(OR('COMMUNITY CHURCH DASHBOARD'!$C$4="",ISNUMBER(SEARCH('COMMUNITY CHURCH DASHBOARD'!$C$4,INDEX(MASTER_ZONES!$B:$B,209)))),208,""),""),""))</f>
        <v/>
      </c>
      <c r="V209">
        <f>IFERROR(SMALL($U$2:$U$1487,208),"")</f>
        <v/>
      </c>
      <c r="W209">
        <f>IF(V209="","",IF('COMMUNITY CHURCH DASHBOARD'!$B$4="Area",INDEX(MASTER_AREAS!$B:$B,V209+1),INDEX(MASTER_ZONES!$B:$B,V209+1)))</f>
        <v/>
      </c>
    </row>
    <row r="210">
      <c r="A210">
        <f>IF('WSF DASHBOARD'!$B$4="Area",IF(209&lt;=$D$3,IF(AND(OR('WSF DASHBOARD'!$C$4="",ISNUMBER(SEARCH('WSF DASHBOARD'!$C$4,INDEX(MASTER_AREAS!$B:$B,210))))),209,""),""),IF('WSF DASHBOARD'!$B$4="Zone",IF(209&lt;=$D$4,IF(OR('WSF DASHBOARD'!$C$4="",ISNUMBER(SEARCH('WSF DASHBOARD'!$C$4,INDEX(MASTER_ZONES!$B:$B,210)))),209,""),""),""))</f>
        <v/>
      </c>
      <c r="B210">
        <f>IFERROR(SMALL($A$2:$A$1487,209),"")</f>
        <v/>
      </c>
      <c r="C210">
        <f>IF(B210="","",IF('WSF DASHBOARD'!$B$4="Area",INDEX(MASTER_AREAS!$B:$B,B210+1),INDEX(MASTER_ZONES!$B:$B,B210+1)))</f>
        <v/>
      </c>
      <c r="F210">
        <f>IF('TRANSPORT DASHBOARD'!$B$4="Area",IF(209&lt;=$I$3,IF(AND(INDEX(MASTER_AREAS!$F:$F,210)&lt;&gt;"N",OR('TRANSPORT DASHBOARD'!$C$4="",ISNUMBER(SEARCH('TRANSPORT DASHBOARD'!$C$4,INDEX(MASTER_AREAS!$B:$B,210))))),209,""),""),IF('TRANSPORT DASHBOARD'!$B$4="Zone",IF(209&lt;=$I$4,IF(OR('TRANSPORT DASHBOARD'!$C$4="",ISNUMBER(SEARCH('TRANSPORT DASHBOARD'!$C$4,INDEX(MASTER_ZONES!$B:$B,210)))),209,""),""),""))</f>
        <v/>
      </c>
      <c r="G210">
        <f>IFERROR(SMALL($F$2:$F$1487,209),"")</f>
        <v/>
      </c>
      <c r="H210">
        <f>IF(G210="","",IF('TRANSPORT DASHBOARD'!$B$4="Area",INDEX(MASTER_AREAS!$B:$B,G210+1),INDEX(MASTER_ZONES!$B:$B,G210+1)))</f>
        <v/>
      </c>
      <c r="K210">
        <f>IF('MIDWEEK DASHBOARD'!$B$4="Area",IF(209&lt;=$N$3,IF(AND(OR('MIDWEEK DASHBOARD'!$C$4="",ISNUMBER(SEARCH('MIDWEEK DASHBOARD'!$C$4,INDEX(MASTER_AREAS!$B:$B,210))))),209,""),""),IF('MIDWEEK DASHBOARD'!$B$4="Zone",IF(209&lt;=$N$4,IF(OR('MIDWEEK DASHBOARD'!$C$4="",ISNUMBER(SEARCH('MIDWEEK DASHBOARD'!$C$4,INDEX(MASTER_ZONES!$B:$B,210)))),209,""),""),""))</f>
        <v/>
      </c>
      <c r="L210">
        <f>IFERROR(SMALL($K$2:$K$1487,209),"")</f>
        <v/>
      </c>
      <c r="M210">
        <f>IF(L210="","",IF('MIDWEEK DASHBOARD'!$B$4="Area",INDEX(MASTER_AREAS!$B:$B,L210+1),INDEX(MASTER_ZONES!$B:$B,L210+1)))</f>
        <v/>
      </c>
      <c r="P210">
        <f>IF('CHOP DASHBOARD'!$B$4="Area",IF(209&lt;=$S$3,IF(AND(OR('CHOP DASHBOARD'!$C$4="",ISNUMBER(SEARCH('CHOP DASHBOARD'!$C$4,INDEX(MASTER_AREAS!$B:$B,210))))),209,""),""),IF('CHOP DASHBOARD'!$B$4="Zone",IF(209&lt;=$S$4,IF(OR('CHOP DASHBOARD'!$C$4="",ISNUMBER(SEARCH('CHOP DASHBOARD'!$C$4,INDEX(MASTER_ZONES!$B:$B,210)))),209,""),""),""))</f>
        <v/>
      </c>
      <c r="Q210">
        <f>IFERROR(SMALL($P$2:$P$1487,209),"")</f>
        <v/>
      </c>
      <c r="R210">
        <f>IF(Q210="","",IF('CHOP DASHBOARD'!$B$4="Area",INDEX(MASTER_AREAS!$B:$B,Q210+1),INDEX(MASTER_ZONES!$B:$B,Q210+1)))</f>
        <v/>
      </c>
      <c r="U210">
        <f>IF('COMMUNITY CHURCH DASHBOARD'!$B$4="Area",IF(209&lt;=$X$3,IF(AND(OR('COMMUNITY CHURCH DASHBOARD'!$C$4="",ISNUMBER(SEARCH('COMMUNITY CHURCH DASHBOARD'!$C$4,INDEX(MASTER_AREAS!$B:$B,210))))),209,""),""),IF('COMMUNITY CHURCH DASHBOARD'!$B$4="Zone",IF(209&lt;=$X$4,IF(OR('COMMUNITY CHURCH DASHBOARD'!$C$4="",ISNUMBER(SEARCH('COMMUNITY CHURCH DASHBOARD'!$C$4,INDEX(MASTER_ZONES!$B:$B,210)))),209,""),""),""))</f>
        <v/>
      </c>
      <c r="V210">
        <f>IFERROR(SMALL($U$2:$U$1487,209),"")</f>
        <v/>
      </c>
      <c r="W210">
        <f>IF(V210="","",IF('COMMUNITY CHURCH DASHBOARD'!$B$4="Area",INDEX(MASTER_AREAS!$B:$B,V210+1),INDEX(MASTER_ZONES!$B:$B,V210+1)))</f>
        <v/>
      </c>
    </row>
    <row r="211">
      <c r="A211">
        <f>IF('WSF DASHBOARD'!$B$4="Area",IF(210&lt;=$D$3,IF(AND(OR('WSF DASHBOARD'!$C$4="",ISNUMBER(SEARCH('WSF DASHBOARD'!$C$4,INDEX(MASTER_AREAS!$B:$B,211))))),210,""),""),IF('WSF DASHBOARD'!$B$4="Zone",IF(210&lt;=$D$4,IF(OR('WSF DASHBOARD'!$C$4="",ISNUMBER(SEARCH('WSF DASHBOARD'!$C$4,INDEX(MASTER_ZONES!$B:$B,211)))),210,""),""),""))</f>
        <v/>
      </c>
      <c r="B211">
        <f>IFERROR(SMALL($A$2:$A$1487,210),"")</f>
        <v/>
      </c>
      <c r="C211">
        <f>IF(B211="","",IF('WSF DASHBOARD'!$B$4="Area",INDEX(MASTER_AREAS!$B:$B,B211+1),INDEX(MASTER_ZONES!$B:$B,B211+1)))</f>
        <v/>
      </c>
      <c r="F211">
        <f>IF('TRANSPORT DASHBOARD'!$B$4="Area",IF(210&lt;=$I$3,IF(AND(INDEX(MASTER_AREAS!$F:$F,211)&lt;&gt;"N",OR('TRANSPORT DASHBOARD'!$C$4="",ISNUMBER(SEARCH('TRANSPORT DASHBOARD'!$C$4,INDEX(MASTER_AREAS!$B:$B,211))))),210,""),""),IF('TRANSPORT DASHBOARD'!$B$4="Zone",IF(210&lt;=$I$4,IF(OR('TRANSPORT DASHBOARD'!$C$4="",ISNUMBER(SEARCH('TRANSPORT DASHBOARD'!$C$4,INDEX(MASTER_ZONES!$B:$B,211)))),210,""),""),""))</f>
        <v/>
      </c>
      <c r="G211">
        <f>IFERROR(SMALL($F$2:$F$1487,210),"")</f>
        <v/>
      </c>
      <c r="H211">
        <f>IF(G211="","",IF('TRANSPORT DASHBOARD'!$B$4="Area",INDEX(MASTER_AREAS!$B:$B,G211+1),INDEX(MASTER_ZONES!$B:$B,G211+1)))</f>
        <v/>
      </c>
      <c r="K211">
        <f>IF('MIDWEEK DASHBOARD'!$B$4="Area",IF(210&lt;=$N$3,IF(AND(OR('MIDWEEK DASHBOARD'!$C$4="",ISNUMBER(SEARCH('MIDWEEK DASHBOARD'!$C$4,INDEX(MASTER_AREAS!$B:$B,211))))),210,""),""),IF('MIDWEEK DASHBOARD'!$B$4="Zone",IF(210&lt;=$N$4,IF(OR('MIDWEEK DASHBOARD'!$C$4="",ISNUMBER(SEARCH('MIDWEEK DASHBOARD'!$C$4,INDEX(MASTER_ZONES!$B:$B,211)))),210,""),""),""))</f>
        <v/>
      </c>
      <c r="L211">
        <f>IFERROR(SMALL($K$2:$K$1487,210),"")</f>
        <v/>
      </c>
      <c r="M211">
        <f>IF(L211="","",IF('MIDWEEK DASHBOARD'!$B$4="Area",INDEX(MASTER_AREAS!$B:$B,L211+1),INDEX(MASTER_ZONES!$B:$B,L211+1)))</f>
        <v/>
      </c>
      <c r="P211">
        <f>IF('CHOP DASHBOARD'!$B$4="Area",IF(210&lt;=$S$3,IF(AND(OR('CHOP DASHBOARD'!$C$4="",ISNUMBER(SEARCH('CHOP DASHBOARD'!$C$4,INDEX(MASTER_AREAS!$B:$B,211))))),210,""),""),IF('CHOP DASHBOARD'!$B$4="Zone",IF(210&lt;=$S$4,IF(OR('CHOP DASHBOARD'!$C$4="",ISNUMBER(SEARCH('CHOP DASHBOARD'!$C$4,INDEX(MASTER_ZONES!$B:$B,211)))),210,""),""),""))</f>
        <v/>
      </c>
      <c r="Q211">
        <f>IFERROR(SMALL($P$2:$P$1487,210),"")</f>
        <v/>
      </c>
      <c r="R211">
        <f>IF(Q211="","",IF('CHOP DASHBOARD'!$B$4="Area",INDEX(MASTER_AREAS!$B:$B,Q211+1),INDEX(MASTER_ZONES!$B:$B,Q211+1)))</f>
        <v/>
      </c>
      <c r="U211">
        <f>IF('COMMUNITY CHURCH DASHBOARD'!$B$4="Area",IF(210&lt;=$X$3,IF(AND(OR('COMMUNITY CHURCH DASHBOARD'!$C$4="",ISNUMBER(SEARCH('COMMUNITY CHURCH DASHBOARD'!$C$4,INDEX(MASTER_AREAS!$B:$B,211))))),210,""),""),IF('COMMUNITY CHURCH DASHBOARD'!$B$4="Zone",IF(210&lt;=$X$4,IF(OR('COMMUNITY CHURCH DASHBOARD'!$C$4="",ISNUMBER(SEARCH('COMMUNITY CHURCH DASHBOARD'!$C$4,INDEX(MASTER_ZONES!$B:$B,211)))),210,""),""),""))</f>
        <v/>
      </c>
      <c r="V211">
        <f>IFERROR(SMALL($U$2:$U$1487,210),"")</f>
        <v/>
      </c>
      <c r="W211">
        <f>IF(V211="","",IF('COMMUNITY CHURCH DASHBOARD'!$B$4="Area",INDEX(MASTER_AREAS!$B:$B,V211+1),INDEX(MASTER_ZONES!$B:$B,V211+1)))</f>
        <v/>
      </c>
    </row>
    <row r="212">
      <c r="A212">
        <f>IF('WSF DASHBOARD'!$B$4="Area",IF(211&lt;=$D$3,IF(AND(OR('WSF DASHBOARD'!$C$4="",ISNUMBER(SEARCH('WSF DASHBOARD'!$C$4,INDEX(MASTER_AREAS!$B:$B,212))))),211,""),""),IF('WSF DASHBOARD'!$B$4="Zone",IF(211&lt;=$D$4,IF(OR('WSF DASHBOARD'!$C$4="",ISNUMBER(SEARCH('WSF DASHBOARD'!$C$4,INDEX(MASTER_ZONES!$B:$B,212)))),211,""),""),""))</f>
        <v/>
      </c>
      <c r="B212">
        <f>IFERROR(SMALL($A$2:$A$1487,211),"")</f>
        <v/>
      </c>
      <c r="C212">
        <f>IF(B212="","",IF('WSF DASHBOARD'!$B$4="Area",INDEX(MASTER_AREAS!$B:$B,B212+1),INDEX(MASTER_ZONES!$B:$B,B212+1)))</f>
        <v/>
      </c>
      <c r="F212">
        <f>IF('TRANSPORT DASHBOARD'!$B$4="Area",IF(211&lt;=$I$3,IF(AND(INDEX(MASTER_AREAS!$F:$F,212)&lt;&gt;"N",OR('TRANSPORT DASHBOARD'!$C$4="",ISNUMBER(SEARCH('TRANSPORT DASHBOARD'!$C$4,INDEX(MASTER_AREAS!$B:$B,212))))),211,""),""),IF('TRANSPORT DASHBOARD'!$B$4="Zone",IF(211&lt;=$I$4,IF(OR('TRANSPORT DASHBOARD'!$C$4="",ISNUMBER(SEARCH('TRANSPORT DASHBOARD'!$C$4,INDEX(MASTER_ZONES!$B:$B,212)))),211,""),""),""))</f>
        <v/>
      </c>
      <c r="G212">
        <f>IFERROR(SMALL($F$2:$F$1487,211),"")</f>
        <v/>
      </c>
      <c r="H212">
        <f>IF(G212="","",IF('TRANSPORT DASHBOARD'!$B$4="Area",INDEX(MASTER_AREAS!$B:$B,G212+1),INDEX(MASTER_ZONES!$B:$B,G212+1)))</f>
        <v/>
      </c>
      <c r="K212">
        <f>IF('MIDWEEK DASHBOARD'!$B$4="Area",IF(211&lt;=$N$3,IF(AND(OR('MIDWEEK DASHBOARD'!$C$4="",ISNUMBER(SEARCH('MIDWEEK DASHBOARD'!$C$4,INDEX(MASTER_AREAS!$B:$B,212))))),211,""),""),IF('MIDWEEK DASHBOARD'!$B$4="Zone",IF(211&lt;=$N$4,IF(OR('MIDWEEK DASHBOARD'!$C$4="",ISNUMBER(SEARCH('MIDWEEK DASHBOARD'!$C$4,INDEX(MASTER_ZONES!$B:$B,212)))),211,""),""),""))</f>
        <v/>
      </c>
      <c r="L212">
        <f>IFERROR(SMALL($K$2:$K$1487,211),"")</f>
        <v/>
      </c>
      <c r="M212">
        <f>IF(L212="","",IF('MIDWEEK DASHBOARD'!$B$4="Area",INDEX(MASTER_AREAS!$B:$B,L212+1),INDEX(MASTER_ZONES!$B:$B,L212+1)))</f>
        <v/>
      </c>
      <c r="P212">
        <f>IF('CHOP DASHBOARD'!$B$4="Area",IF(211&lt;=$S$3,IF(AND(OR('CHOP DASHBOARD'!$C$4="",ISNUMBER(SEARCH('CHOP DASHBOARD'!$C$4,INDEX(MASTER_AREAS!$B:$B,212))))),211,""),""),IF('CHOP DASHBOARD'!$B$4="Zone",IF(211&lt;=$S$4,IF(OR('CHOP DASHBOARD'!$C$4="",ISNUMBER(SEARCH('CHOP DASHBOARD'!$C$4,INDEX(MASTER_ZONES!$B:$B,212)))),211,""),""),""))</f>
        <v/>
      </c>
      <c r="Q212">
        <f>IFERROR(SMALL($P$2:$P$1487,211),"")</f>
        <v/>
      </c>
      <c r="R212">
        <f>IF(Q212="","",IF('CHOP DASHBOARD'!$B$4="Area",INDEX(MASTER_AREAS!$B:$B,Q212+1),INDEX(MASTER_ZONES!$B:$B,Q212+1)))</f>
        <v/>
      </c>
      <c r="U212">
        <f>IF('COMMUNITY CHURCH DASHBOARD'!$B$4="Area",IF(211&lt;=$X$3,IF(AND(OR('COMMUNITY CHURCH DASHBOARD'!$C$4="",ISNUMBER(SEARCH('COMMUNITY CHURCH DASHBOARD'!$C$4,INDEX(MASTER_AREAS!$B:$B,212))))),211,""),""),IF('COMMUNITY CHURCH DASHBOARD'!$B$4="Zone",IF(211&lt;=$X$4,IF(OR('COMMUNITY CHURCH DASHBOARD'!$C$4="",ISNUMBER(SEARCH('COMMUNITY CHURCH DASHBOARD'!$C$4,INDEX(MASTER_ZONES!$B:$B,212)))),211,""),""),""))</f>
        <v/>
      </c>
      <c r="V212">
        <f>IFERROR(SMALL($U$2:$U$1487,211),"")</f>
        <v/>
      </c>
      <c r="W212">
        <f>IF(V212="","",IF('COMMUNITY CHURCH DASHBOARD'!$B$4="Area",INDEX(MASTER_AREAS!$B:$B,V212+1),INDEX(MASTER_ZONES!$B:$B,V212+1)))</f>
        <v/>
      </c>
    </row>
    <row r="213">
      <c r="A213">
        <f>IF('WSF DASHBOARD'!$B$4="Area",IF(212&lt;=$D$3,IF(AND(OR('WSF DASHBOARD'!$C$4="",ISNUMBER(SEARCH('WSF DASHBOARD'!$C$4,INDEX(MASTER_AREAS!$B:$B,213))))),212,""),""),IF('WSF DASHBOARD'!$B$4="Zone",IF(212&lt;=$D$4,IF(OR('WSF DASHBOARD'!$C$4="",ISNUMBER(SEARCH('WSF DASHBOARD'!$C$4,INDEX(MASTER_ZONES!$B:$B,213)))),212,""),""),""))</f>
        <v/>
      </c>
      <c r="B213">
        <f>IFERROR(SMALL($A$2:$A$1487,212),"")</f>
        <v/>
      </c>
      <c r="C213">
        <f>IF(B213="","",IF('WSF DASHBOARD'!$B$4="Area",INDEX(MASTER_AREAS!$B:$B,B213+1),INDEX(MASTER_ZONES!$B:$B,B213+1)))</f>
        <v/>
      </c>
      <c r="F213">
        <f>IF('TRANSPORT DASHBOARD'!$B$4="Area",IF(212&lt;=$I$3,IF(AND(INDEX(MASTER_AREAS!$F:$F,213)&lt;&gt;"N",OR('TRANSPORT DASHBOARD'!$C$4="",ISNUMBER(SEARCH('TRANSPORT DASHBOARD'!$C$4,INDEX(MASTER_AREAS!$B:$B,213))))),212,""),""),IF('TRANSPORT DASHBOARD'!$B$4="Zone",IF(212&lt;=$I$4,IF(OR('TRANSPORT DASHBOARD'!$C$4="",ISNUMBER(SEARCH('TRANSPORT DASHBOARD'!$C$4,INDEX(MASTER_ZONES!$B:$B,213)))),212,""),""),""))</f>
        <v/>
      </c>
      <c r="G213">
        <f>IFERROR(SMALL($F$2:$F$1487,212),"")</f>
        <v/>
      </c>
      <c r="H213">
        <f>IF(G213="","",IF('TRANSPORT DASHBOARD'!$B$4="Area",INDEX(MASTER_AREAS!$B:$B,G213+1),INDEX(MASTER_ZONES!$B:$B,G213+1)))</f>
        <v/>
      </c>
      <c r="K213">
        <f>IF('MIDWEEK DASHBOARD'!$B$4="Area",IF(212&lt;=$N$3,IF(AND(OR('MIDWEEK DASHBOARD'!$C$4="",ISNUMBER(SEARCH('MIDWEEK DASHBOARD'!$C$4,INDEX(MASTER_AREAS!$B:$B,213))))),212,""),""),IF('MIDWEEK DASHBOARD'!$B$4="Zone",IF(212&lt;=$N$4,IF(OR('MIDWEEK DASHBOARD'!$C$4="",ISNUMBER(SEARCH('MIDWEEK DASHBOARD'!$C$4,INDEX(MASTER_ZONES!$B:$B,213)))),212,""),""),""))</f>
        <v/>
      </c>
      <c r="L213">
        <f>IFERROR(SMALL($K$2:$K$1487,212),"")</f>
        <v/>
      </c>
      <c r="M213">
        <f>IF(L213="","",IF('MIDWEEK DASHBOARD'!$B$4="Area",INDEX(MASTER_AREAS!$B:$B,L213+1),INDEX(MASTER_ZONES!$B:$B,L213+1)))</f>
        <v/>
      </c>
      <c r="P213">
        <f>IF('CHOP DASHBOARD'!$B$4="Area",IF(212&lt;=$S$3,IF(AND(OR('CHOP DASHBOARD'!$C$4="",ISNUMBER(SEARCH('CHOP DASHBOARD'!$C$4,INDEX(MASTER_AREAS!$B:$B,213))))),212,""),""),IF('CHOP DASHBOARD'!$B$4="Zone",IF(212&lt;=$S$4,IF(OR('CHOP DASHBOARD'!$C$4="",ISNUMBER(SEARCH('CHOP DASHBOARD'!$C$4,INDEX(MASTER_ZONES!$B:$B,213)))),212,""),""),""))</f>
        <v/>
      </c>
      <c r="Q213">
        <f>IFERROR(SMALL($P$2:$P$1487,212),"")</f>
        <v/>
      </c>
      <c r="R213">
        <f>IF(Q213="","",IF('CHOP DASHBOARD'!$B$4="Area",INDEX(MASTER_AREAS!$B:$B,Q213+1),INDEX(MASTER_ZONES!$B:$B,Q213+1)))</f>
        <v/>
      </c>
      <c r="U213">
        <f>IF('COMMUNITY CHURCH DASHBOARD'!$B$4="Area",IF(212&lt;=$X$3,IF(AND(OR('COMMUNITY CHURCH DASHBOARD'!$C$4="",ISNUMBER(SEARCH('COMMUNITY CHURCH DASHBOARD'!$C$4,INDEX(MASTER_AREAS!$B:$B,213))))),212,""),""),IF('COMMUNITY CHURCH DASHBOARD'!$B$4="Zone",IF(212&lt;=$X$4,IF(OR('COMMUNITY CHURCH DASHBOARD'!$C$4="",ISNUMBER(SEARCH('COMMUNITY CHURCH DASHBOARD'!$C$4,INDEX(MASTER_ZONES!$B:$B,213)))),212,""),""),""))</f>
        <v/>
      </c>
      <c r="V213">
        <f>IFERROR(SMALL($U$2:$U$1487,212),"")</f>
        <v/>
      </c>
      <c r="W213">
        <f>IF(V213="","",IF('COMMUNITY CHURCH DASHBOARD'!$B$4="Area",INDEX(MASTER_AREAS!$B:$B,V213+1),INDEX(MASTER_ZONES!$B:$B,V213+1)))</f>
        <v/>
      </c>
    </row>
    <row r="214">
      <c r="A214">
        <f>IF('WSF DASHBOARD'!$B$4="Area",IF(213&lt;=$D$3,IF(AND(OR('WSF DASHBOARD'!$C$4="",ISNUMBER(SEARCH('WSF DASHBOARD'!$C$4,INDEX(MASTER_AREAS!$B:$B,214))))),213,""),""),IF('WSF DASHBOARD'!$B$4="Zone",IF(213&lt;=$D$4,IF(OR('WSF DASHBOARD'!$C$4="",ISNUMBER(SEARCH('WSF DASHBOARD'!$C$4,INDEX(MASTER_ZONES!$B:$B,214)))),213,""),""),""))</f>
        <v/>
      </c>
      <c r="B214">
        <f>IFERROR(SMALL($A$2:$A$1487,213),"")</f>
        <v/>
      </c>
      <c r="C214">
        <f>IF(B214="","",IF('WSF DASHBOARD'!$B$4="Area",INDEX(MASTER_AREAS!$B:$B,B214+1),INDEX(MASTER_ZONES!$B:$B,B214+1)))</f>
        <v/>
      </c>
      <c r="F214">
        <f>IF('TRANSPORT DASHBOARD'!$B$4="Area",IF(213&lt;=$I$3,IF(AND(INDEX(MASTER_AREAS!$F:$F,214)&lt;&gt;"N",OR('TRANSPORT DASHBOARD'!$C$4="",ISNUMBER(SEARCH('TRANSPORT DASHBOARD'!$C$4,INDEX(MASTER_AREAS!$B:$B,214))))),213,""),""),IF('TRANSPORT DASHBOARD'!$B$4="Zone",IF(213&lt;=$I$4,IF(OR('TRANSPORT DASHBOARD'!$C$4="",ISNUMBER(SEARCH('TRANSPORT DASHBOARD'!$C$4,INDEX(MASTER_ZONES!$B:$B,214)))),213,""),""),""))</f>
        <v/>
      </c>
      <c r="G214">
        <f>IFERROR(SMALL($F$2:$F$1487,213),"")</f>
        <v/>
      </c>
      <c r="H214">
        <f>IF(G214="","",IF('TRANSPORT DASHBOARD'!$B$4="Area",INDEX(MASTER_AREAS!$B:$B,G214+1),INDEX(MASTER_ZONES!$B:$B,G214+1)))</f>
        <v/>
      </c>
      <c r="K214">
        <f>IF('MIDWEEK DASHBOARD'!$B$4="Area",IF(213&lt;=$N$3,IF(AND(OR('MIDWEEK DASHBOARD'!$C$4="",ISNUMBER(SEARCH('MIDWEEK DASHBOARD'!$C$4,INDEX(MASTER_AREAS!$B:$B,214))))),213,""),""),IF('MIDWEEK DASHBOARD'!$B$4="Zone",IF(213&lt;=$N$4,IF(OR('MIDWEEK DASHBOARD'!$C$4="",ISNUMBER(SEARCH('MIDWEEK DASHBOARD'!$C$4,INDEX(MASTER_ZONES!$B:$B,214)))),213,""),""),""))</f>
        <v/>
      </c>
      <c r="L214">
        <f>IFERROR(SMALL($K$2:$K$1487,213),"")</f>
        <v/>
      </c>
      <c r="M214">
        <f>IF(L214="","",IF('MIDWEEK DASHBOARD'!$B$4="Area",INDEX(MASTER_AREAS!$B:$B,L214+1),INDEX(MASTER_ZONES!$B:$B,L214+1)))</f>
        <v/>
      </c>
      <c r="P214">
        <f>IF('CHOP DASHBOARD'!$B$4="Area",IF(213&lt;=$S$3,IF(AND(OR('CHOP DASHBOARD'!$C$4="",ISNUMBER(SEARCH('CHOP DASHBOARD'!$C$4,INDEX(MASTER_AREAS!$B:$B,214))))),213,""),""),IF('CHOP DASHBOARD'!$B$4="Zone",IF(213&lt;=$S$4,IF(OR('CHOP DASHBOARD'!$C$4="",ISNUMBER(SEARCH('CHOP DASHBOARD'!$C$4,INDEX(MASTER_ZONES!$B:$B,214)))),213,""),""),""))</f>
        <v/>
      </c>
      <c r="Q214">
        <f>IFERROR(SMALL($P$2:$P$1487,213),"")</f>
        <v/>
      </c>
      <c r="R214">
        <f>IF(Q214="","",IF('CHOP DASHBOARD'!$B$4="Area",INDEX(MASTER_AREAS!$B:$B,Q214+1),INDEX(MASTER_ZONES!$B:$B,Q214+1)))</f>
        <v/>
      </c>
      <c r="U214">
        <f>IF('COMMUNITY CHURCH DASHBOARD'!$B$4="Area",IF(213&lt;=$X$3,IF(AND(OR('COMMUNITY CHURCH DASHBOARD'!$C$4="",ISNUMBER(SEARCH('COMMUNITY CHURCH DASHBOARD'!$C$4,INDEX(MASTER_AREAS!$B:$B,214))))),213,""),""),IF('COMMUNITY CHURCH DASHBOARD'!$B$4="Zone",IF(213&lt;=$X$4,IF(OR('COMMUNITY CHURCH DASHBOARD'!$C$4="",ISNUMBER(SEARCH('COMMUNITY CHURCH DASHBOARD'!$C$4,INDEX(MASTER_ZONES!$B:$B,214)))),213,""),""),""))</f>
        <v/>
      </c>
      <c r="V214">
        <f>IFERROR(SMALL($U$2:$U$1487,213),"")</f>
        <v/>
      </c>
      <c r="W214">
        <f>IF(V214="","",IF('COMMUNITY CHURCH DASHBOARD'!$B$4="Area",INDEX(MASTER_AREAS!$B:$B,V214+1),INDEX(MASTER_ZONES!$B:$B,V214+1)))</f>
        <v/>
      </c>
    </row>
    <row r="215">
      <c r="A215">
        <f>IF('WSF DASHBOARD'!$B$4="Area",IF(214&lt;=$D$3,IF(AND(OR('WSF DASHBOARD'!$C$4="",ISNUMBER(SEARCH('WSF DASHBOARD'!$C$4,INDEX(MASTER_AREAS!$B:$B,215))))),214,""),""),IF('WSF DASHBOARD'!$B$4="Zone",IF(214&lt;=$D$4,IF(OR('WSF DASHBOARD'!$C$4="",ISNUMBER(SEARCH('WSF DASHBOARD'!$C$4,INDEX(MASTER_ZONES!$B:$B,215)))),214,""),""),""))</f>
        <v/>
      </c>
      <c r="B215">
        <f>IFERROR(SMALL($A$2:$A$1487,214),"")</f>
        <v/>
      </c>
      <c r="C215">
        <f>IF(B215="","",IF('WSF DASHBOARD'!$B$4="Area",INDEX(MASTER_AREAS!$B:$B,B215+1),INDEX(MASTER_ZONES!$B:$B,B215+1)))</f>
        <v/>
      </c>
      <c r="F215">
        <f>IF('TRANSPORT DASHBOARD'!$B$4="Area",IF(214&lt;=$I$3,IF(AND(INDEX(MASTER_AREAS!$F:$F,215)&lt;&gt;"N",OR('TRANSPORT DASHBOARD'!$C$4="",ISNUMBER(SEARCH('TRANSPORT DASHBOARD'!$C$4,INDEX(MASTER_AREAS!$B:$B,215))))),214,""),""),IF('TRANSPORT DASHBOARD'!$B$4="Zone",IF(214&lt;=$I$4,IF(OR('TRANSPORT DASHBOARD'!$C$4="",ISNUMBER(SEARCH('TRANSPORT DASHBOARD'!$C$4,INDEX(MASTER_ZONES!$B:$B,215)))),214,""),""),""))</f>
        <v/>
      </c>
      <c r="G215">
        <f>IFERROR(SMALL($F$2:$F$1487,214),"")</f>
        <v/>
      </c>
      <c r="H215">
        <f>IF(G215="","",IF('TRANSPORT DASHBOARD'!$B$4="Area",INDEX(MASTER_AREAS!$B:$B,G215+1),INDEX(MASTER_ZONES!$B:$B,G215+1)))</f>
        <v/>
      </c>
      <c r="K215">
        <f>IF('MIDWEEK DASHBOARD'!$B$4="Area",IF(214&lt;=$N$3,IF(AND(OR('MIDWEEK DASHBOARD'!$C$4="",ISNUMBER(SEARCH('MIDWEEK DASHBOARD'!$C$4,INDEX(MASTER_AREAS!$B:$B,215))))),214,""),""),IF('MIDWEEK DASHBOARD'!$B$4="Zone",IF(214&lt;=$N$4,IF(OR('MIDWEEK DASHBOARD'!$C$4="",ISNUMBER(SEARCH('MIDWEEK DASHBOARD'!$C$4,INDEX(MASTER_ZONES!$B:$B,215)))),214,""),""),""))</f>
        <v/>
      </c>
      <c r="L215">
        <f>IFERROR(SMALL($K$2:$K$1487,214),"")</f>
        <v/>
      </c>
      <c r="M215">
        <f>IF(L215="","",IF('MIDWEEK DASHBOARD'!$B$4="Area",INDEX(MASTER_AREAS!$B:$B,L215+1),INDEX(MASTER_ZONES!$B:$B,L215+1)))</f>
        <v/>
      </c>
      <c r="P215">
        <f>IF('CHOP DASHBOARD'!$B$4="Area",IF(214&lt;=$S$3,IF(AND(OR('CHOP DASHBOARD'!$C$4="",ISNUMBER(SEARCH('CHOP DASHBOARD'!$C$4,INDEX(MASTER_AREAS!$B:$B,215))))),214,""),""),IF('CHOP DASHBOARD'!$B$4="Zone",IF(214&lt;=$S$4,IF(OR('CHOP DASHBOARD'!$C$4="",ISNUMBER(SEARCH('CHOP DASHBOARD'!$C$4,INDEX(MASTER_ZONES!$B:$B,215)))),214,""),""),""))</f>
        <v/>
      </c>
      <c r="Q215">
        <f>IFERROR(SMALL($P$2:$P$1487,214),"")</f>
        <v/>
      </c>
      <c r="R215">
        <f>IF(Q215="","",IF('CHOP DASHBOARD'!$B$4="Area",INDEX(MASTER_AREAS!$B:$B,Q215+1),INDEX(MASTER_ZONES!$B:$B,Q215+1)))</f>
        <v/>
      </c>
      <c r="U215">
        <f>IF('COMMUNITY CHURCH DASHBOARD'!$B$4="Area",IF(214&lt;=$X$3,IF(AND(OR('COMMUNITY CHURCH DASHBOARD'!$C$4="",ISNUMBER(SEARCH('COMMUNITY CHURCH DASHBOARD'!$C$4,INDEX(MASTER_AREAS!$B:$B,215))))),214,""),""),IF('COMMUNITY CHURCH DASHBOARD'!$B$4="Zone",IF(214&lt;=$X$4,IF(OR('COMMUNITY CHURCH DASHBOARD'!$C$4="",ISNUMBER(SEARCH('COMMUNITY CHURCH DASHBOARD'!$C$4,INDEX(MASTER_ZONES!$B:$B,215)))),214,""),""),""))</f>
        <v/>
      </c>
      <c r="V215">
        <f>IFERROR(SMALL($U$2:$U$1487,214),"")</f>
        <v/>
      </c>
      <c r="W215">
        <f>IF(V215="","",IF('COMMUNITY CHURCH DASHBOARD'!$B$4="Area",INDEX(MASTER_AREAS!$B:$B,V215+1),INDEX(MASTER_ZONES!$B:$B,V215+1)))</f>
        <v/>
      </c>
    </row>
    <row r="216">
      <c r="A216">
        <f>IF('WSF DASHBOARD'!$B$4="Area",IF(215&lt;=$D$3,IF(AND(OR('WSF DASHBOARD'!$C$4="",ISNUMBER(SEARCH('WSF DASHBOARD'!$C$4,INDEX(MASTER_AREAS!$B:$B,216))))),215,""),""),IF('WSF DASHBOARD'!$B$4="Zone",IF(215&lt;=$D$4,IF(OR('WSF DASHBOARD'!$C$4="",ISNUMBER(SEARCH('WSF DASHBOARD'!$C$4,INDEX(MASTER_ZONES!$B:$B,216)))),215,""),""),""))</f>
        <v/>
      </c>
      <c r="B216">
        <f>IFERROR(SMALL($A$2:$A$1487,215),"")</f>
        <v/>
      </c>
      <c r="C216">
        <f>IF(B216="","",IF('WSF DASHBOARD'!$B$4="Area",INDEX(MASTER_AREAS!$B:$B,B216+1),INDEX(MASTER_ZONES!$B:$B,B216+1)))</f>
        <v/>
      </c>
      <c r="F216">
        <f>IF('TRANSPORT DASHBOARD'!$B$4="Area",IF(215&lt;=$I$3,IF(AND(INDEX(MASTER_AREAS!$F:$F,216)&lt;&gt;"N",OR('TRANSPORT DASHBOARD'!$C$4="",ISNUMBER(SEARCH('TRANSPORT DASHBOARD'!$C$4,INDEX(MASTER_AREAS!$B:$B,216))))),215,""),""),IF('TRANSPORT DASHBOARD'!$B$4="Zone",IF(215&lt;=$I$4,IF(OR('TRANSPORT DASHBOARD'!$C$4="",ISNUMBER(SEARCH('TRANSPORT DASHBOARD'!$C$4,INDEX(MASTER_ZONES!$B:$B,216)))),215,""),""),""))</f>
        <v/>
      </c>
      <c r="G216">
        <f>IFERROR(SMALL($F$2:$F$1487,215),"")</f>
        <v/>
      </c>
      <c r="H216">
        <f>IF(G216="","",IF('TRANSPORT DASHBOARD'!$B$4="Area",INDEX(MASTER_AREAS!$B:$B,G216+1),INDEX(MASTER_ZONES!$B:$B,G216+1)))</f>
        <v/>
      </c>
      <c r="K216">
        <f>IF('MIDWEEK DASHBOARD'!$B$4="Area",IF(215&lt;=$N$3,IF(AND(OR('MIDWEEK DASHBOARD'!$C$4="",ISNUMBER(SEARCH('MIDWEEK DASHBOARD'!$C$4,INDEX(MASTER_AREAS!$B:$B,216))))),215,""),""),IF('MIDWEEK DASHBOARD'!$B$4="Zone",IF(215&lt;=$N$4,IF(OR('MIDWEEK DASHBOARD'!$C$4="",ISNUMBER(SEARCH('MIDWEEK DASHBOARD'!$C$4,INDEX(MASTER_ZONES!$B:$B,216)))),215,""),""),""))</f>
        <v/>
      </c>
      <c r="L216">
        <f>IFERROR(SMALL($K$2:$K$1487,215),"")</f>
        <v/>
      </c>
      <c r="M216">
        <f>IF(L216="","",IF('MIDWEEK DASHBOARD'!$B$4="Area",INDEX(MASTER_AREAS!$B:$B,L216+1),INDEX(MASTER_ZONES!$B:$B,L216+1)))</f>
        <v/>
      </c>
      <c r="P216">
        <f>IF('CHOP DASHBOARD'!$B$4="Area",IF(215&lt;=$S$3,IF(AND(OR('CHOP DASHBOARD'!$C$4="",ISNUMBER(SEARCH('CHOP DASHBOARD'!$C$4,INDEX(MASTER_AREAS!$B:$B,216))))),215,""),""),IF('CHOP DASHBOARD'!$B$4="Zone",IF(215&lt;=$S$4,IF(OR('CHOP DASHBOARD'!$C$4="",ISNUMBER(SEARCH('CHOP DASHBOARD'!$C$4,INDEX(MASTER_ZONES!$B:$B,216)))),215,""),""),""))</f>
        <v/>
      </c>
      <c r="Q216">
        <f>IFERROR(SMALL($P$2:$P$1487,215),"")</f>
        <v/>
      </c>
      <c r="R216">
        <f>IF(Q216="","",IF('CHOP DASHBOARD'!$B$4="Area",INDEX(MASTER_AREAS!$B:$B,Q216+1),INDEX(MASTER_ZONES!$B:$B,Q216+1)))</f>
        <v/>
      </c>
      <c r="U216">
        <f>IF('COMMUNITY CHURCH DASHBOARD'!$B$4="Area",IF(215&lt;=$X$3,IF(AND(OR('COMMUNITY CHURCH DASHBOARD'!$C$4="",ISNUMBER(SEARCH('COMMUNITY CHURCH DASHBOARD'!$C$4,INDEX(MASTER_AREAS!$B:$B,216))))),215,""),""),IF('COMMUNITY CHURCH DASHBOARD'!$B$4="Zone",IF(215&lt;=$X$4,IF(OR('COMMUNITY CHURCH DASHBOARD'!$C$4="",ISNUMBER(SEARCH('COMMUNITY CHURCH DASHBOARD'!$C$4,INDEX(MASTER_ZONES!$B:$B,216)))),215,""),""),""))</f>
        <v/>
      </c>
      <c r="V216">
        <f>IFERROR(SMALL($U$2:$U$1487,215),"")</f>
        <v/>
      </c>
      <c r="W216">
        <f>IF(V216="","",IF('COMMUNITY CHURCH DASHBOARD'!$B$4="Area",INDEX(MASTER_AREAS!$B:$B,V216+1),INDEX(MASTER_ZONES!$B:$B,V216+1)))</f>
        <v/>
      </c>
    </row>
    <row r="217">
      <c r="A217">
        <f>IF('WSF DASHBOARD'!$B$4="Area",IF(216&lt;=$D$3,IF(AND(OR('WSF DASHBOARD'!$C$4="",ISNUMBER(SEARCH('WSF DASHBOARD'!$C$4,INDEX(MASTER_AREAS!$B:$B,217))))),216,""),""),IF('WSF DASHBOARD'!$B$4="Zone",IF(216&lt;=$D$4,IF(OR('WSF DASHBOARD'!$C$4="",ISNUMBER(SEARCH('WSF DASHBOARD'!$C$4,INDEX(MASTER_ZONES!$B:$B,217)))),216,""),""),""))</f>
        <v/>
      </c>
      <c r="B217">
        <f>IFERROR(SMALL($A$2:$A$1487,216),"")</f>
        <v/>
      </c>
      <c r="C217">
        <f>IF(B217="","",IF('WSF DASHBOARD'!$B$4="Area",INDEX(MASTER_AREAS!$B:$B,B217+1),INDEX(MASTER_ZONES!$B:$B,B217+1)))</f>
        <v/>
      </c>
      <c r="F217">
        <f>IF('TRANSPORT DASHBOARD'!$B$4="Area",IF(216&lt;=$I$3,IF(AND(INDEX(MASTER_AREAS!$F:$F,217)&lt;&gt;"N",OR('TRANSPORT DASHBOARD'!$C$4="",ISNUMBER(SEARCH('TRANSPORT DASHBOARD'!$C$4,INDEX(MASTER_AREAS!$B:$B,217))))),216,""),""),IF('TRANSPORT DASHBOARD'!$B$4="Zone",IF(216&lt;=$I$4,IF(OR('TRANSPORT DASHBOARD'!$C$4="",ISNUMBER(SEARCH('TRANSPORT DASHBOARD'!$C$4,INDEX(MASTER_ZONES!$B:$B,217)))),216,""),""),""))</f>
        <v/>
      </c>
      <c r="G217">
        <f>IFERROR(SMALL($F$2:$F$1487,216),"")</f>
        <v/>
      </c>
      <c r="H217">
        <f>IF(G217="","",IF('TRANSPORT DASHBOARD'!$B$4="Area",INDEX(MASTER_AREAS!$B:$B,G217+1),INDEX(MASTER_ZONES!$B:$B,G217+1)))</f>
        <v/>
      </c>
      <c r="K217">
        <f>IF('MIDWEEK DASHBOARD'!$B$4="Area",IF(216&lt;=$N$3,IF(AND(OR('MIDWEEK DASHBOARD'!$C$4="",ISNUMBER(SEARCH('MIDWEEK DASHBOARD'!$C$4,INDEX(MASTER_AREAS!$B:$B,217))))),216,""),""),IF('MIDWEEK DASHBOARD'!$B$4="Zone",IF(216&lt;=$N$4,IF(OR('MIDWEEK DASHBOARD'!$C$4="",ISNUMBER(SEARCH('MIDWEEK DASHBOARD'!$C$4,INDEX(MASTER_ZONES!$B:$B,217)))),216,""),""),""))</f>
        <v/>
      </c>
      <c r="L217">
        <f>IFERROR(SMALL($K$2:$K$1487,216),"")</f>
        <v/>
      </c>
      <c r="M217">
        <f>IF(L217="","",IF('MIDWEEK DASHBOARD'!$B$4="Area",INDEX(MASTER_AREAS!$B:$B,L217+1),INDEX(MASTER_ZONES!$B:$B,L217+1)))</f>
        <v/>
      </c>
      <c r="P217">
        <f>IF('CHOP DASHBOARD'!$B$4="Area",IF(216&lt;=$S$3,IF(AND(OR('CHOP DASHBOARD'!$C$4="",ISNUMBER(SEARCH('CHOP DASHBOARD'!$C$4,INDEX(MASTER_AREAS!$B:$B,217))))),216,""),""),IF('CHOP DASHBOARD'!$B$4="Zone",IF(216&lt;=$S$4,IF(OR('CHOP DASHBOARD'!$C$4="",ISNUMBER(SEARCH('CHOP DASHBOARD'!$C$4,INDEX(MASTER_ZONES!$B:$B,217)))),216,""),""),""))</f>
        <v/>
      </c>
      <c r="Q217">
        <f>IFERROR(SMALL($P$2:$P$1487,216),"")</f>
        <v/>
      </c>
      <c r="R217">
        <f>IF(Q217="","",IF('CHOP DASHBOARD'!$B$4="Area",INDEX(MASTER_AREAS!$B:$B,Q217+1),INDEX(MASTER_ZONES!$B:$B,Q217+1)))</f>
        <v/>
      </c>
      <c r="U217">
        <f>IF('COMMUNITY CHURCH DASHBOARD'!$B$4="Area",IF(216&lt;=$X$3,IF(AND(OR('COMMUNITY CHURCH DASHBOARD'!$C$4="",ISNUMBER(SEARCH('COMMUNITY CHURCH DASHBOARD'!$C$4,INDEX(MASTER_AREAS!$B:$B,217))))),216,""),""),IF('COMMUNITY CHURCH DASHBOARD'!$B$4="Zone",IF(216&lt;=$X$4,IF(OR('COMMUNITY CHURCH DASHBOARD'!$C$4="",ISNUMBER(SEARCH('COMMUNITY CHURCH DASHBOARD'!$C$4,INDEX(MASTER_ZONES!$B:$B,217)))),216,""),""),""))</f>
        <v/>
      </c>
      <c r="V217">
        <f>IFERROR(SMALL($U$2:$U$1487,216),"")</f>
        <v/>
      </c>
      <c r="W217">
        <f>IF(V217="","",IF('COMMUNITY CHURCH DASHBOARD'!$B$4="Area",INDEX(MASTER_AREAS!$B:$B,V217+1),INDEX(MASTER_ZONES!$B:$B,V217+1)))</f>
        <v/>
      </c>
    </row>
    <row r="218">
      <c r="A218">
        <f>IF('WSF DASHBOARD'!$B$4="Area",IF(217&lt;=$D$3,IF(AND(OR('WSF DASHBOARD'!$C$4="",ISNUMBER(SEARCH('WSF DASHBOARD'!$C$4,INDEX(MASTER_AREAS!$B:$B,218))))),217,""),""),IF('WSF DASHBOARD'!$B$4="Zone",IF(217&lt;=$D$4,IF(OR('WSF DASHBOARD'!$C$4="",ISNUMBER(SEARCH('WSF DASHBOARD'!$C$4,INDEX(MASTER_ZONES!$B:$B,218)))),217,""),""),""))</f>
        <v/>
      </c>
      <c r="B218">
        <f>IFERROR(SMALL($A$2:$A$1487,217),"")</f>
        <v/>
      </c>
      <c r="C218">
        <f>IF(B218="","",IF('WSF DASHBOARD'!$B$4="Area",INDEX(MASTER_AREAS!$B:$B,B218+1),INDEX(MASTER_ZONES!$B:$B,B218+1)))</f>
        <v/>
      </c>
      <c r="F218">
        <f>IF('TRANSPORT DASHBOARD'!$B$4="Area",IF(217&lt;=$I$3,IF(AND(INDEX(MASTER_AREAS!$F:$F,218)&lt;&gt;"N",OR('TRANSPORT DASHBOARD'!$C$4="",ISNUMBER(SEARCH('TRANSPORT DASHBOARD'!$C$4,INDEX(MASTER_AREAS!$B:$B,218))))),217,""),""),IF('TRANSPORT DASHBOARD'!$B$4="Zone",IF(217&lt;=$I$4,IF(OR('TRANSPORT DASHBOARD'!$C$4="",ISNUMBER(SEARCH('TRANSPORT DASHBOARD'!$C$4,INDEX(MASTER_ZONES!$B:$B,218)))),217,""),""),""))</f>
        <v/>
      </c>
      <c r="G218">
        <f>IFERROR(SMALL($F$2:$F$1487,217),"")</f>
        <v/>
      </c>
      <c r="H218">
        <f>IF(G218="","",IF('TRANSPORT DASHBOARD'!$B$4="Area",INDEX(MASTER_AREAS!$B:$B,G218+1),INDEX(MASTER_ZONES!$B:$B,G218+1)))</f>
        <v/>
      </c>
      <c r="K218">
        <f>IF('MIDWEEK DASHBOARD'!$B$4="Area",IF(217&lt;=$N$3,IF(AND(OR('MIDWEEK DASHBOARD'!$C$4="",ISNUMBER(SEARCH('MIDWEEK DASHBOARD'!$C$4,INDEX(MASTER_AREAS!$B:$B,218))))),217,""),""),IF('MIDWEEK DASHBOARD'!$B$4="Zone",IF(217&lt;=$N$4,IF(OR('MIDWEEK DASHBOARD'!$C$4="",ISNUMBER(SEARCH('MIDWEEK DASHBOARD'!$C$4,INDEX(MASTER_ZONES!$B:$B,218)))),217,""),""),""))</f>
        <v/>
      </c>
      <c r="L218">
        <f>IFERROR(SMALL($K$2:$K$1487,217),"")</f>
        <v/>
      </c>
      <c r="M218">
        <f>IF(L218="","",IF('MIDWEEK DASHBOARD'!$B$4="Area",INDEX(MASTER_AREAS!$B:$B,L218+1),INDEX(MASTER_ZONES!$B:$B,L218+1)))</f>
        <v/>
      </c>
      <c r="P218">
        <f>IF('CHOP DASHBOARD'!$B$4="Area",IF(217&lt;=$S$3,IF(AND(OR('CHOP DASHBOARD'!$C$4="",ISNUMBER(SEARCH('CHOP DASHBOARD'!$C$4,INDEX(MASTER_AREAS!$B:$B,218))))),217,""),""),IF('CHOP DASHBOARD'!$B$4="Zone",IF(217&lt;=$S$4,IF(OR('CHOP DASHBOARD'!$C$4="",ISNUMBER(SEARCH('CHOP DASHBOARD'!$C$4,INDEX(MASTER_ZONES!$B:$B,218)))),217,""),""),""))</f>
        <v/>
      </c>
      <c r="Q218">
        <f>IFERROR(SMALL($P$2:$P$1487,217),"")</f>
        <v/>
      </c>
      <c r="R218">
        <f>IF(Q218="","",IF('CHOP DASHBOARD'!$B$4="Area",INDEX(MASTER_AREAS!$B:$B,Q218+1),INDEX(MASTER_ZONES!$B:$B,Q218+1)))</f>
        <v/>
      </c>
      <c r="U218">
        <f>IF('COMMUNITY CHURCH DASHBOARD'!$B$4="Area",IF(217&lt;=$X$3,IF(AND(OR('COMMUNITY CHURCH DASHBOARD'!$C$4="",ISNUMBER(SEARCH('COMMUNITY CHURCH DASHBOARD'!$C$4,INDEX(MASTER_AREAS!$B:$B,218))))),217,""),""),IF('COMMUNITY CHURCH DASHBOARD'!$B$4="Zone",IF(217&lt;=$X$4,IF(OR('COMMUNITY CHURCH DASHBOARD'!$C$4="",ISNUMBER(SEARCH('COMMUNITY CHURCH DASHBOARD'!$C$4,INDEX(MASTER_ZONES!$B:$B,218)))),217,""),""),""))</f>
        <v/>
      </c>
      <c r="V218">
        <f>IFERROR(SMALL($U$2:$U$1487,217),"")</f>
        <v/>
      </c>
      <c r="W218">
        <f>IF(V218="","",IF('COMMUNITY CHURCH DASHBOARD'!$B$4="Area",INDEX(MASTER_AREAS!$B:$B,V218+1),INDEX(MASTER_ZONES!$B:$B,V218+1)))</f>
        <v/>
      </c>
    </row>
    <row r="219">
      <c r="A219">
        <f>IF('WSF DASHBOARD'!$B$4="Area",IF(218&lt;=$D$3,IF(AND(OR('WSF DASHBOARD'!$C$4="",ISNUMBER(SEARCH('WSF DASHBOARD'!$C$4,INDEX(MASTER_AREAS!$B:$B,219))))),218,""),""),IF('WSF DASHBOARD'!$B$4="Zone",IF(218&lt;=$D$4,IF(OR('WSF DASHBOARD'!$C$4="",ISNUMBER(SEARCH('WSF DASHBOARD'!$C$4,INDEX(MASTER_ZONES!$B:$B,219)))),218,""),""),""))</f>
        <v/>
      </c>
      <c r="B219">
        <f>IFERROR(SMALL($A$2:$A$1487,218),"")</f>
        <v/>
      </c>
      <c r="C219">
        <f>IF(B219="","",IF('WSF DASHBOARD'!$B$4="Area",INDEX(MASTER_AREAS!$B:$B,B219+1),INDEX(MASTER_ZONES!$B:$B,B219+1)))</f>
        <v/>
      </c>
      <c r="F219">
        <f>IF('TRANSPORT DASHBOARD'!$B$4="Area",IF(218&lt;=$I$3,IF(AND(INDEX(MASTER_AREAS!$F:$F,219)&lt;&gt;"N",OR('TRANSPORT DASHBOARD'!$C$4="",ISNUMBER(SEARCH('TRANSPORT DASHBOARD'!$C$4,INDEX(MASTER_AREAS!$B:$B,219))))),218,""),""),IF('TRANSPORT DASHBOARD'!$B$4="Zone",IF(218&lt;=$I$4,IF(OR('TRANSPORT DASHBOARD'!$C$4="",ISNUMBER(SEARCH('TRANSPORT DASHBOARD'!$C$4,INDEX(MASTER_ZONES!$B:$B,219)))),218,""),""),""))</f>
        <v/>
      </c>
      <c r="G219">
        <f>IFERROR(SMALL($F$2:$F$1487,218),"")</f>
        <v/>
      </c>
      <c r="H219">
        <f>IF(G219="","",IF('TRANSPORT DASHBOARD'!$B$4="Area",INDEX(MASTER_AREAS!$B:$B,G219+1),INDEX(MASTER_ZONES!$B:$B,G219+1)))</f>
        <v/>
      </c>
      <c r="K219">
        <f>IF('MIDWEEK DASHBOARD'!$B$4="Area",IF(218&lt;=$N$3,IF(AND(OR('MIDWEEK DASHBOARD'!$C$4="",ISNUMBER(SEARCH('MIDWEEK DASHBOARD'!$C$4,INDEX(MASTER_AREAS!$B:$B,219))))),218,""),""),IF('MIDWEEK DASHBOARD'!$B$4="Zone",IF(218&lt;=$N$4,IF(OR('MIDWEEK DASHBOARD'!$C$4="",ISNUMBER(SEARCH('MIDWEEK DASHBOARD'!$C$4,INDEX(MASTER_ZONES!$B:$B,219)))),218,""),""),""))</f>
        <v/>
      </c>
      <c r="L219">
        <f>IFERROR(SMALL($K$2:$K$1487,218),"")</f>
        <v/>
      </c>
      <c r="M219">
        <f>IF(L219="","",IF('MIDWEEK DASHBOARD'!$B$4="Area",INDEX(MASTER_AREAS!$B:$B,L219+1),INDEX(MASTER_ZONES!$B:$B,L219+1)))</f>
        <v/>
      </c>
      <c r="P219">
        <f>IF('CHOP DASHBOARD'!$B$4="Area",IF(218&lt;=$S$3,IF(AND(OR('CHOP DASHBOARD'!$C$4="",ISNUMBER(SEARCH('CHOP DASHBOARD'!$C$4,INDEX(MASTER_AREAS!$B:$B,219))))),218,""),""),IF('CHOP DASHBOARD'!$B$4="Zone",IF(218&lt;=$S$4,IF(OR('CHOP DASHBOARD'!$C$4="",ISNUMBER(SEARCH('CHOP DASHBOARD'!$C$4,INDEX(MASTER_ZONES!$B:$B,219)))),218,""),""),""))</f>
        <v/>
      </c>
      <c r="Q219">
        <f>IFERROR(SMALL($P$2:$P$1487,218),"")</f>
        <v/>
      </c>
      <c r="R219">
        <f>IF(Q219="","",IF('CHOP DASHBOARD'!$B$4="Area",INDEX(MASTER_AREAS!$B:$B,Q219+1),INDEX(MASTER_ZONES!$B:$B,Q219+1)))</f>
        <v/>
      </c>
      <c r="U219">
        <f>IF('COMMUNITY CHURCH DASHBOARD'!$B$4="Area",IF(218&lt;=$X$3,IF(AND(OR('COMMUNITY CHURCH DASHBOARD'!$C$4="",ISNUMBER(SEARCH('COMMUNITY CHURCH DASHBOARD'!$C$4,INDEX(MASTER_AREAS!$B:$B,219))))),218,""),""),IF('COMMUNITY CHURCH DASHBOARD'!$B$4="Zone",IF(218&lt;=$X$4,IF(OR('COMMUNITY CHURCH DASHBOARD'!$C$4="",ISNUMBER(SEARCH('COMMUNITY CHURCH DASHBOARD'!$C$4,INDEX(MASTER_ZONES!$B:$B,219)))),218,""),""),""))</f>
        <v/>
      </c>
      <c r="V219">
        <f>IFERROR(SMALL($U$2:$U$1487,218),"")</f>
        <v/>
      </c>
      <c r="W219">
        <f>IF(V219="","",IF('COMMUNITY CHURCH DASHBOARD'!$B$4="Area",INDEX(MASTER_AREAS!$B:$B,V219+1),INDEX(MASTER_ZONES!$B:$B,V219+1)))</f>
        <v/>
      </c>
    </row>
    <row r="220">
      <c r="A220">
        <f>IF('WSF DASHBOARD'!$B$4="Area",IF(219&lt;=$D$3,IF(AND(OR('WSF DASHBOARD'!$C$4="",ISNUMBER(SEARCH('WSF DASHBOARD'!$C$4,INDEX(MASTER_AREAS!$B:$B,220))))),219,""),""),IF('WSF DASHBOARD'!$B$4="Zone",IF(219&lt;=$D$4,IF(OR('WSF DASHBOARD'!$C$4="",ISNUMBER(SEARCH('WSF DASHBOARD'!$C$4,INDEX(MASTER_ZONES!$B:$B,220)))),219,""),""),""))</f>
        <v/>
      </c>
      <c r="B220">
        <f>IFERROR(SMALL($A$2:$A$1487,219),"")</f>
        <v/>
      </c>
      <c r="C220">
        <f>IF(B220="","",IF('WSF DASHBOARD'!$B$4="Area",INDEX(MASTER_AREAS!$B:$B,B220+1),INDEX(MASTER_ZONES!$B:$B,B220+1)))</f>
        <v/>
      </c>
      <c r="F220">
        <f>IF('TRANSPORT DASHBOARD'!$B$4="Area",IF(219&lt;=$I$3,IF(AND(INDEX(MASTER_AREAS!$F:$F,220)&lt;&gt;"N",OR('TRANSPORT DASHBOARD'!$C$4="",ISNUMBER(SEARCH('TRANSPORT DASHBOARD'!$C$4,INDEX(MASTER_AREAS!$B:$B,220))))),219,""),""),IF('TRANSPORT DASHBOARD'!$B$4="Zone",IF(219&lt;=$I$4,IF(OR('TRANSPORT DASHBOARD'!$C$4="",ISNUMBER(SEARCH('TRANSPORT DASHBOARD'!$C$4,INDEX(MASTER_ZONES!$B:$B,220)))),219,""),""),""))</f>
        <v/>
      </c>
      <c r="G220">
        <f>IFERROR(SMALL($F$2:$F$1487,219),"")</f>
        <v/>
      </c>
      <c r="H220">
        <f>IF(G220="","",IF('TRANSPORT DASHBOARD'!$B$4="Area",INDEX(MASTER_AREAS!$B:$B,G220+1),INDEX(MASTER_ZONES!$B:$B,G220+1)))</f>
        <v/>
      </c>
      <c r="K220">
        <f>IF('MIDWEEK DASHBOARD'!$B$4="Area",IF(219&lt;=$N$3,IF(AND(OR('MIDWEEK DASHBOARD'!$C$4="",ISNUMBER(SEARCH('MIDWEEK DASHBOARD'!$C$4,INDEX(MASTER_AREAS!$B:$B,220))))),219,""),""),IF('MIDWEEK DASHBOARD'!$B$4="Zone",IF(219&lt;=$N$4,IF(OR('MIDWEEK DASHBOARD'!$C$4="",ISNUMBER(SEARCH('MIDWEEK DASHBOARD'!$C$4,INDEX(MASTER_ZONES!$B:$B,220)))),219,""),""),""))</f>
        <v/>
      </c>
      <c r="L220">
        <f>IFERROR(SMALL($K$2:$K$1487,219),"")</f>
        <v/>
      </c>
      <c r="M220">
        <f>IF(L220="","",IF('MIDWEEK DASHBOARD'!$B$4="Area",INDEX(MASTER_AREAS!$B:$B,L220+1),INDEX(MASTER_ZONES!$B:$B,L220+1)))</f>
        <v/>
      </c>
      <c r="P220">
        <f>IF('CHOP DASHBOARD'!$B$4="Area",IF(219&lt;=$S$3,IF(AND(OR('CHOP DASHBOARD'!$C$4="",ISNUMBER(SEARCH('CHOP DASHBOARD'!$C$4,INDEX(MASTER_AREAS!$B:$B,220))))),219,""),""),IF('CHOP DASHBOARD'!$B$4="Zone",IF(219&lt;=$S$4,IF(OR('CHOP DASHBOARD'!$C$4="",ISNUMBER(SEARCH('CHOP DASHBOARD'!$C$4,INDEX(MASTER_ZONES!$B:$B,220)))),219,""),""),""))</f>
        <v/>
      </c>
      <c r="Q220">
        <f>IFERROR(SMALL($P$2:$P$1487,219),"")</f>
        <v/>
      </c>
      <c r="R220">
        <f>IF(Q220="","",IF('CHOP DASHBOARD'!$B$4="Area",INDEX(MASTER_AREAS!$B:$B,Q220+1),INDEX(MASTER_ZONES!$B:$B,Q220+1)))</f>
        <v/>
      </c>
      <c r="U220">
        <f>IF('COMMUNITY CHURCH DASHBOARD'!$B$4="Area",IF(219&lt;=$X$3,IF(AND(OR('COMMUNITY CHURCH DASHBOARD'!$C$4="",ISNUMBER(SEARCH('COMMUNITY CHURCH DASHBOARD'!$C$4,INDEX(MASTER_AREAS!$B:$B,220))))),219,""),""),IF('COMMUNITY CHURCH DASHBOARD'!$B$4="Zone",IF(219&lt;=$X$4,IF(OR('COMMUNITY CHURCH DASHBOARD'!$C$4="",ISNUMBER(SEARCH('COMMUNITY CHURCH DASHBOARD'!$C$4,INDEX(MASTER_ZONES!$B:$B,220)))),219,""),""),""))</f>
        <v/>
      </c>
      <c r="V220">
        <f>IFERROR(SMALL($U$2:$U$1487,219),"")</f>
        <v/>
      </c>
      <c r="W220">
        <f>IF(V220="","",IF('COMMUNITY CHURCH DASHBOARD'!$B$4="Area",INDEX(MASTER_AREAS!$B:$B,V220+1),INDEX(MASTER_ZONES!$B:$B,V220+1)))</f>
        <v/>
      </c>
    </row>
    <row r="221">
      <c r="A221">
        <f>IF('WSF DASHBOARD'!$B$4="Area",IF(220&lt;=$D$3,IF(AND(OR('WSF DASHBOARD'!$C$4="",ISNUMBER(SEARCH('WSF DASHBOARD'!$C$4,INDEX(MASTER_AREAS!$B:$B,221))))),220,""),""),IF('WSF DASHBOARD'!$B$4="Zone",IF(220&lt;=$D$4,IF(OR('WSF DASHBOARD'!$C$4="",ISNUMBER(SEARCH('WSF DASHBOARD'!$C$4,INDEX(MASTER_ZONES!$B:$B,221)))),220,""),""),""))</f>
        <v/>
      </c>
      <c r="B221">
        <f>IFERROR(SMALL($A$2:$A$1487,220),"")</f>
        <v/>
      </c>
      <c r="C221">
        <f>IF(B221="","",IF('WSF DASHBOARD'!$B$4="Area",INDEX(MASTER_AREAS!$B:$B,B221+1),INDEX(MASTER_ZONES!$B:$B,B221+1)))</f>
        <v/>
      </c>
      <c r="F221">
        <f>IF('TRANSPORT DASHBOARD'!$B$4="Area",IF(220&lt;=$I$3,IF(AND(INDEX(MASTER_AREAS!$F:$F,221)&lt;&gt;"N",OR('TRANSPORT DASHBOARD'!$C$4="",ISNUMBER(SEARCH('TRANSPORT DASHBOARD'!$C$4,INDEX(MASTER_AREAS!$B:$B,221))))),220,""),""),IF('TRANSPORT DASHBOARD'!$B$4="Zone",IF(220&lt;=$I$4,IF(OR('TRANSPORT DASHBOARD'!$C$4="",ISNUMBER(SEARCH('TRANSPORT DASHBOARD'!$C$4,INDEX(MASTER_ZONES!$B:$B,221)))),220,""),""),""))</f>
        <v/>
      </c>
      <c r="G221">
        <f>IFERROR(SMALL($F$2:$F$1487,220),"")</f>
        <v/>
      </c>
      <c r="H221">
        <f>IF(G221="","",IF('TRANSPORT DASHBOARD'!$B$4="Area",INDEX(MASTER_AREAS!$B:$B,G221+1),INDEX(MASTER_ZONES!$B:$B,G221+1)))</f>
        <v/>
      </c>
      <c r="K221">
        <f>IF('MIDWEEK DASHBOARD'!$B$4="Area",IF(220&lt;=$N$3,IF(AND(OR('MIDWEEK DASHBOARD'!$C$4="",ISNUMBER(SEARCH('MIDWEEK DASHBOARD'!$C$4,INDEX(MASTER_AREAS!$B:$B,221))))),220,""),""),IF('MIDWEEK DASHBOARD'!$B$4="Zone",IF(220&lt;=$N$4,IF(OR('MIDWEEK DASHBOARD'!$C$4="",ISNUMBER(SEARCH('MIDWEEK DASHBOARD'!$C$4,INDEX(MASTER_ZONES!$B:$B,221)))),220,""),""),""))</f>
        <v/>
      </c>
      <c r="L221">
        <f>IFERROR(SMALL($K$2:$K$1487,220),"")</f>
        <v/>
      </c>
      <c r="M221">
        <f>IF(L221="","",IF('MIDWEEK DASHBOARD'!$B$4="Area",INDEX(MASTER_AREAS!$B:$B,L221+1),INDEX(MASTER_ZONES!$B:$B,L221+1)))</f>
        <v/>
      </c>
      <c r="P221">
        <f>IF('CHOP DASHBOARD'!$B$4="Area",IF(220&lt;=$S$3,IF(AND(OR('CHOP DASHBOARD'!$C$4="",ISNUMBER(SEARCH('CHOP DASHBOARD'!$C$4,INDEX(MASTER_AREAS!$B:$B,221))))),220,""),""),IF('CHOP DASHBOARD'!$B$4="Zone",IF(220&lt;=$S$4,IF(OR('CHOP DASHBOARD'!$C$4="",ISNUMBER(SEARCH('CHOP DASHBOARD'!$C$4,INDEX(MASTER_ZONES!$B:$B,221)))),220,""),""),""))</f>
        <v/>
      </c>
      <c r="Q221">
        <f>IFERROR(SMALL($P$2:$P$1487,220),"")</f>
        <v/>
      </c>
      <c r="R221">
        <f>IF(Q221="","",IF('CHOP DASHBOARD'!$B$4="Area",INDEX(MASTER_AREAS!$B:$B,Q221+1),INDEX(MASTER_ZONES!$B:$B,Q221+1)))</f>
        <v/>
      </c>
      <c r="U221">
        <f>IF('COMMUNITY CHURCH DASHBOARD'!$B$4="Area",IF(220&lt;=$X$3,IF(AND(OR('COMMUNITY CHURCH DASHBOARD'!$C$4="",ISNUMBER(SEARCH('COMMUNITY CHURCH DASHBOARD'!$C$4,INDEX(MASTER_AREAS!$B:$B,221))))),220,""),""),IF('COMMUNITY CHURCH DASHBOARD'!$B$4="Zone",IF(220&lt;=$X$4,IF(OR('COMMUNITY CHURCH DASHBOARD'!$C$4="",ISNUMBER(SEARCH('COMMUNITY CHURCH DASHBOARD'!$C$4,INDEX(MASTER_ZONES!$B:$B,221)))),220,""),""),""))</f>
        <v/>
      </c>
      <c r="V221">
        <f>IFERROR(SMALL($U$2:$U$1487,220),"")</f>
        <v/>
      </c>
      <c r="W221">
        <f>IF(V221="","",IF('COMMUNITY CHURCH DASHBOARD'!$B$4="Area",INDEX(MASTER_AREAS!$B:$B,V221+1),INDEX(MASTER_ZONES!$B:$B,V221+1)))</f>
        <v/>
      </c>
    </row>
    <row r="222">
      <c r="A222">
        <f>IF('WSF DASHBOARD'!$B$4="Area",IF(221&lt;=$D$3,IF(AND(OR('WSF DASHBOARD'!$C$4="",ISNUMBER(SEARCH('WSF DASHBOARD'!$C$4,INDEX(MASTER_AREAS!$B:$B,222))))),221,""),""),IF('WSF DASHBOARD'!$B$4="Zone",IF(221&lt;=$D$4,IF(OR('WSF DASHBOARD'!$C$4="",ISNUMBER(SEARCH('WSF DASHBOARD'!$C$4,INDEX(MASTER_ZONES!$B:$B,222)))),221,""),""),""))</f>
        <v/>
      </c>
      <c r="B222">
        <f>IFERROR(SMALL($A$2:$A$1487,221),"")</f>
        <v/>
      </c>
      <c r="C222">
        <f>IF(B222="","",IF('WSF DASHBOARD'!$B$4="Area",INDEX(MASTER_AREAS!$B:$B,B222+1),INDEX(MASTER_ZONES!$B:$B,B222+1)))</f>
        <v/>
      </c>
      <c r="F222">
        <f>IF('TRANSPORT DASHBOARD'!$B$4="Area",IF(221&lt;=$I$3,IF(AND(INDEX(MASTER_AREAS!$F:$F,222)&lt;&gt;"N",OR('TRANSPORT DASHBOARD'!$C$4="",ISNUMBER(SEARCH('TRANSPORT DASHBOARD'!$C$4,INDEX(MASTER_AREAS!$B:$B,222))))),221,""),""),IF('TRANSPORT DASHBOARD'!$B$4="Zone",IF(221&lt;=$I$4,IF(OR('TRANSPORT DASHBOARD'!$C$4="",ISNUMBER(SEARCH('TRANSPORT DASHBOARD'!$C$4,INDEX(MASTER_ZONES!$B:$B,222)))),221,""),""),""))</f>
        <v/>
      </c>
      <c r="G222">
        <f>IFERROR(SMALL($F$2:$F$1487,221),"")</f>
        <v/>
      </c>
      <c r="H222">
        <f>IF(G222="","",IF('TRANSPORT DASHBOARD'!$B$4="Area",INDEX(MASTER_AREAS!$B:$B,G222+1),INDEX(MASTER_ZONES!$B:$B,G222+1)))</f>
        <v/>
      </c>
      <c r="K222">
        <f>IF('MIDWEEK DASHBOARD'!$B$4="Area",IF(221&lt;=$N$3,IF(AND(OR('MIDWEEK DASHBOARD'!$C$4="",ISNUMBER(SEARCH('MIDWEEK DASHBOARD'!$C$4,INDEX(MASTER_AREAS!$B:$B,222))))),221,""),""),IF('MIDWEEK DASHBOARD'!$B$4="Zone",IF(221&lt;=$N$4,IF(OR('MIDWEEK DASHBOARD'!$C$4="",ISNUMBER(SEARCH('MIDWEEK DASHBOARD'!$C$4,INDEX(MASTER_ZONES!$B:$B,222)))),221,""),""),""))</f>
        <v/>
      </c>
      <c r="L222">
        <f>IFERROR(SMALL($K$2:$K$1487,221),"")</f>
        <v/>
      </c>
      <c r="M222">
        <f>IF(L222="","",IF('MIDWEEK DASHBOARD'!$B$4="Area",INDEX(MASTER_AREAS!$B:$B,L222+1),INDEX(MASTER_ZONES!$B:$B,L222+1)))</f>
        <v/>
      </c>
      <c r="P222">
        <f>IF('CHOP DASHBOARD'!$B$4="Area",IF(221&lt;=$S$3,IF(AND(OR('CHOP DASHBOARD'!$C$4="",ISNUMBER(SEARCH('CHOP DASHBOARD'!$C$4,INDEX(MASTER_AREAS!$B:$B,222))))),221,""),""),IF('CHOP DASHBOARD'!$B$4="Zone",IF(221&lt;=$S$4,IF(OR('CHOP DASHBOARD'!$C$4="",ISNUMBER(SEARCH('CHOP DASHBOARD'!$C$4,INDEX(MASTER_ZONES!$B:$B,222)))),221,""),""),""))</f>
        <v/>
      </c>
      <c r="Q222">
        <f>IFERROR(SMALL($P$2:$P$1487,221),"")</f>
        <v/>
      </c>
      <c r="R222">
        <f>IF(Q222="","",IF('CHOP DASHBOARD'!$B$4="Area",INDEX(MASTER_AREAS!$B:$B,Q222+1),INDEX(MASTER_ZONES!$B:$B,Q222+1)))</f>
        <v/>
      </c>
      <c r="U222">
        <f>IF('COMMUNITY CHURCH DASHBOARD'!$B$4="Area",IF(221&lt;=$X$3,IF(AND(OR('COMMUNITY CHURCH DASHBOARD'!$C$4="",ISNUMBER(SEARCH('COMMUNITY CHURCH DASHBOARD'!$C$4,INDEX(MASTER_AREAS!$B:$B,222))))),221,""),""),IF('COMMUNITY CHURCH DASHBOARD'!$B$4="Zone",IF(221&lt;=$X$4,IF(OR('COMMUNITY CHURCH DASHBOARD'!$C$4="",ISNUMBER(SEARCH('COMMUNITY CHURCH DASHBOARD'!$C$4,INDEX(MASTER_ZONES!$B:$B,222)))),221,""),""),""))</f>
        <v/>
      </c>
      <c r="V222">
        <f>IFERROR(SMALL($U$2:$U$1487,221),"")</f>
        <v/>
      </c>
      <c r="W222">
        <f>IF(V222="","",IF('COMMUNITY CHURCH DASHBOARD'!$B$4="Area",INDEX(MASTER_AREAS!$B:$B,V222+1),INDEX(MASTER_ZONES!$B:$B,V222+1)))</f>
        <v/>
      </c>
    </row>
    <row r="223">
      <c r="A223">
        <f>IF('WSF DASHBOARD'!$B$4="Area",IF(222&lt;=$D$3,IF(AND(OR('WSF DASHBOARD'!$C$4="",ISNUMBER(SEARCH('WSF DASHBOARD'!$C$4,INDEX(MASTER_AREAS!$B:$B,223))))),222,""),""),IF('WSF DASHBOARD'!$B$4="Zone",IF(222&lt;=$D$4,IF(OR('WSF DASHBOARD'!$C$4="",ISNUMBER(SEARCH('WSF DASHBOARD'!$C$4,INDEX(MASTER_ZONES!$B:$B,223)))),222,""),""),""))</f>
        <v/>
      </c>
      <c r="B223">
        <f>IFERROR(SMALL($A$2:$A$1487,222),"")</f>
        <v/>
      </c>
      <c r="C223">
        <f>IF(B223="","",IF('WSF DASHBOARD'!$B$4="Area",INDEX(MASTER_AREAS!$B:$B,B223+1),INDEX(MASTER_ZONES!$B:$B,B223+1)))</f>
        <v/>
      </c>
      <c r="F223">
        <f>IF('TRANSPORT DASHBOARD'!$B$4="Area",IF(222&lt;=$I$3,IF(AND(INDEX(MASTER_AREAS!$F:$F,223)&lt;&gt;"N",OR('TRANSPORT DASHBOARD'!$C$4="",ISNUMBER(SEARCH('TRANSPORT DASHBOARD'!$C$4,INDEX(MASTER_AREAS!$B:$B,223))))),222,""),""),IF('TRANSPORT DASHBOARD'!$B$4="Zone",IF(222&lt;=$I$4,IF(OR('TRANSPORT DASHBOARD'!$C$4="",ISNUMBER(SEARCH('TRANSPORT DASHBOARD'!$C$4,INDEX(MASTER_ZONES!$B:$B,223)))),222,""),""),""))</f>
        <v/>
      </c>
      <c r="G223">
        <f>IFERROR(SMALL($F$2:$F$1487,222),"")</f>
        <v/>
      </c>
      <c r="H223">
        <f>IF(G223="","",IF('TRANSPORT DASHBOARD'!$B$4="Area",INDEX(MASTER_AREAS!$B:$B,G223+1),INDEX(MASTER_ZONES!$B:$B,G223+1)))</f>
        <v/>
      </c>
      <c r="K223">
        <f>IF('MIDWEEK DASHBOARD'!$B$4="Area",IF(222&lt;=$N$3,IF(AND(OR('MIDWEEK DASHBOARD'!$C$4="",ISNUMBER(SEARCH('MIDWEEK DASHBOARD'!$C$4,INDEX(MASTER_AREAS!$B:$B,223))))),222,""),""),IF('MIDWEEK DASHBOARD'!$B$4="Zone",IF(222&lt;=$N$4,IF(OR('MIDWEEK DASHBOARD'!$C$4="",ISNUMBER(SEARCH('MIDWEEK DASHBOARD'!$C$4,INDEX(MASTER_ZONES!$B:$B,223)))),222,""),""),""))</f>
        <v/>
      </c>
      <c r="L223">
        <f>IFERROR(SMALL($K$2:$K$1487,222),"")</f>
        <v/>
      </c>
      <c r="M223">
        <f>IF(L223="","",IF('MIDWEEK DASHBOARD'!$B$4="Area",INDEX(MASTER_AREAS!$B:$B,L223+1),INDEX(MASTER_ZONES!$B:$B,L223+1)))</f>
        <v/>
      </c>
      <c r="P223">
        <f>IF('CHOP DASHBOARD'!$B$4="Area",IF(222&lt;=$S$3,IF(AND(OR('CHOP DASHBOARD'!$C$4="",ISNUMBER(SEARCH('CHOP DASHBOARD'!$C$4,INDEX(MASTER_AREAS!$B:$B,223))))),222,""),""),IF('CHOP DASHBOARD'!$B$4="Zone",IF(222&lt;=$S$4,IF(OR('CHOP DASHBOARD'!$C$4="",ISNUMBER(SEARCH('CHOP DASHBOARD'!$C$4,INDEX(MASTER_ZONES!$B:$B,223)))),222,""),""),""))</f>
        <v/>
      </c>
      <c r="Q223">
        <f>IFERROR(SMALL($P$2:$P$1487,222),"")</f>
        <v/>
      </c>
      <c r="R223">
        <f>IF(Q223="","",IF('CHOP DASHBOARD'!$B$4="Area",INDEX(MASTER_AREAS!$B:$B,Q223+1),INDEX(MASTER_ZONES!$B:$B,Q223+1)))</f>
        <v/>
      </c>
      <c r="U223">
        <f>IF('COMMUNITY CHURCH DASHBOARD'!$B$4="Area",IF(222&lt;=$X$3,IF(AND(OR('COMMUNITY CHURCH DASHBOARD'!$C$4="",ISNUMBER(SEARCH('COMMUNITY CHURCH DASHBOARD'!$C$4,INDEX(MASTER_AREAS!$B:$B,223))))),222,""),""),IF('COMMUNITY CHURCH DASHBOARD'!$B$4="Zone",IF(222&lt;=$X$4,IF(OR('COMMUNITY CHURCH DASHBOARD'!$C$4="",ISNUMBER(SEARCH('COMMUNITY CHURCH DASHBOARD'!$C$4,INDEX(MASTER_ZONES!$B:$B,223)))),222,""),""),""))</f>
        <v/>
      </c>
      <c r="V223">
        <f>IFERROR(SMALL($U$2:$U$1487,222),"")</f>
        <v/>
      </c>
      <c r="W223">
        <f>IF(V223="","",IF('COMMUNITY CHURCH DASHBOARD'!$B$4="Area",INDEX(MASTER_AREAS!$B:$B,V223+1),INDEX(MASTER_ZONES!$B:$B,V223+1)))</f>
        <v/>
      </c>
    </row>
    <row r="224">
      <c r="A224">
        <f>IF('WSF DASHBOARD'!$B$4="Area",IF(223&lt;=$D$3,IF(AND(OR('WSF DASHBOARD'!$C$4="",ISNUMBER(SEARCH('WSF DASHBOARD'!$C$4,INDEX(MASTER_AREAS!$B:$B,224))))),223,""),""),IF('WSF DASHBOARD'!$B$4="Zone",IF(223&lt;=$D$4,IF(OR('WSF DASHBOARD'!$C$4="",ISNUMBER(SEARCH('WSF DASHBOARD'!$C$4,INDEX(MASTER_ZONES!$B:$B,224)))),223,""),""),""))</f>
        <v/>
      </c>
      <c r="B224">
        <f>IFERROR(SMALL($A$2:$A$1487,223),"")</f>
        <v/>
      </c>
      <c r="C224">
        <f>IF(B224="","",IF('WSF DASHBOARD'!$B$4="Area",INDEX(MASTER_AREAS!$B:$B,B224+1),INDEX(MASTER_ZONES!$B:$B,B224+1)))</f>
        <v/>
      </c>
      <c r="F224">
        <f>IF('TRANSPORT DASHBOARD'!$B$4="Area",IF(223&lt;=$I$3,IF(AND(INDEX(MASTER_AREAS!$F:$F,224)&lt;&gt;"N",OR('TRANSPORT DASHBOARD'!$C$4="",ISNUMBER(SEARCH('TRANSPORT DASHBOARD'!$C$4,INDEX(MASTER_AREAS!$B:$B,224))))),223,""),""),IF('TRANSPORT DASHBOARD'!$B$4="Zone",IF(223&lt;=$I$4,IF(OR('TRANSPORT DASHBOARD'!$C$4="",ISNUMBER(SEARCH('TRANSPORT DASHBOARD'!$C$4,INDEX(MASTER_ZONES!$B:$B,224)))),223,""),""),""))</f>
        <v/>
      </c>
      <c r="G224">
        <f>IFERROR(SMALL($F$2:$F$1487,223),"")</f>
        <v/>
      </c>
      <c r="H224">
        <f>IF(G224="","",IF('TRANSPORT DASHBOARD'!$B$4="Area",INDEX(MASTER_AREAS!$B:$B,G224+1),INDEX(MASTER_ZONES!$B:$B,G224+1)))</f>
        <v/>
      </c>
      <c r="K224">
        <f>IF('MIDWEEK DASHBOARD'!$B$4="Area",IF(223&lt;=$N$3,IF(AND(OR('MIDWEEK DASHBOARD'!$C$4="",ISNUMBER(SEARCH('MIDWEEK DASHBOARD'!$C$4,INDEX(MASTER_AREAS!$B:$B,224))))),223,""),""),IF('MIDWEEK DASHBOARD'!$B$4="Zone",IF(223&lt;=$N$4,IF(OR('MIDWEEK DASHBOARD'!$C$4="",ISNUMBER(SEARCH('MIDWEEK DASHBOARD'!$C$4,INDEX(MASTER_ZONES!$B:$B,224)))),223,""),""),""))</f>
        <v/>
      </c>
      <c r="L224">
        <f>IFERROR(SMALL($K$2:$K$1487,223),"")</f>
        <v/>
      </c>
      <c r="M224">
        <f>IF(L224="","",IF('MIDWEEK DASHBOARD'!$B$4="Area",INDEX(MASTER_AREAS!$B:$B,L224+1),INDEX(MASTER_ZONES!$B:$B,L224+1)))</f>
        <v/>
      </c>
      <c r="P224">
        <f>IF('CHOP DASHBOARD'!$B$4="Area",IF(223&lt;=$S$3,IF(AND(OR('CHOP DASHBOARD'!$C$4="",ISNUMBER(SEARCH('CHOP DASHBOARD'!$C$4,INDEX(MASTER_AREAS!$B:$B,224))))),223,""),""),IF('CHOP DASHBOARD'!$B$4="Zone",IF(223&lt;=$S$4,IF(OR('CHOP DASHBOARD'!$C$4="",ISNUMBER(SEARCH('CHOP DASHBOARD'!$C$4,INDEX(MASTER_ZONES!$B:$B,224)))),223,""),""),""))</f>
        <v/>
      </c>
      <c r="Q224">
        <f>IFERROR(SMALL($P$2:$P$1487,223),"")</f>
        <v/>
      </c>
      <c r="R224">
        <f>IF(Q224="","",IF('CHOP DASHBOARD'!$B$4="Area",INDEX(MASTER_AREAS!$B:$B,Q224+1),INDEX(MASTER_ZONES!$B:$B,Q224+1)))</f>
        <v/>
      </c>
      <c r="U224">
        <f>IF('COMMUNITY CHURCH DASHBOARD'!$B$4="Area",IF(223&lt;=$X$3,IF(AND(OR('COMMUNITY CHURCH DASHBOARD'!$C$4="",ISNUMBER(SEARCH('COMMUNITY CHURCH DASHBOARD'!$C$4,INDEX(MASTER_AREAS!$B:$B,224))))),223,""),""),IF('COMMUNITY CHURCH DASHBOARD'!$B$4="Zone",IF(223&lt;=$X$4,IF(OR('COMMUNITY CHURCH DASHBOARD'!$C$4="",ISNUMBER(SEARCH('COMMUNITY CHURCH DASHBOARD'!$C$4,INDEX(MASTER_ZONES!$B:$B,224)))),223,""),""),""))</f>
        <v/>
      </c>
      <c r="V224">
        <f>IFERROR(SMALL($U$2:$U$1487,223),"")</f>
        <v/>
      </c>
      <c r="W224">
        <f>IF(V224="","",IF('COMMUNITY CHURCH DASHBOARD'!$B$4="Area",INDEX(MASTER_AREAS!$B:$B,V224+1),INDEX(MASTER_ZONES!$B:$B,V224+1)))</f>
        <v/>
      </c>
    </row>
    <row r="225">
      <c r="A225">
        <f>IF('WSF DASHBOARD'!$B$4="Area",IF(224&lt;=$D$3,IF(AND(OR('WSF DASHBOARD'!$C$4="",ISNUMBER(SEARCH('WSF DASHBOARD'!$C$4,INDEX(MASTER_AREAS!$B:$B,225))))),224,""),""),IF('WSF DASHBOARD'!$B$4="Zone",IF(224&lt;=$D$4,IF(OR('WSF DASHBOARD'!$C$4="",ISNUMBER(SEARCH('WSF DASHBOARD'!$C$4,INDEX(MASTER_ZONES!$B:$B,225)))),224,""),""),""))</f>
        <v/>
      </c>
      <c r="B225">
        <f>IFERROR(SMALL($A$2:$A$1487,224),"")</f>
        <v/>
      </c>
      <c r="C225">
        <f>IF(B225="","",IF('WSF DASHBOARD'!$B$4="Area",INDEX(MASTER_AREAS!$B:$B,B225+1),INDEX(MASTER_ZONES!$B:$B,B225+1)))</f>
        <v/>
      </c>
      <c r="F225">
        <f>IF('TRANSPORT DASHBOARD'!$B$4="Area",IF(224&lt;=$I$3,IF(AND(INDEX(MASTER_AREAS!$F:$F,225)&lt;&gt;"N",OR('TRANSPORT DASHBOARD'!$C$4="",ISNUMBER(SEARCH('TRANSPORT DASHBOARD'!$C$4,INDEX(MASTER_AREAS!$B:$B,225))))),224,""),""),IF('TRANSPORT DASHBOARD'!$B$4="Zone",IF(224&lt;=$I$4,IF(OR('TRANSPORT DASHBOARD'!$C$4="",ISNUMBER(SEARCH('TRANSPORT DASHBOARD'!$C$4,INDEX(MASTER_ZONES!$B:$B,225)))),224,""),""),""))</f>
        <v/>
      </c>
      <c r="G225">
        <f>IFERROR(SMALL($F$2:$F$1487,224),"")</f>
        <v/>
      </c>
      <c r="H225">
        <f>IF(G225="","",IF('TRANSPORT DASHBOARD'!$B$4="Area",INDEX(MASTER_AREAS!$B:$B,G225+1),INDEX(MASTER_ZONES!$B:$B,G225+1)))</f>
        <v/>
      </c>
      <c r="K225">
        <f>IF('MIDWEEK DASHBOARD'!$B$4="Area",IF(224&lt;=$N$3,IF(AND(OR('MIDWEEK DASHBOARD'!$C$4="",ISNUMBER(SEARCH('MIDWEEK DASHBOARD'!$C$4,INDEX(MASTER_AREAS!$B:$B,225))))),224,""),""),IF('MIDWEEK DASHBOARD'!$B$4="Zone",IF(224&lt;=$N$4,IF(OR('MIDWEEK DASHBOARD'!$C$4="",ISNUMBER(SEARCH('MIDWEEK DASHBOARD'!$C$4,INDEX(MASTER_ZONES!$B:$B,225)))),224,""),""),""))</f>
        <v/>
      </c>
      <c r="L225">
        <f>IFERROR(SMALL($K$2:$K$1487,224),"")</f>
        <v/>
      </c>
      <c r="M225">
        <f>IF(L225="","",IF('MIDWEEK DASHBOARD'!$B$4="Area",INDEX(MASTER_AREAS!$B:$B,L225+1),INDEX(MASTER_ZONES!$B:$B,L225+1)))</f>
        <v/>
      </c>
      <c r="P225">
        <f>IF('CHOP DASHBOARD'!$B$4="Area",IF(224&lt;=$S$3,IF(AND(OR('CHOP DASHBOARD'!$C$4="",ISNUMBER(SEARCH('CHOP DASHBOARD'!$C$4,INDEX(MASTER_AREAS!$B:$B,225))))),224,""),""),IF('CHOP DASHBOARD'!$B$4="Zone",IF(224&lt;=$S$4,IF(OR('CHOP DASHBOARD'!$C$4="",ISNUMBER(SEARCH('CHOP DASHBOARD'!$C$4,INDEX(MASTER_ZONES!$B:$B,225)))),224,""),""),""))</f>
        <v/>
      </c>
      <c r="Q225">
        <f>IFERROR(SMALL($P$2:$P$1487,224),"")</f>
        <v/>
      </c>
      <c r="R225">
        <f>IF(Q225="","",IF('CHOP DASHBOARD'!$B$4="Area",INDEX(MASTER_AREAS!$B:$B,Q225+1),INDEX(MASTER_ZONES!$B:$B,Q225+1)))</f>
        <v/>
      </c>
      <c r="U225">
        <f>IF('COMMUNITY CHURCH DASHBOARD'!$B$4="Area",IF(224&lt;=$X$3,IF(AND(OR('COMMUNITY CHURCH DASHBOARD'!$C$4="",ISNUMBER(SEARCH('COMMUNITY CHURCH DASHBOARD'!$C$4,INDEX(MASTER_AREAS!$B:$B,225))))),224,""),""),IF('COMMUNITY CHURCH DASHBOARD'!$B$4="Zone",IF(224&lt;=$X$4,IF(OR('COMMUNITY CHURCH DASHBOARD'!$C$4="",ISNUMBER(SEARCH('COMMUNITY CHURCH DASHBOARD'!$C$4,INDEX(MASTER_ZONES!$B:$B,225)))),224,""),""),""))</f>
        <v/>
      </c>
      <c r="V225">
        <f>IFERROR(SMALL($U$2:$U$1487,224),"")</f>
        <v/>
      </c>
      <c r="W225">
        <f>IF(V225="","",IF('COMMUNITY CHURCH DASHBOARD'!$B$4="Area",INDEX(MASTER_AREAS!$B:$B,V225+1),INDEX(MASTER_ZONES!$B:$B,V225+1)))</f>
        <v/>
      </c>
    </row>
    <row r="226">
      <c r="A226">
        <f>IF('WSF DASHBOARD'!$B$4="Area",IF(225&lt;=$D$3,IF(AND(OR('WSF DASHBOARD'!$C$4="",ISNUMBER(SEARCH('WSF DASHBOARD'!$C$4,INDEX(MASTER_AREAS!$B:$B,226))))),225,""),""),IF('WSF DASHBOARD'!$B$4="Zone",IF(225&lt;=$D$4,IF(OR('WSF DASHBOARD'!$C$4="",ISNUMBER(SEARCH('WSF DASHBOARD'!$C$4,INDEX(MASTER_ZONES!$B:$B,226)))),225,""),""),""))</f>
        <v/>
      </c>
      <c r="B226">
        <f>IFERROR(SMALL($A$2:$A$1487,225),"")</f>
        <v/>
      </c>
      <c r="C226">
        <f>IF(B226="","",IF('WSF DASHBOARD'!$B$4="Area",INDEX(MASTER_AREAS!$B:$B,B226+1),INDEX(MASTER_ZONES!$B:$B,B226+1)))</f>
        <v/>
      </c>
      <c r="F226">
        <f>IF('TRANSPORT DASHBOARD'!$B$4="Area",IF(225&lt;=$I$3,IF(AND(INDEX(MASTER_AREAS!$F:$F,226)&lt;&gt;"N",OR('TRANSPORT DASHBOARD'!$C$4="",ISNUMBER(SEARCH('TRANSPORT DASHBOARD'!$C$4,INDEX(MASTER_AREAS!$B:$B,226))))),225,""),""),IF('TRANSPORT DASHBOARD'!$B$4="Zone",IF(225&lt;=$I$4,IF(OR('TRANSPORT DASHBOARD'!$C$4="",ISNUMBER(SEARCH('TRANSPORT DASHBOARD'!$C$4,INDEX(MASTER_ZONES!$B:$B,226)))),225,""),""),""))</f>
        <v/>
      </c>
      <c r="G226">
        <f>IFERROR(SMALL($F$2:$F$1487,225),"")</f>
        <v/>
      </c>
      <c r="H226">
        <f>IF(G226="","",IF('TRANSPORT DASHBOARD'!$B$4="Area",INDEX(MASTER_AREAS!$B:$B,G226+1),INDEX(MASTER_ZONES!$B:$B,G226+1)))</f>
        <v/>
      </c>
      <c r="K226">
        <f>IF('MIDWEEK DASHBOARD'!$B$4="Area",IF(225&lt;=$N$3,IF(AND(OR('MIDWEEK DASHBOARD'!$C$4="",ISNUMBER(SEARCH('MIDWEEK DASHBOARD'!$C$4,INDEX(MASTER_AREAS!$B:$B,226))))),225,""),""),IF('MIDWEEK DASHBOARD'!$B$4="Zone",IF(225&lt;=$N$4,IF(OR('MIDWEEK DASHBOARD'!$C$4="",ISNUMBER(SEARCH('MIDWEEK DASHBOARD'!$C$4,INDEX(MASTER_ZONES!$B:$B,226)))),225,""),""),""))</f>
        <v/>
      </c>
      <c r="L226">
        <f>IFERROR(SMALL($K$2:$K$1487,225),"")</f>
        <v/>
      </c>
      <c r="M226">
        <f>IF(L226="","",IF('MIDWEEK DASHBOARD'!$B$4="Area",INDEX(MASTER_AREAS!$B:$B,L226+1),INDEX(MASTER_ZONES!$B:$B,L226+1)))</f>
        <v/>
      </c>
      <c r="P226">
        <f>IF('CHOP DASHBOARD'!$B$4="Area",IF(225&lt;=$S$3,IF(AND(OR('CHOP DASHBOARD'!$C$4="",ISNUMBER(SEARCH('CHOP DASHBOARD'!$C$4,INDEX(MASTER_AREAS!$B:$B,226))))),225,""),""),IF('CHOP DASHBOARD'!$B$4="Zone",IF(225&lt;=$S$4,IF(OR('CHOP DASHBOARD'!$C$4="",ISNUMBER(SEARCH('CHOP DASHBOARD'!$C$4,INDEX(MASTER_ZONES!$B:$B,226)))),225,""),""),""))</f>
        <v/>
      </c>
      <c r="Q226">
        <f>IFERROR(SMALL($P$2:$P$1487,225),"")</f>
        <v/>
      </c>
      <c r="R226">
        <f>IF(Q226="","",IF('CHOP DASHBOARD'!$B$4="Area",INDEX(MASTER_AREAS!$B:$B,Q226+1),INDEX(MASTER_ZONES!$B:$B,Q226+1)))</f>
        <v/>
      </c>
      <c r="U226">
        <f>IF('COMMUNITY CHURCH DASHBOARD'!$B$4="Area",IF(225&lt;=$X$3,IF(AND(OR('COMMUNITY CHURCH DASHBOARD'!$C$4="",ISNUMBER(SEARCH('COMMUNITY CHURCH DASHBOARD'!$C$4,INDEX(MASTER_AREAS!$B:$B,226))))),225,""),""),IF('COMMUNITY CHURCH DASHBOARD'!$B$4="Zone",IF(225&lt;=$X$4,IF(OR('COMMUNITY CHURCH DASHBOARD'!$C$4="",ISNUMBER(SEARCH('COMMUNITY CHURCH DASHBOARD'!$C$4,INDEX(MASTER_ZONES!$B:$B,226)))),225,""),""),""))</f>
        <v/>
      </c>
      <c r="V226">
        <f>IFERROR(SMALL($U$2:$U$1487,225),"")</f>
        <v/>
      </c>
      <c r="W226">
        <f>IF(V226="","",IF('COMMUNITY CHURCH DASHBOARD'!$B$4="Area",INDEX(MASTER_AREAS!$B:$B,V226+1),INDEX(MASTER_ZONES!$B:$B,V226+1)))</f>
        <v/>
      </c>
    </row>
    <row r="227">
      <c r="A227">
        <f>IF('WSF DASHBOARD'!$B$4="Area",IF(226&lt;=$D$3,IF(AND(OR('WSF DASHBOARD'!$C$4="",ISNUMBER(SEARCH('WSF DASHBOARD'!$C$4,INDEX(MASTER_AREAS!$B:$B,227))))),226,""),""),IF('WSF DASHBOARD'!$B$4="Zone",IF(226&lt;=$D$4,IF(OR('WSF DASHBOARD'!$C$4="",ISNUMBER(SEARCH('WSF DASHBOARD'!$C$4,INDEX(MASTER_ZONES!$B:$B,227)))),226,""),""),""))</f>
        <v/>
      </c>
      <c r="B227">
        <f>IFERROR(SMALL($A$2:$A$1487,226),"")</f>
        <v/>
      </c>
      <c r="C227">
        <f>IF(B227="","",IF('WSF DASHBOARD'!$B$4="Area",INDEX(MASTER_AREAS!$B:$B,B227+1),INDEX(MASTER_ZONES!$B:$B,B227+1)))</f>
        <v/>
      </c>
      <c r="F227">
        <f>IF('TRANSPORT DASHBOARD'!$B$4="Area",IF(226&lt;=$I$3,IF(AND(INDEX(MASTER_AREAS!$F:$F,227)&lt;&gt;"N",OR('TRANSPORT DASHBOARD'!$C$4="",ISNUMBER(SEARCH('TRANSPORT DASHBOARD'!$C$4,INDEX(MASTER_AREAS!$B:$B,227))))),226,""),""),IF('TRANSPORT DASHBOARD'!$B$4="Zone",IF(226&lt;=$I$4,IF(OR('TRANSPORT DASHBOARD'!$C$4="",ISNUMBER(SEARCH('TRANSPORT DASHBOARD'!$C$4,INDEX(MASTER_ZONES!$B:$B,227)))),226,""),""),""))</f>
        <v/>
      </c>
      <c r="G227">
        <f>IFERROR(SMALL($F$2:$F$1487,226),"")</f>
        <v/>
      </c>
      <c r="H227">
        <f>IF(G227="","",IF('TRANSPORT DASHBOARD'!$B$4="Area",INDEX(MASTER_AREAS!$B:$B,G227+1),INDEX(MASTER_ZONES!$B:$B,G227+1)))</f>
        <v/>
      </c>
      <c r="K227">
        <f>IF('MIDWEEK DASHBOARD'!$B$4="Area",IF(226&lt;=$N$3,IF(AND(OR('MIDWEEK DASHBOARD'!$C$4="",ISNUMBER(SEARCH('MIDWEEK DASHBOARD'!$C$4,INDEX(MASTER_AREAS!$B:$B,227))))),226,""),""),IF('MIDWEEK DASHBOARD'!$B$4="Zone",IF(226&lt;=$N$4,IF(OR('MIDWEEK DASHBOARD'!$C$4="",ISNUMBER(SEARCH('MIDWEEK DASHBOARD'!$C$4,INDEX(MASTER_ZONES!$B:$B,227)))),226,""),""),""))</f>
        <v/>
      </c>
      <c r="L227">
        <f>IFERROR(SMALL($K$2:$K$1487,226),"")</f>
        <v/>
      </c>
      <c r="M227">
        <f>IF(L227="","",IF('MIDWEEK DASHBOARD'!$B$4="Area",INDEX(MASTER_AREAS!$B:$B,L227+1),INDEX(MASTER_ZONES!$B:$B,L227+1)))</f>
        <v/>
      </c>
      <c r="P227">
        <f>IF('CHOP DASHBOARD'!$B$4="Area",IF(226&lt;=$S$3,IF(AND(OR('CHOP DASHBOARD'!$C$4="",ISNUMBER(SEARCH('CHOP DASHBOARD'!$C$4,INDEX(MASTER_AREAS!$B:$B,227))))),226,""),""),IF('CHOP DASHBOARD'!$B$4="Zone",IF(226&lt;=$S$4,IF(OR('CHOP DASHBOARD'!$C$4="",ISNUMBER(SEARCH('CHOP DASHBOARD'!$C$4,INDEX(MASTER_ZONES!$B:$B,227)))),226,""),""),""))</f>
        <v/>
      </c>
      <c r="Q227">
        <f>IFERROR(SMALL($P$2:$P$1487,226),"")</f>
        <v/>
      </c>
      <c r="R227">
        <f>IF(Q227="","",IF('CHOP DASHBOARD'!$B$4="Area",INDEX(MASTER_AREAS!$B:$B,Q227+1),INDEX(MASTER_ZONES!$B:$B,Q227+1)))</f>
        <v/>
      </c>
      <c r="U227">
        <f>IF('COMMUNITY CHURCH DASHBOARD'!$B$4="Area",IF(226&lt;=$X$3,IF(AND(OR('COMMUNITY CHURCH DASHBOARD'!$C$4="",ISNUMBER(SEARCH('COMMUNITY CHURCH DASHBOARD'!$C$4,INDEX(MASTER_AREAS!$B:$B,227))))),226,""),""),IF('COMMUNITY CHURCH DASHBOARD'!$B$4="Zone",IF(226&lt;=$X$4,IF(OR('COMMUNITY CHURCH DASHBOARD'!$C$4="",ISNUMBER(SEARCH('COMMUNITY CHURCH DASHBOARD'!$C$4,INDEX(MASTER_ZONES!$B:$B,227)))),226,""),""),""))</f>
        <v/>
      </c>
      <c r="V227">
        <f>IFERROR(SMALL($U$2:$U$1487,226),"")</f>
        <v/>
      </c>
      <c r="W227">
        <f>IF(V227="","",IF('COMMUNITY CHURCH DASHBOARD'!$B$4="Area",INDEX(MASTER_AREAS!$B:$B,V227+1),INDEX(MASTER_ZONES!$B:$B,V227+1)))</f>
        <v/>
      </c>
    </row>
    <row r="228">
      <c r="A228">
        <f>IF('WSF DASHBOARD'!$B$4="Area",IF(227&lt;=$D$3,IF(AND(OR('WSF DASHBOARD'!$C$4="",ISNUMBER(SEARCH('WSF DASHBOARD'!$C$4,INDEX(MASTER_AREAS!$B:$B,228))))),227,""),""),IF('WSF DASHBOARD'!$B$4="Zone",IF(227&lt;=$D$4,IF(OR('WSF DASHBOARD'!$C$4="",ISNUMBER(SEARCH('WSF DASHBOARD'!$C$4,INDEX(MASTER_ZONES!$B:$B,228)))),227,""),""),""))</f>
        <v/>
      </c>
      <c r="B228">
        <f>IFERROR(SMALL($A$2:$A$1487,227),"")</f>
        <v/>
      </c>
      <c r="C228">
        <f>IF(B228="","",IF('WSF DASHBOARD'!$B$4="Area",INDEX(MASTER_AREAS!$B:$B,B228+1),INDEX(MASTER_ZONES!$B:$B,B228+1)))</f>
        <v/>
      </c>
      <c r="F228">
        <f>IF('TRANSPORT DASHBOARD'!$B$4="Area",IF(227&lt;=$I$3,IF(AND(INDEX(MASTER_AREAS!$F:$F,228)&lt;&gt;"N",OR('TRANSPORT DASHBOARD'!$C$4="",ISNUMBER(SEARCH('TRANSPORT DASHBOARD'!$C$4,INDEX(MASTER_AREAS!$B:$B,228))))),227,""),""),IF('TRANSPORT DASHBOARD'!$B$4="Zone",IF(227&lt;=$I$4,IF(OR('TRANSPORT DASHBOARD'!$C$4="",ISNUMBER(SEARCH('TRANSPORT DASHBOARD'!$C$4,INDEX(MASTER_ZONES!$B:$B,228)))),227,""),""),""))</f>
        <v/>
      </c>
      <c r="G228">
        <f>IFERROR(SMALL($F$2:$F$1487,227),"")</f>
        <v/>
      </c>
      <c r="H228">
        <f>IF(G228="","",IF('TRANSPORT DASHBOARD'!$B$4="Area",INDEX(MASTER_AREAS!$B:$B,G228+1),INDEX(MASTER_ZONES!$B:$B,G228+1)))</f>
        <v/>
      </c>
      <c r="K228">
        <f>IF('MIDWEEK DASHBOARD'!$B$4="Area",IF(227&lt;=$N$3,IF(AND(OR('MIDWEEK DASHBOARD'!$C$4="",ISNUMBER(SEARCH('MIDWEEK DASHBOARD'!$C$4,INDEX(MASTER_AREAS!$B:$B,228))))),227,""),""),IF('MIDWEEK DASHBOARD'!$B$4="Zone",IF(227&lt;=$N$4,IF(OR('MIDWEEK DASHBOARD'!$C$4="",ISNUMBER(SEARCH('MIDWEEK DASHBOARD'!$C$4,INDEX(MASTER_ZONES!$B:$B,228)))),227,""),""),""))</f>
        <v/>
      </c>
      <c r="L228">
        <f>IFERROR(SMALL($K$2:$K$1487,227),"")</f>
        <v/>
      </c>
      <c r="M228">
        <f>IF(L228="","",IF('MIDWEEK DASHBOARD'!$B$4="Area",INDEX(MASTER_AREAS!$B:$B,L228+1),INDEX(MASTER_ZONES!$B:$B,L228+1)))</f>
        <v/>
      </c>
      <c r="P228">
        <f>IF('CHOP DASHBOARD'!$B$4="Area",IF(227&lt;=$S$3,IF(AND(OR('CHOP DASHBOARD'!$C$4="",ISNUMBER(SEARCH('CHOP DASHBOARD'!$C$4,INDEX(MASTER_AREAS!$B:$B,228))))),227,""),""),IF('CHOP DASHBOARD'!$B$4="Zone",IF(227&lt;=$S$4,IF(OR('CHOP DASHBOARD'!$C$4="",ISNUMBER(SEARCH('CHOP DASHBOARD'!$C$4,INDEX(MASTER_ZONES!$B:$B,228)))),227,""),""),""))</f>
        <v/>
      </c>
      <c r="Q228">
        <f>IFERROR(SMALL($P$2:$P$1487,227),"")</f>
        <v/>
      </c>
      <c r="R228">
        <f>IF(Q228="","",IF('CHOP DASHBOARD'!$B$4="Area",INDEX(MASTER_AREAS!$B:$B,Q228+1),INDEX(MASTER_ZONES!$B:$B,Q228+1)))</f>
        <v/>
      </c>
      <c r="U228">
        <f>IF('COMMUNITY CHURCH DASHBOARD'!$B$4="Area",IF(227&lt;=$X$3,IF(AND(OR('COMMUNITY CHURCH DASHBOARD'!$C$4="",ISNUMBER(SEARCH('COMMUNITY CHURCH DASHBOARD'!$C$4,INDEX(MASTER_AREAS!$B:$B,228))))),227,""),""),IF('COMMUNITY CHURCH DASHBOARD'!$B$4="Zone",IF(227&lt;=$X$4,IF(OR('COMMUNITY CHURCH DASHBOARD'!$C$4="",ISNUMBER(SEARCH('COMMUNITY CHURCH DASHBOARD'!$C$4,INDEX(MASTER_ZONES!$B:$B,228)))),227,""),""),""))</f>
        <v/>
      </c>
      <c r="V228">
        <f>IFERROR(SMALL($U$2:$U$1487,227),"")</f>
        <v/>
      </c>
      <c r="W228">
        <f>IF(V228="","",IF('COMMUNITY CHURCH DASHBOARD'!$B$4="Area",INDEX(MASTER_AREAS!$B:$B,V228+1),INDEX(MASTER_ZONES!$B:$B,V228+1)))</f>
        <v/>
      </c>
    </row>
    <row r="229">
      <c r="A229">
        <f>IF('WSF DASHBOARD'!$B$4="Area",IF(228&lt;=$D$3,IF(AND(OR('WSF DASHBOARD'!$C$4="",ISNUMBER(SEARCH('WSF DASHBOARD'!$C$4,INDEX(MASTER_AREAS!$B:$B,229))))),228,""),""),IF('WSF DASHBOARD'!$B$4="Zone",IF(228&lt;=$D$4,IF(OR('WSF DASHBOARD'!$C$4="",ISNUMBER(SEARCH('WSF DASHBOARD'!$C$4,INDEX(MASTER_ZONES!$B:$B,229)))),228,""),""),""))</f>
        <v/>
      </c>
      <c r="B229">
        <f>IFERROR(SMALL($A$2:$A$1487,228),"")</f>
        <v/>
      </c>
      <c r="C229">
        <f>IF(B229="","",IF('WSF DASHBOARD'!$B$4="Area",INDEX(MASTER_AREAS!$B:$B,B229+1),INDEX(MASTER_ZONES!$B:$B,B229+1)))</f>
        <v/>
      </c>
      <c r="F229">
        <f>IF('TRANSPORT DASHBOARD'!$B$4="Area",IF(228&lt;=$I$3,IF(AND(INDEX(MASTER_AREAS!$F:$F,229)&lt;&gt;"N",OR('TRANSPORT DASHBOARD'!$C$4="",ISNUMBER(SEARCH('TRANSPORT DASHBOARD'!$C$4,INDEX(MASTER_AREAS!$B:$B,229))))),228,""),""),IF('TRANSPORT DASHBOARD'!$B$4="Zone",IF(228&lt;=$I$4,IF(OR('TRANSPORT DASHBOARD'!$C$4="",ISNUMBER(SEARCH('TRANSPORT DASHBOARD'!$C$4,INDEX(MASTER_ZONES!$B:$B,229)))),228,""),""),""))</f>
        <v/>
      </c>
      <c r="G229">
        <f>IFERROR(SMALL($F$2:$F$1487,228),"")</f>
        <v/>
      </c>
      <c r="H229">
        <f>IF(G229="","",IF('TRANSPORT DASHBOARD'!$B$4="Area",INDEX(MASTER_AREAS!$B:$B,G229+1),INDEX(MASTER_ZONES!$B:$B,G229+1)))</f>
        <v/>
      </c>
      <c r="K229">
        <f>IF('MIDWEEK DASHBOARD'!$B$4="Area",IF(228&lt;=$N$3,IF(AND(OR('MIDWEEK DASHBOARD'!$C$4="",ISNUMBER(SEARCH('MIDWEEK DASHBOARD'!$C$4,INDEX(MASTER_AREAS!$B:$B,229))))),228,""),""),IF('MIDWEEK DASHBOARD'!$B$4="Zone",IF(228&lt;=$N$4,IF(OR('MIDWEEK DASHBOARD'!$C$4="",ISNUMBER(SEARCH('MIDWEEK DASHBOARD'!$C$4,INDEX(MASTER_ZONES!$B:$B,229)))),228,""),""),""))</f>
        <v/>
      </c>
      <c r="L229">
        <f>IFERROR(SMALL($K$2:$K$1487,228),"")</f>
        <v/>
      </c>
      <c r="M229">
        <f>IF(L229="","",IF('MIDWEEK DASHBOARD'!$B$4="Area",INDEX(MASTER_AREAS!$B:$B,L229+1),INDEX(MASTER_ZONES!$B:$B,L229+1)))</f>
        <v/>
      </c>
      <c r="P229">
        <f>IF('CHOP DASHBOARD'!$B$4="Area",IF(228&lt;=$S$3,IF(AND(OR('CHOP DASHBOARD'!$C$4="",ISNUMBER(SEARCH('CHOP DASHBOARD'!$C$4,INDEX(MASTER_AREAS!$B:$B,229))))),228,""),""),IF('CHOP DASHBOARD'!$B$4="Zone",IF(228&lt;=$S$4,IF(OR('CHOP DASHBOARD'!$C$4="",ISNUMBER(SEARCH('CHOP DASHBOARD'!$C$4,INDEX(MASTER_ZONES!$B:$B,229)))),228,""),""),""))</f>
        <v/>
      </c>
      <c r="Q229">
        <f>IFERROR(SMALL($P$2:$P$1487,228),"")</f>
        <v/>
      </c>
      <c r="R229">
        <f>IF(Q229="","",IF('CHOP DASHBOARD'!$B$4="Area",INDEX(MASTER_AREAS!$B:$B,Q229+1),INDEX(MASTER_ZONES!$B:$B,Q229+1)))</f>
        <v/>
      </c>
      <c r="U229">
        <f>IF('COMMUNITY CHURCH DASHBOARD'!$B$4="Area",IF(228&lt;=$X$3,IF(AND(OR('COMMUNITY CHURCH DASHBOARD'!$C$4="",ISNUMBER(SEARCH('COMMUNITY CHURCH DASHBOARD'!$C$4,INDEX(MASTER_AREAS!$B:$B,229))))),228,""),""),IF('COMMUNITY CHURCH DASHBOARD'!$B$4="Zone",IF(228&lt;=$X$4,IF(OR('COMMUNITY CHURCH DASHBOARD'!$C$4="",ISNUMBER(SEARCH('COMMUNITY CHURCH DASHBOARD'!$C$4,INDEX(MASTER_ZONES!$B:$B,229)))),228,""),""),""))</f>
        <v/>
      </c>
      <c r="V229">
        <f>IFERROR(SMALL($U$2:$U$1487,228),"")</f>
        <v/>
      </c>
      <c r="W229">
        <f>IF(V229="","",IF('COMMUNITY CHURCH DASHBOARD'!$B$4="Area",INDEX(MASTER_AREAS!$B:$B,V229+1),INDEX(MASTER_ZONES!$B:$B,V229+1)))</f>
        <v/>
      </c>
    </row>
    <row r="230">
      <c r="A230">
        <f>IF('WSF DASHBOARD'!$B$4="Area",IF(229&lt;=$D$3,IF(AND(OR('WSF DASHBOARD'!$C$4="",ISNUMBER(SEARCH('WSF DASHBOARD'!$C$4,INDEX(MASTER_AREAS!$B:$B,230))))),229,""),""),IF('WSF DASHBOARD'!$B$4="Zone",IF(229&lt;=$D$4,IF(OR('WSF DASHBOARD'!$C$4="",ISNUMBER(SEARCH('WSF DASHBOARD'!$C$4,INDEX(MASTER_ZONES!$B:$B,230)))),229,""),""),""))</f>
        <v/>
      </c>
      <c r="B230">
        <f>IFERROR(SMALL($A$2:$A$1487,229),"")</f>
        <v/>
      </c>
      <c r="C230">
        <f>IF(B230="","",IF('WSF DASHBOARD'!$B$4="Area",INDEX(MASTER_AREAS!$B:$B,B230+1),INDEX(MASTER_ZONES!$B:$B,B230+1)))</f>
        <v/>
      </c>
      <c r="F230">
        <f>IF('TRANSPORT DASHBOARD'!$B$4="Area",IF(229&lt;=$I$3,IF(AND(INDEX(MASTER_AREAS!$F:$F,230)&lt;&gt;"N",OR('TRANSPORT DASHBOARD'!$C$4="",ISNUMBER(SEARCH('TRANSPORT DASHBOARD'!$C$4,INDEX(MASTER_AREAS!$B:$B,230))))),229,""),""),IF('TRANSPORT DASHBOARD'!$B$4="Zone",IF(229&lt;=$I$4,IF(OR('TRANSPORT DASHBOARD'!$C$4="",ISNUMBER(SEARCH('TRANSPORT DASHBOARD'!$C$4,INDEX(MASTER_ZONES!$B:$B,230)))),229,""),""),""))</f>
        <v/>
      </c>
      <c r="G230">
        <f>IFERROR(SMALL($F$2:$F$1487,229),"")</f>
        <v/>
      </c>
      <c r="H230">
        <f>IF(G230="","",IF('TRANSPORT DASHBOARD'!$B$4="Area",INDEX(MASTER_AREAS!$B:$B,G230+1),INDEX(MASTER_ZONES!$B:$B,G230+1)))</f>
        <v/>
      </c>
      <c r="K230">
        <f>IF('MIDWEEK DASHBOARD'!$B$4="Area",IF(229&lt;=$N$3,IF(AND(OR('MIDWEEK DASHBOARD'!$C$4="",ISNUMBER(SEARCH('MIDWEEK DASHBOARD'!$C$4,INDEX(MASTER_AREAS!$B:$B,230))))),229,""),""),IF('MIDWEEK DASHBOARD'!$B$4="Zone",IF(229&lt;=$N$4,IF(OR('MIDWEEK DASHBOARD'!$C$4="",ISNUMBER(SEARCH('MIDWEEK DASHBOARD'!$C$4,INDEX(MASTER_ZONES!$B:$B,230)))),229,""),""),""))</f>
        <v/>
      </c>
      <c r="L230">
        <f>IFERROR(SMALL($K$2:$K$1487,229),"")</f>
        <v/>
      </c>
      <c r="M230">
        <f>IF(L230="","",IF('MIDWEEK DASHBOARD'!$B$4="Area",INDEX(MASTER_AREAS!$B:$B,L230+1),INDEX(MASTER_ZONES!$B:$B,L230+1)))</f>
        <v/>
      </c>
      <c r="P230">
        <f>IF('CHOP DASHBOARD'!$B$4="Area",IF(229&lt;=$S$3,IF(AND(OR('CHOP DASHBOARD'!$C$4="",ISNUMBER(SEARCH('CHOP DASHBOARD'!$C$4,INDEX(MASTER_AREAS!$B:$B,230))))),229,""),""),IF('CHOP DASHBOARD'!$B$4="Zone",IF(229&lt;=$S$4,IF(OR('CHOP DASHBOARD'!$C$4="",ISNUMBER(SEARCH('CHOP DASHBOARD'!$C$4,INDEX(MASTER_ZONES!$B:$B,230)))),229,""),""),""))</f>
        <v/>
      </c>
      <c r="Q230">
        <f>IFERROR(SMALL($P$2:$P$1487,229),"")</f>
        <v/>
      </c>
      <c r="R230">
        <f>IF(Q230="","",IF('CHOP DASHBOARD'!$B$4="Area",INDEX(MASTER_AREAS!$B:$B,Q230+1),INDEX(MASTER_ZONES!$B:$B,Q230+1)))</f>
        <v/>
      </c>
      <c r="U230">
        <f>IF('COMMUNITY CHURCH DASHBOARD'!$B$4="Area",IF(229&lt;=$X$3,IF(AND(OR('COMMUNITY CHURCH DASHBOARD'!$C$4="",ISNUMBER(SEARCH('COMMUNITY CHURCH DASHBOARD'!$C$4,INDEX(MASTER_AREAS!$B:$B,230))))),229,""),""),IF('COMMUNITY CHURCH DASHBOARD'!$B$4="Zone",IF(229&lt;=$X$4,IF(OR('COMMUNITY CHURCH DASHBOARD'!$C$4="",ISNUMBER(SEARCH('COMMUNITY CHURCH DASHBOARD'!$C$4,INDEX(MASTER_ZONES!$B:$B,230)))),229,""),""),""))</f>
        <v/>
      </c>
      <c r="V230">
        <f>IFERROR(SMALL($U$2:$U$1487,229),"")</f>
        <v/>
      </c>
      <c r="W230">
        <f>IF(V230="","",IF('COMMUNITY CHURCH DASHBOARD'!$B$4="Area",INDEX(MASTER_AREAS!$B:$B,V230+1),INDEX(MASTER_ZONES!$B:$B,V230+1)))</f>
        <v/>
      </c>
    </row>
    <row r="231">
      <c r="A231">
        <f>IF('WSF DASHBOARD'!$B$4="Area",IF(230&lt;=$D$3,IF(AND(OR('WSF DASHBOARD'!$C$4="",ISNUMBER(SEARCH('WSF DASHBOARD'!$C$4,INDEX(MASTER_AREAS!$B:$B,231))))),230,""),""),IF('WSF DASHBOARD'!$B$4="Zone",IF(230&lt;=$D$4,IF(OR('WSF DASHBOARD'!$C$4="",ISNUMBER(SEARCH('WSF DASHBOARD'!$C$4,INDEX(MASTER_ZONES!$B:$B,231)))),230,""),""),""))</f>
        <v/>
      </c>
      <c r="B231">
        <f>IFERROR(SMALL($A$2:$A$1487,230),"")</f>
        <v/>
      </c>
      <c r="C231">
        <f>IF(B231="","",IF('WSF DASHBOARD'!$B$4="Area",INDEX(MASTER_AREAS!$B:$B,B231+1),INDEX(MASTER_ZONES!$B:$B,B231+1)))</f>
        <v/>
      </c>
      <c r="F231">
        <f>IF('TRANSPORT DASHBOARD'!$B$4="Area",IF(230&lt;=$I$3,IF(AND(INDEX(MASTER_AREAS!$F:$F,231)&lt;&gt;"N",OR('TRANSPORT DASHBOARD'!$C$4="",ISNUMBER(SEARCH('TRANSPORT DASHBOARD'!$C$4,INDEX(MASTER_AREAS!$B:$B,231))))),230,""),""),IF('TRANSPORT DASHBOARD'!$B$4="Zone",IF(230&lt;=$I$4,IF(OR('TRANSPORT DASHBOARD'!$C$4="",ISNUMBER(SEARCH('TRANSPORT DASHBOARD'!$C$4,INDEX(MASTER_ZONES!$B:$B,231)))),230,""),""),""))</f>
        <v/>
      </c>
      <c r="G231">
        <f>IFERROR(SMALL($F$2:$F$1487,230),"")</f>
        <v/>
      </c>
      <c r="H231">
        <f>IF(G231="","",IF('TRANSPORT DASHBOARD'!$B$4="Area",INDEX(MASTER_AREAS!$B:$B,G231+1),INDEX(MASTER_ZONES!$B:$B,G231+1)))</f>
        <v/>
      </c>
      <c r="K231">
        <f>IF('MIDWEEK DASHBOARD'!$B$4="Area",IF(230&lt;=$N$3,IF(AND(OR('MIDWEEK DASHBOARD'!$C$4="",ISNUMBER(SEARCH('MIDWEEK DASHBOARD'!$C$4,INDEX(MASTER_AREAS!$B:$B,231))))),230,""),""),IF('MIDWEEK DASHBOARD'!$B$4="Zone",IF(230&lt;=$N$4,IF(OR('MIDWEEK DASHBOARD'!$C$4="",ISNUMBER(SEARCH('MIDWEEK DASHBOARD'!$C$4,INDEX(MASTER_ZONES!$B:$B,231)))),230,""),""),""))</f>
        <v/>
      </c>
      <c r="L231">
        <f>IFERROR(SMALL($K$2:$K$1487,230),"")</f>
        <v/>
      </c>
      <c r="M231">
        <f>IF(L231="","",IF('MIDWEEK DASHBOARD'!$B$4="Area",INDEX(MASTER_AREAS!$B:$B,L231+1),INDEX(MASTER_ZONES!$B:$B,L231+1)))</f>
        <v/>
      </c>
      <c r="P231">
        <f>IF('CHOP DASHBOARD'!$B$4="Area",IF(230&lt;=$S$3,IF(AND(OR('CHOP DASHBOARD'!$C$4="",ISNUMBER(SEARCH('CHOP DASHBOARD'!$C$4,INDEX(MASTER_AREAS!$B:$B,231))))),230,""),""),IF('CHOP DASHBOARD'!$B$4="Zone",IF(230&lt;=$S$4,IF(OR('CHOP DASHBOARD'!$C$4="",ISNUMBER(SEARCH('CHOP DASHBOARD'!$C$4,INDEX(MASTER_ZONES!$B:$B,231)))),230,""),""),""))</f>
        <v/>
      </c>
      <c r="Q231">
        <f>IFERROR(SMALL($P$2:$P$1487,230),"")</f>
        <v/>
      </c>
      <c r="R231">
        <f>IF(Q231="","",IF('CHOP DASHBOARD'!$B$4="Area",INDEX(MASTER_AREAS!$B:$B,Q231+1),INDEX(MASTER_ZONES!$B:$B,Q231+1)))</f>
        <v/>
      </c>
      <c r="U231">
        <f>IF('COMMUNITY CHURCH DASHBOARD'!$B$4="Area",IF(230&lt;=$X$3,IF(AND(OR('COMMUNITY CHURCH DASHBOARD'!$C$4="",ISNUMBER(SEARCH('COMMUNITY CHURCH DASHBOARD'!$C$4,INDEX(MASTER_AREAS!$B:$B,231))))),230,""),""),IF('COMMUNITY CHURCH DASHBOARD'!$B$4="Zone",IF(230&lt;=$X$4,IF(OR('COMMUNITY CHURCH DASHBOARD'!$C$4="",ISNUMBER(SEARCH('COMMUNITY CHURCH DASHBOARD'!$C$4,INDEX(MASTER_ZONES!$B:$B,231)))),230,""),""),""))</f>
        <v/>
      </c>
      <c r="V231">
        <f>IFERROR(SMALL($U$2:$U$1487,230),"")</f>
        <v/>
      </c>
      <c r="W231">
        <f>IF(V231="","",IF('COMMUNITY CHURCH DASHBOARD'!$B$4="Area",INDEX(MASTER_AREAS!$B:$B,V231+1),INDEX(MASTER_ZONES!$B:$B,V231+1)))</f>
        <v/>
      </c>
    </row>
    <row r="232">
      <c r="A232">
        <f>IF('WSF DASHBOARD'!$B$4="Area",IF(231&lt;=$D$3,IF(AND(OR('WSF DASHBOARD'!$C$4="",ISNUMBER(SEARCH('WSF DASHBOARD'!$C$4,INDEX(MASTER_AREAS!$B:$B,232))))),231,""),""),IF('WSF DASHBOARD'!$B$4="Zone",IF(231&lt;=$D$4,IF(OR('WSF DASHBOARD'!$C$4="",ISNUMBER(SEARCH('WSF DASHBOARD'!$C$4,INDEX(MASTER_ZONES!$B:$B,232)))),231,""),""),""))</f>
        <v/>
      </c>
      <c r="B232">
        <f>IFERROR(SMALL($A$2:$A$1487,231),"")</f>
        <v/>
      </c>
      <c r="C232">
        <f>IF(B232="","",IF('WSF DASHBOARD'!$B$4="Area",INDEX(MASTER_AREAS!$B:$B,B232+1),INDEX(MASTER_ZONES!$B:$B,B232+1)))</f>
        <v/>
      </c>
      <c r="F232">
        <f>IF('TRANSPORT DASHBOARD'!$B$4="Area",IF(231&lt;=$I$3,IF(AND(INDEX(MASTER_AREAS!$F:$F,232)&lt;&gt;"N",OR('TRANSPORT DASHBOARD'!$C$4="",ISNUMBER(SEARCH('TRANSPORT DASHBOARD'!$C$4,INDEX(MASTER_AREAS!$B:$B,232))))),231,""),""),IF('TRANSPORT DASHBOARD'!$B$4="Zone",IF(231&lt;=$I$4,IF(OR('TRANSPORT DASHBOARD'!$C$4="",ISNUMBER(SEARCH('TRANSPORT DASHBOARD'!$C$4,INDEX(MASTER_ZONES!$B:$B,232)))),231,""),""),""))</f>
        <v/>
      </c>
      <c r="G232">
        <f>IFERROR(SMALL($F$2:$F$1487,231),"")</f>
        <v/>
      </c>
      <c r="H232">
        <f>IF(G232="","",IF('TRANSPORT DASHBOARD'!$B$4="Area",INDEX(MASTER_AREAS!$B:$B,G232+1),INDEX(MASTER_ZONES!$B:$B,G232+1)))</f>
        <v/>
      </c>
      <c r="K232">
        <f>IF('MIDWEEK DASHBOARD'!$B$4="Area",IF(231&lt;=$N$3,IF(AND(OR('MIDWEEK DASHBOARD'!$C$4="",ISNUMBER(SEARCH('MIDWEEK DASHBOARD'!$C$4,INDEX(MASTER_AREAS!$B:$B,232))))),231,""),""),IF('MIDWEEK DASHBOARD'!$B$4="Zone",IF(231&lt;=$N$4,IF(OR('MIDWEEK DASHBOARD'!$C$4="",ISNUMBER(SEARCH('MIDWEEK DASHBOARD'!$C$4,INDEX(MASTER_ZONES!$B:$B,232)))),231,""),""),""))</f>
        <v/>
      </c>
      <c r="L232">
        <f>IFERROR(SMALL($K$2:$K$1487,231),"")</f>
        <v/>
      </c>
      <c r="M232">
        <f>IF(L232="","",IF('MIDWEEK DASHBOARD'!$B$4="Area",INDEX(MASTER_AREAS!$B:$B,L232+1),INDEX(MASTER_ZONES!$B:$B,L232+1)))</f>
        <v/>
      </c>
      <c r="P232">
        <f>IF('CHOP DASHBOARD'!$B$4="Area",IF(231&lt;=$S$3,IF(AND(OR('CHOP DASHBOARD'!$C$4="",ISNUMBER(SEARCH('CHOP DASHBOARD'!$C$4,INDEX(MASTER_AREAS!$B:$B,232))))),231,""),""),IF('CHOP DASHBOARD'!$B$4="Zone",IF(231&lt;=$S$4,IF(OR('CHOP DASHBOARD'!$C$4="",ISNUMBER(SEARCH('CHOP DASHBOARD'!$C$4,INDEX(MASTER_ZONES!$B:$B,232)))),231,""),""),""))</f>
        <v/>
      </c>
      <c r="Q232">
        <f>IFERROR(SMALL($P$2:$P$1487,231),"")</f>
        <v/>
      </c>
      <c r="R232">
        <f>IF(Q232="","",IF('CHOP DASHBOARD'!$B$4="Area",INDEX(MASTER_AREAS!$B:$B,Q232+1),INDEX(MASTER_ZONES!$B:$B,Q232+1)))</f>
        <v/>
      </c>
      <c r="U232">
        <f>IF('COMMUNITY CHURCH DASHBOARD'!$B$4="Area",IF(231&lt;=$X$3,IF(AND(OR('COMMUNITY CHURCH DASHBOARD'!$C$4="",ISNUMBER(SEARCH('COMMUNITY CHURCH DASHBOARD'!$C$4,INDEX(MASTER_AREAS!$B:$B,232))))),231,""),""),IF('COMMUNITY CHURCH DASHBOARD'!$B$4="Zone",IF(231&lt;=$X$4,IF(OR('COMMUNITY CHURCH DASHBOARD'!$C$4="",ISNUMBER(SEARCH('COMMUNITY CHURCH DASHBOARD'!$C$4,INDEX(MASTER_ZONES!$B:$B,232)))),231,""),""),""))</f>
        <v/>
      </c>
      <c r="V232">
        <f>IFERROR(SMALL($U$2:$U$1487,231),"")</f>
        <v/>
      </c>
      <c r="W232">
        <f>IF(V232="","",IF('COMMUNITY CHURCH DASHBOARD'!$B$4="Area",INDEX(MASTER_AREAS!$B:$B,V232+1),INDEX(MASTER_ZONES!$B:$B,V232+1)))</f>
        <v/>
      </c>
    </row>
    <row r="233">
      <c r="A233">
        <f>IF('WSF DASHBOARD'!$B$4="Area",IF(232&lt;=$D$3,IF(AND(OR('WSF DASHBOARD'!$C$4="",ISNUMBER(SEARCH('WSF DASHBOARD'!$C$4,INDEX(MASTER_AREAS!$B:$B,233))))),232,""),""),IF('WSF DASHBOARD'!$B$4="Zone",IF(232&lt;=$D$4,IF(OR('WSF DASHBOARD'!$C$4="",ISNUMBER(SEARCH('WSF DASHBOARD'!$C$4,INDEX(MASTER_ZONES!$B:$B,233)))),232,""),""),""))</f>
        <v/>
      </c>
      <c r="B233">
        <f>IFERROR(SMALL($A$2:$A$1487,232),"")</f>
        <v/>
      </c>
      <c r="C233">
        <f>IF(B233="","",IF('WSF DASHBOARD'!$B$4="Area",INDEX(MASTER_AREAS!$B:$B,B233+1),INDEX(MASTER_ZONES!$B:$B,B233+1)))</f>
        <v/>
      </c>
      <c r="F233">
        <f>IF('TRANSPORT DASHBOARD'!$B$4="Area",IF(232&lt;=$I$3,IF(AND(INDEX(MASTER_AREAS!$F:$F,233)&lt;&gt;"N",OR('TRANSPORT DASHBOARD'!$C$4="",ISNUMBER(SEARCH('TRANSPORT DASHBOARD'!$C$4,INDEX(MASTER_AREAS!$B:$B,233))))),232,""),""),IF('TRANSPORT DASHBOARD'!$B$4="Zone",IF(232&lt;=$I$4,IF(OR('TRANSPORT DASHBOARD'!$C$4="",ISNUMBER(SEARCH('TRANSPORT DASHBOARD'!$C$4,INDEX(MASTER_ZONES!$B:$B,233)))),232,""),""),""))</f>
        <v/>
      </c>
      <c r="G233">
        <f>IFERROR(SMALL($F$2:$F$1487,232),"")</f>
        <v/>
      </c>
      <c r="H233">
        <f>IF(G233="","",IF('TRANSPORT DASHBOARD'!$B$4="Area",INDEX(MASTER_AREAS!$B:$B,G233+1),INDEX(MASTER_ZONES!$B:$B,G233+1)))</f>
        <v/>
      </c>
      <c r="K233">
        <f>IF('MIDWEEK DASHBOARD'!$B$4="Area",IF(232&lt;=$N$3,IF(AND(OR('MIDWEEK DASHBOARD'!$C$4="",ISNUMBER(SEARCH('MIDWEEK DASHBOARD'!$C$4,INDEX(MASTER_AREAS!$B:$B,233))))),232,""),""),IF('MIDWEEK DASHBOARD'!$B$4="Zone",IF(232&lt;=$N$4,IF(OR('MIDWEEK DASHBOARD'!$C$4="",ISNUMBER(SEARCH('MIDWEEK DASHBOARD'!$C$4,INDEX(MASTER_ZONES!$B:$B,233)))),232,""),""),""))</f>
        <v/>
      </c>
      <c r="L233">
        <f>IFERROR(SMALL($K$2:$K$1487,232),"")</f>
        <v/>
      </c>
      <c r="M233">
        <f>IF(L233="","",IF('MIDWEEK DASHBOARD'!$B$4="Area",INDEX(MASTER_AREAS!$B:$B,L233+1),INDEX(MASTER_ZONES!$B:$B,L233+1)))</f>
        <v/>
      </c>
      <c r="P233">
        <f>IF('CHOP DASHBOARD'!$B$4="Area",IF(232&lt;=$S$3,IF(AND(OR('CHOP DASHBOARD'!$C$4="",ISNUMBER(SEARCH('CHOP DASHBOARD'!$C$4,INDEX(MASTER_AREAS!$B:$B,233))))),232,""),""),IF('CHOP DASHBOARD'!$B$4="Zone",IF(232&lt;=$S$4,IF(OR('CHOP DASHBOARD'!$C$4="",ISNUMBER(SEARCH('CHOP DASHBOARD'!$C$4,INDEX(MASTER_ZONES!$B:$B,233)))),232,""),""),""))</f>
        <v/>
      </c>
      <c r="Q233">
        <f>IFERROR(SMALL($P$2:$P$1487,232),"")</f>
        <v/>
      </c>
      <c r="R233">
        <f>IF(Q233="","",IF('CHOP DASHBOARD'!$B$4="Area",INDEX(MASTER_AREAS!$B:$B,Q233+1),INDEX(MASTER_ZONES!$B:$B,Q233+1)))</f>
        <v/>
      </c>
      <c r="U233">
        <f>IF('COMMUNITY CHURCH DASHBOARD'!$B$4="Area",IF(232&lt;=$X$3,IF(AND(OR('COMMUNITY CHURCH DASHBOARD'!$C$4="",ISNUMBER(SEARCH('COMMUNITY CHURCH DASHBOARD'!$C$4,INDEX(MASTER_AREAS!$B:$B,233))))),232,""),""),IF('COMMUNITY CHURCH DASHBOARD'!$B$4="Zone",IF(232&lt;=$X$4,IF(OR('COMMUNITY CHURCH DASHBOARD'!$C$4="",ISNUMBER(SEARCH('COMMUNITY CHURCH DASHBOARD'!$C$4,INDEX(MASTER_ZONES!$B:$B,233)))),232,""),""),""))</f>
        <v/>
      </c>
      <c r="V233">
        <f>IFERROR(SMALL($U$2:$U$1487,232),"")</f>
        <v/>
      </c>
      <c r="W233">
        <f>IF(V233="","",IF('COMMUNITY CHURCH DASHBOARD'!$B$4="Area",INDEX(MASTER_AREAS!$B:$B,V233+1),INDEX(MASTER_ZONES!$B:$B,V233+1)))</f>
        <v/>
      </c>
    </row>
    <row r="234">
      <c r="A234">
        <f>IF('WSF DASHBOARD'!$B$4="Area",IF(233&lt;=$D$3,IF(AND(OR('WSF DASHBOARD'!$C$4="",ISNUMBER(SEARCH('WSF DASHBOARD'!$C$4,INDEX(MASTER_AREAS!$B:$B,234))))),233,""),""),IF('WSF DASHBOARD'!$B$4="Zone",IF(233&lt;=$D$4,IF(OR('WSF DASHBOARD'!$C$4="",ISNUMBER(SEARCH('WSF DASHBOARD'!$C$4,INDEX(MASTER_ZONES!$B:$B,234)))),233,""),""),""))</f>
        <v/>
      </c>
      <c r="B234">
        <f>IFERROR(SMALL($A$2:$A$1487,233),"")</f>
        <v/>
      </c>
      <c r="C234">
        <f>IF(B234="","",IF('WSF DASHBOARD'!$B$4="Area",INDEX(MASTER_AREAS!$B:$B,B234+1),INDEX(MASTER_ZONES!$B:$B,B234+1)))</f>
        <v/>
      </c>
      <c r="F234">
        <f>IF('TRANSPORT DASHBOARD'!$B$4="Area",IF(233&lt;=$I$3,IF(AND(INDEX(MASTER_AREAS!$F:$F,234)&lt;&gt;"N",OR('TRANSPORT DASHBOARD'!$C$4="",ISNUMBER(SEARCH('TRANSPORT DASHBOARD'!$C$4,INDEX(MASTER_AREAS!$B:$B,234))))),233,""),""),IF('TRANSPORT DASHBOARD'!$B$4="Zone",IF(233&lt;=$I$4,IF(OR('TRANSPORT DASHBOARD'!$C$4="",ISNUMBER(SEARCH('TRANSPORT DASHBOARD'!$C$4,INDEX(MASTER_ZONES!$B:$B,234)))),233,""),""),""))</f>
        <v/>
      </c>
      <c r="G234">
        <f>IFERROR(SMALL($F$2:$F$1487,233),"")</f>
        <v/>
      </c>
      <c r="H234">
        <f>IF(G234="","",IF('TRANSPORT DASHBOARD'!$B$4="Area",INDEX(MASTER_AREAS!$B:$B,G234+1),INDEX(MASTER_ZONES!$B:$B,G234+1)))</f>
        <v/>
      </c>
      <c r="K234">
        <f>IF('MIDWEEK DASHBOARD'!$B$4="Area",IF(233&lt;=$N$3,IF(AND(OR('MIDWEEK DASHBOARD'!$C$4="",ISNUMBER(SEARCH('MIDWEEK DASHBOARD'!$C$4,INDEX(MASTER_AREAS!$B:$B,234))))),233,""),""),IF('MIDWEEK DASHBOARD'!$B$4="Zone",IF(233&lt;=$N$4,IF(OR('MIDWEEK DASHBOARD'!$C$4="",ISNUMBER(SEARCH('MIDWEEK DASHBOARD'!$C$4,INDEX(MASTER_ZONES!$B:$B,234)))),233,""),""),""))</f>
        <v/>
      </c>
      <c r="L234">
        <f>IFERROR(SMALL($K$2:$K$1487,233),"")</f>
        <v/>
      </c>
      <c r="M234">
        <f>IF(L234="","",IF('MIDWEEK DASHBOARD'!$B$4="Area",INDEX(MASTER_AREAS!$B:$B,L234+1),INDEX(MASTER_ZONES!$B:$B,L234+1)))</f>
        <v/>
      </c>
      <c r="P234">
        <f>IF('CHOP DASHBOARD'!$B$4="Area",IF(233&lt;=$S$3,IF(AND(OR('CHOP DASHBOARD'!$C$4="",ISNUMBER(SEARCH('CHOP DASHBOARD'!$C$4,INDEX(MASTER_AREAS!$B:$B,234))))),233,""),""),IF('CHOP DASHBOARD'!$B$4="Zone",IF(233&lt;=$S$4,IF(OR('CHOP DASHBOARD'!$C$4="",ISNUMBER(SEARCH('CHOP DASHBOARD'!$C$4,INDEX(MASTER_ZONES!$B:$B,234)))),233,""),""),""))</f>
        <v/>
      </c>
      <c r="Q234">
        <f>IFERROR(SMALL($P$2:$P$1487,233),"")</f>
        <v/>
      </c>
      <c r="R234">
        <f>IF(Q234="","",IF('CHOP DASHBOARD'!$B$4="Area",INDEX(MASTER_AREAS!$B:$B,Q234+1),INDEX(MASTER_ZONES!$B:$B,Q234+1)))</f>
        <v/>
      </c>
      <c r="U234">
        <f>IF('COMMUNITY CHURCH DASHBOARD'!$B$4="Area",IF(233&lt;=$X$3,IF(AND(OR('COMMUNITY CHURCH DASHBOARD'!$C$4="",ISNUMBER(SEARCH('COMMUNITY CHURCH DASHBOARD'!$C$4,INDEX(MASTER_AREAS!$B:$B,234))))),233,""),""),IF('COMMUNITY CHURCH DASHBOARD'!$B$4="Zone",IF(233&lt;=$X$4,IF(OR('COMMUNITY CHURCH DASHBOARD'!$C$4="",ISNUMBER(SEARCH('COMMUNITY CHURCH DASHBOARD'!$C$4,INDEX(MASTER_ZONES!$B:$B,234)))),233,""),""),""))</f>
        <v/>
      </c>
      <c r="V234">
        <f>IFERROR(SMALL($U$2:$U$1487,233),"")</f>
        <v/>
      </c>
      <c r="W234">
        <f>IF(V234="","",IF('COMMUNITY CHURCH DASHBOARD'!$B$4="Area",INDEX(MASTER_AREAS!$B:$B,V234+1),INDEX(MASTER_ZONES!$B:$B,V234+1)))</f>
        <v/>
      </c>
    </row>
    <row r="235">
      <c r="A235">
        <f>IF('WSF DASHBOARD'!$B$4="Area",IF(234&lt;=$D$3,IF(AND(OR('WSF DASHBOARD'!$C$4="",ISNUMBER(SEARCH('WSF DASHBOARD'!$C$4,INDEX(MASTER_AREAS!$B:$B,235))))),234,""),""),IF('WSF DASHBOARD'!$B$4="Zone",IF(234&lt;=$D$4,IF(OR('WSF DASHBOARD'!$C$4="",ISNUMBER(SEARCH('WSF DASHBOARD'!$C$4,INDEX(MASTER_ZONES!$B:$B,235)))),234,""),""),""))</f>
        <v/>
      </c>
      <c r="B235">
        <f>IFERROR(SMALL($A$2:$A$1487,234),"")</f>
        <v/>
      </c>
      <c r="C235">
        <f>IF(B235="","",IF('WSF DASHBOARD'!$B$4="Area",INDEX(MASTER_AREAS!$B:$B,B235+1),INDEX(MASTER_ZONES!$B:$B,B235+1)))</f>
        <v/>
      </c>
      <c r="F235">
        <f>IF('TRANSPORT DASHBOARD'!$B$4="Area",IF(234&lt;=$I$3,IF(AND(INDEX(MASTER_AREAS!$F:$F,235)&lt;&gt;"N",OR('TRANSPORT DASHBOARD'!$C$4="",ISNUMBER(SEARCH('TRANSPORT DASHBOARD'!$C$4,INDEX(MASTER_AREAS!$B:$B,235))))),234,""),""),IF('TRANSPORT DASHBOARD'!$B$4="Zone",IF(234&lt;=$I$4,IF(OR('TRANSPORT DASHBOARD'!$C$4="",ISNUMBER(SEARCH('TRANSPORT DASHBOARD'!$C$4,INDEX(MASTER_ZONES!$B:$B,235)))),234,""),""),""))</f>
        <v/>
      </c>
      <c r="G235">
        <f>IFERROR(SMALL($F$2:$F$1487,234),"")</f>
        <v/>
      </c>
      <c r="H235">
        <f>IF(G235="","",IF('TRANSPORT DASHBOARD'!$B$4="Area",INDEX(MASTER_AREAS!$B:$B,G235+1),INDEX(MASTER_ZONES!$B:$B,G235+1)))</f>
        <v/>
      </c>
      <c r="K235">
        <f>IF('MIDWEEK DASHBOARD'!$B$4="Area",IF(234&lt;=$N$3,IF(AND(OR('MIDWEEK DASHBOARD'!$C$4="",ISNUMBER(SEARCH('MIDWEEK DASHBOARD'!$C$4,INDEX(MASTER_AREAS!$B:$B,235))))),234,""),""),IF('MIDWEEK DASHBOARD'!$B$4="Zone",IF(234&lt;=$N$4,IF(OR('MIDWEEK DASHBOARD'!$C$4="",ISNUMBER(SEARCH('MIDWEEK DASHBOARD'!$C$4,INDEX(MASTER_ZONES!$B:$B,235)))),234,""),""),""))</f>
        <v/>
      </c>
      <c r="L235">
        <f>IFERROR(SMALL($K$2:$K$1487,234),"")</f>
        <v/>
      </c>
      <c r="M235">
        <f>IF(L235="","",IF('MIDWEEK DASHBOARD'!$B$4="Area",INDEX(MASTER_AREAS!$B:$B,L235+1),INDEX(MASTER_ZONES!$B:$B,L235+1)))</f>
        <v/>
      </c>
      <c r="P235">
        <f>IF('CHOP DASHBOARD'!$B$4="Area",IF(234&lt;=$S$3,IF(AND(OR('CHOP DASHBOARD'!$C$4="",ISNUMBER(SEARCH('CHOP DASHBOARD'!$C$4,INDEX(MASTER_AREAS!$B:$B,235))))),234,""),""),IF('CHOP DASHBOARD'!$B$4="Zone",IF(234&lt;=$S$4,IF(OR('CHOP DASHBOARD'!$C$4="",ISNUMBER(SEARCH('CHOP DASHBOARD'!$C$4,INDEX(MASTER_ZONES!$B:$B,235)))),234,""),""),""))</f>
        <v/>
      </c>
      <c r="Q235">
        <f>IFERROR(SMALL($P$2:$P$1487,234),"")</f>
        <v/>
      </c>
      <c r="R235">
        <f>IF(Q235="","",IF('CHOP DASHBOARD'!$B$4="Area",INDEX(MASTER_AREAS!$B:$B,Q235+1),INDEX(MASTER_ZONES!$B:$B,Q235+1)))</f>
        <v/>
      </c>
      <c r="U235">
        <f>IF('COMMUNITY CHURCH DASHBOARD'!$B$4="Area",IF(234&lt;=$X$3,IF(AND(OR('COMMUNITY CHURCH DASHBOARD'!$C$4="",ISNUMBER(SEARCH('COMMUNITY CHURCH DASHBOARD'!$C$4,INDEX(MASTER_AREAS!$B:$B,235))))),234,""),""),IF('COMMUNITY CHURCH DASHBOARD'!$B$4="Zone",IF(234&lt;=$X$4,IF(OR('COMMUNITY CHURCH DASHBOARD'!$C$4="",ISNUMBER(SEARCH('COMMUNITY CHURCH DASHBOARD'!$C$4,INDEX(MASTER_ZONES!$B:$B,235)))),234,""),""),""))</f>
        <v/>
      </c>
      <c r="V235">
        <f>IFERROR(SMALL($U$2:$U$1487,234),"")</f>
        <v/>
      </c>
      <c r="W235">
        <f>IF(V235="","",IF('COMMUNITY CHURCH DASHBOARD'!$B$4="Area",INDEX(MASTER_AREAS!$B:$B,V235+1),INDEX(MASTER_ZONES!$B:$B,V235+1)))</f>
        <v/>
      </c>
    </row>
    <row r="236">
      <c r="A236">
        <f>IF('WSF DASHBOARD'!$B$4="Area",IF(235&lt;=$D$3,IF(AND(OR('WSF DASHBOARD'!$C$4="",ISNUMBER(SEARCH('WSF DASHBOARD'!$C$4,INDEX(MASTER_AREAS!$B:$B,236))))),235,""),""),IF('WSF DASHBOARD'!$B$4="Zone",IF(235&lt;=$D$4,IF(OR('WSF DASHBOARD'!$C$4="",ISNUMBER(SEARCH('WSF DASHBOARD'!$C$4,INDEX(MASTER_ZONES!$B:$B,236)))),235,""),""),""))</f>
        <v/>
      </c>
      <c r="B236">
        <f>IFERROR(SMALL($A$2:$A$1487,235),"")</f>
        <v/>
      </c>
      <c r="C236">
        <f>IF(B236="","",IF('WSF DASHBOARD'!$B$4="Area",INDEX(MASTER_AREAS!$B:$B,B236+1),INDEX(MASTER_ZONES!$B:$B,B236+1)))</f>
        <v/>
      </c>
      <c r="F236">
        <f>IF('TRANSPORT DASHBOARD'!$B$4="Area",IF(235&lt;=$I$3,IF(AND(INDEX(MASTER_AREAS!$F:$F,236)&lt;&gt;"N",OR('TRANSPORT DASHBOARD'!$C$4="",ISNUMBER(SEARCH('TRANSPORT DASHBOARD'!$C$4,INDEX(MASTER_AREAS!$B:$B,236))))),235,""),""),IF('TRANSPORT DASHBOARD'!$B$4="Zone",IF(235&lt;=$I$4,IF(OR('TRANSPORT DASHBOARD'!$C$4="",ISNUMBER(SEARCH('TRANSPORT DASHBOARD'!$C$4,INDEX(MASTER_ZONES!$B:$B,236)))),235,""),""),""))</f>
        <v/>
      </c>
      <c r="G236">
        <f>IFERROR(SMALL($F$2:$F$1487,235),"")</f>
        <v/>
      </c>
      <c r="H236">
        <f>IF(G236="","",IF('TRANSPORT DASHBOARD'!$B$4="Area",INDEX(MASTER_AREAS!$B:$B,G236+1),INDEX(MASTER_ZONES!$B:$B,G236+1)))</f>
        <v/>
      </c>
      <c r="K236">
        <f>IF('MIDWEEK DASHBOARD'!$B$4="Area",IF(235&lt;=$N$3,IF(AND(OR('MIDWEEK DASHBOARD'!$C$4="",ISNUMBER(SEARCH('MIDWEEK DASHBOARD'!$C$4,INDEX(MASTER_AREAS!$B:$B,236))))),235,""),""),IF('MIDWEEK DASHBOARD'!$B$4="Zone",IF(235&lt;=$N$4,IF(OR('MIDWEEK DASHBOARD'!$C$4="",ISNUMBER(SEARCH('MIDWEEK DASHBOARD'!$C$4,INDEX(MASTER_ZONES!$B:$B,236)))),235,""),""),""))</f>
        <v/>
      </c>
      <c r="L236">
        <f>IFERROR(SMALL($K$2:$K$1487,235),"")</f>
        <v/>
      </c>
      <c r="M236">
        <f>IF(L236="","",IF('MIDWEEK DASHBOARD'!$B$4="Area",INDEX(MASTER_AREAS!$B:$B,L236+1),INDEX(MASTER_ZONES!$B:$B,L236+1)))</f>
        <v/>
      </c>
      <c r="P236">
        <f>IF('CHOP DASHBOARD'!$B$4="Area",IF(235&lt;=$S$3,IF(AND(OR('CHOP DASHBOARD'!$C$4="",ISNUMBER(SEARCH('CHOP DASHBOARD'!$C$4,INDEX(MASTER_AREAS!$B:$B,236))))),235,""),""),IF('CHOP DASHBOARD'!$B$4="Zone",IF(235&lt;=$S$4,IF(OR('CHOP DASHBOARD'!$C$4="",ISNUMBER(SEARCH('CHOP DASHBOARD'!$C$4,INDEX(MASTER_ZONES!$B:$B,236)))),235,""),""),""))</f>
        <v/>
      </c>
      <c r="Q236">
        <f>IFERROR(SMALL($P$2:$P$1487,235),"")</f>
        <v/>
      </c>
      <c r="R236">
        <f>IF(Q236="","",IF('CHOP DASHBOARD'!$B$4="Area",INDEX(MASTER_AREAS!$B:$B,Q236+1),INDEX(MASTER_ZONES!$B:$B,Q236+1)))</f>
        <v/>
      </c>
      <c r="U236">
        <f>IF('COMMUNITY CHURCH DASHBOARD'!$B$4="Area",IF(235&lt;=$X$3,IF(AND(OR('COMMUNITY CHURCH DASHBOARD'!$C$4="",ISNUMBER(SEARCH('COMMUNITY CHURCH DASHBOARD'!$C$4,INDEX(MASTER_AREAS!$B:$B,236))))),235,""),""),IF('COMMUNITY CHURCH DASHBOARD'!$B$4="Zone",IF(235&lt;=$X$4,IF(OR('COMMUNITY CHURCH DASHBOARD'!$C$4="",ISNUMBER(SEARCH('COMMUNITY CHURCH DASHBOARD'!$C$4,INDEX(MASTER_ZONES!$B:$B,236)))),235,""),""),""))</f>
        <v/>
      </c>
      <c r="V236">
        <f>IFERROR(SMALL($U$2:$U$1487,235),"")</f>
        <v/>
      </c>
      <c r="W236">
        <f>IF(V236="","",IF('COMMUNITY CHURCH DASHBOARD'!$B$4="Area",INDEX(MASTER_AREAS!$B:$B,V236+1),INDEX(MASTER_ZONES!$B:$B,V236+1)))</f>
        <v/>
      </c>
    </row>
    <row r="237">
      <c r="A237">
        <f>IF('WSF DASHBOARD'!$B$4="Area",IF(236&lt;=$D$3,IF(AND(OR('WSF DASHBOARD'!$C$4="",ISNUMBER(SEARCH('WSF DASHBOARD'!$C$4,INDEX(MASTER_AREAS!$B:$B,237))))),236,""),""),IF('WSF DASHBOARD'!$B$4="Zone",IF(236&lt;=$D$4,IF(OR('WSF DASHBOARD'!$C$4="",ISNUMBER(SEARCH('WSF DASHBOARD'!$C$4,INDEX(MASTER_ZONES!$B:$B,237)))),236,""),""),""))</f>
        <v/>
      </c>
      <c r="B237">
        <f>IFERROR(SMALL($A$2:$A$1487,236),"")</f>
        <v/>
      </c>
      <c r="C237">
        <f>IF(B237="","",IF('WSF DASHBOARD'!$B$4="Area",INDEX(MASTER_AREAS!$B:$B,B237+1),INDEX(MASTER_ZONES!$B:$B,B237+1)))</f>
        <v/>
      </c>
      <c r="F237">
        <f>IF('TRANSPORT DASHBOARD'!$B$4="Area",IF(236&lt;=$I$3,IF(AND(INDEX(MASTER_AREAS!$F:$F,237)&lt;&gt;"N",OR('TRANSPORT DASHBOARD'!$C$4="",ISNUMBER(SEARCH('TRANSPORT DASHBOARD'!$C$4,INDEX(MASTER_AREAS!$B:$B,237))))),236,""),""),IF('TRANSPORT DASHBOARD'!$B$4="Zone",IF(236&lt;=$I$4,IF(OR('TRANSPORT DASHBOARD'!$C$4="",ISNUMBER(SEARCH('TRANSPORT DASHBOARD'!$C$4,INDEX(MASTER_ZONES!$B:$B,237)))),236,""),""),""))</f>
        <v/>
      </c>
      <c r="G237">
        <f>IFERROR(SMALL($F$2:$F$1487,236),"")</f>
        <v/>
      </c>
      <c r="H237">
        <f>IF(G237="","",IF('TRANSPORT DASHBOARD'!$B$4="Area",INDEX(MASTER_AREAS!$B:$B,G237+1),INDEX(MASTER_ZONES!$B:$B,G237+1)))</f>
        <v/>
      </c>
      <c r="K237">
        <f>IF('MIDWEEK DASHBOARD'!$B$4="Area",IF(236&lt;=$N$3,IF(AND(OR('MIDWEEK DASHBOARD'!$C$4="",ISNUMBER(SEARCH('MIDWEEK DASHBOARD'!$C$4,INDEX(MASTER_AREAS!$B:$B,237))))),236,""),""),IF('MIDWEEK DASHBOARD'!$B$4="Zone",IF(236&lt;=$N$4,IF(OR('MIDWEEK DASHBOARD'!$C$4="",ISNUMBER(SEARCH('MIDWEEK DASHBOARD'!$C$4,INDEX(MASTER_ZONES!$B:$B,237)))),236,""),""),""))</f>
        <v/>
      </c>
      <c r="L237">
        <f>IFERROR(SMALL($K$2:$K$1487,236),"")</f>
        <v/>
      </c>
      <c r="M237">
        <f>IF(L237="","",IF('MIDWEEK DASHBOARD'!$B$4="Area",INDEX(MASTER_AREAS!$B:$B,L237+1),INDEX(MASTER_ZONES!$B:$B,L237+1)))</f>
        <v/>
      </c>
      <c r="P237">
        <f>IF('CHOP DASHBOARD'!$B$4="Area",IF(236&lt;=$S$3,IF(AND(OR('CHOP DASHBOARD'!$C$4="",ISNUMBER(SEARCH('CHOP DASHBOARD'!$C$4,INDEX(MASTER_AREAS!$B:$B,237))))),236,""),""),IF('CHOP DASHBOARD'!$B$4="Zone",IF(236&lt;=$S$4,IF(OR('CHOP DASHBOARD'!$C$4="",ISNUMBER(SEARCH('CHOP DASHBOARD'!$C$4,INDEX(MASTER_ZONES!$B:$B,237)))),236,""),""),""))</f>
        <v/>
      </c>
      <c r="Q237">
        <f>IFERROR(SMALL($P$2:$P$1487,236),"")</f>
        <v/>
      </c>
      <c r="R237">
        <f>IF(Q237="","",IF('CHOP DASHBOARD'!$B$4="Area",INDEX(MASTER_AREAS!$B:$B,Q237+1),INDEX(MASTER_ZONES!$B:$B,Q237+1)))</f>
        <v/>
      </c>
      <c r="U237">
        <f>IF('COMMUNITY CHURCH DASHBOARD'!$B$4="Area",IF(236&lt;=$X$3,IF(AND(OR('COMMUNITY CHURCH DASHBOARD'!$C$4="",ISNUMBER(SEARCH('COMMUNITY CHURCH DASHBOARD'!$C$4,INDEX(MASTER_AREAS!$B:$B,237))))),236,""),""),IF('COMMUNITY CHURCH DASHBOARD'!$B$4="Zone",IF(236&lt;=$X$4,IF(OR('COMMUNITY CHURCH DASHBOARD'!$C$4="",ISNUMBER(SEARCH('COMMUNITY CHURCH DASHBOARD'!$C$4,INDEX(MASTER_ZONES!$B:$B,237)))),236,""),""),""))</f>
        <v/>
      </c>
      <c r="V237">
        <f>IFERROR(SMALL($U$2:$U$1487,236),"")</f>
        <v/>
      </c>
      <c r="W237">
        <f>IF(V237="","",IF('COMMUNITY CHURCH DASHBOARD'!$B$4="Area",INDEX(MASTER_AREAS!$B:$B,V237+1),INDEX(MASTER_ZONES!$B:$B,V237+1)))</f>
        <v/>
      </c>
    </row>
    <row r="238">
      <c r="A238">
        <f>IF('WSF DASHBOARD'!$B$4="Area",IF(237&lt;=$D$3,IF(AND(OR('WSF DASHBOARD'!$C$4="",ISNUMBER(SEARCH('WSF DASHBOARD'!$C$4,INDEX(MASTER_AREAS!$B:$B,238))))),237,""),""),IF('WSF DASHBOARD'!$B$4="Zone",IF(237&lt;=$D$4,IF(OR('WSF DASHBOARD'!$C$4="",ISNUMBER(SEARCH('WSF DASHBOARD'!$C$4,INDEX(MASTER_ZONES!$B:$B,238)))),237,""),""),""))</f>
        <v/>
      </c>
      <c r="B238">
        <f>IFERROR(SMALL($A$2:$A$1487,237),"")</f>
        <v/>
      </c>
      <c r="C238">
        <f>IF(B238="","",IF('WSF DASHBOARD'!$B$4="Area",INDEX(MASTER_AREAS!$B:$B,B238+1),INDEX(MASTER_ZONES!$B:$B,B238+1)))</f>
        <v/>
      </c>
      <c r="F238">
        <f>IF('TRANSPORT DASHBOARD'!$B$4="Area",IF(237&lt;=$I$3,IF(AND(INDEX(MASTER_AREAS!$F:$F,238)&lt;&gt;"N",OR('TRANSPORT DASHBOARD'!$C$4="",ISNUMBER(SEARCH('TRANSPORT DASHBOARD'!$C$4,INDEX(MASTER_AREAS!$B:$B,238))))),237,""),""),IF('TRANSPORT DASHBOARD'!$B$4="Zone",IF(237&lt;=$I$4,IF(OR('TRANSPORT DASHBOARD'!$C$4="",ISNUMBER(SEARCH('TRANSPORT DASHBOARD'!$C$4,INDEX(MASTER_ZONES!$B:$B,238)))),237,""),""),""))</f>
        <v/>
      </c>
      <c r="G238">
        <f>IFERROR(SMALL($F$2:$F$1487,237),"")</f>
        <v/>
      </c>
      <c r="H238">
        <f>IF(G238="","",IF('TRANSPORT DASHBOARD'!$B$4="Area",INDEX(MASTER_AREAS!$B:$B,G238+1),INDEX(MASTER_ZONES!$B:$B,G238+1)))</f>
        <v/>
      </c>
      <c r="K238">
        <f>IF('MIDWEEK DASHBOARD'!$B$4="Area",IF(237&lt;=$N$3,IF(AND(OR('MIDWEEK DASHBOARD'!$C$4="",ISNUMBER(SEARCH('MIDWEEK DASHBOARD'!$C$4,INDEX(MASTER_AREAS!$B:$B,238))))),237,""),""),IF('MIDWEEK DASHBOARD'!$B$4="Zone",IF(237&lt;=$N$4,IF(OR('MIDWEEK DASHBOARD'!$C$4="",ISNUMBER(SEARCH('MIDWEEK DASHBOARD'!$C$4,INDEX(MASTER_ZONES!$B:$B,238)))),237,""),""),""))</f>
        <v/>
      </c>
      <c r="L238">
        <f>IFERROR(SMALL($K$2:$K$1487,237),"")</f>
        <v/>
      </c>
      <c r="M238">
        <f>IF(L238="","",IF('MIDWEEK DASHBOARD'!$B$4="Area",INDEX(MASTER_AREAS!$B:$B,L238+1),INDEX(MASTER_ZONES!$B:$B,L238+1)))</f>
        <v/>
      </c>
      <c r="P238">
        <f>IF('CHOP DASHBOARD'!$B$4="Area",IF(237&lt;=$S$3,IF(AND(OR('CHOP DASHBOARD'!$C$4="",ISNUMBER(SEARCH('CHOP DASHBOARD'!$C$4,INDEX(MASTER_AREAS!$B:$B,238))))),237,""),""),IF('CHOP DASHBOARD'!$B$4="Zone",IF(237&lt;=$S$4,IF(OR('CHOP DASHBOARD'!$C$4="",ISNUMBER(SEARCH('CHOP DASHBOARD'!$C$4,INDEX(MASTER_ZONES!$B:$B,238)))),237,""),""),""))</f>
        <v/>
      </c>
      <c r="Q238">
        <f>IFERROR(SMALL($P$2:$P$1487,237),"")</f>
        <v/>
      </c>
      <c r="R238">
        <f>IF(Q238="","",IF('CHOP DASHBOARD'!$B$4="Area",INDEX(MASTER_AREAS!$B:$B,Q238+1),INDEX(MASTER_ZONES!$B:$B,Q238+1)))</f>
        <v/>
      </c>
      <c r="U238">
        <f>IF('COMMUNITY CHURCH DASHBOARD'!$B$4="Area",IF(237&lt;=$X$3,IF(AND(OR('COMMUNITY CHURCH DASHBOARD'!$C$4="",ISNUMBER(SEARCH('COMMUNITY CHURCH DASHBOARD'!$C$4,INDEX(MASTER_AREAS!$B:$B,238))))),237,""),""),IF('COMMUNITY CHURCH DASHBOARD'!$B$4="Zone",IF(237&lt;=$X$4,IF(OR('COMMUNITY CHURCH DASHBOARD'!$C$4="",ISNUMBER(SEARCH('COMMUNITY CHURCH DASHBOARD'!$C$4,INDEX(MASTER_ZONES!$B:$B,238)))),237,""),""),""))</f>
        <v/>
      </c>
      <c r="V238">
        <f>IFERROR(SMALL($U$2:$U$1487,237),"")</f>
        <v/>
      </c>
      <c r="W238">
        <f>IF(V238="","",IF('COMMUNITY CHURCH DASHBOARD'!$B$4="Area",INDEX(MASTER_AREAS!$B:$B,V238+1),INDEX(MASTER_ZONES!$B:$B,V238+1)))</f>
        <v/>
      </c>
    </row>
    <row r="239">
      <c r="A239">
        <f>IF('WSF DASHBOARD'!$B$4="Area",IF(238&lt;=$D$3,IF(AND(OR('WSF DASHBOARD'!$C$4="",ISNUMBER(SEARCH('WSF DASHBOARD'!$C$4,INDEX(MASTER_AREAS!$B:$B,239))))),238,""),""),IF('WSF DASHBOARD'!$B$4="Zone",IF(238&lt;=$D$4,IF(OR('WSF DASHBOARD'!$C$4="",ISNUMBER(SEARCH('WSF DASHBOARD'!$C$4,INDEX(MASTER_ZONES!$B:$B,239)))),238,""),""),""))</f>
        <v/>
      </c>
      <c r="B239">
        <f>IFERROR(SMALL($A$2:$A$1487,238),"")</f>
        <v/>
      </c>
      <c r="C239">
        <f>IF(B239="","",IF('WSF DASHBOARD'!$B$4="Area",INDEX(MASTER_AREAS!$B:$B,B239+1),INDEX(MASTER_ZONES!$B:$B,B239+1)))</f>
        <v/>
      </c>
      <c r="F239">
        <f>IF('TRANSPORT DASHBOARD'!$B$4="Area",IF(238&lt;=$I$3,IF(AND(INDEX(MASTER_AREAS!$F:$F,239)&lt;&gt;"N",OR('TRANSPORT DASHBOARD'!$C$4="",ISNUMBER(SEARCH('TRANSPORT DASHBOARD'!$C$4,INDEX(MASTER_AREAS!$B:$B,239))))),238,""),""),IF('TRANSPORT DASHBOARD'!$B$4="Zone",IF(238&lt;=$I$4,IF(OR('TRANSPORT DASHBOARD'!$C$4="",ISNUMBER(SEARCH('TRANSPORT DASHBOARD'!$C$4,INDEX(MASTER_ZONES!$B:$B,239)))),238,""),""),""))</f>
        <v/>
      </c>
      <c r="G239">
        <f>IFERROR(SMALL($F$2:$F$1487,238),"")</f>
        <v/>
      </c>
      <c r="H239">
        <f>IF(G239="","",IF('TRANSPORT DASHBOARD'!$B$4="Area",INDEX(MASTER_AREAS!$B:$B,G239+1),INDEX(MASTER_ZONES!$B:$B,G239+1)))</f>
        <v/>
      </c>
      <c r="K239">
        <f>IF('MIDWEEK DASHBOARD'!$B$4="Area",IF(238&lt;=$N$3,IF(AND(OR('MIDWEEK DASHBOARD'!$C$4="",ISNUMBER(SEARCH('MIDWEEK DASHBOARD'!$C$4,INDEX(MASTER_AREAS!$B:$B,239))))),238,""),""),IF('MIDWEEK DASHBOARD'!$B$4="Zone",IF(238&lt;=$N$4,IF(OR('MIDWEEK DASHBOARD'!$C$4="",ISNUMBER(SEARCH('MIDWEEK DASHBOARD'!$C$4,INDEX(MASTER_ZONES!$B:$B,239)))),238,""),""),""))</f>
        <v/>
      </c>
      <c r="L239">
        <f>IFERROR(SMALL($K$2:$K$1487,238),"")</f>
        <v/>
      </c>
      <c r="M239">
        <f>IF(L239="","",IF('MIDWEEK DASHBOARD'!$B$4="Area",INDEX(MASTER_AREAS!$B:$B,L239+1),INDEX(MASTER_ZONES!$B:$B,L239+1)))</f>
        <v/>
      </c>
      <c r="P239">
        <f>IF('CHOP DASHBOARD'!$B$4="Area",IF(238&lt;=$S$3,IF(AND(OR('CHOP DASHBOARD'!$C$4="",ISNUMBER(SEARCH('CHOP DASHBOARD'!$C$4,INDEX(MASTER_AREAS!$B:$B,239))))),238,""),""),IF('CHOP DASHBOARD'!$B$4="Zone",IF(238&lt;=$S$4,IF(OR('CHOP DASHBOARD'!$C$4="",ISNUMBER(SEARCH('CHOP DASHBOARD'!$C$4,INDEX(MASTER_ZONES!$B:$B,239)))),238,""),""),""))</f>
        <v/>
      </c>
      <c r="Q239">
        <f>IFERROR(SMALL($P$2:$P$1487,238),"")</f>
        <v/>
      </c>
      <c r="R239">
        <f>IF(Q239="","",IF('CHOP DASHBOARD'!$B$4="Area",INDEX(MASTER_AREAS!$B:$B,Q239+1),INDEX(MASTER_ZONES!$B:$B,Q239+1)))</f>
        <v/>
      </c>
      <c r="U239">
        <f>IF('COMMUNITY CHURCH DASHBOARD'!$B$4="Area",IF(238&lt;=$X$3,IF(AND(OR('COMMUNITY CHURCH DASHBOARD'!$C$4="",ISNUMBER(SEARCH('COMMUNITY CHURCH DASHBOARD'!$C$4,INDEX(MASTER_AREAS!$B:$B,239))))),238,""),""),IF('COMMUNITY CHURCH DASHBOARD'!$B$4="Zone",IF(238&lt;=$X$4,IF(OR('COMMUNITY CHURCH DASHBOARD'!$C$4="",ISNUMBER(SEARCH('COMMUNITY CHURCH DASHBOARD'!$C$4,INDEX(MASTER_ZONES!$B:$B,239)))),238,""),""),""))</f>
        <v/>
      </c>
      <c r="V239">
        <f>IFERROR(SMALL($U$2:$U$1487,238),"")</f>
        <v/>
      </c>
      <c r="W239">
        <f>IF(V239="","",IF('COMMUNITY CHURCH DASHBOARD'!$B$4="Area",INDEX(MASTER_AREAS!$B:$B,V239+1),INDEX(MASTER_ZONES!$B:$B,V239+1)))</f>
        <v/>
      </c>
    </row>
    <row r="240">
      <c r="A240">
        <f>IF('WSF DASHBOARD'!$B$4="Area",IF(239&lt;=$D$3,IF(AND(OR('WSF DASHBOARD'!$C$4="",ISNUMBER(SEARCH('WSF DASHBOARD'!$C$4,INDEX(MASTER_AREAS!$B:$B,240))))),239,""),""),IF('WSF DASHBOARD'!$B$4="Zone",IF(239&lt;=$D$4,IF(OR('WSF DASHBOARD'!$C$4="",ISNUMBER(SEARCH('WSF DASHBOARD'!$C$4,INDEX(MASTER_ZONES!$B:$B,240)))),239,""),""),""))</f>
        <v/>
      </c>
      <c r="B240">
        <f>IFERROR(SMALL($A$2:$A$1487,239),"")</f>
        <v/>
      </c>
      <c r="C240">
        <f>IF(B240="","",IF('WSF DASHBOARD'!$B$4="Area",INDEX(MASTER_AREAS!$B:$B,B240+1),INDEX(MASTER_ZONES!$B:$B,B240+1)))</f>
        <v/>
      </c>
      <c r="F240">
        <f>IF('TRANSPORT DASHBOARD'!$B$4="Area",IF(239&lt;=$I$3,IF(AND(INDEX(MASTER_AREAS!$F:$F,240)&lt;&gt;"N",OR('TRANSPORT DASHBOARD'!$C$4="",ISNUMBER(SEARCH('TRANSPORT DASHBOARD'!$C$4,INDEX(MASTER_AREAS!$B:$B,240))))),239,""),""),IF('TRANSPORT DASHBOARD'!$B$4="Zone",IF(239&lt;=$I$4,IF(OR('TRANSPORT DASHBOARD'!$C$4="",ISNUMBER(SEARCH('TRANSPORT DASHBOARD'!$C$4,INDEX(MASTER_ZONES!$B:$B,240)))),239,""),""),""))</f>
        <v/>
      </c>
      <c r="G240">
        <f>IFERROR(SMALL($F$2:$F$1487,239),"")</f>
        <v/>
      </c>
      <c r="H240">
        <f>IF(G240="","",IF('TRANSPORT DASHBOARD'!$B$4="Area",INDEX(MASTER_AREAS!$B:$B,G240+1),INDEX(MASTER_ZONES!$B:$B,G240+1)))</f>
        <v/>
      </c>
      <c r="K240">
        <f>IF('MIDWEEK DASHBOARD'!$B$4="Area",IF(239&lt;=$N$3,IF(AND(OR('MIDWEEK DASHBOARD'!$C$4="",ISNUMBER(SEARCH('MIDWEEK DASHBOARD'!$C$4,INDEX(MASTER_AREAS!$B:$B,240))))),239,""),""),IF('MIDWEEK DASHBOARD'!$B$4="Zone",IF(239&lt;=$N$4,IF(OR('MIDWEEK DASHBOARD'!$C$4="",ISNUMBER(SEARCH('MIDWEEK DASHBOARD'!$C$4,INDEX(MASTER_ZONES!$B:$B,240)))),239,""),""),""))</f>
        <v/>
      </c>
      <c r="L240">
        <f>IFERROR(SMALL($K$2:$K$1487,239),"")</f>
        <v/>
      </c>
      <c r="M240">
        <f>IF(L240="","",IF('MIDWEEK DASHBOARD'!$B$4="Area",INDEX(MASTER_AREAS!$B:$B,L240+1),INDEX(MASTER_ZONES!$B:$B,L240+1)))</f>
        <v/>
      </c>
      <c r="P240">
        <f>IF('CHOP DASHBOARD'!$B$4="Area",IF(239&lt;=$S$3,IF(AND(OR('CHOP DASHBOARD'!$C$4="",ISNUMBER(SEARCH('CHOP DASHBOARD'!$C$4,INDEX(MASTER_AREAS!$B:$B,240))))),239,""),""),IF('CHOP DASHBOARD'!$B$4="Zone",IF(239&lt;=$S$4,IF(OR('CHOP DASHBOARD'!$C$4="",ISNUMBER(SEARCH('CHOP DASHBOARD'!$C$4,INDEX(MASTER_ZONES!$B:$B,240)))),239,""),""),""))</f>
        <v/>
      </c>
      <c r="Q240">
        <f>IFERROR(SMALL($P$2:$P$1487,239),"")</f>
        <v/>
      </c>
      <c r="R240">
        <f>IF(Q240="","",IF('CHOP DASHBOARD'!$B$4="Area",INDEX(MASTER_AREAS!$B:$B,Q240+1),INDEX(MASTER_ZONES!$B:$B,Q240+1)))</f>
        <v/>
      </c>
      <c r="U240">
        <f>IF('COMMUNITY CHURCH DASHBOARD'!$B$4="Area",IF(239&lt;=$X$3,IF(AND(OR('COMMUNITY CHURCH DASHBOARD'!$C$4="",ISNUMBER(SEARCH('COMMUNITY CHURCH DASHBOARD'!$C$4,INDEX(MASTER_AREAS!$B:$B,240))))),239,""),""),IF('COMMUNITY CHURCH DASHBOARD'!$B$4="Zone",IF(239&lt;=$X$4,IF(OR('COMMUNITY CHURCH DASHBOARD'!$C$4="",ISNUMBER(SEARCH('COMMUNITY CHURCH DASHBOARD'!$C$4,INDEX(MASTER_ZONES!$B:$B,240)))),239,""),""),""))</f>
        <v/>
      </c>
      <c r="V240">
        <f>IFERROR(SMALL($U$2:$U$1487,239),"")</f>
        <v/>
      </c>
      <c r="W240">
        <f>IF(V240="","",IF('COMMUNITY CHURCH DASHBOARD'!$B$4="Area",INDEX(MASTER_AREAS!$B:$B,V240+1),INDEX(MASTER_ZONES!$B:$B,V240+1)))</f>
        <v/>
      </c>
    </row>
    <row r="241">
      <c r="A241">
        <f>IF('WSF DASHBOARD'!$B$4="Area",IF(240&lt;=$D$3,IF(AND(OR('WSF DASHBOARD'!$C$4="",ISNUMBER(SEARCH('WSF DASHBOARD'!$C$4,INDEX(MASTER_AREAS!$B:$B,241))))),240,""),""),IF('WSF DASHBOARD'!$B$4="Zone",IF(240&lt;=$D$4,IF(OR('WSF DASHBOARD'!$C$4="",ISNUMBER(SEARCH('WSF DASHBOARD'!$C$4,INDEX(MASTER_ZONES!$B:$B,241)))),240,""),""),""))</f>
        <v/>
      </c>
      <c r="B241">
        <f>IFERROR(SMALL($A$2:$A$1487,240),"")</f>
        <v/>
      </c>
      <c r="C241">
        <f>IF(B241="","",IF('WSF DASHBOARD'!$B$4="Area",INDEX(MASTER_AREAS!$B:$B,B241+1),INDEX(MASTER_ZONES!$B:$B,B241+1)))</f>
        <v/>
      </c>
      <c r="F241">
        <f>IF('TRANSPORT DASHBOARD'!$B$4="Area",IF(240&lt;=$I$3,IF(AND(INDEX(MASTER_AREAS!$F:$F,241)&lt;&gt;"N",OR('TRANSPORT DASHBOARD'!$C$4="",ISNUMBER(SEARCH('TRANSPORT DASHBOARD'!$C$4,INDEX(MASTER_AREAS!$B:$B,241))))),240,""),""),IF('TRANSPORT DASHBOARD'!$B$4="Zone",IF(240&lt;=$I$4,IF(OR('TRANSPORT DASHBOARD'!$C$4="",ISNUMBER(SEARCH('TRANSPORT DASHBOARD'!$C$4,INDEX(MASTER_ZONES!$B:$B,241)))),240,""),""),""))</f>
        <v/>
      </c>
      <c r="G241">
        <f>IFERROR(SMALL($F$2:$F$1487,240),"")</f>
        <v/>
      </c>
      <c r="H241">
        <f>IF(G241="","",IF('TRANSPORT DASHBOARD'!$B$4="Area",INDEX(MASTER_AREAS!$B:$B,G241+1),INDEX(MASTER_ZONES!$B:$B,G241+1)))</f>
        <v/>
      </c>
      <c r="K241">
        <f>IF('MIDWEEK DASHBOARD'!$B$4="Area",IF(240&lt;=$N$3,IF(AND(OR('MIDWEEK DASHBOARD'!$C$4="",ISNUMBER(SEARCH('MIDWEEK DASHBOARD'!$C$4,INDEX(MASTER_AREAS!$B:$B,241))))),240,""),""),IF('MIDWEEK DASHBOARD'!$B$4="Zone",IF(240&lt;=$N$4,IF(OR('MIDWEEK DASHBOARD'!$C$4="",ISNUMBER(SEARCH('MIDWEEK DASHBOARD'!$C$4,INDEX(MASTER_ZONES!$B:$B,241)))),240,""),""),""))</f>
        <v/>
      </c>
      <c r="L241">
        <f>IFERROR(SMALL($K$2:$K$1487,240),"")</f>
        <v/>
      </c>
      <c r="M241">
        <f>IF(L241="","",IF('MIDWEEK DASHBOARD'!$B$4="Area",INDEX(MASTER_AREAS!$B:$B,L241+1),INDEX(MASTER_ZONES!$B:$B,L241+1)))</f>
        <v/>
      </c>
      <c r="P241">
        <f>IF('CHOP DASHBOARD'!$B$4="Area",IF(240&lt;=$S$3,IF(AND(OR('CHOP DASHBOARD'!$C$4="",ISNUMBER(SEARCH('CHOP DASHBOARD'!$C$4,INDEX(MASTER_AREAS!$B:$B,241))))),240,""),""),IF('CHOP DASHBOARD'!$B$4="Zone",IF(240&lt;=$S$4,IF(OR('CHOP DASHBOARD'!$C$4="",ISNUMBER(SEARCH('CHOP DASHBOARD'!$C$4,INDEX(MASTER_ZONES!$B:$B,241)))),240,""),""),""))</f>
        <v/>
      </c>
      <c r="Q241">
        <f>IFERROR(SMALL($P$2:$P$1487,240),"")</f>
        <v/>
      </c>
      <c r="R241">
        <f>IF(Q241="","",IF('CHOP DASHBOARD'!$B$4="Area",INDEX(MASTER_AREAS!$B:$B,Q241+1),INDEX(MASTER_ZONES!$B:$B,Q241+1)))</f>
        <v/>
      </c>
      <c r="U241">
        <f>IF('COMMUNITY CHURCH DASHBOARD'!$B$4="Area",IF(240&lt;=$X$3,IF(AND(OR('COMMUNITY CHURCH DASHBOARD'!$C$4="",ISNUMBER(SEARCH('COMMUNITY CHURCH DASHBOARD'!$C$4,INDEX(MASTER_AREAS!$B:$B,241))))),240,""),""),IF('COMMUNITY CHURCH DASHBOARD'!$B$4="Zone",IF(240&lt;=$X$4,IF(OR('COMMUNITY CHURCH DASHBOARD'!$C$4="",ISNUMBER(SEARCH('COMMUNITY CHURCH DASHBOARD'!$C$4,INDEX(MASTER_ZONES!$B:$B,241)))),240,""),""),""))</f>
        <v/>
      </c>
      <c r="V241">
        <f>IFERROR(SMALL($U$2:$U$1487,240),"")</f>
        <v/>
      </c>
      <c r="W241">
        <f>IF(V241="","",IF('COMMUNITY CHURCH DASHBOARD'!$B$4="Area",INDEX(MASTER_AREAS!$B:$B,V241+1),INDEX(MASTER_ZONES!$B:$B,V241+1)))</f>
        <v/>
      </c>
    </row>
    <row r="242">
      <c r="A242">
        <f>IF('WSF DASHBOARD'!$B$4="Area",IF(241&lt;=$D$3,IF(AND(OR('WSF DASHBOARD'!$C$4="",ISNUMBER(SEARCH('WSF DASHBOARD'!$C$4,INDEX(MASTER_AREAS!$B:$B,242))))),241,""),""),IF('WSF DASHBOARD'!$B$4="Zone",IF(241&lt;=$D$4,IF(OR('WSF DASHBOARD'!$C$4="",ISNUMBER(SEARCH('WSF DASHBOARD'!$C$4,INDEX(MASTER_ZONES!$B:$B,242)))),241,""),""),""))</f>
        <v/>
      </c>
      <c r="B242">
        <f>IFERROR(SMALL($A$2:$A$1487,241),"")</f>
        <v/>
      </c>
      <c r="C242">
        <f>IF(B242="","",IF('WSF DASHBOARD'!$B$4="Area",INDEX(MASTER_AREAS!$B:$B,B242+1),INDEX(MASTER_ZONES!$B:$B,B242+1)))</f>
        <v/>
      </c>
      <c r="F242">
        <f>IF('TRANSPORT DASHBOARD'!$B$4="Area",IF(241&lt;=$I$3,IF(AND(INDEX(MASTER_AREAS!$F:$F,242)&lt;&gt;"N",OR('TRANSPORT DASHBOARD'!$C$4="",ISNUMBER(SEARCH('TRANSPORT DASHBOARD'!$C$4,INDEX(MASTER_AREAS!$B:$B,242))))),241,""),""),IF('TRANSPORT DASHBOARD'!$B$4="Zone",IF(241&lt;=$I$4,IF(OR('TRANSPORT DASHBOARD'!$C$4="",ISNUMBER(SEARCH('TRANSPORT DASHBOARD'!$C$4,INDEX(MASTER_ZONES!$B:$B,242)))),241,""),""),""))</f>
        <v/>
      </c>
      <c r="G242">
        <f>IFERROR(SMALL($F$2:$F$1487,241),"")</f>
        <v/>
      </c>
      <c r="H242">
        <f>IF(G242="","",IF('TRANSPORT DASHBOARD'!$B$4="Area",INDEX(MASTER_AREAS!$B:$B,G242+1),INDEX(MASTER_ZONES!$B:$B,G242+1)))</f>
        <v/>
      </c>
      <c r="K242">
        <f>IF('MIDWEEK DASHBOARD'!$B$4="Area",IF(241&lt;=$N$3,IF(AND(OR('MIDWEEK DASHBOARD'!$C$4="",ISNUMBER(SEARCH('MIDWEEK DASHBOARD'!$C$4,INDEX(MASTER_AREAS!$B:$B,242))))),241,""),""),IF('MIDWEEK DASHBOARD'!$B$4="Zone",IF(241&lt;=$N$4,IF(OR('MIDWEEK DASHBOARD'!$C$4="",ISNUMBER(SEARCH('MIDWEEK DASHBOARD'!$C$4,INDEX(MASTER_ZONES!$B:$B,242)))),241,""),""),""))</f>
        <v/>
      </c>
      <c r="L242">
        <f>IFERROR(SMALL($K$2:$K$1487,241),"")</f>
        <v/>
      </c>
      <c r="M242">
        <f>IF(L242="","",IF('MIDWEEK DASHBOARD'!$B$4="Area",INDEX(MASTER_AREAS!$B:$B,L242+1),INDEX(MASTER_ZONES!$B:$B,L242+1)))</f>
        <v/>
      </c>
      <c r="P242">
        <f>IF('CHOP DASHBOARD'!$B$4="Area",IF(241&lt;=$S$3,IF(AND(OR('CHOP DASHBOARD'!$C$4="",ISNUMBER(SEARCH('CHOP DASHBOARD'!$C$4,INDEX(MASTER_AREAS!$B:$B,242))))),241,""),""),IF('CHOP DASHBOARD'!$B$4="Zone",IF(241&lt;=$S$4,IF(OR('CHOP DASHBOARD'!$C$4="",ISNUMBER(SEARCH('CHOP DASHBOARD'!$C$4,INDEX(MASTER_ZONES!$B:$B,242)))),241,""),""),""))</f>
        <v/>
      </c>
      <c r="Q242">
        <f>IFERROR(SMALL($P$2:$P$1487,241),"")</f>
        <v/>
      </c>
      <c r="R242">
        <f>IF(Q242="","",IF('CHOP DASHBOARD'!$B$4="Area",INDEX(MASTER_AREAS!$B:$B,Q242+1),INDEX(MASTER_ZONES!$B:$B,Q242+1)))</f>
        <v/>
      </c>
      <c r="U242">
        <f>IF('COMMUNITY CHURCH DASHBOARD'!$B$4="Area",IF(241&lt;=$X$3,IF(AND(OR('COMMUNITY CHURCH DASHBOARD'!$C$4="",ISNUMBER(SEARCH('COMMUNITY CHURCH DASHBOARD'!$C$4,INDEX(MASTER_AREAS!$B:$B,242))))),241,""),""),IF('COMMUNITY CHURCH DASHBOARD'!$B$4="Zone",IF(241&lt;=$X$4,IF(OR('COMMUNITY CHURCH DASHBOARD'!$C$4="",ISNUMBER(SEARCH('COMMUNITY CHURCH DASHBOARD'!$C$4,INDEX(MASTER_ZONES!$B:$B,242)))),241,""),""),""))</f>
        <v/>
      </c>
      <c r="V242">
        <f>IFERROR(SMALL($U$2:$U$1487,241),"")</f>
        <v/>
      </c>
      <c r="W242">
        <f>IF(V242="","",IF('COMMUNITY CHURCH DASHBOARD'!$B$4="Area",INDEX(MASTER_AREAS!$B:$B,V242+1),INDEX(MASTER_ZONES!$B:$B,V242+1)))</f>
        <v/>
      </c>
    </row>
    <row r="243">
      <c r="A243">
        <f>IF('WSF DASHBOARD'!$B$4="Area",IF(242&lt;=$D$3,IF(AND(OR('WSF DASHBOARD'!$C$4="",ISNUMBER(SEARCH('WSF DASHBOARD'!$C$4,INDEX(MASTER_AREAS!$B:$B,243))))),242,""),""),IF('WSF DASHBOARD'!$B$4="Zone",IF(242&lt;=$D$4,IF(OR('WSF DASHBOARD'!$C$4="",ISNUMBER(SEARCH('WSF DASHBOARD'!$C$4,INDEX(MASTER_ZONES!$B:$B,243)))),242,""),""),""))</f>
        <v/>
      </c>
      <c r="B243">
        <f>IFERROR(SMALL($A$2:$A$1487,242),"")</f>
        <v/>
      </c>
      <c r="C243">
        <f>IF(B243="","",IF('WSF DASHBOARD'!$B$4="Area",INDEX(MASTER_AREAS!$B:$B,B243+1),INDEX(MASTER_ZONES!$B:$B,B243+1)))</f>
        <v/>
      </c>
      <c r="F243">
        <f>IF('TRANSPORT DASHBOARD'!$B$4="Area",IF(242&lt;=$I$3,IF(AND(INDEX(MASTER_AREAS!$F:$F,243)&lt;&gt;"N",OR('TRANSPORT DASHBOARD'!$C$4="",ISNUMBER(SEARCH('TRANSPORT DASHBOARD'!$C$4,INDEX(MASTER_AREAS!$B:$B,243))))),242,""),""),IF('TRANSPORT DASHBOARD'!$B$4="Zone",IF(242&lt;=$I$4,IF(OR('TRANSPORT DASHBOARD'!$C$4="",ISNUMBER(SEARCH('TRANSPORT DASHBOARD'!$C$4,INDEX(MASTER_ZONES!$B:$B,243)))),242,""),""),""))</f>
        <v/>
      </c>
      <c r="G243">
        <f>IFERROR(SMALL($F$2:$F$1487,242),"")</f>
        <v/>
      </c>
      <c r="H243">
        <f>IF(G243="","",IF('TRANSPORT DASHBOARD'!$B$4="Area",INDEX(MASTER_AREAS!$B:$B,G243+1),INDEX(MASTER_ZONES!$B:$B,G243+1)))</f>
        <v/>
      </c>
      <c r="K243">
        <f>IF('MIDWEEK DASHBOARD'!$B$4="Area",IF(242&lt;=$N$3,IF(AND(OR('MIDWEEK DASHBOARD'!$C$4="",ISNUMBER(SEARCH('MIDWEEK DASHBOARD'!$C$4,INDEX(MASTER_AREAS!$B:$B,243))))),242,""),""),IF('MIDWEEK DASHBOARD'!$B$4="Zone",IF(242&lt;=$N$4,IF(OR('MIDWEEK DASHBOARD'!$C$4="",ISNUMBER(SEARCH('MIDWEEK DASHBOARD'!$C$4,INDEX(MASTER_ZONES!$B:$B,243)))),242,""),""),""))</f>
        <v/>
      </c>
      <c r="L243">
        <f>IFERROR(SMALL($K$2:$K$1487,242),"")</f>
        <v/>
      </c>
      <c r="M243">
        <f>IF(L243="","",IF('MIDWEEK DASHBOARD'!$B$4="Area",INDEX(MASTER_AREAS!$B:$B,L243+1),INDEX(MASTER_ZONES!$B:$B,L243+1)))</f>
        <v/>
      </c>
      <c r="P243">
        <f>IF('CHOP DASHBOARD'!$B$4="Area",IF(242&lt;=$S$3,IF(AND(OR('CHOP DASHBOARD'!$C$4="",ISNUMBER(SEARCH('CHOP DASHBOARD'!$C$4,INDEX(MASTER_AREAS!$B:$B,243))))),242,""),""),IF('CHOP DASHBOARD'!$B$4="Zone",IF(242&lt;=$S$4,IF(OR('CHOP DASHBOARD'!$C$4="",ISNUMBER(SEARCH('CHOP DASHBOARD'!$C$4,INDEX(MASTER_ZONES!$B:$B,243)))),242,""),""),""))</f>
        <v/>
      </c>
      <c r="Q243">
        <f>IFERROR(SMALL($P$2:$P$1487,242),"")</f>
        <v/>
      </c>
      <c r="R243">
        <f>IF(Q243="","",IF('CHOP DASHBOARD'!$B$4="Area",INDEX(MASTER_AREAS!$B:$B,Q243+1),INDEX(MASTER_ZONES!$B:$B,Q243+1)))</f>
        <v/>
      </c>
      <c r="U243">
        <f>IF('COMMUNITY CHURCH DASHBOARD'!$B$4="Area",IF(242&lt;=$X$3,IF(AND(OR('COMMUNITY CHURCH DASHBOARD'!$C$4="",ISNUMBER(SEARCH('COMMUNITY CHURCH DASHBOARD'!$C$4,INDEX(MASTER_AREAS!$B:$B,243))))),242,""),""),IF('COMMUNITY CHURCH DASHBOARD'!$B$4="Zone",IF(242&lt;=$X$4,IF(OR('COMMUNITY CHURCH DASHBOARD'!$C$4="",ISNUMBER(SEARCH('COMMUNITY CHURCH DASHBOARD'!$C$4,INDEX(MASTER_ZONES!$B:$B,243)))),242,""),""),""))</f>
        <v/>
      </c>
      <c r="V243">
        <f>IFERROR(SMALL($U$2:$U$1487,242),"")</f>
        <v/>
      </c>
      <c r="W243">
        <f>IF(V243="","",IF('COMMUNITY CHURCH DASHBOARD'!$B$4="Area",INDEX(MASTER_AREAS!$B:$B,V243+1),INDEX(MASTER_ZONES!$B:$B,V243+1)))</f>
        <v/>
      </c>
    </row>
    <row r="244">
      <c r="A244">
        <f>IF('WSF DASHBOARD'!$B$4="Area",IF(243&lt;=$D$3,IF(AND(OR('WSF DASHBOARD'!$C$4="",ISNUMBER(SEARCH('WSF DASHBOARD'!$C$4,INDEX(MASTER_AREAS!$B:$B,244))))),243,""),""),IF('WSF DASHBOARD'!$B$4="Zone",IF(243&lt;=$D$4,IF(OR('WSF DASHBOARD'!$C$4="",ISNUMBER(SEARCH('WSF DASHBOARD'!$C$4,INDEX(MASTER_ZONES!$B:$B,244)))),243,""),""),""))</f>
        <v/>
      </c>
      <c r="B244">
        <f>IFERROR(SMALL($A$2:$A$1487,243),"")</f>
        <v/>
      </c>
      <c r="C244">
        <f>IF(B244="","",IF('WSF DASHBOARD'!$B$4="Area",INDEX(MASTER_AREAS!$B:$B,B244+1),INDEX(MASTER_ZONES!$B:$B,B244+1)))</f>
        <v/>
      </c>
      <c r="F244">
        <f>IF('TRANSPORT DASHBOARD'!$B$4="Area",IF(243&lt;=$I$3,IF(AND(INDEX(MASTER_AREAS!$F:$F,244)&lt;&gt;"N",OR('TRANSPORT DASHBOARD'!$C$4="",ISNUMBER(SEARCH('TRANSPORT DASHBOARD'!$C$4,INDEX(MASTER_AREAS!$B:$B,244))))),243,""),""),IF('TRANSPORT DASHBOARD'!$B$4="Zone",IF(243&lt;=$I$4,IF(OR('TRANSPORT DASHBOARD'!$C$4="",ISNUMBER(SEARCH('TRANSPORT DASHBOARD'!$C$4,INDEX(MASTER_ZONES!$B:$B,244)))),243,""),""),""))</f>
        <v/>
      </c>
      <c r="G244">
        <f>IFERROR(SMALL($F$2:$F$1487,243),"")</f>
        <v/>
      </c>
      <c r="H244">
        <f>IF(G244="","",IF('TRANSPORT DASHBOARD'!$B$4="Area",INDEX(MASTER_AREAS!$B:$B,G244+1),INDEX(MASTER_ZONES!$B:$B,G244+1)))</f>
        <v/>
      </c>
      <c r="K244">
        <f>IF('MIDWEEK DASHBOARD'!$B$4="Area",IF(243&lt;=$N$3,IF(AND(OR('MIDWEEK DASHBOARD'!$C$4="",ISNUMBER(SEARCH('MIDWEEK DASHBOARD'!$C$4,INDEX(MASTER_AREAS!$B:$B,244))))),243,""),""),IF('MIDWEEK DASHBOARD'!$B$4="Zone",IF(243&lt;=$N$4,IF(OR('MIDWEEK DASHBOARD'!$C$4="",ISNUMBER(SEARCH('MIDWEEK DASHBOARD'!$C$4,INDEX(MASTER_ZONES!$B:$B,244)))),243,""),""),""))</f>
        <v/>
      </c>
      <c r="L244">
        <f>IFERROR(SMALL($K$2:$K$1487,243),"")</f>
        <v/>
      </c>
      <c r="M244">
        <f>IF(L244="","",IF('MIDWEEK DASHBOARD'!$B$4="Area",INDEX(MASTER_AREAS!$B:$B,L244+1),INDEX(MASTER_ZONES!$B:$B,L244+1)))</f>
        <v/>
      </c>
      <c r="P244">
        <f>IF('CHOP DASHBOARD'!$B$4="Area",IF(243&lt;=$S$3,IF(AND(OR('CHOP DASHBOARD'!$C$4="",ISNUMBER(SEARCH('CHOP DASHBOARD'!$C$4,INDEX(MASTER_AREAS!$B:$B,244))))),243,""),""),IF('CHOP DASHBOARD'!$B$4="Zone",IF(243&lt;=$S$4,IF(OR('CHOP DASHBOARD'!$C$4="",ISNUMBER(SEARCH('CHOP DASHBOARD'!$C$4,INDEX(MASTER_ZONES!$B:$B,244)))),243,""),""),""))</f>
        <v/>
      </c>
      <c r="Q244">
        <f>IFERROR(SMALL($P$2:$P$1487,243),"")</f>
        <v/>
      </c>
      <c r="R244">
        <f>IF(Q244="","",IF('CHOP DASHBOARD'!$B$4="Area",INDEX(MASTER_AREAS!$B:$B,Q244+1),INDEX(MASTER_ZONES!$B:$B,Q244+1)))</f>
        <v/>
      </c>
      <c r="U244">
        <f>IF('COMMUNITY CHURCH DASHBOARD'!$B$4="Area",IF(243&lt;=$X$3,IF(AND(OR('COMMUNITY CHURCH DASHBOARD'!$C$4="",ISNUMBER(SEARCH('COMMUNITY CHURCH DASHBOARD'!$C$4,INDEX(MASTER_AREAS!$B:$B,244))))),243,""),""),IF('COMMUNITY CHURCH DASHBOARD'!$B$4="Zone",IF(243&lt;=$X$4,IF(OR('COMMUNITY CHURCH DASHBOARD'!$C$4="",ISNUMBER(SEARCH('COMMUNITY CHURCH DASHBOARD'!$C$4,INDEX(MASTER_ZONES!$B:$B,244)))),243,""),""),""))</f>
        <v/>
      </c>
      <c r="V244">
        <f>IFERROR(SMALL($U$2:$U$1487,243),"")</f>
        <v/>
      </c>
      <c r="W244">
        <f>IF(V244="","",IF('COMMUNITY CHURCH DASHBOARD'!$B$4="Area",INDEX(MASTER_AREAS!$B:$B,V244+1),INDEX(MASTER_ZONES!$B:$B,V244+1)))</f>
        <v/>
      </c>
    </row>
    <row r="245">
      <c r="A245">
        <f>IF('WSF DASHBOARD'!$B$4="Area",IF(244&lt;=$D$3,IF(AND(OR('WSF DASHBOARD'!$C$4="",ISNUMBER(SEARCH('WSF DASHBOARD'!$C$4,INDEX(MASTER_AREAS!$B:$B,245))))),244,""),""),IF('WSF DASHBOARD'!$B$4="Zone",IF(244&lt;=$D$4,IF(OR('WSF DASHBOARD'!$C$4="",ISNUMBER(SEARCH('WSF DASHBOARD'!$C$4,INDEX(MASTER_ZONES!$B:$B,245)))),244,""),""),""))</f>
        <v/>
      </c>
      <c r="B245">
        <f>IFERROR(SMALL($A$2:$A$1487,244),"")</f>
        <v/>
      </c>
      <c r="C245">
        <f>IF(B245="","",IF('WSF DASHBOARD'!$B$4="Area",INDEX(MASTER_AREAS!$B:$B,B245+1),INDEX(MASTER_ZONES!$B:$B,B245+1)))</f>
        <v/>
      </c>
      <c r="F245">
        <f>IF('TRANSPORT DASHBOARD'!$B$4="Area",IF(244&lt;=$I$3,IF(AND(INDEX(MASTER_AREAS!$F:$F,245)&lt;&gt;"N",OR('TRANSPORT DASHBOARD'!$C$4="",ISNUMBER(SEARCH('TRANSPORT DASHBOARD'!$C$4,INDEX(MASTER_AREAS!$B:$B,245))))),244,""),""),IF('TRANSPORT DASHBOARD'!$B$4="Zone",IF(244&lt;=$I$4,IF(OR('TRANSPORT DASHBOARD'!$C$4="",ISNUMBER(SEARCH('TRANSPORT DASHBOARD'!$C$4,INDEX(MASTER_ZONES!$B:$B,245)))),244,""),""),""))</f>
        <v/>
      </c>
      <c r="G245">
        <f>IFERROR(SMALL($F$2:$F$1487,244),"")</f>
        <v/>
      </c>
      <c r="H245">
        <f>IF(G245="","",IF('TRANSPORT DASHBOARD'!$B$4="Area",INDEX(MASTER_AREAS!$B:$B,G245+1),INDEX(MASTER_ZONES!$B:$B,G245+1)))</f>
        <v/>
      </c>
      <c r="K245">
        <f>IF('MIDWEEK DASHBOARD'!$B$4="Area",IF(244&lt;=$N$3,IF(AND(OR('MIDWEEK DASHBOARD'!$C$4="",ISNUMBER(SEARCH('MIDWEEK DASHBOARD'!$C$4,INDEX(MASTER_AREAS!$B:$B,245))))),244,""),""),IF('MIDWEEK DASHBOARD'!$B$4="Zone",IF(244&lt;=$N$4,IF(OR('MIDWEEK DASHBOARD'!$C$4="",ISNUMBER(SEARCH('MIDWEEK DASHBOARD'!$C$4,INDEX(MASTER_ZONES!$B:$B,245)))),244,""),""),""))</f>
        <v/>
      </c>
      <c r="L245">
        <f>IFERROR(SMALL($K$2:$K$1487,244),"")</f>
        <v/>
      </c>
      <c r="M245">
        <f>IF(L245="","",IF('MIDWEEK DASHBOARD'!$B$4="Area",INDEX(MASTER_AREAS!$B:$B,L245+1),INDEX(MASTER_ZONES!$B:$B,L245+1)))</f>
        <v/>
      </c>
      <c r="P245">
        <f>IF('CHOP DASHBOARD'!$B$4="Area",IF(244&lt;=$S$3,IF(AND(OR('CHOP DASHBOARD'!$C$4="",ISNUMBER(SEARCH('CHOP DASHBOARD'!$C$4,INDEX(MASTER_AREAS!$B:$B,245))))),244,""),""),IF('CHOP DASHBOARD'!$B$4="Zone",IF(244&lt;=$S$4,IF(OR('CHOP DASHBOARD'!$C$4="",ISNUMBER(SEARCH('CHOP DASHBOARD'!$C$4,INDEX(MASTER_ZONES!$B:$B,245)))),244,""),""),""))</f>
        <v/>
      </c>
      <c r="Q245">
        <f>IFERROR(SMALL($P$2:$P$1487,244),"")</f>
        <v/>
      </c>
      <c r="R245">
        <f>IF(Q245="","",IF('CHOP DASHBOARD'!$B$4="Area",INDEX(MASTER_AREAS!$B:$B,Q245+1),INDEX(MASTER_ZONES!$B:$B,Q245+1)))</f>
        <v/>
      </c>
      <c r="U245">
        <f>IF('COMMUNITY CHURCH DASHBOARD'!$B$4="Area",IF(244&lt;=$X$3,IF(AND(OR('COMMUNITY CHURCH DASHBOARD'!$C$4="",ISNUMBER(SEARCH('COMMUNITY CHURCH DASHBOARD'!$C$4,INDEX(MASTER_AREAS!$B:$B,245))))),244,""),""),IF('COMMUNITY CHURCH DASHBOARD'!$B$4="Zone",IF(244&lt;=$X$4,IF(OR('COMMUNITY CHURCH DASHBOARD'!$C$4="",ISNUMBER(SEARCH('COMMUNITY CHURCH DASHBOARD'!$C$4,INDEX(MASTER_ZONES!$B:$B,245)))),244,""),""),""))</f>
        <v/>
      </c>
      <c r="V245">
        <f>IFERROR(SMALL($U$2:$U$1487,244),"")</f>
        <v/>
      </c>
      <c r="W245">
        <f>IF(V245="","",IF('COMMUNITY CHURCH DASHBOARD'!$B$4="Area",INDEX(MASTER_AREAS!$B:$B,V245+1),INDEX(MASTER_ZONES!$B:$B,V245+1)))</f>
        <v/>
      </c>
    </row>
    <row r="246">
      <c r="A246">
        <f>IF('WSF DASHBOARD'!$B$4="Area",IF(245&lt;=$D$3,IF(AND(OR('WSF DASHBOARD'!$C$4="",ISNUMBER(SEARCH('WSF DASHBOARD'!$C$4,INDEX(MASTER_AREAS!$B:$B,246))))),245,""),""),IF('WSF DASHBOARD'!$B$4="Zone",IF(245&lt;=$D$4,IF(OR('WSF DASHBOARD'!$C$4="",ISNUMBER(SEARCH('WSF DASHBOARD'!$C$4,INDEX(MASTER_ZONES!$B:$B,246)))),245,""),""),""))</f>
        <v/>
      </c>
      <c r="B246">
        <f>IFERROR(SMALL($A$2:$A$1487,245),"")</f>
        <v/>
      </c>
      <c r="C246">
        <f>IF(B246="","",IF('WSF DASHBOARD'!$B$4="Area",INDEX(MASTER_AREAS!$B:$B,B246+1),INDEX(MASTER_ZONES!$B:$B,B246+1)))</f>
        <v/>
      </c>
      <c r="F246">
        <f>IF('TRANSPORT DASHBOARD'!$B$4="Area",IF(245&lt;=$I$3,IF(AND(INDEX(MASTER_AREAS!$F:$F,246)&lt;&gt;"N",OR('TRANSPORT DASHBOARD'!$C$4="",ISNUMBER(SEARCH('TRANSPORT DASHBOARD'!$C$4,INDEX(MASTER_AREAS!$B:$B,246))))),245,""),""),IF('TRANSPORT DASHBOARD'!$B$4="Zone",IF(245&lt;=$I$4,IF(OR('TRANSPORT DASHBOARD'!$C$4="",ISNUMBER(SEARCH('TRANSPORT DASHBOARD'!$C$4,INDEX(MASTER_ZONES!$B:$B,246)))),245,""),""),""))</f>
        <v/>
      </c>
      <c r="G246">
        <f>IFERROR(SMALL($F$2:$F$1487,245),"")</f>
        <v/>
      </c>
      <c r="H246">
        <f>IF(G246="","",IF('TRANSPORT DASHBOARD'!$B$4="Area",INDEX(MASTER_AREAS!$B:$B,G246+1),INDEX(MASTER_ZONES!$B:$B,G246+1)))</f>
        <v/>
      </c>
      <c r="K246">
        <f>IF('MIDWEEK DASHBOARD'!$B$4="Area",IF(245&lt;=$N$3,IF(AND(OR('MIDWEEK DASHBOARD'!$C$4="",ISNUMBER(SEARCH('MIDWEEK DASHBOARD'!$C$4,INDEX(MASTER_AREAS!$B:$B,246))))),245,""),""),IF('MIDWEEK DASHBOARD'!$B$4="Zone",IF(245&lt;=$N$4,IF(OR('MIDWEEK DASHBOARD'!$C$4="",ISNUMBER(SEARCH('MIDWEEK DASHBOARD'!$C$4,INDEX(MASTER_ZONES!$B:$B,246)))),245,""),""),""))</f>
        <v/>
      </c>
      <c r="L246">
        <f>IFERROR(SMALL($K$2:$K$1487,245),"")</f>
        <v/>
      </c>
      <c r="M246">
        <f>IF(L246="","",IF('MIDWEEK DASHBOARD'!$B$4="Area",INDEX(MASTER_AREAS!$B:$B,L246+1),INDEX(MASTER_ZONES!$B:$B,L246+1)))</f>
        <v/>
      </c>
      <c r="P246">
        <f>IF('CHOP DASHBOARD'!$B$4="Area",IF(245&lt;=$S$3,IF(AND(OR('CHOP DASHBOARD'!$C$4="",ISNUMBER(SEARCH('CHOP DASHBOARD'!$C$4,INDEX(MASTER_AREAS!$B:$B,246))))),245,""),""),IF('CHOP DASHBOARD'!$B$4="Zone",IF(245&lt;=$S$4,IF(OR('CHOP DASHBOARD'!$C$4="",ISNUMBER(SEARCH('CHOP DASHBOARD'!$C$4,INDEX(MASTER_ZONES!$B:$B,246)))),245,""),""),""))</f>
        <v/>
      </c>
      <c r="Q246">
        <f>IFERROR(SMALL($P$2:$P$1487,245),"")</f>
        <v/>
      </c>
      <c r="R246">
        <f>IF(Q246="","",IF('CHOP DASHBOARD'!$B$4="Area",INDEX(MASTER_AREAS!$B:$B,Q246+1),INDEX(MASTER_ZONES!$B:$B,Q246+1)))</f>
        <v/>
      </c>
      <c r="U246">
        <f>IF('COMMUNITY CHURCH DASHBOARD'!$B$4="Area",IF(245&lt;=$X$3,IF(AND(OR('COMMUNITY CHURCH DASHBOARD'!$C$4="",ISNUMBER(SEARCH('COMMUNITY CHURCH DASHBOARD'!$C$4,INDEX(MASTER_AREAS!$B:$B,246))))),245,""),""),IF('COMMUNITY CHURCH DASHBOARD'!$B$4="Zone",IF(245&lt;=$X$4,IF(OR('COMMUNITY CHURCH DASHBOARD'!$C$4="",ISNUMBER(SEARCH('COMMUNITY CHURCH DASHBOARD'!$C$4,INDEX(MASTER_ZONES!$B:$B,246)))),245,""),""),""))</f>
        <v/>
      </c>
      <c r="V246">
        <f>IFERROR(SMALL($U$2:$U$1487,245),"")</f>
        <v/>
      </c>
      <c r="W246">
        <f>IF(V246="","",IF('COMMUNITY CHURCH DASHBOARD'!$B$4="Area",INDEX(MASTER_AREAS!$B:$B,V246+1),INDEX(MASTER_ZONES!$B:$B,V246+1)))</f>
        <v/>
      </c>
    </row>
    <row r="247">
      <c r="A247">
        <f>IF('WSF DASHBOARD'!$B$4="Area",IF(246&lt;=$D$3,IF(AND(OR('WSF DASHBOARD'!$C$4="",ISNUMBER(SEARCH('WSF DASHBOARD'!$C$4,INDEX(MASTER_AREAS!$B:$B,247))))),246,""),""),IF('WSF DASHBOARD'!$B$4="Zone",IF(246&lt;=$D$4,IF(OR('WSF DASHBOARD'!$C$4="",ISNUMBER(SEARCH('WSF DASHBOARD'!$C$4,INDEX(MASTER_ZONES!$B:$B,247)))),246,""),""),""))</f>
        <v/>
      </c>
      <c r="B247">
        <f>IFERROR(SMALL($A$2:$A$1487,246),"")</f>
        <v/>
      </c>
      <c r="C247">
        <f>IF(B247="","",IF('WSF DASHBOARD'!$B$4="Area",INDEX(MASTER_AREAS!$B:$B,B247+1),INDEX(MASTER_ZONES!$B:$B,B247+1)))</f>
        <v/>
      </c>
      <c r="F247">
        <f>IF('TRANSPORT DASHBOARD'!$B$4="Area",IF(246&lt;=$I$3,IF(AND(INDEX(MASTER_AREAS!$F:$F,247)&lt;&gt;"N",OR('TRANSPORT DASHBOARD'!$C$4="",ISNUMBER(SEARCH('TRANSPORT DASHBOARD'!$C$4,INDEX(MASTER_AREAS!$B:$B,247))))),246,""),""),IF('TRANSPORT DASHBOARD'!$B$4="Zone",IF(246&lt;=$I$4,IF(OR('TRANSPORT DASHBOARD'!$C$4="",ISNUMBER(SEARCH('TRANSPORT DASHBOARD'!$C$4,INDEX(MASTER_ZONES!$B:$B,247)))),246,""),""),""))</f>
        <v/>
      </c>
      <c r="G247">
        <f>IFERROR(SMALL($F$2:$F$1487,246),"")</f>
        <v/>
      </c>
      <c r="H247">
        <f>IF(G247="","",IF('TRANSPORT DASHBOARD'!$B$4="Area",INDEX(MASTER_AREAS!$B:$B,G247+1),INDEX(MASTER_ZONES!$B:$B,G247+1)))</f>
        <v/>
      </c>
      <c r="K247">
        <f>IF('MIDWEEK DASHBOARD'!$B$4="Area",IF(246&lt;=$N$3,IF(AND(OR('MIDWEEK DASHBOARD'!$C$4="",ISNUMBER(SEARCH('MIDWEEK DASHBOARD'!$C$4,INDEX(MASTER_AREAS!$B:$B,247))))),246,""),""),IF('MIDWEEK DASHBOARD'!$B$4="Zone",IF(246&lt;=$N$4,IF(OR('MIDWEEK DASHBOARD'!$C$4="",ISNUMBER(SEARCH('MIDWEEK DASHBOARD'!$C$4,INDEX(MASTER_ZONES!$B:$B,247)))),246,""),""),""))</f>
        <v/>
      </c>
      <c r="L247">
        <f>IFERROR(SMALL($K$2:$K$1487,246),"")</f>
        <v/>
      </c>
      <c r="M247">
        <f>IF(L247="","",IF('MIDWEEK DASHBOARD'!$B$4="Area",INDEX(MASTER_AREAS!$B:$B,L247+1),INDEX(MASTER_ZONES!$B:$B,L247+1)))</f>
        <v/>
      </c>
      <c r="P247">
        <f>IF('CHOP DASHBOARD'!$B$4="Area",IF(246&lt;=$S$3,IF(AND(OR('CHOP DASHBOARD'!$C$4="",ISNUMBER(SEARCH('CHOP DASHBOARD'!$C$4,INDEX(MASTER_AREAS!$B:$B,247))))),246,""),""),IF('CHOP DASHBOARD'!$B$4="Zone",IF(246&lt;=$S$4,IF(OR('CHOP DASHBOARD'!$C$4="",ISNUMBER(SEARCH('CHOP DASHBOARD'!$C$4,INDEX(MASTER_ZONES!$B:$B,247)))),246,""),""),""))</f>
        <v/>
      </c>
      <c r="Q247">
        <f>IFERROR(SMALL($P$2:$P$1487,246),"")</f>
        <v/>
      </c>
      <c r="R247">
        <f>IF(Q247="","",IF('CHOP DASHBOARD'!$B$4="Area",INDEX(MASTER_AREAS!$B:$B,Q247+1),INDEX(MASTER_ZONES!$B:$B,Q247+1)))</f>
        <v/>
      </c>
      <c r="U247">
        <f>IF('COMMUNITY CHURCH DASHBOARD'!$B$4="Area",IF(246&lt;=$X$3,IF(AND(OR('COMMUNITY CHURCH DASHBOARD'!$C$4="",ISNUMBER(SEARCH('COMMUNITY CHURCH DASHBOARD'!$C$4,INDEX(MASTER_AREAS!$B:$B,247))))),246,""),""),IF('COMMUNITY CHURCH DASHBOARD'!$B$4="Zone",IF(246&lt;=$X$4,IF(OR('COMMUNITY CHURCH DASHBOARD'!$C$4="",ISNUMBER(SEARCH('COMMUNITY CHURCH DASHBOARD'!$C$4,INDEX(MASTER_ZONES!$B:$B,247)))),246,""),""),""))</f>
        <v/>
      </c>
      <c r="V247">
        <f>IFERROR(SMALL($U$2:$U$1487,246),"")</f>
        <v/>
      </c>
      <c r="W247">
        <f>IF(V247="","",IF('COMMUNITY CHURCH DASHBOARD'!$B$4="Area",INDEX(MASTER_AREAS!$B:$B,V247+1),INDEX(MASTER_ZONES!$B:$B,V247+1)))</f>
        <v/>
      </c>
    </row>
    <row r="248">
      <c r="A248">
        <f>IF('WSF DASHBOARD'!$B$4="Area",IF(247&lt;=$D$3,IF(AND(OR('WSF DASHBOARD'!$C$4="",ISNUMBER(SEARCH('WSF DASHBOARD'!$C$4,INDEX(MASTER_AREAS!$B:$B,248))))),247,""),""),IF('WSF DASHBOARD'!$B$4="Zone",IF(247&lt;=$D$4,IF(OR('WSF DASHBOARD'!$C$4="",ISNUMBER(SEARCH('WSF DASHBOARD'!$C$4,INDEX(MASTER_ZONES!$B:$B,248)))),247,""),""),""))</f>
        <v/>
      </c>
      <c r="B248">
        <f>IFERROR(SMALL($A$2:$A$1487,247),"")</f>
        <v/>
      </c>
      <c r="C248">
        <f>IF(B248="","",IF('WSF DASHBOARD'!$B$4="Area",INDEX(MASTER_AREAS!$B:$B,B248+1),INDEX(MASTER_ZONES!$B:$B,B248+1)))</f>
        <v/>
      </c>
      <c r="F248">
        <f>IF('TRANSPORT DASHBOARD'!$B$4="Area",IF(247&lt;=$I$3,IF(AND(INDEX(MASTER_AREAS!$F:$F,248)&lt;&gt;"N",OR('TRANSPORT DASHBOARD'!$C$4="",ISNUMBER(SEARCH('TRANSPORT DASHBOARD'!$C$4,INDEX(MASTER_AREAS!$B:$B,248))))),247,""),""),IF('TRANSPORT DASHBOARD'!$B$4="Zone",IF(247&lt;=$I$4,IF(OR('TRANSPORT DASHBOARD'!$C$4="",ISNUMBER(SEARCH('TRANSPORT DASHBOARD'!$C$4,INDEX(MASTER_ZONES!$B:$B,248)))),247,""),""),""))</f>
        <v/>
      </c>
      <c r="G248">
        <f>IFERROR(SMALL($F$2:$F$1487,247),"")</f>
        <v/>
      </c>
      <c r="H248">
        <f>IF(G248="","",IF('TRANSPORT DASHBOARD'!$B$4="Area",INDEX(MASTER_AREAS!$B:$B,G248+1),INDEX(MASTER_ZONES!$B:$B,G248+1)))</f>
        <v/>
      </c>
      <c r="K248">
        <f>IF('MIDWEEK DASHBOARD'!$B$4="Area",IF(247&lt;=$N$3,IF(AND(OR('MIDWEEK DASHBOARD'!$C$4="",ISNUMBER(SEARCH('MIDWEEK DASHBOARD'!$C$4,INDEX(MASTER_AREAS!$B:$B,248))))),247,""),""),IF('MIDWEEK DASHBOARD'!$B$4="Zone",IF(247&lt;=$N$4,IF(OR('MIDWEEK DASHBOARD'!$C$4="",ISNUMBER(SEARCH('MIDWEEK DASHBOARD'!$C$4,INDEX(MASTER_ZONES!$B:$B,248)))),247,""),""),""))</f>
        <v/>
      </c>
      <c r="L248">
        <f>IFERROR(SMALL($K$2:$K$1487,247),"")</f>
        <v/>
      </c>
      <c r="M248">
        <f>IF(L248="","",IF('MIDWEEK DASHBOARD'!$B$4="Area",INDEX(MASTER_AREAS!$B:$B,L248+1),INDEX(MASTER_ZONES!$B:$B,L248+1)))</f>
        <v/>
      </c>
      <c r="P248">
        <f>IF('CHOP DASHBOARD'!$B$4="Area",IF(247&lt;=$S$3,IF(AND(OR('CHOP DASHBOARD'!$C$4="",ISNUMBER(SEARCH('CHOP DASHBOARD'!$C$4,INDEX(MASTER_AREAS!$B:$B,248))))),247,""),""),IF('CHOP DASHBOARD'!$B$4="Zone",IF(247&lt;=$S$4,IF(OR('CHOP DASHBOARD'!$C$4="",ISNUMBER(SEARCH('CHOP DASHBOARD'!$C$4,INDEX(MASTER_ZONES!$B:$B,248)))),247,""),""),""))</f>
        <v/>
      </c>
      <c r="Q248">
        <f>IFERROR(SMALL($P$2:$P$1487,247),"")</f>
        <v/>
      </c>
      <c r="R248">
        <f>IF(Q248="","",IF('CHOP DASHBOARD'!$B$4="Area",INDEX(MASTER_AREAS!$B:$B,Q248+1),INDEX(MASTER_ZONES!$B:$B,Q248+1)))</f>
        <v/>
      </c>
      <c r="U248">
        <f>IF('COMMUNITY CHURCH DASHBOARD'!$B$4="Area",IF(247&lt;=$X$3,IF(AND(OR('COMMUNITY CHURCH DASHBOARD'!$C$4="",ISNUMBER(SEARCH('COMMUNITY CHURCH DASHBOARD'!$C$4,INDEX(MASTER_AREAS!$B:$B,248))))),247,""),""),IF('COMMUNITY CHURCH DASHBOARD'!$B$4="Zone",IF(247&lt;=$X$4,IF(OR('COMMUNITY CHURCH DASHBOARD'!$C$4="",ISNUMBER(SEARCH('COMMUNITY CHURCH DASHBOARD'!$C$4,INDEX(MASTER_ZONES!$B:$B,248)))),247,""),""),""))</f>
        <v/>
      </c>
      <c r="V248">
        <f>IFERROR(SMALL($U$2:$U$1487,247),"")</f>
        <v/>
      </c>
      <c r="W248">
        <f>IF(V248="","",IF('COMMUNITY CHURCH DASHBOARD'!$B$4="Area",INDEX(MASTER_AREAS!$B:$B,V248+1),INDEX(MASTER_ZONES!$B:$B,V248+1)))</f>
        <v/>
      </c>
    </row>
    <row r="249">
      <c r="A249">
        <f>IF('WSF DASHBOARD'!$B$4="Area",IF(248&lt;=$D$3,IF(AND(OR('WSF DASHBOARD'!$C$4="",ISNUMBER(SEARCH('WSF DASHBOARD'!$C$4,INDEX(MASTER_AREAS!$B:$B,249))))),248,""),""),IF('WSF DASHBOARD'!$B$4="Zone",IF(248&lt;=$D$4,IF(OR('WSF DASHBOARD'!$C$4="",ISNUMBER(SEARCH('WSF DASHBOARD'!$C$4,INDEX(MASTER_ZONES!$B:$B,249)))),248,""),""),""))</f>
        <v/>
      </c>
      <c r="B249">
        <f>IFERROR(SMALL($A$2:$A$1487,248),"")</f>
        <v/>
      </c>
      <c r="C249">
        <f>IF(B249="","",IF('WSF DASHBOARD'!$B$4="Area",INDEX(MASTER_AREAS!$B:$B,B249+1),INDEX(MASTER_ZONES!$B:$B,B249+1)))</f>
        <v/>
      </c>
      <c r="F249">
        <f>IF('TRANSPORT DASHBOARD'!$B$4="Area",IF(248&lt;=$I$3,IF(AND(INDEX(MASTER_AREAS!$F:$F,249)&lt;&gt;"N",OR('TRANSPORT DASHBOARD'!$C$4="",ISNUMBER(SEARCH('TRANSPORT DASHBOARD'!$C$4,INDEX(MASTER_AREAS!$B:$B,249))))),248,""),""),IF('TRANSPORT DASHBOARD'!$B$4="Zone",IF(248&lt;=$I$4,IF(OR('TRANSPORT DASHBOARD'!$C$4="",ISNUMBER(SEARCH('TRANSPORT DASHBOARD'!$C$4,INDEX(MASTER_ZONES!$B:$B,249)))),248,""),""),""))</f>
        <v/>
      </c>
      <c r="G249">
        <f>IFERROR(SMALL($F$2:$F$1487,248),"")</f>
        <v/>
      </c>
      <c r="H249">
        <f>IF(G249="","",IF('TRANSPORT DASHBOARD'!$B$4="Area",INDEX(MASTER_AREAS!$B:$B,G249+1),INDEX(MASTER_ZONES!$B:$B,G249+1)))</f>
        <v/>
      </c>
      <c r="K249">
        <f>IF('MIDWEEK DASHBOARD'!$B$4="Area",IF(248&lt;=$N$3,IF(AND(OR('MIDWEEK DASHBOARD'!$C$4="",ISNUMBER(SEARCH('MIDWEEK DASHBOARD'!$C$4,INDEX(MASTER_AREAS!$B:$B,249))))),248,""),""),IF('MIDWEEK DASHBOARD'!$B$4="Zone",IF(248&lt;=$N$4,IF(OR('MIDWEEK DASHBOARD'!$C$4="",ISNUMBER(SEARCH('MIDWEEK DASHBOARD'!$C$4,INDEX(MASTER_ZONES!$B:$B,249)))),248,""),""),""))</f>
        <v/>
      </c>
      <c r="L249">
        <f>IFERROR(SMALL($K$2:$K$1487,248),"")</f>
        <v/>
      </c>
      <c r="M249">
        <f>IF(L249="","",IF('MIDWEEK DASHBOARD'!$B$4="Area",INDEX(MASTER_AREAS!$B:$B,L249+1),INDEX(MASTER_ZONES!$B:$B,L249+1)))</f>
        <v/>
      </c>
      <c r="P249">
        <f>IF('CHOP DASHBOARD'!$B$4="Area",IF(248&lt;=$S$3,IF(AND(OR('CHOP DASHBOARD'!$C$4="",ISNUMBER(SEARCH('CHOP DASHBOARD'!$C$4,INDEX(MASTER_AREAS!$B:$B,249))))),248,""),""),IF('CHOP DASHBOARD'!$B$4="Zone",IF(248&lt;=$S$4,IF(OR('CHOP DASHBOARD'!$C$4="",ISNUMBER(SEARCH('CHOP DASHBOARD'!$C$4,INDEX(MASTER_ZONES!$B:$B,249)))),248,""),""),""))</f>
        <v/>
      </c>
      <c r="Q249">
        <f>IFERROR(SMALL($P$2:$P$1487,248),"")</f>
        <v/>
      </c>
      <c r="R249">
        <f>IF(Q249="","",IF('CHOP DASHBOARD'!$B$4="Area",INDEX(MASTER_AREAS!$B:$B,Q249+1),INDEX(MASTER_ZONES!$B:$B,Q249+1)))</f>
        <v/>
      </c>
      <c r="U249">
        <f>IF('COMMUNITY CHURCH DASHBOARD'!$B$4="Area",IF(248&lt;=$X$3,IF(AND(OR('COMMUNITY CHURCH DASHBOARD'!$C$4="",ISNUMBER(SEARCH('COMMUNITY CHURCH DASHBOARD'!$C$4,INDEX(MASTER_AREAS!$B:$B,249))))),248,""),""),IF('COMMUNITY CHURCH DASHBOARD'!$B$4="Zone",IF(248&lt;=$X$4,IF(OR('COMMUNITY CHURCH DASHBOARD'!$C$4="",ISNUMBER(SEARCH('COMMUNITY CHURCH DASHBOARD'!$C$4,INDEX(MASTER_ZONES!$B:$B,249)))),248,""),""),""))</f>
        <v/>
      </c>
      <c r="V249">
        <f>IFERROR(SMALL($U$2:$U$1487,248),"")</f>
        <v/>
      </c>
      <c r="W249">
        <f>IF(V249="","",IF('COMMUNITY CHURCH DASHBOARD'!$B$4="Area",INDEX(MASTER_AREAS!$B:$B,V249+1),INDEX(MASTER_ZONES!$B:$B,V249+1)))</f>
        <v/>
      </c>
    </row>
    <row r="250">
      <c r="A250">
        <f>IF('WSF DASHBOARD'!$B$4="Area",IF(249&lt;=$D$3,IF(AND(OR('WSF DASHBOARD'!$C$4="",ISNUMBER(SEARCH('WSF DASHBOARD'!$C$4,INDEX(MASTER_AREAS!$B:$B,250))))),249,""),""),IF('WSF DASHBOARD'!$B$4="Zone",IF(249&lt;=$D$4,IF(OR('WSF DASHBOARD'!$C$4="",ISNUMBER(SEARCH('WSF DASHBOARD'!$C$4,INDEX(MASTER_ZONES!$B:$B,250)))),249,""),""),""))</f>
        <v/>
      </c>
      <c r="B250">
        <f>IFERROR(SMALL($A$2:$A$1487,249),"")</f>
        <v/>
      </c>
      <c r="C250">
        <f>IF(B250="","",IF('WSF DASHBOARD'!$B$4="Area",INDEX(MASTER_AREAS!$B:$B,B250+1),INDEX(MASTER_ZONES!$B:$B,B250+1)))</f>
        <v/>
      </c>
      <c r="F250">
        <f>IF('TRANSPORT DASHBOARD'!$B$4="Area",IF(249&lt;=$I$3,IF(AND(INDEX(MASTER_AREAS!$F:$F,250)&lt;&gt;"N",OR('TRANSPORT DASHBOARD'!$C$4="",ISNUMBER(SEARCH('TRANSPORT DASHBOARD'!$C$4,INDEX(MASTER_AREAS!$B:$B,250))))),249,""),""),IF('TRANSPORT DASHBOARD'!$B$4="Zone",IF(249&lt;=$I$4,IF(OR('TRANSPORT DASHBOARD'!$C$4="",ISNUMBER(SEARCH('TRANSPORT DASHBOARD'!$C$4,INDEX(MASTER_ZONES!$B:$B,250)))),249,""),""),""))</f>
        <v/>
      </c>
      <c r="G250">
        <f>IFERROR(SMALL($F$2:$F$1487,249),"")</f>
        <v/>
      </c>
      <c r="H250">
        <f>IF(G250="","",IF('TRANSPORT DASHBOARD'!$B$4="Area",INDEX(MASTER_AREAS!$B:$B,G250+1),INDEX(MASTER_ZONES!$B:$B,G250+1)))</f>
        <v/>
      </c>
      <c r="K250">
        <f>IF('MIDWEEK DASHBOARD'!$B$4="Area",IF(249&lt;=$N$3,IF(AND(OR('MIDWEEK DASHBOARD'!$C$4="",ISNUMBER(SEARCH('MIDWEEK DASHBOARD'!$C$4,INDEX(MASTER_AREAS!$B:$B,250))))),249,""),""),IF('MIDWEEK DASHBOARD'!$B$4="Zone",IF(249&lt;=$N$4,IF(OR('MIDWEEK DASHBOARD'!$C$4="",ISNUMBER(SEARCH('MIDWEEK DASHBOARD'!$C$4,INDEX(MASTER_ZONES!$B:$B,250)))),249,""),""),""))</f>
        <v/>
      </c>
      <c r="L250">
        <f>IFERROR(SMALL($K$2:$K$1487,249),"")</f>
        <v/>
      </c>
      <c r="M250">
        <f>IF(L250="","",IF('MIDWEEK DASHBOARD'!$B$4="Area",INDEX(MASTER_AREAS!$B:$B,L250+1),INDEX(MASTER_ZONES!$B:$B,L250+1)))</f>
        <v/>
      </c>
      <c r="P250">
        <f>IF('CHOP DASHBOARD'!$B$4="Area",IF(249&lt;=$S$3,IF(AND(OR('CHOP DASHBOARD'!$C$4="",ISNUMBER(SEARCH('CHOP DASHBOARD'!$C$4,INDEX(MASTER_AREAS!$B:$B,250))))),249,""),""),IF('CHOP DASHBOARD'!$B$4="Zone",IF(249&lt;=$S$4,IF(OR('CHOP DASHBOARD'!$C$4="",ISNUMBER(SEARCH('CHOP DASHBOARD'!$C$4,INDEX(MASTER_ZONES!$B:$B,250)))),249,""),""),""))</f>
        <v/>
      </c>
      <c r="Q250">
        <f>IFERROR(SMALL($P$2:$P$1487,249),"")</f>
        <v/>
      </c>
      <c r="R250">
        <f>IF(Q250="","",IF('CHOP DASHBOARD'!$B$4="Area",INDEX(MASTER_AREAS!$B:$B,Q250+1),INDEX(MASTER_ZONES!$B:$B,Q250+1)))</f>
        <v/>
      </c>
      <c r="U250">
        <f>IF('COMMUNITY CHURCH DASHBOARD'!$B$4="Area",IF(249&lt;=$X$3,IF(AND(OR('COMMUNITY CHURCH DASHBOARD'!$C$4="",ISNUMBER(SEARCH('COMMUNITY CHURCH DASHBOARD'!$C$4,INDEX(MASTER_AREAS!$B:$B,250))))),249,""),""),IF('COMMUNITY CHURCH DASHBOARD'!$B$4="Zone",IF(249&lt;=$X$4,IF(OR('COMMUNITY CHURCH DASHBOARD'!$C$4="",ISNUMBER(SEARCH('COMMUNITY CHURCH DASHBOARD'!$C$4,INDEX(MASTER_ZONES!$B:$B,250)))),249,""),""),""))</f>
        <v/>
      </c>
      <c r="V250">
        <f>IFERROR(SMALL($U$2:$U$1487,249),"")</f>
        <v/>
      </c>
      <c r="W250">
        <f>IF(V250="","",IF('COMMUNITY CHURCH DASHBOARD'!$B$4="Area",INDEX(MASTER_AREAS!$B:$B,V250+1),INDEX(MASTER_ZONES!$B:$B,V250+1)))</f>
        <v/>
      </c>
    </row>
    <row r="251">
      <c r="A251">
        <f>IF('WSF DASHBOARD'!$B$4="Area",IF(250&lt;=$D$3,IF(AND(OR('WSF DASHBOARD'!$C$4="",ISNUMBER(SEARCH('WSF DASHBOARD'!$C$4,INDEX(MASTER_AREAS!$B:$B,251))))),250,""),""),IF('WSF DASHBOARD'!$B$4="Zone",IF(250&lt;=$D$4,IF(OR('WSF DASHBOARD'!$C$4="",ISNUMBER(SEARCH('WSF DASHBOARD'!$C$4,INDEX(MASTER_ZONES!$B:$B,251)))),250,""),""),""))</f>
        <v/>
      </c>
      <c r="B251">
        <f>IFERROR(SMALL($A$2:$A$1487,250),"")</f>
        <v/>
      </c>
      <c r="C251">
        <f>IF(B251="","",IF('WSF DASHBOARD'!$B$4="Area",INDEX(MASTER_AREAS!$B:$B,B251+1),INDEX(MASTER_ZONES!$B:$B,B251+1)))</f>
        <v/>
      </c>
      <c r="F251">
        <f>IF('TRANSPORT DASHBOARD'!$B$4="Area",IF(250&lt;=$I$3,IF(AND(INDEX(MASTER_AREAS!$F:$F,251)&lt;&gt;"N",OR('TRANSPORT DASHBOARD'!$C$4="",ISNUMBER(SEARCH('TRANSPORT DASHBOARD'!$C$4,INDEX(MASTER_AREAS!$B:$B,251))))),250,""),""),IF('TRANSPORT DASHBOARD'!$B$4="Zone",IF(250&lt;=$I$4,IF(OR('TRANSPORT DASHBOARD'!$C$4="",ISNUMBER(SEARCH('TRANSPORT DASHBOARD'!$C$4,INDEX(MASTER_ZONES!$B:$B,251)))),250,""),""),""))</f>
        <v/>
      </c>
      <c r="G251">
        <f>IFERROR(SMALL($F$2:$F$1487,250),"")</f>
        <v/>
      </c>
      <c r="H251">
        <f>IF(G251="","",IF('TRANSPORT DASHBOARD'!$B$4="Area",INDEX(MASTER_AREAS!$B:$B,G251+1),INDEX(MASTER_ZONES!$B:$B,G251+1)))</f>
        <v/>
      </c>
      <c r="K251">
        <f>IF('MIDWEEK DASHBOARD'!$B$4="Area",IF(250&lt;=$N$3,IF(AND(OR('MIDWEEK DASHBOARD'!$C$4="",ISNUMBER(SEARCH('MIDWEEK DASHBOARD'!$C$4,INDEX(MASTER_AREAS!$B:$B,251))))),250,""),""),IF('MIDWEEK DASHBOARD'!$B$4="Zone",IF(250&lt;=$N$4,IF(OR('MIDWEEK DASHBOARD'!$C$4="",ISNUMBER(SEARCH('MIDWEEK DASHBOARD'!$C$4,INDEX(MASTER_ZONES!$B:$B,251)))),250,""),""),""))</f>
        <v/>
      </c>
      <c r="L251">
        <f>IFERROR(SMALL($K$2:$K$1487,250),"")</f>
        <v/>
      </c>
      <c r="M251">
        <f>IF(L251="","",IF('MIDWEEK DASHBOARD'!$B$4="Area",INDEX(MASTER_AREAS!$B:$B,L251+1),INDEX(MASTER_ZONES!$B:$B,L251+1)))</f>
        <v/>
      </c>
      <c r="P251">
        <f>IF('CHOP DASHBOARD'!$B$4="Area",IF(250&lt;=$S$3,IF(AND(OR('CHOP DASHBOARD'!$C$4="",ISNUMBER(SEARCH('CHOP DASHBOARD'!$C$4,INDEX(MASTER_AREAS!$B:$B,251))))),250,""),""),IF('CHOP DASHBOARD'!$B$4="Zone",IF(250&lt;=$S$4,IF(OR('CHOP DASHBOARD'!$C$4="",ISNUMBER(SEARCH('CHOP DASHBOARD'!$C$4,INDEX(MASTER_ZONES!$B:$B,251)))),250,""),""),""))</f>
        <v/>
      </c>
      <c r="Q251">
        <f>IFERROR(SMALL($P$2:$P$1487,250),"")</f>
        <v/>
      </c>
      <c r="R251">
        <f>IF(Q251="","",IF('CHOP DASHBOARD'!$B$4="Area",INDEX(MASTER_AREAS!$B:$B,Q251+1),INDEX(MASTER_ZONES!$B:$B,Q251+1)))</f>
        <v/>
      </c>
      <c r="U251">
        <f>IF('COMMUNITY CHURCH DASHBOARD'!$B$4="Area",IF(250&lt;=$X$3,IF(AND(OR('COMMUNITY CHURCH DASHBOARD'!$C$4="",ISNUMBER(SEARCH('COMMUNITY CHURCH DASHBOARD'!$C$4,INDEX(MASTER_AREAS!$B:$B,251))))),250,""),""),IF('COMMUNITY CHURCH DASHBOARD'!$B$4="Zone",IF(250&lt;=$X$4,IF(OR('COMMUNITY CHURCH DASHBOARD'!$C$4="",ISNUMBER(SEARCH('COMMUNITY CHURCH DASHBOARD'!$C$4,INDEX(MASTER_ZONES!$B:$B,251)))),250,""),""),""))</f>
        <v/>
      </c>
      <c r="V251">
        <f>IFERROR(SMALL($U$2:$U$1487,250),"")</f>
        <v/>
      </c>
      <c r="W251">
        <f>IF(V251="","",IF('COMMUNITY CHURCH DASHBOARD'!$B$4="Area",INDEX(MASTER_AREAS!$B:$B,V251+1),INDEX(MASTER_ZONES!$B:$B,V251+1)))</f>
        <v/>
      </c>
    </row>
    <row r="252">
      <c r="A252">
        <f>IF('WSF DASHBOARD'!$B$4="Area",IF(251&lt;=$D$3,IF(AND(OR('WSF DASHBOARD'!$C$4="",ISNUMBER(SEARCH('WSF DASHBOARD'!$C$4,INDEX(MASTER_AREAS!$B:$B,252))))),251,""),""),IF('WSF DASHBOARD'!$B$4="Zone",IF(251&lt;=$D$4,IF(OR('WSF DASHBOARD'!$C$4="",ISNUMBER(SEARCH('WSF DASHBOARD'!$C$4,INDEX(MASTER_ZONES!$B:$B,252)))),251,""),""),""))</f>
        <v/>
      </c>
      <c r="F252">
        <f>IF('TRANSPORT DASHBOARD'!$B$4="Area",IF(251&lt;=$I$3,IF(AND(INDEX(MASTER_AREAS!$F:$F,252)&lt;&gt;"N",OR('TRANSPORT DASHBOARD'!$C$4="",ISNUMBER(SEARCH('TRANSPORT DASHBOARD'!$C$4,INDEX(MASTER_AREAS!$B:$B,252))))),251,""),""),IF('TRANSPORT DASHBOARD'!$B$4="Zone",IF(251&lt;=$I$4,IF(OR('TRANSPORT DASHBOARD'!$C$4="",ISNUMBER(SEARCH('TRANSPORT DASHBOARD'!$C$4,INDEX(MASTER_ZONES!$B:$B,252)))),251,""),""),""))</f>
        <v/>
      </c>
      <c r="K252">
        <f>IF('MIDWEEK DASHBOARD'!$B$4="Area",IF(251&lt;=$N$3,IF(AND(OR('MIDWEEK DASHBOARD'!$C$4="",ISNUMBER(SEARCH('MIDWEEK DASHBOARD'!$C$4,INDEX(MASTER_AREAS!$B:$B,252))))),251,""),""),IF('MIDWEEK DASHBOARD'!$B$4="Zone",IF(251&lt;=$N$4,IF(OR('MIDWEEK DASHBOARD'!$C$4="",ISNUMBER(SEARCH('MIDWEEK DASHBOARD'!$C$4,INDEX(MASTER_ZONES!$B:$B,252)))),251,""),""),""))</f>
        <v/>
      </c>
      <c r="P252">
        <f>IF('CHOP DASHBOARD'!$B$4="Area",IF(251&lt;=$S$3,IF(AND(OR('CHOP DASHBOARD'!$C$4="",ISNUMBER(SEARCH('CHOP DASHBOARD'!$C$4,INDEX(MASTER_AREAS!$B:$B,252))))),251,""),""),IF('CHOP DASHBOARD'!$B$4="Zone",IF(251&lt;=$S$4,IF(OR('CHOP DASHBOARD'!$C$4="",ISNUMBER(SEARCH('CHOP DASHBOARD'!$C$4,INDEX(MASTER_ZONES!$B:$B,252)))),251,""),""),""))</f>
        <v/>
      </c>
      <c r="U252">
        <f>IF('COMMUNITY CHURCH DASHBOARD'!$B$4="Area",IF(251&lt;=$X$3,IF(AND(OR('COMMUNITY CHURCH DASHBOARD'!$C$4="",ISNUMBER(SEARCH('COMMUNITY CHURCH DASHBOARD'!$C$4,INDEX(MASTER_AREAS!$B:$B,252))))),251,""),""),IF('COMMUNITY CHURCH DASHBOARD'!$B$4="Zone",IF(251&lt;=$X$4,IF(OR('COMMUNITY CHURCH DASHBOARD'!$C$4="",ISNUMBER(SEARCH('COMMUNITY CHURCH DASHBOARD'!$C$4,INDEX(MASTER_ZONES!$B:$B,252)))),251,""),""),""))</f>
        <v/>
      </c>
    </row>
    <row r="253">
      <c r="A253">
        <f>IF('WSF DASHBOARD'!$B$4="Area",IF(252&lt;=$D$3,IF(AND(OR('WSF DASHBOARD'!$C$4="",ISNUMBER(SEARCH('WSF DASHBOARD'!$C$4,INDEX(MASTER_AREAS!$B:$B,253))))),252,""),""),IF('WSF DASHBOARD'!$B$4="Zone",IF(252&lt;=$D$4,IF(OR('WSF DASHBOARD'!$C$4="",ISNUMBER(SEARCH('WSF DASHBOARD'!$C$4,INDEX(MASTER_ZONES!$B:$B,253)))),252,""),""),""))</f>
        <v/>
      </c>
      <c r="F253">
        <f>IF('TRANSPORT DASHBOARD'!$B$4="Area",IF(252&lt;=$I$3,IF(AND(INDEX(MASTER_AREAS!$F:$F,253)&lt;&gt;"N",OR('TRANSPORT DASHBOARD'!$C$4="",ISNUMBER(SEARCH('TRANSPORT DASHBOARD'!$C$4,INDEX(MASTER_AREAS!$B:$B,253))))),252,""),""),IF('TRANSPORT DASHBOARD'!$B$4="Zone",IF(252&lt;=$I$4,IF(OR('TRANSPORT DASHBOARD'!$C$4="",ISNUMBER(SEARCH('TRANSPORT DASHBOARD'!$C$4,INDEX(MASTER_ZONES!$B:$B,253)))),252,""),""),""))</f>
        <v/>
      </c>
      <c r="K253">
        <f>IF('MIDWEEK DASHBOARD'!$B$4="Area",IF(252&lt;=$N$3,IF(AND(OR('MIDWEEK DASHBOARD'!$C$4="",ISNUMBER(SEARCH('MIDWEEK DASHBOARD'!$C$4,INDEX(MASTER_AREAS!$B:$B,253))))),252,""),""),IF('MIDWEEK DASHBOARD'!$B$4="Zone",IF(252&lt;=$N$4,IF(OR('MIDWEEK DASHBOARD'!$C$4="",ISNUMBER(SEARCH('MIDWEEK DASHBOARD'!$C$4,INDEX(MASTER_ZONES!$B:$B,253)))),252,""),""),""))</f>
        <v/>
      </c>
      <c r="P253">
        <f>IF('CHOP DASHBOARD'!$B$4="Area",IF(252&lt;=$S$3,IF(AND(OR('CHOP DASHBOARD'!$C$4="",ISNUMBER(SEARCH('CHOP DASHBOARD'!$C$4,INDEX(MASTER_AREAS!$B:$B,253))))),252,""),""),IF('CHOP DASHBOARD'!$B$4="Zone",IF(252&lt;=$S$4,IF(OR('CHOP DASHBOARD'!$C$4="",ISNUMBER(SEARCH('CHOP DASHBOARD'!$C$4,INDEX(MASTER_ZONES!$B:$B,253)))),252,""),""),""))</f>
        <v/>
      </c>
      <c r="U253">
        <f>IF('COMMUNITY CHURCH DASHBOARD'!$B$4="Area",IF(252&lt;=$X$3,IF(AND(OR('COMMUNITY CHURCH DASHBOARD'!$C$4="",ISNUMBER(SEARCH('COMMUNITY CHURCH DASHBOARD'!$C$4,INDEX(MASTER_AREAS!$B:$B,253))))),252,""),""),IF('COMMUNITY CHURCH DASHBOARD'!$B$4="Zone",IF(252&lt;=$X$4,IF(OR('COMMUNITY CHURCH DASHBOARD'!$C$4="",ISNUMBER(SEARCH('COMMUNITY CHURCH DASHBOARD'!$C$4,INDEX(MASTER_ZONES!$B:$B,253)))),252,""),""),""))</f>
        <v/>
      </c>
    </row>
    <row r="254">
      <c r="A254">
        <f>IF('WSF DASHBOARD'!$B$4="Area",IF(253&lt;=$D$3,IF(AND(OR('WSF DASHBOARD'!$C$4="",ISNUMBER(SEARCH('WSF DASHBOARD'!$C$4,INDEX(MASTER_AREAS!$B:$B,254))))),253,""),""),IF('WSF DASHBOARD'!$B$4="Zone",IF(253&lt;=$D$4,IF(OR('WSF DASHBOARD'!$C$4="",ISNUMBER(SEARCH('WSF DASHBOARD'!$C$4,INDEX(MASTER_ZONES!$B:$B,254)))),253,""),""),""))</f>
        <v/>
      </c>
      <c r="F254">
        <f>IF('TRANSPORT DASHBOARD'!$B$4="Area",IF(253&lt;=$I$3,IF(AND(INDEX(MASTER_AREAS!$F:$F,254)&lt;&gt;"N",OR('TRANSPORT DASHBOARD'!$C$4="",ISNUMBER(SEARCH('TRANSPORT DASHBOARD'!$C$4,INDEX(MASTER_AREAS!$B:$B,254))))),253,""),""),IF('TRANSPORT DASHBOARD'!$B$4="Zone",IF(253&lt;=$I$4,IF(OR('TRANSPORT DASHBOARD'!$C$4="",ISNUMBER(SEARCH('TRANSPORT DASHBOARD'!$C$4,INDEX(MASTER_ZONES!$B:$B,254)))),253,""),""),""))</f>
        <v/>
      </c>
      <c r="K254">
        <f>IF('MIDWEEK DASHBOARD'!$B$4="Area",IF(253&lt;=$N$3,IF(AND(OR('MIDWEEK DASHBOARD'!$C$4="",ISNUMBER(SEARCH('MIDWEEK DASHBOARD'!$C$4,INDEX(MASTER_AREAS!$B:$B,254))))),253,""),""),IF('MIDWEEK DASHBOARD'!$B$4="Zone",IF(253&lt;=$N$4,IF(OR('MIDWEEK DASHBOARD'!$C$4="",ISNUMBER(SEARCH('MIDWEEK DASHBOARD'!$C$4,INDEX(MASTER_ZONES!$B:$B,254)))),253,""),""),""))</f>
        <v/>
      </c>
      <c r="P254">
        <f>IF('CHOP DASHBOARD'!$B$4="Area",IF(253&lt;=$S$3,IF(AND(OR('CHOP DASHBOARD'!$C$4="",ISNUMBER(SEARCH('CHOP DASHBOARD'!$C$4,INDEX(MASTER_AREAS!$B:$B,254))))),253,""),""),IF('CHOP DASHBOARD'!$B$4="Zone",IF(253&lt;=$S$4,IF(OR('CHOP DASHBOARD'!$C$4="",ISNUMBER(SEARCH('CHOP DASHBOARD'!$C$4,INDEX(MASTER_ZONES!$B:$B,254)))),253,""),""),""))</f>
        <v/>
      </c>
      <c r="U254">
        <f>IF('COMMUNITY CHURCH DASHBOARD'!$B$4="Area",IF(253&lt;=$X$3,IF(AND(OR('COMMUNITY CHURCH DASHBOARD'!$C$4="",ISNUMBER(SEARCH('COMMUNITY CHURCH DASHBOARD'!$C$4,INDEX(MASTER_AREAS!$B:$B,254))))),253,""),""),IF('COMMUNITY CHURCH DASHBOARD'!$B$4="Zone",IF(253&lt;=$X$4,IF(OR('COMMUNITY CHURCH DASHBOARD'!$C$4="",ISNUMBER(SEARCH('COMMUNITY CHURCH DASHBOARD'!$C$4,INDEX(MASTER_ZONES!$B:$B,254)))),253,""),""),""))</f>
        <v/>
      </c>
    </row>
    <row r="255">
      <c r="A255">
        <f>IF('WSF DASHBOARD'!$B$4="Area",IF(254&lt;=$D$3,IF(AND(OR('WSF DASHBOARD'!$C$4="",ISNUMBER(SEARCH('WSF DASHBOARD'!$C$4,INDEX(MASTER_AREAS!$B:$B,255))))),254,""),""),IF('WSF DASHBOARD'!$B$4="Zone",IF(254&lt;=$D$4,IF(OR('WSF DASHBOARD'!$C$4="",ISNUMBER(SEARCH('WSF DASHBOARD'!$C$4,INDEX(MASTER_ZONES!$B:$B,255)))),254,""),""),""))</f>
        <v/>
      </c>
      <c r="F255">
        <f>IF('TRANSPORT DASHBOARD'!$B$4="Area",IF(254&lt;=$I$3,IF(AND(INDEX(MASTER_AREAS!$F:$F,255)&lt;&gt;"N",OR('TRANSPORT DASHBOARD'!$C$4="",ISNUMBER(SEARCH('TRANSPORT DASHBOARD'!$C$4,INDEX(MASTER_AREAS!$B:$B,255))))),254,""),""),IF('TRANSPORT DASHBOARD'!$B$4="Zone",IF(254&lt;=$I$4,IF(OR('TRANSPORT DASHBOARD'!$C$4="",ISNUMBER(SEARCH('TRANSPORT DASHBOARD'!$C$4,INDEX(MASTER_ZONES!$B:$B,255)))),254,""),""),""))</f>
        <v/>
      </c>
      <c r="K255">
        <f>IF('MIDWEEK DASHBOARD'!$B$4="Area",IF(254&lt;=$N$3,IF(AND(OR('MIDWEEK DASHBOARD'!$C$4="",ISNUMBER(SEARCH('MIDWEEK DASHBOARD'!$C$4,INDEX(MASTER_AREAS!$B:$B,255))))),254,""),""),IF('MIDWEEK DASHBOARD'!$B$4="Zone",IF(254&lt;=$N$4,IF(OR('MIDWEEK DASHBOARD'!$C$4="",ISNUMBER(SEARCH('MIDWEEK DASHBOARD'!$C$4,INDEX(MASTER_ZONES!$B:$B,255)))),254,""),""),""))</f>
        <v/>
      </c>
      <c r="P255">
        <f>IF('CHOP DASHBOARD'!$B$4="Area",IF(254&lt;=$S$3,IF(AND(OR('CHOP DASHBOARD'!$C$4="",ISNUMBER(SEARCH('CHOP DASHBOARD'!$C$4,INDEX(MASTER_AREAS!$B:$B,255))))),254,""),""),IF('CHOP DASHBOARD'!$B$4="Zone",IF(254&lt;=$S$4,IF(OR('CHOP DASHBOARD'!$C$4="",ISNUMBER(SEARCH('CHOP DASHBOARD'!$C$4,INDEX(MASTER_ZONES!$B:$B,255)))),254,""),""),""))</f>
        <v/>
      </c>
      <c r="U255">
        <f>IF('COMMUNITY CHURCH DASHBOARD'!$B$4="Area",IF(254&lt;=$X$3,IF(AND(OR('COMMUNITY CHURCH DASHBOARD'!$C$4="",ISNUMBER(SEARCH('COMMUNITY CHURCH DASHBOARD'!$C$4,INDEX(MASTER_AREAS!$B:$B,255))))),254,""),""),IF('COMMUNITY CHURCH DASHBOARD'!$B$4="Zone",IF(254&lt;=$X$4,IF(OR('COMMUNITY CHURCH DASHBOARD'!$C$4="",ISNUMBER(SEARCH('COMMUNITY CHURCH DASHBOARD'!$C$4,INDEX(MASTER_ZONES!$B:$B,255)))),254,""),""),""))</f>
        <v/>
      </c>
    </row>
    <row r="256">
      <c r="A256">
        <f>IF('WSF DASHBOARD'!$B$4="Area",IF(255&lt;=$D$3,IF(AND(OR('WSF DASHBOARD'!$C$4="",ISNUMBER(SEARCH('WSF DASHBOARD'!$C$4,INDEX(MASTER_AREAS!$B:$B,256))))),255,""),""),IF('WSF DASHBOARD'!$B$4="Zone",IF(255&lt;=$D$4,IF(OR('WSF DASHBOARD'!$C$4="",ISNUMBER(SEARCH('WSF DASHBOARD'!$C$4,INDEX(MASTER_ZONES!$B:$B,256)))),255,""),""),""))</f>
        <v/>
      </c>
      <c r="F256">
        <f>IF('TRANSPORT DASHBOARD'!$B$4="Area",IF(255&lt;=$I$3,IF(AND(INDEX(MASTER_AREAS!$F:$F,256)&lt;&gt;"N",OR('TRANSPORT DASHBOARD'!$C$4="",ISNUMBER(SEARCH('TRANSPORT DASHBOARD'!$C$4,INDEX(MASTER_AREAS!$B:$B,256))))),255,""),""),IF('TRANSPORT DASHBOARD'!$B$4="Zone",IF(255&lt;=$I$4,IF(OR('TRANSPORT DASHBOARD'!$C$4="",ISNUMBER(SEARCH('TRANSPORT DASHBOARD'!$C$4,INDEX(MASTER_ZONES!$B:$B,256)))),255,""),""),""))</f>
        <v/>
      </c>
      <c r="K256">
        <f>IF('MIDWEEK DASHBOARD'!$B$4="Area",IF(255&lt;=$N$3,IF(AND(OR('MIDWEEK DASHBOARD'!$C$4="",ISNUMBER(SEARCH('MIDWEEK DASHBOARD'!$C$4,INDEX(MASTER_AREAS!$B:$B,256))))),255,""),""),IF('MIDWEEK DASHBOARD'!$B$4="Zone",IF(255&lt;=$N$4,IF(OR('MIDWEEK DASHBOARD'!$C$4="",ISNUMBER(SEARCH('MIDWEEK DASHBOARD'!$C$4,INDEX(MASTER_ZONES!$B:$B,256)))),255,""),""),""))</f>
        <v/>
      </c>
      <c r="P256">
        <f>IF('CHOP DASHBOARD'!$B$4="Area",IF(255&lt;=$S$3,IF(AND(OR('CHOP DASHBOARD'!$C$4="",ISNUMBER(SEARCH('CHOP DASHBOARD'!$C$4,INDEX(MASTER_AREAS!$B:$B,256))))),255,""),""),IF('CHOP DASHBOARD'!$B$4="Zone",IF(255&lt;=$S$4,IF(OR('CHOP DASHBOARD'!$C$4="",ISNUMBER(SEARCH('CHOP DASHBOARD'!$C$4,INDEX(MASTER_ZONES!$B:$B,256)))),255,""),""),""))</f>
        <v/>
      </c>
      <c r="U256">
        <f>IF('COMMUNITY CHURCH DASHBOARD'!$B$4="Area",IF(255&lt;=$X$3,IF(AND(OR('COMMUNITY CHURCH DASHBOARD'!$C$4="",ISNUMBER(SEARCH('COMMUNITY CHURCH DASHBOARD'!$C$4,INDEX(MASTER_AREAS!$B:$B,256))))),255,""),""),IF('COMMUNITY CHURCH DASHBOARD'!$B$4="Zone",IF(255&lt;=$X$4,IF(OR('COMMUNITY CHURCH DASHBOARD'!$C$4="",ISNUMBER(SEARCH('COMMUNITY CHURCH DASHBOARD'!$C$4,INDEX(MASTER_ZONES!$B:$B,256)))),255,""),""),""))</f>
        <v/>
      </c>
    </row>
    <row r="257">
      <c r="A257">
        <f>IF('WSF DASHBOARD'!$B$4="Area",IF(256&lt;=$D$3,IF(AND(OR('WSF DASHBOARD'!$C$4="",ISNUMBER(SEARCH('WSF DASHBOARD'!$C$4,INDEX(MASTER_AREAS!$B:$B,257))))),256,""),""),IF('WSF DASHBOARD'!$B$4="Zone",IF(256&lt;=$D$4,IF(OR('WSF DASHBOARD'!$C$4="",ISNUMBER(SEARCH('WSF DASHBOARD'!$C$4,INDEX(MASTER_ZONES!$B:$B,257)))),256,""),""),""))</f>
        <v/>
      </c>
      <c r="F257">
        <f>IF('TRANSPORT DASHBOARD'!$B$4="Area",IF(256&lt;=$I$3,IF(AND(INDEX(MASTER_AREAS!$F:$F,257)&lt;&gt;"N",OR('TRANSPORT DASHBOARD'!$C$4="",ISNUMBER(SEARCH('TRANSPORT DASHBOARD'!$C$4,INDEX(MASTER_AREAS!$B:$B,257))))),256,""),""),IF('TRANSPORT DASHBOARD'!$B$4="Zone",IF(256&lt;=$I$4,IF(OR('TRANSPORT DASHBOARD'!$C$4="",ISNUMBER(SEARCH('TRANSPORT DASHBOARD'!$C$4,INDEX(MASTER_ZONES!$B:$B,257)))),256,""),""),""))</f>
        <v/>
      </c>
      <c r="K257">
        <f>IF('MIDWEEK DASHBOARD'!$B$4="Area",IF(256&lt;=$N$3,IF(AND(OR('MIDWEEK DASHBOARD'!$C$4="",ISNUMBER(SEARCH('MIDWEEK DASHBOARD'!$C$4,INDEX(MASTER_AREAS!$B:$B,257))))),256,""),""),IF('MIDWEEK DASHBOARD'!$B$4="Zone",IF(256&lt;=$N$4,IF(OR('MIDWEEK DASHBOARD'!$C$4="",ISNUMBER(SEARCH('MIDWEEK DASHBOARD'!$C$4,INDEX(MASTER_ZONES!$B:$B,257)))),256,""),""),""))</f>
        <v/>
      </c>
      <c r="P257">
        <f>IF('CHOP DASHBOARD'!$B$4="Area",IF(256&lt;=$S$3,IF(AND(OR('CHOP DASHBOARD'!$C$4="",ISNUMBER(SEARCH('CHOP DASHBOARD'!$C$4,INDEX(MASTER_AREAS!$B:$B,257))))),256,""),""),IF('CHOP DASHBOARD'!$B$4="Zone",IF(256&lt;=$S$4,IF(OR('CHOP DASHBOARD'!$C$4="",ISNUMBER(SEARCH('CHOP DASHBOARD'!$C$4,INDEX(MASTER_ZONES!$B:$B,257)))),256,""),""),""))</f>
        <v/>
      </c>
      <c r="U257">
        <f>IF('COMMUNITY CHURCH DASHBOARD'!$B$4="Area",IF(256&lt;=$X$3,IF(AND(OR('COMMUNITY CHURCH DASHBOARD'!$C$4="",ISNUMBER(SEARCH('COMMUNITY CHURCH DASHBOARD'!$C$4,INDEX(MASTER_AREAS!$B:$B,257))))),256,""),""),IF('COMMUNITY CHURCH DASHBOARD'!$B$4="Zone",IF(256&lt;=$X$4,IF(OR('COMMUNITY CHURCH DASHBOARD'!$C$4="",ISNUMBER(SEARCH('COMMUNITY CHURCH DASHBOARD'!$C$4,INDEX(MASTER_ZONES!$B:$B,257)))),256,""),""),""))</f>
        <v/>
      </c>
    </row>
    <row r="258">
      <c r="A258">
        <f>IF('WSF DASHBOARD'!$B$4="Area",IF(257&lt;=$D$3,IF(AND(OR('WSF DASHBOARD'!$C$4="",ISNUMBER(SEARCH('WSF DASHBOARD'!$C$4,INDEX(MASTER_AREAS!$B:$B,258))))),257,""),""),IF('WSF DASHBOARD'!$B$4="Zone",IF(257&lt;=$D$4,IF(OR('WSF DASHBOARD'!$C$4="",ISNUMBER(SEARCH('WSF DASHBOARD'!$C$4,INDEX(MASTER_ZONES!$B:$B,258)))),257,""),""),""))</f>
        <v/>
      </c>
      <c r="F258">
        <f>IF('TRANSPORT DASHBOARD'!$B$4="Area",IF(257&lt;=$I$3,IF(AND(INDEX(MASTER_AREAS!$F:$F,258)&lt;&gt;"N",OR('TRANSPORT DASHBOARD'!$C$4="",ISNUMBER(SEARCH('TRANSPORT DASHBOARD'!$C$4,INDEX(MASTER_AREAS!$B:$B,258))))),257,""),""),IF('TRANSPORT DASHBOARD'!$B$4="Zone",IF(257&lt;=$I$4,IF(OR('TRANSPORT DASHBOARD'!$C$4="",ISNUMBER(SEARCH('TRANSPORT DASHBOARD'!$C$4,INDEX(MASTER_ZONES!$B:$B,258)))),257,""),""),""))</f>
        <v/>
      </c>
      <c r="K258">
        <f>IF('MIDWEEK DASHBOARD'!$B$4="Area",IF(257&lt;=$N$3,IF(AND(OR('MIDWEEK DASHBOARD'!$C$4="",ISNUMBER(SEARCH('MIDWEEK DASHBOARD'!$C$4,INDEX(MASTER_AREAS!$B:$B,258))))),257,""),""),IF('MIDWEEK DASHBOARD'!$B$4="Zone",IF(257&lt;=$N$4,IF(OR('MIDWEEK DASHBOARD'!$C$4="",ISNUMBER(SEARCH('MIDWEEK DASHBOARD'!$C$4,INDEX(MASTER_ZONES!$B:$B,258)))),257,""),""),""))</f>
        <v/>
      </c>
      <c r="P258">
        <f>IF('CHOP DASHBOARD'!$B$4="Area",IF(257&lt;=$S$3,IF(AND(OR('CHOP DASHBOARD'!$C$4="",ISNUMBER(SEARCH('CHOP DASHBOARD'!$C$4,INDEX(MASTER_AREAS!$B:$B,258))))),257,""),""),IF('CHOP DASHBOARD'!$B$4="Zone",IF(257&lt;=$S$4,IF(OR('CHOP DASHBOARD'!$C$4="",ISNUMBER(SEARCH('CHOP DASHBOARD'!$C$4,INDEX(MASTER_ZONES!$B:$B,258)))),257,""),""),""))</f>
        <v/>
      </c>
      <c r="U258">
        <f>IF('COMMUNITY CHURCH DASHBOARD'!$B$4="Area",IF(257&lt;=$X$3,IF(AND(OR('COMMUNITY CHURCH DASHBOARD'!$C$4="",ISNUMBER(SEARCH('COMMUNITY CHURCH DASHBOARD'!$C$4,INDEX(MASTER_AREAS!$B:$B,258))))),257,""),""),IF('COMMUNITY CHURCH DASHBOARD'!$B$4="Zone",IF(257&lt;=$X$4,IF(OR('COMMUNITY CHURCH DASHBOARD'!$C$4="",ISNUMBER(SEARCH('COMMUNITY CHURCH DASHBOARD'!$C$4,INDEX(MASTER_ZONES!$B:$B,258)))),257,""),""),""))</f>
        <v/>
      </c>
    </row>
    <row r="259">
      <c r="A259">
        <f>IF('WSF DASHBOARD'!$B$4="Area",IF(258&lt;=$D$3,IF(AND(OR('WSF DASHBOARD'!$C$4="",ISNUMBER(SEARCH('WSF DASHBOARD'!$C$4,INDEX(MASTER_AREAS!$B:$B,259))))),258,""),""),IF('WSF DASHBOARD'!$B$4="Zone",IF(258&lt;=$D$4,IF(OR('WSF DASHBOARD'!$C$4="",ISNUMBER(SEARCH('WSF DASHBOARD'!$C$4,INDEX(MASTER_ZONES!$B:$B,259)))),258,""),""),""))</f>
        <v/>
      </c>
      <c r="F259">
        <f>IF('TRANSPORT DASHBOARD'!$B$4="Area",IF(258&lt;=$I$3,IF(AND(INDEX(MASTER_AREAS!$F:$F,259)&lt;&gt;"N",OR('TRANSPORT DASHBOARD'!$C$4="",ISNUMBER(SEARCH('TRANSPORT DASHBOARD'!$C$4,INDEX(MASTER_AREAS!$B:$B,259))))),258,""),""),IF('TRANSPORT DASHBOARD'!$B$4="Zone",IF(258&lt;=$I$4,IF(OR('TRANSPORT DASHBOARD'!$C$4="",ISNUMBER(SEARCH('TRANSPORT DASHBOARD'!$C$4,INDEX(MASTER_ZONES!$B:$B,259)))),258,""),""),""))</f>
        <v/>
      </c>
      <c r="K259">
        <f>IF('MIDWEEK DASHBOARD'!$B$4="Area",IF(258&lt;=$N$3,IF(AND(OR('MIDWEEK DASHBOARD'!$C$4="",ISNUMBER(SEARCH('MIDWEEK DASHBOARD'!$C$4,INDEX(MASTER_AREAS!$B:$B,259))))),258,""),""),IF('MIDWEEK DASHBOARD'!$B$4="Zone",IF(258&lt;=$N$4,IF(OR('MIDWEEK DASHBOARD'!$C$4="",ISNUMBER(SEARCH('MIDWEEK DASHBOARD'!$C$4,INDEX(MASTER_ZONES!$B:$B,259)))),258,""),""),""))</f>
        <v/>
      </c>
      <c r="P259">
        <f>IF('CHOP DASHBOARD'!$B$4="Area",IF(258&lt;=$S$3,IF(AND(OR('CHOP DASHBOARD'!$C$4="",ISNUMBER(SEARCH('CHOP DASHBOARD'!$C$4,INDEX(MASTER_AREAS!$B:$B,259))))),258,""),""),IF('CHOP DASHBOARD'!$B$4="Zone",IF(258&lt;=$S$4,IF(OR('CHOP DASHBOARD'!$C$4="",ISNUMBER(SEARCH('CHOP DASHBOARD'!$C$4,INDEX(MASTER_ZONES!$B:$B,259)))),258,""),""),""))</f>
        <v/>
      </c>
      <c r="U259">
        <f>IF('COMMUNITY CHURCH DASHBOARD'!$B$4="Area",IF(258&lt;=$X$3,IF(AND(OR('COMMUNITY CHURCH DASHBOARD'!$C$4="",ISNUMBER(SEARCH('COMMUNITY CHURCH DASHBOARD'!$C$4,INDEX(MASTER_AREAS!$B:$B,259))))),258,""),""),IF('COMMUNITY CHURCH DASHBOARD'!$B$4="Zone",IF(258&lt;=$X$4,IF(OR('COMMUNITY CHURCH DASHBOARD'!$C$4="",ISNUMBER(SEARCH('COMMUNITY CHURCH DASHBOARD'!$C$4,INDEX(MASTER_ZONES!$B:$B,259)))),258,""),""),""))</f>
        <v/>
      </c>
    </row>
    <row r="260">
      <c r="A260">
        <f>IF('WSF DASHBOARD'!$B$4="Area",IF(259&lt;=$D$3,IF(AND(OR('WSF DASHBOARD'!$C$4="",ISNUMBER(SEARCH('WSF DASHBOARD'!$C$4,INDEX(MASTER_AREAS!$B:$B,260))))),259,""),""),IF('WSF DASHBOARD'!$B$4="Zone",IF(259&lt;=$D$4,IF(OR('WSF DASHBOARD'!$C$4="",ISNUMBER(SEARCH('WSF DASHBOARD'!$C$4,INDEX(MASTER_ZONES!$B:$B,260)))),259,""),""),""))</f>
        <v/>
      </c>
      <c r="F260">
        <f>IF('TRANSPORT DASHBOARD'!$B$4="Area",IF(259&lt;=$I$3,IF(AND(INDEX(MASTER_AREAS!$F:$F,260)&lt;&gt;"N",OR('TRANSPORT DASHBOARD'!$C$4="",ISNUMBER(SEARCH('TRANSPORT DASHBOARD'!$C$4,INDEX(MASTER_AREAS!$B:$B,260))))),259,""),""),IF('TRANSPORT DASHBOARD'!$B$4="Zone",IF(259&lt;=$I$4,IF(OR('TRANSPORT DASHBOARD'!$C$4="",ISNUMBER(SEARCH('TRANSPORT DASHBOARD'!$C$4,INDEX(MASTER_ZONES!$B:$B,260)))),259,""),""),""))</f>
        <v/>
      </c>
      <c r="K260">
        <f>IF('MIDWEEK DASHBOARD'!$B$4="Area",IF(259&lt;=$N$3,IF(AND(OR('MIDWEEK DASHBOARD'!$C$4="",ISNUMBER(SEARCH('MIDWEEK DASHBOARD'!$C$4,INDEX(MASTER_AREAS!$B:$B,260))))),259,""),""),IF('MIDWEEK DASHBOARD'!$B$4="Zone",IF(259&lt;=$N$4,IF(OR('MIDWEEK DASHBOARD'!$C$4="",ISNUMBER(SEARCH('MIDWEEK DASHBOARD'!$C$4,INDEX(MASTER_ZONES!$B:$B,260)))),259,""),""),""))</f>
        <v/>
      </c>
      <c r="P260">
        <f>IF('CHOP DASHBOARD'!$B$4="Area",IF(259&lt;=$S$3,IF(AND(OR('CHOP DASHBOARD'!$C$4="",ISNUMBER(SEARCH('CHOP DASHBOARD'!$C$4,INDEX(MASTER_AREAS!$B:$B,260))))),259,""),""),IF('CHOP DASHBOARD'!$B$4="Zone",IF(259&lt;=$S$4,IF(OR('CHOP DASHBOARD'!$C$4="",ISNUMBER(SEARCH('CHOP DASHBOARD'!$C$4,INDEX(MASTER_ZONES!$B:$B,260)))),259,""),""),""))</f>
        <v/>
      </c>
      <c r="U260">
        <f>IF('COMMUNITY CHURCH DASHBOARD'!$B$4="Area",IF(259&lt;=$X$3,IF(AND(OR('COMMUNITY CHURCH DASHBOARD'!$C$4="",ISNUMBER(SEARCH('COMMUNITY CHURCH DASHBOARD'!$C$4,INDEX(MASTER_AREAS!$B:$B,260))))),259,""),""),IF('COMMUNITY CHURCH DASHBOARD'!$B$4="Zone",IF(259&lt;=$X$4,IF(OR('COMMUNITY CHURCH DASHBOARD'!$C$4="",ISNUMBER(SEARCH('COMMUNITY CHURCH DASHBOARD'!$C$4,INDEX(MASTER_ZONES!$B:$B,260)))),259,""),""),""))</f>
        <v/>
      </c>
    </row>
    <row r="261">
      <c r="A261">
        <f>IF('WSF DASHBOARD'!$B$4="Area",IF(260&lt;=$D$3,IF(AND(OR('WSF DASHBOARD'!$C$4="",ISNUMBER(SEARCH('WSF DASHBOARD'!$C$4,INDEX(MASTER_AREAS!$B:$B,261))))),260,""),""),IF('WSF DASHBOARD'!$B$4="Zone",IF(260&lt;=$D$4,IF(OR('WSF DASHBOARD'!$C$4="",ISNUMBER(SEARCH('WSF DASHBOARD'!$C$4,INDEX(MASTER_ZONES!$B:$B,261)))),260,""),""),""))</f>
        <v/>
      </c>
      <c r="F261">
        <f>IF('TRANSPORT DASHBOARD'!$B$4="Area",IF(260&lt;=$I$3,IF(AND(INDEX(MASTER_AREAS!$F:$F,261)&lt;&gt;"N",OR('TRANSPORT DASHBOARD'!$C$4="",ISNUMBER(SEARCH('TRANSPORT DASHBOARD'!$C$4,INDEX(MASTER_AREAS!$B:$B,261))))),260,""),""),IF('TRANSPORT DASHBOARD'!$B$4="Zone",IF(260&lt;=$I$4,IF(OR('TRANSPORT DASHBOARD'!$C$4="",ISNUMBER(SEARCH('TRANSPORT DASHBOARD'!$C$4,INDEX(MASTER_ZONES!$B:$B,261)))),260,""),""),""))</f>
        <v/>
      </c>
      <c r="K261">
        <f>IF('MIDWEEK DASHBOARD'!$B$4="Area",IF(260&lt;=$N$3,IF(AND(OR('MIDWEEK DASHBOARD'!$C$4="",ISNUMBER(SEARCH('MIDWEEK DASHBOARD'!$C$4,INDEX(MASTER_AREAS!$B:$B,261))))),260,""),""),IF('MIDWEEK DASHBOARD'!$B$4="Zone",IF(260&lt;=$N$4,IF(OR('MIDWEEK DASHBOARD'!$C$4="",ISNUMBER(SEARCH('MIDWEEK DASHBOARD'!$C$4,INDEX(MASTER_ZONES!$B:$B,261)))),260,""),""),""))</f>
        <v/>
      </c>
      <c r="P261">
        <f>IF('CHOP DASHBOARD'!$B$4="Area",IF(260&lt;=$S$3,IF(AND(OR('CHOP DASHBOARD'!$C$4="",ISNUMBER(SEARCH('CHOP DASHBOARD'!$C$4,INDEX(MASTER_AREAS!$B:$B,261))))),260,""),""),IF('CHOP DASHBOARD'!$B$4="Zone",IF(260&lt;=$S$4,IF(OR('CHOP DASHBOARD'!$C$4="",ISNUMBER(SEARCH('CHOP DASHBOARD'!$C$4,INDEX(MASTER_ZONES!$B:$B,261)))),260,""),""),""))</f>
        <v/>
      </c>
      <c r="U261">
        <f>IF('COMMUNITY CHURCH DASHBOARD'!$B$4="Area",IF(260&lt;=$X$3,IF(AND(OR('COMMUNITY CHURCH DASHBOARD'!$C$4="",ISNUMBER(SEARCH('COMMUNITY CHURCH DASHBOARD'!$C$4,INDEX(MASTER_AREAS!$B:$B,261))))),260,""),""),IF('COMMUNITY CHURCH DASHBOARD'!$B$4="Zone",IF(260&lt;=$X$4,IF(OR('COMMUNITY CHURCH DASHBOARD'!$C$4="",ISNUMBER(SEARCH('COMMUNITY CHURCH DASHBOARD'!$C$4,INDEX(MASTER_ZONES!$B:$B,261)))),260,""),""),""))</f>
        <v/>
      </c>
    </row>
    <row r="262">
      <c r="A262">
        <f>IF('WSF DASHBOARD'!$B$4="Area",IF(261&lt;=$D$3,IF(AND(OR('WSF DASHBOARD'!$C$4="",ISNUMBER(SEARCH('WSF DASHBOARD'!$C$4,INDEX(MASTER_AREAS!$B:$B,262))))),261,""),""),IF('WSF DASHBOARD'!$B$4="Zone",IF(261&lt;=$D$4,IF(OR('WSF DASHBOARD'!$C$4="",ISNUMBER(SEARCH('WSF DASHBOARD'!$C$4,INDEX(MASTER_ZONES!$B:$B,262)))),261,""),""),""))</f>
        <v/>
      </c>
      <c r="F262">
        <f>IF('TRANSPORT DASHBOARD'!$B$4="Area",IF(261&lt;=$I$3,IF(AND(INDEX(MASTER_AREAS!$F:$F,262)&lt;&gt;"N",OR('TRANSPORT DASHBOARD'!$C$4="",ISNUMBER(SEARCH('TRANSPORT DASHBOARD'!$C$4,INDEX(MASTER_AREAS!$B:$B,262))))),261,""),""),IF('TRANSPORT DASHBOARD'!$B$4="Zone",IF(261&lt;=$I$4,IF(OR('TRANSPORT DASHBOARD'!$C$4="",ISNUMBER(SEARCH('TRANSPORT DASHBOARD'!$C$4,INDEX(MASTER_ZONES!$B:$B,262)))),261,""),""),""))</f>
        <v/>
      </c>
      <c r="K262">
        <f>IF('MIDWEEK DASHBOARD'!$B$4="Area",IF(261&lt;=$N$3,IF(AND(OR('MIDWEEK DASHBOARD'!$C$4="",ISNUMBER(SEARCH('MIDWEEK DASHBOARD'!$C$4,INDEX(MASTER_AREAS!$B:$B,262))))),261,""),""),IF('MIDWEEK DASHBOARD'!$B$4="Zone",IF(261&lt;=$N$4,IF(OR('MIDWEEK DASHBOARD'!$C$4="",ISNUMBER(SEARCH('MIDWEEK DASHBOARD'!$C$4,INDEX(MASTER_ZONES!$B:$B,262)))),261,""),""),""))</f>
        <v/>
      </c>
      <c r="P262">
        <f>IF('CHOP DASHBOARD'!$B$4="Area",IF(261&lt;=$S$3,IF(AND(OR('CHOP DASHBOARD'!$C$4="",ISNUMBER(SEARCH('CHOP DASHBOARD'!$C$4,INDEX(MASTER_AREAS!$B:$B,262))))),261,""),""),IF('CHOP DASHBOARD'!$B$4="Zone",IF(261&lt;=$S$4,IF(OR('CHOP DASHBOARD'!$C$4="",ISNUMBER(SEARCH('CHOP DASHBOARD'!$C$4,INDEX(MASTER_ZONES!$B:$B,262)))),261,""),""),""))</f>
        <v/>
      </c>
      <c r="U262">
        <f>IF('COMMUNITY CHURCH DASHBOARD'!$B$4="Area",IF(261&lt;=$X$3,IF(AND(OR('COMMUNITY CHURCH DASHBOARD'!$C$4="",ISNUMBER(SEARCH('COMMUNITY CHURCH DASHBOARD'!$C$4,INDEX(MASTER_AREAS!$B:$B,262))))),261,""),""),IF('COMMUNITY CHURCH DASHBOARD'!$B$4="Zone",IF(261&lt;=$X$4,IF(OR('COMMUNITY CHURCH DASHBOARD'!$C$4="",ISNUMBER(SEARCH('COMMUNITY CHURCH DASHBOARD'!$C$4,INDEX(MASTER_ZONES!$B:$B,262)))),261,""),""),""))</f>
        <v/>
      </c>
    </row>
    <row r="263">
      <c r="A263">
        <f>IF('WSF DASHBOARD'!$B$4="Area",IF(262&lt;=$D$3,IF(AND(OR('WSF DASHBOARD'!$C$4="",ISNUMBER(SEARCH('WSF DASHBOARD'!$C$4,INDEX(MASTER_AREAS!$B:$B,263))))),262,""),""),IF('WSF DASHBOARD'!$B$4="Zone",IF(262&lt;=$D$4,IF(OR('WSF DASHBOARD'!$C$4="",ISNUMBER(SEARCH('WSF DASHBOARD'!$C$4,INDEX(MASTER_ZONES!$B:$B,263)))),262,""),""),""))</f>
        <v/>
      </c>
      <c r="F263">
        <f>IF('TRANSPORT DASHBOARD'!$B$4="Area",IF(262&lt;=$I$3,IF(AND(INDEX(MASTER_AREAS!$F:$F,263)&lt;&gt;"N",OR('TRANSPORT DASHBOARD'!$C$4="",ISNUMBER(SEARCH('TRANSPORT DASHBOARD'!$C$4,INDEX(MASTER_AREAS!$B:$B,263))))),262,""),""),IF('TRANSPORT DASHBOARD'!$B$4="Zone",IF(262&lt;=$I$4,IF(OR('TRANSPORT DASHBOARD'!$C$4="",ISNUMBER(SEARCH('TRANSPORT DASHBOARD'!$C$4,INDEX(MASTER_ZONES!$B:$B,263)))),262,""),""),""))</f>
        <v/>
      </c>
      <c r="K263">
        <f>IF('MIDWEEK DASHBOARD'!$B$4="Area",IF(262&lt;=$N$3,IF(AND(OR('MIDWEEK DASHBOARD'!$C$4="",ISNUMBER(SEARCH('MIDWEEK DASHBOARD'!$C$4,INDEX(MASTER_AREAS!$B:$B,263))))),262,""),""),IF('MIDWEEK DASHBOARD'!$B$4="Zone",IF(262&lt;=$N$4,IF(OR('MIDWEEK DASHBOARD'!$C$4="",ISNUMBER(SEARCH('MIDWEEK DASHBOARD'!$C$4,INDEX(MASTER_ZONES!$B:$B,263)))),262,""),""),""))</f>
        <v/>
      </c>
      <c r="P263">
        <f>IF('CHOP DASHBOARD'!$B$4="Area",IF(262&lt;=$S$3,IF(AND(OR('CHOP DASHBOARD'!$C$4="",ISNUMBER(SEARCH('CHOP DASHBOARD'!$C$4,INDEX(MASTER_AREAS!$B:$B,263))))),262,""),""),IF('CHOP DASHBOARD'!$B$4="Zone",IF(262&lt;=$S$4,IF(OR('CHOP DASHBOARD'!$C$4="",ISNUMBER(SEARCH('CHOP DASHBOARD'!$C$4,INDEX(MASTER_ZONES!$B:$B,263)))),262,""),""),""))</f>
        <v/>
      </c>
      <c r="U263">
        <f>IF('COMMUNITY CHURCH DASHBOARD'!$B$4="Area",IF(262&lt;=$X$3,IF(AND(OR('COMMUNITY CHURCH DASHBOARD'!$C$4="",ISNUMBER(SEARCH('COMMUNITY CHURCH DASHBOARD'!$C$4,INDEX(MASTER_AREAS!$B:$B,263))))),262,""),""),IF('COMMUNITY CHURCH DASHBOARD'!$B$4="Zone",IF(262&lt;=$X$4,IF(OR('COMMUNITY CHURCH DASHBOARD'!$C$4="",ISNUMBER(SEARCH('COMMUNITY CHURCH DASHBOARD'!$C$4,INDEX(MASTER_ZONES!$B:$B,263)))),262,""),""),""))</f>
        <v/>
      </c>
    </row>
    <row r="264">
      <c r="A264">
        <f>IF('WSF DASHBOARD'!$B$4="Area",IF(263&lt;=$D$3,IF(AND(OR('WSF DASHBOARD'!$C$4="",ISNUMBER(SEARCH('WSF DASHBOARD'!$C$4,INDEX(MASTER_AREAS!$B:$B,264))))),263,""),""),IF('WSF DASHBOARD'!$B$4="Zone",IF(263&lt;=$D$4,IF(OR('WSF DASHBOARD'!$C$4="",ISNUMBER(SEARCH('WSF DASHBOARD'!$C$4,INDEX(MASTER_ZONES!$B:$B,264)))),263,""),""),""))</f>
        <v/>
      </c>
      <c r="F264">
        <f>IF('TRANSPORT DASHBOARD'!$B$4="Area",IF(263&lt;=$I$3,IF(AND(INDEX(MASTER_AREAS!$F:$F,264)&lt;&gt;"N",OR('TRANSPORT DASHBOARD'!$C$4="",ISNUMBER(SEARCH('TRANSPORT DASHBOARD'!$C$4,INDEX(MASTER_AREAS!$B:$B,264))))),263,""),""),IF('TRANSPORT DASHBOARD'!$B$4="Zone",IF(263&lt;=$I$4,IF(OR('TRANSPORT DASHBOARD'!$C$4="",ISNUMBER(SEARCH('TRANSPORT DASHBOARD'!$C$4,INDEX(MASTER_ZONES!$B:$B,264)))),263,""),""),""))</f>
        <v/>
      </c>
      <c r="K264">
        <f>IF('MIDWEEK DASHBOARD'!$B$4="Area",IF(263&lt;=$N$3,IF(AND(OR('MIDWEEK DASHBOARD'!$C$4="",ISNUMBER(SEARCH('MIDWEEK DASHBOARD'!$C$4,INDEX(MASTER_AREAS!$B:$B,264))))),263,""),""),IF('MIDWEEK DASHBOARD'!$B$4="Zone",IF(263&lt;=$N$4,IF(OR('MIDWEEK DASHBOARD'!$C$4="",ISNUMBER(SEARCH('MIDWEEK DASHBOARD'!$C$4,INDEX(MASTER_ZONES!$B:$B,264)))),263,""),""),""))</f>
        <v/>
      </c>
      <c r="P264">
        <f>IF('CHOP DASHBOARD'!$B$4="Area",IF(263&lt;=$S$3,IF(AND(OR('CHOP DASHBOARD'!$C$4="",ISNUMBER(SEARCH('CHOP DASHBOARD'!$C$4,INDEX(MASTER_AREAS!$B:$B,264))))),263,""),""),IF('CHOP DASHBOARD'!$B$4="Zone",IF(263&lt;=$S$4,IF(OR('CHOP DASHBOARD'!$C$4="",ISNUMBER(SEARCH('CHOP DASHBOARD'!$C$4,INDEX(MASTER_ZONES!$B:$B,264)))),263,""),""),""))</f>
        <v/>
      </c>
      <c r="U264">
        <f>IF('COMMUNITY CHURCH DASHBOARD'!$B$4="Area",IF(263&lt;=$X$3,IF(AND(OR('COMMUNITY CHURCH DASHBOARD'!$C$4="",ISNUMBER(SEARCH('COMMUNITY CHURCH DASHBOARD'!$C$4,INDEX(MASTER_AREAS!$B:$B,264))))),263,""),""),IF('COMMUNITY CHURCH DASHBOARD'!$B$4="Zone",IF(263&lt;=$X$4,IF(OR('COMMUNITY CHURCH DASHBOARD'!$C$4="",ISNUMBER(SEARCH('COMMUNITY CHURCH DASHBOARD'!$C$4,INDEX(MASTER_ZONES!$B:$B,264)))),263,""),""),""))</f>
        <v/>
      </c>
    </row>
    <row r="265">
      <c r="A265">
        <f>IF('WSF DASHBOARD'!$B$4="Area",IF(264&lt;=$D$3,IF(AND(OR('WSF DASHBOARD'!$C$4="",ISNUMBER(SEARCH('WSF DASHBOARD'!$C$4,INDEX(MASTER_AREAS!$B:$B,265))))),264,""),""),IF('WSF DASHBOARD'!$B$4="Zone",IF(264&lt;=$D$4,IF(OR('WSF DASHBOARD'!$C$4="",ISNUMBER(SEARCH('WSF DASHBOARD'!$C$4,INDEX(MASTER_ZONES!$B:$B,265)))),264,""),""),""))</f>
        <v/>
      </c>
      <c r="F265">
        <f>IF('TRANSPORT DASHBOARD'!$B$4="Area",IF(264&lt;=$I$3,IF(AND(INDEX(MASTER_AREAS!$F:$F,265)&lt;&gt;"N",OR('TRANSPORT DASHBOARD'!$C$4="",ISNUMBER(SEARCH('TRANSPORT DASHBOARD'!$C$4,INDEX(MASTER_AREAS!$B:$B,265))))),264,""),""),IF('TRANSPORT DASHBOARD'!$B$4="Zone",IF(264&lt;=$I$4,IF(OR('TRANSPORT DASHBOARD'!$C$4="",ISNUMBER(SEARCH('TRANSPORT DASHBOARD'!$C$4,INDEX(MASTER_ZONES!$B:$B,265)))),264,""),""),""))</f>
        <v/>
      </c>
      <c r="K265">
        <f>IF('MIDWEEK DASHBOARD'!$B$4="Area",IF(264&lt;=$N$3,IF(AND(OR('MIDWEEK DASHBOARD'!$C$4="",ISNUMBER(SEARCH('MIDWEEK DASHBOARD'!$C$4,INDEX(MASTER_AREAS!$B:$B,265))))),264,""),""),IF('MIDWEEK DASHBOARD'!$B$4="Zone",IF(264&lt;=$N$4,IF(OR('MIDWEEK DASHBOARD'!$C$4="",ISNUMBER(SEARCH('MIDWEEK DASHBOARD'!$C$4,INDEX(MASTER_ZONES!$B:$B,265)))),264,""),""),""))</f>
        <v/>
      </c>
      <c r="P265">
        <f>IF('CHOP DASHBOARD'!$B$4="Area",IF(264&lt;=$S$3,IF(AND(OR('CHOP DASHBOARD'!$C$4="",ISNUMBER(SEARCH('CHOP DASHBOARD'!$C$4,INDEX(MASTER_AREAS!$B:$B,265))))),264,""),""),IF('CHOP DASHBOARD'!$B$4="Zone",IF(264&lt;=$S$4,IF(OR('CHOP DASHBOARD'!$C$4="",ISNUMBER(SEARCH('CHOP DASHBOARD'!$C$4,INDEX(MASTER_ZONES!$B:$B,265)))),264,""),""),""))</f>
        <v/>
      </c>
      <c r="U265">
        <f>IF('COMMUNITY CHURCH DASHBOARD'!$B$4="Area",IF(264&lt;=$X$3,IF(AND(OR('COMMUNITY CHURCH DASHBOARD'!$C$4="",ISNUMBER(SEARCH('COMMUNITY CHURCH DASHBOARD'!$C$4,INDEX(MASTER_AREAS!$B:$B,265))))),264,""),""),IF('COMMUNITY CHURCH DASHBOARD'!$B$4="Zone",IF(264&lt;=$X$4,IF(OR('COMMUNITY CHURCH DASHBOARD'!$C$4="",ISNUMBER(SEARCH('COMMUNITY CHURCH DASHBOARD'!$C$4,INDEX(MASTER_ZONES!$B:$B,265)))),264,""),""),""))</f>
        <v/>
      </c>
    </row>
    <row r="266">
      <c r="A266">
        <f>IF('WSF DASHBOARD'!$B$4="Area",IF(265&lt;=$D$3,IF(AND(OR('WSF DASHBOARD'!$C$4="",ISNUMBER(SEARCH('WSF DASHBOARD'!$C$4,INDEX(MASTER_AREAS!$B:$B,266))))),265,""),""),IF('WSF DASHBOARD'!$B$4="Zone",IF(265&lt;=$D$4,IF(OR('WSF DASHBOARD'!$C$4="",ISNUMBER(SEARCH('WSF DASHBOARD'!$C$4,INDEX(MASTER_ZONES!$B:$B,266)))),265,""),""),""))</f>
        <v/>
      </c>
      <c r="F266">
        <f>IF('TRANSPORT DASHBOARD'!$B$4="Area",IF(265&lt;=$I$3,IF(AND(INDEX(MASTER_AREAS!$F:$F,266)&lt;&gt;"N",OR('TRANSPORT DASHBOARD'!$C$4="",ISNUMBER(SEARCH('TRANSPORT DASHBOARD'!$C$4,INDEX(MASTER_AREAS!$B:$B,266))))),265,""),""),IF('TRANSPORT DASHBOARD'!$B$4="Zone",IF(265&lt;=$I$4,IF(OR('TRANSPORT DASHBOARD'!$C$4="",ISNUMBER(SEARCH('TRANSPORT DASHBOARD'!$C$4,INDEX(MASTER_ZONES!$B:$B,266)))),265,""),""),""))</f>
        <v/>
      </c>
      <c r="K266">
        <f>IF('MIDWEEK DASHBOARD'!$B$4="Area",IF(265&lt;=$N$3,IF(AND(OR('MIDWEEK DASHBOARD'!$C$4="",ISNUMBER(SEARCH('MIDWEEK DASHBOARD'!$C$4,INDEX(MASTER_AREAS!$B:$B,266))))),265,""),""),IF('MIDWEEK DASHBOARD'!$B$4="Zone",IF(265&lt;=$N$4,IF(OR('MIDWEEK DASHBOARD'!$C$4="",ISNUMBER(SEARCH('MIDWEEK DASHBOARD'!$C$4,INDEX(MASTER_ZONES!$B:$B,266)))),265,""),""),""))</f>
        <v/>
      </c>
      <c r="P266">
        <f>IF('CHOP DASHBOARD'!$B$4="Area",IF(265&lt;=$S$3,IF(AND(OR('CHOP DASHBOARD'!$C$4="",ISNUMBER(SEARCH('CHOP DASHBOARD'!$C$4,INDEX(MASTER_AREAS!$B:$B,266))))),265,""),""),IF('CHOP DASHBOARD'!$B$4="Zone",IF(265&lt;=$S$4,IF(OR('CHOP DASHBOARD'!$C$4="",ISNUMBER(SEARCH('CHOP DASHBOARD'!$C$4,INDEX(MASTER_ZONES!$B:$B,266)))),265,""),""),""))</f>
        <v/>
      </c>
      <c r="U266">
        <f>IF('COMMUNITY CHURCH DASHBOARD'!$B$4="Area",IF(265&lt;=$X$3,IF(AND(OR('COMMUNITY CHURCH DASHBOARD'!$C$4="",ISNUMBER(SEARCH('COMMUNITY CHURCH DASHBOARD'!$C$4,INDEX(MASTER_AREAS!$B:$B,266))))),265,""),""),IF('COMMUNITY CHURCH DASHBOARD'!$B$4="Zone",IF(265&lt;=$X$4,IF(OR('COMMUNITY CHURCH DASHBOARD'!$C$4="",ISNUMBER(SEARCH('COMMUNITY CHURCH DASHBOARD'!$C$4,INDEX(MASTER_ZONES!$B:$B,266)))),265,""),""),""))</f>
        <v/>
      </c>
    </row>
    <row r="267">
      <c r="A267">
        <f>IF('WSF DASHBOARD'!$B$4="Area",IF(266&lt;=$D$3,IF(AND(OR('WSF DASHBOARD'!$C$4="",ISNUMBER(SEARCH('WSF DASHBOARD'!$C$4,INDEX(MASTER_AREAS!$B:$B,267))))),266,""),""),IF('WSF DASHBOARD'!$B$4="Zone",IF(266&lt;=$D$4,IF(OR('WSF DASHBOARD'!$C$4="",ISNUMBER(SEARCH('WSF DASHBOARD'!$C$4,INDEX(MASTER_ZONES!$B:$B,267)))),266,""),""),""))</f>
        <v/>
      </c>
      <c r="F267">
        <f>IF('TRANSPORT DASHBOARD'!$B$4="Area",IF(266&lt;=$I$3,IF(AND(INDEX(MASTER_AREAS!$F:$F,267)&lt;&gt;"N",OR('TRANSPORT DASHBOARD'!$C$4="",ISNUMBER(SEARCH('TRANSPORT DASHBOARD'!$C$4,INDEX(MASTER_AREAS!$B:$B,267))))),266,""),""),IF('TRANSPORT DASHBOARD'!$B$4="Zone",IF(266&lt;=$I$4,IF(OR('TRANSPORT DASHBOARD'!$C$4="",ISNUMBER(SEARCH('TRANSPORT DASHBOARD'!$C$4,INDEX(MASTER_ZONES!$B:$B,267)))),266,""),""),""))</f>
        <v/>
      </c>
      <c r="K267">
        <f>IF('MIDWEEK DASHBOARD'!$B$4="Area",IF(266&lt;=$N$3,IF(AND(OR('MIDWEEK DASHBOARD'!$C$4="",ISNUMBER(SEARCH('MIDWEEK DASHBOARD'!$C$4,INDEX(MASTER_AREAS!$B:$B,267))))),266,""),""),IF('MIDWEEK DASHBOARD'!$B$4="Zone",IF(266&lt;=$N$4,IF(OR('MIDWEEK DASHBOARD'!$C$4="",ISNUMBER(SEARCH('MIDWEEK DASHBOARD'!$C$4,INDEX(MASTER_ZONES!$B:$B,267)))),266,""),""),""))</f>
        <v/>
      </c>
      <c r="P267">
        <f>IF('CHOP DASHBOARD'!$B$4="Area",IF(266&lt;=$S$3,IF(AND(OR('CHOP DASHBOARD'!$C$4="",ISNUMBER(SEARCH('CHOP DASHBOARD'!$C$4,INDEX(MASTER_AREAS!$B:$B,267))))),266,""),""),IF('CHOP DASHBOARD'!$B$4="Zone",IF(266&lt;=$S$4,IF(OR('CHOP DASHBOARD'!$C$4="",ISNUMBER(SEARCH('CHOP DASHBOARD'!$C$4,INDEX(MASTER_ZONES!$B:$B,267)))),266,""),""),""))</f>
        <v/>
      </c>
      <c r="U267">
        <f>IF('COMMUNITY CHURCH DASHBOARD'!$B$4="Area",IF(266&lt;=$X$3,IF(AND(OR('COMMUNITY CHURCH DASHBOARD'!$C$4="",ISNUMBER(SEARCH('COMMUNITY CHURCH DASHBOARD'!$C$4,INDEX(MASTER_AREAS!$B:$B,267))))),266,""),""),IF('COMMUNITY CHURCH DASHBOARD'!$B$4="Zone",IF(266&lt;=$X$4,IF(OR('COMMUNITY CHURCH DASHBOARD'!$C$4="",ISNUMBER(SEARCH('COMMUNITY CHURCH DASHBOARD'!$C$4,INDEX(MASTER_ZONES!$B:$B,267)))),266,""),""),""))</f>
        <v/>
      </c>
    </row>
    <row r="268">
      <c r="A268">
        <f>IF('WSF DASHBOARD'!$B$4="Area",IF(267&lt;=$D$3,IF(AND(OR('WSF DASHBOARD'!$C$4="",ISNUMBER(SEARCH('WSF DASHBOARD'!$C$4,INDEX(MASTER_AREAS!$B:$B,268))))),267,""),""),IF('WSF DASHBOARD'!$B$4="Zone",IF(267&lt;=$D$4,IF(OR('WSF DASHBOARD'!$C$4="",ISNUMBER(SEARCH('WSF DASHBOARD'!$C$4,INDEX(MASTER_ZONES!$B:$B,268)))),267,""),""),""))</f>
        <v/>
      </c>
      <c r="F268">
        <f>IF('TRANSPORT DASHBOARD'!$B$4="Area",IF(267&lt;=$I$3,IF(AND(INDEX(MASTER_AREAS!$F:$F,268)&lt;&gt;"N",OR('TRANSPORT DASHBOARD'!$C$4="",ISNUMBER(SEARCH('TRANSPORT DASHBOARD'!$C$4,INDEX(MASTER_AREAS!$B:$B,268))))),267,""),""),IF('TRANSPORT DASHBOARD'!$B$4="Zone",IF(267&lt;=$I$4,IF(OR('TRANSPORT DASHBOARD'!$C$4="",ISNUMBER(SEARCH('TRANSPORT DASHBOARD'!$C$4,INDEX(MASTER_ZONES!$B:$B,268)))),267,""),""),""))</f>
        <v/>
      </c>
      <c r="K268">
        <f>IF('MIDWEEK DASHBOARD'!$B$4="Area",IF(267&lt;=$N$3,IF(AND(OR('MIDWEEK DASHBOARD'!$C$4="",ISNUMBER(SEARCH('MIDWEEK DASHBOARD'!$C$4,INDEX(MASTER_AREAS!$B:$B,268))))),267,""),""),IF('MIDWEEK DASHBOARD'!$B$4="Zone",IF(267&lt;=$N$4,IF(OR('MIDWEEK DASHBOARD'!$C$4="",ISNUMBER(SEARCH('MIDWEEK DASHBOARD'!$C$4,INDEX(MASTER_ZONES!$B:$B,268)))),267,""),""),""))</f>
        <v/>
      </c>
      <c r="P268">
        <f>IF('CHOP DASHBOARD'!$B$4="Area",IF(267&lt;=$S$3,IF(AND(OR('CHOP DASHBOARD'!$C$4="",ISNUMBER(SEARCH('CHOP DASHBOARD'!$C$4,INDEX(MASTER_AREAS!$B:$B,268))))),267,""),""),IF('CHOP DASHBOARD'!$B$4="Zone",IF(267&lt;=$S$4,IF(OR('CHOP DASHBOARD'!$C$4="",ISNUMBER(SEARCH('CHOP DASHBOARD'!$C$4,INDEX(MASTER_ZONES!$B:$B,268)))),267,""),""),""))</f>
        <v/>
      </c>
      <c r="U268">
        <f>IF('COMMUNITY CHURCH DASHBOARD'!$B$4="Area",IF(267&lt;=$X$3,IF(AND(OR('COMMUNITY CHURCH DASHBOARD'!$C$4="",ISNUMBER(SEARCH('COMMUNITY CHURCH DASHBOARD'!$C$4,INDEX(MASTER_AREAS!$B:$B,268))))),267,""),""),IF('COMMUNITY CHURCH DASHBOARD'!$B$4="Zone",IF(267&lt;=$X$4,IF(OR('COMMUNITY CHURCH DASHBOARD'!$C$4="",ISNUMBER(SEARCH('COMMUNITY CHURCH DASHBOARD'!$C$4,INDEX(MASTER_ZONES!$B:$B,268)))),267,""),""),""))</f>
        <v/>
      </c>
    </row>
    <row r="269">
      <c r="A269">
        <f>IF('WSF DASHBOARD'!$B$4="Area",IF(268&lt;=$D$3,IF(AND(OR('WSF DASHBOARD'!$C$4="",ISNUMBER(SEARCH('WSF DASHBOARD'!$C$4,INDEX(MASTER_AREAS!$B:$B,269))))),268,""),""),IF('WSF DASHBOARD'!$B$4="Zone",IF(268&lt;=$D$4,IF(OR('WSF DASHBOARD'!$C$4="",ISNUMBER(SEARCH('WSF DASHBOARD'!$C$4,INDEX(MASTER_ZONES!$B:$B,269)))),268,""),""),""))</f>
        <v/>
      </c>
      <c r="F269">
        <f>IF('TRANSPORT DASHBOARD'!$B$4="Area",IF(268&lt;=$I$3,IF(AND(INDEX(MASTER_AREAS!$F:$F,269)&lt;&gt;"N",OR('TRANSPORT DASHBOARD'!$C$4="",ISNUMBER(SEARCH('TRANSPORT DASHBOARD'!$C$4,INDEX(MASTER_AREAS!$B:$B,269))))),268,""),""),IF('TRANSPORT DASHBOARD'!$B$4="Zone",IF(268&lt;=$I$4,IF(OR('TRANSPORT DASHBOARD'!$C$4="",ISNUMBER(SEARCH('TRANSPORT DASHBOARD'!$C$4,INDEX(MASTER_ZONES!$B:$B,269)))),268,""),""),""))</f>
        <v/>
      </c>
      <c r="K269">
        <f>IF('MIDWEEK DASHBOARD'!$B$4="Area",IF(268&lt;=$N$3,IF(AND(OR('MIDWEEK DASHBOARD'!$C$4="",ISNUMBER(SEARCH('MIDWEEK DASHBOARD'!$C$4,INDEX(MASTER_AREAS!$B:$B,269))))),268,""),""),IF('MIDWEEK DASHBOARD'!$B$4="Zone",IF(268&lt;=$N$4,IF(OR('MIDWEEK DASHBOARD'!$C$4="",ISNUMBER(SEARCH('MIDWEEK DASHBOARD'!$C$4,INDEX(MASTER_ZONES!$B:$B,269)))),268,""),""),""))</f>
        <v/>
      </c>
      <c r="P269">
        <f>IF('CHOP DASHBOARD'!$B$4="Area",IF(268&lt;=$S$3,IF(AND(OR('CHOP DASHBOARD'!$C$4="",ISNUMBER(SEARCH('CHOP DASHBOARD'!$C$4,INDEX(MASTER_AREAS!$B:$B,269))))),268,""),""),IF('CHOP DASHBOARD'!$B$4="Zone",IF(268&lt;=$S$4,IF(OR('CHOP DASHBOARD'!$C$4="",ISNUMBER(SEARCH('CHOP DASHBOARD'!$C$4,INDEX(MASTER_ZONES!$B:$B,269)))),268,""),""),""))</f>
        <v/>
      </c>
      <c r="U269">
        <f>IF('COMMUNITY CHURCH DASHBOARD'!$B$4="Area",IF(268&lt;=$X$3,IF(AND(OR('COMMUNITY CHURCH DASHBOARD'!$C$4="",ISNUMBER(SEARCH('COMMUNITY CHURCH DASHBOARD'!$C$4,INDEX(MASTER_AREAS!$B:$B,269))))),268,""),""),IF('COMMUNITY CHURCH DASHBOARD'!$B$4="Zone",IF(268&lt;=$X$4,IF(OR('COMMUNITY CHURCH DASHBOARD'!$C$4="",ISNUMBER(SEARCH('COMMUNITY CHURCH DASHBOARD'!$C$4,INDEX(MASTER_ZONES!$B:$B,269)))),268,""),""),""))</f>
        <v/>
      </c>
    </row>
    <row r="270">
      <c r="A270">
        <f>IF('WSF DASHBOARD'!$B$4="Area",IF(269&lt;=$D$3,IF(AND(OR('WSF DASHBOARD'!$C$4="",ISNUMBER(SEARCH('WSF DASHBOARD'!$C$4,INDEX(MASTER_AREAS!$B:$B,270))))),269,""),""),IF('WSF DASHBOARD'!$B$4="Zone",IF(269&lt;=$D$4,IF(OR('WSF DASHBOARD'!$C$4="",ISNUMBER(SEARCH('WSF DASHBOARD'!$C$4,INDEX(MASTER_ZONES!$B:$B,270)))),269,""),""),""))</f>
        <v/>
      </c>
      <c r="F270">
        <f>IF('TRANSPORT DASHBOARD'!$B$4="Area",IF(269&lt;=$I$3,IF(AND(INDEX(MASTER_AREAS!$F:$F,270)&lt;&gt;"N",OR('TRANSPORT DASHBOARD'!$C$4="",ISNUMBER(SEARCH('TRANSPORT DASHBOARD'!$C$4,INDEX(MASTER_AREAS!$B:$B,270))))),269,""),""),IF('TRANSPORT DASHBOARD'!$B$4="Zone",IF(269&lt;=$I$4,IF(OR('TRANSPORT DASHBOARD'!$C$4="",ISNUMBER(SEARCH('TRANSPORT DASHBOARD'!$C$4,INDEX(MASTER_ZONES!$B:$B,270)))),269,""),""),""))</f>
        <v/>
      </c>
      <c r="K270">
        <f>IF('MIDWEEK DASHBOARD'!$B$4="Area",IF(269&lt;=$N$3,IF(AND(OR('MIDWEEK DASHBOARD'!$C$4="",ISNUMBER(SEARCH('MIDWEEK DASHBOARD'!$C$4,INDEX(MASTER_AREAS!$B:$B,270))))),269,""),""),IF('MIDWEEK DASHBOARD'!$B$4="Zone",IF(269&lt;=$N$4,IF(OR('MIDWEEK DASHBOARD'!$C$4="",ISNUMBER(SEARCH('MIDWEEK DASHBOARD'!$C$4,INDEX(MASTER_ZONES!$B:$B,270)))),269,""),""),""))</f>
        <v/>
      </c>
      <c r="P270">
        <f>IF('CHOP DASHBOARD'!$B$4="Area",IF(269&lt;=$S$3,IF(AND(OR('CHOP DASHBOARD'!$C$4="",ISNUMBER(SEARCH('CHOP DASHBOARD'!$C$4,INDEX(MASTER_AREAS!$B:$B,270))))),269,""),""),IF('CHOP DASHBOARD'!$B$4="Zone",IF(269&lt;=$S$4,IF(OR('CHOP DASHBOARD'!$C$4="",ISNUMBER(SEARCH('CHOP DASHBOARD'!$C$4,INDEX(MASTER_ZONES!$B:$B,270)))),269,""),""),""))</f>
        <v/>
      </c>
      <c r="U270">
        <f>IF('COMMUNITY CHURCH DASHBOARD'!$B$4="Area",IF(269&lt;=$X$3,IF(AND(OR('COMMUNITY CHURCH DASHBOARD'!$C$4="",ISNUMBER(SEARCH('COMMUNITY CHURCH DASHBOARD'!$C$4,INDEX(MASTER_AREAS!$B:$B,270))))),269,""),""),IF('COMMUNITY CHURCH DASHBOARD'!$B$4="Zone",IF(269&lt;=$X$4,IF(OR('COMMUNITY CHURCH DASHBOARD'!$C$4="",ISNUMBER(SEARCH('COMMUNITY CHURCH DASHBOARD'!$C$4,INDEX(MASTER_ZONES!$B:$B,270)))),269,""),""),""))</f>
        <v/>
      </c>
    </row>
    <row r="271">
      <c r="A271">
        <f>IF('WSF DASHBOARD'!$B$4="Area",IF(270&lt;=$D$3,IF(AND(OR('WSF DASHBOARD'!$C$4="",ISNUMBER(SEARCH('WSF DASHBOARD'!$C$4,INDEX(MASTER_AREAS!$B:$B,271))))),270,""),""),IF('WSF DASHBOARD'!$B$4="Zone",IF(270&lt;=$D$4,IF(OR('WSF DASHBOARD'!$C$4="",ISNUMBER(SEARCH('WSF DASHBOARD'!$C$4,INDEX(MASTER_ZONES!$B:$B,271)))),270,""),""),""))</f>
        <v/>
      </c>
      <c r="F271">
        <f>IF('TRANSPORT DASHBOARD'!$B$4="Area",IF(270&lt;=$I$3,IF(AND(INDEX(MASTER_AREAS!$F:$F,271)&lt;&gt;"N",OR('TRANSPORT DASHBOARD'!$C$4="",ISNUMBER(SEARCH('TRANSPORT DASHBOARD'!$C$4,INDEX(MASTER_AREAS!$B:$B,271))))),270,""),""),IF('TRANSPORT DASHBOARD'!$B$4="Zone",IF(270&lt;=$I$4,IF(OR('TRANSPORT DASHBOARD'!$C$4="",ISNUMBER(SEARCH('TRANSPORT DASHBOARD'!$C$4,INDEX(MASTER_ZONES!$B:$B,271)))),270,""),""),""))</f>
        <v/>
      </c>
      <c r="K271">
        <f>IF('MIDWEEK DASHBOARD'!$B$4="Area",IF(270&lt;=$N$3,IF(AND(OR('MIDWEEK DASHBOARD'!$C$4="",ISNUMBER(SEARCH('MIDWEEK DASHBOARD'!$C$4,INDEX(MASTER_AREAS!$B:$B,271))))),270,""),""),IF('MIDWEEK DASHBOARD'!$B$4="Zone",IF(270&lt;=$N$4,IF(OR('MIDWEEK DASHBOARD'!$C$4="",ISNUMBER(SEARCH('MIDWEEK DASHBOARD'!$C$4,INDEX(MASTER_ZONES!$B:$B,271)))),270,""),""),""))</f>
        <v/>
      </c>
      <c r="P271">
        <f>IF('CHOP DASHBOARD'!$B$4="Area",IF(270&lt;=$S$3,IF(AND(OR('CHOP DASHBOARD'!$C$4="",ISNUMBER(SEARCH('CHOP DASHBOARD'!$C$4,INDEX(MASTER_AREAS!$B:$B,271))))),270,""),""),IF('CHOP DASHBOARD'!$B$4="Zone",IF(270&lt;=$S$4,IF(OR('CHOP DASHBOARD'!$C$4="",ISNUMBER(SEARCH('CHOP DASHBOARD'!$C$4,INDEX(MASTER_ZONES!$B:$B,271)))),270,""),""),""))</f>
        <v/>
      </c>
      <c r="U271">
        <f>IF('COMMUNITY CHURCH DASHBOARD'!$B$4="Area",IF(270&lt;=$X$3,IF(AND(OR('COMMUNITY CHURCH DASHBOARD'!$C$4="",ISNUMBER(SEARCH('COMMUNITY CHURCH DASHBOARD'!$C$4,INDEX(MASTER_AREAS!$B:$B,271))))),270,""),""),IF('COMMUNITY CHURCH DASHBOARD'!$B$4="Zone",IF(270&lt;=$X$4,IF(OR('COMMUNITY CHURCH DASHBOARD'!$C$4="",ISNUMBER(SEARCH('COMMUNITY CHURCH DASHBOARD'!$C$4,INDEX(MASTER_ZONES!$B:$B,271)))),270,""),""),""))</f>
        <v/>
      </c>
    </row>
    <row r="272">
      <c r="A272">
        <f>IF('WSF DASHBOARD'!$B$4="Area",IF(271&lt;=$D$3,IF(AND(OR('WSF DASHBOARD'!$C$4="",ISNUMBER(SEARCH('WSF DASHBOARD'!$C$4,INDEX(MASTER_AREAS!$B:$B,272))))),271,""),""),IF('WSF DASHBOARD'!$B$4="Zone",IF(271&lt;=$D$4,IF(OR('WSF DASHBOARD'!$C$4="",ISNUMBER(SEARCH('WSF DASHBOARD'!$C$4,INDEX(MASTER_ZONES!$B:$B,272)))),271,""),""),""))</f>
        <v/>
      </c>
      <c r="F272">
        <f>IF('TRANSPORT DASHBOARD'!$B$4="Area",IF(271&lt;=$I$3,IF(AND(INDEX(MASTER_AREAS!$F:$F,272)&lt;&gt;"N",OR('TRANSPORT DASHBOARD'!$C$4="",ISNUMBER(SEARCH('TRANSPORT DASHBOARD'!$C$4,INDEX(MASTER_AREAS!$B:$B,272))))),271,""),""),IF('TRANSPORT DASHBOARD'!$B$4="Zone",IF(271&lt;=$I$4,IF(OR('TRANSPORT DASHBOARD'!$C$4="",ISNUMBER(SEARCH('TRANSPORT DASHBOARD'!$C$4,INDEX(MASTER_ZONES!$B:$B,272)))),271,""),""),""))</f>
        <v/>
      </c>
      <c r="K272">
        <f>IF('MIDWEEK DASHBOARD'!$B$4="Area",IF(271&lt;=$N$3,IF(AND(OR('MIDWEEK DASHBOARD'!$C$4="",ISNUMBER(SEARCH('MIDWEEK DASHBOARD'!$C$4,INDEX(MASTER_AREAS!$B:$B,272))))),271,""),""),IF('MIDWEEK DASHBOARD'!$B$4="Zone",IF(271&lt;=$N$4,IF(OR('MIDWEEK DASHBOARD'!$C$4="",ISNUMBER(SEARCH('MIDWEEK DASHBOARD'!$C$4,INDEX(MASTER_ZONES!$B:$B,272)))),271,""),""),""))</f>
        <v/>
      </c>
      <c r="P272">
        <f>IF('CHOP DASHBOARD'!$B$4="Area",IF(271&lt;=$S$3,IF(AND(OR('CHOP DASHBOARD'!$C$4="",ISNUMBER(SEARCH('CHOP DASHBOARD'!$C$4,INDEX(MASTER_AREAS!$B:$B,272))))),271,""),""),IF('CHOP DASHBOARD'!$B$4="Zone",IF(271&lt;=$S$4,IF(OR('CHOP DASHBOARD'!$C$4="",ISNUMBER(SEARCH('CHOP DASHBOARD'!$C$4,INDEX(MASTER_ZONES!$B:$B,272)))),271,""),""),""))</f>
        <v/>
      </c>
      <c r="U272">
        <f>IF('COMMUNITY CHURCH DASHBOARD'!$B$4="Area",IF(271&lt;=$X$3,IF(AND(OR('COMMUNITY CHURCH DASHBOARD'!$C$4="",ISNUMBER(SEARCH('COMMUNITY CHURCH DASHBOARD'!$C$4,INDEX(MASTER_AREAS!$B:$B,272))))),271,""),""),IF('COMMUNITY CHURCH DASHBOARD'!$B$4="Zone",IF(271&lt;=$X$4,IF(OR('COMMUNITY CHURCH DASHBOARD'!$C$4="",ISNUMBER(SEARCH('COMMUNITY CHURCH DASHBOARD'!$C$4,INDEX(MASTER_ZONES!$B:$B,272)))),271,""),""),""))</f>
        <v/>
      </c>
    </row>
    <row r="273">
      <c r="A273">
        <f>IF('WSF DASHBOARD'!$B$4="Area",IF(272&lt;=$D$3,IF(AND(OR('WSF DASHBOARD'!$C$4="",ISNUMBER(SEARCH('WSF DASHBOARD'!$C$4,INDEX(MASTER_AREAS!$B:$B,273))))),272,""),""),IF('WSF DASHBOARD'!$B$4="Zone",IF(272&lt;=$D$4,IF(OR('WSF DASHBOARD'!$C$4="",ISNUMBER(SEARCH('WSF DASHBOARD'!$C$4,INDEX(MASTER_ZONES!$B:$B,273)))),272,""),""),""))</f>
        <v/>
      </c>
      <c r="F273">
        <f>IF('TRANSPORT DASHBOARD'!$B$4="Area",IF(272&lt;=$I$3,IF(AND(INDEX(MASTER_AREAS!$F:$F,273)&lt;&gt;"N",OR('TRANSPORT DASHBOARD'!$C$4="",ISNUMBER(SEARCH('TRANSPORT DASHBOARD'!$C$4,INDEX(MASTER_AREAS!$B:$B,273))))),272,""),""),IF('TRANSPORT DASHBOARD'!$B$4="Zone",IF(272&lt;=$I$4,IF(OR('TRANSPORT DASHBOARD'!$C$4="",ISNUMBER(SEARCH('TRANSPORT DASHBOARD'!$C$4,INDEX(MASTER_ZONES!$B:$B,273)))),272,""),""),""))</f>
        <v/>
      </c>
      <c r="K273">
        <f>IF('MIDWEEK DASHBOARD'!$B$4="Area",IF(272&lt;=$N$3,IF(AND(OR('MIDWEEK DASHBOARD'!$C$4="",ISNUMBER(SEARCH('MIDWEEK DASHBOARD'!$C$4,INDEX(MASTER_AREAS!$B:$B,273))))),272,""),""),IF('MIDWEEK DASHBOARD'!$B$4="Zone",IF(272&lt;=$N$4,IF(OR('MIDWEEK DASHBOARD'!$C$4="",ISNUMBER(SEARCH('MIDWEEK DASHBOARD'!$C$4,INDEX(MASTER_ZONES!$B:$B,273)))),272,""),""),""))</f>
        <v/>
      </c>
      <c r="P273">
        <f>IF('CHOP DASHBOARD'!$B$4="Area",IF(272&lt;=$S$3,IF(AND(OR('CHOP DASHBOARD'!$C$4="",ISNUMBER(SEARCH('CHOP DASHBOARD'!$C$4,INDEX(MASTER_AREAS!$B:$B,273))))),272,""),""),IF('CHOP DASHBOARD'!$B$4="Zone",IF(272&lt;=$S$4,IF(OR('CHOP DASHBOARD'!$C$4="",ISNUMBER(SEARCH('CHOP DASHBOARD'!$C$4,INDEX(MASTER_ZONES!$B:$B,273)))),272,""),""),""))</f>
        <v/>
      </c>
      <c r="U273">
        <f>IF('COMMUNITY CHURCH DASHBOARD'!$B$4="Area",IF(272&lt;=$X$3,IF(AND(OR('COMMUNITY CHURCH DASHBOARD'!$C$4="",ISNUMBER(SEARCH('COMMUNITY CHURCH DASHBOARD'!$C$4,INDEX(MASTER_AREAS!$B:$B,273))))),272,""),""),IF('COMMUNITY CHURCH DASHBOARD'!$B$4="Zone",IF(272&lt;=$X$4,IF(OR('COMMUNITY CHURCH DASHBOARD'!$C$4="",ISNUMBER(SEARCH('COMMUNITY CHURCH DASHBOARD'!$C$4,INDEX(MASTER_ZONES!$B:$B,273)))),272,""),""),""))</f>
        <v/>
      </c>
    </row>
    <row r="274">
      <c r="A274">
        <f>IF('WSF DASHBOARD'!$B$4="Area",IF(273&lt;=$D$3,IF(AND(OR('WSF DASHBOARD'!$C$4="",ISNUMBER(SEARCH('WSF DASHBOARD'!$C$4,INDEX(MASTER_AREAS!$B:$B,274))))),273,""),""),IF('WSF DASHBOARD'!$B$4="Zone",IF(273&lt;=$D$4,IF(OR('WSF DASHBOARD'!$C$4="",ISNUMBER(SEARCH('WSF DASHBOARD'!$C$4,INDEX(MASTER_ZONES!$B:$B,274)))),273,""),""),""))</f>
        <v/>
      </c>
      <c r="F274">
        <f>IF('TRANSPORT DASHBOARD'!$B$4="Area",IF(273&lt;=$I$3,IF(AND(INDEX(MASTER_AREAS!$F:$F,274)&lt;&gt;"N",OR('TRANSPORT DASHBOARD'!$C$4="",ISNUMBER(SEARCH('TRANSPORT DASHBOARD'!$C$4,INDEX(MASTER_AREAS!$B:$B,274))))),273,""),""),IF('TRANSPORT DASHBOARD'!$B$4="Zone",IF(273&lt;=$I$4,IF(OR('TRANSPORT DASHBOARD'!$C$4="",ISNUMBER(SEARCH('TRANSPORT DASHBOARD'!$C$4,INDEX(MASTER_ZONES!$B:$B,274)))),273,""),""),""))</f>
        <v/>
      </c>
      <c r="K274">
        <f>IF('MIDWEEK DASHBOARD'!$B$4="Area",IF(273&lt;=$N$3,IF(AND(OR('MIDWEEK DASHBOARD'!$C$4="",ISNUMBER(SEARCH('MIDWEEK DASHBOARD'!$C$4,INDEX(MASTER_AREAS!$B:$B,274))))),273,""),""),IF('MIDWEEK DASHBOARD'!$B$4="Zone",IF(273&lt;=$N$4,IF(OR('MIDWEEK DASHBOARD'!$C$4="",ISNUMBER(SEARCH('MIDWEEK DASHBOARD'!$C$4,INDEX(MASTER_ZONES!$B:$B,274)))),273,""),""),""))</f>
        <v/>
      </c>
      <c r="P274">
        <f>IF('CHOP DASHBOARD'!$B$4="Area",IF(273&lt;=$S$3,IF(AND(OR('CHOP DASHBOARD'!$C$4="",ISNUMBER(SEARCH('CHOP DASHBOARD'!$C$4,INDEX(MASTER_AREAS!$B:$B,274))))),273,""),""),IF('CHOP DASHBOARD'!$B$4="Zone",IF(273&lt;=$S$4,IF(OR('CHOP DASHBOARD'!$C$4="",ISNUMBER(SEARCH('CHOP DASHBOARD'!$C$4,INDEX(MASTER_ZONES!$B:$B,274)))),273,""),""),""))</f>
        <v/>
      </c>
      <c r="U274">
        <f>IF('COMMUNITY CHURCH DASHBOARD'!$B$4="Area",IF(273&lt;=$X$3,IF(AND(OR('COMMUNITY CHURCH DASHBOARD'!$C$4="",ISNUMBER(SEARCH('COMMUNITY CHURCH DASHBOARD'!$C$4,INDEX(MASTER_AREAS!$B:$B,274))))),273,""),""),IF('COMMUNITY CHURCH DASHBOARD'!$B$4="Zone",IF(273&lt;=$X$4,IF(OR('COMMUNITY CHURCH DASHBOARD'!$C$4="",ISNUMBER(SEARCH('COMMUNITY CHURCH DASHBOARD'!$C$4,INDEX(MASTER_ZONES!$B:$B,274)))),273,""),""),""))</f>
        <v/>
      </c>
    </row>
    <row r="275">
      <c r="A275">
        <f>IF('WSF DASHBOARD'!$B$4="Area",IF(274&lt;=$D$3,IF(AND(OR('WSF DASHBOARD'!$C$4="",ISNUMBER(SEARCH('WSF DASHBOARD'!$C$4,INDEX(MASTER_AREAS!$B:$B,275))))),274,""),""),IF('WSF DASHBOARD'!$B$4="Zone",IF(274&lt;=$D$4,IF(OR('WSF DASHBOARD'!$C$4="",ISNUMBER(SEARCH('WSF DASHBOARD'!$C$4,INDEX(MASTER_ZONES!$B:$B,275)))),274,""),""),""))</f>
        <v/>
      </c>
      <c r="F275">
        <f>IF('TRANSPORT DASHBOARD'!$B$4="Area",IF(274&lt;=$I$3,IF(AND(INDEX(MASTER_AREAS!$F:$F,275)&lt;&gt;"N",OR('TRANSPORT DASHBOARD'!$C$4="",ISNUMBER(SEARCH('TRANSPORT DASHBOARD'!$C$4,INDEX(MASTER_AREAS!$B:$B,275))))),274,""),""),IF('TRANSPORT DASHBOARD'!$B$4="Zone",IF(274&lt;=$I$4,IF(OR('TRANSPORT DASHBOARD'!$C$4="",ISNUMBER(SEARCH('TRANSPORT DASHBOARD'!$C$4,INDEX(MASTER_ZONES!$B:$B,275)))),274,""),""),""))</f>
        <v/>
      </c>
      <c r="K275">
        <f>IF('MIDWEEK DASHBOARD'!$B$4="Area",IF(274&lt;=$N$3,IF(AND(OR('MIDWEEK DASHBOARD'!$C$4="",ISNUMBER(SEARCH('MIDWEEK DASHBOARD'!$C$4,INDEX(MASTER_AREAS!$B:$B,275))))),274,""),""),IF('MIDWEEK DASHBOARD'!$B$4="Zone",IF(274&lt;=$N$4,IF(OR('MIDWEEK DASHBOARD'!$C$4="",ISNUMBER(SEARCH('MIDWEEK DASHBOARD'!$C$4,INDEX(MASTER_ZONES!$B:$B,275)))),274,""),""),""))</f>
        <v/>
      </c>
      <c r="P275">
        <f>IF('CHOP DASHBOARD'!$B$4="Area",IF(274&lt;=$S$3,IF(AND(OR('CHOP DASHBOARD'!$C$4="",ISNUMBER(SEARCH('CHOP DASHBOARD'!$C$4,INDEX(MASTER_AREAS!$B:$B,275))))),274,""),""),IF('CHOP DASHBOARD'!$B$4="Zone",IF(274&lt;=$S$4,IF(OR('CHOP DASHBOARD'!$C$4="",ISNUMBER(SEARCH('CHOP DASHBOARD'!$C$4,INDEX(MASTER_ZONES!$B:$B,275)))),274,""),""),""))</f>
        <v/>
      </c>
      <c r="U275">
        <f>IF('COMMUNITY CHURCH DASHBOARD'!$B$4="Area",IF(274&lt;=$X$3,IF(AND(OR('COMMUNITY CHURCH DASHBOARD'!$C$4="",ISNUMBER(SEARCH('COMMUNITY CHURCH DASHBOARD'!$C$4,INDEX(MASTER_AREAS!$B:$B,275))))),274,""),""),IF('COMMUNITY CHURCH DASHBOARD'!$B$4="Zone",IF(274&lt;=$X$4,IF(OR('COMMUNITY CHURCH DASHBOARD'!$C$4="",ISNUMBER(SEARCH('COMMUNITY CHURCH DASHBOARD'!$C$4,INDEX(MASTER_ZONES!$B:$B,275)))),274,""),""),""))</f>
        <v/>
      </c>
    </row>
    <row r="276">
      <c r="A276">
        <f>IF('WSF DASHBOARD'!$B$4="Area",IF(275&lt;=$D$3,IF(AND(OR('WSF DASHBOARD'!$C$4="",ISNUMBER(SEARCH('WSF DASHBOARD'!$C$4,INDEX(MASTER_AREAS!$B:$B,276))))),275,""),""),IF('WSF DASHBOARD'!$B$4="Zone",IF(275&lt;=$D$4,IF(OR('WSF DASHBOARD'!$C$4="",ISNUMBER(SEARCH('WSF DASHBOARD'!$C$4,INDEX(MASTER_ZONES!$B:$B,276)))),275,""),""),""))</f>
        <v/>
      </c>
      <c r="F276">
        <f>IF('TRANSPORT DASHBOARD'!$B$4="Area",IF(275&lt;=$I$3,IF(AND(INDEX(MASTER_AREAS!$F:$F,276)&lt;&gt;"N",OR('TRANSPORT DASHBOARD'!$C$4="",ISNUMBER(SEARCH('TRANSPORT DASHBOARD'!$C$4,INDEX(MASTER_AREAS!$B:$B,276))))),275,""),""),IF('TRANSPORT DASHBOARD'!$B$4="Zone",IF(275&lt;=$I$4,IF(OR('TRANSPORT DASHBOARD'!$C$4="",ISNUMBER(SEARCH('TRANSPORT DASHBOARD'!$C$4,INDEX(MASTER_ZONES!$B:$B,276)))),275,""),""),""))</f>
        <v/>
      </c>
      <c r="K276">
        <f>IF('MIDWEEK DASHBOARD'!$B$4="Area",IF(275&lt;=$N$3,IF(AND(OR('MIDWEEK DASHBOARD'!$C$4="",ISNUMBER(SEARCH('MIDWEEK DASHBOARD'!$C$4,INDEX(MASTER_AREAS!$B:$B,276))))),275,""),""),IF('MIDWEEK DASHBOARD'!$B$4="Zone",IF(275&lt;=$N$4,IF(OR('MIDWEEK DASHBOARD'!$C$4="",ISNUMBER(SEARCH('MIDWEEK DASHBOARD'!$C$4,INDEX(MASTER_ZONES!$B:$B,276)))),275,""),""),""))</f>
        <v/>
      </c>
      <c r="P276">
        <f>IF('CHOP DASHBOARD'!$B$4="Area",IF(275&lt;=$S$3,IF(AND(OR('CHOP DASHBOARD'!$C$4="",ISNUMBER(SEARCH('CHOP DASHBOARD'!$C$4,INDEX(MASTER_AREAS!$B:$B,276))))),275,""),""),IF('CHOP DASHBOARD'!$B$4="Zone",IF(275&lt;=$S$4,IF(OR('CHOP DASHBOARD'!$C$4="",ISNUMBER(SEARCH('CHOP DASHBOARD'!$C$4,INDEX(MASTER_ZONES!$B:$B,276)))),275,""),""),""))</f>
        <v/>
      </c>
      <c r="U276">
        <f>IF('COMMUNITY CHURCH DASHBOARD'!$B$4="Area",IF(275&lt;=$X$3,IF(AND(OR('COMMUNITY CHURCH DASHBOARD'!$C$4="",ISNUMBER(SEARCH('COMMUNITY CHURCH DASHBOARD'!$C$4,INDEX(MASTER_AREAS!$B:$B,276))))),275,""),""),IF('COMMUNITY CHURCH DASHBOARD'!$B$4="Zone",IF(275&lt;=$X$4,IF(OR('COMMUNITY CHURCH DASHBOARD'!$C$4="",ISNUMBER(SEARCH('COMMUNITY CHURCH DASHBOARD'!$C$4,INDEX(MASTER_ZONES!$B:$B,276)))),275,""),""),""))</f>
        <v/>
      </c>
    </row>
    <row r="277">
      <c r="A277">
        <f>IF('WSF DASHBOARD'!$B$4="Area",IF(276&lt;=$D$3,IF(AND(OR('WSF DASHBOARD'!$C$4="",ISNUMBER(SEARCH('WSF DASHBOARD'!$C$4,INDEX(MASTER_AREAS!$B:$B,277))))),276,""),""),IF('WSF DASHBOARD'!$B$4="Zone",IF(276&lt;=$D$4,IF(OR('WSF DASHBOARD'!$C$4="",ISNUMBER(SEARCH('WSF DASHBOARD'!$C$4,INDEX(MASTER_ZONES!$B:$B,277)))),276,""),""),""))</f>
        <v/>
      </c>
      <c r="F277">
        <f>IF('TRANSPORT DASHBOARD'!$B$4="Area",IF(276&lt;=$I$3,IF(AND(INDEX(MASTER_AREAS!$F:$F,277)&lt;&gt;"N",OR('TRANSPORT DASHBOARD'!$C$4="",ISNUMBER(SEARCH('TRANSPORT DASHBOARD'!$C$4,INDEX(MASTER_AREAS!$B:$B,277))))),276,""),""),IF('TRANSPORT DASHBOARD'!$B$4="Zone",IF(276&lt;=$I$4,IF(OR('TRANSPORT DASHBOARD'!$C$4="",ISNUMBER(SEARCH('TRANSPORT DASHBOARD'!$C$4,INDEX(MASTER_ZONES!$B:$B,277)))),276,""),""),""))</f>
        <v/>
      </c>
      <c r="K277">
        <f>IF('MIDWEEK DASHBOARD'!$B$4="Area",IF(276&lt;=$N$3,IF(AND(OR('MIDWEEK DASHBOARD'!$C$4="",ISNUMBER(SEARCH('MIDWEEK DASHBOARD'!$C$4,INDEX(MASTER_AREAS!$B:$B,277))))),276,""),""),IF('MIDWEEK DASHBOARD'!$B$4="Zone",IF(276&lt;=$N$4,IF(OR('MIDWEEK DASHBOARD'!$C$4="",ISNUMBER(SEARCH('MIDWEEK DASHBOARD'!$C$4,INDEX(MASTER_ZONES!$B:$B,277)))),276,""),""),""))</f>
        <v/>
      </c>
      <c r="P277">
        <f>IF('CHOP DASHBOARD'!$B$4="Area",IF(276&lt;=$S$3,IF(AND(OR('CHOP DASHBOARD'!$C$4="",ISNUMBER(SEARCH('CHOP DASHBOARD'!$C$4,INDEX(MASTER_AREAS!$B:$B,277))))),276,""),""),IF('CHOP DASHBOARD'!$B$4="Zone",IF(276&lt;=$S$4,IF(OR('CHOP DASHBOARD'!$C$4="",ISNUMBER(SEARCH('CHOP DASHBOARD'!$C$4,INDEX(MASTER_ZONES!$B:$B,277)))),276,""),""),""))</f>
        <v/>
      </c>
      <c r="U277">
        <f>IF('COMMUNITY CHURCH DASHBOARD'!$B$4="Area",IF(276&lt;=$X$3,IF(AND(OR('COMMUNITY CHURCH DASHBOARD'!$C$4="",ISNUMBER(SEARCH('COMMUNITY CHURCH DASHBOARD'!$C$4,INDEX(MASTER_AREAS!$B:$B,277))))),276,""),""),IF('COMMUNITY CHURCH DASHBOARD'!$B$4="Zone",IF(276&lt;=$X$4,IF(OR('COMMUNITY CHURCH DASHBOARD'!$C$4="",ISNUMBER(SEARCH('COMMUNITY CHURCH DASHBOARD'!$C$4,INDEX(MASTER_ZONES!$B:$B,277)))),276,""),""),""))</f>
        <v/>
      </c>
    </row>
    <row r="278">
      <c r="A278">
        <f>IF('WSF DASHBOARD'!$B$4="Area",IF(277&lt;=$D$3,IF(AND(OR('WSF DASHBOARD'!$C$4="",ISNUMBER(SEARCH('WSF DASHBOARD'!$C$4,INDEX(MASTER_AREAS!$B:$B,278))))),277,""),""),IF('WSF DASHBOARD'!$B$4="Zone",IF(277&lt;=$D$4,IF(OR('WSF DASHBOARD'!$C$4="",ISNUMBER(SEARCH('WSF DASHBOARD'!$C$4,INDEX(MASTER_ZONES!$B:$B,278)))),277,""),""),""))</f>
        <v/>
      </c>
      <c r="F278">
        <f>IF('TRANSPORT DASHBOARD'!$B$4="Area",IF(277&lt;=$I$3,IF(AND(INDEX(MASTER_AREAS!$F:$F,278)&lt;&gt;"N",OR('TRANSPORT DASHBOARD'!$C$4="",ISNUMBER(SEARCH('TRANSPORT DASHBOARD'!$C$4,INDEX(MASTER_AREAS!$B:$B,278))))),277,""),""),IF('TRANSPORT DASHBOARD'!$B$4="Zone",IF(277&lt;=$I$4,IF(OR('TRANSPORT DASHBOARD'!$C$4="",ISNUMBER(SEARCH('TRANSPORT DASHBOARD'!$C$4,INDEX(MASTER_ZONES!$B:$B,278)))),277,""),""),""))</f>
        <v/>
      </c>
      <c r="K278">
        <f>IF('MIDWEEK DASHBOARD'!$B$4="Area",IF(277&lt;=$N$3,IF(AND(OR('MIDWEEK DASHBOARD'!$C$4="",ISNUMBER(SEARCH('MIDWEEK DASHBOARD'!$C$4,INDEX(MASTER_AREAS!$B:$B,278))))),277,""),""),IF('MIDWEEK DASHBOARD'!$B$4="Zone",IF(277&lt;=$N$4,IF(OR('MIDWEEK DASHBOARD'!$C$4="",ISNUMBER(SEARCH('MIDWEEK DASHBOARD'!$C$4,INDEX(MASTER_ZONES!$B:$B,278)))),277,""),""),""))</f>
        <v/>
      </c>
      <c r="P278">
        <f>IF('CHOP DASHBOARD'!$B$4="Area",IF(277&lt;=$S$3,IF(AND(OR('CHOP DASHBOARD'!$C$4="",ISNUMBER(SEARCH('CHOP DASHBOARD'!$C$4,INDEX(MASTER_AREAS!$B:$B,278))))),277,""),""),IF('CHOP DASHBOARD'!$B$4="Zone",IF(277&lt;=$S$4,IF(OR('CHOP DASHBOARD'!$C$4="",ISNUMBER(SEARCH('CHOP DASHBOARD'!$C$4,INDEX(MASTER_ZONES!$B:$B,278)))),277,""),""),""))</f>
        <v/>
      </c>
      <c r="U278">
        <f>IF('COMMUNITY CHURCH DASHBOARD'!$B$4="Area",IF(277&lt;=$X$3,IF(AND(OR('COMMUNITY CHURCH DASHBOARD'!$C$4="",ISNUMBER(SEARCH('COMMUNITY CHURCH DASHBOARD'!$C$4,INDEX(MASTER_AREAS!$B:$B,278))))),277,""),""),IF('COMMUNITY CHURCH DASHBOARD'!$B$4="Zone",IF(277&lt;=$X$4,IF(OR('COMMUNITY CHURCH DASHBOARD'!$C$4="",ISNUMBER(SEARCH('COMMUNITY CHURCH DASHBOARD'!$C$4,INDEX(MASTER_ZONES!$B:$B,278)))),277,""),""),""))</f>
        <v/>
      </c>
    </row>
    <row r="279">
      <c r="A279">
        <f>IF('WSF DASHBOARD'!$B$4="Area",IF(278&lt;=$D$3,IF(AND(OR('WSF DASHBOARD'!$C$4="",ISNUMBER(SEARCH('WSF DASHBOARD'!$C$4,INDEX(MASTER_AREAS!$B:$B,279))))),278,""),""),IF('WSF DASHBOARD'!$B$4="Zone",IF(278&lt;=$D$4,IF(OR('WSF DASHBOARD'!$C$4="",ISNUMBER(SEARCH('WSF DASHBOARD'!$C$4,INDEX(MASTER_ZONES!$B:$B,279)))),278,""),""),""))</f>
        <v/>
      </c>
      <c r="F279">
        <f>IF('TRANSPORT DASHBOARD'!$B$4="Area",IF(278&lt;=$I$3,IF(AND(INDEX(MASTER_AREAS!$F:$F,279)&lt;&gt;"N",OR('TRANSPORT DASHBOARD'!$C$4="",ISNUMBER(SEARCH('TRANSPORT DASHBOARD'!$C$4,INDEX(MASTER_AREAS!$B:$B,279))))),278,""),""),IF('TRANSPORT DASHBOARD'!$B$4="Zone",IF(278&lt;=$I$4,IF(OR('TRANSPORT DASHBOARD'!$C$4="",ISNUMBER(SEARCH('TRANSPORT DASHBOARD'!$C$4,INDEX(MASTER_ZONES!$B:$B,279)))),278,""),""),""))</f>
        <v/>
      </c>
      <c r="K279">
        <f>IF('MIDWEEK DASHBOARD'!$B$4="Area",IF(278&lt;=$N$3,IF(AND(OR('MIDWEEK DASHBOARD'!$C$4="",ISNUMBER(SEARCH('MIDWEEK DASHBOARD'!$C$4,INDEX(MASTER_AREAS!$B:$B,279))))),278,""),""),IF('MIDWEEK DASHBOARD'!$B$4="Zone",IF(278&lt;=$N$4,IF(OR('MIDWEEK DASHBOARD'!$C$4="",ISNUMBER(SEARCH('MIDWEEK DASHBOARD'!$C$4,INDEX(MASTER_ZONES!$B:$B,279)))),278,""),""),""))</f>
        <v/>
      </c>
      <c r="P279">
        <f>IF('CHOP DASHBOARD'!$B$4="Area",IF(278&lt;=$S$3,IF(AND(OR('CHOP DASHBOARD'!$C$4="",ISNUMBER(SEARCH('CHOP DASHBOARD'!$C$4,INDEX(MASTER_AREAS!$B:$B,279))))),278,""),""),IF('CHOP DASHBOARD'!$B$4="Zone",IF(278&lt;=$S$4,IF(OR('CHOP DASHBOARD'!$C$4="",ISNUMBER(SEARCH('CHOP DASHBOARD'!$C$4,INDEX(MASTER_ZONES!$B:$B,279)))),278,""),""),""))</f>
        <v/>
      </c>
      <c r="U279">
        <f>IF('COMMUNITY CHURCH DASHBOARD'!$B$4="Area",IF(278&lt;=$X$3,IF(AND(OR('COMMUNITY CHURCH DASHBOARD'!$C$4="",ISNUMBER(SEARCH('COMMUNITY CHURCH DASHBOARD'!$C$4,INDEX(MASTER_AREAS!$B:$B,279))))),278,""),""),IF('COMMUNITY CHURCH DASHBOARD'!$B$4="Zone",IF(278&lt;=$X$4,IF(OR('COMMUNITY CHURCH DASHBOARD'!$C$4="",ISNUMBER(SEARCH('COMMUNITY CHURCH DASHBOARD'!$C$4,INDEX(MASTER_ZONES!$B:$B,279)))),278,""),""),""))</f>
        <v/>
      </c>
    </row>
    <row r="280">
      <c r="A280">
        <f>IF('WSF DASHBOARD'!$B$4="Area",IF(279&lt;=$D$3,IF(AND(OR('WSF DASHBOARD'!$C$4="",ISNUMBER(SEARCH('WSF DASHBOARD'!$C$4,INDEX(MASTER_AREAS!$B:$B,280))))),279,""),""),IF('WSF DASHBOARD'!$B$4="Zone",IF(279&lt;=$D$4,IF(OR('WSF DASHBOARD'!$C$4="",ISNUMBER(SEARCH('WSF DASHBOARD'!$C$4,INDEX(MASTER_ZONES!$B:$B,280)))),279,""),""),""))</f>
        <v/>
      </c>
      <c r="F280">
        <f>IF('TRANSPORT DASHBOARD'!$B$4="Area",IF(279&lt;=$I$3,IF(AND(INDEX(MASTER_AREAS!$F:$F,280)&lt;&gt;"N",OR('TRANSPORT DASHBOARD'!$C$4="",ISNUMBER(SEARCH('TRANSPORT DASHBOARD'!$C$4,INDEX(MASTER_AREAS!$B:$B,280))))),279,""),""),IF('TRANSPORT DASHBOARD'!$B$4="Zone",IF(279&lt;=$I$4,IF(OR('TRANSPORT DASHBOARD'!$C$4="",ISNUMBER(SEARCH('TRANSPORT DASHBOARD'!$C$4,INDEX(MASTER_ZONES!$B:$B,280)))),279,""),""),""))</f>
        <v/>
      </c>
      <c r="K280">
        <f>IF('MIDWEEK DASHBOARD'!$B$4="Area",IF(279&lt;=$N$3,IF(AND(OR('MIDWEEK DASHBOARD'!$C$4="",ISNUMBER(SEARCH('MIDWEEK DASHBOARD'!$C$4,INDEX(MASTER_AREAS!$B:$B,280))))),279,""),""),IF('MIDWEEK DASHBOARD'!$B$4="Zone",IF(279&lt;=$N$4,IF(OR('MIDWEEK DASHBOARD'!$C$4="",ISNUMBER(SEARCH('MIDWEEK DASHBOARD'!$C$4,INDEX(MASTER_ZONES!$B:$B,280)))),279,""),""),""))</f>
        <v/>
      </c>
      <c r="P280">
        <f>IF('CHOP DASHBOARD'!$B$4="Area",IF(279&lt;=$S$3,IF(AND(OR('CHOP DASHBOARD'!$C$4="",ISNUMBER(SEARCH('CHOP DASHBOARD'!$C$4,INDEX(MASTER_AREAS!$B:$B,280))))),279,""),""),IF('CHOP DASHBOARD'!$B$4="Zone",IF(279&lt;=$S$4,IF(OR('CHOP DASHBOARD'!$C$4="",ISNUMBER(SEARCH('CHOP DASHBOARD'!$C$4,INDEX(MASTER_ZONES!$B:$B,280)))),279,""),""),""))</f>
        <v/>
      </c>
      <c r="U280">
        <f>IF('COMMUNITY CHURCH DASHBOARD'!$B$4="Area",IF(279&lt;=$X$3,IF(AND(OR('COMMUNITY CHURCH DASHBOARD'!$C$4="",ISNUMBER(SEARCH('COMMUNITY CHURCH DASHBOARD'!$C$4,INDEX(MASTER_AREAS!$B:$B,280))))),279,""),""),IF('COMMUNITY CHURCH DASHBOARD'!$B$4="Zone",IF(279&lt;=$X$4,IF(OR('COMMUNITY CHURCH DASHBOARD'!$C$4="",ISNUMBER(SEARCH('COMMUNITY CHURCH DASHBOARD'!$C$4,INDEX(MASTER_ZONES!$B:$B,280)))),279,""),""),""))</f>
        <v/>
      </c>
    </row>
    <row r="281">
      <c r="A281">
        <f>IF('WSF DASHBOARD'!$B$4="Area",IF(280&lt;=$D$3,IF(AND(OR('WSF DASHBOARD'!$C$4="",ISNUMBER(SEARCH('WSF DASHBOARD'!$C$4,INDEX(MASTER_AREAS!$B:$B,281))))),280,""),""),IF('WSF DASHBOARD'!$B$4="Zone",IF(280&lt;=$D$4,IF(OR('WSF DASHBOARD'!$C$4="",ISNUMBER(SEARCH('WSF DASHBOARD'!$C$4,INDEX(MASTER_ZONES!$B:$B,281)))),280,""),""),""))</f>
        <v/>
      </c>
      <c r="F281">
        <f>IF('TRANSPORT DASHBOARD'!$B$4="Area",IF(280&lt;=$I$3,IF(AND(INDEX(MASTER_AREAS!$F:$F,281)&lt;&gt;"N",OR('TRANSPORT DASHBOARD'!$C$4="",ISNUMBER(SEARCH('TRANSPORT DASHBOARD'!$C$4,INDEX(MASTER_AREAS!$B:$B,281))))),280,""),""),IF('TRANSPORT DASHBOARD'!$B$4="Zone",IF(280&lt;=$I$4,IF(OR('TRANSPORT DASHBOARD'!$C$4="",ISNUMBER(SEARCH('TRANSPORT DASHBOARD'!$C$4,INDEX(MASTER_ZONES!$B:$B,281)))),280,""),""),""))</f>
        <v/>
      </c>
      <c r="K281">
        <f>IF('MIDWEEK DASHBOARD'!$B$4="Area",IF(280&lt;=$N$3,IF(AND(OR('MIDWEEK DASHBOARD'!$C$4="",ISNUMBER(SEARCH('MIDWEEK DASHBOARD'!$C$4,INDEX(MASTER_AREAS!$B:$B,281))))),280,""),""),IF('MIDWEEK DASHBOARD'!$B$4="Zone",IF(280&lt;=$N$4,IF(OR('MIDWEEK DASHBOARD'!$C$4="",ISNUMBER(SEARCH('MIDWEEK DASHBOARD'!$C$4,INDEX(MASTER_ZONES!$B:$B,281)))),280,""),""),""))</f>
        <v/>
      </c>
      <c r="P281">
        <f>IF('CHOP DASHBOARD'!$B$4="Area",IF(280&lt;=$S$3,IF(AND(OR('CHOP DASHBOARD'!$C$4="",ISNUMBER(SEARCH('CHOP DASHBOARD'!$C$4,INDEX(MASTER_AREAS!$B:$B,281))))),280,""),""),IF('CHOP DASHBOARD'!$B$4="Zone",IF(280&lt;=$S$4,IF(OR('CHOP DASHBOARD'!$C$4="",ISNUMBER(SEARCH('CHOP DASHBOARD'!$C$4,INDEX(MASTER_ZONES!$B:$B,281)))),280,""),""),""))</f>
        <v/>
      </c>
      <c r="U281">
        <f>IF('COMMUNITY CHURCH DASHBOARD'!$B$4="Area",IF(280&lt;=$X$3,IF(AND(OR('COMMUNITY CHURCH DASHBOARD'!$C$4="",ISNUMBER(SEARCH('COMMUNITY CHURCH DASHBOARD'!$C$4,INDEX(MASTER_AREAS!$B:$B,281))))),280,""),""),IF('COMMUNITY CHURCH DASHBOARD'!$B$4="Zone",IF(280&lt;=$X$4,IF(OR('COMMUNITY CHURCH DASHBOARD'!$C$4="",ISNUMBER(SEARCH('COMMUNITY CHURCH DASHBOARD'!$C$4,INDEX(MASTER_ZONES!$B:$B,281)))),280,""),""),""))</f>
        <v/>
      </c>
    </row>
    <row r="282">
      <c r="A282">
        <f>IF('WSF DASHBOARD'!$B$4="Area",IF(281&lt;=$D$3,IF(AND(OR('WSF DASHBOARD'!$C$4="",ISNUMBER(SEARCH('WSF DASHBOARD'!$C$4,INDEX(MASTER_AREAS!$B:$B,282))))),281,""),""),IF('WSF DASHBOARD'!$B$4="Zone",IF(281&lt;=$D$4,IF(OR('WSF DASHBOARD'!$C$4="",ISNUMBER(SEARCH('WSF DASHBOARD'!$C$4,INDEX(MASTER_ZONES!$B:$B,282)))),281,""),""),""))</f>
        <v/>
      </c>
      <c r="F282">
        <f>IF('TRANSPORT DASHBOARD'!$B$4="Area",IF(281&lt;=$I$3,IF(AND(INDEX(MASTER_AREAS!$F:$F,282)&lt;&gt;"N",OR('TRANSPORT DASHBOARD'!$C$4="",ISNUMBER(SEARCH('TRANSPORT DASHBOARD'!$C$4,INDEX(MASTER_AREAS!$B:$B,282))))),281,""),""),IF('TRANSPORT DASHBOARD'!$B$4="Zone",IF(281&lt;=$I$4,IF(OR('TRANSPORT DASHBOARD'!$C$4="",ISNUMBER(SEARCH('TRANSPORT DASHBOARD'!$C$4,INDEX(MASTER_ZONES!$B:$B,282)))),281,""),""),""))</f>
        <v/>
      </c>
      <c r="K282">
        <f>IF('MIDWEEK DASHBOARD'!$B$4="Area",IF(281&lt;=$N$3,IF(AND(OR('MIDWEEK DASHBOARD'!$C$4="",ISNUMBER(SEARCH('MIDWEEK DASHBOARD'!$C$4,INDEX(MASTER_AREAS!$B:$B,282))))),281,""),""),IF('MIDWEEK DASHBOARD'!$B$4="Zone",IF(281&lt;=$N$4,IF(OR('MIDWEEK DASHBOARD'!$C$4="",ISNUMBER(SEARCH('MIDWEEK DASHBOARD'!$C$4,INDEX(MASTER_ZONES!$B:$B,282)))),281,""),""),""))</f>
        <v/>
      </c>
      <c r="P282">
        <f>IF('CHOP DASHBOARD'!$B$4="Area",IF(281&lt;=$S$3,IF(AND(OR('CHOP DASHBOARD'!$C$4="",ISNUMBER(SEARCH('CHOP DASHBOARD'!$C$4,INDEX(MASTER_AREAS!$B:$B,282))))),281,""),""),IF('CHOP DASHBOARD'!$B$4="Zone",IF(281&lt;=$S$4,IF(OR('CHOP DASHBOARD'!$C$4="",ISNUMBER(SEARCH('CHOP DASHBOARD'!$C$4,INDEX(MASTER_ZONES!$B:$B,282)))),281,""),""),""))</f>
        <v/>
      </c>
      <c r="U282">
        <f>IF('COMMUNITY CHURCH DASHBOARD'!$B$4="Area",IF(281&lt;=$X$3,IF(AND(OR('COMMUNITY CHURCH DASHBOARD'!$C$4="",ISNUMBER(SEARCH('COMMUNITY CHURCH DASHBOARD'!$C$4,INDEX(MASTER_AREAS!$B:$B,282))))),281,""),""),IF('COMMUNITY CHURCH DASHBOARD'!$B$4="Zone",IF(281&lt;=$X$4,IF(OR('COMMUNITY CHURCH DASHBOARD'!$C$4="",ISNUMBER(SEARCH('COMMUNITY CHURCH DASHBOARD'!$C$4,INDEX(MASTER_ZONES!$B:$B,282)))),281,""),""),""))</f>
        <v/>
      </c>
    </row>
    <row r="283">
      <c r="A283">
        <f>IF('WSF DASHBOARD'!$B$4="Area",IF(282&lt;=$D$3,IF(AND(OR('WSF DASHBOARD'!$C$4="",ISNUMBER(SEARCH('WSF DASHBOARD'!$C$4,INDEX(MASTER_AREAS!$B:$B,283))))),282,""),""),IF('WSF DASHBOARD'!$B$4="Zone",IF(282&lt;=$D$4,IF(OR('WSF DASHBOARD'!$C$4="",ISNUMBER(SEARCH('WSF DASHBOARD'!$C$4,INDEX(MASTER_ZONES!$B:$B,283)))),282,""),""),""))</f>
        <v/>
      </c>
      <c r="F283">
        <f>IF('TRANSPORT DASHBOARD'!$B$4="Area",IF(282&lt;=$I$3,IF(AND(INDEX(MASTER_AREAS!$F:$F,283)&lt;&gt;"N",OR('TRANSPORT DASHBOARD'!$C$4="",ISNUMBER(SEARCH('TRANSPORT DASHBOARD'!$C$4,INDEX(MASTER_AREAS!$B:$B,283))))),282,""),""),IF('TRANSPORT DASHBOARD'!$B$4="Zone",IF(282&lt;=$I$4,IF(OR('TRANSPORT DASHBOARD'!$C$4="",ISNUMBER(SEARCH('TRANSPORT DASHBOARD'!$C$4,INDEX(MASTER_ZONES!$B:$B,283)))),282,""),""),""))</f>
        <v/>
      </c>
      <c r="K283">
        <f>IF('MIDWEEK DASHBOARD'!$B$4="Area",IF(282&lt;=$N$3,IF(AND(OR('MIDWEEK DASHBOARD'!$C$4="",ISNUMBER(SEARCH('MIDWEEK DASHBOARD'!$C$4,INDEX(MASTER_AREAS!$B:$B,283))))),282,""),""),IF('MIDWEEK DASHBOARD'!$B$4="Zone",IF(282&lt;=$N$4,IF(OR('MIDWEEK DASHBOARD'!$C$4="",ISNUMBER(SEARCH('MIDWEEK DASHBOARD'!$C$4,INDEX(MASTER_ZONES!$B:$B,283)))),282,""),""),""))</f>
        <v/>
      </c>
      <c r="P283">
        <f>IF('CHOP DASHBOARD'!$B$4="Area",IF(282&lt;=$S$3,IF(AND(OR('CHOP DASHBOARD'!$C$4="",ISNUMBER(SEARCH('CHOP DASHBOARD'!$C$4,INDEX(MASTER_AREAS!$B:$B,283))))),282,""),""),IF('CHOP DASHBOARD'!$B$4="Zone",IF(282&lt;=$S$4,IF(OR('CHOP DASHBOARD'!$C$4="",ISNUMBER(SEARCH('CHOP DASHBOARD'!$C$4,INDEX(MASTER_ZONES!$B:$B,283)))),282,""),""),""))</f>
        <v/>
      </c>
      <c r="U283">
        <f>IF('COMMUNITY CHURCH DASHBOARD'!$B$4="Area",IF(282&lt;=$X$3,IF(AND(OR('COMMUNITY CHURCH DASHBOARD'!$C$4="",ISNUMBER(SEARCH('COMMUNITY CHURCH DASHBOARD'!$C$4,INDEX(MASTER_AREAS!$B:$B,283))))),282,""),""),IF('COMMUNITY CHURCH DASHBOARD'!$B$4="Zone",IF(282&lt;=$X$4,IF(OR('COMMUNITY CHURCH DASHBOARD'!$C$4="",ISNUMBER(SEARCH('COMMUNITY CHURCH DASHBOARD'!$C$4,INDEX(MASTER_ZONES!$B:$B,283)))),282,""),""),""))</f>
        <v/>
      </c>
    </row>
    <row r="284">
      <c r="A284">
        <f>IF('WSF DASHBOARD'!$B$4="Area",IF(283&lt;=$D$3,IF(AND(OR('WSF DASHBOARD'!$C$4="",ISNUMBER(SEARCH('WSF DASHBOARD'!$C$4,INDEX(MASTER_AREAS!$B:$B,284))))),283,""),""),IF('WSF DASHBOARD'!$B$4="Zone",IF(283&lt;=$D$4,IF(OR('WSF DASHBOARD'!$C$4="",ISNUMBER(SEARCH('WSF DASHBOARD'!$C$4,INDEX(MASTER_ZONES!$B:$B,284)))),283,""),""),""))</f>
        <v/>
      </c>
      <c r="F284">
        <f>IF('TRANSPORT DASHBOARD'!$B$4="Area",IF(283&lt;=$I$3,IF(AND(INDEX(MASTER_AREAS!$F:$F,284)&lt;&gt;"N",OR('TRANSPORT DASHBOARD'!$C$4="",ISNUMBER(SEARCH('TRANSPORT DASHBOARD'!$C$4,INDEX(MASTER_AREAS!$B:$B,284))))),283,""),""),IF('TRANSPORT DASHBOARD'!$B$4="Zone",IF(283&lt;=$I$4,IF(OR('TRANSPORT DASHBOARD'!$C$4="",ISNUMBER(SEARCH('TRANSPORT DASHBOARD'!$C$4,INDEX(MASTER_ZONES!$B:$B,284)))),283,""),""),""))</f>
        <v/>
      </c>
      <c r="K284">
        <f>IF('MIDWEEK DASHBOARD'!$B$4="Area",IF(283&lt;=$N$3,IF(AND(OR('MIDWEEK DASHBOARD'!$C$4="",ISNUMBER(SEARCH('MIDWEEK DASHBOARD'!$C$4,INDEX(MASTER_AREAS!$B:$B,284))))),283,""),""),IF('MIDWEEK DASHBOARD'!$B$4="Zone",IF(283&lt;=$N$4,IF(OR('MIDWEEK DASHBOARD'!$C$4="",ISNUMBER(SEARCH('MIDWEEK DASHBOARD'!$C$4,INDEX(MASTER_ZONES!$B:$B,284)))),283,""),""),""))</f>
        <v/>
      </c>
      <c r="P284">
        <f>IF('CHOP DASHBOARD'!$B$4="Area",IF(283&lt;=$S$3,IF(AND(OR('CHOP DASHBOARD'!$C$4="",ISNUMBER(SEARCH('CHOP DASHBOARD'!$C$4,INDEX(MASTER_AREAS!$B:$B,284))))),283,""),""),IF('CHOP DASHBOARD'!$B$4="Zone",IF(283&lt;=$S$4,IF(OR('CHOP DASHBOARD'!$C$4="",ISNUMBER(SEARCH('CHOP DASHBOARD'!$C$4,INDEX(MASTER_ZONES!$B:$B,284)))),283,""),""),""))</f>
        <v/>
      </c>
      <c r="U284">
        <f>IF('COMMUNITY CHURCH DASHBOARD'!$B$4="Area",IF(283&lt;=$X$3,IF(AND(OR('COMMUNITY CHURCH DASHBOARD'!$C$4="",ISNUMBER(SEARCH('COMMUNITY CHURCH DASHBOARD'!$C$4,INDEX(MASTER_AREAS!$B:$B,284))))),283,""),""),IF('COMMUNITY CHURCH DASHBOARD'!$B$4="Zone",IF(283&lt;=$X$4,IF(OR('COMMUNITY CHURCH DASHBOARD'!$C$4="",ISNUMBER(SEARCH('COMMUNITY CHURCH DASHBOARD'!$C$4,INDEX(MASTER_ZONES!$B:$B,284)))),283,""),""),""))</f>
        <v/>
      </c>
    </row>
    <row r="285">
      <c r="A285">
        <f>IF('WSF DASHBOARD'!$B$4="Area",IF(284&lt;=$D$3,IF(AND(OR('WSF DASHBOARD'!$C$4="",ISNUMBER(SEARCH('WSF DASHBOARD'!$C$4,INDEX(MASTER_AREAS!$B:$B,285))))),284,""),""),IF('WSF DASHBOARD'!$B$4="Zone",IF(284&lt;=$D$4,IF(OR('WSF DASHBOARD'!$C$4="",ISNUMBER(SEARCH('WSF DASHBOARD'!$C$4,INDEX(MASTER_ZONES!$B:$B,285)))),284,""),""),""))</f>
        <v/>
      </c>
      <c r="F285">
        <f>IF('TRANSPORT DASHBOARD'!$B$4="Area",IF(284&lt;=$I$3,IF(AND(INDEX(MASTER_AREAS!$F:$F,285)&lt;&gt;"N",OR('TRANSPORT DASHBOARD'!$C$4="",ISNUMBER(SEARCH('TRANSPORT DASHBOARD'!$C$4,INDEX(MASTER_AREAS!$B:$B,285))))),284,""),""),IF('TRANSPORT DASHBOARD'!$B$4="Zone",IF(284&lt;=$I$4,IF(OR('TRANSPORT DASHBOARD'!$C$4="",ISNUMBER(SEARCH('TRANSPORT DASHBOARD'!$C$4,INDEX(MASTER_ZONES!$B:$B,285)))),284,""),""),""))</f>
        <v/>
      </c>
      <c r="K285">
        <f>IF('MIDWEEK DASHBOARD'!$B$4="Area",IF(284&lt;=$N$3,IF(AND(OR('MIDWEEK DASHBOARD'!$C$4="",ISNUMBER(SEARCH('MIDWEEK DASHBOARD'!$C$4,INDEX(MASTER_AREAS!$B:$B,285))))),284,""),""),IF('MIDWEEK DASHBOARD'!$B$4="Zone",IF(284&lt;=$N$4,IF(OR('MIDWEEK DASHBOARD'!$C$4="",ISNUMBER(SEARCH('MIDWEEK DASHBOARD'!$C$4,INDEX(MASTER_ZONES!$B:$B,285)))),284,""),""),""))</f>
        <v/>
      </c>
      <c r="P285">
        <f>IF('CHOP DASHBOARD'!$B$4="Area",IF(284&lt;=$S$3,IF(AND(OR('CHOP DASHBOARD'!$C$4="",ISNUMBER(SEARCH('CHOP DASHBOARD'!$C$4,INDEX(MASTER_AREAS!$B:$B,285))))),284,""),""),IF('CHOP DASHBOARD'!$B$4="Zone",IF(284&lt;=$S$4,IF(OR('CHOP DASHBOARD'!$C$4="",ISNUMBER(SEARCH('CHOP DASHBOARD'!$C$4,INDEX(MASTER_ZONES!$B:$B,285)))),284,""),""),""))</f>
        <v/>
      </c>
      <c r="U285">
        <f>IF('COMMUNITY CHURCH DASHBOARD'!$B$4="Area",IF(284&lt;=$X$3,IF(AND(OR('COMMUNITY CHURCH DASHBOARD'!$C$4="",ISNUMBER(SEARCH('COMMUNITY CHURCH DASHBOARD'!$C$4,INDEX(MASTER_AREAS!$B:$B,285))))),284,""),""),IF('COMMUNITY CHURCH DASHBOARD'!$B$4="Zone",IF(284&lt;=$X$4,IF(OR('COMMUNITY CHURCH DASHBOARD'!$C$4="",ISNUMBER(SEARCH('COMMUNITY CHURCH DASHBOARD'!$C$4,INDEX(MASTER_ZONES!$B:$B,285)))),284,""),""),""))</f>
        <v/>
      </c>
    </row>
    <row r="286">
      <c r="A286">
        <f>IF('WSF DASHBOARD'!$B$4="Area",IF(285&lt;=$D$3,IF(AND(OR('WSF DASHBOARD'!$C$4="",ISNUMBER(SEARCH('WSF DASHBOARD'!$C$4,INDEX(MASTER_AREAS!$B:$B,286))))),285,""),""),IF('WSF DASHBOARD'!$B$4="Zone",IF(285&lt;=$D$4,IF(OR('WSF DASHBOARD'!$C$4="",ISNUMBER(SEARCH('WSF DASHBOARD'!$C$4,INDEX(MASTER_ZONES!$B:$B,286)))),285,""),""),""))</f>
        <v/>
      </c>
      <c r="F286">
        <f>IF('TRANSPORT DASHBOARD'!$B$4="Area",IF(285&lt;=$I$3,IF(AND(INDEX(MASTER_AREAS!$F:$F,286)&lt;&gt;"N",OR('TRANSPORT DASHBOARD'!$C$4="",ISNUMBER(SEARCH('TRANSPORT DASHBOARD'!$C$4,INDEX(MASTER_AREAS!$B:$B,286))))),285,""),""),IF('TRANSPORT DASHBOARD'!$B$4="Zone",IF(285&lt;=$I$4,IF(OR('TRANSPORT DASHBOARD'!$C$4="",ISNUMBER(SEARCH('TRANSPORT DASHBOARD'!$C$4,INDEX(MASTER_ZONES!$B:$B,286)))),285,""),""),""))</f>
        <v/>
      </c>
      <c r="K286">
        <f>IF('MIDWEEK DASHBOARD'!$B$4="Area",IF(285&lt;=$N$3,IF(AND(OR('MIDWEEK DASHBOARD'!$C$4="",ISNUMBER(SEARCH('MIDWEEK DASHBOARD'!$C$4,INDEX(MASTER_AREAS!$B:$B,286))))),285,""),""),IF('MIDWEEK DASHBOARD'!$B$4="Zone",IF(285&lt;=$N$4,IF(OR('MIDWEEK DASHBOARD'!$C$4="",ISNUMBER(SEARCH('MIDWEEK DASHBOARD'!$C$4,INDEX(MASTER_ZONES!$B:$B,286)))),285,""),""),""))</f>
        <v/>
      </c>
      <c r="P286">
        <f>IF('CHOP DASHBOARD'!$B$4="Area",IF(285&lt;=$S$3,IF(AND(OR('CHOP DASHBOARD'!$C$4="",ISNUMBER(SEARCH('CHOP DASHBOARD'!$C$4,INDEX(MASTER_AREAS!$B:$B,286))))),285,""),""),IF('CHOP DASHBOARD'!$B$4="Zone",IF(285&lt;=$S$4,IF(OR('CHOP DASHBOARD'!$C$4="",ISNUMBER(SEARCH('CHOP DASHBOARD'!$C$4,INDEX(MASTER_ZONES!$B:$B,286)))),285,""),""),""))</f>
        <v/>
      </c>
      <c r="U286">
        <f>IF('COMMUNITY CHURCH DASHBOARD'!$B$4="Area",IF(285&lt;=$X$3,IF(AND(OR('COMMUNITY CHURCH DASHBOARD'!$C$4="",ISNUMBER(SEARCH('COMMUNITY CHURCH DASHBOARD'!$C$4,INDEX(MASTER_AREAS!$B:$B,286))))),285,""),""),IF('COMMUNITY CHURCH DASHBOARD'!$B$4="Zone",IF(285&lt;=$X$4,IF(OR('COMMUNITY CHURCH DASHBOARD'!$C$4="",ISNUMBER(SEARCH('COMMUNITY CHURCH DASHBOARD'!$C$4,INDEX(MASTER_ZONES!$B:$B,286)))),285,""),""),""))</f>
        <v/>
      </c>
    </row>
    <row r="287">
      <c r="A287">
        <f>IF('WSF DASHBOARD'!$B$4="Area",IF(286&lt;=$D$3,IF(AND(OR('WSF DASHBOARD'!$C$4="",ISNUMBER(SEARCH('WSF DASHBOARD'!$C$4,INDEX(MASTER_AREAS!$B:$B,287))))),286,""),""),IF('WSF DASHBOARD'!$B$4="Zone",IF(286&lt;=$D$4,IF(OR('WSF DASHBOARD'!$C$4="",ISNUMBER(SEARCH('WSF DASHBOARD'!$C$4,INDEX(MASTER_ZONES!$B:$B,287)))),286,""),""),""))</f>
        <v/>
      </c>
      <c r="F287">
        <f>IF('TRANSPORT DASHBOARD'!$B$4="Area",IF(286&lt;=$I$3,IF(AND(INDEX(MASTER_AREAS!$F:$F,287)&lt;&gt;"N",OR('TRANSPORT DASHBOARD'!$C$4="",ISNUMBER(SEARCH('TRANSPORT DASHBOARD'!$C$4,INDEX(MASTER_AREAS!$B:$B,287))))),286,""),""),IF('TRANSPORT DASHBOARD'!$B$4="Zone",IF(286&lt;=$I$4,IF(OR('TRANSPORT DASHBOARD'!$C$4="",ISNUMBER(SEARCH('TRANSPORT DASHBOARD'!$C$4,INDEX(MASTER_ZONES!$B:$B,287)))),286,""),""),""))</f>
        <v/>
      </c>
      <c r="K287">
        <f>IF('MIDWEEK DASHBOARD'!$B$4="Area",IF(286&lt;=$N$3,IF(AND(OR('MIDWEEK DASHBOARD'!$C$4="",ISNUMBER(SEARCH('MIDWEEK DASHBOARD'!$C$4,INDEX(MASTER_AREAS!$B:$B,287))))),286,""),""),IF('MIDWEEK DASHBOARD'!$B$4="Zone",IF(286&lt;=$N$4,IF(OR('MIDWEEK DASHBOARD'!$C$4="",ISNUMBER(SEARCH('MIDWEEK DASHBOARD'!$C$4,INDEX(MASTER_ZONES!$B:$B,287)))),286,""),""),""))</f>
        <v/>
      </c>
      <c r="P287">
        <f>IF('CHOP DASHBOARD'!$B$4="Area",IF(286&lt;=$S$3,IF(AND(OR('CHOP DASHBOARD'!$C$4="",ISNUMBER(SEARCH('CHOP DASHBOARD'!$C$4,INDEX(MASTER_AREAS!$B:$B,287))))),286,""),""),IF('CHOP DASHBOARD'!$B$4="Zone",IF(286&lt;=$S$4,IF(OR('CHOP DASHBOARD'!$C$4="",ISNUMBER(SEARCH('CHOP DASHBOARD'!$C$4,INDEX(MASTER_ZONES!$B:$B,287)))),286,""),""),""))</f>
        <v/>
      </c>
      <c r="U287">
        <f>IF('COMMUNITY CHURCH DASHBOARD'!$B$4="Area",IF(286&lt;=$X$3,IF(AND(OR('COMMUNITY CHURCH DASHBOARD'!$C$4="",ISNUMBER(SEARCH('COMMUNITY CHURCH DASHBOARD'!$C$4,INDEX(MASTER_AREAS!$B:$B,287))))),286,""),""),IF('COMMUNITY CHURCH DASHBOARD'!$B$4="Zone",IF(286&lt;=$X$4,IF(OR('COMMUNITY CHURCH DASHBOARD'!$C$4="",ISNUMBER(SEARCH('COMMUNITY CHURCH DASHBOARD'!$C$4,INDEX(MASTER_ZONES!$B:$B,287)))),286,""),""),""))</f>
        <v/>
      </c>
    </row>
    <row r="288">
      <c r="A288">
        <f>IF('WSF DASHBOARD'!$B$4="Area",IF(287&lt;=$D$3,IF(AND(OR('WSF DASHBOARD'!$C$4="",ISNUMBER(SEARCH('WSF DASHBOARD'!$C$4,INDEX(MASTER_AREAS!$B:$B,288))))),287,""),""),IF('WSF DASHBOARD'!$B$4="Zone",IF(287&lt;=$D$4,IF(OR('WSF DASHBOARD'!$C$4="",ISNUMBER(SEARCH('WSF DASHBOARD'!$C$4,INDEX(MASTER_ZONES!$B:$B,288)))),287,""),""),""))</f>
        <v/>
      </c>
      <c r="F288">
        <f>IF('TRANSPORT DASHBOARD'!$B$4="Area",IF(287&lt;=$I$3,IF(AND(INDEX(MASTER_AREAS!$F:$F,288)&lt;&gt;"N",OR('TRANSPORT DASHBOARD'!$C$4="",ISNUMBER(SEARCH('TRANSPORT DASHBOARD'!$C$4,INDEX(MASTER_AREAS!$B:$B,288))))),287,""),""),IF('TRANSPORT DASHBOARD'!$B$4="Zone",IF(287&lt;=$I$4,IF(OR('TRANSPORT DASHBOARD'!$C$4="",ISNUMBER(SEARCH('TRANSPORT DASHBOARD'!$C$4,INDEX(MASTER_ZONES!$B:$B,288)))),287,""),""),""))</f>
        <v/>
      </c>
      <c r="K288">
        <f>IF('MIDWEEK DASHBOARD'!$B$4="Area",IF(287&lt;=$N$3,IF(AND(OR('MIDWEEK DASHBOARD'!$C$4="",ISNUMBER(SEARCH('MIDWEEK DASHBOARD'!$C$4,INDEX(MASTER_AREAS!$B:$B,288))))),287,""),""),IF('MIDWEEK DASHBOARD'!$B$4="Zone",IF(287&lt;=$N$4,IF(OR('MIDWEEK DASHBOARD'!$C$4="",ISNUMBER(SEARCH('MIDWEEK DASHBOARD'!$C$4,INDEX(MASTER_ZONES!$B:$B,288)))),287,""),""),""))</f>
        <v/>
      </c>
      <c r="P288">
        <f>IF('CHOP DASHBOARD'!$B$4="Area",IF(287&lt;=$S$3,IF(AND(OR('CHOP DASHBOARD'!$C$4="",ISNUMBER(SEARCH('CHOP DASHBOARD'!$C$4,INDEX(MASTER_AREAS!$B:$B,288))))),287,""),""),IF('CHOP DASHBOARD'!$B$4="Zone",IF(287&lt;=$S$4,IF(OR('CHOP DASHBOARD'!$C$4="",ISNUMBER(SEARCH('CHOP DASHBOARD'!$C$4,INDEX(MASTER_ZONES!$B:$B,288)))),287,""),""),""))</f>
        <v/>
      </c>
      <c r="U288">
        <f>IF('COMMUNITY CHURCH DASHBOARD'!$B$4="Area",IF(287&lt;=$X$3,IF(AND(OR('COMMUNITY CHURCH DASHBOARD'!$C$4="",ISNUMBER(SEARCH('COMMUNITY CHURCH DASHBOARD'!$C$4,INDEX(MASTER_AREAS!$B:$B,288))))),287,""),""),IF('COMMUNITY CHURCH DASHBOARD'!$B$4="Zone",IF(287&lt;=$X$4,IF(OR('COMMUNITY CHURCH DASHBOARD'!$C$4="",ISNUMBER(SEARCH('COMMUNITY CHURCH DASHBOARD'!$C$4,INDEX(MASTER_ZONES!$B:$B,288)))),287,""),""),""))</f>
        <v/>
      </c>
    </row>
    <row r="289">
      <c r="A289">
        <f>IF('WSF DASHBOARD'!$B$4="Area",IF(288&lt;=$D$3,IF(AND(OR('WSF DASHBOARD'!$C$4="",ISNUMBER(SEARCH('WSF DASHBOARD'!$C$4,INDEX(MASTER_AREAS!$B:$B,289))))),288,""),""),IF('WSF DASHBOARD'!$B$4="Zone",IF(288&lt;=$D$4,IF(OR('WSF DASHBOARD'!$C$4="",ISNUMBER(SEARCH('WSF DASHBOARD'!$C$4,INDEX(MASTER_ZONES!$B:$B,289)))),288,""),""),""))</f>
        <v/>
      </c>
      <c r="F289">
        <f>IF('TRANSPORT DASHBOARD'!$B$4="Area",IF(288&lt;=$I$3,IF(AND(INDEX(MASTER_AREAS!$F:$F,289)&lt;&gt;"N",OR('TRANSPORT DASHBOARD'!$C$4="",ISNUMBER(SEARCH('TRANSPORT DASHBOARD'!$C$4,INDEX(MASTER_AREAS!$B:$B,289))))),288,""),""),IF('TRANSPORT DASHBOARD'!$B$4="Zone",IF(288&lt;=$I$4,IF(OR('TRANSPORT DASHBOARD'!$C$4="",ISNUMBER(SEARCH('TRANSPORT DASHBOARD'!$C$4,INDEX(MASTER_ZONES!$B:$B,289)))),288,""),""),""))</f>
        <v/>
      </c>
      <c r="K289">
        <f>IF('MIDWEEK DASHBOARD'!$B$4="Area",IF(288&lt;=$N$3,IF(AND(OR('MIDWEEK DASHBOARD'!$C$4="",ISNUMBER(SEARCH('MIDWEEK DASHBOARD'!$C$4,INDEX(MASTER_AREAS!$B:$B,289))))),288,""),""),IF('MIDWEEK DASHBOARD'!$B$4="Zone",IF(288&lt;=$N$4,IF(OR('MIDWEEK DASHBOARD'!$C$4="",ISNUMBER(SEARCH('MIDWEEK DASHBOARD'!$C$4,INDEX(MASTER_ZONES!$B:$B,289)))),288,""),""),""))</f>
        <v/>
      </c>
      <c r="P289">
        <f>IF('CHOP DASHBOARD'!$B$4="Area",IF(288&lt;=$S$3,IF(AND(OR('CHOP DASHBOARD'!$C$4="",ISNUMBER(SEARCH('CHOP DASHBOARD'!$C$4,INDEX(MASTER_AREAS!$B:$B,289))))),288,""),""),IF('CHOP DASHBOARD'!$B$4="Zone",IF(288&lt;=$S$4,IF(OR('CHOP DASHBOARD'!$C$4="",ISNUMBER(SEARCH('CHOP DASHBOARD'!$C$4,INDEX(MASTER_ZONES!$B:$B,289)))),288,""),""),""))</f>
        <v/>
      </c>
      <c r="U289">
        <f>IF('COMMUNITY CHURCH DASHBOARD'!$B$4="Area",IF(288&lt;=$X$3,IF(AND(OR('COMMUNITY CHURCH DASHBOARD'!$C$4="",ISNUMBER(SEARCH('COMMUNITY CHURCH DASHBOARD'!$C$4,INDEX(MASTER_AREAS!$B:$B,289))))),288,""),""),IF('COMMUNITY CHURCH DASHBOARD'!$B$4="Zone",IF(288&lt;=$X$4,IF(OR('COMMUNITY CHURCH DASHBOARD'!$C$4="",ISNUMBER(SEARCH('COMMUNITY CHURCH DASHBOARD'!$C$4,INDEX(MASTER_ZONES!$B:$B,289)))),288,""),""),""))</f>
        <v/>
      </c>
    </row>
    <row r="290">
      <c r="A290">
        <f>IF('WSF DASHBOARD'!$B$4="Area",IF(289&lt;=$D$3,IF(AND(OR('WSF DASHBOARD'!$C$4="",ISNUMBER(SEARCH('WSF DASHBOARD'!$C$4,INDEX(MASTER_AREAS!$B:$B,290))))),289,""),""),IF('WSF DASHBOARD'!$B$4="Zone",IF(289&lt;=$D$4,IF(OR('WSF DASHBOARD'!$C$4="",ISNUMBER(SEARCH('WSF DASHBOARD'!$C$4,INDEX(MASTER_ZONES!$B:$B,290)))),289,""),""),""))</f>
        <v/>
      </c>
      <c r="F290">
        <f>IF('TRANSPORT DASHBOARD'!$B$4="Area",IF(289&lt;=$I$3,IF(AND(INDEX(MASTER_AREAS!$F:$F,290)&lt;&gt;"N",OR('TRANSPORT DASHBOARD'!$C$4="",ISNUMBER(SEARCH('TRANSPORT DASHBOARD'!$C$4,INDEX(MASTER_AREAS!$B:$B,290))))),289,""),""),IF('TRANSPORT DASHBOARD'!$B$4="Zone",IF(289&lt;=$I$4,IF(OR('TRANSPORT DASHBOARD'!$C$4="",ISNUMBER(SEARCH('TRANSPORT DASHBOARD'!$C$4,INDEX(MASTER_ZONES!$B:$B,290)))),289,""),""),""))</f>
        <v/>
      </c>
      <c r="K290">
        <f>IF('MIDWEEK DASHBOARD'!$B$4="Area",IF(289&lt;=$N$3,IF(AND(OR('MIDWEEK DASHBOARD'!$C$4="",ISNUMBER(SEARCH('MIDWEEK DASHBOARD'!$C$4,INDEX(MASTER_AREAS!$B:$B,290))))),289,""),""),IF('MIDWEEK DASHBOARD'!$B$4="Zone",IF(289&lt;=$N$4,IF(OR('MIDWEEK DASHBOARD'!$C$4="",ISNUMBER(SEARCH('MIDWEEK DASHBOARD'!$C$4,INDEX(MASTER_ZONES!$B:$B,290)))),289,""),""),""))</f>
        <v/>
      </c>
      <c r="P290">
        <f>IF('CHOP DASHBOARD'!$B$4="Area",IF(289&lt;=$S$3,IF(AND(OR('CHOP DASHBOARD'!$C$4="",ISNUMBER(SEARCH('CHOP DASHBOARD'!$C$4,INDEX(MASTER_AREAS!$B:$B,290))))),289,""),""),IF('CHOP DASHBOARD'!$B$4="Zone",IF(289&lt;=$S$4,IF(OR('CHOP DASHBOARD'!$C$4="",ISNUMBER(SEARCH('CHOP DASHBOARD'!$C$4,INDEX(MASTER_ZONES!$B:$B,290)))),289,""),""),""))</f>
        <v/>
      </c>
      <c r="U290">
        <f>IF('COMMUNITY CHURCH DASHBOARD'!$B$4="Area",IF(289&lt;=$X$3,IF(AND(OR('COMMUNITY CHURCH DASHBOARD'!$C$4="",ISNUMBER(SEARCH('COMMUNITY CHURCH DASHBOARD'!$C$4,INDEX(MASTER_AREAS!$B:$B,290))))),289,""),""),IF('COMMUNITY CHURCH DASHBOARD'!$B$4="Zone",IF(289&lt;=$X$4,IF(OR('COMMUNITY CHURCH DASHBOARD'!$C$4="",ISNUMBER(SEARCH('COMMUNITY CHURCH DASHBOARD'!$C$4,INDEX(MASTER_ZONES!$B:$B,290)))),289,""),""),""))</f>
        <v/>
      </c>
    </row>
    <row r="291">
      <c r="A291">
        <f>IF('WSF DASHBOARD'!$B$4="Area",IF(290&lt;=$D$3,IF(AND(OR('WSF DASHBOARD'!$C$4="",ISNUMBER(SEARCH('WSF DASHBOARD'!$C$4,INDEX(MASTER_AREAS!$B:$B,291))))),290,""),""),IF('WSF DASHBOARD'!$B$4="Zone",IF(290&lt;=$D$4,IF(OR('WSF DASHBOARD'!$C$4="",ISNUMBER(SEARCH('WSF DASHBOARD'!$C$4,INDEX(MASTER_ZONES!$B:$B,291)))),290,""),""),""))</f>
        <v/>
      </c>
      <c r="F291">
        <f>IF('TRANSPORT DASHBOARD'!$B$4="Area",IF(290&lt;=$I$3,IF(AND(INDEX(MASTER_AREAS!$F:$F,291)&lt;&gt;"N",OR('TRANSPORT DASHBOARD'!$C$4="",ISNUMBER(SEARCH('TRANSPORT DASHBOARD'!$C$4,INDEX(MASTER_AREAS!$B:$B,291))))),290,""),""),IF('TRANSPORT DASHBOARD'!$B$4="Zone",IF(290&lt;=$I$4,IF(OR('TRANSPORT DASHBOARD'!$C$4="",ISNUMBER(SEARCH('TRANSPORT DASHBOARD'!$C$4,INDEX(MASTER_ZONES!$B:$B,291)))),290,""),""),""))</f>
        <v/>
      </c>
      <c r="K291">
        <f>IF('MIDWEEK DASHBOARD'!$B$4="Area",IF(290&lt;=$N$3,IF(AND(OR('MIDWEEK DASHBOARD'!$C$4="",ISNUMBER(SEARCH('MIDWEEK DASHBOARD'!$C$4,INDEX(MASTER_AREAS!$B:$B,291))))),290,""),""),IF('MIDWEEK DASHBOARD'!$B$4="Zone",IF(290&lt;=$N$4,IF(OR('MIDWEEK DASHBOARD'!$C$4="",ISNUMBER(SEARCH('MIDWEEK DASHBOARD'!$C$4,INDEX(MASTER_ZONES!$B:$B,291)))),290,""),""),""))</f>
        <v/>
      </c>
      <c r="P291">
        <f>IF('CHOP DASHBOARD'!$B$4="Area",IF(290&lt;=$S$3,IF(AND(OR('CHOP DASHBOARD'!$C$4="",ISNUMBER(SEARCH('CHOP DASHBOARD'!$C$4,INDEX(MASTER_AREAS!$B:$B,291))))),290,""),""),IF('CHOP DASHBOARD'!$B$4="Zone",IF(290&lt;=$S$4,IF(OR('CHOP DASHBOARD'!$C$4="",ISNUMBER(SEARCH('CHOP DASHBOARD'!$C$4,INDEX(MASTER_ZONES!$B:$B,291)))),290,""),""),""))</f>
        <v/>
      </c>
      <c r="U291">
        <f>IF('COMMUNITY CHURCH DASHBOARD'!$B$4="Area",IF(290&lt;=$X$3,IF(AND(OR('COMMUNITY CHURCH DASHBOARD'!$C$4="",ISNUMBER(SEARCH('COMMUNITY CHURCH DASHBOARD'!$C$4,INDEX(MASTER_AREAS!$B:$B,291))))),290,""),""),IF('COMMUNITY CHURCH DASHBOARD'!$B$4="Zone",IF(290&lt;=$X$4,IF(OR('COMMUNITY CHURCH DASHBOARD'!$C$4="",ISNUMBER(SEARCH('COMMUNITY CHURCH DASHBOARD'!$C$4,INDEX(MASTER_ZONES!$B:$B,291)))),290,""),""),""))</f>
        <v/>
      </c>
    </row>
    <row r="292">
      <c r="A292">
        <f>IF('WSF DASHBOARD'!$B$4="Area",IF(291&lt;=$D$3,IF(AND(OR('WSF DASHBOARD'!$C$4="",ISNUMBER(SEARCH('WSF DASHBOARD'!$C$4,INDEX(MASTER_AREAS!$B:$B,292))))),291,""),""),IF('WSF DASHBOARD'!$B$4="Zone",IF(291&lt;=$D$4,IF(OR('WSF DASHBOARD'!$C$4="",ISNUMBER(SEARCH('WSF DASHBOARD'!$C$4,INDEX(MASTER_ZONES!$B:$B,292)))),291,""),""),""))</f>
        <v/>
      </c>
      <c r="F292">
        <f>IF('TRANSPORT DASHBOARD'!$B$4="Area",IF(291&lt;=$I$3,IF(AND(INDEX(MASTER_AREAS!$F:$F,292)&lt;&gt;"N",OR('TRANSPORT DASHBOARD'!$C$4="",ISNUMBER(SEARCH('TRANSPORT DASHBOARD'!$C$4,INDEX(MASTER_AREAS!$B:$B,292))))),291,""),""),IF('TRANSPORT DASHBOARD'!$B$4="Zone",IF(291&lt;=$I$4,IF(OR('TRANSPORT DASHBOARD'!$C$4="",ISNUMBER(SEARCH('TRANSPORT DASHBOARD'!$C$4,INDEX(MASTER_ZONES!$B:$B,292)))),291,""),""),""))</f>
        <v/>
      </c>
      <c r="K292">
        <f>IF('MIDWEEK DASHBOARD'!$B$4="Area",IF(291&lt;=$N$3,IF(AND(OR('MIDWEEK DASHBOARD'!$C$4="",ISNUMBER(SEARCH('MIDWEEK DASHBOARD'!$C$4,INDEX(MASTER_AREAS!$B:$B,292))))),291,""),""),IF('MIDWEEK DASHBOARD'!$B$4="Zone",IF(291&lt;=$N$4,IF(OR('MIDWEEK DASHBOARD'!$C$4="",ISNUMBER(SEARCH('MIDWEEK DASHBOARD'!$C$4,INDEX(MASTER_ZONES!$B:$B,292)))),291,""),""),""))</f>
        <v/>
      </c>
      <c r="P292">
        <f>IF('CHOP DASHBOARD'!$B$4="Area",IF(291&lt;=$S$3,IF(AND(OR('CHOP DASHBOARD'!$C$4="",ISNUMBER(SEARCH('CHOP DASHBOARD'!$C$4,INDEX(MASTER_AREAS!$B:$B,292))))),291,""),""),IF('CHOP DASHBOARD'!$B$4="Zone",IF(291&lt;=$S$4,IF(OR('CHOP DASHBOARD'!$C$4="",ISNUMBER(SEARCH('CHOP DASHBOARD'!$C$4,INDEX(MASTER_ZONES!$B:$B,292)))),291,""),""),""))</f>
        <v/>
      </c>
      <c r="U292">
        <f>IF('COMMUNITY CHURCH DASHBOARD'!$B$4="Area",IF(291&lt;=$X$3,IF(AND(OR('COMMUNITY CHURCH DASHBOARD'!$C$4="",ISNUMBER(SEARCH('COMMUNITY CHURCH DASHBOARD'!$C$4,INDEX(MASTER_AREAS!$B:$B,292))))),291,""),""),IF('COMMUNITY CHURCH DASHBOARD'!$B$4="Zone",IF(291&lt;=$X$4,IF(OR('COMMUNITY CHURCH DASHBOARD'!$C$4="",ISNUMBER(SEARCH('COMMUNITY CHURCH DASHBOARD'!$C$4,INDEX(MASTER_ZONES!$B:$B,292)))),291,""),""),""))</f>
        <v/>
      </c>
    </row>
    <row r="293">
      <c r="A293">
        <f>IF('WSF DASHBOARD'!$B$4="Area",IF(292&lt;=$D$3,IF(AND(OR('WSF DASHBOARD'!$C$4="",ISNUMBER(SEARCH('WSF DASHBOARD'!$C$4,INDEX(MASTER_AREAS!$B:$B,293))))),292,""),""),IF('WSF DASHBOARD'!$B$4="Zone",IF(292&lt;=$D$4,IF(OR('WSF DASHBOARD'!$C$4="",ISNUMBER(SEARCH('WSF DASHBOARD'!$C$4,INDEX(MASTER_ZONES!$B:$B,293)))),292,""),""),""))</f>
        <v/>
      </c>
      <c r="F293">
        <f>IF('TRANSPORT DASHBOARD'!$B$4="Area",IF(292&lt;=$I$3,IF(AND(INDEX(MASTER_AREAS!$F:$F,293)&lt;&gt;"N",OR('TRANSPORT DASHBOARD'!$C$4="",ISNUMBER(SEARCH('TRANSPORT DASHBOARD'!$C$4,INDEX(MASTER_AREAS!$B:$B,293))))),292,""),""),IF('TRANSPORT DASHBOARD'!$B$4="Zone",IF(292&lt;=$I$4,IF(OR('TRANSPORT DASHBOARD'!$C$4="",ISNUMBER(SEARCH('TRANSPORT DASHBOARD'!$C$4,INDEX(MASTER_ZONES!$B:$B,293)))),292,""),""),""))</f>
        <v/>
      </c>
      <c r="K293">
        <f>IF('MIDWEEK DASHBOARD'!$B$4="Area",IF(292&lt;=$N$3,IF(AND(OR('MIDWEEK DASHBOARD'!$C$4="",ISNUMBER(SEARCH('MIDWEEK DASHBOARD'!$C$4,INDEX(MASTER_AREAS!$B:$B,293))))),292,""),""),IF('MIDWEEK DASHBOARD'!$B$4="Zone",IF(292&lt;=$N$4,IF(OR('MIDWEEK DASHBOARD'!$C$4="",ISNUMBER(SEARCH('MIDWEEK DASHBOARD'!$C$4,INDEX(MASTER_ZONES!$B:$B,293)))),292,""),""),""))</f>
        <v/>
      </c>
      <c r="P293">
        <f>IF('CHOP DASHBOARD'!$B$4="Area",IF(292&lt;=$S$3,IF(AND(OR('CHOP DASHBOARD'!$C$4="",ISNUMBER(SEARCH('CHOP DASHBOARD'!$C$4,INDEX(MASTER_AREAS!$B:$B,293))))),292,""),""),IF('CHOP DASHBOARD'!$B$4="Zone",IF(292&lt;=$S$4,IF(OR('CHOP DASHBOARD'!$C$4="",ISNUMBER(SEARCH('CHOP DASHBOARD'!$C$4,INDEX(MASTER_ZONES!$B:$B,293)))),292,""),""),""))</f>
        <v/>
      </c>
      <c r="U293">
        <f>IF('COMMUNITY CHURCH DASHBOARD'!$B$4="Area",IF(292&lt;=$X$3,IF(AND(OR('COMMUNITY CHURCH DASHBOARD'!$C$4="",ISNUMBER(SEARCH('COMMUNITY CHURCH DASHBOARD'!$C$4,INDEX(MASTER_AREAS!$B:$B,293))))),292,""),""),IF('COMMUNITY CHURCH DASHBOARD'!$B$4="Zone",IF(292&lt;=$X$4,IF(OR('COMMUNITY CHURCH DASHBOARD'!$C$4="",ISNUMBER(SEARCH('COMMUNITY CHURCH DASHBOARD'!$C$4,INDEX(MASTER_ZONES!$B:$B,293)))),292,""),""),""))</f>
        <v/>
      </c>
    </row>
    <row r="294">
      <c r="A294">
        <f>IF('WSF DASHBOARD'!$B$4="Area",IF(293&lt;=$D$3,IF(AND(OR('WSF DASHBOARD'!$C$4="",ISNUMBER(SEARCH('WSF DASHBOARD'!$C$4,INDEX(MASTER_AREAS!$B:$B,294))))),293,""),""),IF('WSF DASHBOARD'!$B$4="Zone",IF(293&lt;=$D$4,IF(OR('WSF DASHBOARD'!$C$4="",ISNUMBER(SEARCH('WSF DASHBOARD'!$C$4,INDEX(MASTER_ZONES!$B:$B,294)))),293,""),""),""))</f>
        <v/>
      </c>
      <c r="F294">
        <f>IF('TRANSPORT DASHBOARD'!$B$4="Area",IF(293&lt;=$I$3,IF(AND(INDEX(MASTER_AREAS!$F:$F,294)&lt;&gt;"N",OR('TRANSPORT DASHBOARD'!$C$4="",ISNUMBER(SEARCH('TRANSPORT DASHBOARD'!$C$4,INDEX(MASTER_AREAS!$B:$B,294))))),293,""),""),IF('TRANSPORT DASHBOARD'!$B$4="Zone",IF(293&lt;=$I$4,IF(OR('TRANSPORT DASHBOARD'!$C$4="",ISNUMBER(SEARCH('TRANSPORT DASHBOARD'!$C$4,INDEX(MASTER_ZONES!$B:$B,294)))),293,""),""),""))</f>
        <v/>
      </c>
      <c r="K294">
        <f>IF('MIDWEEK DASHBOARD'!$B$4="Area",IF(293&lt;=$N$3,IF(AND(OR('MIDWEEK DASHBOARD'!$C$4="",ISNUMBER(SEARCH('MIDWEEK DASHBOARD'!$C$4,INDEX(MASTER_AREAS!$B:$B,294))))),293,""),""),IF('MIDWEEK DASHBOARD'!$B$4="Zone",IF(293&lt;=$N$4,IF(OR('MIDWEEK DASHBOARD'!$C$4="",ISNUMBER(SEARCH('MIDWEEK DASHBOARD'!$C$4,INDEX(MASTER_ZONES!$B:$B,294)))),293,""),""),""))</f>
        <v/>
      </c>
      <c r="P294">
        <f>IF('CHOP DASHBOARD'!$B$4="Area",IF(293&lt;=$S$3,IF(AND(OR('CHOP DASHBOARD'!$C$4="",ISNUMBER(SEARCH('CHOP DASHBOARD'!$C$4,INDEX(MASTER_AREAS!$B:$B,294))))),293,""),""),IF('CHOP DASHBOARD'!$B$4="Zone",IF(293&lt;=$S$4,IF(OR('CHOP DASHBOARD'!$C$4="",ISNUMBER(SEARCH('CHOP DASHBOARD'!$C$4,INDEX(MASTER_ZONES!$B:$B,294)))),293,""),""),""))</f>
        <v/>
      </c>
      <c r="U294">
        <f>IF('COMMUNITY CHURCH DASHBOARD'!$B$4="Area",IF(293&lt;=$X$3,IF(AND(OR('COMMUNITY CHURCH DASHBOARD'!$C$4="",ISNUMBER(SEARCH('COMMUNITY CHURCH DASHBOARD'!$C$4,INDEX(MASTER_AREAS!$B:$B,294))))),293,""),""),IF('COMMUNITY CHURCH DASHBOARD'!$B$4="Zone",IF(293&lt;=$X$4,IF(OR('COMMUNITY CHURCH DASHBOARD'!$C$4="",ISNUMBER(SEARCH('COMMUNITY CHURCH DASHBOARD'!$C$4,INDEX(MASTER_ZONES!$B:$B,294)))),293,""),""),""))</f>
        <v/>
      </c>
    </row>
    <row r="295">
      <c r="A295">
        <f>IF('WSF DASHBOARD'!$B$4="Area",IF(294&lt;=$D$3,IF(AND(OR('WSF DASHBOARD'!$C$4="",ISNUMBER(SEARCH('WSF DASHBOARD'!$C$4,INDEX(MASTER_AREAS!$B:$B,295))))),294,""),""),IF('WSF DASHBOARD'!$B$4="Zone",IF(294&lt;=$D$4,IF(OR('WSF DASHBOARD'!$C$4="",ISNUMBER(SEARCH('WSF DASHBOARD'!$C$4,INDEX(MASTER_ZONES!$B:$B,295)))),294,""),""),""))</f>
        <v/>
      </c>
      <c r="F295">
        <f>IF('TRANSPORT DASHBOARD'!$B$4="Area",IF(294&lt;=$I$3,IF(AND(INDEX(MASTER_AREAS!$F:$F,295)&lt;&gt;"N",OR('TRANSPORT DASHBOARD'!$C$4="",ISNUMBER(SEARCH('TRANSPORT DASHBOARD'!$C$4,INDEX(MASTER_AREAS!$B:$B,295))))),294,""),""),IF('TRANSPORT DASHBOARD'!$B$4="Zone",IF(294&lt;=$I$4,IF(OR('TRANSPORT DASHBOARD'!$C$4="",ISNUMBER(SEARCH('TRANSPORT DASHBOARD'!$C$4,INDEX(MASTER_ZONES!$B:$B,295)))),294,""),""),""))</f>
        <v/>
      </c>
      <c r="K295">
        <f>IF('MIDWEEK DASHBOARD'!$B$4="Area",IF(294&lt;=$N$3,IF(AND(OR('MIDWEEK DASHBOARD'!$C$4="",ISNUMBER(SEARCH('MIDWEEK DASHBOARD'!$C$4,INDEX(MASTER_AREAS!$B:$B,295))))),294,""),""),IF('MIDWEEK DASHBOARD'!$B$4="Zone",IF(294&lt;=$N$4,IF(OR('MIDWEEK DASHBOARD'!$C$4="",ISNUMBER(SEARCH('MIDWEEK DASHBOARD'!$C$4,INDEX(MASTER_ZONES!$B:$B,295)))),294,""),""),""))</f>
        <v/>
      </c>
      <c r="P295">
        <f>IF('CHOP DASHBOARD'!$B$4="Area",IF(294&lt;=$S$3,IF(AND(OR('CHOP DASHBOARD'!$C$4="",ISNUMBER(SEARCH('CHOP DASHBOARD'!$C$4,INDEX(MASTER_AREAS!$B:$B,295))))),294,""),""),IF('CHOP DASHBOARD'!$B$4="Zone",IF(294&lt;=$S$4,IF(OR('CHOP DASHBOARD'!$C$4="",ISNUMBER(SEARCH('CHOP DASHBOARD'!$C$4,INDEX(MASTER_ZONES!$B:$B,295)))),294,""),""),""))</f>
        <v/>
      </c>
      <c r="U295">
        <f>IF('COMMUNITY CHURCH DASHBOARD'!$B$4="Area",IF(294&lt;=$X$3,IF(AND(OR('COMMUNITY CHURCH DASHBOARD'!$C$4="",ISNUMBER(SEARCH('COMMUNITY CHURCH DASHBOARD'!$C$4,INDEX(MASTER_AREAS!$B:$B,295))))),294,""),""),IF('COMMUNITY CHURCH DASHBOARD'!$B$4="Zone",IF(294&lt;=$X$4,IF(OR('COMMUNITY CHURCH DASHBOARD'!$C$4="",ISNUMBER(SEARCH('COMMUNITY CHURCH DASHBOARD'!$C$4,INDEX(MASTER_ZONES!$B:$B,295)))),294,""),""),""))</f>
        <v/>
      </c>
    </row>
    <row r="296">
      <c r="A296">
        <f>IF('WSF DASHBOARD'!$B$4="Area",IF(295&lt;=$D$3,IF(AND(OR('WSF DASHBOARD'!$C$4="",ISNUMBER(SEARCH('WSF DASHBOARD'!$C$4,INDEX(MASTER_AREAS!$B:$B,296))))),295,""),""),IF('WSF DASHBOARD'!$B$4="Zone",IF(295&lt;=$D$4,IF(OR('WSF DASHBOARD'!$C$4="",ISNUMBER(SEARCH('WSF DASHBOARD'!$C$4,INDEX(MASTER_ZONES!$B:$B,296)))),295,""),""),""))</f>
        <v/>
      </c>
      <c r="F296">
        <f>IF('TRANSPORT DASHBOARD'!$B$4="Area",IF(295&lt;=$I$3,IF(AND(INDEX(MASTER_AREAS!$F:$F,296)&lt;&gt;"N",OR('TRANSPORT DASHBOARD'!$C$4="",ISNUMBER(SEARCH('TRANSPORT DASHBOARD'!$C$4,INDEX(MASTER_AREAS!$B:$B,296))))),295,""),""),IF('TRANSPORT DASHBOARD'!$B$4="Zone",IF(295&lt;=$I$4,IF(OR('TRANSPORT DASHBOARD'!$C$4="",ISNUMBER(SEARCH('TRANSPORT DASHBOARD'!$C$4,INDEX(MASTER_ZONES!$B:$B,296)))),295,""),""),""))</f>
        <v/>
      </c>
      <c r="K296">
        <f>IF('MIDWEEK DASHBOARD'!$B$4="Area",IF(295&lt;=$N$3,IF(AND(OR('MIDWEEK DASHBOARD'!$C$4="",ISNUMBER(SEARCH('MIDWEEK DASHBOARD'!$C$4,INDEX(MASTER_AREAS!$B:$B,296))))),295,""),""),IF('MIDWEEK DASHBOARD'!$B$4="Zone",IF(295&lt;=$N$4,IF(OR('MIDWEEK DASHBOARD'!$C$4="",ISNUMBER(SEARCH('MIDWEEK DASHBOARD'!$C$4,INDEX(MASTER_ZONES!$B:$B,296)))),295,""),""),""))</f>
        <v/>
      </c>
      <c r="P296">
        <f>IF('CHOP DASHBOARD'!$B$4="Area",IF(295&lt;=$S$3,IF(AND(OR('CHOP DASHBOARD'!$C$4="",ISNUMBER(SEARCH('CHOP DASHBOARD'!$C$4,INDEX(MASTER_AREAS!$B:$B,296))))),295,""),""),IF('CHOP DASHBOARD'!$B$4="Zone",IF(295&lt;=$S$4,IF(OR('CHOP DASHBOARD'!$C$4="",ISNUMBER(SEARCH('CHOP DASHBOARD'!$C$4,INDEX(MASTER_ZONES!$B:$B,296)))),295,""),""),""))</f>
        <v/>
      </c>
      <c r="U296">
        <f>IF('COMMUNITY CHURCH DASHBOARD'!$B$4="Area",IF(295&lt;=$X$3,IF(AND(OR('COMMUNITY CHURCH DASHBOARD'!$C$4="",ISNUMBER(SEARCH('COMMUNITY CHURCH DASHBOARD'!$C$4,INDEX(MASTER_AREAS!$B:$B,296))))),295,""),""),IF('COMMUNITY CHURCH DASHBOARD'!$B$4="Zone",IF(295&lt;=$X$4,IF(OR('COMMUNITY CHURCH DASHBOARD'!$C$4="",ISNUMBER(SEARCH('COMMUNITY CHURCH DASHBOARD'!$C$4,INDEX(MASTER_ZONES!$B:$B,296)))),295,""),""),""))</f>
        <v/>
      </c>
    </row>
    <row r="297">
      <c r="A297">
        <f>IF('WSF DASHBOARD'!$B$4="Area",IF(296&lt;=$D$3,IF(AND(OR('WSF DASHBOARD'!$C$4="",ISNUMBER(SEARCH('WSF DASHBOARD'!$C$4,INDEX(MASTER_AREAS!$B:$B,297))))),296,""),""),IF('WSF DASHBOARD'!$B$4="Zone",IF(296&lt;=$D$4,IF(OR('WSF DASHBOARD'!$C$4="",ISNUMBER(SEARCH('WSF DASHBOARD'!$C$4,INDEX(MASTER_ZONES!$B:$B,297)))),296,""),""),""))</f>
        <v/>
      </c>
      <c r="F297">
        <f>IF('TRANSPORT DASHBOARD'!$B$4="Area",IF(296&lt;=$I$3,IF(AND(INDEX(MASTER_AREAS!$F:$F,297)&lt;&gt;"N",OR('TRANSPORT DASHBOARD'!$C$4="",ISNUMBER(SEARCH('TRANSPORT DASHBOARD'!$C$4,INDEX(MASTER_AREAS!$B:$B,297))))),296,""),""),IF('TRANSPORT DASHBOARD'!$B$4="Zone",IF(296&lt;=$I$4,IF(OR('TRANSPORT DASHBOARD'!$C$4="",ISNUMBER(SEARCH('TRANSPORT DASHBOARD'!$C$4,INDEX(MASTER_ZONES!$B:$B,297)))),296,""),""),""))</f>
        <v/>
      </c>
      <c r="K297">
        <f>IF('MIDWEEK DASHBOARD'!$B$4="Area",IF(296&lt;=$N$3,IF(AND(OR('MIDWEEK DASHBOARD'!$C$4="",ISNUMBER(SEARCH('MIDWEEK DASHBOARD'!$C$4,INDEX(MASTER_AREAS!$B:$B,297))))),296,""),""),IF('MIDWEEK DASHBOARD'!$B$4="Zone",IF(296&lt;=$N$4,IF(OR('MIDWEEK DASHBOARD'!$C$4="",ISNUMBER(SEARCH('MIDWEEK DASHBOARD'!$C$4,INDEX(MASTER_ZONES!$B:$B,297)))),296,""),""),""))</f>
        <v/>
      </c>
      <c r="P297">
        <f>IF('CHOP DASHBOARD'!$B$4="Area",IF(296&lt;=$S$3,IF(AND(OR('CHOP DASHBOARD'!$C$4="",ISNUMBER(SEARCH('CHOP DASHBOARD'!$C$4,INDEX(MASTER_AREAS!$B:$B,297))))),296,""),""),IF('CHOP DASHBOARD'!$B$4="Zone",IF(296&lt;=$S$4,IF(OR('CHOP DASHBOARD'!$C$4="",ISNUMBER(SEARCH('CHOP DASHBOARD'!$C$4,INDEX(MASTER_ZONES!$B:$B,297)))),296,""),""),""))</f>
        <v/>
      </c>
      <c r="U297">
        <f>IF('COMMUNITY CHURCH DASHBOARD'!$B$4="Area",IF(296&lt;=$X$3,IF(AND(OR('COMMUNITY CHURCH DASHBOARD'!$C$4="",ISNUMBER(SEARCH('COMMUNITY CHURCH DASHBOARD'!$C$4,INDEX(MASTER_AREAS!$B:$B,297))))),296,""),""),IF('COMMUNITY CHURCH DASHBOARD'!$B$4="Zone",IF(296&lt;=$X$4,IF(OR('COMMUNITY CHURCH DASHBOARD'!$C$4="",ISNUMBER(SEARCH('COMMUNITY CHURCH DASHBOARD'!$C$4,INDEX(MASTER_ZONES!$B:$B,297)))),296,""),""),""))</f>
        <v/>
      </c>
    </row>
    <row r="298">
      <c r="A298">
        <f>IF('WSF DASHBOARD'!$B$4="Area",IF(297&lt;=$D$3,IF(AND(OR('WSF DASHBOARD'!$C$4="",ISNUMBER(SEARCH('WSF DASHBOARD'!$C$4,INDEX(MASTER_AREAS!$B:$B,298))))),297,""),""),IF('WSF DASHBOARD'!$B$4="Zone",IF(297&lt;=$D$4,IF(OR('WSF DASHBOARD'!$C$4="",ISNUMBER(SEARCH('WSF DASHBOARD'!$C$4,INDEX(MASTER_ZONES!$B:$B,298)))),297,""),""),""))</f>
        <v/>
      </c>
      <c r="F298">
        <f>IF('TRANSPORT DASHBOARD'!$B$4="Area",IF(297&lt;=$I$3,IF(AND(INDEX(MASTER_AREAS!$F:$F,298)&lt;&gt;"N",OR('TRANSPORT DASHBOARD'!$C$4="",ISNUMBER(SEARCH('TRANSPORT DASHBOARD'!$C$4,INDEX(MASTER_AREAS!$B:$B,298))))),297,""),""),IF('TRANSPORT DASHBOARD'!$B$4="Zone",IF(297&lt;=$I$4,IF(OR('TRANSPORT DASHBOARD'!$C$4="",ISNUMBER(SEARCH('TRANSPORT DASHBOARD'!$C$4,INDEX(MASTER_ZONES!$B:$B,298)))),297,""),""),""))</f>
        <v/>
      </c>
      <c r="K298">
        <f>IF('MIDWEEK DASHBOARD'!$B$4="Area",IF(297&lt;=$N$3,IF(AND(OR('MIDWEEK DASHBOARD'!$C$4="",ISNUMBER(SEARCH('MIDWEEK DASHBOARD'!$C$4,INDEX(MASTER_AREAS!$B:$B,298))))),297,""),""),IF('MIDWEEK DASHBOARD'!$B$4="Zone",IF(297&lt;=$N$4,IF(OR('MIDWEEK DASHBOARD'!$C$4="",ISNUMBER(SEARCH('MIDWEEK DASHBOARD'!$C$4,INDEX(MASTER_ZONES!$B:$B,298)))),297,""),""),""))</f>
        <v/>
      </c>
      <c r="P298">
        <f>IF('CHOP DASHBOARD'!$B$4="Area",IF(297&lt;=$S$3,IF(AND(OR('CHOP DASHBOARD'!$C$4="",ISNUMBER(SEARCH('CHOP DASHBOARD'!$C$4,INDEX(MASTER_AREAS!$B:$B,298))))),297,""),""),IF('CHOP DASHBOARD'!$B$4="Zone",IF(297&lt;=$S$4,IF(OR('CHOP DASHBOARD'!$C$4="",ISNUMBER(SEARCH('CHOP DASHBOARD'!$C$4,INDEX(MASTER_ZONES!$B:$B,298)))),297,""),""),""))</f>
        <v/>
      </c>
      <c r="U298">
        <f>IF('COMMUNITY CHURCH DASHBOARD'!$B$4="Area",IF(297&lt;=$X$3,IF(AND(OR('COMMUNITY CHURCH DASHBOARD'!$C$4="",ISNUMBER(SEARCH('COMMUNITY CHURCH DASHBOARD'!$C$4,INDEX(MASTER_AREAS!$B:$B,298))))),297,""),""),IF('COMMUNITY CHURCH DASHBOARD'!$B$4="Zone",IF(297&lt;=$X$4,IF(OR('COMMUNITY CHURCH DASHBOARD'!$C$4="",ISNUMBER(SEARCH('COMMUNITY CHURCH DASHBOARD'!$C$4,INDEX(MASTER_ZONES!$B:$B,298)))),297,""),""),""))</f>
        <v/>
      </c>
    </row>
    <row r="299">
      <c r="A299">
        <f>IF('WSF DASHBOARD'!$B$4="Area",IF(298&lt;=$D$3,IF(AND(OR('WSF DASHBOARD'!$C$4="",ISNUMBER(SEARCH('WSF DASHBOARD'!$C$4,INDEX(MASTER_AREAS!$B:$B,299))))),298,""),""),IF('WSF DASHBOARD'!$B$4="Zone",IF(298&lt;=$D$4,IF(OR('WSF DASHBOARD'!$C$4="",ISNUMBER(SEARCH('WSF DASHBOARD'!$C$4,INDEX(MASTER_ZONES!$B:$B,299)))),298,""),""),""))</f>
        <v/>
      </c>
      <c r="F299">
        <f>IF('TRANSPORT DASHBOARD'!$B$4="Area",IF(298&lt;=$I$3,IF(AND(INDEX(MASTER_AREAS!$F:$F,299)&lt;&gt;"N",OR('TRANSPORT DASHBOARD'!$C$4="",ISNUMBER(SEARCH('TRANSPORT DASHBOARD'!$C$4,INDEX(MASTER_AREAS!$B:$B,299))))),298,""),""),IF('TRANSPORT DASHBOARD'!$B$4="Zone",IF(298&lt;=$I$4,IF(OR('TRANSPORT DASHBOARD'!$C$4="",ISNUMBER(SEARCH('TRANSPORT DASHBOARD'!$C$4,INDEX(MASTER_ZONES!$B:$B,299)))),298,""),""),""))</f>
        <v/>
      </c>
      <c r="K299">
        <f>IF('MIDWEEK DASHBOARD'!$B$4="Area",IF(298&lt;=$N$3,IF(AND(OR('MIDWEEK DASHBOARD'!$C$4="",ISNUMBER(SEARCH('MIDWEEK DASHBOARD'!$C$4,INDEX(MASTER_AREAS!$B:$B,299))))),298,""),""),IF('MIDWEEK DASHBOARD'!$B$4="Zone",IF(298&lt;=$N$4,IF(OR('MIDWEEK DASHBOARD'!$C$4="",ISNUMBER(SEARCH('MIDWEEK DASHBOARD'!$C$4,INDEX(MASTER_ZONES!$B:$B,299)))),298,""),""),""))</f>
        <v/>
      </c>
      <c r="P299">
        <f>IF('CHOP DASHBOARD'!$B$4="Area",IF(298&lt;=$S$3,IF(AND(OR('CHOP DASHBOARD'!$C$4="",ISNUMBER(SEARCH('CHOP DASHBOARD'!$C$4,INDEX(MASTER_AREAS!$B:$B,299))))),298,""),""),IF('CHOP DASHBOARD'!$B$4="Zone",IF(298&lt;=$S$4,IF(OR('CHOP DASHBOARD'!$C$4="",ISNUMBER(SEARCH('CHOP DASHBOARD'!$C$4,INDEX(MASTER_ZONES!$B:$B,299)))),298,""),""),""))</f>
        <v/>
      </c>
      <c r="U299">
        <f>IF('COMMUNITY CHURCH DASHBOARD'!$B$4="Area",IF(298&lt;=$X$3,IF(AND(OR('COMMUNITY CHURCH DASHBOARD'!$C$4="",ISNUMBER(SEARCH('COMMUNITY CHURCH DASHBOARD'!$C$4,INDEX(MASTER_AREAS!$B:$B,299))))),298,""),""),IF('COMMUNITY CHURCH DASHBOARD'!$B$4="Zone",IF(298&lt;=$X$4,IF(OR('COMMUNITY CHURCH DASHBOARD'!$C$4="",ISNUMBER(SEARCH('COMMUNITY CHURCH DASHBOARD'!$C$4,INDEX(MASTER_ZONES!$B:$B,299)))),298,""),""),""))</f>
        <v/>
      </c>
    </row>
    <row r="300">
      <c r="A300">
        <f>IF('WSF DASHBOARD'!$B$4="Area",IF(299&lt;=$D$3,IF(AND(OR('WSF DASHBOARD'!$C$4="",ISNUMBER(SEARCH('WSF DASHBOARD'!$C$4,INDEX(MASTER_AREAS!$B:$B,300))))),299,""),""),IF('WSF DASHBOARD'!$B$4="Zone",IF(299&lt;=$D$4,IF(OR('WSF DASHBOARD'!$C$4="",ISNUMBER(SEARCH('WSF DASHBOARD'!$C$4,INDEX(MASTER_ZONES!$B:$B,300)))),299,""),""),""))</f>
        <v/>
      </c>
      <c r="F300">
        <f>IF('TRANSPORT DASHBOARD'!$B$4="Area",IF(299&lt;=$I$3,IF(AND(INDEX(MASTER_AREAS!$F:$F,300)&lt;&gt;"N",OR('TRANSPORT DASHBOARD'!$C$4="",ISNUMBER(SEARCH('TRANSPORT DASHBOARD'!$C$4,INDEX(MASTER_AREAS!$B:$B,300))))),299,""),""),IF('TRANSPORT DASHBOARD'!$B$4="Zone",IF(299&lt;=$I$4,IF(OR('TRANSPORT DASHBOARD'!$C$4="",ISNUMBER(SEARCH('TRANSPORT DASHBOARD'!$C$4,INDEX(MASTER_ZONES!$B:$B,300)))),299,""),""),""))</f>
        <v/>
      </c>
      <c r="K300">
        <f>IF('MIDWEEK DASHBOARD'!$B$4="Area",IF(299&lt;=$N$3,IF(AND(OR('MIDWEEK DASHBOARD'!$C$4="",ISNUMBER(SEARCH('MIDWEEK DASHBOARD'!$C$4,INDEX(MASTER_AREAS!$B:$B,300))))),299,""),""),IF('MIDWEEK DASHBOARD'!$B$4="Zone",IF(299&lt;=$N$4,IF(OR('MIDWEEK DASHBOARD'!$C$4="",ISNUMBER(SEARCH('MIDWEEK DASHBOARD'!$C$4,INDEX(MASTER_ZONES!$B:$B,300)))),299,""),""),""))</f>
        <v/>
      </c>
      <c r="P300">
        <f>IF('CHOP DASHBOARD'!$B$4="Area",IF(299&lt;=$S$3,IF(AND(OR('CHOP DASHBOARD'!$C$4="",ISNUMBER(SEARCH('CHOP DASHBOARD'!$C$4,INDEX(MASTER_AREAS!$B:$B,300))))),299,""),""),IF('CHOP DASHBOARD'!$B$4="Zone",IF(299&lt;=$S$4,IF(OR('CHOP DASHBOARD'!$C$4="",ISNUMBER(SEARCH('CHOP DASHBOARD'!$C$4,INDEX(MASTER_ZONES!$B:$B,300)))),299,""),""),""))</f>
        <v/>
      </c>
      <c r="U300">
        <f>IF('COMMUNITY CHURCH DASHBOARD'!$B$4="Area",IF(299&lt;=$X$3,IF(AND(OR('COMMUNITY CHURCH DASHBOARD'!$C$4="",ISNUMBER(SEARCH('COMMUNITY CHURCH DASHBOARD'!$C$4,INDEX(MASTER_AREAS!$B:$B,300))))),299,""),""),IF('COMMUNITY CHURCH DASHBOARD'!$B$4="Zone",IF(299&lt;=$X$4,IF(OR('COMMUNITY CHURCH DASHBOARD'!$C$4="",ISNUMBER(SEARCH('COMMUNITY CHURCH DASHBOARD'!$C$4,INDEX(MASTER_ZONES!$B:$B,300)))),299,""),""),""))</f>
        <v/>
      </c>
    </row>
    <row r="301">
      <c r="A301">
        <f>IF('WSF DASHBOARD'!$B$4="Area",IF(300&lt;=$D$3,IF(AND(OR('WSF DASHBOARD'!$C$4="",ISNUMBER(SEARCH('WSF DASHBOARD'!$C$4,INDEX(MASTER_AREAS!$B:$B,301))))),300,""),""),IF('WSF DASHBOARD'!$B$4="Zone",IF(300&lt;=$D$4,IF(OR('WSF DASHBOARD'!$C$4="",ISNUMBER(SEARCH('WSF DASHBOARD'!$C$4,INDEX(MASTER_ZONES!$B:$B,301)))),300,""),""),""))</f>
        <v/>
      </c>
      <c r="F301">
        <f>IF('TRANSPORT DASHBOARD'!$B$4="Area",IF(300&lt;=$I$3,IF(AND(INDEX(MASTER_AREAS!$F:$F,301)&lt;&gt;"N",OR('TRANSPORT DASHBOARD'!$C$4="",ISNUMBER(SEARCH('TRANSPORT DASHBOARD'!$C$4,INDEX(MASTER_AREAS!$B:$B,301))))),300,""),""),IF('TRANSPORT DASHBOARD'!$B$4="Zone",IF(300&lt;=$I$4,IF(OR('TRANSPORT DASHBOARD'!$C$4="",ISNUMBER(SEARCH('TRANSPORT DASHBOARD'!$C$4,INDEX(MASTER_ZONES!$B:$B,301)))),300,""),""),""))</f>
        <v/>
      </c>
      <c r="K301">
        <f>IF('MIDWEEK DASHBOARD'!$B$4="Area",IF(300&lt;=$N$3,IF(AND(OR('MIDWEEK DASHBOARD'!$C$4="",ISNUMBER(SEARCH('MIDWEEK DASHBOARD'!$C$4,INDEX(MASTER_AREAS!$B:$B,301))))),300,""),""),IF('MIDWEEK DASHBOARD'!$B$4="Zone",IF(300&lt;=$N$4,IF(OR('MIDWEEK DASHBOARD'!$C$4="",ISNUMBER(SEARCH('MIDWEEK DASHBOARD'!$C$4,INDEX(MASTER_ZONES!$B:$B,301)))),300,""),""),""))</f>
        <v/>
      </c>
      <c r="P301">
        <f>IF('CHOP DASHBOARD'!$B$4="Area",IF(300&lt;=$S$3,IF(AND(OR('CHOP DASHBOARD'!$C$4="",ISNUMBER(SEARCH('CHOP DASHBOARD'!$C$4,INDEX(MASTER_AREAS!$B:$B,301))))),300,""),""),IF('CHOP DASHBOARD'!$B$4="Zone",IF(300&lt;=$S$4,IF(OR('CHOP DASHBOARD'!$C$4="",ISNUMBER(SEARCH('CHOP DASHBOARD'!$C$4,INDEX(MASTER_ZONES!$B:$B,301)))),300,""),""),""))</f>
        <v/>
      </c>
      <c r="U301">
        <f>IF('COMMUNITY CHURCH DASHBOARD'!$B$4="Area",IF(300&lt;=$X$3,IF(AND(OR('COMMUNITY CHURCH DASHBOARD'!$C$4="",ISNUMBER(SEARCH('COMMUNITY CHURCH DASHBOARD'!$C$4,INDEX(MASTER_AREAS!$B:$B,301))))),300,""),""),IF('COMMUNITY CHURCH DASHBOARD'!$B$4="Zone",IF(300&lt;=$X$4,IF(OR('COMMUNITY CHURCH DASHBOARD'!$C$4="",ISNUMBER(SEARCH('COMMUNITY CHURCH DASHBOARD'!$C$4,INDEX(MASTER_ZONES!$B:$B,301)))),300,""),""),""))</f>
        <v/>
      </c>
    </row>
    <row r="302">
      <c r="A302">
        <f>IF('WSF DASHBOARD'!$B$4="Area",IF(301&lt;=$D$3,IF(AND(OR('WSF DASHBOARD'!$C$4="",ISNUMBER(SEARCH('WSF DASHBOARD'!$C$4,INDEX(MASTER_AREAS!$B:$B,302))))),301,""),""),IF('WSF DASHBOARD'!$B$4="Zone",IF(301&lt;=$D$4,IF(OR('WSF DASHBOARD'!$C$4="",ISNUMBER(SEARCH('WSF DASHBOARD'!$C$4,INDEX(MASTER_ZONES!$B:$B,302)))),301,""),""),""))</f>
        <v/>
      </c>
      <c r="F302">
        <f>IF('TRANSPORT DASHBOARD'!$B$4="Area",IF(301&lt;=$I$3,IF(AND(INDEX(MASTER_AREAS!$F:$F,302)&lt;&gt;"N",OR('TRANSPORT DASHBOARD'!$C$4="",ISNUMBER(SEARCH('TRANSPORT DASHBOARD'!$C$4,INDEX(MASTER_AREAS!$B:$B,302))))),301,""),""),IF('TRANSPORT DASHBOARD'!$B$4="Zone",IF(301&lt;=$I$4,IF(OR('TRANSPORT DASHBOARD'!$C$4="",ISNUMBER(SEARCH('TRANSPORT DASHBOARD'!$C$4,INDEX(MASTER_ZONES!$B:$B,302)))),301,""),""),""))</f>
        <v/>
      </c>
      <c r="K302">
        <f>IF('MIDWEEK DASHBOARD'!$B$4="Area",IF(301&lt;=$N$3,IF(AND(OR('MIDWEEK DASHBOARD'!$C$4="",ISNUMBER(SEARCH('MIDWEEK DASHBOARD'!$C$4,INDEX(MASTER_AREAS!$B:$B,302))))),301,""),""),IF('MIDWEEK DASHBOARD'!$B$4="Zone",IF(301&lt;=$N$4,IF(OR('MIDWEEK DASHBOARD'!$C$4="",ISNUMBER(SEARCH('MIDWEEK DASHBOARD'!$C$4,INDEX(MASTER_ZONES!$B:$B,302)))),301,""),""),""))</f>
        <v/>
      </c>
      <c r="P302">
        <f>IF('CHOP DASHBOARD'!$B$4="Area",IF(301&lt;=$S$3,IF(AND(OR('CHOP DASHBOARD'!$C$4="",ISNUMBER(SEARCH('CHOP DASHBOARD'!$C$4,INDEX(MASTER_AREAS!$B:$B,302))))),301,""),""),IF('CHOP DASHBOARD'!$B$4="Zone",IF(301&lt;=$S$4,IF(OR('CHOP DASHBOARD'!$C$4="",ISNUMBER(SEARCH('CHOP DASHBOARD'!$C$4,INDEX(MASTER_ZONES!$B:$B,302)))),301,""),""),""))</f>
        <v/>
      </c>
      <c r="U302">
        <f>IF('COMMUNITY CHURCH DASHBOARD'!$B$4="Area",IF(301&lt;=$X$3,IF(AND(OR('COMMUNITY CHURCH DASHBOARD'!$C$4="",ISNUMBER(SEARCH('COMMUNITY CHURCH DASHBOARD'!$C$4,INDEX(MASTER_AREAS!$B:$B,302))))),301,""),""),IF('COMMUNITY CHURCH DASHBOARD'!$B$4="Zone",IF(301&lt;=$X$4,IF(OR('COMMUNITY CHURCH DASHBOARD'!$C$4="",ISNUMBER(SEARCH('COMMUNITY CHURCH DASHBOARD'!$C$4,INDEX(MASTER_ZONES!$B:$B,302)))),301,""),""),""))</f>
        <v/>
      </c>
    </row>
    <row r="303">
      <c r="A303">
        <f>IF('WSF DASHBOARD'!$B$4="Area",IF(302&lt;=$D$3,IF(AND(OR('WSF DASHBOARD'!$C$4="",ISNUMBER(SEARCH('WSF DASHBOARD'!$C$4,INDEX(MASTER_AREAS!$B:$B,303))))),302,""),""),IF('WSF DASHBOARD'!$B$4="Zone",IF(302&lt;=$D$4,IF(OR('WSF DASHBOARD'!$C$4="",ISNUMBER(SEARCH('WSF DASHBOARD'!$C$4,INDEX(MASTER_ZONES!$B:$B,303)))),302,""),""),""))</f>
        <v/>
      </c>
      <c r="F303">
        <f>IF('TRANSPORT DASHBOARD'!$B$4="Area",IF(302&lt;=$I$3,IF(AND(INDEX(MASTER_AREAS!$F:$F,303)&lt;&gt;"N",OR('TRANSPORT DASHBOARD'!$C$4="",ISNUMBER(SEARCH('TRANSPORT DASHBOARD'!$C$4,INDEX(MASTER_AREAS!$B:$B,303))))),302,""),""),IF('TRANSPORT DASHBOARD'!$B$4="Zone",IF(302&lt;=$I$4,IF(OR('TRANSPORT DASHBOARD'!$C$4="",ISNUMBER(SEARCH('TRANSPORT DASHBOARD'!$C$4,INDEX(MASTER_ZONES!$B:$B,303)))),302,""),""),""))</f>
        <v/>
      </c>
      <c r="K303">
        <f>IF('MIDWEEK DASHBOARD'!$B$4="Area",IF(302&lt;=$N$3,IF(AND(OR('MIDWEEK DASHBOARD'!$C$4="",ISNUMBER(SEARCH('MIDWEEK DASHBOARD'!$C$4,INDEX(MASTER_AREAS!$B:$B,303))))),302,""),""),IF('MIDWEEK DASHBOARD'!$B$4="Zone",IF(302&lt;=$N$4,IF(OR('MIDWEEK DASHBOARD'!$C$4="",ISNUMBER(SEARCH('MIDWEEK DASHBOARD'!$C$4,INDEX(MASTER_ZONES!$B:$B,303)))),302,""),""),""))</f>
        <v/>
      </c>
      <c r="P303">
        <f>IF('CHOP DASHBOARD'!$B$4="Area",IF(302&lt;=$S$3,IF(AND(OR('CHOP DASHBOARD'!$C$4="",ISNUMBER(SEARCH('CHOP DASHBOARD'!$C$4,INDEX(MASTER_AREAS!$B:$B,303))))),302,""),""),IF('CHOP DASHBOARD'!$B$4="Zone",IF(302&lt;=$S$4,IF(OR('CHOP DASHBOARD'!$C$4="",ISNUMBER(SEARCH('CHOP DASHBOARD'!$C$4,INDEX(MASTER_ZONES!$B:$B,303)))),302,""),""),""))</f>
        <v/>
      </c>
      <c r="U303">
        <f>IF('COMMUNITY CHURCH DASHBOARD'!$B$4="Area",IF(302&lt;=$X$3,IF(AND(OR('COMMUNITY CHURCH DASHBOARD'!$C$4="",ISNUMBER(SEARCH('COMMUNITY CHURCH DASHBOARD'!$C$4,INDEX(MASTER_AREAS!$B:$B,303))))),302,""),""),IF('COMMUNITY CHURCH DASHBOARD'!$B$4="Zone",IF(302&lt;=$X$4,IF(OR('COMMUNITY CHURCH DASHBOARD'!$C$4="",ISNUMBER(SEARCH('COMMUNITY CHURCH DASHBOARD'!$C$4,INDEX(MASTER_ZONES!$B:$B,303)))),302,""),""),""))</f>
        <v/>
      </c>
    </row>
    <row r="304">
      <c r="A304">
        <f>IF('WSF DASHBOARD'!$B$4="Area",IF(303&lt;=$D$3,IF(AND(OR('WSF DASHBOARD'!$C$4="",ISNUMBER(SEARCH('WSF DASHBOARD'!$C$4,INDEX(MASTER_AREAS!$B:$B,304))))),303,""),""),IF('WSF DASHBOARD'!$B$4="Zone",IF(303&lt;=$D$4,IF(OR('WSF DASHBOARD'!$C$4="",ISNUMBER(SEARCH('WSF DASHBOARD'!$C$4,INDEX(MASTER_ZONES!$B:$B,304)))),303,""),""),""))</f>
        <v/>
      </c>
      <c r="F304">
        <f>IF('TRANSPORT DASHBOARD'!$B$4="Area",IF(303&lt;=$I$3,IF(AND(INDEX(MASTER_AREAS!$F:$F,304)&lt;&gt;"N",OR('TRANSPORT DASHBOARD'!$C$4="",ISNUMBER(SEARCH('TRANSPORT DASHBOARD'!$C$4,INDEX(MASTER_AREAS!$B:$B,304))))),303,""),""),IF('TRANSPORT DASHBOARD'!$B$4="Zone",IF(303&lt;=$I$4,IF(OR('TRANSPORT DASHBOARD'!$C$4="",ISNUMBER(SEARCH('TRANSPORT DASHBOARD'!$C$4,INDEX(MASTER_ZONES!$B:$B,304)))),303,""),""),""))</f>
        <v/>
      </c>
      <c r="K304">
        <f>IF('MIDWEEK DASHBOARD'!$B$4="Area",IF(303&lt;=$N$3,IF(AND(OR('MIDWEEK DASHBOARD'!$C$4="",ISNUMBER(SEARCH('MIDWEEK DASHBOARD'!$C$4,INDEX(MASTER_AREAS!$B:$B,304))))),303,""),""),IF('MIDWEEK DASHBOARD'!$B$4="Zone",IF(303&lt;=$N$4,IF(OR('MIDWEEK DASHBOARD'!$C$4="",ISNUMBER(SEARCH('MIDWEEK DASHBOARD'!$C$4,INDEX(MASTER_ZONES!$B:$B,304)))),303,""),""),""))</f>
        <v/>
      </c>
      <c r="P304">
        <f>IF('CHOP DASHBOARD'!$B$4="Area",IF(303&lt;=$S$3,IF(AND(OR('CHOP DASHBOARD'!$C$4="",ISNUMBER(SEARCH('CHOP DASHBOARD'!$C$4,INDEX(MASTER_AREAS!$B:$B,304))))),303,""),""),IF('CHOP DASHBOARD'!$B$4="Zone",IF(303&lt;=$S$4,IF(OR('CHOP DASHBOARD'!$C$4="",ISNUMBER(SEARCH('CHOP DASHBOARD'!$C$4,INDEX(MASTER_ZONES!$B:$B,304)))),303,""),""),""))</f>
        <v/>
      </c>
      <c r="U304">
        <f>IF('COMMUNITY CHURCH DASHBOARD'!$B$4="Area",IF(303&lt;=$X$3,IF(AND(OR('COMMUNITY CHURCH DASHBOARD'!$C$4="",ISNUMBER(SEARCH('COMMUNITY CHURCH DASHBOARD'!$C$4,INDEX(MASTER_AREAS!$B:$B,304))))),303,""),""),IF('COMMUNITY CHURCH DASHBOARD'!$B$4="Zone",IF(303&lt;=$X$4,IF(OR('COMMUNITY CHURCH DASHBOARD'!$C$4="",ISNUMBER(SEARCH('COMMUNITY CHURCH DASHBOARD'!$C$4,INDEX(MASTER_ZONES!$B:$B,304)))),303,""),""),""))</f>
        <v/>
      </c>
    </row>
    <row r="305">
      <c r="A305">
        <f>IF('WSF DASHBOARD'!$B$4="Area",IF(304&lt;=$D$3,IF(AND(OR('WSF DASHBOARD'!$C$4="",ISNUMBER(SEARCH('WSF DASHBOARD'!$C$4,INDEX(MASTER_AREAS!$B:$B,305))))),304,""),""),IF('WSF DASHBOARD'!$B$4="Zone",IF(304&lt;=$D$4,IF(OR('WSF DASHBOARD'!$C$4="",ISNUMBER(SEARCH('WSF DASHBOARD'!$C$4,INDEX(MASTER_ZONES!$B:$B,305)))),304,""),""),""))</f>
        <v/>
      </c>
      <c r="F305">
        <f>IF('TRANSPORT DASHBOARD'!$B$4="Area",IF(304&lt;=$I$3,IF(AND(INDEX(MASTER_AREAS!$F:$F,305)&lt;&gt;"N",OR('TRANSPORT DASHBOARD'!$C$4="",ISNUMBER(SEARCH('TRANSPORT DASHBOARD'!$C$4,INDEX(MASTER_AREAS!$B:$B,305))))),304,""),""),IF('TRANSPORT DASHBOARD'!$B$4="Zone",IF(304&lt;=$I$4,IF(OR('TRANSPORT DASHBOARD'!$C$4="",ISNUMBER(SEARCH('TRANSPORT DASHBOARD'!$C$4,INDEX(MASTER_ZONES!$B:$B,305)))),304,""),""),""))</f>
        <v/>
      </c>
      <c r="K305">
        <f>IF('MIDWEEK DASHBOARD'!$B$4="Area",IF(304&lt;=$N$3,IF(AND(OR('MIDWEEK DASHBOARD'!$C$4="",ISNUMBER(SEARCH('MIDWEEK DASHBOARD'!$C$4,INDEX(MASTER_AREAS!$B:$B,305))))),304,""),""),IF('MIDWEEK DASHBOARD'!$B$4="Zone",IF(304&lt;=$N$4,IF(OR('MIDWEEK DASHBOARD'!$C$4="",ISNUMBER(SEARCH('MIDWEEK DASHBOARD'!$C$4,INDEX(MASTER_ZONES!$B:$B,305)))),304,""),""),""))</f>
        <v/>
      </c>
      <c r="P305">
        <f>IF('CHOP DASHBOARD'!$B$4="Area",IF(304&lt;=$S$3,IF(AND(OR('CHOP DASHBOARD'!$C$4="",ISNUMBER(SEARCH('CHOP DASHBOARD'!$C$4,INDEX(MASTER_AREAS!$B:$B,305))))),304,""),""),IF('CHOP DASHBOARD'!$B$4="Zone",IF(304&lt;=$S$4,IF(OR('CHOP DASHBOARD'!$C$4="",ISNUMBER(SEARCH('CHOP DASHBOARD'!$C$4,INDEX(MASTER_ZONES!$B:$B,305)))),304,""),""),""))</f>
        <v/>
      </c>
      <c r="U305">
        <f>IF('COMMUNITY CHURCH DASHBOARD'!$B$4="Area",IF(304&lt;=$X$3,IF(AND(OR('COMMUNITY CHURCH DASHBOARD'!$C$4="",ISNUMBER(SEARCH('COMMUNITY CHURCH DASHBOARD'!$C$4,INDEX(MASTER_AREAS!$B:$B,305))))),304,""),""),IF('COMMUNITY CHURCH DASHBOARD'!$B$4="Zone",IF(304&lt;=$X$4,IF(OR('COMMUNITY CHURCH DASHBOARD'!$C$4="",ISNUMBER(SEARCH('COMMUNITY CHURCH DASHBOARD'!$C$4,INDEX(MASTER_ZONES!$B:$B,305)))),304,""),""),""))</f>
        <v/>
      </c>
    </row>
    <row r="306">
      <c r="A306">
        <f>IF('WSF DASHBOARD'!$B$4="Area",IF(305&lt;=$D$3,IF(AND(OR('WSF DASHBOARD'!$C$4="",ISNUMBER(SEARCH('WSF DASHBOARD'!$C$4,INDEX(MASTER_AREAS!$B:$B,306))))),305,""),""),IF('WSF DASHBOARD'!$B$4="Zone",IF(305&lt;=$D$4,IF(OR('WSF DASHBOARD'!$C$4="",ISNUMBER(SEARCH('WSF DASHBOARD'!$C$4,INDEX(MASTER_ZONES!$B:$B,306)))),305,""),""),""))</f>
        <v/>
      </c>
      <c r="F306">
        <f>IF('TRANSPORT DASHBOARD'!$B$4="Area",IF(305&lt;=$I$3,IF(AND(INDEX(MASTER_AREAS!$F:$F,306)&lt;&gt;"N",OR('TRANSPORT DASHBOARD'!$C$4="",ISNUMBER(SEARCH('TRANSPORT DASHBOARD'!$C$4,INDEX(MASTER_AREAS!$B:$B,306))))),305,""),""),IF('TRANSPORT DASHBOARD'!$B$4="Zone",IF(305&lt;=$I$4,IF(OR('TRANSPORT DASHBOARD'!$C$4="",ISNUMBER(SEARCH('TRANSPORT DASHBOARD'!$C$4,INDEX(MASTER_ZONES!$B:$B,306)))),305,""),""),""))</f>
        <v/>
      </c>
      <c r="K306">
        <f>IF('MIDWEEK DASHBOARD'!$B$4="Area",IF(305&lt;=$N$3,IF(AND(OR('MIDWEEK DASHBOARD'!$C$4="",ISNUMBER(SEARCH('MIDWEEK DASHBOARD'!$C$4,INDEX(MASTER_AREAS!$B:$B,306))))),305,""),""),IF('MIDWEEK DASHBOARD'!$B$4="Zone",IF(305&lt;=$N$4,IF(OR('MIDWEEK DASHBOARD'!$C$4="",ISNUMBER(SEARCH('MIDWEEK DASHBOARD'!$C$4,INDEX(MASTER_ZONES!$B:$B,306)))),305,""),""),""))</f>
        <v/>
      </c>
      <c r="P306">
        <f>IF('CHOP DASHBOARD'!$B$4="Area",IF(305&lt;=$S$3,IF(AND(OR('CHOP DASHBOARD'!$C$4="",ISNUMBER(SEARCH('CHOP DASHBOARD'!$C$4,INDEX(MASTER_AREAS!$B:$B,306))))),305,""),""),IF('CHOP DASHBOARD'!$B$4="Zone",IF(305&lt;=$S$4,IF(OR('CHOP DASHBOARD'!$C$4="",ISNUMBER(SEARCH('CHOP DASHBOARD'!$C$4,INDEX(MASTER_ZONES!$B:$B,306)))),305,""),""),""))</f>
        <v/>
      </c>
      <c r="U306">
        <f>IF('COMMUNITY CHURCH DASHBOARD'!$B$4="Area",IF(305&lt;=$X$3,IF(AND(OR('COMMUNITY CHURCH DASHBOARD'!$C$4="",ISNUMBER(SEARCH('COMMUNITY CHURCH DASHBOARD'!$C$4,INDEX(MASTER_AREAS!$B:$B,306))))),305,""),""),IF('COMMUNITY CHURCH DASHBOARD'!$B$4="Zone",IF(305&lt;=$X$4,IF(OR('COMMUNITY CHURCH DASHBOARD'!$C$4="",ISNUMBER(SEARCH('COMMUNITY CHURCH DASHBOARD'!$C$4,INDEX(MASTER_ZONES!$B:$B,306)))),305,""),""),""))</f>
        <v/>
      </c>
    </row>
    <row r="307">
      <c r="A307">
        <f>IF('WSF DASHBOARD'!$B$4="Area",IF(306&lt;=$D$3,IF(AND(OR('WSF DASHBOARD'!$C$4="",ISNUMBER(SEARCH('WSF DASHBOARD'!$C$4,INDEX(MASTER_AREAS!$B:$B,307))))),306,""),""),IF('WSF DASHBOARD'!$B$4="Zone",IF(306&lt;=$D$4,IF(OR('WSF DASHBOARD'!$C$4="",ISNUMBER(SEARCH('WSF DASHBOARD'!$C$4,INDEX(MASTER_ZONES!$B:$B,307)))),306,""),""),""))</f>
        <v/>
      </c>
      <c r="F307">
        <f>IF('TRANSPORT DASHBOARD'!$B$4="Area",IF(306&lt;=$I$3,IF(AND(INDEX(MASTER_AREAS!$F:$F,307)&lt;&gt;"N",OR('TRANSPORT DASHBOARD'!$C$4="",ISNUMBER(SEARCH('TRANSPORT DASHBOARD'!$C$4,INDEX(MASTER_AREAS!$B:$B,307))))),306,""),""),IF('TRANSPORT DASHBOARD'!$B$4="Zone",IF(306&lt;=$I$4,IF(OR('TRANSPORT DASHBOARD'!$C$4="",ISNUMBER(SEARCH('TRANSPORT DASHBOARD'!$C$4,INDEX(MASTER_ZONES!$B:$B,307)))),306,""),""),""))</f>
        <v/>
      </c>
      <c r="K307">
        <f>IF('MIDWEEK DASHBOARD'!$B$4="Area",IF(306&lt;=$N$3,IF(AND(OR('MIDWEEK DASHBOARD'!$C$4="",ISNUMBER(SEARCH('MIDWEEK DASHBOARD'!$C$4,INDEX(MASTER_AREAS!$B:$B,307))))),306,""),""),IF('MIDWEEK DASHBOARD'!$B$4="Zone",IF(306&lt;=$N$4,IF(OR('MIDWEEK DASHBOARD'!$C$4="",ISNUMBER(SEARCH('MIDWEEK DASHBOARD'!$C$4,INDEX(MASTER_ZONES!$B:$B,307)))),306,""),""),""))</f>
        <v/>
      </c>
      <c r="P307">
        <f>IF('CHOP DASHBOARD'!$B$4="Area",IF(306&lt;=$S$3,IF(AND(OR('CHOP DASHBOARD'!$C$4="",ISNUMBER(SEARCH('CHOP DASHBOARD'!$C$4,INDEX(MASTER_AREAS!$B:$B,307))))),306,""),""),IF('CHOP DASHBOARD'!$B$4="Zone",IF(306&lt;=$S$4,IF(OR('CHOP DASHBOARD'!$C$4="",ISNUMBER(SEARCH('CHOP DASHBOARD'!$C$4,INDEX(MASTER_ZONES!$B:$B,307)))),306,""),""),""))</f>
        <v/>
      </c>
      <c r="U307">
        <f>IF('COMMUNITY CHURCH DASHBOARD'!$B$4="Area",IF(306&lt;=$X$3,IF(AND(OR('COMMUNITY CHURCH DASHBOARD'!$C$4="",ISNUMBER(SEARCH('COMMUNITY CHURCH DASHBOARD'!$C$4,INDEX(MASTER_AREAS!$B:$B,307))))),306,""),""),IF('COMMUNITY CHURCH DASHBOARD'!$B$4="Zone",IF(306&lt;=$X$4,IF(OR('COMMUNITY CHURCH DASHBOARD'!$C$4="",ISNUMBER(SEARCH('COMMUNITY CHURCH DASHBOARD'!$C$4,INDEX(MASTER_ZONES!$B:$B,307)))),306,""),""),""))</f>
        <v/>
      </c>
    </row>
    <row r="308">
      <c r="A308">
        <f>IF('WSF DASHBOARD'!$B$4="Area",IF(307&lt;=$D$3,IF(AND(OR('WSF DASHBOARD'!$C$4="",ISNUMBER(SEARCH('WSF DASHBOARD'!$C$4,INDEX(MASTER_AREAS!$B:$B,308))))),307,""),""),IF('WSF DASHBOARD'!$B$4="Zone",IF(307&lt;=$D$4,IF(OR('WSF DASHBOARD'!$C$4="",ISNUMBER(SEARCH('WSF DASHBOARD'!$C$4,INDEX(MASTER_ZONES!$B:$B,308)))),307,""),""),""))</f>
        <v/>
      </c>
      <c r="F308">
        <f>IF('TRANSPORT DASHBOARD'!$B$4="Area",IF(307&lt;=$I$3,IF(AND(INDEX(MASTER_AREAS!$F:$F,308)&lt;&gt;"N",OR('TRANSPORT DASHBOARD'!$C$4="",ISNUMBER(SEARCH('TRANSPORT DASHBOARD'!$C$4,INDEX(MASTER_AREAS!$B:$B,308))))),307,""),""),IF('TRANSPORT DASHBOARD'!$B$4="Zone",IF(307&lt;=$I$4,IF(OR('TRANSPORT DASHBOARD'!$C$4="",ISNUMBER(SEARCH('TRANSPORT DASHBOARD'!$C$4,INDEX(MASTER_ZONES!$B:$B,308)))),307,""),""),""))</f>
        <v/>
      </c>
      <c r="K308">
        <f>IF('MIDWEEK DASHBOARD'!$B$4="Area",IF(307&lt;=$N$3,IF(AND(OR('MIDWEEK DASHBOARD'!$C$4="",ISNUMBER(SEARCH('MIDWEEK DASHBOARD'!$C$4,INDEX(MASTER_AREAS!$B:$B,308))))),307,""),""),IF('MIDWEEK DASHBOARD'!$B$4="Zone",IF(307&lt;=$N$4,IF(OR('MIDWEEK DASHBOARD'!$C$4="",ISNUMBER(SEARCH('MIDWEEK DASHBOARD'!$C$4,INDEX(MASTER_ZONES!$B:$B,308)))),307,""),""),""))</f>
        <v/>
      </c>
      <c r="P308">
        <f>IF('CHOP DASHBOARD'!$B$4="Area",IF(307&lt;=$S$3,IF(AND(OR('CHOP DASHBOARD'!$C$4="",ISNUMBER(SEARCH('CHOP DASHBOARD'!$C$4,INDEX(MASTER_AREAS!$B:$B,308))))),307,""),""),IF('CHOP DASHBOARD'!$B$4="Zone",IF(307&lt;=$S$4,IF(OR('CHOP DASHBOARD'!$C$4="",ISNUMBER(SEARCH('CHOP DASHBOARD'!$C$4,INDEX(MASTER_ZONES!$B:$B,308)))),307,""),""),""))</f>
        <v/>
      </c>
      <c r="U308">
        <f>IF('COMMUNITY CHURCH DASHBOARD'!$B$4="Area",IF(307&lt;=$X$3,IF(AND(OR('COMMUNITY CHURCH DASHBOARD'!$C$4="",ISNUMBER(SEARCH('COMMUNITY CHURCH DASHBOARD'!$C$4,INDEX(MASTER_AREAS!$B:$B,308))))),307,""),""),IF('COMMUNITY CHURCH DASHBOARD'!$B$4="Zone",IF(307&lt;=$X$4,IF(OR('COMMUNITY CHURCH DASHBOARD'!$C$4="",ISNUMBER(SEARCH('COMMUNITY CHURCH DASHBOARD'!$C$4,INDEX(MASTER_ZONES!$B:$B,308)))),307,""),""),""))</f>
        <v/>
      </c>
    </row>
    <row r="309">
      <c r="A309">
        <f>IF('WSF DASHBOARD'!$B$4="Area",IF(308&lt;=$D$3,IF(AND(OR('WSF DASHBOARD'!$C$4="",ISNUMBER(SEARCH('WSF DASHBOARD'!$C$4,INDEX(MASTER_AREAS!$B:$B,309))))),308,""),""),IF('WSF DASHBOARD'!$B$4="Zone",IF(308&lt;=$D$4,IF(OR('WSF DASHBOARD'!$C$4="",ISNUMBER(SEARCH('WSF DASHBOARD'!$C$4,INDEX(MASTER_ZONES!$B:$B,309)))),308,""),""),""))</f>
        <v/>
      </c>
      <c r="F309">
        <f>IF('TRANSPORT DASHBOARD'!$B$4="Area",IF(308&lt;=$I$3,IF(AND(INDEX(MASTER_AREAS!$F:$F,309)&lt;&gt;"N",OR('TRANSPORT DASHBOARD'!$C$4="",ISNUMBER(SEARCH('TRANSPORT DASHBOARD'!$C$4,INDEX(MASTER_AREAS!$B:$B,309))))),308,""),""),IF('TRANSPORT DASHBOARD'!$B$4="Zone",IF(308&lt;=$I$4,IF(OR('TRANSPORT DASHBOARD'!$C$4="",ISNUMBER(SEARCH('TRANSPORT DASHBOARD'!$C$4,INDEX(MASTER_ZONES!$B:$B,309)))),308,""),""),""))</f>
        <v/>
      </c>
      <c r="K309">
        <f>IF('MIDWEEK DASHBOARD'!$B$4="Area",IF(308&lt;=$N$3,IF(AND(OR('MIDWEEK DASHBOARD'!$C$4="",ISNUMBER(SEARCH('MIDWEEK DASHBOARD'!$C$4,INDEX(MASTER_AREAS!$B:$B,309))))),308,""),""),IF('MIDWEEK DASHBOARD'!$B$4="Zone",IF(308&lt;=$N$4,IF(OR('MIDWEEK DASHBOARD'!$C$4="",ISNUMBER(SEARCH('MIDWEEK DASHBOARD'!$C$4,INDEX(MASTER_ZONES!$B:$B,309)))),308,""),""),""))</f>
        <v/>
      </c>
      <c r="P309">
        <f>IF('CHOP DASHBOARD'!$B$4="Area",IF(308&lt;=$S$3,IF(AND(OR('CHOP DASHBOARD'!$C$4="",ISNUMBER(SEARCH('CHOP DASHBOARD'!$C$4,INDEX(MASTER_AREAS!$B:$B,309))))),308,""),""),IF('CHOP DASHBOARD'!$B$4="Zone",IF(308&lt;=$S$4,IF(OR('CHOP DASHBOARD'!$C$4="",ISNUMBER(SEARCH('CHOP DASHBOARD'!$C$4,INDEX(MASTER_ZONES!$B:$B,309)))),308,""),""),""))</f>
        <v/>
      </c>
      <c r="U309">
        <f>IF('COMMUNITY CHURCH DASHBOARD'!$B$4="Area",IF(308&lt;=$X$3,IF(AND(OR('COMMUNITY CHURCH DASHBOARD'!$C$4="",ISNUMBER(SEARCH('COMMUNITY CHURCH DASHBOARD'!$C$4,INDEX(MASTER_AREAS!$B:$B,309))))),308,""),""),IF('COMMUNITY CHURCH DASHBOARD'!$B$4="Zone",IF(308&lt;=$X$4,IF(OR('COMMUNITY CHURCH DASHBOARD'!$C$4="",ISNUMBER(SEARCH('COMMUNITY CHURCH DASHBOARD'!$C$4,INDEX(MASTER_ZONES!$B:$B,309)))),308,""),""),""))</f>
        <v/>
      </c>
    </row>
    <row r="310">
      <c r="A310">
        <f>IF('WSF DASHBOARD'!$B$4="Area",IF(309&lt;=$D$3,IF(AND(OR('WSF DASHBOARD'!$C$4="",ISNUMBER(SEARCH('WSF DASHBOARD'!$C$4,INDEX(MASTER_AREAS!$B:$B,310))))),309,""),""),IF('WSF DASHBOARD'!$B$4="Zone",IF(309&lt;=$D$4,IF(OR('WSF DASHBOARD'!$C$4="",ISNUMBER(SEARCH('WSF DASHBOARD'!$C$4,INDEX(MASTER_ZONES!$B:$B,310)))),309,""),""),""))</f>
        <v/>
      </c>
      <c r="F310">
        <f>IF('TRANSPORT DASHBOARD'!$B$4="Area",IF(309&lt;=$I$3,IF(AND(INDEX(MASTER_AREAS!$F:$F,310)&lt;&gt;"N",OR('TRANSPORT DASHBOARD'!$C$4="",ISNUMBER(SEARCH('TRANSPORT DASHBOARD'!$C$4,INDEX(MASTER_AREAS!$B:$B,310))))),309,""),""),IF('TRANSPORT DASHBOARD'!$B$4="Zone",IF(309&lt;=$I$4,IF(OR('TRANSPORT DASHBOARD'!$C$4="",ISNUMBER(SEARCH('TRANSPORT DASHBOARD'!$C$4,INDEX(MASTER_ZONES!$B:$B,310)))),309,""),""),""))</f>
        <v/>
      </c>
      <c r="K310">
        <f>IF('MIDWEEK DASHBOARD'!$B$4="Area",IF(309&lt;=$N$3,IF(AND(OR('MIDWEEK DASHBOARD'!$C$4="",ISNUMBER(SEARCH('MIDWEEK DASHBOARD'!$C$4,INDEX(MASTER_AREAS!$B:$B,310))))),309,""),""),IF('MIDWEEK DASHBOARD'!$B$4="Zone",IF(309&lt;=$N$4,IF(OR('MIDWEEK DASHBOARD'!$C$4="",ISNUMBER(SEARCH('MIDWEEK DASHBOARD'!$C$4,INDEX(MASTER_ZONES!$B:$B,310)))),309,""),""),""))</f>
        <v/>
      </c>
      <c r="P310">
        <f>IF('CHOP DASHBOARD'!$B$4="Area",IF(309&lt;=$S$3,IF(AND(OR('CHOP DASHBOARD'!$C$4="",ISNUMBER(SEARCH('CHOP DASHBOARD'!$C$4,INDEX(MASTER_AREAS!$B:$B,310))))),309,""),""),IF('CHOP DASHBOARD'!$B$4="Zone",IF(309&lt;=$S$4,IF(OR('CHOP DASHBOARD'!$C$4="",ISNUMBER(SEARCH('CHOP DASHBOARD'!$C$4,INDEX(MASTER_ZONES!$B:$B,310)))),309,""),""),""))</f>
        <v/>
      </c>
      <c r="U310">
        <f>IF('COMMUNITY CHURCH DASHBOARD'!$B$4="Area",IF(309&lt;=$X$3,IF(AND(OR('COMMUNITY CHURCH DASHBOARD'!$C$4="",ISNUMBER(SEARCH('COMMUNITY CHURCH DASHBOARD'!$C$4,INDEX(MASTER_AREAS!$B:$B,310))))),309,""),""),IF('COMMUNITY CHURCH DASHBOARD'!$B$4="Zone",IF(309&lt;=$X$4,IF(OR('COMMUNITY CHURCH DASHBOARD'!$C$4="",ISNUMBER(SEARCH('COMMUNITY CHURCH DASHBOARD'!$C$4,INDEX(MASTER_ZONES!$B:$B,310)))),309,""),""),""))</f>
        <v/>
      </c>
    </row>
    <row r="311">
      <c r="A311">
        <f>IF('WSF DASHBOARD'!$B$4="Area",IF(310&lt;=$D$3,IF(AND(OR('WSF DASHBOARD'!$C$4="",ISNUMBER(SEARCH('WSF DASHBOARD'!$C$4,INDEX(MASTER_AREAS!$B:$B,311))))),310,""),""),IF('WSF DASHBOARD'!$B$4="Zone",IF(310&lt;=$D$4,IF(OR('WSF DASHBOARD'!$C$4="",ISNUMBER(SEARCH('WSF DASHBOARD'!$C$4,INDEX(MASTER_ZONES!$B:$B,311)))),310,""),""),""))</f>
        <v/>
      </c>
      <c r="F311">
        <f>IF('TRANSPORT DASHBOARD'!$B$4="Area",IF(310&lt;=$I$3,IF(AND(INDEX(MASTER_AREAS!$F:$F,311)&lt;&gt;"N",OR('TRANSPORT DASHBOARD'!$C$4="",ISNUMBER(SEARCH('TRANSPORT DASHBOARD'!$C$4,INDEX(MASTER_AREAS!$B:$B,311))))),310,""),""),IF('TRANSPORT DASHBOARD'!$B$4="Zone",IF(310&lt;=$I$4,IF(OR('TRANSPORT DASHBOARD'!$C$4="",ISNUMBER(SEARCH('TRANSPORT DASHBOARD'!$C$4,INDEX(MASTER_ZONES!$B:$B,311)))),310,""),""),""))</f>
        <v/>
      </c>
      <c r="K311">
        <f>IF('MIDWEEK DASHBOARD'!$B$4="Area",IF(310&lt;=$N$3,IF(AND(OR('MIDWEEK DASHBOARD'!$C$4="",ISNUMBER(SEARCH('MIDWEEK DASHBOARD'!$C$4,INDEX(MASTER_AREAS!$B:$B,311))))),310,""),""),IF('MIDWEEK DASHBOARD'!$B$4="Zone",IF(310&lt;=$N$4,IF(OR('MIDWEEK DASHBOARD'!$C$4="",ISNUMBER(SEARCH('MIDWEEK DASHBOARD'!$C$4,INDEX(MASTER_ZONES!$B:$B,311)))),310,""),""),""))</f>
        <v/>
      </c>
      <c r="P311">
        <f>IF('CHOP DASHBOARD'!$B$4="Area",IF(310&lt;=$S$3,IF(AND(OR('CHOP DASHBOARD'!$C$4="",ISNUMBER(SEARCH('CHOP DASHBOARD'!$C$4,INDEX(MASTER_AREAS!$B:$B,311))))),310,""),""),IF('CHOP DASHBOARD'!$B$4="Zone",IF(310&lt;=$S$4,IF(OR('CHOP DASHBOARD'!$C$4="",ISNUMBER(SEARCH('CHOP DASHBOARD'!$C$4,INDEX(MASTER_ZONES!$B:$B,311)))),310,""),""),""))</f>
        <v/>
      </c>
      <c r="U311">
        <f>IF('COMMUNITY CHURCH DASHBOARD'!$B$4="Area",IF(310&lt;=$X$3,IF(AND(OR('COMMUNITY CHURCH DASHBOARD'!$C$4="",ISNUMBER(SEARCH('COMMUNITY CHURCH DASHBOARD'!$C$4,INDEX(MASTER_AREAS!$B:$B,311))))),310,""),""),IF('COMMUNITY CHURCH DASHBOARD'!$B$4="Zone",IF(310&lt;=$X$4,IF(OR('COMMUNITY CHURCH DASHBOARD'!$C$4="",ISNUMBER(SEARCH('COMMUNITY CHURCH DASHBOARD'!$C$4,INDEX(MASTER_ZONES!$B:$B,311)))),310,""),""),""))</f>
        <v/>
      </c>
    </row>
    <row r="312">
      <c r="A312">
        <f>IF('WSF DASHBOARD'!$B$4="Area",IF(311&lt;=$D$3,IF(AND(OR('WSF DASHBOARD'!$C$4="",ISNUMBER(SEARCH('WSF DASHBOARD'!$C$4,INDEX(MASTER_AREAS!$B:$B,312))))),311,""),""),IF('WSF DASHBOARD'!$B$4="Zone",IF(311&lt;=$D$4,IF(OR('WSF DASHBOARD'!$C$4="",ISNUMBER(SEARCH('WSF DASHBOARD'!$C$4,INDEX(MASTER_ZONES!$B:$B,312)))),311,""),""),""))</f>
        <v/>
      </c>
      <c r="F312">
        <f>IF('TRANSPORT DASHBOARD'!$B$4="Area",IF(311&lt;=$I$3,IF(AND(INDEX(MASTER_AREAS!$F:$F,312)&lt;&gt;"N",OR('TRANSPORT DASHBOARD'!$C$4="",ISNUMBER(SEARCH('TRANSPORT DASHBOARD'!$C$4,INDEX(MASTER_AREAS!$B:$B,312))))),311,""),""),IF('TRANSPORT DASHBOARD'!$B$4="Zone",IF(311&lt;=$I$4,IF(OR('TRANSPORT DASHBOARD'!$C$4="",ISNUMBER(SEARCH('TRANSPORT DASHBOARD'!$C$4,INDEX(MASTER_ZONES!$B:$B,312)))),311,""),""),""))</f>
        <v/>
      </c>
      <c r="K312">
        <f>IF('MIDWEEK DASHBOARD'!$B$4="Area",IF(311&lt;=$N$3,IF(AND(OR('MIDWEEK DASHBOARD'!$C$4="",ISNUMBER(SEARCH('MIDWEEK DASHBOARD'!$C$4,INDEX(MASTER_AREAS!$B:$B,312))))),311,""),""),IF('MIDWEEK DASHBOARD'!$B$4="Zone",IF(311&lt;=$N$4,IF(OR('MIDWEEK DASHBOARD'!$C$4="",ISNUMBER(SEARCH('MIDWEEK DASHBOARD'!$C$4,INDEX(MASTER_ZONES!$B:$B,312)))),311,""),""),""))</f>
        <v/>
      </c>
      <c r="P312">
        <f>IF('CHOP DASHBOARD'!$B$4="Area",IF(311&lt;=$S$3,IF(AND(OR('CHOP DASHBOARD'!$C$4="",ISNUMBER(SEARCH('CHOP DASHBOARD'!$C$4,INDEX(MASTER_AREAS!$B:$B,312))))),311,""),""),IF('CHOP DASHBOARD'!$B$4="Zone",IF(311&lt;=$S$4,IF(OR('CHOP DASHBOARD'!$C$4="",ISNUMBER(SEARCH('CHOP DASHBOARD'!$C$4,INDEX(MASTER_ZONES!$B:$B,312)))),311,""),""),""))</f>
        <v/>
      </c>
      <c r="U312">
        <f>IF('COMMUNITY CHURCH DASHBOARD'!$B$4="Area",IF(311&lt;=$X$3,IF(AND(OR('COMMUNITY CHURCH DASHBOARD'!$C$4="",ISNUMBER(SEARCH('COMMUNITY CHURCH DASHBOARD'!$C$4,INDEX(MASTER_AREAS!$B:$B,312))))),311,""),""),IF('COMMUNITY CHURCH DASHBOARD'!$B$4="Zone",IF(311&lt;=$X$4,IF(OR('COMMUNITY CHURCH DASHBOARD'!$C$4="",ISNUMBER(SEARCH('COMMUNITY CHURCH DASHBOARD'!$C$4,INDEX(MASTER_ZONES!$B:$B,312)))),311,""),""),""))</f>
        <v/>
      </c>
    </row>
    <row r="313">
      <c r="A313">
        <f>IF('WSF DASHBOARD'!$B$4="Area",IF(312&lt;=$D$3,IF(AND(OR('WSF DASHBOARD'!$C$4="",ISNUMBER(SEARCH('WSF DASHBOARD'!$C$4,INDEX(MASTER_AREAS!$B:$B,313))))),312,""),""),IF('WSF DASHBOARD'!$B$4="Zone",IF(312&lt;=$D$4,IF(OR('WSF DASHBOARD'!$C$4="",ISNUMBER(SEARCH('WSF DASHBOARD'!$C$4,INDEX(MASTER_ZONES!$B:$B,313)))),312,""),""),""))</f>
        <v/>
      </c>
      <c r="F313">
        <f>IF('TRANSPORT DASHBOARD'!$B$4="Area",IF(312&lt;=$I$3,IF(AND(INDEX(MASTER_AREAS!$F:$F,313)&lt;&gt;"N",OR('TRANSPORT DASHBOARD'!$C$4="",ISNUMBER(SEARCH('TRANSPORT DASHBOARD'!$C$4,INDEX(MASTER_AREAS!$B:$B,313))))),312,""),""),IF('TRANSPORT DASHBOARD'!$B$4="Zone",IF(312&lt;=$I$4,IF(OR('TRANSPORT DASHBOARD'!$C$4="",ISNUMBER(SEARCH('TRANSPORT DASHBOARD'!$C$4,INDEX(MASTER_ZONES!$B:$B,313)))),312,""),""),""))</f>
        <v/>
      </c>
      <c r="K313">
        <f>IF('MIDWEEK DASHBOARD'!$B$4="Area",IF(312&lt;=$N$3,IF(AND(OR('MIDWEEK DASHBOARD'!$C$4="",ISNUMBER(SEARCH('MIDWEEK DASHBOARD'!$C$4,INDEX(MASTER_AREAS!$B:$B,313))))),312,""),""),IF('MIDWEEK DASHBOARD'!$B$4="Zone",IF(312&lt;=$N$4,IF(OR('MIDWEEK DASHBOARD'!$C$4="",ISNUMBER(SEARCH('MIDWEEK DASHBOARD'!$C$4,INDEX(MASTER_ZONES!$B:$B,313)))),312,""),""),""))</f>
        <v/>
      </c>
      <c r="P313">
        <f>IF('CHOP DASHBOARD'!$B$4="Area",IF(312&lt;=$S$3,IF(AND(OR('CHOP DASHBOARD'!$C$4="",ISNUMBER(SEARCH('CHOP DASHBOARD'!$C$4,INDEX(MASTER_AREAS!$B:$B,313))))),312,""),""),IF('CHOP DASHBOARD'!$B$4="Zone",IF(312&lt;=$S$4,IF(OR('CHOP DASHBOARD'!$C$4="",ISNUMBER(SEARCH('CHOP DASHBOARD'!$C$4,INDEX(MASTER_ZONES!$B:$B,313)))),312,""),""),""))</f>
        <v/>
      </c>
      <c r="U313">
        <f>IF('COMMUNITY CHURCH DASHBOARD'!$B$4="Area",IF(312&lt;=$X$3,IF(AND(OR('COMMUNITY CHURCH DASHBOARD'!$C$4="",ISNUMBER(SEARCH('COMMUNITY CHURCH DASHBOARD'!$C$4,INDEX(MASTER_AREAS!$B:$B,313))))),312,""),""),IF('COMMUNITY CHURCH DASHBOARD'!$B$4="Zone",IF(312&lt;=$X$4,IF(OR('COMMUNITY CHURCH DASHBOARD'!$C$4="",ISNUMBER(SEARCH('COMMUNITY CHURCH DASHBOARD'!$C$4,INDEX(MASTER_ZONES!$B:$B,313)))),312,""),""),""))</f>
        <v/>
      </c>
    </row>
    <row r="314">
      <c r="A314">
        <f>IF('WSF DASHBOARD'!$B$4="Area",IF(313&lt;=$D$3,IF(AND(OR('WSF DASHBOARD'!$C$4="",ISNUMBER(SEARCH('WSF DASHBOARD'!$C$4,INDEX(MASTER_AREAS!$B:$B,314))))),313,""),""),IF('WSF DASHBOARD'!$B$4="Zone",IF(313&lt;=$D$4,IF(OR('WSF DASHBOARD'!$C$4="",ISNUMBER(SEARCH('WSF DASHBOARD'!$C$4,INDEX(MASTER_ZONES!$B:$B,314)))),313,""),""),""))</f>
        <v/>
      </c>
      <c r="F314">
        <f>IF('TRANSPORT DASHBOARD'!$B$4="Area",IF(313&lt;=$I$3,IF(AND(INDEX(MASTER_AREAS!$F:$F,314)&lt;&gt;"N",OR('TRANSPORT DASHBOARD'!$C$4="",ISNUMBER(SEARCH('TRANSPORT DASHBOARD'!$C$4,INDEX(MASTER_AREAS!$B:$B,314))))),313,""),""),IF('TRANSPORT DASHBOARD'!$B$4="Zone",IF(313&lt;=$I$4,IF(OR('TRANSPORT DASHBOARD'!$C$4="",ISNUMBER(SEARCH('TRANSPORT DASHBOARD'!$C$4,INDEX(MASTER_ZONES!$B:$B,314)))),313,""),""),""))</f>
        <v/>
      </c>
      <c r="K314">
        <f>IF('MIDWEEK DASHBOARD'!$B$4="Area",IF(313&lt;=$N$3,IF(AND(OR('MIDWEEK DASHBOARD'!$C$4="",ISNUMBER(SEARCH('MIDWEEK DASHBOARD'!$C$4,INDEX(MASTER_AREAS!$B:$B,314))))),313,""),""),IF('MIDWEEK DASHBOARD'!$B$4="Zone",IF(313&lt;=$N$4,IF(OR('MIDWEEK DASHBOARD'!$C$4="",ISNUMBER(SEARCH('MIDWEEK DASHBOARD'!$C$4,INDEX(MASTER_ZONES!$B:$B,314)))),313,""),""),""))</f>
        <v/>
      </c>
      <c r="P314">
        <f>IF('CHOP DASHBOARD'!$B$4="Area",IF(313&lt;=$S$3,IF(AND(OR('CHOP DASHBOARD'!$C$4="",ISNUMBER(SEARCH('CHOP DASHBOARD'!$C$4,INDEX(MASTER_AREAS!$B:$B,314))))),313,""),""),IF('CHOP DASHBOARD'!$B$4="Zone",IF(313&lt;=$S$4,IF(OR('CHOP DASHBOARD'!$C$4="",ISNUMBER(SEARCH('CHOP DASHBOARD'!$C$4,INDEX(MASTER_ZONES!$B:$B,314)))),313,""),""),""))</f>
        <v/>
      </c>
      <c r="U314">
        <f>IF('COMMUNITY CHURCH DASHBOARD'!$B$4="Area",IF(313&lt;=$X$3,IF(AND(OR('COMMUNITY CHURCH DASHBOARD'!$C$4="",ISNUMBER(SEARCH('COMMUNITY CHURCH DASHBOARD'!$C$4,INDEX(MASTER_AREAS!$B:$B,314))))),313,""),""),IF('COMMUNITY CHURCH DASHBOARD'!$B$4="Zone",IF(313&lt;=$X$4,IF(OR('COMMUNITY CHURCH DASHBOARD'!$C$4="",ISNUMBER(SEARCH('COMMUNITY CHURCH DASHBOARD'!$C$4,INDEX(MASTER_ZONES!$B:$B,314)))),313,""),""),""))</f>
        <v/>
      </c>
    </row>
    <row r="315">
      <c r="A315">
        <f>IF('WSF DASHBOARD'!$B$4="Area",IF(314&lt;=$D$3,IF(AND(OR('WSF DASHBOARD'!$C$4="",ISNUMBER(SEARCH('WSF DASHBOARD'!$C$4,INDEX(MASTER_AREAS!$B:$B,315))))),314,""),""),IF('WSF DASHBOARD'!$B$4="Zone",IF(314&lt;=$D$4,IF(OR('WSF DASHBOARD'!$C$4="",ISNUMBER(SEARCH('WSF DASHBOARD'!$C$4,INDEX(MASTER_ZONES!$B:$B,315)))),314,""),""),""))</f>
        <v/>
      </c>
      <c r="F315">
        <f>IF('TRANSPORT DASHBOARD'!$B$4="Area",IF(314&lt;=$I$3,IF(AND(INDEX(MASTER_AREAS!$F:$F,315)&lt;&gt;"N",OR('TRANSPORT DASHBOARD'!$C$4="",ISNUMBER(SEARCH('TRANSPORT DASHBOARD'!$C$4,INDEX(MASTER_AREAS!$B:$B,315))))),314,""),""),IF('TRANSPORT DASHBOARD'!$B$4="Zone",IF(314&lt;=$I$4,IF(OR('TRANSPORT DASHBOARD'!$C$4="",ISNUMBER(SEARCH('TRANSPORT DASHBOARD'!$C$4,INDEX(MASTER_ZONES!$B:$B,315)))),314,""),""),""))</f>
        <v/>
      </c>
      <c r="K315">
        <f>IF('MIDWEEK DASHBOARD'!$B$4="Area",IF(314&lt;=$N$3,IF(AND(OR('MIDWEEK DASHBOARD'!$C$4="",ISNUMBER(SEARCH('MIDWEEK DASHBOARD'!$C$4,INDEX(MASTER_AREAS!$B:$B,315))))),314,""),""),IF('MIDWEEK DASHBOARD'!$B$4="Zone",IF(314&lt;=$N$4,IF(OR('MIDWEEK DASHBOARD'!$C$4="",ISNUMBER(SEARCH('MIDWEEK DASHBOARD'!$C$4,INDEX(MASTER_ZONES!$B:$B,315)))),314,""),""),""))</f>
        <v/>
      </c>
      <c r="P315">
        <f>IF('CHOP DASHBOARD'!$B$4="Area",IF(314&lt;=$S$3,IF(AND(OR('CHOP DASHBOARD'!$C$4="",ISNUMBER(SEARCH('CHOP DASHBOARD'!$C$4,INDEX(MASTER_AREAS!$B:$B,315))))),314,""),""),IF('CHOP DASHBOARD'!$B$4="Zone",IF(314&lt;=$S$4,IF(OR('CHOP DASHBOARD'!$C$4="",ISNUMBER(SEARCH('CHOP DASHBOARD'!$C$4,INDEX(MASTER_ZONES!$B:$B,315)))),314,""),""),""))</f>
        <v/>
      </c>
      <c r="U315">
        <f>IF('COMMUNITY CHURCH DASHBOARD'!$B$4="Area",IF(314&lt;=$X$3,IF(AND(OR('COMMUNITY CHURCH DASHBOARD'!$C$4="",ISNUMBER(SEARCH('COMMUNITY CHURCH DASHBOARD'!$C$4,INDEX(MASTER_AREAS!$B:$B,315))))),314,""),""),IF('COMMUNITY CHURCH DASHBOARD'!$B$4="Zone",IF(314&lt;=$X$4,IF(OR('COMMUNITY CHURCH DASHBOARD'!$C$4="",ISNUMBER(SEARCH('COMMUNITY CHURCH DASHBOARD'!$C$4,INDEX(MASTER_ZONES!$B:$B,315)))),314,""),""),""))</f>
        <v/>
      </c>
    </row>
    <row r="316">
      <c r="A316">
        <f>IF('WSF DASHBOARD'!$B$4="Area",IF(315&lt;=$D$3,IF(AND(OR('WSF DASHBOARD'!$C$4="",ISNUMBER(SEARCH('WSF DASHBOARD'!$C$4,INDEX(MASTER_AREAS!$B:$B,316))))),315,""),""),IF('WSF DASHBOARD'!$B$4="Zone",IF(315&lt;=$D$4,IF(OR('WSF DASHBOARD'!$C$4="",ISNUMBER(SEARCH('WSF DASHBOARD'!$C$4,INDEX(MASTER_ZONES!$B:$B,316)))),315,""),""),""))</f>
        <v/>
      </c>
      <c r="F316">
        <f>IF('TRANSPORT DASHBOARD'!$B$4="Area",IF(315&lt;=$I$3,IF(AND(INDEX(MASTER_AREAS!$F:$F,316)&lt;&gt;"N",OR('TRANSPORT DASHBOARD'!$C$4="",ISNUMBER(SEARCH('TRANSPORT DASHBOARD'!$C$4,INDEX(MASTER_AREAS!$B:$B,316))))),315,""),""),IF('TRANSPORT DASHBOARD'!$B$4="Zone",IF(315&lt;=$I$4,IF(OR('TRANSPORT DASHBOARD'!$C$4="",ISNUMBER(SEARCH('TRANSPORT DASHBOARD'!$C$4,INDEX(MASTER_ZONES!$B:$B,316)))),315,""),""),""))</f>
        <v/>
      </c>
      <c r="K316">
        <f>IF('MIDWEEK DASHBOARD'!$B$4="Area",IF(315&lt;=$N$3,IF(AND(OR('MIDWEEK DASHBOARD'!$C$4="",ISNUMBER(SEARCH('MIDWEEK DASHBOARD'!$C$4,INDEX(MASTER_AREAS!$B:$B,316))))),315,""),""),IF('MIDWEEK DASHBOARD'!$B$4="Zone",IF(315&lt;=$N$4,IF(OR('MIDWEEK DASHBOARD'!$C$4="",ISNUMBER(SEARCH('MIDWEEK DASHBOARD'!$C$4,INDEX(MASTER_ZONES!$B:$B,316)))),315,""),""),""))</f>
        <v/>
      </c>
      <c r="P316">
        <f>IF('CHOP DASHBOARD'!$B$4="Area",IF(315&lt;=$S$3,IF(AND(OR('CHOP DASHBOARD'!$C$4="",ISNUMBER(SEARCH('CHOP DASHBOARD'!$C$4,INDEX(MASTER_AREAS!$B:$B,316))))),315,""),""),IF('CHOP DASHBOARD'!$B$4="Zone",IF(315&lt;=$S$4,IF(OR('CHOP DASHBOARD'!$C$4="",ISNUMBER(SEARCH('CHOP DASHBOARD'!$C$4,INDEX(MASTER_ZONES!$B:$B,316)))),315,""),""),""))</f>
        <v/>
      </c>
      <c r="U316">
        <f>IF('COMMUNITY CHURCH DASHBOARD'!$B$4="Area",IF(315&lt;=$X$3,IF(AND(OR('COMMUNITY CHURCH DASHBOARD'!$C$4="",ISNUMBER(SEARCH('COMMUNITY CHURCH DASHBOARD'!$C$4,INDEX(MASTER_AREAS!$B:$B,316))))),315,""),""),IF('COMMUNITY CHURCH DASHBOARD'!$B$4="Zone",IF(315&lt;=$X$4,IF(OR('COMMUNITY CHURCH DASHBOARD'!$C$4="",ISNUMBER(SEARCH('COMMUNITY CHURCH DASHBOARD'!$C$4,INDEX(MASTER_ZONES!$B:$B,316)))),315,""),""),""))</f>
        <v/>
      </c>
    </row>
    <row r="317">
      <c r="A317">
        <f>IF('WSF DASHBOARD'!$B$4="Area",IF(316&lt;=$D$3,IF(AND(OR('WSF DASHBOARD'!$C$4="",ISNUMBER(SEARCH('WSF DASHBOARD'!$C$4,INDEX(MASTER_AREAS!$B:$B,317))))),316,""),""),IF('WSF DASHBOARD'!$B$4="Zone",IF(316&lt;=$D$4,IF(OR('WSF DASHBOARD'!$C$4="",ISNUMBER(SEARCH('WSF DASHBOARD'!$C$4,INDEX(MASTER_ZONES!$B:$B,317)))),316,""),""),""))</f>
        <v/>
      </c>
      <c r="F317">
        <f>IF('TRANSPORT DASHBOARD'!$B$4="Area",IF(316&lt;=$I$3,IF(AND(INDEX(MASTER_AREAS!$F:$F,317)&lt;&gt;"N",OR('TRANSPORT DASHBOARD'!$C$4="",ISNUMBER(SEARCH('TRANSPORT DASHBOARD'!$C$4,INDEX(MASTER_AREAS!$B:$B,317))))),316,""),""),IF('TRANSPORT DASHBOARD'!$B$4="Zone",IF(316&lt;=$I$4,IF(OR('TRANSPORT DASHBOARD'!$C$4="",ISNUMBER(SEARCH('TRANSPORT DASHBOARD'!$C$4,INDEX(MASTER_ZONES!$B:$B,317)))),316,""),""),""))</f>
        <v/>
      </c>
      <c r="K317">
        <f>IF('MIDWEEK DASHBOARD'!$B$4="Area",IF(316&lt;=$N$3,IF(AND(OR('MIDWEEK DASHBOARD'!$C$4="",ISNUMBER(SEARCH('MIDWEEK DASHBOARD'!$C$4,INDEX(MASTER_AREAS!$B:$B,317))))),316,""),""),IF('MIDWEEK DASHBOARD'!$B$4="Zone",IF(316&lt;=$N$4,IF(OR('MIDWEEK DASHBOARD'!$C$4="",ISNUMBER(SEARCH('MIDWEEK DASHBOARD'!$C$4,INDEX(MASTER_ZONES!$B:$B,317)))),316,""),""),""))</f>
        <v/>
      </c>
      <c r="P317">
        <f>IF('CHOP DASHBOARD'!$B$4="Area",IF(316&lt;=$S$3,IF(AND(OR('CHOP DASHBOARD'!$C$4="",ISNUMBER(SEARCH('CHOP DASHBOARD'!$C$4,INDEX(MASTER_AREAS!$B:$B,317))))),316,""),""),IF('CHOP DASHBOARD'!$B$4="Zone",IF(316&lt;=$S$4,IF(OR('CHOP DASHBOARD'!$C$4="",ISNUMBER(SEARCH('CHOP DASHBOARD'!$C$4,INDEX(MASTER_ZONES!$B:$B,317)))),316,""),""),""))</f>
        <v/>
      </c>
      <c r="U317">
        <f>IF('COMMUNITY CHURCH DASHBOARD'!$B$4="Area",IF(316&lt;=$X$3,IF(AND(OR('COMMUNITY CHURCH DASHBOARD'!$C$4="",ISNUMBER(SEARCH('COMMUNITY CHURCH DASHBOARD'!$C$4,INDEX(MASTER_AREAS!$B:$B,317))))),316,""),""),IF('COMMUNITY CHURCH DASHBOARD'!$B$4="Zone",IF(316&lt;=$X$4,IF(OR('COMMUNITY CHURCH DASHBOARD'!$C$4="",ISNUMBER(SEARCH('COMMUNITY CHURCH DASHBOARD'!$C$4,INDEX(MASTER_ZONES!$B:$B,317)))),316,""),""),""))</f>
        <v/>
      </c>
    </row>
    <row r="318">
      <c r="A318">
        <f>IF('WSF DASHBOARD'!$B$4="Area",IF(317&lt;=$D$3,IF(AND(OR('WSF DASHBOARD'!$C$4="",ISNUMBER(SEARCH('WSF DASHBOARD'!$C$4,INDEX(MASTER_AREAS!$B:$B,318))))),317,""),""),IF('WSF DASHBOARD'!$B$4="Zone",IF(317&lt;=$D$4,IF(OR('WSF DASHBOARD'!$C$4="",ISNUMBER(SEARCH('WSF DASHBOARD'!$C$4,INDEX(MASTER_ZONES!$B:$B,318)))),317,""),""),""))</f>
        <v/>
      </c>
      <c r="F318">
        <f>IF('TRANSPORT DASHBOARD'!$B$4="Area",IF(317&lt;=$I$3,IF(AND(INDEX(MASTER_AREAS!$F:$F,318)&lt;&gt;"N",OR('TRANSPORT DASHBOARD'!$C$4="",ISNUMBER(SEARCH('TRANSPORT DASHBOARD'!$C$4,INDEX(MASTER_AREAS!$B:$B,318))))),317,""),""),IF('TRANSPORT DASHBOARD'!$B$4="Zone",IF(317&lt;=$I$4,IF(OR('TRANSPORT DASHBOARD'!$C$4="",ISNUMBER(SEARCH('TRANSPORT DASHBOARD'!$C$4,INDEX(MASTER_ZONES!$B:$B,318)))),317,""),""),""))</f>
        <v/>
      </c>
      <c r="K318">
        <f>IF('MIDWEEK DASHBOARD'!$B$4="Area",IF(317&lt;=$N$3,IF(AND(OR('MIDWEEK DASHBOARD'!$C$4="",ISNUMBER(SEARCH('MIDWEEK DASHBOARD'!$C$4,INDEX(MASTER_AREAS!$B:$B,318))))),317,""),""),IF('MIDWEEK DASHBOARD'!$B$4="Zone",IF(317&lt;=$N$4,IF(OR('MIDWEEK DASHBOARD'!$C$4="",ISNUMBER(SEARCH('MIDWEEK DASHBOARD'!$C$4,INDEX(MASTER_ZONES!$B:$B,318)))),317,""),""),""))</f>
        <v/>
      </c>
      <c r="P318">
        <f>IF('CHOP DASHBOARD'!$B$4="Area",IF(317&lt;=$S$3,IF(AND(OR('CHOP DASHBOARD'!$C$4="",ISNUMBER(SEARCH('CHOP DASHBOARD'!$C$4,INDEX(MASTER_AREAS!$B:$B,318))))),317,""),""),IF('CHOP DASHBOARD'!$B$4="Zone",IF(317&lt;=$S$4,IF(OR('CHOP DASHBOARD'!$C$4="",ISNUMBER(SEARCH('CHOP DASHBOARD'!$C$4,INDEX(MASTER_ZONES!$B:$B,318)))),317,""),""),""))</f>
        <v/>
      </c>
      <c r="U318">
        <f>IF('COMMUNITY CHURCH DASHBOARD'!$B$4="Area",IF(317&lt;=$X$3,IF(AND(OR('COMMUNITY CHURCH DASHBOARD'!$C$4="",ISNUMBER(SEARCH('COMMUNITY CHURCH DASHBOARD'!$C$4,INDEX(MASTER_AREAS!$B:$B,318))))),317,""),""),IF('COMMUNITY CHURCH DASHBOARD'!$B$4="Zone",IF(317&lt;=$X$4,IF(OR('COMMUNITY CHURCH DASHBOARD'!$C$4="",ISNUMBER(SEARCH('COMMUNITY CHURCH DASHBOARD'!$C$4,INDEX(MASTER_ZONES!$B:$B,318)))),317,""),""),""))</f>
        <v/>
      </c>
    </row>
    <row r="319">
      <c r="A319">
        <f>IF('WSF DASHBOARD'!$B$4="Area",IF(318&lt;=$D$3,IF(AND(OR('WSF DASHBOARD'!$C$4="",ISNUMBER(SEARCH('WSF DASHBOARD'!$C$4,INDEX(MASTER_AREAS!$B:$B,319))))),318,""),""),IF('WSF DASHBOARD'!$B$4="Zone",IF(318&lt;=$D$4,IF(OR('WSF DASHBOARD'!$C$4="",ISNUMBER(SEARCH('WSF DASHBOARD'!$C$4,INDEX(MASTER_ZONES!$B:$B,319)))),318,""),""),""))</f>
        <v/>
      </c>
      <c r="F319">
        <f>IF('TRANSPORT DASHBOARD'!$B$4="Area",IF(318&lt;=$I$3,IF(AND(INDEX(MASTER_AREAS!$F:$F,319)&lt;&gt;"N",OR('TRANSPORT DASHBOARD'!$C$4="",ISNUMBER(SEARCH('TRANSPORT DASHBOARD'!$C$4,INDEX(MASTER_AREAS!$B:$B,319))))),318,""),""),IF('TRANSPORT DASHBOARD'!$B$4="Zone",IF(318&lt;=$I$4,IF(OR('TRANSPORT DASHBOARD'!$C$4="",ISNUMBER(SEARCH('TRANSPORT DASHBOARD'!$C$4,INDEX(MASTER_ZONES!$B:$B,319)))),318,""),""),""))</f>
        <v/>
      </c>
      <c r="K319">
        <f>IF('MIDWEEK DASHBOARD'!$B$4="Area",IF(318&lt;=$N$3,IF(AND(OR('MIDWEEK DASHBOARD'!$C$4="",ISNUMBER(SEARCH('MIDWEEK DASHBOARD'!$C$4,INDEX(MASTER_AREAS!$B:$B,319))))),318,""),""),IF('MIDWEEK DASHBOARD'!$B$4="Zone",IF(318&lt;=$N$4,IF(OR('MIDWEEK DASHBOARD'!$C$4="",ISNUMBER(SEARCH('MIDWEEK DASHBOARD'!$C$4,INDEX(MASTER_ZONES!$B:$B,319)))),318,""),""),""))</f>
        <v/>
      </c>
      <c r="P319">
        <f>IF('CHOP DASHBOARD'!$B$4="Area",IF(318&lt;=$S$3,IF(AND(OR('CHOP DASHBOARD'!$C$4="",ISNUMBER(SEARCH('CHOP DASHBOARD'!$C$4,INDEX(MASTER_AREAS!$B:$B,319))))),318,""),""),IF('CHOP DASHBOARD'!$B$4="Zone",IF(318&lt;=$S$4,IF(OR('CHOP DASHBOARD'!$C$4="",ISNUMBER(SEARCH('CHOP DASHBOARD'!$C$4,INDEX(MASTER_ZONES!$B:$B,319)))),318,""),""),""))</f>
        <v/>
      </c>
      <c r="U319">
        <f>IF('COMMUNITY CHURCH DASHBOARD'!$B$4="Area",IF(318&lt;=$X$3,IF(AND(OR('COMMUNITY CHURCH DASHBOARD'!$C$4="",ISNUMBER(SEARCH('COMMUNITY CHURCH DASHBOARD'!$C$4,INDEX(MASTER_AREAS!$B:$B,319))))),318,""),""),IF('COMMUNITY CHURCH DASHBOARD'!$B$4="Zone",IF(318&lt;=$X$4,IF(OR('COMMUNITY CHURCH DASHBOARD'!$C$4="",ISNUMBER(SEARCH('COMMUNITY CHURCH DASHBOARD'!$C$4,INDEX(MASTER_ZONES!$B:$B,319)))),318,""),""),""))</f>
        <v/>
      </c>
    </row>
    <row r="320">
      <c r="A320">
        <f>IF('WSF DASHBOARD'!$B$4="Area",IF(319&lt;=$D$3,IF(AND(OR('WSF DASHBOARD'!$C$4="",ISNUMBER(SEARCH('WSF DASHBOARD'!$C$4,INDEX(MASTER_AREAS!$B:$B,320))))),319,""),""),IF('WSF DASHBOARD'!$B$4="Zone",IF(319&lt;=$D$4,IF(OR('WSF DASHBOARD'!$C$4="",ISNUMBER(SEARCH('WSF DASHBOARD'!$C$4,INDEX(MASTER_ZONES!$B:$B,320)))),319,""),""),""))</f>
        <v/>
      </c>
      <c r="F320">
        <f>IF('TRANSPORT DASHBOARD'!$B$4="Area",IF(319&lt;=$I$3,IF(AND(INDEX(MASTER_AREAS!$F:$F,320)&lt;&gt;"N",OR('TRANSPORT DASHBOARD'!$C$4="",ISNUMBER(SEARCH('TRANSPORT DASHBOARD'!$C$4,INDEX(MASTER_AREAS!$B:$B,320))))),319,""),""),IF('TRANSPORT DASHBOARD'!$B$4="Zone",IF(319&lt;=$I$4,IF(OR('TRANSPORT DASHBOARD'!$C$4="",ISNUMBER(SEARCH('TRANSPORT DASHBOARD'!$C$4,INDEX(MASTER_ZONES!$B:$B,320)))),319,""),""),""))</f>
        <v/>
      </c>
      <c r="K320">
        <f>IF('MIDWEEK DASHBOARD'!$B$4="Area",IF(319&lt;=$N$3,IF(AND(OR('MIDWEEK DASHBOARD'!$C$4="",ISNUMBER(SEARCH('MIDWEEK DASHBOARD'!$C$4,INDEX(MASTER_AREAS!$B:$B,320))))),319,""),""),IF('MIDWEEK DASHBOARD'!$B$4="Zone",IF(319&lt;=$N$4,IF(OR('MIDWEEK DASHBOARD'!$C$4="",ISNUMBER(SEARCH('MIDWEEK DASHBOARD'!$C$4,INDEX(MASTER_ZONES!$B:$B,320)))),319,""),""),""))</f>
        <v/>
      </c>
      <c r="P320">
        <f>IF('CHOP DASHBOARD'!$B$4="Area",IF(319&lt;=$S$3,IF(AND(OR('CHOP DASHBOARD'!$C$4="",ISNUMBER(SEARCH('CHOP DASHBOARD'!$C$4,INDEX(MASTER_AREAS!$B:$B,320))))),319,""),""),IF('CHOP DASHBOARD'!$B$4="Zone",IF(319&lt;=$S$4,IF(OR('CHOP DASHBOARD'!$C$4="",ISNUMBER(SEARCH('CHOP DASHBOARD'!$C$4,INDEX(MASTER_ZONES!$B:$B,320)))),319,""),""),""))</f>
        <v/>
      </c>
      <c r="U320">
        <f>IF('COMMUNITY CHURCH DASHBOARD'!$B$4="Area",IF(319&lt;=$X$3,IF(AND(OR('COMMUNITY CHURCH DASHBOARD'!$C$4="",ISNUMBER(SEARCH('COMMUNITY CHURCH DASHBOARD'!$C$4,INDEX(MASTER_AREAS!$B:$B,320))))),319,""),""),IF('COMMUNITY CHURCH DASHBOARD'!$B$4="Zone",IF(319&lt;=$X$4,IF(OR('COMMUNITY CHURCH DASHBOARD'!$C$4="",ISNUMBER(SEARCH('COMMUNITY CHURCH DASHBOARD'!$C$4,INDEX(MASTER_ZONES!$B:$B,320)))),319,""),""),""))</f>
        <v/>
      </c>
    </row>
    <row r="321">
      <c r="A321">
        <f>IF('WSF DASHBOARD'!$B$4="Area",IF(320&lt;=$D$3,IF(AND(OR('WSF DASHBOARD'!$C$4="",ISNUMBER(SEARCH('WSF DASHBOARD'!$C$4,INDEX(MASTER_AREAS!$B:$B,321))))),320,""),""),IF('WSF DASHBOARD'!$B$4="Zone",IF(320&lt;=$D$4,IF(OR('WSF DASHBOARD'!$C$4="",ISNUMBER(SEARCH('WSF DASHBOARD'!$C$4,INDEX(MASTER_ZONES!$B:$B,321)))),320,""),""),""))</f>
        <v/>
      </c>
      <c r="F321">
        <f>IF('TRANSPORT DASHBOARD'!$B$4="Area",IF(320&lt;=$I$3,IF(AND(INDEX(MASTER_AREAS!$F:$F,321)&lt;&gt;"N",OR('TRANSPORT DASHBOARD'!$C$4="",ISNUMBER(SEARCH('TRANSPORT DASHBOARD'!$C$4,INDEX(MASTER_AREAS!$B:$B,321))))),320,""),""),IF('TRANSPORT DASHBOARD'!$B$4="Zone",IF(320&lt;=$I$4,IF(OR('TRANSPORT DASHBOARD'!$C$4="",ISNUMBER(SEARCH('TRANSPORT DASHBOARD'!$C$4,INDEX(MASTER_ZONES!$B:$B,321)))),320,""),""),""))</f>
        <v/>
      </c>
      <c r="K321">
        <f>IF('MIDWEEK DASHBOARD'!$B$4="Area",IF(320&lt;=$N$3,IF(AND(OR('MIDWEEK DASHBOARD'!$C$4="",ISNUMBER(SEARCH('MIDWEEK DASHBOARD'!$C$4,INDEX(MASTER_AREAS!$B:$B,321))))),320,""),""),IF('MIDWEEK DASHBOARD'!$B$4="Zone",IF(320&lt;=$N$4,IF(OR('MIDWEEK DASHBOARD'!$C$4="",ISNUMBER(SEARCH('MIDWEEK DASHBOARD'!$C$4,INDEX(MASTER_ZONES!$B:$B,321)))),320,""),""),""))</f>
        <v/>
      </c>
      <c r="P321">
        <f>IF('CHOP DASHBOARD'!$B$4="Area",IF(320&lt;=$S$3,IF(AND(OR('CHOP DASHBOARD'!$C$4="",ISNUMBER(SEARCH('CHOP DASHBOARD'!$C$4,INDEX(MASTER_AREAS!$B:$B,321))))),320,""),""),IF('CHOP DASHBOARD'!$B$4="Zone",IF(320&lt;=$S$4,IF(OR('CHOP DASHBOARD'!$C$4="",ISNUMBER(SEARCH('CHOP DASHBOARD'!$C$4,INDEX(MASTER_ZONES!$B:$B,321)))),320,""),""),""))</f>
        <v/>
      </c>
      <c r="U321">
        <f>IF('COMMUNITY CHURCH DASHBOARD'!$B$4="Area",IF(320&lt;=$X$3,IF(AND(OR('COMMUNITY CHURCH DASHBOARD'!$C$4="",ISNUMBER(SEARCH('COMMUNITY CHURCH DASHBOARD'!$C$4,INDEX(MASTER_AREAS!$B:$B,321))))),320,""),""),IF('COMMUNITY CHURCH DASHBOARD'!$B$4="Zone",IF(320&lt;=$X$4,IF(OR('COMMUNITY CHURCH DASHBOARD'!$C$4="",ISNUMBER(SEARCH('COMMUNITY CHURCH DASHBOARD'!$C$4,INDEX(MASTER_ZONES!$B:$B,321)))),320,""),""),""))</f>
        <v/>
      </c>
    </row>
    <row r="322">
      <c r="A322">
        <f>IF('WSF DASHBOARD'!$B$4="Area",IF(321&lt;=$D$3,IF(AND(OR('WSF DASHBOARD'!$C$4="",ISNUMBER(SEARCH('WSF DASHBOARD'!$C$4,INDEX(MASTER_AREAS!$B:$B,322))))),321,""),""),IF('WSF DASHBOARD'!$B$4="Zone",IF(321&lt;=$D$4,IF(OR('WSF DASHBOARD'!$C$4="",ISNUMBER(SEARCH('WSF DASHBOARD'!$C$4,INDEX(MASTER_ZONES!$B:$B,322)))),321,""),""),""))</f>
        <v/>
      </c>
      <c r="F322">
        <f>IF('TRANSPORT DASHBOARD'!$B$4="Area",IF(321&lt;=$I$3,IF(AND(INDEX(MASTER_AREAS!$F:$F,322)&lt;&gt;"N",OR('TRANSPORT DASHBOARD'!$C$4="",ISNUMBER(SEARCH('TRANSPORT DASHBOARD'!$C$4,INDEX(MASTER_AREAS!$B:$B,322))))),321,""),""),IF('TRANSPORT DASHBOARD'!$B$4="Zone",IF(321&lt;=$I$4,IF(OR('TRANSPORT DASHBOARD'!$C$4="",ISNUMBER(SEARCH('TRANSPORT DASHBOARD'!$C$4,INDEX(MASTER_ZONES!$B:$B,322)))),321,""),""),""))</f>
        <v/>
      </c>
      <c r="K322">
        <f>IF('MIDWEEK DASHBOARD'!$B$4="Area",IF(321&lt;=$N$3,IF(AND(OR('MIDWEEK DASHBOARD'!$C$4="",ISNUMBER(SEARCH('MIDWEEK DASHBOARD'!$C$4,INDEX(MASTER_AREAS!$B:$B,322))))),321,""),""),IF('MIDWEEK DASHBOARD'!$B$4="Zone",IF(321&lt;=$N$4,IF(OR('MIDWEEK DASHBOARD'!$C$4="",ISNUMBER(SEARCH('MIDWEEK DASHBOARD'!$C$4,INDEX(MASTER_ZONES!$B:$B,322)))),321,""),""),""))</f>
        <v/>
      </c>
      <c r="P322">
        <f>IF('CHOP DASHBOARD'!$B$4="Area",IF(321&lt;=$S$3,IF(AND(OR('CHOP DASHBOARD'!$C$4="",ISNUMBER(SEARCH('CHOP DASHBOARD'!$C$4,INDEX(MASTER_AREAS!$B:$B,322))))),321,""),""),IF('CHOP DASHBOARD'!$B$4="Zone",IF(321&lt;=$S$4,IF(OR('CHOP DASHBOARD'!$C$4="",ISNUMBER(SEARCH('CHOP DASHBOARD'!$C$4,INDEX(MASTER_ZONES!$B:$B,322)))),321,""),""),""))</f>
        <v/>
      </c>
      <c r="U322">
        <f>IF('COMMUNITY CHURCH DASHBOARD'!$B$4="Area",IF(321&lt;=$X$3,IF(AND(OR('COMMUNITY CHURCH DASHBOARD'!$C$4="",ISNUMBER(SEARCH('COMMUNITY CHURCH DASHBOARD'!$C$4,INDEX(MASTER_AREAS!$B:$B,322))))),321,""),""),IF('COMMUNITY CHURCH DASHBOARD'!$B$4="Zone",IF(321&lt;=$X$4,IF(OR('COMMUNITY CHURCH DASHBOARD'!$C$4="",ISNUMBER(SEARCH('COMMUNITY CHURCH DASHBOARD'!$C$4,INDEX(MASTER_ZONES!$B:$B,322)))),321,""),""),""))</f>
        <v/>
      </c>
    </row>
    <row r="323">
      <c r="A323">
        <f>IF('WSF DASHBOARD'!$B$4="Area",IF(322&lt;=$D$3,IF(AND(OR('WSF DASHBOARD'!$C$4="",ISNUMBER(SEARCH('WSF DASHBOARD'!$C$4,INDEX(MASTER_AREAS!$B:$B,323))))),322,""),""),IF('WSF DASHBOARD'!$B$4="Zone",IF(322&lt;=$D$4,IF(OR('WSF DASHBOARD'!$C$4="",ISNUMBER(SEARCH('WSF DASHBOARD'!$C$4,INDEX(MASTER_ZONES!$B:$B,323)))),322,""),""),""))</f>
        <v/>
      </c>
      <c r="F323">
        <f>IF('TRANSPORT DASHBOARD'!$B$4="Area",IF(322&lt;=$I$3,IF(AND(INDEX(MASTER_AREAS!$F:$F,323)&lt;&gt;"N",OR('TRANSPORT DASHBOARD'!$C$4="",ISNUMBER(SEARCH('TRANSPORT DASHBOARD'!$C$4,INDEX(MASTER_AREAS!$B:$B,323))))),322,""),""),IF('TRANSPORT DASHBOARD'!$B$4="Zone",IF(322&lt;=$I$4,IF(OR('TRANSPORT DASHBOARD'!$C$4="",ISNUMBER(SEARCH('TRANSPORT DASHBOARD'!$C$4,INDEX(MASTER_ZONES!$B:$B,323)))),322,""),""),""))</f>
        <v/>
      </c>
      <c r="K323">
        <f>IF('MIDWEEK DASHBOARD'!$B$4="Area",IF(322&lt;=$N$3,IF(AND(OR('MIDWEEK DASHBOARD'!$C$4="",ISNUMBER(SEARCH('MIDWEEK DASHBOARD'!$C$4,INDEX(MASTER_AREAS!$B:$B,323))))),322,""),""),IF('MIDWEEK DASHBOARD'!$B$4="Zone",IF(322&lt;=$N$4,IF(OR('MIDWEEK DASHBOARD'!$C$4="",ISNUMBER(SEARCH('MIDWEEK DASHBOARD'!$C$4,INDEX(MASTER_ZONES!$B:$B,323)))),322,""),""),""))</f>
        <v/>
      </c>
      <c r="P323">
        <f>IF('CHOP DASHBOARD'!$B$4="Area",IF(322&lt;=$S$3,IF(AND(OR('CHOP DASHBOARD'!$C$4="",ISNUMBER(SEARCH('CHOP DASHBOARD'!$C$4,INDEX(MASTER_AREAS!$B:$B,323))))),322,""),""),IF('CHOP DASHBOARD'!$B$4="Zone",IF(322&lt;=$S$4,IF(OR('CHOP DASHBOARD'!$C$4="",ISNUMBER(SEARCH('CHOP DASHBOARD'!$C$4,INDEX(MASTER_ZONES!$B:$B,323)))),322,""),""),""))</f>
        <v/>
      </c>
      <c r="U323">
        <f>IF('COMMUNITY CHURCH DASHBOARD'!$B$4="Area",IF(322&lt;=$X$3,IF(AND(OR('COMMUNITY CHURCH DASHBOARD'!$C$4="",ISNUMBER(SEARCH('COMMUNITY CHURCH DASHBOARD'!$C$4,INDEX(MASTER_AREAS!$B:$B,323))))),322,""),""),IF('COMMUNITY CHURCH DASHBOARD'!$B$4="Zone",IF(322&lt;=$X$4,IF(OR('COMMUNITY CHURCH DASHBOARD'!$C$4="",ISNUMBER(SEARCH('COMMUNITY CHURCH DASHBOARD'!$C$4,INDEX(MASTER_ZONES!$B:$B,323)))),322,""),""),""))</f>
        <v/>
      </c>
    </row>
    <row r="324">
      <c r="A324">
        <f>IF('WSF DASHBOARD'!$B$4="Area",IF(323&lt;=$D$3,IF(AND(OR('WSF DASHBOARD'!$C$4="",ISNUMBER(SEARCH('WSF DASHBOARD'!$C$4,INDEX(MASTER_AREAS!$B:$B,324))))),323,""),""),IF('WSF DASHBOARD'!$B$4="Zone",IF(323&lt;=$D$4,IF(OR('WSF DASHBOARD'!$C$4="",ISNUMBER(SEARCH('WSF DASHBOARD'!$C$4,INDEX(MASTER_ZONES!$B:$B,324)))),323,""),""),""))</f>
        <v/>
      </c>
      <c r="F324">
        <f>IF('TRANSPORT DASHBOARD'!$B$4="Area",IF(323&lt;=$I$3,IF(AND(INDEX(MASTER_AREAS!$F:$F,324)&lt;&gt;"N",OR('TRANSPORT DASHBOARD'!$C$4="",ISNUMBER(SEARCH('TRANSPORT DASHBOARD'!$C$4,INDEX(MASTER_AREAS!$B:$B,324))))),323,""),""),IF('TRANSPORT DASHBOARD'!$B$4="Zone",IF(323&lt;=$I$4,IF(OR('TRANSPORT DASHBOARD'!$C$4="",ISNUMBER(SEARCH('TRANSPORT DASHBOARD'!$C$4,INDEX(MASTER_ZONES!$B:$B,324)))),323,""),""),""))</f>
        <v/>
      </c>
      <c r="K324">
        <f>IF('MIDWEEK DASHBOARD'!$B$4="Area",IF(323&lt;=$N$3,IF(AND(OR('MIDWEEK DASHBOARD'!$C$4="",ISNUMBER(SEARCH('MIDWEEK DASHBOARD'!$C$4,INDEX(MASTER_AREAS!$B:$B,324))))),323,""),""),IF('MIDWEEK DASHBOARD'!$B$4="Zone",IF(323&lt;=$N$4,IF(OR('MIDWEEK DASHBOARD'!$C$4="",ISNUMBER(SEARCH('MIDWEEK DASHBOARD'!$C$4,INDEX(MASTER_ZONES!$B:$B,324)))),323,""),""),""))</f>
        <v/>
      </c>
      <c r="P324">
        <f>IF('CHOP DASHBOARD'!$B$4="Area",IF(323&lt;=$S$3,IF(AND(OR('CHOP DASHBOARD'!$C$4="",ISNUMBER(SEARCH('CHOP DASHBOARD'!$C$4,INDEX(MASTER_AREAS!$B:$B,324))))),323,""),""),IF('CHOP DASHBOARD'!$B$4="Zone",IF(323&lt;=$S$4,IF(OR('CHOP DASHBOARD'!$C$4="",ISNUMBER(SEARCH('CHOP DASHBOARD'!$C$4,INDEX(MASTER_ZONES!$B:$B,324)))),323,""),""),""))</f>
        <v/>
      </c>
      <c r="U324">
        <f>IF('COMMUNITY CHURCH DASHBOARD'!$B$4="Area",IF(323&lt;=$X$3,IF(AND(OR('COMMUNITY CHURCH DASHBOARD'!$C$4="",ISNUMBER(SEARCH('COMMUNITY CHURCH DASHBOARD'!$C$4,INDEX(MASTER_AREAS!$B:$B,324))))),323,""),""),IF('COMMUNITY CHURCH DASHBOARD'!$B$4="Zone",IF(323&lt;=$X$4,IF(OR('COMMUNITY CHURCH DASHBOARD'!$C$4="",ISNUMBER(SEARCH('COMMUNITY CHURCH DASHBOARD'!$C$4,INDEX(MASTER_ZONES!$B:$B,324)))),323,""),""),""))</f>
        <v/>
      </c>
    </row>
    <row r="325">
      <c r="A325">
        <f>IF('WSF DASHBOARD'!$B$4="Area",IF(324&lt;=$D$3,IF(AND(OR('WSF DASHBOARD'!$C$4="",ISNUMBER(SEARCH('WSF DASHBOARD'!$C$4,INDEX(MASTER_AREAS!$B:$B,325))))),324,""),""),IF('WSF DASHBOARD'!$B$4="Zone",IF(324&lt;=$D$4,IF(OR('WSF DASHBOARD'!$C$4="",ISNUMBER(SEARCH('WSF DASHBOARD'!$C$4,INDEX(MASTER_ZONES!$B:$B,325)))),324,""),""),""))</f>
        <v/>
      </c>
      <c r="F325">
        <f>IF('TRANSPORT DASHBOARD'!$B$4="Area",IF(324&lt;=$I$3,IF(AND(INDEX(MASTER_AREAS!$F:$F,325)&lt;&gt;"N",OR('TRANSPORT DASHBOARD'!$C$4="",ISNUMBER(SEARCH('TRANSPORT DASHBOARD'!$C$4,INDEX(MASTER_AREAS!$B:$B,325))))),324,""),""),IF('TRANSPORT DASHBOARD'!$B$4="Zone",IF(324&lt;=$I$4,IF(OR('TRANSPORT DASHBOARD'!$C$4="",ISNUMBER(SEARCH('TRANSPORT DASHBOARD'!$C$4,INDEX(MASTER_ZONES!$B:$B,325)))),324,""),""),""))</f>
        <v/>
      </c>
      <c r="K325">
        <f>IF('MIDWEEK DASHBOARD'!$B$4="Area",IF(324&lt;=$N$3,IF(AND(OR('MIDWEEK DASHBOARD'!$C$4="",ISNUMBER(SEARCH('MIDWEEK DASHBOARD'!$C$4,INDEX(MASTER_AREAS!$B:$B,325))))),324,""),""),IF('MIDWEEK DASHBOARD'!$B$4="Zone",IF(324&lt;=$N$4,IF(OR('MIDWEEK DASHBOARD'!$C$4="",ISNUMBER(SEARCH('MIDWEEK DASHBOARD'!$C$4,INDEX(MASTER_ZONES!$B:$B,325)))),324,""),""),""))</f>
        <v/>
      </c>
      <c r="P325">
        <f>IF('CHOP DASHBOARD'!$B$4="Area",IF(324&lt;=$S$3,IF(AND(OR('CHOP DASHBOARD'!$C$4="",ISNUMBER(SEARCH('CHOP DASHBOARD'!$C$4,INDEX(MASTER_AREAS!$B:$B,325))))),324,""),""),IF('CHOP DASHBOARD'!$B$4="Zone",IF(324&lt;=$S$4,IF(OR('CHOP DASHBOARD'!$C$4="",ISNUMBER(SEARCH('CHOP DASHBOARD'!$C$4,INDEX(MASTER_ZONES!$B:$B,325)))),324,""),""),""))</f>
        <v/>
      </c>
      <c r="U325">
        <f>IF('COMMUNITY CHURCH DASHBOARD'!$B$4="Area",IF(324&lt;=$X$3,IF(AND(OR('COMMUNITY CHURCH DASHBOARD'!$C$4="",ISNUMBER(SEARCH('COMMUNITY CHURCH DASHBOARD'!$C$4,INDEX(MASTER_AREAS!$B:$B,325))))),324,""),""),IF('COMMUNITY CHURCH DASHBOARD'!$B$4="Zone",IF(324&lt;=$X$4,IF(OR('COMMUNITY CHURCH DASHBOARD'!$C$4="",ISNUMBER(SEARCH('COMMUNITY CHURCH DASHBOARD'!$C$4,INDEX(MASTER_ZONES!$B:$B,325)))),324,""),""),""))</f>
        <v/>
      </c>
    </row>
    <row r="326">
      <c r="A326">
        <f>IF('WSF DASHBOARD'!$B$4="Area",IF(325&lt;=$D$3,IF(AND(OR('WSF DASHBOARD'!$C$4="",ISNUMBER(SEARCH('WSF DASHBOARD'!$C$4,INDEX(MASTER_AREAS!$B:$B,326))))),325,""),""),IF('WSF DASHBOARD'!$B$4="Zone",IF(325&lt;=$D$4,IF(OR('WSF DASHBOARD'!$C$4="",ISNUMBER(SEARCH('WSF DASHBOARD'!$C$4,INDEX(MASTER_ZONES!$B:$B,326)))),325,""),""),""))</f>
        <v/>
      </c>
      <c r="F326">
        <f>IF('TRANSPORT DASHBOARD'!$B$4="Area",IF(325&lt;=$I$3,IF(AND(INDEX(MASTER_AREAS!$F:$F,326)&lt;&gt;"N",OR('TRANSPORT DASHBOARD'!$C$4="",ISNUMBER(SEARCH('TRANSPORT DASHBOARD'!$C$4,INDEX(MASTER_AREAS!$B:$B,326))))),325,""),""),IF('TRANSPORT DASHBOARD'!$B$4="Zone",IF(325&lt;=$I$4,IF(OR('TRANSPORT DASHBOARD'!$C$4="",ISNUMBER(SEARCH('TRANSPORT DASHBOARD'!$C$4,INDEX(MASTER_ZONES!$B:$B,326)))),325,""),""),""))</f>
        <v/>
      </c>
      <c r="K326">
        <f>IF('MIDWEEK DASHBOARD'!$B$4="Area",IF(325&lt;=$N$3,IF(AND(OR('MIDWEEK DASHBOARD'!$C$4="",ISNUMBER(SEARCH('MIDWEEK DASHBOARD'!$C$4,INDEX(MASTER_AREAS!$B:$B,326))))),325,""),""),IF('MIDWEEK DASHBOARD'!$B$4="Zone",IF(325&lt;=$N$4,IF(OR('MIDWEEK DASHBOARD'!$C$4="",ISNUMBER(SEARCH('MIDWEEK DASHBOARD'!$C$4,INDEX(MASTER_ZONES!$B:$B,326)))),325,""),""),""))</f>
        <v/>
      </c>
      <c r="P326">
        <f>IF('CHOP DASHBOARD'!$B$4="Area",IF(325&lt;=$S$3,IF(AND(OR('CHOP DASHBOARD'!$C$4="",ISNUMBER(SEARCH('CHOP DASHBOARD'!$C$4,INDEX(MASTER_AREAS!$B:$B,326))))),325,""),""),IF('CHOP DASHBOARD'!$B$4="Zone",IF(325&lt;=$S$4,IF(OR('CHOP DASHBOARD'!$C$4="",ISNUMBER(SEARCH('CHOP DASHBOARD'!$C$4,INDEX(MASTER_ZONES!$B:$B,326)))),325,""),""),""))</f>
        <v/>
      </c>
      <c r="U326">
        <f>IF('COMMUNITY CHURCH DASHBOARD'!$B$4="Area",IF(325&lt;=$X$3,IF(AND(OR('COMMUNITY CHURCH DASHBOARD'!$C$4="",ISNUMBER(SEARCH('COMMUNITY CHURCH DASHBOARD'!$C$4,INDEX(MASTER_AREAS!$B:$B,326))))),325,""),""),IF('COMMUNITY CHURCH DASHBOARD'!$B$4="Zone",IF(325&lt;=$X$4,IF(OR('COMMUNITY CHURCH DASHBOARD'!$C$4="",ISNUMBER(SEARCH('COMMUNITY CHURCH DASHBOARD'!$C$4,INDEX(MASTER_ZONES!$B:$B,326)))),325,""),""),""))</f>
        <v/>
      </c>
    </row>
    <row r="327">
      <c r="A327">
        <f>IF('WSF DASHBOARD'!$B$4="Area",IF(326&lt;=$D$3,IF(AND(OR('WSF DASHBOARD'!$C$4="",ISNUMBER(SEARCH('WSF DASHBOARD'!$C$4,INDEX(MASTER_AREAS!$B:$B,327))))),326,""),""),IF('WSF DASHBOARD'!$B$4="Zone",IF(326&lt;=$D$4,IF(OR('WSF DASHBOARD'!$C$4="",ISNUMBER(SEARCH('WSF DASHBOARD'!$C$4,INDEX(MASTER_ZONES!$B:$B,327)))),326,""),""),""))</f>
        <v/>
      </c>
      <c r="F327">
        <f>IF('TRANSPORT DASHBOARD'!$B$4="Area",IF(326&lt;=$I$3,IF(AND(INDEX(MASTER_AREAS!$F:$F,327)&lt;&gt;"N",OR('TRANSPORT DASHBOARD'!$C$4="",ISNUMBER(SEARCH('TRANSPORT DASHBOARD'!$C$4,INDEX(MASTER_AREAS!$B:$B,327))))),326,""),""),IF('TRANSPORT DASHBOARD'!$B$4="Zone",IF(326&lt;=$I$4,IF(OR('TRANSPORT DASHBOARD'!$C$4="",ISNUMBER(SEARCH('TRANSPORT DASHBOARD'!$C$4,INDEX(MASTER_ZONES!$B:$B,327)))),326,""),""),""))</f>
        <v/>
      </c>
      <c r="K327">
        <f>IF('MIDWEEK DASHBOARD'!$B$4="Area",IF(326&lt;=$N$3,IF(AND(OR('MIDWEEK DASHBOARD'!$C$4="",ISNUMBER(SEARCH('MIDWEEK DASHBOARD'!$C$4,INDEX(MASTER_AREAS!$B:$B,327))))),326,""),""),IF('MIDWEEK DASHBOARD'!$B$4="Zone",IF(326&lt;=$N$4,IF(OR('MIDWEEK DASHBOARD'!$C$4="",ISNUMBER(SEARCH('MIDWEEK DASHBOARD'!$C$4,INDEX(MASTER_ZONES!$B:$B,327)))),326,""),""),""))</f>
        <v/>
      </c>
      <c r="P327">
        <f>IF('CHOP DASHBOARD'!$B$4="Area",IF(326&lt;=$S$3,IF(AND(OR('CHOP DASHBOARD'!$C$4="",ISNUMBER(SEARCH('CHOP DASHBOARD'!$C$4,INDEX(MASTER_AREAS!$B:$B,327))))),326,""),""),IF('CHOP DASHBOARD'!$B$4="Zone",IF(326&lt;=$S$4,IF(OR('CHOP DASHBOARD'!$C$4="",ISNUMBER(SEARCH('CHOP DASHBOARD'!$C$4,INDEX(MASTER_ZONES!$B:$B,327)))),326,""),""),""))</f>
        <v/>
      </c>
      <c r="U327">
        <f>IF('COMMUNITY CHURCH DASHBOARD'!$B$4="Area",IF(326&lt;=$X$3,IF(AND(OR('COMMUNITY CHURCH DASHBOARD'!$C$4="",ISNUMBER(SEARCH('COMMUNITY CHURCH DASHBOARD'!$C$4,INDEX(MASTER_AREAS!$B:$B,327))))),326,""),""),IF('COMMUNITY CHURCH DASHBOARD'!$B$4="Zone",IF(326&lt;=$X$4,IF(OR('COMMUNITY CHURCH DASHBOARD'!$C$4="",ISNUMBER(SEARCH('COMMUNITY CHURCH DASHBOARD'!$C$4,INDEX(MASTER_ZONES!$B:$B,327)))),326,""),""),""))</f>
        <v/>
      </c>
    </row>
    <row r="328">
      <c r="A328">
        <f>IF('WSF DASHBOARD'!$B$4="Area",IF(327&lt;=$D$3,IF(AND(OR('WSF DASHBOARD'!$C$4="",ISNUMBER(SEARCH('WSF DASHBOARD'!$C$4,INDEX(MASTER_AREAS!$B:$B,328))))),327,""),""),IF('WSF DASHBOARD'!$B$4="Zone",IF(327&lt;=$D$4,IF(OR('WSF DASHBOARD'!$C$4="",ISNUMBER(SEARCH('WSF DASHBOARD'!$C$4,INDEX(MASTER_ZONES!$B:$B,328)))),327,""),""),""))</f>
        <v/>
      </c>
      <c r="F328">
        <f>IF('TRANSPORT DASHBOARD'!$B$4="Area",IF(327&lt;=$I$3,IF(AND(INDEX(MASTER_AREAS!$F:$F,328)&lt;&gt;"N",OR('TRANSPORT DASHBOARD'!$C$4="",ISNUMBER(SEARCH('TRANSPORT DASHBOARD'!$C$4,INDEX(MASTER_AREAS!$B:$B,328))))),327,""),""),IF('TRANSPORT DASHBOARD'!$B$4="Zone",IF(327&lt;=$I$4,IF(OR('TRANSPORT DASHBOARD'!$C$4="",ISNUMBER(SEARCH('TRANSPORT DASHBOARD'!$C$4,INDEX(MASTER_ZONES!$B:$B,328)))),327,""),""),""))</f>
        <v/>
      </c>
      <c r="K328">
        <f>IF('MIDWEEK DASHBOARD'!$B$4="Area",IF(327&lt;=$N$3,IF(AND(OR('MIDWEEK DASHBOARD'!$C$4="",ISNUMBER(SEARCH('MIDWEEK DASHBOARD'!$C$4,INDEX(MASTER_AREAS!$B:$B,328))))),327,""),""),IF('MIDWEEK DASHBOARD'!$B$4="Zone",IF(327&lt;=$N$4,IF(OR('MIDWEEK DASHBOARD'!$C$4="",ISNUMBER(SEARCH('MIDWEEK DASHBOARD'!$C$4,INDEX(MASTER_ZONES!$B:$B,328)))),327,""),""),""))</f>
        <v/>
      </c>
      <c r="P328">
        <f>IF('CHOP DASHBOARD'!$B$4="Area",IF(327&lt;=$S$3,IF(AND(OR('CHOP DASHBOARD'!$C$4="",ISNUMBER(SEARCH('CHOP DASHBOARD'!$C$4,INDEX(MASTER_AREAS!$B:$B,328))))),327,""),""),IF('CHOP DASHBOARD'!$B$4="Zone",IF(327&lt;=$S$4,IF(OR('CHOP DASHBOARD'!$C$4="",ISNUMBER(SEARCH('CHOP DASHBOARD'!$C$4,INDEX(MASTER_ZONES!$B:$B,328)))),327,""),""),""))</f>
        <v/>
      </c>
      <c r="U328">
        <f>IF('COMMUNITY CHURCH DASHBOARD'!$B$4="Area",IF(327&lt;=$X$3,IF(AND(OR('COMMUNITY CHURCH DASHBOARD'!$C$4="",ISNUMBER(SEARCH('COMMUNITY CHURCH DASHBOARD'!$C$4,INDEX(MASTER_AREAS!$B:$B,328))))),327,""),""),IF('COMMUNITY CHURCH DASHBOARD'!$B$4="Zone",IF(327&lt;=$X$4,IF(OR('COMMUNITY CHURCH DASHBOARD'!$C$4="",ISNUMBER(SEARCH('COMMUNITY CHURCH DASHBOARD'!$C$4,INDEX(MASTER_ZONES!$B:$B,328)))),327,""),""),""))</f>
        <v/>
      </c>
    </row>
    <row r="329">
      <c r="A329">
        <f>IF('WSF DASHBOARD'!$B$4="Area",IF(328&lt;=$D$3,IF(AND(OR('WSF DASHBOARD'!$C$4="",ISNUMBER(SEARCH('WSF DASHBOARD'!$C$4,INDEX(MASTER_AREAS!$B:$B,329))))),328,""),""),IF('WSF DASHBOARD'!$B$4="Zone",IF(328&lt;=$D$4,IF(OR('WSF DASHBOARD'!$C$4="",ISNUMBER(SEARCH('WSF DASHBOARD'!$C$4,INDEX(MASTER_ZONES!$B:$B,329)))),328,""),""),""))</f>
        <v/>
      </c>
      <c r="F329">
        <f>IF('TRANSPORT DASHBOARD'!$B$4="Area",IF(328&lt;=$I$3,IF(AND(INDEX(MASTER_AREAS!$F:$F,329)&lt;&gt;"N",OR('TRANSPORT DASHBOARD'!$C$4="",ISNUMBER(SEARCH('TRANSPORT DASHBOARD'!$C$4,INDEX(MASTER_AREAS!$B:$B,329))))),328,""),""),IF('TRANSPORT DASHBOARD'!$B$4="Zone",IF(328&lt;=$I$4,IF(OR('TRANSPORT DASHBOARD'!$C$4="",ISNUMBER(SEARCH('TRANSPORT DASHBOARD'!$C$4,INDEX(MASTER_ZONES!$B:$B,329)))),328,""),""),""))</f>
        <v/>
      </c>
      <c r="K329">
        <f>IF('MIDWEEK DASHBOARD'!$B$4="Area",IF(328&lt;=$N$3,IF(AND(OR('MIDWEEK DASHBOARD'!$C$4="",ISNUMBER(SEARCH('MIDWEEK DASHBOARD'!$C$4,INDEX(MASTER_AREAS!$B:$B,329))))),328,""),""),IF('MIDWEEK DASHBOARD'!$B$4="Zone",IF(328&lt;=$N$4,IF(OR('MIDWEEK DASHBOARD'!$C$4="",ISNUMBER(SEARCH('MIDWEEK DASHBOARD'!$C$4,INDEX(MASTER_ZONES!$B:$B,329)))),328,""),""),""))</f>
        <v/>
      </c>
      <c r="P329">
        <f>IF('CHOP DASHBOARD'!$B$4="Area",IF(328&lt;=$S$3,IF(AND(OR('CHOP DASHBOARD'!$C$4="",ISNUMBER(SEARCH('CHOP DASHBOARD'!$C$4,INDEX(MASTER_AREAS!$B:$B,329))))),328,""),""),IF('CHOP DASHBOARD'!$B$4="Zone",IF(328&lt;=$S$4,IF(OR('CHOP DASHBOARD'!$C$4="",ISNUMBER(SEARCH('CHOP DASHBOARD'!$C$4,INDEX(MASTER_ZONES!$B:$B,329)))),328,""),""),""))</f>
        <v/>
      </c>
      <c r="U329">
        <f>IF('COMMUNITY CHURCH DASHBOARD'!$B$4="Area",IF(328&lt;=$X$3,IF(AND(OR('COMMUNITY CHURCH DASHBOARD'!$C$4="",ISNUMBER(SEARCH('COMMUNITY CHURCH DASHBOARD'!$C$4,INDEX(MASTER_AREAS!$B:$B,329))))),328,""),""),IF('COMMUNITY CHURCH DASHBOARD'!$B$4="Zone",IF(328&lt;=$X$4,IF(OR('COMMUNITY CHURCH DASHBOARD'!$C$4="",ISNUMBER(SEARCH('COMMUNITY CHURCH DASHBOARD'!$C$4,INDEX(MASTER_ZONES!$B:$B,329)))),328,""),""),""))</f>
        <v/>
      </c>
    </row>
    <row r="330">
      <c r="A330">
        <f>IF('WSF DASHBOARD'!$B$4="Area",IF(329&lt;=$D$3,IF(AND(OR('WSF DASHBOARD'!$C$4="",ISNUMBER(SEARCH('WSF DASHBOARD'!$C$4,INDEX(MASTER_AREAS!$B:$B,330))))),329,""),""),IF('WSF DASHBOARD'!$B$4="Zone",IF(329&lt;=$D$4,IF(OR('WSF DASHBOARD'!$C$4="",ISNUMBER(SEARCH('WSF DASHBOARD'!$C$4,INDEX(MASTER_ZONES!$B:$B,330)))),329,""),""),""))</f>
        <v/>
      </c>
      <c r="F330">
        <f>IF('TRANSPORT DASHBOARD'!$B$4="Area",IF(329&lt;=$I$3,IF(AND(INDEX(MASTER_AREAS!$F:$F,330)&lt;&gt;"N",OR('TRANSPORT DASHBOARD'!$C$4="",ISNUMBER(SEARCH('TRANSPORT DASHBOARD'!$C$4,INDEX(MASTER_AREAS!$B:$B,330))))),329,""),""),IF('TRANSPORT DASHBOARD'!$B$4="Zone",IF(329&lt;=$I$4,IF(OR('TRANSPORT DASHBOARD'!$C$4="",ISNUMBER(SEARCH('TRANSPORT DASHBOARD'!$C$4,INDEX(MASTER_ZONES!$B:$B,330)))),329,""),""),""))</f>
        <v/>
      </c>
      <c r="K330">
        <f>IF('MIDWEEK DASHBOARD'!$B$4="Area",IF(329&lt;=$N$3,IF(AND(OR('MIDWEEK DASHBOARD'!$C$4="",ISNUMBER(SEARCH('MIDWEEK DASHBOARD'!$C$4,INDEX(MASTER_AREAS!$B:$B,330))))),329,""),""),IF('MIDWEEK DASHBOARD'!$B$4="Zone",IF(329&lt;=$N$4,IF(OR('MIDWEEK DASHBOARD'!$C$4="",ISNUMBER(SEARCH('MIDWEEK DASHBOARD'!$C$4,INDEX(MASTER_ZONES!$B:$B,330)))),329,""),""),""))</f>
        <v/>
      </c>
      <c r="P330">
        <f>IF('CHOP DASHBOARD'!$B$4="Area",IF(329&lt;=$S$3,IF(AND(OR('CHOP DASHBOARD'!$C$4="",ISNUMBER(SEARCH('CHOP DASHBOARD'!$C$4,INDEX(MASTER_AREAS!$B:$B,330))))),329,""),""),IF('CHOP DASHBOARD'!$B$4="Zone",IF(329&lt;=$S$4,IF(OR('CHOP DASHBOARD'!$C$4="",ISNUMBER(SEARCH('CHOP DASHBOARD'!$C$4,INDEX(MASTER_ZONES!$B:$B,330)))),329,""),""),""))</f>
        <v/>
      </c>
      <c r="U330">
        <f>IF('COMMUNITY CHURCH DASHBOARD'!$B$4="Area",IF(329&lt;=$X$3,IF(AND(OR('COMMUNITY CHURCH DASHBOARD'!$C$4="",ISNUMBER(SEARCH('COMMUNITY CHURCH DASHBOARD'!$C$4,INDEX(MASTER_AREAS!$B:$B,330))))),329,""),""),IF('COMMUNITY CHURCH DASHBOARD'!$B$4="Zone",IF(329&lt;=$X$4,IF(OR('COMMUNITY CHURCH DASHBOARD'!$C$4="",ISNUMBER(SEARCH('COMMUNITY CHURCH DASHBOARD'!$C$4,INDEX(MASTER_ZONES!$B:$B,330)))),329,""),""),""))</f>
        <v/>
      </c>
    </row>
    <row r="331">
      <c r="A331">
        <f>IF('WSF DASHBOARD'!$B$4="Area",IF(330&lt;=$D$3,IF(AND(OR('WSF DASHBOARD'!$C$4="",ISNUMBER(SEARCH('WSF DASHBOARD'!$C$4,INDEX(MASTER_AREAS!$B:$B,331))))),330,""),""),IF('WSF DASHBOARD'!$B$4="Zone",IF(330&lt;=$D$4,IF(OR('WSF DASHBOARD'!$C$4="",ISNUMBER(SEARCH('WSF DASHBOARD'!$C$4,INDEX(MASTER_ZONES!$B:$B,331)))),330,""),""),""))</f>
        <v/>
      </c>
      <c r="F331">
        <f>IF('TRANSPORT DASHBOARD'!$B$4="Area",IF(330&lt;=$I$3,IF(AND(INDEX(MASTER_AREAS!$F:$F,331)&lt;&gt;"N",OR('TRANSPORT DASHBOARD'!$C$4="",ISNUMBER(SEARCH('TRANSPORT DASHBOARD'!$C$4,INDEX(MASTER_AREAS!$B:$B,331))))),330,""),""),IF('TRANSPORT DASHBOARD'!$B$4="Zone",IF(330&lt;=$I$4,IF(OR('TRANSPORT DASHBOARD'!$C$4="",ISNUMBER(SEARCH('TRANSPORT DASHBOARD'!$C$4,INDEX(MASTER_ZONES!$B:$B,331)))),330,""),""),""))</f>
        <v/>
      </c>
      <c r="K331">
        <f>IF('MIDWEEK DASHBOARD'!$B$4="Area",IF(330&lt;=$N$3,IF(AND(OR('MIDWEEK DASHBOARD'!$C$4="",ISNUMBER(SEARCH('MIDWEEK DASHBOARD'!$C$4,INDEX(MASTER_AREAS!$B:$B,331))))),330,""),""),IF('MIDWEEK DASHBOARD'!$B$4="Zone",IF(330&lt;=$N$4,IF(OR('MIDWEEK DASHBOARD'!$C$4="",ISNUMBER(SEARCH('MIDWEEK DASHBOARD'!$C$4,INDEX(MASTER_ZONES!$B:$B,331)))),330,""),""),""))</f>
        <v/>
      </c>
      <c r="P331">
        <f>IF('CHOP DASHBOARD'!$B$4="Area",IF(330&lt;=$S$3,IF(AND(OR('CHOP DASHBOARD'!$C$4="",ISNUMBER(SEARCH('CHOP DASHBOARD'!$C$4,INDEX(MASTER_AREAS!$B:$B,331))))),330,""),""),IF('CHOP DASHBOARD'!$B$4="Zone",IF(330&lt;=$S$4,IF(OR('CHOP DASHBOARD'!$C$4="",ISNUMBER(SEARCH('CHOP DASHBOARD'!$C$4,INDEX(MASTER_ZONES!$B:$B,331)))),330,""),""),""))</f>
        <v/>
      </c>
      <c r="U331">
        <f>IF('COMMUNITY CHURCH DASHBOARD'!$B$4="Area",IF(330&lt;=$X$3,IF(AND(OR('COMMUNITY CHURCH DASHBOARD'!$C$4="",ISNUMBER(SEARCH('COMMUNITY CHURCH DASHBOARD'!$C$4,INDEX(MASTER_AREAS!$B:$B,331))))),330,""),""),IF('COMMUNITY CHURCH DASHBOARD'!$B$4="Zone",IF(330&lt;=$X$4,IF(OR('COMMUNITY CHURCH DASHBOARD'!$C$4="",ISNUMBER(SEARCH('COMMUNITY CHURCH DASHBOARD'!$C$4,INDEX(MASTER_ZONES!$B:$B,331)))),330,""),""),""))</f>
        <v/>
      </c>
    </row>
    <row r="332">
      <c r="A332">
        <f>IF('WSF DASHBOARD'!$B$4="Area",IF(331&lt;=$D$3,IF(AND(OR('WSF DASHBOARD'!$C$4="",ISNUMBER(SEARCH('WSF DASHBOARD'!$C$4,INDEX(MASTER_AREAS!$B:$B,332))))),331,""),""),IF('WSF DASHBOARD'!$B$4="Zone",IF(331&lt;=$D$4,IF(OR('WSF DASHBOARD'!$C$4="",ISNUMBER(SEARCH('WSF DASHBOARD'!$C$4,INDEX(MASTER_ZONES!$B:$B,332)))),331,""),""),""))</f>
        <v/>
      </c>
      <c r="F332">
        <f>IF('TRANSPORT DASHBOARD'!$B$4="Area",IF(331&lt;=$I$3,IF(AND(INDEX(MASTER_AREAS!$F:$F,332)&lt;&gt;"N",OR('TRANSPORT DASHBOARD'!$C$4="",ISNUMBER(SEARCH('TRANSPORT DASHBOARD'!$C$4,INDEX(MASTER_AREAS!$B:$B,332))))),331,""),""),IF('TRANSPORT DASHBOARD'!$B$4="Zone",IF(331&lt;=$I$4,IF(OR('TRANSPORT DASHBOARD'!$C$4="",ISNUMBER(SEARCH('TRANSPORT DASHBOARD'!$C$4,INDEX(MASTER_ZONES!$B:$B,332)))),331,""),""),""))</f>
        <v/>
      </c>
      <c r="K332">
        <f>IF('MIDWEEK DASHBOARD'!$B$4="Area",IF(331&lt;=$N$3,IF(AND(OR('MIDWEEK DASHBOARD'!$C$4="",ISNUMBER(SEARCH('MIDWEEK DASHBOARD'!$C$4,INDEX(MASTER_AREAS!$B:$B,332))))),331,""),""),IF('MIDWEEK DASHBOARD'!$B$4="Zone",IF(331&lt;=$N$4,IF(OR('MIDWEEK DASHBOARD'!$C$4="",ISNUMBER(SEARCH('MIDWEEK DASHBOARD'!$C$4,INDEX(MASTER_ZONES!$B:$B,332)))),331,""),""),""))</f>
        <v/>
      </c>
      <c r="P332">
        <f>IF('CHOP DASHBOARD'!$B$4="Area",IF(331&lt;=$S$3,IF(AND(OR('CHOP DASHBOARD'!$C$4="",ISNUMBER(SEARCH('CHOP DASHBOARD'!$C$4,INDEX(MASTER_AREAS!$B:$B,332))))),331,""),""),IF('CHOP DASHBOARD'!$B$4="Zone",IF(331&lt;=$S$4,IF(OR('CHOP DASHBOARD'!$C$4="",ISNUMBER(SEARCH('CHOP DASHBOARD'!$C$4,INDEX(MASTER_ZONES!$B:$B,332)))),331,""),""),""))</f>
        <v/>
      </c>
      <c r="U332">
        <f>IF('COMMUNITY CHURCH DASHBOARD'!$B$4="Area",IF(331&lt;=$X$3,IF(AND(OR('COMMUNITY CHURCH DASHBOARD'!$C$4="",ISNUMBER(SEARCH('COMMUNITY CHURCH DASHBOARD'!$C$4,INDEX(MASTER_AREAS!$B:$B,332))))),331,""),""),IF('COMMUNITY CHURCH DASHBOARD'!$B$4="Zone",IF(331&lt;=$X$4,IF(OR('COMMUNITY CHURCH DASHBOARD'!$C$4="",ISNUMBER(SEARCH('COMMUNITY CHURCH DASHBOARD'!$C$4,INDEX(MASTER_ZONES!$B:$B,332)))),331,""),""),""))</f>
        <v/>
      </c>
    </row>
    <row r="333">
      <c r="A333">
        <f>IF('WSF DASHBOARD'!$B$4="Area",IF(332&lt;=$D$3,IF(AND(OR('WSF DASHBOARD'!$C$4="",ISNUMBER(SEARCH('WSF DASHBOARD'!$C$4,INDEX(MASTER_AREAS!$B:$B,333))))),332,""),""),IF('WSF DASHBOARD'!$B$4="Zone",IF(332&lt;=$D$4,IF(OR('WSF DASHBOARD'!$C$4="",ISNUMBER(SEARCH('WSF DASHBOARD'!$C$4,INDEX(MASTER_ZONES!$B:$B,333)))),332,""),""),""))</f>
        <v/>
      </c>
      <c r="F333">
        <f>IF('TRANSPORT DASHBOARD'!$B$4="Area",IF(332&lt;=$I$3,IF(AND(INDEX(MASTER_AREAS!$F:$F,333)&lt;&gt;"N",OR('TRANSPORT DASHBOARD'!$C$4="",ISNUMBER(SEARCH('TRANSPORT DASHBOARD'!$C$4,INDEX(MASTER_AREAS!$B:$B,333))))),332,""),""),IF('TRANSPORT DASHBOARD'!$B$4="Zone",IF(332&lt;=$I$4,IF(OR('TRANSPORT DASHBOARD'!$C$4="",ISNUMBER(SEARCH('TRANSPORT DASHBOARD'!$C$4,INDEX(MASTER_ZONES!$B:$B,333)))),332,""),""),""))</f>
        <v/>
      </c>
      <c r="K333">
        <f>IF('MIDWEEK DASHBOARD'!$B$4="Area",IF(332&lt;=$N$3,IF(AND(OR('MIDWEEK DASHBOARD'!$C$4="",ISNUMBER(SEARCH('MIDWEEK DASHBOARD'!$C$4,INDEX(MASTER_AREAS!$B:$B,333))))),332,""),""),IF('MIDWEEK DASHBOARD'!$B$4="Zone",IF(332&lt;=$N$4,IF(OR('MIDWEEK DASHBOARD'!$C$4="",ISNUMBER(SEARCH('MIDWEEK DASHBOARD'!$C$4,INDEX(MASTER_ZONES!$B:$B,333)))),332,""),""),""))</f>
        <v/>
      </c>
      <c r="P333">
        <f>IF('CHOP DASHBOARD'!$B$4="Area",IF(332&lt;=$S$3,IF(AND(OR('CHOP DASHBOARD'!$C$4="",ISNUMBER(SEARCH('CHOP DASHBOARD'!$C$4,INDEX(MASTER_AREAS!$B:$B,333))))),332,""),""),IF('CHOP DASHBOARD'!$B$4="Zone",IF(332&lt;=$S$4,IF(OR('CHOP DASHBOARD'!$C$4="",ISNUMBER(SEARCH('CHOP DASHBOARD'!$C$4,INDEX(MASTER_ZONES!$B:$B,333)))),332,""),""),""))</f>
        <v/>
      </c>
      <c r="U333">
        <f>IF('COMMUNITY CHURCH DASHBOARD'!$B$4="Area",IF(332&lt;=$X$3,IF(AND(OR('COMMUNITY CHURCH DASHBOARD'!$C$4="",ISNUMBER(SEARCH('COMMUNITY CHURCH DASHBOARD'!$C$4,INDEX(MASTER_AREAS!$B:$B,333))))),332,""),""),IF('COMMUNITY CHURCH DASHBOARD'!$B$4="Zone",IF(332&lt;=$X$4,IF(OR('COMMUNITY CHURCH DASHBOARD'!$C$4="",ISNUMBER(SEARCH('COMMUNITY CHURCH DASHBOARD'!$C$4,INDEX(MASTER_ZONES!$B:$B,333)))),332,""),""),""))</f>
        <v/>
      </c>
    </row>
    <row r="334">
      <c r="A334">
        <f>IF('WSF DASHBOARD'!$B$4="Area",IF(333&lt;=$D$3,IF(AND(OR('WSF DASHBOARD'!$C$4="",ISNUMBER(SEARCH('WSF DASHBOARD'!$C$4,INDEX(MASTER_AREAS!$B:$B,334))))),333,""),""),IF('WSF DASHBOARD'!$B$4="Zone",IF(333&lt;=$D$4,IF(OR('WSF DASHBOARD'!$C$4="",ISNUMBER(SEARCH('WSF DASHBOARD'!$C$4,INDEX(MASTER_ZONES!$B:$B,334)))),333,""),""),""))</f>
        <v/>
      </c>
      <c r="F334">
        <f>IF('TRANSPORT DASHBOARD'!$B$4="Area",IF(333&lt;=$I$3,IF(AND(INDEX(MASTER_AREAS!$F:$F,334)&lt;&gt;"N",OR('TRANSPORT DASHBOARD'!$C$4="",ISNUMBER(SEARCH('TRANSPORT DASHBOARD'!$C$4,INDEX(MASTER_AREAS!$B:$B,334))))),333,""),""),IF('TRANSPORT DASHBOARD'!$B$4="Zone",IF(333&lt;=$I$4,IF(OR('TRANSPORT DASHBOARD'!$C$4="",ISNUMBER(SEARCH('TRANSPORT DASHBOARD'!$C$4,INDEX(MASTER_ZONES!$B:$B,334)))),333,""),""),""))</f>
        <v/>
      </c>
      <c r="K334">
        <f>IF('MIDWEEK DASHBOARD'!$B$4="Area",IF(333&lt;=$N$3,IF(AND(OR('MIDWEEK DASHBOARD'!$C$4="",ISNUMBER(SEARCH('MIDWEEK DASHBOARD'!$C$4,INDEX(MASTER_AREAS!$B:$B,334))))),333,""),""),IF('MIDWEEK DASHBOARD'!$B$4="Zone",IF(333&lt;=$N$4,IF(OR('MIDWEEK DASHBOARD'!$C$4="",ISNUMBER(SEARCH('MIDWEEK DASHBOARD'!$C$4,INDEX(MASTER_ZONES!$B:$B,334)))),333,""),""),""))</f>
        <v/>
      </c>
      <c r="P334">
        <f>IF('CHOP DASHBOARD'!$B$4="Area",IF(333&lt;=$S$3,IF(AND(OR('CHOP DASHBOARD'!$C$4="",ISNUMBER(SEARCH('CHOP DASHBOARD'!$C$4,INDEX(MASTER_AREAS!$B:$B,334))))),333,""),""),IF('CHOP DASHBOARD'!$B$4="Zone",IF(333&lt;=$S$4,IF(OR('CHOP DASHBOARD'!$C$4="",ISNUMBER(SEARCH('CHOP DASHBOARD'!$C$4,INDEX(MASTER_ZONES!$B:$B,334)))),333,""),""),""))</f>
        <v/>
      </c>
      <c r="U334">
        <f>IF('COMMUNITY CHURCH DASHBOARD'!$B$4="Area",IF(333&lt;=$X$3,IF(AND(OR('COMMUNITY CHURCH DASHBOARD'!$C$4="",ISNUMBER(SEARCH('COMMUNITY CHURCH DASHBOARD'!$C$4,INDEX(MASTER_AREAS!$B:$B,334))))),333,""),""),IF('COMMUNITY CHURCH DASHBOARD'!$B$4="Zone",IF(333&lt;=$X$4,IF(OR('COMMUNITY CHURCH DASHBOARD'!$C$4="",ISNUMBER(SEARCH('COMMUNITY CHURCH DASHBOARD'!$C$4,INDEX(MASTER_ZONES!$B:$B,334)))),333,""),""),""))</f>
        <v/>
      </c>
    </row>
    <row r="335">
      <c r="A335">
        <f>IF('WSF DASHBOARD'!$B$4="Area",IF(334&lt;=$D$3,IF(AND(OR('WSF DASHBOARD'!$C$4="",ISNUMBER(SEARCH('WSF DASHBOARD'!$C$4,INDEX(MASTER_AREAS!$B:$B,335))))),334,""),""),IF('WSF DASHBOARD'!$B$4="Zone",IF(334&lt;=$D$4,IF(OR('WSF DASHBOARD'!$C$4="",ISNUMBER(SEARCH('WSF DASHBOARD'!$C$4,INDEX(MASTER_ZONES!$B:$B,335)))),334,""),""),""))</f>
        <v/>
      </c>
      <c r="F335">
        <f>IF('TRANSPORT DASHBOARD'!$B$4="Area",IF(334&lt;=$I$3,IF(AND(INDEX(MASTER_AREAS!$F:$F,335)&lt;&gt;"N",OR('TRANSPORT DASHBOARD'!$C$4="",ISNUMBER(SEARCH('TRANSPORT DASHBOARD'!$C$4,INDEX(MASTER_AREAS!$B:$B,335))))),334,""),""),IF('TRANSPORT DASHBOARD'!$B$4="Zone",IF(334&lt;=$I$4,IF(OR('TRANSPORT DASHBOARD'!$C$4="",ISNUMBER(SEARCH('TRANSPORT DASHBOARD'!$C$4,INDEX(MASTER_ZONES!$B:$B,335)))),334,""),""),""))</f>
        <v/>
      </c>
      <c r="K335">
        <f>IF('MIDWEEK DASHBOARD'!$B$4="Area",IF(334&lt;=$N$3,IF(AND(OR('MIDWEEK DASHBOARD'!$C$4="",ISNUMBER(SEARCH('MIDWEEK DASHBOARD'!$C$4,INDEX(MASTER_AREAS!$B:$B,335))))),334,""),""),IF('MIDWEEK DASHBOARD'!$B$4="Zone",IF(334&lt;=$N$4,IF(OR('MIDWEEK DASHBOARD'!$C$4="",ISNUMBER(SEARCH('MIDWEEK DASHBOARD'!$C$4,INDEX(MASTER_ZONES!$B:$B,335)))),334,""),""),""))</f>
        <v/>
      </c>
      <c r="P335">
        <f>IF('CHOP DASHBOARD'!$B$4="Area",IF(334&lt;=$S$3,IF(AND(OR('CHOP DASHBOARD'!$C$4="",ISNUMBER(SEARCH('CHOP DASHBOARD'!$C$4,INDEX(MASTER_AREAS!$B:$B,335))))),334,""),""),IF('CHOP DASHBOARD'!$B$4="Zone",IF(334&lt;=$S$4,IF(OR('CHOP DASHBOARD'!$C$4="",ISNUMBER(SEARCH('CHOP DASHBOARD'!$C$4,INDEX(MASTER_ZONES!$B:$B,335)))),334,""),""),""))</f>
        <v/>
      </c>
      <c r="U335">
        <f>IF('COMMUNITY CHURCH DASHBOARD'!$B$4="Area",IF(334&lt;=$X$3,IF(AND(OR('COMMUNITY CHURCH DASHBOARD'!$C$4="",ISNUMBER(SEARCH('COMMUNITY CHURCH DASHBOARD'!$C$4,INDEX(MASTER_AREAS!$B:$B,335))))),334,""),""),IF('COMMUNITY CHURCH DASHBOARD'!$B$4="Zone",IF(334&lt;=$X$4,IF(OR('COMMUNITY CHURCH DASHBOARD'!$C$4="",ISNUMBER(SEARCH('COMMUNITY CHURCH DASHBOARD'!$C$4,INDEX(MASTER_ZONES!$B:$B,335)))),334,""),""),""))</f>
        <v/>
      </c>
    </row>
    <row r="336">
      <c r="A336">
        <f>IF('WSF DASHBOARD'!$B$4="Area",IF(335&lt;=$D$3,IF(AND(OR('WSF DASHBOARD'!$C$4="",ISNUMBER(SEARCH('WSF DASHBOARD'!$C$4,INDEX(MASTER_AREAS!$B:$B,336))))),335,""),""),IF('WSF DASHBOARD'!$B$4="Zone",IF(335&lt;=$D$4,IF(OR('WSF DASHBOARD'!$C$4="",ISNUMBER(SEARCH('WSF DASHBOARD'!$C$4,INDEX(MASTER_ZONES!$B:$B,336)))),335,""),""),""))</f>
        <v/>
      </c>
      <c r="F336">
        <f>IF('TRANSPORT DASHBOARD'!$B$4="Area",IF(335&lt;=$I$3,IF(AND(INDEX(MASTER_AREAS!$F:$F,336)&lt;&gt;"N",OR('TRANSPORT DASHBOARD'!$C$4="",ISNUMBER(SEARCH('TRANSPORT DASHBOARD'!$C$4,INDEX(MASTER_AREAS!$B:$B,336))))),335,""),""),IF('TRANSPORT DASHBOARD'!$B$4="Zone",IF(335&lt;=$I$4,IF(OR('TRANSPORT DASHBOARD'!$C$4="",ISNUMBER(SEARCH('TRANSPORT DASHBOARD'!$C$4,INDEX(MASTER_ZONES!$B:$B,336)))),335,""),""),""))</f>
        <v/>
      </c>
      <c r="K336">
        <f>IF('MIDWEEK DASHBOARD'!$B$4="Area",IF(335&lt;=$N$3,IF(AND(OR('MIDWEEK DASHBOARD'!$C$4="",ISNUMBER(SEARCH('MIDWEEK DASHBOARD'!$C$4,INDEX(MASTER_AREAS!$B:$B,336))))),335,""),""),IF('MIDWEEK DASHBOARD'!$B$4="Zone",IF(335&lt;=$N$4,IF(OR('MIDWEEK DASHBOARD'!$C$4="",ISNUMBER(SEARCH('MIDWEEK DASHBOARD'!$C$4,INDEX(MASTER_ZONES!$B:$B,336)))),335,""),""),""))</f>
        <v/>
      </c>
      <c r="P336">
        <f>IF('CHOP DASHBOARD'!$B$4="Area",IF(335&lt;=$S$3,IF(AND(OR('CHOP DASHBOARD'!$C$4="",ISNUMBER(SEARCH('CHOP DASHBOARD'!$C$4,INDEX(MASTER_AREAS!$B:$B,336))))),335,""),""),IF('CHOP DASHBOARD'!$B$4="Zone",IF(335&lt;=$S$4,IF(OR('CHOP DASHBOARD'!$C$4="",ISNUMBER(SEARCH('CHOP DASHBOARD'!$C$4,INDEX(MASTER_ZONES!$B:$B,336)))),335,""),""),""))</f>
        <v/>
      </c>
      <c r="U336">
        <f>IF('COMMUNITY CHURCH DASHBOARD'!$B$4="Area",IF(335&lt;=$X$3,IF(AND(OR('COMMUNITY CHURCH DASHBOARD'!$C$4="",ISNUMBER(SEARCH('COMMUNITY CHURCH DASHBOARD'!$C$4,INDEX(MASTER_AREAS!$B:$B,336))))),335,""),""),IF('COMMUNITY CHURCH DASHBOARD'!$B$4="Zone",IF(335&lt;=$X$4,IF(OR('COMMUNITY CHURCH DASHBOARD'!$C$4="",ISNUMBER(SEARCH('COMMUNITY CHURCH DASHBOARD'!$C$4,INDEX(MASTER_ZONES!$B:$B,336)))),335,""),""),""))</f>
        <v/>
      </c>
    </row>
    <row r="337">
      <c r="A337">
        <f>IF('WSF DASHBOARD'!$B$4="Area",IF(336&lt;=$D$3,IF(AND(OR('WSF DASHBOARD'!$C$4="",ISNUMBER(SEARCH('WSF DASHBOARD'!$C$4,INDEX(MASTER_AREAS!$B:$B,337))))),336,""),""),IF('WSF DASHBOARD'!$B$4="Zone",IF(336&lt;=$D$4,IF(OR('WSF DASHBOARD'!$C$4="",ISNUMBER(SEARCH('WSF DASHBOARD'!$C$4,INDEX(MASTER_ZONES!$B:$B,337)))),336,""),""),""))</f>
        <v/>
      </c>
      <c r="F337">
        <f>IF('TRANSPORT DASHBOARD'!$B$4="Area",IF(336&lt;=$I$3,IF(AND(INDEX(MASTER_AREAS!$F:$F,337)&lt;&gt;"N",OR('TRANSPORT DASHBOARD'!$C$4="",ISNUMBER(SEARCH('TRANSPORT DASHBOARD'!$C$4,INDEX(MASTER_AREAS!$B:$B,337))))),336,""),""),IF('TRANSPORT DASHBOARD'!$B$4="Zone",IF(336&lt;=$I$4,IF(OR('TRANSPORT DASHBOARD'!$C$4="",ISNUMBER(SEARCH('TRANSPORT DASHBOARD'!$C$4,INDEX(MASTER_ZONES!$B:$B,337)))),336,""),""),""))</f>
        <v/>
      </c>
      <c r="K337">
        <f>IF('MIDWEEK DASHBOARD'!$B$4="Area",IF(336&lt;=$N$3,IF(AND(OR('MIDWEEK DASHBOARD'!$C$4="",ISNUMBER(SEARCH('MIDWEEK DASHBOARD'!$C$4,INDEX(MASTER_AREAS!$B:$B,337))))),336,""),""),IF('MIDWEEK DASHBOARD'!$B$4="Zone",IF(336&lt;=$N$4,IF(OR('MIDWEEK DASHBOARD'!$C$4="",ISNUMBER(SEARCH('MIDWEEK DASHBOARD'!$C$4,INDEX(MASTER_ZONES!$B:$B,337)))),336,""),""),""))</f>
        <v/>
      </c>
      <c r="P337">
        <f>IF('CHOP DASHBOARD'!$B$4="Area",IF(336&lt;=$S$3,IF(AND(OR('CHOP DASHBOARD'!$C$4="",ISNUMBER(SEARCH('CHOP DASHBOARD'!$C$4,INDEX(MASTER_AREAS!$B:$B,337))))),336,""),""),IF('CHOP DASHBOARD'!$B$4="Zone",IF(336&lt;=$S$4,IF(OR('CHOP DASHBOARD'!$C$4="",ISNUMBER(SEARCH('CHOP DASHBOARD'!$C$4,INDEX(MASTER_ZONES!$B:$B,337)))),336,""),""),""))</f>
        <v/>
      </c>
      <c r="U337">
        <f>IF('COMMUNITY CHURCH DASHBOARD'!$B$4="Area",IF(336&lt;=$X$3,IF(AND(OR('COMMUNITY CHURCH DASHBOARD'!$C$4="",ISNUMBER(SEARCH('COMMUNITY CHURCH DASHBOARD'!$C$4,INDEX(MASTER_AREAS!$B:$B,337))))),336,""),""),IF('COMMUNITY CHURCH DASHBOARD'!$B$4="Zone",IF(336&lt;=$X$4,IF(OR('COMMUNITY CHURCH DASHBOARD'!$C$4="",ISNUMBER(SEARCH('COMMUNITY CHURCH DASHBOARD'!$C$4,INDEX(MASTER_ZONES!$B:$B,337)))),336,""),""),""))</f>
        <v/>
      </c>
    </row>
    <row r="338">
      <c r="A338">
        <f>IF('WSF DASHBOARD'!$B$4="Area",IF(337&lt;=$D$3,IF(AND(OR('WSF DASHBOARD'!$C$4="",ISNUMBER(SEARCH('WSF DASHBOARD'!$C$4,INDEX(MASTER_AREAS!$B:$B,338))))),337,""),""),IF('WSF DASHBOARD'!$B$4="Zone",IF(337&lt;=$D$4,IF(OR('WSF DASHBOARD'!$C$4="",ISNUMBER(SEARCH('WSF DASHBOARD'!$C$4,INDEX(MASTER_ZONES!$B:$B,338)))),337,""),""),""))</f>
        <v/>
      </c>
      <c r="F338">
        <f>IF('TRANSPORT DASHBOARD'!$B$4="Area",IF(337&lt;=$I$3,IF(AND(INDEX(MASTER_AREAS!$F:$F,338)&lt;&gt;"N",OR('TRANSPORT DASHBOARD'!$C$4="",ISNUMBER(SEARCH('TRANSPORT DASHBOARD'!$C$4,INDEX(MASTER_AREAS!$B:$B,338))))),337,""),""),IF('TRANSPORT DASHBOARD'!$B$4="Zone",IF(337&lt;=$I$4,IF(OR('TRANSPORT DASHBOARD'!$C$4="",ISNUMBER(SEARCH('TRANSPORT DASHBOARD'!$C$4,INDEX(MASTER_ZONES!$B:$B,338)))),337,""),""),""))</f>
        <v/>
      </c>
      <c r="K338">
        <f>IF('MIDWEEK DASHBOARD'!$B$4="Area",IF(337&lt;=$N$3,IF(AND(OR('MIDWEEK DASHBOARD'!$C$4="",ISNUMBER(SEARCH('MIDWEEK DASHBOARD'!$C$4,INDEX(MASTER_AREAS!$B:$B,338))))),337,""),""),IF('MIDWEEK DASHBOARD'!$B$4="Zone",IF(337&lt;=$N$4,IF(OR('MIDWEEK DASHBOARD'!$C$4="",ISNUMBER(SEARCH('MIDWEEK DASHBOARD'!$C$4,INDEX(MASTER_ZONES!$B:$B,338)))),337,""),""),""))</f>
        <v/>
      </c>
      <c r="P338">
        <f>IF('CHOP DASHBOARD'!$B$4="Area",IF(337&lt;=$S$3,IF(AND(OR('CHOP DASHBOARD'!$C$4="",ISNUMBER(SEARCH('CHOP DASHBOARD'!$C$4,INDEX(MASTER_AREAS!$B:$B,338))))),337,""),""),IF('CHOP DASHBOARD'!$B$4="Zone",IF(337&lt;=$S$4,IF(OR('CHOP DASHBOARD'!$C$4="",ISNUMBER(SEARCH('CHOP DASHBOARD'!$C$4,INDEX(MASTER_ZONES!$B:$B,338)))),337,""),""),""))</f>
        <v/>
      </c>
      <c r="U338">
        <f>IF('COMMUNITY CHURCH DASHBOARD'!$B$4="Area",IF(337&lt;=$X$3,IF(AND(OR('COMMUNITY CHURCH DASHBOARD'!$C$4="",ISNUMBER(SEARCH('COMMUNITY CHURCH DASHBOARD'!$C$4,INDEX(MASTER_AREAS!$B:$B,338))))),337,""),""),IF('COMMUNITY CHURCH DASHBOARD'!$B$4="Zone",IF(337&lt;=$X$4,IF(OR('COMMUNITY CHURCH DASHBOARD'!$C$4="",ISNUMBER(SEARCH('COMMUNITY CHURCH DASHBOARD'!$C$4,INDEX(MASTER_ZONES!$B:$B,338)))),337,""),""),""))</f>
        <v/>
      </c>
    </row>
    <row r="339">
      <c r="A339">
        <f>IF('WSF DASHBOARD'!$B$4="Area",IF(338&lt;=$D$3,IF(AND(OR('WSF DASHBOARD'!$C$4="",ISNUMBER(SEARCH('WSF DASHBOARD'!$C$4,INDEX(MASTER_AREAS!$B:$B,339))))),338,""),""),IF('WSF DASHBOARD'!$B$4="Zone",IF(338&lt;=$D$4,IF(OR('WSF DASHBOARD'!$C$4="",ISNUMBER(SEARCH('WSF DASHBOARD'!$C$4,INDEX(MASTER_ZONES!$B:$B,339)))),338,""),""),""))</f>
        <v/>
      </c>
      <c r="F339">
        <f>IF('TRANSPORT DASHBOARD'!$B$4="Area",IF(338&lt;=$I$3,IF(AND(INDEX(MASTER_AREAS!$F:$F,339)&lt;&gt;"N",OR('TRANSPORT DASHBOARD'!$C$4="",ISNUMBER(SEARCH('TRANSPORT DASHBOARD'!$C$4,INDEX(MASTER_AREAS!$B:$B,339))))),338,""),""),IF('TRANSPORT DASHBOARD'!$B$4="Zone",IF(338&lt;=$I$4,IF(OR('TRANSPORT DASHBOARD'!$C$4="",ISNUMBER(SEARCH('TRANSPORT DASHBOARD'!$C$4,INDEX(MASTER_ZONES!$B:$B,339)))),338,""),""),""))</f>
        <v/>
      </c>
      <c r="K339">
        <f>IF('MIDWEEK DASHBOARD'!$B$4="Area",IF(338&lt;=$N$3,IF(AND(OR('MIDWEEK DASHBOARD'!$C$4="",ISNUMBER(SEARCH('MIDWEEK DASHBOARD'!$C$4,INDEX(MASTER_AREAS!$B:$B,339))))),338,""),""),IF('MIDWEEK DASHBOARD'!$B$4="Zone",IF(338&lt;=$N$4,IF(OR('MIDWEEK DASHBOARD'!$C$4="",ISNUMBER(SEARCH('MIDWEEK DASHBOARD'!$C$4,INDEX(MASTER_ZONES!$B:$B,339)))),338,""),""),""))</f>
        <v/>
      </c>
      <c r="P339">
        <f>IF('CHOP DASHBOARD'!$B$4="Area",IF(338&lt;=$S$3,IF(AND(OR('CHOP DASHBOARD'!$C$4="",ISNUMBER(SEARCH('CHOP DASHBOARD'!$C$4,INDEX(MASTER_AREAS!$B:$B,339))))),338,""),""),IF('CHOP DASHBOARD'!$B$4="Zone",IF(338&lt;=$S$4,IF(OR('CHOP DASHBOARD'!$C$4="",ISNUMBER(SEARCH('CHOP DASHBOARD'!$C$4,INDEX(MASTER_ZONES!$B:$B,339)))),338,""),""),""))</f>
        <v/>
      </c>
      <c r="U339">
        <f>IF('COMMUNITY CHURCH DASHBOARD'!$B$4="Area",IF(338&lt;=$X$3,IF(AND(OR('COMMUNITY CHURCH DASHBOARD'!$C$4="",ISNUMBER(SEARCH('COMMUNITY CHURCH DASHBOARD'!$C$4,INDEX(MASTER_AREAS!$B:$B,339))))),338,""),""),IF('COMMUNITY CHURCH DASHBOARD'!$B$4="Zone",IF(338&lt;=$X$4,IF(OR('COMMUNITY CHURCH DASHBOARD'!$C$4="",ISNUMBER(SEARCH('COMMUNITY CHURCH DASHBOARD'!$C$4,INDEX(MASTER_ZONES!$B:$B,339)))),338,""),""),""))</f>
        <v/>
      </c>
    </row>
    <row r="340">
      <c r="A340">
        <f>IF('WSF DASHBOARD'!$B$4="Area",IF(339&lt;=$D$3,IF(AND(OR('WSF DASHBOARD'!$C$4="",ISNUMBER(SEARCH('WSF DASHBOARD'!$C$4,INDEX(MASTER_AREAS!$B:$B,340))))),339,""),""),IF('WSF DASHBOARD'!$B$4="Zone",IF(339&lt;=$D$4,IF(OR('WSF DASHBOARD'!$C$4="",ISNUMBER(SEARCH('WSF DASHBOARD'!$C$4,INDEX(MASTER_ZONES!$B:$B,340)))),339,""),""),""))</f>
        <v/>
      </c>
      <c r="F340">
        <f>IF('TRANSPORT DASHBOARD'!$B$4="Area",IF(339&lt;=$I$3,IF(AND(INDEX(MASTER_AREAS!$F:$F,340)&lt;&gt;"N",OR('TRANSPORT DASHBOARD'!$C$4="",ISNUMBER(SEARCH('TRANSPORT DASHBOARD'!$C$4,INDEX(MASTER_AREAS!$B:$B,340))))),339,""),""),IF('TRANSPORT DASHBOARD'!$B$4="Zone",IF(339&lt;=$I$4,IF(OR('TRANSPORT DASHBOARD'!$C$4="",ISNUMBER(SEARCH('TRANSPORT DASHBOARD'!$C$4,INDEX(MASTER_ZONES!$B:$B,340)))),339,""),""),""))</f>
        <v/>
      </c>
      <c r="K340">
        <f>IF('MIDWEEK DASHBOARD'!$B$4="Area",IF(339&lt;=$N$3,IF(AND(OR('MIDWEEK DASHBOARD'!$C$4="",ISNUMBER(SEARCH('MIDWEEK DASHBOARD'!$C$4,INDEX(MASTER_AREAS!$B:$B,340))))),339,""),""),IF('MIDWEEK DASHBOARD'!$B$4="Zone",IF(339&lt;=$N$4,IF(OR('MIDWEEK DASHBOARD'!$C$4="",ISNUMBER(SEARCH('MIDWEEK DASHBOARD'!$C$4,INDEX(MASTER_ZONES!$B:$B,340)))),339,""),""),""))</f>
        <v/>
      </c>
      <c r="P340">
        <f>IF('CHOP DASHBOARD'!$B$4="Area",IF(339&lt;=$S$3,IF(AND(OR('CHOP DASHBOARD'!$C$4="",ISNUMBER(SEARCH('CHOP DASHBOARD'!$C$4,INDEX(MASTER_AREAS!$B:$B,340))))),339,""),""),IF('CHOP DASHBOARD'!$B$4="Zone",IF(339&lt;=$S$4,IF(OR('CHOP DASHBOARD'!$C$4="",ISNUMBER(SEARCH('CHOP DASHBOARD'!$C$4,INDEX(MASTER_ZONES!$B:$B,340)))),339,""),""),""))</f>
        <v/>
      </c>
      <c r="U340">
        <f>IF('COMMUNITY CHURCH DASHBOARD'!$B$4="Area",IF(339&lt;=$X$3,IF(AND(OR('COMMUNITY CHURCH DASHBOARD'!$C$4="",ISNUMBER(SEARCH('COMMUNITY CHURCH DASHBOARD'!$C$4,INDEX(MASTER_AREAS!$B:$B,340))))),339,""),""),IF('COMMUNITY CHURCH DASHBOARD'!$B$4="Zone",IF(339&lt;=$X$4,IF(OR('COMMUNITY CHURCH DASHBOARD'!$C$4="",ISNUMBER(SEARCH('COMMUNITY CHURCH DASHBOARD'!$C$4,INDEX(MASTER_ZONES!$B:$B,340)))),339,""),""),""))</f>
        <v/>
      </c>
    </row>
    <row r="341">
      <c r="A341">
        <f>IF('WSF DASHBOARD'!$B$4="Area",IF(340&lt;=$D$3,IF(AND(OR('WSF DASHBOARD'!$C$4="",ISNUMBER(SEARCH('WSF DASHBOARD'!$C$4,INDEX(MASTER_AREAS!$B:$B,341))))),340,""),""),IF('WSF DASHBOARD'!$B$4="Zone",IF(340&lt;=$D$4,IF(OR('WSF DASHBOARD'!$C$4="",ISNUMBER(SEARCH('WSF DASHBOARD'!$C$4,INDEX(MASTER_ZONES!$B:$B,341)))),340,""),""),""))</f>
        <v/>
      </c>
      <c r="F341">
        <f>IF('TRANSPORT DASHBOARD'!$B$4="Area",IF(340&lt;=$I$3,IF(AND(INDEX(MASTER_AREAS!$F:$F,341)&lt;&gt;"N",OR('TRANSPORT DASHBOARD'!$C$4="",ISNUMBER(SEARCH('TRANSPORT DASHBOARD'!$C$4,INDEX(MASTER_AREAS!$B:$B,341))))),340,""),""),IF('TRANSPORT DASHBOARD'!$B$4="Zone",IF(340&lt;=$I$4,IF(OR('TRANSPORT DASHBOARD'!$C$4="",ISNUMBER(SEARCH('TRANSPORT DASHBOARD'!$C$4,INDEX(MASTER_ZONES!$B:$B,341)))),340,""),""),""))</f>
        <v/>
      </c>
      <c r="K341">
        <f>IF('MIDWEEK DASHBOARD'!$B$4="Area",IF(340&lt;=$N$3,IF(AND(OR('MIDWEEK DASHBOARD'!$C$4="",ISNUMBER(SEARCH('MIDWEEK DASHBOARD'!$C$4,INDEX(MASTER_AREAS!$B:$B,341))))),340,""),""),IF('MIDWEEK DASHBOARD'!$B$4="Zone",IF(340&lt;=$N$4,IF(OR('MIDWEEK DASHBOARD'!$C$4="",ISNUMBER(SEARCH('MIDWEEK DASHBOARD'!$C$4,INDEX(MASTER_ZONES!$B:$B,341)))),340,""),""),""))</f>
        <v/>
      </c>
      <c r="P341">
        <f>IF('CHOP DASHBOARD'!$B$4="Area",IF(340&lt;=$S$3,IF(AND(OR('CHOP DASHBOARD'!$C$4="",ISNUMBER(SEARCH('CHOP DASHBOARD'!$C$4,INDEX(MASTER_AREAS!$B:$B,341))))),340,""),""),IF('CHOP DASHBOARD'!$B$4="Zone",IF(340&lt;=$S$4,IF(OR('CHOP DASHBOARD'!$C$4="",ISNUMBER(SEARCH('CHOP DASHBOARD'!$C$4,INDEX(MASTER_ZONES!$B:$B,341)))),340,""),""),""))</f>
        <v/>
      </c>
      <c r="U341">
        <f>IF('COMMUNITY CHURCH DASHBOARD'!$B$4="Area",IF(340&lt;=$X$3,IF(AND(OR('COMMUNITY CHURCH DASHBOARD'!$C$4="",ISNUMBER(SEARCH('COMMUNITY CHURCH DASHBOARD'!$C$4,INDEX(MASTER_AREAS!$B:$B,341))))),340,""),""),IF('COMMUNITY CHURCH DASHBOARD'!$B$4="Zone",IF(340&lt;=$X$4,IF(OR('COMMUNITY CHURCH DASHBOARD'!$C$4="",ISNUMBER(SEARCH('COMMUNITY CHURCH DASHBOARD'!$C$4,INDEX(MASTER_ZONES!$B:$B,341)))),340,""),""),""))</f>
        <v/>
      </c>
    </row>
    <row r="342">
      <c r="A342">
        <f>IF('WSF DASHBOARD'!$B$4="Area",IF(341&lt;=$D$3,IF(AND(OR('WSF DASHBOARD'!$C$4="",ISNUMBER(SEARCH('WSF DASHBOARD'!$C$4,INDEX(MASTER_AREAS!$B:$B,342))))),341,""),""),IF('WSF DASHBOARD'!$B$4="Zone",IF(341&lt;=$D$4,IF(OR('WSF DASHBOARD'!$C$4="",ISNUMBER(SEARCH('WSF DASHBOARD'!$C$4,INDEX(MASTER_ZONES!$B:$B,342)))),341,""),""),""))</f>
        <v/>
      </c>
      <c r="F342">
        <f>IF('TRANSPORT DASHBOARD'!$B$4="Area",IF(341&lt;=$I$3,IF(AND(INDEX(MASTER_AREAS!$F:$F,342)&lt;&gt;"N",OR('TRANSPORT DASHBOARD'!$C$4="",ISNUMBER(SEARCH('TRANSPORT DASHBOARD'!$C$4,INDEX(MASTER_AREAS!$B:$B,342))))),341,""),""),IF('TRANSPORT DASHBOARD'!$B$4="Zone",IF(341&lt;=$I$4,IF(OR('TRANSPORT DASHBOARD'!$C$4="",ISNUMBER(SEARCH('TRANSPORT DASHBOARD'!$C$4,INDEX(MASTER_ZONES!$B:$B,342)))),341,""),""),""))</f>
        <v/>
      </c>
      <c r="K342">
        <f>IF('MIDWEEK DASHBOARD'!$B$4="Area",IF(341&lt;=$N$3,IF(AND(OR('MIDWEEK DASHBOARD'!$C$4="",ISNUMBER(SEARCH('MIDWEEK DASHBOARD'!$C$4,INDEX(MASTER_AREAS!$B:$B,342))))),341,""),""),IF('MIDWEEK DASHBOARD'!$B$4="Zone",IF(341&lt;=$N$4,IF(OR('MIDWEEK DASHBOARD'!$C$4="",ISNUMBER(SEARCH('MIDWEEK DASHBOARD'!$C$4,INDEX(MASTER_ZONES!$B:$B,342)))),341,""),""),""))</f>
        <v/>
      </c>
      <c r="P342">
        <f>IF('CHOP DASHBOARD'!$B$4="Area",IF(341&lt;=$S$3,IF(AND(OR('CHOP DASHBOARD'!$C$4="",ISNUMBER(SEARCH('CHOP DASHBOARD'!$C$4,INDEX(MASTER_AREAS!$B:$B,342))))),341,""),""),IF('CHOP DASHBOARD'!$B$4="Zone",IF(341&lt;=$S$4,IF(OR('CHOP DASHBOARD'!$C$4="",ISNUMBER(SEARCH('CHOP DASHBOARD'!$C$4,INDEX(MASTER_ZONES!$B:$B,342)))),341,""),""),""))</f>
        <v/>
      </c>
      <c r="U342">
        <f>IF('COMMUNITY CHURCH DASHBOARD'!$B$4="Area",IF(341&lt;=$X$3,IF(AND(OR('COMMUNITY CHURCH DASHBOARD'!$C$4="",ISNUMBER(SEARCH('COMMUNITY CHURCH DASHBOARD'!$C$4,INDEX(MASTER_AREAS!$B:$B,342))))),341,""),""),IF('COMMUNITY CHURCH DASHBOARD'!$B$4="Zone",IF(341&lt;=$X$4,IF(OR('COMMUNITY CHURCH DASHBOARD'!$C$4="",ISNUMBER(SEARCH('COMMUNITY CHURCH DASHBOARD'!$C$4,INDEX(MASTER_ZONES!$B:$B,342)))),341,""),""),""))</f>
        <v/>
      </c>
    </row>
    <row r="343">
      <c r="A343">
        <f>IF('WSF DASHBOARD'!$B$4="Area",IF(342&lt;=$D$3,IF(AND(OR('WSF DASHBOARD'!$C$4="",ISNUMBER(SEARCH('WSF DASHBOARD'!$C$4,INDEX(MASTER_AREAS!$B:$B,343))))),342,""),""),IF('WSF DASHBOARD'!$B$4="Zone",IF(342&lt;=$D$4,IF(OR('WSF DASHBOARD'!$C$4="",ISNUMBER(SEARCH('WSF DASHBOARD'!$C$4,INDEX(MASTER_ZONES!$B:$B,343)))),342,""),""),""))</f>
        <v/>
      </c>
      <c r="F343">
        <f>IF('TRANSPORT DASHBOARD'!$B$4="Area",IF(342&lt;=$I$3,IF(AND(INDEX(MASTER_AREAS!$F:$F,343)&lt;&gt;"N",OR('TRANSPORT DASHBOARD'!$C$4="",ISNUMBER(SEARCH('TRANSPORT DASHBOARD'!$C$4,INDEX(MASTER_AREAS!$B:$B,343))))),342,""),""),IF('TRANSPORT DASHBOARD'!$B$4="Zone",IF(342&lt;=$I$4,IF(OR('TRANSPORT DASHBOARD'!$C$4="",ISNUMBER(SEARCH('TRANSPORT DASHBOARD'!$C$4,INDEX(MASTER_ZONES!$B:$B,343)))),342,""),""),""))</f>
        <v/>
      </c>
      <c r="K343">
        <f>IF('MIDWEEK DASHBOARD'!$B$4="Area",IF(342&lt;=$N$3,IF(AND(OR('MIDWEEK DASHBOARD'!$C$4="",ISNUMBER(SEARCH('MIDWEEK DASHBOARD'!$C$4,INDEX(MASTER_AREAS!$B:$B,343))))),342,""),""),IF('MIDWEEK DASHBOARD'!$B$4="Zone",IF(342&lt;=$N$4,IF(OR('MIDWEEK DASHBOARD'!$C$4="",ISNUMBER(SEARCH('MIDWEEK DASHBOARD'!$C$4,INDEX(MASTER_ZONES!$B:$B,343)))),342,""),""),""))</f>
        <v/>
      </c>
      <c r="P343">
        <f>IF('CHOP DASHBOARD'!$B$4="Area",IF(342&lt;=$S$3,IF(AND(OR('CHOP DASHBOARD'!$C$4="",ISNUMBER(SEARCH('CHOP DASHBOARD'!$C$4,INDEX(MASTER_AREAS!$B:$B,343))))),342,""),""),IF('CHOP DASHBOARD'!$B$4="Zone",IF(342&lt;=$S$4,IF(OR('CHOP DASHBOARD'!$C$4="",ISNUMBER(SEARCH('CHOP DASHBOARD'!$C$4,INDEX(MASTER_ZONES!$B:$B,343)))),342,""),""),""))</f>
        <v/>
      </c>
      <c r="U343">
        <f>IF('COMMUNITY CHURCH DASHBOARD'!$B$4="Area",IF(342&lt;=$X$3,IF(AND(OR('COMMUNITY CHURCH DASHBOARD'!$C$4="",ISNUMBER(SEARCH('COMMUNITY CHURCH DASHBOARD'!$C$4,INDEX(MASTER_AREAS!$B:$B,343))))),342,""),""),IF('COMMUNITY CHURCH DASHBOARD'!$B$4="Zone",IF(342&lt;=$X$4,IF(OR('COMMUNITY CHURCH DASHBOARD'!$C$4="",ISNUMBER(SEARCH('COMMUNITY CHURCH DASHBOARD'!$C$4,INDEX(MASTER_ZONES!$B:$B,343)))),342,""),""),""))</f>
        <v/>
      </c>
    </row>
    <row r="344">
      <c r="A344">
        <f>IF('WSF DASHBOARD'!$B$4="Area",IF(343&lt;=$D$3,IF(AND(OR('WSF DASHBOARD'!$C$4="",ISNUMBER(SEARCH('WSF DASHBOARD'!$C$4,INDEX(MASTER_AREAS!$B:$B,344))))),343,""),""),IF('WSF DASHBOARD'!$B$4="Zone",IF(343&lt;=$D$4,IF(OR('WSF DASHBOARD'!$C$4="",ISNUMBER(SEARCH('WSF DASHBOARD'!$C$4,INDEX(MASTER_ZONES!$B:$B,344)))),343,""),""),""))</f>
        <v/>
      </c>
      <c r="F344">
        <f>IF('TRANSPORT DASHBOARD'!$B$4="Area",IF(343&lt;=$I$3,IF(AND(INDEX(MASTER_AREAS!$F:$F,344)&lt;&gt;"N",OR('TRANSPORT DASHBOARD'!$C$4="",ISNUMBER(SEARCH('TRANSPORT DASHBOARD'!$C$4,INDEX(MASTER_AREAS!$B:$B,344))))),343,""),""),IF('TRANSPORT DASHBOARD'!$B$4="Zone",IF(343&lt;=$I$4,IF(OR('TRANSPORT DASHBOARD'!$C$4="",ISNUMBER(SEARCH('TRANSPORT DASHBOARD'!$C$4,INDEX(MASTER_ZONES!$B:$B,344)))),343,""),""),""))</f>
        <v/>
      </c>
      <c r="K344">
        <f>IF('MIDWEEK DASHBOARD'!$B$4="Area",IF(343&lt;=$N$3,IF(AND(OR('MIDWEEK DASHBOARD'!$C$4="",ISNUMBER(SEARCH('MIDWEEK DASHBOARD'!$C$4,INDEX(MASTER_AREAS!$B:$B,344))))),343,""),""),IF('MIDWEEK DASHBOARD'!$B$4="Zone",IF(343&lt;=$N$4,IF(OR('MIDWEEK DASHBOARD'!$C$4="",ISNUMBER(SEARCH('MIDWEEK DASHBOARD'!$C$4,INDEX(MASTER_ZONES!$B:$B,344)))),343,""),""),""))</f>
        <v/>
      </c>
      <c r="P344">
        <f>IF('CHOP DASHBOARD'!$B$4="Area",IF(343&lt;=$S$3,IF(AND(OR('CHOP DASHBOARD'!$C$4="",ISNUMBER(SEARCH('CHOP DASHBOARD'!$C$4,INDEX(MASTER_AREAS!$B:$B,344))))),343,""),""),IF('CHOP DASHBOARD'!$B$4="Zone",IF(343&lt;=$S$4,IF(OR('CHOP DASHBOARD'!$C$4="",ISNUMBER(SEARCH('CHOP DASHBOARD'!$C$4,INDEX(MASTER_ZONES!$B:$B,344)))),343,""),""),""))</f>
        <v/>
      </c>
      <c r="U344">
        <f>IF('COMMUNITY CHURCH DASHBOARD'!$B$4="Area",IF(343&lt;=$X$3,IF(AND(OR('COMMUNITY CHURCH DASHBOARD'!$C$4="",ISNUMBER(SEARCH('COMMUNITY CHURCH DASHBOARD'!$C$4,INDEX(MASTER_AREAS!$B:$B,344))))),343,""),""),IF('COMMUNITY CHURCH DASHBOARD'!$B$4="Zone",IF(343&lt;=$X$4,IF(OR('COMMUNITY CHURCH DASHBOARD'!$C$4="",ISNUMBER(SEARCH('COMMUNITY CHURCH DASHBOARD'!$C$4,INDEX(MASTER_ZONES!$B:$B,344)))),343,""),""),""))</f>
        <v/>
      </c>
    </row>
    <row r="345">
      <c r="A345">
        <f>IF('WSF DASHBOARD'!$B$4="Area",IF(344&lt;=$D$3,IF(AND(OR('WSF DASHBOARD'!$C$4="",ISNUMBER(SEARCH('WSF DASHBOARD'!$C$4,INDEX(MASTER_AREAS!$B:$B,345))))),344,""),""),IF('WSF DASHBOARD'!$B$4="Zone",IF(344&lt;=$D$4,IF(OR('WSF DASHBOARD'!$C$4="",ISNUMBER(SEARCH('WSF DASHBOARD'!$C$4,INDEX(MASTER_ZONES!$B:$B,345)))),344,""),""),""))</f>
        <v/>
      </c>
      <c r="F345">
        <f>IF('TRANSPORT DASHBOARD'!$B$4="Area",IF(344&lt;=$I$3,IF(AND(INDEX(MASTER_AREAS!$F:$F,345)&lt;&gt;"N",OR('TRANSPORT DASHBOARD'!$C$4="",ISNUMBER(SEARCH('TRANSPORT DASHBOARD'!$C$4,INDEX(MASTER_AREAS!$B:$B,345))))),344,""),""),IF('TRANSPORT DASHBOARD'!$B$4="Zone",IF(344&lt;=$I$4,IF(OR('TRANSPORT DASHBOARD'!$C$4="",ISNUMBER(SEARCH('TRANSPORT DASHBOARD'!$C$4,INDEX(MASTER_ZONES!$B:$B,345)))),344,""),""),""))</f>
        <v/>
      </c>
      <c r="K345">
        <f>IF('MIDWEEK DASHBOARD'!$B$4="Area",IF(344&lt;=$N$3,IF(AND(OR('MIDWEEK DASHBOARD'!$C$4="",ISNUMBER(SEARCH('MIDWEEK DASHBOARD'!$C$4,INDEX(MASTER_AREAS!$B:$B,345))))),344,""),""),IF('MIDWEEK DASHBOARD'!$B$4="Zone",IF(344&lt;=$N$4,IF(OR('MIDWEEK DASHBOARD'!$C$4="",ISNUMBER(SEARCH('MIDWEEK DASHBOARD'!$C$4,INDEX(MASTER_ZONES!$B:$B,345)))),344,""),""),""))</f>
        <v/>
      </c>
      <c r="P345">
        <f>IF('CHOP DASHBOARD'!$B$4="Area",IF(344&lt;=$S$3,IF(AND(OR('CHOP DASHBOARD'!$C$4="",ISNUMBER(SEARCH('CHOP DASHBOARD'!$C$4,INDEX(MASTER_AREAS!$B:$B,345))))),344,""),""),IF('CHOP DASHBOARD'!$B$4="Zone",IF(344&lt;=$S$4,IF(OR('CHOP DASHBOARD'!$C$4="",ISNUMBER(SEARCH('CHOP DASHBOARD'!$C$4,INDEX(MASTER_ZONES!$B:$B,345)))),344,""),""),""))</f>
        <v/>
      </c>
      <c r="U345">
        <f>IF('COMMUNITY CHURCH DASHBOARD'!$B$4="Area",IF(344&lt;=$X$3,IF(AND(OR('COMMUNITY CHURCH DASHBOARD'!$C$4="",ISNUMBER(SEARCH('COMMUNITY CHURCH DASHBOARD'!$C$4,INDEX(MASTER_AREAS!$B:$B,345))))),344,""),""),IF('COMMUNITY CHURCH DASHBOARD'!$B$4="Zone",IF(344&lt;=$X$4,IF(OR('COMMUNITY CHURCH DASHBOARD'!$C$4="",ISNUMBER(SEARCH('COMMUNITY CHURCH DASHBOARD'!$C$4,INDEX(MASTER_ZONES!$B:$B,345)))),344,""),""),""))</f>
        <v/>
      </c>
    </row>
    <row r="346">
      <c r="A346">
        <f>IF('WSF DASHBOARD'!$B$4="Area",IF(345&lt;=$D$3,IF(AND(OR('WSF DASHBOARD'!$C$4="",ISNUMBER(SEARCH('WSF DASHBOARD'!$C$4,INDEX(MASTER_AREAS!$B:$B,346))))),345,""),""),IF('WSF DASHBOARD'!$B$4="Zone",IF(345&lt;=$D$4,IF(OR('WSF DASHBOARD'!$C$4="",ISNUMBER(SEARCH('WSF DASHBOARD'!$C$4,INDEX(MASTER_ZONES!$B:$B,346)))),345,""),""),""))</f>
        <v/>
      </c>
      <c r="F346">
        <f>IF('TRANSPORT DASHBOARD'!$B$4="Area",IF(345&lt;=$I$3,IF(AND(INDEX(MASTER_AREAS!$F:$F,346)&lt;&gt;"N",OR('TRANSPORT DASHBOARD'!$C$4="",ISNUMBER(SEARCH('TRANSPORT DASHBOARD'!$C$4,INDEX(MASTER_AREAS!$B:$B,346))))),345,""),""),IF('TRANSPORT DASHBOARD'!$B$4="Zone",IF(345&lt;=$I$4,IF(OR('TRANSPORT DASHBOARD'!$C$4="",ISNUMBER(SEARCH('TRANSPORT DASHBOARD'!$C$4,INDEX(MASTER_ZONES!$B:$B,346)))),345,""),""),""))</f>
        <v/>
      </c>
      <c r="K346">
        <f>IF('MIDWEEK DASHBOARD'!$B$4="Area",IF(345&lt;=$N$3,IF(AND(OR('MIDWEEK DASHBOARD'!$C$4="",ISNUMBER(SEARCH('MIDWEEK DASHBOARD'!$C$4,INDEX(MASTER_AREAS!$B:$B,346))))),345,""),""),IF('MIDWEEK DASHBOARD'!$B$4="Zone",IF(345&lt;=$N$4,IF(OR('MIDWEEK DASHBOARD'!$C$4="",ISNUMBER(SEARCH('MIDWEEK DASHBOARD'!$C$4,INDEX(MASTER_ZONES!$B:$B,346)))),345,""),""),""))</f>
        <v/>
      </c>
      <c r="P346">
        <f>IF('CHOP DASHBOARD'!$B$4="Area",IF(345&lt;=$S$3,IF(AND(OR('CHOP DASHBOARD'!$C$4="",ISNUMBER(SEARCH('CHOP DASHBOARD'!$C$4,INDEX(MASTER_AREAS!$B:$B,346))))),345,""),""),IF('CHOP DASHBOARD'!$B$4="Zone",IF(345&lt;=$S$4,IF(OR('CHOP DASHBOARD'!$C$4="",ISNUMBER(SEARCH('CHOP DASHBOARD'!$C$4,INDEX(MASTER_ZONES!$B:$B,346)))),345,""),""),""))</f>
        <v/>
      </c>
      <c r="U346">
        <f>IF('COMMUNITY CHURCH DASHBOARD'!$B$4="Area",IF(345&lt;=$X$3,IF(AND(OR('COMMUNITY CHURCH DASHBOARD'!$C$4="",ISNUMBER(SEARCH('COMMUNITY CHURCH DASHBOARD'!$C$4,INDEX(MASTER_AREAS!$B:$B,346))))),345,""),""),IF('COMMUNITY CHURCH DASHBOARD'!$B$4="Zone",IF(345&lt;=$X$4,IF(OR('COMMUNITY CHURCH DASHBOARD'!$C$4="",ISNUMBER(SEARCH('COMMUNITY CHURCH DASHBOARD'!$C$4,INDEX(MASTER_ZONES!$B:$B,346)))),345,""),""),""))</f>
        <v/>
      </c>
    </row>
    <row r="347">
      <c r="A347">
        <f>IF('WSF DASHBOARD'!$B$4="Area",IF(346&lt;=$D$3,IF(AND(OR('WSF DASHBOARD'!$C$4="",ISNUMBER(SEARCH('WSF DASHBOARD'!$C$4,INDEX(MASTER_AREAS!$B:$B,347))))),346,""),""),IF('WSF DASHBOARD'!$B$4="Zone",IF(346&lt;=$D$4,IF(OR('WSF DASHBOARD'!$C$4="",ISNUMBER(SEARCH('WSF DASHBOARD'!$C$4,INDEX(MASTER_ZONES!$B:$B,347)))),346,""),""),""))</f>
        <v/>
      </c>
      <c r="F347">
        <f>IF('TRANSPORT DASHBOARD'!$B$4="Area",IF(346&lt;=$I$3,IF(AND(INDEX(MASTER_AREAS!$F:$F,347)&lt;&gt;"N",OR('TRANSPORT DASHBOARD'!$C$4="",ISNUMBER(SEARCH('TRANSPORT DASHBOARD'!$C$4,INDEX(MASTER_AREAS!$B:$B,347))))),346,""),""),IF('TRANSPORT DASHBOARD'!$B$4="Zone",IF(346&lt;=$I$4,IF(OR('TRANSPORT DASHBOARD'!$C$4="",ISNUMBER(SEARCH('TRANSPORT DASHBOARD'!$C$4,INDEX(MASTER_ZONES!$B:$B,347)))),346,""),""),""))</f>
        <v/>
      </c>
      <c r="K347">
        <f>IF('MIDWEEK DASHBOARD'!$B$4="Area",IF(346&lt;=$N$3,IF(AND(OR('MIDWEEK DASHBOARD'!$C$4="",ISNUMBER(SEARCH('MIDWEEK DASHBOARD'!$C$4,INDEX(MASTER_AREAS!$B:$B,347))))),346,""),""),IF('MIDWEEK DASHBOARD'!$B$4="Zone",IF(346&lt;=$N$4,IF(OR('MIDWEEK DASHBOARD'!$C$4="",ISNUMBER(SEARCH('MIDWEEK DASHBOARD'!$C$4,INDEX(MASTER_ZONES!$B:$B,347)))),346,""),""),""))</f>
        <v/>
      </c>
      <c r="P347">
        <f>IF('CHOP DASHBOARD'!$B$4="Area",IF(346&lt;=$S$3,IF(AND(OR('CHOP DASHBOARD'!$C$4="",ISNUMBER(SEARCH('CHOP DASHBOARD'!$C$4,INDEX(MASTER_AREAS!$B:$B,347))))),346,""),""),IF('CHOP DASHBOARD'!$B$4="Zone",IF(346&lt;=$S$4,IF(OR('CHOP DASHBOARD'!$C$4="",ISNUMBER(SEARCH('CHOP DASHBOARD'!$C$4,INDEX(MASTER_ZONES!$B:$B,347)))),346,""),""),""))</f>
        <v/>
      </c>
      <c r="U347">
        <f>IF('COMMUNITY CHURCH DASHBOARD'!$B$4="Area",IF(346&lt;=$X$3,IF(AND(OR('COMMUNITY CHURCH DASHBOARD'!$C$4="",ISNUMBER(SEARCH('COMMUNITY CHURCH DASHBOARD'!$C$4,INDEX(MASTER_AREAS!$B:$B,347))))),346,""),""),IF('COMMUNITY CHURCH DASHBOARD'!$B$4="Zone",IF(346&lt;=$X$4,IF(OR('COMMUNITY CHURCH DASHBOARD'!$C$4="",ISNUMBER(SEARCH('COMMUNITY CHURCH DASHBOARD'!$C$4,INDEX(MASTER_ZONES!$B:$B,347)))),346,""),""),""))</f>
        <v/>
      </c>
    </row>
    <row r="348">
      <c r="A348">
        <f>IF('WSF DASHBOARD'!$B$4="Area",IF(347&lt;=$D$3,IF(AND(OR('WSF DASHBOARD'!$C$4="",ISNUMBER(SEARCH('WSF DASHBOARD'!$C$4,INDEX(MASTER_AREAS!$B:$B,348))))),347,""),""),IF('WSF DASHBOARD'!$B$4="Zone",IF(347&lt;=$D$4,IF(OR('WSF DASHBOARD'!$C$4="",ISNUMBER(SEARCH('WSF DASHBOARD'!$C$4,INDEX(MASTER_ZONES!$B:$B,348)))),347,""),""),""))</f>
        <v/>
      </c>
      <c r="F348">
        <f>IF('TRANSPORT DASHBOARD'!$B$4="Area",IF(347&lt;=$I$3,IF(AND(INDEX(MASTER_AREAS!$F:$F,348)&lt;&gt;"N",OR('TRANSPORT DASHBOARD'!$C$4="",ISNUMBER(SEARCH('TRANSPORT DASHBOARD'!$C$4,INDEX(MASTER_AREAS!$B:$B,348))))),347,""),""),IF('TRANSPORT DASHBOARD'!$B$4="Zone",IF(347&lt;=$I$4,IF(OR('TRANSPORT DASHBOARD'!$C$4="",ISNUMBER(SEARCH('TRANSPORT DASHBOARD'!$C$4,INDEX(MASTER_ZONES!$B:$B,348)))),347,""),""),""))</f>
        <v/>
      </c>
      <c r="K348">
        <f>IF('MIDWEEK DASHBOARD'!$B$4="Area",IF(347&lt;=$N$3,IF(AND(OR('MIDWEEK DASHBOARD'!$C$4="",ISNUMBER(SEARCH('MIDWEEK DASHBOARD'!$C$4,INDEX(MASTER_AREAS!$B:$B,348))))),347,""),""),IF('MIDWEEK DASHBOARD'!$B$4="Zone",IF(347&lt;=$N$4,IF(OR('MIDWEEK DASHBOARD'!$C$4="",ISNUMBER(SEARCH('MIDWEEK DASHBOARD'!$C$4,INDEX(MASTER_ZONES!$B:$B,348)))),347,""),""),""))</f>
        <v/>
      </c>
      <c r="P348">
        <f>IF('CHOP DASHBOARD'!$B$4="Area",IF(347&lt;=$S$3,IF(AND(OR('CHOP DASHBOARD'!$C$4="",ISNUMBER(SEARCH('CHOP DASHBOARD'!$C$4,INDEX(MASTER_AREAS!$B:$B,348))))),347,""),""),IF('CHOP DASHBOARD'!$B$4="Zone",IF(347&lt;=$S$4,IF(OR('CHOP DASHBOARD'!$C$4="",ISNUMBER(SEARCH('CHOP DASHBOARD'!$C$4,INDEX(MASTER_ZONES!$B:$B,348)))),347,""),""),""))</f>
        <v/>
      </c>
      <c r="U348">
        <f>IF('COMMUNITY CHURCH DASHBOARD'!$B$4="Area",IF(347&lt;=$X$3,IF(AND(OR('COMMUNITY CHURCH DASHBOARD'!$C$4="",ISNUMBER(SEARCH('COMMUNITY CHURCH DASHBOARD'!$C$4,INDEX(MASTER_AREAS!$B:$B,348))))),347,""),""),IF('COMMUNITY CHURCH DASHBOARD'!$B$4="Zone",IF(347&lt;=$X$4,IF(OR('COMMUNITY CHURCH DASHBOARD'!$C$4="",ISNUMBER(SEARCH('COMMUNITY CHURCH DASHBOARD'!$C$4,INDEX(MASTER_ZONES!$B:$B,348)))),347,""),""),""))</f>
        <v/>
      </c>
    </row>
    <row r="349">
      <c r="A349">
        <f>IF('WSF DASHBOARD'!$B$4="Area",IF(348&lt;=$D$3,IF(AND(OR('WSF DASHBOARD'!$C$4="",ISNUMBER(SEARCH('WSF DASHBOARD'!$C$4,INDEX(MASTER_AREAS!$B:$B,349))))),348,""),""),IF('WSF DASHBOARD'!$B$4="Zone",IF(348&lt;=$D$4,IF(OR('WSF DASHBOARD'!$C$4="",ISNUMBER(SEARCH('WSF DASHBOARD'!$C$4,INDEX(MASTER_ZONES!$B:$B,349)))),348,""),""),""))</f>
        <v/>
      </c>
      <c r="F349">
        <f>IF('TRANSPORT DASHBOARD'!$B$4="Area",IF(348&lt;=$I$3,IF(AND(INDEX(MASTER_AREAS!$F:$F,349)&lt;&gt;"N",OR('TRANSPORT DASHBOARD'!$C$4="",ISNUMBER(SEARCH('TRANSPORT DASHBOARD'!$C$4,INDEX(MASTER_AREAS!$B:$B,349))))),348,""),""),IF('TRANSPORT DASHBOARD'!$B$4="Zone",IF(348&lt;=$I$4,IF(OR('TRANSPORT DASHBOARD'!$C$4="",ISNUMBER(SEARCH('TRANSPORT DASHBOARD'!$C$4,INDEX(MASTER_ZONES!$B:$B,349)))),348,""),""),""))</f>
        <v/>
      </c>
      <c r="K349">
        <f>IF('MIDWEEK DASHBOARD'!$B$4="Area",IF(348&lt;=$N$3,IF(AND(OR('MIDWEEK DASHBOARD'!$C$4="",ISNUMBER(SEARCH('MIDWEEK DASHBOARD'!$C$4,INDEX(MASTER_AREAS!$B:$B,349))))),348,""),""),IF('MIDWEEK DASHBOARD'!$B$4="Zone",IF(348&lt;=$N$4,IF(OR('MIDWEEK DASHBOARD'!$C$4="",ISNUMBER(SEARCH('MIDWEEK DASHBOARD'!$C$4,INDEX(MASTER_ZONES!$B:$B,349)))),348,""),""),""))</f>
        <v/>
      </c>
      <c r="P349">
        <f>IF('CHOP DASHBOARD'!$B$4="Area",IF(348&lt;=$S$3,IF(AND(OR('CHOP DASHBOARD'!$C$4="",ISNUMBER(SEARCH('CHOP DASHBOARD'!$C$4,INDEX(MASTER_AREAS!$B:$B,349))))),348,""),""),IF('CHOP DASHBOARD'!$B$4="Zone",IF(348&lt;=$S$4,IF(OR('CHOP DASHBOARD'!$C$4="",ISNUMBER(SEARCH('CHOP DASHBOARD'!$C$4,INDEX(MASTER_ZONES!$B:$B,349)))),348,""),""),""))</f>
        <v/>
      </c>
      <c r="U349">
        <f>IF('COMMUNITY CHURCH DASHBOARD'!$B$4="Area",IF(348&lt;=$X$3,IF(AND(OR('COMMUNITY CHURCH DASHBOARD'!$C$4="",ISNUMBER(SEARCH('COMMUNITY CHURCH DASHBOARD'!$C$4,INDEX(MASTER_AREAS!$B:$B,349))))),348,""),""),IF('COMMUNITY CHURCH DASHBOARD'!$B$4="Zone",IF(348&lt;=$X$4,IF(OR('COMMUNITY CHURCH DASHBOARD'!$C$4="",ISNUMBER(SEARCH('COMMUNITY CHURCH DASHBOARD'!$C$4,INDEX(MASTER_ZONES!$B:$B,349)))),348,""),""),""))</f>
        <v/>
      </c>
    </row>
    <row r="350">
      <c r="A350">
        <f>IF('WSF DASHBOARD'!$B$4="Area",IF(349&lt;=$D$3,IF(AND(OR('WSF DASHBOARD'!$C$4="",ISNUMBER(SEARCH('WSF DASHBOARD'!$C$4,INDEX(MASTER_AREAS!$B:$B,350))))),349,""),""),IF('WSF DASHBOARD'!$B$4="Zone",IF(349&lt;=$D$4,IF(OR('WSF DASHBOARD'!$C$4="",ISNUMBER(SEARCH('WSF DASHBOARD'!$C$4,INDEX(MASTER_ZONES!$B:$B,350)))),349,""),""),""))</f>
        <v/>
      </c>
      <c r="F350">
        <f>IF('TRANSPORT DASHBOARD'!$B$4="Area",IF(349&lt;=$I$3,IF(AND(INDEX(MASTER_AREAS!$F:$F,350)&lt;&gt;"N",OR('TRANSPORT DASHBOARD'!$C$4="",ISNUMBER(SEARCH('TRANSPORT DASHBOARD'!$C$4,INDEX(MASTER_AREAS!$B:$B,350))))),349,""),""),IF('TRANSPORT DASHBOARD'!$B$4="Zone",IF(349&lt;=$I$4,IF(OR('TRANSPORT DASHBOARD'!$C$4="",ISNUMBER(SEARCH('TRANSPORT DASHBOARD'!$C$4,INDEX(MASTER_ZONES!$B:$B,350)))),349,""),""),""))</f>
        <v/>
      </c>
      <c r="K350">
        <f>IF('MIDWEEK DASHBOARD'!$B$4="Area",IF(349&lt;=$N$3,IF(AND(OR('MIDWEEK DASHBOARD'!$C$4="",ISNUMBER(SEARCH('MIDWEEK DASHBOARD'!$C$4,INDEX(MASTER_AREAS!$B:$B,350))))),349,""),""),IF('MIDWEEK DASHBOARD'!$B$4="Zone",IF(349&lt;=$N$4,IF(OR('MIDWEEK DASHBOARD'!$C$4="",ISNUMBER(SEARCH('MIDWEEK DASHBOARD'!$C$4,INDEX(MASTER_ZONES!$B:$B,350)))),349,""),""),""))</f>
        <v/>
      </c>
      <c r="P350">
        <f>IF('CHOP DASHBOARD'!$B$4="Area",IF(349&lt;=$S$3,IF(AND(OR('CHOP DASHBOARD'!$C$4="",ISNUMBER(SEARCH('CHOP DASHBOARD'!$C$4,INDEX(MASTER_AREAS!$B:$B,350))))),349,""),""),IF('CHOP DASHBOARD'!$B$4="Zone",IF(349&lt;=$S$4,IF(OR('CHOP DASHBOARD'!$C$4="",ISNUMBER(SEARCH('CHOP DASHBOARD'!$C$4,INDEX(MASTER_ZONES!$B:$B,350)))),349,""),""),""))</f>
        <v/>
      </c>
      <c r="U350">
        <f>IF('COMMUNITY CHURCH DASHBOARD'!$B$4="Area",IF(349&lt;=$X$3,IF(AND(OR('COMMUNITY CHURCH DASHBOARD'!$C$4="",ISNUMBER(SEARCH('COMMUNITY CHURCH DASHBOARD'!$C$4,INDEX(MASTER_AREAS!$B:$B,350))))),349,""),""),IF('COMMUNITY CHURCH DASHBOARD'!$B$4="Zone",IF(349&lt;=$X$4,IF(OR('COMMUNITY CHURCH DASHBOARD'!$C$4="",ISNUMBER(SEARCH('COMMUNITY CHURCH DASHBOARD'!$C$4,INDEX(MASTER_ZONES!$B:$B,350)))),349,""),""),""))</f>
        <v/>
      </c>
    </row>
    <row r="351">
      <c r="A351">
        <f>IF('WSF DASHBOARD'!$B$4="Area",IF(350&lt;=$D$3,IF(AND(OR('WSF DASHBOARD'!$C$4="",ISNUMBER(SEARCH('WSF DASHBOARD'!$C$4,INDEX(MASTER_AREAS!$B:$B,351))))),350,""),""),IF('WSF DASHBOARD'!$B$4="Zone",IF(350&lt;=$D$4,IF(OR('WSF DASHBOARD'!$C$4="",ISNUMBER(SEARCH('WSF DASHBOARD'!$C$4,INDEX(MASTER_ZONES!$B:$B,351)))),350,""),""),""))</f>
        <v/>
      </c>
      <c r="F351">
        <f>IF('TRANSPORT DASHBOARD'!$B$4="Area",IF(350&lt;=$I$3,IF(AND(INDEX(MASTER_AREAS!$F:$F,351)&lt;&gt;"N",OR('TRANSPORT DASHBOARD'!$C$4="",ISNUMBER(SEARCH('TRANSPORT DASHBOARD'!$C$4,INDEX(MASTER_AREAS!$B:$B,351))))),350,""),""),IF('TRANSPORT DASHBOARD'!$B$4="Zone",IF(350&lt;=$I$4,IF(OR('TRANSPORT DASHBOARD'!$C$4="",ISNUMBER(SEARCH('TRANSPORT DASHBOARD'!$C$4,INDEX(MASTER_ZONES!$B:$B,351)))),350,""),""),""))</f>
        <v/>
      </c>
      <c r="K351">
        <f>IF('MIDWEEK DASHBOARD'!$B$4="Area",IF(350&lt;=$N$3,IF(AND(OR('MIDWEEK DASHBOARD'!$C$4="",ISNUMBER(SEARCH('MIDWEEK DASHBOARD'!$C$4,INDEX(MASTER_AREAS!$B:$B,351))))),350,""),""),IF('MIDWEEK DASHBOARD'!$B$4="Zone",IF(350&lt;=$N$4,IF(OR('MIDWEEK DASHBOARD'!$C$4="",ISNUMBER(SEARCH('MIDWEEK DASHBOARD'!$C$4,INDEX(MASTER_ZONES!$B:$B,351)))),350,""),""),""))</f>
        <v/>
      </c>
      <c r="P351">
        <f>IF('CHOP DASHBOARD'!$B$4="Area",IF(350&lt;=$S$3,IF(AND(OR('CHOP DASHBOARD'!$C$4="",ISNUMBER(SEARCH('CHOP DASHBOARD'!$C$4,INDEX(MASTER_AREAS!$B:$B,351))))),350,""),""),IF('CHOP DASHBOARD'!$B$4="Zone",IF(350&lt;=$S$4,IF(OR('CHOP DASHBOARD'!$C$4="",ISNUMBER(SEARCH('CHOP DASHBOARD'!$C$4,INDEX(MASTER_ZONES!$B:$B,351)))),350,""),""),""))</f>
        <v/>
      </c>
      <c r="U351">
        <f>IF('COMMUNITY CHURCH DASHBOARD'!$B$4="Area",IF(350&lt;=$X$3,IF(AND(OR('COMMUNITY CHURCH DASHBOARD'!$C$4="",ISNUMBER(SEARCH('COMMUNITY CHURCH DASHBOARD'!$C$4,INDEX(MASTER_AREAS!$B:$B,351))))),350,""),""),IF('COMMUNITY CHURCH DASHBOARD'!$B$4="Zone",IF(350&lt;=$X$4,IF(OR('COMMUNITY CHURCH DASHBOARD'!$C$4="",ISNUMBER(SEARCH('COMMUNITY CHURCH DASHBOARD'!$C$4,INDEX(MASTER_ZONES!$B:$B,351)))),350,""),""),""))</f>
        <v/>
      </c>
    </row>
    <row r="352">
      <c r="A352">
        <f>IF('WSF DASHBOARD'!$B$4="Area",IF(351&lt;=$D$3,IF(AND(OR('WSF DASHBOARD'!$C$4="",ISNUMBER(SEARCH('WSF DASHBOARD'!$C$4,INDEX(MASTER_AREAS!$B:$B,352))))),351,""),""),IF('WSF DASHBOARD'!$B$4="Zone",IF(351&lt;=$D$4,IF(OR('WSF DASHBOARD'!$C$4="",ISNUMBER(SEARCH('WSF DASHBOARD'!$C$4,INDEX(MASTER_ZONES!$B:$B,352)))),351,""),""),""))</f>
        <v/>
      </c>
      <c r="F352">
        <f>IF('TRANSPORT DASHBOARD'!$B$4="Area",IF(351&lt;=$I$3,IF(AND(INDEX(MASTER_AREAS!$F:$F,352)&lt;&gt;"N",OR('TRANSPORT DASHBOARD'!$C$4="",ISNUMBER(SEARCH('TRANSPORT DASHBOARD'!$C$4,INDEX(MASTER_AREAS!$B:$B,352))))),351,""),""),IF('TRANSPORT DASHBOARD'!$B$4="Zone",IF(351&lt;=$I$4,IF(OR('TRANSPORT DASHBOARD'!$C$4="",ISNUMBER(SEARCH('TRANSPORT DASHBOARD'!$C$4,INDEX(MASTER_ZONES!$B:$B,352)))),351,""),""),""))</f>
        <v/>
      </c>
      <c r="K352">
        <f>IF('MIDWEEK DASHBOARD'!$B$4="Area",IF(351&lt;=$N$3,IF(AND(OR('MIDWEEK DASHBOARD'!$C$4="",ISNUMBER(SEARCH('MIDWEEK DASHBOARD'!$C$4,INDEX(MASTER_AREAS!$B:$B,352))))),351,""),""),IF('MIDWEEK DASHBOARD'!$B$4="Zone",IF(351&lt;=$N$4,IF(OR('MIDWEEK DASHBOARD'!$C$4="",ISNUMBER(SEARCH('MIDWEEK DASHBOARD'!$C$4,INDEX(MASTER_ZONES!$B:$B,352)))),351,""),""),""))</f>
        <v/>
      </c>
      <c r="P352">
        <f>IF('CHOP DASHBOARD'!$B$4="Area",IF(351&lt;=$S$3,IF(AND(OR('CHOP DASHBOARD'!$C$4="",ISNUMBER(SEARCH('CHOP DASHBOARD'!$C$4,INDEX(MASTER_AREAS!$B:$B,352))))),351,""),""),IF('CHOP DASHBOARD'!$B$4="Zone",IF(351&lt;=$S$4,IF(OR('CHOP DASHBOARD'!$C$4="",ISNUMBER(SEARCH('CHOP DASHBOARD'!$C$4,INDEX(MASTER_ZONES!$B:$B,352)))),351,""),""),""))</f>
        <v/>
      </c>
      <c r="U352">
        <f>IF('COMMUNITY CHURCH DASHBOARD'!$B$4="Area",IF(351&lt;=$X$3,IF(AND(OR('COMMUNITY CHURCH DASHBOARD'!$C$4="",ISNUMBER(SEARCH('COMMUNITY CHURCH DASHBOARD'!$C$4,INDEX(MASTER_AREAS!$B:$B,352))))),351,""),""),IF('COMMUNITY CHURCH DASHBOARD'!$B$4="Zone",IF(351&lt;=$X$4,IF(OR('COMMUNITY CHURCH DASHBOARD'!$C$4="",ISNUMBER(SEARCH('COMMUNITY CHURCH DASHBOARD'!$C$4,INDEX(MASTER_ZONES!$B:$B,352)))),351,""),""),""))</f>
        <v/>
      </c>
    </row>
    <row r="353">
      <c r="A353">
        <f>IF('WSF DASHBOARD'!$B$4="Area",IF(352&lt;=$D$3,IF(AND(OR('WSF DASHBOARD'!$C$4="",ISNUMBER(SEARCH('WSF DASHBOARD'!$C$4,INDEX(MASTER_AREAS!$B:$B,353))))),352,""),""),IF('WSF DASHBOARD'!$B$4="Zone",IF(352&lt;=$D$4,IF(OR('WSF DASHBOARD'!$C$4="",ISNUMBER(SEARCH('WSF DASHBOARD'!$C$4,INDEX(MASTER_ZONES!$B:$B,353)))),352,""),""),""))</f>
        <v/>
      </c>
      <c r="F353">
        <f>IF('TRANSPORT DASHBOARD'!$B$4="Area",IF(352&lt;=$I$3,IF(AND(INDEX(MASTER_AREAS!$F:$F,353)&lt;&gt;"N",OR('TRANSPORT DASHBOARD'!$C$4="",ISNUMBER(SEARCH('TRANSPORT DASHBOARD'!$C$4,INDEX(MASTER_AREAS!$B:$B,353))))),352,""),""),IF('TRANSPORT DASHBOARD'!$B$4="Zone",IF(352&lt;=$I$4,IF(OR('TRANSPORT DASHBOARD'!$C$4="",ISNUMBER(SEARCH('TRANSPORT DASHBOARD'!$C$4,INDEX(MASTER_ZONES!$B:$B,353)))),352,""),""),""))</f>
        <v/>
      </c>
      <c r="K353">
        <f>IF('MIDWEEK DASHBOARD'!$B$4="Area",IF(352&lt;=$N$3,IF(AND(OR('MIDWEEK DASHBOARD'!$C$4="",ISNUMBER(SEARCH('MIDWEEK DASHBOARD'!$C$4,INDEX(MASTER_AREAS!$B:$B,353))))),352,""),""),IF('MIDWEEK DASHBOARD'!$B$4="Zone",IF(352&lt;=$N$4,IF(OR('MIDWEEK DASHBOARD'!$C$4="",ISNUMBER(SEARCH('MIDWEEK DASHBOARD'!$C$4,INDEX(MASTER_ZONES!$B:$B,353)))),352,""),""),""))</f>
        <v/>
      </c>
      <c r="P353">
        <f>IF('CHOP DASHBOARD'!$B$4="Area",IF(352&lt;=$S$3,IF(AND(OR('CHOP DASHBOARD'!$C$4="",ISNUMBER(SEARCH('CHOP DASHBOARD'!$C$4,INDEX(MASTER_AREAS!$B:$B,353))))),352,""),""),IF('CHOP DASHBOARD'!$B$4="Zone",IF(352&lt;=$S$4,IF(OR('CHOP DASHBOARD'!$C$4="",ISNUMBER(SEARCH('CHOP DASHBOARD'!$C$4,INDEX(MASTER_ZONES!$B:$B,353)))),352,""),""),""))</f>
        <v/>
      </c>
      <c r="U353">
        <f>IF('COMMUNITY CHURCH DASHBOARD'!$B$4="Area",IF(352&lt;=$X$3,IF(AND(OR('COMMUNITY CHURCH DASHBOARD'!$C$4="",ISNUMBER(SEARCH('COMMUNITY CHURCH DASHBOARD'!$C$4,INDEX(MASTER_AREAS!$B:$B,353))))),352,""),""),IF('COMMUNITY CHURCH DASHBOARD'!$B$4="Zone",IF(352&lt;=$X$4,IF(OR('COMMUNITY CHURCH DASHBOARD'!$C$4="",ISNUMBER(SEARCH('COMMUNITY CHURCH DASHBOARD'!$C$4,INDEX(MASTER_ZONES!$B:$B,353)))),352,""),""),""))</f>
        <v/>
      </c>
    </row>
    <row r="354">
      <c r="A354">
        <f>IF('WSF DASHBOARD'!$B$4="Area",IF(353&lt;=$D$3,IF(AND(OR('WSF DASHBOARD'!$C$4="",ISNUMBER(SEARCH('WSF DASHBOARD'!$C$4,INDEX(MASTER_AREAS!$B:$B,354))))),353,""),""),IF('WSF DASHBOARD'!$B$4="Zone",IF(353&lt;=$D$4,IF(OR('WSF DASHBOARD'!$C$4="",ISNUMBER(SEARCH('WSF DASHBOARD'!$C$4,INDEX(MASTER_ZONES!$B:$B,354)))),353,""),""),""))</f>
        <v/>
      </c>
      <c r="F354">
        <f>IF('TRANSPORT DASHBOARD'!$B$4="Area",IF(353&lt;=$I$3,IF(AND(INDEX(MASTER_AREAS!$F:$F,354)&lt;&gt;"N",OR('TRANSPORT DASHBOARD'!$C$4="",ISNUMBER(SEARCH('TRANSPORT DASHBOARD'!$C$4,INDEX(MASTER_AREAS!$B:$B,354))))),353,""),""),IF('TRANSPORT DASHBOARD'!$B$4="Zone",IF(353&lt;=$I$4,IF(OR('TRANSPORT DASHBOARD'!$C$4="",ISNUMBER(SEARCH('TRANSPORT DASHBOARD'!$C$4,INDEX(MASTER_ZONES!$B:$B,354)))),353,""),""),""))</f>
        <v/>
      </c>
      <c r="K354">
        <f>IF('MIDWEEK DASHBOARD'!$B$4="Area",IF(353&lt;=$N$3,IF(AND(OR('MIDWEEK DASHBOARD'!$C$4="",ISNUMBER(SEARCH('MIDWEEK DASHBOARD'!$C$4,INDEX(MASTER_AREAS!$B:$B,354))))),353,""),""),IF('MIDWEEK DASHBOARD'!$B$4="Zone",IF(353&lt;=$N$4,IF(OR('MIDWEEK DASHBOARD'!$C$4="",ISNUMBER(SEARCH('MIDWEEK DASHBOARD'!$C$4,INDEX(MASTER_ZONES!$B:$B,354)))),353,""),""),""))</f>
        <v/>
      </c>
      <c r="P354">
        <f>IF('CHOP DASHBOARD'!$B$4="Area",IF(353&lt;=$S$3,IF(AND(OR('CHOP DASHBOARD'!$C$4="",ISNUMBER(SEARCH('CHOP DASHBOARD'!$C$4,INDEX(MASTER_AREAS!$B:$B,354))))),353,""),""),IF('CHOP DASHBOARD'!$B$4="Zone",IF(353&lt;=$S$4,IF(OR('CHOP DASHBOARD'!$C$4="",ISNUMBER(SEARCH('CHOP DASHBOARD'!$C$4,INDEX(MASTER_ZONES!$B:$B,354)))),353,""),""),""))</f>
        <v/>
      </c>
      <c r="U354">
        <f>IF('COMMUNITY CHURCH DASHBOARD'!$B$4="Area",IF(353&lt;=$X$3,IF(AND(OR('COMMUNITY CHURCH DASHBOARD'!$C$4="",ISNUMBER(SEARCH('COMMUNITY CHURCH DASHBOARD'!$C$4,INDEX(MASTER_AREAS!$B:$B,354))))),353,""),""),IF('COMMUNITY CHURCH DASHBOARD'!$B$4="Zone",IF(353&lt;=$X$4,IF(OR('COMMUNITY CHURCH DASHBOARD'!$C$4="",ISNUMBER(SEARCH('COMMUNITY CHURCH DASHBOARD'!$C$4,INDEX(MASTER_ZONES!$B:$B,354)))),353,""),""),""))</f>
        <v/>
      </c>
    </row>
    <row r="355">
      <c r="A355">
        <f>IF('WSF DASHBOARD'!$B$4="Area",IF(354&lt;=$D$3,IF(AND(OR('WSF DASHBOARD'!$C$4="",ISNUMBER(SEARCH('WSF DASHBOARD'!$C$4,INDEX(MASTER_AREAS!$B:$B,355))))),354,""),""),IF('WSF DASHBOARD'!$B$4="Zone",IF(354&lt;=$D$4,IF(OR('WSF DASHBOARD'!$C$4="",ISNUMBER(SEARCH('WSF DASHBOARD'!$C$4,INDEX(MASTER_ZONES!$B:$B,355)))),354,""),""),""))</f>
        <v/>
      </c>
      <c r="F355">
        <f>IF('TRANSPORT DASHBOARD'!$B$4="Area",IF(354&lt;=$I$3,IF(AND(INDEX(MASTER_AREAS!$F:$F,355)&lt;&gt;"N",OR('TRANSPORT DASHBOARD'!$C$4="",ISNUMBER(SEARCH('TRANSPORT DASHBOARD'!$C$4,INDEX(MASTER_AREAS!$B:$B,355))))),354,""),""),IF('TRANSPORT DASHBOARD'!$B$4="Zone",IF(354&lt;=$I$4,IF(OR('TRANSPORT DASHBOARD'!$C$4="",ISNUMBER(SEARCH('TRANSPORT DASHBOARD'!$C$4,INDEX(MASTER_ZONES!$B:$B,355)))),354,""),""),""))</f>
        <v/>
      </c>
      <c r="K355">
        <f>IF('MIDWEEK DASHBOARD'!$B$4="Area",IF(354&lt;=$N$3,IF(AND(OR('MIDWEEK DASHBOARD'!$C$4="",ISNUMBER(SEARCH('MIDWEEK DASHBOARD'!$C$4,INDEX(MASTER_AREAS!$B:$B,355))))),354,""),""),IF('MIDWEEK DASHBOARD'!$B$4="Zone",IF(354&lt;=$N$4,IF(OR('MIDWEEK DASHBOARD'!$C$4="",ISNUMBER(SEARCH('MIDWEEK DASHBOARD'!$C$4,INDEX(MASTER_ZONES!$B:$B,355)))),354,""),""),""))</f>
        <v/>
      </c>
      <c r="P355">
        <f>IF('CHOP DASHBOARD'!$B$4="Area",IF(354&lt;=$S$3,IF(AND(OR('CHOP DASHBOARD'!$C$4="",ISNUMBER(SEARCH('CHOP DASHBOARD'!$C$4,INDEX(MASTER_AREAS!$B:$B,355))))),354,""),""),IF('CHOP DASHBOARD'!$B$4="Zone",IF(354&lt;=$S$4,IF(OR('CHOP DASHBOARD'!$C$4="",ISNUMBER(SEARCH('CHOP DASHBOARD'!$C$4,INDEX(MASTER_ZONES!$B:$B,355)))),354,""),""),""))</f>
        <v/>
      </c>
      <c r="U355">
        <f>IF('COMMUNITY CHURCH DASHBOARD'!$B$4="Area",IF(354&lt;=$X$3,IF(AND(OR('COMMUNITY CHURCH DASHBOARD'!$C$4="",ISNUMBER(SEARCH('COMMUNITY CHURCH DASHBOARD'!$C$4,INDEX(MASTER_AREAS!$B:$B,355))))),354,""),""),IF('COMMUNITY CHURCH DASHBOARD'!$B$4="Zone",IF(354&lt;=$X$4,IF(OR('COMMUNITY CHURCH DASHBOARD'!$C$4="",ISNUMBER(SEARCH('COMMUNITY CHURCH DASHBOARD'!$C$4,INDEX(MASTER_ZONES!$B:$B,355)))),354,""),""),""))</f>
        <v/>
      </c>
    </row>
    <row r="356">
      <c r="A356">
        <f>IF('WSF DASHBOARD'!$B$4="Area",IF(355&lt;=$D$3,IF(AND(OR('WSF DASHBOARD'!$C$4="",ISNUMBER(SEARCH('WSF DASHBOARD'!$C$4,INDEX(MASTER_AREAS!$B:$B,356))))),355,""),""),IF('WSF DASHBOARD'!$B$4="Zone",IF(355&lt;=$D$4,IF(OR('WSF DASHBOARD'!$C$4="",ISNUMBER(SEARCH('WSF DASHBOARD'!$C$4,INDEX(MASTER_ZONES!$B:$B,356)))),355,""),""),""))</f>
        <v/>
      </c>
      <c r="F356">
        <f>IF('TRANSPORT DASHBOARD'!$B$4="Area",IF(355&lt;=$I$3,IF(AND(INDEX(MASTER_AREAS!$F:$F,356)&lt;&gt;"N",OR('TRANSPORT DASHBOARD'!$C$4="",ISNUMBER(SEARCH('TRANSPORT DASHBOARD'!$C$4,INDEX(MASTER_AREAS!$B:$B,356))))),355,""),""),IF('TRANSPORT DASHBOARD'!$B$4="Zone",IF(355&lt;=$I$4,IF(OR('TRANSPORT DASHBOARD'!$C$4="",ISNUMBER(SEARCH('TRANSPORT DASHBOARD'!$C$4,INDEX(MASTER_ZONES!$B:$B,356)))),355,""),""),""))</f>
        <v/>
      </c>
      <c r="K356">
        <f>IF('MIDWEEK DASHBOARD'!$B$4="Area",IF(355&lt;=$N$3,IF(AND(OR('MIDWEEK DASHBOARD'!$C$4="",ISNUMBER(SEARCH('MIDWEEK DASHBOARD'!$C$4,INDEX(MASTER_AREAS!$B:$B,356))))),355,""),""),IF('MIDWEEK DASHBOARD'!$B$4="Zone",IF(355&lt;=$N$4,IF(OR('MIDWEEK DASHBOARD'!$C$4="",ISNUMBER(SEARCH('MIDWEEK DASHBOARD'!$C$4,INDEX(MASTER_ZONES!$B:$B,356)))),355,""),""),""))</f>
        <v/>
      </c>
      <c r="P356">
        <f>IF('CHOP DASHBOARD'!$B$4="Area",IF(355&lt;=$S$3,IF(AND(OR('CHOP DASHBOARD'!$C$4="",ISNUMBER(SEARCH('CHOP DASHBOARD'!$C$4,INDEX(MASTER_AREAS!$B:$B,356))))),355,""),""),IF('CHOP DASHBOARD'!$B$4="Zone",IF(355&lt;=$S$4,IF(OR('CHOP DASHBOARD'!$C$4="",ISNUMBER(SEARCH('CHOP DASHBOARD'!$C$4,INDEX(MASTER_ZONES!$B:$B,356)))),355,""),""),""))</f>
        <v/>
      </c>
      <c r="U356">
        <f>IF('COMMUNITY CHURCH DASHBOARD'!$B$4="Area",IF(355&lt;=$X$3,IF(AND(OR('COMMUNITY CHURCH DASHBOARD'!$C$4="",ISNUMBER(SEARCH('COMMUNITY CHURCH DASHBOARD'!$C$4,INDEX(MASTER_AREAS!$B:$B,356))))),355,""),""),IF('COMMUNITY CHURCH DASHBOARD'!$B$4="Zone",IF(355&lt;=$X$4,IF(OR('COMMUNITY CHURCH DASHBOARD'!$C$4="",ISNUMBER(SEARCH('COMMUNITY CHURCH DASHBOARD'!$C$4,INDEX(MASTER_ZONES!$B:$B,356)))),355,""),""),""))</f>
        <v/>
      </c>
    </row>
    <row r="357">
      <c r="A357">
        <f>IF('WSF DASHBOARD'!$B$4="Area",IF(356&lt;=$D$3,IF(AND(OR('WSF DASHBOARD'!$C$4="",ISNUMBER(SEARCH('WSF DASHBOARD'!$C$4,INDEX(MASTER_AREAS!$B:$B,357))))),356,""),""),IF('WSF DASHBOARD'!$B$4="Zone",IF(356&lt;=$D$4,IF(OR('WSF DASHBOARD'!$C$4="",ISNUMBER(SEARCH('WSF DASHBOARD'!$C$4,INDEX(MASTER_ZONES!$B:$B,357)))),356,""),""),""))</f>
        <v/>
      </c>
      <c r="F357">
        <f>IF('TRANSPORT DASHBOARD'!$B$4="Area",IF(356&lt;=$I$3,IF(AND(INDEX(MASTER_AREAS!$F:$F,357)&lt;&gt;"N",OR('TRANSPORT DASHBOARD'!$C$4="",ISNUMBER(SEARCH('TRANSPORT DASHBOARD'!$C$4,INDEX(MASTER_AREAS!$B:$B,357))))),356,""),""),IF('TRANSPORT DASHBOARD'!$B$4="Zone",IF(356&lt;=$I$4,IF(OR('TRANSPORT DASHBOARD'!$C$4="",ISNUMBER(SEARCH('TRANSPORT DASHBOARD'!$C$4,INDEX(MASTER_ZONES!$B:$B,357)))),356,""),""),""))</f>
        <v/>
      </c>
      <c r="K357">
        <f>IF('MIDWEEK DASHBOARD'!$B$4="Area",IF(356&lt;=$N$3,IF(AND(OR('MIDWEEK DASHBOARD'!$C$4="",ISNUMBER(SEARCH('MIDWEEK DASHBOARD'!$C$4,INDEX(MASTER_AREAS!$B:$B,357))))),356,""),""),IF('MIDWEEK DASHBOARD'!$B$4="Zone",IF(356&lt;=$N$4,IF(OR('MIDWEEK DASHBOARD'!$C$4="",ISNUMBER(SEARCH('MIDWEEK DASHBOARD'!$C$4,INDEX(MASTER_ZONES!$B:$B,357)))),356,""),""),""))</f>
        <v/>
      </c>
      <c r="P357">
        <f>IF('CHOP DASHBOARD'!$B$4="Area",IF(356&lt;=$S$3,IF(AND(OR('CHOP DASHBOARD'!$C$4="",ISNUMBER(SEARCH('CHOP DASHBOARD'!$C$4,INDEX(MASTER_AREAS!$B:$B,357))))),356,""),""),IF('CHOP DASHBOARD'!$B$4="Zone",IF(356&lt;=$S$4,IF(OR('CHOP DASHBOARD'!$C$4="",ISNUMBER(SEARCH('CHOP DASHBOARD'!$C$4,INDEX(MASTER_ZONES!$B:$B,357)))),356,""),""),""))</f>
        <v/>
      </c>
      <c r="U357">
        <f>IF('COMMUNITY CHURCH DASHBOARD'!$B$4="Area",IF(356&lt;=$X$3,IF(AND(OR('COMMUNITY CHURCH DASHBOARD'!$C$4="",ISNUMBER(SEARCH('COMMUNITY CHURCH DASHBOARD'!$C$4,INDEX(MASTER_AREAS!$B:$B,357))))),356,""),""),IF('COMMUNITY CHURCH DASHBOARD'!$B$4="Zone",IF(356&lt;=$X$4,IF(OR('COMMUNITY CHURCH DASHBOARD'!$C$4="",ISNUMBER(SEARCH('COMMUNITY CHURCH DASHBOARD'!$C$4,INDEX(MASTER_ZONES!$B:$B,357)))),356,""),""),""))</f>
        <v/>
      </c>
    </row>
    <row r="358">
      <c r="A358">
        <f>IF('WSF DASHBOARD'!$B$4="Area",IF(357&lt;=$D$3,IF(AND(OR('WSF DASHBOARD'!$C$4="",ISNUMBER(SEARCH('WSF DASHBOARD'!$C$4,INDEX(MASTER_AREAS!$B:$B,358))))),357,""),""),IF('WSF DASHBOARD'!$B$4="Zone",IF(357&lt;=$D$4,IF(OR('WSF DASHBOARD'!$C$4="",ISNUMBER(SEARCH('WSF DASHBOARD'!$C$4,INDEX(MASTER_ZONES!$B:$B,358)))),357,""),""),""))</f>
        <v/>
      </c>
      <c r="F358">
        <f>IF('TRANSPORT DASHBOARD'!$B$4="Area",IF(357&lt;=$I$3,IF(AND(INDEX(MASTER_AREAS!$F:$F,358)&lt;&gt;"N",OR('TRANSPORT DASHBOARD'!$C$4="",ISNUMBER(SEARCH('TRANSPORT DASHBOARD'!$C$4,INDEX(MASTER_AREAS!$B:$B,358))))),357,""),""),IF('TRANSPORT DASHBOARD'!$B$4="Zone",IF(357&lt;=$I$4,IF(OR('TRANSPORT DASHBOARD'!$C$4="",ISNUMBER(SEARCH('TRANSPORT DASHBOARD'!$C$4,INDEX(MASTER_ZONES!$B:$B,358)))),357,""),""),""))</f>
        <v/>
      </c>
      <c r="K358">
        <f>IF('MIDWEEK DASHBOARD'!$B$4="Area",IF(357&lt;=$N$3,IF(AND(OR('MIDWEEK DASHBOARD'!$C$4="",ISNUMBER(SEARCH('MIDWEEK DASHBOARD'!$C$4,INDEX(MASTER_AREAS!$B:$B,358))))),357,""),""),IF('MIDWEEK DASHBOARD'!$B$4="Zone",IF(357&lt;=$N$4,IF(OR('MIDWEEK DASHBOARD'!$C$4="",ISNUMBER(SEARCH('MIDWEEK DASHBOARD'!$C$4,INDEX(MASTER_ZONES!$B:$B,358)))),357,""),""),""))</f>
        <v/>
      </c>
      <c r="P358">
        <f>IF('CHOP DASHBOARD'!$B$4="Area",IF(357&lt;=$S$3,IF(AND(OR('CHOP DASHBOARD'!$C$4="",ISNUMBER(SEARCH('CHOP DASHBOARD'!$C$4,INDEX(MASTER_AREAS!$B:$B,358))))),357,""),""),IF('CHOP DASHBOARD'!$B$4="Zone",IF(357&lt;=$S$4,IF(OR('CHOP DASHBOARD'!$C$4="",ISNUMBER(SEARCH('CHOP DASHBOARD'!$C$4,INDEX(MASTER_ZONES!$B:$B,358)))),357,""),""),""))</f>
        <v/>
      </c>
      <c r="U358">
        <f>IF('COMMUNITY CHURCH DASHBOARD'!$B$4="Area",IF(357&lt;=$X$3,IF(AND(OR('COMMUNITY CHURCH DASHBOARD'!$C$4="",ISNUMBER(SEARCH('COMMUNITY CHURCH DASHBOARD'!$C$4,INDEX(MASTER_AREAS!$B:$B,358))))),357,""),""),IF('COMMUNITY CHURCH DASHBOARD'!$B$4="Zone",IF(357&lt;=$X$4,IF(OR('COMMUNITY CHURCH DASHBOARD'!$C$4="",ISNUMBER(SEARCH('COMMUNITY CHURCH DASHBOARD'!$C$4,INDEX(MASTER_ZONES!$B:$B,358)))),357,""),""),""))</f>
        <v/>
      </c>
    </row>
    <row r="359">
      <c r="A359">
        <f>IF('WSF DASHBOARD'!$B$4="Area",IF(358&lt;=$D$3,IF(AND(OR('WSF DASHBOARD'!$C$4="",ISNUMBER(SEARCH('WSF DASHBOARD'!$C$4,INDEX(MASTER_AREAS!$B:$B,359))))),358,""),""),IF('WSF DASHBOARD'!$B$4="Zone",IF(358&lt;=$D$4,IF(OR('WSF DASHBOARD'!$C$4="",ISNUMBER(SEARCH('WSF DASHBOARD'!$C$4,INDEX(MASTER_ZONES!$B:$B,359)))),358,""),""),""))</f>
        <v/>
      </c>
      <c r="F359">
        <f>IF('TRANSPORT DASHBOARD'!$B$4="Area",IF(358&lt;=$I$3,IF(AND(INDEX(MASTER_AREAS!$F:$F,359)&lt;&gt;"N",OR('TRANSPORT DASHBOARD'!$C$4="",ISNUMBER(SEARCH('TRANSPORT DASHBOARD'!$C$4,INDEX(MASTER_AREAS!$B:$B,359))))),358,""),""),IF('TRANSPORT DASHBOARD'!$B$4="Zone",IF(358&lt;=$I$4,IF(OR('TRANSPORT DASHBOARD'!$C$4="",ISNUMBER(SEARCH('TRANSPORT DASHBOARD'!$C$4,INDEX(MASTER_ZONES!$B:$B,359)))),358,""),""),""))</f>
        <v/>
      </c>
      <c r="K359">
        <f>IF('MIDWEEK DASHBOARD'!$B$4="Area",IF(358&lt;=$N$3,IF(AND(OR('MIDWEEK DASHBOARD'!$C$4="",ISNUMBER(SEARCH('MIDWEEK DASHBOARD'!$C$4,INDEX(MASTER_AREAS!$B:$B,359))))),358,""),""),IF('MIDWEEK DASHBOARD'!$B$4="Zone",IF(358&lt;=$N$4,IF(OR('MIDWEEK DASHBOARD'!$C$4="",ISNUMBER(SEARCH('MIDWEEK DASHBOARD'!$C$4,INDEX(MASTER_ZONES!$B:$B,359)))),358,""),""),""))</f>
        <v/>
      </c>
      <c r="P359">
        <f>IF('CHOP DASHBOARD'!$B$4="Area",IF(358&lt;=$S$3,IF(AND(OR('CHOP DASHBOARD'!$C$4="",ISNUMBER(SEARCH('CHOP DASHBOARD'!$C$4,INDEX(MASTER_AREAS!$B:$B,359))))),358,""),""),IF('CHOP DASHBOARD'!$B$4="Zone",IF(358&lt;=$S$4,IF(OR('CHOP DASHBOARD'!$C$4="",ISNUMBER(SEARCH('CHOP DASHBOARD'!$C$4,INDEX(MASTER_ZONES!$B:$B,359)))),358,""),""),""))</f>
        <v/>
      </c>
      <c r="U359">
        <f>IF('COMMUNITY CHURCH DASHBOARD'!$B$4="Area",IF(358&lt;=$X$3,IF(AND(OR('COMMUNITY CHURCH DASHBOARD'!$C$4="",ISNUMBER(SEARCH('COMMUNITY CHURCH DASHBOARD'!$C$4,INDEX(MASTER_AREAS!$B:$B,359))))),358,""),""),IF('COMMUNITY CHURCH DASHBOARD'!$B$4="Zone",IF(358&lt;=$X$4,IF(OR('COMMUNITY CHURCH DASHBOARD'!$C$4="",ISNUMBER(SEARCH('COMMUNITY CHURCH DASHBOARD'!$C$4,INDEX(MASTER_ZONES!$B:$B,359)))),358,""),""),""))</f>
        <v/>
      </c>
    </row>
    <row r="360">
      <c r="A360">
        <f>IF('WSF DASHBOARD'!$B$4="Area",IF(359&lt;=$D$3,IF(AND(OR('WSF DASHBOARD'!$C$4="",ISNUMBER(SEARCH('WSF DASHBOARD'!$C$4,INDEX(MASTER_AREAS!$B:$B,360))))),359,""),""),IF('WSF DASHBOARD'!$B$4="Zone",IF(359&lt;=$D$4,IF(OR('WSF DASHBOARD'!$C$4="",ISNUMBER(SEARCH('WSF DASHBOARD'!$C$4,INDEX(MASTER_ZONES!$B:$B,360)))),359,""),""),""))</f>
        <v/>
      </c>
      <c r="F360">
        <f>IF('TRANSPORT DASHBOARD'!$B$4="Area",IF(359&lt;=$I$3,IF(AND(INDEX(MASTER_AREAS!$F:$F,360)&lt;&gt;"N",OR('TRANSPORT DASHBOARD'!$C$4="",ISNUMBER(SEARCH('TRANSPORT DASHBOARD'!$C$4,INDEX(MASTER_AREAS!$B:$B,360))))),359,""),""),IF('TRANSPORT DASHBOARD'!$B$4="Zone",IF(359&lt;=$I$4,IF(OR('TRANSPORT DASHBOARD'!$C$4="",ISNUMBER(SEARCH('TRANSPORT DASHBOARD'!$C$4,INDEX(MASTER_ZONES!$B:$B,360)))),359,""),""),""))</f>
        <v/>
      </c>
      <c r="K360">
        <f>IF('MIDWEEK DASHBOARD'!$B$4="Area",IF(359&lt;=$N$3,IF(AND(OR('MIDWEEK DASHBOARD'!$C$4="",ISNUMBER(SEARCH('MIDWEEK DASHBOARD'!$C$4,INDEX(MASTER_AREAS!$B:$B,360))))),359,""),""),IF('MIDWEEK DASHBOARD'!$B$4="Zone",IF(359&lt;=$N$4,IF(OR('MIDWEEK DASHBOARD'!$C$4="",ISNUMBER(SEARCH('MIDWEEK DASHBOARD'!$C$4,INDEX(MASTER_ZONES!$B:$B,360)))),359,""),""),""))</f>
        <v/>
      </c>
      <c r="P360">
        <f>IF('CHOP DASHBOARD'!$B$4="Area",IF(359&lt;=$S$3,IF(AND(OR('CHOP DASHBOARD'!$C$4="",ISNUMBER(SEARCH('CHOP DASHBOARD'!$C$4,INDEX(MASTER_AREAS!$B:$B,360))))),359,""),""),IF('CHOP DASHBOARD'!$B$4="Zone",IF(359&lt;=$S$4,IF(OR('CHOP DASHBOARD'!$C$4="",ISNUMBER(SEARCH('CHOP DASHBOARD'!$C$4,INDEX(MASTER_ZONES!$B:$B,360)))),359,""),""),""))</f>
        <v/>
      </c>
      <c r="U360">
        <f>IF('COMMUNITY CHURCH DASHBOARD'!$B$4="Area",IF(359&lt;=$X$3,IF(AND(OR('COMMUNITY CHURCH DASHBOARD'!$C$4="",ISNUMBER(SEARCH('COMMUNITY CHURCH DASHBOARD'!$C$4,INDEX(MASTER_AREAS!$B:$B,360))))),359,""),""),IF('COMMUNITY CHURCH DASHBOARD'!$B$4="Zone",IF(359&lt;=$X$4,IF(OR('COMMUNITY CHURCH DASHBOARD'!$C$4="",ISNUMBER(SEARCH('COMMUNITY CHURCH DASHBOARD'!$C$4,INDEX(MASTER_ZONES!$B:$B,360)))),359,""),""),""))</f>
        <v/>
      </c>
    </row>
    <row r="361">
      <c r="A361">
        <f>IF('WSF DASHBOARD'!$B$4="Area",IF(360&lt;=$D$3,IF(AND(OR('WSF DASHBOARD'!$C$4="",ISNUMBER(SEARCH('WSF DASHBOARD'!$C$4,INDEX(MASTER_AREAS!$B:$B,361))))),360,""),""),IF('WSF DASHBOARD'!$B$4="Zone",IF(360&lt;=$D$4,IF(OR('WSF DASHBOARD'!$C$4="",ISNUMBER(SEARCH('WSF DASHBOARD'!$C$4,INDEX(MASTER_ZONES!$B:$B,361)))),360,""),""),""))</f>
        <v/>
      </c>
      <c r="F361">
        <f>IF('TRANSPORT DASHBOARD'!$B$4="Area",IF(360&lt;=$I$3,IF(AND(INDEX(MASTER_AREAS!$F:$F,361)&lt;&gt;"N",OR('TRANSPORT DASHBOARD'!$C$4="",ISNUMBER(SEARCH('TRANSPORT DASHBOARD'!$C$4,INDEX(MASTER_AREAS!$B:$B,361))))),360,""),""),IF('TRANSPORT DASHBOARD'!$B$4="Zone",IF(360&lt;=$I$4,IF(OR('TRANSPORT DASHBOARD'!$C$4="",ISNUMBER(SEARCH('TRANSPORT DASHBOARD'!$C$4,INDEX(MASTER_ZONES!$B:$B,361)))),360,""),""),""))</f>
        <v/>
      </c>
      <c r="K361">
        <f>IF('MIDWEEK DASHBOARD'!$B$4="Area",IF(360&lt;=$N$3,IF(AND(OR('MIDWEEK DASHBOARD'!$C$4="",ISNUMBER(SEARCH('MIDWEEK DASHBOARD'!$C$4,INDEX(MASTER_AREAS!$B:$B,361))))),360,""),""),IF('MIDWEEK DASHBOARD'!$B$4="Zone",IF(360&lt;=$N$4,IF(OR('MIDWEEK DASHBOARD'!$C$4="",ISNUMBER(SEARCH('MIDWEEK DASHBOARD'!$C$4,INDEX(MASTER_ZONES!$B:$B,361)))),360,""),""),""))</f>
        <v/>
      </c>
      <c r="P361">
        <f>IF('CHOP DASHBOARD'!$B$4="Area",IF(360&lt;=$S$3,IF(AND(OR('CHOP DASHBOARD'!$C$4="",ISNUMBER(SEARCH('CHOP DASHBOARD'!$C$4,INDEX(MASTER_AREAS!$B:$B,361))))),360,""),""),IF('CHOP DASHBOARD'!$B$4="Zone",IF(360&lt;=$S$4,IF(OR('CHOP DASHBOARD'!$C$4="",ISNUMBER(SEARCH('CHOP DASHBOARD'!$C$4,INDEX(MASTER_ZONES!$B:$B,361)))),360,""),""),""))</f>
        <v/>
      </c>
      <c r="U361">
        <f>IF('COMMUNITY CHURCH DASHBOARD'!$B$4="Area",IF(360&lt;=$X$3,IF(AND(OR('COMMUNITY CHURCH DASHBOARD'!$C$4="",ISNUMBER(SEARCH('COMMUNITY CHURCH DASHBOARD'!$C$4,INDEX(MASTER_AREAS!$B:$B,361))))),360,""),""),IF('COMMUNITY CHURCH DASHBOARD'!$B$4="Zone",IF(360&lt;=$X$4,IF(OR('COMMUNITY CHURCH DASHBOARD'!$C$4="",ISNUMBER(SEARCH('COMMUNITY CHURCH DASHBOARD'!$C$4,INDEX(MASTER_ZONES!$B:$B,361)))),360,""),""),""))</f>
        <v/>
      </c>
    </row>
    <row r="362">
      <c r="A362">
        <f>IF('WSF DASHBOARD'!$B$4="Area",IF(361&lt;=$D$3,IF(AND(OR('WSF DASHBOARD'!$C$4="",ISNUMBER(SEARCH('WSF DASHBOARD'!$C$4,INDEX(MASTER_AREAS!$B:$B,362))))),361,""),""),IF('WSF DASHBOARD'!$B$4="Zone",IF(361&lt;=$D$4,IF(OR('WSF DASHBOARD'!$C$4="",ISNUMBER(SEARCH('WSF DASHBOARD'!$C$4,INDEX(MASTER_ZONES!$B:$B,362)))),361,""),""),""))</f>
        <v/>
      </c>
      <c r="F362">
        <f>IF('TRANSPORT DASHBOARD'!$B$4="Area",IF(361&lt;=$I$3,IF(AND(INDEX(MASTER_AREAS!$F:$F,362)&lt;&gt;"N",OR('TRANSPORT DASHBOARD'!$C$4="",ISNUMBER(SEARCH('TRANSPORT DASHBOARD'!$C$4,INDEX(MASTER_AREAS!$B:$B,362))))),361,""),""),IF('TRANSPORT DASHBOARD'!$B$4="Zone",IF(361&lt;=$I$4,IF(OR('TRANSPORT DASHBOARD'!$C$4="",ISNUMBER(SEARCH('TRANSPORT DASHBOARD'!$C$4,INDEX(MASTER_ZONES!$B:$B,362)))),361,""),""),""))</f>
        <v/>
      </c>
      <c r="K362">
        <f>IF('MIDWEEK DASHBOARD'!$B$4="Area",IF(361&lt;=$N$3,IF(AND(OR('MIDWEEK DASHBOARD'!$C$4="",ISNUMBER(SEARCH('MIDWEEK DASHBOARD'!$C$4,INDEX(MASTER_AREAS!$B:$B,362))))),361,""),""),IF('MIDWEEK DASHBOARD'!$B$4="Zone",IF(361&lt;=$N$4,IF(OR('MIDWEEK DASHBOARD'!$C$4="",ISNUMBER(SEARCH('MIDWEEK DASHBOARD'!$C$4,INDEX(MASTER_ZONES!$B:$B,362)))),361,""),""),""))</f>
        <v/>
      </c>
      <c r="P362">
        <f>IF('CHOP DASHBOARD'!$B$4="Area",IF(361&lt;=$S$3,IF(AND(OR('CHOP DASHBOARD'!$C$4="",ISNUMBER(SEARCH('CHOP DASHBOARD'!$C$4,INDEX(MASTER_AREAS!$B:$B,362))))),361,""),""),IF('CHOP DASHBOARD'!$B$4="Zone",IF(361&lt;=$S$4,IF(OR('CHOP DASHBOARD'!$C$4="",ISNUMBER(SEARCH('CHOP DASHBOARD'!$C$4,INDEX(MASTER_ZONES!$B:$B,362)))),361,""),""),""))</f>
        <v/>
      </c>
      <c r="U362">
        <f>IF('COMMUNITY CHURCH DASHBOARD'!$B$4="Area",IF(361&lt;=$X$3,IF(AND(OR('COMMUNITY CHURCH DASHBOARD'!$C$4="",ISNUMBER(SEARCH('COMMUNITY CHURCH DASHBOARD'!$C$4,INDEX(MASTER_AREAS!$B:$B,362))))),361,""),""),IF('COMMUNITY CHURCH DASHBOARD'!$B$4="Zone",IF(361&lt;=$X$4,IF(OR('COMMUNITY CHURCH DASHBOARD'!$C$4="",ISNUMBER(SEARCH('COMMUNITY CHURCH DASHBOARD'!$C$4,INDEX(MASTER_ZONES!$B:$B,362)))),361,""),""),""))</f>
        <v/>
      </c>
    </row>
    <row r="363">
      <c r="A363">
        <f>IF('WSF DASHBOARD'!$B$4="Area",IF(362&lt;=$D$3,IF(AND(OR('WSF DASHBOARD'!$C$4="",ISNUMBER(SEARCH('WSF DASHBOARD'!$C$4,INDEX(MASTER_AREAS!$B:$B,363))))),362,""),""),IF('WSF DASHBOARD'!$B$4="Zone",IF(362&lt;=$D$4,IF(OR('WSF DASHBOARD'!$C$4="",ISNUMBER(SEARCH('WSF DASHBOARD'!$C$4,INDEX(MASTER_ZONES!$B:$B,363)))),362,""),""),""))</f>
        <v/>
      </c>
      <c r="F363">
        <f>IF('TRANSPORT DASHBOARD'!$B$4="Area",IF(362&lt;=$I$3,IF(AND(INDEX(MASTER_AREAS!$F:$F,363)&lt;&gt;"N",OR('TRANSPORT DASHBOARD'!$C$4="",ISNUMBER(SEARCH('TRANSPORT DASHBOARD'!$C$4,INDEX(MASTER_AREAS!$B:$B,363))))),362,""),""),IF('TRANSPORT DASHBOARD'!$B$4="Zone",IF(362&lt;=$I$4,IF(OR('TRANSPORT DASHBOARD'!$C$4="",ISNUMBER(SEARCH('TRANSPORT DASHBOARD'!$C$4,INDEX(MASTER_ZONES!$B:$B,363)))),362,""),""),""))</f>
        <v/>
      </c>
      <c r="K363">
        <f>IF('MIDWEEK DASHBOARD'!$B$4="Area",IF(362&lt;=$N$3,IF(AND(OR('MIDWEEK DASHBOARD'!$C$4="",ISNUMBER(SEARCH('MIDWEEK DASHBOARD'!$C$4,INDEX(MASTER_AREAS!$B:$B,363))))),362,""),""),IF('MIDWEEK DASHBOARD'!$B$4="Zone",IF(362&lt;=$N$4,IF(OR('MIDWEEK DASHBOARD'!$C$4="",ISNUMBER(SEARCH('MIDWEEK DASHBOARD'!$C$4,INDEX(MASTER_ZONES!$B:$B,363)))),362,""),""),""))</f>
        <v/>
      </c>
      <c r="P363">
        <f>IF('CHOP DASHBOARD'!$B$4="Area",IF(362&lt;=$S$3,IF(AND(OR('CHOP DASHBOARD'!$C$4="",ISNUMBER(SEARCH('CHOP DASHBOARD'!$C$4,INDEX(MASTER_AREAS!$B:$B,363))))),362,""),""),IF('CHOP DASHBOARD'!$B$4="Zone",IF(362&lt;=$S$4,IF(OR('CHOP DASHBOARD'!$C$4="",ISNUMBER(SEARCH('CHOP DASHBOARD'!$C$4,INDEX(MASTER_ZONES!$B:$B,363)))),362,""),""),""))</f>
        <v/>
      </c>
      <c r="U363">
        <f>IF('COMMUNITY CHURCH DASHBOARD'!$B$4="Area",IF(362&lt;=$X$3,IF(AND(OR('COMMUNITY CHURCH DASHBOARD'!$C$4="",ISNUMBER(SEARCH('COMMUNITY CHURCH DASHBOARD'!$C$4,INDEX(MASTER_AREAS!$B:$B,363))))),362,""),""),IF('COMMUNITY CHURCH DASHBOARD'!$B$4="Zone",IF(362&lt;=$X$4,IF(OR('COMMUNITY CHURCH DASHBOARD'!$C$4="",ISNUMBER(SEARCH('COMMUNITY CHURCH DASHBOARD'!$C$4,INDEX(MASTER_ZONES!$B:$B,363)))),362,""),""),""))</f>
        <v/>
      </c>
    </row>
    <row r="364">
      <c r="A364">
        <f>IF('WSF DASHBOARD'!$B$4="Area",IF(363&lt;=$D$3,IF(AND(OR('WSF DASHBOARD'!$C$4="",ISNUMBER(SEARCH('WSF DASHBOARD'!$C$4,INDEX(MASTER_AREAS!$B:$B,364))))),363,""),""),IF('WSF DASHBOARD'!$B$4="Zone",IF(363&lt;=$D$4,IF(OR('WSF DASHBOARD'!$C$4="",ISNUMBER(SEARCH('WSF DASHBOARD'!$C$4,INDEX(MASTER_ZONES!$B:$B,364)))),363,""),""),""))</f>
        <v/>
      </c>
      <c r="F364">
        <f>IF('TRANSPORT DASHBOARD'!$B$4="Area",IF(363&lt;=$I$3,IF(AND(INDEX(MASTER_AREAS!$F:$F,364)&lt;&gt;"N",OR('TRANSPORT DASHBOARD'!$C$4="",ISNUMBER(SEARCH('TRANSPORT DASHBOARD'!$C$4,INDEX(MASTER_AREAS!$B:$B,364))))),363,""),""),IF('TRANSPORT DASHBOARD'!$B$4="Zone",IF(363&lt;=$I$4,IF(OR('TRANSPORT DASHBOARD'!$C$4="",ISNUMBER(SEARCH('TRANSPORT DASHBOARD'!$C$4,INDEX(MASTER_ZONES!$B:$B,364)))),363,""),""),""))</f>
        <v/>
      </c>
      <c r="K364">
        <f>IF('MIDWEEK DASHBOARD'!$B$4="Area",IF(363&lt;=$N$3,IF(AND(OR('MIDWEEK DASHBOARD'!$C$4="",ISNUMBER(SEARCH('MIDWEEK DASHBOARD'!$C$4,INDEX(MASTER_AREAS!$B:$B,364))))),363,""),""),IF('MIDWEEK DASHBOARD'!$B$4="Zone",IF(363&lt;=$N$4,IF(OR('MIDWEEK DASHBOARD'!$C$4="",ISNUMBER(SEARCH('MIDWEEK DASHBOARD'!$C$4,INDEX(MASTER_ZONES!$B:$B,364)))),363,""),""),""))</f>
        <v/>
      </c>
      <c r="P364">
        <f>IF('CHOP DASHBOARD'!$B$4="Area",IF(363&lt;=$S$3,IF(AND(OR('CHOP DASHBOARD'!$C$4="",ISNUMBER(SEARCH('CHOP DASHBOARD'!$C$4,INDEX(MASTER_AREAS!$B:$B,364))))),363,""),""),IF('CHOP DASHBOARD'!$B$4="Zone",IF(363&lt;=$S$4,IF(OR('CHOP DASHBOARD'!$C$4="",ISNUMBER(SEARCH('CHOP DASHBOARD'!$C$4,INDEX(MASTER_ZONES!$B:$B,364)))),363,""),""),""))</f>
        <v/>
      </c>
      <c r="U364">
        <f>IF('COMMUNITY CHURCH DASHBOARD'!$B$4="Area",IF(363&lt;=$X$3,IF(AND(OR('COMMUNITY CHURCH DASHBOARD'!$C$4="",ISNUMBER(SEARCH('COMMUNITY CHURCH DASHBOARD'!$C$4,INDEX(MASTER_AREAS!$B:$B,364))))),363,""),""),IF('COMMUNITY CHURCH DASHBOARD'!$B$4="Zone",IF(363&lt;=$X$4,IF(OR('COMMUNITY CHURCH DASHBOARD'!$C$4="",ISNUMBER(SEARCH('COMMUNITY CHURCH DASHBOARD'!$C$4,INDEX(MASTER_ZONES!$B:$B,364)))),363,""),""),""))</f>
        <v/>
      </c>
    </row>
    <row r="365">
      <c r="A365">
        <f>IF('WSF DASHBOARD'!$B$4="Area",IF(364&lt;=$D$3,IF(AND(OR('WSF DASHBOARD'!$C$4="",ISNUMBER(SEARCH('WSF DASHBOARD'!$C$4,INDEX(MASTER_AREAS!$B:$B,365))))),364,""),""),IF('WSF DASHBOARD'!$B$4="Zone",IF(364&lt;=$D$4,IF(OR('WSF DASHBOARD'!$C$4="",ISNUMBER(SEARCH('WSF DASHBOARD'!$C$4,INDEX(MASTER_ZONES!$B:$B,365)))),364,""),""),""))</f>
        <v/>
      </c>
      <c r="F365">
        <f>IF('TRANSPORT DASHBOARD'!$B$4="Area",IF(364&lt;=$I$3,IF(AND(INDEX(MASTER_AREAS!$F:$F,365)&lt;&gt;"N",OR('TRANSPORT DASHBOARD'!$C$4="",ISNUMBER(SEARCH('TRANSPORT DASHBOARD'!$C$4,INDEX(MASTER_AREAS!$B:$B,365))))),364,""),""),IF('TRANSPORT DASHBOARD'!$B$4="Zone",IF(364&lt;=$I$4,IF(OR('TRANSPORT DASHBOARD'!$C$4="",ISNUMBER(SEARCH('TRANSPORT DASHBOARD'!$C$4,INDEX(MASTER_ZONES!$B:$B,365)))),364,""),""),""))</f>
        <v/>
      </c>
      <c r="K365">
        <f>IF('MIDWEEK DASHBOARD'!$B$4="Area",IF(364&lt;=$N$3,IF(AND(OR('MIDWEEK DASHBOARD'!$C$4="",ISNUMBER(SEARCH('MIDWEEK DASHBOARD'!$C$4,INDEX(MASTER_AREAS!$B:$B,365))))),364,""),""),IF('MIDWEEK DASHBOARD'!$B$4="Zone",IF(364&lt;=$N$4,IF(OR('MIDWEEK DASHBOARD'!$C$4="",ISNUMBER(SEARCH('MIDWEEK DASHBOARD'!$C$4,INDEX(MASTER_ZONES!$B:$B,365)))),364,""),""),""))</f>
        <v/>
      </c>
      <c r="P365">
        <f>IF('CHOP DASHBOARD'!$B$4="Area",IF(364&lt;=$S$3,IF(AND(OR('CHOP DASHBOARD'!$C$4="",ISNUMBER(SEARCH('CHOP DASHBOARD'!$C$4,INDEX(MASTER_AREAS!$B:$B,365))))),364,""),""),IF('CHOP DASHBOARD'!$B$4="Zone",IF(364&lt;=$S$4,IF(OR('CHOP DASHBOARD'!$C$4="",ISNUMBER(SEARCH('CHOP DASHBOARD'!$C$4,INDEX(MASTER_ZONES!$B:$B,365)))),364,""),""),""))</f>
        <v/>
      </c>
      <c r="U365">
        <f>IF('COMMUNITY CHURCH DASHBOARD'!$B$4="Area",IF(364&lt;=$X$3,IF(AND(OR('COMMUNITY CHURCH DASHBOARD'!$C$4="",ISNUMBER(SEARCH('COMMUNITY CHURCH DASHBOARD'!$C$4,INDEX(MASTER_AREAS!$B:$B,365))))),364,""),""),IF('COMMUNITY CHURCH DASHBOARD'!$B$4="Zone",IF(364&lt;=$X$4,IF(OR('COMMUNITY CHURCH DASHBOARD'!$C$4="",ISNUMBER(SEARCH('COMMUNITY CHURCH DASHBOARD'!$C$4,INDEX(MASTER_ZONES!$B:$B,365)))),364,""),""),""))</f>
        <v/>
      </c>
    </row>
    <row r="366">
      <c r="A366">
        <f>IF('WSF DASHBOARD'!$B$4="Area",IF(365&lt;=$D$3,IF(AND(OR('WSF DASHBOARD'!$C$4="",ISNUMBER(SEARCH('WSF DASHBOARD'!$C$4,INDEX(MASTER_AREAS!$B:$B,366))))),365,""),""),IF('WSF DASHBOARD'!$B$4="Zone",IF(365&lt;=$D$4,IF(OR('WSF DASHBOARD'!$C$4="",ISNUMBER(SEARCH('WSF DASHBOARD'!$C$4,INDEX(MASTER_ZONES!$B:$B,366)))),365,""),""),""))</f>
        <v/>
      </c>
      <c r="F366">
        <f>IF('TRANSPORT DASHBOARD'!$B$4="Area",IF(365&lt;=$I$3,IF(AND(INDEX(MASTER_AREAS!$F:$F,366)&lt;&gt;"N",OR('TRANSPORT DASHBOARD'!$C$4="",ISNUMBER(SEARCH('TRANSPORT DASHBOARD'!$C$4,INDEX(MASTER_AREAS!$B:$B,366))))),365,""),""),IF('TRANSPORT DASHBOARD'!$B$4="Zone",IF(365&lt;=$I$4,IF(OR('TRANSPORT DASHBOARD'!$C$4="",ISNUMBER(SEARCH('TRANSPORT DASHBOARD'!$C$4,INDEX(MASTER_ZONES!$B:$B,366)))),365,""),""),""))</f>
        <v/>
      </c>
      <c r="K366">
        <f>IF('MIDWEEK DASHBOARD'!$B$4="Area",IF(365&lt;=$N$3,IF(AND(OR('MIDWEEK DASHBOARD'!$C$4="",ISNUMBER(SEARCH('MIDWEEK DASHBOARD'!$C$4,INDEX(MASTER_AREAS!$B:$B,366))))),365,""),""),IF('MIDWEEK DASHBOARD'!$B$4="Zone",IF(365&lt;=$N$4,IF(OR('MIDWEEK DASHBOARD'!$C$4="",ISNUMBER(SEARCH('MIDWEEK DASHBOARD'!$C$4,INDEX(MASTER_ZONES!$B:$B,366)))),365,""),""),""))</f>
        <v/>
      </c>
      <c r="P366">
        <f>IF('CHOP DASHBOARD'!$B$4="Area",IF(365&lt;=$S$3,IF(AND(OR('CHOP DASHBOARD'!$C$4="",ISNUMBER(SEARCH('CHOP DASHBOARD'!$C$4,INDEX(MASTER_AREAS!$B:$B,366))))),365,""),""),IF('CHOP DASHBOARD'!$B$4="Zone",IF(365&lt;=$S$4,IF(OR('CHOP DASHBOARD'!$C$4="",ISNUMBER(SEARCH('CHOP DASHBOARD'!$C$4,INDEX(MASTER_ZONES!$B:$B,366)))),365,""),""),""))</f>
        <v/>
      </c>
      <c r="U366">
        <f>IF('COMMUNITY CHURCH DASHBOARD'!$B$4="Area",IF(365&lt;=$X$3,IF(AND(OR('COMMUNITY CHURCH DASHBOARD'!$C$4="",ISNUMBER(SEARCH('COMMUNITY CHURCH DASHBOARD'!$C$4,INDEX(MASTER_AREAS!$B:$B,366))))),365,""),""),IF('COMMUNITY CHURCH DASHBOARD'!$B$4="Zone",IF(365&lt;=$X$4,IF(OR('COMMUNITY CHURCH DASHBOARD'!$C$4="",ISNUMBER(SEARCH('COMMUNITY CHURCH DASHBOARD'!$C$4,INDEX(MASTER_ZONES!$B:$B,366)))),365,""),""),""))</f>
        <v/>
      </c>
    </row>
    <row r="367">
      <c r="A367">
        <f>IF('WSF DASHBOARD'!$B$4="Area",IF(366&lt;=$D$3,IF(AND(OR('WSF DASHBOARD'!$C$4="",ISNUMBER(SEARCH('WSF DASHBOARD'!$C$4,INDEX(MASTER_AREAS!$B:$B,367))))),366,""),""),IF('WSF DASHBOARD'!$B$4="Zone",IF(366&lt;=$D$4,IF(OR('WSF DASHBOARD'!$C$4="",ISNUMBER(SEARCH('WSF DASHBOARD'!$C$4,INDEX(MASTER_ZONES!$B:$B,367)))),366,""),""),""))</f>
        <v/>
      </c>
      <c r="F367">
        <f>IF('TRANSPORT DASHBOARD'!$B$4="Area",IF(366&lt;=$I$3,IF(AND(INDEX(MASTER_AREAS!$F:$F,367)&lt;&gt;"N",OR('TRANSPORT DASHBOARD'!$C$4="",ISNUMBER(SEARCH('TRANSPORT DASHBOARD'!$C$4,INDEX(MASTER_AREAS!$B:$B,367))))),366,""),""),IF('TRANSPORT DASHBOARD'!$B$4="Zone",IF(366&lt;=$I$4,IF(OR('TRANSPORT DASHBOARD'!$C$4="",ISNUMBER(SEARCH('TRANSPORT DASHBOARD'!$C$4,INDEX(MASTER_ZONES!$B:$B,367)))),366,""),""),""))</f>
        <v/>
      </c>
      <c r="K367">
        <f>IF('MIDWEEK DASHBOARD'!$B$4="Area",IF(366&lt;=$N$3,IF(AND(OR('MIDWEEK DASHBOARD'!$C$4="",ISNUMBER(SEARCH('MIDWEEK DASHBOARD'!$C$4,INDEX(MASTER_AREAS!$B:$B,367))))),366,""),""),IF('MIDWEEK DASHBOARD'!$B$4="Zone",IF(366&lt;=$N$4,IF(OR('MIDWEEK DASHBOARD'!$C$4="",ISNUMBER(SEARCH('MIDWEEK DASHBOARD'!$C$4,INDEX(MASTER_ZONES!$B:$B,367)))),366,""),""),""))</f>
        <v/>
      </c>
      <c r="P367">
        <f>IF('CHOP DASHBOARD'!$B$4="Area",IF(366&lt;=$S$3,IF(AND(OR('CHOP DASHBOARD'!$C$4="",ISNUMBER(SEARCH('CHOP DASHBOARD'!$C$4,INDEX(MASTER_AREAS!$B:$B,367))))),366,""),""),IF('CHOP DASHBOARD'!$B$4="Zone",IF(366&lt;=$S$4,IF(OR('CHOP DASHBOARD'!$C$4="",ISNUMBER(SEARCH('CHOP DASHBOARD'!$C$4,INDEX(MASTER_ZONES!$B:$B,367)))),366,""),""),""))</f>
        <v/>
      </c>
      <c r="U367">
        <f>IF('COMMUNITY CHURCH DASHBOARD'!$B$4="Area",IF(366&lt;=$X$3,IF(AND(OR('COMMUNITY CHURCH DASHBOARD'!$C$4="",ISNUMBER(SEARCH('COMMUNITY CHURCH DASHBOARD'!$C$4,INDEX(MASTER_AREAS!$B:$B,367))))),366,""),""),IF('COMMUNITY CHURCH DASHBOARD'!$B$4="Zone",IF(366&lt;=$X$4,IF(OR('COMMUNITY CHURCH DASHBOARD'!$C$4="",ISNUMBER(SEARCH('COMMUNITY CHURCH DASHBOARD'!$C$4,INDEX(MASTER_ZONES!$B:$B,367)))),366,""),""),""))</f>
        <v/>
      </c>
    </row>
    <row r="368">
      <c r="A368">
        <f>IF('WSF DASHBOARD'!$B$4="Area",IF(367&lt;=$D$3,IF(AND(OR('WSF DASHBOARD'!$C$4="",ISNUMBER(SEARCH('WSF DASHBOARD'!$C$4,INDEX(MASTER_AREAS!$B:$B,368))))),367,""),""),IF('WSF DASHBOARD'!$B$4="Zone",IF(367&lt;=$D$4,IF(OR('WSF DASHBOARD'!$C$4="",ISNUMBER(SEARCH('WSF DASHBOARD'!$C$4,INDEX(MASTER_ZONES!$B:$B,368)))),367,""),""),""))</f>
        <v/>
      </c>
      <c r="F368">
        <f>IF('TRANSPORT DASHBOARD'!$B$4="Area",IF(367&lt;=$I$3,IF(AND(INDEX(MASTER_AREAS!$F:$F,368)&lt;&gt;"N",OR('TRANSPORT DASHBOARD'!$C$4="",ISNUMBER(SEARCH('TRANSPORT DASHBOARD'!$C$4,INDEX(MASTER_AREAS!$B:$B,368))))),367,""),""),IF('TRANSPORT DASHBOARD'!$B$4="Zone",IF(367&lt;=$I$4,IF(OR('TRANSPORT DASHBOARD'!$C$4="",ISNUMBER(SEARCH('TRANSPORT DASHBOARD'!$C$4,INDEX(MASTER_ZONES!$B:$B,368)))),367,""),""),""))</f>
        <v/>
      </c>
      <c r="K368">
        <f>IF('MIDWEEK DASHBOARD'!$B$4="Area",IF(367&lt;=$N$3,IF(AND(OR('MIDWEEK DASHBOARD'!$C$4="",ISNUMBER(SEARCH('MIDWEEK DASHBOARD'!$C$4,INDEX(MASTER_AREAS!$B:$B,368))))),367,""),""),IF('MIDWEEK DASHBOARD'!$B$4="Zone",IF(367&lt;=$N$4,IF(OR('MIDWEEK DASHBOARD'!$C$4="",ISNUMBER(SEARCH('MIDWEEK DASHBOARD'!$C$4,INDEX(MASTER_ZONES!$B:$B,368)))),367,""),""),""))</f>
        <v/>
      </c>
      <c r="P368">
        <f>IF('CHOP DASHBOARD'!$B$4="Area",IF(367&lt;=$S$3,IF(AND(OR('CHOP DASHBOARD'!$C$4="",ISNUMBER(SEARCH('CHOP DASHBOARD'!$C$4,INDEX(MASTER_AREAS!$B:$B,368))))),367,""),""),IF('CHOP DASHBOARD'!$B$4="Zone",IF(367&lt;=$S$4,IF(OR('CHOP DASHBOARD'!$C$4="",ISNUMBER(SEARCH('CHOP DASHBOARD'!$C$4,INDEX(MASTER_ZONES!$B:$B,368)))),367,""),""),""))</f>
        <v/>
      </c>
      <c r="U368">
        <f>IF('COMMUNITY CHURCH DASHBOARD'!$B$4="Area",IF(367&lt;=$X$3,IF(AND(OR('COMMUNITY CHURCH DASHBOARD'!$C$4="",ISNUMBER(SEARCH('COMMUNITY CHURCH DASHBOARD'!$C$4,INDEX(MASTER_AREAS!$B:$B,368))))),367,""),""),IF('COMMUNITY CHURCH DASHBOARD'!$B$4="Zone",IF(367&lt;=$X$4,IF(OR('COMMUNITY CHURCH DASHBOARD'!$C$4="",ISNUMBER(SEARCH('COMMUNITY CHURCH DASHBOARD'!$C$4,INDEX(MASTER_ZONES!$B:$B,368)))),367,""),""),""))</f>
        <v/>
      </c>
    </row>
    <row r="369">
      <c r="A369">
        <f>IF('WSF DASHBOARD'!$B$4="Area",IF(368&lt;=$D$3,IF(AND(OR('WSF DASHBOARD'!$C$4="",ISNUMBER(SEARCH('WSF DASHBOARD'!$C$4,INDEX(MASTER_AREAS!$B:$B,369))))),368,""),""),IF('WSF DASHBOARD'!$B$4="Zone",IF(368&lt;=$D$4,IF(OR('WSF DASHBOARD'!$C$4="",ISNUMBER(SEARCH('WSF DASHBOARD'!$C$4,INDEX(MASTER_ZONES!$B:$B,369)))),368,""),""),""))</f>
        <v/>
      </c>
      <c r="F369">
        <f>IF('TRANSPORT DASHBOARD'!$B$4="Area",IF(368&lt;=$I$3,IF(AND(INDEX(MASTER_AREAS!$F:$F,369)&lt;&gt;"N",OR('TRANSPORT DASHBOARD'!$C$4="",ISNUMBER(SEARCH('TRANSPORT DASHBOARD'!$C$4,INDEX(MASTER_AREAS!$B:$B,369))))),368,""),""),IF('TRANSPORT DASHBOARD'!$B$4="Zone",IF(368&lt;=$I$4,IF(OR('TRANSPORT DASHBOARD'!$C$4="",ISNUMBER(SEARCH('TRANSPORT DASHBOARD'!$C$4,INDEX(MASTER_ZONES!$B:$B,369)))),368,""),""),""))</f>
        <v/>
      </c>
      <c r="K369">
        <f>IF('MIDWEEK DASHBOARD'!$B$4="Area",IF(368&lt;=$N$3,IF(AND(OR('MIDWEEK DASHBOARD'!$C$4="",ISNUMBER(SEARCH('MIDWEEK DASHBOARD'!$C$4,INDEX(MASTER_AREAS!$B:$B,369))))),368,""),""),IF('MIDWEEK DASHBOARD'!$B$4="Zone",IF(368&lt;=$N$4,IF(OR('MIDWEEK DASHBOARD'!$C$4="",ISNUMBER(SEARCH('MIDWEEK DASHBOARD'!$C$4,INDEX(MASTER_ZONES!$B:$B,369)))),368,""),""),""))</f>
        <v/>
      </c>
      <c r="P369">
        <f>IF('CHOP DASHBOARD'!$B$4="Area",IF(368&lt;=$S$3,IF(AND(OR('CHOP DASHBOARD'!$C$4="",ISNUMBER(SEARCH('CHOP DASHBOARD'!$C$4,INDEX(MASTER_AREAS!$B:$B,369))))),368,""),""),IF('CHOP DASHBOARD'!$B$4="Zone",IF(368&lt;=$S$4,IF(OR('CHOP DASHBOARD'!$C$4="",ISNUMBER(SEARCH('CHOP DASHBOARD'!$C$4,INDEX(MASTER_ZONES!$B:$B,369)))),368,""),""),""))</f>
        <v/>
      </c>
      <c r="U369">
        <f>IF('COMMUNITY CHURCH DASHBOARD'!$B$4="Area",IF(368&lt;=$X$3,IF(AND(OR('COMMUNITY CHURCH DASHBOARD'!$C$4="",ISNUMBER(SEARCH('COMMUNITY CHURCH DASHBOARD'!$C$4,INDEX(MASTER_AREAS!$B:$B,369))))),368,""),""),IF('COMMUNITY CHURCH DASHBOARD'!$B$4="Zone",IF(368&lt;=$X$4,IF(OR('COMMUNITY CHURCH DASHBOARD'!$C$4="",ISNUMBER(SEARCH('COMMUNITY CHURCH DASHBOARD'!$C$4,INDEX(MASTER_ZONES!$B:$B,369)))),368,""),""),""))</f>
        <v/>
      </c>
    </row>
    <row r="370">
      <c r="A370">
        <f>IF('WSF DASHBOARD'!$B$4="Area",IF(369&lt;=$D$3,IF(AND(OR('WSF DASHBOARD'!$C$4="",ISNUMBER(SEARCH('WSF DASHBOARD'!$C$4,INDEX(MASTER_AREAS!$B:$B,370))))),369,""),""),IF('WSF DASHBOARD'!$B$4="Zone",IF(369&lt;=$D$4,IF(OR('WSF DASHBOARD'!$C$4="",ISNUMBER(SEARCH('WSF DASHBOARD'!$C$4,INDEX(MASTER_ZONES!$B:$B,370)))),369,""),""),""))</f>
        <v/>
      </c>
      <c r="F370">
        <f>IF('TRANSPORT DASHBOARD'!$B$4="Area",IF(369&lt;=$I$3,IF(AND(INDEX(MASTER_AREAS!$F:$F,370)&lt;&gt;"N",OR('TRANSPORT DASHBOARD'!$C$4="",ISNUMBER(SEARCH('TRANSPORT DASHBOARD'!$C$4,INDEX(MASTER_AREAS!$B:$B,370))))),369,""),""),IF('TRANSPORT DASHBOARD'!$B$4="Zone",IF(369&lt;=$I$4,IF(OR('TRANSPORT DASHBOARD'!$C$4="",ISNUMBER(SEARCH('TRANSPORT DASHBOARD'!$C$4,INDEX(MASTER_ZONES!$B:$B,370)))),369,""),""),""))</f>
        <v/>
      </c>
      <c r="K370">
        <f>IF('MIDWEEK DASHBOARD'!$B$4="Area",IF(369&lt;=$N$3,IF(AND(OR('MIDWEEK DASHBOARD'!$C$4="",ISNUMBER(SEARCH('MIDWEEK DASHBOARD'!$C$4,INDEX(MASTER_AREAS!$B:$B,370))))),369,""),""),IF('MIDWEEK DASHBOARD'!$B$4="Zone",IF(369&lt;=$N$4,IF(OR('MIDWEEK DASHBOARD'!$C$4="",ISNUMBER(SEARCH('MIDWEEK DASHBOARD'!$C$4,INDEX(MASTER_ZONES!$B:$B,370)))),369,""),""),""))</f>
        <v/>
      </c>
      <c r="P370">
        <f>IF('CHOP DASHBOARD'!$B$4="Area",IF(369&lt;=$S$3,IF(AND(OR('CHOP DASHBOARD'!$C$4="",ISNUMBER(SEARCH('CHOP DASHBOARD'!$C$4,INDEX(MASTER_AREAS!$B:$B,370))))),369,""),""),IF('CHOP DASHBOARD'!$B$4="Zone",IF(369&lt;=$S$4,IF(OR('CHOP DASHBOARD'!$C$4="",ISNUMBER(SEARCH('CHOP DASHBOARD'!$C$4,INDEX(MASTER_ZONES!$B:$B,370)))),369,""),""),""))</f>
        <v/>
      </c>
      <c r="U370">
        <f>IF('COMMUNITY CHURCH DASHBOARD'!$B$4="Area",IF(369&lt;=$X$3,IF(AND(OR('COMMUNITY CHURCH DASHBOARD'!$C$4="",ISNUMBER(SEARCH('COMMUNITY CHURCH DASHBOARD'!$C$4,INDEX(MASTER_AREAS!$B:$B,370))))),369,""),""),IF('COMMUNITY CHURCH DASHBOARD'!$B$4="Zone",IF(369&lt;=$X$4,IF(OR('COMMUNITY CHURCH DASHBOARD'!$C$4="",ISNUMBER(SEARCH('COMMUNITY CHURCH DASHBOARD'!$C$4,INDEX(MASTER_ZONES!$B:$B,370)))),369,""),""),""))</f>
        <v/>
      </c>
    </row>
    <row r="371">
      <c r="A371">
        <f>IF('WSF DASHBOARD'!$B$4="Area",IF(370&lt;=$D$3,IF(AND(OR('WSF DASHBOARD'!$C$4="",ISNUMBER(SEARCH('WSF DASHBOARD'!$C$4,INDEX(MASTER_AREAS!$B:$B,371))))),370,""),""),IF('WSF DASHBOARD'!$B$4="Zone",IF(370&lt;=$D$4,IF(OR('WSF DASHBOARD'!$C$4="",ISNUMBER(SEARCH('WSF DASHBOARD'!$C$4,INDEX(MASTER_ZONES!$B:$B,371)))),370,""),""),""))</f>
        <v/>
      </c>
      <c r="F371">
        <f>IF('TRANSPORT DASHBOARD'!$B$4="Area",IF(370&lt;=$I$3,IF(AND(INDEX(MASTER_AREAS!$F:$F,371)&lt;&gt;"N",OR('TRANSPORT DASHBOARD'!$C$4="",ISNUMBER(SEARCH('TRANSPORT DASHBOARD'!$C$4,INDEX(MASTER_AREAS!$B:$B,371))))),370,""),""),IF('TRANSPORT DASHBOARD'!$B$4="Zone",IF(370&lt;=$I$4,IF(OR('TRANSPORT DASHBOARD'!$C$4="",ISNUMBER(SEARCH('TRANSPORT DASHBOARD'!$C$4,INDEX(MASTER_ZONES!$B:$B,371)))),370,""),""),""))</f>
        <v/>
      </c>
      <c r="K371">
        <f>IF('MIDWEEK DASHBOARD'!$B$4="Area",IF(370&lt;=$N$3,IF(AND(OR('MIDWEEK DASHBOARD'!$C$4="",ISNUMBER(SEARCH('MIDWEEK DASHBOARD'!$C$4,INDEX(MASTER_AREAS!$B:$B,371))))),370,""),""),IF('MIDWEEK DASHBOARD'!$B$4="Zone",IF(370&lt;=$N$4,IF(OR('MIDWEEK DASHBOARD'!$C$4="",ISNUMBER(SEARCH('MIDWEEK DASHBOARD'!$C$4,INDEX(MASTER_ZONES!$B:$B,371)))),370,""),""),""))</f>
        <v/>
      </c>
      <c r="P371">
        <f>IF('CHOP DASHBOARD'!$B$4="Area",IF(370&lt;=$S$3,IF(AND(OR('CHOP DASHBOARD'!$C$4="",ISNUMBER(SEARCH('CHOP DASHBOARD'!$C$4,INDEX(MASTER_AREAS!$B:$B,371))))),370,""),""),IF('CHOP DASHBOARD'!$B$4="Zone",IF(370&lt;=$S$4,IF(OR('CHOP DASHBOARD'!$C$4="",ISNUMBER(SEARCH('CHOP DASHBOARD'!$C$4,INDEX(MASTER_ZONES!$B:$B,371)))),370,""),""),""))</f>
        <v/>
      </c>
      <c r="U371">
        <f>IF('COMMUNITY CHURCH DASHBOARD'!$B$4="Area",IF(370&lt;=$X$3,IF(AND(OR('COMMUNITY CHURCH DASHBOARD'!$C$4="",ISNUMBER(SEARCH('COMMUNITY CHURCH DASHBOARD'!$C$4,INDEX(MASTER_AREAS!$B:$B,371))))),370,""),""),IF('COMMUNITY CHURCH DASHBOARD'!$B$4="Zone",IF(370&lt;=$X$4,IF(OR('COMMUNITY CHURCH DASHBOARD'!$C$4="",ISNUMBER(SEARCH('COMMUNITY CHURCH DASHBOARD'!$C$4,INDEX(MASTER_ZONES!$B:$B,371)))),370,""),""),""))</f>
        <v/>
      </c>
    </row>
    <row r="372">
      <c r="A372">
        <f>IF('WSF DASHBOARD'!$B$4="Area",IF(371&lt;=$D$3,IF(AND(OR('WSF DASHBOARD'!$C$4="",ISNUMBER(SEARCH('WSF DASHBOARD'!$C$4,INDEX(MASTER_AREAS!$B:$B,372))))),371,""),""),IF('WSF DASHBOARD'!$B$4="Zone",IF(371&lt;=$D$4,IF(OR('WSF DASHBOARD'!$C$4="",ISNUMBER(SEARCH('WSF DASHBOARD'!$C$4,INDEX(MASTER_ZONES!$B:$B,372)))),371,""),""),""))</f>
        <v/>
      </c>
      <c r="F372">
        <f>IF('TRANSPORT DASHBOARD'!$B$4="Area",IF(371&lt;=$I$3,IF(AND(INDEX(MASTER_AREAS!$F:$F,372)&lt;&gt;"N",OR('TRANSPORT DASHBOARD'!$C$4="",ISNUMBER(SEARCH('TRANSPORT DASHBOARD'!$C$4,INDEX(MASTER_AREAS!$B:$B,372))))),371,""),""),IF('TRANSPORT DASHBOARD'!$B$4="Zone",IF(371&lt;=$I$4,IF(OR('TRANSPORT DASHBOARD'!$C$4="",ISNUMBER(SEARCH('TRANSPORT DASHBOARD'!$C$4,INDEX(MASTER_ZONES!$B:$B,372)))),371,""),""),""))</f>
        <v/>
      </c>
      <c r="K372">
        <f>IF('MIDWEEK DASHBOARD'!$B$4="Area",IF(371&lt;=$N$3,IF(AND(OR('MIDWEEK DASHBOARD'!$C$4="",ISNUMBER(SEARCH('MIDWEEK DASHBOARD'!$C$4,INDEX(MASTER_AREAS!$B:$B,372))))),371,""),""),IF('MIDWEEK DASHBOARD'!$B$4="Zone",IF(371&lt;=$N$4,IF(OR('MIDWEEK DASHBOARD'!$C$4="",ISNUMBER(SEARCH('MIDWEEK DASHBOARD'!$C$4,INDEX(MASTER_ZONES!$B:$B,372)))),371,""),""),""))</f>
        <v/>
      </c>
      <c r="P372">
        <f>IF('CHOP DASHBOARD'!$B$4="Area",IF(371&lt;=$S$3,IF(AND(OR('CHOP DASHBOARD'!$C$4="",ISNUMBER(SEARCH('CHOP DASHBOARD'!$C$4,INDEX(MASTER_AREAS!$B:$B,372))))),371,""),""),IF('CHOP DASHBOARD'!$B$4="Zone",IF(371&lt;=$S$4,IF(OR('CHOP DASHBOARD'!$C$4="",ISNUMBER(SEARCH('CHOP DASHBOARD'!$C$4,INDEX(MASTER_ZONES!$B:$B,372)))),371,""),""),""))</f>
        <v/>
      </c>
      <c r="U372">
        <f>IF('COMMUNITY CHURCH DASHBOARD'!$B$4="Area",IF(371&lt;=$X$3,IF(AND(OR('COMMUNITY CHURCH DASHBOARD'!$C$4="",ISNUMBER(SEARCH('COMMUNITY CHURCH DASHBOARD'!$C$4,INDEX(MASTER_AREAS!$B:$B,372))))),371,""),""),IF('COMMUNITY CHURCH DASHBOARD'!$B$4="Zone",IF(371&lt;=$X$4,IF(OR('COMMUNITY CHURCH DASHBOARD'!$C$4="",ISNUMBER(SEARCH('COMMUNITY CHURCH DASHBOARD'!$C$4,INDEX(MASTER_ZONES!$B:$B,372)))),371,""),""),""))</f>
        <v/>
      </c>
    </row>
    <row r="373">
      <c r="A373">
        <f>IF('WSF DASHBOARD'!$B$4="Area",IF(372&lt;=$D$3,IF(AND(OR('WSF DASHBOARD'!$C$4="",ISNUMBER(SEARCH('WSF DASHBOARD'!$C$4,INDEX(MASTER_AREAS!$B:$B,373))))),372,""),""),IF('WSF DASHBOARD'!$B$4="Zone",IF(372&lt;=$D$4,IF(OR('WSF DASHBOARD'!$C$4="",ISNUMBER(SEARCH('WSF DASHBOARD'!$C$4,INDEX(MASTER_ZONES!$B:$B,373)))),372,""),""),""))</f>
        <v/>
      </c>
      <c r="F373">
        <f>IF('TRANSPORT DASHBOARD'!$B$4="Area",IF(372&lt;=$I$3,IF(AND(INDEX(MASTER_AREAS!$F:$F,373)&lt;&gt;"N",OR('TRANSPORT DASHBOARD'!$C$4="",ISNUMBER(SEARCH('TRANSPORT DASHBOARD'!$C$4,INDEX(MASTER_AREAS!$B:$B,373))))),372,""),""),IF('TRANSPORT DASHBOARD'!$B$4="Zone",IF(372&lt;=$I$4,IF(OR('TRANSPORT DASHBOARD'!$C$4="",ISNUMBER(SEARCH('TRANSPORT DASHBOARD'!$C$4,INDEX(MASTER_ZONES!$B:$B,373)))),372,""),""),""))</f>
        <v/>
      </c>
      <c r="K373">
        <f>IF('MIDWEEK DASHBOARD'!$B$4="Area",IF(372&lt;=$N$3,IF(AND(OR('MIDWEEK DASHBOARD'!$C$4="",ISNUMBER(SEARCH('MIDWEEK DASHBOARD'!$C$4,INDEX(MASTER_AREAS!$B:$B,373))))),372,""),""),IF('MIDWEEK DASHBOARD'!$B$4="Zone",IF(372&lt;=$N$4,IF(OR('MIDWEEK DASHBOARD'!$C$4="",ISNUMBER(SEARCH('MIDWEEK DASHBOARD'!$C$4,INDEX(MASTER_ZONES!$B:$B,373)))),372,""),""),""))</f>
        <v/>
      </c>
      <c r="P373">
        <f>IF('CHOP DASHBOARD'!$B$4="Area",IF(372&lt;=$S$3,IF(AND(OR('CHOP DASHBOARD'!$C$4="",ISNUMBER(SEARCH('CHOP DASHBOARD'!$C$4,INDEX(MASTER_AREAS!$B:$B,373))))),372,""),""),IF('CHOP DASHBOARD'!$B$4="Zone",IF(372&lt;=$S$4,IF(OR('CHOP DASHBOARD'!$C$4="",ISNUMBER(SEARCH('CHOP DASHBOARD'!$C$4,INDEX(MASTER_ZONES!$B:$B,373)))),372,""),""),""))</f>
        <v/>
      </c>
      <c r="U373">
        <f>IF('COMMUNITY CHURCH DASHBOARD'!$B$4="Area",IF(372&lt;=$X$3,IF(AND(OR('COMMUNITY CHURCH DASHBOARD'!$C$4="",ISNUMBER(SEARCH('COMMUNITY CHURCH DASHBOARD'!$C$4,INDEX(MASTER_AREAS!$B:$B,373))))),372,""),""),IF('COMMUNITY CHURCH DASHBOARD'!$B$4="Zone",IF(372&lt;=$X$4,IF(OR('COMMUNITY CHURCH DASHBOARD'!$C$4="",ISNUMBER(SEARCH('COMMUNITY CHURCH DASHBOARD'!$C$4,INDEX(MASTER_ZONES!$B:$B,373)))),372,""),""),""))</f>
        <v/>
      </c>
    </row>
    <row r="374">
      <c r="A374">
        <f>IF('WSF DASHBOARD'!$B$4="Area",IF(373&lt;=$D$3,IF(AND(OR('WSF DASHBOARD'!$C$4="",ISNUMBER(SEARCH('WSF DASHBOARD'!$C$4,INDEX(MASTER_AREAS!$B:$B,374))))),373,""),""),IF('WSF DASHBOARD'!$B$4="Zone",IF(373&lt;=$D$4,IF(OR('WSF DASHBOARD'!$C$4="",ISNUMBER(SEARCH('WSF DASHBOARD'!$C$4,INDEX(MASTER_ZONES!$B:$B,374)))),373,""),""),""))</f>
        <v/>
      </c>
      <c r="F374">
        <f>IF('TRANSPORT DASHBOARD'!$B$4="Area",IF(373&lt;=$I$3,IF(AND(INDEX(MASTER_AREAS!$F:$F,374)&lt;&gt;"N",OR('TRANSPORT DASHBOARD'!$C$4="",ISNUMBER(SEARCH('TRANSPORT DASHBOARD'!$C$4,INDEX(MASTER_AREAS!$B:$B,374))))),373,""),""),IF('TRANSPORT DASHBOARD'!$B$4="Zone",IF(373&lt;=$I$4,IF(OR('TRANSPORT DASHBOARD'!$C$4="",ISNUMBER(SEARCH('TRANSPORT DASHBOARD'!$C$4,INDEX(MASTER_ZONES!$B:$B,374)))),373,""),""),""))</f>
        <v/>
      </c>
      <c r="K374">
        <f>IF('MIDWEEK DASHBOARD'!$B$4="Area",IF(373&lt;=$N$3,IF(AND(OR('MIDWEEK DASHBOARD'!$C$4="",ISNUMBER(SEARCH('MIDWEEK DASHBOARD'!$C$4,INDEX(MASTER_AREAS!$B:$B,374))))),373,""),""),IF('MIDWEEK DASHBOARD'!$B$4="Zone",IF(373&lt;=$N$4,IF(OR('MIDWEEK DASHBOARD'!$C$4="",ISNUMBER(SEARCH('MIDWEEK DASHBOARD'!$C$4,INDEX(MASTER_ZONES!$B:$B,374)))),373,""),""),""))</f>
        <v/>
      </c>
      <c r="P374">
        <f>IF('CHOP DASHBOARD'!$B$4="Area",IF(373&lt;=$S$3,IF(AND(OR('CHOP DASHBOARD'!$C$4="",ISNUMBER(SEARCH('CHOP DASHBOARD'!$C$4,INDEX(MASTER_AREAS!$B:$B,374))))),373,""),""),IF('CHOP DASHBOARD'!$B$4="Zone",IF(373&lt;=$S$4,IF(OR('CHOP DASHBOARD'!$C$4="",ISNUMBER(SEARCH('CHOP DASHBOARD'!$C$4,INDEX(MASTER_ZONES!$B:$B,374)))),373,""),""),""))</f>
        <v/>
      </c>
      <c r="U374">
        <f>IF('COMMUNITY CHURCH DASHBOARD'!$B$4="Area",IF(373&lt;=$X$3,IF(AND(OR('COMMUNITY CHURCH DASHBOARD'!$C$4="",ISNUMBER(SEARCH('COMMUNITY CHURCH DASHBOARD'!$C$4,INDEX(MASTER_AREAS!$B:$B,374))))),373,""),""),IF('COMMUNITY CHURCH DASHBOARD'!$B$4="Zone",IF(373&lt;=$X$4,IF(OR('COMMUNITY CHURCH DASHBOARD'!$C$4="",ISNUMBER(SEARCH('COMMUNITY CHURCH DASHBOARD'!$C$4,INDEX(MASTER_ZONES!$B:$B,374)))),373,""),""),""))</f>
        <v/>
      </c>
    </row>
    <row r="375">
      <c r="A375">
        <f>IF('WSF DASHBOARD'!$B$4="Area",IF(374&lt;=$D$3,IF(AND(OR('WSF DASHBOARD'!$C$4="",ISNUMBER(SEARCH('WSF DASHBOARD'!$C$4,INDEX(MASTER_AREAS!$B:$B,375))))),374,""),""),IF('WSF DASHBOARD'!$B$4="Zone",IF(374&lt;=$D$4,IF(OR('WSF DASHBOARD'!$C$4="",ISNUMBER(SEARCH('WSF DASHBOARD'!$C$4,INDEX(MASTER_ZONES!$B:$B,375)))),374,""),""),""))</f>
        <v/>
      </c>
      <c r="F375">
        <f>IF('TRANSPORT DASHBOARD'!$B$4="Area",IF(374&lt;=$I$3,IF(AND(INDEX(MASTER_AREAS!$F:$F,375)&lt;&gt;"N",OR('TRANSPORT DASHBOARD'!$C$4="",ISNUMBER(SEARCH('TRANSPORT DASHBOARD'!$C$4,INDEX(MASTER_AREAS!$B:$B,375))))),374,""),""),IF('TRANSPORT DASHBOARD'!$B$4="Zone",IF(374&lt;=$I$4,IF(OR('TRANSPORT DASHBOARD'!$C$4="",ISNUMBER(SEARCH('TRANSPORT DASHBOARD'!$C$4,INDEX(MASTER_ZONES!$B:$B,375)))),374,""),""),""))</f>
        <v/>
      </c>
      <c r="K375">
        <f>IF('MIDWEEK DASHBOARD'!$B$4="Area",IF(374&lt;=$N$3,IF(AND(OR('MIDWEEK DASHBOARD'!$C$4="",ISNUMBER(SEARCH('MIDWEEK DASHBOARD'!$C$4,INDEX(MASTER_AREAS!$B:$B,375))))),374,""),""),IF('MIDWEEK DASHBOARD'!$B$4="Zone",IF(374&lt;=$N$4,IF(OR('MIDWEEK DASHBOARD'!$C$4="",ISNUMBER(SEARCH('MIDWEEK DASHBOARD'!$C$4,INDEX(MASTER_ZONES!$B:$B,375)))),374,""),""),""))</f>
        <v/>
      </c>
      <c r="P375">
        <f>IF('CHOP DASHBOARD'!$B$4="Area",IF(374&lt;=$S$3,IF(AND(OR('CHOP DASHBOARD'!$C$4="",ISNUMBER(SEARCH('CHOP DASHBOARD'!$C$4,INDEX(MASTER_AREAS!$B:$B,375))))),374,""),""),IF('CHOP DASHBOARD'!$B$4="Zone",IF(374&lt;=$S$4,IF(OR('CHOP DASHBOARD'!$C$4="",ISNUMBER(SEARCH('CHOP DASHBOARD'!$C$4,INDEX(MASTER_ZONES!$B:$B,375)))),374,""),""),""))</f>
        <v/>
      </c>
      <c r="U375">
        <f>IF('COMMUNITY CHURCH DASHBOARD'!$B$4="Area",IF(374&lt;=$X$3,IF(AND(OR('COMMUNITY CHURCH DASHBOARD'!$C$4="",ISNUMBER(SEARCH('COMMUNITY CHURCH DASHBOARD'!$C$4,INDEX(MASTER_AREAS!$B:$B,375))))),374,""),""),IF('COMMUNITY CHURCH DASHBOARD'!$B$4="Zone",IF(374&lt;=$X$4,IF(OR('COMMUNITY CHURCH DASHBOARD'!$C$4="",ISNUMBER(SEARCH('COMMUNITY CHURCH DASHBOARD'!$C$4,INDEX(MASTER_ZONES!$B:$B,375)))),374,""),""),""))</f>
        <v/>
      </c>
    </row>
    <row r="376">
      <c r="A376">
        <f>IF('WSF DASHBOARD'!$B$4="Area",IF(375&lt;=$D$3,IF(AND(OR('WSF DASHBOARD'!$C$4="",ISNUMBER(SEARCH('WSF DASHBOARD'!$C$4,INDEX(MASTER_AREAS!$B:$B,376))))),375,""),""),IF('WSF DASHBOARD'!$B$4="Zone",IF(375&lt;=$D$4,IF(OR('WSF DASHBOARD'!$C$4="",ISNUMBER(SEARCH('WSF DASHBOARD'!$C$4,INDEX(MASTER_ZONES!$B:$B,376)))),375,""),""),""))</f>
        <v/>
      </c>
      <c r="F376">
        <f>IF('TRANSPORT DASHBOARD'!$B$4="Area",IF(375&lt;=$I$3,IF(AND(INDEX(MASTER_AREAS!$F:$F,376)&lt;&gt;"N",OR('TRANSPORT DASHBOARD'!$C$4="",ISNUMBER(SEARCH('TRANSPORT DASHBOARD'!$C$4,INDEX(MASTER_AREAS!$B:$B,376))))),375,""),""),IF('TRANSPORT DASHBOARD'!$B$4="Zone",IF(375&lt;=$I$4,IF(OR('TRANSPORT DASHBOARD'!$C$4="",ISNUMBER(SEARCH('TRANSPORT DASHBOARD'!$C$4,INDEX(MASTER_ZONES!$B:$B,376)))),375,""),""),""))</f>
        <v/>
      </c>
      <c r="K376">
        <f>IF('MIDWEEK DASHBOARD'!$B$4="Area",IF(375&lt;=$N$3,IF(AND(OR('MIDWEEK DASHBOARD'!$C$4="",ISNUMBER(SEARCH('MIDWEEK DASHBOARD'!$C$4,INDEX(MASTER_AREAS!$B:$B,376))))),375,""),""),IF('MIDWEEK DASHBOARD'!$B$4="Zone",IF(375&lt;=$N$4,IF(OR('MIDWEEK DASHBOARD'!$C$4="",ISNUMBER(SEARCH('MIDWEEK DASHBOARD'!$C$4,INDEX(MASTER_ZONES!$B:$B,376)))),375,""),""),""))</f>
        <v/>
      </c>
      <c r="P376">
        <f>IF('CHOP DASHBOARD'!$B$4="Area",IF(375&lt;=$S$3,IF(AND(OR('CHOP DASHBOARD'!$C$4="",ISNUMBER(SEARCH('CHOP DASHBOARD'!$C$4,INDEX(MASTER_AREAS!$B:$B,376))))),375,""),""),IF('CHOP DASHBOARD'!$B$4="Zone",IF(375&lt;=$S$4,IF(OR('CHOP DASHBOARD'!$C$4="",ISNUMBER(SEARCH('CHOP DASHBOARD'!$C$4,INDEX(MASTER_ZONES!$B:$B,376)))),375,""),""),""))</f>
        <v/>
      </c>
      <c r="U376">
        <f>IF('COMMUNITY CHURCH DASHBOARD'!$B$4="Area",IF(375&lt;=$X$3,IF(AND(OR('COMMUNITY CHURCH DASHBOARD'!$C$4="",ISNUMBER(SEARCH('COMMUNITY CHURCH DASHBOARD'!$C$4,INDEX(MASTER_AREAS!$B:$B,376))))),375,""),""),IF('COMMUNITY CHURCH DASHBOARD'!$B$4="Zone",IF(375&lt;=$X$4,IF(OR('COMMUNITY CHURCH DASHBOARD'!$C$4="",ISNUMBER(SEARCH('COMMUNITY CHURCH DASHBOARD'!$C$4,INDEX(MASTER_ZONES!$B:$B,376)))),375,""),""),""))</f>
        <v/>
      </c>
    </row>
    <row r="377">
      <c r="A377">
        <f>IF('WSF DASHBOARD'!$B$4="Area",IF(376&lt;=$D$3,IF(AND(OR('WSF DASHBOARD'!$C$4="",ISNUMBER(SEARCH('WSF DASHBOARD'!$C$4,INDEX(MASTER_AREAS!$B:$B,377))))),376,""),""),IF('WSF DASHBOARD'!$B$4="Zone",IF(376&lt;=$D$4,IF(OR('WSF DASHBOARD'!$C$4="",ISNUMBER(SEARCH('WSF DASHBOARD'!$C$4,INDEX(MASTER_ZONES!$B:$B,377)))),376,""),""),""))</f>
        <v/>
      </c>
      <c r="F377">
        <f>IF('TRANSPORT DASHBOARD'!$B$4="Area",IF(376&lt;=$I$3,IF(AND(INDEX(MASTER_AREAS!$F:$F,377)&lt;&gt;"N",OR('TRANSPORT DASHBOARD'!$C$4="",ISNUMBER(SEARCH('TRANSPORT DASHBOARD'!$C$4,INDEX(MASTER_AREAS!$B:$B,377))))),376,""),""),IF('TRANSPORT DASHBOARD'!$B$4="Zone",IF(376&lt;=$I$4,IF(OR('TRANSPORT DASHBOARD'!$C$4="",ISNUMBER(SEARCH('TRANSPORT DASHBOARD'!$C$4,INDEX(MASTER_ZONES!$B:$B,377)))),376,""),""),""))</f>
        <v/>
      </c>
      <c r="K377">
        <f>IF('MIDWEEK DASHBOARD'!$B$4="Area",IF(376&lt;=$N$3,IF(AND(OR('MIDWEEK DASHBOARD'!$C$4="",ISNUMBER(SEARCH('MIDWEEK DASHBOARD'!$C$4,INDEX(MASTER_AREAS!$B:$B,377))))),376,""),""),IF('MIDWEEK DASHBOARD'!$B$4="Zone",IF(376&lt;=$N$4,IF(OR('MIDWEEK DASHBOARD'!$C$4="",ISNUMBER(SEARCH('MIDWEEK DASHBOARD'!$C$4,INDEX(MASTER_ZONES!$B:$B,377)))),376,""),""),""))</f>
        <v/>
      </c>
      <c r="P377">
        <f>IF('CHOP DASHBOARD'!$B$4="Area",IF(376&lt;=$S$3,IF(AND(OR('CHOP DASHBOARD'!$C$4="",ISNUMBER(SEARCH('CHOP DASHBOARD'!$C$4,INDEX(MASTER_AREAS!$B:$B,377))))),376,""),""),IF('CHOP DASHBOARD'!$B$4="Zone",IF(376&lt;=$S$4,IF(OR('CHOP DASHBOARD'!$C$4="",ISNUMBER(SEARCH('CHOP DASHBOARD'!$C$4,INDEX(MASTER_ZONES!$B:$B,377)))),376,""),""),""))</f>
        <v/>
      </c>
      <c r="U377">
        <f>IF('COMMUNITY CHURCH DASHBOARD'!$B$4="Area",IF(376&lt;=$X$3,IF(AND(OR('COMMUNITY CHURCH DASHBOARD'!$C$4="",ISNUMBER(SEARCH('COMMUNITY CHURCH DASHBOARD'!$C$4,INDEX(MASTER_AREAS!$B:$B,377))))),376,""),""),IF('COMMUNITY CHURCH DASHBOARD'!$B$4="Zone",IF(376&lt;=$X$4,IF(OR('COMMUNITY CHURCH DASHBOARD'!$C$4="",ISNUMBER(SEARCH('COMMUNITY CHURCH DASHBOARD'!$C$4,INDEX(MASTER_ZONES!$B:$B,377)))),376,""),""),""))</f>
        <v/>
      </c>
    </row>
    <row r="378">
      <c r="A378">
        <f>IF('WSF DASHBOARD'!$B$4="Area",IF(377&lt;=$D$3,IF(AND(OR('WSF DASHBOARD'!$C$4="",ISNUMBER(SEARCH('WSF DASHBOARD'!$C$4,INDEX(MASTER_AREAS!$B:$B,378))))),377,""),""),IF('WSF DASHBOARD'!$B$4="Zone",IF(377&lt;=$D$4,IF(OR('WSF DASHBOARD'!$C$4="",ISNUMBER(SEARCH('WSF DASHBOARD'!$C$4,INDEX(MASTER_ZONES!$B:$B,378)))),377,""),""),""))</f>
        <v/>
      </c>
      <c r="F378">
        <f>IF('TRANSPORT DASHBOARD'!$B$4="Area",IF(377&lt;=$I$3,IF(AND(INDEX(MASTER_AREAS!$F:$F,378)&lt;&gt;"N",OR('TRANSPORT DASHBOARD'!$C$4="",ISNUMBER(SEARCH('TRANSPORT DASHBOARD'!$C$4,INDEX(MASTER_AREAS!$B:$B,378))))),377,""),""),IF('TRANSPORT DASHBOARD'!$B$4="Zone",IF(377&lt;=$I$4,IF(OR('TRANSPORT DASHBOARD'!$C$4="",ISNUMBER(SEARCH('TRANSPORT DASHBOARD'!$C$4,INDEX(MASTER_ZONES!$B:$B,378)))),377,""),""),""))</f>
        <v/>
      </c>
      <c r="K378">
        <f>IF('MIDWEEK DASHBOARD'!$B$4="Area",IF(377&lt;=$N$3,IF(AND(OR('MIDWEEK DASHBOARD'!$C$4="",ISNUMBER(SEARCH('MIDWEEK DASHBOARD'!$C$4,INDEX(MASTER_AREAS!$B:$B,378))))),377,""),""),IF('MIDWEEK DASHBOARD'!$B$4="Zone",IF(377&lt;=$N$4,IF(OR('MIDWEEK DASHBOARD'!$C$4="",ISNUMBER(SEARCH('MIDWEEK DASHBOARD'!$C$4,INDEX(MASTER_ZONES!$B:$B,378)))),377,""),""),""))</f>
        <v/>
      </c>
      <c r="P378">
        <f>IF('CHOP DASHBOARD'!$B$4="Area",IF(377&lt;=$S$3,IF(AND(OR('CHOP DASHBOARD'!$C$4="",ISNUMBER(SEARCH('CHOP DASHBOARD'!$C$4,INDEX(MASTER_AREAS!$B:$B,378))))),377,""),""),IF('CHOP DASHBOARD'!$B$4="Zone",IF(377&lt;=$S$4,IF(OR('CHOP DASHBOARD'!$C$4="",ISNUMBER(SEARCH('CHOP DASHBOARD'!$C$4,INDEX(MASTER_ZONES!$B:$B,378)))),377,""),""),""))</f>
        <v/>
      </c>
      <c r="U378">
        <f>IF('COMMUNITY CHURCH DASHBOARD'!$B$4="Area",IF(377&lt;=$X$3,IF(AND(OR('COMMUNITY CHURCH DASHBOARD'!$C$4="",ISNUMBER(SEARCH('COMMUNITY CHURCH DASHBOARD'!$C$4,INDEX(MASTER_AREAS!$B:$B,378))))),377,""),""),IF('COMMUNITY CHURCH DASHBOARD'!$B$4="Zone",IF(377&lt;=$X$4,IF(OR('COMMUNITY CHURCH DASHBOARD'!$C$4="",ISNUMBER(SEARCH('COMMUNITY CHURCH DASHBOARD'!$C$4,INDEX(MASTER_ZONES!$B:$B,378)))),377,""),""),""))</f>
        <v/>
      </c>
    </row>
    <row r="379">
      <c r="A379">
        <f>IF('WSF DASHBOARD'!$B$4="Area",IF(378&lt;=$D$3,IF(AND(OR('WSF DASHBOARD'!$C$4="",ISNUMBER(SEARCH('WSF DASHBOARD'!$C$4,INDEX(MASTER_AREAS!$B:$B,379))))),378,""),""),IF('WSF DASHBOARD'!$B$4="Zone",IF(378&lt;=$D$4,IF(OR('WSF DASHBOARD'!$C$4="",ISNUMBER(SEARCH('WSF DASHBOARD'!$C$4,INDEX(MASTER_ZONES!$B:$B,379)))),378,""),""),""))</f>
        <v/>
      </c>
      <c r="F379">
        <f>IF('TRANSPORT DASHBOARD'!$B$4="Area",IF(378&lt;=$I$3,IF(AND(INDEX(MASTER_AREAS!$F:$F,379)&lt;&gt;"N",OR('TRANSPORT DASHBOARD'!$C$4="",ISNUMBER(SEARCH('TRANSPORT DASHBOARD'!$C$4,INDEX(MASTER_AREAS!$B:$B,379))))),378,""),""),IF('TRANSPORT DASHBOARD'!$B$4="Zone",IF(378&lt;=$I$4,IF(OR('TRANSPORT DASHBOARD'!$C$4="",ISNUMBER(SEARCH('TRANSPORT DASHBOARD'!$C$4,INDEX(MASTER_ZONES!$B:$B,379)))),378,""),""),""))</f>
        <v/>
      </c>
      <c r="K379">
        <f>IF('MIDWEEK DASHBOARD'!$B$4="Area",IF(378&lt;=$N$3,IF(AND(OR('MIDWEEK DASHBOARD'!$C$4="",ISNUMBER(SEARCH('MIDWEEK DASHBOARD'!$C$4,INDEX(MASTER_AREAS!$B:$B,379))))),378,""),""),IF('MIDWEEK DASHBOARD'!$B$4="Zone",IF(378&lt;=$N$4,IF(OR('MIDWEEK DASHBOARD'!$C$4="",ISNUMBER(SEARCH('MIDWEEK DASHBOARD'!$C$4,INDEX(MASTER_ZONES!$B:$B,379)))),378,""),""),""))</f>
        <v/>
      </c>
      <c r="P379">
        <f>IF('CHOP DASHBOARD'!$B$4="Area",IF(378&lt;=$S$3,IF(AND(OR('CHOP DASHBOARD'!$C$4="",ISNUMBER(SEARCH('CHOP DASHBOARD'!$C$4,INDEX(MASTER_AREAS!$B:$B,379))))),378,""),""),IF('CHOP DASHBOARD'!$B$4="Zone",IF(378&lt;=$S$4,IF(OR('CHOP DASHBOARD'!$C$4="",ISNUMBER(SEARCH('CHOP DASHBOARD'!$C$4,INDEX(MASTER_ZONES!$B:$B,379)))),378,""),""),""))</f>
        <v/>
      </c>
      <c r="U379">
        <f>IF('COMMUNITY CHURCH DASHBOARD'!$B$4="Area",IF(378&lt;=$X$3,IF(AND(OR('COMMUNITY CHURCH DASHBOARD'!$C$4="",ISNUMBER(SEARCH('COMMUNITY CHURCH DASHBOARD'!$C$4,INDEX(MASTER_AREAS!$B:$B,379))))),378,""),""),IF('COMMUNITY CHURCH DASHBOARD'!$B$4="Zone",IF(378&lt;=$X$4,IF(OR('COMMUNITY CHURCH DASHBOARD'!$C$4="",ISNUMBER(SEARCH('COMMUNITY CHURCH DASHBOARD'!$C$4,INDEX(MASTER_ZONES!$B:$B,379)))),378,""),""),""))</f>
        <v/>
      </c>
    </row>
    <row r="380">
      <c r="A380">
        <f>IF('WSF DASHBOARD'!$B$4="Area",IF(379&lt;=$D$3,IF(AND(OR('WSF DASHBOARD'!$C$4="",ISNUMBER(SEARCH('WSF DASHBOARD'!$C$4,INDEX(MASTER_AREAS!$B:$B,380))))),379,""),""),IF('WSF DASHBOARD'!$B$4="Zone",IF(379&lt;=$D$4,IF(OR('WSF DASHBOARD'!$C$4="",ISNUMBER(SEARCH('WSF DASHBOARD'!$C$4,INDEX(MASTER_ZONES!$B:$B,380)))),379,""),""),""))</f>
        <v/>
      </c>
      <c r="F380">
        <f>IF('TRANSPORT DASHBOARD'!$B$4="Area",IF(379&lt;=$I$3,IF(AND(INDEX(MASTER_AREAS!$F:$F,380)&lt;&gt;"N",OR('TRANSPORT DASHBOARD'!$C$4="",ISNUMBER(SEARCH('TRANSPORT DASHBOARD'!$C$4,INDEX(MASTER_AREAS!$B:$B,380))))),379,""),""),IF('TRANSPORT DASHBOARD'!$B$4="Zone",IF(379&lt;=$I$4,IF(OR('TRANSPORT DASHBOARD'!$C$4="",ISNUMBER(SEARCH('TRANSPORT DASHBOARD'!$C$4,INDEX(MASTER_ZONES!$B:$B,380)))),379,""),""),""))</f>
        <v/>
      </c>
      <c r="K380">
        <f>IF('MIDWEEK DASHBOARD'!$B$4="Area",IF(379&lt;=$N$3,IF(AND(OR('MIDWEEK DASHBOARD'!$C$4="",ISNUMBER(SEARCH('MIDWEEK DASHBOARD'!$C$4,INDEX(MASTER_AREAS!$B:$B,380))))),379,""),""),IF('MIDWEEK DASHBOARD'!$B$4="Zone",IF(379&lt;=$N$4,IF(OR('MIDWEEK DASHBOARD'!$C$4="",ISNUMBER(SEARCH('MIDWEEK DASHBOARD'!$C$4,INDEX(MASTER_ZONES!$B:$B,380)))),379,""),""),""))</f>
        <v/>
      </c>
      <c r="P380">
        <f>IF('CHOP DASHBOARD'!$B$4="Area",IF(379&lt;=$S$3,IF(AND(OR('CHOP DASHBOARD'!$C$4="",ISNUMBER(SEARCH('CHOP DASHBOARD'!$C$4,INDEX(MASTER_AREAS!$B:$B,380))))),379,""),""),IF('CHOP DASHBOARD'!$B$4="Zone",IF(379&lt;=$S$4,IF(OR('CHOP DASHBOARD'!$C$4="",ISNUMBER(SEARCH('CHOP DASHBOARD'!$C$4,INDEX(MASTER_ZONES!$B:$B,380)))),379,""),""),""))</f>
        <v/>
      </c>
      <c r="U380">
        <f>IF('COMMUNITY CHURCH DASHBOARD'!$B$4="Area",IF(379&lt;=$X$3,IF(AND(OR('COMMUNITY CHURCH DASHBOARD'!$C$4="",ISNUMBER(SEARCH('COMMUNITY CHURCH DASHBOARD'!$C$4,INDEX(MASTER_AREAS!$B:$B,380))))),379,""),""),IF('COMMUNITY CHURCH DASHBOARD'!$B$4="Zone",IF(379&lt;=$X$4,IF(OR('COMMUNITY CHURCH DASHBOARD'!$C$4="",ISNUMBER(SEARCH('COMMUNITY CHURCH DASHBOARD'!$C$4,INDEX(MASTER_ZONES!$B:$B,380)))),379,""),""),""))</f>
        <v/>
      </c>
    </row>
    <row r="381">
      <c r="A381">
        <f>IF('WSF DASHBOARD'!$B$4="Area",IF(380&lt;=$D$3,IF(AND(OR('WSF DASHBOARD'!$C$4="",ISNUMBER(SEARCH('WSF DASHBOARD'!$C$4,INDEX(MASTER_AREAS!$B:$B,381))))),380,""),""),IF('WSF DASHBOARD'!$B$4="Zone",IF(380&lt;=$D$4,IF(OR('WSF DASHBOARD'!$C$4="",ISNUMBER(SEARCH('WSF DASHBOARD'!$C$4,INDEX(MASTER_ZONES!$B:$B,381)))),380,""),""),""))</f>
        <v/>
      </c>
      <c r="F381">
        <f>IF('TRANSPORT DASHBOARD'!$B$4="Area",IF(380&lt;=$I$3,IF(AND(INDEX(MASTER_AREAS!$F:$F,381)&lt;&gt;"N",OR('TRANSPORT DASHBOARD'!$C$4="",ISNUMBER(SEARCH('TRANSPORT DASHBOARD'!$C$4,INDEX(MASTER_AREAS!$B:$B,381))))),380,""),""),IF('TRANSPORT DASHBOARD'!$B$4="Zone",IF(380&lt;=$I$4,IF(OR('TRANSPORT DASHBOARD'!$C$4="",ISNUMBER(SEARCH('TRANSPORT DASHBOARD'!$C$4,INDEX(MASTER_ZONES!$B:$B,381)))),380,""),""),""))</f>
        <v/>
      </c>
      <c r="K381">
        <f>IF('MIDWEEK DASHBOARD'!$B$4="Area",IF(380&lt;=$N$3,IF(AND(OR('MIDWEEK DASHBOARD'!$C$4="",ISNUMBER(SEARCH('MIDWEEK DASHBOARD'!$C$4,INDEX(MASTER_AREAS!$B:$B,381))))),380,""),""),IF('MIDWEEK DASHBOARD'!$B$4="Zone",IF(380&lt;=$N$4,IF(OR('MIDWEEK DASHBOARD'!$C$4="",ISNUMBER(SEARCH('MIDWEEK DASHBOARD'!$C$4,INDEX(MASTER_ZONES!$B:$B,381)))),380,""),""),""))</f>
        <v/>
      </c>
      <c r="P381">
        <f>IF('CHOP DASHBOARD'!$B$4="Area",IF(380&lt;=$S$3,IF(AND(OR('CHOP DASHBOARD'!$C$4="",ISNUMBER(SEARCH('CHOP DASHBOARD'!$C$4,INDEX(MASTER_AREAS!$B:$B,381))))),380,""),""),IF('CHOP DASHBOARD'!$B$4="Zone",IF(380&lt;=$S$4,IF(OR('CHOP DASHBOARD'!$C$4="",ISNUMBER(SEARCH('CHOP DASHBOARD'!$C$4,INDEX(MASTER_ZONES!$B:$B,381)))),380,""),""),""))</f>
        <v/>
      </c>
      <c r="U381">
        <f>IF('COMMUNITY CHURCH DASHBOARD'!$B$4="Area",IF(380&lt;=$X$3,IF(AND(OR('COMMUNITY CHURCH DASHBOARD'!$C$4="",ISNUMBER(SEARCH('COMMUNITY CHURCH DASHBOARD'!$C$4,INDEX(MASTER_AREAS!$B:$B,381))))),380,""),""),IF('COMMUNITY CHURCH DASHBOARD'!$B$4="Zone",IF(380&lt;=$X$4,IF(OR('COMMUNITY CHURCH DASHBOARD'!$C$4="",ISNUMBER(SEARCH('COMMUNITY CHURCH DASHBOARD'!$C$4,INDEX(MASTER_ZONES!$B:$B,381)))),380,""),""),""))</f>
        <v/>
      </c>
    </row>
    <row r="382">
      <c r="A382">
        <f>IF('WSF DASHBOARD'!$B$4="Area",IF(381&lt;=$D$3,IF(AND(OR('WSF DASHBOARD'!$C$4="",ISNUMBER(SEARCH('WSF DASHBOARD'!$C$4,INDEX(MASTER_AREAS!$B:$B,382))))),381,""),""),IF('WSF DASHBOARD'!$B$4="Zone",IF(381&lt;=$D$4,IF(OR('WSF DASHBOARD'!$C$4="",ISNUMBER(SEARCH('WSF DASHBOARD'!$C$4,INDEX(MASTER_ZONES!$B:$B,382)))),381,""),""),""))</f>
        <v/>
      </c>
      <c r="F382">
        <f>IF('TRANSPORT DASHBOARD'!$B$4="Area",IF(381&lt;=$I$3,IF(AND(INDEX(MASTER_AREAS!$F:$F,382)&lt;&gt;"N",OR('TRANSPORT DASHBOARD'!$C$4="",ISNUMBER(SEARCH('TRANSPORT DASHBOARD'!$C$4,INDEX(MASTER_AREAS!$B:$B,382))))),381,""),""),IF('TRANSPORT DASHBOARD'!$B$4="Zone",IF(381&lt;=$I$4,IF(OR('TRANSPORT DASHBOARD'!$C$4="",ISNUMBER(SEARCH('TRANSPORT DASHBOARD'!$C$4,INDEX(MASTER_ZONES!$B:$B,382)))),381,""),""),""))</f>
        <v/>
      </c>
      <c r="K382">
        <f>IF('MIDWEEK DASHBOARD'!$B$4="Area",IF(381&lt;=$N$3,IF(AND(OR('MIDWEEK DASHBOARD'!$C$4="",ISNUMBER(SEARCH('MIDWEEK DASHBOARD'!$C$4,INDEX(MASTER_AREAS!$B:$B,382))))),381,""),""),IF('MIDWEEK DASHBOARD'!$B$4="Zone",IF(381&lt;=$N$4,IF(OR('MIDWEEK DASHBOARD'!$C$4="",ISNUMBER(SEARCH('MIDWEEK DASHBOARD'!$C$4,INDEX(MASTER_ZONES!$B:$B,382)))),381,""),""),""))</f>
        <v/>
      </c>
      <c r="P382">
        <f>IF('CHOP DASHBOARD'!$B$4="Area",IF(381&lt;=$S$3,IF(AND(OR('CHOP DASHBOARD'!$C$4="",ISNUMBER(SEARCH('CHOP DASHBOARD'!$C$4,INDEX(MASTER_AREAS!$B:$B,382))))),381,""),""),IF('CHOP DASHBOARD'!$B$4="Zone",IF(381&lt;=$S$4,IF(OR('CHOP DASHBOARD'!$C$4="",ISNUMBER(SEARCH('CHOP DASHBOARD'!$C$4,INDEX(MASTER_ZONES!$B:$B,382)))),381,""),""),""))</f>
        <v/>
      </c>
      <c r="U382">
        <f>IF('COMMUNITY CHURCH DASHBOARD'!$B$4="Area",IF(381&lt;=$X$3,IF(AND(OR('COMMUNITY CHURCH DASHBOARD'!$C$4="",ISNUMBER(SEARCH('COMMUNITY CHURCH DASHBOARD'!$C$4,INDEX(MASTER_AREAS!$B:$B,382))))),381,""),""),IF('COMMUNITY CHURCH DASHBOARD'!$B$4="Zone",IF(381&lt;=$X$4,IF(OR('COMMUNITY CHURCH DASHBOARD'!$C$4="",ISNUMBER(SEARCH('COMMUNITY CHURCH DASHBOARD'!$C$4,INDEX(MASTER_ZONES!$B:$B,382)))),381,""),""),""))</f>
        <v/>
      </c>
    </row>
    <row r="383">
      <c r="A383">
        <f>IF('WSF DASHBOARD'!$B$4="Area",IF(382&lt;=$D$3,IF(AND(OR('WSF DASHBOARD'!$C$4="",ISNUMBER(SEARCH('WSF DASHBOARD'!$C$4,INDEX(MASTER_AREAS!$B:$B,383))))),382,""),""),IF('WSF DASHBOARD'!$B$4="Zone",IF(382&lt;=$D$4,IF(OR('WSF DASHBOARD'!$C$4="",ISNUMBER(SEARCH('WSF DASHBOARD'!$C$4,INDEX(MASTER_ZONES!$B:$B,383)))),382,""),""),""))</f>
        <v/>
      </c>
      <c r="F383">
        <f>IF('TRANSPORT DASHBOARD'!$B$4="Area",IF(382&lt;=$I$3,IF(AND(INDEX(MASTER_AREAS!$F:$F,383)&lt;&gt;"N",OR('TRANSPORT DASHBOARD'!$C$4="",ISNUMBER(SEARCH('TRANSPORT DASHBOARD'!$C$4,INDEX(MASTER_AREAS!$B:$B,383))))),382,""),""),IF('TRANSPORT DASHBOARD'!$B$4="Zone",IF(382&lt;=$I$4,IF(OR('TRANSPORT DASHBOARD'!$C$4="",ISNUMBER(SEARCH('TRANSPORT DASHBOARD'!$C$4,INDEX(MASTER_ZONES!$B:$B,383)))),382,""),""),""))</f>
        <v/>
      </c>
      <c r="K383">
        <f>IF('MIDWEEK DASHBOARD'!$B$4="Area",IF(382&lt;=$N$3,IF(AND(OR('MIDWEEK DASHBOARD'!$C$4="",ISNUMBER(SEARCH('MIDWEEK DASHBOARD'!$C$4,INDEX(MASTER_AREAS!$B:$B,383))))),382,""),""),IF('MIDWEEK DASHBOARD'!$B$4="Zone",IF(382&lt;=$N$4,IF(OR('MIDWEEK DASHBOARD'!$C$4="",ISNUMBER(SEARCH('MIDWEEK DASHBOARD'!$C$4,INDEX(MASTER_ZONES!$B:$B,383)))),382,""),""),""))</f>
        <v/>
      </c>
      <c r="P383">
        <f>IF('CHOP DASHBOARD'!$B$4="Area",IF(382&lt;=$S$3,IF(AND(OR('CHOP DASHBOARD'!$C$4="",ISNUMBER(SEARCH('CHOP DASHBOARD'!$C$4,INDEX(MASTER_AREAS!$B:$B,383))))),382,""),""),IF('CHOP DASHBOARD'!$B$4="Zone",IF(382&lt;=$S$4,IF(OR('CHOP DASHBOARD'!$C$4="",ISNUMBER(SEARCH('CHOP DASHBOARD'!$C$4,INDEX(MASTER_ZONES!$B:$B,383)))),382,""),""),""))</f>
        <v/>
      </c>
      <c r="U383">
        <f>IF('COMMUNITY CHURCH DASHBOARD'!$B$4="Area",IF(382&lt;=$X$3,IF(AND(OR('COMMUNITY CHURCH DASHBOARD'!$C$4="",ISNUMBER(SEARCH('COMMUNITY CHURCH DASHBOARD'!$C$4,INDEX(MASTER_AREAS!$B:$B,383))))),382,""),""),IF('COMMUNITY CHURCH DASHBOARD'!$B$4="Zone",IF(382&lt;=$X$4,IF(OR('COMMUNITY CHURCH DASHBOARD'!$C$4="",ISNUMBER(SEARCH('COMMUNITY CHURCH DASHBOARD'!$C$4,INDEX(MASTER_ZONES!$B:$B,383)))),382,""),""),""))</f>
        <v/>
      </c>
    </row>
    <row r="384">
      <c r="A384">
        <f>IF('WSF DASHBOARD'!$B$4="Area",IF(383&lt;=$D$3,IF(AND(OR('WSF DASHBOARD'!$C$4="",ISNUMBER(SEARCH('WSF DASHBOARD'!$C$4,INDEX(MASTER_AREAS!$B:$B,384))))),383,""),""),IF('WSF DASHBOARD'!$B$4="Zone",IF(383&lt;=$D$4,IF(OR('WSF DASHBOARD'!$C$4="",ISNUMBER(SEARCH('WSF DASHBOARD'!$C$4,INDEX(MASTER_ZONES!$B:$B,384)))),383,""),""),""))</f>
        <v/>
      </c>
      <c r="F384">
        <f>IF('TRANSPORT DASHBOARD'!$B$4="Area",IF(383&lt;=$I$3,IF(AND(INDEX(MASTER_AREAS!$F:$F,384)&lt;&gt;"N",OR('TRANSPORT DASHBOARD'!$C$4="",ISNUMBER(SEARCH('TRANSPORT DASHBOARD'!$C$4,INDEX(MASTER_AREAS!$B:$B,384))))),383,""),""),IF('TRANSPORT DASHBOARD'!$B$4="Zone",IF(383&lt;=$I$4,IF(OR('TRANSPORT DASHBOARD'!$C$4="",ISNUMBER(SEARCH('TRANSPORT DASHBOARD'!$C$4,INDEX(MASTER_ZONES!$B:$B,384)))),383,""),""),""))</f>
        <v/>
      </c>
      <c r="K384">
        <f>IF('MIDWEEK DASHBOARD'!$B$4="Area",IF(383&lt;=$N$3,IF(AND(OR('MIDWEEK DASHBOARD'!$C$4="",ISNUMBER(SEARCH('MIDWEEK DASHBOARD'!$C$4,INDEX(MASTER_AREAS!$B:$B,384))))),383,""),""),IF('MIDWEEK DASHBOARD'!$B$4="Zone",IF(383&lt;=$N$4,IF(OR('MIDWEEK DASHBOARD'!$C$4="",ISNUMBER(SEARCH('MIDWEEK DASHBOARD'!$C$4,INDEX(MASTER_ZONES!$B:$B,384)))),383,""),""),""))</f>
        <v/>
      </c>
      <c r="P384">
        <f>IF('CHOP DASHBOARD'!$B$4="Area",IF(383&lt;=$S$3,IF(AND(OR('CHOP DASHBOARD'!$C$4="",ISNUMBER(SEARCH('CHOP DASHBOARD'!$C$4,INDEX(MASTER_AREAS!$B:$B,384))))),383,""),""),IF('CHOP DASHBOARD'!$B$4="Zone",IF(383&lt;=$S$4,IF(OR('CHOP DASHBOARD'!$C$4="",ISNUMBER(SEARCH('CHOP DASHBOARD'!$C$4,INDEX(MASTER_ZONES!$B:$B,384)))),383,""),""),""))</f>
        <v/>
      </c>
      <c r="U384">
        <f>IF('COMMUNITY CHURCH DASHBOARD'!$B$4="Area",IF(383&lt;=$X$3,IF(AND(OR('COMMUNITY CHURCH DASHBOARD'!$C$4="",ISNUMBER(SEARCH('COMMUNITY CHURCH DASHBOARD'!$C$4,INDEX(MASTER_AREAS!$B:$B,384))))),383,""),""),IF('COMMUNITY CHURCH DASHBOARD'!$B$4="Zone",IF(383&lt;=$X$4,IF(OR('COMMUNITY CHURCH DASHBOARD'!$C$4="",ISNUMBER(SEARCH('COMMUNITY CHURCH DASHBOARD'!$C$4,INDEX(MASTER_ZONES!$B:$B,384)))),383,""),""),""))</f>
        <v/>
      </c>
    </row>
    <row r="385">
      <c r="A385">
        <f>IF('WSF DASHBOARD'!$B$4="Area",IF(384&lt;=$D$3,IF(AND(OR('WSF DASHBOARD'!$C$4="",ISNUMBER(SEARCH('WSF DASHBOARD'!$C$4,INDEX(MASTER_AREAS!$B:$B,385))))),384,""),""),IF('WSF DASHBOARD'!$B$4="Zone",IF(384&lt;=$D$4,IF(OR('WSF DASHBOARD'!$C$4="",ISNUMBER(SEARCH('WSF DASHBOARD'!$C$4,INDEX(MASTER_ZONES!$B:$B,385)))),384,""),""),""))</f>
        <v/>
      </c>
      <c r="F385">
        <f>IF('TRANSPORT DASHBOARD'!$B$4="Area",IF(384&lt;=$I$3,IF(AND(INDEX(MASTER_AREAS!$F:$F,385)&lt;&gt;"N",OR('TRANSPORT DASHBOARD'!$C$4="",ISNUMBER(SEARCH('TRANSPORT DASHBOARD'!$C$4,INDEX(MASTER_AREAS!$B:$B,385))))),384,""),""),IF('TRANSPORT DASHBOARD'!$B$4="Zone",IF(384&lt;=$I$4,IF(OR('TRANSPORT DASHBOARD'!$C$4="",ISNUMBER(SEARCH('TRANSPORT DASHBOARD'!$C$4,INDEX(MASTER_ZONES!$B:$B,385)))),384,""),""),""))</f>
        <v/>
      </c>
      <c r="K385">
        <f>IF('MIDWEEK DASHBOARD'!$B$4="Area",IF(384&lt;=$N$3,IF(AND(OR('MIDWEEK DASHBOARD'!$C$4="",ISNUMBER(SEARCH('MIDWEEK DASHBOARD'!$C$4,INDEX(MASTER_AREAS!$B:$B,385))))),384,""),""),IF('MIDWEEK DASHBOARD'!$B$4="Zone",IF(384&lt;=$N$4,IF(OR('MIDWEEK DASHBOARD'!$C$4="",ISNUMBER(SEARCH('MIDWEEK DASHBOARD'!$C$4,INDEX(MASTER_ZONES!$B:$B,385)))),384,""),""),""))</f>
        <v/>
      </c>
      <c r="P385">
        <f>IF('CHOP DASHBOARD'!$B$4="Area",IF(384&lt;=$S$3,IF(AND(OR('CHOP DASHBOARD'!$C$4="",ISNUMBER(SEARCH('CHOP DASHBOARD'!$C$4,INDEX(MASTER_AREAS!$B:$B,385))))),384,""),""),IF('CHOP DASHBOARD'!$B$4="Zone",IF(384&lt;=$S$4,IF(OR('CHOP DASHBOARD'!$C$4="",ISNUMBER(SEARCH('CHOP DASHBOARD'!$C$4,INDEX(MASTER_ZONES!$B:$B,385)))),384,""),""),""))</f>
        <v/>
      </c>
      <c r="U385">
        <f>IF('COMMUNITY CHURCH DASHBOARD'!$B$4="Area",IF(384&lt;=$X$3,IF(AND(OR('COMMUNITY CHURCH DASHBOARD'!$C$4="",ISNUMBER(SEARCH('COMMUNITY CHURCH DASHBOARD'!$C$4,INDEX(MASTER_AREAS!$B:$B,385))))),384,""),""),IF('COMMUNITY CHURCH DASHBOARD'!$B$4="Zone",IF(384&lt;=$X$4,IF(OR('COMMUNITY CHURCH DASHBOARD'!$C$4="",ISNUMBER(SEARCH('COMMUNITY CHURCH DASHBOARD'!$C$4,INDEX(MASTER_ZONES!$B:$B,385)))),384,""),""),""))</f>
        <v/>
      </c>
    </row>
    <row r="386">
      <c r="A386">
        <f>IF('WSF DASHBOARD'!$B$4="Area",IF(385&lt;=$D$3,IF(AND(OR('WSF DASHBOARD'!$C$4="",ISNUMBER(SEARCH('WSF DASHBOARD'!$C$4,INDEX(MASTER_AREAS!$B:$B,386))))),385,""),""),IF('WSF DASHBOARD'!$B$4="Zone",IF(385&lt;=$D$4,IF(OR('WSF DASHBOARD'!$C$4="",ISNUMBER(SEARCH('WSF DASHBOARD'!$C$4,INDEX(MASTER_ZONES!$B:$B,386)))),385,""),""),""))</f>
        <v/>
      </c>
      <c r="F386">
        <f>IF('TRANSPORT DASHBOARD'!$B$4="Area",IF(385&lt;=$I$3,IF(AND(INDEX(MASTER_AREAS!$F:$F,386)&lt;&gt;"N",OR('TRANSPORT DASHBOARD'!$C$4="",ISNUMBER(SEARCH('TRANSPORT DASHBOARD'!$C$4,INDEX(MASTER_AREAS!$B:$B,386))))),385,""),""),IF('TRANSPORT DASHBOARD'!$B$4="Zone",IF(385&lt;=$I$4,IF(OR('TRANSPORT DASHBOARD'!$C$4="",ISNUMBER(SEARCH('TRANSPORT DASHBOARD'!$C$4,INDEX(MASTER_ZONES!$B:$B,386)))),385,""),""),""))</f>
        <v/>
      </c>
      <c r="K386">
        <f>IF('MIDWEEK DASHBOARD'!$B$4="Area",IF(385&lt;=$N$3,IF(AND(OR('MIDWEEK DASHBOARD'!$C$4="",ISNUMBER(SEARCH('MIDWEEK DASHBOARD'!$C$4,INDEX(MASTER_AREAS!$B:$B,386))))),385,""),""),IF('MIDWEEK DASHBOARD'!$B$4="Zone",IF(385&lt;=$N$4,IF(OR('MIDWEEK DASHBOARD'!$C$4="",ISNUMBER(SEARCH('MIDWEEK DASHBOARD'!$C$4,INDEX(MASTER_ZONES!$B:$B,386)))),385,""),""),""))</f>
        <v/>
      </c>
      <c r="P386">
        <f>IF('CHOP DASHBOARD'!$B$4="Area",IF(385&lt;=$S$3,IF(AND(OR('CHOP DASHBOARD'!$C$4="",ISNUMBER(SEARCH('CHOP DASHBOARD'!$C$4,INDEX(MASTER_AREAS!$B:$B,386))))),385,""),""),IF('CHOP DASHBOARD'!$B$4="Zone",IF(385&lt;=$S$4,IF(OR('CHOP DASHBOARD'!$C$4="",ISNUMBER(SEARCH('CHOP DASHBOARD'!$C$4,INDEX(MASTER_ZONES!$B:$B,386)))),385,""),""),""))</f>
        <v/>
      </c>
      <c r="U386">
        <f>IF('COMMUNITY CHURCH DASHBOARD'!$B$4="Area",IF(385&lt;=$X$3,IF(AND(OR('COMMUNITY CHURCH DASHBOARD'!$C$4="",ISNUMBER(SEARCH('COMMUNITY CHURCH DASHBOARD'!$C$4,INDEX(MASTER_AREAS!$B:$B,386))))),385,""),""),IF('COMMUNITY CHURCH DASHBOARD'!$B$4="Zone",IF(385&lt;=$X$4,IF(OR('COMMUNITY CHURCH DASHBOARD'!$C$4="",ISNUMBER(SEARCH('COMMUNITY CHURCH DASHBOARD'!$C$4,INDEX(MASTER_ZONES!$B:$B,386)))),385,""),""),""))</f>
        <v/>
      </c>
    </row>
    <row r="387">
      <c r="A387">
        <f>IF('WSF DASHBOARD'!$B$4="Area",IF(386&lt;=$D$3,IF(AND(OR('WSF DASHBOARD'!$C$4="",ISNUMBER(SEARCH('WSF DASHBOARD'!$C$4,INDEX(MASTER_AREAS!$B:$B,387))))),386,""),""),IF('WSF DASHBOARD'!$B$4="Zone",IF(386&lt;=$D$4,IF(OR('WSF DASHBOARD'!$C$4="",ISNUMBER(SEARCH('WSF DASHBOARD'!$C$4,INDEX(MASTER_ZONES!$B:$B,387)))),386,""),""),""))</f>
        <v/>
      </c>
      <c r="F387">
        <f>IF('TRANSPORT DASHBOARD'!$B$4="Area",IF(386&lt;=$I$3,IF(AND(INDEX(MASTER_AREAS!$F:$F,387)&lt;&gt;"N",OR('TRANSPORT DASHBOARD'!$C$4="",ISNUMBER(SEARCH('TRANSPORT DASHBOARD'!$C$4,INDEX(MASTER_AREAS!$B:$B,387))))),386,""),""),IF('TRANSPORT DASHBOARD'!$B$4="Zone",IF(386&lt;=$I$4,IF(OR('TRANSPORT DASHBOARD'!$C$4="",ISNUMBER(SEARCH('TRANSPORT DASHBOARD'!$C$4,INDEX(MASTER_ZONES!$B:$B,387)))),386,""),""),""))</f>
        <v/>
      </c>
      <c r="K387">
        <f>IF('MIDWEEK DASHBOARD'!$B$4="Area",IF(386&lt;=$N$3,IF(AND(OR('MIDWEEK DASHBOARD'!$C$4="",ISNUMBER(SEARCH('MIDWEEK DASHBOARD'!$C$4,INDEX(MASTER_AREAS!$B:$B,387))))),386,""),""),IF('MIDWEEK DASHBOARD'!$B$4="Zone",IF(386&lt;=$N$4,IF(OR('MIDWEEK DASHBOARD'!$C$4="",ISNUMBER(SEARCH('MIDWEEK DASHBOARD'!$C$4,INDEX(MASTER_ZONES!$B:$B,387)))),386,""),""),""))</f>
        <v/>
      </c>
      <c r="P387">
        <f>IF('CHOP DASHBOARD'!$B$4="Area",IF(386&lt;=$S$3,IF(AND(OR('CHOP DASHBOARD'!$C$4="",ISNUMBER(SEARCH('CHOP DASHBOARD'!$C$4,INDEX(MASTER_AREAS!$B:$B,387))))),386,""),""),IF('CHOP DASHBOARD'!$B$4="Zone",IF(386&lt;=$S$4,IF(OR('CHOP DASHBOARD'!$C$4="",ISNUMBER(SEARCH('CHOP DASHBOARD'!$C$4,INDEX(MASTER_ZONES!$B:$B,387)))),386,""),""),""))</f>
        <v/>
      </c>
      <c r="U387">
        <f>IF('COMMUNITY CHURCH DASHBOARD'!$B$4="Area",IF(386&lt;=$X$3,IF(AND(OR('COMMUNITY CHURCH DASHBOARD'!$C$4="",ISNUMBER(SEARCH('COMMUNITY CHURCH DASHBOARD'!$C$4,INDEX(MASTER_AREAS!$B:$B,387))))),386,""),""),IF('COMMUNITY CHURCH DASHBOARD'!$B$4="Zone",IF(386&lt;=$X$4,IF(OR('COMMUNITY CHURCH DASHBOARD'!$C$4="",ISNUMBER(SEARCH('COMMUNITY CHURCH DASHBOARD'!$C$4,INDEX(MASTER_ZONES!$B:$B,387)))),386,""),""),""))</f>
        <v/>
      </c>
    </row>
    <row r="388">
      <c r="A388">
        <f>IF('WSF DASHBOARD'!$B$4="Area",IF(387&lt;=$D$3,IF(AND(OR('WSF DASHBOARD'!$C$4="",ISNUMBER(SEARCH('WSF DASHBOARD'!$C$4,INDEX(MASTER_AREAS!$B:$B,388))))),387,""),""),IF('WSF DASHBOARD'!$B$4="Zone",IF(387&lt;=$D$4,IF(OR('WSF DASHBOARD'!$C$4="",ISNUMBER(SEARCH('WSF DASHBOARD'!$C$4,INDEX(MASTER_ZONES!$B:$B,388)))),387,""),""),""))</f>
        <v/>
      </c>
      <c r="F388">
        <f>IF('TRANSPORT DASHBOARD'!$B$4="Area",IF(387&lt;=$I$3,IF(AND(INDEX(MASTER_AREAS!$F:$F,388)&lt;&gt;"N",OR('TRANSPORT DASHBOARD'!$C$4="",ISNUMBER(SEARCH('TRANSPORT DASHBOARD'!$C$4,INDEX(MASTER_AREAS!$B:$B,388))))),387,""),""),IF('TRANSPORT DASHBOARD'!$B$4="Zone",IF(387&lt;=$I$4,IF(OR('TRANSPORT DASHBOARD'!$C$4="",ISNUMBER(SEARCH('TRANSPORT DASHBOARD'!$C$4,INDEX(MASTER_ZONES!$B:$B,388)))),387,""),""),""))</f>
        <v/>
      </c>
      <c r="K388">
        <f>IF('MIDWEEK DASHBOARD'!$B$4="Area",IF(387&lt;=$N$3,IF(AND(OR('MIDWEEK DASHBOARD'!$C$4="",ISNUMBER(SEARCH('MIDWEEK DASHBOARD'!$C$4,INDEX(MASTER_AREAS!$B:$B,388))))),387,""),""),IF('MIDWEEK DASHBOARD'!$B$4="Zone",IF(387&lt;=$N$4,IF(OR('MIDWEEK DASHBOARD'!$C$4="",ISNUMBER(SEARCH('MIDWEEK DASHBOARD'!$C$4,INDEX(MASTER_ZONES!$B:$B,388)))),387,""),""),""))</f>
        <v/>
      </c>
      <c r="P388">
        <f>IF('CHOP DASHBOARD'!$B$4="Area",IF(387&lt;=$S$3,IF(AND(OR('CHOP DASHBOARD'!$C$4="",ISNUMBER(SEARCH('CHOP DASHBOARD'!$C$4,INDEX(MASTER_AREAS!$B:$B,388))))),387,""),""),IF('CHOP DASHBOARD'!$B$4="Zone",IF(387&lt;=$S$4,IF(OR('CHOP DASHBOARD'!$C$4="",ISNUMBER(SEARCH('CHOP DASHBOARD'!$C$4,INDEX(MASTER_ZONES!$B:$B,388)))),387,""),""),""))</f>
        <v/>
      </c>
      <c r="U388">
        <f>IF('COMMUNITY CHURCH DASHBOARD'!$B$4="Area",IF(387&lt;=$X$3,IF(AND(OR('COMMUNITY CHURCH DASHBOARD'!$C$4="",ISNUMBER(SEARCH('COMMUNITY CHURCH DASHBOARD'!$C$4,INDEX(MASTER_AREAS!$B:$B,388))))),387,""),""),IF('COMMUNITY CHURCH DASHBOARD'!$B$4="Zone",IF(387&lt;=$X$4,IF(OR('COMMUNITY CHURCH DASHBOARD'!$C$4="",ISNUMBER(SEARCH('COMMUNITY CHURCH DASHBOARD'!$C$4,INDEX(MASTER_ZONES!$B:$B,388)))),387,""),""),""))</f>
        <v/>
      </c>
    </row>
    <row r="389">
      <c r="A389">
        <f>IF('WSF DASHBOARD'!$B$4="Area",IF(388&lt;=$D$3,IF(AND(OR('WSF DASHBOARD'!$C$4="",ISNUMBER(SEARCH('WSF DASHBOARD'!$C$4,INDEX(MASTER_AREAS!$B:$B,389))))),388,""),""),IF('WSF DASHBOARD'!$B$4="Zone",IF(388&lt;=$D$4,IF(OR('WSF DASHBOARD'!$C$4="",ISNUMBER(SEARCH('WSF DASHBOARD'!$C$4,INDEX(MASTER_ZONES!$B:$B,389)))),388,""),""),""))</f>
        <v/>
      </c>
      <c r="F389">
        <f>IF('TRANSPORT DASHBOARD'!$B$4="Area",IF(388&lt;=$I$3,IF(AND(INDEX(MASTER_AREAS!$F:$F,389)&lt;&gt;"N",OR('TRANSPORT DASHBOARD'!$C$4="",ISNUMBER(SEARCH('TRANSPORT DASHBOARD'!$C$4,INDEX(MASTER_AREAS!$B:$B,389))))),388,""),""),IF('TRANSPORT DASHBOARD'!$B$4="Zone",IF(388&lt;=$I$4,IF(OR('TRANSPORT DASHBOARD'!$C$4="",ISNUMBER(SEARCH('TRANSPORT DASHBOARD'!$C$4,INDEX(MASTER_ZONES!$B:$B,389)))),388,""),""),""))</f>
        <v/>
      </c>
      <c r="K389">
        <f>IF('MIDWEEK DASHBOARD'!$B$4="Area",IF(388&lt;=$N$3,IF(AND(OR('MIDWEEK DASHBOARD'!$C$4="",ISNUMBER(SEARCH('MIDWEEK DASHBOARD'!$C$4,INDEX(MASTER_AREAS!$B:$B,389))))),388,""),""),IF('MIDWEEK DASHBOARD'!$B$4="Zone",IF(388&lt;=$N$4,IF(OR('MIDWEEK DASHBOARD'!$C$4="",ISNUMBER(SEARCH('MIDWEEK DASHBOARD'!$C$4,INDEX(MASTER_ZONES!$B:$B,389)))),388,""),""),""))</f>
        <v/>
      </c>
      <c r="P389">
        <f>IF('CHOP DASHBOARD'!$B$4="Area",IF(388&lt;=$S$3,IF(AND(OR('CHOP DASHBOARD'!$C$4="",ISNUMBER(SEARCH('CHOP DASHBOARD'!$C$4,INDEX(MASTER_AREAS!$B:$B,389))))),388,""),""),IF('CHOP DASHBOARD'!$B$4="Zone",IF(388&lt;=$S$4,IF(OR('CHOP DASHBOARD'!$C$4="",ISNUMBER(SEARCH('CHOP DASHBOARD'!$C$4,INDEX(MASTER_ZONES!$B:$B,389)))),388,""),""),""))</f>
        <v/>
      </c>
      <c r="U389">
        <f>IF('COMMUNITY CHURCH DASHBOARD'!$B$4="Area",IF(388&lt;=$X$3,IF(AND(OR('COMMUNITY CHURCH DASHBOARD'!$C$4="",ISNUMBER(SEARCH('COMMUNITY CHURCH DASHBOARD'!$C$4,INDEX(MASTER_AREAS!$B:$B,389))))),388,""),""),IF('COMMUNITY CHURCH DASHBOARD'!$B$4="Zone",IF(388&lt;=$X$4,IF(OR('COMMUNITY CHURCH DASHBOARD'!$C$4="",ISNUMBER(SEARCH('COMMUNITY CHURCH DASHBOARD'!$C$4,INDEX(MASTER_ZONES!$B:$B,389)))),388,""),""),""))</f>
        <v/>
      </c>
    </row>
    <row r="390">
      <c r="A390">
        <f>IF('WSF DASHBOARD'!$B$4="Area",IF(389&lt;=$D$3,IF(AND(OR('WSF DASHBOARD'!$C$4="",ISNUMBER(SEARCH('WSF DASHBOARD'!$C$4,INDEX(MASTER_AREAS!$B:$B,390))))),389,""),""),IF('WSF DASHBOARD'!$B$4="Zone",IF(389&lt;=$D$4,IF(OR('WSF DASHBOARD'!$C$4="",ISNUMBER(SEARCH('WSF DASHBOARD'!$C$4,INDEX(MASTER_ZONES!$B:$B,390)))),389,""),""),""))</f>
        <v/>
      </c>
      <c r="F390">
        <f>IF('TRANSPORT DASHBOARD'!$B$4="Area",IF(389&lt;=$I$3,IF(AND(INDEX(MASTER_AREAS!$F:$F,390)&lt;&gt;"N",OR('TRANSPORT DASHBOARD'!$C$4="",ISNUMBER(SEARCH('TRANSPORT DASHBOARD'!$C$4,INDEX(MASTER_AREAS!$B:$B,390))))),389,""),""),IF('TRANSPORT DASHBOARD'!$B$4="Zone",IF(389&lt;=$I$4,IF(OR('TRANSPORT DASHBOARD'!$C$4="",ISNUMBER(SEARCH('TRANSPORT DASHBOARD'!$C$4,INDEX(MASTER_ZONES!$B:$B,390)))),389,""),""),""))</f>
        <v/>
      </c>
      <c r="K390">
        <f>IF('MIDWEEK DASHBOARD'!$B$4="Area",IF(389&lt;=$N$3,IF(AND(OR('MIDWEEK DASHBOARD'!$C$4="",ISNUMBER(SEARCH('MIDWEEK DASHBOARD'!$C$4,INDEX(MASTER_AREAS!$B:$B,390))))),389,""),""),IF('MIDWEEK DASHBOARD'!$B$4="Zone",IF(389&lt;=$N$4,IF(OR('MIDWEEK DASHBOARD'!$C$4="",ISNUMBER(SEARCH('MIDWEEK DASHBOARD'!$C$4,INDEX(MASTER_ZONES!$B:$B,390)))),389,""),""),""))</f>
        <v/>
      </c>
      <c r="P390">
        <f>IF('CHOP DASHBOARD'!$B$4="Area",IF(389&lt;=$S$3,IF(AND(OR('CHOP DASHBOARD'!$C$4="",ISNUMBER(SEARCH('CHOP DASHBOARD'!$C$4,INDEX(MASTER_AREAS!$B:$B,390))))),389,""),""),IF('CHOP DASHBOARD'!$B$4="Zone",IF(389&lt;=$S$4,IF(OR('CHOP DASHBOARD'!$C$4="",ISNUMBER(SEARCH('CHOP DASHBOARD'!$C$4,INDEX(MASTER_ZONES!$B:$B,390)))),389,""),""),""))</f>
        <v/>
      </c>
      <c r="U390">
        <f>IF('COMMUNITY CHURCH DASHBOARD'!$B$4="Area",IF(389&lt;=$X$3,IF(AND(OR('COMMUNITY CHURCH DASHBOARD'!$C$4="",ISNUMBER(SEARCH('COMMUNITY CHURCH DASHBOARD'!$C$4,INDEX(MASTER_AREAS!$B:$B,390))))),389,""),""),IF('COMMUNITY CHURCH DASHBOARD'!$B$4="Zone",IF(389&lt;=$X$4,IF(OR('COMMUNITY CHURCH DASHBOARD'!$C$4="",ISNUMBER(SEARCH('COMMUNITY CHURCH DASHBOARD'!$C$4,INDEX(MASTER_ZONES!$B:$B,390)))),389,""),""),""))</f>
        <v/>
      </c>
    </row>
    <row r="391">
      <c r="A391">
        <f>IF('WSF DASHBOARD'!$B$4="Area",IF(390&lt;=$D$3,IF(AND(OR('WSF DASHBOARD'!$C$4="",ISNUMBER(SEARCH('WSF DASHBOARD'!$C$4,INDEX(MASTER_AREAS!$B:$B,391))))),390,""),""),IF('WSF DASHBOARD'!$B$4="Zone",IF(390&lt;=$D$4,IF(OR('WSF DASHBOARD'!$C$4="",ISNUMBER(SEARCH('WSF DASHBOARD'!$C$4,INDEX(MASTER_ZONES!$B:$B,391)))),390,""),""),""))</f>
        <v/>
      </c>
      <c r="F391">
        <f>IF('TRANSPORT DASHBOARD'!$B$4="Area",IF(390&lt;=$I$3,IF(AND(INDEX(MASTER_AREAS!$F:$F,391)&lt;&gt;"N",OR('TRANSPORT DASHBOARD'!$C$4="",ISNUMBER(SEARCH('TRANSPORT DASHBOARD'!$C$4,INDEX(MASTER_AREAS!$B:$B,391))))),390,""),""),IF('TRANSPORT DASHBOARD'!$B$4="Zone",IF(390&lt;=$I$4,IF(OR('TRANSPORT DASHBOARD'!$C$4="",ISNUMBER(SEARCH('TRANSPORT DASHBOARD'!$C$4,INDEX(MASTER_ZONES!$B:$B,391)))),390,""),""),""))</f>
        <v/>
      </c>
      <c r="K391">
        <f>IF('MIDWEEK DASHBOARD'!$B$4="Area",IF(390&lt;=$N$3,IF(AND(OR('MIDWEEK DASHBOARD'!$C$4="",ISNUMBER(SEARCH('MIDWEEK DASHBOARD'!$C$4,INDEX(MASTER_AREAS!$B:$B,391))))),390,""),""),IF('MIDWEEK DASHBOARD'!$B$4="Zone",IF(390&lt;=$N$4,IF(OR('MIDWEEK DASHBOARD'!$C$4="",ISNUMBER(SEARCH('MIDWEEK DASHBOARD'!$C$4,INDEX(MASTER_ZONES!$B:$B,391)))),390,""),""),""))</f>
        <v/>
      </c>
      <c r="P391">
        <f>IF('CHOP DASHBOARD'!$B$4="Area",IF(390&lt;=$S$3,IF(AND(OR('CHOP DASHBOARD'!$C$4="",ISNUMBER(SEARCH('CHOP DASHBOARD'!$C$4,INDEX(MASTER_AREAS!$B:$B,391))))),390,""),""),IF('CHOP DASHBOARD'!$B$4="Zone",IF(390&lt;=$S$4,IF(OR('CHOP DASHBOARD'!$C$4="",ISNUMBER(SEARCH('CHOP DASHBOARD'!$C$4,INDEX(MASTER_ZONES!$B:$B,391)))),390,""),""),""))</f>
        <v/>
      </c>
      <c r="U391">
        <f>IF('COMMUNITY CHURCH DASHBOARD'!$B$4="Area",IF(390&lt;=$X$3,IF(AND(OR('COMMUNITY CHURCH DASHBOARD'!$C$4="",ISNUMBER(SEARCH('COMMUNITY CHURCH DASHBOARD'!$C$4,INDEX(MASTER_AREAS!$B:$B,391))))),390,""),""),IF('COMMUNITY CHURCH DASHBOARD'!$B$4="Zone",IF(390&lt;=$X$4,IF(OR('COMMUNITY CHURCH DASHBOARD'!$C$4="",ISNUMBER(SEARCH('COMMUNITY CHURCH DASHBOARD'!$C$4,INDEX(MASTER_ZONES!$B:$B,391)))),390,""),""),""))</f>
        <v/>
      </c>
    </row>
    <row r="392">
      <c r="A392">
        <f>IF('WSF DASHBOARD'!$B$4="Area",IF(391&lt;=$D$3,IF(AND(OR('WSF DASHBOARD'!$C$4="",ISNUMBER(SEARCH('WSF DASHBOARD'!$C$4,INDEX(MASTER_AREAS!$B:$B,392))))),391,""),""),IF('WSF DASHBOARD'!$B$4="Zone",IF(391&lt;=$D$4,IF(OR('WSF DASHBOARD'!$C$4="",ISNUMBER(SEARCH('WSF DASHBOARD'!$C$4,INDEX(MASTER_ZONES!$B:$B,392)))),391,""),""),""))</f>
        <v/>
      </c>
      <c r="F392">
        <f>IF('TRANSPORT DASHBOARD'!$B$4="Area",IF(391&lt;=$I$3,IF(AND(INDEX(MASTER_AREAS!$F:$F,392)&lt;&gt;"N",OR('TRANSPORT DASHBOARD'!$C$4="",ISNUMBER(SEARCH('TRANSPORT DASHBOARD'!$C$4,INDEX(MASTER_AREAS!$B:$B,392))))),391,""),""),IF('TRANSPORT DASHBOARD'!$B$4="Zone",IF(391&lt;=$I$4,IF(OR('TRANSPORT DASHBOARD'!$C$4="",ISNUMBER(SEARCH('TRANSPORT DASHBOARD'!$C$4,INDEX(MASTER_ZONES!$B:$B,392)))),391,""),""),""))</f>
        <v/>
      </c>
      <c r="K392">
        <f>IF('MIDWEEK DASHBOARD'!$B$4="Area",IF(391&lt;=$N$3,IF(AND(OR('MIDWEEK DASHBOARD'!$C$4="",ISNUMBER(SEARCH('MIDWEEK DASHBOARD'!$C$4,INDEX(MASTER_AREAS!$B:$B,392))))),391,""),""),IF('MIDWEEK DASHBOARD'!$B$4="Zone",IF(391&lt;=$N$4,IF(OR('MIDWEEK DASHBOARD'!$C$4="",ISNUMBER(SEARCH('MIDWEEK DASHBOARD'!$C$4,INDEX(MASTER_ZONES!$B:$B,392)))),391,""),""),""))</f>
        <v/>
      </c>
      <c r="P392">
        <f>IF('CHOP DASHBOARD'!$B$4="Area",IF(391&lt;=$S$3,IF(AND(OR('CHOP DASHBOARD'!$C$4="",ISNUMBER(SEARCH('CHOP DASHBOARD'!$C$4,INDEX(MASTER_AREAS!$B:$B,392))))),391,""),""),IF('CHOP DASHBOARD'!$B$4="Zone",IF(391&lt;=$S$4,IF(OR('CHOP DASHBOARD'!$C$4="",ISNUMBER(SEARCH('CHOP DASHBOARD'!$C$4,INDEX(MASTER_ZONES!$B:$B,392)))),391,""),""),""))</f>
        <v/>
      </c>
      <c r="U392">
        <f>IF('COMMUNITY CHURCH DASHBOARD'!$B$4="Area",IF(391&lt;=$X$3,IF(AND(OR('COMMUNITY CHURCH DASHBOARD'!$C$4="",ISNUMBER(SEARCH('COMMUNITY CHURCH DASHBOARD'!$C$4,INDEX(MASTER_AREAS!$B:$B,392))))),391,""),""),IF('COMMUNITY CHURCH DASHBOARD'!$B$4="Zone",IF(391&lt;=$X$4,IF(OR('COMMUNITY CHURCH DASHBOARD'!$C$4="",ISNUMBER(SEARCH('COMMUNITY CHURCH DASHBOARD'!$C$4,INDEX(MASTER_ZONES!$B:$B,392)))),391,""),""),""))</f>
        <v/>
      </c>
    </row>
    <row r="393">
      <c r="A393">
        <f>IF('WSF DASHBOARD'!$B$4="Area",IF(392&lt;=$D$3,IF(AND(OR('WSF DASHBOARD'!$C$4="",ISNUMBER(SEARCH('WSF DASHBOARD'!$C$4,INDEX(MASTER_AREAS!$B:$B,393))))),392,""),""),IF('WSF DASHBOARD'!$B$4="Zone",IF(392&lt;=$D$4,IF(OR('WSF DASHBOARD'!$C$4="",ISNUMBER(SEARCH('WSF DASHBOARD'!$C$4,INDEX(MASTER_ZONES!$B:$B,393)))),392,""),""),""))</f>
        <v/>
      </c>
      <c r="F393">
        <f>IF('TRANSPORT DASHBOARD'!$B$4="Area",IF(392&lt;=$I$3,IF(AND(INDEX(MASTER_AREAS!$F:$F,393)&lt;&gt;"N",OR('TRANSPORT DASHBOARD'!$C$4="",ISNUMBER(SEARCH('TRANSPORT DASHBOARD'!$C$4,INDEX(MASTER_AREAS!$B:$B,393))))),392,""),""),IF('TRANSPORT DASHBOARD'!$B$4="Zone",IF(392&lt;=$I$4,IF(OR('TRANSPORT DASHBOARD'!$C$4="",ISNUMBER(SEARCH('TRANSPORT DASHBOARD'!$C$4,INDEX(MASTER_ZONES!$B:$B,393)))),392,""),""),""))</f>
        <v/>
      </c>
      <c r="K393">
        <f>IF('MIDWEEK DASHBOARD'!$B$4="Area",IF(392&lt;=$N$3,IF(AND(OR('MIDWEEK DASHBOARD'!$C$4="",ISNUMBER(SEARCH('MIDWEEK DASHBOARD'!$C$4,INDEX(MASTER_AREAS!$B:$B,393))))),392,""),""),IF('MIDWEEK DASHBOARD'!$B$4="Zone",IF(392&lt;=$N$4,IF(OR('MIDWEEK DASHBOARD'!$C$4="",ISNUMBER(SEARCH('MIDWEEK DASHBOARD'!$C$4,INDEX(MASTER_ZONES!$B:$B,393)))),392,""),""),""))</f>
        <v/>
      </c>
      <c r="P393">
        <f>IF('CHOP DASHBOARD'!$B$4="Area",IF(392&lt;=$S$3,IF(AND(OR('CHOP DASHBOARD'!$C$4="",ISNUMBER(SEARCH('CHOP DASHBOARD'!$C$4,INDEX(MASTER_AREAS!$B:$B,393))))),392,""),""),IF('CHOP DASHBOARD'!$B$4="Zone",IF(392&lt;=$S$4,IF(OR('CHOP DASHBOARD'!$C$4="",ISNUMBER(SEARCH('CHOP DASHBOARD'!$C$4,INDEX(MASTER_ZONES!$B:$B,393)))),392,""),""),""))</f>
        <v/>
      </c>
      <c r="U393">
        <f>IF('COMMUNITY CHURCH DASHBOARD'!$B$4="Area",IF(392&lt;=$X$3,IF(AND(OR('COMMUNITY CHURCH DASHBOARD'!$C$4="",ISNUMBER(SEARCH('COMMUNITY CHURCH DASHBOARD'!$C$4,INDEX(MASTER_AREAS!$B:$B,393))))),392,""),""),IF('COMMUNITY CHURCH DASHBOARD'!$B$4="Zone",IF(392&lt;=$X$4,IF(OR('COMMUNITY CHURCH DASHBOARD'!$C$4="",ISNUMBER(SEARCH('COMMUNITY CHURCH DASHBOARD'!$C$4,INDEX(MASTER_ZONES!$B:$B,393)))),392,""),""),""))</f>
        <v/>
      </c>
    </row>
    <row r="394">
      <c r="A394">
        <f>IF('WSF DASHBOARD'!$B$4="Area",IF(393&lt;=$D$3,IF(AND(OR('WSF DASHBOARD'!$C$4="",ISNUMBER(SEARCH('WSF DASHBOARD'!$C$4,INDEX(MASTER_AREAS!$B:$B,394))))),393,""),""),IF('WSF DASHBOARD'!$B$4="Zone",IF(393&lt;=$D$4,IF(OR('WSF DASHBOARD'!$C$4="",ISNUMBER(SEARCH('WSF DASHBOARD'!$C$4,INDEX(MASTER_ZONES!$B:$B,394)))),393,""),""),""))</f>
        <v/>
      </c>
      <c r="F394">
        <f>IF('TRANSPORT DASHBOARD'!$B$4="Area",IF(393&lt;=$I$3,IF(AND(INDEX(MASTER_AREAS!$F:$F,394)&lt;&gt;"N",OR('TRANSPORT DASHBOARD'!$C$4="",ISNUMBER(SEARCH('TRANSPORT DASHBOARD'!$C$4,INDEX(MASTER_AREAS!$B:$B,394))))),393,""),""),IF('TRANSPORT DASHBOARD'!$B$4="Zone",IF(393&lt;=$I$4,IF(OR('TRANSPORT DASHBOARD'!$C$4="",ISNUMBER(SEARCH('TRANSPORT DASHBOARD'!$C$4,INDEX(MASTER_ZONES!$B:$B,394)))),393,""),""),""))</f>
        <v/>
      </c>
      <c r="K394">
        <f>IF('MIDWEEK DASHBOARD'!$B$4="Area",IF(393&lt;=$N$3,IF(AND(OR('MIDWEEK DASHBOARD'!$C$4="",ISNUMBER(SEARCH('MIDWEEK DASHBOARD'!$C$4,INDEX(MASTER_AREAS!$B:$B,394))))),393,""),""),IF('MIDWEEK DASHBOARD'!$B$4="Zone",IF(393&lt;=$N$4,IF(OR('MIDWEEK DASHBOARD'!$C$4="",ISNUMBER(SEARCH('MIDWEEK DASHBOARD'!$C$4,INDEX(MASTER_ZONES!$B:$B,394)))),393,""),""),""))</f>
        <v/>
      </c>
      <c r="P394">
        <f>IF('CHOP DASHBOARD'!$B$4="Area",IF(393&lt;=$S$3,IF(AND(OR('CHOP DASHBOARD'!$C$4="",ISNUMBER(SEARCH('CHOP DASHBOARD'!$C$4,INDEX(MASTER_AREAS!$B:$B,394))))),393,""),""),IF('CHOP DASHBOARD'!$B$4="Zone",IF(393&lt;=$S$4,IF(OR('CHOP DASHBOARD'!$C$4="",ISNUMBER(SEARCH('CHOP DASHBOARD'!$C$4,INDEX(MASTER_ZONES!$B:$B,394)))),393,""),""),""))</f>
        <v/>
      </c>
      <c r="U394">
        <f>IF('COMMUNITY CHURCH DASHBOARD'!$B$4="Area",IF(393&lt;=$X$3,IF(AND(OR('COMMUNITY CHURCH DASHBOARD'!$C$4="",ISNUMBER(SEARCH('COMMUNITY CHURCH DASHBOARD'!$C$4,INDEX(MASTER_AREAS!$B:$B,394))))),393,""),""),IF('COMMUNITY CHURCH DASHBOARD'!$B$4="Zone",IF(393&lt;=$X$4,IF(OR('COMMUNITY CHURCH DASHBOARD'!$C$4="",ISNUMBER(SEARCH('COMMUNITY CHURCH DASHBOARD'!$C$4,INDEX(MASTER_ZONES!$B:$B,394)))),393,""),""),""))</f>
        <v/>
      </c>
    </row>
    <row r="395">
      <c r="A395">
        <f>IF('WSF DASHBOARD'!$B$4="Area",IF(394&lt;=$D$3,IF(AND(OR('WSF DASHBOARD'!$C$4="",ISNUMBER(SEARCH('WSF DASHBOARD'!$C$4,INDEX(MASTER_AREAS!$B:$B,395))))),394,""),""),IF('WSF DASHBOARD'!$B$4="Zone",IF(394&lt;=$D$4,IF(OR('WSF DASHBOARD'!$C$4="",ISNUMBER(SEARCH('WSF DASHBOARD'!$C$4,INDEX(MASTER_ZONES!$B:$B,395)))),394,""),""),""))</f>
        <v/>
      </c>
      <c r="F395">
        <f>IF('TRANSPORT DASHBOARD'!$B$4="Area",IF(394&lt;=$I$3,IF(AND(INDEX(MASTER_AREAS!$F:$F,395)&lt;&gt;"N",OR('TRANSPORT DASHBOARD'!$C$4="",ISNUMBER(SEARCH('TRANSPORT DASHBOARD'!$C$4,INDEX(MASTER_AREAS!$B:$B,395))))),394,""),""),IF('TRANSPORT DASHBOARD'!$B$4="Zone",IF(394&lt;=$I$4,IF(OR('TRANSPORT DASHBOARD'!$C$4="",ISNUMBER(SEARCH('TRANSPORT DASHBOARD'!$C$4,INDEX(MASTER_ZONES!$B:$B,395)))),394,""),""),""))</f>
        <v/>
      </c>
      <c r="K395">
        <f>IF('MIDWEEK DASHBOARD'!$B$4="Area",IF(394&lt;=$N$3,IF(AND(OR('MIDWEEK DASHBOARD'!$C$4="",ISNUMBER(SEARCH('MIDWEEK DASHBOARD'!$C$4,INDEX(MASTER_AREAS!$B:$B,395))))),394,""),""),IF('MIDWEEK DASHBOARD'!$B$4="Zone",IF(394&lt;=$N$4,IF(OR('MIDWEEK DASHBOARD'!$C$4="",ISNUMBER(SEARCH('MIDWEEK DASHBOARD'!$C$4,INDEX(MASTER_ZONES!$B:$B,395)))),394,""),""),""))</f>
        <v/>
      </c>
      <c r="P395">
        <f>IF('CHOP DASHBOARD'!$B$4="Area",IF(394&lt;=$S$3,IF(AND(OR('CHOP DASHBOARD'!$C$4="",ISNUMBER(SEARCH('CHOP DASHBOARD'!$C$4,INDEX(MASTER_AREAS!$B:$B,395))))),394,""),""),IF('CHOP DASHBOARD'!$B$4="Zone",IF(394&lt;=$S$4,IF(OR('CHOP DASHBOARD'!$C$4="",ISNUMBER(SEARCH('CHOP DASHBOARD'!$C$4,INDEX(MASTER_ZONES!$B:$B,395)))),394,""),""),""))</f>
        <v/>
      </c>
      <c r="U395">
        <f>IF('COMMUNITY CHURCH DASHBOARD'!$B$4="Area",IF(394&lt;=$X$3,IF(AND(OR('COMMUNITY CHURCH DASHBOARD'!$C$4="",ISNUMBER(SEARCH('COMMUNITY CHURCH DASHBOARD'!$C$4,INDEX(MASTER_AREAS!$B:$B,395))))),394,""),""),IF('COMMUNITY CHURCH DASHBOARD'!$B$4="Zone",IF(394&lt;=$X$4,IF(OR('COMMUNITY CHURCH DASHBOARD'!$C$4="",ISNUMBER(SEARCH('COMMUNITY CHURCH DASHBOARD'!$C$4,INDEX(MASTER_ZONES!$B:$B,395)))),394,""),""),""))</f>
        <v/>
      </c>
    </row>
    <row r="396">
      <c r="A396">
        <f>IF('WSF DASHBOARD'!$B$4="Area",IF(395&lt;=$D$3,IF(AND(OR('WSF DASHBOARD'!$C$4="",ISNUMBER(SEARCH('WSF DASHBOARD'!$C$4,INDEX(MASTER_AREAS!$B:$B,396))))),395,""),""),IF('WSF DASHBOARD'!$B$4="Zone",IF(395&lt;=$D$4,IF(OR('WSF DASHBOARD'!$C$4="",ISNUMBER(SEARCH('WSF DASHBOARD'!$C$4,INDEX(MASTER_ZONES!$B:$B,396)))),395,""),""),""))</f>
        <v/>
      </c>
      <c r="F396">
        <f>IF('TRANSPORT DASHBOARD'!$B$4="Area",IF(395&lt;=$I$3,IF(AND(INDEX(MASTER_AREAS!$F:$F,396)&lt;&gt;"N",OR('TRANSPORT DASHBOARD'!$C$4="",ISNUMBER(SEARCH('TRANSPORT DASHBOARD'!$C$4,INDEX(MASTER_AREAS!$B:$B,396))))),395,""),""),IF('TRANSPORT DASHBOARD'!$B$4="Zone",IF(395&lt;=$I$4,IF(OR('TRANSPORT DASHBOARD'!$C$4="",ISNUMBER(SEARCH('TRANSPORT DASHBOARD'!$C$4,INDEX(MASTER_ZONES!$B:$B,396)))),395,""),""),""))</f>
        <v/>
      </c>
      <c r="K396">
        <f>IF('MIDWEEK DASHBOARD'!$B$4="Area",IF(395&lt;=$N$3,IF(AND(OR('MIDWEEK DASHBOARD'!$C$4="",ISNUMBER(SEARCH('MIDWEEK DASHBOARD'!$C$4,INDEX(MASTER_AREAS!$B:$B,396))))),395,""),""),IF('MIDWEEK DASHBOARD'!$B$4="Zone",IF(395&lt;=$N$4,IF(OR('MIDWEEK DASHBOARD'!$C$4="",ISNUMBER(SEARCH('MIDWEEK DASHBOARD'!$C$4,INDEX(MASTER_ZONES!$B:$B,396)))),395,""),""),""))</f>
        <v/>
      </c>
      <c r="P396">
        <f>IF('CHOP DASHBOARD'!$B$4="Area",IF(395&lt;=$S$3,IF(AND(OR('CHOP DASHBOARD'!$C$4="",ISNUMBER(SEARCH('CHOP DASHBOARD'!$C$4,INDEX(MASTER_AREAS!$B:$B,396))))),395,""),""),IF('CHOP DASHBOARD'!$B$4="Zone",IF(395&lt;=$S$4,IF(OR('CHOP DASHBOARD'!$C$4="",ISNUMBER(SEARCH('CHOP DASHBOARD'!$C$4,INDEX(MASTER_ZONES!$B:$B,396)))),395,""),""),""))</f>
        <v/>
      </c>
      <c r="U396">
        <f>IF('COMMUNITY CHURCH DASHBOARD'!$B$4="Area",IF(395&lt;=$X$3,IF(AND(OR('COMMUNITY CHURCH DASHBOARD'!$C$4="",ISNUMBER(SEARCH('COMMUNITY CHURCH DASHBOARD'!$C$4,INDEX(MASTER_AREAS!$B:$B,396))))),395,""),""),IF('COMMUNITY CHURCH DASHBOARD'!$B$4="Zone",IF(395&lt;=$X$4,IF(OR('COMMUNITY CHURCH DASHBOARD'!$C$4="",ISNUMBER(SEARCH('COMMUNITY CHURCH DASHBOARD'!$C$4,INDEX(MASTER_ZONES!$B:$B,396)))),395,""),""),""))</f>
        <v/>
      </c>
    </row>
    <row r="397">
      <c r="A397">
        <f>IF('WSF DASHBOARD'!$B$4="Area",IF(396&lt;=$D$3,IF(AND(OR('WSF DASHBOARD'!$C$4="",ISNUMBER(SEARCH('WSF DASHBOARD'!$C$4,INDEX(MASTER_AREAS!$B:$B,397))))),396,""),""),IF('WSF DASHBOARD'!$B$4="Zone",IF(396&lt;=$D$4,IF(OR('WSF DASHBOARD'!$C$4="",ISNUMBER(SEARCH('WSF DASHBOARD'!$C$4,INDEX(MASTER_ZONES!$B:$B,397)))),396,""),""),""))</f>
        <v/>
      </c>
      <c r="F397">
        <f>IF('TRANSPORT DASHBOARD'!$B$4="Area",IF(396&lt;=$I$3,IF(AND(INDEX(MASTER_AREAS!$F:$F,397)&lt;&gt;"N",OR('TRANSPORT DASHBOARD'!$C$4="",ISNUMBER(SEARCH('TRANSPORT DASHBOARD'!$C$4,INDEX(MASTER_AREAS!$B:$B,397))))),396,""),""),IF('TRANSPORT DASHBOARD'!$B$4="Zone",IF(396&lt;=$I$4,IF(OR('TRANSPORT DASHBOARD'!$C$4="",ISNUMBER(SEARCH('TRANSPORT DASHBOARD'!$C$4,INDEX(MASTER_ZONES!$B:$B,397)))),396,""),""),""))</f>
        <v/>
      </c>
      <c r="K397">
        <f>IF('MIDWEEK DASHBOARD'!$B$4="Area",IF(396&lt;=$N$3,IF(AND(OR('MIDWEEK DASHBOARD'!$C$4="",ISNUMBER(SEARCH('MIDWEEK DASHBOARD'!$C$4,INDEX(MASTER_AREAS!$B:$B,397))))),396,""),""),IF('MIDWEEK DASHBOARD'!$B$4="Zone",IF(396&lt;=$N$4,IF(OR('MIDWEEK DASHBOARD'!$C$4="",ISNUMBER(SEARCH('MIDWEEK DASHBOARD'!$C$4,INDEX(MASTER_ZONES!$B:$B,397)))),396,""),""),""))</f>
        <v/>
      </c>
      <c r="P397">
        <f>IF('CHOP DASHBOARD'!$B$4="Area",IF(396&lt;=$S$3,IF(AND(OR('CHOP DASHBOARD'!$C$4="",ISNUMBER(SEARCH('CHOP DASHBOARD'!$C$4,INDEX(MASTER_AREAS!$B:$B,397))))),396,""),""),IF('CHOP DASHBOARD'!$B$4="Zone",IF(396&lt;=$S$4,IF(OR('CHOP DASHBOARD'!$C$4="",ISNUMBER(SEARCH('CHOP DASHBOARD'!$C$4,INDEX(MASTER_ZONES!$B:$B,397)))),396,""),""),""))</f>
        <v/>
      </c>
      <c r="U397">
        <f>IF('COMMUNITY CHURCH DASHBOARD'!$B$4="Area",IF(396&lt;=$X$3,IF(AND(OR('COMMUNITY CHURCH DASHBOARD'!$C$4="",ISNUMBER(SEARCH('COMMUNITY CHURCH DASHBOARD'!$C$4,INDEX(MASTER_AREAS!$B:$B,397))))),396,""),""),IF('COMMUNITY CHURCH DASHBOARD'!$B$4="Zone",IF(396&lt;=$X$4,IF(OR('COMMUNITY CHURCH DASHBOARD'!$C$4="",ISNUMBER(SEARCH('COMMUNITY CHURCH DASHBOARD'!$C$4,INDEX(MASTER_ZONES!$B:$B,397)))),396,""),""),""))</f>
        <v/>
      </c>
    </row>
    <row r="398">
      <c r="A398">
        <f>IF('WSF DASHBOARD'!$B$4="Area",IF(397&lt;=$D$3,IF(AND(OR('WSF DASHBOARD'!$C$4="",ISNUMBER(SEARCH('WSF DASHBOARD'!$C$4,INDEX(MASTER_AREAS!$B:$B,398))))),397,""),""),IF('WSF DASHBOARD'!$B$4="Zone",IF(397&lt;=$D$4,IF(OR('WSF DASHBOARD'!$C$4="",ISNUMBER(SEARCH('WSF DASHBOARD'!$C$4,INDEX(MASTER_ZONES!$B:$B,398)))),397,""),""),""))</f>
        <v/>
      </c>
      <c r="F398">
        <f>IF('TRANSPORT DASHBOARD'!$B$4="Area",IF(397&lt;=$I$3,IF(AND(INDEX(MASTER_AREAS!$F:$F,398)&lt;&gt;"N",OR('TRANSPORT DASHBOARD'!$C$4="",ISNUMBER(SEARCH('TRANSPORT DASHBOARD'!$C$4,INDEX(MASTER_AREAS!$B:$B,398))))),397,""),""),IF('TRANSPORT DASHBOARD'!$B$4="Zone",IF(397&lt;=$I$4,IF(OR('TRANSPORT DASHBOARD'!$C$4="",ISNUMBER(SEARCH('TRANSPORT DASHBOARD'!$C$4,INDEX(MASTER_ZONES!$B:$B,398)))),397,""),""),""))</f>
        <v/>
      </c>
      <c r="K398">
        <f>IF('MIDWEEK DASHBOARD'!$B$4="Area",IF(397&lt;=$N$3,IF(AND(OR('MIDWEEK DASHBOARD'!$C$4="",ISNUMBER(SEARCH('MIDWEEK DASHBOARD'!$C$4,INDEX(MASTER_AREAS!$B:$B,398))))),397,""),""),IF('MIDWEEK DASHBOARD'!$B$4="Zone",IF(397&lt;=$N$4,IF(OR('MIDWEEK DASHBOARD'!$C$4="",ISNUMBER(SEARCH('MIDWEEK DASHBOARD'!$C$4,INDEX(MASTER_ZONES!$B:$B,398)))),397,""),""),""))</f>
        <v/>
      </c>
      <c r="P398">
        <f>IF('CHOP DASHBOARD'!$B$4="Area",IF(397&lt;=$S$3,IF(AND(OR('CHOP DASHBOARD'!$C$4="",ISNUMBER(SEARCH('CHOP DASHBOARD'!$C$4,INDEX(MASTER_AREAS!$B:$B,398))))),397,""),""),IF('CHOP DASHBOARD'!$B$4="Zone",IF(397&lt;=$S$4,IF(OR('CHOP DASHBOARD'!$C$4="",ISNUMBER(SEARCH('CHOP DASHBOARD'!$C$4,INDEX(MASTER_ZONES!$B:$B,398)))),397,""),""),""))</f>
        <v/>
      </c>
      <c r="U398">
        <f>IF('COMMUNITY CHURCH DASHBOARD'!$B$4="Area",IF(397&lt;=$X$3,IF(AND(OR('COMMUNITY CHURCH DASHBOARD'!$C$4="",ISNUMBER(SEARCH('COMMUNITY CHURCH DASHBOARD'!$C$4,INDEX(MASTER_AREAS!$B:$B,398))))),397,""),""),IF('COMMUNITY CHURCH DASHBOARD'!$B$4="Zone",IF(397&lt;=$X$4,IF(OR('COMMUNITY CHURCH DASHBOARD'!$C$4="",ISNUMBER(SEARCH('COMMUNITY CHURCH DASHBOARD'!$C$4,INDEX(MASTER_ZONES!$B:$B,398)))),397,""),""),""))</f>
        <v/>
      </c>
    </row>
    <row r="399">
      <c r="A399">
        <f>IF('WSF DASHBOARD'!$B$4="Area",IF(398&lt;=$D$3,IF(AND(OR('WSF DASHBOARD'!$C$4="",ISNUMBER(SEARCH('WSF DASHBOARD'!$C$4,INDEX(MASTER_AREAS!$B:$B,399))))),398,""),""),IF('WSF DASHBOARD'!$B$4="Zone",IF(398&lt;=$D$4,IF(OR('WSF DASHBOARD'!$C$4="",ISNUMBER(SEARCH('WSF DASHBOARD'!$C$4,INDEX(MASTER_ZONES!$B:$B,399)))),398,""),""),""))</f>
        <v/>
      </c>
      <c r="F399">
        <f>IF('TRANSPORT DASHBOARD'!$B$4="Area",IF(398&lt;=$I$3,IF(AND(INDEX(MASTER_AREAS!$F:$F,399)&lt;&gt;"N",OR('TRANSPORT DASHBOARD'!$C$4="",ISNUMBER(SEARCH('TRANSPORT DASHBOARD'!$C$4,INDEX(MASTER_AREAS!$B:$B,399))))),398,""),""),IF('TRANSPORT DASHBOARD'!$B$4="Zone",IF(398&lt;=$I$4,IF(OR('TRANSPORT DASHBOARD'!$C$4="",ISNUMBER(SEARCH('TRANSPORT DASHBOARD'!$C$4,INDEX(MASTER_ZONES!$B:$B,399)))),398,""),""),""))</f>
        <v/>
      </c>
      <c r="K399">
        <f>IF('MIDWEEK DASHBOARD'!$B$4="Area",IF(398&lt;=$N$3,IF(AND(OR('MIDWEEK DASHBOARD'!$C$4="",ISNUMBER(SEARCH('MIDWEEK DASHBOARD'!$C$4,INDEX(MASTER_AREAS!$B:$B,399))))),398,""),""),IF('MIDWEEK DASHBOARD'!$B$4="Zone",IF(398&lt;=$N$4,IF(OR('MIDWEEK DASHBOARD'!$C$4="",ISNUMBER(SEARCH('MIDWEEK DASHBOARD'!$C$4,INDEX(MASTER_ZONES!$B:$B,399)))),398,""),""),""))</f>
        <v/>
      </c>
      <c r="P399">
        <f>IF('CHOP DASHBOARD'!$B$4="Area",IF(398&lt;=$S$3,IF(AND(OR('CHOP DASHBOARD'!$C$4="",ISNUMBER(SEARCH('CHOP DASHBOARD'!$C$4,INDEX(MASTER_AREAS!$B:$B,399))))),398,""),""),IF('CHOP DASHBOARD'!$B$4="Zone",IF(398&lt;=$S$4,IF(OR('CHOP DASHBOARD'!$C$4="",ISNUMBER(SEARCH('CHOP DASHBOARD'!$C$4,INDEX(MASTER_ZONES!$B:$B,399)))),398,""),""),""))</f>
        <v/>
      </c>
      <c r="U399">
        <f>IF('COMMUNITY CHURCH DASHBOARD'!$B$4="Area",IF(398&lt;=$X$3,IF(AND(OR('COMMUNITY CHURCH DASHBOARD'!$C$4="",ISNUMBER(SEARCH('COMMUNITY CHURCH DASHBOARD'!$C$4,INDEX(MASTER_AREAS!$B:$B,399))))),398,""),""),IF('COMMUNITY CHURCH DASHBOARD'!$B$4="Zone",IF(398&lt;=$X$4,IF(OR('COMMUNITY CHURCH DASHBOARD'!$C$4="",ISNUMBER(SEARCH('COMMUNITY CHURCH DASHBOARD'!$C$4,INDEX(MASTER_ZONES!$B:$B,399)))),398,""),""),""))</f>
        <v/>
      </c>
    </row>
    <row r="400">
      <c r="A400">
        <f>IF('WSF DASHBOARD'!$B$4="Area",IF(399&lt;=$D$3,IF(AND(OR('WSF DASHBOARD'!$C$4="",ISNUMBER(SEARCH('WSF DASHBOARD'!$C$4,INDEX(MASTER_AREAS!$B:$B,400))))),399,""),""),IF('WSF DASHBOARD'!$B$4="Zone",IF(399&lt;=$D$4,IF(OR('WSF DASHBOARD'!$C$4="",ISNUMBER(SEARCH('WSF DASHBOARD'!$C$4,INDEX(MASTER_ZONES!$B:$B,400)))),399,""),""),""))</f>
        <v/>
      </c>
      <c r="F400">
        <f>IF('TRANSPORT DASHBOARD'!$B$4="Area",IF(399&lt;=$I$3,IF(AND(INDEX(MASTER_AREAS!$F:$F,400)&lt;&gt;"N",OR('TRANSPORT DASHBOARD'!$C$4="",ISNUMBER(SEARCH('TRANSPORT DASHBOARD'!$C$4,INDEX(MASTER_AREAS!$B:$B,400))))),399,""),""),IF('TRANSPORT DASHBOARD'!$B$4="Zone",IF(399&lt;=$I$4,IF(OR('TRANSPORT DASHBOARD'!$C$4="",ISNUMBER(SEARCH('TRANSPORT DASHBOARD'!$C$4,INDEX(MASTER_ZONES!$B:$B,400)))),399,""),""),""))</f>
        <v/>
      </c>
      <c r="K400">
        <f>IF('MIDWEEK DASHBOARD'!$B$4="Area",IF(399&lt;=$N$3,IF(AND(OR('MIDWEEK DASHBOARD'!$C$4="",ISNUMBER(SEARCH('MIDWEEK DASHBOARD'!$C$4,INDEX(MASTER_AREAS!$B:$B,400))))),399,""),""),IF('MIDWEEK DASHBOARD'!$B$4="Zone",IF(399&lt;=$N$4,IF(OR('MIDWEEK DASHBOARD'!$C$4="",ISNUMBER(SEARCH('MIDWEEK DASHBOARD'!$C$4,INDEX(MASTER_ZONES!$B:$B,400)))),399,""),""),""))</f>
        <v/>
      </c>
      <c r="P400">
        <f>IF('CHOP DASHBOARD'!$B$4="Area",IF(399&lt;=$S$3,IF(AND(OR('CHOP DASHBOARD'!$C$4="",ISNUMBER(SEARCH('CHOP DASHBOARD'!$C$4,INDEX(MASTER_AREAS!$B:$B,400))))),399,""),""),IF('CHOP DASHBOARD'!$B$4="Zone",IF(399&lt;=$S$4,IF(OR('CHOP DASHBOARD'!$C$4="",ISNUMBER(SEARCH('CHOP DASHBOARD'!$C$4,INDEX(MASTER_ZONES!$B:$B,400)))),399,""),""),""))</f>
        <v/>
      </c>
      <c r="U400">
        <f>IF('COMMUNITY CHURCH DASHBOARD'!$B$4="Area",IF(399&lt;=$X$3,IF(AND(OR('COMMUNITY CHURCH DASHBOARD'!$C$4="",ISNUMBER(SEARCH('COMMUNITY CHURCH DASHBOARD'!$C$4,INDEX(MASTER_AREAS!$B:$B,400))))),399,""),""),IF('COMMUNITY CHURCH DASHBOARD'!$B$4="Zone",IF(399&lt;=$X$4,IF(OR('COMMUNITY CHURCH DASHBOARD'!$C$4="",ISNUMBER(SEARCH('COMMUNITY CHURCH DASHBOARD'!$C$4,INDEX(MASTER_ZONES!$B:$B,400)))),399,""),""),""))</f>
        <v/>
      </c>
    </row>
    <row r="401">
      <c r="A401">
        <f>IF('WSF DASHBOARD'!$B$4="Area",IF(400&lt;=$D$3,IF(AND(OR('WSF DASHBOARD'!$C$4="",ISNUMBER(SEARCH('WSF DASHBOARD'!$C$4,INDEX(MASTER_AREAS!$B:$B,401))))),400,""),""),IF('WSF DASHBOARD'!$B$4="Zone",IF(400&lt;=$D$4,IF(OR('WSF DASHBOARD'!$C$4="",ISNUMBER(SEARCH('WSF DASHBOARD'!$C$4,INDEX(MASTER_ZONES!$B:$B,401)))),400,""),""),""))</f>
        <v/>
      </c>
      <c r="F401">
        <f>IF('TRANSPORT DASHBOARD'!$B$4="Area",IF(400&lt;=$I$3,IF(AND(INDEX(MASTER_AREAS!$F:$F,401)&lt;&gt;"N",OR('TRANSPORT DASHBOARD'!$C$4="",ISNUMBER(SEARCH('TRANSPORT DASHBOARD'!$C$4,INDEX(MASTER_AREAS!$B:$B,401))))),400,""),""),IF('TRANSPORT DASHBOARD'!$B$4="Zone",IF(400&lt;=$I$4,IF(OR('TRANSPORT DASHBOARD'!$C$4="",ISNUMBER(SEARCH('TRANSPORT DASHBOARD'!$C$4,INDEX(MASTER_ZONES!$B:$B,401)))),400,""),""),""))</f>
        <v/>
      </c>
      <c r="K401">
        <f>IF('MIDWEEK DASHBOARD'!$B$4="Area",IF(400&lt;=$N$3,IF(AND(OR('MIDWEEK DASHBOARD'!$C$4="",ISNUMBER(SEARCH('MIDWEEK DASHBOARD'!$C$4,INDEX(MASTER_AREAS!$B:$B,401))))),400,""),""),IF('MIDWEEK DASHBOARD'!$B$4="Zone",IF(400&lt;=$N$4,IF(OR('MIDWEEK DASHBOARD'!$C$4="",ISNUMBER(SEARCH('MIDWEEK DASHBOARD'!$C$4,INDEX(MASTER_ZONES!$B:$B,401)))),400,""),""),""))</f>
        <v/>
      </c>
      <c r="P401">
        <f>IF('CHOP DASHBOARD'!$B$4="Area",IF(400&lt;=$S$3,IF(AND(OR('CHOP DASHBOARD'!$C$4="",ISNUMBER(SEARCH('CHOP DASHBOARD'!$C$4,INDEX(MASTER_AREAS!$B:$B,401))))),400,""),""),IF('CHOP DASHBOARD'!$B$4="Zone",IF(400&lt;=$S$4,IF(OR('CHOP DASHBOARD'!$C$4="",ISNUMBER(SEARCH('CHOP DASHBOARD'!$C$4,INDEX(MASTER_ZONES!$B:$B,401)))),400,""),""),""))</f>
        <v/>
      </c>
      <c r="U401">
        <f>IF('COMMUNITY CHURCH DASHBOARD'!$B$4="Area",IF(400&lt;=$X$3,IF(AND(OR('COMMUNITY CHURCH DASHBOARD'!$C$4="",ISNUMBER(SEARCH('COMMUNITY CHURCH DASHBOARD'!$C$4,INDEX(MASTER_AREAS!$B:$B,401))))),400,""),""),IF('COMMUNITY CHURCH DASHBOARD'!$B$4="Zone",IF(400&lt;=$X$4,IF(OR('COMMUNITY CHURCH DASHBOARD'!$C$4="",ISNUMBER(SEARCH('COMMUNITY CHURCH DASHBOARD'!$C$4,INDEX(MASTER_ZONES!$B:$B,401)))),400,""),""),""))</f>
        <v/>
      </c>
    </row>
    <row r="402">
      <c r="A402">
        <f>IF('WSF DASHBOARD'!$B$4="Area",IF(401&lt;=$D$3,IF(AND(OR('WSF DASHBOARD'!$C$4="",ISNUMBER(SEARCH('WSF DASHBOARD'!$C$4,INDEX(MASTER_AREAS!$B:$B,402))))),401,""),""),IF('WSF DASHBOARD'!$B$4="Zone",IF(401&lt;=$D$4,IF(OR('WSF DASHBOARD'!$C$4="",ISNUMBER(SEARCH('WSF DASHBOARD'!$C$4,INDEX(MASTER_ZONES!$B:$B,402)))),401,""),""),""))</f>
        <v/>
      </c>
      <c r="F402">
        <f>IF('TRANSPORT DASHBOARD'!$B$4="Area",IF(401&lt;=$I$3,IF(AND(INDEX(MASTER_AREAS!$F:$F,402)&lt;&gt;"N",OR('TRANSPORT DASHBOARD'!$C$4="",ISNUMBER(SEARCH('TRANSPORT DASHBOARD'!$C$4,INDEX(MASTER_AREAS!$B:$B,402))))),401,""),""),IF('TRANSPORT DASHBOARD'!$B$4="Zone",IF(401&lt;=$I$4,IF(OR('TRANSPORT DASHBOARD'!$C$4="",ISNUMBER(SEARCH('TRANSPORT DASHBOARD'!$C$4,INDEX(MASTER_ZONES!$B:$B,402)))),401,""),""),""))</f>
        <v/>
      </c>
      <c r="K402">
        <f>IF('MIDWEEK DASHBOARD'!$B$4="Area",IF(401&lt;=$N$3,IF(AND(OR('MIDWEEK DASHBOARD'!$C$4="",ISNUMBER(SEARCH('MIDWEEK DASHBOARD'!$C$4,INDEX(MASTER_AREAS!$B:$B,402))))),401,""),""),IF('MIDWEEK DASHBOARD'!$B$4="Zone",IF(401&lt;=$N$4,IF(OR('MIDWEEK DASHBOARD'!$C$4="",ISNUMBER(SEARCH('MIDWEEK DASHBOARD'!$C$4,INDEX(MASTER_ZONES!$B:$B,402)))),401,""),""),""))</f>
        <v/>
      </c>
      <c r="P402">
        <f>IF('CHOP DASHBOARD'!$B$4="Area",IF(401&lt;=$S$3,IF(AND(OR('CHOP DASHBOARD'!$C$4="",ISNUMBER(SEARCH('CHOP DASHBOARD'!$C$4,INDEX(MASTER_AREAS!$B:$B,402))))),401,""),""),IF('CHOP DASHBOARD'!$B$4="Zone",IF(401&lt;=$S$4,IF(OR('CHOP DASHBOARD'!$C$4="",ISNUMBER(SEARCH('CHOP DASHBOARD'!$C$4,INDEX(MASTER_ZONES!$B:$B,402)))),401,""),""),""))</f>
        <v/>
      </c>
      <c r="U402">
        <f>IF('COMMUNITY CHURCH DASHBOARD'!$B$4="Area",IF(401&lt;=$X$3,IF(AND(OR('COMMUNITY CHURCH DASHBOARD'!$C$4="",ISNUMBER(SEARCH('COMMUNITY CHURCH DASHBOARD'!$C$4,INDEX(MASTER_AREAS!$B:$B,402))))),401,""),""),IF('COMMUNITY CHURCH DASHBOARD'!$B$4="Zone",IF(401&lt;=$X$4,IF(OR('COMMUNITY CHURCH DASHBOARD'!$C$4="",ISNUMBER(SEARCH('COMMUNITY CHURCH DASHBOARD'!$C$4,INDEX(MASTER_ZONES!$B:$B,402)))),401,""),""),""))</f>
        <v/>
      </c>
    </row>
    <row r="403">
      <c r="A403">
        <f>IF('WSF DASHBOARD'!$B$4="Area",IF(402&lt;=$D$3,IF(AND(OR('WSF DASHBOARD'!$C$4="",ISNUMBER(SEARCH('WSF DASHBOARD'!$C$4,INDEX(MASTER_AREAS!$B:$B,403))))),402,""),""),IF('WSF DASHBOARD'!$B$4="Zone",IF(402&lt;=$D$4,IF(OR('WSF DASHBOARD'!$C$4="",ISNUMBER(SEARCH('WSF DASHBOARD'!$C$4,INDEX(MASTER_ZONES!$B:$B,403)))),402,""),""),""))</f>
        <v/>
      </c>
      <c r="F403">
        <f>IF('TRANSPORT DASHBOARD'!$B$4="Area",IF(402&lt;=$I$3,IF(AND(INDEX(MASTER_AREAS!$F:$F,403)&lt;&gt;"N",OR('TRANSPORT DASHBOARD'!$C$4="",ISNUMBER(SEARCH('TRANSPORT DASHBOARD'!$C$4,INDEX(MASTER_AREAS!$B:$B,403))))),402,""),""),IF('TRANSPORT DASHBOARD'!$B$4="Zone",IF(402&lt;=$I$4,IF(OR('TRANSPORT DASHBOARD'!$C$4="",ISNUMBER(SEARCH('TRANSPORT DASHBOARD'!$C$4,INDEX(MASTER_ZONES!$B:$B,403)))),402,""),""),""))</f>
        <v/>
      </c>
      <c r="K403">
        <f>IF('MIDWEEK DASHBOARD'!$B$4="Area",IF(402&lt;=$N$3,IF(AND(OR('MIDWEEK DASHBOARD'!$C$4="",ISNUMBER(SEARCH('MIDWEEK DASHBOARD'!$C$4,INDEX(MASTER_AREAS!$B:$B,403))))),402,""),""),IF('MIDWEEK DASHBOARD'!$B$4="Zone",IF(402&lt;=$N$4,IF(OR('MIDWEEK DASHBOARD'!$C$4="",ISNUMBER(SEARCH('MIDWEEK DASHBOARD'!$C$4,INDEX(MASTER_ZONES!$B:$B,403)))),402,""),""),""))</f>
        <v/>
      </c>
      <c r="P403">
        <f>IF('CHOP DASHBOARD'!$B$4="Area",IF(402&lt;=$S$3,IF(AND(OR('CHOP DASHBOARD'!$C$4="",ISNUMBER(SEARCH('CHOP DASHBOARD'!$C$4,INDEX(MASTER_AREAS!$B:$B,403))))),402,""),""),IF('CHOP DASHBOARD'!$B$4="Zone",IF(402&lt;=$S$4,IF(OR('CHOP DASHBOARD'!$C$4="",ISNUMBER(SEARCH('CHOP DASHBOARD'!$C$4,INDEX(MASTER_ZONES!$B:$B,403)))),402,""),""),""))</f>
        <v/>
      </c>
      <c r="U403">
        <f>IF('COMMUNITY CHURCH DASHBOARD'!$B$4="Area",IF(402&lt;=$X$3,IF(AND(OR('COMMUNITY CHURCH DASHBOARD'!$C$4="",ISNUMBER(SEARCH('COMMUNITY CHURCH DASHBOARD'!$C$4,INDEX(MASTER_AREAS!$B:$B,403))))),402,""),""),IF('COMMUNITY CHURCH DASHBOARD'!$B$4="Zone",IF(402&lt;=$X$4,IF(OR('COMMUNITY CHURCH DASHBOARD'!$C$4="",ISNUMBER(SEARCH('COMMUNITY CHURCH DASHBOARD'!$C$4,INDEX(MASTER_ZONES!$B:$B,403)))),402,""),""),""))</f>
        <v/>
      </c>
    </row>
    <row r="404">
      <c r="A404">
        <f>IF('WSF DASHBOARD'!$B$4="Area",IF(403&lt;=$D$3,IF(AND(OR('WSF DASHBOARD'!$C$4="",ISNUMBER(SEARCH('WSF DASHBOARD'!$C$4,INDEX(MASTER_AREAS!$B:$B,404))))),403,""),""),IF('WSF DASHBOARD'!$B$4="Zone",IF(403&lt;=$D$4,IF(OR('WSF DASHBOARD'!$C$4="",ISNUMBER(SEARCH('WSF DASHBOARD'!$C$4,INDEX(MASTER_ZONES!$B:$B,404)))),403,""),""),""))</f>
        <v/>
      </c>
      <c r="F404">
        <f>IF('TRANSPORT DASHBOARD'!$B$4="Area",IF(403&lt;=$I$3,IF(AND(INDEX(MASTER_AREAS!$F:$F,404)&lt;&gt;"N",OR('TRANSPORT DASHBOARD'!$C$4="",ISNUMBER(SEARCH('TRANSPORT DASHBOARD'!$C$4,INDEX(MASTER_AREAS!$B:$B,404))))),403,""),""),IF('TRANSPORT DASHBOARD'!$B$4="Zone",IF(403&lt;=$I$4,IF(OR('TRANSPORT DASHBOARD'!$C$4="",ISNUMBER(SEARCH('TRANSPORT DASHBOARD'!$C$4,INDEX(MASTER_ZONES!$B:$B,404)))),403,""),""),""))</f>
        <v/>
      </c>
      <c r="K404">
        <f>IF('MIDWEEK DASHBOARD'!$B$4="Area",IF(403&lt;=$N$3,IF(AND(OR('MIDWEEK DASHBOARD'!$C$4="",ISNUMBER(SEARCH('MIDWEEK DASHBOARD'!$C$4,INDEX(MASTER_AREAS!$B:$B,404))))),403,""),""),IF('MIDWEEK DASHBOARD'!$B$4="Zone",IF(403&lt;=$N$4,IF(OR('MIDWEEK DASHBOARD'!$C$4="",ISNUMBER(SEARCH('MIDWEEK DASHBOARD'!$C$4,INDEX(MASTER_ZONES!$B:$B,404)))),403,""),""),""))</f>
        <v/>
      </c>
      <c r="P404">
        <f>IF('CHOP DASHBOARD'!$B$4="Area",IF(403&lt;=$S$3,IF(AND(OR('CHOP DASHBOARD'!$C$4="",ISNUMBER(SEARCH('CHOP DASHBOARD'!$C$4,INDEX(MASTER_AREAS!$B:$B,404))))),403,""),""),IF('CHOP DASHBOARD'!$B$4="Zone",IF(403&lt;=$S$4,IF(OR('CHOP DASHBOARD'!$C$4="",ISNUMBER(SEARCH('CHOP DASHBOARD'!$C$4,INDEX(MASTER_ZONES!$B:$B,404)))),403,""),""),""))</f>
        <v/>
      </c>
      <c r="U404">
        <f>IF('COMMUNITY CHURCH DASHBOARD'!$B$4="Area",IF(403&lt;=$X$3,IF(AND(OR('COMMUNITY CHURCH DASHBOARD'!$C$4="",ISNUMBER(SEARCH('COMMUNITY CHURCH DASHBOARD'!$C$4,INDEX(MASTER_AREAS!$B:$B,404))))),403,""),""),IF('COMMUNITY CHURCH DASHBOARD'!$B$4="Zone",IF(403&lt;=$X$4,IF(OR('COMMUNITY CHURCH DASHBOARD'!$C$4="",ISNUMBER(SEARCH('COMMUNITY CHURCH DASHBOARD'!$C$4,INDEX(MASTER_ZONES!$B:$B,404)))),403,""),""),""))</f>
        <v/>
      </c>
    </row>
    <row r="405">
      <c r="A405">
        <f>IF('WSF DASHBOARD'!$B$4="Area",IF(404&lt;=$D$3,IF(AND(OR('WSF DASHBOARD'!$C$4="",ISNUMBER(SEARCH('WSF DASHBOARD'!$C$4,INDEX(MASTER_AREAS!$B:$B,405))))),404,""),""),IF('WSF DASHBOARD'!$B$4="Zone",IF(404&lt;=$D$4,IF(OR('WSF DASHBOARD'!$C$4="",ISNUMBER(SEARCH('WSF DASHBOARD'!$C$4,INDEX(MASTER_ZONES!$B:$B,405)))),404,""),""),""))</f>
        <v/>
      </c>
      <c r="F405">
        <f>IF('TRANSPORT DASHBOARD'!$B$4="Area",IF(404&lt;=$I$3,IF(AND(INDEX(MASTER_AREAS!$F:$F,405)&lt;&gt;"N",OR('TRANSPORT DASHBOARD'!$C$4="",ISNUMBER(SEARCH('TRANSPORT DASHBOARD'!$C$4,INDEX(MASTER_AREAS!$B:$B,405))))),404,""),""),IF('TRANSPORT DASHBOARD'!$B$4="Zone",IF(404&lt;=$I$4,IF(OR('TRANSPORT DASHBOARD'!$C$4="",ISNUMBER(SEARCH('TRANSPORT DASHBOARD'!$C$4,INDEX(MASTER_ZONES!$B:$B,405)))),404,""),""),""))</f>
        <v/>
      </c>
      <c r="K405">
        <f>IF('MIDWEEK DASHBOARD'!$B$4="Area",IF(404&lt;=$N$3,IF(AND(OR('MIDWEEK DASHBOARD'!$C$4="",ISNUMBER(SEARCH('MIDWEEK DASHBOARD'!$C$4,INDEX(MASTER_AREAS!$B:$B,405))))),404,""),""),IF('MIDWEEK DASHBOARD'!$B$4="Zone",IF(404&lt;=$N$4,IF(OR('MIDWEEK DASHBOARD'!$C$4="",ISNUMBER(SEARCH('MIDWEEK DASHBOARD'!$C$4,INDEX(MASTER_ZONES!$B:$B,405)))),404,""),""),""))</f>
        <v/>
      </c>
      <c r="P405">
        <f>IF('CHOP DASHBOARD'!$B$4="Area",IF(404&lt;=$S$3,IF(AND(OR('CHOP DASHBOARD'!$C$4="",ISNUMBER(SEARCH('CHOP DASHBOARD'!$C$4,INDEX(MASTER_AREAS!$B:$B,405))))),404,""),""),IF('CHOP DASHBOARD'!$B$4="Zone",IF(404&lt;=$S$4,IF(OR('CHOP DASHBOARD'!$C$4="",ISNUMBER(SEARCH('CHOP DASHBOARD'!$C$4,INDEX(MASTER_ZONES!$B:$B,405)))),404,""),""),""))</f>
        <v/>
      </c>
      <c r="U405">
        <f>IF('COMMUNITY CHURCH DASHBOARD'!$B$4="Area",IF(404&lt;=$X$3,IF(AND(OR('COMMUNITY CHURCH DASHBOARD'!$C$4="",ISNUMBER(SEARCH('COMMUNITY CHURCH DASHBOARD'!$C$4,INDEX(MASTER_AREAS!$B:$B,405))))),404,""),""),IF('COMMUNITY CHURCH DASHBOARD'!$B$4="Zone",IF(404&lt;=$X$4,IF(OR('COMMUNITY CHURCH DASHBOARD'!$C$4="",ISNUMBER(SEARCH('COMMUNITY CHURCH DASHBOARD'!$C$4,INDEX(MASTER_ZONES!$B:$B,405)))),404,""),""),""))</f>
        <v/>
      </c>
    </row>
    <row r="406">
      <c r="A406">
        <f>IF('WSF DASHBOARD'!$B$4="Area",IF(405&lt;=$D$3,IF(AND(OR('WSF DASHBOARD'!$C$4="",ISNUMBER(SEARCH('WSF DASHBOARD'!$C$4,INDEX(MASTER_AREAS!$B:$B,406))))),405,""),""),IF('WSF DASHBOARD'!$B$4="Zone",IF(405&lt;=$D$4,IF(OR('WSF DASHBOARD'!$C$4="",ISNUMBER(SEARCH('WSF DASHBOARD'!$C$4,INDEX(MASTER_ZONES!$B:$B,406)))),405,""),""),""))</f>
        <v/>
      </c>
      <c r="F406">
        <f>IF('TRANSPORT DASHBOARD'!$B$4="Area",IF(405&lt;=$I$3,IF(AND(INDEX(MASTER_AREAS!$F:$F,406)&lt;&gt;"N",OR('TRANSPORT DASHBOARD'!$C$4="",ISNUMBER(SEARCH('TRANSPORT DASHBOARD'!$C$4,INDEX(MASTER_AREAS!$B:$B,406))))),405,""),""),IF('TRANSPORT DASHBOARD'!$B$4="Zone",IF(405&lt;=$I$4,IF(OR('TRANSPORT DASHBOARD'!$C$4="",ISNUMBER(SEARCH('TRANSPORT DASHBOARD'!$C$4,INDEX(MASTER_ZONES!$B:$B,406)))),405,""),""),""))</f>
        <v/>
      </c>
      <c r="K406">
        <f>IF('MIDWEEK DASHBOARD'!$B$4="Area",IF(405&lt;=$N$3,IF(AND(OR('MIDWEEK DASHBOARD'!$C$4="",ISNUMBER(SEARCH('MIDWEEK DASHBOARD'!$C$4,INDEX(MASTER_AREAS!$B:$B,406))))),405,""),""),IF('MIDWEEK DASHBOARD'!$B$4="Zone",IF(405&lt;=$N$4,IF(OR('MIDWEEK DASHBOARD'!$C$4="",ISNUMBER(SEARCH('MIDWEEK DASHBOARD'!$C$4,INDEX(MASTER_ZONES!$B:$B,406)))),405,""),""),""))</f>
        <v/>
      </c>
      <c r="P406">
        <f>IF('CHOP DASHBOARD'!$B$4="Area",IF(405&lt;=$S$3,IF(AND(OR('CHOP DASHBOARD'!$C$4="",ISNUMBER(SEARCH('CHOP DASHBOARD'!$C$4,INDEX(MASTER_AREAS!$B:$B,406))))),405,""),""),IF('CHOP DASHBOARD'!$B$4="Zone",IF(405&lt;=$S$4,IF(OR('CHOP DASHBOARD'!$C$4="",ISNUMBER(SEARCH('CHOP DASHBOARD'!$C$4,INDEX(MASTER_ZONES!$B:$B,406)))),405,""),""),""))</f>
        <v/>
      </c>
      <c r="U406">
        <f>IF('COMMUNITY CHURCH DASHBOARD'!$B$4="Area",IF(405&lt;=$X$3,IF(AND(OR('COMMUNITY CHURCH DASHBOARD'!$C$4="",ISNUMBER(SEARCH('COMMUNITY CHURCH DASHBOARD'!$C$4,INDEX(MASTER_AREAS!$B:$B,406))))),405,""),""),IF('COMMUNITY CHURCH DASHBOARD'!$B$4="Zone",IF(405&lt;=$X$4,IF(OR('COMMUNITY CHURCH DASHBOARD'!$C$4="",ISNUMBER(SEARCH('COMMUNITY CHURCH DASHBOARD'!$C$4,INDEX(MASTER_ZONES!$B:$B,406)))),405,""),""),""))</f>
        <v/>
      </c>
    </row>
    <row r="407">
      <c r="A407">
        <f>IF('WSF DASHBOARD'!$B$4="Area",IF(406&lt;=$D$3,IF(AND(OR('WSF DASHBOARD'!$C$4="",ISNUMBER(SEARCH('WSF DASHBOARD'!$C$4,INDEX(MASTER_AREAS!$B:$B,407))))),406,""),""),IF('WSF DASHBOARD'!$B$4="Zone",IF(406&lt;=$D$4,IF(OR('WSF DASHBOARD'!$C$4="",ISNUMBER(SEARCH('WSF DASHBOARD'!$C$4,INDEX(MASTER_ZONES!$B:$B,407)))),406,""),""),""))</f>
        <v/>
      </c>
      <c r="F407">
        <f>IF('TRANSPORT DASHBOARD'!$B$4="Area",IF(406&lt;=$I$3,IF(AND(INDEX(MASTER_AREAS!$F:$F,407)&lt;&gt;"N",OR('TRANSPORT DASHBOARD'!$C$4="",ISNUMBER(SEARCH('TRANSPORT DASHBOARD'!$C$4,INDEX(MASTER_AREAS!$B:$B,407))))),406,""),""),IF('TRANSPORT DASHBOARD'!$B$4="Zone",IF(406&lt;=$I$4,IF(OR('TRANSPORT DASHBOARD'!$C$4="",ISNUMBER(SEARCH('TRANSPORT DASHBOARD'!$C$4,INDEX(MASTER_ZONES!$B:$B,407)))),406,""),""),""))</f>
        <v/>
      </c>
      <c r="K407">
        <f>IF('MIDWEEK DASHBOARD'!$B$4="Area",IF(406&lt;=$N$3,IF(AND(OR('MIDWEEK DASHBOARD'!$C$4="",ISNUMBER(SEARCH('MIDWEEK DASHBOARD'!$C$4,INDEX(MASTER_AREAS!$B:$B,407))))),406,""),""),IF('MIDWEEK DASHBOARD'!$B$4="Zone",IF(406&lt;=$N$4,IF(OR('MIDWEEK DASHBOARD'!$C$4="",ISNUMBER(SEARCH('MIDWEEK DASHBOARD'!$C$4,INDEX(MASTER_ZONES!$B:$B,407)))),406,""),""),""))</f>
        <v/>
      </c>
      <c r="P407">
        <f>IF('CHOP DASHBOARD'!$B$4="Area",IF(406&lt;=$S$3,IF(AND(OR('CHOP DASHBOARD'!$C$4="",ISNUMBER(SEARCH('CHOP DASHBOARD'!$C$4,INDEX(MASTER_AREAS!$B:$B,407))))),406,""),""),IF('CHOP DASHBOARD'!$B$4="Zone",IF(406&lt;=$S$4,IF(OR('CHOP DASHBOARD'!$C$4="",ISNUMBER(SEARCH('CHOP DASHBOARD'!$C$4,INDEX(MASTER_ZONES!$B:$B,407)))),406,""),""),""))</f>
        <v/>
      </c>
      <c r="U407">
        <f>IF('COMMUNITY CHURCH DASHBOARD'!$B$4="Area",IF(406&lt;=$X$3,IF(AND(OR('COMMUNITY CHURCH DASHBOARD'!$C$4="",ISNUMBER(SEARCH('COMMUNITY CHURCH DASHBOARD'!$C$4,INDEX(MASTER_AREAS!$B:$B,407))))),406,""),""),IF('COMMUNITY CHURCH DASHBOARD'!$B$4="Zone",IF(406&lt;=$X$4,IF(OR('COMMUNITY CHURCH DASHBOARD'!$C$4="",ISNUMBER(SEARCH('COMMUNITY CHURCH DASHBOARD'!$C$4,INDEX(MASTER_ZONES!$B:$B,407)))),406,""),""),""))</f>
        <v/>
      </c>
    </row>
    <row r="408">
      <c r="A408">
        <f>IF('WSF DASHBOARD'!$B$4="Area",IF(407&lt;=$D$3,IF(AND(OR('WSF DASHBOARD'!$C$4="",ISNUMBER(SEARCH('WSF DASHBOARD'!$C$4,INDEX(MASTER_AREAS!$B:$B,408))))),407,""),""),IF('WSF DASHBOARD'!$B$4="Zone",IF(407&lt;=$D$4,IF(OR('WSF DASHBOARD'!$C$4="",ISNUMBER(SEARCH('WSF DASHBOARD'!$C$4,INDEX(MASTER_ZONES!$B:$B,408)))),407,""),""),""))</f>
        <v/>
      </c>
      <c r="F408">
        <f>IF('TRANSPORT DASHBOARD'!$B$4="Area",IF(407&lt;=$I$3,IF(AND(INDEX(MASTER_AREAS!$F:$F,408)&lt;&gt;"N",OR('TRANSPORT DASHBOARD'!$C$4="",ISNUMBER(SEARCH('TRANSPORT DASHBOARD'!$C$4,INDEX(MASTER_AREAS!$B:$B,408))))),407,""),""),IF('TRANSPORT DASHBOARD'!$B$4="Zone",IF(407&lt;=$I$4,IF(OR('TRANSPORT DASHBOARD'!$C$4="",ISNUMBER(SEARCH('TRANSPORT DASHBOARD'!$C$4,INDEX(MASTER_ZONES!$B:$B,408)))),407,""),""),""))</f>
        <v/>
      </c>
      <c r="K408">
        <f>IF('MIDWEEK DASHBOARD'!$B$4="Area",IF(407&lt;=$N$3,IF(AND(OR('MIDWEEK DASHBOARD'!$C$4="",ISNUMBER(SEARCH('MIDWEEK DASHBOARD'!$C$4,INDEX(MASTER_AREAS!$B:$B,408))))),407,""),""),IF('MIDWEEK DASHBOARD'!$B$4="Zone",IF(407&lt;=$N$4,IF(OR('MIDWEEK DASHBOARD'!$C$4="",ISNUMBER(SEARCH('MIDWEEK DASHBOARD'!$C$4,INDEX(MASTER_ZONES!$B:$B,408)))),407,""),""),""))</f>
        <v/>
      </c>
      <c r="P408">
        <f>IF('CHOP DASHBOARD'!$B$4="Area",IF(407&lt;=$S$3,IF(AND(OR('CHOP DASHBOARD'!$C$4="",ISNUMBER(SEARCH('CHOP DASHBOARD'!$C$4,INDEX(MASTER_AREAS!$B:$B,408))))),407,""),""),IF('CHOP DASHBOARD'!$B$4="Zone",IF(407&lt;=$S$4,IF(OR('CHOP DASHBOARD'!$C$4="",ISNUMBER(SEARCH('CHOP DASHBOARD'!$C$4,INDEX(MASTER_ZONES!$B:$B,408)))),407,""),""),""))</f>
        <v/>
      </c>
      <c r="U408">
        <f>IF('COMMUNITY CHURCH DASHBOARD'!$B$4="Area",IF(407&lt;=$X$3,IF(AND(OR('COMMUNITY CHURCH DASHBOARD'!$C$4="",ISNUMBER(SEARCH('COMMUNITY CHURCH DASHBOARD'!$C$4,INDEX(MASTER_AREAS!$B:$B,408))))),407,""),""),IF('COMMUNITY CHURCH DASHBOARD'!$B$4="Zone",IF(407&lt;=$X$4,IF(OR('COMMUNITY CHURCH DASHBOARD'!$C$4="",ISNUMBER(SEARCH('COMMUNITY CHURCH DASHBOARD'!$C$4,INDEX(MASTER_ZONES!$B:$B,408)))),407,""),""),""))</f>
        <v/>
      </c>
    </row>
    <row r="409">
      <c r="A409">
        <f>IF('WSF DASHBOARD'!$B$4="Area",IF(408&lt;=$D$3,IF(AND(OR('WSF DASHBOARD'!$C$4="",ISNUMBER(SEARCH('WSF DASHBOARD'!$C$4,INDEX(MASTER_AREAS!$B:$B,409))))),408,""),""),IF('WSF DASHBOARD'!$B$4="Zone",IF(408&lt;=$D$4,IF(OR('WSF DASHBOARD'!$C$4="",ISNUMBER(SEARCH('WSF DASHBOARD'!$C$4,INDEX(MASTER_ZONES!$B:$B,409)))),408,""),""),""))</f>
        <v/>
      </c>
      <c r="F409">
        <f>IF('TRANSPORT DASHBOARD'!$B$4="Area",IF(408&lt;=$I$3,IF(AND(INDEX(MASTER_AREAS!$F:$F,409)&lt;&gt;"N",OR('TRANSPORT DASHBOARD'!$C$4="",ISNUMBER(SEARCH('TRANSPORT DASHBOARD'!$C$4,INDEX(MASTER_AREAS!$B:$B,409))))),408,""),""),IF('TRANSPORT DASHBOARD'!$B$4="Zone",IF(408&lt;=$I$4,IF(OR('TRANSPORT DASHBOARD'!$C$4="",ISNUMBER(SEARCH('TRANSPORT DASHBOARD'!$C$4,INDEX(MASTER_ZONES!$B:$B,409)))),408,""),""),""))</f>
        <v/>
      </c>
      <c r="K409">
        <f>IF('MIDWEEK DASHBOARD'!$B$4="Area",IF(408&lt;=$N$3,IF(AND(OR('MIDWEEK DASHBOARD'!$C$4="",ISNUMBER(SEARCH('MIDWEEK DASHBOARD'!$C$4,INDEX(MASTER_AREAS!$B:$B,409))))),408,""),""),IF('MIDWEEK DASHBOARD'!$B$4="Zone",IF(408&lt;=$N$4,IF(OR('MIDWEEK DASHBOARD'!$C$4="",ISNUMBER(SEARCH('MIDWEEK DASHBOARD'!$C$4,INDEX(MASTER_ZONES!$B:$B,409)))),408,""),""),""))</f>
        <v/>
      </c>
      <c r="P409">
        <f>IF('CHOP DASHBOARD'!$B$4="Area",IF(408&lt;=$S$3,IF(AND(OR('CHOP DASHBOARD'!$C$4="",ISNUMBER(SEARCH('CHOP DASHBOARD'!$C$4,INDEX(MASTER_AREAS!$B:$B,409))))),408,""),""),IF('CHOP DASHBOARD'!$B$4="Zone",IF(408&lt;=$S$4,IF(OR('CHOP DASHBOARD'!$C$4="",ISNUMBER(SEARCH('CHOP DASHBOARD'!$C$4,INDEX(MASTER_ZONES!$B:$B,409)))),408,""),""),""))</f>
        <v/>
      </c>
      <c r="U409">
        <f>IF('COMMUNITY CHURCH DASHBOARD'!$B$4="Area",IF(408&lt;=$X$3,IF(AND(OR('COMMUNITY CHURCH DASHBOARD'!$C$4="",ISNUMBER(SEARCH('COMMUNITY CHURCH DASHBOARD'!$C$4,INDEX(MASTER_AREAS!$B:$B,409))))),408,""),""),IF('COMMUNITY CHURCH DASHBOARD'!$B$4="Zone",IF(408&lt;=$X$4,IF(OR('COMMUNITY CHURCH DASHBOARD'!$C$4="",ISNUMBER(SEARCH('COMMUNITY CHURCH DASHBOARD'!$C$4,INDEX(MASTER_ZONES!$B:$B,409)))),408,""),""),""))</f>
        <v/>
      </c>
    </row>
    <row r="410">
      <c r="A410">
        <f>IF('WSF DASHBOARD'!$B$4="Area",IF(409&lt;=$D$3,IF(AND(OR('WSF DASHBOARD'!$C$4="",ISNUMBER(SEARCH('WSF DASHBOARD'!$C$4,INDEX(MASTER_AREAS!$B:$B,410))))),409,""),""),IF('WSF DASHBOARD'!$B$4="Zone",IF(409&lt;=$D$4,IF(OR('WSF DASHBOARD'!$C$4="",ISNUMBER(SEARCH('WSF DASHBOARD'!$C$4,INDEX(MASTER_ZONES!$B:$B,410)))),409,""),""),""))</f>
        <v/>
      </c>
      <c r="F410">
        <f>IF('TRANSPORT DASHBOARD'!$B$4="Area",IF(409&lt;=$I$3,IF(AND(INDEX(MASTER_AREAS!$F:$F,410)&lt;&gt;"N",OR('TRANSPORT DASHBOARD'!$C$4="",ISNUMBER(SEARCH('TRANSPORT DASHBOARD'!$C$4,INDEX(MASTER_AREAS!$B:$B,410))))),409,""),""),IF('TRANSPORT DASHBOARD'!$B$4="Zone",IF(409&lt;=$I$4,IF(OR('TRANSPORT DASHBOARD'!$C$4="",ISNUMBER(SEARCH('TRANSPORT DASHBOARD'!$C$4,INDEX(MASTER_ZONES!$B:$B,410)))),409,""),""),""))</f>
        <v/>
      </c>
      <c r="K410">
        <f>IF('MIDWEEK DASHBOARD'!$B$4="Area",IF(409&lt;=$N$3,IF(AND(OR('MIDWEEK DASHBOARD'!$C$4="",ISNUMBER(SEARCH('MIDWEEK DASHBOARD'!$C$4,INDEX(MASTER_AREAS!$B:$B,410))))),409,""),""),IF('MIDWEEK DASHBOARD'!$B$4="Zone",IF(409&lt;=$N$4,IF(OR('MIDWEEK DASHBOARD'!$C$4="",ISNUMBER(SEARCH('MIDWEEK DASHBOARD'!$C$4,INDEX(MASTER_ZONES!$B:$B,410)))),409,""),""),""))</f>
        <v/>
      </c>
      <c r="P410">
        <f>IF('CHOP DASHBOARD'!$B$4="Area",IF(409&lt;=$S$3,IF(AND(OR('CHOP DASHBOARD'!$C$4="",ISNUMBER(SEARCH('CHOP DASHBOARD'!$C$4,INDEX(MASTER_AREAS!$B:$B,410))))),409,""),""),IF('CHOP DASHBOARD'!$B$4="Zone",IF(409&lt;=$S$4,IF(OR('CHOP DASHBOARD'!$C$4="",ISNUMBER(SEARCH('CHOP DASHBOARD'!$C$4,INDEX(MASTER_ZONES!$B:$B,410)))),409,""),""),""))</f>
        <v/>
      </c>
      <c r="U410">
        <f>IF('COMMUNITY CHURCH DASHBOARD'!$B$4="Area",IF(409&lt;=$X$3,IF(AND(OR('COMMUNITY CHURCH DASHBOARD'!$C$4="",ISNUMBER(SEARCH('COMMUNITY CHURCH DASHBOARD'!$C$4,INDEX(MASTER_AREAS!$B:$B,410))))),409,""),""),IF('COMMUNITY CHURCH DASHBOARD'!$B$4="Zone",IF(409&lt;=$X$4,IF(OR('COMMUNITY CHURCH DASHBOARD'!$C$4="",ISNUMBER(SEARCH('COMMUNITY CHURCH DASHBOARD'!$C$4,INDEX(MASTER_ZONES!$B:$B,410)))),409,""),""),""))</f>
        <v/>
      </c>
    </row>
    <row r="411">
      <c r="A411">
        <f>IF('WSF DASHBOARD'!$B$4="Area",IF(410&lt;=$D$3,IF(AND(OR('WSF DASHBOARD'!$C$4="",ISNUMBER(SEARCH('WSF DASHBOARD'!$C$4,INDEX(MASTER_AREAS!$B:$B,411))))),410,""),""),IF('WSF DASHBOARD'!$B$4="Zone",IF(410&lt;=$D$4,IF(OR('WSF DASHBOARD'!$C$4="",ISNUMBER(SEARCH('WSF DASHBOARD'!$C$4,INDEX(MASTER_ZONES!$B:$B,411)))),410,""),""),""))</f>
        <v/>
      </c>
      <c r="F411">
        <f>IF('TRANSPORT DASHBOARD'!$B$4="Area",IF(410&lt;=$I$3,IF(AND(INDEX(MASTER_AREAS!$F:$F,411)&lt;&gt;"N",OR('TRANSPORT DASHBOARD'!$C$4="",ISNUMBER(SEARCH('TRANSPORT DASHBOARD'!$C$4,INDEX(MASTER_AREAS!$B:$B,411))))),410,""),""),IF('TRANSPORT DASHBOARD'!$B$4="Zone",IF(410&lt;=$I$4,IF(OR('TRANSPORT DASHBOARD'!$C$4="",ISNUMBER(SEARCH('TRANSPORT DASHBOARD'!$C$4,INDEX(MASTER_ZONES!$B:$B,411)))),410,""),""),""))</f>
        <v/>
      </c>
      <c r="K411">
        <f>IF('MIDWEEK DASHBOARD'!$B$4="Area",IF(410&lt;=$N$3,IF(AND(OR('MIDWEEK DASHBOARD'!$C$4="",ISNUMBER(SEARCH('MIDWEEK DASHBOARD'!$C$4,INDEX(MASTER_AREAS!$B:$B,411))))),410,""),""),IF('MIDWEEK DASHBOARD'!$B$4="Zone",IF(410&lt;=$N$4,IF(OR('MIDWEEK DASHBOARD'!$C$4="",ISNUMBER(SEARCH('MIDWEEK DASHBOARD'!$C$4,INDEX(MASTER_ZONES!$B:$B,411)))),410,""),""),""))</f>
        <v/>
      </c>
      <c r="P411">
        <f>IF('CHOP DASHBOARD'!$B$4="Area",IF(410&lt;=$S$3,IF(AND(OR('CHOP DASHBOARD'!$C$4="",ISNUMBER(SEARCH('CHOP DASHBOARD'!$C$4,INDEX(MASTER_AREAS!$B:$B,411))))),410,""),""),IF('CHOP DASHBOARD'!$B$4="Zone",IF(410&lt;=$S$4,IF(OR('CHOP DASHBOARD'!$C$4="",ISNUMBER(SEARCH('CHOP DASHBOARD'!$C$4,INDEX(MASTER_ZONES!$B:$B,411)))),410,""),""),""))</f>
        <v/>
      </c>
      <c r="U411">
        <f>IF('COMMUNITY CHURCH DASHBOARD'!$B$4="Area",IF(410&lt;=$X$3,IF(AND(OR('COMMUNITY CHURCH DASHBOARD'!$C$4="",ISNUMBER(SEARCH('COMMUNITY CHURCH DASHBOARD'!$C$4,INDEX(MASTER_AREAS!$B:$B,411))))),410,""),""),IF('COMMUNITY CHURCH DASHBOARD'!$B$4="Zone",IF(410&lt;=$X$4,IF(OR('COMMUNITY CHURCH DASHBOARD'!$C$4="",ISNUMBER(SEARCH('COMMUNITY CHURCH DASHBOARD'!$C$4,INDEX(MASTER_ZONES!$B:$B,411)))),410,""),""),""))</f>
        <v/>
      </c>
    </row>
    <row r="412">
      <c r="A412">
        <f>IF('WSF DASHBOARD'!$B$4="Area",IF(411&lt;=$D$3,IF(AND(OR('WSF DASHBOARD'!$C$4="",ISNUMBER(SEARCH('WSF DASHBOARD'!$C$4,INDEX(MASTER_AREAS!$B:$B,412))))),411,""),""),IF('WSF DASHBOARD'!$B$4="Zone",IF(411&lt;=$D$4,IF(OR('WSF DASHBOARD'!$C$4="",ISNUMBER(SEARCH('WSF DASHBOARD'!$C$4,INDEX(MASTER_ZONES!$B:$B,412)))),411,""),""),""))</f>
        <v/>
      </c>
      <c r="F412">
        <f>IF('TRANSPORT DASHBOARD'!$B$4="Area",IF(411&lt;=$I$3,IF(AND(INDEX(MASTER_AREAS!$F:$F,412)&lt;&gt;"N",OR('TRANSPORT DASHBOARD'!$C$4="",ISNUMBER(SEARCH('TRANSPORT DASHBOARD'!$C$4,INDEX(MASTER_AREAS!$B:$B,412))))),411,""),""),IF('TRANSPORT DASHBOARD'!$B$4="Zone",IF(411&lt;=$I$4,IF(OR('TRANSPORT DASHBOARD'!$C$4="",ISNUMBER(SEARCH('TRANSPORT DASHBOARD'!$C$4,INDEX(MASTER_ZONES!$B:$B,412)))),411,""),""),""))</f>
        <v/>
      </c>
      <c r="K412">
        <f>IF('MIDWEEK DASHBOARD'!$B$4="Area",IF(411&lt;=$N$3,IF(AND(OR('MIDWEEK DASHBOARD'!$C$4="",ISNUMBER(SEARCH('MIDWEEK DASHBOARD'!$C$4,INDEX(MASTER_AREAS!$B:$B,412))))),411,""),""),IF('MIDWEEK DASHBOARD'!$B$4="Zone",IF(411&lt;=$N$4,IF(OR('MIDWEEK DASHBOARD'!$C$4="",ISNUMBER(SEARCH('MIDWEEK DASHBOARD'!$C$4,INDEX(MASTER_ZONES!$B:$B,412)))),411,""),""),""))</f>
        <v/>
      </c>
      <c r="P412">
        <f>IF('CHOP DASHBOARD'!$B$4="Area",IF(411&lt;=$S$3,IF(AND(OR('CHOP DASHBOARD'!$C$4="",ISNUMBER(SEARCH('CHOP DASHBOARD'!$C$4,INDEX(MASTER_AREAS!$B:$B,412))))),411,""),""),IF('CHOP DASHBOARD'!$B$4="Zone",IF(411&lt;=$S$4,IF(OR('CHOP DASHBOARD'!$C$4="",ISNUMBER(SEARCH('CHOP DASHBOARD'!$C$4,INDEX(MASTER_ZONES!$B:$B,412)))),411,""),""),""))</f>
        <v/>
      </c>
      <c r="U412">
        <f>IF('COMMUNITY CHURCH DASHBOARD'!$B$4="Area",IF(411&lt;=$X$3,IF(AND(OR('COMMUNITY CHURCH DASHBOARD'!$C$4="",ISNUMBER(SEARCH('COMMUNITY CHURCH DASHBOARD'!$C$4,INDEX(MASTER_AREAS!$B:$B,412))))),411,""),""),IF('COMMUNITY CHURCH DASHBOARD'!$B$4="Zone",IF(411&lt;=$X$4,IF(OR('COMMUNITY CHURCH DASHBOARD'!$C$4="",ISNUMBER(SEARCH('COMMUNITY CHURCH DASHBOARD'!$C$4,INDEX(MASTER_ZONES!$B:$B,412)))),411,""),""),""))</f>
        <v/>
      </c>
    </row>
    <row r="413">
      <c r="A413">
        <f>IF('WSF DASHBOARD'!$B$4="Area",IF(412&lt;=$D$3,IF(AND(OR('WSF DASHBOARD'!$C$4="",ISNUMBER(SEARCH('WSF DASHBOARD'!$C$4,INDEX(MASTER_AREAS!$B:$B,413))))),412,""),""),IF('WSF DASHBOARD'!$B$4="Zone",IF(412&lt;=$D$4,IF(OR('WSF DASHBOARD'!$C$4="",ISNUMBER(SEARCH('WSF DASHBOARD'!$C$4,INDEX(MASTER_ZONES!$B:$B,413)))),412,""),""),""))</f>
        <v/>
      </c>
      <c r="F413">
        <f>IF('TRANSPORT DASHBOARD'!$B$4="Area",IF(412&lt;=$I$3,IF(AND(INDEX(MASTER_AREAS!$F:$F,413)&lt;&gt;"N",OR('TRANSPORT DASHBOARD'!$C$4="",ISNUMBER(SEARCH('TRANSPORT DASHBOARD'!$C$4,INDEX(MASTER_AREAS!$B:$B,413))))),412,""),""),IF('TRANSPORT DASHBOARD'!$B$4="Zone",IF(412&lt;=$I$4,IF(OR('TRANSPORT DASHBOARD'!$C$4="",ISNUMBER(SEARCH('TRANSPORT DASHBOARD'!$C$4,INDEX(MASTER_ZONES!$B:$B,413)))),412,""),""),""))</f>
        <v/>
      </c>
      <c r="K413">
        <f>IF('MIDWEEK DASHBOARD'!$B$4="Area",IF(412&lt;=$N$3,IF(AND(OR('MIDWEEK DASHBOARD'!$C$4="",ISNUMBER(SEARCH('MIDWEEK DASHBOARD'!$C$4,INDEX(MASTER_AREAS!$B:$B,413))))),412,""),""),IF('MIDWEEK DASHBOARD'!$B$4="Zone",IF(412&lt;=$N$4,IF(OR('MIDWEEK DASHBOARD'!$C$4="",ISNUMBER(SEARCH('MIDWEEK DASHBOARD'!$C$4,INDEX(MASTER_ZONES!$B:$B,413)))),412,""),""),""))</f>
        <v/>
      </c>
      <c r="P413">
        <f>IF('CHOP DASHBOARD'!$B$4="Area",IF(412&lt;=$S$3,IF(AND(OR('CHOP DASHBOARD'!$C$4="",ISNUMBER(SEARCH('CHOP DASHBOARD'!$C$4,INDEX(MASTER_AREAS!$B:$B,413))))),412,""),""),IF('CHOP DASHBOARD'!$B$4="Zone",IF(412&lt;=$S$4,IF(OR('CHOP DASHBOARD'!$C$4="",ISNUMBER(SEARCH('CHOP DASHBOARD'!$C$4,INDEX(MASTER_ZONES!$B:$B,413)))),412,""),""),""))</f>
        <v/>
      </c>
      <c r="U413">
        <f>IF('COMMUNITY CHURCH DASHBOARD'!$B$4="Area",IF(412&lt;=$X$3,IF(AND(OR('COMMUNITY CHURCH DASHBOARD'!$C$4="",ISNUMBER(SEARCH('COMMUNITY CHURCH DASHBOARD'!$C$4,INDEX(MASTER_AREAS!$B:$B,413))))),412,""),""),IF('COMMUNITY CHURCH DASHBOARD'!$B$4="Zone",IF(412&lt;=$X$4,IF(OR('COMMUNITY CHURCH DASHBOARD'!$C$4="",ISNUMBER(SEARCH('COMMUNITY CHURCH DASHBOARD'!$C$4,INDEX(MASTER_ZONES!$B:$B,413)))),412,""),""),""))</f>
        <v/>
      </c>
    </row>
    <row r="414">
      <c r="A414">
        <f>IF('WSF DASHBOARD'!$B$4="Area",IF(413&lt;=$D$3,IF(AND(OR('WSF DASHBOARD'!$C$4="",ISNUMBER(SEARCH('WSF DASHBOARD'!$C$4,INDEX(MASTER_AREAS!$B:$B,414))))),413,""),""),IF('WSF DASHBOARD'!$B$4="Zone",IF(413&lt;=$D$4,IF(OR('WSF DASHBOARD'!$C$4="",ISNUMBER(SEARCH('WSF DASHBOARD'!$C$4,INDEX(MASTER_ZONES!$B:$B,414)))),413,""),""),""))</f>
        <v/>
      </c>
      <c r="F414">
        <f>IF('TRANSPORT DASHBOARD'!$B$4="Area",IF(413&lt;=$I$3,IF(AND(INDEX(MASTER_AREAS!$F:$F,414)&lt;&gt;"N",OR('TRANSPORT DASHBOARD'!$C$4="",ISNUMBER(SEARCH('TRANSPORT DASHBOARD'!$C$4,INDEX(MASTER_AREAS!$B:$B,414))))),413,""),""),IF('TRANSPORT DASHBOARD'!$B$4="Zone",IF(413&lt;=$I$4,IF(OR('TRANSPORT DASHBOARD'!$C$4="",ISNUMBER(SEARCH('TRANSPORT DASHBOARD'!$C$4,INDEX(MASTER_ZONES!$B:$B,414)))),413,""),""),""))</f>
        <v/>
      </c>
      <c r="K414">
        <f>IF('MIDWEEK DASHBOARD'!$B$4="Area",IF(413&lt;=$N$3,IF(AND(OR('MIDWEEK DASHBOARD'!$C$4="",ISNUMBER(SEARCH('MIDWEEK DASHBOARD'!$C$4,INDEX(MASTER_AREAS!$B:$B,414))))),413,""),""),IF('MIDWEEK DASHBOARD'!$B$4="Zone",IF(413&lt;=$N$4,IF(OR('MIDWEEK DASHBOARD'!$C$4="",ISNUMBER(SEARCH('MIDWEEK DASHBOARD'!$C$4,INDEX(MASTER_ZONES!$B:$B,414)))),413,""),""),""))</f>
        <v/>
      </c>
      <c r="P414">
        <f>IF('CHOP DASHBOARD'!$B$4="Area",IF(413&lt;=$S$3,IF(AND(OR('CHOP DASHBOARD'!$C$4="",ISNUMBER(SEARCH('CHOP DASHBOARD'!$C$4,INDEX(MASTER_AREAS!$B:$B,414))))),413,""),""),IF('CHOP DASHBOARD'!$B$4="Zone",IF(413&lt;=$S$4,IF(OR('CHOP DASHBOARD'!$C$4="",ISNUMBER(SEARCH('CHOP DASHBOARD'!$C$4,INDEX(MASTER_ZONES!$B:$B,414)))),413,""),""),""))</f>
        <v/>
      </c>
      <c r="U414">
        <f>IF('COMMUNITY CHURCH DASHBOARD'!$B$4="Area",IF(413&lt;=$X$3,IF(AND(OR('COMMUNITY CHURCH DASHBOARD'!$C$4="",ISNUMBER(SEARCH('COMMUNITY CHURCH DASHBOARD'!$C$4,INDEX(MASTER_AREAS!$B:$B,414))))),413,""),""),IF('COMMUNITY CHURCH DASHBOARD'!$B$4="Zone",IF(413&lt;=$X$4,IF(OR('COMMUNITY CHURCH DASHBOARD'!$C$4="",ISNUMBER(SEARCH('COMMUNITY CHURCH DASHBOARD'!$C$4,INDEX(MASTER_ZONES!$B:$B,414)))),413,""),""),""))</f>
        <v/>
      </c>
    </row>
    <row r="415">
      <c r="A415">
        <f>IF('WSF DASHBOARD'!$B$4="Area",IF(414&lt;=$D$3,IF(AND(OR('WSF DASHBOARD'!$C$4="",ISNUMBER(SEARCH('WSF DASHBOARD'!$C$4,INDEX(MASTER_AREAS!$B:$B,415))))),414,""),""),IF('WSF DASHBOARD'!$B$4="Zone",IF(414&lt;=$D$4,IF(OR('WSF DASHBOARD'!$C$4="",ISNUMBER(SEARCH('WSF DASHBOARD'!$C$4,INDEX(MASTER_ZONES!$B:$B,415)))),414,""),""),""))</f>
        <v/>
      </c>
      <c r="F415">
        <f>IF('TRANSPORT DASHBOARD'!$B$4="Area",IF(414&lt;=$I$3,IF(AND(INDEX(MASTER_AREAS!$F:$F,415)&lt;&gt;"N",OR('TRANSPORT DASHBOARD'!$C$4="",ISNUMBER(SEARCH('TRANSPORT DASHBOARD'!$C$4,INDEX(MASTER_AREAS!$B:$B,415))))),414,""),""),IF('TRANSPORT DASHBOARD'!$B$4="Zone",IF(414&lt;=$I$4,IF(OR('TRANSPORT DASHBOARD'!$C$4="",ISNUMBER(SEARCH('TRANSPORT DASHBOARD'!$C$4,INDEX(MASTER_ZONES!$B:$B,415)))),414,""),""),""))</f>
        <v/>
      </c>
      <c r="K415">
        <f>IF('MIDWEEK DASHBOARD'!$B$4="Area",IF(414&lt;=$N$3,IF(AND(OR('MIDWEEK DASHBOARD'!$C$4="",ISNUMBER(SEARCH('MIDWEEK DASHBOARD'!$C$4,INDEX(MASTER_AREAS!$B:$B,415))))),414,""),""),IF('MIDWEEK DASHBOARD'!$B$4="Zone",IF(414&lt;=$N$4,IF(OR('MIDWEEK DASHBOARD'!$C$4="",ISNUMBER(SEARCH('MIDWEEK DASHBOARD'!$C$4,INDEX(MASTER_ZONES!$B:$B,415)))),414,""),""),""))</f>
        <v/>
      </c>
      <c r="P415">
        <f>IF('CHOP DASHBOARD'!$B$4="Area",IF(414&lt;=$S$3,IF(AND(OR('CHOP DASHBOARD'!$C$4="",ISNUMBER(SEARCH('CHOP DASHBOARD'!$C$4,INDEX(MASTER_AREAS!$B:$B,415))))),414,""),""),IF('CHOP DASHBOARD'!$B$4="Zone",IF(414&lt;=$S$4,IF(OR('CHOP DASHBOARD'!$C$4="",ISNUMBER(SEARCH('CHOP DASHBOARD'!$C$4,INDEX(MASTER_ZONES!$B:$B,415)))),414,""),""),""))</f>
        <v/>
      </c>
      <c r="U415">
        <f>IF('COMMUNITY CHURCH DASHBOARD'!$B$4="Area",IF(414&lt;=$X$3,IF(AND(OR('COMMUNITY CHURCH DASHBOARD'!$C$4="",ISNUMBER(SEARCH('COMMUNITY CHURCH DASHBOARD'!$C$4,INDEX(MASTER_AREAS!$B:$B,415))))),414,""),""),IF('COMMUNITY CHURCH DASHBOARD'!$B$4="Zone",IF(414&lt;=$X$4,IF(OR('COMMUNITY CHURCH DASHBOARD'!$C$4="",ISNUMBER(SEARCH('COMMUNITY CHURCH DASHBOARD'!$C$4,INDEX(MASTER_ZONES!$B:$B,415)))),414,""),""),""))</f>
        <v/>
      </c>
    </row>
    <row r="416">
      <c r="A416">
        <f>IF('WSF DASHBOARD'!$B$4="Area",IF(415&lt;=$D$3,IF(AND(OR('WSF DASHBOARD'!$C$4="",ISNUMBER(SEARCH('WSF DASHBOARD'!$C$4,INDEX(MASTER_AREAS!$B:$B,416))))),415,""),""),IF('WSF DASHBOARD'!$B$4="Zone",IF(415&lt;=$D$4,IF(OR('WSF DASHBOARD'!$C$4="",ISNUMBER(SEARCH('WSF DASHBOARD'!$C$4,INDEX(MASTER_ZONES!$B:$B,416)))),415,""),""),""))</f>
        <v/>
      </c>
      <c r="F416">
        <f>IF('TRANSPORT DASHBOARD'!$B$4="Area",IF(415&lt;=$I$3,IF(AND(INDEX(MASTER_AREAS!$F:$F,416)&lt;&gt;"N",OR('TRANSPORT DASHBOARD'!$C$4="",ISNUMBER(SEARCH('TRANSPORT DASHBOARD'!$C$4,INDEX(MASTER_AREAS!$B:$B,416))))),415,""),""),IF('TRANSPORT DASHBOARD'!$B$4="Zone",IF(415&lt;=$I$4,IF(OR('TRANSPORT DASHBOARD'!$C$4="",ISNUMBER(SEARCH('TRANSPORT DASHBOARD'!$C$4,INDEX(MASTER_ZONES!$B:$B,416)))),415,""),""),""))</f>
        <v/>
      </c>
      <c r="K416">
        <f>IF('MIDWEEK DASHBOARD'!$B$4="Area",IF(415&lt;=$N$3,IF(AND(OR('MIDWEEK DASHBOARD'!$C$4="",ISNUMBER(SEARCH('MIDWEEK DASHBOARD'!$C$4,INDEX(MASTER_AREAS!$B:$B,416))))),415,""),""),IF('MIDWEEK DASHBOARD'!$B$4="Zone",IF(415&lt;=$N$4,IF(OR('MIDWEEK DASHBOARD'!$C$4="",ISNUMBER(SEARCH('MIDWEEK DASHBOARD'!$C$4,INDEX(MASTER_ZONES!$B:$B,416)))),415,""),""),""))</f>
        <v/>
      </c>
      <c r="P416">
        <f>IF('CHOP DASHBOARD'!$B$4="Area",IF(415&lt;=$S$3,IF(AND(OR('CHOP DASHBOARD'!$C$4="",ISNUMBER(SEARCH('CHOP DASHBOARD'!$C$4,INDEX(MASTER_AREAS!$B:$B,416))))),415,""),""),IF('CHOP DASHBOARD'!$B$4="Zone",IF(415&lt;=$S$4,IF(OR('CHOP DASHBOARD'!$C$4="",ISNUMBER(SEARCH('CHOP DASHBOARD'!$C$4,INDEX(MASTER_ZONES!$B:$B,416)))),415,""),""),""))</f>
        <v/>
      </c>
      <c r="U416">
        <f>IF('COMMUNITY CHURCH DASHBOARD'!$B$4="Area",IF(415&lt;=$X$3,IF(AND(OR('COMMUNITY CHURCH DASHBOARD'!$C$4="",ISNUMBER(SEARCH('COMMUNITY CHURCH DASHBOARD'!$C$4,INDEX(MASTER_AREAS!$B:$B,416))))),415,""),""),IF('COMMUNITY CHURCH DASHBOARD'!$B$4="Zone",IF(415&lt;=$X$4,IF(OR('COMMUNITY CHURCH DASHBOARD'!$C$4="",ISNUMBER(SEARCH('COMMUNITY CHURCH DASHBOARD'!$C$4,INDEX(MASTER_ZONES!$B:$B,416)))),415,""),""),""))</f>
        <v/>
      </c>
    </row>
    <row r="417">
      <c r="A417">
        <f>IF('WSF DASHBOARD'!$B$4="Area",IF(416&lt;=$D$3,IF(AND(OR('WSF DASHBOARD'!$C$4="",ISNUMBER(SEARCH('WSF DASHBOARD'!$C$4,INDEX(MASTER_AREAS!$B:$B,417))))),416,""),""),IF('WSF DASHBOARD'!$B$4="Zone",IF(416&lt;=$D$4,IF(OR('WSF DASHBOARD'!$C$4="",ISNUMBER(SEARCH('WSF DASHBOARD'!$C$4,INDEX(MASTER_ZONES!$B:$B,417)))),416,""),""),""))</f>
        <v/>
      </c>
      <c r="F417">
        <f>IF('TRANSPORT DASHBOARD'!$B$4="Area",IF(416&lt;=$I$3,IF(AND(INDEX(MASTER_AREAS!$F:$F,417)&lt;&gt;"N",OR('TRANSPORT DASHBOARD'!$C$4="",ISNUMBER(SEARCH('TRANSPORT DASHBOARD'!$C$4,INDEX(MASTER_AREAS!$B:$B,417))))),416,""),""),IF('TRANSPORT DASHBOARD'!$B$4="Zone",IF(416&lt;=$I$4,IF(OR('TRANSPORT DASHBOARD'!$C$4="",ISNUMBER(SEARCH('TRANSPORT DASHBOARD'!$C$4,INDEX(MASTER_ZONES!$B:$B,417)))),416,""),""),""))</f>
        <v/>
      </c>
      <c r="K417">
        <f>IF('MIDWEEK DASHBOARD'!$B$4="Area",IF(416&lt;=$N$3,IF(AND(OR('MIDWEEK DASHBOARD'!$C$4="",ISNUMBER(SEARCH('MIDWEEK DASHBOARD'!$C$4,INDEX(MASTER_AREAS!$B:$B,417))))),416,""),""),IF('MIDWEEK DASHBOARD'!$B$4="Zone",IF(416&lt;=$N$4,IF(OR('MIDWEEK DASHBOARD'!$C$4="",ISNUMBER(SEARCH('MIDWEEK DASHBOARD'!$C$4,INDEX(MASTER_ZONES!$B:$B,417)))),416,""),""),""))</f>
        <v/>
      </c>
      <c r="P417">
        <f>IF('CHOP DASHBOARD'!$B$4="Area",IF(416&lt;=$S$3,IF(AND(OR('CHOP DASHBOARD'!$C$4="",ISNUMBER(SEARCH('CHOP DASHBOARD'!$C$4,INDEX(MASTER_AREAS!$B:$B,417))))),416,""),""),IF('CHOP DASHBOARD'!$B$4="Zone",IF(416&lt;=$S$4,IF(OR('CHOP DASHBOARD'!$C$4="",ISNUMBER(SEARCH('CHOP DASHBOARD'!$C$4,INDEX(MASTER_ZONES!$B:$B,417)))),416,""),""),""))</f>
        <v/>
      </c>
      <c r="U417">
        <f>IF('COMMUNITY CHURCH DASHBOARD'!$B$4="Area",IF(416&lt;=$X$3,IF(AND(OR('COMMUNITY CHURCH DASHBOARD'!$C$4="",ISNUMBER(SEARCH('COMMUNITY CHURCH DASHBOARD'!$C$4,INDEX(MASTER_AREAS!$B:$B,417))))),416,""),""),IF('COMMUNITY CHURCH DASHBOARD'!$B$4="Zone",IF(416&lt;=$X$4,IF(OR('COMMUNITY CHURCH DASHBOARD'!$C$4="",ISNUMBER(SEARCH('COMMUNITY CHURCH DASHBOARD'!$C$4,INDEX(MASTER_ZONES!$B:$B,417)))),416,""),""),""))</f>
        <v/>
      </c>
    </row>
    <row r="418">
      <c r="A418">
        <f>IF('WSF DASHBOARD'!$B$4="Area",IF(417&lt;=$D$3,IF(AND(OR('WSF DASHBOARD'!$C$4="",ISNUMBER(SEARCH('WSF DASHBOARD'!$C$4,INDEX(MASTER_AREAS!$B:$B,418))))),417,""),""),IF('WSF DASHBOARD'!$B$4="Zone",IF(417&lt;=$D$4,IF(OR('WSF DASHBOARD'!$C$4="",ISNUMBER(SEARCH('WSF DASHBOARD'!$C$4,INDEX(MASTER_ZONES!$B:$B,418)))),417,""),""),""))</f>
        <v/>
      </c>
      <c r="F418">
        <f>IF('TRANSPORT DASHBOARD'!$B$4="Area",IF(417&lt;=$I$3,IF(AND(INDEX(MASTER_AREAS!$F:$F,418)&lt;&gt;"N",OR('TRANSPORT DASHBOARD'!$C$4="",ISNUMBER(SEARCH('TRANSPORT DASHBOARD'!$C$4,INDEX(MASTER_AREAS!$B:$B,418))))),417,""),""),IF('TRANSPORT DASHBOARD'!$B$4="Zone",IF(417&lt;=$I$4,IF(OR('TRANSPORT DASHBOARD'!$C$4="",ISNUMBER(SEARCH('TRANSPORT DASHBOARD'!$C$4,INDEX(MASTER_ZONES!$B:$B,418)))),417,""),""),""))</f>
        <v/>
      </c>
      <c r="K418">
        <f>IF('MIDWEEK DASHBOARD'!$B$4="Area",IF(417&lt;=$N$3,IF(AND(OR('MIDWEEK DASHBOARD'!$C$4="",ISNUMBER(SEARCH('MIDWEEK DASHBOARD'!$C$4,INDEX(MASTER_AREAS!$B:$B,418))))),417,""),""),IF('MIDWEEK DASHBOARD'!$B$4="Zone",IF(417&lt;=$N$4,IF(OR('MIDWEEK DASHBOARD'!$C$4="",ISNUMBER(SEARCH('MIDWEEK DASHBOARD'!$C$4,INDEX(MASTER_ZONES!$B:$B,418)))),417,""),""),""))</f>
        <v/>
      </c>
      <c r="P418">
        <f>IF('CHOP DASHBOARD'!$B$4="Area",IF(417&lt;=$S$3,IF(AND(OR('CHOP DASHBOARD'!$C$4="",ISNUMBER(SEARCH('CHOP DASHBOARD'!$C$4,INDEX(MASTER_AREAS!$B:$B,418))))),417,""),""),IF('CHOP DASHBOARD'!$B$4="Zone",IF(417&lt;=$S$4,IF(OR('CHOP DASHBOARD'!$C$4="",ISNUMBER(SEARCH('CHOP DASHBOARD'!$C$4,INDEX(MASTER_ZONES!$B:$B,418)))),417,""),""),""))</f>
        <v/>
      </c>
      <c r="U418">
        <f>IF('COMMUNITY CHURCH DASHBOARD'!$B$4="Area",IF(417&lt;=$X$3,IF(AND(OR('COMMUNITY CHURCH DASHBOARD'!$C$4="",ISNUMBER(SEARCH('COMMUNITY CHURCH DASHBOARD'!$C$4,INDEX(MASTER_AREAS!$B:$B,418))))),417,""),""),IF('COMMUNITY CHURCH DASHBOARD'!$B$4="Zone",IF(417&lt;=$X$4,IF(OR('COMMUNITY CHURCH DASHBOARD'!$C$4="",ISNUMBER(SEARCH('COMMUNITY CHURCH DASHBOARD'!$C$4,INDEX(MASTER_ZONES!$B:$B,418)))),417,""),""),""))</f>
        <v/>
      </c>
    </row>
    <row r="419">
      <c r="A419">
        <f>IF('WSF DASHBOARD'!$B$4="Area",IF(418&lt;=$D$3,IF(AND(OR('WSF DASHBOARD'!$C$4="",ISNUMBER(SEARCH('WSF DASHBOARD'!$C$4,INDEX(MASTER_AREAS!$B:$B,419))))),418,""),""),IF('WSF DASHBOARD'!$B$4="Zone",IF(418&lt;=$D$4,IF(OR('WSF DASHBOARD'!$C$4="",ISNUMBER(SEARCH('WSF DASHBOARD'!$C$4,INDEX(MASTER_ZONES!$B:$B,419)))),418,""),""),""))</f>
        <v/>
      </c>
      <c r="F419">
        <f>IF('TRANSPORT DASHBOARD'!$B$4="Area",IF(418&lt;=$I$3,IF(AND(INDEX(MASTER_AREAS!$F:$F,419)&lt;&gt;"N",OR('TRANSPORT DASHBOARD'!$C$4="",ISNUMBER(SEARCH('TRANSPORT DASHBOARD'!$C$4,INDEX(MASTER_AREAS!$B:$B,419))))),418,""),""),IF('TRANSPORT DASHBOARD'!$B$4="Zone",IF(418&lt;=$I$4,IF(OR('TRANSPORT DASHBOARD'!$C$4="",ISNUMBER(SEARCH('TRANSPORT DASHBOARD'!$C$4,INDEX(MASTER_ZONES!$B:$B,419)))),418,""),""),""))</f>
        <v/>
      </c>
      <c r="K419">
        <f>IF('MIDWEEK DASHBOARD'!$B$4="Area",IF(418&lt;=$N$3,IF(AND(OR('MIDWEEK DASHBOARD'!$C$4="",ISNUMBER(SEARCH('MIDWEEK DASHBOARD'!$C$4,INDEX(MASTER_AREAS!$B:$B,419))))),418,""),""),IF('MIDWEEK DASHBOARD'!$B$4="Zone",IF(418&lt;=$N$4,IF(OR('MIDWEEK DASHBOARD'!$C$4="",ISNUMBER(SEARCH('MIDWEEK DASHBOARD'!$C$4,INDEX(MASTER_ZONES!$B:$B,419)))),418,""),""),""))</f>
        <v/>
      </c>
      <c r="P419">
        <f>IF('CHOP DASHBOARD'!$B$4="Area",IF(418&lt;=$S$3,IF(AND(OR('CHOP DASHBOARD'!$C$4="",ISNUMBER(SEARCH('CHOP DASHBOARD'!$C$4,INDEX(MASTER_AREAS!$B:$B,419))))),418,""),""),IF('CHOP DASHBOARD'!$B$4="Zone",IF(418&lt;=$S$4,IF(OR('CHOP DASHBOARD'!$C$4="",ISNUMBER(SEARCH('CHOP DASHBOARD'!$C$4,INDEX(MASTER_ZONES!$B:$B,419)))),418,""),""),""))</f>
        <v/>
      </c>
      <c r="U419">
        <f>IF('COMMUNITY CHURCH DASHBOARD'!$B$4="Area",IF(418&lt;=$X$3,IF(AND(OR('COMMUNITY CHURCH DASHBOARD'!$C$4="",ISNUMBER(SEARCH('COMMUNITY CHURCH DASHBOARD'!$C$4,INDEX(MASTER_AREAS!$B:$B,419))))),418,""),""),IF('COMMUNITY CHURCH DASHBOARD'!$B$4="Zone",IF(418&lt;=$X$4,IF(OR('COMMUNITY CHURCH DASHBOARD'!$C$4="",ISNUMBER(SEARCH('COMMUNITY CHURCH DASHBOARD'!$C$4,INDEX(MASTER_ZONES!$B:$B,419)))),418,""),""),""))</f>
        <v/>
      </c>
    </row>
    <row r="420">
      <c r="A420">
        <f>IF('WSF DASHBOARD'!$B$4="Area",IF(419&lt;=$D$3,IF(AND(OR('WSF DASHBOARD'!$C$4="",ISNUMBER(SEARCH('WSF DASHBOARD'!$C$4,INDEX(MASTER_AREAS!$B:$B,420))))),419,""),""),IF('WSF DASHBOARD'!$B$4="Zone",IF(419&lt;=$D$4,IF(OR('WSF DASHBOARD'!$C$4="",ISNUMBER(SEARCH('WSF DASHBOARD'!$C$4,INDEX(MASTER_ZONES!$B:$B,420)))),419,""),""),""))</f>
        <v/>
      </c>
      <c r="F420">
        <f>IF('TRANSPORT DASHBOARD'!$B$4="Area",IF(419&lt;=$I$3,IF(AND(INDEX(MASTER_AREAS!$F:$F,420)&lt;&gt;"N",OR('TRANSPORT DASHBOARD'!$C$4="",ISNUMBER(SEARCH('TRANSPORT DASHBOARD'!$C$4,INDEX(MASTER_AREAS!$B:$B,420))))),419,""),""),IF('TRANSPORT DASHBOARD'!$B$4="Zone",IF(419&lt;=$I$4,IF(OR('TRANSPORT DASHBOARD'!$C$4="",ISNUMBER(SEARCH('TRANSPORT DASHBOARD'!$C$4,INDEX(MASTER_ZONES!$B:$B,420)))),419,""),""),""))</f>
        <v/>
      </c>
      <c r="K420">
        <f>IF('MIDWEEK DASHBOARD'!$B$4="Area",IF(419&lt;=$N$3,IF(AND(OR('MIDWEEK DASHBOARD'!$C$4="",ISNUMBER(SEARCH('MIDWEEK DASHBOARD'!$C$4,INDEX(MASTER_AREAS!$B:$B,420))))),419,""),""),IF('MIDWEEK DASHBOARD'!$B$4="Zone",IF(419&lt;=$N$4,IF(OR('MIDWEEK DASHBOARD'!$C$4="",ISNUMBER(SEARCH('MIDWEEK DASHBOARD'!$C$4,INDEX(MASTER_ZONES!$B:$B,420)))),419,""),""),""))</f>
        <v/>
      </c>
      <c r="P420">
        <f>IF('CHOP DASHBOARD'!$B$4="Area",IF(419&lt;=$S$3,IF(AND(OR('CHOP DASHBOARD'!$C$4="",ISNUMBER(SEARCH('CHOP DASHBOARD'!$C$4,INDEX(MASTER_AREAS!$B:$B,420))))),419,""),""),IF('CHOP DASHBOARD'!$B$4="Zone",IF(419&lt;=$S$4,IF(OR('CHOP DASHBOARD'!$C$4="",ISNUMBER(SEARCH('CHOP DASHBOARD'!$C$4,INDEX(MASTER_ZONES!$B:$B,420)))),419,""),""),""))</f>
        <v/>
      </c>
      <c r="U420">
        <f>IF('COMMUNITY CHURCH DASHBOARD'!$B$4="Area",IF(419&lt;=$X$3,IF(AND(OR('COMMUNITY CHURCH DASHBOARD'!$C$4="",ISNUMBER(SEARCH('COMMUNITY CHURCH DASHBOARD'!$C$4,INDEX(MASTER_AREAS!$B:$B,420))))),419,""),""),IF('COMMUNITY CHURCH DASHBOARD'!$B$4="Zone",IF(419&lt;=$X$4,IF(OR('COMMUNITY CHURCH DASHBOARD'!$C$4="",ISNUMBER(SEARCH('COMMUNITY CHURCH DASHBOARD'!$C$4,INDEX(MASTER_ZONES!$B:$B,420)))),419,""),""),""))</f>
        <v/>
      </c>
    </row>
    <row r="421">
      <c r="A421">
        <f>IF('WSF DASHBOARD'!$B$4="Area",IF(420&lt;=$D$3,IF(AND(OR('WSF DASHBOARD'!$C$4="",ISNUMBER(SEARCH('WSF DASHBOARD'!$C$4,INDEX(MASTER_AREAS!$B:$B,421))))),420,""),""),IF('WSF DASHBOARD'!$B$4="Zone",IF(420&lt;=$D$4,IF(OR('WSF DASHBOARD'!$C$4="",ISNUMBER(SEARCH('WSF DASHBOARD'!$C$4,INDEX(MASTER_ZONES!$B:$B,421)))),420,""),""),""))</f>
        <v/>
      </c>
      <c r="F421">
        <f>IF('TRANSPORT DASHBOARD'!$B$4="Area",IF(420&lt;=$I$3,IF(AND(INDEX(MASTER_AREAS!$F:$F,421)&lt;&gt;"N",OR('TRANSPORT DASHBOARD'!$C$4="",ISNUMBER(SEARCH('TRANSPORT DASHBOARD'!$C$4,INDEX(MASTER_AREAS!$B:$B,421))))),420,""),""),IF('TRANSPORT DASHBOARD'!$B$4="Zone",IF(420&lt;=$I$4,IF(OR('TRANSPORT DASHBOARD'!$C$4="",ISNUMBER(SEARCH('TRANSPORT DASHBOARD'!$C$4,INDEX(MASTER_ZONES!$B:$B,421)))),420,""),""),""))</f>
        <v/>
      </c>
      <c r="K421">
        <f>IF('MIDWEEK DASHBOARD'!$B$4="Area",IF(420&lt;=$N$3,IF(AND(OR('MIDWEEK DASHBOARD'!$C$4="",ISNUMBER(SEARCH('MIDWEEK DASHBOARD'!$C$4,INDEX(MASTER_AREAS!$B:$B,421))))),420,""),""),IF('MIDWEEK DASHBOARD'!$B$4="Zone",IF(420&lt;=$N$4,IF(OR('MIDWEEK DASHBOARD'!$C$4="",ISNUMBER(SEARCH('MIDWEEK DASHBOARD'!$C$4,INDEX(MASTER_ZONES!$B:$B,421)))),420,""),""),""))</f>
        <v/>
      </c>
      <c r="P421">
        <f>IF('CHOP DASHBOARD'!$B$4="Area",IF(420&lt;=$S$3,IF(AND(OR('CHOP DASHBOARD'!$C$4="",ISNUMBER(SEARCH('CHOP DASHBOARD'!$C$4,INDEX(MASTER_AREAS!$B:$B,421))))),420,""),""),IF('CHOP DASHBOARD'!$B$4="Zone",IF(420&lt;=$S$4,IF(OR('CHOP DASHBOARD'!$C$4="",ISNUMBER(SEARCH('CHOP DASHBOARD'!$C$4,INDEX(MASTER_ZONES!$B:$B,421)))),420,""),""),""))</f>
        <v/>
      </c>
      <c r="U421">
        <f>IF('COMMUNITY CHURCH DASHBOARD'!$B$4="Area",IF(420&lt;=$X$3,IF(AND(OR('COMMUNITY CHURCH DASHBOARD'!$C$4="",ISNUMBER(SEARCH('COMMUNITY CHURCH DASHBOARD'!$C$4,INDEX(MASTER_AREAS!$B:$B,421))))),420,""),""),IF('COMMUNITY CHURCH DASHBOARD'!$B$4="Zone",IF(420&lt;=$X$4,IF(OR('COMMUNITY CHURCH DASHBOARD'!$C$4="",ISNUMBER(SEARCH('COMMUNITY CHURCH DASHBOARD'!$C$4,INDEX(MASTER_ZONES!$B:$B,421)))),420,""),""),""))</f>
        <v/>
      </c>
    </row>
    <row r="422">
      <c r="A422">
        <f>IF('WSF DASHBOARD'!$B$4="Area",IF(421&lt;=$D$3,IF(AND(OR('WSF DASHBOARD'!$C$4="",ISNUMBER(SEARCH('WSF DASHBOARD'!$C$4,INDEX(MASTER_AREAS!$B:$B,422))))),421,""),""),IF('WSF DASHBOARD'!$B$4="Zone",IF(421&lt;=$D$4,IF(OR('WSF DASHBOARD'!$C$4="",ISNUMBER(SEARCH('WSF DASHBOARD'!$C$4,INDEX(MASTER_ZONES!$B:$B,422)))),421,""),""),""))</f>
        <v/>
      </c>
      <c r="F422">
        <f>IF('TRANSPORT DASHBOARD'!$B$4="Area",IF(421&lt;=$I$3,IF(AND(INDEX(MASTER_AREAS!$F:$F,422)&lt;&gt;"N",OR('TRANSPORT DASHBOARD'!$C$4="",ISNUMBER(SEARCH('TRANSPORT DASHBOARD'!$C$4,INDEX(MASTER_AREAS!$B:$B,422))))),421,""),""),IF('TRANSPORT DASHBOARD'!$B$4="Zone",IF(421&lt;=$I$4,IF(OR('TRANSPORT DASHBOARD'!$C$4="",ISNUMBER(SEARCH('TRANSPORT DASHBOARD'!$C$4,INDEX(MASTER_ZONES!$B:$B,422)))),421,""),""),""))</f>
        <v/>
      </c>
      <c r="K422">
        <f>IF('MIDWEEK DASHBOARD'!$B$4="Area",IF(421&lt;=$N$3,IF(AND(OR('MIDWEEK DASHBOARD'!$C$4="",ISNUMBER(SEARCH('MIDWEEK DASHBOARD'!$C$4,INDEX(MASTER_AREAS!$B:$B,422))))),421,""),""),IF('MIDWEEK DASHBOARD'!$B$4="Zone",IF(421&lt;=$N$4,IF(OR('MIDWEEK DASHBOARD'!$C$4="",ISNUMBER(SEARCH('MIDWEEK DASHBOARD'!$C$4,INDEX(MASTER_ZONES!$B:$B,422)))),421,""),""),""))</f>
        <v/>
      </c>
      <c r="P422">
        <f>IF('CHOP DASHBOARD'!$B$4="Area",IF(421&lt;=$S$3,IF(AND(OR('CHOP DASHBOARD'!$C$4="",ISNUMBER(SEARCH('CHOP DASHBOARD'!$C$4,INDEX(MASTER_AREAS!$B:$B,422))))),421,""),""),IF('CHOP DASHBOARD'!$B$4="Zone",IF(421&lt;=$S$4,IF(OR('CHOP DASHBOARD'!$C$4="",ISNUMBER(SEARCH('CHOP DASHBOARD'!$C$4,INDEX(MASTER_ZONES!$B:$B,422)))),421,""),""),""))</f>
        <v/>
      </c>
      <c r="U422">
        <f>IF('COMMUNITY CHURCH DASHBOARD'!$B$4="Area",IF(421&lt;=$X$3,IF(AND(OR('COMMUNITY CHURCH DASHBOARD'!$C$4="",ISNUMBER(SEARCH('COMMUNITY CHURCH DASHBOARD'!$C$4,INDEX(MASTER_AREAS!$B:$B,422))))),421,""),""),IF('COMMUNITY CHURCH DASHBOARD'!$B$4="Zone",IF(421&lt;=$X$4,IF(OR('COMMUNITY CHURCH DASHBOARD'!$C$4="",ISNUMBER(SEARCH('COMMUNITY CHURCH DASHBOARD'!$C$4,INDEX(MASTER_ZONES!$B:$B,422)))),421,""),""),""))</f>
        <v/>
      </c>
    </row>
    <row r="423">
      <c r="A423">
        <f>IF('WSF DASHBOARD'!$B$4="Area",IF(422&lt;=$D$3,IF(AND(OR('WSF DASHBOARD'!$C$4="",ISNUMBER(SEARCH('WSF DASHBOARD'!$C$4,INDEX(MASTER_AREAS!$B:$B,423))))),422,""),""),IF('WSF DASHBOARD'!$B$4="Zone",IF(422&lt;=$D$4,IF(OR('WSF DASHBOARD'!$C$4="",ISNUMBER(SEARCH('WSF DASHBOARD'!$C$4,INDEX(MASTER_ZONES!$B:$B,423)))),422,""),""),""))</f>
        <v/>
      </c>
      <c r="F423">
        <f>IF('TRANSPORT DASHBOARD'!$B$4="Area",IF(422&lt;=$I$3,IF(AND(INDEX(MASTER_AREAS!$F:$F,423)&lt;&gt;"N",OR('TRANSPORT DASHBOARD'!$C$4="",ISNUMBER(SEARCH('TRANSPORT DASHBOARD'!$C$4,INDEX(MASTER_AREAS!$B:$B,423))))),422,""),""),IF('TRANSPORT DASHBOARD'!$B$4="Zone",IF(422&lt;=$I$4,IF(OR('TRANSPORT DASHBOARD'!$C$4="",ISNUMBER(SEARCH('TRANSPORT DASHBOARD'!$C$4,INDEX(MASTER_ZONES!$B:$B,423)))),422,""),""),""))</f>
        <v/>
      </c>
      <c r="K423">
        <f>IF('MIDWEEK DASHBOARD'!$B$4="Area",IF(422&lt;=$N$3,IF(AND(OR('MIDWEEK DASHBOARD'!$C$4="",ISNUMBER(SEARCH('MIDWEEK DASHBOARD'!$C$4,INDEX(MASTER_AREAS!$B:$B,423))))),422,""),""),IF('MIDWEEK DASHBOARD'!$B$4="Zone",IF(422&lt;=$N$4,IF(OR('MIDWEEK DASHBOARD'!$C$4="",ISNUMBER(SEARCH('MIDWEEK DASHBOARD'!$C$4,INDEX(MASTER_ZONES!$B:$B,423)))),422,""),""),""))</f>
        <v/>
      </c>
      <c r="P423">
        <f>IF('CHOP DASHBOARD'!$B$4="Area",IF(422&lt;=$S$3,IF(AND(OR('CHOP DASHBOARD'!$C$4="",ISNUMBER(SEARCH('CHOP DASHBOARD'!$C$4,INDEX(MASTER_AREAS!$B:$B,423))))),422,""),""),IF('CHOP DASHBOARD'!$B$4="Zone",IF(422&lt;=$S$4,IF(OR('CHOP DASHBOARD'!$C$4="",ISNUMBER(SEARCH('CHOP DASHBOARD'!$C$4,INDEX(MASTER_ZONES!$B:$B,423)))),422,""),""),""))</f>
        <v/>
      </c>
      <c r="U423">
        <f>IF('COMMUNITY CHURCH DASHBOARD'!$B$4="Area",IF(422&lt;=$X$3,IF(AND(OR('COMMUNITY CHURCH DASHBOARD'!$C$4="",ISNUMBER(SEARCH('COMMUNITY CHURCH DASHBOARD'!$C$4,INDEX(MASTER_AREAS!$B:$B,423))))),422,""),""),IF('COMMUNITY CHURCH DASHBOARD'!$B$4="Zone",IF(422&lt;=$X$4,IF(OR('COMMUNITY CHURCH DASHBOARD'!$C$4="",ISNUMBER(SEARCH('COMMUNITY CHURCH DASHBOARD'!$C$4,INDEX(MASTER_ZONES!$B:$B,423)))),422,""),""),""))</f>
        <v/>
      </c>
    </row>
    <row r="424">
      <c r="A424">
        <f>IF('WSF DASHBOARD'!$B$4="Area",IF(423&lt;=$D$3,IF(AND(OR('WSF DASHBOARD'!$C$4="",ISNUMBER(SEARCH('WSF DASHBOARD'!$C$4,INDEX(MASTER_AREAS!$B:$B,424))))),423,""),""),IF('WSF DASHBOARD'!$B$4="Zone",IF(423&lt;=$D$4,IF(OR('WSF DASHBOARD'!$C$4="",ISNUMBER(SEARCH('WSF DASHBOARD'!$C$4,INDEX(MASTER_ZONES!$B:$B,424)))),423,""),""),""))</f>
        <v/>
      </c>
      <c r="F424">
        <f>IF('TRANSPORT DASHBOARD'!$B$4="Area",IF(423&lt;=$I$3,IF(AND(INDEX(MASTER_AREAS!$F:$F,424)&lt;&gt;"N",OR('TRANSPORT DASHBOARD'!$C$4="",ISNUMBER(SEARCH('TRANSPORT DASHBOARD'!$C$4,INDEX(MASTER_AREAS!$B:$B,424))))),423,""),""),IF('TRANSPORT DASHBOARD'!$B$4="Zone",IF(423&lt;=$I$4,IF(OR('TRANSPORT DASHBOARD'!$C$4="",ISNUMBER(SEARCH('TRANSPORT DASHBOARD'!$C$4,INDEX(MASTER_ZONES!$B:$B,424)))),423,""),""),""))</f>
        <v/>
      </c>
      <c r="K424">
        <f>IF('MIDWEEK DASHBOARD'!$B$4="Area",IF(423&lt;=$N$3,IF(AND(OR('MIDWEEK DASHBOARD'!$C$4="",ISNUMBER(SEARCH('MIDWEEK DASHBOARD'!$C$4,INDEX(MASTER_AREAS!$B:$B,424))))),423,""),""),IF('MIDWEEK DASHBOARD'!$B$4="Zone",IF(423&lt;=$N$4,IF(OR('MIDWEEK DASHBOARD'!$C$4="",ISNUMBER(SEARCH('MIDWEEK DASHBOARD'!$C$4,INDEX(MASTER_ZONES!$B:$B,424)))),423,""),""),""))</f>
        <v/>
      </c>
      <c r="P424">
        <f>IF('CHOP DASHBOARD'!$B$4="Area",IF(423&lt;=$S$3,IF(AND(OR('CHOP DASHBOARD'!$C$4="",ISNUMBER(SEARCH('CHOP DASHBOARD'!$C$4,INDEX(MASTER_AREAS!$B:$B,424))))),423,""),""),IF('CHOP DASHBOARD'!$B$4="Zone",IF(423&lt;=$S$4,IF(OR('CHOP DASHBOARD'!$C$4="",ISNUMBER(SEARCH('CHOP DASHBOARD'!$C$4,INDEX(MASTER_ZONES!$B:$B,424)))),423,""),""),""))</f>
        <v/>
      </c>
      <c r="U424">
        <f>IF('COMMUNITY CHURCH DASHBOARD'!$B$4="Area",IF(423&lt;=$X$3,IF(AND(OR('COMMUNITY CHURCH DASHBOARD'!$C$4="",ISNUMBER(SEARCH('COMMUNITY CHURCH DASHBOARD'!$C$4,INDEX(MASTER_AREAS!$B:$B,424))))),423,""),""),IF('COMMUNITY CHURCH DASHBOARD'!$B$4="Zone",IF(423&lt;=$X$4,IF(OR('COMMUNITY CHURCH DASHBOARD'!$C$4="",ISNUMBER(SEARCH('COMMUNITY CHURCH DASHBOARD'!$C$4,INDEX(MASTER_ZONES!$B:$B,424)))),423,""),""),""))</f>
        <v/>
      </c>
    </row>
    <row r="425">
      <c r="A425">
        <f>IF('WSF DASHBOARD'!$B$4="Area",IF(424&lt;=$D$3,IF(AND(OR('WSF DASHBOARD'!$C$4="",ISNUMBER(SEARCH('WSF DASHBOARD'!$C$4,INDEX(MASTER_AREAS!$B:$B,425))))),424,""),""),IF('WSF DASHBOARD'!$B$4="Zone",IF(424&lt;=$D$4,IF(OR('WSF DASHBOARD'!$C$4="",ISNUMBER(SEARCH('WSF DASHBOARD'!$C$4,INDEX(MASTER_ZONES!$B:$B,425)))),424,""),""),""))</f>
        <v/>
      </c>
      <c r="F425">
        <f>IF('TRANSPORT DASHBOARD'!$B$4="Area",IF(424&lt;=$I$3,IF(AND(INDEX(MASTER_AREAS!$F:$F,425)&lt;&gt;"N",OR('TRANSPORT DASHBOARD'!$C$4="",ISNUMBER(SEARCH('TRANSPORT DASHBOARD'!$C$4,INDEX(MASTER_AREAS!$B:$B,425))))),424,""),""),IF('TRANSPORT DASHBOARD'!$B$4="Zone",IF(424&lt;=$I$4,IF(OR('TRANSPORT DASHBOARD'!$C$4="",ISNUMBER(SEARCH('TRANSPORT DASHBOARD'!$C$4,INDEX(MASTER_ZONES!$B:$B,425)))),424,""),""),""))</f>
        <v/>
      </c>
      <c r="K425">
        <f>IF('MIDWEEK DASHBOARD'!$B$4="Area",IF(424&lt;=$N$3,IF(AND(OR('MIDWEEK DASHBOARD'!$C$4="",ISNUMBER(SEARCH('MIDWEEK DASHBOARD'!$C$4,INDEX(MASTER_AREAS!$B:$B,425))))),424,""),""),IF('MIDWEEK DASHBOARD'!$B$4="Zone",IF(424&lt;=$N$4,IF(OR('MIDWEEK DASHBOARD'!$C$4="",ISNUMBER(SEARCH('MIDWEEK DASHBOARD'!$C$4,INDEX(MASTER_ZONES!$B:$B,425)))),424,""),""),""))</f>
        <v/>
      </c>
      <c r="P425">
        <f>IF('CHOP DASHBOARD'!$B$4="Area",IF(424&lt;=$S$3,IF(AND(OR('CHOP DASHBOARD'!$C$4="",ISNUMBER(SEARCH('CHOP DASHBOARD'!$C$4,INDEX(MASTER_AREAS!$B:$B,425))))),424,""),""),IF('CHOP DASHBOARD'!$B$4="Zone",IF(424&lt;=$S$4,IF(OR('CHOP DASHBOARD'!$C$4="",ISNUMBER(SEARCH('CHOP DASHBOARD'!$C$4,INDEX(MASTER_ZONES!$B:$B,425)))),424,""),""),""))</f>
        <v/>
      </c>
      <c r="U425">
        <f>IF('COMMUNITY CHURCH DASHBOARD'!$B$4="Area",IF(424&lt;=$X$3,IF(AND(OR('COMMUNITY CHURCH DASHBOARD'!$C$4="",ISNUMBER(SEARCH('COMMUNITY CHURCH DASHBOARD'!$C$4,INDEX(MASTER_AREAS!$B:$B,425))))),424,""),""),IF('COMMUNITY CHURCH DASHBOARD'!$B$4="Zone",IF(424&lt;=$X$4,IF(OR('COMMUNITY CHURCH DASHBOARD'!$C$4="",ISNUMBER(SEARCH('COMMUNITY CHURCH DASHBOARD'!$C$4,INDEX(MASTER_ZONES!$B:$B,425)))),424,""),""),""))</f>
        <v/>
      </c>
    </row>
    <row r="426">
      <c r="A426">
        <f>IF('WSF DASHBOARD'!$B$4="Area",IF(425&lt;=$D$3,IF(AND(OR('WSF DASHBOARD'!$C$4="",ISNUMBER(SEARCH('WSF DASHBOARD'!$C$4,INDEX(MASTER_AREAS!$B:$B,426))))),425,""),""),IF('WSF DASHBOARD'!$B$4="Zone",IF(425&lt;=$D$4,IF(OR('WSF DASHBOARD'!$C$4="",ISNUMBER(SEARCH('WSF DASHBOARD'!$C$4,INDEX(MASTER_ZONES!$B:$B,426)))),425,""),""),""))</f>
        <v/>
      </c>
      <c r="F426">
        <f>IF('TRANSPORT DASHBOARD'!$B$4="Area",IF(425&lt;=$I$3,IF(AND(INDEX(MASTER_AREAS!$F:$F,426)&lt;&gt;"N",OR('TRANSPORT DASHBOARD'!$C$4="",ISNUMBER(SEARCH('TRANSPORT DASHBOARD'!$C$4,INDEX(MASTER_AREAS!$B:$B,426))))),425,""),""),IF('TRANSPORT DASHBOARD'!$B$4="Zone",IF(425&lt;=$I$4,IF(OR('TRANSPORT DASHBOARD'!$C$4="",ISNUMBER(SEARCH('TRANSPORT DASHBOARD'!$C$4,INDEX(MASTER_ZONES!$B:$B,426)))),425,""),""),""))</f>
        <v/>
      </c>
      <c r="K426">
        <f>IF('MIDWEEK DASHBOARD'!$B$4="Area",IF(425&lt;=$N$3,IF(AND(OR('MIDWEEK DASHBOARD'!$C$4="",ISNUMBER(SEARCH('MIDWEEK DASHBOARD'!$C$4,INDEX(MASTER_AREAS!$B:$B,426))))),425,""),""),IF('MIDWEEK DASHBOARD'!$B$4="Zone",IF(425&lt;=$N$4,IF(OR('MIDWEEK DASHBOARD'!$C$4="",ISNUMBER(SEARCH('MIDWEEK DASHBOARD'!$C$4,INDEX(MASTER_ZONES!$B:$B,426)))),425,""),""),""))</f>
        <v/>
      </c>
      <c r="P426">
        <f>IF('CHOP DASHBOARD'!$B$4="Area",IF(425&lt;=$S$3,IF(AND(OR('CHOP DASHBOARD'!$C$4="",ISNUMBER(SEARCH('CHOP DASHBOARD'!$C$4,INDEX(MASTER_AREAS!$B:$B,426))))),425,""),""),IF('CHOP DASHBOARD'!$B$4="Zone",IF(425&lt;=$S$4,IF(OR('CHOP DASHBOARD'!$C$4="",ISNUMBER(SEARCH('CHOP DASHBOARD'!$C$4,INDEX(MASTER_ZONES!$B:$B,426)))),425,""),""),""))</f>
        <v/>
      </c>
      <c r="U426">
        <f>IF('COMMUNITY CHURCH DASHBOARD'!$B$4="Area",IF(425&lt;=$X$3,IF(AND(OR('COMMUNITY CHURCH DASHBOARD'!$C$4="",ISNUMBER(SEARCH('COMMUNITY CHURCH DASHBOARD'!$C$4,INDEX(MASTER_AREAS!$B:$B,426))))),425,""),""),IF('COMMUNITY CHURCH DASHBOARD'!$B$4="Zone",IF(425&lt;=$X$4,IF(OR('COMMUNITY CHURCH DASHBOARD'!$C$4="",ISNUMBER(SEARCH('COMMUNITY CHURCH DASHBOARD'!$C$4,INDEX(MASTER_ZONES!$B:$B,426)))),425,""),""),""))</f>
        <v/>
      </c>
    </row>
    <row r="427">
      <c r="A427">
        <f>IF('WSF DASHBOARD'!$B$4="Area",IF(426&lt;=$D$3,IF(AND(OR('WSF DASHBOARD'!$C$4="",ISNUMBER(SEARCH('WSF DASHBOARD'!$C$4,INDEX(MASTER_AREAS!$B:$B,427))))),426,""),""),IF('WSF DASHBOARD'!$B$4="Zone",IF(426&lt;=$D$4,IF(OR('WSF DASHBOARD'!$C$4="",ISNUMBER(SEARCH('WSF DASHBOARD'!$C$4,INDEX(MASTER_ZONES!$B:$B,427)))),426,""),""),""))</f>
        <v/>
      </c>
      <c r="F427">
        <f>IF('TRANSPORT DASHBOARD'!$B$4="Area",IF(426&lt;=$I$3,IF(AND(INDEX(MASTER_AREAS!$F:$F,427)&lt;&gt;"N",OR('TRANSPORT DASHBOARD'!$C$4="",ISNUMBER(SEARCH('TRANSPORT DASHBOARD'!$C$4,INDEX(MASTER_AREAS!$B:$B,427))))),426,""),""),IF('TRANSPORT DASHBOARD'!$B$4="Zone",IF(426&lt;=$I$4,IF(OR('TRANSPORT DASHBOARD'!$C$4="",ISNUMBER(SEARCH('TRANSPORT DASHBOARD'!$C$4,INDEX(MASTER_ZONES!$B:$B,427)))),426,""),""),""))</f>
        <v/>
      </c>
      <c r="K427">
        <f>IF('MIDWEEK DASHBOARD'!$B$4="Area",IF(426&lt;=$N$3,IF(AND(OR('MIDWEEK DASHBOARD'!$C$4="",ISNUMBER(SEARCH('MIDWEEK DASHBOARD'!$C$4,INDEX(MASTER_AREAS!$B:$B,427))))),426,""),""),IF('MIDWEEK DASHBOARD'!$B$4="Zone",IF(426&lt;=$N$4,IF(OR('MIDWEEK DASHBOARD'!$C$4="",ISNUMBER(SEARCH('MIDWEEK DASHBOARD'!$C$4,INDEX(MASTER_ZONES!$B:$B,427)))),426,""),""),""))</f>
        <v/>
      </c>
      <c r="P427">
        <f>IF('CHOP DASHBOARD'!$B$4="Area",IF(426&lt;=$S$3,IF(AND(OR('CHOP DASHBOARD'!$C$4="",ISNUMBER(SEARCH('CHOP DASHBOARD'!$C$4,INDEX(MASTER_AREAS!$B:$B,427))))),426,""),""),IF('CHOP DASHBOARD'!$B$4="Zone",IF(426&lt;=$S$4,IF(OR('CHOP DASHBOARD'!$C$4="",ISNUMBER(SEARCH('CHOP DASHBOARD'!$C$4,INDEX(MASTER_ZONES!$B:$B,427)))),426,""),""),""))</f>
        <v/>
      </c>
      <c r="U427">
        <f>IF('COMMUNITY CHURCH DASHBOARD'!$B$4="Area",IF(426&lt;=$X$3,IF(AND(OR('COMMUNITY CHURCH DASHBOARD'!$C$4="",ISNUMBER(SEARCH('COMMUNITY CHURCH DASHBOARD'!$C$4,INDEX(MASTER_AREAS!$B:$B,427))))),426,""),""),IF('COMMUNITY CHURCH DASHBOARD'!$B$4="Zone",IF(426&lt;=$X$4,IF(OR('COMMUNITY CHURCH DASHBOARD'!$C$4="",ISNUMBER(SEARCH('COMMUNITY CHURCH DASHBOARD'!$C$4,INDEX(MASTER_ZONES!$B:$B,427)))),426,""),""),""))</f>
        <v/>
      </c>
    </row>
    <row r="428">
      <c r="A428">
        <f>IF('WSF DASHBOARD'!$B$4="Area",IF(427&lt;=$D$3,IF(AND(OR('WSF DASHBOARD'!$C$4="",ISNUMBER(SEARCH('WSF DASHBOARD'!$C$4,INDEX(MASTER_AREAS!$B:$B,428))))),427,""),""),IF('WSF DASHBOARD'!$B$4="Zone",IF(427&lt;=$D$4,IF(OR('WSF DASHBOARD'!$C$4="",ISNUMBER(SEARCH('WSF DASHBOARD'!$C$4,INDEX(MASTER_ZONES!$B:$B,428)))),427,""),""),""))</f>
        <v/>
      </c>
      <c r="F428">
        <f>IF('TRANSPORT DASHBOARD'!$B$4="Area",IF(427&lt;=$I$3,IF(AND(INDEX(MASTER_AREAS!$F:$F,428)&lt;&gt;"N",OR('TRANSPORT DASHBOARD'!$C$4="",ISNUMBER(SEARCH('TRANSPORT DASHBOARD'!$C$4,INDEX(MASTER_AREAS!$B:$B,428))))),427,""),""),IF('TRANSPORT DASHBOARD'!$B$4="Zone",IF(427&lt;=$I$4,IF(OR('TRANSPORT DASHBOARD'!$C$4="",ISNUMBER(SEARCH('TRANSPORT DASHBOARD'!$C$4,INDEX(MASTER_ZONES!$B:$B,428)))),427,""),""),""))</f>
        <v/>
      </c>
      <c r="K428">
        <f>IF('MIDWEEK DASHBOARD'!$B$4="Area",IF(427&lt;=$N$3,IF(AND(OR('MIDWEEK DASHBOARD'!$C$4="",ISNUMBER(SEARCH('MIDWEEK DASHBOARD'!$C$4,INDEX(MASTER_AREAS!$B:$B,428))))),427,""),""),IF('MIDWEEK DASHBOARD'!$B$4="Zone",IF(427&lt;=$N$4,IF(OR('MIDWEEK DASHBOARD'!$C$4="",ISNUMBER(SEARCH('MIDWEEK DASHBOARD'!$C$4,INDEX(MASTER_ZONES!$B:$B,428)))),427,""),""),""))</f>
        <v/>
      </c>
      <c r="P428">
        <f>IF('CHOP DASHBOARD'!$B$4="Area",IF(427&lt;=$S$3,IF(AND(OR('CHOP DASHBOARD'!$C$4="",ISNUMBER(SEARCH('CHOP DASHBOARD'!$C$4,INDEX(MASTER_AREAS!$B:$B,428))))),427,""),""),IF('CHOP DASHBOARD'!$B$4="Zone",IF(427&lt;=$S$4,IF(OR('CHOP DASHBOARD'!$C$4="",ISNUMBER(SEARCH('CHOP DASHBOARD'!$C$4,INDEX(MASTER_ZONES!$B:$B,428)))),427,""),""),""))</f>
        <v/>
      </c>
      <c r="U428">
        <f>IF('COMMUNITY CHURCH DASHBOARD'!$B$4="Area",IF(427&lt;=$X$3,IF(AND(OR('COMMUNITY CHURCH DASHBOARD'!$C$4="",ISNUMBER(SEARCH('COMMUNITY CHURCH DASHBOARD'!$C$4,INDEX(MASTER_AREAS!$B:$B,428))))),427,""),""),IF('COMMUNITY CHURCH DASHBOARD'!$B$4="Zone",IF(427&lt;=$X$4,IF(OR('COMMUNITY CHURCH DASHBOARD'!$C$4="",ISNUMBER(SEARCH('COMMUNITY CHURCH DASHBOARD'!$C$4,INDEX(MASTER_ZONES!$B:$B,428)))),427,""),""),""))</f>
        <v/>
      </c>
    </row>
    <row r="429">
      <c r="A429">
        <f>IF('WSF DASHBOARD'!$B$4="Area",IF(428&lt;=$D$3,IF(AND(OR('WSF DASHBOARD'!$C$4="",ISNUMBER(SEARCH('WSF DASHBOARD'!$C$4,INDEX(MASTER_AREAS!$B:$B,429))))),428,""),""),IF('WSF DASHBOARD'!$B$4="Zone",IF(428&lt;=$D$4,IF(OR('WSF DASHBOARD'!$C$4="",ISNUMBER(SEARCH('WSF DASHBOARD'!$C$4,INDEX(MASTER_ZONES!$B:$B,429)))),428,""),""),""))</f>
        <v/>
      </c>
      <c r="F429">
        <f>IF('TRANSPORT DASHBOARD'!$B$4="Area",IF(428&lt;=$I$3,IF(AND(INDEX(MASTER_AREAS!$F:$F,429)&lt;&gt;"N",OR('TRANSPORT DASHBOARD'!$C$4="",ISNUMBER(SEARCH('TRANSPORT DASHBOARD'!$C$4,INDEX(MASTER_AREAS!$B:$B,429))))),428,""),""),IF('TRANSPORT DASHBOARD'!$B$4="Zone",IF(428&lt;=$I$4,IF(OR('TRANSPORT DASHBOARD'!$C$4="",ISNUMBER(SEARCH('TRANSPORT DASHBOARD'!$C$4,INDEX(MASTER_ZONES!$B:$B,429)))),428,""),""),""))</f>
        <v/>
      </c>
      <c r="K429">
        <f>IF('MIDWEEK DASHBOARD'!$B$4="Area",IF(428&lt;=$N$3,IF(AND(OR('MIDWEEK DASHBOARD'!$C$4="",ISNUMBER(SEARCH('MIDWEEK DASHBOARD'!$C$4,INDEX(MASTER_AREAS!$B:$B,429))))),428,""),""),IF('MIDWEEK DASHBOARD'!$B$4="Zone",IF(428&lt;=$N$4,IF(OR('MIDWEEK DASHBOARD'!$C$4="",ISNUMBER(SEARCH('MIDWEEK DASHBOARD'!$C$4,INDEX(MASTER_ZONES!$B:$B,429)))),428,""),""),""))</f>
        <v/>
      </c>
      <c r="P429">
        <f>IF('CHOP DASHBOARD'!$B$4="Area",IF(428&lt;=$S$3,IF(AND(OR('CHOP DASHBOARD'!$C$4="",ISNUMBER(SEARCH('CHOP DASHBOARD'!$C$4,INDEX(MASTER_AREAS!$B:$B,429))))),428,""),""),IF('CHOP DASHBOARD'!$B$4="Zone",IF(428&lt;=$S$4,IF(OR('CHOP DASHBOARD'!$C$4="",ISNUMBER(SEARCH('CHOP DASHBOARD'!$C$4,INDEX(MASTER_ZONES!$B:$B,429)))),428,""),""),""))</f>
        <v/>
      </c>
      <c r="U429">
        <f>IF('COMMUNITY CHURCH DASHBOARD'!$B$4="Area",IF(428&lt;=$X$3,IF(AND(OR('COMMUNITY CHURCH DASHBOARD'!$C$4="",ISNUMBER(SEARCH('COMMUNITY CHURCH DASHBOARD'!$C$4,INDEX(MASTER_AREAS!$B:$B,429))))),428,""),""),IF('COMMUNITY CHURCH DASHBOARD'!$B$4="Zone",IF(428&lt;=$X$4,IF(OR('COMMUNITY CHURCH DASHBOARD'!$C$4="",ISNUMBER(SEARCH('COMMUNITY CHURCH DASHBOARD'!$C$4,INDEX(MASTER_ZONES!$B:$B,429)))),428,""),""),""))</f>
        <v/>
      </c>
    </row>
    <row r="430">
      <c r="A430">
        <f>IF('WSF DASHBOARD'!$B$4="Area",IF(429&lt;=$D$3,IF(AND(OR('WSF DASHBOARD'!$C$4="",ISNUMBER(SEARCH('WSF DASHBOARD'!$C$4,INDEX(MASTER_AREAS!$B:$B,430))))),429,""),""),IF('WSF DASHBOARD'!$B$4="Zone",IF(429&lt;=$D$4,IF(OR('WSF DASHBOARD'!$C$4="",ISNUMBER(SEARCH('WSF DASHBOARD'!$C$4,INDEX(MASTER_ZONES!$B:$B,430)))),429,""),""),""))</f>
        <v/>
      </c>
      <c r="F430">
        <f>IF('TRANSPORT DASHBOARD'!$B$4="Area",IF(429&lt;=$I$3,IF(AND(INDEX(MASTER_AREAS!$F:$F,430)&lt;&gt;"N",OR('TRANSPORT DASHBOARD'!$C$4="",ISNUMBER(SEARCH('TRANSPORT DASHBOARD'!$C$4,INDEX(MASTER_AREAS!$B:$B,430))))),429,""),""),IF('TRANSPORT DASHBOARD'!$B$4="Zone",IF(429&lt;=$I$4,IF(OR('TRANSPORT DASHBOARD'!$C$4="",ISNUMBER(SEARCH('TRANSPORT DASHBOARD'!$C$4,INDEX(MASTER_ZONES!$B:$B,430)))),429,""),""),""))</f>
        <v/>
      </c>
      <c r="K430">
        <f>IF('MIDWEEK DASHBOARD'!$B$4="Area",IF(429&lt;=$N$3,IF(AND(OR('MIDWEEK DASHBOARD'!$C$4="",ISNUMBER(SEARCH('MIDWEEK DASHBOARD'!$C$4,INDEX(MASTER_AREAS!$B:$B,430))))),429,""),""),IF('MIDWEEK DASHBOARD'!$B$4="Zone",IF(429&lt;=$N$4,IF(OR('MIDWEEK DASHBOARD'!$C$4="",ISNUMBER(SEARCH('MIDWEEK DASHBOARD'!$C$4,INDEX(MASTER_ZONES!$B:$B,430)))),429,""),""),""))</f>
        <v/>
      </c>
      <c r="P430">
        <f>IF('CHOP DASHBOARD'!$B$4="Area",IF(429&lt;=$S$3,IF(AND(OR('CHOP DASHBOARD'!$C$4="",ISNUMBER(SEARCH('CHOP DASHBOARD'!$C$4,INDEX(MASTER_AREAS!$B:$B,430))))),429,""),""),IF('CHOP DASHBOARD'!$B$4="Zone",IF(429&lt;=$S$4,IF(OR('CHOP DASHBOARD'!$C$4="",ISNUMBER(SEARCH('CHOP DASHBOARD'!$C$4,INDEX(MASTER_ZONES!$B:$B,430)))),429,""),""),""))</f>
        <v/>
      </c>
      <c r="U430">
        <f>IF('COMMUNITY CHURCH DASHBOARD'!$B$4="Area",IF(429&lt;=$X$3,IF(AND(OR('COMMUNITY CHURCH DASHBOARD'!$C$4="",ISNUMBER(SEARCH('COMMUNITY CHURCH DASHBOARD'!$C$4,INDEX(MASTER_AREAS!$B:$B,430))))),429,""),""),IF('COMMUNITY CHURCH DASHBOARD'!$B$4="Zone",IF(429&lt;=$X$4,IF(OR('COMMUNITY CHURCH DASHBOARD'!$C$4="",ISNUMBER(SEARCH('COMMUNITY CHURCH DASHBOARD'!$C$4,INDEX(MASTER_ZONES!$B:$B,430)))),429,""),""),""))</f>
        <v/>
      </c>
    </row>
    <row r="431">
      <c r="A431">
        <f>IF('WSF DASHBOARD'!$B$4="Area",IF(430&lt;=$D$3,IF(AND(OR('WSF DASHBOARD'!$C$4="",ISNUMBER(SEARCH('WSF DASHBOARD'!$C$4,INDEX(MASTER_AREAS!$B:$B,431))))),430,""),""),IF('WSF DASHBOARD'!$B$4="Zone",IF(430&lt;=$D$4,IF(OR('WSF DASHBOARD'!$C$4="",ISNUMBER(SEARCH('WSF DASHBOARD'!$C$4,INDEX(MASTER_ZONES!$B:$B,431)))),430,""),""),""))</f>
        <v/>
      </c>
      <c r="F431">
        <f>IF('TRANSPORT DASHBOARD'!$B$4="Area",IF(430&lt;=$I$3,IF(AND(INDEX(MASTER_AREAS!$F:$F,431)&lt;&gt;"N",OR('TRANSPORT DASHBOARD'!$C$4="",ISNUMBER(SEARCH('TRANSPORT DASHBOARD'!$C$4,INDEX(MASTER_AREAS!$B:$B,431))))),430,""),""),IF('TRANSPORT DASHBOARD'!$B$4="Zone",IF(430&lt;=$I$4,IF(OR('TRANSPORT DASHBOARD'!$C$4="",ISNUMBER(SEARCH('TRANSPORT DASHBOARD'!$C$4,INDEX(MASTER_ZONES!$B:$B,431)))),430,""),""),""))</f>
        <v/>
      </c>
      <c r="K431">
        <f>IF('MIDWEEK DASHBOARD'!$B$4="Area",IF(430&lt;=$N$3,IF(AND(OR('MIDWEEK DASHBOARD'!$C$4="",ISNUMBER(SEARCH('MIDWEEK DASHBOARD'!$C$4,INDEX(MASTER_AREAS!$B:$B,431))))),430,""),""),IF('MIDWEEK DASHBOARD'!$B$4="Zone",IF(430&lt;=$N$4,IF(OR('MIDWEEK DASHBOARD'!$C$4="",ISNUMBER(SEARCH('MIDWEEK DASHBOARD'!$C$4,INDEX(MASTER_ZONES!$B:$B,431)))),430,""),""),""))</f>
        <v/>
      </c>
      <c r="P431">
        <f>IF('CHOP DASHBOARD'!$B$4="Area",IF(430&lt;=$S$3,IF(AND(OR('CHOP DASHBOARD'!$C$4="",ISNUMBER(SEARCH('CHOP DASHBOARD'!$C$4,INDEX(MASTER_AREAS!$B:$B,431))))),430,""),""),IF('CHOP DASHBOARD'!$B$4="Zone",IF(430&lt;=$S$4,IF(OR('CHOP DASHBOARD'!$C$4="",ISNUMBER(SEARCH('CHOP DASHBOARD'!$C$4,INDEX(MASTER_ZONES!$B:$B,431)))),430,""),""),""))</f>
        <v/>
      </c>
      <c r="U431">
        <f>IF('COMMUNITY CHURCH DASHBOARD'!$B$4="Area",IF(430&lt;=$X$3,IF(AND(OR('COMMUNITY CHURCH DASHBOARD'!$C$4="",ISNUMBER(SEARCH('COMMUNITY CHURCH DASHBOARD'!$C$4,INDEX(MASTER_AREAS!$B:$B,431))))),430,""),""),IF('COMMUNITY CHURCH DASHBOARD'!$B$4="Zone",IF(430&lt;=$X$4,IF(OR('COMMUNITY CHURCH DASHBOARD'!$C$4="",ISNUMBER(SEARCH('COMMUNITY CHURCH DASHBOARD'!$C$4,INDEX(MASTER_ZONES!$B:$B,431)))),430,""),""),""))</f>
        <v/>
      </c>
    </row>
    <row r="432">
      <c r="A432">
        <f>IF('WSF DASHBOARD'!$B$4="Area",IF(431&lt;=$D$3,IF(AND(OR('WSF DASHBOARD'!$C$4="",ISNUMBER(SEARCH('WSF DASHBOARD'!$C$4,INDEX(MASTER_AREAS!$B:$B,432))))),431,""),""),IF('WSF DASHBOARD'!$B$4="Zone",IF(431&lt;=$D$4,IF(OR('WSF DASHBOARD'!$C$4="",ISNUMBER(SEARCH('WSF DASHBOARD'!$C$4,INDEX(MASTER_ZONES!$B:$B,432)))),431,""),""),""))</f>
        <v/>
      </c>
      <c r="F432">
        <f>IF('TRANSPORT DASHBOARD'!$B$4="Area",IF(431&lt;=$I$3,IF(AND(INDEX(MASTER_AREAS!$F:$F,432)&lt;&gt;"N",OR('TRANSPORT DASHBOARD'!$C$4="",ISNUMBER(SEARCH('TRANSPORT DASHBOARD'!$C$4,INDEX(MASTER_AREAS!$B:$B,432))))),431,""),""),IF('TRANSPORT DASHBOARD'!$B$4="Zone",IF(431&lt;=$I$4,IF(OR('TRANSPORT DASHBOARD'!$C$4="",ISNUMBER(SEARCH('TRANSPORT DASHBOARD'!$C$4,INDEX(MASTER_ZONES!$B:$B,432)))),431,""),""),""))</f>
        <v/>
      </c>
      <c r="K432">
        <f>IF('MIDWEEK DASHBOARD'!$B$4="Area",IF(431&lt;=$N$3,IF(AND(OR('MIDWEEK DASHBOARD'!$C$4="",ISNUMBER(SEARCH('MIDWEEK DASHBOARD'!$C$4,INDEX(MASTER_AREAS!$B:$B,432))))),431,""),""),IF('MIDWEEK DASHBOARD'!$B$4="Zone",IF(431&lt;=$N$4,IF(OR('MIDWEEK DASHBOARD'!$C$4="",ISNUMBER(SEARCH('MIDWEEK DASHBOARD'!$C$4,INDEX(MASTER_ZONES!$B:$B,432)))),431,""),""),""))</f>
        <v/>
      </c>
      <c r="P432">
        <f>IF('CHOP DASHBOARD'!$B$4="Area",IF(431&lt;=$S$3,IF(AND(OR('CHOP DASHBOARD'!$C$4="",ISNUMBER(SEARCH('CHOP DASHBOARD'!$C$4,INDEX(MASTER_AREAS!$B:$B,432))))),431,""),""),IF('CHOP DASHBOARD'!$B$4="Zone",IF(431&lt;=$S$4,IF(OR('CHOP DASHBOARD'!$C$4="",ISNUMBER(SEARCH('CHOP DASHBOARD'!$C$4,INDEX(MASTER_ZONES!$B:$B,432)))),431,""),""),""))</f>
        <v/>
      </c>
      <c r="U432">
        <f>IF('COMMUNITY CHURCH DASHBOARD'!$B$4="Area",IF(431&lt;=$X$3,IF(AND(OR('COMMUNITY CHURCH DASHBOARD'!$C$4="",ISNUMBER(SEARCH('COMMUNITY CHURCH DASHBOARD'!$C$4,INDEX(MASTER_AREAS!$B:$B,432))))),431,""),""),IF('COMMUNITY CHURCH DASHBOARD'!$B$4="Zone",IF(431&lt;=$X$4,IF(OR('COMMUNITY CHURCH DASHBOARD'!$C$4="",ISNUMBER(SEARCH('COMMUNITY CHURCH DASHBOARD'!$C$4,INDEX(MASTER_ZONES!$B:$B,432)))),431,""),""),""))</f>
        <v/>
      </c>
    </row>
    <row r="433">
      <c r="A433">
        <f>IF('WSF DASHBOARD'!$B$4="Area",IF(432&lt;=$D$3,IF(AND(OR('WSF DASHBOARD'!$C$4="",ISNUMBER(SEARCH('WSF DASHBOARD'!$C$4,INDEX(MASTER_AREAS!$B:$B,433))))),432,""),""),IF('WSF DASHBOARD'!$B$4="Zone",IF(432&lt;=$D$4,IF(OR('WSF DASHBOARD'!$C$4="",ISNUMBER(SEARCH('WSF DASHBOARD'!$C$4,INDEX(MASTER_ZONES!$B:$B,433)))),432,""),""),""))</f>
        <v/>
      </c>
      <c r="F433">
        <f>IF('TRANSPORT DASHBOARD'!$B$4="Area",IF(432&lt;=$I$3,IF(AND(INDEX(MASTER_AREAS!$F:$F,433)&lt;&gt;"N",OR('TRANSPORT DASHBOARD'!$C$4="",ISNUMBER(SEARCH('TRANSPORT DASHBOARD'!$C$4,INDEX(MASTER_AREAS!$B:$B,433))))),432,""),""),IF('TRANSPORT DASHBOARD'!$B$4="Zone",IF(432&lt;=$I$4,IF(OR('TRANSPORT DASHBOARD'!$C$4="",ISNUMBER(SEARCH('TRANSPORT DASHBOARD'!$C$4,INDEX(MASTER_ZONES!$B:$B,433)))),432,""),""),""))</f>
        <v/>
      </c>
      <c r="K433">
        <f>IF('MIDWEEK DASHBOARD'!$B$4="Area",IF(432&lt;=$N$3,IF(AND(OR('MIDWEEK DASHBOARD'!$C$4="",ISNUMBER(SEARCH('MIDWEEK DASHBOARD'!$C$4,INDEX(MASTER_AREAS!$B:$B,433))))),432,""),""),IF('MIDWEEK DASHBOARD'!$B$4="Zone",IF(432&lt;=$N$4,IF(OR('MIDWEEK DASHBOARD'!$C$4="",ISNUMBER(SEARCH('MIDWEEK DASHBOARD'!$C$4,INDEX(MASTER_ZONES!$B:$B,433)))),432,""),""),""))</f>
        <v/>
      </c>
      <c r="P433">
        <f>IF('CHOP DASHBOARD'!$B$4="Area",IF(432&lt;=$S$3,IF(AND(OR('CHOP DASHBOARD'!$C$4="",ISNUMBER(SEARCH('CHOP DASHBOARD'!$C$4,INDEX(MASTER_AREAS!$B:$B,433))))),432,""),""),IF('CHOP DASHBOARD'!$B$4="Zone",IF(432&lt;=$S$4,IF(OR('CHOP DASHBOARD'!$C$4="",ISNUMBER(SEARCH('CHOP DASHBOARD'!$C$4,INDEX(MASTER_ZONES!$B:$B,433)))),432,""),""),""))</f>
        <v/>
      </c>
      <c r="U433">
        <f>IF('COMMUNITY CHURCH DASHBOARD'!$B$4="Area",IF(432&lt;=$X$3,IF(AND(OR('COMMUNITY CHURCH DASHBOARD'!$C$4="",ISNUMBER(SEARCH('COMMUNITY CHURCH DASHBOARD'!$C$4,INDEX(MASTER_AREAS!$B:$B,433))))),432,""),""),IF('COMMUNITY CHURCH DASHBOARD'!$B$4="Zone",IF(432&lt;=$X$4,IF(OR('COMMUNITY CHURCH DASHBOARD'!$C$4="",ISNUMBER(SEARCH('COMMUNITY CHURCH DASHBOARD'!$C$4,INDEX(MASTER_ZONES!$B:$B,433)))),432,""),""),""))</f>
        <v/>
      </c>
    </row>
    <row r="434">
      <c r="A434">
        <f>IF('WSF DASHBOARD'!$B$4="Area",IF(433&lt;=$D$3,IF(AND(OR('WSF DASHBOARD'!$C$4="",ISNUMBER(SEARCH('WSF DASHBOARD'!$C$4,INDEX(MASTER_AREAS!$B:$B,434))))),433,""),""),IF('WSF DASHBOARD'!$B$4="Zone",IF(433&lt;=$D$4,IF(OR('WSF DASHBOARD'!$C$4="",ISNUMBER(SEARCH('WSF DASHBOARD'!$C$4,INDEX(MASTER_ZONES!$B:$B,434)))),433,""),""),""))</f>
        <v/>
      </c>
      <c r="F434">
        <f>IF('TRANSPORT DASHBOARD'!$B$4="Area",IF(433&lt;=$I$3,IF(AND(INDEX(MASTER_AREAS!$F:$F,434)&lt;&gt;"N",OR('TRANSPORT DASHBOARD'!$C$4="",ISNUMBER(SEARCH('TRANSPORT DASHBOARD'!$C$4,INDEX(MASTER_AREAS!$B:$B,434))))),433,""),""),IF('TRANSPORT DASHBOARD'!$B$4="Zone",IF(433&lt;=$I$4,IF(OR('TRANSPORT DASHBOARD'!$C$4="",ISNUMBER(SEARCH('TRANSPORT DASHBOARD'!$C$4,INDEX(MASTER_ZONES!$B:$B,434)))),433,""),""),""))</f>
        <v/>
      </c>
      <c r="K434">
        <f>IF('MIDWEEK DASHBOARD'!$B$4="Area",IF(433&lt;=$N$3,IF(AND(OR('MIDWEEK DASHBOARD'!$C$4="",ISNUMBER(SEARCH('MIDWEEK DASHBOARD'!$C$4,INDEX(MASTER_AREAS!$B:$B,434))))),433,""),""),IF('MIDWEEK DASHBOARD'!$B$4="Zone",IF(433&lt;=$N$4,IF(OR('MIDWEEK DASHBOARD'!$C$4="",ISNUMBER(SEARCH('MIDWEEK DASHBOARD'!$C$4,INDEX(MASTER_ZONES!$B:$B,434)))),433,""),""),""))</f>
        <v/>
      </c>
      <c r="P434">
        <f>IF('CHOP DASHBOARD'!$B$4="Area",IF(433&lt;=$S$3,IF(AND(OR('CHOP DASHBOARD'!$C$4="",ISNUMBER(SEARCH('CHOP DASHBOARD'!$C$4,INDEX(MASTER_AREAS!$B:$B,434))))),433,""),""),IF('CHOP DASHBOARD'!$B$4="Zone",IF(433&lt;=$S$4,IF(OR('CHOP DASHBOARD'!$C$4="",ISNUMBER(SEARCH('CHOP DASHBOARD'!$C$4,INDEX(MASTER_ZONES!$B:$B,434)))),433,""),""),""))</f>
        <v/>
      </c>
      <c r="U434">
        <f>IF('COMMUNITY CHURCH DASHBOARD'!$B$4="Area",IF(433&lt;=$X$3,IF(AND(OR('COMMUNITY CHURCH DASHBOARD'!$C$4="",ISNUMBER(SEARCH('COMMUNITY CHURCH DASHBOARD'!$C$4,INDEX(MASTER_AREAS!$B:$B,434))))),433,""),""),IF('COMMUNITY CHURCH DASHBOARD'!$B$4="Zone",IF(433&lt;=$X$4,IF(OR('COMMUNITY CHURCH DASHBOARD'!$C$4="",ISNUMBER(SEARCH('COMMUNITY CHURCH DASHBOARD'!$C$4,INDEX(MASTER_ZONES!$B:$B,434)))),433,""),""),""))</f>
        <v/>
      </c>
    </row>
    <row r="435">
      <c r="A435">
        <f>IF('WSF DASHBOARD'!$B$4="Area",IF(434&lt;=$D$3,IF(AND(OR('WSF DASHBOARD'!$C$4="",ISNUMBER(SEARCH('WSF DASHBOARD'!$C$4,INDEX(MASTER_AREAS!$B:$B,435))))),434,""),""),IF('WSF DASHBOARD'!$B$4="Zone",IF(434&lt;=$D$4,IF(OR('WSF DASHBOARD'!$C$4="",ISNUMBER(SEARCH('WSF DASHBOARD'!$C$4,INDEX(MASTER_ZONES!$B:$B,435)))),434,""),""),""))</f>
        <v/>
      </c>
      <c r="F435">
        <f>IF('TRANSPORT DASHBOARD'!$B$4="Area",IF(434&lt;=$I$3,IF(AND(INDEX(MASTER_AREAS!$F:$F,435)&lt;&gt;"N",OR('TRANSPORT DASHBOARD'!$C$4="",ISNUMBER(SEARCH('TRANSPORT DASHBOARD'!$C$4,INDEX(MASTER_AREAS!$B:$B,435))))),434,""),""),IF('TRANSPORT DASHBOARD'!$B$4="Zone",IF(434&lt;=$I$4,IF(OR('TRANSPORT DASHBOARD'!$C$4="",ISNUMBER(SEARCH('TRANSPORT DASHBOARD'!$C$4,INDEX(MASTER_ZONES!$B:$B,435)))),434,""),""),""))</f>
        <v/>
      </c>
      <c r="K435">
        <f>IF('MIDWEEK DASHBOARD'!$B$4="Area",IF(434&lt;=$N$3,IF(AND(OR('MIDWEEK DASHBOARD'!$C$4="",ISNUMBER(SEARCH('MIDWEEK DASHBOARD'!$C$4,INDEX(MASTER_AREAS!$B:$B,435))))),434,""),""),IF('MIDWEEK DASHBOARD'!$B$4="Zone",IF(434&lt;=$N$4,IF(OR('MIDWEEK DASHBOARD'!$C$4="",ISNUMBER(SEARCH('MIDWEEK DASHBOARD'!$C$4,INDEX(MASTER_ZONES!$B:$B,435)))),434,""),""),""))</f>
        <v/>
      </c>
      <c r="P435">
        <f>IF('CHOP DASHBOARD'!$B$4="Area",IF(434&lt;=$S$3,IF(AND(OR('CHOP DASHBOARD'!$C$4="",ISNUMBER(SEARCH('CHOP DASHBOARD'!$C$4,INDEX(MASTER_AREAS!$B:$B,435))))),434,""),""),IF('CHOP DASHBOARD'!$B$4="Zone",IF(434&lt;=$S$4,IF(OR('CHOP DASHBOARD'!$C$4="",ISNUMBER(SEARCH('CHOP DASHBOARD'!$C$4,INDEX(MASTER_ZONES!$B:$B,435)))),434,""),""),""))</f>
        <v/>
      </c>
      <c r="U435">
        <f>IF('COMMUNITY CHURCH DASHBOARD'!$B$4="Area",IF(434&lt;=$X$3,IF(AND(OR('COMMUNITY CHURCH DASHBOARD'!$C$4="",ISNUMBER(SEARCH('COMMUNITY CHURCH DASHBOARD'!$C$4,INDEX(MASTER_AREAS!$B:$B,435))))),434,""),""),IF('COMMUNITY CHURCH DASHBOARD'!$B$4="Zone",IF(434&lt;=$X$4,IF(OR('COMMUNITY CHURCH DASHBOARD'!$C$4="",ISNUMBER(SEARCH('COMMUNITY CHURCH DASHBOARD'!$C$4,INDEX(MASTER_ZONES!$B:$B,435)))),434,""),""),""))</f>
        <v/>
      </c>
    </row>
    <row r="436">
      <c r="A436">
        <f>IF('WSF DASHBOARD'!$B$4="Area",IF(435&lt;=$D$3,IF(AND(OR('WSF DASHBOARD'!$C$4="",ISNUMBER(SEARCH('WSF DASHBOARD'!$C$4,INDEX(MASTER_AREAS!$B:$B,436))))),435,""),""),IF('WSF DASHBOARD'!$B$4="Zone",IF(435&lt;=$D$4,IF(OR('WSF DASHBOARD'!$C$4="",ISNUMBER(SEARCH('WSF DASHBOARD'!$C$4,INDEX(MASTER_ZONES!$B:$B,436)))),435,""),""),""))</f>
        <v/>
      </c>
      <c r="F436">
        <f>IF('TRANSPORT DASHBOARD'!$B$4="Area",IF(435&lt;=$I$3,IF(AND(INDEX(MASTER_AREAS!$F:$F,436)&lt;&gt;"N",OR('TRANSPORT DASHBOARD'!$C$4="",ISNUMBER(SEARCH('TRANSPORT DASHBOARD'!$C$4,INDEX(MASTER_AREAS!$B:$B,436))))),435,""),""),IF('TRANSPORT DASHBOARD'!$B$4="Zone",IF(435&lt;=$I$4,IF(OR('TRANSPORT DASHBOARD'!$C$4="",ISNUMBER(SEARCH('TRANSPORT DASHBOARD'!$C$4,INDEX(MASTER_ZONES!$B:$B,436)))),435,""),""),""))</f>
        <v/>
      </c>
      <c r="K436">
        <f>IF('MIDWEEK DASHBOARD'!$B$4="Area",IF(435&lt;=$N$3,IF(AND(OR('MIDWEEK DASHBOARD'!$C$4="",ISNUMBER(SEARCH('MIDWEEK DASHBOARD'!$C$4,INDEX(MASTER_AREAS!$B:$B,436))))),435,""),""),IF('MIDWEEK DASHBOARD'!$B$4="Zone",IF(435&lt;=$N$4,IF(OR('MIDWEEK DASHBOARD'!$C$4="",ISNUMBER(SEARCH('MIDWEEK DASHBOARD'!$C$4,INDEX(MASTER_ZONES!$B:$B,436)))),435,""),""),""))</f>
        <v/>
      </c>
      <c r="P436">
        <f>IF('CHOP DASHBOARD'!$B$4="Area",IF(435&lt;=$S$3,IF(AND(OR('CHOP DASHBOARD'!$C$4="",ISNUMBER(SEARCH('CHOP DASHBOARD'!$C$4,INDEX(MASTER_AREAS!$B:$B,436))))),435,""),""),IF('CHOP DASHBOARD'!$B$4="Zone",IF(435&lt;=$S$4,IF(OR('CHOP DASHBOARD'!$C$4="",ISNUMBER(SEARCH('CHOP DASHBOARD'!$C$4,INDEX(MASTER_ZONES!$B:$B,436)))),435,""),""),""))</f>
        <v/>
      </c>
      <c r="U436">
        <f>IF('COMMUNITY CHURCH DASHBOARD'!$B$4="Area",IF(435&lt;=$X$3,IF(AND(OR('COMMUNITY CHURCH DASHBOARD'!$C$4="",ISNUMBER(SEARCH('COMMUNITY CHURCH DASHBOARD'!$C$4,INDEX(MASTER_AREAS!$B:$B,436))))),435,""),""),IF('COMMUNITY CHURCH DASHBOARD'!$B$4="Zone",IF(435&lt;=$X$4,IF(OR('COMMUNITY CHURCH DASHBOARD'!$C$4="",ISNUMBER(SEARCH('COMMUNITY CHURCH DASHBOARD'!$C$4,INDEX(MASTER_ZONES!$B:$B,436)))),435,""),""),""))</f>
        <v/>
      </c>
    </row>
    <row r="437">
      <c r="A437">
        <f>IF('WSF DASHBOARD'!$B$4="Area",IF(436&lt;=$D$3,IF(AND(OR('WSF DASHBOARD'!$C$4="",ISNUMBER(SEARCH('WSF DASHBOARD'!$C$4,INDEX(MASTER_AREAS!$B:$B,437))))),436,""),""),IF('WSF DASHBOARD'!$B$4="Zone",IF(436&lt;=$D$4,IF(OR('WSF DASHBOARD'!$C$4="",ISNUMBER(SEARCH('WSF DASHBOARD'!$C$4,INDEX(MASTER_ZONES!$B:$B,437)))),436,""),""),""))</f>
        <v/>
      </c>
      <c r="F437">
        <f>IF('TRANSPORT DASHBOARD'!$B$4="Area",IF(436&lt;=$I$3,IF(AND(INDEX(MASTER_AREAS!$F:$F,437)&lt;&gt;"N",OR('TRANSPORT DASHBOARD'!$C$4="",ISNUMBER(SEARCH('TRANSPORT DASHBOARD'!$C$4,INDEX(MASTER_AREAS!$B:$B,437))))),436,""),""),IF('TRANSPORT DASHBOARD'!$B$4="Zone",IF(436&lt;=$I$4,IF(OR('TRANSPORT DASHBOARD'!$C$4="",ISNUMBER(SEARCH('TRANSPORT DASHBOARD'!$C$4,INDEX(MASTER_ZONES!$B:$B,437)))),436,""),""),""))</f>
        <v/>
      </c>
      <c r="K437">
        <f>IF('MIDWEEK DASHBOARD'!$B$4="Area",IF(436&lt;=$N$3,IF(AND(OR('MIDWEEK DASHBOARD'!$C$4="",ISNUMBER(SEARCH('MIDWEEK DASHBOARD'!$C$4,INDEX(MASTER_AREAS!$B:$B,437))))),436,""),""),IF('MIDWEEK DASHBOARD'!$B$4="Zone",IF(436&lt;=$N$4,IF(OR('MIDWEEK DASHBOARD'!$C$4="",ISNUMBER(SEARCH('MIDWEEK DASHBOARD'!$C$4,INDEX(MASTER_ZONES!$B:$B,437)))),436,""),""),""))</f>
        <v/>
      </c>
      <c r="P437">
        <f>IF('CHOP DASHBOARD'!$B$4="Area",IF(436&lt;=$S$3,IF(AND(OR('CHOP DASHBOARD'!$C$4="",ISNUMBER(SEARCH('CHOP DASHBOARD'!$C$4,INDEX(MASTER_AREAS!$B:$B,437))))),436,""),""),IF('CHOP DASHBOARD'!$B$4="Zone",IF(436&lt;=$S$4,IF(OR('CHOP DASHBOARD'!$C$4="",ISNUMBER(SEARCH('CHOP DASHBOARD'!$C$4,INDEX(MASTER_ZONES!$B:$B,437)))),436,""),""),""))</f>
        <v/>
      </c>
      <c r="U437">
        <f>IF('COMMUNITY CHURCH DASHBOARD'!$B$4="Area",IF(436&lt;=$X$3,IF(AND(OR('COMMUNITY CHURCH DASHBOARD'!$C$4="",ISNUMBER(SEARCH('COMMUNITY CHURCH DASHBOARD'!$C$4,INDEX(MASTER_AREAS!$B:$B,437))))),436,""),""),IF('COMMUNITY CHURCH DASHBOARD'!$B$4="Zone",IF(436&lt;=$X$4,IF(OR('COMMUNITY CHURCH DASHBOARD'!$C$4="",ISNUMBER(SEARCH('COMMUNITY CHURCH DASHBOARD'!$C$4,INDEX(MASTER_ZONES!$B:$B,437)))),436,""),""),""))</f>
        <v/>
      </c>
    </row>
    <row r="438">
      <c r="A438">
        <f>IF('WSF DASHBOARD'!$B$4="Area",IF(437&lt;=$D$3,IF(AND(OR('WSF DASHBOARD'!$C$4="",ISNUMBER(SEARCH('WSF DASHBOARD'!$C$4,INDEX(MASTER_AREAS!$B:$B,438))))),437,""),""),IF('WSF DASHBOARD'!$B$4="Zone",IF(437&lt;=$D$4,IF(OR('WSF DASHBOARD'!$C$4="",ISNUMBER(SEARCH('WSF DASHBOARD'!$C$4,INDEX(MASTER_ZONES!$B:$B,438)))),437,""),""),""))</f>
        <v/>
      </c>
      <c r="F438">
        <f>IF('TRANSPORT DASHBOARD'!$B$4="Area",IF(437&lt;=$I$3,IF(AND(INDEX(MASTER_AREAS!$F:$F,438)&lt;&gt;"N",OR('TRANSPORT DASHBOARD'!$C$4="",ISNUMBER(SEARCH('TRANSPORT DASHBOARD'!$C$4,INDEX(MASTER_AREAS!$B:$B,438))))),437,""),""),IF('TRANSPORT DASHBOARD'!$B$4="Zone",IF(437&lt;=$I$4,IF(OR('TRANSPORT DASHBOARD'!$C$4="",ISNUMBER(SEARCH('TRANSPORT DASHBOARD'!$C$4,INDEX(MASTER_ZONES!$B:$B,438)))),437,""),""),""))</f>
        <v/>
      </c>
      <c r="K438">
        <f>IF('MIDWEEK DASHBOARD'!$B$4="Area",IF(437&lt;=$N$3,IF(AND(OR('MIDWEEK DASHBOARD'!$C$4="",ISNUMBER(SEARCH('MIDWEEK DASHBOARD'!$C$4,INDEX(MASTER_AREAS!$B:$B,438))))),437,""),""),IF('MIDWEEK DASHBOARD'!$B$4="Zone",IF(437&lt;=$N$4,IF(OR('MIDWEEK DASHBOARD'!$C$4="",ISNUMBER(SEARCH('MIDWEEK DASHBOARD'!$C$4,INDEX(MASTER_ZONES!$B:$B,438)))),437,""),""),""))</f>
        <v/>
      </c>
      <c r="P438">
        <f>IF('CHOP DASHBOARD'!$B$4="Area",IF(437&lt;=$S$3,IF(AND(OR('CHOP DASHBOARD'!$C$4="",ISNUMBER(SEARCH('CHOP DASHBOARD'!$C$4,INDEX(MASTER_AREAS!$B:$B,438))))),437,""),""),IF('CHOP DASHBOARD'!$B$4="Zone",IF(437&lt;=$S$4,IF(OR('CHOP DASHBOARD'!$C$4="",ISNUMBER(SEARCH('CHOP DASHBOARD'!$C$4,INDEX(MASTER_ZONES!$B:$B,438)))),437,""),""),""))</f>
        <v/>
      </c>
      <c r="U438">
        <f>IF('COMMUNITY CHURCH DASHBOARD'!$B$4="Area",IF(437&lt;=$X$3,IF(AND(OR('COMMUNITY CHURCH DASHBOARD'!$C$4="",ISNUMBER(SEARCH('COMMUNITY CHURCH DASHBOARD'!$C$4,INDEX(MASTER_AREAS!$B:$B,438))))),437,""),""),IF('COMMUNITY CHURCH DASHBOARD'!$B$4="Zone",IF(437&lt;=$X$4,IF(OR('COMMUNITY CHURCH DASHBOARD'!$C$4="",ISNUMBER(SEARCH('COMMUNITY CHURCH DASHBOARD'!$C$4,INDEX(MASTER_ZONES!$B:$B,438)))),437,""),""),""))</f>
        <v/>
      </c>
    </row>
    <row r="439">
      <c r="A439">
        <f>IF('WSF DASHBOARD'!$B$4="Area",IF(438&lt;=$D$3,IF(AND(OR('WSF DASHBOARD'!$C$4="",ISNUMBER(SEARCH('WSF DASHBOARD'!$C$4,INDEX(MASTER_AREAS!$B:$B,439))))),438,""),""),IF('WSF DASHBOARD'!$B$4="Zone",IF(438&lt;=$D$4,IF(OR('WSF DASHBOARD'!$C$4="",ISNUMBER(SEARCH('WSF DASHBOARD'!$C$4,INDEX(MASTER_ZONES!$B:$B,439)))),438,""),""),""))</f>
        <v/>
      </c>
      <c r="F439">
        <f>IF('TRANSPORT DASHBOARD'!$B$4="Area",IF(438&lt;=$I$3,IF(AND(INDEX(MASTER_AREAS!$F:$F,439)&lt;&gt;"N",OR('TRANSPORT DASHBOARD'!$C$4="",ISNUMBER(SEARCH('TRANSPORT DASHBOARD'!$C$4,INDEX(MASTER_AREAS!$B:$B,439))))),438,""),""),IF('TRANSPORT DASHBOARD'!$B$4="Zone",IF(438&lt;=$I$4,IF(OR('TRANSPORT DASHBOARD'!$C$4="",ISNUMBER(SEARCH('TRANSPORT DASHBOARD'!$C$4,INDEX(MASTER_ZONES!$B:$B,439)))),438,""),""),""))</f>
        <v/>
      </c>
      <c r="K439">
        <f>IF('MIDWEEK DASHBOARD'!$B$4="Area",IF(438&lt;=$N$3,IF(AND(OR('MIDWEEK DASHBOARD'!$C$4="",ISNUMBER(SEARCH('MIDWEEK DASHBOARD'!$C$4,INDEX(MASTER_AREAS!$B:$B,439))))),438,""),""),IF('MIDWEEK DASHBOARD'!$B$4="Zone",IF(438&lt;=$N$4,IF(OR('MIDWEEK DASHBOARD'!$C$4="",ISNUMBER(SEARCH('MIDWEEK DASHBOARD'!$C$4,INDEX(MASTER_ZONES!$B:$B,439)))),438,""),""),""))</f>
        <v/>
      </c>
      <c r="P439">
        <f>IF('CHOP DASHBOARD'!$B$4="Area",IF(438&lt;=$S$3,IF(AND(OR('CHOP DASHBOARD'!$C$4="",ISNUMBER(SEARCH('CHOP DASHBOARD'!$C$4,INDEX(MASTER_AREAS!$B:$B,439))))),438,""),""),IF('CHOP DASHBOARD'!$B$4="Zone",IF(438&lt;=$S$4,IF(OR('CHOP DASHBOARD'!$C$4="",ISNUMBER(SEARCH('CHOP DASHBOARD'!$C$4,INDEX(MASTER_ZONES!$B:$B,439)))),438,""),""),""))</f>
        <v/>
      </c>
      <c r="U439">
        <f>IF('COMMUNITY CHURCH DASHBOARD'!$B$4="Area",IF(438&lt;=$X$3,IF(AND(OR('COMMUNITY CHURCH DASHBOARD'!$C$4="",ISNUMBER(SEARCH('COMMUNITY CHURCH DASHBOARD'!$C$4,INDEX(MASTER_AREAS!$B:$B,439))))),438,""),""),IF('COMMUNITY CHURCH DASHBOARD'!$B$4="Zone",IF(438&lt;=$X$4,IF(OR('COMMUNITY CHURCH DASHBOARD'!$C$4="",ISNUMBER(SEARCH('COMMUNITY CHURCH DASHBOARD'!$C$4,INDEX(MASTER_ZONES!$B:$B,439)))),438,""),""),""))</f>
        <v/>
      </c>
    </row>
    <row r="440">
      <c r="A440">
        <f>IF('WSF DASHBOARD'!$B$4="Area",IF(439&lt;=$D$3,IF(AND(OR('WSF DASHBOARD'!$C$4="",ISNUMBER(SEARCH('WSF DASHBOARD'!$C$4,INDEX(MASTER_AREAS!$B:$B,440))))),439,""),""),IF('WSF DASHBOARD'!$B$4="Zone",IF(439&lt;=$D$4,IF(OR('WSF DASHBOARD'!$C$4="",ISNUMBER(SEARCH('WSF DASHBOARD'!$C$4,INDEX(MASTER_ZONES!$B:$B,440)))),439,""),""),""))</f>
        <v/>
      </c>
      <c r="F440">
        <f>IF('TRANSPORT DASHBOARD'!$B$4="Area",IF(439&lt;=$I$3,IF(AND(INDEX(MASTER_AREAS!$F:$F,440)&lt;&gt;"N",OR('TRANSPORT DASHBOARD'!$C$4="",ISNUMBER(SEARCH('TRANSPORT DASHBOARD'!$C$4,INDEX(MASTER_AREAS!$B:$B,440))))),439,""),""),IF('TRANSPORT DASHBOARD'!$B$4="Zone",IF(439&lt;=$I$4,IF(OR('TRANSPORT DASHBOARD'!$C$4="",ISNUMBER(SEARCH('TRANSPORT DASHBOARD'!$C$4,INDEX(MASTER_ZONES!$B:$B,440)))),439,""),""),""))</f>
        <v/>
      </c>
      <c r="K440">
        <f>IF('MIDWEEK DASHBOARD'!$B$4="Area",IF(439&lt;=$N$3,IF(AND(OR('MIDWEEK DASHBOARD'!$C$4="",ISNUMBER(SEARCH('MIDWEEK DASHBOARD'!$C$4,INDEX(MASTER_AREAS!$B:$B,440))))),439,""),""),IF('MIDWEEK DASHBOARD'!$B$4="Zone",IF(439&lt;=$N$4,IF(OR('MIDWEEK DASHBOARD'!$C$4="",ISNUMBER(SEARCH('MIDWEEK DASHBOARD'!$C$4,INDEX(MASTER_ZONES!$B:$B,440)))),439,""),""),""))</f>
        <v/>
      </c>
      <c r="P440">
        <f>IF('CHOP DASHBOARD'!$B$4="Area",IF(439&lt;=$S$3,IF(AND(OR('CHOP DASHBOARD'!$C$4="",ISNUMBER(SEARCH('CHOP DASHBOARD'!$C$4,INDEX(MASTER_AREAS!$B:$B,440))))),439,""),""),IF('CHOP DASHBOARD'!$B$4="Zone",IF(439&lt;=$S$4,IF(OR('CHOP DASHBOARD'!$C$4="",ISNUMBER(SEARCH('CHOP DASHBOARD'!$C$4,INDEX(MASTER_ZONES!$B:$B,440)))),439,""),""),""))</f>
        <v/>
      </c>
      <c r="U440">
        <f>IF('COMMUNITY CHURCH DASHBOARD'!$B$4="Area",IF(439&lt;=$X$3,IF(AND(OR('COMMUNITY CHURCH DASHBOARD'!$C$4="",ISNUMBER(SEARCH('COMMUNITY CHURCH DASHBOARD'!$C$4,INDEX(MASTER_AREAS!$B:$B,440))))),439,""),""),IF('COMMUNITY CHURCH DASHBOARD'!$B$4="Zone",IF(439&lt;=$X$4,IF(OR('COMMUNITY CHURCH DASHBOARD'!$C$4="",ISNUMBER(SEARCH('COMMUNITY CHURCH DASHBOARD'!$C$4,INDEX(MASTER_ZONES!$B:$B,440)))),439,""),""),""))</f>
        <v/>
      </c>
    </row>
    <row r="441">
      <c r="A441">
        <f>IF('WSF DASHBOARD'!$B$4="Area",IF(440&lt;=$D$3,IF(AND(OR('WSF DASHBOARD'!$C$4="",ISNUMBER(SEARCH('WSF DASHBOARD'!$C$4,INDEX(MASTER_AREAS!$B:$B,441))))),440,""),""),IF('WSF DASHBOARD'!$B$4="Zone",IF(440&lt;=$D$4,IF(OR('WSF DASHBOARD'!$C$4="",ISNUMBER(SEARCH('WSF DASHBOARD'!$C$4,INDEX(MASTER_ZONES!$B:$B,441)))),440,""),""),""))</f>
        <v/>
      </c>
      <c r="F441">
        <f>IF('TRANSPORT DASHBOARD'!$B$4="Area",IF(440&lt;=$I$3,IF(AND(INDEX(MASTER_AREAS!$F:$F,441)&lt;&gt;"N",OR('TRANSPORT DASHBOARD'!$C$4="",ISNUMBER(SEARCH('TRANSPORT DASHBOARD'!$C$4,INDEX(MASTER_AREAS!$B:$B,441))))),440,""),""),IF('TRANSPORT DASHBOARD'!$B$4="Zone",IF(440&lt;=$I$4,IF(OR('TRANSPORT DASHBOARD'!$C$4="",ISNUMBER(SEARCH('TRANSPORT DASHBOARD'!$C$4,INDEX(MASTER_ZONES!$B:$B,441)))),440,""),""),""))</f>
        <v/>
      </c>
      <c r="K441">
        <f>IF('MIDWEEK DASHBOARD'!$B$4="Area",IF(440&lt;=$N$3,IF(AND(OR('MIDWEEK DASHBOARD'!$C$4="",ISNUMBER(SEARCH('MIDWEEK DASHBOARD'!$C$4,INDEX(MASTER_AREAS!$B:$B,441))))),440,""),""),IF('MIDWEEK DASHBOARD'!$B$4="Zone",IF(440&lt;=$N$4,IF(OR('MIDWEEK DASHBOARD'!$C$4="",ISNUMBER(SEARCH('MIDWEEK DASHBOARD'!$C$4,INDEX(MASTER_ZONES!$B:$B,441)))),440,""),""),""))</f>
        <v/>
      </c>
      <c r="P441">
        <f>IF('CHOP DASHBOARD'!$B$4="Area",IF(440&lt;=$S$3,IF(AND(OR('CHOP DASHBOARD'!$C$4="",ISNUMBER(SEARCH('CHOP DASHBOARD'!$C$4,INDEX(MASTER_AREAS!$B:$B,441))))),440,""),""),IF('CHOP DASHBOARD'!$B$4="Zone",IF(440&lt;=$S$4,IF(OR('CHOP DASHBOARD'!$C$4="",ISNUMBER(SEARCH('CHOP DASHBOARD'!$C$4,INDEX(MASTER_ZONES!$B:$B,441)))),440,""),""),""))</f>
        <v/>
      </c>
      <c r="U441">
        <f>IF('COMMUNITY CHURCH DASHBOARD'!$B$4="Area",IF(440&lt;=$X$3,IF(AND(OR('COMMUNITY CHURCH DASHBOARD'!$C$4="",ISNUMBER(SEARCH('COMMUNITY CHURCH DASHBOARD'!$C$4,INDEX(MASTER_AREAS!$B:$B,441))))),440,""),""),IF('COMMUNITY CHURCH DASHBOARD'!$B$4="Zone",IF(440&lt;=$X$4,IF(OR('COMMUNITY CHURCH DASHBOARD'!$C$4="",ISNUMBER(SEARCH('COMMUNITY CHURCH DASHBOARD'!$C$4,INDEX(MASTER_ZONES!$B:$B,441)))),440,""),""),""))</f>
        <v/>
      </c>
    </row>
    <row r="442">
      <c r="A442">
        <f>IF('WSF DASHBOARD'!$B$4="Area",IF(441&lt;=$D$3,IF(AND(OR('WSF DASHBOARD'!$C$4="",ISNUMBER(SEARCH('WSF DASHBOARD'!$C$4,INDEX(MASTER_AREAS!$B:$B,442))))),441,""),""),IF('WSF DASHBOARD'!$B$4="Zone",IF(441&lt;=$D$4,IF(OR('WSF DASHBOARD'!$C$4="",ISNUMBER(SEARCH('WSF DASHBOARD'!$C$4,INDEX(MASTER_ZONES!$B:$B,442)))),441,""),""),""))</f>
        <v/>
      </c>
      <c r="F442">
        <f>IF('TRANSPORT DASHBOARD'!$B$4="Area",IF(441&lt;=$I$3,IF(AND(INDEX(MASTER_AREAS!$F:$F,442)&lt;&gt;"N",OR('TRANSPORT DASHBOARD'!$C$4="",ISNUMBER(SEARCH('TRANSPORT DASHBOARD'!$C$4,INDEX(MASTER_AREAS!$B:$B,442))))),441,""),""),IF('TRANSPORT DASHBOARD'!$B$4="Zone",IF(441&lt;=$I$4,IF(OR('TRANSPORT DASHBOARD'!$C$4="",ISNUMBER(SEARCH('TRANSPORT DASHBOARD'!$C$4,INDEX(MASTER_ZONES!$B:$B,442)))),441,""),""),""))</f>
        <v/>
      </c>
      <c r="K442">
        <f>IF('MIDWEEK DASHBOARD'!$B$4="Area",IF(441&lt;=$N$3,IF(AND(OR('MIDWEEK DASHBOARD'!$C$4="",ISNUMBER(SEARCH('MIDWEEK DASHBOARD'!$C$4,INDEX(MASTER_AREAS!$B:$B,442))))),441,""),""),IF('MIDWEEK DASHBOARD'!$B$4="Zone",IF(441&lt;=$N$4,IF(OR('MIDWEEK DASHBOARD'!$C$4="",ISNUMBER(SEARCH('MIDWEEK DASHBOARD'!$C$4,INDEX(MASTER_ZONES!$B:$B,442)))),441,""),""),""))</f>
        <v/>
      </c>
      <c r="P442">
        <f>IF('CHOP DASHBOARD'!$B$4="Area",IF(441&lt;=$S$3,IF(AND(OR('CHOP DASHBOARD'!$C$4="",ISNUMBER(SEARCH('CHOP DASHBOARD'!$C$4,INDEX(MASTER_AREAS!$B:$B,442))))),441,""),""),IF('CHOP DASHBOARD'!$B$4="Zone",IF(441&lt;=$S$4,IF(OR('CHOP DASHBOARD'!$C$4="",ISNUMBER(SEARCH('CHOP DASHBOARD'!$C$4,INDEX(MASTER_ZONES!$B:$B,442)))),441,""),""),""))</f>
        <v/>
      </c>
      <c r="U442">
        <f>IF('COMMUNITY CHURCH DASHBOARD'!$B$4="Area",IF(441&lt;=$X$3,IF(AND(OR('COMMUNITY CHURCH DASHBOARD'!$C$4="",ISNUMBER(SEARCH('COMMUNITY CHURCH DASHBOARD'!$C$4,INDEX(MASTER_AREAS!$B:$B,442))))),441,""),""),IF('COMMUNITY CHURCH DASHBOARD'!$B$4="Zone",IF(441&lt;=$X$4,IF(OR('COMMUNITY CHURCH DASHBOARD'!$C$4="",ISNUMBER(SEARCH('COMMUNITY CHURCH DASHBOARD'!$C$4,INDEX(MASTER_ZONES!$B:$B,442)))),441,""),""),""))</f>
        <v/>
      </c>
    </row>
    <row r="443">
      <c r="A443">
        <f>IF('WSF DASHBOARD'!$B$4="Area",IF(442&lt;=$D$3,IF(AND(OR('WSF DASHBOARD'!$C$4="",ISNUMBER(SEARCH('WSF DASHBOARD'!$C$4,INDEX(MASTER_AREAS!$B:$B,443))))),442,""),""),IF('WSF DASHBOARD'!$B$4="Zone",IF(442&lt;=$D$4,IF(OR('WSF DASHBOARD'!$C$4="",ISNUMBER(SEARCH('WSF DASHBOARD'!$C$4,INDEX(MASTER_ZONES!$B:$B,443)))),442,""),""),""))</f>
        <v/>
      </c>
      <c r="F443">
        <f>IF('TRANSPORT DASHBOARD'!$B$4="Area",IF(442&lt;=$I$3,IF(AND(INDEX(MASTER_AREAS!$F:$F,443)&lt;&gt;"N",OR('TRANSPORT DASHBOARD'!$C$4="",ISNUMBER(SEARCH('TRANSPORT DASHBOARD'!$C$4,INDEX(MASTER_AREAS!$B:$B,443))))),442,""),""),IF('TRANSPORT DASHBOARD'!$B$4="Zone",IF(442&lt;=$I$4,IF(OR('TRANSPORT DASHBOARD'!$C$4="",ISNUMBER(SEARCH('TRANSPORT DASHBOARD'!$C$4,INDEX(MASTER_ZONES!$B:$B,443)))),442,""),""),""))</f>
        <v/>
      </c>
      <c r="K443">
        <f>IF('MIDWEEK DASHBOARD'!$B$4="Area",IF(442&lt;=$N$3,IF(AND(OR('MIDWEEK DASHBOARD'!$C$4="",ISNUMBER(SEARCH('MIDWEEK DASHBOARD'!$C$4,INDEX(MASTER_AREAS!$B:$B,443))))),442,""),""),IF('MIDWEEK DASHBOARD'!$B$4="Zone",IF(442&lt;=$N$4,IF(OR('MIDWEEK DASHBOARD'!$C$4="",ISNUMBER(SEARCH('MIDWEEK DASHBOARD'!$C$4,INDEX(MASTER_ZONES!$B:$B,443)))),442,""),""),""))</f>
        <v/>
      </c>
      <c r="P443">
        <f>IF('CHOP DASHBOARD'!$B$4="Area",IF(442&lt;=$S$3,IF(AND(OR('CHOP DASHBOARD'!$C$4="",ISNUMBER(SEARCH('CHOP DASHBOARD'!$C$4,INDEX(MASTER_AREAS!$B:$B,443))))),442,""),""),IF('CHOP DASHBOARD'!$B$4="Zone",IF(442&lt;=$S$4,IF(OR('CHOP DASHBOARD'!$C$4="",ISNUMBER(SEARCH('CHOP DASHBOARD'!$C$4,INDEX(MASTER_ZONES!$B:$B,443)))),442,""),""),""))</f>
        <v/>
      </c>
      <c r="U443">
        <f>IF('COMMUNITY CHURCH DASHBOARD'!$B$4="Area",IF(442&lt;=$X$3,IF(AND(OR('COMMUNITY CHURCH DASHBOARD'!$C$4="",ISNUMBER(SEARCH('COMMUNITY CHURCH DASHBOARD'!$C$4,INDEX(MASTER_AREAS!$B:$B,443))))),442,""),""),IF('COMMUNITY CHURCH DASHBOARD'!$B$4="Zone",IF(442&lt;=$X$4,IF(OR('COMMUNITY CHURCH DASHBOARD'!$C$4="",ISNUMBER(SEARCH('COMMUNITY CHURCH DASHBOARD'!$C$4,INDEX(MASTER_ZONES!$B:$B,443)))),442,""),""),""))</f>
        <v/>
      </c>
    </row>
    <row r="444">
      <c r="A444">
        <f>IF('WSF DASHBOARD'!$B$4="Area",IF(443&lt;=$D$3,IF(AND(OR('WSF DASHBOARD'!$C$4="",ISNUMBER(SEARCH('WSF DASHBOARD'!$C$4,INDEX(MASTER_AREAS!$B:$B,444))))),443,""),""),IF('WSF DASHBOARD'!$B$4="Zone",IF(443&lt;=$D$4,IF(OR('WSF DASHBOARD'!$C$4="",ISNUMBER(SEARCH('WSF DASHBOARD'!$C$4,INDEX(MASTER_ZONES!$B:$B,444)))),443,""),""),""))</f>
        <v/>
      </c>
      <c r="F444">
        <f>IF('TRANSPORT DASHBOARD'!$B$4="Area",IF(443&lt;=$I$3,IF(AND(INDEX(MASTER_AREAS!$F:$F,444)&lt;&gt;"N",OR('TRANSPORT DASHBOARD'!$C$4="",ISNUMBER(SEARCH('TRANSPORT DASHBOARD'!$C$4,INDEX(MASTER_AREAS!$B:$B,444))))),443,""),""),IF('TRANSPORT DASHBOARD'!$B$4="Zone",IF(443&lt;=$I$4,IF(OR('TRANSPORT DASHBOARD'!$C$4="",ISNUMBER(SEARCH('TRANSPORT DASHBOARD'!$C$4,INDEX(MASTER_ZONES!$B:$B,444)))),443,""),""),""))</f>
        <v/>
      </c>
      <c r="K444">
        <f>IF('MIDWEEK DASHBOARD'!$B$4="Area",IF(443&lt;=$N$3,IF(AND(OR('MIDWEEK DASHBOARD'!$C$4="",ISNUMBER(SEARCH('MIDWEEK DASHBOARD'!$C$4,INDEX(MASTER_AREAS!$B:$B,444))))),443,""),""),IF('MIDWEEK DASHBOARD'!$B$4="Zone",IF(443&lt;=$N$4,IF(OR('MIDWEEK DASHBOARD'!$C$4="",ISNUMBER(SEARCH('MIDWEEK DASHBOARD'!$C$4,INDEX(MASTER_ZONES!$B:$B,444)))),443,""),""),""))</f>
        <v/>
      </c>
      <c r="P444">
        <f>IF('CHOP DASHBOARD'!$B$4="Area",IF(443&lt;=$S$3,IF(AND(OR('CHOP DASHBOARD'!$C$4="",ISNUMBER(SEARCH('CHOP DASHBOARD'!$C$4,INDEX(MASTER_AREAS!$B:$B,444))))),443,""),""),IF('CHOP DASHBOARD'!$B$4="Zone",IF(443&lt;=$S$4,IF(OR('CHOP DASHBOARD'!$C$4="",ISNUMBER(SEARCH('CHOP DASHBOARD'!$C$4,INDEX(MASTER_ZONES!$B:$B,444)))),443,""),""),""))</f>
        <v/>
      </c>
      <c r="U444">
        <f>IF('COMMUNITY CHURCH DASHBOARD'!$B$4="Area",IF(443&lt;=$X$3,IF(AND(OR('COMMUNITY CHURCH DASHBOARD'!$C$4="",ISNUMBER(SEARCH('COMMUNITY CHURCH DASHBOARD'!$C$4,INDEX(MASTER_AREAS!$B:$B,444))))),443,""),""),IF('COMMUNITY CHURCH DASHBOARD'!$B$4="Zone",IF(443&lt;=$X$4,IF(OR('COMMUNITY CHURCH DASHBOARD'!$C$4="",ISNUMBER(SEARCH('COMMUNITY CHURCH DASHBOARD'!$C$4,INDEX(MASTER_ZONES!$B:$B,444)))),443,""),""),""))</f>
        <v/>
      </c>
    </row>
    <row r="445">
      <c r="A445">
        <f>IF('WSF DASHBOARD'!$B$4="Area",IF(444&lt;=$D$3,IF(AND(OR('WSF DASHBOARD'!$C$4="",ISNUMBER(SEARCH('WSF DASHBOARD'!$C$4,INDEX(MASTER_AREAS!$B:$B,445))))),444,""),""),IF('WSF DASHBOARD'!$B$4="Zone",IF(444&lt;=$D$4,IF(OR('WSF DASHBOARD'!$C$4="",ISNUMBER(SEARCH('WSF DASHBOARD'!$C$4,INDEX(MASTER_ZONES!$B:$B,445)))),444,""),""),""))</f>
        <v/>
      </c>
      <c r="F445">
        <f>IF('TRANSPORT DASHBOARD'!$B$4="Area",IF(444&lt;=$I$3,IF(AND(INDEX(MASTER_AREAS!$F:$F,445)&lt;&gt;"N",OR('TRANSPORT DASHBOARD'!$C$4="",ISNUMBER(SEARCH('TRANSPORT DASHBOARD'!$C$4,INDEX(MASTER_AREAS!$B:$B,445))))),444,""),""),IF('TRANSPORT DASHBOARD'!$B$4="Zone",IF(444&lt;=$I$4,IF(OR('TRANSPORT DASHBOARD'!$C$4="",ISNUMBER(SEARCH('TRANSPORT DASHBOARD'!$C$4,INDEX(MASTER_ZONES!$B:$B,445)))),444,""),""),""))</f>
        <v/>
      </c>
      <c r="K445">
        <f>IF('MIDWEEK DASHBOARD'!$B$4="Area",IF(444&lt;=$N$3,IF(AND(OR('MIDWEEK DASHBOARD'!$C$4="",ISNUMBER(SEARCH('MIDWEEK DASHBOARD'!$C$4,INDEX(MASTER_AREAS!$B:$B,445))))),444,""),""),IF('MIDWEEK DASHBOARD'!$B$4="Zone",IF(444&lt;=$N$4,IF(OR('MIDWEEK DASHBOARD'!$C$4="",ISNUMBER(SEARCH('MIDWEEK DASHBOARD'!$C$4,INDEX(MASTER_ZONES!$B:$B,445)))),444,""),""),""))</f>
        <v/>
      </c>
      <c r="P445">
        <f>IF('CHOP DASHBOARD'!$B$4="Area",IF(444&lt;=$S$3,IF(AND(OR('CHOP DASHBOARD'!$C$4="",ISNUMBER(SEARCH('CHOP DASHBOARD'!$C$4,INDEX(MASTER_AREAS!$B:$B,445))))),444,""),""),IF('CHOP DASHBOARD'!$B$4="Zone",IF(444&lt;=$S$4,IF(OR('CHOP DASHBOARD'!$C$4="",ISNUMBER(SEARCH('CHOP DASHBOARD'!$C$4,INDEX(MASTER_ZONES!$B:$B,445)))),444,""),""),""))</f>
        <v/>
      </c>
      <c r="U445">
        <f>IF('COMMUNITY CHURCH DASHBOARD'!$B$4="Area",IF(444&lt;=$X$3,IF(AND(OR('COMMUNITY CHURCH DASHBOARD'!$C$4="",ISNUMBER(SEARCH('COMMUNITY CHURCH DASHBOARD'!$C$4,INDEX(MASTER_AREAS!$B:$B,445))))),444,""),""),IF('COMMUNITY CHURCH DASHBOARD'!$B$4="Zone",IF(444&lt;=$X$4,IF(OR('COMMUNITY CHURCH DASHBOARD'!$C$4="",ISNUMBER(SEARCH('COMMUNITY CHURCH DASHBOARD'!$C$4,INDEX(MASTER_ZONES!$B:$B,445)))),444,""),""),""))</f>
        <v/>
      </c>
    </row>
    <row r="446">
      <c r="A446">
        <f>IF('WSF DASHBOARD'!$B$4="Area",IF(445&lt;=$D$3,IF(AND(OR('WSF DASHBOARD'!$C$4="",ISNUMBER(SEARCH('WSF DASHBOARD'!$C$4,INDEX(MASTER_AREAS!$B:$B,446))))),445,""),""),IF('WSF DASHBOARD'!$B$4="Zone",IF(445&lt;=$D$4,IF(OR('WSF DASHBOARD'!$C$4="",ISNUMBER(SEARCH('WSF DASHBOARD'!$C$4,INDEX(MASTER_ZONES!$B:$B,446)))),445,""),""),""))</f>
        <v/>
      </c>
      <c r="F446">
        <f>IF('TRANSPORT DASHBOARD'!$B$4="Area",IF(445&lt;=$I$3,IF(AND(INDEX(MASTER_AREAS!$F:$F,446)&lt;&gt;"N",OR('TRANSPORT DASHBOARD'!$C$4="",ISNUMBER(SEARCH('TRANSPORT DASHBOARD'!$C$4,INDEX(MASTER_AREAS!$B:$B,446))))),445,""),""),IF('TRANSPORT DASHBOARD'!$B$4="Zone",IF(445&lt;=$I$4,IF(OR('TRANSPORT DASHBOARD'!$C$4="",ISNUMBER(SEARCH('TRANSPORT DASHBOARD'!$C$4,INDEX(MASTER_ZONES!$B:$B,446)))),445,""),""),""))</f>
        <v/>
      </c>
      <c r="K446">
        <f>IF('MIDWEEK DASHBOARD'!$B$4="Area",IF(445&lt;=$N$3,IF(AND(OR('MIDWEEK DASHBOARD'!$C$4="",ISNUMBER(SEARCH('MIDWEEK DASHBOARD'!$C$4,INDEX(MASTER_AREAS!$B:$B,446))))),445,""),""),IF('MIDWEEK DASHBOARD'!$B$4="Zone",IF(445&lt;=$N$4,IF(OR('MIDWEEK DASHBOARD'!$C$4="",ISNUMBER(SEARCH('MIDWEEK DASHBOARD'!$C$4,INDEX(MASTER_ZONES!$B:$B,446)))),445,""),""),""))</f>
        <v/>
      </c>
      <c r="P446">
        <f>IF('CHOP DASHBOARD'!$B$4="Area",IF(445&lt;=$S$3,IF(AND(OR('CHOP DASHBOARD'!$C$4="",ISNUMBER(SEARCH('CHOP DASHBOARD'!$C$4,INDEX(MASTER_AREAS!$B:$B,446))))),445,""),""),IF('CHOP DASHBOARD'!$B$4="Zone",IF(445&lt;=$S$4,IF(OR('CHOP DASHBOARD'!$C$4="",ISNUMBER(SEARCH('CHOP DASHBOARD'!$C$4,INDEX(MASTER_ZONES!$B:$B,446)))),445,""),""),""))</f>
        <v/>
      </c>
      <c r="U446">
        <f>IF('COMMUNITY CHURCH DASHBOARD'!$B$4="Area",IF(445&lt;=$X$3,IF(AND(OR('COMMUNITY CHURCH DASHBOARD'!$C$4="",ISNUMBER(SEARCH('COMMUNITY CHURCH DASHBOARD'!$C$4,INDEX(MASTER_AREAS!$B:$B,446))))),445,""),""),IF('COMMUNITY CHURCH DASHBOARD'!$B$4="Zone",IF(445&lt;=$X$4,IF(OR('COMMUNITY CHURCH DASHBOARD'!$C$4="",ISNUMBER(SEARCH('COMMUNITY CHURCH DASHBOARD'!$C$4,INDEX(MASTER_ZONES!$B:$B,446)))),445,""),""),""))</f>
        <v/>
      </c>
    </row>
    <row r="447">
      <c r="A447">
        <f>IF('WSF DASHBOARD'!$B$4="Area",IF(446&lt;=$D$3,IF(AND(OR('WSF DASHBOARD'!$C$4="",ISNUMBER(SEARCH('WSF DASHBOARD'!$C$4,INDEX(MASTER_AREAS!$B:$B,447))))),446,""),""),IF('WSF DASHBOARD'!$B$4="Zone",IF(446&lt;=$D$4,IF(OR('WSF DASHBOARD'!$C$4="",ISNUMBER(SEARCH('WSF DASHBOARD'!$C$4,INDEX(MASTER_ZONES!$B:$B,447)))),446,""),""),""))</f>
        <v/>
      </c>
      <c r="F447">
        <f>IF('TRANSPORT DASHBOARD'!$B$4="Area",IF(446&lt;=$I$3,IF(AND(INDEX(MASTER_AREAS!$F:$F,447)&lt;&gt;"N",OR('TRANSPORT DASHBOARD'!$C$4="",ISNUMBER(SEARCH('TRANSPORT DASHBOARD'!$C$4,INDEX(MASTER_AREAS!$B:$B,447))))),446,""),""),IF('TRANSPORT DASHBOARD'!$B$4="Zone",IF(446&lt;=$I$4,IF(OR('TRANSPORT DASHBOARD'!$C$4="",ISNUMBER(SEARCH('TRANSPORT DASHBOARD'!$C$4,INDEX(MASTER_ZONES!$B:$B,447)))),446,""),""),""))</f>
        <v/>
      </c>
      <c r="K447">
        <f>IF('MIDWEEK DASHBOARD'!$B$4="Area",IF(446&lt;=$N$3,IF(AND(OR('MIDWEEK DASHBOARD'!$C$4="",ISNUMBER(SEARCH('MIDWEEK DASHBOARD'!$C$4,INDEX(MASTER_AREAS!$B:$B,447))))),446,""),""),IF('MIDWEEK DASHBOARD'!$B$4="Zone",IF(446&lt;=$N$4,IF(OR('MIDWEEK DASHBOARD'!$C$4="",ISNUMBER(SEARCH('MIDWEEK DASHBOARD'!$C$4,INDEX(MASTER_ZONES!$B:$B,447)))),446,""),""),""))</f>
        <v/>
      </c>
      <c r="P447">
        <f>IF('CHOP DASHBOARD'!$B$4="Area",IF(446&lt;=$S$3,IF(AND(OR('CHOP DASHBOARD'!$C$4="",ISNUMBER(SEARCH('CHOP DASHBOARD'!$C$4,INDEX(MASTER_AREAS!$B:$B,447))))),446,""),""),IF('CHOP DASHBOARD'!$B$4="Zone",IF(446&lt;=$S$4,IF(OR('CHOP DASHBOARD'!$C$4="",ISNUMBER(SEARCH('CHOP DASHBOARD'!$C$4,INDEX(MASTER_ZONES!$B:$B,447)))),446,""),""),""))</f>
        <v/>
      </c>
      <c r="U447">
        <f>IF('COMMUNITY CHURCH DASHBOARD'!$B$4="Area",IF(446&lt;=$X$3,IF(AND(OR('COMMUNITY CHURCH DASHBOARD'!$C$4="",ISNUMBER(SEARCH('COMMUNITY CHURCH DASHBOARD'!$C$4,INDEX(MASTER_AREAS!$B:$B,447))))),446,""),""),IF('COMMUNITY CHURCH DASHBOARD'!$B$4="Zone",IF(446&lt;=$X$4,IF(OR('COMMUNITY CHURCH DASHBOARD'!$C$4="",ISNUMBER(SEARCH('COMMUNITY CHURCH DASHBOARD'!$C$4,INDEX(MASTER_ZONES!$B:$B,447)))),446,""),""),""))</f>
        <v/>
      </c>
    </row>
    <row r="448">
      <c r="A448">
        <f>IF('WSF DASHBOARD'!$B$4="Area",IF(447&lt;=$D$3,IF(AND(OR('WSF DASHBOARD'!$C$4="",ISNUMBER(SEARCH('WSF DASHBOARD'!$C$4,INDEX(MASTER_AREAS!$B:$B,448))))),447,""),""),IF('WSF DASHBOARD'!$B$4="Zone",IF(447&lt;=$D$4,IF(OR('WSF DASHBOARD'!$C$4="",ISNUMBER(SEARCH('WSF DASHBOARD'!$C$4,INDEX(MASTER_ZONES!$B:$B,448)))),447,""),""),""))</f>
        <v/>
      </c>
      <c r="F448">
        <f>IF('TRANSPORT DASHBOARD'!$B$4="Area",IF(447&lt;=$I$3,IF(AND(INDEX(MASTER_AREAS!$F:$F,448)&lt;&gt;"N",OR('TRANSPORT DASHBOARD'!$C$4="",ISNUMBER(SEARCH('TRANSPORT DASHBOARD'!$C$4,INDEX(MASTER_AREAS!$B:$B,448))))),447,""),""),IF('TRANSPORT DASHBOARD'!$B$4="Zone",IF(447&lt;=$I$4,IF(OR('TRANSPORT DASHBOARD'!$C$4="",ISNUMBER(SEARCH('TRANSPORT DASHBOARD'!$C$4,INDEX(MASTER_ZONES!$B:$B,448)))),447,""),""),""))</f>
        <v/>
      </c>
      <c r="K448">
        <f>IF('MIDWEEK DASHBOARD'!$B$4="Area",IF(447&lt;=$N$3,IF(AND(OR('MIDWEEK DASHBOARD'!$C$4="",ISNUMBER(SEARCH('MIDWEEK DASHBOARD'!$C$4,INDEX(MASTER_AREAS!$B:$B,448))))),447,""),""),IF('MIDWEEK DASHBOARD'!$B$4="Zone",IF(447&lt;=$N$4,IF(OR('MIDWEEK DASHBOARD'!$C$4="",ISNUMBER(SEARCH('MIDWEEK DASHBOARD'!$C$4,INDEX(MASTER_ZONES!$B:$B,448)))),447,""),""),""))</f>
        <v/>
      </c>
      <c r="P448">
        <f>IF('CHOP DASHBOARD'!$B$4="Area",IF(447&lt;=$S$3,IF(AND(OR('CHOP DASHBOARD'!$C$4="",ISNUMBER(SEARCH('CHOP DASHBOARD'!$C$4,INDEX(MASTER_AREAS!$B:$B,448))))),447,""),""),IF('CHOP DASHBOARD'!$B$4="Zone",IF(447&lt;=$S$4,IF(OR('CHOP DASHBOARD'!$C$4="",ISNUMBER(SEARCH('CHOP DASHBOARD'!$C$4,INDEX(MASTER_ZONES!$B:$B,448)))),447,""),""),""))</f>
        <v/>
      </c>
      <c r="U448">
        <f>IF('COMMUNITY CHURCH DASHBOARD'!$B$4="Area",IF(447&lt;=$X$3,IF(AND(OR('COMMUNITY CHURCH DASHBOARD'!$C$4="",ISNUMBER(SEARCH('COMMUNITY CHURCH DASHBOARD'!$C$4,INDEX(MASTER_AREAS!$B:$B,448))))),447,""),""),IF('COMMUNITY CHURCH DASHBOARD'!$B$4="Zone",IF(447&lt;=$X$4,IF(OR('COMMUNITY CHURCH DASHBOARD'!$C$4="",ISNUMBER(SEARCH('COMMUNITY CHURCH DASHBOARD'!$C$4,INDEX(MASTER_ZONES!$B:$B,448)))),447,""),""),""))</f>
        <v/>
      </c>
    </row>
    <row r="449">
      <c r="A449">
        <f>IF('WSF DASHBOARD'!$B$4="Area",IF(448&lt;=$D$3,IF(AND(OR('WSF DASHBOARD'!$C$4="",ISNUMBER(SEARCH('WSF DASHBOARD'!$C$4,INDEX(MASTER_AREAS!$B:$B,449))))),448,""),""),IF('WSF DASHBOARD'!$B$4="Zone",IF(448&lt;=$D$4,IF(OR('WSF DASHBOARD'!$C$4="",ISNUMBER(SEARCH('WSF DASHBOARD'!$C$4,INDEX(MASTER_ZONES!$B:$B,449)))),448,""),""),""))</f>
        <v/>
      </c>
      <c r="F449">
        <f>IF('TRANSPORT DASHBOARD'!$B$4="Area",IF(448&lt;=$I$3,IF(AND(INDEX(MASTER_AREAS!$F:$F,449)&lt;&gt;"N",OR('TRANSPORT DASHBOARD'!$C$4="",ISNUMBER(SEARCH('TRANSPORT DASHBOARD'!$C$4,INDEX(MASTER_AREAS!$B:$B,449))))),448,""),""),IF('TRANSPORT DASHBOARD'!$B$4="Zone",IF(448&lt;=$I$4,IF(OR('TRANSPORT DASHBOARD'!$C$4="",ISNUMBER(SEARCH('TRANSPORT DASHBOARD'!$C$4,INDEX(MASTER_ZONES!$B:$B,449)))),448,""),""),""))</f>
        <v/>
      </c>
      <c r="K449">
        <f>IF('MIDWEEK DASHBOARD'!$B$4="Area",IF(448&lt;=$N$3,IF(AND(OR('MIDWEEK DASHBOARD'!$C$4="",ISNUMBER(SEARCH('MIDWEEK DASHBOARD'!$C$4,INDEX(MASTER_AREAS!$B:$B,449))))),448,""),""),IF('MIDWEEK DASHBOARD'!$B$4="Zone",IF(448&lt;=$N$4,IF(OR('MIDWEEK DASHBOARD'!$C$4="",ISNUMBER(SEARCH('MIDWEEK DASHBOARD'!$C$4,INDEX(MASTER_ZONES!$B:$B,449)))),448,""),""),""))</f>
        <v/>
      </c>
      <c r="P449">
        <f>IF('CHOP DASHBOARD'!$B$4="Area",IF(448&lt;=$S$3,IF(AND(OR('CHOP DASHBOARD'!$C$4="",ISNUMBER(SEARCH('CHOP DASHBOARD'!$C$4,INDEX(MASTER_AREAS!$B:$B,449))))),448,""),""),IF('CHOP DASHBOARD'!$B$4="Zone",IF(448&lt;=$S$4,IF(OR('CHOP DASHBOARD'!$C$4="",ISNUMBER(SEARCH('CHOP DASHBOARD'!$C$4,INDEX(MASTER_ZONES!$B:$B,449)))),448,""),""),""))</f>
        <v/>
      </c>
      <c r="U449">
        <f>IF('COMMUNITY CHURCH DASHBOARD'!$B$4="Area",IF(448&lt;=$X$3,IF(AND(OR('COMMUNITY CHURCH DASHBOARD'!$C$4="",ISNUMBER(SEARCH('COMMUNITY CHURCH DASHBOARD'!$C$4,INDEX(MASTER_AREAS!$B:$B,449))))),448,""),""),IF('COMMUNITY CHURCH DASHBOARD'!$B$4="Zone",IF(448&lt;=$X$4,IF(OR('COMMUNITY CHURCH DASHBOARD'!$C$4="",ISNUMBER(SEARCH('COMMUNITY CHURCH DASHBOARD'!$C$4,INDEX(MASTER_ZONES!$B:$B,449)))),448,""),""),""))</f>
        <v/>
      </c>
    </row>
    <row r="450">
      <c r="A450">
        <f>IF('WSF DASHBOARD'!$B$4="Area",IF(449&lt;=$D$3,IF(AND(OR('WSF DASHBOARD'!$C$4="",ISNUMBER(SEARCH('WSF DASHBOARD'!$C$4,INDEX(MASTER_AREAS!$B:$B,450))))),449,""),""),IF('WSF DASHBOARD'!$B$4="Zone",IF(449&lt;=$D$4,IF(OR('WSF DASHBOARD'!$C$4="",ISNUMBER(SEARCH('WSF DASHBOARD'!$C$4,INDEX(MASTER_ZONES!$B:$B,450)))),449,""),""),""))</f>
        <v/>
      </c>
      <c r="F450">
        <f>IF('TRANSPORT DASHBOARD'!$B$4="Area",IF(449&lt;=$I$3,IF(AND(INDEX(MASTER_AREAS!$F:$F,450)&lt;&gt;"N",OR('TRANSPORT DASHBOARD'!$C$4="",ISNUMBER(SEARCH('TRANSPORT DASHBOARD'!$C$4,INDEX(MASTER_AREAS!$B:$B,450))))),449,""),""),IF('TRANSPORT DASHBOARD'!$B$4="Zone",IF(449&lt;=$I$4,IF(OR('TRANSPORT DASHBOARD'!$C$4="",ISNUMBER(SEARCH('TRANSPORT DASHBOARD'!$C$4,INDEX(MASTER_ZONES!$B:$B,450)))),449,""),""),""))</f>
        <v/>
      </c>
      <c r="K450">
        <f>IF('MIDWEEK DASHBOARD'!$B$4="Area",IF(449&lt;=$N$3,IF(AND(OR('MIDWEEK DASHBOARD'!$C$4="",ISNUMBER(SEARCH('MIDWEEK DASHBOARD'!$C$4,INDEX(MASTER_AREAS!$B:$B,450))))),449,""),""),IF('MIDWEEK DASHBOARD'!$B$4="Zone",IF(449&lt;=$N$4,IF(OR('MIDWEEK DASHBOARD'!$C$4="",ISNUMBER(SEARCH('MIDWEEK DASHBOARD'!$C$4,INDEX(MASTER_ZONES!$B:$B,450)))),449,""),""),""))</f>
        <v/>
      </c>
      <c r="P450">
        <f>IF('CHOP DASHBOARD'!$B$4="Area",IF(449&lt;=$S$3,IF(AND(OR('CHOP DASHBOARD'!$C$4="",ISNUMBER(SEARCH('CHOP DASHBOARD'!$C$4,INDEX(MASTER_AREAS!$B:$B,450))))),449,""),""),IF('CHOP DASHBOARD'!$B$4="Zone",IF(449&lt;=$S$4,IF(OR('CHOP DASHBOARD'!$C$4="",ISNUMBER(SEARCH('CHOP DASHBOARD'!$C$4,INDEX(MASTER_ZONES!$B:$B,450)))),449,""),""),""))</f>
        <v/>
      </c>
      <c r="U450">
        <f>IF('COMMUNITY CHURCH DASHBOARD'!$B$4="Area",IF(449&lt;=$X$3,IF(AND(OR('COMMUNITY CHURCH DASHBOARD'!$C$4="",ISNUMBER(SEARCH('COMMUNITY CHURCH DASHBOARD'!$C$4,INDEX(MASTER_AREAS!$B:$B,450))))),449,""),""),IF('COMMUNITY CHURCH DASHBOARD'!$B$4="Zone",IF(449&lt;=$X$4,IF(OR('COMMUNITY CHURCH DASHBOARD'!$C$4="",ISNUMBER(SEARCH('COMMUNITY CHURCH DASHBOARD'!$C$4,INDEX(MASTER_ZONES!$B:$B,450)))),449,""),""),""))</f>
        <v/>
      </c>
    </row>
    <row r="451">
      <c r="A451">
        <f>IF('WSF DASHBOARD'!$B$4="Area",IF(450&lt;=$D$3,IF(AND(OR('WSF DASHBOARD'!$C$4="",ISNUMBER(SEARCH('WSF DASHBOARD'!$C$4,INDEX(MASTER_AREAS!$B:$B,451))))),450,""),""),IF('WSF DASHBOARD'!$B$4="Zone",IF(450&lt;=$D$4,IF(OR('WSF DASHBOARD'!$C$4="",ISNUMBER(SEARCH('WSF DASHBOARD'!$C$4,INDEX(MASTER_ZONES!$B:$B,451)))),450,""),""),""))</f>
        <v/>
      </c>
      <c r="F451">
        <f>IF('TRANSPORT DASHBOARD'!$B$4="Area",IF(450&lt;=$I$3,IF(AND(INDEX(MASTER_AREAS!$F:$F,451)&lt;&gt;"N",OR('TRANSPORT DASHBOARD'!$C$4="",ISNUMBER(SEARCH('TRANSPORT DASHBOARD'!$C$4,INDEX(MASTER_AREAS!$B:$B,451))))),450,""),""),IF('TRANSPORT DASHBOARD'!$B$4="Zone",IF(450&lt;=$I$4,IF(OR('TRANSPORT DASHBOARD'!$C$4="",ISNUMBER(SEARCH('TRANSPORT DASHBOARD'!$C$4,INDEX(MASTER_ZONES!$B:$B,451)))),450,""),""),""))</f>
        <v/>
      </c>
      <c r="K451">
        <f>IF('MIDWEEK DASHBOARD'!$B$4="Area",IF(450&lt;=$N$3,IF(AND(OR('MIDWEEK DASHBOARD'!$C$4="",ISNUMBER(SEARCH('MIDWEEK DASHBOARD'!$C$4,INDEX(MASTER_AREAS!$B:$B,451))))),450,""),""),IF('MIDWEEK DASHBOARD'!$B$4="Zone",IF(450&lt;=$N$4,IF(OR('MIDWEEK DASHBOARD'!$C$4="",ISNUMBER(SEARCH('MIDWEEK DASHBOARD'!$C$4,INDEX(MASTER_ZONES!$B:$B,451)))),450,""),""),""))</f>
        <v/>
      </c>
      <c r="P451">
        <f>IF('CHOP DASHBOARD'!$B$4="Area",IF(450&lt;=$S$3,IF(AND(OR('CHOP DASHBOARD'!$C$4="",ISNUMBER(SEARCH('CHOP DASHBOARD'!$C$4,INDEX(MASTER_AREAS!$B:$B,451))))),450,""),""),IF('CHOP DASHBOARD'!$B$4="Zone",IF(450&lt;=$S$4,IF(OR('CHOP DASHBOARD'!$C$4="",ISNUMBER(SEARCH('CHOP DASHBOARD'!$C$4,INDEX(MASTER_ZONES!$B:$B,451)))),450,""),""),""))</f>
        <v/>
      </c>
      <c r="U451">
        <f>IF('COMMUNITY CHURCH DASHBOARD'!$B$4="Area",IF(450&lt;=$X$3,IF(AND(OR('COMMUNITY CHURCH DASHBOARD'!$C$4="",ISNUMBER(SEARCH('COMMUNITY CHURCH DASHBOARD'!$C$4,INDEX(MASTER_AREAS!$B:$B,451))))),450,""),""),IF('COMMUNITY CHURCH DASHBOARD'!$B$4="Zone",IF(450&lt;=$X$4,IF(OR('COMMUNITY CHURCH DASHBOARD'!$C$4="",ISNUMBER(SEARCH('COMMUNITY CHURCH DASHBOARD'!$C$4,INDEX(MASTER_ZONES!$B:$B,451)))),450,""),""),""))</f>
        <v/>
      </c>
    </row>
    <row r="452">
      <c r="A452">
        <f>IF('WSF DASHBOARD'!$B$4="Area",IF(451&lt;=$D$3,IF(AND(OR('WSF DASHBOARD'!$C$4="",ISNUMBER(SEARCH('WSF DASHBOARD'!$C$4,INDEX(MASTER_AREAS!$B:$B,452))))),451,""),""),IF('WSF DASHBOARD'!$B$4="Zone",IF(451&lt;=$D$4,IF(OR('WSF DASHBOARD'!$C$4="",ISNUMBER(SEARCH('WSF DASHBOARD'!$C$4,INDEX(MASTER_ZONES!$B:$B,452)))),451,""),""),""))</f>
        <v/>
      </c>
      <c r="F452">
        <f>IF('TRANSPORT DASHBOARD'!$B$4="Area",IF(451&lt;=$I$3,IF(AND(INDEX(MASTER_AREAS!$F:$F,452)&lt;&gt;"N",OR('TRANSPORT DASHBOARD'!$C$4="",ISNUMBER(SEARCH('TRANSPORT DASHBOARD'!$C$4,INDEX(MASTER_AREAS!$B:$B,452))))),451,""),""),IF('TRANSPORT DASHBOARD'!$B$4="Zone",IF(451&lt;=$I$4,IF(OR('TRANSPORT DASHBOARD'!$C$4="",ISNUMBER(SEARCH('TRANSPORT DASHBOARD'!$C$4,INDEX(MASTER_ZONES!$B:$B,452)))),451,""),""),""))</f>
        <v/>
      </c>
      <c r="K452">
        <f>IF('MIDWEEK DASHBOARD'!$B$4="Area",IF(451&lt;=$N$3,IF(AND(OR('MIDWEEK DASHBOARD'!$C$4="",ISNUMBER(SEARCH('MIDWEEK DASHBOARD'!$C$4,INDEX(MASTER_AREAS!$B:$B,452))))),451,""),""),IF('MIDWEEK DASHBOARD'!$B$4="Zone",IF(451&lt;=$N$4,IF(OR('MIDWEEK DASHBOARD'!$C$4="",ISNUMBER(SEARCH('MIDWEEK DASHBOARD'!$C$4,INDEX(MASTER_ZONES!$B:$B,452)))),451,""),""),""))</f>
        <v/>
      </c>
      <c r="P452">
        <f>IF('CHOP DASHBOARD'!$B$4="Area",IF(451&lt;=$S$3,IF(AND(OR('CHOP DASHBOARD'!$C$4="",ISNUMBER(SEARCH('CHOP DASHBOARD'!$C$4,INDEX(MASTER_AREAS!$B:$B,452))))),451,""),""),IF('CHOP DASHBOARD'!$B$4="Zone",IF(451&lt;=$S$4,IF(OR('CHOP DASHBOARD'!$C$4="",ISNUMBER(SEARCH('CHOP DASHBOARD'!$C$4,INDEX(MASTER_ZONES!$B:$B,452)))),451,""),""),""))</f>
        <v/>
      </c>
      <c r="U452">
        <f>IF('COMMUNITY CHURCH DASHBOARD'!$B$4="Area",IF(451&lt;=$X$3,IF(AND(OR('COMMUNITY CHURCH DASHBOARD'!$C$4="",ISNUMBER(SEARCH('COMMUNITY CHURCH DASHBOARD'!$C$4,INDEX(MASTER_AREAS!$B:$B,452))))),451,""),""),IF('COMMUNITY CHURCH DASHBOARD'!$B$4="Zone",IF(451&lt;=$X$4,IF(OR('COMMUNITY CHURCH DASHBOARD'!$C$4="",ISNUMBER(SEARCH('COMMUNITY CHURCH DASHBOARD'!$C$4,INDEX(MASTER_ZONES!$B:$B,452)))),451,""),""),""))</f>
        <v/>
      </c>
    </row>
    <row r="453">
      <c r="A453">
        <f>IF('WSF DASHBOARD'!$B$4="Area",IF(452&lt;=$D$3,IF(AND(OR('WSF DASHBOARD'!$C$4="",ISNUMBER(SEARCH('WSF DASHBOARD'!$C$4,INDEX(MASTER_AREAS!$B:$B,453))))),452,""),""),IF('WSF DASHBOARD'!$B$4="Zone",IF(452&lt;=$D$4,IF(OR('WSF DASHBOARD'!$C$4="",ISNUMBER(SEARCH('WSF DASHBOARD'!$C$4,INDEX(MASTER_ZONES!$B:$B,453)))),452,""),""),""))</f>
        <v/>
      </c>
      <c r="F453">
        <f>IF('TRANSPORT DASHBOARD'!$B$4="Area",IF(452&lt;=$I$3,IF(AND(INDEX(MASTER_AREAS!$F:$F,453)&lt;&gt;"N",OR('TRANSPORT DASHBOARD'!$C$4="",ISNUMBER(SEARCH('TRANSPORT DASHBOARD'!$C$4,INDEX(MASTER_AREAS!$B:$B,453))))),452,""),""),IF('TRANSPORT DASHBOARD'!$B$4="Zone",IF(452&lt;=$I$4,IF(OR('TRANSPORT DASHBOARD'!$C$4="",ISNUMBER(SEARCH('TRANSPORT DASHBOARD'!$C$4,INDEX(MASTER_ZONES!$B:$B,453)))),452,""),""),""))</f>
        <v/>
      </c>
      <c r="K453">
        <f>IF('MIDWEEK DASHBOARD'!$B$4="Area",IF(452&lt;=$N$3,IF(AND(OR('MIDWEEK DASHBOARD'!$C$4="",ISNUMBER(SEARCH('MIDWEEK DASHBOARD'!$C$4,INDEX(MASTER_AREAS!$B:$B,453))))),452,""),""),IF('MIDWEEK DASHBOARD'!$B$4="Zone",IF(452&lt;=$N$4,IF(OR('MIDWEEK DASHBOARD'!$C$4="",ISNUMBER(SEARCH('MIDWEEK DASHBOARD'!$C$4,INDEX(MASTER_ZONES!$B:$B,453)))),452,""),""),""))</f>
        <v/>
      </c>
      <c r="P453">
        <f>IF('CHOP DASHBOARD'!$B$4="Area",IF(452&lt;=$S$3,IF(AND(OR('CHOP DASHBOARD'!$C$4="",ISNUMBER(SEARCH('CHOP DASHBOARD'!$C$4,INDEX(MASTER_AREAS!$B:$B,453))))),452,""),""),IF('CHOP DASHBOARD'!$B$4="Zone",IF(452&lt;=$S$4,IF(OR('CHOP DASHBOARD'!$C$4="",ISNUMBER(SEARCH('CHOP DASHBOARD'!$C$4,INDEX(MASTER_ZONES!$B:$B,453)))),452,""),""),""))</f>
        <v/>
      </c>
      <c r="U453">
        <f>IF('COMMUNITY CHURCH DASHBOARD'!$B$4="Area",IF(452&lt;=$X$3,IF(AND(OR('COMMUNITY CHURCH DASHBOARD'!$C$4="",ISNUMBER(SEARCH('COMMUNITY CHURCH DASHBOARD'!$C$4,INDEX(MASTER_AREAS!$B:$B,453))))),452,""),""),IF('COMMUNITY CHURCH DASHBOARD'!$B$4="Zone",IF(452&lt;=$X$4,IF(OR('COMMUNITY CHURCH DASHBOARD'!$C$4="",ISNUMBER(SEARCH('COMMUNITY CHURCH DASHBOARD'!$C$4,INDEX(MASTER_ZONES!$B:$B,453)))),452,""),""),""))</f>
        <v/>
      </c>
    </row>
    <row r="454">
      <c r="A454">
        <f>IF('WSF DASHBOARD'!$B$4="Area",IF(453&lt;=$D$3,IF(AND(OR('WSF DASHBOARD'!$C$4="",ISNUMBER(SEARCH('WSF DASHBOARD'!$C$4,INDEX(MASTER_AREAS!$B:$B,454))))),453,""),""),IF('WSF DASHBOARD'!$B$4="Zone",IF(453&lt;=$D$4,IF(OR('WSF DASHBOARD'!$C$4="",ISNUMBER(SEARCH('WSF DASHBOARD'!$C$4,INDEX(MASTER_ZONES!$B:$B,454)))),453,""),""),""))</f>
        <v/>
      </c>
      <c r="F454">
        <f>IF('TRANSPORT DASHBOARD'!$B$4="Area",IF(453&lt;=$I$3,IF(AND(INDEX(MASTER_AREAS!$F:$F,454)&lt;&gt;"N",OR('TRANSPORT DASHBOARD'!$C$4="",ISNUMBER(SEARCH('TRANSPORT DASHBOARD'!$C$4,INDEX(MASTER_AREAS!$B:$B,454))))),453,""),""),IF('TRANSPORT DASHBOARD'!$B$4="Zone",IF(453&lt;=$I$4,IF(OR('TRANSPORT DASHBOARD'!$C$4="",ISNUMBER(SEARCH('TRANSPORT DASHBOARD'!$C$4,INDEX(MASTER_ZONES!$B:$B,454)))),453,""),""),""))</f>
        <v/>
      </c>
      <c r="K454">
        <f>IF('MIDWEEK DASHBOARD'!$B$4="Area",IF(453&lt;=$N$3,IF(AND(OR('MIDWEEK DASHBOARD'!$C$4="",ISNUMBER(SEARCH('MIDWEEK DASHBOARD'!$C$4,INDEX(MASTER_AREAS!$B:$B,454))))),453,""),""),IF('MIDWEEK DASHBOARD'!$B$4="Zone",IF(453&lt;=$N$4,IF(OR('MIDWEEK DASHBOARD'!$C$4="",ISNUMBER(SEARCH('MIDWEEK DASHBOARD'!$C$4,INDEX(MASTER_ZONES!$B:$B,454)))),453,""),""),""))</f>
        <v/>
      </c>
      <c r="P454">
        <f>IF('CHOP DASHBOARD'!$B$4="Area",IF(453&lt;=$S$3,IF(AND(OR('CHOP DASHBOARD'!$C$4="",ISNUMBER(SEARCH('CHOP DASHBOARD'!$C$4,INDEX(MASTER_AREAS!$B:$B,454))))),453,""),""),IF('CHOP DASHBOARD'!$B$4="Zone",IF(453&lt;=$S$4,IF(OR('CHOP DASHBOARD'!$C$4="",ISNUMBER(SEARCH('CHOP DASHBOARD'!$C$4,INDEX(MASTER_ZONES!$B:$B,454)))),453,""),""),""))</f>
        <v/>
      </c>
      <c r="U454">
        <f>IF('COMMUNITY CHURCH DASHBOARD'!$B$4="Area",IF(453&lt;=$X$3,IF(AND(OR('COMMUNITY CHURCH DASHBOARD'!$C$4="",ISNUMBER(SEARCH('COMMUNITY CHURCH DASHBOARD'!$C$4,INDEX(MASTER_AREAS!$B:$B,454))))),453,""),""),IF('COMMUNITY CHURCH DASHBOARD'!$B$4="Zone",IF(453&lt;=$X$4,IF(OR('COMMUNITY CHURCH DASHBOARD'!$C$4="",ISNUMBER(SEARCH('COMMUNITY CHURCH DASHBOARD'!$C$4,INDEX(MASTER_ZONES!$B:$B,454)))),453,""),""),""))</f>
        <v/>
      </c>
    </row>
    <row r="455">
      <c r="A455">
        <f>IF('WSF DASHBOARD'!$B$4="Area",IF(454&lt;=$D$3,IF(AND(OR('WSF DASHBOARD'!$C$4="",ISNUMBER(SEARCH('WSF DASHBOARD'!$C$4,INDEX(MASTER_AREAS!$B:$B,455))))),454,""),""),IF('WSF DASHBOARD'!$B$4="Zone",IF(454&lt;=$D$4,IF(OR('WSF DASHBOARD'!$C$4="",ISNUMBER(SEARCH('WSF DASHBOARD'!$C$4,INDEX(MASTER_ZONES!$B:$B,455)))),454,""),""),""))</f>
        <v/>
      </c>
      <c r="F455">
        <f>IF('TRANSPORT DASHBOARD'!$B$4="Area",IF(454&lt;=$I$3,IF(AND(INDEX(MASTER_AREAS!$F:$F,455)&lt;&gt;"N",OR('TRANSPORT DASHBOARD'!$C$4="",ISNUMBER(SEARCH('TRANSPORT DASHBOARD'!$C$4,INDEX(MASTER_AREAS!$B:$B,455))))),454,""),""),IF('TRANSPORT DASHBOARD'!$B$4="Zone",IF(454&lt;=$I$4,IF(OR('TRANSPORT DASHBOARD'!$C$4="",ISNUMBER(SEARCH('TRANSPORT DASHBOARD'!$C$4,INDEX(MASTER_ZONES!$B:$B,455)))),454,""),""),""))</f>
        <v/>
      </c>
      <c r="K455">
        <f>IF('MIDWEEK DASHBOARD'!$B$4="Area",IF(454&lt;=$N$3,IF(AND(OR('MIDWEEK DASHBOARD'!$C$4="",ISNUMBER(SEARCH('MIDWEEK DASHBOARD'!$C$4,INDEX(MASTER_AREAS!$B:$B,455))))),454,""),""),IF('MIDWEEK DASHBOARD'!$B$4="Zone",IF(454&lt;=$N$4,IF(OR('MIDWEEK DASHBOARD'!$C$4="",ISNUMBER(SEARCH('MIDWEEK DASHBOARD'!$C$4,INDEX(MASTER_ZONES!$B:$B,455)))),454,""),""),""))</f>
        <v/>
      </c>
      <c r="P455">
        <f>IF('CHOP DASHBOARD'!$B$4="Area",IF(454&lt;=$S$3,IF(AND(OR('CHOP DASHBOARD'!$C$4="",ISNUMBER(SEARCH('CHOP DASHBOARD'!$C$4,INDEX(MASTER_AREAS!$B:$B,455))))),454,""),""),IF('CHOP DASHBOARD'!$B$4="Zone",IF(454&lt;=$S$4,IF(OR('CHOP DASHBOARD'!$C$4="",ISNUMBER(SEARCH('CHOP DASHBOARD'!$C$4,INDEX(MASTER_ZONES!$B:$B,455)))),454,""),""),""))</f>
        <v/>
      </c>
      <c r="U455">
        <f>IF('COMMUNITY CHURCH DASHBOARD'!$B$4="Area",IF(454&lt;=$X$3,IF(AND(OR('COMMUNITY CHURCH DASHBOARD'!$C$4="",ISNUMBER(SEARCH('COMMUNITY CHURCH DASHBOARD'!$C$4,INDEX(MASTER_AREAS!$B:$B,455))))),454,""),""),IF('COMMUNITY CHURCH DASHBOARD'!$B$4="Zone",IF(454&lt;=$X$4,IF(OR('COMMUNITY CHURCH DASHBOARD'!$C$4="",ISNUMBER(SEARCH('COMMUNITY CHURCH DASHBOARD'!$C$4,INDEX(MASTER_ZONES!$B:$B,455)))),454,""),""),""))</f>
        <v/>
      </c>
    </row>
    <row r="456">
      <c r="A456">
        <f>IF('WSF DASHBOARD'!$B$4="Area",IF(455&lt;=$D$3,IF(AND(OR('WSF DASHBOARD'!$C$4="",ISNUMBER(SEARCH('WSF DASHBOARD'!$C$4,INDEX(MASTER_AREAS!$B:$B,456))))),455,""),""),IF('WSF DASHBOARD'!$B$4="Zone",IF(455&lt;=$D$4,IF(OR('WSF DASHBOARD'!$C$4="",ISNUMBER(SEARCH('WSF DASHBOARD'!$C$4,INDEX(MASTER_ZONES!$B:$B,456)))),455,""),""),""))</f>
        <v/>
      </c>
      <c r="F456">
        <f>IF('TRANSPORT DASHBOARD'!$B$4="Area",IF(455&lt;=$I$3,IF(AND(INDEX(MASTER_AREAS!$F:$F,456)&lt;&gt;"N",OR('TRANSPORT DASHBOARD'!$C$4="",ISNUMBER(SEARCH('TRANSPORT DASHBOARD'!$C$4,INDEX(MASTER_AREAS!$B:$B,456))))),455,""),""),IF('TRANSPORT DASHBOARD'!$B$4="Zone",IF(455&lt;=$I$4,IF(OR('TRANSPORT DASHBOARD'!$C$4="",ISNUMBER(SEARCH('TRANSPORT DASHBOARD'!$C$4,INDEX(MASTER_ZONES!$B:$B,456)))),455,""),""),""))</f>
        <v/>
      </c>
      <c r="K456">
        <f>IF('MIDWEEK DASHBOARD'!$B$4="Area",IF(455&lt;=$N$3,IF(AND(OR('MIDWEEK DASHBOARD'!$C$4="",ISNUMBER(SEARCH('MIDWEEK DASHBOARD'!$C$4,INDEX(MASTER_AREAS!$B:$B,456))))),455,""),""),IF('MIDWEEK DASHBOARD'!$B$4="Zone",IF(455&lt;=$N$4,IF(OR('MIDWEEK DASHBOARD'!$C$4="",ISNUMBER(SEARCH('MIDWEEK DASHBOARD'!$C$4,INDEX(MASTER_ZONES!$B:$B,456)))),455,""),""),""))</f>
        <v/>
      </c>
      <c r="P456">
        <f>IF('CHOP DASHBOARD'!$B$4="Area",IF(455&lt;=$S$3,IF(AND(OR('CHOP DASHBOARD'!$C$4="",ISNUMBER(SEARCH('CHOP DASHBOARD'!$C$4,INDEX(MASTER_AREAS!$B:$B,456))))),455,""),""),IF('CHOP DASHBOARD'!$B$4="Zone",IF(455&lt;=$S$4,IF(OR('CHOP DASHBOARD'!$C$4="",ISNUMBER(SEARCH('CHOP DASHBOARD'!$C$4,INDEX(MASTER_ZONES!$B:$B,456)))),455,""),""),""))</f>
        <v/>
      </c>
      <c r="U456">
        <f>IF('COMMUNITY CHURCH DASHBOARD'!$B$4="Area",IF(455&lt;=$X$3,IF(AND(OR('COMMUNITY CHURCH DASHBOARD'!$C$4="",ISNUMBER(SEARCH('COMMUNITY CHURCH DASHBOARD'!$C$4,INDEX(MASTER_AREAS!$B:$B,456))))),455,""),""),IF('COMMUNITY CHURCH DASHBOARD'!$B$4="Zone",IF(455&lt;=$X$4,IF(OR('COMMUNITY CHURCH DASHBOARD'!$C$4="",ISNUMBER(SEARCH('COMMUNITY CHURCH DASHBOARD'!$C$4,INDEX(MASTER_ZONES!$B:$B,456)))),455,""),""),""))</f>
        <v/>
      </c>
    </row>
    <row r="457">
      <c r="A457">
        <f>IF('WSF DASHBOARD'!$B$4="Area",IF(456&lt;=$D$3,IF(AND(OR('WSF DASHBOARD'!$C$4="",ISNUMBER(SEARCH('WSF DASHBOARD'!$C$4,INDEX(MASTER_AREAS!$B:$B,457))))),456,""),""),IF('WSF DASHBOARD'!$B$4="Zone",IF(456&lt;=$D$4,IF(OR('WSF DASHBOARD'!$C$4="",ISNUMBER(SEARCH('WSF DASHBOARD'!$C$4,INDEX(MASTER_ZONES!$B:$B,457)))),456,""),""),""))</f>
        <v/>
      </c>
      <c r="F457">
        <f>IF('TRANSPORT DASHBOARD'!$B$4="Area",IF(456&lt;=$I$3,IF(AND(INDEX(MASTER_AREAS!$F:$F,457)&lt;&gt;"N",OR('TRANSPORT DASHBOARD'!$C$4="",ISNUMBER(SEARCH('TRANSPORT DASHBOARD'!$C$4,INDEX(MASTER_AREAS!$B:$B,457))))),456,""),""),IF('TRANSPORT DASHBOARD'!$B$4="Zone",IF(456&lt;=$I$4,IF(OR('TRANSPORT DASHBOARD'!$C$4="",ISNUMBER(SEARCH('TRANSPORT DASHBOARD'!$C$4,INDEX(MASTER_ZONES!$B:$B,457)))),456,""),""),""))</f>
        <v/>
      </c>
      <c r="K457">
        <f>IF('MIDWEEK DASHBOARD'!$B$4="Area",IF(456&lt;=$N$3,IF(AND(OR('MIDWEEK DASHBOARD'!$C$4="",ISNUMBER(SEARCH('MIDWEEK DASHBOARD'!$C$4,INDEX(MASTER_AREAS!$B:$B,457))))),456,""),""),IF('MIDWEEK DASHBOARD'!$B$4="Zone",IF(456&lt;=$N$4,IF(OR('MIDWEEK DASHBOARD'!$C$4="",ISNUMBER(SEARCH('MIDWEEK DASHBOARD'!$C$4,INDEX(MASTER_ZONES!$B:$B,457)))),456,""),""),""))</f>
        <v/>
      </c>
      <c r="P457">
        <f>IF('CHOP DASHBOARD'!$B$4="Area",IF(456&lt;=$S$3,IF(AND(OR('CHOP DASHBOARD'!$C$4="",ISNUMBER(SEARCH('CHOP DASHBOARD'!$C$4,INDEX(MASTER_AREAS!$B:$B,457))))),456,""),""),IF('CHOP DASHBOARD'!$B$4="Zone",IF(456&lt;=$S$4,IF(OR('CHOP DASHBOARD'!$C$4="",ISNUMBER(SEARCH('CHOP DASHBOARD'!$C$4,INDEX(MASTER_ZONES!$B:$B,457)))),456,""),""),""))</f>
        <v/>
      </c>
      <c r="U457">
        <f>IF('COMMUNITY CHURCH DASHBOARD'!$B$4="Area",IF(456&lt;=$X$3,IF(AND(OR('COMMUNITY CHURCH DASHBOARD'!$C$4="",ISNUMBER(SEARCH('COMMUNITY CHURCH DASHBOARD'!$C$4,INDEX(MASTER_AREAS!$B:$B,457))))),456,""),""),IF('COMMUNITY CHURCH DASHBOARD'!$B$4="Zone",IF(456&lt;=$X$4,IF(OR('COMMUNITY CHURCH DASHBOARD'!$C$4="",ISNUMBER(SEARCH('COMMUNITY CHURCH DASHBOARD'!$C$4,INDEX(MASTER_ZONES!$B:$B,457)))),456,""),""),""))</f>
        <v/>
      </c>
    </row>
    <row r="458">
      <c r="A458">
        <f>IF('WSF DASHBOARD'!$B$4="Area",IF(457&lt;=$D$3,IF(AND(OR('WSF DASHBOARD'!$C$4="",ISNUMBER(SEARCH('WSF DASHBOARD'!$C$4,INDEX(MASTER_AREAS!$B:$B,458))))),457,""),""),IF('WSF DASHBOARD'!$B$4="Zone",IF(457&lt;=$D$4,IF(OR('WSF DASHBOARD'!$C$4="",ISNUMBER(SEARCH('WSF DASHBOARD'!$C$4,INDEX(MASTER_ZONES!$B:$B,458)))),457,""),""),""))</f>
        <v/>
      </c>
      <c r="F458">
        <f>IF('TRANSPORT DASHBOARD'!$B$4="Area",IF(457&lt;=$I$3,IF(AND(INDEX(MASTER_AREAS!$F:$F,458)&lt;&gt;"N",OR('TRANSPORT DASHBOARD'!$C$4="",ISNUMBER(SEARCH('TRANSPORT DASHBOARD'!$C$4,INDEX(MASTER_AREAS!$B:$B,458))))),457,""),""),IF('TRANSPORT DASHBOARD'!$B$4="Zone",IF(457&lt;=$I$4,IF(OR('TRANSPORT DASHBOARD'!$C$4="",ISNUMBER(SEARCH('TRANSPORT DASHBOARD'!$C$4,INDEX(MASTER_ZONES!$B:$B,458)))),457,""),""),""))</f>
        <v/>
      </c>
      <c r="K458">
        <f>IF('MIDWEEK DASHBOARD'!$B$4="Area",IF(457&lt;=$N$3,IF(AND(OR('MIDWEEK DASHBOARD'!$C$4="",ISNUMBER(SEARCH('MIDWEEK DASHBOARD'!$C$4,INDEX(MASTER_AREAS!$B:$B,458))))),457,""),""),IF('MIDWEEK DASHBOARD'!$B$4="Zone",IF(457&lt;=$N$4,IF(OR('MIDWEEK DASHBOARD'!$C$4="",ISNUMBER(SEARCH('MIDWEEK DASHBOARD'!$C$4,INDEX(MASTER_ZONES!$B:$B,458)))),457,""),""),""))</f>
        <v/>
      </c>
      <c r="P458">
        <f>IF('CHOP DASHBOARD'!$B$4="Area",IF(457&lt;=$S$3,IF(AND(OR('CHOP DASHBOARD'!$C$4="",ISNUMBER(SEARCH('CHOP DASHBOARD'!$C$4,INDEX(MASTER_AREAS!$B:$B,458))))),457,""),""),IF('CHOP DASHBOARD'!$B$4="Zone",IF(457&lt;=$S$4,IF(OR('CHOP DASHBOARD'!$C$4="",ISNUMBER(SEARCH('CHOP DASHBOARD'!$C$4,INDEX(MASTER_ZONES!$B:$B,458)))),457,""),""),""))</f>
        <v/>
      </c>
      <c r="U458">
        <f>IF('COMMUNITY CHURCH DASHBOARD'!$B$4="Area",IF(457&lt;=$X$3,IF(AND(OR('COMMUNITY CHURCH DASHBOARD'!$C$4="",ISNUMBER(SEARCH('COMMUNITY CHURCH DASHBOARD'!$C$4,INDEX(MASTER_AREAS!$B:$B,458))))),457,""),""),IF('COMMUNITY CHURCH DASHBOARD'!$B$4="Zone",IF(457&lt;=$X$4,IF(OR('COMMUNITY CHURCH DASHBOARD'!$C$4="",ISNUMBER(SEARCH('COMMUNITY CHURCH DASHBOARD'!$C$4,INDEX(MASTER_ZONES!$B:$B,458)))),457,""),""),""))</f>
        <v/>
      </c>
    </row>
    <row r="459">
      <c r="A459">
        <f>IF('WSF DASHBOARD'!$B$4="Area",IF(458&lt;=$D$3,IF(AND(OR('WSF DASHBOARD'!$C$4="",ISNUMBER(SEARCH('WSF DASHBOARD'!$C$4,INDEX(MASTER_AREAS!$B:$B,459))))),458,""),""),IF('WSF DASHBOARD'!$B$4="Zone",IF(458&lt;=$D$4,IF(OR('WSF DASHBOARD'!$C$4="",ISNUMBER(SEARCH('WSF DASHBOARD'!$C$4,INDEX(MASTER_ZONES!$B:$B,459)))),458,""),""),""))</f>
        <v/>
      </c>
      <c r="F459">
        <f>IF('TRANSPORT DASHBOARD'!$B$4="Area",IF(458&lt;=$I$3,IF(AND(INDEX(MASTER_AREAS!$F:$F,459)&lt;&gt;"N",OR('TRANSPORT DASHBOARD'!$C$4="",ISNUMBER(SEARCH('TRANSPORT DASHBOARD'!$C$4,INDEX(MASTER_AREAS!$B:$B,459))))),458,""),""),IF('TRANSPORT DASHBOARD'!$B$4="Zone",IF(458&lt;=$I$4,IF(OR('TRANSPORT DASHBOARD'!$C$4="",ISNUMBER(SEARCH('TRANSPORT DASHBOARD'!$C$4,INDEX(MASTER_ZONES!$B:$B,459)))),458,""),""),""))</f>
        <v/>
      </c>
      <c r="K459">
        <f>IF('MIDWEEK DASHBOARD'!$B$4="Area",IF(458&lt;=$N$3,IF(AND(OR('MIDWEEK DASHBOARD'!$C$4="",ISNUMBER(SEARCH('MIDWEEK DASHBOARD'!$C$4,INDEX(MASTER_AREAS!$B:$B,459))))),458,""),""),IF('MIDWEEK DASHBOARD'!$B$4="Zone",IF(458&lt;=$N$4,IF(OR('MIDWEEK DASHBOARD'!$C$4="",ISNUMBER(SEARCH('MIDWEEK DASHBOARD'!$C$4,INDEX(MASTER_ZONES!$B:$B,459)))),458,""),""),""))</f>
        <v/>
      </c>
      <c r="P459">
        <f>IF('CHOP DASHBOARD'!$B$4="Area",IF(458&lt;=$S$3,IF(AND(OR('CHOP DASHBOARD'!$C$4="",ISNUMBER(SEARCH('CHOP DASHBOARD'!$C$4,INDEX(MASTER_AREAS!$B:$B,459))))),458,""),""),IF('CHOP DASHBOARD'!$B$4="Zone",IF(458&lt;=$S$4,IF(OR('CHOP DASHBOARD'!$C$4="",ISNUMBER(SEARCH('CHOP DASHBOARD'!$C$4,INDEX(MASTER_ZONES!$B:$B,459)))),458,""),""),""))</f>
        <v/>
      </c>
      <c r="U459">
        <f>IF('COMMUNITY CHURCH DASHBOARD'!$B$4="Area",IF(458&lt;=$X$3,IF(AND(OR('COMMUNITY CHURCH DASHBOARD'!$C$4="",ISNUMBER(SEARCH('COMMUNITY CHURCH DASHBOARD'!$C$4,INDEX(MASTER_AREAS!$B:$B,459))))),458,""),""),IF('COMMUNITY CHURCH DASHBOARD'!$B$4="Zone",IF(458&lt;=$X$4,IF(OR('COMMUNITY CHURCH DASHBOARD'!$C$4="",ISNUMBER(SEARCH('COMMUNITY CHURCH DASHBOARD'!$C$4,INDEX(MASTER_ZONES!$B:$B,459)))),458,""),""),""))</f>
        <v/>
      </c>
    </row>
    <row r="460">
      <c r="A460">
        <f>IF('WSF DASHBOARD'!$B$4="Area",IF(459&lt;=$D$3,IF(AND(OR('WSF DASHBOARD'!$C$4="",ISNUMBER(SEARCH('WSF DASHBOARD'!$C$4,INDEX(MASTER_AREAS!$B:$B,460))))),459,""),""),IF('WSF DASHBOARD'!$B$4="Zone",IF(459&lt;=$D$4,IF(OR('WSF DASHBOARD'!$C$4="",ISNUMBER(SEARCH('WSF DASHBOARD'!$C$4,INDEX(MASTER_ZONES!$B:$B,460)))),459,""),""),""))</f>
        <v/>
      </c>
      <c r="F460">
        <f>IF('TRANSPORT DASHBOARD'!$B$4="Area",IF(459&lt;=$I$3,IF(AND(INDEX(MASTER_AREAS!$F:$F,460)&lt;&gt;"N",OR('TRANSPORT DASHBOARD'!$C$4="",ISNUMBER(SEARCH('TRANSPORT DASHBOARD'!$C$4,INDEX(MASTER_AREAS!$B:$B,460))))),459,""),""),IF('TRANSPORT DASHBOARD'!$B$4="Zone",IF(459&lt;=$I$4,IF(OR('TRANSPORT DASHBOARD'!$C$4="",ISNUMBER(SEARCH('TRANSPORT DASHBOARD'!$C$4,INDEX(MASTER_ZONES!$B:$B,460)))),459,""),""),""))</f>
        <v/>
      </c>
      <c r="K460">
        <f>IF('MIDWEEK DASHBOARD'!$B$4="Area",IF(459&lt;=$N$3,IF(AND(OR('MIDWEEK DASHBOARD'!$C$4="",ISNUMBER(SEARCH('MIDWEEK DASHBOARD'!$C$4,INDEX(MASTER_AREAS!$B:$B,460))))),459,""),""),IF('MIDWEEK DASHBOARD'!$B$4="Zone",IF(459&lt;=$N$4,IF(OR('MIDWEEK DASHBOARD'!$C$4="",ISNUMBER(SEARCH('MIDWEEK DASHBOARD'!$C$4,INDEX(MASTER_ZONES!$B:$B,460)))),459,""),""),""))</f>
        <v/>
      </c>
      <c r="P460">
        <f>IF('CHOP DASHBOARD'!$B$4="Area",IF(459&lt;=$S$3,IF(AND(OR('CHOP DASHBOARD'!$C$4="",ISNUMBER(SEARCH('CHOP DASHBOARD'!$C$4,INDEX(MASTER_AREAS!$B:$B,460))))),459,""),""),IF('CHOP DASHBOARD'!$B$4="Zone",IF(459&lt;=$S$4,IF(OR('CHOP DASHBOARD'!$C$4="",ISNUMBER(SEARCH('CHOP DASHBOARD'!$C$4,INDEX(MASTER_ZONES!$B:$B,460)))),459,""),""),""))</f>
        <v/>
      </c>
      <c r="U460">
        <f>IF('COMMUNITY CHURCH DASHBOARD'!$B$4="Area",IF(459&lt;=$X$3,IF(AND(OR('COMMUNITY CHURCH DASHBOARD'!$C$4="",ISNUMBER(SEARCH('COMMUNITY CHURCH DASHBOARD'!$C$4,INDEX(MASTER_AREAS!$B:$B,460))))),459,""),""),IF('COMMUNITY CHURCH DASHBOARD'!$B$4="Zone",IF(459&lt;=$X$4,IF(OR('COMMUNITY CHURCH DASHBOARD'!$C$4="",ISNUMBER(SEARCH('COMMUNITY CHURCH DASHBOARD'!$C$4,INDEX(MASTER_ZONES!$B:$B,460)))),459,""),""),""))</f>
        <v/>
      </c>
    </row>
    <row r="461">
      <c r="A461">
        <f>IF('WSF DASHBOARD'!$B$4="Area",IF(460&lt;=$D$3,IF(AND(OR('WSF DASHBOARD'!$C$4="",ISNUMBER(SEARCH('WSF DASHBOARD'!$C$4,INDEX(MASTER_AREAS!$B:$B,461))))),460,""),""),IF('WSF DASHBOARD'!$B$4="Zone",IF(460&lt;=$D$4,IF(OR('WSF DASHBOARD'!$C$4="",ISNUMBER(SEARCH('WSF DASHBOARD'!$C$4,INDEX(MASTER_ZONES!$B:$B,461)))),460,""),""),""))</f>
        <v/>
      </c>
      <c r="F461">
        <f>IF('TRANSPORT DASHBOARD'!$B$4="Area",IF(460&lt;=$I$3,IF(AND(INDEX(MASTER_AREAS!$F:$F,461)&lt;&gt;"N",OR('TRANSPORT DASHBOARD'!$C$4="",ISNUMBER(SEARCH('TRANSPORT DASHBOARD'!$C$4,INDEX(MASTER_AREAS!$B:$B,461))))),460,""),""),IF('TRANSPORT DASHBOARD'!$B$4="Zone",IF(460&lt;=$I$4,IF(OR('TRANSPORT DASHBOARD'!$C$4="",ISNUMBER(SEARCH('TRANSPORT DASHBOARD'!$C$4,INDEX(MASTER_ZONES!$B:$B,461)))),460,""),""),""))</f>
        <v/>
      </c>
      <c r="K461">
        <f>IF('MIDWEEK DASHBOARD'!$B$4="Area",IF(460&lt;=$N$3,IF(AND(OR('MIDWEEK DASHBOARD'!$C$4="",ISNUMBER(SEARCH('MIDWEEK DASHBOARD'!$C$4,INDEX(MASTER_AREAS!$B:$B,461))))),460,""),""),IF('MIDWEEK DASHBOARD'!$B$4="Zone",IF(460&lt;=$N$4,IF(OR('MIDWEEK DASHBOARD'!$C$4="",ISNUMBER(SEARCH('MIDWEEK DASHBOARD'!$C$4,INDEX(MASTER_ZONES!$B:$B,461)))),460,""),""),""))</f>
        <v/>
      </c>
      <c r="P461">
        <f>IF('CHOP DASHBOARD'!$B$4="Area",IF(460&lt;=$S$3,IF(AND(OR('CHOP DASHBOARD'!$C$4="",ISNUMBER(SEARCH('CHOP DASHBOARD'!$C$4,INDEX(MASTER_AREAS!$B:$B,461))))),460,""),""),IF('CHOP DASHBOARD'!$B$4="Zone",IF(460&lt;=$S$4,IF(OR('CHOP DASHBOARD'!$C$4="",ISNUMBER(SEARCH('CHOP DASHBOARD'!$C$4,INDEX(MASTER_ZONES!$B:$B,461)))),460,""),""),""))</f>
        <v/>
      </c>
      <c r="U461">
        <f>IF('COMMUNITY CHURCH DASHBOARD'!$B$4="Area",IF(460&lt;=$X$3,IF(AND(OR('COMMUNITY CHURCH DASHBOARD'!$C$4="",ISNUMBER(SEARCH('COMMUNITY CHURCH DASHBOARD'!$C$4,INDEX(MASTER_AREAS!$B:$B,461))))),460,""),""),IF('COMMUNITY CHURCH DASHBOARD'!$B$4="Zone",IF(460&lt;=$X$4,IF(OR('COMMUNITY CHURCH DASHBOARD'!$C$4="",ISNUMBER(SEARCH('COMMUNITY CHURCH DASHBOARD'!$C$4,INDEX(MASTER_ZONES!$B:$B,461)))),460,""),""),""))</f>
        <v/>
      </c>
    </row>
    <row r="462">
      <c r="A462">
        <f>IF('WSF DASHBOARD'!$B$4="Area",IF(461&lt;=$D$3,IF(AND(OR('WSF DASHBOARD'!$C$4="",ISNUMBER(SEARCH('WSF DASHBOARD'!$C$4,INDEX(MASTER_AREAS!$B:$B,462))))),461,""),""),IF('WSF DASHBOARD'!$B$4="Zone",IF(461&lt;=$D$4,IF(OR('WSF DASHBOARD'!$C$4="",ISNUMBER(SEARCH('WSF DASHBOARD'!$C$4,INDEX(MASTER_ZONES!$B:$B,462)))),461,""),""),""))</f>
        <v/>
      </c>
      <c r="F462">
        <f>IF('TRANSPORT DASHBOARD'!$B$4="Area",IF(461&lt;=$I$3,IF(AND(INDEX(MASTER_AREAS!$F:$F,462)&lt;&gt;"N",OR('TRANSPORT DASHBOARD'!$C$4="",ISNUMBER(SEARCH('TRANSPORT DASHBOARD'!$C$4,INDEX(MASTER_AREAS!$B:$B,462))))),461,""),""),IF('TRANSPORT DASHBOARD'!$B$4="Zone",IF(461&lt;=$I$4,IF(OR('TRANSPORT DASHBOARD'!$C$4="",ISNUMBER(SEARCH('TRANSPORT DASHBOARD'!$C$4,INDEX(MASTER_ZONES!$B:$B,462)))),461,""),""),""))</f>
        <v/>
      </c>
      <c r="K462">
        <f>IF('MIDWEEK DASHBOARD'!$B$4="Area",IF(461&lt;=$N$3,IF(AND(OR('MIDWEEK DASHBOARD'!$C$4="",ISNUMBER(SEARCH('MIDWEEK DASHBOARD'!$C$4,INDEX(MASTER_AREAS!$B:$B,462))))),461,""),""),IF('MIDWEEK DASHBOARD'!$B$4="Zone",IF(461&lt;=$N$4,IF(OR('MIDWEEK DASHBOARD'!$C$4="",ISNUMBER(SEARCH('MIDWEEK DASHBOARD'!$C$4,INDEX(MASTER_ZONES!$B:$B,462)))),461,""),""),""))</f>
        <v/>
      </c>
      <c r="P462">
        <f>IF('CHOP DASHBOARD'!$B$4="Area",IF(461&lt;=$S$3,IF(AND(OR('CHOP DASHBOARD'!$C$4="",ISNUMBER(SEARCH('CHOP DASHBOARD'!$C$4,INDEX(MASTER_AREAS!$B:$B,462))))),461,""),""),IF('CHOP DASHBOARD'!$B$4="Zone",IF(461&lt;=$S$4,IF(OR('CHOP DASHBOARD'!$C$4="",ISNUMBER(SEARCH('CHOP DASHBOARD'!$C$4,INDEX(MASTER_ZONES!$B:$B,462)))),461,""),""),""))</f>
        <v/>
      </c>
      <c r="U462">
        <f>IF('COMMUNITY CHURCH DASHBOARD'!$B$4="Area",IF(461&lt;=$X$3,IF(AND(OR('COMMUNITY CHURCH DASHBOARD'!$C$4="",ISNUMBER(SEARCH('COMMUNITY CHURCH DASHBOARD'!$C$4,INDEX(MASTER_AREAS!$B:$B,462))))),461,""),""),IF('COMMUNITY CHURCH DASHBOARD'!$B$4="Zone",IF(461&lt;=$X$4,IF(OR('COMMUNITY CHURCH DASHBOARD'!$C$4="",ISNUMBER(SEARCH('COMMUNITY CHURCH DASHBOARD'!$C$4,INDEX(MASTER_ZONES!$B:$B,462)))),461,""),""),""))</f>
        <v/>
      </c>
    </row>
    <row r="463">
      <c r="A463">
        <f>IF('WSF DASHBOARD'!$B$4="Area",IF(462&lt;=$D$3,IF(AND(OR('WSF DASHBOARD'!$C$4="",ISNUMBER(SEARCH('WSF DASHBOARD'!$C$4,INDEX(MASTER_AREAS!$B:$B,463))))),462,""),""),IF('WSF DASHBOARD'!$B$4="Zone",IF(462&lt;=$D$4,IF(OR('WSF DASHBOARD'!$C$4="",ISNUMBER(SEARCH('WSF DASHBOARD'!$C$4,INDEX(MASTER_ZONES!$B:$B,463)))),462,""),""),""))</f>
        <v/>
      </c>
      <c r="F463">
        <f>IF('TRANSPORT DASHBOARD'!$B$4="Area",IF(462&lt;=$I$3,IF(AND(INDEX(MASTER_AREAS!$F:$F,463)&lt;&gt;"N",OR('TRANSPORT DASHBOARD'!$C$4="",ISNUMBER(SEARCH('TRANSPORT DASHBOARD'!$C$4,INDEX(MASTER_AREAS!$B:$B,463))))),462,""),""),IF('TRANSPORT DASHBOARD'!$B$4="Zone",IF(462&lt;=$I$4,IF(OR('TRANSPORT DASHBOARD'!$C$4="",ISNUMBER(SEARCH('TRANSPORT DASHBOARD'!$C$4,INDEX(MASTER_ZONES!$B:$B,463)))),462,""),""),""))</f>
        <v/>
      </c>
      <c r="K463">
        <f>IF('MIDWEEK DASHBOARD'!$B$4="Area",IF(462&lt;=$N$3,IF(AND(OR('MIDWEEK DASHBOARD'!$C$4="",ISNUMBER(SEARCH('MIDWEEK DASHBOARD'!$C$4,INDEX(MASTER_AREAS!$B:$B,463))))),462,""),""),IF('MIDWEEK DASHBOARD'!$B$4="Zone",IF(462&lt;=$N$4,IF(OR('MIDWEEK DASHBOARD'!$C$4="",ISNUMBER(SEARCH('MIDWEEK DASHBOARD'!$C$4,INDEX(MASTER_ZONES!$B:$B,463)))),462,""),""),""))</f>
        <v/>
      </c>
      <c r="P463">
        <f>IF('CHOP DASHBOARD'!$B$4="Area",IF(462&lt;=$S$3,IF(AND(OR('CHOP DASHBOARD'!$C$4="",ISNUMBER(SEARCH('CHOP DASHBOARD'!$C$4,INDEX(MASTER_AREAS!$B:$B,463))))),462,""),""),IF('CHOP DASHBOARD'!$B$4="Zone",IF(462&lt;=$S$4,IF(OR('CHOP DASHBOARD'!$C$4="",ISNUMBER(SEARCH('CHOP DASHBOARD'!$C$4,INDEX(MASTER_ZONES!$B:$B,463)))),462,""),""),""))</f>
        <v/>
      </c>
      <c r="U463">
        <f>IF('COMMUNITY CHURCH DASHBOARD'!$B$4="Area",IF(462&lt;=$X$3,IF(AND(OR('COMMUNITY CHURCH DASHBOARD'!$C$4="",ISNUMBER(SEARCH('COMMUNITY CHURCH DASHBOARD'!$C$4,INDEX(MASTER_AREAS!$B:$B,463))))),462,""),""),IF('COMMUNITY CHURCH DASHBOARD'!$B$4="Zone",IF(462&lt;=$X$4,IF(OR('COMMUNITY CHURCH DASHBOARD'!$C$4="",ISNUMBER(SEARCH('COMMUNITY CHURCH DASHBOARD'!$C$4,INDEX(MASTER_ZONES!$B:$B,463)))),462,""),""),""))</f>
        <v/>
      </c>
    </row>
    <row r="464">
      <c r="A464">
        <f>IF('WSF DASHBOARD'!$B$4="Area",IF(463&lt;=$D$3,IF(AND(OR('WSF DASHBOARD'!$C$4="",ISNUMBER(SEARCH('WSF DASHBOARD'!$C$4,INDEX(MASTER_AREAS!$B:$B,464))))),463,""),""),IF('WSF DASHBOARD'!$B$4="Zone",IF(463&lt;=$D$4,IF(OR('WSF DASHBOARD'!$C$4="",ISNUMBER(SEARCH('WSF DASHBOARD'!$C$4,INDEX(MASTER_ZONES!$B:$B,464)))),463,""),""),""))</f>
        <v/>
      </c>
      <c r="F464">
        <f>IF('TRANSPORT DASHBOARD'!$B$4="Area",IF(463&lt;=$I$3,IF(AND(INDEX(MASTER_AREAS!$F:$F,464)&lt;&gt;"N",OR('TRANSPORT DASHBOARD'!$C$4="",ISNUMBER(SEARCH('TRANSPORT DASHBOARD'!$C$4,INDEX(MASTER_AREAS!$B:$B,464))))),463,""),""),IF('TRANSPORT DASHBOARD'!$B$4="Zone",IF(463&lt;=$I$4,IF(OR('TRANSPORT DASHBOARD'!$C$4="",ISNUMBER(SEARCH('TRANSPORT DASHBOARD'!$C$4,INDEX(MASTER_ZONES!$B:$B,464)))),463,""),""),""))</f>
        <v/>
      </c>
      <c r="K464">
        <f>IF('MIDWEEK DASHBOARD'!$B$4="Area",IF(463&lt;=$N$3,IF(AND(OR('MIDWEEK DASHBOARD'!$C$4="",ISNUMBER(SEARCH('MIDWEEK DASHBOARD'!$C$4,INDEX(MASTER_AREAS!$B:$B,464))))),463,""),""),IF('MIDWEEK DASHBOARD'!$B$4="Zone",IF(463&lt;=$N$4,IF(OR('MIDWEEK DASHBOARD'!$C$4="",ISNUMBER(SEARCH('MIDWEEK DASHBOARD'!$C$4,INDEX(MASTER_ZONES!$B:$B,464)))),463,""),""),""))</f>
        <v/>
      </c>
      <c r="P464">
        <f>IF('CHOP DASHBOARD'!$B$4="Area",IF(463&lt;=$S$3,IF(AND(OR('CHOP DASHBOARD'!$C$4="",ISNUMBER(SEARCH('CHOP DASHBOARD'!$C$4,INDEX(MASTER_AREAS!$B:$B,464))))),463,""),""),IF('CHOP DASHBOARD'!$B$4="Zone",IF(463&lt;=$S$4,IF(OR('CHOP DASHBOARD'!$C$4="",ISNUMBER(SEARCH('CHOP DASHBOARD'!$C$4,INDEX(MASTER_ZONES!$B:$B,464)))),463,""),""),""))</f>
        <v/>
      </c>
      <c r="U464">
        <f>IF('COMMUNITY CHURCH DASHBOARD'!$B$4="Area",IF(463&lt;=$X$3,IF(AND(OR('COMMUNITY CHURCH DASHBOARD'!$C$4="",ISNUMBER(SEARCH('COMMUNITY CHURCH DASHBOARD'!$C$4,INDEX(MASTER_AREAS!$B:$B,464))))),463,""),""),IF('COMMUNITY CHURCH DASHBOARD'!$B$4="Zone",IF(463&lt;=$X$4,IF(OR('COMMUNITY CHURCH DASHBOARD'!$C$4="",ISNUMBER(SEARCH('COMMUNITY CHURCH DASHBOARD'!$C$4,INDEX(MASTER_ZONES!$B:$B,464)))),463,""),""),""))</f>
        <v/>
      </c>
    </row>
    <row r="465">
      <c r="A465">
        <f>IF('WSF DASHBOARD'!$B$4="Area",IF(464&lt;=$D$3,IF(AND(OR('WSF DASHBOARD'!$C$4="",ISNUMBER(SEARCH('WSF DASHBOARD'!$C$4,INDEX(MASTER_AREAS!$B:$B,465))))),464,""),""),IF('WSF DASHBOARD'!$B$4="Zone",IF(464&lt;=$D$4,IF(OR('WSF DASHBOARD'!$C$4="",ISNUMBER(SEARCH('WSF DASHBOARD'!$C$4,INDEX(MASTER_ZONES!$B:$B,465)))),464,""),""),""))</f>
        <v/>
      </c>
      <c r="F465">
        <f>IF('TRANSPORT DASHBOARD'!$B$4="Area",IF(464&lt;=$I$3,IF(AND(INDEX(MASTER_AREAS!$F:$F,465)&lt;&gt;"N",OR('TRANSPORT DASHBOARD'!$C$4="",ISNUMBER(SEARCH('TRANSPORT DASHBOARD'!$C$4,INDEX(MASTER_AREAS!$B:$B,465))))),464,""),""),IF('TRANSPORT DASHBOARD'!$B$4="Zone",IF(464&lt;=$I$4,IF(OR('TRANSPORT DASHBOARD'!$C$4="",ISNUMBER(SEARCH('TRANSPORT DASHBOARD'!$C$4,INDEX(MASTER_ZONES!$B:$B,465)))),464,""),""),""))</f>
        <v/>
      </c>
      <c r="K465">
        <f>IF('MIDWEEK DASHBOARD'!$B$4="Area",IF(464&lt;=$N$3,IF(AND(OR('MIDWEEK DASHBOARD'!$C$4="",ISNUMBER(SEARCH('MIDWEEK DASHBOARD'!$C$4,INDEX(MASTER_AREAS!$B:$B,465))))),464,""),""),IF('MIDWEEK DASHBOARD'!$B$4="Zone",IF(464&lt;=$N$4,IF(OR('MIDWEEK DASHBOARD'!$C$4="",ISNUMBER(SEARCH('MIDWEEK DASHBOARD'!$C$4,INDEX(MASTER_ZONES!$B:$B,465)))),464,""),""),""))</f>
        <v/>
      </c>
      <c r="P465">
        <f>IF('CHOP DASHBOARD'!$B$4="Area",IF(464&lt;=$S$3,IF(AND(OR('CHOP DASHBOARD'!$C$4="",ISNUMBER(SEARCH('CHOP DASHBOARD'!$C$4,INDEX(MASTER_AREAS!$B:$B,465))))),464,""),""),IF('CHOP DASHBOARD'!$B$4="Zone",IF(464&lt;=$S$4,IF(OR('CHOP DASHBOARD'!$C$4="",ISNUMBER(SEARCH('CHOP DASHBOARD'!$C$4,INDEX(MASTER_ZONES!$B:$B,465)))),464,""),""),""))</f>
        <v/>
      </c>
      <c r="U465">
        <f>IF('COMMUNITY CHURCH DASHBOARD'!$B$4="Area",IF(464&lt;=$X$3,IF(AND(OR('COMMUNITY CHURCH DASHBOARD'!$C$4="",ISNUMBER(SEARCH('COMMUNITY CHURCH DASHBOARD'!$C$4,INDEX(MASTER_AREAS!$B:$B,465))))),464,""),""),IF('COMMUNITY CHURCH DASHBOARD'!$B$4="Zone",IF(464&lt;=$X$4,IF(OR('COMMUNITY CHURCH DASHBOARD'!$C$4="",ISNUMBER(SEARCH('COMMUNITY CHURCH DASHBOARD'!$C$4,INDEX(MASTER_ZONES!$B:$B,465)))),464,""),""),""))</f>
        <v/>
      </c>
    </row>
    <row r="466">
      <c r="A466">
        <f>IF('WSF DASHBOARD'!$B$4="Area",IF(465&lt;=$D$3,IF(AND(OR('WSF DASHBOARD'!$C$4="",ISNUMBER(SEARCH('WSF DASHBOARD'!$C$4,INDEX(MASTER_AREAS!$B:$B,466))))),465,""),""),IF('WSF DASHBOARD'!$B$4="Zone",IF(465&lt;=$D$4,IF(OR('WSF DASHBOARD'!$C$4="",ISNUMBER(SEARCH('WSF DASHBOARD'!$C$4,INDEX(MASTER_ZONES!$B:$B,466)))),465,""),""),""))</f>
        <v/>
      </c>
      <c r="F466">
        <f>IF('TRANSPORT DASHBOARD'!$B$4="Area",IF(465&lt;=$I$3,IF(AND(INDEX(MASTER_AREAS!$F:$F,466)&lt;&gt;"N",OR('TRANSPORT DASHBOARD'!$C$4="",ISNUMBER(SEARCH('TRANSPORT DASHBOARD'!$C$4,INDEX(MASTER_AREAS!$B:$B,466))))),465,""),""),IF('TRANSPORT DASHBOARD'!$B$4="Zone",IF(465&lt;=$I$4,IF(OR('TRANSPORT DASHBOARD'!$C$4="",ISNUMBER(SEARCH('TRANSPORT DASHBOARD'!$C$4,INDEX(MASTER_ZONES!$B:$B,466)))),465,""),""),""))</f>
        <v/>
      </c>
      <c r="K466">
        <f>IF('MIDWEEK DASHBOARD'!$B$4="Area",IF(465&lt;=$N$3,IF(AND(OR('MIDWEEK DASHBOARD'!$C$4="",ISNUMBER(SEARCH('MIDWEEK DASHBOARD'!$C$4,INDEX(MASTER_AREAS!$B:$B,466))))),465,""),""),IF('MIDWEEK DASHBOARD'!$B$4="Zone",IF(465&lt;=$N$4,IF(OR('MIDWEEK DASHBOARD'!$C$4="",ISNUMBER(SEARCH('MIDWEEK DASHBOARD'!$C$4,INDEX(MASTER_ZONES!$B:$B,466)))),465,""),""),""))</f>
        <v/>
      </c>
      <c r="P466">
        <f>IF('CHOP DASHBOARD'!$B$4="Area",IF(465&lt;=$S$3,IF(AND(OR('CHOP DASHBOARD'!$C$4="",ISNUMBER(SEARCH('CHOP DASHBOARD'!$C$4,INDEX(MASTER_AREAS!$B:$B,466))))),465,""),""),IF('CHOP DASHBOARD'!$B$4="Zone",IF(465&lt;=$S$4,IF(OR('CHOP DASHBOARD'!$C$4="",ISNUMBER(SEARCH('CHOP DASHBOARD'!$C$4,INDEX(MASTER_ZONES!$B:$B,466)))),465,""),""),""))</f>
        <v/>
      </c>
      <c r="U466">
        <f>IF('COMMUNITY CHURCH DASHBOARD'!$B$4="Area",IF(465&lt;=$X$3,IF(AND(OR('COMMUNITY CHURCH DASHBOARD'!$C$4="",ISNUMBER(SEARCH('COMMUNITY CHURCH DASHBOARD'!$C$4,INDEX(MASTER_AREAS!$B:$B,466))))),465,""),""),IF('COMMUNITY CHURCH DASHBOARD'!$B$4="Zone",IF(465&lt;=$X$4,IF(OR('COMMUNITY CHURCH DASHBOARD'!$C$4="",ISNUMBER(SEARCH('COMMUNITY CHURCH DASHBOARD'!$C$4,INDEX(MASTER_ZONES!$B:$B,466)))),465,""),""),""))</f>
        <v/>
      </c>
    </row>
    <row r="467">
      <c r="A467">
        <f>IF('WSF DASHBOARD'!$B$4="Area",IF(466&lt;=$D$3,IF(AND(OR('WSF DASHBOARD'!$C$4="",ISNUMBER(SEARCH('WSF DASHBOARD'!$C$4,INDEX(MASTER_AREAS!$B:$B,467))))),466,""),""),IF('WSF DASHBOARD'!$B$4="Zone",IF(466&lt;=$D$4,IF(OR('WSF DASHBOARD'!$C$4="",ISNUMBER(SEARCH('WSF DASHBOARD'!$C$4,INDEX(MASTER_ZONES!$B:$B,467)))),466,""),""),""))</f>
        <v/>
      </c>
      <c r="F467">
        <f>IF('TRANSPORT DASHBOARD'!$B$4="Area",IF(466&lt;=$I$3,IF(AND(INDEX(MASTER_AREAS!$F:$F,467)&lt;&gt;"N",OR('TRANSPORT DASHBOARD'!$C$4="",ISNUMBER(SEARCH('TRANSPORT DASHBOARD'!$C$4,INDEX(MASTER_AREAS!$B:$B,467))))),466,""),""),IF('TRANSPORT DASHBOARD'!$B$4="Zone",IF(466&lt;=$I$4,IF(OR('TRANSPORT DASHBOARD'!$C$4="",ISNUMBER(SEARCH('TRANSPORT DASHBOARD'!$C$4,INDEX(MASTER_ZONES!$B:$B,467)))),466,""),""),""))</f>
        <v/>
      </c>
      <c r="K467">
        <f>IF('MIDWEEK DASHBOARD'!$B$4="Area",IF(466&lt;=$N$3,IF(AND(OR('MIDWEEK DASHBOARD'!$C$4="",ISNUMBER(SEARCH('MIDWEEK DASHBOARD'!$C$4,INDEX(MASTER_AREAS!$B:$B,467))))),466,""),""),IF('MIDWEEK DASHBOARD'!$B$4="Zone",IF(466&lt;=$N$4,IF(OR('MIDWEEK DASHBOARD'!$C$4="",ISNUMBER(SEARCH('MIDWEEK DASHBOARD'!$C$4,INDEX(MASTER_ZONES!$B:$B,467)))),466,""),""),""))</f>
        <v/>
      </c>
      <c r="P467">
        <f>IF('CHOP DASHBOARD'!$B$4="Area",IF(466&lt;=$S$3,IF(AND(OR('CHOP DASHBOARD'!$C$4="",ISNUMBER(SEARCH('CHOP DASHBOARD'!$C$4,INDEX(MASTER_AREAS!$B:$B,467))))),466,""),""),IF('CHOP DASHBOARD'!$B$4="Zone",IF(466&lt;=$S$4,IF(OR('CHOP DASHBOARD'!$C$4="",ISNUMBER(SEARCH('CHOP DASHBOARD'!$C$4,INDEX(MASTER_ZONES!$B:$B,467)))),466,""),""),""))</f>
        <v/>
      </c>
      <c r="U467">
        <f>IF('COMMUNITY CHURCH DASHBOARD'!$B$4="Area",IF(466&lt;=$X$3,IF(AND(OR('COMMUNITY CHURCH DASHBOARD'!$C$4="",ISNUMBER(SEARCH('COMMUNITY CHURCH DASHBOARD'!$C$4,INDEX(MASTER_AREAS!$B:$B,467))))),466,""),""),IF('COMMUNITY CHURCH DASHBOARD'!$B$4="Zone",IF(466&lt;=$X$4,IF(OR('COMMUNITY CHURCH DASHBOARD'!$C$4="",ISNUMBER(SEARCH('COMMUNITY CHURCH DASHBOARD'!$C$4,INDEX(MASTER_ZONES!$B:$B,467)))),466,""),""),""))</f>
        <v/>
      </c>
    </row>
    <row r="468">
      <c r="A468">
        <f>IF('WSF DASHBOARD'!$B$4="Area",IF(467&lt;=$D$3,IF(AND(OR('WSF DASHBOARD'!$C$4="",ISNUMBER(SEARCH('WSF DASHBOARD'!$C$4,INDEX(MASTER_AREAS!$B:$B,468))))),467,""),""),IF('WSF DASHBOARD'!$B$4="Zone",IF(467&lt;=$D$4,IF(OR('WSF DASHBOARD'!$C$4="",ISNUMBER(SEARCH('WSF DASHBOARD'!$C$4,INDEX(MASTER_ZONES!$B:$B,468)))),467,""),""),""))</f>
        <v/>
      </c>
      <c r="F468">
        <f>IF('TRANSPORT DASHBOARD'!$B$4="Area",IF(467&lt;=$I$3,IF(AND(INDEX(MASTER_AREAS!$F:$F,468)&lt;&gt;"N",OR('TRANSPORT DASHBOARD'!$C$4="",ISNUMBER(SEARCH('TRANSPORT DASHBOARD'!$C$4,INDEX(MASTER_AREAS!$B:$B,468))))),467,""),""),IF('TRANSPORT DASHBOARD'!$B$4="Zone",IF(467&lt;=$I$4,IF(OR('TRANSPORT DASHBOARD'!$C$4="",ISNUMBER(SEARCH('TRANSPORT DASHBOARD'!$C$4,INDEX(MASTER_ZONES!$B:$B,468)))),467,""),""),""))</f>
        <v/>
      </c>
      <c r="K468">
        <f>IF('MIDWEEK DASHBOARD'!$B$4="Area",IF(467&lt;=$N$3,IF(AND(OR('MIDWEEK DASHBOARD'!$C$4="",ISNUMBER(SEARCH('MIDWEEK DASHBOARD'!$C$4,INDEX(MASTER_AREAS!$B:$B,468))))),467,""),""),IF('MIDWEEK DASHBOARD'!$B$4="Zone",IF(467&lt;=$N$4,IF(OR('MIDWEEK DASHBOARD'!$C$4="",ISNUMBER(SEARCH('MIDWEEK DASHBOARD'!$C$4,INDEX(MASTER_ZONES!$B:$B,468)))),467,""),""),""))</f>
        <v/>
      </c>
      <c r="P468">
        <f>IF('CHOP DASHBOARD'!$B$4="Area",IF(467&lt;=$S$3,IF(AND(OR('CHOP DASHBOARD'!$C$4="",ISNUMBER(SEARCH('CHOP DASHBOARD'!$C$4,INDEX(MASTER_AREAS!$B:$B,468))))),467,""),""),IF('CHOP DASHBOARD'!$B$4="Zone",IF(467&lt;=$S$4,IF(OR('CHOP DASHBOARD'!$C$4="",ISNUMBER(SEARCH('CHOP DASHBOARD'!$C$4,INDEX(MASTER_ZONES!$B:$B,468)))),467,""),""),""))</f>
        <v/>
      </c>
      <c r="U468">
        <f>IF('COMMUNITY CHURCH DASHBOARD'!$B$4="Area",IF(467&lt;=$X$3,IF(AND(OR('COMMUNITY CHURCH DASHBOARD'!$C$4="",ISNUMBER(SEARCH('COMMUNITY CHURCH DASHBOARD'!$C$4,INDEX(MASTER_AREAS!$B:$B,468))))),467,""),""),IF('COMMUNITY CHURCH DASHBOARD'!$B$4="Zone",IF(467&lt;=$X$4,IF(OR('COMMUNITY CHURCH DASHBOARD'!$C$4="",ISNUMBER(SEARCH('COMMUNITY CHURCH DASHBOARD'!$C$4,INDEX(MASTER_ZONES!$B:$B,468)))),467,""),""),""))</f>
        <v/>
      </c>
    </row>
    <row r="469">
      <c r="A469">
        <f>IF('WSF DASHBOARD'!$B$4="Area",IF(468&lt;=$D$3,IF(AND(OR('WSF DASHBOARD'!$C$4="",ISNUMBER(SEARCH('WSF DASHBOARD'!$C$4,INDEX(MASTER_AREAS!$B:$B,469))))),468,""),""),IF('WSF DASHBOARD'!$B$4="Zone",IF(468&lt;=$D$4,IF(OR('WSF DASHBOARD'!$C$4="",ISNUMBER(SEARCH('WSF DASHBOARD'!$C$4,INDEX(MASTER_ZONES!$B:$B,469)))),468,""),""),""))</f>
        <v/>
      </c>
      <c r="F469">
        <f>IF('TRANSPORT DASHBOARD'!$B$4="Area",IF(468&lt;=$I$3,IF(AND(INDEX(MASTER_AREAS!$F:$F,469)&lt;&gt;"N",OR('TRANSPORT DASHBOARD'!$C$4="",ISNUMBER(SEARCH('TRANSPORT DASHBOARD'!$C$4,INDEX(MASTER_AREAS!$B:$B,469))))),468,""),""),IF('TRANSPORT DASHBOARD'!$B$4="Zone",IF(468&lt;=$I$4,IF(OR('TRANSPORT DASHBOARD'!$C$4="",ISNUMBER(SEARCH('TRANSPORT DASHBOARD'!$C$4,INDEX(MASTER_ZONES!$B:$B,469)))),468,""),""),""))</f>
        <v/>
      </c>
      <c r="K469">
        <f>IF('MIDWEEK DASHBOARD'!$B$4="Area",IF(468&lt;=$N$3,IF(AND(OR('MIDWEEK DASHBOARD'!$C$4="",ISNUMBER(SEARCH('MIDWEEK DASHBOARD'!$C$4,INDEX(MASTER_AREAS!$B:$B,469))))),468,""),""),IF('MIDWEEK DASHBOARD'!$B$4="Zone",IF(468&lt;=$N$4,IF(OR('MIDWEEK DASHBOARD'!$C$4="",ISNUMBER(SEARCH('MIDWEEK DASHBOARD'!$C$4,INDEX(MASTER_ZONES!$B:$B,469)))),468,""),""),""))</f>
        <v/>
      </c>
      <c r="P469">
        <f>IF('CHOP DASHBOARD'!$B$4="Area",IF(468&lt;=$S$3,IF(AND(OR('CHOP DASHBOARD'!$C$4="",ISNUMBER(SEARCH('CHOP DASHBOARD'!$C$4,INDEX(MASTER_AREAS!$B:$B,469))))),468,""),""),IF('CHOP DASHBOARD'!$B$4="Zone",IF(468&lt;=$S$4,IF(OR('CHOP DASHBOARD'!$C$4="",ISNUMBER(SEARCH('CHOP DASHBOARD'!$C$4,INDEX(MASTER_ZONES!$B:$B,469)))),468,""),""),""))</f>
        <v/>
      </c>
      <c r="U469">
        <f>IF('COMMUNITY CHURCH DASHBOARD'!$B$4="Area",IF(468&lt;=$X$3,IF(AND(OR('COMMUNITY CHURCH DASHBOARD'!$C$4="",ISNUMBER(SEARCH('COMMUNITY CHURCH DASHBOARD'!$C$4,INDEX(MASTER_AREAS!$B:$B,469))))),468,""),""),IF('COMMUNITY CHURCH DASHBOARD'!$B$4="Zone",IF(468&lt;=$X$4,IF(OR('COMMUNITY CHURCH DASHBOARD'!$C$4="",ISNUMBER(SEARCH('COMMUNITY CHURCH DASHBOARD'!$C$4,INDEX(MASTER_ZONES!$B:$B,469)))),468,""),""),""))</f>
        <v/>
      </c>
    </row>
    <row r="470">
      <c r="A470">
        <f>IF('WSF DASHBOARD'!$B$4="Area",IF(469&lt;=$D$3,IF(AND(OR('WSF DASHBOARD'!$C$4="",ISNUMBER(SEARCH('WSF DASHBOARD'!$C$4,INDEX(MASTER_AREAS!$B:$B,470))))),469,""),""),IF('WSF DASHBOARD'!$B$4="Zone",IF(469&lt;=$D$4,IF(OR('WSF DASHBOARD'!$C$4="",ISNUMBER(SEARCH('WSF DASHBOARD'!$C$4,INDEX(MASTER_ZONES!$B:$B,470)))),469,""),""),""))</f>
        <v/>
      </c>
      <c r="F470">
        <f>IF('TRANSPORT DASHBOARD'!$B$4="Area",IF(469&lt;=$I$3,IF(AND(INDEX(MASTER_AREAS!$F:$F,470)&lt;&gt;"N",OR('TRANSPORT DASHBOARD'!$C$4="",ISNUMBER(SEARCH('TRANSPORT DASHBOARD'!$C$4,INDEX(MASTER_AREAS!$B:$B,470))))),469,""),""),IF('TRANSPORT DASHBOARD'!$B$4="Zone",IF(469&lt;=$I$4,IF(OR('TRANSPORT DASHBOARD'!$C$4="",ISNUMBER(SEARCH('TRANSPORT DASHBOARD'!$C$4,INDEX(MASTER_ZONES!$B:$B,470)))),469,""),""),""))</f>
        <v/>
      </c>
      <c r="K470">
        <f>IF('MIDWEEK DASHBOARD'!$B$4="Area",IF(469&lt;=$N$3,IF(AND(OR('MIDWEEK DASHBOARD'!$C$4="",ISNUMBER(SEARCH('MIDWEEK DASHBOARD'!$C$4,INDEX(MASTER_AREAS!$B:$B,470))))),469,""),""),IF('MIDWEEK DASHBOARD'!$B$4="Zone",IF(469&lt;=$N$4,IF(OR('MIDWEEK DASHBOARD'!$C$4="",ISNUMBER(SEARCH('MIDWEEK DASHBOARD'!$C$4,INDEX(MASTER_ZONES!$B:$B,470)))),469,""),""),""))</f>
        <v/>
      </c>
      <c r="P470">
        <f>IF('CHOP DASHBOARD'!$B$4="Area",IF(469&lt;=$S$3,IF(AND(OR('CHOP DASHBOARD'!$C$4="",ISNUMBER(SEARCH('CHOP DASHBOARD'!$C$4,INDEX(MASTER_AREAS!$B:$B,470))))),469,""),""),IF('CHOP DASHBOARD'!$B$4="Zone",IF(469&lt;=$S$4,IF(OR('CHOP DASHBOARD'!$C$4="",ISNUMBER(SEARCH('CHOP DASHBOARD'!$C$4,INDEX(MASTER_ZONES!$B:$B,470)))),469,""),""),""))</f>
        <v/>
      </c>
      <c r="U470">
        <f>IF('COMMUNITY CHURCH DASHBOARD'!$B$4="Area",IF(469&lt;=$X$3,IF(AND(OR('COMMUNITY CHURCH DASHBOARD'!$C$4="",ISNUMBER(SEARCH('COMMUNITY CHURCH DASHBOARD'!$C$4,INDEX(MASTER_AREAS!$B:$B,470))))),469,""),""),IF('COMMUNITY CHURCH DASHBOARD'!$B$4="Zone",IF(469&lt;=$X$4,IF(OR('COMMUNITY CHURCH DASHBOARD'!$C$4="",ISNUMBER(SEARCH('COMMUNITY CHURCH DASHBOARD'!$C$4,INDEX(MASTER_ZONES!$B:$B,470)))),469,""),""),""))</f>
        <v/>
      </c>
    </row>
    <row r="471">
      <c r="A471">
        <f>IF('WSF DASHBOARD'!$B$4="Area",IF(470&lt;=$D$3,IF(AND(OR('WSF DASHBOARD'!$C$4="",ISNUMBER(SEARCH('WSF DASHBOARD'!$C$4,INDEX(MASTER_AREAS!$B:$B,471))))),470,""),""),IF('WSF DASHBOARD'!$B$4="Zone",IF(470&lt;=$D$4,IF(OR('WSF DASHBOARD'!$C$4="",ISNUMBER(SEARCH('WSF DASHBOARD'!$C$4,INDEX(MASTER_ZONES!$B:$B,471)))),470,""),""),""))</f>
        <v/>
      </c>
      <c r="F471">
        <f>IF('TRANSPORT DASHBOARD'!$B$4="Area",IF(470&lt;=$I$3,IF(AND(INDEX(MASTER_AREAS!$F:$F,471)&lt;&gt;"N",OR('TRANSPORT DASHBOARD'!$C$4="",ISNUMBER(SEARCH('TRANSPORT DASHBOARD'!$C$4,INDEX(MASTER_AREAS!$B:$B,471))))),470,""),""),IF('TRANSPORT DASHBOARD'!$B$4="Zone",IF(470&lt;=$I$4,IF(OR('TRANSPORT DASHBOARD'!$C$4="",ISNUMBER(SEARCH('TRANSPORT DASHBOARD'!$C$4,INDEX(MASTER_ZONES!$B:$B,471)))),470,""),""),""))</f>
        <v/>
      </c>
      <c r="K471">
        <f>IF('MIDWEEK DASHBOARD'!$B$4="Area",IF(470&lt;=$N$3,IF(AND(OR('MIDWEEK DASHBOARD'!$C$4="",ISNUMBER(SEARCH('MIDWEEK DASHBOARD'!$C$4,INDEX(MASTER_AREAS!$B:$B,471))))),470,""),""),IF('MIDWEEK DASHBOARD'!$B$4="Zone",IF(470&lt;=$N$4,IF(OR('MIDWEEK DASHBOARD'!$C$4="",ISNUMBER(SEARCH('MIDWEEK DASHBOARD'!$C$4,INDEX(MASTER_ZONES!$B:$B,471)))),470,""),""),""))</f>
        <v/>
      </c>
      <c r="P471">
        <f>IF('CHOP DASHBOARD'!$B$4="Area",IF(470&lt;=$S$3,IF(AND(OR('CHOP DASHBOARD'!$C$4="",ISNUMBER(SEARCH('CHOP DASHBOARD'!$C$4,INDEX(MASTER_AREAS!$B:$B,471))))),470,""),""),IF('CHOP DASHBOARD'!$B$4="Zone",IF(470&lt;=$S$4,IF(OR('CHOP DASHBOARD'!$C$4="",ISNUMBER(SEARCH('CHOP DASHBOARD'!$C$4,INDEX(MASTER_ZONES!$B:$B,471)))),470,""),""),""))</f>
        <v/>
      </c>
      <c r="U471">
        <f>IF('COMMUNITY CHURCH DASHBOARD'!$B$4="Area",IF(470&lt;=$X$3,IF(AND(OR('COMMUNITY CHURCH DASHBOARD'!$C$4="",ISNUMBER(SEARCH('COMMUNITY CHURCH DASHBOARD'!$C$4,INDEX(MASTER_AREAS!$B:$B,471))))),470,""),""),IF('COMMUNITY CHURCH DASHBOARD'!$B$4="Zone",IF(470&lt;=$X$4,IF(OR('COMMUNITY CHURCH DASHBOARD'!$C$4="",ISNUMBER(SEARCH('COMMUNITY CHURCH DASHBOARD'!$C$4,INDEX(MASTER_ZONES!$B:$B,471)))),470,""),""),""))</f>
        <v/>
      </c>
    </row>
    <row r="472">
      <c r="A472">
        <f>IF('WSF DASHBOARD'!$B$4="Area",IF(471&lt;=$D$3,IF(AND(OR('WSF DASHBOARD'!$C$4="",ISNUMBER(SEARCH('WSF DASHBOARD'!$C$4,INDEX(MASTER_AREAS!$B:$B,472))))),471,""),""),IF('WSF DASHBOARD'!$B$4="Zone",IF(471&lt;=$D$4,IF(OR('WSF DASHBOARD'!$C$4="",ISNUMBER(SEARCH('WSF DASHBOARD'!$C$4,INDEX(MASTER_ZONES!$B:$B,472)))),471,""),""),""))</f>
        <v/>
      </c>
      <c r="F472">
        <f>IF('TRANSPORT DASHBOARD'!$B$4="Area",IF(471&lt;=$I$3,IF(AND(INDEX(MASTER_AREAS!$F:$F,472)&lt;&gt;"N",OR('TRANSPORT DASHBOARD'!$C$4="",ISNUMBER(SEARCH('TRANSPORT DASHBOARD'!$C$4,INDEX(MASTER_AREAS!$B:$B,472))))),471,""),""),IF('TRANSPORT DASHBOARD'!$B$4="Zone",IF(471&lt;=$I$4,IF(OR('TRANSPORT DASHBOARD'!$C$4="",ISNUMBER(SEARCH('TRANSPORT DASHBOARD'!$C$4,INDEX(MASTER_ZONES!$B:$B,472)))),471,""),""),""))</f>
        <v/>
      </c>
      <c r="K472">
        <f>IF('MIDWEEK DASHBOARD'!$B$4="Area",IF(471&lt;=$N$3,IF(AND(OR('MIDWEEK DASHBOARD'!$C$4="",ISNUMBER(SEARCH('MIDWEEK DASHBOARD'!$C$4,INDEX(MASTER_AREAS!$B:$B,472))))),471,""),""),IF('MIDWEEK DASHBOARD'!$B$4="Zone",IF(471&lt;=$N$4,IF(OR('MIDWEEK DASHBOARD'!$C$4="",ISNUMBER(SEARCH('MIDWEEK DASHBOARD'!$C$4,INDEX(MASTER_ZONES!$B:$B,472)))),471,""),""),""))</f>
        <v/>
      </c>
      <c r="P472">
        <f>IF('CHOP DASHBOARD'!$B$4="Area",IF(471&lt;=$S$3,IF(AND(OR('CHOP DASHBOARD'!$C$4="",ISNUMBER(SEARCH('CHOP DASHBOARD'!$C$4,INDEX(MASTER_AREAS!$B:$B,472))))),471,""),""),IF('CHOP DASHBOARD'!$B$4="Zone",IF(471&lt;=$S$4,IF(OR('CHOP DASHBOARD'!$C$4="",ISNUMBER(SEARCH('CHOP DASHBOARD'!$C$4,INDEX(MASTER_ZONES!$B:$B,472)))),471,""),""),""))</f>
        <v/>
      </c>
      <c r="U472">
        <f>IF('COMMUNITY CHURCH DASHBOARD'!$B$4="Area",IF(471&lt;=$X$3,IF(AND(OR('COMMUNITY CHURCH DASHBOARD'!$C$4="",ISNUMBER(SEARCH('COMMUNITY CHURCH DASHBOARD'!$C$4,INDEX(MASTER_AREAS!$B:$B,472))))),471,""),""),IF('COMMUNITY CHURCH DASHBOARD'!$B$4="Zone",IF(471&lt;=$X$4,IF(OR('COMMUNITY CHURCH DASHBOARD'!$C$4="",ISNUMBER(SEARCH('COMMUNITY CHURCH DASHBOARD'!$C$4,INDEX(MASTER_ZONES!$B:$B,472)))),471,""),""),""))</f>
        <v/>
      </c>
    </row>
    <row r="473">
      <c r="A473">
        <f>IF('WSF DASHBOARD'!$B$4="Area",IF(472&lt;=$D$3,IF(AND(OR('WSF DASHBOARD'!$C$4="",ISNUMBER(SEARCH('WSF DASHBOARD'!$C$4,INDEX(MASTER_AREAS!$B:$B,473))))),472,""),""),IF('WSF DASHBOARD'!$B$4="Zone",IF(472&lt;=$D$4,IF(OR('WSF DASHBOARD'!$C$4="",ISNUMBER(SEARCH('WSF DASHBOARD'!$C$4,INDEX(MASTER_ZONES!$B:$B,473)))),472,""),""),""))</f>
        <v/>
      </c>
      <c r="F473">
        <f>IF('TRANSPORT DASHBOARD'!$B$4="Area",IF(472&lt;=$I$3,IF(AND(INDEX(MASTER_AREAS!$F:$F,473)&lt;&gt;"N",OR('TRANSPORT DASHBOARD'!$C$4="",ISNUMBER(SEARCH('TRANSPORT DASHBOARD'!$C$4,INDEX(MASTER_AREAS!$B:$B,473))))),472,""),""),IF('TRANSPORT DASHBOARD'!$B$4="Zone",IF(472&lt;=$I$4,IF(OR('TRANSPORT DASHBOARD'!$C$4="",ISNUMBER(SEARCH('TRANSPORT DASHBOARD'!$C$4,INDEX(MASTER_ZONES!$B:$B,473)))),472,""),""),""))</f>
        <v/>
      </c>
      <c r="K473">
        <f>IF('MIDWEEK DASHBOARD'!$B$4="Area",IF(472&lt;=$N$3,IF(AND(OR('MIDWEEK DASHBOARD'!$C$4="",ISNUMBER(SEARCH('MIDWEEK DASHBOARD'!$C$4,INDEX(MASTER_AREAS!$B:$B,473))))),472,""),""),IF('MIDWEEK DASHBOARD'!$B$4="Zone",IF(472&lt;=$N$4,IF(OR('MIDWEEK DASHBOARD'!$C$4="",ISNUMBER(SEARCH('MIDWEEK DASHBOARD'!$C$4,INDEX(MASTER_ZONES!$B:$B,473)))),472,""),""),""))</f>
        <v/>
      </c>
      <c r="P473">
        <f>IF('CHOP DASHBOARD'!$B$4="Area",IF(472&lt;=$S$3,IF(AND(OR('CHOP DASHBOARD'!$C$4="",ISNUMBER(SEARCH('CHOP DASHBOARD'!$C$4,INDEX(MASTER_AREAS!$B:$B,473))))),472,""),""),IF('CHOP DASHBOARD'!$B$4="Zone",IF(472&lt;=$S$4,IF(OR('CHOP DASHBOARD'!$C$4="",ISNUMBER(SEARCH('CHOP DASHBOARD'!$C$4,INDEX(MASTER_ZONES!$B:$B,473)))),472,""),""),""))</f>
        <v/>
      </c>
      <c r="U473">
        <f>IF('COMMUNITY CHURCH DASHBOARD'!$B$4="Area",IF(472&lt;=$X$3,IF(AND(OR('COMMUNITY CHURCH DASHBOARD'!$C$4="",ISNUMBER(SEARCH('COMMUNITY CHURCH DASHBOARD'!$C$4,INDEX(MASTER_AREAS!$B:$B,473))))),472,""),""),IF('COMMUNITY CHURCH DASHBOARD'!$B$4="Zone",IF(472&lt;=$X$4,IF(OR('COMMUNITY CHURCH DASHBOARD'!$C$4="",ISNUMBER(SEARCH('COMMUNITY CHURCH DASHBOARD'!$C$4,INDEX(MASTER_ZONES!$B:$B,473)))),472,""),""),""))</f>
        <v/>
      </c>
    </row>
    <row r="474">
      <c r="A474">
        <f>IF('WSF DASHBOARD'!$B$4="Area",IF(473&lt;=$D$3,IF(AND(OR('WSF DASHBOARD'!$C$4="",ISNUMBER(SEARCH('WSF DASHBOARD'!$C$4,INDEX(MASTER_AREAS!$B:$B,474))))),473,""),""),IF('WSF DASHBOARD'!$B$4="Zone",IF(473&lt;=$D$4,IF(OR('WSF DASHBOARD'!$C$4="",ISNUMBER(SEARCH('WSF DASHBOARD'!$C$4,INDEX(MASTER_ZONES!$B:$B,474)))),473,""),""),""))</f>
        <v/>
      </c>
      <c r="F474">
        <f>IF('TRANSPORT DASHBOARD'!$B$4="Area",IF(473&lt;=$I$3,IF(AND(INDEX(MASTER_AREAS!$F:$F,474)&lt;&gt;"N",OR('TRANSPORT DASHBOARD'!$C$4="",ISNUMBER(SEARCH('TRANSPORT DASHBOARD'!$C$4,INDEX(MASTER_AREAS!$B:$B,474))))),473,""),""),IF('TRANSPORT DASHBOARD'!$B$4="Zone",IF(473&lt;=$I$4,IF(OR('TRANSPORT DASHBOARD'!$C$4="",ISNUMBER(SEARCH('TRANSPORT DASHBOARD'!$C$4,INDEX(MASTER_ZONES!$B:$B,474)))),473,""),""),""))</f>
        <v/>
      </c>
      <c r="K474">
        <f>IF('MIDWEEK DASHBOARD'!$B$4="Area",IF(473&lt;=$N$3,IF(AND(OR('MIDWEEK DASHBOARD'!$C$4="",ISNUMBER(SEARCH('MIDWEEK DASHBOARD'!$C$4,INDEX(MASTER_AREAS!$B:$B,474))))),473,""),""),IF('MIDWEEK DASHBOARD'!$B$4="Zone",IF(473&lt;=$N$4,IF(OR('MIDWEEK DASHBOARD'!$C$4="",ISNUMBER(SEARCH('MIDWEEK DASHBOARD'!$C$4,INDEX(MASTER_ZONES!$B:$B,474)))),473,""),""),""))</f>
        <v/>
      </c>
      <c r="P474">
        <f>IF('CHOP DASHBOARD'!$B$4="Area",IF(473&lt;=$S$3,IF(AND(OR('CHOP DASHBOARD'!$C$4="",ISNUMBER(SEARCH('CHOP DASHBOARD'!$C$4,INDEX(MASTER_AREAS!$B:$B,474))))),473,""),""),IF('CHOP DASHBOARD'!$B$4="Zone",IF(473&lt;=$S$4,IF(OR('CHOP DASHBOARD'!$C$4="",ISNUMBER(SEARCH('CHOP DASHBOARD'!$C$4,INDEX(MASTER_ZONES!$B:$B,474)))),473,""),""),""))</f>
        <v/>
      </c>
      <c r="U474">
        <f>IF('COMMUNITY CHURCH DASHBOARD'!$B$4="Area",IF(473&lt;=$X$3,IF(AND(OR('COMMUNITY CHURCH DASHBOARD'!$C$4="",ISNUMBER(SEARCH('COMMUNITY CHURCH DASHBOARD'!$C$4,INDEX(MASTER_AREAS!$B:$B,474))))),473,""),""),IF('COMMUNITY CHURCH DASHBOARD'!$B$4="Zone",IF(473&lt;=$X$4,IF(OR('COMMUNITY CHURCH DASHBOARD'!$C$4="",ISNUMBER(SEARCH('COMMUNITY CHURCH DASHBOARD'!$C$4,INDEX(MASTER_ZONES!$B:$B,474)))),473,""),""),""))</f>
        <v/>
      </c>
    </row>
    <row r="475">
      <c r="A475">
        <f>IF('WSF DASHBOARD'!$B$4="Area",IF(474&lt;=$D$3,IF(AND(OR('WSF DASHBOARD'!$C$4="",ISNUMBER(SEARCH('WSF DASHBOARD'!$C$4,INDEX(MASTER_AREAS!$B:$B,475))))),474,""),""),IF('WSF DASHBOARD'!$B$4="Zone",IF(474&lt;=$D$4,IF(OR('WSF DASHBOARD'!$C$4="",ISNUMBER(SEARCH('WSF DASHBOARD'!$C$4,INDEX(MASTER_ZONES!$B:$B,475)))),474,""),""),""))</f>
        <v/>
      </c>
      <c r="F475">
        <f>IF('TRANSPORT DASHBOARD'!$B$4="Area",IF(474&lt;=$I$3,IF(AND(INDEX(MASTER_AREAS!$F:$F,475)&lt;&gt;"N",OR('TRANSPORT DASHBOARD'!$C$4="",ISNUMBER(SEARCH('TRANSPORT DASHBOARD'!$C$4,INDEX(MASTER_AREAS!$B:$B,475))))),474,""),""),IF('TRANSPORT DASHBOARD'!$B$4="Zone",IF(474&lt;=$I$4,IF(OR('TRANSPORT DASHBOARD'!$C$4="",ISNUMBER(SEARCH('TRANSPORT DASHBOARD'!$C$4,INDEX(MASTER_ZONES!$B:$B,475)))),474,""),""),""))</f>
        <v/>
      </c>
      <c r="K475">
        <f>IF('MIDWEEK DASHBOARD'!$B$4="Area",IF(474&lt;=$N$3,IF(AND(OR('MIDWEEK DASHBOARD'!$C$4="",ISNUMBER(SEARCH('MIDWEEK DASHBOARD'!$C$4,INDEX(MASTER_AREAS!$B:$B,475))))),474,""),""),IF('MIDWEEK DASHBOARD'!$B$4="Zone",IF(474&lt;=$N$4,IF(OR('MIDWEEK DASHBOARD'!$C$4="",ISNUMBER(SEARCH('MIDWEEK DASHBOARD'!$C$4,INDEX(MASTER_ZONES!$B:$B,475)))),474,""),""),""))</f>
        <v/>
      </c>
      <c r="P475">
        <f>IF('CHOP DASHBOARD'!$B$4="Area",IF(474&lt;=$S$3,IF(AND(OR('CHOP DASHBOARD'!$C$4="",ISNUMBER(SEARCH('CHOP DASHBOARD'!$C$4,INDEX(MASTER_AREAS!$B:$B,475))))),474,""),""),IF('CHOP DASHBOARD'!$B$4="Zone",IF(474&lt;=$S$4,IF(OR('CHOP DASHBOARD'!$C$4="",ISNUMBER(SEARCH('CHOP DASHBOARD'!$C$4,INDEX(MASTER_ZONES!$B:$B,475)))),474,""),""),""))</f>
        <v/>
      </c>
      <c r="U475">
        <f>IF('COMMUNITY CHURCH DASHBOARD'!$B$4="Area",IF(474&lt;=$X$3,IF(AND(OR('COMMUNITY CHURCH DASHBOARD'!$C$4="",ISNUMBER(SEARCH('COMMUNITY CHURCH DASHBOARD'!$C$4,INDEX(MASTER_AREAS!$B:$B,475))))),474,""),""),IF('COMMUNITY CHURCH DASHBOARD'!$B$4="Zone",IF(474&lt;=$X$4,IF(OR('COMMUNITY CHURCH DASHBOARD'!$C$4="",ISNUMBER(SEARCH('COMMUNITY CHURCH DASHBOARD'!$C$4,INDEX(MASTER_ZONES!$B:$B,475)))),474,""),""),""))</f>
        <v/>
      </c>
    </row>
    <row r="476">
      <c r="A476">
        <f>IF('WSF DASHBOARD'!$B$4="Area",IF(475&lt;=$D$3,IF(AND(OR('WSF DASHBOARD'!$C$4="",ISNUMBER(SEARCH('WSF DASHBOARD'!$C$4,INDEX(MASTER_AREAS!$B:$B,476))))),475,""),""),IF('WSF DASHBOARD'!$B$4="Zone",IF(475&lt;=$D$4,IF(OR('WSF DASHBOARD'!$C$4="",ISNUMBER(SEARCH('WSF DASHBOARD'!$C$4,INDEX(MASTER_ZONES!$B:$B,476)))),475,""),""),""))</f>
        <v/>
      </c>
      <c r="F476">
        <f>IF('TRANSPORT DASHBOARD'!$B$4="Area",IF(475&lt;=$I$3,IF(AND(INDEX(MASTER_AREAS!$F:$F,476)&lt;&gt;"N",OR('TRANSPORT DASHBOARD'!$C$4="",ISNUMBER(SEARCH('TRANSPORT DASHBOARD'!$C$4,INDEX(MASTER_AREAS!$B:$B,476))))),475,""),""),IF('TRANSPORT DASHBOARD'!$B$4="Zone",IF(475&lt;=$I$4,IF(OR('TRANSPORT DASHBOARD'!$C$4="",ISNUMBER(SEARCH('TRANSPORT DASHBOARD'!$C$4,INDEX(MASTER_ZONES!$B:$B,476)))),475,""),""),""))</f>
        <v/>
      </c>
      <c r="K476">
        <f>IF('MIDWEEK DASHBOARD'!$B$4="Area",IF(475&lt;=$N$3,IF(AND(OR('MIDWEEK DASHBOARD'!$C$4="",ISNUMBER(SEARCH('MIDWEEK DASHBOARD'!$C$4,INDEX(MASTER_AREAS!$B:$B,476))))),475,""),""),IF('MIDWEEK DASHBOARD'!$B$4="Zone",IF(475&lt;=$N$4,IF(OR('MIDWEEK DASHBOARD'!$C$4="",ISNUMBER(SEARCH('MIDWEEK DASHBOARD'!$C$4,INDEX(MASTER_ZONES!$B:$B,476)))),475,""),""),""))</f>
        <v/>
      </c>
      <c r="P476">
        <f>IF('CHOP DASHBOARD'!$B$4="Area",IF(475&lt;=$S$3,IF(AND(OR('CHOP DASHBOARD'!$C$4="",ISNUMBER(SEARCH('CHOP DASHBOARD'!$C$4,INDEX(MASTER_AREAS!$B:$B,476))))),475,""),""),IF('CHOP DASHBOARD'!$B$4="Zone",IF(475&lt;=$S$4,IF(OR('CHOP DASHBOARD'!$C$4="",ISNUMBER(SEARCH('CHOP DASHBOARD'!$C$4,INDEX(MASTER_ZONES!$B:$B,476)))),475,""),""),""))</f>
        <v/>
      </c>
      <c r="U476">
        <f>IF('COMMUNITY CHURCH DASHBOARD'!$B$4="Area",IF(475&lt;=$X$3,IF(AND(OR('COMMUNITY CHURCH DASHBOARD'!$C$4="",ISNUMBER(SEARCH('COMMUNITY CHURCH DASHBOARD'!$C$4,INDEX(MASTER_AREAS!$B:$B,476))))),475,""),""),IF('COMMUNITY CHURCH DASHBOARD'!$B$4="Zone",IF(475&lt;=$X$4,IF(OR('COMMUNITY CHURCH DASHBOARD'!$C$4="",ISNUMBER(SEARCH('COMMUNITY CHURCH DASHBOARD'!$C$4,INDEX(MASTER_ZONES!$B:$B,476)))),475,""),""),""))</f>
        <v/>
      </c>
    </row>
    <row r="477">
      <c r="A477">
        <f>IF('WSF DASHBOARD'!$B$4="Area",IF(476&lt;=$D$3,IF(AND(OR('WSF DASHBOARD'!$C$4="",ISNUMBER(SEARCH('WSF DASHBOARD'!$C$4,INDEX(MASTER_AREAS!$B:$B,477))))),476,""),""),IF('WSF DASHBOARD'!$B$4="Zone",IF(476&lt;=$D$4,IF(OR('WSF DASHBOARD'!$C$4="",ISNUMBER(SEARCH('WSF DASHBOARD'!$C$4,INDEX(MASTER_ZONES!$B:$B,477)))),476,""),""),""))</f>
        <v/>
      </c>
      <c r="F477">
        <f>IF('TRANSPORT DASHBOARD'!$B$4="Area",IF(476&lt;=$I$3,IF(AND(INDEX(MASTER_AREAS!$F:$F,477)&lt;&gt;"N",OR('TRANSPORT DASHBOARD'!$C$4="",ISNUMBER(SEARCH('TRANSPORT DASHBOARD'!$C$4,INDEX(MASTER_AREAS!$B:$B,477))))),476,""),""),IF('TRANSPORT DASHBOARD'!$B$4="Zone",IF(476&lt;=$I$4,IF(OR('TRANSPORT DASHBOARD'!$C$4="",ISNUMBER(SEARCH('TRANSPORT DASHBOARD'!$C$4,INDEX(MASTER_ZONES!$B:$B,477)))),476,""),""),""))</f>
        <v/>
      </c>
      <c r="K477">
        <f>IF('MIDWEEK DASHBOARD'!$B$4="Area",IF(476&lt;=$N$3,IF(AND(OR('MIDWEEK DASHBOARD'!$C$4="",ISNUMBER(SEARCH('MIDWEEK DASHBOARD'!$C$4,INDEX(MASTER_AREAS!$B:$B,477))))),476,""),""),IF('MIDWEEK DASHBOARD'!$B$4="Zone",IF(476&lt;=$N$4,IF(OR('MIDWEEK DASHBOARD'!$C$4="",ISNUMBER(SEARCH('MIDWEEK DASHBOARD'!$C$4,INDEX(MASTER_ZONES!$B:$B,477)))),476,""),""),""))</f>
        <v/>
      </c>
      <c r="P477">
        <f>IF('CHOP DASHBOARD'!$B$4="Area",IF(476&lt;=$S$3,IF(AND(OR('CHOP DASHBOARD'!$C$4="",ISNUMBER(SEARCH('CHOP DASHBOARD'!$C$4,INDEX(MASTER_AREAS!$B:$B,477))))),476,""),""),IF('CHOP DASHBOARD'!$B$4="Zone",IF(476&lt;=$S$4,IF(OR('CHOP DASHBOARD'!$C$4="",ISNUMBER(SEARCH('CHOP DASHBOARD'!$C$4,INDEX(MASTER_ZONES!$B:$B,477)))),476,""),""),""))</f>
        <v/>
      </c>
      <c r="U477">
        <f>IF('COMMUNITY CHURCH DASHBOARD'!$B$4="Area",IF(476&lt;=$X$3,IF(AND(OR('COMMUNITY CHURCH DASHBOARD'!$C$4="",ISNUMBER(SEARCH('COMMUNITY CHURCH DASHBOARD'!$C$4,INDEX(MASTER_AREAS!$B:$B,477))))),476,""),""),IF('COMMUNITY CHURCH DASHBOARD'!$B$4="Zone",IF(476&lt;=$X$4,IF(OR('COMMUNITY CHURCH DASHBOARD'!$C$4="",ISNUMBER(SEARCH('COMMUNITY CHURCH DASHBOARD'!$C$4,INDEX(MASTER_ZONES!$B:$B,477)))),476,""),""),""))</f>
        <v/>
      </c>
    </row>
    <row r="478">
      <c r="A478">
        <f>IF('WSF DASHBOARD'!$B$4="Area",IF(477&lt;=$D$3,IF(AND(OR('WSF DASHBOARD'!$C$4="",ISNUMBER(SEARCH('WSF DASHBOARD'!$C$4,INDEX(MASTER_AREAS!$B:$B,478))))),477,""),""),IF('WSF DASHBOARD'!$B$4="Zone",IF(477&lt;=$D$4,IF(OR('WSF DASHBOARD'!$C$4="",ISNUMBER(SEARCH('WSF DASHBOARD'!$C$4,INDEX(MASTER_ZONES!$B:$B,478)))),477,""),""),""))</f>
        <v/>
      </c>
      <c r="F478">
        <f>IF('TRANSPORT DASHBOARD'!$B$4="Area",IF(477&lt;=$I$3,IF(AND(INDEX(MASTER_AREAS!$F:$F,478)&lt;&gt;"N",OR('TRANSPORT DASHBOARD'!$C$4="",ISNUMBER(SEARCH('TRANSPORT DASHBOARD'!$C$4,INDEX(MASTER_AREAS!$B:$B,478))))),477,""),""),IF('TRANSPORT DASHBOARD'!$B$4="Zone",IF(477&lt;=$I$4,IF(OR('TRANSPORT DASHBOARD'!$C$4="",ISNUMBER(SEARCH('TRANSPORT DASHBOARD'!$C$4,INDEX(MASTER_ZONES!$B:$B,478)))),477,""),""),""))</f>
        <v/>
      </c>
      <c r="K478">
        <f>IF('MIDWEEK DASHBOARD'!$B$4="Area",IF(477&lt;=$N$3,IF(AND(OR('MIDWEEK DASHBOARD'!$C$4="",ISNUMBER(SEARCH('MIDWEEK DASHBOARD'!$C$4,INDEX(MASTER_AREAS!$B:$B,478))))),477,""),""),IF('MIDWEEK DASHBOARD'!$B$4="Zone",IF(477&lt;=$N$4,IF(OR('MIDWEEK DASHBOARD'!$C$4="",ISNUMBER(SEARCH('MIDWEEK DASHBOARD'!$C$4,INDEX(MASTER_ZONES!$B:$B,478)))),477,""),""),""))</f>
        <v/>
      </c>
      <c r="P478">
        <f>IF('CHOP DASHBOARD'!$B$4="Area",IF(477&lt;=$S$3,IF(AND(OR('CHOP DASHBOARD'!$C$4="",ISNUMBER(SEARCH('CHOP DASHBOARD'!$C$4,INDEX(MASTER_AREAS!$B:$B,478))))),477,""),""),IF('CHOP DASHBOARD'!$B$4="Zone",IF(477&lt;=$S$4,IF(OR('CHOP DASHBOARD'!$C$4="",ISNUMBER(SEARCH('CHOP DASHBOARD'!$C$4,INDEX(MASTER_ZONES!$B:$B,478)))),477,""),""),""))</f>
        <v/>
      </c>
      <c r="U478">
        <f>IF('COMMUNITY CHURCH DASHBOARD'!$B$4="Area",IF(477&lt;=$X$3,IF(AND(OR('COMMUNITY CHURCH DASHBOARD'!$C$4="",ISNUMBER(SEARCH('COMMUNITY CHURCH DASHBOARD'!$C$4,INDEX(MASTER_AREAS!$B:$B,478))))),477,""),""),IF('COMMUNITY CHURCH DASHBOARD'!$B$4="Zone",IF(477&lt;=$X$4,IF(OR('COMMUNITY CHURCH DASHBOARD'!$C$4="",ISNUMBER(SEARCH('COMMUNITY CHURCH DASHBOARD'!$C$4,INDEX(MASTER_ZONES!$B:$B,478)))),477,""),""),""))</f>
        <v/>
      </c>
    </row>
    <row r="479">
      <c r="A479">
        <f>IF('WSF DASHBOARD'!$B$4="Area",IF(478&lt;=$D$3,IF(AND(OR('WSF DASHBOARD'!$C$4="",ISNUMBER(SEARCH('WSF DASHBOARD'!$C$4,INDEX(MASTER_AREAS!$B:$B,479))))),478,""),""),IF('WSF DASHBOARD'!$B$4="Zone",IF(478&lt;=$D$4,IF(OR('WSF DASHBOARD'!$C$4="",ISNUMBER(SEARCH('WSF DASHBOARD'!$C$4,INDEX(MASTER_ZONES!$B:$B,479)))),478,""),""),""))</f>
        <v/>
      </c>
      <c r="F479">
        <f>IF('TRANSPORT DASHBOARD'!$B$4="Area",IF(478&lt;=$I$3,IF(AND(INDEX(MASTER_AREAS!$F:$F,479)&lt;&gt;"N",OR('TRANSPORT DASHBOARD'!$C$4="",ISNUMBER(SEARCH('TRANSPORT DASHBOARD'!$C$4,INDEX(MASTER_AREAS!$B:$B,479))))),478,""),""),IF('TRANSPORT DASHBOARD'!$B$4="Zone",IF(478&lt;=$I$4,IF(OR('TRANSPORT DASHBOARD'!$C$4="",ISNUMBER(SEARCH('TRANSPORT DASHBOARD'!$C$4,INDEX(MASTER_ZONES!$B:$B,479)))),478,""),""),""))</f>
        <v/>
      </c>
      <c r="K479">
        <f>IF('MIDWEEK DASHBOARD'!$B$4="Area",IF(478&lt;=$N$3,IF(AND(OR('MIDWEEK DASHBOARD'!$C$4="",ISNUMBER(SEARCH('MIDWEEK DASHBOARD'!$C$4,INDEX(MASTER_AREAS!$B:$B,479))))),478,""),""),IF('MIDWEEK DASHBOARD'!$B$4="Zone",IF(478&lt;=$N$4,IF(OR('MIDWEEK DASHBOARD'!$C$4="",ISNUMBER(SEARCH('MIDWEEK DASHBOARD'!$C$4,INDEX(MASTER_ZONES!$B:$B,479)))),478,""),""),""))</f>
        <v/>
      </c>
      <c r="P479">
        <f>IF('CHOP DASHBOARD'!$B$4="Area",IF(478&lt;=$S$3,IF(AND(OR('CHOP DASHBOARD'!$C$4="",ISNUMBER(SEARCH('CHOP DASHBOARD'!$C$4,INDEX(MASTER_AREAS!$B:$B,479))))),478,""),""),IF('CHOP DASHBOARD'!$B$4="Zone",IF(478&lt;=$S$4,IF(OR('CHOP DASHBOARD'!$C$4="",ISNUMBER(SEARCH('CHOP DASHBOARD'!$C$4,INDEX(MASTER_ZONES!$B:$B,479)))),478,""),""),""))</f>
        <v/>
      </c>
      <c r="U479">
        <f>IF('COMMUNITY CHURCH DASHBOARD'!$B$4="Area",IF(478&lt;=$X$3,IF(AND(OR('COMMUNITY CHURCH DASHBOARD'!$C$4="",ISNUMBER(SEARCH('COMMUNITY CHURCH DASHBOARD'!$C$4,INDEX(MASTER_AREAS!$B:$B,479))))),478,""),""),IF('COMMUNITY CHURCH DASHBOARD'!$B$4="Zone",IF(478&lt;=$X$4,IF(OR('COMMUNITY CHURCH DASHBOARD'!$C$4="",ISNUMBER(SEARCH('COMMUNITY CHURCH DASHBOARD'!$C$4,INDEX(MASTER_ZONES!$B:$B,479)))),478,""),""),""))</f>
        <v/>
      </c>
    </row>
    <row r="480">
      <c r="A480">
        <f>IF('WSF DASHBOARD'!$B$4="Area",IF(479&lt;=$D$3,IF(AND(OR('WSF DASHBOARD'!$C$4="",ISNUMBER(SEARCH('WSF DASHBOARD'!$C$4,INDEX(MASTER_AREAS!$B:$B,480))))),479,""),""),IF('WSF DASHBOARD'!$B$4="Zone",IF(479&lt;=$D$4,IF(OR('WSF DASHBOARD'!$C$4="",ISNUMBER(SEARCH('WSF DASHBOARD'!$C$4,INDEX(MASTER_ZONES!$B:$B,480)))),479,""),""),""))</f>
        <v/>
      </c>
      <c r="F480">
        <f>IF('TRANSPORT DASHBOARD'!$B$4="Area",IF(479&lt;=$I$3,IF(AND(INDEX(MASTER_AREAS!$F:$F,480)&lt;&gt;"N",OR('TRANSPORT DASHBOARD'!$C$4="",ISNUMBER(SEARCH('TRANSPORT DASHBOARD'!$C$4,INDEX(MASTER_AREAS!$B:$B,480))))),479,""),""),IF('TRANSPORT DASHBOARD'!$B$4="Zone",IF(479&lt;=$I$4,IF(OR('TRANSPORT DASHBOARD'!$C$4="",ISNUMBER(SEARCH('TRANSPORT DASHBOARD'!$C$4,INDEX(MASTER_ZONES!$B:$B,480)))),479,""),""),""))</f>
        <v/>
      </c>
      <c r="K480">
        <f>IF('MIDWEEK DASHBOARD'!$B$4="Area",IF(479&lt;=$N$3,IF(AND(OR('MIDWEEK DASHBOARD'!$C$4="",ISNUMBER(SEARCH('MIDWEEK DASHBOARD'!$C$4,INDEX(MASTER_AREAS!$B:$B,480))))),479,""),""),IF('MIDWEEK DASHBOARD'!$B$4="Zone",IF(479&lt;=$N$4,IF(OR('MIDWEEK DASHBOARD'!$C$4="",ISNUMBER(SEARCH('MIDWEEK DASHBOARD'!$C$4,INDEX(MASTER_ZONES!$B:$B,480)))),479,""),""),""))</f>
        <v/>
      </c>
      <c r="P480">
        <f>IF('CHOP DASHBOARD'!$B$4="Area",IF(479&lt;=$S$3,IF(AND(OR('CHOP DASHBOARD'!$C$4="",ISNUMBER(SEARCH('CHOP DASHBOARD'!$C$4,INDEX(MASTER_AREAS!$B:$B,480))))),479,""),""),IF('CHOP DASHBOARD'!$B$4="Zone",IF(479&lt;=$S$4,IF(OR('CHOP DASHBOARD'!$C$4="",ISNUMBER(SEARCH('CHOP DASHBOARD'!$C$4,INDEX(MASTER_ZONES!$B:$B,480)))),479,""),""),""))</f>
        <v/>
      </c>
      <c r="U480">
        <f>IF('COMMUNITY CHURCH DASHBOARD'!$B$4="Area",IF(479&lt;=$X$3,IF(AND(OR('COMMUNITY CHURCH DASHBOARD'!$C$4="",ISNUMBER(SEARCH('COMMUNITY CHURCH DASHBOARD'!$C$4,INDEX(MASTER_AREAS!$B:$B,480))))),479,""),""),IF('COMMUNITY CHURCH DASHBOARD'!$B$4="Zone",IF(479&lt;=$X$4,IF(OR('COMMUNITY CHURCH DASHBOARD'!$C$4="",ISNUMBER(SEARCH('COMMUNITY CHURCH DASHBOARD'!$C$4,INDEX(MASTER_ZONES!$B:$B,480)))),479,""),""),""))</f>
        <v/>
      </c>
    </row>
    <row r="481">
      <c r="A481">
        <f>IF('WSF DASHBOARD'!$B$4="Area",IF(480&lt;=$D$3,IF(AND(OR('WSF DASHBOARD'!$C$4="",ISNUMBER(SEARCH('WSF DASHBOARD'!$C$4,INDEX(MASTER_AREAS!$B:$B,481))))),480,""),""),IF('WSF DASHBOARD'!$B$4="Zone",IF(480&lt;=$D$4,IF(OR('WSF DASHBOARD'!$C$4="",ISNUMBER(SEARCH('WSF DASHBOARD'!$C$4,INDEX(MASTER_ZONES!$B:$B,481)))),480,""),""),""))</f>
        <v/>
      </c>
      <c r="F481">
        <f>IF('TRANSPORT DASHBOARD'!$B$4="Area",IF(480&lt;=$I$3,IF(AND(INDEX(MASTER_AREAS!$F:$F,481)&lt;&gt;"N",OR('TRANSPORT DASHBOARD'!$C$4="",ISNUMBER(SEARCH('TRANSPORT DASHBOARD'!$C$4,INDEX(MASTER_AREAS!$B:$B,481))))),480,""),""),IF('TRANSPORT DASHBOARD'!$B$4="Zone",IF(480&lt;=$I$4,IF(OR('TRANSPORT DASHBOARD'!$C$4="",ISNUMBER(SEARCH('TRANSPORT DASHBOARD'!$C$4,INDEX(MASTER_ZONES!$B:$B,481)))),480,""),""),""))</f>
        <v/>
      </c>
      <c r="K481">
        <f>IF('MIDWEEK DASHBOARD'!$B$4="Area",IF(480&lt;=$N$3,IF(AND(OR('MIDWEEK DASHBOARD'!$C$4="",ISNUMBER(SEARCH('MIDWEEK DASHBOARD'!$C$4,INDEX(MASTER_AREAS!$B:$B,481))))),480,""),""),IF('MIDWEEK DASHBOARD'!$B$4="Zone",IF(480&lt;=$N$4,IF(OR('MIDWEEK DASHBOARD'!$C$4="",ISNUMBER(SEARCH('MIDWEEK DASHBOARD'!$C$4,INDEX(MASTER_ZONES!$B:$B,481)))),480,""),""),""))</f>
        <v/>
      </c>
      <c r="P481">
        <f>IF('CHOP DASHBOARD'!$B$4="Area",IF(480&lt;=$S$3,IF(AND(OR('CHOP DASHBOARD'!$C$4="",ISNUMBER(SEARCH('CHOP DASHBOARD'!$C$4,INDEX(MASTER_AREAS!$B:$B,481))))),480,""),""),IF('CHOP DASHBOARD'!$B$4="Zone",IF(480&lt;=$S$4,IF(OR('CHOP DASHBOARD'!$C$4="",ISNUMBER(SEARCH('CHOP DASHBOARD'!$C$4,INDEX(MASTER_ZONES!$B:$B,481)))),480,""),""),""))</f>
        <v/>
      </c>
      <c r="U481">
        <f>IF('COMMUNITY CHURCH DASHBOARD'!$B$4="Area",IF(480&lt;=$X$3,IF(AND(OR('COMMUNITY CHURCH DASHBOARD'!$C$4="",ISNUMBER(SEARCH('COMMUNITY CHURCH DASHBOARD'!$C$4,INDEX(MASTER_AREAS!$B:$B,481))))),480,""),""),IF('COMMUNITY CHURCH DASHBOARD'!$B$4="Zone",IF(480&lt;=$X$4,IF(OR('COMMUNITY CHURCH DASHBOARD'!$C$4="",ISNUMBER(SEARCH('COMMUNITY CHURCH DASHBOARD'!$C$4,INDEX(MASTER_ZONES!$B:$B,481)))),480,""),""),""))</f>
        <v/>
      </c>
    </row>
    <row r="482">
      <c r="A482">
        <f>IF('WSF DASHBOARD'!$B$4="Area",IF(481&lt;=$D$3,IF(AND(OR('WSF DASHBOARD'!$C$4="",ISNUMBER(SEARCH('WSF DASHBOARD'!$C$4,INDEX(MASTER_AREAS!$B:$B,482))))),481,""),""),IF('WSF DASHBOARD'!$B$4="Zone",IF(481&lt;=$D$4,IF(OR('WSF DASHBOARD'!$C$4="",ISNUMBER(SEARCH('WSF DASHBOARD'!$C$4,INDEX(MASTER_ZONES!$B:$B,482)))),481,""),""),""))</f>
        <v/>
      </c>
      <c r="F482">
        <f>IF('TRANSPORT DASHBOARD'!$B$4="Area",IF(481&lt;=$I$3,IF(AND(INDEX(MASTER_AREAS!$F:$F,482)&lt;&gt;"N",OR('TRANSPORT DASHBOARD'!$C$4="",ISNUMBER(SEARCH('TRANSPORT DASHBOARD'!$C$4,INDEX(MASTER_AREAS!$B:$B,482))))),481,""),""),IF('TRANSPORT DASHBOARD'!$B$4="Zone",IF(481&lt;=$I$4,IF(OR('TRANSPORT DASHBOARD'!$C$4="",ISNUMBER(SEARCH('TRANSPORT DASHBOARD'!$C$4,INDEX(MASTER_ZONES!$B:$B,482)))),481,""),""),""))</f>
        <v/>
      </c>
      <c r="K482">
        <f>IF('MIDWEEK DASHBOARD'!$B$4="Area",IF(481&lt;=$N$3,IF(AND(OR('MIDWEEK DASHBOARD'!$C$4="",ISNUMBER(SEARCH('MIDWEEK DASHBOARD'!$C$4,INDEX(MASTER_AREAS!$B:$B,482))))),481,""),""),IF('MIDWEEK DASHBOARD'!$B$4="Zone",IF(481&lt;=$N$4,IF(OR('MIDWEEK DASHBOARD'!$C$4="",ISNUMBER(SEARCH('MIDWEEK DASHBOARD'!$C$4,INDEX(MASTER_ZONES!$B:$B,482)))),481,""),""),""))</f>
        <v/>
      </c>
      <c r="P482">
        <f>IF('CHOP DASHBOARD'!$B$4="Area",IF(481&lt;=$S$3,IF(AND(OR('CHOP DASHBOARD'!$C$4="",ISNUMBER(SEARCH('CHOP DASHBOARD'!$C$4,INDEX(MASTER_AREAS!$B:$B,482))))),481,""),""),IF('CHOP DASHBOARD'!$B$4="Zone",IF(481&lt;=$S$4,IF(OR('CHOP DASHBOARD'!$C$4="",ISNUMBER(SEARCH('CHOP DASHBOARD'!$C$4,INDEX(MASTER_ZONES!$B:$B,482)))),481,""),""),""))</f>
        <v/>
      </c>
      <c r="U482">
        <f>IF('COMMUNITY CHURCH DASHBOARD'!$B$4="Area",IF(481&lt;=$X$3,IF(AND(OR('COMMUNITY CHURCH DASHBOARD'!$C$4="",ISNUMBER(SEARCH('COMMUNITY CHURCH DASHBOARD'!$C$4,INDEX(MASTER_AREAS!$B:$B,482))))),481,""),""),IF('COMMUNITY CHURCH DASHBOARD'!$B$4="Zone",IF(481&lt;=$X$4,IF(OR('COMMUNITY CHURCH DASHBOARD'!$C$4="",ISNUMBER(SEARCH('COMMUNITY CHURCH DASHBOARD'!$C$4,INDEX(MASTER_ZONES!$B:$B,482)))),481,""),""),""))</f>
        <v/>
      </c>
    </row>
    <row r="483">
      <c r="A483">
        <f>IF('WSF DASHBOARD'!$B$4="Area",IF(482&lt;=$D$3,IF(AND(OR('WSF DASHBOARD'!$C$4="",ISNUMBER(SEARCH('WSF DASHBOARD'!$C$4,INDEX(MASTER_AREAS!$B:$B,483))))),482,""),""),IF('WSF DASHBOARD'!$B$4="Zone",IF(482&lt;=$D$4,IF(OR('WSF DASHBOARD'!$C$4="",ISNUMBER(SEARCH('WSF DASHBOARD'!$C$4,INDEX(MASTER_ZONES!$B:$B,483)))),482,""),""),""))</f>
        <v/>
      </c>
      <c r="F483">
        <f>IF('TRANSPORT DASHBOARD'!$B$4="Area",IF(482&lt;=$I$3,IF(AND(INDEX(MASTER_AREAS!$F:$F,483)&lt;&gt;"N",OR('TRANSPORT DASHBOARD'!$C$4="",ISNUMBER(SEARCH('TRANSPORT DASHBOARD'!$C$4,INDEX(MASTER_AREAS!$B:$B,483))))),482,""),""),IF('TRANSPORT DASHBOARD'!$B$4="Zone",IF(482&lt;=$I$4,IF(OR('TRANSPORT DASHBOARD'!$C$4="",ISNUMBER(SEARCH('TRANSPORT DASHBOARD'!$C$4,INDEX(MASTER_ZONES!$B:$B,483)))),482,""),""),""))</f>
        <v/>
      </c>
      <c r="K483">
        <f>IF('MIDWEEK DASHBOARD'!$B$4="Area",IF(482&lt;=$N$3,IF(AND(OR('MIDWEEK DASHBOARD'!$C$4="",ISNUMBER(SEARCH('MIDWEEK DASHBOARD'!$C$4,INDEX(MASTER_AREAS!$B:$B,483))))),482,""),""),IF('MIDWEEK DASHBOARD'!$B$4="Zone",IF(482&lt;=$N$4,IF(OR('MIDWEEK DASHBOARD'!$C$4="",ISNUMBER(SEARCH('MIDWEEK DASHBOARD'!$C$4,INDEX(MASTER_ZONES!$B:$B,483)))),482,""),""),""))</f>
        <v/>
      </c>
      <c r="P483">
        <f>IF('CHOP DASHBOARD'!$B$4="Area",IF(482&lt;=$S$3,IF(AND(OR('CHOP DASHBOARD'!$C$4="",ISNUMBER(SEARCH('CHOP DASHBOARD'!$C$4,INDEX(MASTER_AREAS!$B:$B,483))))),482,""),""),IF('CHOP DASHBOARD'!$B$4="Zone",IF(482&lt;=$S$4,IF(OR('CHOP DASHBOARD'!$C$4="",ISNUMBER(SEARCH('CHOP DASHBOARD'!$C$4,INDEX(MASTER_ZONES!$B:$B,483)))),482,""),""),""))</f>
        <v/>
      </c>
      <c r="U483">
        <f>IF('COMMUNITY CHURCH DASHBOARD'!$B$4="Area",IF(482&lt;=$X$3,IF(AND(OR('COMMUNITY CHURCH DASHBOARD'!$C$4="",ISNUMBER(SEARCH('COMMUNITY CHURCH DASHBOARD'!$C$4,INDEX(MASTER_AREAS!$B:$B,483))))),482,""),""),IF('COMMUNITY CHURCH DASHBOARD'!$B$4="Zone",IF(482&lt;=$X$4,IF(OR('COMMUNITY CHURCH DASHBOARD'!$C$4="",ISNUMBER(SEARCH('COMMUNITY CHURCH DASHBOARD'!$C$4,INDEX(MASTER_ZONES!$B:$B,483)))),482,""),""),""))</f>
        <v/>
      </c>
    </row>
    <row r="484">
      <c r="A484">
        <f>IF('WSF DASHBOARD'!$B$4="Area",IF(483&lt;=$D$3,IF(AND(OR('WSF DASHBOARD'!$C$4="",ISNUMBER(SEARCH('WSF DASHBOARD'!$C$4,INDEX(MASTER_AREAS!$B:$B,484))))),483,""),""),IF('WSF DASHBOARD'!$B$4="Zone",IF(483&lt;=$D$4,IF(OR('WSF DASHBOARD'!$C$4="",ISNUMBER(SEARCH('WSF DASHBOARD'!$C$4,INDEX(MASTER_ZONES!$B:$B,484)))),483,""),""),""))</f>
        <v/>
      </c>
      <c r="F484">
        <f>IF('TRANSPORT DASHBOARD'!$B$4="Area",IF(483&lt;=$I$3,IF(AND(INDEX(MASTER_AREAS!$F:$F,484)&lt;&gt;"N",OR('TRANSPORT DASHBOARD'!$C$4="",ISNUMBER(SEARCH('TRANSPORT DASHBOARD'!$C$4,INDEX(MASTER_AREAS!$B:$B,484))))),483,""),""),IF('TRANSPORT DASHBOARD'!$B$4="Zone",IF(483&lt;=$I$4,IF(OR('TRANSPORT DASHBOARD'!$C$4="",ISNUMBER(SEARCH('TRANSPORT DASHBOARD'!$C$4,INDEX(MASTER_ZONES!$B:$B,484)))),483,""),""),""))</f>
        <v/>
      </c>
      <c r="K484">
        <f>IF('MIDWEEK DASHBOARD'!$B$4="Area",IF(483&lt;=$N$3,IF(AND(OR('MIDWEEK DASHBOARD'!$C$4="",ISNUMBER(SEARCH('MIDWEEK DASHBOARD'!$C$4,INDEX(MASTER_AREAS!$B:$B,484))))),483,""),""),IF('MIDWEEK DASHBOARD'!$B$4="Zone",IF(483&lt;=$N$4,IF(OR('MIDWEEK DASHBOARD'!$C$4="",ISNUMBER(SEARCH('MIDWEEK DASHBOARD'!$C$4,INDEX(MASTER_ZONES!$B:$B,484)))),483,""),""),""))</f>
        <v/>
      </c>
      <c r="P484">
        <f>IF('CHOP DASHBOARD'!$B$4="Area",IF(483&lt;=$S$3,IF(AND(OR('CHOP DASHBOARD'!$C$4="",ISNUMBER(SEARCH('CHOP DASHBOARD'!$C$4,INDEX(MASTER_AREAS!$B:$B,484))))),483,""),""),IF('CHOP DASHBOARD'!$B$4="Zone",IF(483&lt;=$S$4,IF(OR('CHOP DASHBOARD'!$C$4="",ISNUMBER(SEARCH('CHOP DASHBOARD'!$C$4,INDEX(MASTER_ZONES!$B:$B,484)))),483,""),""),""))</f>
        <v/>
      </c>
      <c r="U484">
        <f>IF('COMMUNITY CHURCH DASHBOARD'!$B$4="Area",IF(483&lt;=$X$3,IF(AND(OR('COMMUNITY CHURCH DASHBOARD'!$C$4="",ISNUMBER(SEARCH('COMMUNITY CHURCH DASHBOARD'!$C$4,INDEX(MASTER_AREAS!$B:$B,484))))),483,""),""),IF('COMMUNITY CHURCH DASHBOARD'!$B$4="Zone",IF(483&lt;=$X$4,IF(OR('COMMUNITY CHURCH DASHBOARD'!$C$4="",ISNUMBER(SEARCH('COMMUNITY CHURCH DASHBOARD'!$C$4,INDEX(MASTER_ZONES!$B:$B,484)))),483,""),""),""))</f>
        <v/>
      </c>
    </row>
    <row r="485">
      <c r="A485">
        <f>IF('WSF DASHBOARD'!$B$4="Area",IF(484&lt;=$D$3,IF(AND(OR('WSF DASHBOARD'!$C$4="",ISNUMBER(SEARCH('WSF DASHBOARD'!$C$4,INDEX(MASTER_AREAS!$B:$B,485))))),484,""),""),IF('WSF DASHBOARD'!$B$4="Zone",IF(484&lt;=$D$4,IF(OR('WSF DASHBOARD'!$C$4="",ISNUMBER(SEARCH('WSF DASHBOARD'!$C$4,INDEX(MASTER_ZONES!$B:$B,485)))),484,""),""),""))</f>
        <v/>
      </c>
      <c r="F485">
        <f>IF('TRANSPORT DASHBOARD'!$B$4="Area",IF(484&lt;=$I$3,IF(AND(INDEX(MASTER_AREAS!$F:$F,485)&lt;&gt;"N",OR('TRANSPORT DASHBOARD'!$C$4="",ISNUMBER(SEARCH('TRANSPORT DASHBOARD'!$C$4,INDEX(MASTER_AREAS!$B:$B,485))))),484,""),""),IF('TRANSPORT DASHBOARD'!$B$4="Zone",IF(484&lt;=$I$4,IF(OR('TRANSPORT DASHBOARD'!$C$4="",ISNUMBER(SEARCH('TRANSPORT DASHBOARD'!$C$4,INDEX(MASTER_ZONES!$B:$B,485)))),484,""),""),""))</f>
        <v/>
      </c>
      <c r="K485">
        <f>IF('MIDWEEK DASHBOARD'!$B$4="Area",IF(484&lt;=$N$3,IF(AND(OR('MIDWEEK DASHBOARD'!$C$4="",ISNUMBER(SEARCH('MIDWEEK DASHBOARD'!$C$4,INDEX(MASTER_AREAS!$B:$B,485))))),484,""),""),IF('MIDWEEK DASHBOARD'!$B$4="Zone",IF(484&lt;=$N$4,IF(OR('MIDWEEK DASHBOARD'!$C$4="",ISNUMBER(SEARCH('MIDWEEK DASHBOARD'!$C$4,INDEX(MASTER_ZONES!$B:$B,485)))),484,""),""),""))</f>
        <v/>
      </c>
      <c r="P485">
        <f>IF('CHOP DASHBOARD'!$B$4="Area",IF(484&lt;=$S$3,IF(AND(OR('CHOP DASHBOARD'!$C$4="",ISNUMBER(SEARCH('CHOP DASHBOARD'!$C$4,INDEX(MASTER_AREAS!$B:$B,485))))),484,""),""),IF('CHOP DASHBOARD'!$B$4="Zone",IF(484&lt;=$S$4,IF(OR('CHOP DASHBOARD'!$C$4="",ISNUMBER(SEARCH('CHOP DASHBOARD'!$C$4,INDEX(MASTER_ZONES!$B:$B,485)))),484,""),""),""))</f>
        <v/>
      </c>
      <c r="U485">
        <f>IF('COMMUNITY CHURCH DASHBOARD'!$B$4="Area",IF(484&lt;=$X$3,IF(AND(OR('COMMUNITY CHURCH DASHBOARD'!$C$4="",ISNUMBER(SEARCH('COMMUNITY CHURCH DASHBOARD'!$C$4,INDEX(MASTER_AREAS!$B:$B,485))))),484,""),""),IF('COMMUNITY CHURCH DASHBOARD'!$B$4="Zone",IF(484&lt;=$X$4,IF(OR('COMMUNITY CHURCH DASHBOARD'!$C$4="",ISNUMBER(SEARCH('COMMUNITY CHURCH DASHBOARD'!$C$4,INDEX(MASTER_ZONES!$B:$B,485)))),484,""),""),""))</f>
        <v/>
      </c>
    </row>
    <row r="486">
      <c r="A486">
        <f>IF('WSF DASHBOARD'!$B$4="Area",IF(485&lt;=$D$3,IF(AND(OR('WSF DASHBOARD'!$C$4="",ISNUMBER(SEARCH('WSF DASHBOARD'!$C$4,INDEX(MASTER_AREAS!$B:$B,486))))),485,""),""),IF('WSF DASHBOARD'!$B$4="Zone",IF(485&lt;=$D$4,IF(OR('WSF DASHBOARD'!$C$4="",ISNUMBER(SEARCH('WSF DASHBOARD'!$C$4,INDEX(MASTER_ZONES!$B:$B,486)))),485,""),""),""))</f>
        <v/>
      </c>
      <c r="F486">
        <f>IF('TRANSPORT DASHBOARD'!$B$4="Area",IF(485&lt;=$I$3,IF(AND(INDEX(MASTER_AREAS!$F:$F,486)&lt;&gt;"N",OR('TRANSPORT DASHBOARD'!$C$4="",ISNUMBER(SEARCH('TRANSPORT DASHBOARD'!$C$4,INDEX(MASTER_AREAS!$B:$B,486))))),485,""),""),IF('TRANSPORT DASHBOARD'!$B$4="Zone",IF(485&lt;=$I$4,IF(OR('TRANSPORT DASHBOARD'!$C$4="",ISNUMBER(SEARCH('TRANSPORT DASHBOARD'!$C$4,INDEX(MASTER_ZONES!$B:$B,486)))),485,""),""),""))</f>
        <v/>
      </c>
      <c r="K486">
        <f>IF('MIDWEEK DASHBOARD'!$B$4="Area",IF(485&lt;=$N$3,IF(AND(OR('MIDWEEK DASHBOARD'!$C$4="",ISNUMBER(SEARCH('MIDWEEK DASHBOARD'!$C$4,INDEX(MASTER_AREAS!$B:$B,486))))),485,""),""),IF('MIDWEEK DASHBOARD'!$B$4="Zone",IF(485&lt;=$N$4,IF(OR('MIDWEEK DASHBOARD'!$C$4="",ISNUMBER(SEARCH('MIDWEEK DASHBOARD'!$C$4,INDEX(MASTER_ZONES!$B:$B,486)))),485,""),""),""))</f>
        <v/>
      </c>
      <c r="P486">
        <f>IF('CHOP DASHBOARD'!$B$4="Area",IF(485&lt;=$S$3,IF(AND(OR('CHOP DASHBOARD'!$C$4="",ISNUMBER(SEARCH('CHOP DASHBOARD'!$C$4,INDEX(MASTER_AREAS!$B:$B,486))))),485,""),""),IF('CHOP DASHBOARD'!$B$4="Zone",IF(485&lt;=$S$4,IF(OR('CHOP DASHBOARD'!$C$4="",ISNUMBER(SEARCH('CHOP DASHBOARD'!$C$4,INDEX(MASTER_ZONES!$B:$B,486)))),485,""),""),""))</f>
        <v/>
      </c>
      <c r="U486">
        <f>IF('COMMUNITY CHURCH DASHBOARD'!$B$4="Area",IF(485&lt;=$X$3,IF(AND(OR('COMMUNITY CHURCH DASHBOARD'!$C$4="",ISNUMBER(SEARCH('COMMUNITY CHURCH DASHBOARD'!$C$4,INDEX(MASTER_AREAS!$B:$B,486))))),485,""),""),IF('COMMUNITY CHURCH DASHBOARD'!$B$4="Zone",IF(485&lt;=$X$4,IF(OR('COMMUNITY CHURCH DASHBOARD'!$C$4="",ISNUMBER(SEARCH('COMMUNITY CHURCH DASHBOARD'!$C$4,INDEX(MASTER_ZONES!$B:$B,486)))),485,""),""),""))</f>
        <v/>
      </c>
    </row>
    <row r="487">
      <c r="A487">
        <f>IF('WSF DASHBOARD'!$B$4="Area",IF(486&lt;=$D$3,IF(AND(OR('WSF DASHBOARD'!$C$4="",ISNUMBER(SEARCH('WSF DASHBOARD'!$C$4,INDEX(MASTER_AREAS!$B:$B,487))))),486,""),""),IF('WSF DASHBOARD'!$B$4="Zone",IF(486&lt;=$D$4,IF(OR('WSF DASHBOARD'!$C$4="",ISNUMBER(SEARCH('WSF DASHBOARD'!$C$4,INDEX(MASTER_ZONES!$B:$B,487)))),486,""),""),""))</f>
        <v/>
      </c>
      <c r="F487">
        <f>IF('TRANSPORT DASHBOARD'!$B$4="Area",IF(486&lt;=$I$3,IF(AND(INDEX(MASTER_AREAS!$F:$F,487)&lt;&gt;"N",OR('TRANSPORT DASHBOARD'!$C$4="",ISNUMBER(SEARCH('TRANSPORT DASHBOARD'!$C$4,INDEX(MASTER_AREAS!$B:$B,487))))),486,""),""),IF('TRANSPORT DASHBOARD'!$B$4="Zone",IF(486&lt;=$I$4,IF(OR('TRANSPORT DASHBOARD'!$C$4="",ISNUMBER(SEARCH('TRANSPORT DASHBOARD'!$C$4,INDEX(MASTER_ZONES!$B:$B,487)))),486,""),""),""))</f>
        <v/>
      </c>
      <c r="K487">
        <f>IF('MIDWEEK DASHBOARD'!$B$4="Area",IF(486&lt;=$N$3,IF(AND(OR('MIDWEEK DASHBOARD'!$C$4="",ISNUMBER(SEARCH('MIDWEEK DASHBOARD'!$C$4,INDEX(MASTER_AREAS!$B:$B,487))))),486,""),""),IF('MIDWEEK DASHBOARD'!$B$4="Zone",IF(486&lt;=$N$4,IF(OR('MIDWEEK DASHBOARD'!$C$4="",ISNUMBER(SEARCH('MIDWEEK DASHBOARD'!$C$4,INDEX(MASTER_ZONES!$B:$B,487)))),486,""),""),""))</f>
        <v/>
      </c>
      <c r="P487">
        <f>IF('CHOP DASHBOARD'!$B$4="Area",IF(486&lt;=$S$3,IF(AND(OR('CHOP DASHBOARD'!$C$4="",ISNUMBER(SEARCH('CHOP DASHBOARD'!$C$4,INDEX(MASTER_AREAS!$B:$B,487))))),486,""),""),IF('CHOP DASHBOARD'!$B$4="Zone",IF(486&lt;=$S$4,IF(OR('CHOP DASHBOARD'!$C$4="",ISNUMBER(SEARCH('CHOP DASHBOARD'!$C$4,INDEX(MASTER_ZONES!$B:$B,487)))),486,""),""),""))</f>
        <v/>
      </c>
      <c r="U487">
        <f>IF('COMMUNITY CHURCH DASHBOARD'!$B$4="Area",IF(486&lt;=$X$3,IF(AND(OR('COMMUNITY CHURCH DASHBOARD'!$C$4="",ISNUMBER(SEARCH('COMMUNITY CHURCH DASHBOARD'!$C$4,INDEX(MASTER_AREAS!$B:$B,487))))),486,""),""),IF('COMMUNITY CHURCH DASHBOARD'!$B$4="Zone",IF(486&lt;=$X$4,IF(OR('COMMUNITY CHURCH DASHBOARD'!$C$4="",ISNUMBER(SEARCH('COMMUNITY CHURCH DASHBOARD'!$C$4,INDEX(MASTER_ZONES!$B:$B,487)))),486,""),""),""))</f>
        <v/>
      </c>
    </row>
    <row r="488">
      <c r="A488">
        <f>IF('WSF DASHBOARD'!$B$4="Area",IF(487&lt;=$D$3,IF(AND(OR('WSF DASHBOARD'!$C$4="",ISNUMBER(SEARCH('WSF DASHBOARD'!$C$4,INDEX(MASTER_AREAS!$B:$B,488))))),487,""),""),IF('WSF DASHBOARD'!$B$4="Zone",IF(487&lt;=$D$4,IF(OR('WSF DASHBOARD'!$C$4="",ISNUMBER(SEARCH('WSF DASHBOARD'!$C$4,INDEX(MASTER_ZONES!$B:$B,488)))),487,""),""),""))</f>
        <v/>
      </c>
      <c r="F488">
        <f>IF('TRANSPORT DASHBOARD'!$B$4="Area",IF(487&lt;=$I$3,IF(AND(INDEX(MASTER_AREAS!$F:$F,488)&lt;&gt;"N",OR('TRANSPORT DASHBOARD'!$C$4="",ISNUMBER(SEARCH('TRANSPORT DASHBOARD'!$C$4,INDEX(MASTER_AREAS!$B:$B,488))))),487,""),""),IF('TRANSPORT DASHBOARD'!$B$4="Zone",IF(487&lt;=$I$4,IF(OR('TRANSPORT DASHBOARD'!$C$4="",ISNUMBER(SEARCH('TRANSPORT DASHBOARD'!$C$4,INDEX(MASTER_ZONES!$B:$B,488)))),487,""),""),""))</f>
        <v/>
      </c>
      <c r="K488">
        <f>IF('MIDWEEK DASHBOARD'!$B$4="Area",IF(487&lt;=$N$3,IF(AND(OR('MIDWEEK DASHBOARD'!$C$4="",ISNUMBER(SEARCH('MIDWEEK DASHBOARD'!$C$4,INDEX(MASTER_AREAS!$B:$B,488))))),487,""),""),IF('MIDWEEK DASHBOARD'!$B$4="Zone",IF(487&lt;=$N$4,IF(OR('MIDWEEK DASHBOARD'!$C$4="",ISNUMBER(SEARCH('MIDWEEK DASHBOARD'!$C$4,INDEX(MASTER_ZONES!$B:$B,488)))),487,""),""),""))</f>
        <v/>
      </c>
      <c r="P488">
        <f>IF('CHOP DASHBOARD'!$B$4="Area",IF(487&lt;=$S$3,IF(AND(OR('CHOP DASHBOARD'!$C$4="",ISNUMBER(SEARCH('CHOP DASHBOARD'!$C$4,INDEX(MASTER_AREAS!$B:$B,488))))),487,""),""),IF('CHOP DASHBOARD'!$B$4="Zone",IF(487&lt;=$S$4,IF(OR('CHOP DASHBOARD'!$C$4="",ISNUMBER(SEARCH('CHOP DASHBOARD'!$C$4,INDEX(MASTER_ZONES!$B:$B,488)))),487,""),""),""))</f>
        <v/>
      </c>
      <c r="U488">
        <f>IF('COMMUNITY CHURCH DASHBOARD'!$B$4="Area",IF(487&lt;=$X$3,IF(AND(OR('COMMUNITY CHURCH DASHBOARD'!$C$4="",ISNUMBER(SEARCH('COMMUNITY CHURCH DASHBOARD'!$C$4,INDEX(MASTER_AREAS!$B:$B,488))))),487,""),""),IF('COMMUNITY CHURCH DASHBOARD'!$B$4="Zone",IF(487&lt;=$X$4,IF(OR('COMMUNITY CHURCH DASHBOARD'!$C$4="",ISNUMBER(SEARCH('COMMUNITY CHURCH DASHBOARD'!$C$4,INDEX(MASTER_ZONES!$B:$B,488)))),487,""),""),""))</f>
        <v/>
      </c>
    </row>
    <row r="489">
      <c r="A489">
        <f>IF('WSF DASHBOARD'!$B$4="Area",IF(488&lt;=$D$3,IF(AND(OR('WSF DASHBOARD'!$C$4="",ISNUMBER(SEARCH('WSF DASHBOARD'!$C$4,INDEX(MASTER_AREAS!$B:$B,489))))),488,""),""),IF('WSF DASHBOARD'!$B$4="Zone",IF(488&lt;=$D$4,IF(OR('WSF DASHBOARD'!$C$4="",ISNUMBER(SEARCH('WSF DASHBOARD'!$C$4,INDEX(MASTER_ZONES!$B:$B,489)))),488,""),""),""))</f>
        <v/>
      </c>
      <c r="F489">
        <f>IF('TRANSPORT DASHBOARD'!$B$4="Area",IF(488&lt;=$I$3,IF(AND(INDEX(MASTER_AREAS!$F:$F,489)&lt;&gt;"N",OR('TRANSPORT DASHBOARD'!$C$4="",ISNUMBER(SEARCH('TRANSPORT DASHBOARD'!$C$4,INDEX(MASTER_AREAS!$B:$B,489))))),488,""),""),IF('TRANSPORT DASHBOARD'!$B$4="Zone",IF(488&lt;=$I$4,IF(OR('TRANSPORT DASHBOARD'!$C$4="",ISNUMBER(SEARCH('TRANSPORT DASHBOARD'!$C$4,INDEX(MASTER_ZONES!$B:$B,489)))),488,""),""),""))</f>
        <v/>
      </c>
      <c r="K489">
        <f>IF('MIDWEEK DASHBOARD'!$B$4="Area",IF(488&lt;=$N$3,IF(AND(OR('MIDWEEK DASHBOARD'!$C$4="",ISNUMBER(SEARCH('MIDWEEK DASHBOARD'!$C$4,INDEX(MASTER_AREAS!$B:$B,489))))),488,""),""),IF('MIDWEEK DASHBOARD'!$B$4="Zone",IF(488&lt;=$N$4,IF(OR('MIDWEEK DASHBOARD'!$C$4="",ISNUMBER(SEARCH('MIDWEEK DASHBOARD'!$C$4,INDEX(MASTER_ZONES!$B:$B,489)))),488,""),""),""))</f>
        <v/>
      </c>
      <c r="P489">
        <f>IF('CHOP DASHBOARD'!$B$4="Area",IF(488&lt;=$S$3,IF(AND(OR('CHOP DASHBOARD'!$C$4="",ISNUMBER(SEARCH('CHOP DASHBOARD'!$C$4,INDEX(MASTER_AREAS!$B:$B,489))))),488,""),""),IF('CHOP DASHBOARD'!$B$4="Zone",IF(488&lt;=$S$4,IF(OR('CHOP DASHBOARD'!$C$4="",ISNUMBER(SEARCH('CHOP DASHBOARD'!$C$4,INDEX(MASTER_ZONES!$B:$B,489)))),488,""),""),""))</f>
        <v/>
      </c>
      <c r="U489">
        <f>IF('COMMUNITY CHURCH DASHBOARD'!$B$4="Area",IF(488&lt;=$X$3,IF(AND(OR('COMMUNITY CHURCH DASHBOARD'!$C$4="",ISNUMBER(SEARCH('COMMUNITY CHURCH DASHBOARD'!$C$4,INDEX(MASTER_AREAS!$B:$B,489))))),488,""),""),IF('COMMUNITY CHURCH DASHBOARD'!$B$4="Zone",IF(488&lt;=$X$4,IF(OR('COMMUNITY CHURCH DASHBOARD'!$C$4="",ISNUMBER(SEARCH('COMMUNITY CHURCH DASHBOARD'!$C$4,INDEX(MASTER_ZONES!$B:$B,489)))),488,""),""),""))</f>
        <v/>
      </c>
    </row>
    <row r="490">
      <c r="A490">
        <f>IF('WSF DASHBOARD'!$B$4="Area",IF(489&lt;=$D$3,IF(AND(OR('WSF DASHBOARD'!$C$4="",ISNUMBER(SEARCH('WSF DASHBOARD'!$C$4,INDEX(MASTER_AREAS!$B:$B,490))))),489,""),""),IF('WSF DASHBOARD'!$B$4="Zone",IF(489&lt;=$D$4,IF(OR('WSF DASHBOARD'!$C$4="",ISNUMBER(SEARCH('WSF DASHBOARD'!$C$4,INDEX(MASTER_ZONES!$B:$B,490)))),489,""),""),""))</f>
        <v/>
      </c>
      <c r="F490">
        <f>IF('TRANSPORT DASHBOARD'!$B$4="Area",IF(489&lt;=$I$3,IF(AND(INDEX(MASTER_AREAS!$F:$F,490)&lt;&gt;"N",OR('TRANSPORT DASHBOARD'!$C$4="",ISNUMBER(SEARCH('TRANSPORT DASHBOARD'!$C$4,INDEX(MASTER_AREAS!$B:$B,490))))),489,""),""),IF('TRANSPORT DASHBOARD'!$B$4="Zone",IF(489&lt;=$I$4,IF(OR('TRANSPORT DASHBOARD'!$C$4="",ISNUMBER(SEARCH('TRANSPORT DASHBOARD'!$C$4,INDEX(MASTER_ZONES!$B:$B,490)))),489,""),""),""))</f>
        <v/>
      </c>
      <c r="K490">
        <f>IF('MIDWEEK DASHBOARD'!$B$4="Area",IF(489&lt;=$N$3,IF(AND(OR('MIDWEEK DASHBOARD'!$C$4="",ISNUMBER(SEARCH('MIDWEEK DASHBOARD'!$C$4,INDEX(MASTER_AREAS!$B:$B,490))))),489,""),""),IF('MIDWEEK DASHBOARD'!$B$4="Zone",IF(489&lt;=$N$4,IF(OR('MIDWEEK DASHBOARD'!$C$4="",ISNUMBER(SEARCH('MIDWEEK DASHBOARD'!$C$4,INDEX(MASTER_ZONES!$B:$B,490)))),489,""),""),""))</f>
        <v/>
      </c>
      <c r="P490">
        <f>IF('CHOP DASHBOARD'!$B$4="Area",IF(489&lt;=$S$3,IF(AND(OR('CHOP DASHBOARD'!$C$4="",ISNUMBER(SEARCH('CHOP DASHBOARD'!$C$4,INDEX(MASTER_AREAS!$B:$B,490))))),489,""),""),IF('CHOP DASHBOARD'!$B$4="Zone",IF(489&lt;=$S$4,IF(OR('CHOP DASHBOARD'!$C$4="",ISNUMBER(SEARCH('CHOP DASHBOARD'!$C$4,INDEX(MASTER_ZONES!$B:$B,490)))),489,""),""),""))</f>
        <v/>
      </c>
      <c r="U490">
        <f>IF('COMMUNITY CHURCH DASHBOARD'!$B$4="Area",IF(489&lt;=$X$3,IF(AND(OR('COMMUNITY CHURCH DASHBOARD'!$C$4="",ISNUMBER(SEARCH('COMMUNITY CHURCH DASHBOARD'!$C$4,INDEX(MASTER_AREAS!$B:$B,490))))),489,""),""),IF('COMMUNITY CHURCH DASHBOARD'!$B$4="Zone",IF(489&lt;=$X$4,IF(OR('COMMUNITY CHURCH DASHBOARD'!$C$4="",ISNUMBER(SEARCH('COMMUNITY CHURCH DASHBOARD'!$C$4,INDEX(MASTER_ZONES!$B:$B,490)))),489,""),""),""))</f>
        <v/>
      </c>
    </row>
    <row r="491">
      <c r="A491">
        <f>IF('WSF DASHBOARD'!$B$4="Area",IF(490&lt;=$D$3,IF(AND(OR('WSF DASHBOARD'!$C$4="",ISNUMBER(SEARCH('WSF DASHBOARD'!$C$4,INDEX(MASTER_AREAS!$B:$B,491))))),490,""),""),IF('WSF DASHBOARD'!$B$4="Zone",IF(490&lt;=$D$4,IF(OR('WSF DASHBOARD'!$C$4="",ISNUMBER(SEARCH('WSF DASHBOARD'!$C$4,INDEX(MASTER_ZONES!$B:$B,491)))),490,""),""),""))</f>
        <v/>
      </c>
      <c r="F491">
        <f>IF('TRANSPORT DASHBOARD'!$B$4="Area",IF(490&lt;=$I$3,IF(AND(INDEX(MASTER_AREAS!$F:$F,491)&lt;&gt;"N",OR('TRANSPORT DASHBOARD'!$C$4="",ISNUMBER(SEARCH('TRANSPORT DASHBOARD'!$C$4,INDEX(MASTER_AREAS!$B:$B,491))))),490,""),""),IF('TRANSPORT DASHBOARD'!$B$4="Zone",IF(490&lt;=$I$4,IF(OR('TRANSPORT DASHBOARD'!$C$4="",ISNUMBER(SEARCH('TRANSPORT DASHBOARD'!$C$4,INDEX(MASTER_ZONES!$B:$B,491)))),490,""),""),""))</f>
        <v/>
      </c>
      <c r="K491">
        <f>IF('MIDWEEK DASHBOARD'!$B$4="Area",IF(490&lt;=$N$3,IF(AND(OR('MIDWEEK DASHBOARD'!$C$4="",ISNUMBER(SEARCH('MIDWEEK DASHBOARD'!$C$4,INDEX(MASTER_AREAS!$B:$B,491))))),490,""),""),IF('MIDWEEK DASHBOARD'!$B$4="Zone",IF(490&lt;=$N$4,IF(OR('MIDWEEK DASHBOARD'!$C$4="",ISNUMBER(SEARCH('MIDWEEK DASHBOARD'!$C$4,INDEX(MASTER_ZONES!$B:$B,491)))),490,""),""),""))</f>
        <v/>
      </c>
      <c r="P491">
        <f>IF('CHOP DASHBOARD'!$B$4="Area",IF(490&lt;=$S$3,IF(AND(OR('CHOP DASHBOARD'!$C$4="",ISNUMBER(SEARCH('CHOP DASHBOARD'!$C$4,INDEX(MASTER_AREAS!$B:$B,491))))),490,""),""),IF('CHOP DASHBOARD'!$B$4="Zone",IF(490&lt;=$S$4,IF(OR('CHOP DASHBOARD'!$C$4="",ISNUMBER(SEARCH('CHOP DASHBOARD'!$C$4,INDEX(MASTER_ZONES!$B:$B,491)))),490,""),""),""))</f>
        <v/>
      </c>
      <c r="U491">
        <f>IF('COMMUNITY CHURCH DASHBOARD'!$B$4="Area",IF(490&lt;=$X$3,IF(AND(OR('COMMUNITY CHURCH DASHBOARD'!$C$4="",ISNUMBER(SEARCH('COMMUNITY CHURCH DASHBOARD'!$C$4,INDEX(MASTER_AREAS!$B:$B,491))))),490,""),""),IF('COMMUNITY CHURCH DASHBOARD'!$B$4="Zone",IF(490&lt;=$X$4,IF(OR('COMMUNITY CHURCH DASHBOARD'!$C$4="",ISNUMBER(SEARCH('COMMUNITY CHURCH DASHBOARD'!$C$4,INDEX(MASTER_ZONES!$B:$B,491)))),490,""),""),""))</f>
        <v/>
      </c>
    </row>
    <row r="492">
      <c r="A492">
        <f>IF('WSF DASHBOARD'!$B$4="Area",IF(491&lt;=$D$3,IF(AND(OR('WSF DASHBOARD'!$C$4="",ISNUMBER(SEARCH('WSF DASHBOARD'!$C$4,INDEX(MASTER_AREAS!$B:$B,492))))),491,""),""),IF('WSF DASHBOARD'!$B$4="Zone",IF(491&lt;=$D$4,IF(OR('WSF DASHBOARD'!$C$4="",ISNUMBER(SEARCH('WSF DASHBOARD'!$C$4,INDEX(MASTER_ZONES!$B:$B,492)))),491,""),""),""))</f>
        <v/>
      </c>
      <c r="F492">
        <f>IF('TRANSPORT DASHBOARD'!$B$4="Area",IF(491&lt;=$I$3,IF(AND(INDEX(MASTER_AREAS!$F:$F,492)&lt;&gt;"N",OR('TRANSPORT DASHBOARD'!$C$4="",ISNUMBER(SEARCH('TRANSPORT DASHBOARD'!$C$4,INDEX(MASTER_AREAS!$B:$B,492))))),491,""),""),IF('TRANSPORT DASHBOARD'!$B$4="Zone",IF(491&lt;=$I$4,IF(OR('TRANSPORT DASHBOARD'!$C$4="",ISNUMBER(SEARCH('TRANSPORT DASHBOARD'!$C$4,INDEX(MASTER_ZONES!$B:$B,492)))),491,""),""),""))</f>
        <v/>
      </c>
      <c r="K492">
        <f>IF('MIDWEEK DASHBOARD'!$B$4="Area",IF(491&lt;=$N$3,IF(AND(OR('MIDWEEK DASHBOARD'!$C$4="",ISNUMBER(SEARCH('MIDWEEK DASHBOARD'!$C$4,INDEX(MASTER_AREAS!$B:$B,492))))),491,""),""),IF('MIDWEEK DASHBOARD'!$B$4="Zone",IF(491&lt;=$N$4,IF(OR('MIDWEEK DASHBOARD'!$C$4="",ISNUMBER(SEARCH('MIDWEEK DASHBOARD'!$C$4,INDEX(MASTER_ZONES!$B:$B,492)))),491,""),""),""))</f>
        <v/>
      </c>
      <c r="P492">
        <f>IF('CHOP DASHBOARD'!$B$4="Area",IF(491&lt;=$S$3,IF(AND(OR('CHOP DASHBOARD'!$C$4="",ISNUMBER(SEARCH('CHOP DASHBOARD'!$C$4,INDEX(MASTER_AREAS!$B:$B,492))))),491,""),""),IF('CHOP DASHBOARD'!$B$4="Zone",IF(491&lt;=$S$4,IF(OR('CHOP DASHBOARD'!$C$4="",ISNUMBER(SEARCH('CHOP DASHBOARD'!$C$4,INDEX(MASTER_ZONES!$B:$B,492)))),491,""),""),""))</f>
        <v/>
      </c>
      <c r="U492">
        <f>IF('COMMUNITY CHURCH DASHBOARD'!$B$4="Area",IF(491&lt;=$X$3,IF(AND(OR('COMMUNITY CHURCH DASHBOARD'!$C$4="",ISNUMBER(SEARCH('COMMUNITY CHURCH DASHBOARD'!$C$4,INDEX(MASTER_AREAS!$B:$B,492))))),491,""),""),IF('COMMUNITY CHURCH DASHBOARD'!$B$4="Zone",IF(491&lt;=$X$4,IF(OR('COMMUNITY CHURCH DASHBOARD'!$C$4="",ISNUMBER(SEARCH('COMMUNITY CHURCH DASHBOARD'!$C$4,INDEX(MASTER_ZONES!$B:$B,492)))),491,""),""),""))</f>
        <v/>
      </c>
    </row>
    <row r="493">
      <c r="A493">
        <f>IF('WSF DASHBOARD'!$B$4="Area",IF(492&lt;=$D$3,IF(AND(OR('WSF DASHBOARD'!$C$4="",ISNUMBER(SEARCH('WSF DASHBOARD'!$C$4,INDEX(MASTER_AREAS!$B:$B,493))))),492,""),""),IF('WSF DASHBOARD'!$B$4="Zone",IF(492&lt;=$D$4,IF(OR('WSF DASHBOARD'!$C$4="",ISNUMBER(SEARCH('WSF DASHBOARD'!$C$4,INDEX(MASTER_ZONES!$B:$B,493)))),492,""),""),""))</f>
        <v/>
      </c>
      <c r="F493">
        <f>IF('TRANSPORT DASHBOARD'!$B$4="Area",IF(492&lt;=$I$3,IF(AND(INDEX(MASTER_AREAS!$F:$F,493)&lt;&gt;"N",OR('TRANSPORT DASHBOARD'!$C$4="",ISNUMBER(SEARCH('TRANSPORT DASHBOARD'!$C$4,INDEX(MASTER_AREAS!$B:$B,493))))),492,""),""),IF('TRANSPORT DASHBOARD'!$B$4="Zone",IF(492&lt;=$I$4,IF(OR('TRANSPORT DASHBOARD'!$C$4="",ISNUMBER(SEARCH('TRANSPORT DASHBOARD'!$C$4,INDEX(MASTER_ZONES!$B:$B,493)))),492,""),""),""))</f>
        <v/>
      </c>
      <c r="K493">
        <f>IF('MIDWEEK DASHBOARD'!$B$4="Area",IF(492&lt;=$N$3,IF(AND(OR('MIDWEEK DASHBOARD'!$C$4="",ISNUMBER(SEARCH('MIDWEEK DASHBOARD'!$C$4,INDEX(MASTER_AREAS!$B:$B,493))))),492,""),""),IF('MIDWEEK DASHBOARD'!$B$4="Zone",IF(492&lt;=$N$4,IF(OR('MIDWEEK DASHBOARD'!$C$4="",ISNUMBER(SEARCH('MIDWEEK DASHBOARD'!$C$4,INDEX(MASTER_ZONES!$B:$B,493)))),492,""),""),""))</f>
        <v/>
      </c>
      <c r="P493">
        <f>IF('CHOP DASHBOARD'!$B$4="Area",IF(492&lt;=$S$3,IF(AND(OR('CHOP DASHBOARD'!$C$4="",ISNUMBER(SEARCH('CHOP DASHBOARD'!$C$4,INDEX(MASTER_AREAS!$B:$B,493))))),492,""),""),IF('CHOP DASHBOARD'!$B$4="Zone",IF(492&lt;=$S$4,IF(OR('CHOP DASHBOARD'!$C$4="",ISNUMBER(SEARCH('CHOP DASHBOARD'!$C$4,INDEX(MASTER_ZONES!$B:$B,493)))),492,""),""),""))</f>
        <v/>
      </c>
      <c r="U493">
        <f>IF('COMMUNITY CHURCH DASHBOARD'!$B$4="Area",IF(492&lt;=$X$3,IF(AND(OR('COMMUNITY CHURCH DASHBOARD'!$C$4="",ISNUMBER(SEARCH('COMMUNITY CHURCH DASHBOARD'!$C$4,INDEX(MASTER_AREAS!$B:$B,493))))),492,""),""),IF('COMMUNITY CHURCH DASHBOARD'!$B$4="Zone",IF(492&lt;=$X$4,IF(OR('COMMUNITY CHURCH DASHBOARD'!$C$4="",ISNUMBER(SEARCH('COMMUNITY CHURCH DASHBOARD'!$C$4,INDEX(MASTER_ZONES!$B:$B,493)))),492,""),""),""))</f>
        <v/>
      </c>
    </row>
    <row r="494">
      <c r="A494">
        <f>IF('WSF DASHBOARD'!$B$4="Area",IF(493&lt;=$D$3,IF(AND(OR('WSF DASHBOARD'!$C$4="",ISNUMBER(SEARCH('WSF DASHBOARD'!$C$4,INDEX(MASTER_AREAS!$B:$B,494))))),493,""),""),IF('WSF DASHBOARD'!$B$4="Zone",IF(493&lt;=$D$4,IF(OR('WSF DASHBOARD'!$C$4="",ISNUMBER(SEARCH('WSF DASHBOARD'!$C$4,INDEX(MASTER_ZONES!$B:$B,494)))),493,""),""),""))</f>
        <v/>
      </c>
      <c r="F494">
        <f>IF('TRANSPORT DASHBOARD'!$B$4="Area",IF(493&lt;=$I$3,IF(AND(INDEX(MASTER_AREAS!$F:$F,494)&lt;&gt;"N",OR('TRANSPORT DASHBOARD'!$C$4="",ISNUMBER(SEARCH('TRANSPORT DASHBOARD'!$C$4,INDEX(MASTER_AREAS!$B:$B,494))))),493,""),""),IF('TRANSPORT DASHBOARD'!$B$4="Zone",IF(493&lt;=$I$4,IF(OR('TRANSPORT DASHBOARD'!$C$4="",ISNUMBER(SEARCH('TRANSPORT DASHBOARD'!$C$4,INDEX(MASTER_ZONES!$B:$B,494)))),493,""),""),""))</f>
        <v/>
      </c>
      <c r="K494">
        <f>IF('MIDWEEK DASHBOARD'!$B$4="Area",IF(493&lt;=$N$3,IF(AND(OR('MIDWEEK DASHBOARD'!$C$4="",ISNUMBER(SEARCH('MIDWEEK DASHBOARD'!$C$4,INDEX(MASTER_AREAS!$B:$B,494))))),493,""),""),IF('MIDWEEK DASHBOARD'!$B$4="Zone",IF(493&lt;=$N$4,IF(OR('MIDWEEK DASHBOARD'!$C$4="",ISNUMBER(SEARCH('MIDWEEK DASHBOARD'!$C$4,INDEX(MASTER_ZONES!$B:$B,494)))),493,""),""),""))</f>
        <v/>
      </c>
      <c r="P494">
        <f>IF('CHOP DASHBOARD'!$B$4="Area",IF(493&lt;=$S$3,IF(AND(OR('CHOP DASHBOARD'!$C$4="",ISNUMBER(SEARCH('CHOP DASHBOARD'!$C$4,INDEX(MASTER_AREAS!$B:$B,494))))),493,""),""),IF('CHOP DASHBOARD'!$B$4="Zone",IF(493&lt;=$S$4,IF(OR('CHOP DASHBOARD'!$C$4="",ISNUMBER(SEARCH('CHOP DASHBOARD'!$C$4,INDEX(MASTER_ZONES!$B:$B,494)))),493,""),""),""))</f>
        <v/>
      </c>
      <c r="U494">
        <f>IF('COMMUNITY CHURCH DASHBOARD'!$B$4="Area",IF(493&lt;=$X$3,IF(AND(OR('COMMUNITY CHURCH DASHBOARD'!$C$4="",ISNUMBER(SEARCH('COMMUNITY CHURCH DASHBOARD'!$C$4,INDEX(MASTER_AREAS!$B:$B,494))))),493,""),""),IF('COMMUNITY CHURCH DASHBOARD'!$B$4="Zone",IF(493&lt;=$X$4,IF(OR('COMMUNITY CHURCH DASHBOARD'!$C$4="",ISNUMBER(SEARCH('COMMUNITY CHURCH DASHBOARD'!$C$4,INDEX(MASTER_ZONES!$B:$B,494)))),493,""),""),""))</f>
        <v/>
      </c>
    </row>
    <row r="495">
      <c r="A495">
        <f>IF('WSF DASHBOARD'!$B$4="Area",IF(494&lt;=$D$3,IF(AND(OR('WSF DASHBOARD'!$C$4="",ISNUMBER(SEARCH('WSF DASHBOARD'!$C$4,INDEX(MASTER_AREAS!$B:$B,495))))),494,""),""),IF('WSF DASHBOARD'!$B$4="Zone",IF(494&lt;=$D$4,IF(OR('WSF DASHBOARD'!$C$4="",ISNUMBER(SEARCH('WSF DASHBOARD'!$C$4,INDEX(MASTER_ZONES!$B:$B,495)))),494,""),""),""))</f>
        <v/>
      </c>
      <c r="F495">
        <f>IF('TRANSPORT DASHBOARD'!$B$4="Area",IF(494&lt;=$I$3,IF(AND(INDEX(MASTER_AREAS!$F:$F,495)&lt;&gt;"N",OR('TRANSPORT DASHBOARD'!$C$4="",ISNUMBER(SEARCH('TRANSPORT DASHBOARD'!$C$4,INDEX(MASTER_AREAS!$B:$B,495))))),494,""),""),IF('TRANSPORT DASHBOARD'!$B$4="Zone",IF(494&lt;=$I$4,IF(OR('TRANSPORT DASHBOARD'!$C$4="",ISNUMBER(SEARCH('TRANSPORT DASHBOARD'!$C$4,INDEX(MASTER_ZONES!$B:$B,495)))),494,""),""),""))</f>
        <v/>
      </c>
      <c r="K495">
        <f>IF('MIDWEEK DASHBOARD'!$B$4="Area",IF(494&lt;=$N$3,IF(AND(OR('MIDWEEK DASHBOARD'!$C$4="",ISNUMBER(SEARCH('MIDWEEK DASHBOARD'!$C$4,INDEX(MASTER_AREAS!$B:$B,495))))),494,""),""),IF('MIDWEEK DASHBOARD'!$B$4="Zone",IF(494&lt;=$N$4,IF(OR('MIDWEEK DASHBOARD'!$C$4="",ISNUMBER(SEARCH('MIDWEEK DASHBOARD'!$C$4,INDEX(MASTER_ZONES!$B:$B,495)))),494,""),""),""))</f>
        <v/>
      </c>
      <c r="P495">
        <f>IF('CHOP DASHBOARD'!$B$4="Area",IF(494&lt;=$S$3,IF(AND(OR('CHOP DASHBOARD'!$C$4="",ISNUMBER(SEARCH('CHOP DASHBOARD'!$C$4,INDEX(MASTER_AREAS!$B:$B,495))))),494,""),""),IF('CHOP DASHBOARD'!$B$4="Zone",IF(494&lt;=$S$4,IF(OR('CHOP DASHBOARD'!$C$4="",ISNUMBER(SEARCH('CHOP DASHBOARD'!$C$4,INDEX(MASTER_ZONES!$B:$B,495)))),494,""),""),""))</f>
        <v/>
      </c>
      <c r="U495">
        <f>IF('COMMUNITY CHURCH DASHBOARD'!$B$4="Area",IF(494&lt;=$X$3,IF(AND(OR('COMMUNITY CHURCH DASHBOARD'!$C$4="",ISNUMBER(SEARCH('COMMUNITY CHURCH DASHBOARD'!$C$4,INDEX(MASTER_AREAS!$B:$B,495))))),494,""),""),IF('COMMUNITY CHURCH DASHBOARD'!$B$4="Zone",IF(494&lt;=$X$4,IF(OR('COMMUNITY CHURCH DASHBOARD'!$C$4="",ISNUMBER(SEARCH('COMMUNITY CHURCH DASHBOARD'!$C$4,INDEX(MASTER_ZONES!$B:$B,495)))),494,""),""),""))</f>
        <v/>
      </c>
    </row>
    <row r="496">
      <c r="A496">
        <f>IF('WSF DASHBOARD'!$B$4="Area",IF(495&lt;=$D$3,IF(AND(OR('WSF DASHBOARD'!$C$4="",ISNUMBER(SEARCH('WSF DASHBOARD'!$C$4,INDEX(MASTER_AREAS!$B:$B,496))))),495,""),""),IF('WSF DASHBOARD'!$B$4="Zone",IF(495&lt;=$D$4,IF(OR('WSF DASHBOARD'!$C$4="",ISNUMBER(SEARCH('WSF DASHBOARD'!$C$4,INDEX(MASTER_ZONES!$B:$B,496)))),495,""),""),""))</f>
        <v/>
      </c>
      <c r="F496">
        <f>IF('TRANSPORT DASHBOARD'!$B$4="Area",IF(495&lt;=$I$3,IF(AND(INDEX(MASTER_AREAS!$F:$F,496)&lt;&gt;"N",OR('TRANSPORT DASHBOARD'!$C$4="",ISNUMBER(SEARCH('TRANSPORT DASHBOARD'!$C$4,INDEX(MASTER_AREAS!$B:$B,496))))),495,""),""),IF('TRANSPORT DASHBOARD'!$B$4="Zone",IF(495&lt;=$I$4,IF(OR('TRANSPORT DASHBOARD'!$C$4="",ISNUMBER(SEARCH('TRANSPORT DASHBOARD'!$C$4,INDEX(MASTER_ZONES!$B:$B,496)))),495,""),""),""))</f>
        <v/>
      </c>
      <c r="K496">
        <f>IF('MIDWEEK DASHBOARD'!$B$4="Area",IF(495&lt;=$N$3,IF(AND(OR('MIDWEEK DASHBOARD'!$C$4="",ISNUMBER(SEARCH('MIDWEEK DASHBOARD'!$C$4,INDEX(MASTER_AREAS!$B:$B,496))))),495,""),""),IF('MIDWEEK DASHBOARD'!$B$4="Zone",IF(495&lt;=$N$4,IF(OR('MIDWEEK DASHBOARD'!$C$4="",ISNUMBER(SEARCH('MIDWEEK DASHBOARD'!$C$4,INDEX(MASTER_ZONES!$B:$B,496)))),495,""),""),""))</f>
        <v/>
      </c>
      <c r="P496">
        <f>IF('CHOP DASHBOARD'!$B$4="Area",IF(495&lt;=$S$3,IF(AND(OR('CHOP DASHBOARD'!$C$4="",ISNUMBER(SEARCH('CHOP DASHBOARD'!$C$4,INDEX(MASTER_AREAS!$B:$B,496))))),495,""),""),IF('CHOP DASHBOARD'!$B$4="Zone",IF(495&lt;=$S$4,IF(OR('CHOP DASHBOARD'!$C$4="",ISNUMBER(SEARCH('CHOP DASHBOARD'!$C$4,INDEX(MASTER_ZONES!$B:$B,496)))),495,""),""),""))</f>
        <v/>
      </c>
      <c r="U496">
        <f>IF('COMMUNITY CHURCH DASHBOARD'!$B$4="Area",IF(495&lt;=$X$3,IF(AND(OR('COMMUNITY CHURCH DASHBOARD'!$C$4="",ISNUMBER(SEARCH('COMMUNITY CHURCH DASHBOARD'!$C$4,INDEX(MASTER_AREAS!$B:$B,496))))),495,""),""),IF('COMMUNITY CHURCH DASHBOARD'!$B$4="Zone",IF(495&lt;=$X$4,IF(OR('COMMUNITY CHURCH DASHBOARD'!$C$4="",ISNUMBER(SEARCH('COMMUNITY CHURCH DASHBOARD'!$C$4,INDEX(MASTER_ZONES!$B:$B,496)))),495,""),""),""))</f>
        <v/>
      </c>
    </row>
    <row r="497">
      <c r="A497">
        <f>IF('WSF DASHBOARD'!$B$4="Area",IF(496&lt;=$D$3,IF(AND(OR('WSF DASHBOARD'!$C$4="",ISNUMBER(SEARCH('WSF DASHBOARD'!$C$4,INDEX(MASTER_AREAS!$B:$B,497))))),496,""),""),IF('WSF DASHBOARD'!$B$4="Zone",IF(496&lt;=$D$4,IF(OR('WSF DASHBOARD'!$C$4="",ISNUMBER(SEARCH('WSF DASHBOARD'!$C$4,INDEX(MASTER_ZONES!$B:$B,497)))),496,""),""),""))</f>
        <v/>
      </c>
      <c r="F497">
        <f>IF('TRANSPORT DASHBOARD'!$B$4="Area",IF(496&lt;=$I$3,IF(AND(INDEX(MASTER_AREAS!$F:$F,497)&lt;&gt;"N",OR('TRANSPORT DASHBOARD'!$C$4="",ISNUMBER(SEARCH('TRANSPORT DASHBOARD'!$C$4,INDEX(MASTER_AREAS!$B:$B,497))))),496,""),""),IF('TRANSPORT DASHBOARD'!$B$4="Zone",IF(496&lt;=$I$4,IF(OR('TRANSPORT DASHBOARD'!$C$4="",ISNUMBER(SEARCH('TRANSPORT DASHBOARD'!$C$4,INDEX(MASTER_ZONES!$B:$B,497)))),496,""),""),""))</f>
        <v/>
      </c>
      <c r="K497">
        <f>IF('MIDWEEK DASHBOARD'!$B$4="Area",IF(496&lt;=$N$3,IF(AND(OR('MIDWEEK DASHBOARD'!$C$4="",ISNUMBER(SEARCH('MIDWEEK DASHBOARD'!$C$4,INDEX(MASTER_AREAS!$B:$B,497))))),496,""),""),IF('MIDWEEK DASHBOARD'!$B$4="Zone",IF(496&lt;=$N$4,IF(OR('MIDWEEK DASHBOARD'!$C$4="",ISNUMBER(SEARCH('MIDWEEK DASHBOARD'!$C$4,INDEX(MASTER_ZONES!$B:$B,497)))),496,""),""),""))</f>
        <v/>
      </c>
      <c r="P497">
        <f>IF('CHOP DASHBOARD'!$B$4="Area",IF(496&lt;=$S$3,IF(AND(OR('CHOP DASHBOARD'!$C$4="",ISNUMBER(SEARCH('CHOP DASHBOARD'!$C$4,INDEX(MASTER_AREAS!$B:$B,497))))),496,""),""),IF('CHOP DASHBOARD'!$B$4="Zone",IF(496&lt;=$S$4,IF(OR('CHOP DASHBOARD'!$C$4="",ISNUMBER(SEARCH('CHOP DASHBOARD'!$C$4,INDEX(MASTER_ZONES!$B:$B,497)))),496,""),""),""))</f>
        <v/>
      </c>
      <c r="U497">
        <f>IF('COMMUNITY CHURCH DASHBOARD'!$B$4="Area",IF(496&lt;=$X$3,IF(AND(OR('COMMUNITY CHURCH DASHBOARD'!$C$4="",ISNUMBER(SEARCH('COMMUNITY CHURCH DASHBOARD'!$C$4,INDEX(MASTER_AREAS!$B:$B,497))))),496,""),""),IF('COMMUNITY CHURCH DASHBOARD'!$B$4="Zone",IF(496&lt;=$X$4,IF(OR('COMMUNITY CHURCH DASHBOARD'!$C$4="",ISNUMBER(SEARCH('COMMUNITY CHURCH DASHBOARD'!$C$4,INDEX(MASTER_ZONES!$B:$B,497)))),496,""),""),""))</f>
        <v/>
      </c>
    </row>
    <row r="498">
      <c r="A498">
        <f>IF('WSF DASHBOARD'!$B$4="Area",IF(497&lt;=$D$3,IF(AND(OR('WSF DASHBOARD'!$C$4="",ISNUMBER(SEARCH('WSF DASHBOARD'!$C$4,INDEX(MASTER_AREAS!$B:$B,498))))),497,""),""),IF('WSF DASHBOARD'!$B$4="Zone",IF(497&lt;=$D$4,IF(OR('WSF DASHBOARD'!$C$4="",ISNUMBER(SEARCH('WSF DASHBOARD'!$C$4,INDEX(MASTER_ZONES!$B:$B,498)))),497,""),""),""))</f>
        <v/>
      </c>
      <c r="F498">
        <f>IF('TRANSPORT DASHBOARD'!$B$4="Area",IF(497&lt;=$I$3,IF(AND(INDEX(MASTER_AREAS!$F:$F,498)&lt;&gt;"N",OR('TRANSPORT DASHBOARD'!$C$4="",ISNUMBER(SEARCH('TRANSPORT DASHBOARD'!$C$4,INDEX(MASTER_AREAS!$B:$B,498))))),497,""),""),IF('TRANSPORT DASHBOARD'!$B$4="Zone",IF(497&lt;=$I$4,IF(OR('TRANSPORT DASHBOARD'!$C$4="",ISNUMBER(SEARCH('TRANSPORT DASHBOARD'!$C$4,INDEX(MASTER_ZONES!$B:$B,498)))),497,""),""),""))</f>
        <v/>
      </c>
      <c r="K498">
        <f>IF('MIDWEEK DASHBOARD'!$B$4="Area",IF(497&lt;=$N$3,IF(AND(OR('MIDWEEK DASHBOARD'!$C$4="",ISNUMBER(SEARCH('MIDWEEK DASHBOARD'!$C$4,INDEX(MASTER_AREAS!$B:$B,498))))),497,""),""),IF('MIDWEEK DASHBOARD'!$B$4="Zone",IF(497&lt;=$N$4,IF(OR('MIDWEEK DASHBOARD'!$C$4="",ISNUMBER(SEARCH('MIDWEEK DASHBOARD'!$C$4,INDEX(MASTER_ZONES!$B:$B,498)))),497,""),""),""))</f>
        <v/>
      </c>
      <c r="P498">
        <f>IF('CHOP DASHBOARD'!$B$4="Area",IF(497&lt;=$S$3,IF(AND(OR('CHOP DASHBOARD'!$C$4="",ISNUMBER(SEARCH('CHOP DASHBOARD'!$C$4,INDEX(MASTER_AREAS!$B:$B,498))))),497,""),""),IF('CHOP DASHBOARD'!$B$4="Zone",IF(497&lt;=$S$4,IF(OR('CHOP DASHBOARD'!$C$4="",ISNUMBER(SEARCH('CHOP DASHBOARD'!$C$4,INDEX(MASTER_ZONES!$B:$B,498)))),497,""),""),""))</f>
        <v/>
      </c>
      <c r="U498">
        <f>IF('COMMUNITY CHURCH DASHBOARD'!$B$4="Area",IF(497&lt;=$X$3,IF(AND(OR('COMMUNITY CHURCH DASHBOARD'!$C$4="",ISNUMBER(SEARCH('COMMUNITY CHURCH DASHBOARD'!$C$4,INDEX(MASTER_AREAS!$B:$B,498))))),497,""),""),IF('COMMUNITY CHURCH DASHBOARD'!$B$4="Zone",IF(497&lt;=$X$4,IF(OR('COMMUNITY CHURCH DASHBOARD'!$C$4="",ISNUMBER(SEARCH('COMMUNITY CHURCH DASHBOARD'!$C$4,INDEX(MASTER_ZONES!$B:$B,498)))),497,""),""),""))</f>
        <v/>
      </c>
    </row>
    <row r="499">
      <c r="A499">
        <f>IF('WSF DASHBOARD'!$B$4="Area",IF(498&lt;=$D$3,IF(AND(OR('WSF DASHBOARD'!$C$4="",ISNUMBER(SEARCH('WSF DASHBOARD'!$C$4,INDEX(MASTER_AREAS!$B:$B,499))))),498,""),""),IF('WSF DASHBOARD'!$B$4="Zone",IF(498&lt;=$D$4,IF(OR('WSF DASHBOARD'!$C$4="",ISNUMBER(SEARCH('WSF DASHBOARD'!$C$4,INDEX(MASTER_ZONES!$B:$B,499)))),498,""),""),""))</f>
        <v/>
      </c>
      <c r="F499">
        <f>IF('TRANSPORT DASHBOARD'!$B$4="Area",IF(498&lt;=$I$3,IF(AND(INDEX(MASTER_AREAS!$F:$F,499)&lt;&gt;"N",OR('TRANSPORT DASHBOARD'!$C$4="",ISNUMBER(SEARCH('TRANSPORT DASHBOARD'!$C$4,INDEX(MASTER_AREAS!$B:$B,499))))),498,""),""),IF('TRANSPORT DASHBOARD'!$B$4="Zone",IF(498&lt;=$I$4,IF(OR('TRANSPORT DASHBOARD'!$C$4="",ISNUMBER(SEARCH('TRANSPORT DASHBOARD'!$C$4,INDEX(MASTER_ZONES!$B:$B,499)))),498,""),""),""))</f>
        <v/>
      </c>
      <c r="K499">
        <f>IF('MIDWEEK DASHBOARD'!$B$4="Area",IF(498&lt;=$N$3,IF(AND(OR('MIDWEEK DASHBOARD'!$C$4="",ISNUMBER(SEARCH('MIDWEEK DASHBOARD'!$C$4,INDEX(MASTER_AREAS!$B:$B,499))))),498,""),""),IF('MIDWEEK DASHBOARD'!$B$4="Zone",IF(498&lt;=$N$4,IF(OR('MIDWEEK DASHBOARD'!$C$4="",ISNUMBER(SEARCH('MIDWEEK DASHBOARD'!$C$4,INDEX(MASTER_ZONES!$B:$B,499)))),498,""),""),""))</f>
        <v/>
      </c>
      <c r="P499">
        <f>IF('CHOP DASHBOARD'!$B$4="Area",IF(498&lt;=$S$3,IF(AND(OR('CHOP DASHBOARD'!$C$4="",ISNUMBER(SEARCH('CHOP DASHBOARD'!$C$4,INDEX(MASTER_AREAS!$B:$B,499))))),498,""),""),IF('CHOP DASHBOARD'!$B$4="Zone",IF(498&lt;=$S$4,IF(OR('CHOP DASHBOARD'!$C$4="",ISNUMBER(SEARCH('CHOP DASHBOARD'!$C$4,INDEX(MASTER_ZONES!$B:$B,499)))),498,""),""),""))</f>
        <v/>
      </c>
      <c r="U499">
        <f>IF('COMMUNITY CHURCH DASHBOARD'!$B$4="Area",IF(498&lt;=$X$3,IF(AND(OR('COMMUNITY CHURCH DASHBOARD'!$C$4="",ISNUMBER(SEARCH('COMMUNITY CHURCH DASHBOARD'!$C$4,INDEX(MASTER_AREAS!$B:$B,499))))),498,""),""),IF('COMMUNITY CHURCH DASHBOARD'!$B$4="Zone",IF(498&lt;=$X$4,IF(OR('COMMUNITY CHURCH DASHBOARD'!$C$4="",ISNUMBER(SEARCH('COMMUNITY CHURCH DASHBOARD'!$C$4,INDEX(MASTER_ZONES!$B:$B,499)))),498,""),""),""))</f>
        <v/>
      </c>
    </row>
    <row r="500">
      <c r="A500">
        <f>IF('WSF DASHBOARD'!$B$4="Area",IF(499&lt;=$D$3,IF(AND(OR('WSF DASHBOARD'!$C$4="",ISNUMBER(SEARCH('WSF DASHBOARD'!$C$4,INDEX(MASTER_AREAS!$B:$B,500))))),499,""),""),IF('WSF DASHBOARD'!$B$4="Zone",IF(499&lt;=$D$4,IF(OR('WSF DASHBOARD'!$C$4="",ISNUMBER(SEARCH('WSF DASHBOARD'!$C$4,INDEX(MASTER_ZONES!$B:$B,500)))),499,""),""),""))</f>
        <v/>
      </c>
      <c r="F500">
        <f>IF('TRANSPORT DASHBOARD'!$B$4="Area",IF(499&lt;=$I$3,IF(AND(INDEX(MASTER_AREAS!$F:$F,500)&lt;&gt;"N",OR('TRANSPORT DASHBOARD'!$C$4="",ISNUMBER(SEARCH('TRANSPORT DASHBOARD'!$C$4,INDEX(MASTER_AREAS!$B:$B,500))))),499,""),""),IF('TRANSPORT DASHBOARD'!$B$4="Zone",IF(499&lt;=$I$4,IF(OR('TRANSPORT DASHBOARD'!$C$4="",ISNUMBER(SEARCH('TRANSPORT DASHBOARD'!$C$4,INDEX(MASTER_ZONES!$B:$B,500)))),499,""),""),""))</f>
        <v/>
      </c>
      <c r="K500">
        <f>IF('MIDWEEK DASHBOARD'!$B$4="Area",IF(499&lt;=$N$3,IF(AND(OR('MIDWEEK DASHBOARD'!$C$4="",ISNUMBER(SEARCH('MIDWEEK DASHBOARD'!$C$4,INDEX(MASTER_AREAS!$B:$B,500))))),499,""),""),IF('MIDWEEK DASHBOARD'!$B$4="Zone",IF(499&lt;=$N$4,IF(OR('MIDWEEK DASHBOARD'!$C$4="",ISNUMBER(SEARCH('MIDWEEK DASHBOARD'!$C$4,INDEX(MASTER_ZONES!$B:$B,500)))),499,""),""),""))</f>
        <v/>
      </c>
      <c r="P500">
        <f>IF('CHOP DASHBOARD'!$B$4="Area",IF(499&lt;=$S$3,IF(AND(OR('CHOP DASHBOARD'!$C$4="",ISNUMBER(SEARCH('CHOP DASHBOARD'!$C$4,INDEX(MASTER_AREAS!$B:$B,500))))),499,""),""),IF('CHOP DASHBOARD'!$B$4="Zone",IF(499&lt;=$S$4,IF(OR('CHOP DASHBOARD'!$C$4="",ISNUMBER(SEARCH('CHOP DASHBOARD'!$C$4,INDEX(MASTER_ZONES!$B:$B,500)))),499,""),""),""))</f>
        <v/>
      </c>
      <c r="U500">
        <f>IF('COMMUNITY CHURCH DASHBOARD'!$B$4="Area",IF(499&lt;=$X$3,IF(AND(OR('COMMUNITY CHURCH DASHBOARD'!$C$4="",ISNUMBER(SEARCH('COMMUNITY CHURCH DASHBOARD'!$C$4,INDEX(MASTER_AREAS!$B:$B,500))))),499,""),""),IF('COMMUNITY CHURCH DASHBOARD'!$B$4="Zone",IF(499&lt;=$X$4,IF(OR('COMMUNITY CHURCH DASHBOARD'!$C$4="",ISNUMBER(SEARCH('COMMUNITY CHURCH DASHBOARD'!$C$4,INDEX(MASTER_ZONES!$B:$B,500)))),499,""),""),""))</f>
        <v/>
      </c>
    </row>
    <row r="501">
      <c r="A501">
        <f>IF('WSF DASHBOARD'!$B$4="Area",IF(500&lt;=$D$3,IF(AND(OR('WSF DASHBOARD'!$C$4="",ISNUMBER(SEARCH('WSF DASHBOARD'!$C$4,INDEX(MASTER_AREAS!$B:$B,501))))),500,""),""),IF('WSF DASHBOARD'!$B$4="Zone",IF(500&lt;=$D$4,IF(OR('WSF DASHBOARD'!$C$4="",ISNUMBER(SEARCH('WSF DASHBOARD'!$C$4,INDEX(MASTER_ZONES!$B:$B,501)))),500,""),""),""))</f>
        <v/>
      </c>
      <c r="F501">
        <f>IF('TRANSPORT DASHBOARD'!$B$4="Area",IF(500&lt;=$I$3,IF(AND(INDEX(MASTER_AREAS!$F:$F,501)&lt;&gt;"N",OR('TRANSPORT DASHBOARD'!$C$4="",ISNUMBER(SEARCH('TRANSPORT DASHBOARD'!$C$4,INDEX(MASTER_AREAS!$B:$B,501))))),500,""),""),IF('TRANSPORT DASHBOARD'!$B$4="Zone",IF(500&lt;=$I$4,IF(OR('TRANSPORT DASHBOARD'!$C$4="",ISNUMBER(SEARCH('TRANSPORT DASHBOARD'!$C$4,INDEX(MASTER_ZONES!$B:$B,501)))),500,""),""),""))</f>
        <v/>
      </c>
      <c r="K501">
        <f>IF('MIDWEEK DASHBOARD'!$B$4="Area",IF(500&lt;=$N$3,IF(AND(OR('MIDWEEK DASHBOARD'!$C$4="",ISNUMBER(SEARCH('MIDWEEK DASHBOARD'!$C$4,INDEX(MASTER_AREAS!$B:$B,501))))),500,""),""),IF('MIDWEEK DASHBOARD'!$B$4="Zone",IF(500&lt;=$N$4,IF(OR('MIDWEEK DASHBOARD'!$C$4="",ISNUMBER(SEARCH('MIDWEEK DASHBOARD'!$C$4,INDEX(MASTER_ZONES!$B:$B,501)))),500,""),""),""))</f>
        <v/>
      </c>
      <c r="P501">
        <f>IF('CHOP DASHBOARD'!$B$4="Area",IF(500&lt;=$S$3,IF(AND(OR('CHOP DASHBOARD'!$C$4="",ISNUMBER(SEARCH('CHOP DASHBOARD'!$C$4,INDEX(MASTER_AREAS!$B:$B,501))))),500,""),""),IF('CHOP DASHBOARD'!$B$4="Zone",IF(500&lt;=$S$4,IF(OR('CHOP DASHBOARD'!$C$4="",ISNUMBER(SEARCH('CHOP DASHBOARD'!$C$4,INDEX(MASTER_ZONES!$B:$B,501)))),500,""),""),""))</f>
        <v/>
      </c>
      <c r="U501">
        <f>IF('COMMUNITY CHURCH DASHBOARD'!$B$4="Area",IF(500&lt;=$X$3,IF(AND(OR('COMMUNITY CHURCH DASHBOARD'!$C$4="",ISNUMBER(SEARCH('COMMUNITY CHURCH DASHBOARD'!$C$4,INDEX(MASTER_AREAS!$B:$B,501))))),500,""),""),IF('COMMUNITY CHURCH DASHBOARD'!$B$4="Zone",IF(500&lt;=$X$4,IF(OR('COMMUNITY CHURCH DASHBOARD'!$C$4="",ISNUMBER(SEARCH('COMMUNITY CHURCH DASHBOARD'!$C$4,INDEX(MASTER_ZONES!$B:$B,501)))),500,""),""),""))</f>
        <v/>
      </c>
    </row>
    <row r="502">
      <c r="A502">
        <f>IF('WSF DASHBOARD'!$B$4="Area",IF(501&lt;=$D$3,IF(AND(OR('WSF DASHBOARD'!$C$4="",ISNUMBER(SEARCH('WSF DASHBOARD'!$C$4,INDEX(MASTER_AREAS!$B:$B,502))))),501,""),""),IF('WSF DASHBOARD'!$B$4="Zone",IF(501&lt;=$D$4,IF(OR('WSF DASHBOARD'!$C$4="",ISNUMBER(SEARCH('WSF DASHBOARD'!$C$4,INDEX(MASTER_ZONES!$B:$B,502)))),501,""),""),""))</f>
        <v/>
      </c>
      <c r="F502">
        <f>IF('TRANSPORT DASHBOARD'!$B$4="Area",IF(501&lt;=$I$3,IF(AND(INDEX(MASTER_AREAS!$F:$F,502)&lt;&gt;"N",OR('TRANSPORT DASHBOARD'!$C$4="",ISNUMBER(SEARCH('TRANSPORT DASHBOARD'!$C$4,INDEX(MASTER_AREAS!$B:$B,502))))),501,""),""),IF('TRANSPORT DASHBOARD'!$B$4="Zone",IF(501&lt;=$I$4,IF(OR('TRANSPORT DASHBOARD'!$C$4="",ISNUMBER(SEARCH('TRANSPORT DASHBOARD'!$C$4,INDEX(MASTER_ZONES!$B:$B,502)))),501,""),""),""))</f>
        <v/>
      </c>
      <c r="K502">
        <f>IF('MIDWEEK DASHBOARD'!$B$4="Area",IF(501&lt;=$N$3,IF(AND(OR('MIDWEEK DASHBOARD'!$C$4="",ISNUMBER(SEARCH('MIDWEEK DASHBOARD'!$C$4,INDEX(MASTER_AREAS!$B:$B,502))))),501,""),""),IF('MIDWEEK DASHBOARD'!$B$4="Zone",IF(501&lt;=$N$4,IF(OR('MIDWEEK DASHBOARD'!$C$4="",ISNUMBER(SEARCH('MIDWEEK DASHBOARD'!$C$4,INDEX(MASTER_ZONES!$B:$B,502)))),501,""),""),""))</f>
        <v/>
      </c>
      <c r="P502">
        <f>IF('CHOP DASHBOARD'!$B$4="Area",IF(501&lt;=$S$3,IF(AND(OR('CHOP DASHBOARD'!$C$4="",ISNUMBER(SEARCH('CHOP DASHBOARD'!$C$4,INDEX(MASTER_AREAS!$B:$B,502))))),501,""),""),IF('CHOP DASHBOARD'!$B$4="Zone",IF(501&lt;=$S$4,IF(OR('CHOP DASHBOARD'!$C$4="",ISNUMBER(SEARCH('CHOP DASHBOARD'!$C$4,INDEX(MASTER_ZONES!$B:$B,502)))),501,""),""),""))</f>
        <v/>
      </c>
      <c r="U502">
        <f>IF('COMMUNITY CHURCH DASHBOARD'!$B$4="Area",IF(501&lt;=$X$3,IF(AND(OR('COMMUNITY CHURCH DASHBOARD'!$C$4="",ISNUMBER(SEARCH('COMMUNITY CHURCH DASHBOARD'!$C$4,INDEX(MASTER_AREAS!$B:$B,502))))),501,""),""),IF('COMMUNITY CHURCH DASHBOARD'!$B$4="Zone",IF(501&lt;=$X$4,IF(OR('COMMUNITY CHURCH DASHBOARD'!$C$4="",ISNUMBER(SEARCH('COMMUNITY CHURCH DASHBOARD'!$C$4,INDEX(MASTER_ZONES!$B:$B,502)))),501,""),""),""))</f>
        <v/>
      </c>
    </row>
    <row r="503">
      <c r="A503">
        <f>IF('WSF DASHBOARD'!$B$4="Area",IF(502&lt;=$D$3,IF(AND(OR('WSF DASHBOARD'!$C$4="",ISNUMBER(SEARCH('WSF DASHBOARD'!$C$4,INDEX(MASTER_AREAS!$B:$B,503))))),502,""),""),IF('WSF DASHBOARD'!$B$4="Zone",IF(502&lt;=$D$4,IF(OR('WSF DASHBOARD'!$C$4="",ISNUMBER(SEARCH('WSF DASHBOARD'!$C$4,INDEX(MASTER_ZONES!$B:$B,503)))),502,""),""),""))</f>
        <v/>
      </c>
      <c r="F503">
        <f>IF('TRANSPORT DASHBOARD'!$B$4="Area",IF(502&lt;=$I$3,IF(AND(INDEX(MASTER_AREAS!$F:$F,503)&lt;&gt;"N",OR('TRANSPORT DASHBOARD'!$C$4="",ISNUMBER(SEARCH('TRANSPORT DASHBOARD'!$C$4,INDEX(MASTER_AREAS!$B:$B,503))))),502,""),""),IF('TRANSPORT DASHBOARD'!$B$4="Zone",IF(502&lt;=$I$4,IF(OR('TRANSPORT DASHBOARD'!$C$4="",ISNUMBER(SEARCH('TRANSPORT DASHBOARD'!$C$4,INDEX(MASTER_ZONES!$B:$B,503)))),502,""),""),""))</f>
        <v/>
      </c>
      <c r="K503">
        <f>IF('MIDWEEK DASHBOARD'!$B$4="Area",IF(502&lt;=$N$3,IF(AND(OR('MIDWEEK DASHBOARD'!$C$4="",ISNUMBER(SEARCH('MIDWEEK DASHBOARD'!$C$4,INDEX(MASTER_AREAS!$B:$B,503))))),502,""),""),IF('MIDWEEK DASHBOARD'!$B$4="Zone",IF(502&lt;=$N$4,IF(OR('MIDWEEK DASHBOARD'!$C$4="",ISNUMBER(SEARCH('MIDWEEK DASHBOARD'!$C$4,INDEX(MASTER_ZONES!$B:$B,503)))),502,""),""),""))</f>
        <v/>
      </c>
      <c r="P503">
        <f>IF('CHOP DASHBOARD'!$B$4="Area",IF(502&lt;=$S$3,IF(AND(OR('CHOP DASHBOARD'!$C$4="",ISNUMBER(SEARCH('CHOP DASHBOARD'!$C$4,INDEX(MASTER_AREAS!$B:$B,503))))),502,""),""),IF('CHOP DASHBOARD'!$B$4="Zone",IF(502&lt;=$S$4,IF(OR('CHOP DASHBOARD'!$C$4="",ISNUMBER(SEARCH('CHOP DASHBOARD'!$C$4,INDEX(MASTER_ZONES!$B:$B,503)))),502,""),""),""))</f>
        <v/>
      </c>
      <c r="U503">
        <f>IF('COMMUNITY CHURCH DASHBOARD'!$B$4="Area",IF(502&lt;=$X$3,IF(AND(OR('COMMUNITY CHURCH DASHBOARD'!$C$4="",ISNUMBER(SEARCH('COMMUNITY CHURCH DASHBOARD'!$C$4,INDEX(MASTER_AREAS!$B:$B,503))))),502,""),""),IF('COMMUNITY CHURCH DASHBOARD'!$B$4="Zone",IF(502&lt;=$X$4,IF(OR('COMMUNITY CHURCH DASHBOARD'!$C$4="",ISNUMBER(SEARCH('COMMUNITY CHURCH DASHBOARD'!$C$4,INDEX(MASTER_ZONES!$B:$B,503)))),502,""),""),""))</f>
        <v/>
      </c>
    </row>
    <row r="504">
      <c r="A504">
        <f>IF('WSF DASHBOARD'!$B$4="Area",IF(503&lt;=$D$3,IF(AND(OR('WSF DASHBOARD'!$C$4="",ISNUMBER(SEARCH('WSF DASHBOARD'!$C$4,INDEX(MASTER_AREAS!$B:$B,504))))),503,""),""),IF('WSF DASHBOARD'!$B$4="Zone",IF(503&lt;=$D$4,IF(OR('WSF DASHBOARD'!$C$4="",ISNUMBER(SEARCH('WSF DASHBOARD'!$C$4,INDEX(MASTER_ZONES!$B:$B,504)))),503,""),""),""))</f>
        <v/>
      </c>
      <c r="F504">
        <f>IF('TRANSPORT DASHBOARD'!$B$4="Area",IF(503&lt;=$I$3,IF(AND(INDEX(MASTER_AREAS!$F:$F,504)&lt;&gt;"N",OR('TRANSPORT DASHBOARD'!$C$4="",ISNUMBER(SEARCH('TRANSPORT DASHBOARD'!$C$4,INDEX(MASTER_AREAS!$B:$B,504))))),503,""),""),IF('TRANSPORT DASHBOARD'!$B$4="Zone",IF(503&lt;=$I$4,IF(OR('TRANSPORT DASHBOARD'!$C$4="",ISNUMBER(SEARCH('TRANSPORT DASHBOARD'!$C$4,INDEX(MASTER_ZONES!$B:$B,504)))),503,""),""),""))</f>
        <v/>
      </c>
      <c r="K504">
        <f>IF('MIDWEEK DASHBOARD'!$B$4="Area",IF(503&lt;=$N$3,IF(AND(OR('MIDWEEK DASHBOARD'!$C$4="",ISNUMBER(SEARCH('MIDWEEK DASHBOARD'!$C$4,INDEX(MASTER_AREAS!$B:$B,504))))),503,""),""),IF('MIDWEEK DASHBOARD'!$B$4="Zone",IF(503&lt;=$N$4,IF(OR('MIDWEEK DASHBOARD'!$C$4="",ISNUMBER(SEARCH('MIDWEEK DASHBOARD'!$C$4,INDEX(MASTER_ZONES!$B:$B,504)))),503,""),""),""))</f>
        <v/>
      </c>
      <c r="P504">
        <f>IF('CHOP DASHBOARD'!$B$4="Area",IF(503&lt;=$S$3,IF(AND(OR('CHOP DASHBOARD'!$C$4="",ISNUMBER(SEARCH('CHOP DASHBOARD'!$C$4,INDEX(MASTER_AREAS!$B:$B,504))))),503,""),""),IF('CHOP DASHBOARD'!$B$4="Zone",IF(503&lt;=$S$4,IF(OR('CHOP DASHBOARD'!$C$4="",ISNUMBER(SEARCH('CHOP DASHBOARD'!$C$4,INDEX(MASTER_ZONES!$B:$B,504)))),503,""),""),""))</f>
        <v/>
      </c>
      <c r="U504">
        <f>IF('COMMUNITY CHURCH DASHBOARD'!$B$4="Area",IF(503&lt;=$X$3,IF(AND(OR('COMMUNITY CHURCH DASHBOARD'!$C$4="",ISNUMBER(SEARCH('COMMUNITY CHURCH DASHBOARD'!$C$4,INDEX(MASTER_AREAS!$B:$B,504))))),503,""),""),IF('COMMUNITY CHURCH DASHBOARD'!$B$4="Zone",IF(503&lt;=$X$4,IF(OR('COMMUNITY CHURCH DASHBOARD'!$C$4="",ISNUMBER(SEARCH('COMMUNITY CHURCH DASHBOARD'!$C$4,INDEX(MASTER_ZONES!$B:$B,504)))),503,""),""),""))</f>
        <v/>
      </c>
    </row>
    <row r="505">
      <c r="A505">
        <f>IF('WSF DASHBOARD'!$B$4="Area",IF(504&lt;=$D$3,IF(AND(OR('WSF DASHBOARD'!$C$4="",ISNUMBER(SEARCH('WSF DASHBOARD'!$C$4,INDEX(MASTER_AREAS!$B:$B,505))))),504,""),""),IF('WSF DASHBOARD'!$B$4="Zone",IF(504&lt;=$D$4,IF(OR('WSF DASHBOARD'!$C$4="",ISNUMBER(SEARCH('WSF DASHBOARD'!$C$4,INDEX(MASTER_ZONES!$B:$B,505)))),504,""),""),""))</f>
        <v/>
      </c>
      <c r="F505">
        <f>IF('TRANSPORT DASHBOARD'!$B$4="Area",IF(504&lt;=$I$3,IF(AND(INDEX(MASTER_AREAS!$F:$F,505)&lt;&gt;"N",OR('TRANSPORT DASHBOARD'!$C$4="",ISNUMBER(SEARCH('TRANSPORT DASHBOARD'!$C$4,INDEX(MASTER_AREAS!$B:$B,505))))),504,""),""),IF('TRANSPORT DASHBOARD'!$B$4="Zone",IF(504&lt;=$I$4,IF(OR('TRANSPORT DASHBOARD'!$C$4="",ISNUMBER(SEARCH('TRANSPORT DASHBOARD'!$C$4,INDEX(MASTER_ZONES!$B:$B,505)))),504,""),""),""))</f>
        <v/>
      </c>
      <c r="K505">
        <f>IF('MIDWEEK DASHBOARD'!$B$4="Area",IF(504&lt;=$N$3,IF(AND(OR('MIDWEEK DASHBOARD'!$C$4="",ISNUMBER(SEARCH('MIDWEEK DASHBOARD'!$C$4,INDEX(MASTER_AREAS!$B:$B,505))))),504,""),""),IF('MIDWEEK DASHBOARD'!$B$4="Zone",IF(504&lt;=$N$4,IF(OR('MIDWEEK DASHBOARD'!$C$4="",ISNUMBER(SEARCH('MIDWEEK DASHBOARD'!$C$4,INDEX(MASTER_ZONES!$B:$B,505)))),504,""),""),""))</f>
        <v/>
      </c>
      <c r="P505">
        <f>IF('CHOP DASHBOARD'!$B$4="Area",IF(504&lt;=$S$3,IF(AND(OR('CHOP DASHBOARD'!$C$4="",ISNUMBER(SEARCH('CHOP DASHBOARD'!$C$4,INDEX(MASTER_AREAS!$B:$B,505))))),504,""),""),IF('CHOP DASHBOARD'!$B$4="Zone",IF(504&lt;=$S$4,IF(OR('CHOP DASHBOARD'!$C$4="",ISNUMBER(SEARCH('CHOP DASHBOARD'!$C$4,INDEX(MASTER_ZONES!$B:$B,505)))),504,""),""),""))</f>
        <v/>
      </c>
      <c r="U505">
        <f>IF('COMMUNITY CHURCH DASHBOARD'!$B$4="Area",IF(504&lt;=$X$3,IF(AND(OR('COMMUNITY CHURCH DASHBOARD'!$C$4="",ISNUMBER(SEARCH('COMMUNITY CHURCH DASHBOARD'!$C$4,INDEX(MASTER_AREAS!$B:$B,505))))),504,""),""),IF('COMMUNITY CHURCH DASHBOARD'!$B$4="Zone",IF(504&lt;=$X$4,IF(OR('COMMUNITY CHURCH DASHBOARD'!$C$4="",ISNUMBER(SEARCH('COMMUNITY CHURCH DASHBOARD'!$C$4,INDEX(MASTER_ZONES!$B:$B,505)))),504,""),""),""))</f>
        <v/>
      </c>
    </row>
    <row r="506">
      <c r="A506">
        <f>IF('WSF DASHBOARD'!$B$4="Area",IF(505&lt;=$D$3,IF(AND(OR('WSF DASHBOARD'!$C$4="",ISNUMBER(SEARCH('WSF DASHBOARD'!$C$4,INDEX(MASTER_AREAS!$B:$B,506))))),505,""),""),IF('WSF DASHBOARD'!$B$4="Zone",IF(505&lt;=$D$4,IF(OR('WSF DASHBOARD'!$C$4="",ISNUMBER(SEARCH('WSF DASHBOARD'!$C$4,INDEX(MASTER_ZONES!$B:$B,506)))),505,""),""),""))</f>
        <v/>
      </c>
      <c r="F506">
        <f>IF('TRANSPORT DASHBOARD'!$B$4="Area",IF(505&lt;=$I$3,IF(AND(INDEX(MASTER_AREAS!$F:$F,506)&lt;&gt;"N",OR('TRANSPORT DASHBOARD'!$C$4="",ISNUMBER(SEARCH('TRANSPORT DASHBOARD'!$C$4,INDEX(MASTER_AREAS!$B:$B,506))))),505,""),""),IF('TRANSPORT DASHBOARD'!$B$4="Zone",IF(505&lt;=$I$4,IF(OR('TRANSPORT DASHBOARD'!$C$4="",ISNUMBER(SEARCH('TRANSPORT DASHBOARD'!$C$4,INDEX(MASTER_ZONES!$B:$B,506)))),505,""),""),""))</f>
        <v/>
      </c>
      <c r="K506">
        <f>IF('MIDWEEK DASHBOARD'!$B$4="Area",IF(505&lt;=$N$3,IF(AND(OR('MIDWEEK DASHBOARD'!$C$4="",ISNUMBER(SEARCH('MIDWEEK DASHBOARD'!$C$4,INDEX(MASTER_AREAS!$B:$B,506))))),505,""),""),IF('MIDWEEK DASHBOARD'!$B$4="Zone",IF(505&lt;=$N$4,IF(OR('MIDWEEK DASHBOARD'!$C$4="",ISNUMBER(SEARCH('MIDWEEK DASHBOARD'!$C$4,INDEX(MASTER_ZONES!$B:$B,506)))),505,""),""),""))</f>
        <v/>
      </c>
      <c r="P506">
        <f>IF('CHOP DASHBOARD'!$B$4="Area",IF(505&lt;=$S$3,IF(AND(OR('CHOP DASHBOARD'!$C$4="",ISNUMBER(SEARCH('CHOP DASHBOARD'!$C$4,INDEX(MASTER_AREAS!$B:$B,506))))),505,""),""),IF('CHOP DASHBOARD'!$B$4="Zone",IF(505&lt;=$S$4,IF(OR('CHOP DASHBOARD'!$C$4="",ISNUMBER(SEARCH('CHOP DASHBOARD'!$C$4,INDEX(MASTER_ZONES!$B:$B,506)))),505,""),""),""))</f>
        <v/>
      </c>
      <c r="U506">
        <f>IF('COMMUNITY CHURCH DASHBOARD'!$B$4="Area",IF(505&lt;=$X$3,IF(AND(OR('COMMUNITY CHURCH DASHBOARD'!$C$4="",ISNUMBER(SEARCH('COMMUNITY CHURCH DASHBOARD'!$C$4,INDEX(MASTER_AREAS!$B:$B,506))))),505,""),""),IF('COMMUNITY CHURCH DASHBOARD'!$B$4="Zone",IF(505&lt;=$X$4,IF(OR('COMMUNITY CHURCH DASHBOARD'!$C$4="",ISNUMBER(SEARCH('COMMUNITY CHURCH DASHBOARD'!$C$4,INDEX(MASTER_ZONES!$B:$B,506)))),505,""),""),""))</f>
        <v/>
      </c>
    </row>
    <row r="507">
      <c r="A507">
        <f>IF('WSF DASHBOARD'!$B$4="Area",IF(506&lt;=$D$3,IF(AND(OR('WSF DASHBOARD'!$C$4="",ISNUMBER(SEARCH('WSF DASHBOARD'!$C$4,INDEX(MASTER_AREAS!$B:$B,507))))),506,""),""),IF('WSF DASHBOARD'!$B$4="Zone",IF(506&lt;=$D$4,IF(OR('WSF DASHBOARD'!$C$4="",ISNUMBER(SEARCH('WSF DASHBOARD'!$C$4,INDEX(MASTER_ZONES!$B:$B,507)))),506,""),""),""))</f>
        <v/>
      </c>
      <c r="F507">
        <f>IF('TRANSPORT DASHBOARD'!$B$4="Area",IF(506&lt;=$I$3,IF(AND(INDEX(MASTER_AREAS!$F:$F,507)&lt;&gt;"N",OR('TRANSPORT DASHBOARD'!$C$4="",ISNUMBER(SEARCH('TRANSPORT DASHBOARD'!$C$4,INDEX(MASTER_AREAS!$B:$B,507))))),506,""),""),IF('TRANSPORT DASHBOARD'!$B$4="Zone",IF(506&lt;=$I$4,IF(OR('TRANSPORT DASHBOARD'!$C$4="",ISNUMBER(SEARCH('TRANSPORT DASHBOARD'!$C$4,INDEX(MASTER_ZONES!$B:$B,507)))),506,""),""),""))</f>
        <v/>
      </c>
      <c r="K507">
        <f>IF('MIDWEEK DASHBOARD'!$B$4="Area",IF(506&lt;=$N$3,IF(AND(OR('MIDWEEK DASHBOARD'!$C$4="",ISNUMBER(SEARCH('MIDWEEK DASHBOARD'!$C$4,INDEX(MASTER_AREAS!$B:$B,507))))),506,""),""),IF('MIDWEEK DASHBOARD'!$B$4="Zone",IF(506&lt;=$N$4,IF(OR('MIDWEEK DASHBOARD'!$C$4="",ISNUMBER(SEARCH('MIDWEEK DASHBOARD'!$C$4,INDEX(MASTER_ZONES!$B:$B,507)))),506,""),""),""))</f>
        <v/>
      </c>
      <c r="P507">
        <f>IF('CHOP DASHBOARD'!$B$4="Area",IF(506&lt;=$S$3,IF(AND(OR('CHOP DASHBOARD'!$C$4="",ISNUMBER(SEARCH('CHOP DASHBOARD'!$C$4,INDEX(MASTER_AREAS!$B:$B,507))))),506,""),""),IF('CHOP DASHBOARD'!$B$4="Zone",IF(506&lt;=$S$4,IF(OR('CHOP DASHBOARD'!$C$4="",ISNUMBER(SEARCH('CHOP DASHBOARD'!$C$4,INDEX(MASTER_ZONES!$B:$B,507)))),506,""),""),""))</f>
        <v/>
      </c>
      <c r="U507">
        <f>IF('COMMUNITY CHURCH DASHBOARD'!$B$4="Area",IF(506&lt;=$X$3,IF(AND(OR('COMMUNITY CHURCH DASHBOARD'!$C$4="",ISNUMBER(SEARCH('COMMUNITY CHURCH DASHBOARD'!$C$4,INDEX(MASTER_AREAS!$B:$B,507))))),506,""),""),IF('COMMUNITY CHURCH DASHBOARD'!$B$4="Zone",IF(506&lt;=$X$4,IF(OR('COMMUNITY CHURCH DASHBOARD'!$C$4="",ISNUMBER(SEARCH('COMMUNITY CHURCH DASHBOARD'!$C$4,INDEX(MASTER_ZONES!$B:$B,507)))),506,""),""),""))</f>
        <v/>
      </c>
    </row>
    <row r="508">
      <c r="A508">
        <f>IF('WSF DASHBOARD'!$B$4="Area",IF(507&lt;=$D$3,IF(AND(OR('WSF DASHBOARD'!$C$4="",ISNUMBER(SEARCH('WSF DASHBOARD'!$C$4,INDEX(MASTER_AREAS!$B:$B,508))))),507,""),""),IF('WSF DASHBOARD'!$B$4="Zone",IF(507&lt;=$D$4,IF(OR('WSF DASHBOARD'!$C$4="",ISNUMBER(SEARCH('WSF DASHBOARD'!$C$4,INDEX(MASTER_ZONES!$B:$B,508)))),507,""),""),""))</f>
        <v/>
      </c>
      <c r="F508">
        <f>IF('TRANSPORT DASHBOARD'!$B$4="Area",IF(507&lt;=$I$3,IF(AND(INDEX(MASTER_AREAS!$F:$F,508)&lt;&gt;"N",OR('TRANSPORT DASHBOARD'!$C$4="",ISNUMBER(SEARCH('TRANSPORT DASHBOARD'!$C$4,INDEX(MASTER_AREAS!$B:$B,508))))),507,""),""),IF('TRANSPORT DASHBOARD'!$B$4="Zone",IF(507&lt;=$I$4,IF(OR('TRANSPORT DASHBOARD'!$C$4="",ISNUMBER(SEARCH('TRANSPORT DASHBOARD'!$C$4,INDEX(MASTER_ZONES!$B:$B,508)))),507,""),""),""))</f>
        <v/>
      </c>
      <c r="K508">
        <f>IF('MIDWEEK DASHBOARD'!$B$4="Area",IF(507&lt;=$N$3,IF(AND(OR('MIDWEEK DASHBOARD'!$C$4="",ISNUMBER(SEARCH('MIDWEEK DASHBOARD'!$C$4,INDEX(MASTER_AREAS!$B:$B,508))))),507,""),""),IF('MIDWEEK DASHBOARD'!$B$4="Zone",IF(507&lt;=$N$4,IF(OR('MIDWEEK DASHBOARD'!$C$4="",ISNUMBER(SEARCH('MIDWEEK DASHBOARD'!$C$4,INDEX(MASTER_ZONES!$B:$B,508)))),507,""),""),""))</f>
        <v/>
      </c>
      <c r="P508">
        <f>IF('CHOP DASHBOARD'!$B$4="Area",IF(507&lt;=$S$3,IF(AND(OR('CHOP DASHBOARD'!$C$4="",ISNUMBER(SEARCH('CHOP DASHBOARD'!$C$4,INDEX(MASTER_AREAS!$B:$B,508))))),507,""),""),IF('CHOP DASHBOARD'!$B$4="Zone",IF(507&lt;=$S$4,IF(OR('CHOP DASHBOARD'!$C$4="",ISNUMBER(SEARCH('CHOP DASHBOARD'!$C$4,INDEX(MASTER_ZONES!$B:$B,508)))),507,""),""),""))</f>
        <v/>
      </c>
      <c r="U508">
        <f>IF('COMMUNITY CHURCH DASHBOARD'!$B$4="Area",IF(507&lt;=$X$3,IF(AND(OR('COMMUNITY CHURCH DASHBOARD'!$C$4="",ISNUMBER(SEARCH('COMMUNITY CHURCH DASHBOARD'!$C$4,INDEX(MASTER_AREAS!$B:$B,508))))),507,""),""),IF('COMMUNITY CHURCH DASHBOARD'!$B$4="Zone",IF(507&lt;=$X$4,IF(OR('COMMUNITY CHURCH DASHBOARD'!$C$4="",ISNUMBER(SEARCH('COMMUNITY CHURCH DASHBOARD'!$C$4,INDEX(MASTER_ZONES!$B:$B,508)))),507,""),""),""))</f>
        <v/>
      </c>
    </row>
    <row r="509">
      <c r="A509">
        <f>IF('WSF DASHBOARD'!$B$4="Area",IF(508&lt;=$D$3,IF(AND(OR('WSF DASHBOARD'!$C$4="",ISNUMBER(SEARCH('WSF DASHBOARD'!$C$4,INDEX(MASTER_AREAS!$B:$B,509))))),508,""),""),IF('WSF DASHBOARD'!$B$4="Zone",IF(508&lt;=$D$4,IF(OR('WSF DASHBOARD'!$C$4="",ISNUMBER(SEARCH('WSF DASHBOARD'!$C$4,INDEX(MASTER_ZONES!$B:$B,509)))),508,""),""),""))</f>
        <v/>
      </c>
      <c r="F509">
        <f>IF('TRANSPORT DASHBOARD'!$B$4="Area",IF(508&lt;=$I$3,IF(AND(INDEX(MASTER_AREAS!$F:$F,509)&lt;&gt;"N",OR('TRANSPORT DASHBOARD'!$C$4="",ISNUMBER(SEARCH('TRANSPORT DASHBOARD'!$C$4,INDEX(MASTER_AREAS!$B:$B,509))))),508,""),""),IF('TRANSPORT DASHBOARD'!$B$4="Zone",IF(508&lt;=$I$4,IF(OR('TRANSPORT DASHBOARD'!$C$4="",ISNUMBER(SEARCH('TRANSPORT DASHBOARD'!$C$4,INDEX(MASTER_ZONES!$B:$B,509)))),508,""),""),""))</f>
        <v/>
      </c>
      <c r="K509">
        <f>IF('MIDWEEK DASHBOARD'!$B$4="Area",IF(508&lt;=$N$3,IF(AND(OR('MIDWEEK DASHBOARD'!$C$4="",ISNUMBER(SEARCH('MIDWEEK DASHBOARD'!$C$4,INDEX(MASTER_AREAS!$B:$B,509))))),508,""),""),IF('MIDWEEK DASHBOARD'!$B$4="Zone",IF(508&lt;=$N$4,IF(OR('MIDWEEK DASHBOARD'!$C$4="",ISNUMBER(SEARCH('MIDWEEK DASHBOARD'!$C$4,INDEX(MASTER_ZONES!$B:$B,509)))),508,""),""),""))</f>
        <v/>
      </c>
      <c r="P509">
        <f>IF('CHOP DASHBOARD'!$B$4="Area",IF(508&lt;=$S$3,IF(AND(OR('CHOP DASHBOARD'!$C$4="",ISNUMBER(SEARCH('CHOP DASHBOARD'!$C$4,INDEX(MASTER_AREAS!$B:$B,509))))),508,""),""),IF('CHOP DASHBOARD'!$B$4="Zone",IF(508&lt;=$S$4,IF(OR('CHOP DASHBOARD'!$C$4="",ISNUMBER(SEARCH('CHOP DASHBOARD'!$C$4,INDEX(MASTER_ZONES!$B:$B,509)))),508,""),""),""))</f>
        <v/>
      </c>
      <c r="U509">
        <f>IF('COMMUNITY CHURCH DASHBOARD'!$B$4="Area",IF(508&lt;=$X$3,IF(AND(OR('COMMUNITY CHURCH DASHBOARD'!$C$4="",ISNUMBER(SEARCH('COMMUNITY CHURCH DASHBOARD'!$C$4,INDEX(MASTER_AREAS!$B:$B,509))))),508,""),""),IF('COMMUNITY CHURCH DASHBOARD'!$B$4="Zone",IF(508&lt;=$X$4,IF(OR('COMMUNITY CHURCH DASHBOARD'!$C$4="",ISNUMBER(SEARCH('COMMUNITY CHURCH DASHBOARD'!$C$4,INDEX(MASTER_ZONES!$B:$B,509)))),508,""),""),""))</f>
        <v/>
      </c>
    </row>
    <row r="510">
      <c r="A510">
        <f>IF('WSF DASHBOARD'!$B$4="Area",IF(509&lt;=$D$3,IF(AND(OR('WSF DASHBOARD'!$C$4="",ISNUMBER(SEARCH('WSF DASHBOARD'!$C$4,INDEX(MASTER_AREAS!$B:$B,510))))),509,""),""),IF('WSF DASHBOARD'!$B$4="Zone",IF(509&lt;=$D$4,IF(OR('WSF DASHBOARD'!$C$4="",ISNUMBER(SEARCH('WSF DASHBOARD'!$C$4,INDEX(MASTER_ZONES!$B:$B,510)))),509,""),""),""))</f>
        <v/>
      </c>
      <c r="F510">
        <f>IF('TRANSPORT DASHBOARD'!$B$4="Area",IF(509&lt;=$I$3,IF(AND(INDEX(MASTER_AREAS!$F:$F,510)&lt;&gt;"N",OR('TRANSPORT DASHBOARD'!$C$4="",ISNUMBER(SEARCH('TRANSPORT DASHBOARD'!$C$4,INDEX(MASTER_AREAS!$B:$B,510))))),509,""),""),IF('TRANSPORT DASHBOARD'!$B$4="Zone",IF(509&lt;=$I$4,IF(OR('TRANSPORT DASHBOARD'!$C$4="",ISNUMBER(SEARCH('TRANSPORT DASHBOARD'!$C$4,INDEX(MASTER_ZONES!$B:$B,510)))),509,""),""),""))</f>
        <v/>
      </c>
      <c r="K510">
        <f>IF('MIDWEEK DASHBOARD'!$B$4="Area",IF(509&lt;=$N$3,IF(AND(OR('MIDWEEK DASHBOARD'!$C$4="",ISNUMBER(SEARCH('MIDWEEK DASHBOARD'!$C$4,INDEX(MASTER_AREAS!$B:$B,510))))),509,""),""),IF('MIDWEEK DASHBOARD'!$B$4="Zone",IF(509&lt;=$N$4,IF(OR('MIDWEEK DASHBOARD'!$C$4="",ISNUMBER(SEARCH('MIDWEEK DASHBOARD'!$C$4,INDEX(MASTER_ZONES!$B:$B,510)))),509,""),""),""))</f>
        <v/>
      </c>
      <c r="P510">
        <f>IF('CHOP DASHBOARD'!$B$4="Area",IF(509&lt;=$S$3,IF(AND(OR('CHOP DASHBOARD'!$C$4="",ISNUMBER(SEARCH('CHOP DASHBOARD'!$C$4,INDEX(MASTER_AREAS!$B:$B,510))))),509,""),""),IF('CHOP DASHBOARD'!$B$4="Zone",IF(509&lt;=$S$4,IF(OR('CHOP DASHBOARD'!$C$4="",ISNUMBER(SEARCH('CHOP DASHBOARD'!$C$4,INDEX(MASTER_ZONES!$B:$B,510)))),509,""),""),""))</f>
        <v/>
      </c>
      <c r="U510">
        <f>IF('COMMUNITY CHURCH DASHBOARD'!$B$4="Area",IF(509&lt;=$X$3,IF(AND(OR('COMMUNITY CHURCH DASHBOARD'!$C$4="",ISNUMBER(SEARCH('COMMUNITY CHURCH DASHBOARD'!$C$4,INDEX(MASTER_AREAS!$B:$B,510))))),509,""),""),IF('COMMUNITY CHURCH DASHBOARD'!$B$4="Zone",IF(509&lt;=$X$4,IF(OR('COMMUNITY CHURCH DASHBOARD'!$C$4="",ISNUMBER(SEARCH('COMMUNITY CHURCH DASHBOARD'!$C$4,INDEX(MASTER_ZONES!$B:$B,510)))),509,""),""),""))</f>
        <v/>
      </c>
    </row>
    <row r="511">
      <c r="A511">
        <f>IF('WSF DASHBOARD'!$B$4="Area",IF(510&lt;=$D$3,IF(AND(OR('WSF DASHBOARD'!$C$4="",ISNUMBER(SEARCH('WSF DASHBOARD'!$C$4,INDEX(MASTER_AREAS!$B:$B,511))))),510,""),""),IF('WSF DASHBOARD'!$B$4="Zone",IF(510&lt;=$D$4,IF(OR('WSF DASHBOARD'!$C$4="",ISNUMBER(SEARCH('WSF DASHBOARD'!$C$4,INDEX(MASTER_ZONES!$B:$B,511)))),510,""),""),""))</f>
        <v/>
      </c>
      <c r="F511">
        <f>IF('TRANSPORT DASHBOARD'!$B$4="Area",IF(510&lt;=$I$3,IF(AND(INDEX(MASTER_AREAS!$F:$F,511)&lt;&gt;"N",OR('TRANSPORT DASHBOARD'!$C$4="",ISNUMBER(SEARCH('TRANSPORT DASHBOARD'!$C$4,INDEX(MASTER_AREAS!$B:$B,511))))),510,""),""),IF('TRANSPORT DASHBOARD'!$B$4="Zone",IF(510&lt;=$I$4,IF(OR('TRANSPORT DASHBOARD'!$C$4="",ISNUMBER(SEARCH('TRANSPORT DASHBOARD'!$C$4,INDEX(MASTER_ZONES!$B:$B,511)))),510,""),""),""))</f>
        <v/>
      </c>
      <c r="K511">
        <f>IF('MIDWEEK DASHBOARD'!$B$4="Area",IF(510&lt;=$N$3,IF(AND(OR('MIDWEEK DASHBOARD'!$C$4="",ISNUMBER(SEARCH('MIDWEEK DASHBOARD'!$C$4,INDEX(MASTER_AREAS!$B:$B,511))))),510,""),""),IF('MIDWEEK DASHBOARD'!$B$4="Zone",IF(510&lt;=$N$4,IF(OR('MIDWEEK DASHBOARD'!$C$4="",ISNUMBER(SEARCH('MIDWEEK DASHBOARD'!$C$4,INDEX(MASTER_ZONES!$B:$B,511)))),510,""),""),""))</f>
        <v/>
      </c>
      <c r="P511">
        <f>IF('CHOP DASHBOARD'!$B$4="Area",IF(510&lt;=$S$3,IF(AND(OR('CHOP DASHBOARD'!$C$4="",ISNUMBER(SEARCH('CHOP DASHBOARD'!$C$4,INDEX(MASTER_AREAS!$B:$B,511))))),510,""),""),IF('CHOP DASHBOARD'!$B$4="Zone",IF(510&lt;=$S$4,IF(OR('CHOP DASHBOARD'!$C$4="",ISNUMBER(SEARCH('CHOP DASHBOARD'!$C$4,INDEX(MASTER_ZONES!$B:$B,511)))),510,""),""),""))</f>
        <v/>
      </c>
      <c r="U511">
        <f>IF('COMMUNITY CHURCH DASHBOARD'!$B$4="Area",IF(510&lt;=$X$3,IF(AND(OR('COMMUNITY CHURCH DASHBOARD'!$C$4="",ISNUMBER(SEARCH('COMMUNITY CHURCH DASHBOARD'!$C$4,INDEX(MASTER_AREAS!$B:$B,511))))),510,""),""),IF('COMMUNITY CHURCH DASHBOARD'!$B$4="Zone",IF(510&lt;=$X$4,IF(OR('COMMUNITY CHURCH DASHBOARD'!$C$4="",ISNUMBER(SEARCH('COMMUNITY CHURCH DASHBOARD'!$C$4,INDEX(MASTER_ZONES!$B:$B,511)))),510,""),""),""))</f>
        <v/>
      </c>
    </row>
    <row r="512">
      <c r="A512">
        <f>IF('WSF DASHBOARD'!$B$4="Area",IF(511&lt;=$D$3,IF(AND(OR('WSF DASHBOARD'!$C$4="",ISNUMBER(SEARCH('WSF DASHBOARD'!$C$4,INDEX(MASTER_AREAS!$B:$B,512))))),511,""),""),IF('WSF DASHBOARD'!$B$4="Zone",IF(511&lt;=$D$4,IF(OR('WSF DASHBOARD'!$C$4="",ISNUMBER(SEARCH('WSF DASHBOARD'!$C$4,INDEX(MASTER_ZONES!$B:$B,512)))),511,""),""),""))</f>
        <v/>
      </c>
      <c r="F512">
        <f>IF('TRANSPORT DASHBOARD'!$B$4="Area",IF(511&lt;=$I$3,IF(AND(INDEX(MASTER_AREAS!$F:$F,512)&lt;&gt;"N",OR('TRANSPORT DASHBOARD'!$C$4="",ISNUMBER(SEARCH('TRANSPORT DASHBOARD'!$C$4,INDEX(MASTER_AREAS!$B:$B,512))))),511,""),""),IF('TRANSPORT DASHBOARD'!$B$4="Zone",IF(511&lt;=$I$4,IF(OR('TRANSPORT DASHBOARD'!$C$4="",ISNUMBER(SEARCH('TRANSPORT DASHBOARD'!$C$4,INDEX(MASTER_ZONES!$B:$B,512)))),511,""),""),""))</f>
        <v/>
      </c>
      <c r="K512">
        <f>IF('MIDWEEK DASHBOARD'!$B$4="Area",IF(511&lt;=$N$3,IF(AND(OR('MIDWEEK DASHBOARD'!$C$4="",ISNUMBER(SEARCH('MIDWEEK DASHBOARD'!$C$4,INDEX(MASTER_AREAS!$B:$B,512))))),511,""),""),IF('MIDWEEK DASHBOARD'!$B$4="Zone",IF(511&lt;=$N$4,IF(OR('MIDWEEK DASHBOARD'!$C$4="",ISNUMBER(SEARCH('MIDWEEK DASHBOARD'!$C$4,INDEX(MASTER_ZONES!$B:$B,512)))),511,""),""),""))</f>
        <v/>
      </c>
      <c r="P512">
        <f>IF('CHOP DASHBOARD'!$B$4="Area",IF(511&lt;=$S$3,IF(AND(OR('CHOP DASHBOARD'!$C$4="",ISNUMBER(SEARCH('CHOP DASHBOARD'!$C$4,INDEX(MASTER_AREAS!$B:$B,512))))),511,""),""),IF('CHOP DASHBOARD'!$B$4="Zone",IF(511&lt;=$S$4,IF(OR('CHOP DASHBOARD'!$C$4="",ISNUMBER(SEARCH('CHOP DASHBOARD'!$C$4,INDEX(MASTER_ZONES!$B:$B,512)))),511,""),""),""))</f>
        <v/>
      </c>
      <c r="U512">
        <f>IF('COMMUNITY CHURCH DASHBOARD'!$B$4="Area",IF(511&lt;=$X$3,IF(AND(OR('COMMUNITY CHURCH DASHBOARD'!$C$4="",ISNUMBER(SEARCH('COMMUNITY CHURCH DASHBOARD'!$C$4,INDEX(MASTER_AREAS!$B:$B,512))))),511,""),""),IF('COMMUNITY CHURCH DASHBOARD'!$B$4="Zone",IF(511&lt;=$X$4,IF(OR('COMMUNITY CHURCH DASHBOARD'!$C$4="",ISNUMBER(SEARCH('COMMUNITY CHURCH DASHBOARD'!$C$4,INDEX(MASTER_ZONES!$B:$B,512)))),511,""),""),""))</f>
        <v/>
      </c>
    </row>
    <row r="513">
      <c r="A513">
        <f>IF('WSF DASHBOARD'!$B$4="Area",IF(512&lt;=$D$3,IF(AND(OR('WSF DASHBOARD'!$C$4="",ISNUMBER(SEARCH('WSF DASHBOARD'!$C$4,INDEX(MASTER_AREAS!$B:$B,513))))),512,""),""),IF('WSF DASHBOARD'!$B$4="Zone",IF(512&lt;=$D$4,IF(OR('WSF DASHBOARD'!$C$4="",ISNUMBER(SEARCH('WSF DASHBOARD'!$C$4,INDEX(MASTER_ZONES!$B:$B,513)))),512,""),""),""))</f>
        <v/>
      </c>
      <c r="F513">
        <f>IF('TRANSPORT DASHBOARD'!$B$4="Area",IF(512&lt;=$I$3,IF(AND(INDEX(MASTER_AREAS!$F:$F,513)&lt;&gt;"N",OR('TRANSPORT DASHBOARD'!$C$4="",ISNUMBER(SEARCH('TRANSPORT DASHBOARD'!$C$4,INDEX(MASTER_AREAS!$B:$B,513))))),512,""),""),IF('TRANSPORT DASHBOARD'!$B$4="Zone",IF(512&lt;=$I$4,IF(OR('TRANSPORT DASHBOARD'!$C$4="",ISNUMBER(SEARCH('TRANSPORT DASHBOARD'!$C$4,INDEX(MASTER_ZONES!$B:$B,513)))),512,""),""),""))</f>
        <v/>
      </c>
      <c r="K513">
        <f>IF('MIDWEEK DASHBOARD'!$B$4="Area",IF(512&lt;=$N$3,IF(AND(OR('MIDWEEK DASHBOARD'!$C$4="",ISNUMBER(SEARCH('MIDWEEK DASHBOARD'!$C$4,INDEX(MASTER_AREAS!$B:$B,513))))),512,""),""),IF('MIDWEEK DASHBOARD'!$B$4="Zone",IF(512&lt;=$N$4,IF(OR('MIDWEEK DASHBOARD'!$C$4="",ISNUMBER(SEARCH('MIDWEEK DASHBOARD'!$C$4,INDEX(MASTER_ZONES!$B:$B,513)))),512,""),""),""))</f>
        <v/>
      </c>
      <c r="P513">
        <f>IF('CHOP DASHBOARD'!$B$4="Area",IF(512&lt;=$S$3,IF(AND(OR('CHOP DASHBOARD'!$C$4="",ISNUMBER(SEARCH('CHOP DASHBOARD'!$C$4,INDEX(MASTER_AREAS!$B:$B,513))))),512,""),""),IF('CHOP DASHBOARD'!$B$4="Zone",IF(512&lt;=$S$4,IF(OR('CHOP DASHBOARD'!$C$4="",ISNUMBER(SEARCH('CHOP DASHBOARD'!$C$4,INDEX(MASTER_ZONES!$B:$B,513)))),512,""),""),""))</f>
        <v/>
      </c>
      <c r="U513">
        <f>IF('COMMUNITY CHURCH DASHBOARD'!$B$4="Area",IF(512&lt;=$X$3,IF(AND(OR('COMMUNITY CHURCH DASHBOARD'!$C$4="",ISNUMBER(SEARCH('COMMUNITY CHURCH DASHBOARD'!$C$4,INDEX(MASTER_AREAS!$B:$B,513))))),512,""),""),IF('COMMUNITY CHURCH DASHBOARD'!$B$4="Zone",IF(512&lt;=$X$4,IF(OR('COMMUNITY CHURCH DASHBOARD'!$C$4="",ISNUMBER(SEARCH('COMMUNITY CHURCH DASHBOARD'!$C$4,INDEX(MASTER_ZONES!$B:$B,513)))),512,""),""),""))</f>
        <v/>
      </c>
    </row>
    <row r="514">
      <c r="A514">
        <f>IF('WSF DASHBOARD'!$B$4="Area",IF(513&lt;=$D$3,IF(AND(OR('WSF DASHBOARD'!$C$4="",ISNUMBER(SEARCH('WSF DASHBOARD'!$C$4,INDEX(MASTER_AREAS!$B:$B,514))))),513,""),""),IF('WSF DASHBOARD'!$B$4="Zone",IF(513&lt;=$D$4,IF(OR('WSF DASHBOARD'!$C$4="",ISNUMBER(SEARCH('WSF DASHBOARD'!$C$4,INDEX(MASTER_ZONES!$B:$B,514)))),513,""),""),""))</f>
        <v/>
      </c>
      <c r="F514">
        <f>IF('TRANSPORT DASHBOARD'!$B$4="Area",IF(513&lt;=$I$3,IF(AND(INDEX(MASTER_AREAS!$F:$F,514)&lt;&gt;"N",OR('TRANSPORT DASHBOARD'!$C$4="",ISNUMBER(SEARCH('TRANSPORT DASHBOARD'!$C$4,INDEX(MASTER_AREAS!$B:$B,514))))),513,""),""),IF('TRANSPORT DASHBOARD'!$B$4="Zone",IF(513&lt;=$I$4,IF(OR('TRANSPORT DASHBOARD'!$C$4="",ISNUMBER(SEARCH('TRANSPORT DASHBOARD'!$C$4,INDEX(MASTER_ZONES!$B:$B,514)))),513,""),""),""))</f>
        <v/>
      </c>
      <c r="K514">
        <f>IF('MIDWEEK DASHBOARD'!$B$4="Area",IF(513&lt;=$N$3,IF(AND(OR('MIDWEEK DASHBOARD'!$C$4="",ISNUMBER(SEARCH('MIDWEEK DASHBOARD'!$C$4,INDEX(MASTER_AREAS!$B:$B,514))))),513,""),""),IF('MIDWEEK DASHBOARD'!$B$4="Zone",IF(513&lt;=$N$4,IF(OR('MIDWEEK DASHBOARD'!$C$4="",ISNUMBER(SEARCH('MIDWEEK DASHBOARD'!$C$4,INDEX(MASTER_ZONES!$B:$B,514)))),513,""),""),""))</f>
        <v/>
      </c>
      <c r="P514">
        <f>IF('CHOP DASHBOARD'!$B$4="Area",IF(513&lt;=$S$3,IF(AND(OR('CHOP DASHBOARD'!$C$4="",ISNUMBER(SEARCH('CHOP DASHBOARD'!$C$4,INDEX(MASTER_AREAS!$B:$B,514))))),513,""),""),IF('CHOP DASHBOARD'!$B$4="Zone",IF(513&lt;=$S$4,IF(OR('CHOP DASHBOARD'!$C$4="",ISNUMBER(SEARCH('CHOP DASHBOARD'!$C$4,INDEX(MASTER_ZONES!$B:$B,514)))),513,""),""),""))</f>
        <v/>
      </c>
      <c r="U514">
        <f>IF('COMMUNITY CHURCH DASHBOARD'!$B$4="Area",IF(513&lt;=$X$3,IF(AND(OR('COMMUNITY CHURCH DASHBOARD'!$C$4="",ISNUMBER(SEARCH('COMMUNITY CHURCH DASHBOARD'!$C$4,INDEX(MASTER_AREAS!$B:$B,514))))),513,""),""),IF('COMMUNITY CHURCH DASHBOARD'!$B$4="Zone",IF(513&lt;=$X$4,IF(OR('COMMUNITY CHURCH DASHBOARD'!$C$4="",ISNUMBER(SEARCH('COMMUNITY CHURCH DASHBOARD'!$C$4,INDEX(MASTER_ZONES!$B:$B,514)))),513,""),""),""))</f>
        <v/>
      </c>
    </row>
    <row r="515">
      <c r="A515">
        <f>IF('WSF DASHBOARD'!$B$4="Area",IF(514&lt;=$D$3,IF(AND(OR('WSF DASHBOARD'!$C$4="",ISNUMBER(SEARCH('WSF DASHBOARD'!$C$4,INDEX(MASTER_AREAS!$B:$B,515))))),514,""),""),IF('WSF DASHBOARD'!$B$4="Zone",IF(514&lt;=$D$4,IF(OR('WSF DASHBOARD'!$C$4="",ISNUMBER(SEARCH('WSF DASHBOARD'!$C$4,INDEX(MASTER_ZONES!$B:$B,515)))),514,""),""),""))</f>
        <v/>
      </c>
      <c r="F515">
        <f>IF('TRANSPORT DASHBOARD'!$B$4="Area",IF(514&lt;=$I$3,IF(AND(INDEX(MASTER_AREAS!$F:$F,515)&lt;&gt;"N",OR('TRANSPORT DASHBOARD'!$C$4="",ISNUMBER(SEARCH('TRANSPORT DASHBOARD'!$C$4,INDEX(MASTER_AREAS!$B:$B,515))))),514,""),""),IF('TRANSPORT DASHBOARD'!$B$4="Zone",IF(514&lt;=$I$4,IF(OR('TRANSPORT DASHBOARD'!$C$4="",ISNUMBER(SEARCH('TRANSPORT DASHBOARD'!$C$4,INDEX(MASTER_ZONES!$B:$B,515)))),514,""),""),""))</f>
        <v/>
      </c>
      <c r="K515">
        <f>IF('MIDWEEK DASHBOARD'!$B$4="Area",IF(514&lt;=$N$3,IF(AND(OR('MIDWEEK DASHBOARD'!$C$4="",ISNUMBER(SEARCH('MIDWEEK DASHBOARD'!$C$4,INDEX(MASTER_AREAS!$B:$B,515))))),514,""),""),IF('MIDWEEK DASHBOARD'!$B$4="Zone",IF(514&lt;=$N$4,IF(OR('MIDWEEK DASHBOARD'!$C$4="",ISNUMBER(SEARCH('MIDWEEK DASHBOARD'!$C$4,INDEX(MASTER_ZONES!$B:$B,515)))),514,""),""),""))</f>
        <v/>
      </c>
      <c r="P515">
        <f>IF('CHOP DASHBOARD'!$B$4="Area",IF(514&lt;=$S$3,IF(AND(OR('CHOP DASHBOARD'!$C$4="",ISNUMBER(SEARCH('CHOP DASHBOARD'!$C$4,INDEX(MASTER_AREAS!$B:$B,515))))),514,""),""),IF('CHOP DASHBOARD'!$B$4="Zone",IF(514&lt;=$S$4,IF(OR('CHOP DASHBOARD'!$C$4="",ISNUMBER(SEARCH('CHOP DASHBOARD'!$C$4,INDEX(MASTER_ZONES!$B:$B,515)))),514,""),""),""))</f>
        <v/>
      </c>
      <c r="U515">
        <f>IF('COMMUNITY CHURCH DASHBOARD'!$B$4="Area",IF(514&lt;=$X$3,IF(AND(OR('COMMUNITY CHURCH DASHBOARD'!$C$4="",ISNUMBER(SEARCH('COMMUNITY CHURCH DASHBOARD'!$C$4,INDEX(MASTER_AREAS!$B:$B,515))))),514,""),""),IF('COMMUNITY CHURCH DASHBOARD'!$B$4="Zone",IF(514&lt;=$X$4,IF(OR('COMMUNITY CHURCH DASHBOARD'!$C$4="",ISNUMBER(SEARCH('COMMUNITY CHURCH DASHBOARD'!$C$4,INDEX(MASTER_ZONES!$B:$B,515)))),514,""),""),""))</f>
        <v/>
      </c>
    </row>
    <row r="516">
      <c r="A516">
        <f>IF('WSF DASHBOARD'!$B$4="Area",IF(515&lt;=$D$3,IF(AND(OR('WSF DASHBOARD'!$C$4="",ISNUMBER(SEARCH('WSF DASHBOARD'!$C$4,INDEX(MASTER_AREAS!$B:$B,516))))),515,""),""),IF('WSF DASHBOARD'!$B$4="Zone",IF(515&lt;=$D$4,IF(OR('WSF DASHBOARD'!$C$4="",ISNUMBER(SEARCH('WSF DASHBOARD'!$C$4,INDEX(MASTER_ZONES!$B:$B,516)))),515,""),""),""))</f>
        <v/>
      </c>
      <c r="F516">
        <f>IF('TRANSPORT DASHBOARD'!$B$4="Area",IF(515&lt;=$I$3,IF(AND(INDEX(MASTER_AREAS!$F:$F,516)&lt;&gt;"N",OR('TRANSPORT DASHBOARD'!$C$4="",ISNUMBER(SEARCH('TRANSPORT DASHBOARD'!$C$4,INDEX(MASTER_AREAS!$B:$B,516))))),515,""),""),IF('TRANSPORT DASHBOARD'!$B$4="Zone",IF(515&lt;=$I$4,IF(OR('TRANSPORT DASHBOARD'!$C$4="",ISNUMBER(SEARCH('TRANSPORT DASHBOARD'!$C$4,INDEX(MASTER_ZONES!$B:$B,516)))),515,""),""),""))</f>
        <v/>
      </c>
      <c r="K516">
        <f>IF('MIDWEEK DASHBOARD'!$B$4="Area",IF(515&lt;=$N$3,IF(AND(OR('MIDWEEK DASHBOARD'!$C$4="",ISNUMBER(SEARCH('MIDWEEK DASHBOARD'!$C$4,INDEX(MASTER_AREAS!$B:$B,516))))),515,""),""),IF('MIDWEEK DASHBOARD'!$B$4="Zone",IF(515&lt;=$N$4,IF(OR('MIDWEEK DASHBOARD'!$C$4="",ISNUMBER(SEARCH('MIDWEEK DASHBOARD'!$C$4,INDEX(MASTER_ZONES!$B:$B,516)))),515,""),""),""))</f>
        <v/>
      </c>
      <c r="P516">
        <f>IF('CHOP DASHBOARD'!$B$4="Area",IF(515&lt;=$S$3,IF(AND(OR('CHOP DASHBOARD'!$C$4="",ISNUMBER(SEARCH('CHOP DASHBOARD'!$C$4,INDEX(MASTER_AREAS!$B:$B,516))))),515,""),""),IF('CHOP DASHBOARD'!$B$4="Zone",IF(515&lt;=$S$4,IF(OR('CHOP DASHBOARD'!$C$4="",ISNUMBER(SEARCH('CHOP DASHBOARD'!$C$4,INDEX(MASTER_ZONES!$B:$B,516)))),515,""),""),""))</f>
        <v/>
      </c>
      <c r="U516">
        <f>IF('COMMUNITY CHURCH DASHBOARD'!$B$4="Area",IF(515&lt;=$X$3,IF(AND(OR('COMMUNITY CHURCH DASHBOARD'!$C$4="",ISNUMBER(SEARCH('COMMUNITY CHURCH DASHBOARD'!$C$4,INDEX(MASTER_AREAS!$B:$B,516))))),515,""),""),IF('COMMUNITY CHURCH DASHBOARD'!$B$4="Zone",IF(515&lt;=$X$4,IF(OR('COMMUNITY CHURCH DASHBOARD'!$C$4="",ISNUMBER(SEARCH('COMMUNITY CHURCH DASHBOARD'!$C$4,INDEX(MASTER_ZONES!$B:$B,516)))),515,""),""),""))</f>
        <v/>
      </c>
    </row>
    <row r="517">
      <c r="A517">
        <f>IF('WSF DASHBOARD'!$B$4="Area",IF(516&lt;=$D$3,IF(AND(OR('WSF DASHBOARD'!$C$4="",ISNUMBER(SEARCH('WSF DASHBOARD'!$C$4,INDEX(MASTER_AREAS!$B:$B,517))))),516,""),""),IF('WSF DASHBOARD'!$B$4="Zone",IF(516&lt;=$D$4,IF(OR('WSF DASHBOARD'!$C$4="",ISNUMBER(SEARCH('WSF DASHBOARD'!$C$4,INDEX(MASTER_ZONES!$B:$B,517)))),516,""),""),""))</f>
        <v/>
      </c>
      <c r="F517">
        <f>IF('TRANSPORT DASHBOARD'!$B$4="Area",IF(516&lt;=$I$3,IF(AND(INDEX(MASTER_AREAS!$F:$F,517)&lt;&gt;"N",OR('TRANSPORT DASHBOARD'!$C$4="",ISNUMBER(SEARCH('TRANSPORT DASHBOARD'!$C$4,INDEX(MASTER_AREAS!$B:$B,517))))),516,""),""),IF('TRANSPORT DASHBOARD'!$B$4="Zone",IF(516&lt;=$I$4,IF(OR('TRANSPORT DASHBOARD'!$C$4="",ISNUMBER(SEARCH('TRANSPORT DASHBOARD'!$C$4,INDEX(MASTER_ZONES!$B:$B,517)))),516,""),""),""))</f>
        <v/>
      </c>
      <c r="K517">
        <f>IF('MIDWEEK DASHBOARD'!$B$4="Area",IF(516&lt;=$N$3,IF(AND(OR('MIDWEEK DASHBOARD'!$C$4="",ISNUMBER(SEARCH('MIDWEEK DASHBOARD'!$C$4,INDEX(MASTER_AREAS!$B:$B,517))))),516,""),""),IF('MIDWEEK DASHBOARD'!$B$4="Zone",IF(516&lt;=$N$4,IF(OR('MIDWEEK DASHBOARD'!$C$4="",ISNUMBER(SEARCH('MIDWEEK DASHBOARD'!$C$4,INDEX(MASTER_ZONES!$B:$B,517)))),516,""),""),""))</f>
        <v/>
      </c>
      <c r="P517">
        <f>IF('CHOP DASHBOARD'!$B$4="Area",IF(516&lt;=$S$3,IF(AND(OR('CHOP DASHBOARD'!$C$4="",ISNUMBER(SEARCH('CHOP DASHBOARD'!$C$4,INDEX(MASTER_AREAS!$B:$B,517))))),516,""),""),IF('CHOP DASHBOARD'!$B$4="Zone",IF(516&lt;=$S$4,IF(OR('CHOP DASHBOARD'!$C$4="",ISNUMBER(SEARCH('CHOP DASHBOARD'!$C$4,INDEX(MASTER_ZONES!$B:$B,517)))),516,""),""),""))</f>
        <v/>
      </c>
      <c r="U517">
        <f>IF('COMMUNITY CHURCH DASHBOARD'!$B$4="Area",IF(516&lt;=$X$3,IF(AND(OR('COMMUNITY CHURCH DASHBOARD'!$C$4="",ISNUMBER(SEARCH('COMMUNITY CHURCH DASHBOARD'!$C$4,INDEX(MASTER_AREAS!$B:$B,517))))),516,""),""),IF('COMMUNITY CHURCH DASHBOARD'!$B$4="Zone",IF(516&lt;=$X$4,IF(OR('COMMUNITY CHURCH DASHBOARD'!$C$4="",ISNUMBER(SEARCH('COMMUNITY CHURCH DASHBOARD'!$C$4,INDEX(MASTER_ZONES!$B:$B,517)))),516,""),""),""))</f>
        <v/>
      </c>
    </row>
    <row r="518">
      <c r="A518">
        <f>IF('WSF DASHBOARD'!$B$4="Area",IF(517&lt;=$D$3,IF(AND(OR('WSF DASHBOARD'!$C$4="",ISNUMBER(SEARCH('WSF DASHBOARD'!$C$4,INDEX(MASTER_AREAS!$B:$B,518))))),517,""),""),IF('WSF DASHBOARD'!$B$4="Zone",IF(517&lt;=$D$4,IF(OR('WSF DASHBOARD'!$C$4="",ISNUMBER(SEARCH('WSF DASHBOARD'!$C$4,INDEX(MASTER_ZONES!$B:$B,518)))),517,""),""),""))</f>
        <v/>
      </c>
      <c r="F518">
        <f>IF('TRANSPORT DASHBOARD'!$B$4="Area",IF(517&lt;=$I$3,IF(AND(INDEX(MASTER_AREAS!$F:$F,518)&lt;&gt;"N",OR('TRANSPORT DASHBOARD'!$C$4="",ISNUMBER(SEARCH('TRANSPORT DASHBOARD'!$C$4,INDEX(MASTER_AREAS!$B:$B,518))))),517,""),""),IF('TRANSPORT DASHBOARD'!$B$4="Zone",IF(517&lt;=$I$4,IF(OR('TRANSPORT DASHBOARD'!$C$4="",ISNUMBER(SEARCH('TRANSPORT DASHBOARD'!$C$4,INDEX(MASTER_ZONES!$B:$B,518)))),517,""),""),""))</f>
        <v/>
      </c>
      <c r="K518">
        <f>IF('MIDWEEK DASHBOARD'!$B$4="Area",IF(517&lt;=$N$3,IF(AND(OR('MIDWEEK DASHBOARD'!$C$4="",ISNUMBER(SEARCH('MIDWEEK DASHBOARD'!$C$4,INDEX(MASTER_AREAS!$B:$B,518))))),517,""),""),IF('MIDWEEK DASHBOARD'!$B$4="Zone",IF(517&lt;=$N$4,IF(OR('MIDWEEK DASHBOARD'!$C$4="",ISNUMBER(SEARCH('MIDWEEK DASHBOARD'!$C$4,INDEX(MASTER_ZONES!$B:$B,518)))),517,""),""),""))</f>
        <v/>
      </c>
      <c r="P518">
        <f>IF('CHOP DASHBOARD'!$B$4="Area",IF(517&lt;=$S$3,IF(AND(OR('CHOP DASHBOARD'!$C$4="",ISNUMBER(SEARCH('CHOP DASHBOARD'!$C$4,INDEX(MASTER_AREAS!$B:$B,518))))),517,""),""),IF('CHOP DASHBOARD'!$B$4="Zone",IF(517&lt;=$S$4,IF(OR('CHOP DASHBOARD'!$C$4="",ISNUMBER(SEARCH('CHOP DASHBOARD'!$C$4,INDEX(MASTER_ZONES!$B:$B,518)))),517,""),""),""))</f>
        <v/>
      </c>
      <c r="U518">
        <f>IF('COMMUNITY CHURCH DASHBOARD'!$B$4="Area",IF(517&lt;=$X$3,IF(AND(OR('COMMUNITY CHURCH DASHBOARD'!$C$4="",ISNUMBER(SEARCH('COMMUNITY CHURCH DASHBOARD'!$C$4,INDEX(MASTER_AREAS!$B:$B,518))))),517,""),""),IF('COMMUNITY CHURCH DASHBOARD'!$B$4="Zone",IF(517&lt;=$X$4,IF(OR('COMMUNITY CHURCH DASHBOARD'!$C$4="",ISNUMBER(SEARCH('COMMUNITY CHURCH DASHBOARD'!$C$4,INDEX(MASTER_ZONES!$B:$B,518)))),517,""),""),""))</f>
        <v/>
      </c>
    </row>
    <row r="519">
      <c r="A519">
        <f>IF('WSF DASHBOARD'!$B$4="Area",IF(518&lt;=$D$3,IF(AND(OR('WSF DASHBOARD'!$C$4="",ISNUMBER(SEARCH('WSF DASHBOARD'!$C$4,INDEX(MASTER_AREAS!$B:$B,519))))),518,""),""),IF('WSF DASHBOARD'!$B$4="Zone",IF(518&lt;=$D$4,IF(OR('WSF DASHBOARD'!$C$4="",ISNUMBER(SEARCH('WSF DASHBOARD'!$C$4,INDEX(MASTER_ZONES!$B:$B,519)))),518,""),""),""))</f>
        <v/>
      </c>
      <c r="F519">
        <f>IF('TRANSPORT DASHBOARD'!$B$4="Area",IF(518&lt;=$I$3,IF(AND(INDEX(MASTER_AREAS!$F:$F,519)&lt;&gt;"N",OR('TRANSPORT DASHBOARD'!$C$4="",ISNUMBER(SEARCH('TRANSPORT DASHBOARD'!$C$4,INDEX(MASTER_AREAS!$B:$B,519))))),518,""),""),IF('TRANSPORT DASHBOARD'!$B$4="Zone",IF(518&lt;=$I$4,IF(OR('TRANSPORT DASHBOARD'!$C$4="",ISNUMBER(SEARCH('TRANSPORT DASHBOARD'!$C$4,INDEX(MASTER_ZONES!$B:$B,519)))),518,""),""),""))</f>
        <v/>
      </c>
      <c r="K519">
        <f>IF('MIDWEEK DASHBOARD'!$B$4="Area",IF(518&lt;=$N$3,IF(AND(OR('MIDWEEK DASHBOARD'!$C$4="",ISNUMBER(SEARCH('MIDWEEK DASHBOARD'!$C$4,INDEX(MASTER_AREAS!$B:$B,519))))),518,""),""),IF('MIDWEEK DASHBOARD'!$B$4="Zone",IF(518&lt;=$N$4,IF(OR('MIDWEEK DASHBOARD'!$C$4="",ISNUMBER(SEARCH('MIDWEEK DASHBOARD'!$C$4,INDEX(MASTER_ZONES!$B:$B,519)))),518,""),""),""))</f>
        <v/>
      </c>
      <c r="P519">
        <f>IF('CHOP DASHBOARD'!$B$4="Area",IF(518&lt;=$S$3,IF(AND(OR('CHOP DASHBOARD'!$C$4="",ISNUMBER(SEARCH('CHOP DASHBOARD'!$C$4,INDEX(MASTER_AREAS!$B:$B,519))))),518,""),""),IF('CHOP DASHBOARD'!$B$4="Zone",IF(518&lt;=$S$4,IF(OR('CHOP DASHBOARD'!$C$4="",ISNUMBER(SEARCH('CHOP DASHBOARD'!$C$4,INDEX(MASTER_ZONES!$B:$B,519)))),518,""),""),""))</f>
        <v/>
      </c>
      <c r="U519">
        <f>IF('COMMUNITY CHURCH DASHBOARD'!$B$4="Area",IF(518&lt;=$X$3,IF(AND(OR('COMMUNITY CHURCH DASHBOARD'!$C$4="",ISNUMBER(SEARCH('COMMUNITY CHURCH DASHBOARD'!$C$4,INDEX(MASTER_AREAS!$B:$B,519))))),518,""),""),IF('COMMUNITY CHURCH DASHBOARD'!$B$4="Zone",IF(518&lt;=$X$4,IF(OR('COMMUNITY CHURCH DASHBOARD'!$C$4="",ISNUMBER(SEARCH('COMMUNITY CHURCH DASHBOARD'!$C$4,INDEX(MASTER_ZONES!$B:$B,519)))),518,""),""),""))</f>
        <v/>
      </c>
    </row>
    <row r="520">
      <c r="A520">
        <f>IF('WSF DASHBOARD'!$B$4="Area",IF(519&lt;=$D$3,IF(AND(OR('WSF DASHBOARD'!$C$4="",ISNUMBER(SEARCH('WSF DASHBOARD'!$C$4,INDEX(MASTER_AREAS!$B:$B,520))))),519,""),""),IF('WSF DASHBOARD'!$B$4="Zone",IF(519&lt;=$D$4,IF(OR('WSF DASHBOARD'!$C$4="",ISNUMBER(SEARCH('WSF DASHBOARD'!$C$4,INDEX(MASTER_ZONES!$B:$B,520)))),519,""),""),""))</f>
        <v/>
      </c>
      <c r="F520">
        <f>IF('TRANSPORT DASHBOARD'!$B$4="Area",IF(519&lt;=$I$3,IF(AND(INDEX(MASTER_AREAS!$F:$F,520)&lt;&gt;"N",OR('TRANSPORT DASHBOARD'!$C$4="",ISNUMBER(SEARCH('TRANSPORT DASHBOARD'!$C$4,INDEX(MASTER_AREAS!$B:$B,520))))),519,""),""),IF('TRANSPORT DASHBOARD'!$B$4="Zone",IF(519&lt;=$I$4,IF(OR('TRANSPORT DASHBOARD'!$C$4="",ISNUMBER(SEARCH('TRANSPORT DASHBOARD'!$C$4,INDEX(MASTER_ZONES!$B:$B,520)))),519,""),""),""))</f>
        <v/>
      </c>
      <c r="K520">
        <f>IF('MIDWEEK DASHBOARD'!$B$4="Area",IF(519&lt;=$N$3,IF(AND(OR('MIDWEEK DASHBOARD'!$C$4="",ISNUMBER(SEARCH('MIDWEEK DASHBOARD'!$C$4,INDEX(MASTER_AREAS!$B:$B,520))))),519,""),""),IF('MIDWEEK DASHBOARD'!$B$4="Zone",IF(519&lt;=$N$4,IF(OR('MIDWEEK DASHBOARD'!$C$4="",ISNUMBER(SEARCH('MIDWEEK DASHBOARD'!$C$4,INDEX(MASTER_ZONES!$B:$B,520)))),519,""),""),""))</f>
        <v/>
      </c>
      <c r="P520">
        <f>IF('CHOP DASHBOARD'!$B$4="Area",IF(519&lt;=$S$3,IF(AND(OR('CHOP DASHBOARD'!$C$4="",ISNUMBER(SEARCH('CHOP DASHBOARD'!$C$4,INDEX(MASTER_AREAS!$B:$B,520))))),519,""),""),IF('CHOP DASHBOARD'!$B$4="Zone",IF(519&lt;=$S$4,IF(OR('CHOP DASHBOARD'!$C$4="",ISNUMBER(SEARCH('CHOP DASHBOARD'!$C$4,INDEX(MASTER_ZONES!$B:$B,520)))),519,""),""),""))</f>
        <v/>
      </c>
      <c r="U520">
        <f>IF('COMMUNITY CHURCH DASHBOARD'!$B$4="Area",IF(519&lt;=$X$3,IF(AND(OR('COMMUNITY CHURCH DASHBOARD'!$C$4="",ISNUMBER(SEARCH('COMMUNITY CHURCH DASHBOARD'!$C$4,INDEX(MASTER_AREAS!$B:$B,520))))),519,""),""),IF('COMMUNITY CHURCH DASHBOARD'!$B$4="Zone",IF(519&lt;=$X$4,IF(OR('COMMUNITY CHURCH DASHBOARD'!$C$4="",ISNUMBER(SEARCH('COMMUNITY CHURCH DASHBOARD'!$C$4,INDEX(MASTER_ZONES!$B:$B,520)))),519,""),""),""))</f>
        <v/>
      </c>
    </row>
    <row r="521">
      <c r="A521">
        <f>IF('WSF DASHBOARD'!$B$4="Area",IF(520&lt;=$D$3,IF(AND(OR('WSF DASHBOARD'!$C$4="",ISNUMBER(SEARCH('WSF DASHBOARD'!$C$4,INDEX(MASTER_AREAS!$B:$B,521))))),520,""),""),IF('WSF DASHBOARD'!$B$4="Zone",IF(520&lt;=$D$4,IF(OR('WSF DASHBOARD'!$C$4="",ISNUMBER(SEARCH('WSF DASHBOARD'!$C$4,INDEX(MASTER_ZONES!$B:$B,521)))),520,""),""),""))</f>
        <v/>
      </c>
      <c r="F521">
        <f>IF('TRANSPORT DASHBOARD'!$B$4="Area",IF(520&lt;=$I$3,IF(AND(INDEX(MASTER_AREAS!$F:$F,521)&lt;&gt;"N",OR('TRANSPORT DASHBOARD'!$C$4="",ISNUMBER(SEARCH('TRANSPORT DASHBOARD'!$C$4,INDEX(MASTER_AREAS!$B:$B,521))))),520,""),""),IF('TRANSPORT DASHBOARD'!$B$4="Zone",IF(520&lt;=$I$4,IF(OR('TRANSPORT DASHBOARD'!$C$4="",ISNUMBER(SEARCH('TRANSPORT DASHBOARD'!$C$4,INDEX(MASTER_ZONES!$B:$B,521)))),520,""),""),""))</f>
        <v/>
      </c>
      <c r="K521">
        <f>IF('MIDWEEK DASHBOARD'!$B$4="Area",IF(520&lt;=$N$3,IF(AND(OR('MIDWEEK DASHBOARD'!$C$4="",ISNUMBER(SEARCH('MIDWEEK DASHBOARD'!$C$4,INDEX(MASTER_AREAS!$B:$B,521))))),520,""),""),IF('MIDWEEK DASHBOARD'!$B$4="Zone",IF(520&lt;=$N$4,IF(OR('MIDWEEK DASHBOARD'!$C$4="",ISNUMBER(SEARCH('MIDWEEK DASHBOARD'!$C$4,INDEX(MASTER_ZONES!$B:$B,521)))),520,""),""),""))</f>
        <v/>
      </c>
      <c r="P521">
        <f>IF('CHOP DASHBOARD'!$B$4="Area",IF(520&lt;=$S$3,IF(AND(OR('CHOP DASHBOARD'!$C$4="",ISNUMBER(SEARCH('CHOP DASHBOARD'!$C$4,INDEX(MASTER_AREAS!$B:$B,521))))),520,""),""),IF('CHOP DASHBOARD'!$B$4="Zone",IF(520&lt;=$S$4,IF(OR('CHOP DASHBOARD'!$C$4="",ISNUMBER(SEARCH('CHOP DASHBOARD'!$C$4,INDEX(MASTER_ZONES!$B:$B,521)))),520,""),""),""))</f>
        <v/>
      </c>
      <c r="U521">
        <f>IF('COMMUNITY CHURCH DASHBOARD'!$B$4="Area",IF(520&lt;=$X$3,IF(AND(OR('COMMUNITY CHURCH DASHBOARD'!$C$4="",ISNUMBER(SEARCH('COMMUNITY CHURCH DASHBOARD'!$C$4,INDEX(MASTER_AREAS!$B:$B,521))))),520,""),""),IF('COMMUNITY CHURCH DASHBOARD'!$B$4="Zone",IF(520&lt;=$X$4,IF(OR('COMMUNITY CHURCH DASHBOARD'!$C$4="",ISNUMBER(SEARCH('COMMUNITY CHURCH DASHBOARD'!$C$4,INDEX(MASTER_ZONES!$B:$B,521)))),520,""),""),""))</f>
        <v/>
      </c>
    </row>
    <row r="522">
      <c r="A522">
        <f>IF('WSF DASHBOARD'!$B$4="Area",IF(521&lt;=$D$3,IF(AND(OR('WSF DASHBOARD'!$C$4="",ISNUMBER(SEARCH('WSF DASHBOARD'!$C$4,INDEX(MASTER_AREAS!$B:$B,522))))),521,""),""),IF('WSF DASHBOARD'!$B$4="Zone",IF(521&lt;=$D$4,IF(OR('WSF DASHBOARD'!$C$4="",ISNUMBER(SEARCH('WSF DASHBOARD'!$C$4,INDEX(MASTER_ZONES!$B:$B,522)))),521,""),""),""))</f>
        <v/>
      </c>
      <c r="F522">
        <f>IF('TRANSPORT DASHBOARD'!$B$4="Area",IF(521&lt;=$I$3,IF(AND(INDEX(MASTER_AREAS!$F:$F,522)&lt;&gt;"N",OR('TRANSPORT DASHBOARD'!$C$4="",ISNUMBER(SEARCH('TRANSPORT DASHBOARD'!$C$4,INDEX(MASTER_AREAS!$B:$B,522))))),521,""),""),IF('TRANSPORT DASHBOARD'!$B$4="Zone",IF(521&lt;=$I$4,IF(OR('TRANSPORT DASHBOARD'!$C$4="",ISNUMBER(SEARCH('TRANSPORT DASHBOARD'!$C$4,INDEX(MASTER_ZONES!$B:$B,522)))),521,""),""),""))</f>
        <v/>
      </c>
      <c r="K522">
        <f>IF('MIDWEEK DASHBOARD'!$B$4="Area",IF(521&lt;=$N$3,IF(AND(OR('MIDWEEK DASHBOARD'!$C$4="",ISNUMBER(SEARCH('MIDWEEK DASHBOARD'!$C$4,INDEX(MASTER_AREAS!$B:$B,522))))),521,""),""),IF('MIDWEEK DASHBOARD'!$B$4="Zone",IF(521&lt;=$N$4,IF(OR('MIDWEEK DASHBOARD'!$C$4="",ISNUMBER(SEARCH('MIDWEEK DASHBOARD'!$C$4,INDEX(MASTER_ZONES!$B:$B,522)))),521,""),""),""))</f>
        <v/>
      </c>
      <c r="P522">
        <f>IF('CHOP DASHBOARD'!$B$4="Area",IF(521&lt;=$S$3,IF(AND(OR('CHOP DASHBOARD'!$C$4="",ISNUMBER(SEARCH('CHOP DASHBOARD'!$C$4,INDEX(MASTER_AREAS!$B:$B,522))))),521,""),""),IF('CHOP DASHBOARD'!$B$4="Zone",IF(521&lt;=$S$4,IF(OR('CHOP DASHBOARD'!$C$4="",ISNUMBER(SEARCH('CHOP DASHBOARD'!$C$4,INDEX(MASTER_ZONES!$B:$B,522)))),521,""),""),""))</f>
        <v/>
      </c>
      <c r="U522">
        <f>IF('COMMUNITY CHURCH DASHBOARD'!$B$4="Area",IF(521&lt;=$X$3,IF(AND(OR('COMMUNITY CHURCH DASHBOARD'!$C$4="",ISNUMBER(SEARCH('COMMUNITY CHURCH DASHBOARD'!$C$4,INDEX(MASTER_AREAS!$B:$B,522))))),521,""),""),IF('COMMUNITY CHURCH DASHBOARD'!$B$4="Zone",IF(521&lt;=$X$4,IF(OR('COMMUNITY CHURCH DASHBOARD'!$C$4="",ISNUMBER(SEARCH('COMMUNITY CHURCH DASHBOARD'!$C$4,INDEX(MASTER_ZONES!$B:$B,522)))),521,""),""),""))</f>
        <v/>
      </c>
    </row>
    <row r="523">
      <c r="A523">
        <f>IF('WSF DASHBOARD'!$B$4="Area",IF(522&lt;=$D$3,IF(AND(OR('WSF DASHBOARD'!$C$4="",ISNUMBER(SEARCH('WSF DASHBOARD'!$C$4,INDEX(MASTER_AREAS!$B:$B,523))))),522,""),""),IF('WSF DASHBOARD'!$B$4="Zone",IF(522&lt;=$D$4,IF(OR('WSF DASHBOARD'!$C$4="",ISNUMBER(SEARCH('WSF DASHBOARD'!$C$4,INDEX(MASTER_ZONES!$B:$B,523)))),522,""),""),""))</f>
        <v/>
      </c>
      <c r="F523">
        <f>IF('TRANSPORT DASHBOARD'!$B$4="Area",IF(522&lt;=$I$3,IF(AND(INDEX(MASTER_AREAS!$F:$F,523)&lt;&gt;"N",OR('TRANSPORT DASHBOARD'!$C$4="",ISNUMBER(SEARCH('TRANSPORT DASHBOARD'!$C$4,INDEX(MASTER_AREAS!$B:$B,523))))),522,""),""),IF('TRANSPORT DASHBOARD'!$B$4="Zone",IF(522&lt;=$I$4,IF(OR('TRANSPORT DASHBOARD'!$C$4="",ISNUMBER(SEARCH('TRANSPORT DASHBOARD'!$C$4,INDEX(MASTER_ZONES!$B:$B,523)))),522,""),""),""))</f>
        <v/>
      </c>
      <c r="K523">
        <f>IF('MIDWEEK DASHBOARD'!$B$4="Area",IF(522&lt;=$N$3,IF(AND(OR('MIDWEEK DASHBOARD'!$C$4="",ISNUMBER(SEARCH('MIDWEEK DASHBOARD'!$C$4,INDEX(MASTER_AREAS!$B:$B,523))))),522,""),""),IF('MIDWEEK DASHBOARD'!$B$4="Zone",IF(522&lt;=$N$4,IF(OR('MIDWEEK DASHBOARD'!$C$4="",ISNUMBER(SEARCH('MIDWEEK DASHBOARD'!$C$4,INDEX(MASTER_ZONES!$B:$B,523)))),522,""),""),""))</f>
        <v/>
      </c>
      <c r="P523">
        <f>IF('CHOP DASHBOARD'!$B$4="Area",IF(522&lt;=$S$3,IF(AND(OR('CHOP DASHBOARD'!$C$4="",ISNUMBER(SEARCH('CHOP DASHBOARD'!$C$4,INDEX(MASTER_AREAS!$B:$B,523))))),522,""),""),IF('CHOP DASHBOARD'!$B$4="Zone",IF(522&lt;=$S$4,IF(OR('CHOP DASHBOARD'!$C$4="",ISNUMBER(SEARCH('CHOP DASHBOARD'!$C$4,INDEX(MASTER_ZONES!$B:$B,523)))),522,""),""),""))</f>
        <v/>
      </c>
      <c r="U523">
        <f>IF('COMMUNITY CHURCH DASHBOARD'!$B$4="Area",IF(522&lt;=$X$3,IF(AND(OR('COMMUNITY CHURCH DASHBOARD'!$C$4="",ISNUMBER(SEARCH('COMMUNITY CHURCH DASHBOARD'!$C$4,INDEX(MASTER_AREAS!$B:$B,523))))),522,""),""),IF('COMMUNITY CHURCH DASHBOARD'!$B$4="Zone",IF(522&lt;=$X$4,IF(OR('COMMUNITY CHURCH DASHBOARD'!$C$4="",ISNUMBER(SEARCH('COMMUNITY CHURCH DASHBOARD'!$C$4,INDEX(MASTER_ZONES!$B:$B,523)))),522,""),""),""))</f>
        <v/>
      </c>
    </row>
    <row r="524">
      <c r="A524">
        <f>IF('WSF DASHBOARD'!$B$4="Area",IF(523&lt;=$D$3,IF(AND(OR('WSF DASHBOARD'!$C$4="",ISNUMBER(SEARCH('WSF DASHBOARD'!$C$4,INDEX(MASTER_AREAS!$B:$B,524))))),523,""),""),IF('WSF DASHBOARD'!$B$4="Zone",IF(523&lt;=$D$4,IF(OR('WSF DASHBOARD'!$C$4="",ISNUMBER(SEARCH('WSF DASHBOARD'!$C$4,INDEX(MASTER_ZONES!$B:$B,524)))),523,""),""),""))</f>
        <v/>
      </c>
      <c r="F524">
        <f>IF('TRANSPORT DASHBOARD'!$B$4="Area",IF(523&lt;=$I$3,IF(AND(INDEX(MASTER_AREAS!$F:$F,524)&lt;&gt;"N",OR('TRANSPORT DASHBOARD'!$C$4="",ISNUMBER(SEARCH('TRANSPORT DASHBOARD'!$C$4,INDEX(MASTER_AREAS!$B:$B,524))))),523,""),""),IF('TRANSPORT DASHBOARD'!$B$4="Zone",IF(523&lt;=$I$4,IF(OR('TRANSPORT DASHBOARD'!$C$4="",ISNUMBER(SEARCH('TRANSPORT DASHBOARD'!$C$4,INDEX(MASTER_ZONES!$B:$B,524)))),523,""),""),""))</f>
        <v/>
      </c>
      <c r="K524">
        <f>IF('MIDWEEK DASHBOARD'!$B$4="Area",IF(523&lt;=$N$3,IF(AND(OR('MIDWEEK DASHBOARD'!$C$4="",ISNUMBER(SEARCH('MIDWEEK DASHBOARD'!$C$4,INDEX(MASTER_AREAS!$B:$B,524))))),523,""),""),IF('MIDWEEK DASHBOARD'!$B$4="Zone",IF(523&lt;=$N$4,IF(OR('MIDWEEK DASHBOARD'!$C$4="",ISNUMBER(SEARCH('MIDWEEK DASHBOARD'!$C$4,INDEX(MASTER_ZONES!$B:$B,524)))),523,""),""),""))</f>
        <v/>
      </c>
      <c r="P524">
        <f>IF('CHOP DASHBOARD'!$B$4="Area",IF(523&lt;=$S$3,IF(AND(OR('CHOP DASHBOARD'!$C$4="",ISNUMBER(SEARCH('CHOP DASHBOARD'!$C$4,INDEX(MASTER_AREAS!$B:$B,524))))),523,""),""),IF('CHOP DASHBOARD'!$B$4="Zone",IF(523&lt;=$S$4,IF(OR('CHOP DASHBOARD'!$C$4="",ISNUMBER(SEARCH('CHOP DASHBOARD'!$C$4,INDEX(MASTER_ZONES!$B:$B,524)))),523,""),""),""))</f>
        <v/>
      </c>
      <c r="U524">
        <f>IF('COMMUNITY CHURCH DASHBOARD'!$B$4="Area",IF(523&lt;=$X$3,IF(AND(OR('COMMUNITY CHURCH DASHBOARD'!$C$4="",ISNUMBER(SEARCH('COMMUNITY CHURCH DASHBOARD'!$C$4,INDEX(MASTER_AREAS!$B:$B,524))))),523,""),""),IF('COMMUNITY CHURCH DASHBOARD'!$B$4="Zone",IF(523&lt;=$X$4,IF(OR('COMMUNITY CHURCH DASHBOARD'!$C$4="",ISNUMBER(SEARCH('COMMUNITY CHURCH DASHBOARD'!$C$4,INDEX(MASTER_ZONES!$B:$B,524)))),523,""),""),""))</f>
        <v/>
      </c>
    </row>
    <row r="525">
      <c r="A525">
        <f>IF('WSF DASHBOARD'!$B$4="Area",IF(524&lt;=$D$3,IF(AND(OR('WSF DASHBOARD'!$C$4="",ISNUMBER(SEARCH('WSF DASHBOARD'!$C$4,INDEX(MASTER_AREAS!$B:$B,525))))),524,""),""),IF('WSF DASHBOARD'!$B$4="Zone",IF(524&lt;=$D$4,IF(OR('WSF DASHBOARD'!$C$4="",ISNUMBER(SEARCH('WSF DASHBOARD'!$C$4,INDEX(MASTER_ZONES!$B:$B,525)))),524,""),""),""))</f>
        <v/>
      </c>
      <c r="F525">
        <f>IF('TRANSPORT DASHBOARD'!$B$4="Area",IF(524&lt;=$I$3,IF(AND(INDEX(MASTER_AREAS!$F:$F,525)&lt;&gt;"N",OR('TRANSPORT DASHBOARD'!$C$4="",ISNUMBER(SEARCH('TRANSPORT DASHBOARD'!$C$4,INDEX(MASTER_AREAS!$B:$B,525))))),524,""),""),IF('TRANSPORT DASHBOARD'!$B$4="Zone",IF(524&lt;=$I$4,IF(OR('TRANSPORT DASHBOARD'!$C$4="",ISNUMBER(SEARCH('TRANSPORT DASHBOARD'!$C$4,INDEX(MASTER_ZONES!$B:$B,525)))),524,""),""),""))</f>
        <v/>
      </c>
      <c r="K525">
        <f>IF('MIDWEEK DASHBOARD'!$B$4="Area",IF(524&lt;=$N$3,IF(AND(OR('MIDWEEK DASHBOARD'!$C$4="",ISNUMBER(SEARCH('MIDWEEK DASHBOARD'!$C$4,INDEX(MASTER_AREAS!$B:$B,525))))),524,""),""),IF('MIDWEEK DASHBOARD'!$B$4="Zone",IF(524&lt;=$N$4,IF(OR('MIDWEEK DASHBOARD'!$C$4="",ISNUMBER(SEARCH('MIDWEEK DASHBOARD'!$C$4,INDEX(MASTER_ZONES!$B:$B,525)))),524,""),""),""))</f>
        <v/>
      </c>
      <c r="P525">
        <f>IF('CHOP DASHBOARD'!$B$4="Area",IF(524&lt;=$S$3,IF(AND(OR('CHOP DASHBOARD'!$C$4="",ISNUMBER(SEARCH('CHOP DASHBOARD'!$C$4,INDEX(MASTER_AREAS!$B:$B,525))))),524,""),""),IF('CHOP DASHBOARD'!$B$4="Zone",IF(524&lt;=$S$4,IF(OR('CHOP DASHBOARD'!$C$4="",ISNUMBER(SEARCH('CHOP DASHBOARD'!$C$4,INDEX(MASTER_ZONES!$B:$B,525)))),524,""),""),""))</f>
        <v/>
      </c>
      <c r="U525">
        <f>IF('COMMUNITY CHURCH DASHBOARD'!$B$4="Area",IF(524&lt;=$X$3,IF(AND(OR('COMMUNITY CHURCH DASHBOARD'!$C$4="",ISNUMBER(SEARCH('COMMUNITY CHURCH DASHBOARD'!$C$4,INDEX(MASTER_AREAS!$B:$B,525))))),524,""),""),IF('COMMUNITY CHURCH DASHBOARD'!$B$4="Zone",IF(524&lt;=$X$4,IF(OR('COMMUNITY CHURCH DASHBOARD'!$C$4="",ISNUMBER(SEARCH('COMMUNITY CHURCH DASHBOARD'!$C$4,INDEX(MASTER_ZONES!$B:$B,525)))),524,""),""),""))</f>
        <v/>
      </c>
    </row>
    <row r="526">
      <c r="A526">
        <f>IF('WSF DASHBOARD'!$B$4="Area",IF(525&lt;=$D$3,IF(AND(OR('WSF DASHBOARD'!$C$4="",ISNUMBER(SEARCH('WSF DASHBOARD'!$C$4,INDEX(MASTER_AREAS!$B:$B,526))))),525,""),""),IF('WSF DASHBOARD'!$B$4="Zone",IF(525&lt;=$D$4,IF(OR('WSF DASHBOARD'!$C$4="",ISNUMBER(SEARCH('WSF DASHBOARD'!$C$4,INDEX(MASTER_ZONES!$B:$B,526)))),525,""),""),""))</f>
        <v/>
      </c>
      <c r="F526">
        <f>IF('TRANSPORT DASHBOARD'!$B$4="Area",IF(525&lt;=$I$3,IF(AND(INDEX(MASTER_AREAS!$F:$F,526)&lt;&gt;"N",OR('TRANSPORT DASHBOARD'!$C$4="",ISNUMBER(SEARCH('TRANSPORT DASHBOARD'!$C$4,INDEX(MASTER_AREAS!$B:$B,526))))),525,""),""),IF('TRANSPORT DASHBOARD'!$B$4="Zone",IF(525&lt;=$I$4,IF(OR('TRANSPORT DASHBOARD'!$C$4="",ISNUMBER(SEARCH('TRANSPORT DASHBOARD'!$C$4,INDEX(MASTER_ZONES!$B:$B,526)))),525,""),""),""))</f>
        <v/>
      </c>
      <c r="K526">
        <f>IF('MIDWEEK DASHBOARD'!$B$4="Area",IF(525&lt;=$N$3,IF(AND(OR('MIDWEEK DASHBOARD'!$C$4="",ISNUMBER(SEARCH('MIDWEEK DASHBOARD'!$C$4,INDEX(MASTER_AREAS!$B:$B,526))))),525,""),""),IF('MIDWEEK DASHBOARD'!$B$4="Zone",IF(525&lt;=$N$4,IF(OR('MIDWEEK DASHBOARD'!$C$4="",ISNUMBER(SEARCH('MIDWEEK DASHBOARD'!$C$4,INDEX(MASTER_ZONES!$B:$B,526)))),525,""),""),""))</f>
        <v/>
      </c>
      <c r="P526">
        <f>IF('CHOP DASHBOARD'!$B$4="Area",IF(525&lt;=$S$3,IF(AND(OR('CHOP DASHBOARD'!$C$4="",ISNUMBER(SEARCH('CHOP DASHBOARD'!$C$4,INDEX(MASTER_AREAS!$B:$B,526))))),525,""),""),IF('CHOP DASHBOARD'!$B$4="Zone",IF(525&lt;=$S$4,IF(OR('CHOP DASHBOARD'!$C$4="",ISNUMBER(SEARCH('CHOP DASHBOARD'!$C$4,INDEX(MASTER_ZONES!$B:$B,526)))),525,""),""),""))</f>
        <v/>
      </c>
      <c r="U526">
        <f>IF('COMMUNITY CHURCH DASHBOARD'!$B$4="Area",IF(525&lt;=$X$3,IF(AND(OR('COMMUNITY CHURCH DASHBOARD'!$C$4="",ISNUMBER(SEARCH('COMMUNITY CHURCH DASHBOARD'!$C$4,INDEX(MASTER_AREAS!$B:$B,526))))),525,""),""),IF('COMMUNITY CHURCH DASHBOARD'!$B$4="Zone",IF(525&lt;=$X$4,IF(OR('COMMUNITY CHURCH DASHBOARD'!$C$4="",ISNUMBER(SEARCH('COMMUNITY CHURCH DASHBOARD'!$C$4,INDEX(MASTER_ZONES!$B:$B,526)))),525,""),""),""))</f>
        <v/>
      </c>
    </row>
    <row r="527">
      <c r="A527">
        <f>IF('WSF DASHBOARD'!$B$4="Area",IF(526&lt;=$D$3,IF(AND(OR('WSF DASHBOARD'!$C$4="",ISNUMBER(SEARCH('WSF DASHBOARD'!$C$4,INDEX(MASTER_AREAS!$B:$B,527))))),526,""),""),IF('WSF DASHBOARD'!$B$4="Zone",IF(526&lt;=$D$4,IF(OR('WSF DASHBOARD'!$C$4="",ISNUMBER(SEARCH('WSF DASHBOARD'!$C$4,INDEX(MASTER_ZONES!$B:$B,527)))),526,""),""),""))</f>
        <v/>
      </c>
      <c r="F527">
        <f>IF('TRANSPORT DASHBOARD'!$B$4="Area",IF(526&lt;=$I$3,IF(AND(INDEX(MASTER_AREAS!$F:$F,527)&lt;&gt;"N",OR('TRANSPORT DASHBOARD'!$C$4="",ISNUMBER(SEARCH('TRANSPORT DASHBOARD'!$C$4,INDEX(MASTER_AREAS!$B:$B,527))))),526,""),""),IF('TRANSPORT DASHBOARD'!$B$4="Zone",IF(526&lt;=$I$4,IF(OR('TRANSPORT DASHBOARD'!$C$4="",ISNUMBER(SEARCH('TRANSPORT DASHBOARD'!$C$4,INDEX(MASTER_ZONES!$B:$B,527)))),526,""),""),""))</f>
        <v/>
      </c>
      <c r="K527">
        <f>IF('MIDWEEK DASHBOARD'!$B$4="Area",IF(526&lt;=$N$3,IF(AND(OR('MIDWEEK DASHBOARD'!$C$4="",ISNUMBER(SEARCH('MIDWEEK DASHBOARD'!$C$4,INDEX(MASTER_AREAS!$B:$B,527))))),526,""),""),IF('MIDWEEK DASHBOARD'!$B$4="Zone",IF(526&lt;=$N$4,IF(OR('MIDWEEK DASHBOARD'!$C$4="",ISNUMBER(SEARCH('MIDWEEK DASHBOARD'!$C$4,INDEX(MASTER_ZONES!$B:$B,527)))),526,""),""),""))</f>
        <v/>
      </c>
      <c r="P527">
        <f>IF('CHOP DASHBOARD'!$B$4="Area",IF(526&lt;=$S$3,IF(AND(OR('CHOP DASHBOARD'!$C$4="",ISNUMBER(SEARCH('CHOP DASHBOARD'!$C$4,INDEX(MASTER_AREAS!$B:$B,527))))),526,""),""),IF('CHOP DASHBOARD'!$B$4="Zone",IF(526&lt;=$S$4,IF(OR('CHOP DASHBOARD'!$C$4="",ISNUMBER(SEARCH('CHOP DASHBOARD'!$C$4,INDEX(MASTER_ZONES!$B:$B,527)))),526,""),""),""))</f>
        <v/>
      </c>
      <c r="U527">
        <f>IF('COMMUNITY CHURCH DASHBOARD'!$B$4="Area",IF(526&lt;=$X$3,IF(AND(OR('COMMUNITY CHURCH DASHBOARD'!$C$4="",ISNUMBER(SEARCH('COMMUNITY CHURCH DASHBOARD'!$C$4,INDEX(MASTER_AREAS!$B:$B,527))))),526,""),""),IF('COMMUNITY CHURCH DASHBOARD'!$B$4="Zone",IF(526&lt;=$X$4,IF(OR('COMMUNITY CHURCH DASHBOARD'!$C$4="",ISNUMBER(SEARCH('COMMUNITY CHURCH DASHBOARD'!$C$4,INDEX(MASTER_ZONES!$B:$B,527)))),526,""),""),""))</f>
        <v/>
      </c>
    </row>
    <row r="528">
      <c r="A528">
        <f>IF('WSF DASHBOARD'!$B$4="Area",IF(527&lt;=$D$3,IF(AND(OR('WSF DASHBOARD'!$C$4="",ISNUMBER(SEARCH('WSF DASHBOARD'!$C$4,INDEX(MASTER_AREAS!$B:$B,528))))),527,""),""),IF('WSF DASHBOARD'!$B$4="Zone",IF(527&lt;=$D$4,IF(OR('WSF DASHBOARD'!$C$4="",ISNUMBER(SEARCH('WSF DASHBOARD'!$C$4,INDEX(MASTER_ZONES!$B:$B,528)))),527,""),""),""))</f>
        <v/>
      </c>
      <c r="F528">
        <f>IF('TRANSPORT DASHBOARD'!$B$4="Area",IF(527&lt;=$I$3,IF(AND(INDEX(MASTER_AREAS!$F:$F,528)&lt;&gt;"N",OR('TRANSPORT DASHBOARD'!$C$4="",ISNUMBER(SEARCH('TRANSPORT DASHBOARD'!$C$4,INDEX(MASTER_AREAS!$B:$B,528))))),527,""),""),IF('TRANSPORT DASHBOARD'!$B$4="Zone",IF(527&lt;=$I$4,IF(OR('TRANSPORT DASHBOARD'!$C$4="",ISNUMBER(SEARCH('TRANSPORT DASHBOARD'!$C$4,INDEX(MASTER_ZONES!$B:$B,528)))),527,""),""),""))</f>
        <v/>
      </c>
      <c r="K528">
        <f>IF('MIDWEEK DASHBOARD'!$B$4="Area",IF(527&lt;=$N$3,IF(AND(OR('MIDWEEK DASHBOARD'!$C$4="",ISNUMBER(SEARCH('MIDWEEK DASHBOARD'!$C$4,INDEX(MASTER_AREAS!$B:$B,528))))),527,""),""),IF('MIDWEEK DASHBOARD'!$B$4="Zone",IF(527&lt;=$N$4,IF(OR('MIDWEEK DASHBOARD'!$C$4="",ISNUMBER(SEARCH('MIDWEEK DASHBOARD'!$C$4,INDEX(MASTER_ZONES!$B:$B,528)))),527,""),""),""))</f>
        <v/>
      </c>
      <c r="P528">
        <f>IF('CHOP DASHBOARD'!$B$4="Area",IF(527&lt;=$S$3,IF(AND(OR('CHOP DASHBOARD'!$C$4="",ISNUMBER(SEARCH('CHOP DASHBOARD'!$C$4,INDEX(MASTER_AREAS!$B:$B,528))))),527,""),""),IF('CHOP DASHBOARD'!$B$4="Zone",IF(527&lt;=$S$4,IF(OR('CHOP DASHBOARD'!$C$4="",ISNUMBER(SEARCH('CHOP DASHBOARD'!$C$4,INDEX(MASTER_ZONES!$B:$B,528)))),527,""),""),""))</f>
        <v/>
      </c>
      <c r="U528">
        <f>IF('COMMUNITY CHURCH DASHBOARD'!$B$4="Area",IF(527&lt;=$X$3,IF(AND(OR('COMMUNITY CHURCH DASHBOARD'!$C$4="",ISNUMBER(SEARCH('COMMUNITY CHURCH DASHBOARD'!$C$4,INDEX(MASTER_AREAS!$B:$B,528))))),527,""),""),IF('COMMUNITY CHURCH DASHBOARD'!$B$4="Zone",IF(527&lt;=$X$4,IF(OR('COMMUNITY CHURCH DASHBOARD'!$C$4="",ISNUMBER(SEARCH('COMMUNITY CHURCH DASHBOARD'!$C$4,INDEX(MASTER_ZONES!$B:$B,528)))),527,""),""),""))</f>
        <v/>
      </c>
    </row>
    <row r="529">
      <c r="A529">
        <f>IF('WSF DASHBOARD'!$B$4="Area",IF(528&lt;=$D$3,IF(AND(OR('WSF DASHBOARD'!$C$4="",ISNUMBER(SEARCH('WSF DASHBOARD'!$C$4,INDEX(MASTER_AREAS!$B:$B,529))))),528,""),""),IF('WSF DASHBOARD'!$B$4="Zone",IF(528&lt;=$D$4,IF(OR('WSF DASHBOARD'!$C$4="",ISNUMBER(SEARCH('WSF DASHBOARD'!$C$4,INDEX(MASTER_ZONES!$B:$B,529)))),528,""),""),""))</f>
        <v/>
      </c>
      <c r="F529">
        <f>IF('TRANSPORT DASHBOARD'!$B$4="Area",IF(528&lt;=$I$3,IF(AND(INDEX(MASTER_AREAS!$F:$F,529)&lt;&gt;"N",OR('TRANSPORT DASHBOARD'!$C$4="",ISNUMBER(SEARCH('TRANSPORT DASHBOARD'!$C$4,INDEX(MASTER_AREAS!$B:$B,529))))),528,""),""),IF('TRANSPORT DASHBOARD'!$B$4="Zone",IF(528&lt;=$I$4,IF(OR('TRANSPORT DASHBOARD'!$C$4="",ISNUMBER(SEARCH('TRANSPORT DASHBOARD'!$C$4,INDEX(MASTER_ZONES!$B:$B,529)))),528,""),""),""))</f>
        <v/>
      </c>
      <c r="K529">
        <f>IF('MIDWEEK DASHBOARD'!$B$4="Area",IF(528&lt;=$N$3,IF(AND(OR('MIDWEEK DASHBOARD'!$C$4="",ISNUMBER(SEARCH('MIDWEEK DASHBOARD'!$C$4,INDEX(MASTER_AREAS!$B:$B,529))))),528,""),""),IF('MIDWEEK DASHBOARD'!$B$4="Zone",IF(528&lt;=$N$4,IF(OR('MIDWEEK DASHBOARD'!$C$4="",ISNUMBER(SEARCH('MIDWEEK DASHBOARD'!$C$4,INDEX(MASTER_ZONES!$B:$B,529)))),528,""),""),""))</f>
        <v/>
      </c>
      <c r="P529">
        <f>IF('CHOP DASHBOARD'!$B$4="Area",IF(528&lt;=$S$3,IF(AND(OR('CHOP DASHBOARD'!$C$4="",ISNUMBER(SEARCH('CHOP DASHBOARD'!$C$4,INDEX(MASTER_AREAS!$B:$B,529))))),528,""),""),IF('CHOP DASHBOARD'!$B$4="Zone",IF(528&lt;=$S$4,IF(OR('CHOP DASHBOARD'!$C$4="",ISNUMBER(SEARCH('CHOP DASHBOARD'!$C$4,INDEX(MASTER_ZONES!$B:$B,529)))),528,""),""),""))</f>
        <v/>
      </c>
      <c r="U529">
        <f>IF('COMMUNITY CHURCH DASHBOARD'!$B$4="Area",IF(528&lt;=$X$3,IF(AND(OR('COMMUNITY CHURCH DASHBOARD'!$C$4="",ISNUMBER(SEARCH('COMMUNITY CHURCH DASHBOARD'!$C$4,INDEX(MASTER_AREAS!$B:$B,529))))),528,""),""),IF('COMMUNITY CHURCH DASHBOARD'!$B$4="Zone",IF(528&lt;=$X$4,IF(OR('COMMUNITY CHURCH DASHBOARD'!$C$4="",ISNUMBER(SEARCH('COMMUNITY CHURCH DASHBOARD'!$C$4,INDEX(MASTER_ZONES!$B:$B,529)))),528,""),""),""))</f>
        <v/>
      </c>
    </row>
    <row r="530">
      <c r="A530">
        <f>IF('WSF DASHBOARD'!$B$4="Area",IF(529&lt;=$D$3,IF(AND(OR('WSF DASHBOARD'!$C$4="",ISNUMBER(SEARCH('WSF DASHBOARD'!$C$4,INDEX(MASTER_AREAS!$B:$B,530))))),529,""),""),IF('WSF DASHBOARD'!$B$4="Zone",IF(529&lt;=$D$4,IF(OR('WSF DASHBOARD'!$C$4="",ISNUMBER(SEARCH('WSF DASHBOARD'!$C$4,INDEX(MASTER_ZONES!$B:$B,530)))),529,""),""),""))</f>
        <v/>
      </c>
      <c r="F530">
        <f>IF('TRANSPORT DASHBOARD'!$B$4="Area",IF(529&lt;=$I$3,IF(AND(INDEX(MASTER_AREAS!$F:$F,530)&lt;&gt;"N",OR('TRANSPORT DASHBOARD'!$C$4="",ISNUMBER(SEARCH('TRANSPORT DASHBOARD'!$C$4,INDEX(MASTER_AREAS!$B:$B,530))))),529,""),""),IF('TRANSPORT DASHBOARD'!$B$4="Zone",IF(529&lt;=$I$4,IF(OR('TRANSPORT DASHBOARD'!$C$4="",ISNUMBER(SEARCH('TRANSPORT DASHBOARD'!$C$4,INDEX(MASTER_ZONES!$B:$B,530)))),529,""),""),""))</f>
        <v/>
      </c>
      <c r="K530">
        <f>IF('MIDWEEK DASHBOARD'!$B$4="Area",IF(529&lt;=$N$3,IF(AND(OR('MIDWEEK DASHBOARD'!$C$4="",ISNUMBER(SEARCH('MIDWEEK DASHBOARD'!$C$4,INDEX(MASTER_AREAS!$B:$B,530))))),529,""),""),IF('MIDWEEK DASHBOARD'!$B$4="Zone",IF(529&lt;=$N$4,IF(OR('MIDWEEK DASHBOARD'!$C$4="",ISNUMBER(SEARCH('MIDWEEK DASHBOARD'!$C$4,INDEX(MASTER_ZONES!$B:$B,530)))),529,""),""),""))</f>
        <v/>
      </c>
      <c r="P530">
        <f>IF('CHOP DASHBOARD'!$B$4="Area",IF(529&lt;=$S$3,IF(AND(OR('CHOP DASHBOARD'!$C$4="",ISNUMBER(SEARCH('CHOP DASHBOARD'!$C$4,INDEX(MASTER_AREAS!$B:$B,530))))),529,""),""),IF('CHOP DASHBOARD'!$B$4="Zone",IF(529&lt;=$S$4,IF(OR('CHOP DASHBOARD'!$C$4="",ISNUMBER(SEARCH('CHOP DASHBOARD'!$C$4,INDEX(MASTER_ZONES!$B:$B,530)))),529,""),""),""))</f>
        <v/>
      </c>
      <c r="U530">
        <f>IF('COMMUNITY CHURCH DASHBOARD'!$B$4="Area",IF(529&lt;=$X$3,IF(AND(OR('COMMUNITY CHURCH DASHBOARD'!$C$4="",ISNUMBER(SEARCH('COMMUNITY CHURCH DASHBOARD'!$C$4,INDEX(MASTER_AREAS!$B:$B,530))))),529,""),""),IF('COMMUNITY CHURCH DASHBOARD'!$B$4="Zone",IF(529&lt;=$X$4,IF(OR('COMMUNITY CHURCH DASHBOARD'!$C$4="",ISNUMBER(SEARCH('COMMUNITY CHURCH DASHBOARD'!$C$4,INDEX(MASTER_ZONES!$B:$B,530)))),529,""),""),""))</f>
        <v/>
      </c>
    </row>
    <row r="531">
      <c r="A531">
        <f>IF('WSF DASHBOARD'!$B$4="Area",IF(530&lt;=$D$3,IF(AND(OR('WSF DASHBOARD'!$C$4="",ISNUMBER(SEARCH('WSF DASHBOARD'!$C$4,INDEX(MASTER_AREAS!$B:$B,531))))),530,""),""),IF('WSF DASHBOARD'!$B$4="Zone",IF(530&lt;=$D$4,IF(OR('WSF DASHBOARD'!$C$4="",ISNUMBER(SEARCH('WSF DASHBOARD'!$C$4,INDEX(MASTER_ZONES!$B:$B,531)))),530,""),""),""))</f>
        <v/>
      </c>
      <c r="F531">
        <f>IF('TRANSPORT DASHBOARD'!$B$4="Area",IF(530&lt;=$I$3,IF(AND(INDEX(MASTER_AREAS!$F:$F,531)&lt;&gt;"N",OR('TRANSPORT DASHBOARD'!$C$4="",ISNUMBER(SEARCH('TRANSPORT DASHBOARD'!$C$4,INDEX(MASTER_AREAS!$B:$B,531))))),530,""),""),IF('TRANSPORT DASHBOARD'!$B$4="Zone",IF(530&lt;=$I$4,IF(OR('TRANSPORT DASHBOARD'!$C$4="",ISNUMBER(SEARCH('TRANSPORT DASHBOARD'!$C$4,INDEX(MASTER_ZONES!$B:$B,531)))),530,""),""),""))</f>
        <v/>
      </c>
      <c r="K531">
        <f>IF('MIDWEEK DASHBOARD'!$B$4="Area",IF(530&lt;=$N$3,IF(AND(OR('MIDWEEK DASHBOARD'!$C$4="",ISNUMBER(SEARCH('MIDWEEK DASHBOARD'!$C$4,INDEX(MASTER_AREAS!$B:$B,531))))),530,""),""),IF('MIDWEEK DASHBOARD'!$B$4="Zone",IF(530&lt;=$N$4,IF(OR('MIDWEEK DASHBOARD'!$C$4="",ISNUMBER(SEARCH('MIDWEEK DASHBOARD'!$C$4,INDEX(MASTER_ZONES!$B:$B,531)))),530,""),""),""))</f>
        <v/>
      </c>
      <c r="P531">
        <f>IF('CHOP DASHBOARD'!$B$4="Area",IF(530&lt;=$S$3,IF(AND(OR('CHOP DASHBOARD'!$C$4="",ISNUMBER(SEARCH('CHOP DASHBOARD'!$C$4,INDEX(MASTER_AREAS!$B:$B,531))))),530,""),""),IF('CHOP DASHBOARD'!$B$4="Zone",IF(530&lt;=$S$4,IF(OR('CHOP DASHBOARD'!$C$4="",ISNUMBER(SEARCH('CHOP DASHBOARD'!$C$4,INDEX(MASTER_ZONES!$B:$B,531)))),530,""),""),""))</f>
        <v/>
      </c>
      <c r="U531">
        <f>IF('COMMUNITY CHURCH DASHBOARD'!$B$4="Area",IF(530&lt;=$X$3,IF(AND(OR('COMMUNITY CHURCH DASHBOARD'!$C$4="",ISNUMBER(SEARCH('COMMUNITY CHURCH DASHBOARD'!$C$4,INDEX(MASTER_AREAS!$B:$B,531))))),530,""),""),IF('COMMUNITY CHURCH DASHBOARD'!$B$4="Zone",IF(530&lt;=$X$4,IF(OR('COMMUNITY CHURCH DASHBOARD'!$C$4="",ISNUMBER(SEARCH('COMMUNITY CHURCH DASHBOARD'!$C$4,INDEX(MASTER_ZONES!$B:$B,531)))),530,""),""),""))</f>
        <v/>
      </c>
    </row>
    <row r="532">
      <c r="A532">
        <f>IF('WSF DASHBOARD'!$B$4="Area",IF(531&lt;=$D$3,IF(AND(OR('WSF DASHBOARD'!$C$4="",ISNUMBER(SEARCH('WSF DASHBOARD'!$C$4,INDEX(MASTER_AREAS!$B:$B,532))))),531,""),""),IF('WSF DASHBOARD'!$B$4="Zone",IF(531&lt;=$D$4,IF(OR('WSF DASHBOARD'!$C$4="",ISNUMBER(SEARCH('WSF DASHBOARD'!$C$4,INDEX(MASTER_ZONES!$B:$B,532)))),531,""),""),""))</f>
        <v/>
      </c>
      <c r="F532">
        <f>IF('TRANSPORT DASHBOARD'!$B$4="Area",IF(531&lt;=$I$3,IF(AND(INDEX(MASTER_AREAS!$F:$F,532)&lt;&gt;"N",OR('TRANSPORT DASHBOARD'!$C$4="",ISNUMBER(SEARCH('TRANSPORT DASHBOARD'!$C$4,INDEX(MASTER_AREAS!$B:$B,532))))),531,""),""),IF('TRANSPORT DASHBOARD'!$B$4="Zone",IF(531&lt;=$I$4,IF(OR('TRANSPORT DASHBOARD'!$C$4="",ISNUMBER(SEARCH('TRANSPORT DASHBOARD'!$C$4,INDEX(MASTER_ZONES!$B:$B,532)))),531,""),""),""))</f>
        <v/>
      </c>
      <c r="K532">
        <f>IF('MIDWEEK DASHBOARD'!$B$4="Area",IF(531&lt;=$N$3,IF(AND(OR('MIDWEEK DASHBOARD'!$C$4="",ISNUMBER(SEARCH('MIDWEEK DASHBOARD'!$C$4,INDEX(MASTER_AREAS!$B:$B,532))))),531,""),""),IF('MIDWEEK DASHBOARD'!$B$4="Zone",IF(531&lt;=$N$4,IF(OR('MIDWEEK DASHBOARD'!$C$4="",ISNUMBER(SEARCH('MIDWEEK DASHBOARD'!$C$4,INDEX(MASTER_ZONES!$B:$B,532)))),531,""),""),""))</f>
        <v/>
      </c>
      <c r="P532">
        <f>IF('CHOP DASHBOARD'!$B$4="Area",IF(531&lt;=$S$3,IF(AND(OR('CHOP DASHBOARD'!$C$4="",ISNUMBER(SEARCH('CHOP DASHBOARD'!$C$4,INDEX(MASTER_AREAS!$B:$B,532))))),531,""),""),IF('CHOP DASHBOARD'!$B$4="Zone",IF(531&lt;=$S$4,IF(OR('CHOP DASHBOARD'!$C$4="",ISNUMBER(SEARCH('CHOP DASHBOARD'!$C$4,INDEX(MASTER_ZONES!$B:$B,532)))),531,""),""),""))</f>
        <v/>
      </c>
      <c r="U532">
        <f>IF('COMMUNITY CHURCH DASHBOARD'!$B$4="Area",IF(531&lt;=$X$3,IF(AND(OR('COMMUNITY CHURCH DASHBOARD'!$C$4="",ISNUMBER(SEARCH('COMMUNITY CHURCH DASHBOARD'!$C$4,INDEX(MASTER_AREAS!$B:$B,532))))),531,""),""),IF('COMMUNITY CHURCH DASHBOARD'!$B$4="Zone",IF(531&lt;=$X$4,IF(OR('COMMUNITY CHURCH DASHBOARD'!$C$4="",ISNUMBER(SEARCH('COMMUNITY CHURCH DASHBOARD'!$C$4,INDEX(MASTER_ZONES!$B:$B,532)))),531,""),""),""))</f>
        <v/>
      </c>
    </row>
    <row r="533">
      <c r="A533">
        <f>IF('WSF DASHBOARD'!$B$4="Area",IF(532&lt;=$D$3,IF(AND(OR('WSF DASHBOARD'!$C$4="",ISNUMBER(SEARCH('WSF DASHBOARD'!$C$4,INDEX(MASTER_AREAS!$B:$B,533))))),532,""),""),IF('WSF DASHBOARD'!$B$4="Zone",IF(532&lt;=$D$4,IF(OR('WSF DASHBOARD'!$C$4="",ISNUMBER(SEARCH('WSF DASHBOARD'!$C$4,INDEX(MASTER_ZONES!$B:$B,533)))),532,""),""),""))</f>
        <v/>
      </c>
      <c r="F533">
        <f>IF('TRANSPORT DASHBOARD'!$B$4="Area",IF(532&lt;=$I$3,IF(AND(INDEX(MASTER_AREAS!$F:$F,533)&lt;&gt;"N",OR('TRANSPORT DASHBOARD'!$C$4="",ISNUMBER(SEARCH('TRANSPORT DASHBOARD'!$C$4,INDEX(MASTER_AREAS!$B:$B,533))))),532,""),""),IF('TRANSPORT DASHBOARD'!$B$4="Zone",IF(532&lt;=$I$4,IF(OR('TRANSPORT DASHBOARD'!$C$4="",ISNUMBER(SEARCH('TRANSPORT DASHBOARD'!$C$4,INDEX(MASTER_ZONES!$B:$B,533)))),532,""),""),""))</f>
        <v/>
      </c>
      <c r="K533">
        <f>IF('MIDWEEK DASHBOARD'!$B$4="Area",IF(532&lt;=$N$3,IF(AND(OR('MIDWEEK DASHBOARD'!$C$4="",ISNUMBER(SEARCH('MIDWEEK DASHBOARD'!$C$4,INDEX(MASTER_AREAS!$B:$B,533))))),532,""),""),IF('MIDWEEK DASHBOARD'!$B$4="Zone",IF(532&lt;=$N$4,IF(OR('MIDWEEK DASHBOARD'!$C$4="",ISNUMBER(SEARCH('MIDWEEK DASHBOARD'!$C$4,INDEX(MASTER_ZONES!$B:$B,533)))),532,""),""),""))</f>
        <v/>
      </c>
      <c r="P533">
        <f>IF('CHOP DASHBOARD'!$B$4="Area",IF(532&lt;=$S$3,IF(AND(OR('CHOP DASHBOARD'!$C$4="",ISNUMBER(SEARCH('CHOP DASHBOARD'!$C$4,INDEX(MASTER_AREAS!$B:$B,533))))),532,""),""),IF('CHOP DASHBOARD'!$B$4="Zone",IF(532&lt;=$S$4,IF(OR('CHOP DASHBOARD'!$C$4="",ISNUMBER(SEARCH('CHOP DASHBOARD'!$C$4,INDEX(MASTER_ZONES!$B:$B,533)))),532,""),""),""))</f>
        <v/>
      </c>
      <c r="U533">
        <f>IF('COMMUNITY CHURCH DASHBOARD'!$B$4="Area",IF(532&lt;=$X$3,IF(AND(OR('COMMUNITY CHURCH DASHBOARD'!$C$4="",ISNUMBER(SEARCH('COMMUNITY CHURCH DASHBOARD'!$C$4,INDEX(MASTER_AREAS!$B:$B,533))))),532,""),""),IF('COMMUNITY CHURCH DASHBOARD'!$B$4="Zone",IF(532&lt;=$X$4,IF(OR('COMMUNITY CHURCH DASHBOARD'!$C$4="",ISNUMBER(SEARCH('COMMUNITY CHURCH DASHBOARD'!$C$4,INDEX(MASTER_ZONES!$B:$B,533)))),532,""),""),""))</f>
        <v/>
      </c>
    </row>
    <row r="534">
      <c r="A534">
        <f>IF('WSF DASHBOARD'!$B$4="Area",IF(533&lt;=$D$3,IF(AND(OR('WSF DASHBOARD'!$C$4="",ISNUMBER(SEARCH('WSF DASHBOARD'!$C$4,INDEX(MASTER_AREAS!$B:$B,534))))),533,""),""),IF('WSF DASHBOARD'!$B$4="Zone",IF(533&lt;=$D$4,IF(OR('WSF DASHBOARD'!$C$4="",ISNUMBER(SEARCH('WSF DASHBOARD'!$C$4,INDEX(MASTER_ZONES!$B:$B,534)))),533,""),""),""))</f>
        <v/>
      </c>
      <c r="F534">
        <f>IF('TRANSPORT DASHBOARD'!$B$4="Area",IF(533&lt;=$I$3,IF(AND(INDEX(MASTER_AREAS!$F:$F,534)&lt;&gt;"N",OR('TRANSPORT DASHBOARD'!$C$4="",ISNUMBER(SEARCH('TRANSPORT DASHBOARD'!$C$4,INDEX(MASTER_AREAS!$B:$B,534))))),533,""),""),IF('TRANSPORT DASHBOARD'!$B$4="Zone",IF(533&lt;=$I$4,IF(OR('TRANSPORT DASHBOARD'!$C$4="",ISNUMBER(SEARCH('TRANSPORT DASHBOARD'!$C$4,INDEX(MASTER_ZONES!$B:$B,534)))),533,""),""),""))</f>
        <v/>
      </c>
      <c r="K534">
        <f>IF('MIDWEEK DASHBOARD'!$B$4="Area",IF(533&lt;=$N$3,IF(AND(OR('MIDWEEK DASHBOARD'!$C$4="",ISNUMBER(SEARCH('MIDWEEK DASHBOARD'!$C$4,INDEX(MASTER_AREAS!$B:$B,534))))),533,""),""),IF('MIDWEEK DASHBOARD'!$B$4="Zone",IF(533&lt;=$N$4,IF(OR('MIDWEEK DASHBOARD'!$C$4="",ISNUMBER(SEARCH('MIDWEEK DASHBOARD'!$C$4,INDEX(MASTER_ZONES!$B:$B,534)))),533,""),""),""))</f>
        <v/>
      </c>
      <c r="P534">
        <f>IF('CHOP DASHBOARD'!$B$4="Area",IF(533&lt;=$S$3,IF(AND(OR('CHOP DASHBOARD'!$C$4="",ISNUMBER(SEARCH('CHOP DASHBOARD'!$C$4,INDEX(MASTER_AREAS!$B:$B,534))))),533,""),""),IF('CHOP DASHBOARD'!$B$4="Zone",IF(533&lt;=$S$4,IF(OR('CHOP DASHBOARD'!$C$4="",ISNUMBER(SEARCH('CHOP DASHBOARD'!$C$4,INDEX(MASTER_ZONES!$B:$B,534)))),533,""),""),""))</f>
        <v/>
      </c>
      <c r="U534">
        <f>IF('COMMUNITY CHURCH DASHBOARD'!$B$4="Area",IF(533&lt;=$X$3,IF(AND(OR('COMMUNITY CHURCH DASHBOARD'!$C$4="",ISNUMBER(SEARCH('COMMUNITY CHURCH DASHBOARD'!$C$4,INDEX(MASTER_AREAS!$B:$B,534))))),533,""),""),IF('COMMUNITY CHURCH DASHBOARD'!$B$4="Zone",IF(533&lt;=$X$4,IF(OR('COMMUNITY CHURCH DASHBOARD'!$C$4="",ISNUMBER(SEARCH('COMMUNITY CHURCH DASHBOARD'!$C$4,INDEX(MASTER_ZONES!$B:$B,534)))),533,""),""),""))</f>
        <v/>
      </c>
    </row>
    <row r="535">
      <c r="A535">
        <f>IF('WSF DASHBOARD'!$B$4="Area",IF(534&lt;=$D$3,IF(AND(OR('WSF DASHBOARD'!$C$4="",ISNUMBER(SEARCH('WSF DASHBOARD'!$C$4,INDEX(MASTER_AREAS!$B:$B,535))))),534,""),""),IF('WSF DASHBOARD'!$B$4="Zone",IF(534&lt;=$D$4,IF(OR('WSF DASHBOARD'!$C$4="",ISNUMBER(SEARCH('WSF DASHBOARD'!$C$4,INDEX(MASTER_ZONES!$B:$B,535)))),534,""),""),""))</f>
        <v/>
      </c>
      <c r="F535">
        <f>IF('TRANSPORT DASHBOARD'!$B$4="Area",IF(534&lt;=$I$3,IF(AND(INDEX(MASTER_AREAS!$F:$F,535)&lt;&gt;"N",OR('TRANSPORT DASHBOARD'!$C$4="",ISNUMBER(SEARCH('TRANSPORT DASHBOARD'!$C$4,INDEX(MASTER_AREAS!$B:$B,535))))),534,""),""),IF('TRANSPORT DASHBOARD'!$B$4="Zone",IF(534&lt;=$I$4,IF(OR('TRANSPORT DASHBOARD'!$C$4="",ISNUMBER(SEARCH('TRANSPORT DASHBOARD'!$C$4,INDEX(MASTER_ZONES!$B:$B,535)))),534,""),""),""))</f>
        <v/>
      </c>
      <c r="K535">
        <f>IF('MIDWEEK DASHBOARD'!$B$4="Area",IF(534&lt;=$N$3,IF(AND(OR('MIDWEEK DASHBOARD'!$C$4="",ISNUMBER(SEARCH('MIDWEEK DASHBOARD'!$C$4,INDEX(MASTER_AREAS!$B:$B,535))))),534,""),""),IF('MIDWEEK DASHBOARD'!$B$4="Zone",IF(534&lt;=$N$4,IF(OR('MIDWEEK DASHBOARD'!$C$4="",ISNUMBER(SEARCH('MIDWEEK DASHBOARD'!$C$4,INDEX(MASTER_ZONES!$B:$B,535)))),534,""),""),""))</f>
        <v/>
      </c>
      <c r="P535">
        <f>IF('CHOP DASHBOARD'!$B$4="Area",IF(534&lt;=$S$3,IF(AND(OR('CHOP DASHBOARD'!$C$4="",ISNUMBER(SEARCH('CHOP DASHBOARD'!$C$4,INDEX(MASTER_AREAS!$B:$B,535))))),534,""),""),IF('CHOP DASHBOARD'!$B$4="Zone",IF(534&lt;=$S$4,IF(OR('CHOP DASHBOARD'!$C$4="",ISNUMBER(SEARCH('CHOP DASHBOARD'!$C$4,INDEX(MASTER_ZONES!$B:$B,535)))),534,""),""),""))</f>
        <v/>
      </c>
      <c r="U535">
        <f>IF('COMMUNITY CHURCH DASHBOARD'!$B$4="Area",IF(534&lt;=$X$3,IF(AND(OR('COMMUNITY CHURCH DASHBOARD'!$C$4="",ISNUMBER(SEARCH('COMMUNITY CHURCH DASHBOARD'!$C$4,INDEX(MASTER_AREAS!$B:$B,535))))),534,""),""),IF('COMMUNITY CHURCH DASHBOARD'!$B$4="Zone",IF(534&lt;=$X$4,IF(OR('COMMUNITY CHURCH DASHBOARD'!$C$4="",ISNUMBER(SEARCH('COMMUNITY CHURCH DASHBOARD'!$C$4,INDEX(MASTER_ZONES!$B:$B,535)))),534,""),""),""))</f>
        <v/>
      </c>
    </row>
    <row r="536">
      <c r="A536">
        <f>IF('WSF DASHBOARD'!$B$4="Area",IF(535&lt;=$D$3,IF(AND(OR('WSF DASHBOARD'!$C$4="",ISNUMBER(SEARCH('WSF DASHBOARD'!$C$4,INDEX(MASTER_AREAS!$B:$B,536))))),535,""),""),IF('WSF DASHBOARD'!$B$4="Zone",IF(535&lt;=$D$4,IF(OR('WSF DASHBOARD'!$C$4="",ISNUMBER(SEARCH('WSF DASHBOARD'!$C$4,INDEX(MASTER_ZONES!$B:$B,536)))),535,""),""),""))</f>
        <v/>
      </c>
      <c r="F536">
        <f>IF('TRANSPORT DASHBOARD'!$B$4="Area",IF(535&lt;=$I$3,IF(AND(INDEX(MASTER_AREAS!$F:$F,536)&lt;&gt;"N",OR('TRANSPORT DASHBOARD'!$C$4="",ISNUMBER(SEARCH('TRANSPORT DASHBOARD'!$C$4,INDEX(MASTER_AREAS!$B:$B,536))))),535,""),""),IF('TRANSPORT DASHBOARD'!$B$4="Zone",IF(535&lt;=$I$4,IF(OR('TRANSPORT DASHBOARD'!$C$4="",ISNUMBER(SEARCH('TRANSPORT DASHBOARD'!$C$4,INDEX(MASTER_ZONES!$B:$B,536)))),535,""),""),""))</f>
        <v/>
      </c>
      <c r="K536">
        <f>IF('MIDWEEK DASHBOARD'!$B$4="Area",IF(535&lt;=$N$3,IF(AND(OR('MIDWEEK DASHBOARD'!$C$4="",ISNUMBER(SEARCH('MIDWEEK DASHBOARD'!$C$4,INDEX(MASTER_AREAS!$B:$B,536))))),535,""),""),IF('MIDWEEK DASHBOARD'!$B$4="Zone",IF(535&lt;=$N$4,IF(OR('MIDWEEK DASHBOARD'!$C$4="",ISNUMBER(SEARCH('MIDWEEK DASHBOARD'!$C$4,INDEX(MASTER_ZONES!$B:$B,536)))),535,""),""),""))</f>
        <v/>
      </c>
      <c r="P536">
        <f>IF('CHOP DASHBOARD'!$B$4="Area",IF(535&lt;=$S$3,IF(AND(OR('CHOP DASHBOARD'!$C$4="",ISNUMBER(SEARCH('CHOP DASHBOARD'!$C$4,INDEX(MASTER_AREAS!$B:$B,536))))),535,""),""),IF('CHOP DASHBOARD'!$B$4="Zone",IF(535&lt;=$S$4,IF(OR('CHOP DASHBOARD'!$C$4="",ISNUMBER(SEARCH('CHOP DASHBOARD'!$C$4,INDEX(MASTER_ZONES!$B:$B,536)))),535,""),""),""))</f>
        <v/>
      </c>
      <c r="U536">
        <f>IF('COMMUNITY CHURCH DASHBOARD'!$B$4="Area",IF(535&lt;=$X$3,IF(AND(OR('COMMUNITY CHURCH DASHBOARD'!$C$4="",ISNUMBER(SEARCH('COMMUNITY CHURCH DASHBOARD'!$C$4,INDEX(MASTER_AREAS!$B:$B,536))))),535,""),""),IF('COMMUNITY CHURCH DASHBOARD'!$B$4="Zone",IF(535&lt;=$X$4,IF(OR('COMMUNITY CHURCH DASHBOARD'!$C$4="",ISNUMBER(SEARCH('COMMUNITY CHURCH DASHBOARD'!$C$4,INDEX(MASTER_ZONES!$B:$B,536)))),535,""),""),""))</f>
        <v/>
      </c>
    </row>
    <row r="537">
      <c r="A537">
        <f>IF('WSF DASHBOARD'!$B$4="Area",IF(536&lt;=$D$3,IF(AND(OR('WSF DASHBOARD'!$C$4="",ISNUMBER(SEARCH('WSF DASHBOARD'!$C$4,INDEX(MASTER_AREAS!$B:$B,537))))),536,""),""),IF('WSF DASHBOARD'!$B$4="Zone",IF(536&lt;=$D$4,IF(OR('WSF DASHBOARD'!$C$4="",ISNUMBER(SEARCH('WSF DASHBOARD'!$C$4,INDEX(MASTER_ZONES!$B:$B,537)))),536,""),""),""))</f>
        <v/>
      </c>
      <c r="F537">
        <f>IF('TRANSPORT DASHBOARD'!$B$4="Area",IF(536&lt;=$I$3,IF(AND(INDEX(MASTER_AREAS!$F:$F,537)&lt;&gt;"N",OR('TRANSPORT DASHBOARD'!$C$4="",ISNUMBER(SEARCH('TRANSPORT DASHBOARD'!$C$4,INDEX(MASTER_AREAS!$B:$B,537))))),536,""),""),IF('TRANSPORT DASHBOARD'!$B$4="Zone",IF(536&lt;=$I$4,IF(OR('TRANSPORT DASHBOARD'!$C$4="",ISNUMBER(SEARCH('TRANSPORT DASHBOARD'!$C$4,INDEX(MASTER_ZONES!$B:$B,537)))),536,""),""),""))</f>
        <v/>
      </c>
      <c r="K537">
        <f>IF('MIDWEEK DASHBOARD'!$B$4="Area",IF(536&lt;=$N$3,IF(AND(OR('MIDWEEK DASHBOARD'!$C$4="",ISNUMBER(SEARCH('MIDWEEK DASHBOARD'!$C$4,INDEX(MASTER_AREAS!$B:$B,537))))),536,""),""),IF('MIDWEEK DASHBOARD'!$B$4="Zone",IF(536&lt;=$N$4,IF(OR('MIDWEEK DASHBOARD'!$C$4="",ISNUMBER(SEARCH('MIDWEEK DASHBOARD'!$C$4,INDEX(MASTER_ZONES!$B:$B,537)))),536,""),""),""))</f>
        <v/>
      </c>
      <c r="P537">
        <f>IF('CHOP DASHBOARD'!$B$4="Area",IF(536&lt;=$S$3,IF(AND(OR('CHOP DASHBOARD'!$C$4="",ISNUMBER(SEARCH('CHOP DASHBOARD'!$C$4,INDEX(MASTER_AREAS!$B:$B,537))))),536,""),""),IF('CHOP DASHBOARD'!$B$4="Zone",IF(536&lt;=$S$4,IF(OR('CHOP DASHBOARD'!$C$4="",ISNUMBER(SEARCH('CHOP DASHBOARD'!$C$4,INDEX(MASTER_ZONES!$B:$B,537)))),536,""),""),""))</f>
        <v/>
      </c>
      <c r="U537">
        <f>IF('COMMUNITY CHURCH DASHBOARD'!$B$4="Area",IF(536&lt;=$X$3,IF(AND(OR('COMMUNITY CHURCH DASHBOARD'!$C$4="",ISNUMBER(SEARCH('COMMUNITY CHURCH DASHBOARD'!$C$4,INDEX(MASTER_AREAS!$B:$B,537))))),536,""),""),IF('COMMUNITY CHURCH DASHBOARD'!$B$4="Zone",IF(536&lt;=$X$4,IF(OR('COMMUNITY CHURCH DASHBOARD'!$C$4="",ISNUMBER(SEARCH('COMMUNITY CHURCH DASHBOARD'!$C$4,INDEX(MASTER_ZONES!$B:$B,537)))),536,""),""),""))</f>
        <v/>
      </c>
    </row>
    <row r="538">
      <c r="A538">
        <f>IF('WSF DASHBOARD'!$B$4="Area",IF(537&lt;=$D$3,IF(AND(OR('WSF DASHBOARD'!$C$4="",ISNUMBER(SEARCH('WSF DASHBOARD'!$C$4,INDEX(MASTER_AREAS!$B:$B,538))))),537,""),""),IF('WSF DASHBOARD'!$B$4="Zone",IF(537&lt;=$D$4,IF(OR('WSF DASHBOARD'!$C$4="",ISNUMBER(SEARCH('WSF DASHBOARD'!$C$4,INDEX(MASTER_ZONES!$B:$B,538)))),537,""),""),""))</f>
        <v/>
      </c>
      <c r="F538">
        <f>IF('TRANSPORT DASHBOARD'!$B$4="Area",IF(537&lt;=$I$3,IF(AND(INDEX(MASTER_AREAS!$F:$F,538)&lt;&gt;"N",OR('TRANSPORT DASHBOARD'!$C$4="",ISNUMBER(SEARCH('TRANSPORT DASHBOARD'!$C$4,INDEX(MASTER_AREAS!$B:$B,538))))),537,""),""),IF('TRANSPORT DASHBOARD'!$B$4="Zone",IF(537&lt;=$I$4,IF(OR('TRANSPORT DASHBOARD'!$C$4="",ISNUMBER(SEARCH('TRANSPORT DASHBOARD'!$C$4,INDEX(MASTER_ZONES!$B:$B,538)))),537,""),""),""))</f>
        <v/>
      </c>
      <c r="K538">
        <f>IF('MIDWEEK DASHBOARD'!$B$4="Area",IF(537&lt;=$N$3,IF(AND(OR('MIDWEEK DASHBOARD'!$C$4="",ISNUMBER(SEARCH('MIDWEEK DASHBOARD'!$C$4,INDEX(MASTER_AREAS!$B:$B,538))))),537,""),""),IF('MIDWEEK DASHBOARD'!$B$4="Zone",IF(537&lt;=$N$4,IF(OR('MIDWEEK DASHBOARD'!$C$4="",ISNUMBER(SEARCH('MIDWEEK DASHBOARD'!$C$4,INDEX(MASTER_ZONES!$B:$B,538)))),537,""),""),""))</f>
        <v/>
      </c>
      <c r="P538">
        <f>IF('CHOP DASHBOARD'!$B$4="Area",IF(537&lt;=$S$3,IF(AND(OR('CHOP DASHBOARD'!$C$4="",ISNUMBER(SEARCH('CHOP DASHBOARD'!$C$4,INDEX(MASTER_AREAS!$B:$B,538))))),537,""),""),IF('CHOP DASHBOARD'!$B$4="Zone",IF(537&lt;=$S$4,IF(OR('CHOP DASHBOARD'!$C$4="",ISNUMBER(SEARCH('CHOP DASHBOARD'!$C$4,INDEX(MASTER_ZONES!$B:$B,538)))),537,""),""),""))</f>
        <v/>
      </c>
      <c r="U538">
        <f>IF('COMMUNITY CHURCH DASHBOARD'!$B$4="Area",IF(537&lt;=$X$3,IF(AND(OR('COMMUNITY CHURCH DASHBOARD'!$C$4="",ISNUMBER(SEARCH('COMMUNITY CHURCH DASHBOARD'!$C$4,INDEX(MASTER_AREAS!$B:$B,538))))),537,""),""),IF('COMMUNITY CHURCH DASHBOARD'!$B$4="Zone",IF(537&lt;=$X$4,IF(OR('COMMUNITY CHURCH DASHBOARD'!$C$4="",ISNUMBER(SEARCH('COMMUNITY CHURCH DASHBOARD'!$C$4,INDEX(MASTER_ZONES!$B:$B,538)))),537,""),""),""))</f>
        <v/>
      </c>
    </row>
    <row r="539">
      <c r="A539">
        <f>IF('WSF DASHBOARD'!$B$4="Area",IF(538&lt;=$D$3,IF(AND(OR('WSF DASHBOARD'!$C$4="",ISNUMBER(SEARCH('WSF DASHBOARD'!$C$4,INDEX(MASTER_AREAS!$B:$B,539))))),538,""),""),IF('WSF DASHBOARD'!$B$4="Zone",IF(538&lt;=$D$4,IF(OR('WSF DASHBOARD'!$C$4="",ISNUMBER(SEARCH('WSF DASHBOARD'!$C$4,INDEX(MASTER_ZONES!$B:$B,539)))),538,""),""),""))</f>
        <v/>
      </c>
      <c r="F539">
        <f>IF('TRANSPORT DASHBOARD'!$B$4="Area",IF(538&lt;=$I$3,IF(AND(INDEX(MASTER_AREAS!$F:$F,539)&lt;&gt;"N",OR('TRANSPORT DASHBOARD'!$C$4="",ISNUMBER(SEARCH('TRANSPORT DASHBOARD'!$C$4,INDEX(MASTER_AREAS!$B:$B,539))))),538,""),""),IF('TRANSPORT DASHBOARD'!$B$4="Zone",IF(538&lt;=$I$4,IF(OR('TRANSPORT DASHBOARD'!$C$4="",ISNUMBER(SEARCH('TRANSPORT DASHBOARD'!$C$4,INDEX(MASTER_ZONES!$B:$B,539)))),538,""),""),""))</f>
        <v/>
      </c>
      <c r="K539">
        <f>IF('MIDWEEK DASHBOARD'!$B$4="Area",IF(538&lt;=$N$3,IF(AND(OR('MIDWEEK DASHBOARD'!$C$4="",ISNUMBER(SEARCH('MIDWEEK DASHBOARD'!$C$4,INDEX(MASTER_AREAS!$B:$B,539))))),538,""),""),IF('MIDWEEK DASHBOARD'!$B$4="Zone",IF(538&lt;=$N$4,IF(OR('MIDWEEK DASHBOARD'!$C$4="",ISNUMBER(SEARCH('MIDWEEK DASHBOARD'!$C$4,INDEX(MASTER_ZONES!$B:$B,539)))),538,""),""),""))</f>
        <v/>
      </c>
      <c r="P539">
        <f>IF('CHOP DASHBOARD'!$B$4="Area",IF(538&lt;=$S$3,IF(AND(OR('CHOP DASHBOARD'!$C$4="",ISNUMBER(SEARCH('CHOP DASHBOARD'!$C$4,INDEX(MASTER_AREAS!$B:$B,539))))),538,""),""),IF('CHOP DASHBOARD'!$B$4="Zone",IF(538&lt;=$S$4,IF(OR('CHOP DASHBOARD'!$C$4="",ISNUMBER(SEARCH('CHOP DASHBOARD'!$C$4,INDEX(MASTER_ZONES!$B:$B,539)))),538,""),""),""))</f>
        <v/>
      </c>
      <c r="U539">
        <f>IF('COMMUNITY CHURCH DASHBOARD'!$B$4="Area",IF(538&lt;=$X$3,IF(AND(OR('COMMUNITY CHURCH DASHBOARD'!$C$4="",ISNUMBER(SEARCH('COMMUNITY CHURCH DASHBOARD'!$C$4,INDEX(MASTER_AREAS!$B:$B,539))))),538,""),""),IF('COMMUNITY CHURCH DASHBOARD'!$B$4="Zone",IF(538&lt;=$X$4,IF(OR('COMMUNITY CHURCH DASHBOARD'!$C$4="",ISNUMBER(SEARCH('COMMUNITY CHURCH DASHBOARD'!$C$4,INDEX(MASTER_ZONES!$B:$B,539)))),538,""),""),""))</f>
        <v/>
      </c>
    </row>
    <row r="540">
      <c r="A540">
        <f>IF('WSF DASHBOARD'!$B$4="Area",IF(539&lt;=$D$3,IF(AND(OR('WSF DASHBOARD'!$C$4="",ISNUMBER(SEARCH('WSF DASHBOARD'!$C$4,INDEX(MASTER_AREAS!$B:$B,540))))),539,""),""),IF('WSF DASHBOARD'!$B$4="Zone",IF(539&lt;=$D$4,IF(OR('WSF DASHBOARD'!$C$4="",ISNUMBER(SEARCH('WSF DASHBOARD'!$C$4,INDEX(MASTER_ZONES!$B:$B,540)))),539,""),""),""))</f>
        <v/>
      </c>
      <c r="F540">
        <f>IF('TRANSPORT DASHBOARD'!$B$4="Area",IF(539&lt;=$I$3,IF(AND(INDEX(MASTER_AREAS!$F:$F,540)&lt;&gt;"N",OR('TRANSPORT DASHBOARD'!$C$4="",ISNUMBER(SEARCH('TRANSPORT DASHBOARD'!$C$4,INDEX(MASTER_AREAS!$B:$B,540))))),539,""),""),IF('TRANSPORT DASHBOARD'!$B$4="Zone",IF(539&lt;=$I$4,IF(OR('TRANSPORT DASHBOARD'!$C$4="",ISNUMBER(SEARCH('TRANSPORT DASHBOARD'!$C$4,INDEX(MASTER_ZONES!$B:$B,540)))),539,""),""),""))</f>
        <v/>
      </c>
      <c r="K540">
        <f>IF('MIDWEEK DASHBOARD'!$B$4="Area",IF(539&lt;=$N$3,IF(AND(OR('MIDWEEK DASHBOARD'!$C$4="",ISNUMBER(SEARCH('MIDWEEK DASHBOARD'!$C$4,INDEX(MASTER_AREAS!$B:$B,540))))),539,""),""),IF('MIDWEEK DASHBOARD'!$B$4="Zone",IF(539&lt;=$N$4,IF(OR('MIDWEEK DASHBOARD'!$C$4="",ISNUMBER(SEARCH('MIDWEEK DASHBOARD'!$C$4,INDEX(MASTER_ZONES!$B:$B,540)))),539,""),""),""))</f>
        <v/>
      </c>
      <c r="P540">
        <f>IF('CHOP DASHBOARD'!$B$4="Area",IF(539&lt;=$S$3,IF(AND(OR('CHOP DASHBOARD'!$C$4="",ISNUMBER(SEARCH('CHOP DASHBOARD'!$C$4,INDEX(MASTER_AREAS!$B:$B,540))))),539,""),""),IF('CHOP DASHBOARD'!$B$4="Zone",IF(539&lt;=$S$4,IF(OR('CHOP DASHBOARD'!$C$4="",ISNUMBER(SEARCH('CHOP DASHBOARD'!$C$4,INDEX(MASTER_ZONES!$B:$B,540)))),539,""),""),""))</f>
        <v/>
      </c>
      <c r="U540">
        <f>IF('COMMUNITY CHURCH DASHBOARD'!$B$4="Area",IF(539&lt;=$X$3,IF(AND(OR('COMMUNITY CHURCH DASHBOARD'!$C$4="",ISNUMBER(SEARCH('COMMUNITY CHURCH DASHBOARD'!$C$4,INDEX(MASTER_AREAS!$B:$B,540))))),539,""),""),IF('COMMUNITY CHURCH DASHBOARD'!$B$4="Zone",IF(539&lt;=$X$4,IF(OR('COMMUNITY CHURCH DASHBOARD'!$C$4="",ISNUMBER(SEARCH('COMMUNITY CHURCH DASHBOARD'!$C$4,INDEX(MASTER_ZONES!$B:$B,540)))),539,""),""),""))</f>
        <v/>
      </c>
    </row>
    <row r="541">
      <c r="A541">
        <f>IF('WSF DASHBOARD'!$B$4="Area",IF(540&lt;=$D$3,IF(AND(OR('WSF DASHBOARD'!$C$4="",ISNUMBER(SEARCH('WSF DASHBOARD'!$C$4,INDEX(MASTER_AREAS!$B:$B,541))))),540,""),""),IF('WSF DASHBOARD'!$B$4="Zone",IF(540&lt;=$D$4,IF(OR('WSF DASHBOARD'!$C$4="",ISNUMBER(SEARCH('WSF DASHBOARD'!$C$4,INDEX(MASTER_ZONES!$B:$B,541)))),540,""),""),""))</f>
        <v/>
      </c>
      <c r="F541">
        <f>IF('TRANSPORT DASHBOARD'!$B$4="Area",IF(540&lt;=$I$3,IF(AND(INDEX(MASTER_AREAS!$F:$F,541)&lt;&gt;"N",OR('TRANSPORT DASHBOARD'!$C$4="",ISNUMBER(SEARCH('TRANSPORT DASHBOARD'!$C$4,INDEX(MASTER_AREAS!$B:$B,541))))),540,""),""),IF('TRANSPORT DASHBOARD'!$B$4="Zone",IF(540&lt;=$I$4,IF(OR('TRANSPORT DASHBOARD'!$C$4="",ISNUMBER(SEARCH('TRANSPORT DASHBOARD'!$C$4,INDEX(MASTER_ZONES!$B:$B,541)))),540,""),""),""))</f>
        <v/>
      </c>
      <c r="K541">
        <f>IF('MIDWEEK DASHBOARD'!$B$4="Area",IF(540&lt;=$N$3,IF(AND(OR('MIDWEEK DASHBOARD'!$C$4="",ISNUMBER(SEARCH('MIDWEEK DASHBOARD'!$C$4,INDEX(MASTER_AREAS!$B:$B,541))))),540,""),""),IF('MIDWEEK DASHBOARD'!$B$4="Zone",IF(540&lt;=$N$4,IF(OR('MIDWEEK DASHBOARD'!$C$4="",ISNUMBER(SEARCH('MIDWEEK DASHBOARD'!$C$4,INDEX(MASTER_ZONES!$B:$B,541)))),540,""),""),""))</f>
        <v/>
      </c>
      <c r="P541">
        <f>IF('CHOP DASHBOARD'!$B$4="Area",IF(540&lt;=$S$3,IF(AND(OR('CHOP DASHBOARD'!$C$4="",ISNUMBER(SEARCH('CHOP DASHBOARD'!$C$4,INDEX(MASTER_AREAS!$B:$B,541))))),540,""),""),IF('CHOP DASHBOARD'!$B$4="Zone",IF(540&lt;=$S$4,IF(OR('CHOP DASHBOARD'!$C$4="",ISNUMBER(SEARCH('CHOP DASHBOARD'!$C$4,INDEX(MASTER_ZONES!$B:$B,541)))),540,""),""),""))</f>
        <v/>
      </c>
      <c r="U541">
        <f>IF('COMMUNITY CHURCH DASHBOARD'!$B$4="Area",IF(540&lt;=$X$3,IF(AND(OR('COMMUNITY CHURCH DASHBOARD'!$C$4="",ISNUMBER(SEARCH('COMMUNITY CHURCH DASHBOARD'!$C$4,INDEX(MASTER_AREAS!$B:$B,541))))),540,""),""),IF('COMMUNITY CHURCH DASHBOARD'!$B$4="Zone",IF(540&lt;=$X$4,IF(OR('COMMUNITY CHURCH DASHBOARD'!$C$4="",ISNUMBER(SEARCH('COMMUNITY CHURCH DASHBOARD'!$C$4,INDEX(MASTER_ZONES!$B:$B,541)))),540,""),""),""))</f>
        <v/>
      </c>
    </row>
    <row r="542">
      <c r="A542">
        <f>IF('WSF DASHBOARD'!$B$4="Area",IF(541&lt;=$D$3,IF(AND(OR('WSF DASHBOARD'!$C$4="",ISNUMBER(SEARCH('WSF DASHBOARD'!$C$4,INDEX(MASTER_AREAS!$B:$B,542))))),541,""),""),IF('WSF DASHBOARD'!$B$4="Zone",IF(541&lt;=$D$4,IF(OR('WSF DASHBOARD'!$C$4="",ISNUMBER(SEARCH('WSF DASHBOARD'!$C$4,INDEX(MASTER_ZONES!$B:$B,542)))),541,""),""),""))</f>
        <v/>
      </c>
      <c r="F542">
        <f>IF('TRANSPORT DASHBOARD'!$B$4="Area",IF(541&lt;=$I$3,IF(AND(INDEX(MASTER_AREAS!$F:$F,542)&lt;&gt;"N",OR('TRANSPORT DASHBOARD'!$C$4="",ISNUMBER(SEARCH('TRANSPORT DASHBOARD'!$C$4,INDEX(MASTER_AREAS!$B:$B,542))))),541,""),""),IF('TRANSPORT DASHBOARD'!$B$4="Zone",IF(541&lt;=$I$4,IF(OR('TRANSPORT DASHBOARD'!$C$4="",ISNUMBER(SEARCH('TRANSPORT DASHBOARD'!$C$4,INDEX(MASTER_ZONES!$B:$B,542)))),541,""),""),""))</f>
        <v/>
      </c>
      <c r="K542">
        <f>IF('MIDWEEK DASHBOARD'!$B$4="Area",IF(541&lt;=$N$3,IF(AND(OR('MIDWEEK DASHBOARD'!$C$4="",ISNUMBER(SEARCH('MIDWEEK DASHBOARD'!$C$4,INDEX(MASTER_AREAS!$B:$B,542))))),541,""),""),IF('MIDWEEK DASHBOARD'!$B$4="Zone",IF(541&lt;=$N$4,IF(OR('MIDWEEK DASHBOARD'!$C$4="",ISNUMBER(SEARCH('MIDWEEK DASHBOARD'!$C$4,INDEX(MASTER_ZONES!$B:$B,542)))),541,""),""),""))</f>
        <v/>
      </c>
      <c r="P542">
        <f>IF('CHOP DASHBOARD'!$B$4="Area",IF(541&lt;=$S$3,IF(AND(OR('CHOP DASHBOARD'!$C$4="",ISNUMBER(SEARCH('CHOP DASHBOARD'!$C$4,INDEX(MASTER_AREAS!$B:$B,542))))),541,""),""),IF('CHOP DASHBOARD'!$B$4="Zone",IF(541&lt;=$S$4,IF(OR('CHOP DASHBOARD'!$C$4="",ISNUMBER(SEARCH('CHOP DASHBOARD'!$C$4,INDEX(MASTER_ZONES!$B:$B,542)))),541,""),""),""))</f>
        <v/>
      </c>
      <c r="U542">
        <f>IF('COMMUNITY CHURCH DASHBOARD'!$B$4="Area",IF(541&lt;=$X$3,IF(AND(OR('COMMUNITY CHURCH DASHBOARD'!$C$4="",ISNUMBER(SEARCH('COMMUNITY CHURCH DASHBOARD'!$C$4,INDEX(MASTER_AREAS!$B:$B,542))))),541,""),""),IF('COMMUNITY CHURCH DASHBOARD'!$B$4="Zone",IF(541&lt;=$X$4,IF(OR('COMMUNITY CHURCH DASHBOARD'!$C$4="",ISNUMBER(SEARCH('COMMUNITY CHURCH DASHBOARD'!$C$4,INDEX(MASTER_ZONES!$B:$B,542)))),541,""),""),""))</f>
        <v/>
      </c>
    </row>
    <row r="543">
      <c r="A543">
        <f>IF('WSF DASHBOARD'!$B$4="Area",IF(542&lt;=$D$3,IF(AND(OR('WSF DASHBOARD'!$C$4="",ISNUMBER(SEARCH('WSF DASHBOARD'!$C$4,INDEX(MASTER_AREAS!$B:$B,543))))),542,""),""),IF('WSF DASHBOARD'!$B$4="Zone",IF(542&lt;=$D$4,IF(OR('WSF DASHBOARD'!$C$4="",ISNUMBER(SEARCH('WSF DASHBOARD'!$C$4,INDEX(MASTER_ZONES!$B:$B,543)))),542,""),""),""))</f>
        <v/>
      </c>
      <c r="F543">
        <f>IF('TRANSPORT DASHBOARD'!$B$4="Area",IF(542&lt;=$I$3,IF(AND(INDEX(MASTER_AREAS!$F:$F,543)&lt;&gt;"N",OR('TRANSPORT DASHBOARD'!$C$4="",ISNUMBER(SEARCH('TRANSPORT DASHBOARD'!$C$4,INDEX(MASTER_AREAS!$B:$B,543))))),542,""),""),IF('TRANSPORT DASHBOARD'!$B$4="Zone",IF(542&lt;=$I$4,IF(OR('TRANSPORT DASHBOARD'!$C$4="",ISNUMBER(SEARCH('TRANSPORT DASHBOARD'!$C$4,INDEX(MASTER_ZONES!$B:$B,543)))),542,""),""),""))</f>
        <v/>
      </c>
      <c r="K543">
        <f>IF('MIDWEEK DASHBOARD'!$B$4="Area",IF(542&lt;=$N$3,IF(AND(OR('MIDWEEK DASHBOARD'!$C$4="",ISNUMBER(SEARCH('MIDWEEK DASHBOARD'!$C$4,INDEX(MASTER_AREAS!$B:$B,543))))),542,""),""),IF('MIDWEEK DASHBOARD'!$B$4="Zone",IF(542&lt;=$N$4,IF(OR('MIDWEEK DASHBOARD'!$C$4="",ISNUMBER(SEARCH('MIDWEEK DASHBOARD'!$C$4,INDEX(MASTER_ZONES!$B:$B,543)))),542,""),""),""))</f>
        <v/>
      </c>
      <c r="P543">
        <f>IF('CHOP DASHBOARD'!$B$4="Area",IF(542&lt;=$S$3,IF(AND(OR('CHOP DASHBOARD'!$C$4="",ISNUMBER(SEARCH('CHOP DASHBOARD'!$C$4,INDEX(MASTER_AREAS!$B:$B,543))))),542,""),""),IF('CHOP DASHBOARD'!$B$4="Zone",IF(542&lt;=$S$4,IF(OR('CHOP DASHBOARD'!$C$4="",ISNUMBER(SEARCH('CHOP DASHBOARD'!$C$4,INDEX(MASTER_ZONES!$B:$B,543)))),542,""),""),""))</f>
        <v/>
      </c>
      <c r="U543">
        <f>IF('COMMUNITY CHURCH DASHBOARD'!$B$4="Area",IF(542&lt;=$X$3,IF(AND(OR('COMMUNITY CHURCH DASHBOARD'!$C$4="",ISNUMBER(SEARCH('COMMUNITY CHURCH DASHBOARD'!$C$4,INDEX(MASTER_AREAS!$B:$B,543))))),542,""),""),IF('COMMUNITY CHURCH DASHBOARD'!$B$4="Zone",IF(542&lt;=$X$4,IF(OR('COMMUNITY CHURCH DASHBOARD'!$C$4="",ISNUMBER(SEARCH('COMMUNITY CHURCH DASHBOARD'!$C$4,INDEX(MASTER_ZONES!$B:$B,543)))),542,""),""),""))</f>
        <v/>
      </c>
    </row>
    <row r="544">
      <c r="A544">
        <f>IF('WSF DASHBOARD'!$B$4="Area",IF(543&lt;=$D$3,IF(AND(OR('WSF DASHBOARD'!$C$4="",ISNUMBER(SEARCH('WSF DASHBOARD'!$C$4,INDEX(MASTER_AREAS!$B:$B,544))))),543,""),""),IF('WSF DASHBOARD'!$B$4="Zone",IF(543&lt;=$D$4,IF(OR('WSF DASHBOARD'!$C$4="",ISNUMBER(SEARCH('WSF DASHBOARD'!$C$4,INDEX(MASTER_ZONES!$B:$B,544)))),543,""),""),""))</f>
        <v/>
      </c>
      <c r="F544">
        <f>IF('TRANSPORT DASHBOARD'!$B$4="Area",IF(543&lt;=$I$3,IF(AND(INDEX(MASTER_AREAS!$F:$F,544)&lt;&gt;"N",OR('TRANSPORT DASHBOARD'!$C$4="",ISNUMBER(SEARCH('TRANSPORT DASHBOARD'!$C$4,INDEX(MASTER_AREAS!$B:$B,544))))),543,""),""),IF('TRANSPORT DASHBOARD'!$B$4="Zone",IF(543&lt;=$I$4,IF(OR('TRANSPORT DASHBOARD'!$C$4="",ISNUMBER(SEARCH('TRANSPORT DASHBOARD'!$C$4,INDEX(MASTER_ZONES!$B:$B,544)))),543,""),""),""))</f>
        <v/>
      </c>
      <c r="K544">
        <f>IF('MIDWEEK DASHBOARD'!$B$4="Area",IF(543&lt;=$N$3,IF(AND(OR('MIDWEEK DASHBOARD'!$C$4="",ISNUMBER(SEARCH('MIDWEEK DASHBOARD'!$C$4,INDEX(MASTER_AREAS!$B:$B,544))))),543,""),""),IF('MIDWEEK DASHBOARD'!$B$4="Zone",IF(543&lt;=$N$4,IF(OR('MIDWEEK DASHBOARD'!$C$4="",ISNUMBER(SEARCH('MIDWEEK DASHBOARD'!$C$4,INDEX(MASTER_ZONES!$B:$B,544)))),543,""),""),""))</f>
        <v/>
      </c>
      <c r="P544">
        <f>IF('CHOP DASHBOARD'!$B$4="Area",IF(543&lt;=$S$3,IF(AND(OR('CHOP DASHBOARD'!$C$4="",ISNUMBER(SEARCH('CHOP DASHBOARD'!$C$4,INDEX(MASTER_AREAS!$B:$B,544))))),543,""),""),IF('CHOP DASHBOARD'!$B$4="Zone",IF(543&lt;=$S$4,IF(OR('CHOP DASHBOARD'!$C$4="",ISNUMBER(SEARCH('CHOP DASHBOARD'!$C$4,INDEX(MASTER_ZONES!$B:$B,544)))),543,""),""),""))</f>
        <v/>
      </c>
      <c r="U544">
        <f>IF('COMMUNITY CHURCH DASHBOARD'!$B$4="Area",IF(543&lt;=$X$3,IF(AND(OR('COMMUNITY CHURCH DASHBOARD'!$C$4="",ISNUMBER(SEARCH('COMMUNITY CHURCH DASHBOARD'!$C$4,INDEX(MASTER_AREAS!$B:$B,544))))),543,""),""),IF('COMMUNITY CHURCH DASHBOARD'!$B$4="Zone",IF(543&lt;=$X$4,IF(OR('COMMUNITY CHURCH DASHBOARD'!$C$4="",ISNUMBER(SEARCH('COMMUNITY CHURCH DASHBOARD'!$C$4,INDEX(MASTER_ZONES!$B:$B,544)))),543,""),""),""))</f>
        <v/>
      </c>
    </row>
    <row r="545">
      <c r="A545">
        <f>IF('WSF DASHBOARD'!$B$4="Area",IF(544&lt;=$D$3,IF(AND(OR('WSF DASHBOARD'!$C$4="",ISNUMBER(SEARCH('WSF DASHBOARD'!$C$4,INDEX(MASTER_AREAS!$B:$B,545))))),544,""),""),IF('WSF DASHBOARD'!$B$4="Zone",IF(544&lt;=$D$4,IF(OR('WSF DASHBOARD'!$C$4="",ISNUMBER(SEARCH('WSF DASHBOARD'!$C$4,INDEX(MASTER_ZONES!$B:$B,545)))),544,""),""),""))</f>
        <v/>
      </c>
      <c r="F545">
        <f>IF('TRANSPORT DASHBOARD'!$B$4="Area",IF(544&lt;=$I$3,IF(AND(INDEX(MASTER_AREAS!$F:$F,545)&lt;&gt;"N",OR('TRANSPORT DASHBOARD'!$C$4="",ISNUMBER(SEARCH('TRANSPORT DASHBOARD'!$C$4,INDEX(MASTER_AREAS!$B:$B,545))))),544,""),""),IF('TRANSPORT DASHBOARD'!$B$4="Zone",IF(544&lt;=$I$4,IF(OR('TRANSPORT DASHBOARD'!$C$4="",ISNUMBER(SEARCH('TRANSPORT DASHBOARD'!$C$4,INDEX(MASTER_ZONES!$B:$B,545)))),544,""),""),""))</f>
        <v/>
      </c>
      <c r="K545">
        <f>IF('MIDWEEK DASHBOARD'!$B$4="Area",IF(544&lt;=$N$3,IF(AND(OR('MIDWEEK DASHBOARD'!$C$4="",ISNUMBER(SEARCH('MIDWEEK DASHBOARD'!$C$4,INDEX(MASTER_AREAS!$B:$B,545))))),544,""),""),IF('MIDWEEK DASHBOARD'!$B$4="Zone",IF(544&lt;=$N$4,IF(OR('MIDWEEK DASHBOARD'!$C$4="",ISNUMBER(SEARCH('MIDWEEK DASHBOARD'!$C$4,INDEX(MASTER_ZONES!$B:$B,545)))),544,""),""),""))</f>
        <v/>
      </c>
      <c r="P545">
        <f>IF('CHOP DASHBOARD'!$B$4="Area",IF(544&lt;=$S$3,IF(AND(OR('CHOP DASHBOARD'!$C$4="",ISNUMBER(SEARCH('CHOP DASHBOARD'!$C$4,INDEX(MASTER_AREAS!$B:$B,545))))),544,""),""),IF('CHOP DASHBOARD'!$B$4="Zone",IF(544&lt;=$S$4,IF(OR('CHOP DASHBOARD'!$C$4="",ISNUMBER(SEARCH('CHOP DASHBOARD'!$C$4,INDEX(MASTER_ZONES!$B:$B,545)))),544,""),""),""))</f>
        <v/>
      </c>
      <c r="U545">
        <f>IF('COMMUNITY CHURCH DASHBOARD'!$B$4="Area",IF(544&lt;=$X$3,IF(AND(OR('COMMUNITY CHURCH DASHBOARD'!$C$4="",ISNUMBER(SEARCH('COMMUNITY CHURCH DASHBOARD'!$C$4,INDEX(MASTER_AREAS!$B:$B,545))))),544,""),""),IF('COMMUNITY CHURCH DASHBOARD'!$B$4="Zone",IF(544&lt;=$X$4,IF(OR('COMMUNITY CHURCH DASHBOARD'!$C$4="",ISNUMBER(SEARCH('COMMUNITY CHURCH DASHBOARD'!$C$4,INDEX(MASTER_ZONES!$B:$B,545)))),544,""),""),""))</f>
        <v/>
      </c>
    </row>
    <row r="546">
      <c r="A546">
        <f>IF('WSF DASHBOARD'!$B$4="Area",IF(545&lt;=$D$3,IF(AND(OR('WSF DASHBOARD'!$C$4="",ISNUMBER(SEARCH('WSF DASHBOARD'!$C$4,INDEX(MASTER_AREAS!$B:$B,546))))),545,""),""),IF('WSF DASHBOARD'!$B$4="Zone",IF(545&lt;=$D$4,IF(OR('WSF DASHBOARD'!$C$4="",ISNUMBER(SEARCH('WSF DASHBOARD'!$C$4,INDEX(MASTER_ZONES!$B:$B,546)))),545,""),""),""))</f>
        <v/>
      </c>
      <c r="F546">
        <f>IF('TRANSPORT DASHBOARD'!$B$4="Area",IF(545&lt;=$I$3,IF(AND(INDEX(MASTER_AREAS!$F:$F,546)&lt;&gt;"N",OR('TRANSPORT DASHBOARD'!$C$4="",ISNUMBER(SEARCH('TRANSPORT DASHBOARD'!$C$4,INDEX(MASTER_AREAS!$B:$B,546))))),545,""),""),IF('TRANSPORT DASHBOARD'!$B$4="Zone",IF(545&lt;=$I$4,IF(OR('TRANSPORT DASHBOARD'!$C$4="",ISNUMBER(SEARCH('TRANSPORT DASHBOARD'!$C$4,INDEX(MASTER_ZONES!$B:$B,546)))),545,""),""),""))</f>
        <v/>
      </c>
      <c r="K546">
        <f>IF('MIDWEEK DASHBOARD'!$B$4="Area",IF(545&lt;=$N$3,IF(AND(OR('MIDWEEK DASHBOARD'!$C$4="",ISNUMBER(SEARCH('MIDWEEK DASHBOARD'!$C$4,INDEX(MASTER_AREAS!$B:$B,546))))),545,""),""),IF('MIDWEEK DASHBOARD'!$B$4="Zone",IF(545&lt;=$N$4,IF(OR('MIDWEEK DASHBOARD'!$C$4="",ISNUMBER(SEARCH('MIDWEEK DASHBOARD'!$C$4,INDEX(MASTER_ZONES!$B:$B,546)))),545,""),""),""))</f>
        <v/>
      </c>
      <c r="P546">
        <f>IF('CHOP DASHBOARD'!$B$4="Area",IF(545&lt;=$S$3,IF(AND(OR('CHOP DASHBOARD'!$C$4="",ISNUMBER(SEARCH('CHOP DASHBOARD'!$C$4,INDEX(MASTER_AREAS!$B:$B,546))))),545,""),""),IF('CHOP DASHBOARD'!$B$4="Zone",IF(545&lt;=$S$4,IF(OR('CHOP DASHBOARD'!$C$4="",ISNUMBER(SEARCH('CHOP DASHBOARD'!$C$4,INDEX(MASTER_ZONES!$B:$B,546)))),545,""),""),""))</f>
        <v/>
      </c>
      <c r="U546">
        <f>IF('COMMUNITY CHURCH DASHBOARD'!$B$4="Area",IF(545&lt;=$X$3,IF(AND(OR('COMMUNITY CHURCH DASHBOARD'!$C$4="",ISNUMBER(SEARCH('COMMUNITY CHURCH DASHBOARD'!$C$4,INDEX(MASTER_AREAS!$B:$B,546))))),545,""),""),IF('COMMUNITY CHURCH DASHBOARD'!$B$4="Zone",IF(545&lt;=$X$4,IF(OR('COMMUNITY CHURCH DASHBOARD'!$C$4="",ISNUMBER(SEARCH('COMMUNITY CHURCH DASHBOARD'!$C$4,INDEX(MASTER_ZONES!$B:$B,546)))),545,""),""),""))</f>
        <v/>
      </c>
    </row>
    <row r="547">
      <c r="A547">
        <f>IF('WSF DASHBOARD'!$B$4="Area",IF(546&lt;=$D$3,IF(AND(OR('WSF DASHBOARD'!$C$4="",ISNUMBER(SEARCH('WSF DASHBOARD'!$C$4,INDEX(MASTER_AREAS!$B:$B,547))))),546,""),""),IF('WSF DASHBOARD'!$B$4="Zone",IF(546&lt;=$D$4,IF(OR('WSF DASHBOARD'!$C$4="",ISNUMBER(SEARCH('WSF DASHBOARD'!$C$4,INDEX(MASTER_ZONES!$B:$B,547)))),546,""),""),""))</f>
        <v/>
      </c>
      <c r="F547">
        <f>IF('TRANSPORT DASHBOARD'!$B$4="Area",IF(546&lt;=$I$3,IF(AND(INDEX(MASTER_AREAS!$F:$F,547)&lt;&gt;"N",OR('TRANSPORT DASHBOARD'!$C$4="",ISNUMBER(SEARCH('TRANSPORT DASHBOARD'!$C$4,INDEX(MASTER_AREAS!$B:$B,547))))),546,""),""),IF('TRANSPORT DASHBOARD'!$B$4="Zone",IF(546&lt;=$I$4,IF(OR('TRANSPORT DASHBOARD'!$C$4="",ISNUMBER(SEARCH('TRANSPORT DASHBOARD'!$C$4,INDEX(MASTER_ZONES!$B:$B,547)))),546,""),""),""))</f>
        <v/>
      </c>
      <c r="K547">
        <f>IF('MIDWEEK DASHBOARD'!$B$4="Area",IF(546&lt;=$N$3,IF(AND(OR('MIDWEEK DASHBOARD'!$C$4="",ISNUMBER(SEARCH('MIDWEEK DASHBOARD'!$C$4,INDEX(MASTER_AREAS!$B:$B,547))))),546,""),""),IF('MIDWEEK DASHBOARD'!$B$4="Zone",IF(546&lt;=$N$4,IF(OR('MIDWEEK DASHBOARD'!$C$4="",ISNUMBER(SEARCH('MIDWEEK DASHBOARD'!$C$4,INDEX(MASTER_ZONES!$B:$B,547)))),546,""),""),""))</f>
        <v/>
      </c>
      <c r="P547">
        <f>IF('CHOP DASHBOARD'!$B$4="Area",IF(546&lt;=$S$3,IF(AND(OR('CHOP DASHBOARD'!$C$4="",ISNUMBER(SEARCH('CHOP DASHBOARD'!$C$4,INDEX(MASTER_AREAS!$B:$B,547))))),546,""),""),IF('CHOP DASHBOARD'!$B$4="Zone",IF(546&lt;=$S$4,IF(OR('CHOP DASHBOARD'!$C$4="",ISNUMBER(SEARCH('CHOP DASHBOARD'!$C$4,INDEX(MASTER_ZONES!$B:$B,547)))),546,""),""),""))</f>
        <v/>
      </c>
      <c r="U547">
        <f>IF('COMMUNITY CHURCH DASHBOARD'!$B$4="Area",IF(546&lt;=$X$3,IF(AND(OR('COMMUNITY CHURCH DASHBOARD'!$C$4="",ISNUMBER(SEARCH('COMMUNITY CHURCH DASHBOARD'!$C$4,INDEX(MASTER_AREAS!$B:$B,547))))),546,""),""),IF('COMMUNITY CHURCH DASHBOARD'!$B$4="Zone",IF(546&lt;=$X$4,IF(OR('COMMUNITY CHURCH DASHBOARD'!$C$4="",ISNUMBER(SEARCH('COMMUNITY CHURCH DASHBOARD'!$C$4,INDEX(MASTER_ZONES!$B:$B,547)))),546,""),""),""))</f>
        <v/>
      </c>
    </row>
    <row r="548">
      <c r="A548">
        <f>IF('WSF DASHBOARD'!$B$4="Area",IF(547&lt;=$D$3,IF(AND(OR('WSF DASHBOARD'!$C$4="",ISNUMBER(SEARCH('WSF DASHBOARD'!$C$4,INDEX(MASTER_AREAS!$B:$B,548))))),547,""),""),IF('WSF DASHBOARD'!$B$4="Zone",IF(547&lt;=$D$4,IF(OR('WSF DASHBOARD'!$C$4="",ISNUMBER(SEARCH('WSF DASHBOARD'!$C$4,INDEX(MASTER_ZONES!$B:$B,548)))),547,""),""),""))</f>
        <v/>
      </c>
      <c r="F548">
        <f>IF('TRANSPORT DASHBOARD'!$B$4="Area",IF(547&lt;=$I$3,IF(AND(INDEX(MASTER_AREAS!$F:$F,548)&lt;&gt;"N",OR('TRANSPORT DASHBOARD'!$C$4="",ISNUMBER(SEARCH('TRANSPORT DASHBOARD'!$C$4,INDEX(MASTER_AREAS!$B:$B,548))))),547,""),""),IF('TRANSPORT DASHBOARD'!$B$4="Zone",IF(547&lt;=$I$4,IF(OR('TRANSPORT DASHBOARD'!$C$4="",ISNUMBER(SEARCH('TRANSPORT DASHBOARD'!$C$4,INDEX(MASTER_ZONES!$B:$B,548)))),547,""),""),""))</f>
        <v/>
      </c>
      <c r="K548">
        <f>IF('MIDWEEK DASHBOARD'!$B$4="Area",IF(547&lt;=$N$3,IF(AND(OR('MIDWEEK DASHBOARD'!$C$4="",ISNUMBER(SEARCH('MIDWEEK DASHBOARD'!$C$4,INDEX(MASTER_AREAS!$B:$B,548))))),547,""),""),IF('MIDWEEK DASHBOARD'!$B$4="Zone",IF(547&lt;=$N$4,IF(OR('MIDWEEK DASHBOARD'!$C$4="",ISNUMBER(SEARCH('MIDWEEK DASHBOARD'!$C$4,INDEX(MASTER_ZONES!$B:$B,548)))),547,""),""),""))</f>
        <v/>
      </c>
      <c r="P548">
        <f>IF('CHOP DASHBOARD'!$B$4="Area",IF(547&lt;=$S$3,IF(AND(OR('CHOP DASHBOARD'!$C$4="",ISNUMBER(SEARCH('CHOP DASHBOARD'!$C$4,INDEX(MASTER_AREAS!$B:$B,548))))),547,""),""),IF('CHOP DASHBOARD'!$B$4="Zone",IF(547&lt;=$S$4,IF(OR('CHOP DASHBOARD'!$C$4="",ISNUMBER(SEARCH('CHOP DASHBOARD'!$C$4,INDEX(MASTER_ZONES!$B:$B,548)))),547,""),""),""))</f>
        <v/>
      </c>
      <c r="U548">
        <f>IF('COMMUNITY CHURCH DASHBOARD'!$B$4="Area",IF(547&lt;=$X$3,IF(AND(OR('COMMUNITY CHURCH DASHBOARD'!$C$4="",ISNUMBER(SEARCH('COMMUNITY CHURCH DASHBOARD'!$C$4,INDEX(MASTER_AREAS!$B:$B,548))))),547,""),""),IF('COMMUNITY CHURCH DASHBOARD'!$B$4="Zone",IF(547&lt;=$X$4,IF(OR('COMMUNITY CHURCH DASHBOARD'!$C$4="",ISNUMBER(SEARCH('COMMUNITY CHURCH DASHBOARD'!$C$4,INDEX(MASTER_ZONES!$B:$B,548)))),547,""),""),""))</f>
        <v/>
      </c>
    </row>
    <row r="549">
      <c r="A549">
        <f>IF('WSF DASHBOARD'!$B$4="Area",IF(548&lt;=$D$3,IF(AND(OR('WSF DASHBOARD'!$C$4="",ISNUMBER(SEARCH('WSF DASHBOARD'!$C$4,INDEX(MASTER_AREAS!$B:$B,549))))),548,""),""),IF('WSF DASHBOARD'!$B$4="Zone",IF(548&lt;=$D$4,IF(OR('WSF DASHBOARD'!$C$4="",ISNUMBER(SEARCH('WSF DASHBOARD'!$C$4,INDEX(MASTER_ZONES!$B:$B,549)))),548,""),""),""))</f>
        <v/>
      </c>
      <c r="F549">
        <f>IF('TRANSPORT DASHBOARD'!$B$4="Area",IF(548&lt;=$I$3,IF(AND(INDEX(MASTER_AREAS!$F:$F,549)&lt;&gt;"N",OR('TRANSPORT DASHBOARD'!$C$4="",ISNUMBER(SEARCH('TRANSPORT DASHBOARD'!$C$4,INDEX(MASTER_AREAS!$B:$B,549))))),548,""),""),IF('TRANSPORT DASHBOARD'!$B$4="Zone",IF(548&lt;=$I$4,IF(OR('TRANSPORT DASHBOARD'!$C$4="",ISNUMBER(SEARCH('TRANSPORT DASHBOARD'!$C$4,INDEX(MASTER_ZONES!$B:$B,549)))),548,""),""),""))</f>
        <v/>
      </c>
      <c r="K549">
        <f>IF('MIDWEEK DASHBOARD'!$B$4="Area",IF(548&lt;=$N$3,IF(AND(OR('MIDWEEK DASHBOARD'!$C$4="",ISNUMBER(SEARCH('MIDWEEK DASHBOARD'!$C$4,INDEX(MASTER_AREAS!$B:$B,549))))),548,""),""),IF('MIDWEEK DASHBOARD'!$B$4="Zone",IF(548&lt;=$N$4,IF(OR('MIDWEEK DASHBOARD'!$C$4="",ISNUMBER(SEARCH('MIDWEEK DASHBOARD'!$C$4,INDEX(MASTER_ZONES!$B:$B,549)))),548,""),""),""))</f>
        <v/>
      </c>
      <c r="P549">
        <f>IF('CHOP DASHBOARD'!$B$4="Area",IF(548&lt;=$S$3,IF(AND(OR('CHOP DASHBOARD'!$C$4="",ISNUMBER(SEARCH('CHOP DASHBOARD'!$C$4,INDEX(MASTER_AREAS!$B:$B,549))))),548,""),""),IF('CHOP DASHBOARD'!$B$4="Zone",IF(548&lt;=$S$4,IF(OR('CHOP DASHBOARD'!$C$4="",ISNUMBER(SEARCH('CHOP DASHBOARD'!$C$4,INDEX(MASTER_ZONES!$B:$B,549)))),548,""),""),""))</f>
        <v/>
      </c>
      <c r="U549">
        <f>IF('COMMUNITY CHURCH DASHBOARD'!$B$4="Area",IF(548&lt;=$X$3,IF(AND(OR('COMMUNITY CHURCH DASHBOARD'!$C$4="",ISNUMBER(SEARCH('COMMUNITY CHURCH DASHBOARD'!$C$4,INDEX(MASTER_AREAS!$B:$B,549))))),548,""),""),IF('COMMUNITY CHURCH DASHBOARD'!$B$4="Zone",IF(548&lt;=$X$4,IF(OR('COMMUNITY CHURCH DASHBOARD'!$C$4="",ISNUMBER(SEARCH('COMMUNITY CHURCH DASHBOARD'!$C$4,INDEX(MASTER_ZONES!$B:$B,549)))),548,""),""),""))</f>
        <v/>
      </c>
    </row>
    <row r="550">
      <c r="A550">
        <f>IF('WSF DASHBOARD'!$B$4="Area",IF(549&lt;=$D$3,IF(AND(OR('WSF DASHBOARD'!$C$4="",ISNUMBER(SEARCH('WSF DASHBOARD'!$C$4,INDEX(MASTER_AREAS!$B:$B,550))))),549,""),""),IF('WSF DASHBOARD'!$B$4="Zone",IF(549&lt;=$D$4,IF(OR('WSF DASHBOARD'!$C$4="",ISNUMBER(SEARCH('WSF DASHBOARD'!$C$4,INDEX(MASTER_ZONES!$B:$B,550)))),549,""),""),""))</f>
        <v/>
      </c>
      <c r="F550">
        <f>IF('TRANSPORT DASHBOARD'!$B$4="Area",IF(549&lt;=$I$3,IF(AND(INDEX(MASTER_AREAS!$F:$F,550)&lt;&gt;"N",OR('TRANSPORT DASHBOARD'!$C$4="",ISNUMBER(SEARCH('TRANSPORT DASHBOARD'!$C$4,INDEX(MASTER_AREAS!$B:$B,550))))),549,""),""),IF('TRANSPORT DASHBOARD'!$B$4="Zone",IF(549&lt;=$I$4,IF(OR('TRANSPORT DASHBOARD'!$C$4="",ISNUMBER(SEARCH('TRANSPORT DASHBOARD'!$C$4,INDEX(MASTER_ZONES!$B:$B,550)))),549,""),""),""))</f>
        <v/>
      </c>
      <c r="K550">
        <f>IF('MIDWEEK DASHBOARD'!$B$4="Area",IF(549&lt;=$N$3,IF(AND(OR('MIDWEEK DASHBOARD'!$C$4="",ISNUMBER(SEARCH('MIDWEEK DASHBOARD'!$C$4,INDEX(MASTER_AREAS!$B:$B,550))))),549,""),""),IF('MIDWEEK DASHBOARD'!$B$4="Zone",IF(549&lt;=$N$4,IF(OR('MIDWEEK DASHBOARD'!$C$4="",ISNUMBER(SEARCH('MIDWEEK DASHBOARD'!$C$4,INDEX(MASTER_ZONES!$B:$B,550)))),549,""),""),""))</f>
        <v/>
      </c>
      <c r="P550">
        <f>IF('CHOP DASHBOARD'!$B$4="Area",IF(549&lt;=$S$3,IF(AND(OR('CHOP DASHBOARD'!$C$4="",ISNUMBER(SEARCH('CHOP DASHBOARD'!$C$4,INDEX(MASTER_AREAS!$B:$B,550))))),549,""),""),IF('CHOP DASHBOARD'!$B$4="Zone",IF(549&lt;=$S$4,IF(OR('CHOP DASHBOARD'!$C$4="",ISNUMBER(SEARCH('CHOP DASHBOARD'!$C$4,INDEX(MASTER_ZONES!$B:$B,550)))),549,""),""),""))</f>
        <v/>
      </c>
      <c r="U550">
        <f>IF('COMMUNITY CHURCH DASHBOARD'!$B$4="Area",IF(549&lt;=$X$3,IF(AND(OR('COMMUNITY CHURCH DASHBOARD'!$C$4="",ISNUMBER(SEARCH('COMMUNITY CHURCH DASHBOARD'!$C$4,INDEX(MASTER_AREAS!$B:$B,550))))),549,""),""),IF('COMMUNITY CHURCH DASHBOARD'!$B$4="Zone",IF(549&lt;=$X$4,IF(OR('COMMUNITY CHURCH DASHBOARD'!$C$4="",ISNUMBER(SEARCH('COMMUNITY CHURCH DASHBOARD'!$C$4,INDEX(MASTER_ZONES!$B:$B,550)))),549,""),""),""))</f>
        <v/>
      </c>
    </row>
    <row r="551">
      <c r="A551">
        <f>IF('WSF DASHBOARD'!$B$4="Area",IF(550&lt;=$D$3,IF(AND(OR('WSF DASHBOARD'!$C$4="",ISNUMBER(SEARCH('WSF DASHBOARD'!$C$4,INDEX(MASTER_AREAS!$B:$B,551))))),550,""),""),IF('WSF DASHBOARD'!$B$4="Zone",IF(550&lt;=$D$4,IF(OR('WSF DASHBOARD'!$C$4="",ISNUMBER(SEARCH('WSF DASHBOARD'!$C$4,INDEX(MASTER_ZONES!$B:$B,551)))),550,""),""),""))</f>
        <v/>
      </c>
      <c r="F551">
        <f>IF('TRANSPORT DASHBOARD'!$B$4="Area",IF(550&lt;=$I$3,IF(AND(INDEX(MASTER_AREAS!$F:$F,551)&lt;&gt;"N",OR('TRANSPORT DASHBOARD'!$C$4="",ISNUMBER(SEARCH('TRANSPORT DASHBOARD'!$C$4,INDEX(MASTER_AREAS!$B:$B,551))))),550,""),""),IF('TRANSPORT DASHBOARD'!$B$4="Zone",IF(550&lt;=$I$4,IF(OR('TRANSPORT DASHBOARD'!$C$4="",ISNUMBER(SEARCH('TRANSPORT DASHBOARD'!$C$4,INDEX(MASTER_ZONES!$B:$B,551)))),550,""),""),""))</f>
        <v/>
      </c>
      <c r="K551">
        <f>IF('MIDWEEK DASHBOARD'!$B$4="Area",IF(550&lt;=$N$3,IF(AND(OR('MIDWEEK DASHBOARD'!$C$4="",ISNUMBER(SEARCH('MIDWEEK DASHBOARD'!$C$4,INDEX(MASTER_AREAS!$B:$B,551))))),550,""),""),IF('MIDWEEK DASHBOARD'!$B$4="Zone",IF(550&lt;=$N$4,IF(OR('MIDWEEK DASHBOARD'!$C$4="",ISNUMBER(SEARCH('MIDWEEK DASHBOARD'!$C$4,INDEX(MASTER_ZONES!$B:$B,551)))),550,""),""),""))</f>
        <v/>
      </c>
      <c r="P551">
        <f>IF('CHOP DASHBOARD'!$B$4="Area",IF(550&lt;=$S$3,IF(AND(OR('CHOP DASHBOARD'!$C$4="",ISNUMBER(SEARCH('CHOP DASHBOARD'!$C$4,INDEX(MASTER_AREAS!$B:$B,551))))),550,""),""),IF('CHOP DASHBOARD'!$B$4="Zone",IF(550&lt;=$S$4,IF(OR('CHOP DASHBOARD'!$C$4="",ISNUMBER(SEARCH('CHOP DASHBOARD'!$C$4,INDEX(MASTER_ZONES!$B:$B,551)))),550,""),""),""))</f>
        <v/>
      </c>
      <c r="U551">
        <f>IF('COMMUNITY CHURCH DASHBOARD'!$B$4="Area",IF(550&lt;=$X$3,IF(AND(OR('COMMUNITY CHURCH DASHBOARD'!$C$4="",ISNUMBER(SEARCH('COMMUNITY CHURCH DASHBOARD'!$C$4,INDEX(MASTER_AREAS!$B:$B,551))))),550,""),""),IF('COMMUNITY CHURCH DASHBOARD'!$B$4="Zone",IF(550&lt;=$X$4,IF(OR('COMMUNITY CHURCH DASHBOARD'!$C$4="",ISNUMBER(SEARCH('COMMUNITY CHURCH DASHBOARD'!$C$4,INDEX(MASTER_ZONES!$B:$B,551)))),550,""),""),""))</f>
        <v/>
      </c>
    </row>
    <row r="552">
      <c r="A552">
        <f>IF('WSF DASHBOARD'!$B$4="Area",IF(551&lt;=$D$3,IF(AND(OR('WSF DASHBOARD'!$C$4="",ISNUMBER(SEARCH('WSF DASHBOARD'!$C$4,INDEX(MASTER_AREAS!$B:$B,552))))),551,""),""),IF('WSF DASHBOARD'!$B$4="Zone",IF(551&lt;=$D$4,IF(OR('WSF DASHBOARD'!$C$4="",ISNUMBER(SEARCH('WSF DASHBOARD'!$C$4,INDEX(MASTER_ZONES!$B:$B,552)))),551,""),""),""))</f>
        <v/>
      </c>
      <c r="F552">
        <f>IF('TRANSPORT DASHBOARD'!$B$4="Area",IF(551&lt;=$I$3,IF(AND(INDEX(MASTER_AREAS!$F:$F,552)&lt;&gt;"N",OR('TRANSPORT DASHBOARD'!$C$4="",ISNUMBER(SEARCH('TRANSPORT DASHBOARD'!$C$4,INDEX(MASTER_AREAS!$B:$B,552))))),551,""),""),IF('TRANSPORT DASHBOARD'!$B$4="Zone",IF(551&lt;=$I$4,IF(OR('TRANSPORT DASHBOARD'!$C$4="",ISNUMBER(SEARCH('TRANSPORT DASHBOARD'!$C$4,INDEX(MASTER_ZONES!$B:$B,552)))),551,""),""),""))</f>
        <v/>
      </c>
      <c r="K552">
        <f>IF('MIDWEEK DASHBOARD'!$B$4="Area",IF(551&lt;=$N$3,IF(AND(OR('MIDWEEK DASHBOARD'!$C$4="",ISNUMBER(SEARCH('MIDWEEK DASHBOARD'!$C$4,INDEX(MASTER_AREAS!$B:$B,552))))),551,""),""),IF('MIDWEEK DASHBOARD'!$B$4="Zone",IF(551&lt;=$N$4,IF(OR('MIDWEEK DASHBOARD'!$C$4="",ISNUMBER(SEARCH('MIDWEEK DASHBOARD'!$C$4,INDEX(MASTER_ZONES!$B:$B,552)))),551,""),""),""))</f>
        <v/>
      </c>
      <c r="P552">
        <f>IF('CHOP DASHBOARD'!$B$4="Area",IF(551&lt;=$S$3,IF(AND(OR('CHOP DASHBOARD'!$C$4="",ISNUMBER(SEARCH('CHOP DASHBOARD'!$C$4,INDEX(MASTER_AREAS!$B:$B,552))))),551,""),""),IF('CHOP DASHBOARD'!$B$4="Zone",IF(551&lt;=$S$4,IF(OR('CHOP DASHBOARD'!$C$4="",ISNUMBER(SEARCH('CHOP DASHBOARD'!$C$4,INDEX(MASTER_ZONES!$B:$B,552)))),551,""),""),""))</f>
        <v/>
      </c>
      <c r="U552">
        <f>IF('COMMUNITY CHURCH DASHBOARD'!$B$4="Area",IF(551&lt;=$X$3,IF(AND(OR('COMMUNITY CHURCH DASHBOARD'!$C$4="",ISNUMBER(SEARCH('COMMUNITY CHURCH DASHBOARD'!$C$4,INDEX(MASTER_AREAS!$B:$B,552))))),551,""),""),IF('COMMUNITY CHURCH DASHBOARD'!$B$4="Zone",IF(551&lt;=$X$4,IF(OR('COMMUNITY CHURCH DASHBOARD'!$C$4="",ISNUMBER(SEARCH('COMMUNITY CHURCH DASHBOARD'!$C$4,INDEX(MASTER_ZONES!$B:$B,552)))),551,""),""),""))</f>
        <v/>
      </c>
    </row>
    <row r="553">
      <c r="A553">
        <f>IF('WSF DASHBOARD'!$B$4="Area",IF(552&lt;=$D$3,IF(AND(OR('WSF DASHBOARD'!$C$4="",ISNUMBER(SEARCH('WSF DASHBOARD'!$C$4,INDEX(MASTER_AREAS!$B:$B,553))))),552,""),""),IF('WSF DASHBOARD'!$B$4="Zone",IF(552&lt;=$D$4,IF(OR('WSF DASHBOARD'!$C$4="",ISNUMBER(SEARCH('WSF DASHBOARD'!$C$4,INDEX(MASTER_ZONES!$B:$B,553)))),552,""),""),""))</f>
        <v/>
      </c>
      <c r="F553">
        <f>IF('TRANSPORT DASHBOARD'!$B$4="Area",IF(552&lt;=$I$3,IF(AND(INDEX(MASTER_AREAS!$F:$F,553)&lt;&gt;"N",OR('TRANSPORT DASHBOARD'!$C$4="",ISNUMBER(SEARCH('TRANSPORT DASHBOARD'!$C$4,INDEX(MASTER_AREAS!$B:$B,553))))),552,""),""),IF('TRANSPORT DASHBOARD'!$B$4="Zone",IF(552&lt;=$I$4,IF(OR('TRANSPORT DASHBOARD'!$C$4="",ISNUMBER(SEARCH('TRANSPORT DASHBOARD'!$C$4,INDEX(MASTER_ZONES!$B:$B,553)))),552,""),""),""))</f>
        <v/>
      </c>
      <c r="K553">
        <f>IF('MIDWEEK DASHBOARD'!$B$4="Area",IF(552&lt;=$N$3,IF(AND(OR('MIDWEEK DASHBOARD'!$C$4="",ISNUMBER(SEARCH('MIDWEEK DASHBOARD'!$C$4,INDEX(MASTER_AREAS!$B:$B,553))))),552,""),""),IF('MIDWEEK DASHBOARD'!$B$4="Zone",IF(552&lt;=$N$4,IF(OR('MIDWEEK DASHBOARD'!$C$4="",ISNUMBER(SEARCH('MIDWEEK DASHBOARD'!$C$4,INDEX(MASTER_ZONES!$B:$B,553)))),552,""),""),""))</f>
        <v/>
      </c>
      <c r="P553">
        <f>IF('CHOP DASHBOARD'!$B$4="Area",IF(552&lt;=$S$3,IF(AND(OR('CHOP DASHBOARD'!$C$4="",ISNUMBER(SEARCH('CHOP DASHBOARD'!$C$4,INDEX(MASTER_AREAS!$B:$B,553))))),552,""),""),IF('CHOP DASHBOARD'!$B$4="Zone",IF(552&lt;=$S$4,IF(OR('CHOP DASHBOARD'!$C$4="",ISNUMBER(SEARCH('CHOP DASHBOARD'!$C$4,INDEX(MASTER_ZONES!$B:$B,553)))),552,""),""),""))</f>
        <v/>
      </c>
      <c r="U553">
        <f>IF('COMMUNITY CHURCH DASHBOARD'!$B$4="Area",IF(552&lt;=$X$3,IF(AND(OR('COMMUNITY CHURCH DASHBOARD'!$C$4="",ISNUMBER(SEARCH('COMMUNITY CHURCH DASHBOARD'!$C$4,INDEX(MASTER_AREAS!$B:$B,553))))),552,""),""),IF('COMMUNITY CHURCH DASHBOARD'!$B$4="Zone",IF(552&lt;=$X$4,IF(OR('COMMUNITY CHURCH DASHBOARD'!$C$4="",ISNUMBER(SEARCH('COMMUNITY CHURCH DASHBOARD'!$C$4,INDEX(MASTER_ZONES!$B:$B,553)))),552,""),""),""))</f>
        <v/>
      </c>
    </row>
    <row r="554">
      <c r="A554">
        <f>IF('WSF DASHBOARD'!$B$4="Area",IF(553&lt;=$D$3,IF(AND(OR('WSF DASHBOARD'!$C$4="",ISNUMBER(SEARCH('WSF DASHBOARD'!$C$4,INDEX(MASTER_AREAS!$B:$B,554))))),553,""),""),IF('WSF DASHBOARD'!$B$4="Zone",IF(553&lt;=$D$4,IF(OR('WSF DASHBOARD'!$C$4="",ISNUMBER(SEARCH('WSF DASHBOARD'!$C$4,INDEX(MASTER_ZONES!$B:$B,554)))),553,""),""),""))</f>
        <v/>
      </c>
      <c r="F554">
        <f>IF('TRANSPORT DASHBOARD'!$B$4="Area",IF(553&lt;=$I$3,IF(AND(INDEX(MASTER_AREAS!$F:$F,554)&lt;&gt;"N",OR('TRANSPORT DASHBOARD'!$C$4="",ISNUMBER(SEARCH('TRANSPORT DASHBOARD'!$C$4,INDEX(MASTER_AREAS!$B:$B,554))))),553,""),""),IF('TRANSPORT DASHBOARD'!$B$4="Zone",IF(553&lt;=$I$4,IF(OR('TRANSPORT DASHBOARD'!$C$4="",ISNUMBER(SEARCH('TRANSPORT DASHBOARD'!$C$4,INDEX(MASTER_ZONES!$B:$B,554)))),553,""),""),""))</f>
        <v/>
      </c>
      <c r="K554">
        <f>IF('MIDWEEK DASHBOARD'!$B$4="Area",IF(553&lt;=$N$3,IF(AND(OR('MIDWEEK DASHBOARD'!$C$4="",ISNUMBER(SEARCH('MIDWEEK DASHBOARD'!$C$4,INDEX(MASTER_AREAS!$B:$B,554))))),553,""),""),IF('MIDWEEK DASHBOARD'!$B$4="Zone",IF(553&lt;=$N$4,IF(OR('MIDWEEK DASHBOARD'!$C$4="",ISNUMBER(SEARCH('MIDWEEK DASHBOARD'!$C$4,INDEX(MASTER_ZONES!$B:$B,554)))),553,""),""),""))</f>
        <v/>
      </c>
      <c r="P554">
        <f>IF('CHOP DASHBOARD'!$B$4="Area",IF(553&lt;=$S$3,IF(AND(OR('CHOP DASHBOARD'!$C$4="",ISNUMBER(SEARCH('CHOP DASHBOARD'!$C$4,INDEX(MASTER_AREAS!$B:$B,554))))),553,""),""),IF('CHOP DASHBOARD'!$B$4="Zone",IF(553&lt;=$S$4,IF(OR('CHOP DASHBOARD'!$C$4="",ISNUMBER(SEARCH('CHOP DASHBOARD'!$C$4,INDEX(MASTER_ZONES!$B:$B,554)))),553,""),""),""))</f>
        <v/>
      </c>
      <c r="U554">
        <f>IF('COMMUNITY CHURCH DASHBOARD'!$B$4="Area",IF(553&lt;=$X$3,IF(AND(OR('COMMUNITY CHURCH DASHBOARD'!$C$4="",ISNUMBER(SEARCH('COMMUNITY CHURCH DASHBOARD'!$C$4,INDEX(MASTER_AREAS!$B:$B,554))))),553,""),""),IF('COMMUNITY CHURCH DASHBOARD'!$B$4="Zone",IF(553&lt;=$X$4,IF(OR('COMMUNITY CHURCH DASHBOARD'!$C$4="",ISNUMBER(SEARCH('COMMUNITY CHURCH DASHBOARD'!$C$4,INDEX(MASTER_ZONES!$B:$B,554)))),553,""),""),""))</f>
        <v/>
      </c>
    </row>
    <row r="555">
      <c r="A555">
        <f>IF('WSF DASHBOARD'!$B$4="Area",IF(554&lt;=$D$3,IF(AND(OR('WSF DASHBOARD'!$C$4="",ISNUMBER(SEARCH('WSF DASHBOARD'!$C$4,INDEX(MASTER_AREAS!$B:$B,555))))),554,""),""),IF('WSF DASHBOARD'!$B$4="Zone",IF(554&lt;=$D$4,IF(OR('WSF DASHBOARD'!$C$4="",ISNUMBER(SEARCH('WSF DASHBOARD'!$C$4,INDEX(MASTER_ZONES!$B:$B,555)))),554,""),""),""))</f>
        <v/>
      </c>
      <c r="F555">
        <f>IF('TRANSPORT DASHBOARD'!$B$4="Area",IF(554&lt;=$I$3,IF(AND(INDEX(MASTER_AREAS!$F:$F,555)&lt;&gt;"N",OR('TRANSPORT DASHBOARD'!$C$4="",ISNUMBER(SEARCH('TRANSPORT DASHBOARD'!$C$4,INDEX(MASTER_AREAS!$B:$B,555))))),554,""),""),IF('TRANSPORT DASHBOARD'!$B$4="Zone",IF(554&lt;=$I$4,IF(OR('TRANSPORT DASHBOARD'!$C$4="",ISNUMBER(SEARCH('TRANSPORT DASHBOARD'!$C$4,INDEX(MASTER_ZONES!$B:$B,555)))),554,""),""),""))</f>
        <v/>
      </c>
      <c r="K555">
        <f>IF('MIDWEEK DASHBOARD'!$B$4="Area",IF(554&lt;=$N$3,IF(AND(OR('MIDWEEK DASHBOARD'!$C$4="",ISNUMBER(SEARCH('MIDWEEK DASHBOARD'!$C$4,INDEX(MASTER_AREAS!$B:$B,555))))),554,""),""),IF('MIDWEEK DASHBOARD'!$B$4="Zone",IF(554&lt;=$N$4,IF(OR('MIDWEEK DASHBOARD'!$C$4="",ISNUMBER(SEARCH('MIDWEEK DASHBOARD'!$C$4,INDEX(MASTER_ZONES!$B:$B,555)))),554,""),""),""))</f>
        <v/>
      </c>
      <c r="P555">
        <f>IF('CHOP DASHBOARD'!$B$4="Area",IF(554&lt;=$S$3,IF(AND(OR('CHOP DASHBOARD'!$C$4="",ISNUMBER(SEARCH('CHOP DASHBOARD'!$C$4,INDEX(MASTER_AREAS!$B:$B,555))))),554,""),""),IF('CHOP DASHBOARD'!$B$4="Zone",IF(554&lt;=$S$4,IF(OR('CHOP DASHBOARD'!$C$4="",ISNUMBER(SEARCH('CHOP DASHBOARD'!$C$4,INDEX(MASTER_ZONES!$B:$B,555)))),554,""),""),""))</f>
        <v/>
      </c>
      <c r="U555">
        <f>IF('COMMUNITY CHURCH DASHBOARD'!$B$4="Area",IF(554&lt;=$X$3,IF(AND(OR('COMMUNITY CHURCH DASHBOARD'!$C$4="",ISNUMBER(SEARCH('COMMUNITY CHURCH DASHBOARD'!$C$4,INDEX(MASTER_AREAS!$B:$B,555))))),554,""),""),IF('COMMUNITY CHURCH DASHBOARD'!$B$4="Zone",IF(554&lt;=$X$4,IF(OR('COMMUNITY CHURCH DASHBOARD'!$C$4="",ISNUMBER(SEARCH('COMMUNITY CHURCH DASHBOARD'!$C$4,INDEX(MASTER_ZONES!$B:$B,555)))),554,""),""),""))</f>
        <v/>
      </c>
    </row>
    <row r="556">
      <c r="A556">
        <f>IF('WSF DASHBOARD'!$B$4="Area",IF(555&lt;=$D$3,IF(AND(OR('WSF DASHBOARD'!$C$4="",ISNUMBER(SEARCH('WSF DASHBOARD'!$C$4,INDEX(MASTER_AREAS!$B:$B,556))))),555,""),""),IF('WSF DASHBOARD'!$B$4="Zone",IF(555&lt;=$D$4,IF(OR('WSF DASHBOARD'!$C$4="",ISNUMBER(SEARCH('WSF DASHBOARD'!$C$4,INDEX(MASTER_ZONES!$B:$B,556)))),555,""),""),""))</f>
        <v/>
      </c>
      <c r="F556">
        <f>IF('TRANSPORT DASHBOARD'!$B$4="Area",IF(555&lt;=$I$3,IF(AND(INDEX(MASTER_AREAS!$F:$F,556)&lt;&gt;"N",OR('TRANSPORT DASHBOARD'!$C$4="",ISNUMBER(SEARCH('TRANSPORT DASHBOARD'!$C$4,INDEX(MASTER_AREAS!$B:$B,556))))),555,""),""),IF('TRANSPORT DASHBOARD'!$B$4="Zone",IF(555&lt;=$I$4,IF(OR('TRANSPORT DASHBOARD'!$C$4="",ISNUMBER(SEARCH('TRANSPORT DASHBOARD'!$C$4,INDEX(MASTER_ZONES!$B:$B,556)))),555,""),""),""))</f>
        <v/>
      </c>
      <c r="K556">
        <f>IF('MIDWEEK DASHBOARD'!$B$4="Area",IF(555&lt;=$N$3,IF(AND(OR('MIDWEEK DASHBOARD'!$C$4="",ISNUMBER(SEARCH('MIDWEEK DASHBOARD'!$C$4,INDEX(MASTER_AREAS!$B:$B,556))))),555,""),""),IF('MIDWEEK DASHBOARD'!$B$4="Zone",IF(555&lt;=$N$4,IF(OR('MIDWEEK DASHBOARD'!$C$4="",ISNUMBER(SEARCH('MIDWEEK DASHBOARD'!$C$4,INDEX(MASTER_ZONES!$B:$B,556)))),555,""),""),""))</f>
        <v/>
      </c>
      <c r="P556">
        <f>IF('CHOP DASHBOARD'!$B$4="Area",IF(555&lt;=$S$3,IF(AND(OR('CHOP DASHBOARD'!$C$4="",ISNUMBER(SEARCH('CHOP DASHBOARD'!$C$4,INDEX(MASTER_AREAS!$B:$B,556))))),555,""),""),IF('CHOP DASHBOARD'!$B$4="Zone",IF(555&lt;=$S$4,IF(OR('CHOP DASHBOARD'!$C$4="",ISNUMBER(SEARCH('CHOP DASHBOARD'!$C$4,INDEX(MASTER_ZONES!$B:$B,556)))),555,""),""),""))</f>
        <v/>
      </c>
      <c r="U556">
        <f>IF('COMMUNITY CHURCH DASHBOARD'!$B$4="Area",IF(555&lt;=$X$3,IF(AND(OR('COMMUNITY CHURCH DASHBOARD'!$C$4="",ISNUMBER(SEARCH('COMMUNITY CHURCH DASHBOARD'!$C$4,INDEX(MASTER_AREAS!$B:$B,556))))),555,""),""),IF('COMMUNITY CHURCH DASHBOARD'!$B$4="Zone",IF(555&lt;=$X$4,IF(OR('COMMUNITY CHURCH DASHBOARD'!$C$4="",ISNUMBER(SEARCH('COMMUNITY CHURCH DASHBOARD'!$C$4,INDEX(MASTER_ZONES!$B:$B,556)))),555,""),""),""))</f>
        <v/>
      </c>
    </row>
    <row r="557">
      <c r="A557">
        <f>IF('WSF DASHBOARD'!$B$4="Area",IF(556&lt;=$D$3,IF(AND(OR('WSF DASHBOARD'!$C$4="",ISNUMBER(SEARCH('WSF DASHBOARD'!$C$4,INDEX(MASTER_AREAS!$B:$B,557))))),556,""),""),IF('WSF DASHBOARD'!$B$4="Zone",IF(556&lt;=$D$4,IF(OR('WSF DASHBOARD'!$C$4="",ISNUMBER(SEARCH('WSF DASHBOARD'!$C$4,INDEX(MASTER_ZONES!$B:$B,557)))),556,""),""),""))</f>
        <v/>
      </c>
      <c r="F557">
        <f>IF('TRANSPORT DASHBOARD'!$B$4="Area",IF(556&lt;=$I$3,IF(AND(INDEX(MASTER_AREAS!$F:$F,557)&lt;&gt;"N",OR('TRANSPORT DASHBOARD'!$C$4="",ISNUMBER(SEARCH('TRANSPORT DASHBOARD'!$C$4,INDEX(MASTER_AREAS!$B:$B,557))))),556,""),""),IF('TRANSPORT DASHBOARD'!$B$4="Zone",IF(556&lt;=$I$4,IF(OR('TRANSPORT DASHBOARD'!$C$4="",ISNUMBER(SEARCH('TRANSPORT DASHBOARD'!$C$4,INDEX(MASTER_ZONES!$B:$B,557)))),556,""),""),""))</f>
        <v/>
      </c>
      <c r="K557">
        <f>IF('MIDWEEK DASHBOARD'!$B$4="Area",IF(556&lt;=$N$3,IF(AND(OR('MIDWEEK DASHBOARD'!$C$4="",ISNUMBER(SEARCH('MIDWEEK DASHBOARD'!$C$4,INDEX(MASTER_AREAS!$B:$B,557))))),556,""),""),IF('MIDWEEK DASHBOARD'!$B$4="Zone",IF(556&lt;=$N$4,IF(OR('MIDWEEK DASHBOARD'!$C$4="",ISNUMBER(SEARCH('MIDWEEK DASHBOARD'!$C$4,INDEX(MASTER_ZONES!$B:$B,557)))),556,""),""),""))</f>
        <v/>
      </c>
      <c r="P557">
        <f>IF('CHOP DASHBOARD'!$B$4="Area",IF(556&lt;=$S$3,IF(AND(OR('CHOP DASHBOARD'!$C$4="",ISNUMBER(SEARCH('CHOP DASHBOARD'!$C$4,INDEX(MASTER_AREAS!$B:$B,557))))),556,""),""),IF('CHOP DASHBOARD'!$B$4="Zone",IF(556&lt;=$S$4,IF(OR('CHOP DASHBOARD'!$C$4="",ISNUMBER(SEARCH('CHOP DASHBOARD'!$C$4,INDEX(MASTER_ZONES!$B:$B,557)))),556,""),""),""))</f>
        <v/>
      </c>
      <c r="U557">
        <f>IF('COMMUNITY CHURCH DASHBOARD'!$B$4="Area",IF(556&lt;=$X$3,IF(AND(OR('COMMUNITY CHURCH DASHBOARD'!$C$4="",ISNUMBER(SEARCH('COMMUNITY CHURCH DASHBOARD'!$C$4,INDEX(MASTER_AREAS!$B:$B,557))))),556,""),""),IF('COMMUNITY CHURCH DASHBOARD'!$B$4="Zone",IF(556&lt;=$X$4,IF(OR('COMMUNITY CHURCH DASHBOARD'!$C$4="",ISNUMBER(SEARCH('COMMUNITY CHURCH DASHBOARD'!$C$4,INDEX(MASTER_ZONES!$B:$B,557)))),556,""),""),""))</f>
        <v/>
      </c>
    </row>
    <row r="558">
      <c r="A558">
        <f>IF('WSF DASHBOARD'!$B$4="Area",IF(557&lt;=$D$3,IF(AND(OR('WSF DASHBOARD'!$C$4="",ISNUMBER(SEARCH('WSF DASHBOARD'!$C$4,INDEX(MASTER_AREAS!$B:$B,558))))),557,""),""),IF('WSF DASHBOARD'!$B$4="Zone",IF(557&lt;=$D$4,IF(OR('WSF DASHBOARD'!$C$4="",ISNUMBER(SEARCH('WSF DASHBOARD'!$C$4,INDEX(MASTER_ZONES!$B:$B,558)))),557,""),""),""))</f>
        <v/>
      </c>
      <c r="F558">
        <f>IF('TRANSPORT DASHBOARD'!$B$4="Area",IF(557&lt;=$I$3,IF(AND(INDEX(MASTER_AREAS!$F:$F,558)&lt;&gt;"N",OR('TRANSPORT DASHBOARD'!$C$4="",ISNUMBER(SEARCH('TRANSPORT DASHBOARD'!$C$4,INDEX(MASTER_AREAS!$B:$B,558))))),557,""),""),IF('TRANSPORT DASHBOARD'!$B$4="Zone",IF(557&lt;=$I$4,IF(OR('TRANSPORT DASHBOARD'!$C$4="",ISNUMBER(SEARCH('TRANSPORT DASHBOARD'!$C$4,INDEX(MASTER_ZONES!$B:$B,558)))),557,""),""),""))</f>
        <v/>
      </c>
      <c r="K558">
        <f>IF('MIDWEEK DASHBOARD'!$B$4="Area",IF(557&lt;=$N$3,IF(AND(OR('MIDWEEK DASHBOARD'!$C$4="",ISNUMBER(SEARCH('MIDWEEK DASHBOARD'!$C$4,INDEX(MASTER_AREAS!$B:$B,558))))),557,""),""),IF('MIDWEEK DASHBOARD'!$B$4="Zone",IF(557&lt;=$N$4,IF(OR('MIDWEEK DASHBOARD'!$C$4="",ISNUMBER(SEARCH('MIDWEEK DASHBOARD'!$C$4,INDEX(MASTER_ZONES!$B:$B,558)))),557,""),""),""))</f>
        <v/>
      </c>
      <c r="P558">
        <f>IF('CHOP DASHBOARD'!$B$4="Area",IF(557&lt;=$S$3,IF(AND(OR('CHOP DASHBOARD'!$C$4="",ISNUMBER(SEARCH('CHOP DASHBOARD'!$C$4,INDEX(MASTER_AREAS!$B:$B,558))))),557,""),""),IF('CHOP DASHBOARD'!$B$4="Zone",IF(557&lt;=$S$4,IF(OR('CHOP DASHBOARD'!$C$4="",ISNUMBER(SEARCH('CHOP DASHBOARD'!$C$4,INDEX(MASTER_ZONES!$B:$B,558)))),557,""),""),""))</f>
        <v/>
      </c>
      <c r="U558">
        <f>IF('COMMUNITY CHURCH DASHBOARD'!$B$4="Area",IF(557&lt;=$X$3,IF(AND(OR('COMMUNITY CHURCH DASHBOARD'!$C$4="",ISNUMBER(SEARCH('COMMUNITY CHURCH DASHBOARD'!$C$4,INDEX(MASTER_AREAS!$B:$B,558))))),557,""),""),IF('COMMUNITY CHURCH DASHBOARD'!$B$4="Zone",IF(557&lt;=$X$4,IF(OR('COMMUNITY CHURCH DASHBOARD'!$C$4="",ISNUMBER(SEARCH('COMMUNITY CHURCH DASHBOARD'!$C$4,INDEX(MASTER_ZONES!$B:$B,558)))),557,""),""),""))</f>
        <v/>
      </c>
    </row>
    <row r="559">
      <c r="A559">
        <f>IF('WSF DASHBOARD'!$B$4="Area",IF(558&lt;=$D$3,IF(AND(OR('WSF DASHBOARD'!$C$4="",ISNUMBER(SEARCH('WSF DASHBOARD'!$C$4,INDEX(MASTER_AREAS!$B:$B,559))))),558,""),""),IF('WSF DASHBOARD'!$B$4="Zone",IF(558&lt;=$D$4,IF(OR('WSF DASHBOARD'!$C$4="",ISNUMBER(SEARCH('WSF DASHBOARD'!$C$4,INDEX(MASTER_ZONES!$B:$B,559)))),558,""),""),""))</f>
        <v/>
      </c>
      <c r="F559">
        <f>IF('TRANSPORT DASHBOARD'!$B$4="Area",IF(558&lt;=$I$3,IF(AND(INDEX(MASTER_AREAS!$F:$F,559)&lt;&gt;"N",OR('TRANSPORT DASHBOARD'!$C$4="",ISNUMBER(SEARCH('TRANSPORT DASHBOARD'!$C$4,INDEX(MASTER_AREAS!$B:$B,559))))),558,""),""),IF('TRANSPORT DASHBOARD'!$B$4="Zone",IF(558&lt;=$I$4,IF(OR('TRANSPORT DASHBOARD'!$C$4="",ISNUMBER(SEARCH('TRANSPORT DASHBOARD'!$C$4,INDEX(MASTER_ZONES!$B:$B,559)))),558,""),""),""))</f>
        <v/>
      </c>
      <c r="K559">
        <f>IF('MIDWEEK DASHBOARD'!$B$4="Area",IF(558&lt;=$N$3,IF(AND(OR('MIDWEEK DASHBOARD'!$C$4="",ISNUMBER(SEARCH('MIDWEEK DASHBOARD'!$C$4,INDEX(MASTER_AREAS!$B:$B,559))))),558,""),""),IF('MIDWEEK DASHBOARD'!$B$4="Zone",IF(558&lt;=$N$4,IF(OR('MIDWEEK DASHBOARD'!$C$4="",ISNUMBER(SEARCH('MIDWEEK DASHBOARD'!$C$4,INDEX(MASTER_ZONES!$B:$B,559)))),558,""),""),""))</f>
        <v/>
      </c>
      <c r="P559">
        <f>IF('CHOP DASHBOARD'!$B$4="Area",IF(558&lt;=$S$3,IF(AND(OR('CHOP DASHBOARD'!$C$4="",ISNUMBER(SEARCH('CHOP DASHBOARD'!$C$4,INDEX(MASTER_AREAS!$B:$B,559))))),558,""),""),IF('CHOP DASHBOARD'!$B$4="Zone",IF(558&lt;=$S$4,IF(OR('CHOP DASHBOARD'!$C$4="",ISNUMBER(SEARCH('CHOP DASHBOARD'!$C$4,INDEX(MASTER_ZONES!$B:$B,559)))),558,""),""),""))</f>
        <v/>
      </c>
      <c r="U559">
        <f>IF('COMMUNITY CHURCH DASHBOARD'!$B$4="Area",IF(558&lt;=$X$3,IF(AND(OR('COMMUNITY CHURCH DASHBOARD'!$C$4="",ISNUMBER(SEARCH('COMMUNITY CHURCH DASHBOARD'!$C$4,INDEX(MASTER_AREAS!$B:$B,559))))),558,""),""),IF('COMMUNITY CHURCH DASHBOARD'!$B$4="Zone",IF(558&lt;=$X$4,IF(OR('COMMUNITY CHURCH DASHBOARD'!$C$4="",ISNUMBER(SEARCH('COMMUNITY CHURCH DASHBOARD'!$C$4,INDEX(MASTER_ZONES!$B:$B,559)))),558,""),""),""))</f>
        <v/>
      </c>
    </row>
    <row r="560">
      <c r="A560">
        <f>IF('WSF DASHBOARD'!$B$4="Area",IF(559&lt;=$D$3,IF(AND(OR('WSF DASHBOARD'!$C$4="",ISNUMBER(SEARCH('WSF DASHBOARD'!$C$4,INDEX(MASTER_AREAS!$B:$B,560))))),559,""),""),IF('WSF DASHBOARD'!$B$4="Zone",IF(559&lt;=$D$4,IF(OR('WSF DASHBOARD'!$C$4="",ISNUMBER(SEARCH('WSF DASHBOARD'!$C$4,INDEX(MASTER_ZONES!$B:$B,560)))),559,""),""),""))</f>
        <v/>
      </c>
      <c r="F560">
        <f>IF('TRANSPORT DASHBOARD'!$B$4="Area",IF(559&lt;=$I$3,IF(AND(INDEX(MASTER_AREAS!$F:$F,560)&lt;&gt;"N",OR('TRANSPORT DASHBOARD'!$C$4="",ISNUMBER(SEARCH('TRANSPORT DASHBOARD'!$C$4,INDEX(MASTER_AREAS!$B:$B,560))))),559,""),""),IF('TRANSPORT DASHBOARD'!$B$4="Zone",IF(559&lt;=$I$4,IF(OR('TRANSPORT DASHBOARD'!$C$4="",ISNUMBER(SEARCH('TRANSPORT DASHBOARD'!$C$4,INDEX(MASTER_ZONES!$B:$B,560)))),559,""),""),""))</f>
        <v/>
      </c>
      <c r="K560">
        <f>IF('MIDWEEK DASHBOARD'!$B$4="Area",IF(559&lt;=$N$3,IF(AND(OR('MIDWEEK DASHBOARD'!$C$4="",ISNUMBER(SEARCH('MIDWEEK DASHBOARD'!$C$4,INDEX(MASTER_AREAS!$B:$B,560))))),559,""),""),IF('MIDWEEK DASHBOARD'!$B$4="Zone",IF(559&lt;=$N$4,IF(OR('MIDWEEK DASHBOARD'!$C$4="",ISNUMBER(SEARCH('MIDWEEK DASHBOARD'!$C$4,INDEX(MASTER_ZONES!$B:$B,560)))),559,""),""),""))</f>
        <v/>
      </c>
      <c r="P560">
        <f>IF('CHOP DASHBOARD'!$B$4="Area",IF(559&lt;=$S$3,IF(AND(OR('CHOP DASHBOARD'!$C$4="",ISNUMBER(SEARCH('CHOP DASHBOARD'!$C$4,INDEX(MASTER_AREAS!$B:$B,560))))),559,""),""),IF('CHOP DASHBOARD'!$B$4="Zone",IF(559&lt;=$S$4,IF(OR('CHOP DASHBOARD'!$C$4="",ISNUMBER(SEARCH('CHOP DASHBOARD'!$C$4,INDEX(MASTER_ZONES!$B:$B,560)))),559,""),""),""))</f>
        <v/>
      </c>
      <c r="U560">
        <f>IF('COMMUNITY CHURCH DASHBOARD'!$B$4="Area",IF(559&lt;=$X$3,IF(AND(OR('COMMUNITY CHURCH DASHBOARD'!$C$4="",ISNUMBER(SEARCH('COMMUNITY CHURCH DASHBOARD'!$C$4,INDEX(MASTER_AREAS!$B:$B,560))))),559,""),""),IF('COMMUNITY CHURCH DASHBOARD'!$B$4="Zone",IF(559&lt;=$X$4,IF(OR('COMMUNITY CHURCH DASHBOARD'!$C$4="",ISNUMBER(SEARCH('COMMUNITY CHURCH DASHBOARD'!$C$4,INDEX(MASTER_ZONES!$B:$B,560)))),559,""),""),""))</f>
        <v/>
      </c>
    </row>
    <row r="561">
      <c r="A561">
        <f>IF('WSF DASHBOARD'!$B$4="Area",IF(560&lt;=$D$3,IF(AND(OR('WSF DASHBOARD'!$C$4="",ISNUMBER(SEARCH('WSF DASHBOARD'!$C$4,INDEX(MASTER_AREAS!$B:$B,561))))),560,""),""),IF('WSF DASHBOARD'!$B$4="Zone",IF(560&lt;=$D$4,IF(OR('WSF DASHBOARD'!$C$4="",ISNUMBER(SEARCH('WSF DASHBOARD'!$C$4,INDEX(MASTER_ZONES!$B:$B,561)))),560,""),""),""))</f>
        <v/>
      </c>
      <c r="F561">
        <f>IF('TRANSPORT DASHBOARD'!$B$4="Area",IF(560&lt;=$I$3,IF(AND(INDEX(MASTER_AREAS!$F:$F,561)&lt;&gt;"N",OR('TRANSPORT DASHBOARD'!$C$4="",ISNUMBER(SEARCH('TRANSPORT DASHBOARD'!$C$4,INDEX(MASTER_AREAS!$B:$B,561))))),560,""),""),IF('TRANSPORT DASHBOARD'!$B$4="Zone",IF(560&lt;=$I$4,IF(OR('TRANSPORT DASHBOARD'!$C$4="",ISNUMBER(SEARCH('TRANSPORT DASHBOARD'!$C$4,INDEX(MASTER_ZONES!$B:$B,561)))),560,""),""),""))</f>
        <v/>
      </c>
      <c r="K561">
        <f>IF('MIDWEEK DASHBOARD'!$B$4="Area",IF(560&lt;=$N$3,IF(AND(OR('MIDWEEK DASHBOARD'!$C$4="",ISNUMBER(SEARCH('MIDWEEK DASHBOARD'!$C$4,INDEX(MASTER_AREAS!$B:$B,561))))),560,""),""),IF('MIDWEEK DASHBOARD'!$B$4="Zone",IF(560&lt;=$N$4,IF(OR('MIDWEEK DASHBOARD'!$C$4="",ISNUMBER(SEARCH('MIDWEEK DASHBOARD'!$C$4,INDEX(MASTER_ZONES!$B:$B,561)))),560,""),""),""))</f>
        <v/>
      </c>
      <c r="P561">
        <f>IF('CHOP DASHBOARD'!$B$4="Area",IF(560&lt;=$S$3,IF(AND(OR('CHOP DASHBOARD'!$C$4="",ISNUMBER(SEARCH('CHOP DASHBOARD'!$C$4,INDEX(MASTER_AREAS!$B:$B,561))))),560,""),""),IF('CHOP DASHBOARD'!$B$4="Zone",IF(560&lt;=$S$4,IF(OR('CHOP DASHBOARD'!$C$4="",ISNUMBER(SEARCH('CHOP DASHBOARD'!$C$4,INDEX(MASTER_ZONES!$B:$B,561)))),560,""),""),""))</f>
        <v/>
      </c>
      <c r="U561">
        <f>IF('COMMUNITY CHURCH DASHBOARD'!$B$4="Area",IF(560&lt;=$X$3,IF(AND(OR('COMMUNITY CHURCH DASHBOARD'!$C$4="",ISNUMBER(SEARCH('COMMUNITY CHURCH DASHBOARD'!$C$4,INDEX(MASTER_AREAS!$B:$B,561))))),560,""),""),IF('COMMUNITY CHURCH DASHBOARD'!$B$4="Zone",IF(560&lt;=$X$4,IF(OR('COMMUNITY CHURCH DASHBOARD'!$C$4="",ISNUMBER(SEARCH('COMMUNITY CHURCH DASHBOARD'!$C$4,INDEX(MASTER_ZONES!$B:$B,561)))),560,""),""),""))</f>
        <v/>
      </c>
    </row>
    <row r="562">
      <c r="A562">
        <f>IF('WSF DASHBOARD'!$B$4="Area",IF(561&lt;=$D$3,IF(AND(OR('WSF DASHBOARD'!$C$4="",ISNUMBER(SEARCH('WSF DASHBOARD'!$C$4,INDEX(MASTER_AREAS!$B:$B,562))))),561,""),""),IF('WSF DASHBOARD'!$B$4="Zone",IF(561&lt;=$D$4,IF(OR('WSF DASHBOARD'!$C$4="",ISNUMBER(SEARCH('WSF DASHBOARD'!$C$4,INDEX(MASTER_ZONES!$B:$B,562)))),561,""),""),""))</f>
        <v/>
      </c>
      <c r="F562">
        <f>IF('TRANSPORT DASHBOARD'!$B$4="Area",IF(561&lt;=$I$3,IF(AND(INDEX(MASTER_AREAS!$F:$F,562)&lt;&gt;"N",OR('TRANSPORT DASHBOARD'!$C$4="",ISNUMBER(SEARCH('TRANSPORT DASHBOARD'!$C$4,INDEX(MASTER_AREAS!$B:$B,562))))),561,""),""),IF('TRANSPORT DASHBOARD'!$B$4="Zone",IF(561&lt;=$I$4,IF(OR('TRANSPORT DASHBOARD'!$C$4="",ISNUMBER(SEARCH('TRANSPORT DASHBOARD'!$C$4,INDEX(MASTER_ZONES!$B:$B,562)))),561,""),""),""))</f>
        <v/>
      </c>
      <c r="K562">
        <f>IF('MIDWEEK DASHBOARD'!$B$4="Area",IF(561&lt;=$N$3,IF(AND(OR('MIDWEEK DASHBOARD'!$C$4="",ISNUMBER(SEARCH('MIDWEEK DASHBOARD'!$C$4,INDEX(MASTER_AREAS!$B:$B,562))))),561,""),""),IF('MIDWEEK DASHBOARD'!$B$4="Zone",IF(561&lt;=$N$4,IF(OR('MIDWEEK DASHBOARD'!$C$4="",ISNUMBER(SEARCH('MIDWEEK DASHBOARD'!$C$4,INDEX(MASTER_ZONES!$B:$B,562)))),561,""),""),""))</f>
        <v/>
      </c>
      <c r="P562">
        <f>IF('CHOP DASHBOARD'!$B$4="Area",IF(561&lt;=$S$3,IF(AND(OR('CHOP DASHBOARD'!$C$4="",ISNUMBER(SEARCH('CHOP DASHBOARD'!$C$4,INDEX(MASTER_AREAS!$B:$B,562))))),561,""),""),IF('CHOP DASHBOARD'!$B$4="Zone",IF(561&lt;=$S$4,IF(OR('CHOP DASHBOARD'!$C$4="",ISNUMBER(SEARCH('CHOP DASHBOARD'!$C$4,INDEX(MASTER_ZONES!$B:$B,562)))),561,""),""),""))</f>
        <v/>
      </c>
      <c r="U562">
        <f>IF('COMMUNITY CHURCH DASHBOARD'!$B$4="Area",IF(561&lt;=$X$3,IF(AND(OR('COMMUNITY CHURCH DASHBOARD'!$C$4="",ISNUMBER(SEARCH('COMMUNITY CHURCH DASHBOARD'!$C$4,INDEX(MASTER_AREAS!$B:$B,562))))),561,""),""),IF('COMMUNITY CHURCH DASHBOARD'!$B$4="Zone",IF(561&lt;=$X$4,IF(OR('COMMUNITY CHURCH DASHBOARD'!$C$4="",ISNUMBER(SEARCH('COMMUNITY CHURCH DASHBOARD'!$C$4,INDEX(MASTER_ZONES!$B:$B,562)))),561,""),""),""))</f>
        <v/>
      </c>
    </row>
    <row r="563">
      <c r="A563">
        <f>IF('WSF DASHBOARD'!$B$4="Area",IF(562&lt;=$D$3,IF(AND(OR('WSF DASHBOARD'!$C$4="",ISNUMBER(SEARCH('WSF DASHBOARD'!$C$4,INDEX(MASTER_AREAS!$B:$B,563))))),562,""),""),IF('WSF DASHBOARD'!$B$4="Zone",IF(562&lt;=$D$4,IF(OR('WSF DASHBOARD'!$C$4="",ISNUMBER(SEARCH('WSF DASHBOARD'!$C$4,INDEX(MASTER_ZONES!$B:$B,563)))),562,""),""),""))</f>
        <v/>
      </c>
      <c r="F563">
        <f>IF('TRANSPORT DASHBOARD'!$B$4="Area",IF(562&lt;=$I$3,IF(AND(INDEX(MASTER_AREAS!$F:$F,563)&lt;&gt;"N",OR('TRANSPORT DASHBOARD'!$C$4="",ISNUMBER(SEARCH('TRANSPORT DASHBOARD'!$C$4,INDEX(MASTER_AREAS!$B:$B,563))))),562,""),""),IF('TRANSPORT DASHBOARD'!$B$4="Zone",IF(562&lt;=$I$4,IF(OR('TRANSPORT DASHBOARD'!$C$4="",ISNUMBER(SEARCH('TRANSPORT DASHBOARD'!$C$4,INDEX(MASTER_ZONES!$B:$B,563)))),562,""),""),""))</f>
        <v/>
      </c>
      <c r="K563">
        <f>IF('MIDWEEK DASHBOARD'!$B$4="Area",IF(562&lt;=$N$3,IF(AND(OR('MIDWEEK DASHBOARD'!$C$4="",ISNUMBER(SEARCH('MIDWEEK DASHBOARD'!$C$4,INDEX(MASTER_AREAS!$B:$B,563))))),562,""),""),IF('MIDWEEK DASHBOARD'!$B$4="Zone",IF(562&lt;=$N$4,IF(OR('MIDWEEK DASHBOARD'!$C$4="",ISNUMBER(SEARCH('MIDWEEK DASHBOARD'!$C$4,INDEX(MASTER_ZONES!$B:$B,563)))),562,""),""),""))</f>
        <v/>
      </c>
      <c r="P563">
        <f>IF('CHOP DASHBOARD'!$B$4="Area",IF(562&lt;=$S$3,IF(AND(OR('CHOP DASHBOARD'!$C$4="",ISNUMBER(SEARCH('CHOP DASHBOARD'!$C$4,INDEX(MASTER_AREAS!$B:$B,563))))),562,""),""),IF('CHOP DASHBOARD'!$B$4="Zone",IF(562&lt;=$S$4,IF(OR('CHOP DASHBOARD'!$C$4="",ISNUMBER(SEARCH('CHOP DASHBOARD'!$C$4,INDEX(MASTER_ZONES!$B:$B,563)))),562,""),""),""))</f>
        <v/>
      </c>
      <c r="U563">
        <f>IF('COMMUNITY CHURCH DASHBOARD'!$B$4="Area",IF(562&lt;=$X$3,IF(AND(OR('COMMUNITY CHURCH DASHBOARD'!$C$4="",ISNUMBER(SEARCH('COMMUNITY CHURCH DASHBOARD'!$C$4,INDEX(MASTER_AREAS!$B:$B,563))))),562,""),""),IF('COMMUNITY CHURCH DASHBOARD'!$B$4="Zone",IF(562&lt;=$X$4,IF(OR('COMMUNITY CHURCH DASHBOARD'!$C$4="",ISNUMBER(SEARCH('COMMUNITY CHURCH DASHBOARD'!$C$4,INDEX(MASTER_ZONES!$B:$B,563)))),562,""),""),""))</f>
        <v/>
      </c>
    </row>
    <row r="564">
      <c r="A564">
        <f>IF('WSF DASHBOARD'!$B$4="Area",IF(563&lt;=$D$3,IF(AND(OR('WSF DASHBOARD'!$C$4="",ISNUMBER(SEARCH('WSF DASHBOARD'!$C$4,INDEX(MASTER_AREAS!$B:$B,564))))),563,""),""),IF('WSF DASHBOARD'!$B$4="Zone",IF(563&lt;=$D$4,IF(OR('WSF DASHBOARD'!$C$4="",ISNUMBER(SEARCH('WSF DASHBOARD'!$C$4,INDEX(MASTER_ZONES!$B:$B,564)))),563,""),""),""))</f>
        <v/>
      </c>
      <c r="F564">
        <f>IF('TRANSPORT DASHBOARD'!$B$4="Area",IF(563&lt;=$I$3,IF(AND(INDEX(MASTER_AREAS!$F:$F,564)&lt;&gt;"N",OR('TRANSPORT DASHBOARD'!$C$4="",ISNUMBER(SEARCH('TRANSPORT DASHBOARD'!$C$4,INDEX(MASTER_AREAS!$B:$B,564))))),563,""),""),IF('TRANSPORT DASHBOARD'!$B$4="Zone",IF(563&lt;=$I$4,IF(OR('TRANSPORT DASHBOARD'!$C$4="",ISNUMBER(SEARCH('TRANSPORT DASHBOARD'!$C$4,INDEX(MASTER_ZONES!$B:$B,564)))),563,""),""),""))</f>
        <v/>
      </c>
      <c r="K564">
        <f>IF('MIDWEEK DASHBOARD'!$B$4="Area",IF(563&lt;=$N$3,IF(AND(OR('MIDWEEK DASHBOARD'!$C$4="",ISNUMBER(SEARCH('MIDWEEK DASHBOARD'!$C$4,INDEX(MASTER_AREAS!$B:$B,564))))),563,""),""),IF('MIDWEEK DASHBOARD'!$B$4="Zone",IF(563&lt;=$N$4,IF(OR('MIDWEEK DASHBOARD'!$C$4="",ISNUMBER(SEARCH('MIDWEEK DASHBOARD'!$C$4,INDEX(MASTER_ZONES!$B:$B,564)))),563,""),""),""))</f>
        <v/>
      </c>
      <c r="P564">
        <f>IF('CHOP DASHBOARD'!$B$4="Area",IF(563&lt;=$S$3,IF(AND(OR('CHOP DASHBOARD'!$C$4="",ISNUMBER(SEARCH('CHOP DASHBOARD'!$C$4,INDEX(MASTER_AREAS!$B:$B,564))))),563,""),""),IF('CHOP DASHBOARD'!$B$4="Zone",IF(563&lt;=$S$4,IF(OR('CHOP DASHBOARD'!$C$4="",ISNUMBER(SEARCH('CHOP DASHBOARD'!$C$4,INDEX(MASTER_ZONES!$B:$B,564)))),563,""),""),""))</f>
        <v/>
      </c>
      <c r="U564">
        <f>IF('COMMUNITY CHURCH DASHBOARD'!$B$4="Area",IF(563&lt;=$X$3,IF(AND(OR('COMMUNITY CHURCH DASHBOARD'!$C$4="",ISNUMBER(SEARCH('COMMUNITY CHURCH DASHBOARD'!$C$4,INDEX(MASTER_AREAS!$B:$B,564))))),563,""),""),IF('COMMUNITY CHURCH DASHBOARD'!$B$4="Zone",IF(563&lt;=$X$4,IF(OR('COMMUNITY CHURCH DASHBOARD'!$C$4="",ISNUMBER(SEARCH('COMMUNITY CHURCH DASHBOARD'!$C$4,INDEX(MASTER_ZONES!$B:$B,564)))),563,""),""),""))</f>
        <v/>
      </c>
    </row>
    <row r="565">
      <c r="A565">
        <f>IF('WSF DASHBOARD'!$B$4="Area",IF(564&lt;=$D$3,IF(AND(OR('WSF DASHBOARD'!$C$4="",ISNUMBER(SEARCH('WSF DASHBOARD'!$C$4,INDEX(MASTER_AREAS!$B:$B,565))))),564,""),""),IF('WSF DASHBOARD'!$B$4="Zone",IF(564&lt;=$D$4,IF(OR('WSF DASHBOARD'!$C$4="",ISNUMBER(SEARCH('WSF DASHBOARD'!$C$4,INDEX(MASTER_ZONES!$B:$B,565)))),564,""),""),""))</f>
        <v/>
      </c>
      <c r="F565">
        <f>IF('TRANSPORT DASHBOARD'!$B$4="Area",IF(564&lt;=$I$3,IF(AND(INDEX(MASTER_AREAS!$F:$F,565)&lt;&gt;"N",OR('TRANSPORT DASHBOARD'!$C$4="",ISNUMBER(SEARCH('TRANSPORT DASHBOARD'!$C$4,INDEX(MASTER_AREAS!$B:$B,565))))),564,""),""),IF('TRANSPORT DASHBOARD'!$B$4="Zone",IF(564&lt;=$I$4,IF(OR('TRANSPORT DASHBOARD'!$C$4="",ISNUMBER(SEARCH('TRANSPORT DASHBOARD'!$C$4,INDEX(MASTER_ZONES!$B:$B,565)))),564,""),""),""))</f>
        <v/>
      </c>
      <c r="K565">
        <f>IF('MIDWEEK DASHBOARD'!$B$4="Area",IF(564&lt;=$N$3,IF(AND(OR('MIDWEEK DASHBOARD'!$C$4="",ISNUMBER(SEARCH('MIDWEEK DASHBOARD'!$C$4,INDEX(MASTER_AREAS!$B:$B,565))))),564,""),""),IF('MIDWEEK DASHBOARD'!$B$4="Zone",IF(564&lt;=$N$4,IF(OR('MIDWEEK DASHBOARD'!$C$4="",ISNUMBER(SEARCH('MIDWEEK DASHBOARD'!$C$4,INDEX(MASTER_ZONES!$B:$B,565)))),564,""),""),""))</f>
        <v/>
      </c>
      <c r="P565">
        <f>IF('CHOP DASHBOARD'!$B$4="Area",IF(564&lt;=$S$3,IF(AND(OR('CHOP DASHBOARD'!$C$4="",ISNUMBER(SEARCH('CHOP DASHBOARD'!$C$4,INDEX(MASTER_AREAS!$B:$B,565))))),564,""),""),IF('CHOP DASHBOARD'!$B$4="Zone",IF(564&lt;=$S$4,IF(OR('CHOP DASHBOARD'!$C$4="",ISNUMBER(SEARCH('CHOP DASHBOARD'!$C$4,INDEX(MASTER_ZONES!$B:$B,565)))),564,""),""),""))</f>
        <v/>
      </c>
      <c r="U565">
        <f>IF('COMMUNITY CHURCH DASHBOARD'!$B$4="Area",IF(564&lt;=$X$3,IF(AND(OR('COMMUNITY CHURCH DASHBOARD'!$C$4="",ISNUMBER(SEARCH('COMMUNITY CHURCH DASHBOARD'!$C$4,INDEX(MASTER_AREAS!$B:$B,565))))),564,""),""),IF('COMMUNITY CHURCH DASHBOARD'!$B$4="Zone",IF(564&lt;=$X$4,IF(OR('COMMUNITY CHURCH DASHBOARD'!$C$4="",ISNUMBER(SEARCH('COMMUNITY CHURCH DASHBOARD'!$C$4,INDEX(MASTER_ZONES!$B:$B,565)))),564,""),""),""))</f>
        <v/>
      </c>
    </row>
    <row r="566">
      <c r="A566">
        <f>IF('WSF DASHBOARD'!$B$4="Area",IF(565&lt;=$D$3,IF(AND(OR('WSF DASHBOARD'!$C$4="",ISNUMBER(SEARCH('WSF DASHBOARD'!$C$4,INDEX(MASTER_AREAS!$B:$B,566))))),565,""),""),IF('WSF DASHBOARD'!$B$4="Zone",IF(565&lt;=$D$4,IF(OR('WSF DASHBOARD'!$C$4="",ISNUMBER(SEARCH('WSF DASHBOARD'!$C$4,INDEX(MASTER_ZONES!$B:$B,566)))),565,""),""),""))</f>
        <v/>
      </c>
      <c r="F566">
        <f>IF('TRANSPORT DASHBOARD'!$B$4="Area",IF(565&lt;=$I$3,IF(AND(INDEX(MASTER_AREAS!$F:$F,566)&lt;&gt;"N",OR('TRANSPORT DASHBOARD'!$C$4="",ISNUMBER(SEARCH('TRANSPORT DASHBOARD'!$C$4,INDEX(MASTER_AREAS!$B:$B,566))))),565,""),""),IF('TRANSPORT DASHBOARD'!$B$4="Zone",IF(565&lt;=$I$4,IF(OR('TRANSPORT DASHBOARD'!$C$4="",ISNUMBER(SEARCH('TRANSPORT DASHBOARD'!$C$4,INDEX(MASTER_ZONES!$B:$B,566)))),565,""),""),""))</f>
        <v/>
      </c>
      <c r="K566">
        <f>IF('MIDWEEK DASHBOARD'!$B$4="Area",IF(565&lt;=$N$3,IF(AND(OR('MIDWEEK DASHBOARD'!$C$4="",ISNUMBER(SEARCH('MIDWEEK DASHBOARD'!$C$4,INDEX(MASTER_AREAS!$B:$B,566))))),565,""),""),IF('MIDWEEK DASHBOARD'!$B$4="Zone",IF(565&lt;=$N$4,IF(OR('MIDWEEK DASHBOARD'!$C$4="",ISNUMBER(SEARCH('MIDWEEK DASHBOARD'!$C$4,INDEX(MASTER_ZONES!$B:$B,566)))),565,""),""),""))</f>
        <v/>
      </c>
      <c r="P566">
        <f>IF('CHOP DASHBOARD'!$B$4="Area",IF(565&lt;=$S$3,IF(AND(OR('CHOP DASHBOARD'!$C$4="",ISNUMBER(SEARCH('CHOP DASHBOARD'!$C$4,INDEX(MASTER_AREAS!$B:$B,566))))),565,""),""),IF('CHOP DASHBOARD'!$B$4="Zone",IF(565&lt;=$S$4,IF(OR('CHOP DASHBOARD'!$C$4="",ISNUMBER(SEARCH('CHOP DASHBOARD'!$C$4,INDEX(MASTER_ZONES!$B:$B,566)))),565,""),""),""))</f>
        <v/>
      </c>
      <c r="U566">
        <f>IF('COMMUNITY CHURCH DASHBOARD'!$B$4="Area",IF(565&lt;=$X$3,IF(AND(OR('COMMUNITY CHURCH DASHBOARD'!$C$4="",ISNUMBER(SEARCH('COMMUNITY CHURCH DASHBOARD'!$C$4,INDEX(MASTER_AREAS!$B:$B,566))))),565,""),""),IF('COMMUNITY CHURCH DASHBOARD'!$B$4="Zone",IF(565&lt;=$X$4,IF(OR('COMMUNITY CHURCH DASHBOARD'!$C$4="",ISNUMBER(SEARCH('COMMUNITY CHURCH DASHBOARD'!$C$4,INDEX(MASTER_ZONES!$B:$B,566)))),565,""),""),""))</f>
        <v/>
      </c>
    </row>
    <row r="567">
      <c r="A567">
        <f>IF('WSF DASHBOARD'!$B$4="Area",IF(566&lt;=$D$3,IF(AND(OR('WSF DASHBOARD'!$C$4="",ISNUMBER(SEARCH('WSF DASHBOARD'!$C$4,INDEX(MASTER_AREAS!$B:$B,567))))),566,""),""),IF('WSF DASHBOARD'!$B$4="Zone",IF(566&lt;=$D$4,IF(OR('WSF DASHBOARD'!$C$4="",ISNUMBER(SEARCH('WSF DASHBOARD'!$C$4,INDEX(MASTER_ZONES!$B:$B,567)))),566,""),""),""))</f>
        <v/>
      </c>
      <c r="F567">
        <f>IF('TRANSPORT DASHBOARD'!$B$4="Area",IF(566&lt;=$I$3,IF(AND(INDEX(MASTER_AREAS!$F:$F,567)&lt;&gt;"N",OR('TRANSPORT DASHBOARD'!$C$4="",ISNUMBER(SEARCH('TRANSPORT DASHBOARD'!$C$4,INDEX(MASTER_AREAS!$B:$B,567))))),566,""),""),IF('TRANSPORT DASHBOARD'!$B$4="Zone",IF(566&lt;=$I$4,IF(OR('TRANSPORT DASHBOARD'!$C$4="",ISNUMBER(SEARCH('TRANSPORT DASHBOARD'!$C$4,INDEX(MASTER_ZONES!$B:$B,567)))),566,""),""),""))</f>
        <v/>
      </c>
      <c r="K567">
        <f>IF('MIDWEEK DASHBOARD'!$B$4="Area",IF(566&lt;=$N$3,IF(AND(OR('MIDWEEK DASHBOARD'!$C$4="",ISNUMBER(SEARCH('MIDWEEK DASHBOARD'!$C$4,INDEX(MASTER_AREAS!$B:$B,567))))),566,""),""),IF('MIDWEEK DASHBOARD'!$B$4="Zone",IF(566&lt;=$N$4,IF(OR('MIDWEEK DASHBOARD'!$C$4="",ISNUMBER(SEARCH('MIDWEEK DASHBOARD'!$C$4,INDEX(MASTER_ZONES!$B:$B,567)))),566,""),""),""))</f>
        <v/>
      </c>
      <c r="P567">
        <f>IF('CHOP DASHBOARD'!$B$4="Area",IF(566&lt;=$S$3,IF(AND(OR('CHOP DASHBOARD'!$C$4="",ISNUMBER(SEARCH('CHOP DASHBOARD'!$C$4,INDEX(MASTER_AREAS!$B:$B,567))))),566,""),""),IF('CHOP DASHBOARD'!$B$4="Zone",IF(566&lt;=$S$4,IF(OR('CHOP DASHBOARD'!$C$4="",ISNUMBER(SEARCH('CHOP DASHBOARD'!$C$4,INDEX(MASTER_ZONES!$B:$B,567)))),566,""),""),""))</f>
        <v/>
      </c>
      <c r="U567">
        <f>IF('COMMUNITY CHURCH DASHBOARD'!$B$4="Area",IF(566&lt;=$X$3,IF(AND(OR('COMMUNITY CHURCH DASHBOARD'!$C$4="",ISNUMBER(SEARCH('COMMUNITY CHURCH DASHBOARD'!$C$4,INDEX(MASTER_AREAS!$B:$B,567))))),566,""),""),IF('COMMUNITY CHURCH DASHBOARD'!$B$4="Zone",IF(566&lt;=$X$4,IF(OR('COMMUNITY CHURCH DASHBOARD'!$C$4="",ISNUMBER(SEARCH('COMMUNITY CHURCH DASHBOARD'!$C$4,INDEX(MASTER_ZONES!$B:$B,567)))),566,""),""),""))</f>
        <v/>
      </c>
    </row>
    <row r="568">
      <c r="A568">
        <f>IF('WSF DASHBOARD'!$B$4="Area",IF(567&lt;=$D$3,IF(AND(OR('WSF DASHBOARD'!$C$4="",ISNUMBER(SEARCH('WSF DASHBOARD'!$C$4,INDEX(MASTER_AREAS!$B:$B,568))))),567,""),""),IF('WSF DASHBOARD'!$B$4="Zone",IF(567&lt;=$D$4,IF(OR('WSF DASHBOARD'!$C$4="",ISNUMBER(SEARCH('WSF DASHBOARD'!$C$4,INDEX(MASTER_ZONES!$B:$B,568)))),567,""),""),""))</f>
        <v/>
      </c>
      <c r="F568">
        <f>IF('TRANSPORT DASHBOARD'!$B$4="Area",IF(567&lt;=$I$3,IF(AND(INDEX(MASTER_AREAS!$F:$F,568)&lt;&gt;"N",OR('TRANSPORT DASHBOARD'!$C$4="",ISNUMBER(SEARCH('TRANSPORT DASHBOARD'!$C$4,INDEX(MASTER_AREAS!$B:$B,568))))),567,""),""),IF('TRANSPORT DASHBOARD'!$B$4="Zone",IF(567&lt;=$I$4,IF(OR('TRANSPORT DASHBOARD'!$C$4="",ISNUMBER(SEARCH('TRANSPORT DASHBOARD'!$C$4,INDEX(MASTER_ZONES!$B:$B,568)))),567,""),""),""))</f>
        <v/>
      </c>
      <c r="K568">
        <f>IF('MIDWEEK DASHBOARD'!$B$4="Area",IF(567&lt;=$N$3,IF(AND(OR('MIDWEEK DASHBOARD'!$C$4="",ISNUMBER(SEARCH('MIDWEEK DASHBOARD'!$C$4,INDEX(MASTER_AREAS!$B:$B,568))))),567,""),""),IF('MIDWEEK DASHBOARD'!$B$4="Zone",IF(567&lt;=$N$4,IF(OR('MIDWEEK DASHBOARD'!$C$4="",ISNUMBER(SEARCH('MIDWEEK DASHBOARD'!$C$4,INDEX(MASTER_ZONES!$B:$B,568)))),567,""),""),""))</f>
        <v/>
      </c>
      <c r="P568">
        <f>IF('CHOP DASHBOARD'!$B$4="Area",IF(567&lt;=$S$3,IF(AND(OR('CHOP DASHBOARD'!$C$4="",ISNUMBER(SEARCH('CHOP DASHBOARD'!$C$4,INDEX(MASTER_AREAS!$B:$B,568))))),567,""),""),IF('CHOP DASHBOARD'!$B$4="Zone",IF(567&lt;=$S$4,IF(OR('CHOP DASHBOARD'!$C$4="",ISNUMBER(SEARCH('CHOP DASHBOARD'!$C$4,INDEX(MASTER_ZONES!$B:$B,568)))),567,""),""),""))</f>
        <v/>
      </c>
      <c r="U568">
        <f>IF('COMMUNITY CHURCH DASHBOARD'!$B$4="Area",IF(567&lt;=$X$3,IF(AND(OR('COMMUNITY CHURCH DASHBOARD'!$C$4="",ISNUMBER(SEARCH('COMMUNITY CHURCH DASHBOARD'!$C$4,INDEX(MASTER_AREAS!$B:$B,568))))),567,""),""),IF('COMMUNITY CHURCH DASHBOARD'!$B$4="Zone",IF(567&lt;=$X$4,IF(OR('COMMUNITY CHURCH DASHBOARD'!$C$4="",ISNUMBER(SEARCH('COMMUNITY CHURCH DASHBOARD'!$C$4,INDEX(MASTER_ZONES!$B:$B,568)))),567,""),""),""))</f>
        <v/>
      </c>
    </row>
    <row r="569">
      <c r="A569">
        <f>IF('WSF DASHBOARD'!$B$4="Area",IF(568&lt;=$D$3,IF(AND(OR('WSF DASHBOARD'!$C$4="",ISNUMBER(SEARCH('WSF DASHBOARD'!$C$4,INDEX(MASTER_AREAS!$B:$B,569))))),568,""),""),IF('WSF DASHBOARD'!$B$4="Zone",IF(568&lt;=$D$4,IF(OR('WSF DASHBOARD'!$C$4="",ISNUMBER(SEARCH('WSF DASHBOARD'!$C$4,INDEX(MASTER_ZONES!$B:$B,569)))),568,""),""),""))</f>
        <v/>
      </c>
      <c r="F569">
        <f>IF('TRANSPORT DASHBOARD'!$B$4="Area",IF(568&lt;=$I$3,IF(AND(INDEX(MASTER_AREAS!$F:$F,569)&lt;&gt;"N",OR('TRANSPORT DASHBOARD'!$C$4="",ISNUMBER(SEARCH('TRANSPORT DASHBOARD'!$C$4,INDEX(MASTER_AREAS!$B:$B,569))))),568,""),""),IF('TRANSPORT DASHBOARD'!$B$4="Zone",IF(568&lt;=$I$4,IF(OR('TRANSPORT DASHBOARD'!$C$4="",ISNUMBER(SEARCH('TRANSPORT DASHBOARD'!$C$4,INDEX(MASTER_ZONES!$B:$B,569)))),568,""),""),""))</f>
        <v/>
      </c>
      <c r="K569">
        <f>IF('MIDWEEK DASHBOARD'!$B$4="Area",IF(568&lt;=$N$3,IF(AND(OR('MIDWEEK DASHBOARD'!$C$4="",ISNUMBER(SEARCH('MIDWEEK DASHBOARD'!$C$4,INDEX(MASTER_AREAS!$B:$B,569))))),568,""),""),IF('MIDWEEK DASHBOARD'!$B$4="Zone",IF(568&lt;=$N$4,IF(OR('MIDWEEK DASHBOARD'!$C$4="",ISNUMBER(SEARCH('MIDWEEK DASHBOARD'!$C$4,INDEX(MASTER_ZONES!$B:$B,569)))),568,""),""),""))</f>
        <v/>
      </c>
      <c r="P569">
        <f>IF('CHOP DASHBOARD'!$B$4="Area",IF(568&lt;=$S$3,IF(AND(OR('CHOP DASHBOARD'!$C$4="",ISNUMBER(SEARCH('CHOP DASHBOARD'!$C$4,INDEX(MASTER_AREAS!$B:$B,569))))),568,""),""),IF('CHOP DASHBOARD'!$B$4="Zone",IF(568&lt;=$S$4,IF(OR('CHOP DASHBOARD'!$C$4="",ISNUMBER(SEARCH('CHOP DASHBOARD'!$C$4,INDEX(MASTER_ZONES!$B:$B,569)))),568,""),""),""))</f>
        <v/>
      </c>
      <c r="U569">
        <f>IF('COMMUNITY CHURCH DASHBOARD'!$B$4="Area",IF(568&lt;=$X$3,IF(AND(OR('COMMUNITY CHURCH DASHBOARD'!$C$4="",ISNUMBER(SEARCH('COMMUNITY CHURCH DASHBOARD'!$C$4,INDEX(MASTER_AREAS!$B:$B,569))))),568,""),""),IF('COMMUNITY CHURCH DASHBOARD'!$B$4="Zone",IF(568&lt;=$X$4,IF(OR('COMMUNITY CHURCH DASHBOARD'!$C$4="",ISNUMBER(SEARCH('COMMUNITY CHURCH DASHBOARD'!$C$4,INDEX(MASTER_ZONES!$B:$B,569)))),568,""),""),""))</f>
        <v/>
      </c>
    </row>
    <row r="570">
      <c r="A570">
        <f>IF('WSF DASHBOARD'!$B$4="Area",IF(569&lt;=$D$3,IF(AND(OR('WSF DASHBOARD'!$C$4="",ISNUMBER(SEARCH('WSF DASHBOARD'!$C$4,INDEX(MASTER_AREAS!$B:$B,570))))),569,""),""),IF('WSF DASHBOARD'!$B$4="Zone",IF(569&lt;=$D$4,IF(OR('WSF DASHBOARD'!$C$4="",ISNUMBER(SEARCH('WSF DASHBOARD'!$C$4,INDEX(MASTER_ZONES!$B:$B,570)))),569,""),""),""))</f>
        <v/>
      </c>
      <c r="F570">
        <f>IF('TRANSPORT DASHBOARD'!$B$4="Area",IF(569&lt;=$I$3,IF(AND(INDEX(MASTER_AREAS!$F:$F,570)&lt;&gt;"N",OR('TRANSPORT DASHBOARD'!$C$4="",ISNUMBER(SEARCH('TRANSPORT DASHBOARD'!$C$4,INDEX(MASTER_AREAS!$B:$B,570))))),569,""),""),IF('TRANSPORT DASHBOARD'!$B$4="Zone",IF(569&lt;=$I$4,IF(OR('TRANSPORT DASHBOARD'!$C$4="",ISNUMBER(SEARCH('TRANSPORT DASHBOARD'!$C$4,INDEX(MASTER_ZONES!$B:$B,570)))),569,""),""),""))</f>
        <v/>
      </c>
      <c r="K570">
        <f>IF('MIDWEEK DASHBOARD'!$B$4="Area",IF(569&lt;=$N$3,IF(AND(OR('MIDWEEK DASHBOARD'!$C$4="",ISNUMBER(SEARCH('MIDWEEK DASHBOARD'!$C$4,INDEX(MASTER_AREAS!$B:$B,570))))),569,""),""),IF('MIDWEEK DASHBOARD'!$B$4="Zone",IF(569&lt;=$N$4,IF(OR('MIDWEEK DASHBOARD'!$C$4="",ISNUMBER(SEARCH('MIDWEEK DASHBOARD'!$C$4,INDEX(MASTER_ZONES!$B:$B,570)))),569,""),""),""))</f>
        <v/>
      </c>
      <c r="P570">
        <f>IF('CHOP DASHBOARD'!$B$4="Area",IF(569&lt;=$S$3,IF(AND(OR('CHOP DASHBOARD'!$C$4="",ISNUMBER(SEARCH('CHOP DASHBOARD'!$C$4,INDEX(MASTER_AREAS!$B:$B,570))))),569,""),""),IF('CHOP DASHBOARD'!$B$4="Zone",IF(569&lt;=$S$4,IF(OR('CHOP DASHBOARD'!$C$4="",ISNUMBER(SEARCH('CHOP DASHBOARD'!$C$4,INDEX(MASTER_ZONES!$B:$B,570)))),569,""),""),""))</f>
        <v/>
      </c>
      <c r="U570">
        <f>IF('COMMUNITY CHURCH DASHBOARD'!$B$4="Area",IF(569&lt;=$X$3,IF(AND(OR('COMMUNITY CHURCH DASHBOARD'!$C$4="",ISNUMBER(SEARCH('COMMUNITY CHURCH DASHBOARD'!$C$4,INDEX(MASTER_AREAS!$B:$B,570))))),569,""),""),IF('COMMUNITY CHURCH DASHBOARD'!$B$4="Zone",IF(569&lt;=$X$4,IF(OR('COMMUNITY CHURCH DASHBOARD'!$C$4="",ISNUMBER(SEARCH('COMMUNITY CHURCH DASHBOARD'!$C$4,INDEX(MASTER_ZONES!$B:$B,570)))),569,""),""),""))</f>
        <v/>
      </c>
    </row>
    <row r="571">
      <c r="A571">
        <f>IF('WSF DASHBOARD'!$B$4="Area",IF(570&lt;=$D$3,IF(AND(OR('WSF DASHBOARD'!$C$4="",ISNUMBER(SEARCH('WSF DASHBOARD'!$C$4,INDEX(MASTER_AREAS!$B:$B,571))))),570,""),""),IF('WSF DASHBOARD'!$B$4="Zone",IF(570&lt;=$D$4,IF(OR('WSF DASHBOARD'!$C$4="",ISNUMBER(SEARCH('WSF DASHBOARD'!$C$4,INDEX(MASTER_ZONES!$B:$B,571)))),570,""),""),""))</f>
        <v/>
      </c>
      <c r="F571">
        <f>IF('TRANSPORT DASHBOARD'!$B$4="Area",IF(570&lt;=$I$3,IF(AND(INDEX(MASTER_AREAS!$F:$F,571)&lt;&gt;"N",OR('TRANSPORT DASHBOARD'!$C$4="",ISNUMBER(SEARCH('TRANSPORT DASHBOARD'!$C$4,INDEX(MASTER_AREAS!$B:$B,571))))),570,""),""),IF('TRANSPORT DASHBOARD'!$B$4="Zone",IF(570&lt;=$I$4,IF(OR('TRANSPORT DASHBOARD'!$C$4="",ISNUMBER(SEARCH('TRANSPORT DASHBOARD'!$C$4,INDEX(MASTER_ZONES!$B:$B,571)))),570,""),""),""))</f>
        <v/>
      </c>
      <c r="K571">
        <f>IF('MIDWEEK DASHBOARD'!$B$4="Area",IF(570&lt;=$N$3,IF(AND(OR('MIDWEEK DASHBOARD'!$C$4="",ISNUMBER(SEARCH('MIDWEEK DASHBOARD'!$C$4,INDEX(MASTER_AREAS!$B:$B,571))))),570,""),""),IF('MIDWEEK DASHBOARD'!$B$4="Zone",IF(570&lt;=$N$4,IF(OR('MIDWEEK DASHBOARD'!$C$4="",ISNUMBER(SEARCH('MIDWEEK DASHBOARD'!$C$4,INDEX(MASTER_ZONES!$B:$B,571)))),570,""),""),""))</f>
        <v/>
      </c>
      <c r="P571">
        <f>IF('CHOP DASHBOARD'!$B$4="Area",IF(570&lt;=$S$3,IF(AND(OR('CHOP DASHBOARD'!$C$4="",ISNUMBER(SEARCH('CHOP DASHBOARD'!$C$4,INDEX(MASTER_AREAS!$B:$B,571))))),570,""),""),IF('CHOP DASHBOARD'!$B$4="Zone",IF(570&lt;=$S$4,IF(OR('CHOP DASHBOARD'!$C$4="",ISNUMBER(SEARCH('CHOP DASHBOARD'!$C$4,INDEX(MASTER_ZONES!$B:$B,571)))),570,""),""),""))</f>
        <v/>
      </c>
      <c r="U571">
        <f>IF('COMMUNITY CHURCH DASHBOARD'!$B$4="Area",IF(570&lt;=$X$3,IF(AND(OR('COMMUNITY CHURCH DASHBOARD'!$C$4="",ISNUMBER(SEARCH('COMMUNITY CHURCH DASHBOARD'!$C$4,INDEX(MASTER_AREAS!$B:$B,571))))),570,""),""),IF('COMMUNITY CHURCH DASHBOARD'!$B$4="Zone",IF(570&lt;=$X$4,IF(OR('COMMUNITY CHURCH DASHBOARD'!$C$4="",ISNUMBER(SEARCH('COMMUNITY CHURCH DASHBOARD'!$C$4,INDEX(MASTER_ZONES!$B:$B,571)))),570,""),""),""))</f>
        <v/>
      </c>
    </row>
    <row r="572">
      <c r="A572">
        <f>IF('WSF DASHBOARD'!$B$4="Area",IF(571&lt;=$D$3,IF(AND(OR('WSF DASHBOARD'!$C$4="",ISNUMBER(SEARCH('WSF DASHBOARD'!$C$4,INDEX(MASTER_AREAS!$B:$B,572))))),571,""),""),IF('WSF DASHBOARD'!$B$4="Zone",IF(571&lt;=$D$4,IF(OR('WSF DASHBOARD'!$C$4="",ISNUMBER(SEARCH('WSF DASHBOARD'!$C$4,INDEX(MASTER_ZONES!$B:$B,572)))),571,""),""),""))</f>
        <v/>
      </c>
      <c r="F572">
        <f>IF('TRANSPORT DASHBOARD'!$B$4="Area",IF(571&lt;=$I$3,IF(AND(INDEX(MASTER_AREAS!$F:$F,572)&lt;&gt;"N",OR('TRANSPORT DASHBOARD'!$C$4="",ISNUMBER(SEARCH('TRANSPORT DASHBOARD'!$C$4,INDEX(MASTER_AREAS!$B:$B,572))))),571,""),""),IF('TRANSPORT DASHBOARD'!$B$4="Zone",IF(571&lt;=$I$4,IF(OR('TRANSPORT DASHBOARD'!$C$4="",ISNUMBER(SEARCH('TRANSPORT DASHBOARD'!$C$4,INDEX(MASTER_ZONES!$B:$B,572)))),571,""),""),""))</f>
        <v/>
      </c>
      <c r="K572">
        <f>IF('MIDWEEK DASHBOARD'!$B$4="Area",IF(571&lt;=$N$3,IF(AND(OR('MIDWEEK DASHBOARD'!$C$4="",ISNUMBER(SEARCH('MIDWEEK DASHBOARD'!$C$4,INDEX(MASTER_AREAS!$B:$B,572))))),571,""),""),IF('MIDWEEK DASHBOARD'!$B$4="Zone",IF(571&lt;=$N$4,IF(OR('MIDWEEK DASHBOARD'!$C$4="",ISNUMBER(SEARCH('MIDWEEK DASHBOARD'!$C$4,INDEX(MASTER_ZONES!$B:$B,572)))),571,""),""),""))</f>
        <v/>
      </c>
      <c r="P572">
        <f>IF('CHOP DASHBOARD'!$B$4="Area",IF(571&lt;=$S$3,IF(AND(OR('CHOP DASHBOARD'!$C$4="",ISNUMBER(SEARCH('CHOP DASHBOARD'!$C$4,INDEX(MASTER_AREAS!$B:$B,572))))),571,""),""),IF('CHOP DASHBOARD'!$B$4="Zone",IF(571&lt;=$S$4,IF(OR('CHOP DASHBOARD'!$C$4="",ISNUMBER(SEARCH('CHOP DASHBOARD'!$C$4,INDEX(MASTER_ZONES!$B:$B,572)))),571,""),""),""))</f>
        <v/>
      </c>
      <c r="U572">
        <f>IF('COMMUNITY CHURCH DASHBOARD'!$B$4="Area",IF(571&lt;=$X$3,IF(AND(OR('COMMUNITY CHURCH DASHBOARD'!$C$4="",ISNUMBER(SEARCH('COMMUNITY CHURCH DASHBOARD'!$C$4,INDEX(MASTER_AREAS!$B:$B,572))))),571,""),""),IF('COMMUNITY CHURCH DASHBOARD'!$B$4="Zone",IF(571&lt;=$X$4,IF(OR('COMMUNITY CHURCH DASHBOARD'!$C$4="",ISNUMBER(SEARCH('COMMUNITY CHURCH DASHBOARD'!$C$4,INDEX(MASTER_ZONES!$B:$B,572)))),571,""),""),""))</f>
        <v/>
      </c>
    </row>
    <row r="573">
      <c r="A573">
        <f>IF('WSF DASHBOARD'!$B$4="Area",IF(572&lt;=$D$3,IF(AND(OR('WSF DASHBOARD'!$C$4="",ISNUMBER(SEARCH('WSF DASHBOARD'!$C$4,INDEX(MASTER_AREAS!$B:$B,573))))),572,""),""),IF('WSF DASHBOARD'!$B$4="Zone",IF(572&lt;=$D$4,IF(OR('WSF DASHBOARD'!$C$4="",ISNUMBER(SEARCH('WSF DASHBOARD'!$C$4,INDEX(MASTER_ZONES!$B:$B,573)))),572,""),""),""))</f>
        <v/>
      </c>
      <c r="F573">
        <f>IF('TRANSPORT DASHBOARD'!$B$4="Area",IF(572&lt;=$I$3,IF(AND(INDEX(MASTER_AREAS!$F:$F,573)&lt;&gt;"N",OR('TRANSPORT DASHBOARD'!$C$4="",ISNUMBER(SEARCH('TRANSPORT DASHBOARD'!$C$4,INDEX(MASTER_AREAS!$B:$B,573))))),572,""),""),IF('TRANSPORT DASHBOARD'!$B$4="Zone",IF(572&lt;=$I$4,IF(OR('TRANSPORT DASHBOARD'!$C$4="",ISNUMBER(SEARCH('TRANSPORT DASHBOARD'!$C$4,INDEX(MASTER_ZONES!$B:$B,573)))),572,""),""),""))</f>
        <v/>
      </c>
      <c r="K573">
        <f>IF('MIDWEEK DASHBOARD'!$B$4="Area",IF(572&lt;=$N$3,IF(AND(OR('MIDWEEK DASHBOARD'!$C$4="",ISNUMBER(SEARCH('MIDWEEK DASHBOARD'!$C$4,INDEX(MASTER_AREAS!$B:$B,573))))),572,""),""),IF('MIDWEEK DASHBOARD'!$B$4="Zone",IF(572&lt;=$N$4,IF(OR('MIDWEEK DASHBOARD'!$C$4="",ISNUMBER(SEARCH('MIDWEEK DASHBOARD'!$C$4,INDEX(MASTER_ZONES!$B:$B,573)))),572,""),""),""))</f>
        <v/>
      </c>
      <c r="P573">
        <f>IF('CHOP DASHBOARD'!$B$4="Area",IF(572&lt;=$S$3,IF(AND(OR('CHOP DASHBOARD'!$C$4="",ISNUMBER(SEARCH('CHOP DASHBOARD'!$C$4,INDEX(MASTER_AREAS!$B:$B,573))))),572,""),""),IF('CHOP DASHBOARD'!$B$4="Zone",IF(572&lt;=$S$4,IF(OR('CHOP DASHBOARD'!$C$4="",ISNUMBER(SEARCH('CHOP DASHBOARD'!$C$4,INDEX(MASTER_ZONES!$B:$B,573)))),572,""),""),""))</f>
        <v/>
      </c>
      <c r="U573">
        <f>IF('COMMUNITY CHURCH DASHBOARD'!$B$4="Area",IF(572&lt;=$X$3,IF(AND(OR('COMMUNITY CHURCH DASHBOARD'!$C$4="",ISNUMBER(SEARCH('COMMUNITY CHURCH DASHBOARD'!$C$4,INDEX(MASTER_AREAS!$B:$B,573))))),572,""),""),IF('COMMUNITY CHURCH DASHBOARD'!$B$4="Zone",IF(572&lt;=$X$4,IF(OR('COMMUNITY CHURCH DASHBOARD'!$C$4="",ISNUMBER(SEARCH('COMMUNITY CHURCH DASHBOARD'!$C$4,INDEX(MASTER_ZONES!$B:$B,573)))),572,""),""),""))</f>
        <v/>
      </c>
    </row>
    <row r="574">
      <c r="A574">
        <f>IF('WSF DASHBOARD'!$B$4="Area",IF(573&lt;=$D$3,IF(AND(OR('WSF DASHBOARD'!$C$4="",ISNUMBER(SEARCH('WSF DASHBOARD'!$C$4,INDEX(MASTER_AREAS!$B:$B,574))))),573,""),""),IF('WSF DASHBOARD'!$B$4="Zone",IF(573&lt;=$D$4,IF(OR('WSF DASHBOARD'!$C$4="",ISNUMBER(SEARCH('WSF DASHBOARD'!$C$4,INDEX(MASTER_ZONES!$B:$B,574)))),573,""),""),""))</f>
        <v/>
      </c>
      <c r="F574">
        <f>IF('TRANSPORT DASHBOARD'!$B$4="Area",IF(573&lt;=$I$3,IF(AND(INDEX(MASTER_AREAS!$F:$F,574)&lt;&gt;"N",OR('TRANSPORT DASHBOARD'!$C$4="",ISNUMBER(SEARCH('TRANSPORT DASHBOARD'!$C$4,INDEX(MASTER_AREAS!$B:$B,574))))),573,""),""),IF('TRANSPORT DASHBOARD'!$B$4="Zone",IF(573&lt;=$I$4,IF(OR('TRANSPORT DASHBOARD'!$C$4="",ISNUMBER(SEARCH('TRANSPORT DASHBOARD'!$C$4,INDEX(MASTER_ZONES!$B:$B,574)))),573,""),""),""))</f>
        <v/>
      </c>
      <c r="K574">
        <f>IF('MIDWEEK DASHBOARD'!$B$4="Area",IF(573&lt;=$N$3,IF(AND(OR('MIDWEEK DASHBOARD'!$C$4="",ISNUMBER(SEARCH('MIDWEEK DASHBOARD'!$C$4,INDEX(MASTER_AREAS!$B:$B,574))))),573,""),""),IF('MIDWEEK DASHBOARD'!$B$4="Zone",IF(573&lt;=$N$4,IF(OR('MIDWEEK DASHBOARD'!$C$4="",ISNUMBER(SEARCH('MIDWEEK DASHBOARD'!$C$4,INDEX(MASTER_ZONES!$B:$B,574)))),573,""),""),""))</f>
        <v/>
      </c>
      <c r="P574">
        <f>IF('CHOP DASHBOARD'!$B$4="Area",IF(573&lt;=$S$3,IF(AND(OR('CHOP DASHBOARD'!$C$4="",ISNUMBER(SEARCH('CHOP DASHBOARD'!$C$4,INDEX(MASTER_AREAS!$B:$B,574))))),573,""),""),IF('CHOP DASHBOARD'!$B$4="Zone",IF(573&lt;=$S$4,IF(OR('CHOP DASHBOARD'!$C$4="",ISNUMBER(SEARCH('CHOP DASHBOARD'!$C$4,INDEX(MASTER_ZONES!$B:$B,574)))),573,""),""),""))</f>
        <v/>
      </c>
      <c r="U574">
        <f>IF('COMMUNITY CHURCH DASHBOARD'!$B$4="Area",IF(573&lt;=$X$3,IF(AND(OR('COMMUNITY CHURCH DASHBOARD'!$C$4="",ISNUMBER(SEARCH('COMMUNITY CHURCH DASHBOARD'!$C$4,INDEX(MASTER_AREAS!$B:$B,574))))),573,""),""),IF('COMMUNITY CHURCH DASHBOARD'!$B$4="Zone",IF(573&lt;=$X$4,IF(OR('COMMUNITY CHURCH DASHBOARD'!$C$4="",ISNUMBER(SEARCH('COMMUNITY CHURCH DASHBOARD'!$C$4,INDEX(MASTER_ZONES!$B:$B,574)))),573,""),""),""))</f>
        <v/>
      </c>
    </row>
    <row r="575">
      <c r="A575">
        <f>IF('WSF DASHBOARD'!$B$4="Area",IF(574&lt;=$D$3,IF(AND(OR('WSF DASHBOARD'!$C$4="",ISNUMBER(SEARCH('WSF DASHBOARD'!$C$4,INDEX(MASTER_AREAS!$B:$B,575))))),574,""),""),IF('WSF DASHBOARD'!$B$4="Zone",IF(574&lt;=$D$4,IF(OR('WSF DASHBOARD'!$C$4="",ISNUMBER(SEARCH('WSF DASHBOARD'!$C$4,INDEX(MASTER_ZONES!$B:$B,575)))),574,""),""),""))</f>
        <v/>
      </c>
      <c r="F575">
        <f>IF('TRANSPORT DASHBOARD'!$B$4="Area",IF(574&lt;=$I$3,IF(AND(INDEX(MASTER_AREAS!$F:$F,575)&lt;&gt;"N",OR('TRANSPORT DASHBOARD'!$C$4="",ISNUMBER(SEARCH('TRANSPORT DASHBOARD'!$C$4,INDEX(MASTER_AREAS!$B:$B,575))))),574,""),""),IF('TRANSPORT DASHBOARD'!$B$4="Zone",IF(574&lt;=$I$4,IF(OR('TRANSPORT DASHBOARD'!$C$4="",ISNUMBER(SEARCH('TRANSPORT DASHBOARD'!$C$4,INDEX(MASTER_ZONES!$B:$B,575)))),574,""),""),""))</f>
        <v/>
      </c>
      <c r="K575">
        <f>IF('MIDWEEK DASHBOARD'!$B$4="Area",IF(574&lt;=$N$3,IF(AND(OR('MIDWEEK DASHBOARD'!$C$4="",ISNUMBER(SEARCH('MIDWEEK DASHBOARD'!$C$4,INDEX(MASTER_AREAS!$B:$B,575))))),574,""),""),IF('MIDWEEK DASHBOARD'!$B$4="Zone",IF(574&lt;=$N$4,IF(OR('MIDWEEK DASHBOARD'!$C$4="",ISNUMBER(SEARCH('MIDWEEK DASHBOARD'!$C$4,INDEX(MASTER_ZONES!$B:$B,575)))),574,""),""),""))</f>
        <v/>
      </c>
      <c r="P575">
        <f>IF('CHOP DASHBOARD'!$B$4="Area",IF(574&lt;=$S$3,IF(AND(OR('CHOP DASHBOARD'!$C$4="",ISNUMBER(SEARCH('CHOP DASHBOARD'!$C$4,INDEX(MASTER_AREAS!$B:$B,575))))),574,""),""),IF('CHOP DASHBOARD'!$B$4="Zone",IF(574&lt;=$S$4,IF(OR('CHOP DASHBOARD'!$C$4="",ISNUMBER(SEARCH('CHOP DASHBOARD'!$C$4,INDEX(MASTER_ZONES!$B:$B,575)))),574,""),""),""))</f>
        <v/>
      </c>
      <c r="U575">
        <f>IF('COMMUNITY CHURCH DASHBOARD'!$B$4="Area",IF(574&lt;=$X$3,IF(AND(OR('COMMUNITY CHURCH DASHBOARD'!$C$4="",ISNUMBER(SEARCH('COMMUNITY CHURCH DASHBOARD'!$C$4,INDEX(MASTER_AREAS!$B:$B,575))))),574,""),""),IF('COMMUNITY CHURCH DASHBOARD'!$B$4="Zone",IF(574&lt;=$X$4,IF(OR('COMMUNITY CHURCH DASHBOARD'!$C$4="",ISNUMBER(SEARCH('COMMUNITY CHURCH DASHBOARD'!$C$4,INDEX(MASTER_ZONES!$B:$B,575)))),574,""),""),""))</f>
        <v/>
      </c>
    </row>
    <row r="576">
      <c r="A576">
        <f>IF('WSF DASHBOARD'!$B$4="Area",IF(575&lt;=$D$3,IF(AND(OR('WSF DASHBOARD'!$C$4="",ISNUMBER(SEARCH('WSF DASHBOARD'!$C$4,INDEX(MASTER_AREAS!$B:$B,576))))),575,""),""),IF('WSF DASHBOARD'!$B$4="Zone",IF(575&lt;=$D$4,IF(OR('WSF DASHBOARD'!$C$4="",ISNUMBER(SEARCH('WSF DASHBOARD'!$C$4,INDEX(MASTER_ZONES!$B:$B,576)))),575,""),""),""))</f>
        <v/>
      </c>
      <c r="F576">
        <f>IF('TRANSPORT DASHBOARD'!$B$4="Area",IF(575&lt;=$I$3,IF(AND(INDEX(MASTER_AREAS!$F:$F,576)&lt;&gt;"N",OR('TRANSPORT DASHBOARD'!$C$4="",ISNUMBER(SEARCH('TRANSPORT DASHBOARD'!$C$4,INDEX(MASTER_AREAS!$B:$B,576))))),575,""),""),IF('TRANSPORT DASHBOARD'!$B$4="Zone",IF(575&lt;=$I$4,IF(OR('TRANSPORT DASHBOARD'!$C$4="",ISNUMBER(SEARCH('TRANSPORT DASHBOARD'!$C$4,INDEX(MASTER_ZONES!$B:$B,576)))),575,""),""),""))</f>
        <v/>
      </c>
      <c r="K576">
        <f>IF('MIDWEEK DASHBOARD'!$B$4="Area",IF(575&lt;=$N$3,IF(AND(OR('MIDWEEK DASHBOARD'!$C$4="",ISNUMBER(SEARCH('MIDWEEK DASHBOARD'!$C$4,INDEX(MASTER_AREAS!$B:$B,576))))),575,""),""),IF('MIDWEEK DASHBOARD'!$B$4="Zone",IF(575&lt;=$N$4,IF(OR('MIDWEEK DASHBOARD'!$C$4="",ISNUMBER(SEARCH('MIDWEEK DASHBOARD'!$C$4,INDEX(MASTER_ZONES!$B:$B,576)))),575,""),""),""))</f>
        <v/>
      </c>
      <c r="P576">
        <f>IF('CHOP DASHBOARD'!$B$4="Area",IF(575&lt;=$S$3,IF(AND(OR('CHOP DASHBOARD'!$C$4="",ISNUMBER(SEARCH('CHOP DASHBOARD'!$C$4,INDEX(MASTER_AREAS!$B:$B,576))))),575,""),""),IF('CHOP DASHBOARD'!$B$4="Zone",IF(575&lt;=$S$4,IF(OR('CHOP DASHBOARD'!$C$4="",ISNUMBER(SEARCH('CHOP DASHBOARD'!$C$4,INDEX(MASTER_ZONES!$B:$B,576)))),575,""),""),""))</f>
        <v/>
      </c>
      <c r="U576">
        <f>IF('COMMUNITY CHURCH DASHBOARD'!$B$4="Area",IF(575&lt;=$X$3,IF(AND(OR('COMMUNITY CHURCH DASHBOARD'!$C$4="",ISNUMBER(SEARCH('COMMUNITY CHURCH DASHBOARD'!$C$4,INDEX(MASTER_AREAS!$B:$B,576))))),575,""),""),IF('COMMUNITY CHURCH DASHBOARD'!$B$4="Zone",IF(575&lt;=$X$4,IF(OR('COMMUNITY CHURCH DASHBOARD'!$C$4="",ISNUMBER(SEARCH('COMMUNITY CHURCH DASHBOARD'!$C$4,INDEX(MASTER_ZONES!$B:$B,576)))),575,""),""),""))</f>
        <v/>
      </c>
    </row>
    <row r="577">
      <c r="A577">
        <f>IF('WSF DASHBOARD'!$B$4="Area",IF(576&lt;=$D$3,IF(AND(OR('WSF DASHBOARD'!$C$4="",ISNUMBER(SEARCH('WSF DASHBOARD'!$C$4,INDEX(MASTER_AREAS!$B:$B,577))))),576,""),""),IF('WSF DASHBOARD'!$B$4="Zone",IF(576&lt;=$D$4,IF(OR('WSF DASHBOARD'!$C$4="",ISNUMBER(SEARCH('WSF DASHBOARD'!$C$4,INDEX(MASTER_ZONES!$B:$B,577)))),576,""),""),""))</f>
        <v/>
      </c>
      <c r="F577">
        <f>IF('TRANSPORT DASHBOARD'!$B$4="Area",IF(576&lt;=$I$3,IF(AND(INDEX(MASTER_AREAS!$F:$F,577)&lt;&gt;"N",OR('TRANSPORT DASHBOARD'!$C$4="",ISNUMBER(SEARCH('TRANSPORT DASHBOARD'!$C$4,INDEX(MASTER_AREAS!$B:$B,577))))),576,""),""),IF('TRANSPORT DASHBOARD'!$B$4="Zone",IF(576&lt;=$I$4,IF(OR('TRANSPORT DASHBOARD'!$C$4="",ISNUMBER(SEARCH('TRANSPORT DASHBOARD'!$C$4,INDEX(MASTER_ZONES!$B:$B,577)))),576,""),""),""))</f>
        <v/>
      </c>
      <c r="K577">
        <f>IF('MIDWEEK DASHBOARD'!$B$4="Area",IF(576&lt;=$N$3,IF(AND(OR('MIDWEEK DASHBOARD'!$C$4="",ISNUMBER(SEARCH('MIDWEEK DASHBOARD'!$C$4,INDEX(MASTER_AREAS!$B:$B,577))))),576,""),""),IF('MIDWEEK DASHBOARD'!$B$4="Zone",IF(576&lt;=$N$4,IF(OR('MIDWEEK DASHBOARD'!$C$4="",ISNUMBER(SEARCH('MIDWEEK DASHBOARD'!$C$4,INDEX(MASTER_ZONES!$B:$B,577)))),576,""),""),""))</f>
        <v/>
      </c>
      <c r="P577">
        <f>IF('CHOP DASHBOARD'!$B$4="Area",IF(576&lt;=$S$3,IF(AND(OR('CHOP DASHBOARD'!$C$4="",ISNUMBER(SEARCH('CHOP DASHBOARD'!$C$4,INDEX(MASTER_AREAS!$B:$B,577))))),576,""),""),IF('CHOP DASHBOARD'!$B$4="Zone",IF(576&lt;=$S$4,IF(OR('CHOP DASHBOARD'!$C$4="",ISNUMBER(SEARCH('CHOP DASHBOARD'!$C$4,INDEX(MASTER_ZONES!$B:$B,577)))),576,""),""),""))</f>
        <v/>
      </c>
      <c r="U577">
        <f>IF('COMMUNITY CHURCH DASHBOARD'!$B$4="Area",IF(576&lt;=$X$3,IF(AND(OR('COMMUNITY CHURCH DASHBOARD'!$C$4="",ISNUMBER(SEARCH('COMMUNITY CHURCH DASHBOARD'!$C$4,INDEX(MASTER_AREAS!$B:$B,577))))),576,""),""),IF('COMMUNITY CHURCH DASHBOARD'!$B$4="Zone",IF(576&lt;=$X$4,IF(OR('COMMUNITY CHURCH DASHBOARD'!$C$4="",ISNUMBER(SEARCH('COMMUNITY CHURCH DASHBOARD'!$C$4,INDEX(MASTER_ZONES!$B:$B,577)))),576,""),""),""))</f>
        <v/>
      </c>
    </row>
    <row r="578">
      <c r="A578">
        <f>IF('WSF DASHBOARD'!$B$4="Area",IF(577&lt;=$D$3,IF(AND(OR('WSF DASHBOARD'!$C$4="",ISNUMBER(SEARCH('WSF DASHBOARD'!$C$4,INDEX(MASTER_AREAS!$B:$B,578))))),577,""),""),IF('WSF DASHBOARD'!$B$4="Zone",IF(577&lt;=$D$4,IF(OR('WSF DASHBOARD'!$C$4="",ISNUMBER(SEARCH('WSF DASHBOARD'!$C$4,INDEX(MASTER_ZONES!$B:$B,578)))),577,""),""),""))</f>
        <v/>
      </c>
      <c r="F578">
        <f>IF('TRANSPORT DASHBOARD'!$B$4="Area",IF(577&lt;=$I$3,IF(AND(INDEX(MASTER_AREAS!$F:$F,578)&lt;&gt;"N",OR('TRANSPORT DASHBOARD'!$C$4="",ISNUMBER(SEARCH('TRANSPORT DASHBOARD'!$C$4,INDEX(MASTER_AREAS!$B:$B,578))))),577,""),""),IF('TRANSPORT DASHBOARD'!$B$4="Zone",IF(577&lt;=$I$4,IF(OR('TRANSPORT DASHBOARD'!$C$4="",ISNUMBER(SEARCH('TRANSPORT DASHBOARD'!$C$4,INDEX(MASTER_ZONES!$B:$B,578)))),577,""),""),""))</f>
        <v/>
      </c>
      <c r="K578">
        <f>IF('MIDWEEK DASHBOARD'!$B$4="Area",IF(577&lt;=$N$3,IF(AND(OR('MIDWEEK DASHBOARD'!$C$4="",ISNUMBER(SEARCH('MIDWEEK DASHBOARD'!$C$4,INDEX(MASTER_AREAS!$B:$B,578))))),577,""),""),IF('MIDWEEK DASHBOARD'!$B$4="Zone",IF(577&lt;=$N$4,IF(OR('MIDWEEK DASHBOARD'!$C$4="",ISNUMBER(SEARCH('MIDWEEK DASHBOARD'!$C$4,INDEX(MASTER_ZONES!$B:$B,578)))),577,""),""),""))</f>
        <v/>
      </c>
      <c r="P578">
        <f>IF('CHOP DASHBOARD'!$B$4="Area",IF(577&lt;=$S$3,IF(AND(OR('CHOP DASHBOARD'!$C$4="",ISNUMBER(SEARCH('CHOP DASHBOARD'!$C$4,INDEX(MASTER_AREAS!$B:$B,578))))),577,""),""),IF('CHOP DASHBOARD'!$B$4="Zone",IF(577&lt;=$S$4,IF(OR('CHOP DASHBOARD'!$C$4="",ISNUMBER(SEARCH('CHOP DASHBOARD'!$C$4,INDEX(MASTER_ZONES!$B:$B,578)))),577,""),""),""))</f>
        <v/>
      </c>
      <c r="U578">
        <f>IF('COMMUNITY CHURCH DASHBOARD'!$B$4="Area",IF(577&lt;=$X$3,IF(AND(OR('COMMUNITY CHURCH DASHBOARD'!$C$4="",ISNUMBER(SEARCH('COMMUNITY CHURCH DASHBOARD'!$C$4,INDEX(MASTER_AREAS!$B:$B,578))))),577,""),""),IF('COMMUNITY CHURCH DASHBOARD'!$B$4="Zone",IF(577&lt;=$X$4,IF(OR('COMMUNITY CHURCH DASHBOARD'!$C$4="",ISNUMBER(SEARCH('COMMUNITY CHURCH DASHBOARD'!$C$4,INDEX(MASTER_ZONES!$B:$B,578)))),577,""),""),""))</f>
        <v/>
      </c>
    </row>
    <row r="579">
      <c r="A579">
        <f>IF('WSF DASHBOARD'!$B$4="Area",IF(578&lt;=$D$3,IF(AND(OR('WSF DASHBOARD'!$C$4="",ISNUMBER(SEARCH('WSF DASHBOARD'!$C$4,INDEX(MASTER_AREAS!$B:$B,579))))),578,""),""),IF('WSF DASHBOARD'!$B$4="Zone",IF(578&lt;=$D$4,IF(OR('WSF DASHBOARD'!$C$4="",ISNUMBER(SEARCH('WSF DASHBOARD'!$C$4,INDEX(MASTER_ZONES!$B:$B,579)))),578,""),""),""))</f>
        <v/>
      </c>
      <c r="F579">
        <f>IF('TRANSPORT DASHBOARD'!$B$4="Area",IF(578&lt;=$I$3,IF(AND(INDEX(MASTER_AREAS!$F:$F,579)&lt;&gt;"N",OR('TRANSPORT DASHBOARD'!$C$4="",ISNUMBER(SEARCH('TRANSPORT DASHBOARD'!$C$4,INDEX(MASTER_AREAS!$B:$B,579))))),578,""),""),IF('TRANSPORT DASHBOARD'!$B$4="Zone",IF(578&lt;=$I$4,IF(OR('TRANSPORT DASHBOARD'!$C$4="",ISNUMBER(SEARCH('TRANSPORT DASHBOARD'!$C$4,INDEX(MASTER_ZONES!$B:$B,579)))),578,""),""),""))</f>
        <v/>
      </c>
      <c r="K579">
        <f>IF('MIDWEEK DASHBOARD'!$B$4="Area",IF(578&lt;=$N$3,IF(AND(OR('MIDWEEK DASHBOARD'!$C$4="",ISNUMBER(SEARCH('MIDWEEK DASHBOARD'!$C$4,INDEX(MASTER_AREAS!$B:$B,579))))),578,""),""),IF('MIDWEEK DASHBOARD'!$B$4="Zone",IF(578&lt;=$N$4,IF(OR('MIDWEEK DASHBOARD'!$C$4="",ISNUMBER(SEARCH('MIDWEEK DASHBOARD'!$C$4,INDEX(MASTER_ZONES!$B:$B,579)))),578,""),""),""))</f>
        <v/>
      </c>
      <c r="P579">
        <f>IF('CHOP DASHBOARD'!$B$4="Area",IF(578&lt;=$S$3,IF(AND(OR('CHOP DASHBOARD'!$C$4="",ISNUMBER(SEARCH('CHOP DASHBOARD'!$C$4,INDEX(MASTER_AREAS!$B:$B,579))))),578,""),""),IF('CHOP DASHBOARD'!$B$4="Zone",IF(578&lt;=$S$4,IF(OR('CHOP DASHBOARD'!$C$4="",ISNUMBER(SEARCH('CHOP DASHBOARD'!$C$4,INDEX(MASTER_ZONES!$B:$B,579)))),578,""),""),""))</f>
        <v/>
      </c>
      <c r="U579">
        <f>IF('COMMUNITY CHURCH DASHBOARD'!$B$4="Area",IF(578&lt;=$X$3,IF(AND(OR('COMMUNITY CHURCH DASHBOARD'!$C$4="",ISNUMBER(SEARCH('COMMUNITY CHURCH DASHBOARD'!$C$4,INDEX(MASTER_AREAS!$B:$B,579))))),578,""),""),IF('COMMUNITY CHURCH DASHBOARD'!$B$4="Zone",IF(578&lt;=$X$4,IF(OR('COMMUNITY CHURCH DASHBOARD'!$C$4="",ISNUMBER(SEARCH('COMMUNITY CHURCH DASHBOARD'!$C$4,INDEX(MASTER_ZONES!$B:$B,579)))),578,""),""),""))</f>
        <v/>
      </c>
    </row>
    <row r="580">
      <c r="A580">
        <f>IF('WSF DASHBOARD'!$B$4="Area",IF(579&lt;=$D$3,IF(AND(OR('WSF DASHBOARD'!$C$4="",ISNUMBER(SEARCH('WSF DASHBOARD'!$C$4,INDEX(MASTER_AREAS!$B:$B,580))))),579,""),""),IF('WSF DASHBOARD'!$B$4="Zone",IF(579&lt;=$D$4,IF(OR('WSF DASHBOARD'!$C$4="",ISNUMBER(SEARCH('WSF DASHBOARD'!$C$4,INDEX(MASTER_ZONES!$B:$B,580)))),579,""),""),""))</f>
        <v/>
      </c>
      <c r="F580">
        <f>IF('TRANSPORT DASHBOARD'!$B$4="Area",IF(579&lt;=$I$3,IF(AND(INDEX(MASTER_AREAS!$F:$F,580)&lt;&gt;"N",OR('TRANSPORT DASHBOARD'!$C$4="",ISNUMBER(SEARCH('TRANSPORT DASHBOARD'!$C$4,INDEX(MASTER_AREAS!$B:$B,580))))),579,""),""),IF('TRANSPORT DASHBOARD'!$B$4="Zone",IF(579&lt;=$I$4,IF(OR('TRANSPORT DASHBOARD'!$C$4="",ISNUMBER(SEARCH('TRANSPORT DASHBOARD'!$C$4,INDEX(MASTER_ZONES!$B:$B,580)))),579,""),""),""))</f>
        <v/>
      </c>
      <c r="K580">
        <f>IF('MIDWEEK DASHBOARD'!$B$4="Area",IF(579&lt;=$N$3,IF(AND(OR('MIDWEEK DASHBOARD'!$C$4="",ISNUMBER(SEARCH('MIDWEEK DASHBOARD'!$C$4,INDEX(MASTER_AREAS!$B:$B,580))))),579,""),""),IF('MIDWEEK DASHBOARD'!$B$4="Zone",IF(579&lt;=$N$4,IF(OR('MIDWEEK DASHBOARD'!$C$4="",ISNUMBER(SEARCH('MIDWEEK DASHBOARD'!$C$4,INDEX(MASTER_ZONES!$B:$B,580)))),579,""),""),""))</f>
        <v/>
      </c>
      <c r="P580">
        <f>IF('CHOP DASHBOARD'!$B$4="Area",IF(579&lt;=$S$3,IF(AND(OR('CHOP DASHBOARD'!$C$4="",ISNUMBER(SEARCH('CHOP DASHBOARD'!$C$4,INDEX(MASTER_AREAS!$B:$B,580))))),579,""),""),IF('CHOP DASHBOARD'!$B$4="Zone",IF(579&lt;=$S$4,IF(OR('CHOP DASHBOARD'!$C$4="",ISNUMBER(SEARCH('CHOP DASHBOARD'!$C$4,INDEX(MASTER_ZONES!$B:$B,580)))),579,""),""),""))</f>
        <v/>
      </c>
      <c r="U580">
        <f>IF('COMMUNITY CHURCH DASHBOARD'!$B$4="Area",IF(579&lt;=$X$3,IF(AND(OR('COMMUNITY CHURCH DASHBOARD'!$C$4="",ISNUMBER(SEARCH('COMMUNITY CHURCH DASHBOARD'!$C$4,INDEX(MASTER_AREAS!$B:$B,580))))),579,""),""),IF('COMMUNITY CHURCH DASHBOARD'!$B$4="Zone",IF(579&lt;=$X$4,IF(OR('COMMUNITY CHURCH DASHBOARD'!$C$4="",ISNUMBER(SEARCH('COMMUNITY CHURCH DASHBOARD'!$C$4,INDEX(MASTER_ZONES!$B:$B,580)))),579,""),""),""))</f>
        <v/>
      </c>
    </row>
    <row r="581">
      <c r="A581">
        <f>IF('WSF DASHBOARD'!$B$4="Area",IF(580&lt;=$D$3,IF(AND(OR('WSF DASHBOARD'!$C$4="",ISNUMBER(SEARCH('WSF DASHBOARD'!$C$4,INDEX(MASTER_AREAS!$B:$B,581))))),580,""),""),IF('WSF DASHBOARD'!$B$4="Zone",IF(580&lt;=$D$4,IF(OR('WSF DASHBOARD'!$C$4="",ISNUMBER(SEARCH('WSF DASHBOARD'!$C$4,INDEX(MASTER_ZONES!$B:$B,581)))),580,""),""),""))</f>
        <v/>
      </c>
      <c r="F581">
        <f>IF('TRANSPORT DASHBOARD'!$B$4="Area",IF(580&lt;=$I$3,IF(AND(INDEX(MASTER_AREAS!$F:$F,581)&lt;&gt;"N",OR('TRANSPORT DASHBOARD'!$C$4="",ISNUMBER(SEARCH('TRANSPORT DASHBOARD'!$C$4,INDEX(MASTER_AREAS!$B:$B,581))))),580,""),""),IF('TRANSPORT DASHBOARD'!$B$4="Zone",IF(580&lt;=$I$4,IF(OR('TRANSPORT DASHBOARD'!$C$4="",ISNUMBER(SEARCH('TRANSPORT DASHBOARD'!$C$4,INDEX(MASTER_ZONES!$B:$B,581)))),580,""),""),""))</f>
        <v/>
      </c>
      <c r="K581">
        <f>IF('MIDWEEK DASHBOARD'!$B$4="Area",IF(580&lt;=$N$3,IF(AND(OR('MIDWEEK DASHBOARD'!$C$4="",ISNUMBER(SEARCH('MIDWEEK DASHBOARD'!$C$4,INDEX(MASTER_AREAS!$B:$B,581))))),580,""),""),IF('MIDWEEK DASHBOARD'!$B$4="Zone",IF(580&lt;=$N$4,IF(OR('MIDWEEK DASHBOARD'!$C$4="",ISNUMBER(SEARCH('MIDWEEK DASHBOARD'!$C$4,INDEX(MASTER_ZONES!$B:$B,581)))),580,""),""),""))</f>
        <v/>
      </c>
      <c r="P581">
        <f>IF('CHOP DASHBOARD'!$B$4="Area",IF(580&lt;=$S$3,IF(AND(OR('CHOP DASHBOARD'!$C$4="",ISNUMBER(SEARCH('CHOP DASHBOARD'!$C$4,INDEX(MASTER_AREAS!$B:$B,581))))),580,""),""),IF('CHOP DASHBOARD'!$B$4="Zone",IF(580&lt;=$S$4,IF(OR('CHOP DASHBOARD'!$C$4="",ISNUMBER(SEARCH('CHOP DASHBOARD'!$C$4,INDEX(MASTER_ZONES!$B:$B,581)))),580,""),""),""))</f>
        <v/>
      </c>
      <c r="U581">
        <f>IF('COMMUNITY CHURCH DASHBOARD'!$B$4="Area",IF(580&lt;=$X$3,IF(AND(OR('COMMUNITY CHURCH DASHBOARD'!$C$4="",ISNUMBER(SEARCH('COMMUNITY CHURCH DASHBOARD'!$C$4,INDEX(MASTER_AREAS!$B:$B,581))))),580,""),""),IF('COMMUNITY CHURCH DASHBOARD'!$B$4="Zone",IF(580&lt;=$X$4,IF(OR('COMMUNITY CHURCH DASHBOARD'!$C$4="",ISNUMBER(SEARCH('COMMUNITY CHURCH DASHBOARD'!$C$4,INDEX(MASTER_ZONES!$B:$B,581)))),580,""),""),""))</f>
        <v/>
      </c>
    </row>
    <row r="582">
      <c r="A582">
        <f>IF('WSF DASHBOARD'!$B$4="Area",IF(581&lt;=$D$3,IF(AND(OR('WSF DASHBOARD'!$C$4="",ISNUMBER(SEARCH('WSF DASHBOARD'!$C$4,INDEX(MASTER_AREAS!$B:$B,582))))),581,""),""),IF('WSF DASHBOARD'!$B$4="Zone",IF(581&lt;=$D$4,IF(OR('WSF DASHBOARD'!$C$4="",ISNUMBER(SEARCH('WSF DASHBOARD'!$C$4,INDEX(MASTER_ZONES!$B:$B,582)))),581,""),""),""))</f>
        <v/>
      </c>
      <c r="F582">
        <f>IF('TRANSPORT DASHBOARD'!$B$4="Area",IF(581&lt;=$I$3,IF(AND(INDEX(MASTER_AREAS!$F:$F,582)&lt;&gt;"N",OR('TRANSPORT DASHBOARD'!$C$4="",ISNUMBER(SEARCH('TRANSPORT DASHBOARD'!$C$4,INDEX(MASTER_AREAS!$B:$B,582))))),581,""),""),IF('TRANSPORT DASHBOARD'!$B$4="Zone",IF(581&lt;=$I$4,IF(OR('TRANSPORT DASHBOARD'!$C$4="",ISNUMBER(SEARCH('TRANSPORT DASHBOARD'!$C$4,INDEX(MASTER_ZONES!$B:$B,582)))),581,""),""),""))</f>
        <v/>
      </c>
      <c r="K582">
        <f>IF('MIDWEEK DASHBOARD'!$B$4="Area",IF(581&lt;=$N$3,IF(AND(OR('MIDWEEK DASHBOARD'!$C$4="",ISNUMBER(SEARCH('MIDWEEK DASHBOARD'!$C$4,INDEX(MASTER_AREAS!$B:$B,582))))),581,""),""),IF('MIDWEEK DASHBOARD'!$B$4="Zone",IF(581&lt;=$N$4,IF(OR('MIDWEEK DASHBOARD'!$C$4="",ISNUMBER(SEARCH('MIDWEEK DASHBOARD'!$C$4,INDEX(MASTER_ZONES!$B:$B,582)))),581,""),""),""))</f>
        <v/>
      </c>
      <c r="P582">
        <f>IF('CHOP DASHBOARD'!$B$4="Area",IF(581&lt;=$S$3,IF(AND(OR('CHOP DASHBOARD'!$C$4="",ISNUMBER(SEARCH('CHOP DASHBOARD'!$C$4,INDEX(MASTER_AREAS!$B:$B,582))))),581,""),""),IF('CHOP DASHBOARD'!$B$4="Zone",IF(581&lt;=$S$4,IF(OR('CHOP DASHBOARD'!$C$4="",ISNUMBER(SEARCH('CHOP DASHBOARD'!$C$4,INDEX(MASTER_ZONES!$B:$B,582)))),581,""),""),""))</f>
        <v/>
      </c>
      <c r="U582">
        <f>IF('COMMUNITY CHURCH DASHBOARD'!$B$4="Area",IF(581&lt;=$X$3,IF(AND(OR('COMMUNITY CHURCH DASHBOARD'!$C$4="",ISNUMBER(SEARCH('COMMUNITY CHURCH DASHBOARD'!$C$4,INDEX(MASTER_AREAS!$B:$B,582))))),581,""),""),IF('COMMUNITY CHURCH DASHBOARD'!$B$4="Zone",IF(581&lt;=$X$4,IF(OR('COMMUNITY CHURCH DASHBOARD'!$C$4="",ISNUMBER(SEARCH('COMMUNITY CHURCH DASHBOARD'!$C$4,INDEX(MASTER_ZONES!$B:$B,582)))),581,""),""),""))</f>
        <v/>
      </c>
    </row>
    <row r="583">
      <c r="A583">
        <f>IF('WSF DASHBOARD'!$B$4="Area",IF(582&lt;=$D$3,IF(AND(OR('WSF DASHBOARD'!$C$4="",ISNUMBER(SEARCH('WSF DASHBOARD'!$C$4,INDEX(MASTER_AREAS!$B:$B,583))))),582,""),""),IF('WSF DASHBOARD'!$B$4="Zone",IF(582&lt;=$D$4,IF(OR('WSF DASHBOARD'!$C$4="",ISNUMBER(SEARCH('WSF DASHBOARD'!$C$4,INDEX(MASTER_ZONES!$B:$B,583)))),582,""),""),""))</f>
        <v/>
      </c>
      <c r="F583">
        <f>IF('TRANSPORT DASHBOARD'!$B$4="Area",IF(582&lt;=$I$3,IF(AND(INDEX(MASTER_AREAS!$F:$F,583)&lt;&gt;"N",OR('TRANSPORT DASHBOARD'!$C$4="",ISNUMBER(SEARCH('TRANSPORT DASHBOARD'!$C$4,INDEX(MASTER_AREAS!$B:$B,583))))),582,""),""),IF('TRANSPORT DASHBOARD'!$B$4="Zone",IF(582&lt;=$I$4,IF(OR('TRANSPORT DASHBOARD'!$C$4="",ISNUMBER(SEARCH('TRANSPORT DASHBOARD'!$C$4,INDEX(MASTER_ZONES!$B:$B,583)))),582,""),""),""))</f>
        <v/>
      </c>
      <c r="K583">
        <f>IF('MIDWEEK DASHBOARD'!$B$4="Area",IF(582&lt;=$N$3,IF(AND(OR('MIDWEEK DASHBOARD'!$C$4="",ISNUMBER(SEARCH('MIDWEEK DASHBOARD'!$C$4,INDEX(MASTER_AREAS!$B:$B,583))))),582,""),""),IF('MIDWEEK DASHBOARD'!$B$4="Zone",IF(582&lt;=$N$4,IF(OR('MIDWEEK DASHBOARD'!$C$4="",ISNUMBER(SEARCH('MIDWEEK DASHBOARD'!$C$4,INDEX(MASTER_ZONES!$B:$B,583)))),582,""),""),""))</f>
        <v/>
      </c>
      <c r="P583">
        <f>IF('CHOP DASHBOARD'!$B$4="Area",IF(582&lt;=$S$3,IF(AND(OR('CHOP DASHBOARD'!$C$4="",ISNUMBER(SEARCH('CHOP DASHBOARD'!$C$4,INDEX(MASTER_AREAS!$B:$B,583))))),582,""),""),IF('CHOP DASHBOARD'!$B$4="Zone",IF(582&lt;=$S$4,IF(OR('CHOP DASHBOARD'!$C$4="",ISNUMBER(SEARCH('CHOP DASHBOARD'!$C$4,INDEX(MASTER_ZONES!$B:$B,583)))),582,""),""),""))</f>
        <v/>
      </c>
      <c r="U583">
        <f>IF('COMMUNITY CHURCH DASHBOARD'!$B$4="Area",IF(582&lt;=$X$3,IF(AND(OR('COMMUNITY CHURCH DASHBOARD'!$C$4="",ISNUMBER(SEARCH('COMMUNITY CHURCH DASHBOARD'!$C$4,INDEX(MASTER_AREAS!$B:$B,583))))),582,""),""),IF('COMMUNITY CHURCH DASHBOARD'!$B$4="Zone",IF(582&lt;=$X$4,IF(OR('COMMUNITY CHURCH DASHBOARD'!$C$4="",ISNUMBER(SEARCH('COMMUNITY CHURCH DASHBOARD'!$C$4,INDEX(MASTER_ZONES!$B:$B,583)))),582,""),""),""))</f>
        <v/>
      </c>
    </row>
    <row r="584">
      <c r="A584">
        <f>IF('WSF DASHBOARD'!$B$4="Area",IF(583&lt;=$D$3,IF(AND(OR('WSF DASHBOARD'!$C$4="",ISNUMBER(SEARCH('WSF DASHBOARD'!$C$4,INDEX(MASTER_AREAS!$B:$B,584))))),583,""),""),IF('WSF DASHBOARD'!$B$4="Zone",IF(583&lt;=$D$4,IF(OR('WSF DASHBOARD'!$C$4="",ISNUMBER(SEARCH('WSF DASHBOARD'!$C$4,INDEX(MASTER_ZONES!$B:$B,584)))),583,""),""),""))</f>
        <v/>
      </c>
      <c r="F584">
        <f>IF('TRANSPORT DASHBOARD'!$B$4="Area",IF(583&lt;=$I$3,IF(AND(INDEX(MASTER_AREAS!$F:$F,584)&lt;&gt;"N",OR('TRANSPORT DASHBOARD'!$C$4="",ISNUMBER(SEARCH('TRANSPORT DASHBOARD'!$C$4,INDEX(MASTER_AREAS!$B:$B,584))))),583,""),""),IF('TRANSPORT DASHBOARD'!$B$4="Zone",IF(583&lt;=$I$4,IF(OR('TRANSPORT DASHBOARD'!$C$4="",ISNUMBER(SEARCH('TRANSPORT DASHBOARD'!$C$4,INDEX(MASTER_ZONES!$B:$B,584)))),583,""),""),""))</f>
        <v/>
      </c>
      <c r="K584">
        <f>IF('MIDWEEK DASHBOARD'!$B$4="Area",IF(583&lt;=$N$3,IF(AND(OR('MIDWEEK DASHBOARD'!$C$4="",ISNUMBER(SEARCH('MIDWEEK DASHBOARD'!$C$4,INDEX(MASTER_AREAS!$B:$B,584))))),583,""),""),IF('MIDWEEK DASHBOARD'!$B$4="Zone",IF(583&lt;=$N$4,IF(OR('MIDWEEK DASHBOARD'!$C$4="",ISNUMBER(SEARCH('MIDWEEK DASHBOARD'!$C$4,INDEX(MASTER_ZONES!$B:$B,584)))),583,""),""),""))</f>
        <v/>
      </c>
      <c r="P584">
        <f>IF('CHOP DASHBOARD'!$B$4="Area",IF(583&lt;=$S$3,IF(AND(OR('CHOP DASHBOARD'!$C$4="",ISNUMBER(SEARCH('CHOP DASHBOARD'!$C$4,INDEX(MASTER_AREAS!$B:$B,584))))),583,""),""),IF('CHOP DASHBOARD'!$B$4="Zone",IF(583&lt;=$S$4,IF(OR('CHOP DASHBOARD'!$C$4="",ISNUMBER(SEARCH('CHOP DASHBOARD'!$C$4,INDEX(MASTER_ZONES!$B:$B,584)))),583,""),""),""))</f>
        <v/>
      </c>
      <c r="U584">
        <f>IF('COMMUNITY CHURCH DASHBOARD'!$B$4="Area",IF(583&lt;=$X$3,IF(AND(OR('COMMUNITY CHURCH DASHBOARD'!$C$4="",ISNUMBER(SEARCH('COMMUNITY CHURCH DASHBOARD'!$C$4,INDEX(MASTER_AREAS!$B:$B,584))))),583,""),""),IF('COMMUNITY CHURCH DASHBOARD'!$B$4="Zone",IF(583&lt;=$X$4,IF(OR('COMMUNITY CHURCH DASHBOARD'!$C$4="",ISNUMBER(SEARCH('COMMUNITY CHURCH DASHBOARD'!$C$4,INDEX(MASTER_ZONES!$B:$B,584)))),583,""),""),""))</f>
        <v/>
      </c>
    </row>
    <row r="585">
      <c r="A585">
        <f>IF('WSF DASHBOARD'!$B$4="Area",IF(584&lt;=$D$3,IF(AND(OR('WSF DASHBOARD'!$C$4="",ISNUMBER(SEARCH('WSF DASHBOARD'!$C$4,INDEX(MASTER_AREAS!$B:$B,585))))),584,""),""),IF('WSF DASHBOARD'!$B$4="Zone",IF(584&lt;=$D$4,IF(OR('WSF DASHBOARD'!$C$4="",ISNUMBER(SEARCH('WSF DASHBOARD'!$C$4,INDEX(MASTER_ZONES!$B:$B,585)))),584,""),""),""))</f>
        <v/>
      </c>
      <c r="F585">
        <f>IF('TRANSPORT DASHBOARD'!$B$4="Area",IF(584&lt;=$I$3,IF(AND(INDEX(MASTER_AREAS!$F:$F,585)&lt;&gt;"N",OR('TRANSPORT DASHBOARD'!$C$4="",ISNUMBER(SEARCH('TRANSPORT DASHBOARD'!$C$4,INDEX(MASTER_AREAS!$B:$B,585))))),584,""),""),IF('TRANSPORT DASHBOARD'!$B$4="Zone",IF(584&lt;=$I$4,IF(OR('TRANSPORT DASHBOARD'!$C$4="",ISNUMBER(SEARCH('TRANSPORT DASHBOARD'!$C$4,INDEX(MASTER_ZONES!$B:$B,585)))),584,""),""),""))</f>
        <v/>
      </c>
      <c r="K585">
        <f>IF('MIDWEEK DASHBOARD'!$B$4="Area",IF(584&lt;=$N$3,IF(AND(OR('MIDWEEK DASHBOARD'!$C$4="",ISNUMBER(SEARCH('MIDWEEK DASHBOARD'!$C$4,INDEX(MASTER_AREAS!$B:$B,585))))),584,""),""),IF('MIDWEEK DASHBOARD'!$B$4="Zone",IF(584&lt;=$N$4,IF(OR('MIDWEEK DASHBOARD'!$C$4="",ISNUMBER(SEARCH('MIDWEEK DASHBOARD'!$C$4,INDEX(MASTER_ZONES!$B:$B,585)))),584,""),""),""))</f>
        <v/>
      </c>
      <c r="P585">
        <f>IF('CHOP DASHBOARD'!$B$4="Area",IF(584&lt;=$S$3,IF(AND(OR('CHOP DASHBOARD'!$C$4="",ISNUMBER(SEARCH('CHOP DASHBOARD'!$C$4,INDEX(MASTER_AREAS!$B:$B,585))))),584,""),""),IF('CHOP DASHBOARD'!$B$4="Zone",IF(584&lt;=$S$4,IF(OR('CHOP DASHBOARD'!$C$4="",ISNUMBER(SEARCH('CHOP DASHBOARD'!$C$4,INDEX(MASTER_ZONES!$B:$B,585)))),584,""),""),""))</f>
        <v/>
      </c>
      <c r="U585">
        <f>IF('COMMUNITY CHURCH DASHBOARD'!$B$4="Area",IF(584&lt;=$X$3,IF(AND(OR('COMMUNITY CHURCH DASHBOARD'!$C$4="",ISNUMBER(SEARCH('COMMUNITY CHURCH DASHBOARD'!$C$4,INDEX(MASTER_AREAS!$B:$B,585))))),584,""),""),IF('COMMUNITY CHURCH DASHBOARD'!$B$4="Zone",IF(584&lt;=$X$4,IF(OR('COMMUNITY CHURCH DASHBOARD'!$C$4="",ISNUMBER(SEARCH('COMMUNITY CHURCH DASHBOARD'!$C$4,INDEX(MASTER_ZONES!$B:$B,585)))),584,""),""),""))</f>
        <v/>
      </c>
    </row>
    <row r="586">
      <c r="A586">
        <f>IF('WSF DASHBOARD'!$B$4="Area",IF(585&lt;=$D$3,IF(AND(OR('WSF DASHBOARD'!$C$4="",ISNUMBER(SEARCH('WSF DASHBOARD'!$C$4,INDEX(MASTER_AREAS!$B:$B,586))))),585,""),""),IF('WSF DASHBOARD'!$B$4="Zone",IF(585&lt;=$D$4,IF(OR('WSF DASHBOARD'!$C$4="",ISNUMBER(SEARCH('WSF DASHBOARD'!$C$4,INDEX(MASTER_ZONES!$B:$B,586)))),585,""),""),""))</f>
        <v/>
      </c>
      <c r="F586">
        <f>IF('TRANSPORT DASHBOARD'!$B$4="Area",IF(585&lt;=$I$3,IF(AND(INDEX(MASTER_AREAS!$F:$F,586)&lt;&gt;"N",OR('TRANSPORT DASHBOARD'!$C$4="",ISNUMBER(SEARCH('TRANSPORT DASHBOARD'!$C$4,INDEX(MASTER_AREAS!$B:$B,586))))),585,""),""),IF('TRANSPORT DASHBOARD'!$B$4="Zone",IF(585&lt;=$I$4,IF(OR('TRANSPORT DASHBOARD'!$C$4="",ISNUMBER(SEARCH('TRANSPORT DASHBOARD'!$C$4,INDEX(MASTER_ZONES!$B:$B,586)))),585,""),""),""))</f>
        <v/>
      </c>
      <c r="K586">
        <f>IF('MIDWEEK DASHBOARD'!$B$4="Area",IF(585&lt;=$N$3,IF(AND(OR('MIDWEEK DASHBOARD'!$C$4="",ISNUMBER(SEARCH('MIDWEEK DASHBOARD'!$C$4,INDEX(MASTER_AREAS!$B:$B,586))))),585,""),""),IF('MIDWEEK DASHBOARD'!$B$4="Zone",IF(585&lt;=$N$4,IF(OR('MIDWEEK DASHBOARD'!$C$4="",ISNUMBER(SEARCH('MIDWEEK DASHBOARD'!$C$4,INDEX(MASTER_ZONES!$B:$B,586)))),585,""),""),""))</f>
        <v/>
      </c>
      <c r="P586">
        <f>IF('CHOP DASHBOARD'!$B$4="Area",IF(585&lt;=$S$3,IF(AND(OR('CHOP DASHBOARD'!$C$4="",ISNUMBER(SEARCH('CHOP DASHBOARD'!$C$4,INDEX(MASTER_AREAS!$B:$B,586))))),585,""),""),IF('CHOP DASHBOARD'!$B$4="Zone",IF(585&lt;=$S$4,IF(OR('CHOP DASHBOARD'!$C$4="",ISNUMBER(SEARCH('CHOP DASHBOARD'!$C$4,INDEX(MASTER_ZONES!$B:$B,586)))),585,""),""),""))</f>
        <v/>
      </c>
      <c r="U586">
        <f>IF('COMMUNITY CHURCH DASHBOARD'!$B$4="Area",IF(585&lt;=$X$3,IF(AND(OR('COMMUNITY CHURCH DASHBOARD'!$C$4="",ISNUMBER(SEARCH('COMMUNITY CHURCH DASHBOARD'!$C$4,INDEX(MASTER_AREAS!$B:$B,586))))),585,""),""),IF('COMMUNITY CHURCH DASHBOARD'!$B$4="Zone",IF(585&lt;=$X$4,IF(OR('COMMUNITY CHURCH DASHBOARD'!$C$4="",ISNUMBER(SEARCH('COMMUNITY CHURCH DASHBOARD'!$C$4,INDEX(MASTER_ZONES!$B:$B,586)))),585,""),""),""))</f>
        <v/>
      </c>
    </row>
    <row r="587">
      <c r="A587">
        <f>IF('WSF DASHBOARD'!$B$4="Area",IF(586&lt;=$D$3,IF(AND(OR('WSF DASHBOARD'!$C$4="",ISNUMBER(SEARCH('WSF DASHBOARD'!$C$4,INDEX(MASTER_AREAS!$B:$B,587))))),586,""),""),IF('WSF DASHBOARD'!$B$4="Zone",IF(586&lt;=$D$4,IF(OR('WSF DASHBOARD'!$C$4="",ISNUMBER(SEARCH('WSF DASHBOARD'!$C$4,INDEX(MASTER_ZONES!$B:$B,587)))),586,""),""),""))</f>
        <v/>
      </c>
      <c r="F587">
        <f>IF('TRANSPORT DASHBOARD'!$B$4="Area",IF(586&lt;=$I$3,IF(AND(INDEX(MASTER_AREAS!$F:$F,587)&lt;&gt;"N",OR('TRANSPORT DASHBOARD'!$C$4="",ISNUMBER(SEARCH('TRANSPORT DASHBOARD'!$C$4,INDEX(MASTER_AREAS!$B:$B,587))))),586,""),""),IF('TRANSPORT DASHBOARD'!$B$4="Zone",IF(586&lt;=$I$4,IF(OR('TRANSPORT DASHBOARD'!$C$4="",ISNUMBER(SEARCH('TRANSPORT DASHBOARD'!$C$4,INDEX(MASTER_ZONES!$B:$B,587)))),586,""),""),""))</f>
        <v/>
      </c>
      <c r="K587">
        <f>IF('MIDWEEK DASHBOARD'!$B$4="Area",IF(586&lt;=$N$3,IF(AND(OR('MIDWEEK DASHBOARD'!$C$4="",ISNUMBER(SEARCH('MIDWEEK DASHBOARD'!$C$4,INDEX(MASTER_AREAS!$B:$B,587))))),586,""),""),IF('MIDWEEK DASHBOARD'!$B$4="Zone",IF(586&lt;=$N$4,IF(OR('MIDWEEK DASHBOARD'!$C$4="",ISNUMBER(SEARCH('MIDWEEK DASHBOARD'!$C$4,INDEX(MASTER_ZONES!$B:$B,587)))),586,""),""),""))</f>
        <v/>
      </c>
      <c r="P587">
        <f>IF('CHOP DASHBOARD'!$B$4="Area",IF(586&lt;=$S$3,IF(AND(OR('CHOP DASHBOARD'!$C$4="",ISNUMBER(SEARCH('CHOP DASHBOARD'!$C$4,INDEX(MASTER_AREAS!$B:$B,587))))),586,""),""),IF('CHOP DASHBOARD'!$B$4="Zone",IF(586&lt;=$S$4,IF(OR('CHOP DASHBOARD'!$C$4="",ISNUMBER(SEARCH('CHOP DASHBOARD'!$C$4,INDEX(MASTER_ZONES!$B:$B,587)))),586,""),""),""))</f>
        <v/>
      </c>
      <c r="U587">
        <f>IF('COMMUNITY CHURCH DASHBOARD'!$B$4="Area",IF(586&lt;=$X$3,IF(AND(OR('COMMUNITY CHURCH DASHBOARD'!$C$4="",ISNUMBER(SEARCH('COMMUNITY CHURCH DASHBOARD'!$C$4,INDEX(MASTER_AREAS!$B:$B,587))))),586,""),""),IF('COMMUNITY CHURCH DASHBOARD'!$B$4="Zone",IF(586&lt;=$X$4,IF(OR('COMMUNITY CHURCH DASHBOARD'!$C$4="",ISNUMBER(SEARCH('COMMUNITY CHURCH DASHBOARD'!$C$4,INDEX(MASTER_ZONES!$B:$B,587)))),586,""),""),""))</f>
        <v/>
      </c>
    </row>
    <row r="588">
      <c r="A588">
        <f>IF('WSF DASHBOARD'!$B$4="Area",IF(587&lt;=$D$3,IF(AND(OR('WSF DASHBOARD'!$C$4="",ISNUMBER(SEARCH('WSF DASHBOARD'!$C$4,INDEX(MASTER_AREAS!$B:$B,588))))),587,""),""),IF('WSF DASHBOARD'!$B$4="Zone",IF(587&lt;=$D$4,IF(OR('WSF DASHBOARD'!$C$4="",ISNUMBER(SEARCH('WSF DASHBOARD'!$C$4,INDEX(MASTER_ZONES!$B:$B,588)))),587,""),""),""))</f>
        <v/>
      </c>
      <c r="F588">
        <f>IF('TRANSPORT DASHBOARD'!$B$4="Area",IF(587&lt;=$I$3,IF(AND(INDEX(MASTER_AREAS!$F:$F,588)&lt;&gt;"N",OR('TRANSPORT DASHBOARD'!$C$4="",ISNUMBER(SEARCH('TRANSPORT DASHBOARD'!$C$4,INDEX(MASTER_AREAS!$B:$B,588))))),587,""),""),IF('TRANSPORT DASHBOARD'!$B$4="Zone",IF(587&lt;=$I$4,IF(OR('TRANSPORT DASHBOARD'!$C$4="",ISNUMBER(SEARCH('TRANSPORT DASHBOARD'!$C$4,INDEX(MASTER_ZONES!$B:$B,588)))),587,""),""),""))</f>
        <v/>
      </c>
      <c r="K588">
        <f>IF('MIDWEEK DASHBOARD'!$B$4="Area",IF(587&lt;=$N$3,IF(AND(OR('MIDWEEK DASHBOARD'!$C$4="",ISNUMBER(SEARCH('MIDWEEK DASHBOARD'!$C$4,INDEX(MASTER_AREAS!$B:$B,588))))),587,""),""),IF('MIDWEEK DASHBOARD'!$B$4="Zone",IF(587&lt;=$N$4,IF(OR('MIDWEEK DASHBOARD'!$C$4="",ISNUMBER(SEARCH('MIDWEEK DASHBOARD'!$C$4,INDEX(MASTER_ZONES!$B:$B,588)))),587,""),""),""))</f>
        <v/>
      </c>
      <c r="P588">
        <f>IF('CHOP DASHBOARD'!$B$4="Area",IF(587&lt;=$S$3,IF(AND(OR('CHOP DASHBOARD'!$C$4="",ISNUMBER(SEARCH('CHOP DASHBOARD'!$C$4,INDEX(MASTER_AREAS!$B:$B,588))))),587,""),""),IF('CHOP DASHBOARD'!$B$4="Zone",IF(587&lt;=$S$4,IF(OR('CHOP DASHBOARD'!$C$4="",ISNUMBER(SEARCH('CHOP DASHBOARD'!$C$4,INDEX(MASTER_ZONES!$B:$B,588)))),587,""),""),""))</f>
        <v/>
      </c>
      <c r="U588">
        <f>IF('COMMUNITY CHURCH DASHBOARD'!$B$4="Area",IF(587&lt;=$X$3,IF(AND(OR('COMMUNITY CHURCH DASHBOARD'!$C$4="",ISNUMBER(SEARCH('COMMUNITY CHURCH DASHBOARD'!$C$4,INDEX(MASTER_AREAS!$B:$B,588))))),587,""),""),IF('COMMUNITY CHURCH DASHBOARD'!$B$4="Zone",IF(587&lt;=$X$4,IF(OR('COMMUNITY CHURCH DASHBOARD'!$C$4="",ISNUMBER(SEARCH('COMMUNITY CHURCH DASHBOARD'!$C$4,INDEX(MASTER_ZONES!$B:$B,588)))),587,""),""),""))</f>
        <v/>
      </c>
    </row>
    <row r="589">
      <c r="A589">
        <f>IF('WSF DASHBOARD'!$B$4="Area",IF(588&lt;=$D$3,IF(AND(OR('WSF DASHBOARD'!$C$4="",ISNUMBER(SEARCH('WSF DASHBOARD'!$C$4,INDEX(MASTER_AREAS!$B:$B,589))))),588,""),""),IF('WSF DASHBOARD'!$B$4="Zone",IF(588&lt;=$D$4,IF(OR('WSF DASHBOARD'!$C$4="",ISNUMBER(SEARCH('WSF DASHBOARD'!$C$4,INDEX(MASTER_ZONES!$B:$B,589)))),588,""),""),""))</f>
        <v/>
      </c>
      <c r="F589">
        <f>IF('TRANSPORT DASHBOARD'!$B$4="Area",IF(588&lt;=$I$3,IF(AND(INDEX(MASTER_AREAS!$F:$F,589)&lt;&gt;"N",OR('TRANSPORT DASHBOARD'!$C$4="",ISNUMBER(SEARCH('TRANSPORT DASHBOARD'!$C$4,INDEX(MASTER_AREAS!$B:$B,589))))),588,""),""),IF('TRANSPORT DASHBOARD'!$B$4="Zone",IF(588&lt;=$I$4,IF(OR('TRANSPORT DASHBOARD'!$C$4="",ISNUMBER(SEARCH('TRANSPORT DASHBOARD'!$C$4,INDEX(MASTER_ZONES!$B:$B,589)))),588,""),""),""))</f>
        <v/>
      </c>
      <c r="K589">
        <f>IF('MIDWEEK DASHBOARD'!$B$4="Area",IF(588&lt;=$N$3,IF(AND(OR('MIDWEEK DASHBOARD'!$C$4="",ISNUMBER(SEARCH('MIDWEEK DASHBOARD'!$C$4,INDEX(MASTER_AREAS!$B:$B,589))))),588,""),""),IF('MIDWEEK DASHBOARD'!$B$4="Zone",IF(588&lt;=$N$4,IF(OR('MIDWEEK DASHBOARD'!$C$4="",ISNUMBER(SEARCH('MIDWEEK DASHBOARD'!$C$4,INDEX(MASTER_ZONES!$B:$B,589)))),588,""),""),""))</f>
        <v/>
      </c>
      <c r="P589">
        <f>IF('CHOP DASHBOARD'!$B$4="Area",IF(588&lt;=$S$3,IF(AND(OR('CHOP DASHBOARD'!$C$4="",ISNUMBER(SEARCH('CHOP DASHBOARD'!$C$4,INDEX(MASTER_AREAS!$B:$B,589))))),588,""),""),IF('CHOP DASHBOARD'!$B$4="Zone",IF(588&lt;=$S$4,IF(OR('CHOP DASHBOARD'!$C$4="",ISNUMBER(SEARCH('CHOP DASHBOARD'!$C$4,INDEX(MASTER_ZONES!$B:$B,589)))),588,""),""),""))</f>
        <v/>
      </c>
      <c r="U589">
        <f>IF('COMMUNITY CHURCH DASHBOARD'!$B$4="Area",IF(588&lt;=$X$3,IF(AND(OR('COMMUNITY CHURCH DASHBOARD'!$C$4="",ISNUMBER(SEARCH('COMMUNITY CHURCH DASHBOARD'!$C$4,INDEX(MASTER_AREAS!$B:$B,589))))),588,""),""),IF('COMMUNITY CHURCH DASHBOARD'!$B$4="Zone",IF(588&lt;=$X$4,IF(OR('COMMUNITY CHURCH DASHBOARD'!$C$4="",ISNUMBER(SEARCH('COMMUNITY CHURCH DASHBOARD'!$C$4,INDEX(MASTER_ZONES!$B:$B,589)))),588,""),""),""))</f>
        <v/>
      </c>
    </row>
    <row r="590">
      <c r="A590">
        <f>IF('WSF DASHBOARD'!$B$4="Area",IF(589&lt;=$D$3,IF(AND(OR('WSF DASHBOARD'!$C$4="",ISNUMBER(SEARCH('WSF DASHBOARD'!$C$4,INDEX(MASTER_AREAS!$B:$B,590))))),589,""),""),IF('WSF DASHBOARD'!$B$4="Zone",IF(589&lt;=$D$4,IF(OR('WSF DASHBOARD'!$C$4="",ISNUMBER(SEARCH('WSF DASHBOARD'!$C$4,INDEX(MASTER_ZONES!$B:$B,590)))),589,""),""),""))</f>
        <v/>
      </c>
      <c r="F590">
        <f>IF('TRANSPORT DASHBOARD'!$B$4="Area",IF(589&lt;=$I$3,IF(AND(INDEX(MASTER_AREAS!$F:$F,590)&lt;&gt;"N",OR('TRANSPORT DASHBOARD'!$C$4="",ISNUMBER(SEARCH('TRANSPORT DASHBOARD'!$C$4,INDEX(MASTER_AREAS!$B:$B,590))))),589,""),""),IF('TRANSPORT DASHBOARD'!$B$4="Zone",IF(589&lt;=$I$4,IF(OR('TRANSPORT DASHBOARD'!$C$4="",ISNUMBER(SEARCH('TRANSPORT DASHBOARD'!$C$4,INDEX(MASTER_ZONES!$B:$B,590)))),589,""),""),""))</f>
        <v/>
      </c>
      <c r="K590">
        <f>IF('MIDWEEK DASHBOARD'!$B$4="Area",IF(589&lt;=$N$3,IF(AND(OR('MIDWEEK DASHBOARD'!$C$4="",ISNUMBER(SEARCH('MIDWEEK DASHBOARD'!$C$4,INDEX(MASTER_AREAS!$B:$B,590))))),589,""),""),IF('MIDWEEK DASHBOARD'!$B$4="Zone",IF(589&lt;=$N$4,IF(OR('MIDWEEK DASHBOARD'!$C$4="",ISNUMBER(SEARCH('MIDWEEK DASHBOARD'!$C$4,INDEX(MASTER_ZONES!$B:$B,590)))),589,""),""),""))</f>
        <v/>
      </c>
      <c r="P590">
        <f>IF('CHOP DASHBOARD'!$B$4="Area",IF(589&lt;=$S$3,IF(AND(OR('CHOP DASHBOARD'!$C$4="",ISNUMBER(SEARCH('CHOP DASHBOARD'!$C$4,INDEX(MASTER_AREAS!$B:$B,590))))),589,""),""),IF('CHOP DASHBOARD'!$B$4="Zone",IF(589&lt;=$S$4,IF(OR('CHOP DASHBOARD'!$C$4="",ISNUMBER(SEARCH('CHOP DASHBOARD'!$C$4,INDEX(MASTER_ZONES!$B:$B,590)))),589,""),""),""))</f>
        <v/>
      </c>
      <c r="U590">
        <f>IF('COMMUNITY CHURCH DASHBOARD'!$B$4="Area",IF(589&lt;=$X$3,IF(AND(OR('COMMUNITY CHURCH DASHBOARD'!$C$4="",ISNUMBER(SEARCH('COMMUNITY CHURCH DASHBOARD'!$C$4,INDEX(MASTER_AREAS!$B:$B,590))))),589,""),""),IF('COMMUNITY CHURCH DASHBOARD'!$B$4="Zone",IF(589&lt;=$X$4,IF(OR('COMMUNITY CHURCH DASHBOARD'!$C$4="",ISNUMBER(SEARCH('COMMUNITY CHURCH DASHBOARD'!$C$4,INDEX(MASTER_ZONES!$B:$B,590)))),589,""),""),""))</f>
        <v/>
      </c>
    </row>
    <row r="591">
      <c r="A591">
        <f>IF('WSF DASHBOARD'!$B$4="Area",IF(590&lt;=$D$3,IF(AND(OR('WSF DASHBOARD'!$C$4="",ISNUMBER(SEARCH('WSF DASHBOARD'!$C$4,INDEX(MASTER_AREAS!$B:$B,591))))),590,""),""),IF('WSF DASHBOARD'!$B$4="Zone",IF(590&lt;=$D$4,IF(OR('WSF DASHBOARD'!$C$4="",ISNUMBER(SEARCH('WSF DASHBOARD'!$C$4,INDEX(MASTER_ZONES!$B:$B,591)))),590,""),""),""))</f>
        <v/>
      </c>
      <c r="F591">
        <f>IF('TRANSPORT DASHBOARD'!$B$4="Area",IF(590&lt;=$I$3,IF(AND(INDEX(MASTER_AREAS!$F:$F,591)&lt;&gt;"N",OR('TRANSPORT DASHBOARD'!$C$4="",ISNUMBER(SEARCH('TRANSPORT DASHBOARD'!$C$4,INDEX(MASTER_AREAS!$B:$B,591))))),590,""),""),IF('TRANSPORT DASHBOARD'!$B$4="Zone",IF(590&lt;=$I$4,IF(OR('TRANSPORT DASHBOARD'!$C$4="",ISNUMBER(SEARCH('TRANSPORT DASHBOARD'!$C$4,INDEX(MASTER_ZONES!$B:$B,591)))),590,""),""),""))</f>
        <v/>
      </c>
      <c r="K591">
        <f>IF('MIDWEEK DASHBOARD'!$B$4="Area",IF(590&lt;=$N$3,IF(AND(OR('MIDWEEK DASHBOARD'!$C$4="",ISNUMBER(SEARCH('MIDWEEK DASHBOARD'!$C$4,INDEX(MASTER_AREAS!$B:$B,591))))),590,""),""),IF('MIDWEEK DASHBOARD'!$B$4="Zone",IF(590&lt;=$N$4,IF(OR('MIDWEEK DASHBOARD'!$C$4="",ISNUMBER(SEARCH('MIDWEEK DASHBOARD'!$C$4,INDEX(MASTER_ZONES!$B:$B,591)))),590,""),""),""))</f>
        <v/>
      </c>
      <c r="P591">
        <f>IF('CHOP DASHBOARD'!$B$4="Area",IF(590&lt;=$S$3,IF(AND(OR('CHOP DASHBOARD'!$C$4="",ISNUMBER(SEARCH('CHOP DASHBOARD'!$C$4,INDEX(MASTER_AREAS!$B:$B,591))))),590,""),""),IF('CHOP DASHBOARD'!$B$4="Zone",IF(590&lt;=$S$4,IF(OR('CHOP DASHBOARD'!$C$4="",ISNUMBER(SEARCH('CHOP DASHBOARD'!$C$4,INDEX(MASTER_ZONES!$B:$B,591)))),590,""),""),""))</f>
        <v/>
      </c>
      <c r="U591">
        <f>IF('COMMUNITY CHURCH DASHBOARD'!$B$4="Area",IF(590&lt;=$X$3,IF(AND(OR('COMMUNITY CHURCH DASHBOARD'!$C$4="",ISNUMBER(SEARCH('COMMUNITY CHURCH DASHBOARD'!$C$4,INDEX(MASTER_AREAS!$B:$B,591))))),590,""),""),IF('COMMUNITY CHURCH DASHBOARD'!$B$4="Zone",IF(590&lt;=$X$4,IF(OR('COMMUNITY CHURCH DASHBOARD'!$C$4="",ISNUMBER(SEARCH('COMMUNITY CHURCH DASHBOARD'!$C$4,INDEX(MASTER_ZONES!$B:$B,591)))),590,""),""),""))</f>
        <v/>
      </c>
    </row>
    <row r="592">
      <c r="A592">
        <f>IF('WSF DASHBOARD'!$B$4="Area",IF(591&lt;=$D$3,IF(AND(OR('WSF DASHBOARD'!$C$4="",ISNUMBER(SEARCH('WSF DASHBOARD'!$C$4,INDEX(MASTER_AREAS!$B:$B,592))))),591,""),""),IF('WSF DASHBOARD'!$B$4="Zone",IF(591&lt;=$D$4,IF(OR('WSF DASHBOARD'!$C$4="",ISNUMBER(SEARCH('WSF DASHBOARD'!$C$4,INDEX(MASTER_ZONES!$B:$B,592)))),591,""),""),""))</f>
        <v/>
      </c>
      <c r="F592">
        <f>IF('TRANSPORT DASHBOARD'!$B$4="Area",IF(591&lt;=$I$3,IF(AND(INDEX(MASTER_AREAS!$F:$F,592)&lt;&gt;"N",OR('TRANSPORT DASHBOARD'!$C$4="",ISNUMBER(SEARCH('TRANSPORT DASHBOARD'!$C$4,INDEX(MASTER_AREAS!$B:$B,592))))),591,""),""),IF('TRANSPORT DASHBOARD'!$B$4="Zone",IF(591&lt;=$I$4,IF(OR('TRANSPORT DASHBOARD'!$C$4="",ISNUMBER(SEARCH('TRANSPORT DASHBOARD'!$C$4,INDEX(MASTER_ZONES!$B:$B,592)))),591,""),""),""))</f>
        <v/>
      </c>
      <c r="K592">
        <f>IF('MIDWEEK DASHBOARD'!$B$4="Area",IF(591&lt;=$N$3,IF(AND(OR('MIDWEEK DASHBOARD'!$C$4="",ISNUMBER(SEARCH('MIDWEEK DASHBOARD'!$C$4,INDEX(MASTER_AREAS!$B:$B,592))))),591,""),""),IF('MIDWEEK DASHBOARD'!$B$4="Zone",IF(591&lt;=$N$4,IF(OR('MIDWEEK DASHBOARD'!$C$4="",ISNUMBER(SEARCH('MIDWEEK DASHBOARD'!$C$4,INDEX(MASTER_ZONES!$B:$B,592)))),591,""),""),""))</f>
        <v/>
      </c>
      <c r="P592">
        <f>IF('CHOP DASHBOARD'!$B$4="Area",IF(591&lt;=$S$3,IF(AND(OR('CHOP DASHBOARD'!$C$4="",ISNUMBER(SEARCH('CHOP DASHBOARD'!$C$4,INDEX(MASTER_AREAS!$B:$B,592))))),591,""),""),IF('CHOP DASHBOARD'!$B$4="Zone",IF(591&lt;=$S$4,IF(OR('CHOP DASHBOARD'!$C$4="",ISNUMBER(SEARCH('CHOP DASHBOARD'!$C$4,INDEX(MASTER_ZONES!$B:$B,592)))),591,""),""),""))</f>
        <v/>
      </c>
      <c r="U592">
        <f>IF('COMMUNITY CHURCH DASHBOARD'!$B$4="Area",IF(591&lt;=$X$3,IF(AND(OR('COMMUNITY CHURCH DASHBOARD'!$C$4="",ISNUMBER(SEARCH('COMMUNITY CHURCH DASHBOARD'!$C$4,INDEX(MASTER_AREAS!$B:$B,592))))),591,""),""),IF('COMMUNITY CHURCH DASHBOARD'!$B$4="Zone",IF(591&lt;=$X$4,IF(OR('COMMUNITY CHURCH DASHBOARD'!$C$4="",ISNUMBER(SEARCH('COMMUNITY CHURCH DASHBOARD'!$C$4,INDEX(MASTER_ZONES!$B:$B,592)))),591,""),""),""))</f>
        <v/>
      </c>
    </row>
    <row r="593">
      <c r="A593">
        <f>IF('WSF DASHBOARD'!$B$4="Area",IF(592&lt;=$D$3,IF(AND(OR('WSF DASHBOARD'!$C$4="",ISNUMBER(SEARCH('WSF DASHBOARD'!$C$4,INDEX(MASTER_AREAS!$B:$B,593))))),592,""),""),IF('WSF DASHBOARD'!$B$4="Zone",IF(592&lt;=$D$4,IF(OR('WSF DASHBOARD'!$C$4="",ISNUMBER(SEARCH('WSF DASHBOARD'!$C$4,INDEX(MASTER_ZONES!$B:$B,593)))),592,""),""),""))</f>
        <v/>
      </c>
      <c r="F593">
        <f>IF('TRANSPORT DASHBOARD'!$B$4="Area",IF(592&lt;=$I$3,IF(AND(INDEX(MASTER_AREAS!$F:$F,593)&lt;&gt;"N",OR('TRANSPORT DASHBOARD'!$C$4="",ISNUMBER(SEARCH('TRANSPORT DASHBOARD'!$C$4,INDEX(MASTER_AREAS!$B:$B,593))))),592,""),""),IF('TRANSPORT DASHBOARD'!$B$4="Zone",IF(592&lt;=$I$4,IF(OR('TRANSPORT DASHBOARD'!$C$4="",ISNUMBER(SEARCH('TRANSPORT DASHBOARD'!$C$4,INDEX(MASTER_ZONES!$B:$B,593)))),592,""),""),""))</f>
        <v/>
      </c>
      <c r="K593">
        <f>IF('MIDWEEK DASHBOARD'!$B$4="Area",IF(592&lt;=$N$3,IF(AND(OR('MIDWEEK DASHBOARD'!$C$4="",ISNUMBER(SEARCH('MIDWEEK DASHBOARD'!$C$4,INDEX(MASTER_AREAS!$B:$B,593))))),592,""),""),IF('MIDWEEK DASHBOARD'!$B$4="Zone",IF(592&lt;=$N$4,IF(OR('MIDWEEK DASHBOARD'!$C$4="",ISNUMBER(SEARCH('MIDWEEK DASHBOARD'!$C$4,INDEX(MASTER_ZONES!$B:$B,593)))),592,""),""),""))</f>
        <v/>
      </c>
      <c r="P593">
        <f>IF('CHOP DASHBOARD'!$B$4="Area",IF(592&lt;=$S$3,IF(AND(OR('CHOP DASHBOARD'!$C$4="",ISNUMBER(SEARCH('CHOP DASHBOARD'!$C$4,INDEX(MASTER_AREAS!$B:$B,593))))),592,""),""),IF('CHOP DASHBOARD'!$B$4="Zone",IF(592&lt;=$S$4,IF(OR('CHOP DASHBOARD'!$C$4="",ISNUMBER(SEARCH('CHOP DASHBOARD'!$C$4,INDEX(MASTER_ZONES!$B:$B,593)))),592,""),""),""))</f>
        <v/>
      </c>
      <c r="U593">
        <f>IF('COMMUNITY CHURCH DASHBOARD'!$B$4="Area",IF(592&lt;=$X$3,IF(AND(OR('COMMUNITY CHURCH DASHBOARD'!$C$4="",ISNUMBER(SEARCH('COMMUNITY CHURCH DASHBOARD'!$C$4,INDEX(MASTER_AREAS!$B:$B,593))))),592,""),""),IF('COMMUNITY CHURCH DASHBOARD'!$B$4="Zone",IF(592&lt;=$X$4,IF(OR('COMMUNITY CHURCH DASHBOARD'!$C$4="",ISNUMBER(SEARCH('COMMUNITY CHURCH DASHBOARD'!$C$4,INDEX(MASTER_ZONES!$B:$B,593)))),592,""),""),""))</f>
        <v/>
      </c>
    </row>
    <row r="594">
      <c r="A594">
        <f>IF('WSF DASHBOARD'!$B$4="Area",IF(593&lt;=$D$3,IF(AND(OR('WSF DASHBOARD'!$C$4="",ISNUMBER(SEARCH('WSF DASHBOARD'!$C$4,INDEX(MASTER_AREAS!$B:$B,594))))),593,""),""),IF('WSF DASHBOARD'!$B$4="Zone",IF(593&lt;=$D$4,IF(OR('WSF DASHBOARD'!$C$4="",ISNUMBER(SEARCH('WSF DASHBOARD'!$C$4,INDEX(MASTER_ZONES!$B:$B,594)))),593,""),""),""))</f>
        <v/>
      </c>
      <c r="F594">
        <f>IF('TRANSPORT DASHBOARD'!$B$4="Area",IF(593&lt;=$I$3,IF(AND(INDEX(MASTER_AREAS!$F:$F,594)&lt;&gt;"N",OR('TRANSPORT DASHBOARD'!$C$4="",ISNUMBER(SEARCH('TRANSPORT DASHBOARD'!$C$4,INDEX(MASTER_AREAS!$B:$B,594))))),593,""),""),IF('TRANSPORT DASHBOARD'!$B$4="Zone",IF(593&lt;=$I$4,IF(OR('TRANSPORT DASHBOARD'!$C$4="",ISNUMBER(SEARCH('TRANSPORT DASHBOARD'!$C$4,INDEX(MASTER_ZONES!$B:$B,594)))),593,""),""),""))</f>
        <v/>
      </c>
      <c r="K594">
        <f>IF('MIDWEEK DASHBOARD'!$B$4="Area",IF(593&lt;=$N$3,IF(AND(OR('MIDWEEK DASHBOARD'!$C$4="",ISNUMBER(SEARCH('MIDWEEK DASHBOARD'!$C$4,INDEX(MASTER_AREAS!$B:$B,594))))),593,""),""),IF('MIDWEEK DASHBOARD'!$B$4="Zone",IF(593&lt;=$N$4,IF(OR('MIDWEEK DASHBOARD'!$C$4="",ISNUMBER(SEARCH('MIDWEEK DASHBOARD'!$C$4,INDEX(MASTER_ZONES!$B:$B,594)))),593,""),""),""))</f>
        <v/>
      </c>
      <c r="P594">
        <f>IF('CHOP DASHBOARD'!$B$4="Area",IF(593&lt;=$S$3,IF(AND(OR('CHOP DASHBOARD'!$C$4="",ISNUMBER(SEARCH('CHOP DASHBOARD'!$C$4,INDEX(MASTER_AREAS!$B:$B,594))))),593,""),""),IF('CHOP DASHBOARD'!$B$4="Zone",IF(593&lt;=$S$4,IF(OR('CHOP DASHBOARD'!$C$4="",ISNUMBER(SEARCH('CHOP DASHBOARD'!$C$4,INDEX(MASTER_ZONES!$B:$B,594)))),593,""),""),""))</f>
        <v/>
      </c>
      <c r="U594">
        <f>IF('COMMUNITY CHURCH DASHBOARD'!$B$4="Area",IF(593&lt;=$X$3,IF(AND(OR('COMMUNITY CHURCH DASHBOARD'!$C$4="",ISNUMBER(SEARCH('COMMUNITY CHURCH DASHBOARD'!$C$4,INDEX(MASTER_AREAS!$B:$B,594))))),593,""),""),IF('COMMUNITY CHURCH DASHBOARD'!$B$4="Zone",IF(593&lt;=$X$4,IF(OR('COMMUNITY CHURCH DASHBOARD'!$C$4="",ISNUMBER(SEARCH('COMMUNITY CHURCH DASHBOARD'!$C$4,INDEX(MASTER_ZONES!$B:$B,594)))),593,""),""),""))</f>
        <v/>
      </c>
    </row>
    <row r="595">
      <c r="A595">
        <f>IF('WSF DASHBOARD'!$B$4="Area",IF(594&lt;=$D$3,IF(AND(OR('WSF DASHBOARD'!$C$4="",ISNUMBER(SEARCH('WSF DASHBOARD'!$C$4,INDEX(MASTER_AREAS!$B:$B,595))))),594,""),""),IF('WSF DASHBOARD'!$B$4="Zone",IF(594&lt;=$D$4,IF(OR('WSF DASHBOARD'!$C$4="",ISNUMBER(SEARCH('WSF DASHBOARD'!$C$4,INDEX(MASTER_ZONES!$B:$B,595)))),594,""),""),""))</f>
        <v/>
      </c>
      <c r="F595">
        <f>IF('TRANSPORT DASHBOARD'!$B$4="Area",IF(594&lt;=$I$3,IF(AND(INDEX(MASTER_AREAS!$F:$F,595)&lt;&gt;"N",OR('TRANSPORT DASHBOARD'!$C$4="",ISNUMBER(SEARCH('TRANSPORT DASHBOARD'!$C$4,INDEX(MASTER_AREAS!$B:$B,595))))),594,""),""),IF('TRANSPORT DASHBOARD'!$B$4="Zone",IF(594&lt;=$I$4,IF(OR('TRANSPORT DASHBOARD'!$C$4="",ISNUMBER(SEARCH('TRANSPORT DASHBOARD'!$C$4,INDEX(MASTER_ZONES!$B:$B,595)))),594,""),""),""))</f>
        <v/>
      </c>
      <c r="K595">
        <f>IF('MIDWEEK DASHBOARD'!$B$4="Area",IF(594&lt;=$N$3,IF(AND(OR('MIDWEEK DASHBOARD'!$C$4="",ISNUMBER(SEARCH('MIDWEEK DASHBOARD'!$C$4,INDEX(MASTER_AREAS!$B:$B,595))))),594,""),""),IF('MIDWEEK DASHBOARD'!$B$4="Zone",IF(594&lt;=$N$4,IF(OR('MIDWEEK DASHBOARD'!$C$4="",ISNUMBER(SEARCH('MIDWEEK DASHBOARD'!$C$4,INDEX(MASTER_ZONES!$B:$B,595)))),594,""),""),""))</f>
        <v/>
      </c>
      <c r="P595">
        <f>IF('CHOP DASHBOARD'!$B$4="Area",IF(594&lt;=$S$3,IF(AND(OR('CHOP DASHBOARD'!$C$4="",ISNUMBER(SEARCH('CHOP DASHBOARD'!$C$4,INDEX(MASTER_AREAS!$B:$B,595))))),594,""),""),IF('CHOP DASHBOARD'!$B$4="Zone",IF(594&lt;=$S$4,IF(OR('CHOP DASHBOARD'!$C$4="",ISNUMBER(SEARCH('CHOP DASHBOARD'!$C$4,INDEX(MASTER_ZONES!$B:$B,595)))),594,""),""),""))</f>
        <v/>
      </c>
      <c r="U595">
        <f>IF('COMMUNITY CHURCH DASHBOARD'!$B$4="Area",IF(594&lt;=$X$3,IF(AND(OR('COMMUNITY CHURCH DASHBOARD'!$C$4="",ISNUMBER(SEARCH('COMMUNITY CHURCH DASHBOARD'!$C$4,INDEX(MASTER_AREAS!$B:$B,595))))),594,""),""),IF('COMMUNITY CHURCH DASHBOARD'!$B$4="Zone",IF(594&lt;=$X$4,IF(OR('COMMUNITY CHURCH DASHBOARD'!$C$4="",ISNUMBER(SEARCH('COMMUNITY CHURCH DASHBOARD'!$C$4,INDEX(MASTER_ZONES!$B:$B,595)))),594,""),""),""))</f>
        <v/>
      </c>
    </row>
    <row r="596">
      <c r="A596">
        <f>IF('WSF DASHBOARD'!$B$4="Area",IF(595&lt;=$D$3,IF(AND(OR('WSF DASHBOARD'!$C$4="",ISNUMBER(SEARCH('WSF DASHBOARD'!$C$4,INDEX(MASTER_AREAS!$B:$B,596))))),595,""),""),IF('WSF DASHBOARD'!$B$4="Zone",IF(595&lt;=$D$4,IF(OR('WSF DASHBOARD'!$C$4="",ISNUMBER(SEARCH('WSF DASHBOARD'!$C$4,INDEX(MASTER_ZONES!$B:$B,596)))),595,""),""),""))</f>
        <v/>
      </c>
      <c r="F596">
        <f>IF('TRANSPORT DASHBOARD'!$B$4="Area",IF(595&lt;=$I$3,IF(AND(INDEX(MASTER_AREAS!$F:$F,596)&lt;&gt;"N",OR('TRANSPORT DASHBOARD'!$C$4="",ISNUMBER(SEARCH('TRANSPORT DASHBOARD'!$C$4,INDEX(MASTER_AREAS!$B:$B,596))))),595,""),""),IF('TRANSPORT DASHBOARD'!$B$4="Zone",IF(595&lt;=$I$4,IF(OR('TRANSPORT DASHBOARD'!$C$4="",ISNUMBER(SEARCH('TRANSPORT DASHBOARD'!$C$4,INDEX(MASTER_ZONES!$B:$B,596)))),595,""),""),""))</f>
        <v/>
      </c>
      <c r="K596">
        <f>IF('MIDWEEK DASHBOARD'!$B$4="Area",IF(595&lt;=$N$3,IF(AND(OR('MIDWEEK DASHBOARD'!$C$4="",ISNUMBER(SEARCH('MIDWEEK DASHBOARD'!$C$4,INDEX(MASTER_AREAS!$B:$B,596))))),595,""),""),IF('MIDWEEK DASHBOARD'!$B$4="Zone",IF(595&lt;=$N$4,IF(OR('MIDWEEK DASHBOARD'!$C$4="",ISNUMBER(SEARCH('MIDWEEK DASHBOARD'!$C$4,INDEX(MASTER_ZONES!$B:$B,596)))),595,""),""),""))</f>
        <v/>
      </c>
      <c r="P596">
        <f>IF('CHOP DASHBOARD'!$B$4="Area",IF(595&lt;=$S$3,IF(AND(OR('CHOP DASHBOARD'!$C$4="",ISNUMBER(SEARCH('CHOP DASHBOARD'!$C$4,INDEX(MASTER_AREAS!$B:$B,596))))),595,""),""),IF('CHOP DASHBOARD'!$B$4="Zone",IF(595&lt;=$S$4,IF(OR('CHOP DASHBOARD'!$C$4="",ISNUMBER(SEARCH('CHOP DASHBOARD'!$C$4,INDEX(MASTER_ZONES!$B:$B,596)))),595,""),""),""))</f>
        <v/>
      </c>
      <c r="U596">
        <f>IF('COMMUNITY CHURCH DASHBOARD'!$B$4="Area",IF(595&lt;=$X$3,IF(AND(OR('COMMUNITY CHURCH DASHBOARD'!$C$4="",ISNUMBER(SEARCH('COMMUNITY CHURCH DASHBOARD'!$C$4,INDEX(MASTER_AREAS!$B:$B,596))))),595,""),""),IF('COMMUNITY CHURCH DASHBOARD'!$B$4="Zone",IF(595&lt;=$X$4,IF(OR('COMMUNITY CHURCH DASHBOARD'!$C$4="",ISNUMBER(SEARCH('COMMUNITY CHURCH DASHBOARD'!$C$4,INDEX(MASTER_ZONES!$B:$B,596)))),595,""),""),""))</f>
        <v/>
      </c>
    </row>
    <row r="597">
      <c r="A597">
        <f>IF('WSF DASHBOARD'!$B$4="Area",IF(596&lt;=$D$3,IF(AND(OR('WSF DASHBOARD'!$C$4="",ISNUMBER(SEARCH('WSF DASHBOARD'!$C$4,INDEX(MASTER_AREAS!$B:$B,597))))),596,""),""),IF('WSF DASHBOARD'!$B$4="Zone",IF(596&lt;=$D$4,IF(OR('WSF DASHBOARD'!$C$4="",ISNUMBER(SEARCH('WSF DASHBOARD'!$C$4,INDEX(MASTER_ZONES!$B:$B,597)))),596,""),""),""))</f>
        <v/>
      </c>
      <c r="F597">
        <f>IF('TRANSPORT DASHBOARD'!$B$4="Area",IF(596&lt;=$I$3,IF(AND(INDEX(MASTER_AREAS!$F:$F,597)&lt;&gt;"N",OR('TRANSPORT DASHBOARD'!$C$4="",ISNUMBER(SEARCH('TRANSPORT DASHBOARD'!$C$4,INDEX(MASTER_AREAS!$B:$B,597))))),596,""),""),IF('TRANSPORT DASHBOARD'!$B$4="Zone",IF(596&lt;=$I$4,IF(OR('TRANSPORT DASHBOARD'!$C$4="",ISNUMBER(SEARCH('TRANSPORT DASHBOARD'!$C$4,INDEX(MASTER_ZONES!$B:$B,597)))),596,""),""),""))</f>
        <v/>
      </c>
      <c r="K597">
        <f>IF('MIDWEEK DASHBOARD'!$B$4="Area",IF(596&lt;=$N$3,IF(AND(OR('MIDWEEK DASHBOARD'!$C$4="",ISNUMBER(SEARCH('MIDWEEK DASHBOARD'!$C$4,INDEX(MASTER_AREAS!$B:$B,597))))),596,""),""),IF('MIDWEEK DASHBOARD'!$B$4="Zone",IF(596&lt;=$N$4,IF(OR('MIDWEEK DASHBOARD'!$C$4="",ISNUMBER(SEARCH('MIDWEEK DASHBOARD'!$C$4,INDEX(MASTER_ZONES!$B:$B,597)))),596,""),""),""))</f>
        <v/>
      </c>
      <c r="P597">
        <f>IF('CHOP DASHBOARD'!$B$4="Area",IF(596&lt;=$S$3,IF(AND(OR('CHOP DASHBOARD'!$C$4="",ISNUMBER(SEARCH('CHOP DASHBOARD'!$C$4,INDEX(MASTER_AREAS!$B:$B,597))))),596,""),""),IF('CHOP DASHBOARD'!$B$4="Zone",IF(596&lt;=$S$4,IF(OR('CHOP DASHBOARD'!$C$4="",ISNUMBER(SEARCH('CHOP DASHBOARD'!$C$4,INDEX(MASTER_ZONES!$B:$B,597)))),596,""),""),""))</f>
        <v/>
      </c>
      <c r="U597">
        <f>IF('COMMUNITY CHURCH DASHBOARD'!$B$4="Area",IF(596&lt;=$X$3,IF(AND(OR('COMMUNITY CHURCH DASHBOARD'!$C$4="",ISNUMBER(SEARCH('COMMUNITY CHURCH DASHBOARD'!$C$4,INDEX(MASTER_AREAS!$B:$B,597))))),596,""),""),IF('COMMUNITY CHURCH DASHBOARD'!$B$4="Zone",IF(596&lt;=$X$4,IF(OR('COMMUNITY CHURCH DASHBOARD'!$C$4="",ISNUMBER(SEARCH('COMMUNITY CHURCH DASHBOARD'!$C$4,INDEX(MASTER_ZONES!$B:$B,597)))),596,""),""),""))</f>
        <v/>
      </c>
    </row>
    <row r="598">
      <c r="A598">
        <f>IF('WSF DASHBOARD'!$B$4="Area",IF(597&lt;=$D$3,IF(AND(OR('WSF DASHBOARD'!$C$4="",ISNUMBER(SEARCH('WSF DASHBOARD'!$C$4,INDEX(MASTER_AREAS!$B:$B,598))))),597,""),""),IF('WSF DASHBOARD'!$B$4="Zone",IF(597&lt;=$D$4,IF(OR('WSF DASHBOARD'!$C$4="",ISNUMBER(SEARCH('WSF DASHBOARD'!$C$4,INDEX(MASTER_ZONES!$B:$B,598)))),597,""),""),""))</f>
        <v/>
      </c>
      <c r="F598">
        <f>IF('TRANSPORT DASHBOARD'!$B$4="Area",IF(597&lt;=$I$3,IF(AND(INDEX(MASTER_AREAS!$F:$F,598)&lt;&gt;"N",OR('TRANSPORT DASHBOARD'!$C$4="",ISNUMBER(SEARCH('TRANSPORT DASHBOARD'!$C$4,INDEX(MASTER_AREAS!$B:$B,598))))),597,""),""),IF('TRANSPORT DASHBOARD'!$B$4="Zone",IF(597&lt;=$I$4,IF(OR('TRANSPORT DASHBOARD'!$C$4="",ISNUMBER(SEARCH('TRANSPORT DASHBOARD'!$C$4,INDEX(MASTER_ZONES!$B:$B,598)))),597,""),""),""))</f>
        <v/>
      </c>
      <c r="K598">
        <f>IF('MIDWEEK DASHBOARD'!$B$4="Area",IF(597&lt;=$N$3,IF(AND(OR('MIDWEEK DASHBOARD'!$C$4="",ISNUMBER(SEARCH('MIDWEEK DASHBOARD'!$C$4,INDEX(MASTER_AREAS!$B:$B,598))))),597,""),""),IF('MIDWEEK DASHBOARD'!$B$4="Zone",IF(597&lt;=$N$4,IF(OR('MIDWEEK DASHBOARD'!$C$4="",ISNUMBER(SEARCH('MIDWEEK DASHBOARD'!$C$4,INDEX(MASTER_ZONES!$B:$B,598)))),597,""),""),""))</f>
        <v/>
      </c>
      <c r="P598">
        <f>IF('CHOP DASHBOARD'!$B$4="Area",IF(597&lt;=$S$3,IF(AND(OR('CHOP DASHBOARD'!$C$4="",ISNUMBER(SEARCH('CHOP DASHBOARD'!$C$4,INDEX(MASTER_AREAS!$B:$B,598))))),597,""),""),IF('CHOP DASHBOARD'!$B$4="Zone",IF(597&lt;=$S$4,IF(OR('CHOP DASHBOARD'!$C$4="",ISNUMBER(SEARCH('CHOP DASHBOARD'!$C$4,INDEX(MASTER_ZONES!$B:$B,598)))),597,""),""),""))</f>
        <v/>
      </c>
      <c r="U598">
        <f>IF('COMMUNITY CHURCH DASHBOARD'!$B$4="Area",IF(597&lt;=$X$3,IF(AND(OR('COMMUNITY CHURCH DASHBOARD'!$C$4="",ISNUMBER(SEARCH('COMMUNITY CHURCH DASHBOARD'!$C$4,INDEX(MASTER_AREAS!$B:$B,598))))),597,""),""),IF('COMMUNITY CHURCH DASHBOARD'!$B$4="Zone",IF(597&lt;=$X$4,IF(OR('COMMUNITY CHURCH DASHBOARD'!$C$4="",ISNUMBER(SEARCH('COMMUNITY CHURCH DASHBOARD'!$C$4,INDEX(MASTER_ZONES!$B:$B,598)))),597,""),""),""))</f>
        <v/>
      </c>
    </row>
    <row r="599">
      <c r="A599">
        <f>IF('WSF DASHBOARD'!$B$4="Area",IF(598&lt;=$D$3,IF(AND(OR('WSF DASHBOARD'!$C$4="",ISNUMBER(SEARCH('WSF DASHBOARD'!$C$4,INDEX(MASTER_AREAS!$B:$B,599))))),598,""),""),IF('WSF DASHBOARD'!$B$4="Zone",IF(598&lt;=$D$4,IF(OR('WSF DASHBOARD'!$C$4="",ISNUMBER(SEARCH('WSF DASHBOARD'!$C$4,INDEX(MASTER_ZONES!$B:$B,599)))),598,""),""),""))</f>
        <v/>
      </c>
      <c r="F599">
        <f>IF('TRANSPORT DASHBOARD'!$B$4="Area",IF(598&lt;=$I$3,IF(AND(INDEX(MASTER_AREAS!$F:$F,599)&lt;&gt;"N",OR('TRANSPORT DASHBOARD'!$C$4="",ISNUMBER(SEARCH('TRANSPORT DASHBOARD'!$C$4,INDEX(MASTER_AREAS!$B:$B,599))))),598,""),""),IF('TRANSPORT DASHBOARD'!$B$4="Zone",IF(598&lt;=$I$4,IF(OR('TRANSPORT DASHBOARD'!$C$4="",ISNUMBER(SEARCH('TRANSPORT DASHBOARD'!$C$4,INDEX(MASTER_ZONES!$B:$B,599)))),598,""),""),""))</f>
        <v/>
      </c>
      <c r="K599">
        <f>IF('MIDWEEK DASHBOARD'!$B$4="Area",IF(598&lt;=$N$3,IF(AND(OR('MIDWEEK DASHBOARD'!$C$4="",ISNUMBER(SEARCH('MIDWEEK DASHBOARD'!$C$4,INDEX(MASTER_AREAS!$B:$B,599))))),598,""),""),IF('MIDWEEK DASHBOARD'!$B$4="Zone",IF(598&lt;=$N$4,IF(OR('MIDWEEK DASHBOARD'!$C$4="",ISNUMBER(SEARCH('MIDWEEK DASHBOARD'!$C$4,INDEX(MASTER_ZONES!$B:$B,599)))),598,""),""),""))</f>
        <v/>
      </c>
      <c r="P599">
        <f>IF('CHOP DASHBOARD'!$B$4="Area",IF(598&lt;=$S$3,IF(AND(OR('CHOP DASHBOARD'!$C$4="",ISNUMBER(SEARCH('CHOP DASHBOARD'!$C$4,INDEX(MASTER_AREAS!$B:$B,599))))),598,""),""),IF('CHOP DASHBOARD'!$B$4="Zone",IF(598&lt;=$S$4,IF(OR('CHOP DASHBOARD'!$C$4="",ISNUMBER(SEARCH('CHOP DASHBOARD'!$C$4,INDEX(MASTER_ZONES!$B:$B,599)))),598,""),""),""))</f>
        <v/>
      </c>
      <c r="U599">
        <f>IF('COMMUNITY CHURCH DASHBOARD'!$B$4="Area",IF(598&lt;=$X$3,IF(AND(OR('COMMUNITY CHURCH DASHBOARD'!$C$4="",ISNUMBER(SEARCH('COMMUNITY CHURCH DASHBOARD'!$C$4,INDEX(MASTER_AREAS!$B:$B,599))))),598,""),""),IF('COMMUNITY CHURCH DASHBOARD'!$B$4="Zone",IF(598&lt;=$X$4,IF(OR('COMMUNITY CHURCH DASHBOARD'!$C$4="",ISNUMBER(SEARCH('COMMUNITY CHURCH DASHBOARD'!$C$4,INDEX(MASTER_ZONES!$B:$B,599)))),598,""),""),""))</f>
        <v/>
      </c>
    </row>
    <row r="600">
      <c r="A600">
        <f>IF('WSF DASHBOARD'!$B$4="Area",IF(599&lt;=$D$3,IF(AND(OR('WSF DASHBOARD'!$C$4="",ISNUMBER(SEARCH('WSF DASHBOARD'!$C$4,INDEX(MASTER_AREAS!$B:$B,600))))),599,""),""),IF('WSF DASHBOARD'!$B$4="Zone",IF(599&lt;=$D$4,IF(OR('WSF DASHBOARD'!$C$4="",ISNUMBER(SEARCH('WSF DASHBOARD'!$C$4,INDEX(MASTER_ZONES!$B:$B,600)))),599,""),""),""))</f>
        <v/>
      </c>
      <c r="F600">
        <f>IF('TRANSPORT DASHBOARD'!$B$4="Area",IF(599&lt;=$I$3,IF(AND(INDEX(MASTER_AREAS!$F:$F,600)&lt;&gt;"N",OR('TRANSPORT DASHBOARD'!$C$4="",ISNUMBER(SEARCH('TRANSPORT DASHBOARD'!$C$4,INDEX(MASTER_AREAS!$B:$B,600))))),599,""),""),IF('TRANSPORT DASHBOARD'!$B$4="Zone",IF(599&lt;=$I$4,IF(OR('TRANSPORT DASHBOARD'!$C$4="",ISNUMBER(SEARCH('TRANSPORT DASHBOARD'!$C$4,INDEX(MASTER_ZONES!$B:$B,600)))),599,""),""),""))</f>
        <v/>
      </c>
      <c r="K600">
        <f>IF('MIDWEEK DASHBOARD'!$B$4="Area",IF(599&lt;=$N$3,IF(AND(OR('MIDWEEK DASHBOARD'!$C$4="",ISNUMBER(SEARCH('MIDWEEK DASHBOARD'!$C$4,INDEX(MASTER_AREAS!$B:$B,600))))),599,""),""),IF('MIDWEEK DASHBOARD'!$B$4="Zone",IF(599&lt;=$N$4,IF(OR('MIDWEEK DASHBOARD'!$C$4="",ISNUMBER(SEARCH('MIDWEEK DASHBOARD'!$C$4,INDEX(MASTER_ZONES!$B:$B,600)))),599,""),""),""))</f>
        <v/>
      </c>
      <c r="P600">
        <f>IF('CHOP DASHBOARD'!$B$4="Area",IF(599&lt;=$S$3,IF(AND(OR('CHOP DASHBOARD'!$C$4="",ISNUMBER(SEARCH('CHOP DASHBOARD'!$C$4,INDEX(MASTER_AREAS!$B:$B,600))))),599,""),""),IF('CHOP DASHBOARD'!$B$4="Zone",IF(599&lt;=$S$4,IF(OR('CHOP DASHBOARD'!$C$4="",ISNUMBER(SEARCH('CHOP DASHBOARD'!$C$4,INDEX(MASTER_ZONES!$B:$B,600)))),599,""),""),""))</f>
        <v/>
      </c>
      <c r="U600">
        <f>IF('COMMUNITY CHURCH DASHBOARD'!$B$4="Area",IF(599&lt;=$X$3,IF(AND(OR('COMMUNITY CHURCH DASHBOARD'!$C$4="",ISNUMBER(SEARCH('COMMUNITY CHURCH DASHBOARD'!$C$4,INDEX(MASTER_AREAS!$B:$B,600))))),599,""),""),IF('COMMUNITY CHURCH DASHBOARD'!$B$4="Zone",IF(599&lt;=$X$4,IF(OR('COMMUNITY CHURCH DASHBOARD'!$C$4="",ISNUMBER(SEARCH('COMMUNITY CHURCH DASHBOARD'!$C$4,INDEX(MASTER_ZONES!$B:$B,600)))),599,""),""),""))</f>
        <v/>
      </c>
    </row>
    <row r="601">
      <c r="A601">
        <f>IF('WSF DASHBOARD'!$B$4="Area",IF(600&lt;=$D$3,IF(AND(OR('WSF DASHBOARD'!$C$4="",ISNUMBER(SEARCH('WSF DASHBOARD'!$C$4,INDEX(MASTER_AREAS!$B:$B,601))))),600,""),""),IF('WSF DASHBOARD'!$B$4="Zone",IF(600&lt;=$D$4,IF(OR('WSF DASHBOARD'!$C$4="",ISNUMBER(SEARCH('WSF DASHBOARD'!$C$4,INDEX(MASTER_ZONES!$B:$B,601)))),600,""),""),""))</f>
        <v/>
      </c>
      <c r="F601">
        <f>IF('TRANSPORT DASHBOARD'!$B$4="Area",IF(600&lt;=$I$3,IF(AND(INDEX(MASTER_AREAS!$F:$F,601)&lt;&gt;"N",OR('TRANSPORT DASHBOARD'!$C$4="",ISNUMBER(SEARCH('TRANSPORT DASHBOARD'!$C$4,INDEX(MASTER_AREAS!$B:$B,601))))),600,""),""),IF('TRANSPORT DASHBOARD'!$B$4="Zone",IF(600&lt;=$I$4,IF(OR('TRANSPORT DASHBOARD'!$C$4="",ISNUMBER(SEARCH('TRANSPORT DASHBOARD'!$C$4,INDEX(MASTER_ZONES!$B:$B,601)))),600,""),""),""))</f>
        <v/>
      </c>
      <c r="K601">
        <f>IF('MIDWEEK DASHBOARD'!$B$4="Area",IF(600&lt;=$N$3,IF(AND(OR('MIDWEEK DASHBOARD'!$C$4="",ISNUMBER(SEARCH('MIDWEEK DASHBOARD'!$C$4,INDEX(MASTER_AREAS!$B:$B,601))))),600,""),""),IF('MIDWEEK DASHBOARD'!$B$4="Zone",IF(600&lt;=$N$4,IF(OR('MIDWEEK DASHBOARD'!$C$4="",ISNUMBER(SEARCH('MIDWEEK DASHBOARD'!$C$4,INDEX(MASTER_ZONES!$B:$B,601)))),600,""),""),""))</f>
        <v/>
      </c>
      <c r="P601">
        <f>IF('CHOP DASHBOARD'!$B$4="Area",IF(600&lt;=$S$3,IF(AND(OR('CHOP DASHBOARD'!$C$4="",ISNUMBER(SEARCH('CHOP DASHBOARD'!$C$4,INDEX(MASTER_AREAS!$B:$B,601))))),600,""),""),IF('CHOP DASHBOARD'!$B$4="Zone",IF(600&lt;=$S$4,IF(OR('CHOP DASHBOARD'!$C$4="",ISNUMBER(SEARCH('CHOP DASHBOARD'!$C$4,INDEX(MASTER_ZONES!$B:$B,601)))),600,""),""),""))</f>
        <v/>
      </c>
      <c r="U601">
        <f>IF('COMMUNITY CHURCH DASHBOARD'!$B$4="Area",IF(600&lt;=$X$3,IF(AND(OR('COMMUNITY CHURCH DASHBOARD'!$C$4="",ISNUMBER(SEARCH('COMMUNITY CHURCH DASHBOARD'!$C$4,INDEX(MASTER_AREAS!$B:$B,601))))),600,""),""),IF('COMMUNITY CHURCH DASHBOARD'!$B$4="Zone",IF(600&lt;=$X$4,IF(OR('COMMUNITY CHURCH DASHBOARD'!$C$4="",ISNUMBER(SEARCH('COMMUNITY CHURCH DASHBOARD'!$C$4,INDEX(MASTER_ZONES!$B:$B,601)))),600,""),""),""))</f>
        <v/>
      </c>
    </row>
    <row r="602">
      <c r="A602">
        <f>IF('WSF DASHBOARD'!$B$4="Area",IF(601&lt;=$D$3,IF(AND(OR('WSF DASHBOARD'!$C$4="",ISNUMBER(SEARCH('WSF DASHBOARD'!$C$4,INDEX(MASTER_AREAS!$B:$B,602))))),601,""),""),IF('WSF DASHBOARD'!$B$4="Zone",IF(601&lt;=$D$4,IF(OR('WSF DASHBOARD'!$C$4="",ISNUMBER(SEARCH('WSF DASHBOARD'!$C$4,INDEX(MASTER_ZONES!$B:$B,602)))),601,""),""),""))</f>
        <v/>
      </c>
      <c r="F602">
        <f>IF('TRANSPORT DASHBOARD'!$B$4="Area",IF(601&lt;=$I$3,IF(AND(INDEX(MASTER_AREAS!$F:$F,602)&lt;&gt;"N",OR('TRANSPORT DASHBOARD'!$C$4="",ISNUMBER(SEARCH('TRANSPORT DASHBOARD'!$C$4,INDEX(MASTER_AREAS!$B:$B,602))))),601,""),""),IF('TRANSPORT DASHBOARD'!$B$4="Zone",IF(601&lt;=$I$4,IF(OR('TRANSPORT DASHBOARD'!$C$4="",ISNUMBER(SEARCH('TRANSPORT DASHBOARD'!$C$4,INDEX(MASTER_ZONES!$B:$B,602)))),601,""),""),""))</f>
        <v/>
      </c>
      <c r="K602">
        <f>IF('MIDWEEK DASHBOARD'!$B$4="Area",IF(601&lt;=$N$3,IF(AND(OR('MIDWEEK DASHBOARD'!$C$4="",ISNUMBER(SEARCH('MIDWEEK DASHBOARD'!$C$4,INDEX(MASTER_AREAS!$B:$B,602))))),601,""),""),IF('MIDWEEK DASHBOARD'!$B$4="Zone",IF(601&lt;=$N$4,IF(OR('MIDWEEK DASHBOARD'!$C$4="",ISNUMBER(SEARCH('MIDWEEK DASHBOARD'!$C$4,INDEX(MASTER_ZONES!$B:$B,602)))),601,""),""),""))</f>
        <v/>
      </c>
      <c r="P602">
        <f>IF('CHOP DASHBOARD'!$B$4="Area",IF(601&lt;=$S$3,IF(AND(OR('CHOP DASHBOARD'!$C$4="",ISNUMBER(SEARCH('CHOP DASHBOARD'!$C$4,INDEX(MASTER_AREAS!$B:$B,602))))),601,""),""),IF('CHOP DASHBOARD'!$B$4="Zone",IF(601&lt;=$S$4,IF(OR('CHOP DASHBOARD'!$C$4="",ISNUMBER(SEARCH('CHOP DASHBOARD'!$C$4,INDEX(MASTER_ZONES!$B:$B,602)))),601,""),""),""))</f>
        <v/>
      </c>
      <c r="U602">
        <f>IF('COMMUNITY CHURCH DASHBOARD'!$B$4="Area",IF(601&lt;=$X$3,IF(AND(OR('COMMUNITY CHURCH DASHBOARD'!$C$4="",ISNUMBER(SEARCH('COMMUNITY CHURCH DASHBOARD'!$C$4,INDEX(MASTER_AREAS!$B:$B,602))))),601,""),""),IF('COMMUNITY CHURCH DASHBOARD'!$B$4="Zone",IF(601&lt;=$X$4,IF(OR('COMMUNITY CHURCH DASHBOARD'!$C$4="",ISNUMBER(SEARCH('COMMUNITY CHURCH DASHBOARD'!$C$4,INDEX(MASTER_ZONES!$B:$B,602)))),601,""),""),""))</f>
        <v/>
      </c>
    </row>
    <row r="603">
      <c r="A603">
        <f>IF('WSF DASHBOARD'!$B$4="Area",IF(602&lt;=$D$3,IF(AND(OR('WSF DASHBOARD'!$C$4="",ISNUMBER(SEARCH('WSF DASHBOARD'!$C$4,INDEX(MASTER_AREAS!$B:$B,603))))),602,""),""),IF('WSF DASHBOARD'!$B$4="Zone",IF(602&lt;=$D$4,IF(OR('WSF DASHBOARD'!$C$4="",ISNUMBER(SEARCH('WSF DASHBOARD'!$C$4,INDEX(MASTER_ZONES!$B:$B,603)))),602,""),""),""))</f>
        <v/>
      </c>
      <c r="F603">
        <f>IF('TRANSPORT DASHBOARD'!$B$4="Area",IF(602&lt;=$I$3,IF(AND(INDEX(MASTER_AREAS!$F:$F,603)&lt;&gt;"N",OR('TRANSPORT DASHBOARD'!$C$4="",ISNUMBER(SEARCH('TRANSPORT DASHBOARD'!$C$4,INDEX(MASTER_AREAS!$B:$B,603))))),602,""),""),IF('TRANSPORT DASHBOARD'!$B$4="Zone",IF(602&lt;=$I$4,IF(OR('TRANSPORT DASHBOARD'!$C$4="",ISNUMBER(SEARCH('TRANSPORT DASHBOARD'!$C$4,INDEX(MASTER_ZONES!$B:$B,603)))),602,""),""),""))</f>
        <v/>
      </c>
      <c r="K603">
        <f>IF('MIDWEEK DASHBOARD'!$B$4="Area",IF(602&lt;=$N$3,IF(AND(OR('MIDWEEK DASHBOARD'!$C$4="",ISNUMBER(SEARCH('MIDWEEK DASHBOARD'!$C$4,INDEX(MASTER_AREAS!$B:$B,603))))),602,""),""),IF('MIDWEEK DASHBOARD'!$B$4="Zone",IF(602&lt;=$N$4,IF(OR('MIDWEEK DASHBOARD'!$C$4="",ISNUMBER(SEARCH('MIDWEEK DASHBOARD'!$C$4,INDEX(MASTER_ZONES!$B:$B,603)))),602,""),""),""))</f>
        <v/>
      </c>
      <c r="P603">
        <f>IF('CHOP DASHBOARD'!$B$4="Area",IF(602&lt;=$S$3,IF(AND(OR('CHOP DASHBOARD'!$C$4="",ISNUMBER(SEARCH('CHOP DASHBOARD'!$C$4,INDEX(MASTER_AREAS!$B:$B,603))))),602,""),""),IF('CHOP DASHBOARD'!$B$4="Zone",IF(602&lt;=$S$4,IF(OR('CHOP DASHBOARD'!$C$4="",ISNUMBER(SEARCH('CHOP DASHBOARD'!$C$4,INDEX(MASTER_ZONES!$B:$B,603)))),602,""),""),""))</f>
        <v/>
      </c>
      <c r="U603">
        <f>IF('COMMUNITY CHURCH DASHBOARD'!$B$4="Area",IF(602&lt;=$X$3,IF(AND(OR('COMMUNITY CHURCH DASHBOARD'!$C$4="",ISNUMBER(SEARCH('COMMUNITY CHURCH DASHBOARD'!$C$4,INDEX(MASTER_AREAS!$B:$B,603))))),602,""),""),IF('COMMUNITY CHURCH DASHBOARD'!$B$4="Zone",IF(602&lt;=$X$4,IF(OR('COMMUNITY CHURCH DASHBOARD'!$C$4="",ISNUMBER(SEARCH('COMMUNITY CHURCH DASHBOARD'!$C$4,INDEX(MASTER_ZONES!$B:$B,603)))),602,""),""),""))</f>
        <v/>
      </c>
    </row>
    <row r="604">
      <c r="A604">
        <f>IF('WSF DASHBOARD'!$B$4="Area",IF(603&lt;=$D$3,IF(AND(OR('WSF DASHBOARD'!$C$4="",ISNUMBER(SEARCH('WSF DASHBOARD'!$C$4,INDEX(MASTER_AREAS!$B:$B,604))))),603,""),""),IF('WSF DASHBOARD'!$B$4="Zone",IF(603&lt;=$D$4,IF(OR('WSF DASHBOARD'!$C$4="",ISNUMBER(SEARCH('WSF DASHBOARD'!$C$4,INDEX(MASTER_ZONES!$B:$B,604)))),603,""),""),""))</f>
        <v/>
      </c>
      <c r="F604">
        <f>IF('TRANSPORT DASHBOARD'!$B$4="Area",IF(603&lt;=$I$3,IF(AND(INDEX(MASTER_AREAS!$F:$F,604)&lt;&gt;"N",OR('TRANSPORT DASHBOARD'!$C$4="",ISNUMBER(SEARCH('TRANSPORT DASHBOARD'!$C$4,INDEX(MASTER_AREAS!$B:$B,604))))),603,""),""),IF('TRANSPORT DASHBOARD'!$B$4="Zone",IF(603&lt;=$I$4,IF(OR('TRANSPORT DASHBOARD'!$C$4="",ISNUMBER(SEARCH('TRANSPORT DASHBOARD'!$C$4,INDEX(MASTER_ZONES!$B:$B,604)))),603,""),""),""))</f>
        <v/>
      </c>
      <c r="K604">
        <f>IF('MIDWEEK DASHBOARD'!$B$4="Area",IF(603&lt;=$N$3,IF(AND(OR('MIDWEEK DASHBOARD'!$C$4="",ISNUMBER(SEARCH('MIDWEEK DASHBOARD'!$C$4,INDEX(MASTER_AREAS!$B:$B,604))))),603,""),""),IF('MIDWEEK DASHBOARD'!$B$4="Zone",IF(603&lt;=$N$4,IF(OR('MIDWEEK DASHBOARD'!$C$4="",ISNUMBER(SEARCH('MIDWEEK DASHBOARD'!$C$4,INDEX(MASTER_ZONES!$B:$B,604)))),603,""),""),""))</f>
        <v/>
      </c>
      <c r="P604">
        <f>IF('CHOP DASHBOARD'!$B$4="Area",IF(603&lt;=$S$3,IF(AND(OR('CHOP DASHBOARD'!$C$4="",ISNUMBER(SEARCH('CHOP DASHBOARD'!$C$4,INDEX(MASTER_AREAS!$B:$B,604))))),603,""),""),IF('CHOP DASHBOARD'!$B$4="Zone",IF(603&lt;=$S$4,IF(OR('CHOP DASHBOARD'!$C$4="",ISNUMBER(SEARCH('CHOP DASHBOARD'!$C$4,INDEX(MASTER_ZONES!$B:$B,604)))),603,""),""),""))</f>
        <v/>
      </c>
      <c r="U604">
        <f>IF('COMMUNITY CHURCH DASHBOARD'!$B$4="Area",IF(603&lt;=$X$3,IF(AND(OR('COMMUNITY CHURCH DASHBOARD'!$C$4="",ISNUMBER(SEARCH('COMMUNITY CHURCH DASHBOARD'!$C$4,INDEX(MASTER_AREAS!$B:$B,604))))),603,""),""),IF('COMMUNITY CHURCH DASHBOARD'!$B$4="Zone",IF(603&lt;=$X$4,IF(OR('COMMUNITY CHURCH DASHBOARD'!$C$4="",ISNUMBER(SEARCH('COMMUNITY CHURCH DASHBOARD'!$C$4,INDEX(MASTER_ZONES!$B:$B,604)))),603,""),""),""))</f>
        <v/>
      </c>
    </row>
    <row r="605">
      <c r="A605">
        <f>IF('WSF DASHBOARD'!$B$4="Area",IF(604&lt;=$D$3,IF(AND(OR('WSF DASHBOARD'!$C$4="",ISNUMBER(SEARCH('WSF DASHBOARD'!$C$4,INDEX(MASTER_AREAS!$B:$B,605))))),604,""),""),IF('WSF DASHBOARD'!$B$4="Zone",IF(604&lt;=$D$4,IF(OR('WSF DASHBOARD'!$C$4="",ISNUMBER(SEARCH('WSF DASHBOARD'!$C$4,INDEX(MASTER_ZONES!$B:$B,605)))),604,""),""),""))</f>
        <v/>
      </c>
      <c r="F605">
        <f>IF('TRANSPORT DASHBOARD'!$B$4="Area",IF(604&lt;=$I$3,IF(AND(INDEX(MASTER_AREAS!$F:$F,605)&lt;&gt;"N",OR('TRANSPORT DASHBOARD'!$C$4="",ISNUMBER(SEARCH('TRANSPORT DASHBOARD'!$C$4,INDEX(MASTER_AREAS!$B:$B,605))))),604,""),""),IF('TRANSPORT DASHBOARD'!$B$4="Zone",IF(604&lt;=$I$4,IF(OR('TRANSPORT DASHBOARD'!$C$4="",ISNUMBER(SEARCH('TRANSPORT DASHBOARD'!$C$4,INDEX(MASTER_ZONES!$B:$B,605)))),604,""),""),""))</f>
        <v/>
      </c>
      <c r="K605">
        <f>IF('MIDWEEK DASHBOARD'!$B$4="Area",IF(604&lt;=$N$3,IF(AND(OR('MIDWEEK DASHBOARD'!$C$4="",ISNUMBER(SEARCH('MIDWEEK DASHBOARD'!$C$4,INDEX(MASTER_AREAS!$B:$B,605))))),604,""),""),IF('MIDWEEK DASHBOARD'!$B$4="Zone",IF(604&lt;=$N$4,IF(OR('MIDWEEK DASHBOARD'!$C$4="",ISNUMBER(SEARCH('MIDWEEK DASHBOARD'!$C$4,INDEX(MASTER_ZONES!$B:$B,605)))),604,""),""),""))</f>
        <v/>
      </c>
      <c r="P605">
        <f>IF('CHOP DASHBOARD'!$B$4="Area",IF(604&lt;=$S$3,IF(AND(OR('CHOP DASHBOARD'!$C$4="",ISNUMBER(SEARCH('CHOP DASHBOARD'!$C$4,INDEX(MASTER_AREAS!$B:$B,605))))),604,""),""),IF('CHOP DASHBOARD'!$B$4="Zone",IF(604&lt;=$S$4,IF(OR('CHOP DASHBOARD'!$C$4="",ISNUMBER(SEARCH('CHOP DASHBOARD'!$C$4,INDEX(MASTER_ZONES!$B:$B,605)))),604,""),""),""))</f>
        <v/>
      </c>
      <c r="U605">
        <f>IF('COMMUNITY CHURCH DASHBOARD'!$B$4="Area",IF(604&lt;=$X$3,IF(AND(OR('COMMUNITY CHURCH DASHBOARD'!$C$4="",ISNUMBER(SEARCH('COMMUNITY CHURCH DASHBOARD'!$C$4,INDEX(MASTER_AREAS!$B:$B,605))))),604,""),""),IF('COMMUNITY CHURCH DASHBOARD'!$B$4="Zone",IF(604&lt;=$X$4,IF(OR('COMMUNITY CHURCH DASHBOARD'!$C$4="",ISNUMBER(SEARCH('COMMUNITY CHURCH DASHBOARD'!$C$4,INDEX(MASTER_ZONES!$B:$B,605)))),604,""),""),""))</f>
        <v/>
      </c>
    </row>
    <row r="606">
      <c r="A606">
        <f>IF('WSF DASHBOARD'!$B$4="Area",IF(605&lt;=$D$3,IF(AND(OR('WSF DASHBOARD'!$C$4="",ISNUMBER(SEARCH('WSF DASHBOARD'!$C$4,INDEX(MASTER_AREAS!$B:$B,606))))),605,""),""),IF('WSF DASHBOARD'!$B$4="Zone",IF(605&lt;=$D$4,IF(OR('WSF DASHBOARD'!$C$4="",ISNUMBER(SEARCH('WSF DASHBOARD'!$C$4,INDEX(MASTER_ZONES!$B:$B,606)))),605,""),""),""))</f>
        <v/>
      </c>
      <c r="F606">
        <f>IF('TRANSPORT DASHBOARD'!$B$4="Area",IF(605&lt;=$I$3,IF(AND(INDEX(MASTER_AREAS!$F:$F,606)&lt;&gt;"N",OR('TRANSPORT DASHBOARD'!$C$4="",ISNUMBER(SEARCH('TRANSPORT DASHBOARD'!$C$4,INDEX(MASTER_AREAS!$B:$B,606))))),605,""),""),IF('TRANSPORT DASHBOARD'!$B$4="Zone",IF(605&lt;=$I$4,IF(OR('TRANSPORT DASHBOARD'!$C$4="",ISNUMBER(SEARCH('TRANSPORT DASHBOARD'!$C$4,INDEX(MASTER_ZONES!$B:$B,606)))),605,""),""),""))</f>
        <v/>
      </c>
      <c r="K606">
        <f>IF('MIDWEEK DASHBOARD'!$B$4="Area",IF(605&lt;=$N$3,IF(AND(OR('MIDWEEK DASHBOARD'!$C$4="",ISNUMBER(SEARCH('MIDWEEK DASHBOARD'!$C$4,INDEX(MASTER_AREAS!$B:$B,606))))),605,""),""),IF('MIDWEEK DASHBOARD'!$B$4="Zone",IF(605&lt;=$N$4,IF(OR('MIDWEEK DASHBOARD'!$C$4="",ISNUMBER(SEARCH('MIDWEEK DASHBOARD'!$C$4,INDEX(MASTER_ZONES!$B:$B,606)))),605,""),""),""))</f>
        <v/>
      </c>
      <c r="P606">
        <f>IF('CHOP DASHBOARD'!$B$4="Area",IF(605&lt;=$S$3,IF(AND(OR('CHOP DASHBOARD'!$C$4="",ISNUMBER(SEARCH('CHOP DASHBOARD'!$C$4,INDEX(MASTER_AREAS!$B:$B,606))))),605,""),""),IF('CHOP DASHBOARD'!$B$4="Zone",IF(605&lt;=$S$4,IF(OR('CHOP DASHBOARD'!$C$4="",ISNUMBER(SEARCH('CHOP DASHBOARD'!$C$4,INDEX(MASTER_ZONES!$B:$B,606)))),605,""),""),""))</f>
        <v/>
      </c>
      <c r="U606">
        <f>IF('COMMUNITY CHURCH DASHBOARD'!$B$4="Area",IF(605&lt;=$X$3,IF(AND(OR('COMMUNITY CHURCH DASHBOARD'!$C$4="",ISNUMBER(SEARCH('COMMUNITY CHURCH DASHBOARD'!$C$4,INDEX(MASTER_AREAS!$B:$B,606))))),605,""),""),IF('COMMUNITY CHURCH DASHBOARD'!$B$4="Zone",IF(605&lt;=$X$4,IF(OR('COMMUNITY CHURCH DASHBOARD'!$C$4="",ISNUMBER(SEARCH('COMMUNITY CHURCH DASHBOARD'!$C$4,INDEX(MASTER_ZONES!$B:$B,606)))),605,""),""),""))</f>
        <v/>
      </c>
    </row>
    <row r="607">
      <c r="A607">
        <f>IF('WSF DASHBOARD'!$B$4="Area",IF(606&lt;=$D$3,IF(AND(OR('WSF DASHBOARD'!$C$4="",ISNUMBER(SEARCH('WSF DASHBOARD'!$C$4,INDEX(MASTER_AREAS!$B:$B,607))))),606,""),""),IF('WSF DASHBOARD'!$B$4="Zone",IF(606&lt;=$D$4,IF(OR('WSF DASHBOARD'!$C$4="",ISNUMBER(SEARCH('WSF DASHBOARD'!$C$4,INDEX(MASTER_ZONES!$B:$B,607)))),606,""),""),""))</f>
        <v/>
      </c>
      <c r="F607">
        <f>IF('TRANSPORT DASHBOARD'!$B$4="Area",IF(606&lt;=$I$3,IF(AND(INDEX(MASTER_AREAS!$F:$F,607)&lt;&gt;"N",OR('TRANSPORT DASHBOARD'!$C$4="",ISNUMBER(SEARCH('TRANSPORT DASHBOARD'!$C$4,INDEX(MASTER_AREAS!$B:$B,607))))),606,""),""),IF('TRANSPORT DASHBOARD'!$B$4="Zone",IF(606&lt;=$I$4,IF(OR('TRANSPORT DASHBOARD'!$C$4="",ISNUMBER(SEARCH('TRANSPORT DASHBOARD'!$C$4,INDEX(MASTER_ZONES!$B:$B,607)))),606,""),""),""))</f>
        <v/>
      </c>
      <c r="K607">
        <f>IF('MIDWEEK DASHBOARD'!$B$4="Area",IF(606&lt;=$N$3,IF(AND(OR('MIDWEEK DASHBOARD'!$C$4="",ISNUMBER(SEARCH('MIDWEEK DASHBOARD'!$C$4,INDEX(MASTER_AREAS!$B:$B,607))))),606,""),""),IF('MIDWEEK DASHBOARD'!$B$4="Zone",IF(606&lt;=$N$4,IF(OR('MIDWEEK DASHBOARD'!$C$4="",ISNUMBER(SEARCH('MIDWEEK DASHBOARD'!$C$4,INDEX(MASTER_ZONES!$B:$B,607)))),606,""),""),""))</f>
        <v/>
      </c>
      <c r="P607">
        <f>IF('CHOP DASHBOARD'!$B$4="Area",IF(606&lt;=$S$3,IF(AND(OR('CHOP DASHBOARD'!$C$4="",ISNUMBER(SEARCH('CHOP DASHBOARD'!$C$4,INDEX(MASTER_AREAS!$B:$B,607))))),606,""),""),IF('CHOP DASHBOARD'!$B$4="Zone",IF(606&lt;=$S$4,IF(OR('CHOP DASHBOARD'!$C$4="",ISNUMBER(SEARCH('CHOP DASHBOARD'!$C$4,INDEX(MASTER_ZONES!$B:$B,607)))),606,""),""),""))</f>
        <v/>
      </c>
      <c r="U607">
        <f>IF('COMMUNITY CHURCH DASHBOARD'!$B$4="Area",IF(606&lt;=$X$3,IF(AND(OR('COMMUNITY CHURCH DASHBOARD'!$C$4="",ISNUMBER(SEARCH('COMMUNITY CHURCH DASHBOARD'!$C$4,INDEX(MASTER_AREAS!$B:$B,607))))),606,""),""),IF('COMMUNITY CHURCH DASHBOARD'!$B$4="Zone",IF(606&lt;=$X$4,IF(OR('COMMUNITY CHURCH DASHBOARD'!$C$4="",ISNUMBER(SEARCH('COMMUNITY CHURCH DASHBOARD'!$C$4,INDEX(MASTER_ZONES!$B:$B,607)))),606,""),""),""))</f>
        <v/>
      </c>
    </row>
    <row r="608">
      <c r="A608">
        <f>IF('WSF DASHBOARD'!$B$4="Area",IF(607&lt;=$D$3,IF(AND(OR('WSF DASHBOARD'!$C$4="",ISNUMBER(SEARCH('WSF DASHBOARD'!$C$4,INDEX(MASTER_AREAS!$B:$B,608))))),607,""),""),IF('WSF DASHBOARD'!$B$4="Zone",IF(607&lt;=$D$4,IF(OR('WSF DASHBOARD'!$C$4="",ISNUMBER(SEARCH('WSF DASHBOARD'!$C$4,INDEX(MASTER_ZONES!$B:$B,608)))),607,""),""),""))</f>
        <v/>
      </c>
      <c r="F608">
        <f>IF('TRANSPORT DASHBOARD'!$B$4="Area",IF(607&lt;=$I$3,IF(AND(INDEX(MASTER_AREAS!$F:$F,608)&lt;&gt;"N",OR('TRANSPORT DASHBOARD'!$C$4="",ISNUMBER(SEARCH('TRANSPORT DASHBOARD'!$C$4,INDEX(MASTER_AREAS!$B:$B,608))))),607,""),""),IF('TRANSPORT DASHBOARD'!$B$4="Zone",IF(607&lt;=$I$4,IF(OR('TRANSPORT DASHBOARD'!$C$4="",ISNUMBER(SEARCH('TRANSPORT DASHBOARD'!$C$4,INDEX(MASTER_ZONES!$B:$B,608)))),607,""),""),""))</f>
        <v/>
      </c>
      <c r="K608">
        <f>IF('MIDWEEK DASHBOARD'!$B$4="Area",IF(607&lt;=$N$3,IF(AND(OR('MIDWEEK DASHBOARD'!$C$4="",ISNUMBER(SEARCH('MIDWEEK DASHBOARD'!$C$4,INDEX(MASTER_AREAS!$B:$B,608))))),607,""),""),IF('MIDWEEK DASHBOARD'!$B$4="Zone",IF(607&lt;=$N$4,IF(OR('MIDWEEK DASHBOARD'!$C$4="",ISNUMBER(SEARCH('MIDWEEK DASHBOARD'!$C$4,INDEX(MASTER_ZONES!$B:$B,608)))),607,""),""),""))</f>
        <v/>
      </c>
      <c r="P608">
        <f>IF('CHOP DASHBOARD'!$B$4="Area",IF(607&lt;=$S$3,IF(AND(OR('CHOP DASHBOARD'!$C$4="",ISNUMBER(SEARCH('CHOP DASHBOARD'!$C$4,INDEX(MASTER_AREAS!$B:$B,608))))),607,""),""),IF('CHOP DASHBOARD'!$B$4="Zone",IF(607&lt;=$S$4,IF(OR('CHOP DASHBOARD'!$C$4="",ISNUMBER(SEARCH('CHOP DASHBOARD'!$C$4,INDEX(MASTER_ZONES!$B:$B,608)))),607,""),""),""))</f>
        <v/>
      </c>
      <c r="U608">
        <f>IF('COMMUNITY CHURCH DASHBOARD'!$B$4="Area",IF(607&lt;=$X$3,IF(AND(OR('COMMUNITY CHURCH DASHBOARD'!$C$4="",ISNUMBER(SEARCH('COMMUNITY CHURCH DASHBOARD'!$C$4,INDEX(MASTER_AREAS!$B:$B,608))))),607,""),""),IF('COMMUNITY CHURCH DASHBOARD'!$B$4="Zone",IF(607&lt;=$X$4,IF(OR('COMMUNITY CHURCH DASHBOARD'!$C$4="",ISNUMBER(SEARCH('COMMUNITY CHURCH DASHBOARD'!$C$4,INDEX(MASTER_ZONES!$B:$B,608)))),607,""),""),""))</f>
        <v/>
      </c>
    </row>
    <row r="609">
      <c r="A609">
        <f>IF('WSF DASHBOARD'!$B$4="Area",IF(608&lt;=$D$3,IF(AND(OR('WSF DASHBOARD'!$C$4="",ISNUMBER(SEARCH('WSF DASHBOARD'!$C$4,INDEX(MASTER_AREAS!$B:$B,609))))),608,""),""),IF('WSF DASHBOARD'!$B$4="Zone",IF(608&lt;=$D$4,IF(OR('WSF DASHBOARD'!$C$4="",ISNUMBER(SEARCH('WSF DASHBOARD'!$C$4,INDEX(MASTER_ZONES!$B:$B,609)))),608,""),""),""))</f>
        <v/>
      </c>
      <c r="F609">
        <f>IF('TRANSPORT DASHBOARD'!$B$4="Area",IF(608&lt;=$I$3,IF(AND(INDEX(MASTER_AREAS!$F:$F,609)&lt;&gt;"N",OR('TRANSPORT DASHBOARD'!$C$4="",ISNUMBER(SEARCH('TRANSPORT DASHBOARD'!$C$4,INDEX(MASTER_AREAS!$B:$B,609))))),608,""),""),IF('TRANSPORT DASHBOARD'!$B$4="Zone",IF(608&lt;=$I$4,IF(OR('TRANSPORT DASHBOARD'!$C$4="",ISNUMBER(SEARCH('TRANSPORT DASHBOARD'!$C$4,INDEX(MASTER_ZONES!$B:$B,609)))),608,""),""),""))</f>
        <v/>
      </c>
      <c r="K609">
        <f>IF('MIDWEEK DASHBOARD'!$B$4="Area",IF(608&lt;=$N$3,IF(AND(OR('MIDWEEK DASHBOARD'!$C$4="",ISNUMBER(SEARCH('MIDWEEK DASHBOARD'!$C$4,INDEX(MASTER_AREAS!$B:$B,609))))),608,""),""),IF('MIDWEEK DASHBOARD'!$B$4="Zone",IF(608&lt;=$N$4,IF(OR('MIDWEEK DASHBOARD'!$C$4="",ISNUMBER(SEARCH('MIDWEEK DASHBOARD'!$C$4,INDEX(MASTER_ZONES!$B:$B,609)))),608,""),""),""))</f>
        <v/>
      </c>
      <c r="P609">
        <f>IF('CHOP DASHBOARD'!$B$4="Area",IF(608&lt;=$S$3,IF(AND(OR('CHOP DASHBOARD'!$C$4="",ISNUMBER(SEARCH('CHOP DASHBOARD'!$C$4,INDEX(MASTER_AREAS!$B:$B,609))))),608,""),""),IF('CHOP DASHBOARD'!$B$4="Zone",IF(608&lt;=$S$4,IF(OR('CHOP DASHBOARD'!$C$4="",ISNUMBER(SEARCH('CHOP DASHBOARD'!$C$4,INDEX(MASTER_ZONES!$B:$B,609)))),608,""),""),""))</f>
        <v/>
      </c>
      <c r="U609">
        <f>IF('COMMUNITY CHURCH DASHBOARD'!$B$4="Area",IF(608&lt;=$X$3,IF(AND(OR('COMMUNITY CHURCH DASHBOARD'!$C$4="",ISNUMBER(SEARCH('COMMUNITY CHURCH DASHBOARD'!$C$4,INDEX(MASTER_AREAS!$B:$B,609))))),608,""),""),IF('COMMUNITY CHURCH DASHBOARD'!$B$4="Zone",IF(608&lt;=$X$4,IF(OR('COMMUNITY CHURCH DASHBOARD'!$C$4="",ISNUMBER(SEARCH('COMMUNITY CHURCH DASHBOARD'!$C$4,INDEX(MASTER_ZONES!$B:$B,609)))),608,""),""),""))</f>
        <v/>
      </c>
    </row>
    <row r="610">
      <c r="A610">
        <f>IF('WSF DASHBOARD'!$B$4="Area",IF(609&lt;=$D$3,IF(AND(OR('WSF DASHBOARD'!$C$4="",ISNUMBER(SEARCH('WSF DASHBOARD'!$C$4,INDEX(MASTER_AREAS!$B:$B,610))))),609,""),""),IF('WSF DASHBOARD'!$B$4="Zone",IF(609&lt;=$D$4,IF(OR('WSF DASHBOARD'!$C$4="",ISNUMBER(SEARCH('WSF DASHBOARD'!$C$4,INDEX(MASTER_ZONES!$B:$B,610)))),609,""),""),""))</f>
        <v/>
      </c>
      <c r="F610">
        <f>IF('TRANSPORT DASHBOARD'!$B$4="Area",IF(609&lt;=$I$3,IF(AND(INDEX(MASTER_AREAS!$F:$F,610)&lt;&gt;"N",OR('TRANSPORT DASHBOARD'!$C$4="",ISNUMBER(SEARCH('TRANSPORT DASHBOARD'!$C$4,INDEX(MASTER_AREAS!$B:$B,610))))),609,""),""),IF('TRANSPORT DASHBOARD'!$B$4="Zone",IF(609&lt;=$I$4,IF(OR('TRANSPORT DASHBOARD'!$C$4="",ISNUMBER(SEARCH('TRANSPORT DASHBOARD'!$C$4,INDEX(MASTER_ZONES!$B:$B,610)))),609,""),""),""))</f>
        <v/>
      </c>
      <c r="K610">
        <f>IF('MIDWEEK DASHBOARD'!$B$4="Area",IF(609&lt;=$N$3,IF(AND(OR('MIDWEEK DASHBOARD'!$C$4="",ISNUMBER(SEARCH('MIDWEEK DASHBOARD'!$C$4,INDEX(MASTER_AREAS!$B:$B,610))))),609,""),""),IF('MIDWEEK DASHBOARD'!$B$4="Zone",IF(609&lt;=$N$4,IF(OR('MIDWEEK DASHBOARD'!$C$4="",ISNUMBER(SEARCH('MIDWEEK DASHBOARD'!$C$4,INDEX(MASTER_ZONES!$B:$B,610)))),609,""),""),""))</f>
        <v/>
      </c>
      <c r="P610">
        <f>IF('CHOP DASHBOARD'!$B$4="Area",IF(609&lt;=$S$3,IF(AND(OR('CHOP DASHBOARD'!$C$4="",ISNUMBER(SEARCH('CHOP DASHBOARD'!$C$4,INDEX(MASTER_AREAS!$B:$B,610))))),609,""),""),IF('CHOP DASHBOARD'!$B$4="Zone",IF(609&lt;=$S$4,IF(OR('CHOP DASHBOARD'!$C$4="",ISNUMBER(SEARCH('CHOP DASHBOARD'!$C$4,INDEX(MASTER_ZONES!$B:$B,610)))),609,""),""),""))</f>
        <v/>
      </c>
      <c r="U610">
        <f>IF('COMMUNITY CHURCH DASHBOARD'!$B$4="Area",IF(609&lt;=$X$3,IF(AND(OR('COMMUNITY CHURCH DASHBOARD'!$C$4="",ISNUMBER(SEARCH('COMMUNITY CHURCH DASHBOARD'!$C$4,INDEX(MASTER_AREAS!$B:$B,610))))),609,""),""),IF('COMMUNITY CHURCH DASHBOARD'!$B$4="Zone",IF(609&lt;=$X$4,IF(OR('COMMUNITY CHURCH DASHBOARD'!$C$4="",ISNUMBER(SEARCH('COMMUNITY CHURCH DASHBOARD'!$C$4,INDEX(MASTER_ZONES!$B:$B,610)))),609,""),""),""))</f>
        <v/>
      </c>
    </row>
    <row r="611">
      <c r="A611">
        <f>IF('WSF DASHBOARD'!$B$4="Area",IF(610&lt;=$D$3,IF(AND(OR('WSF DASHBOARD'!$C$4="",ISNUMBER(SEARCH('WSF DASHBOARD'!$C$4,INDEX(MASTER_AREAS!$B:$B,611))))),610,""),""),IF('WSF DASHBOARD'!$B$4="Zone",IF(610&lt;=$D$4,IF(OR('WSF DASHBOARD'!$C$4="",ISNUMBER(SEARCH('WSF DASHBOARD'!$C$4,INDEX(MASTER_ZONES!$B:$B,611)))),610,""),""),""))</f>
        <v/>
      </c>
      <c r="F611">
        <f>IF('TRANSPORT DASHBOARD'!$B$4="Area",IF(610&lt;=$I$3,IF(AND(INDEX(MASTER_AREAS!$F:$F,611)&lt;&gt;"N",OR('TRANSPORT DASHBOARD'!$C$4="",ISNUMBER(SEARCH('TRANSPORT DASHBOARD'!$C$4,INDEX(MASTER_AREAS!$B:$B,611))))),610,""),""),IF('TRANSPORT DASHBOARD'!$B$4="Zone",IF(610&lt;=$I$4,IF(OR('TRANSPORT DASHBOARD'!$C$4="",ISNUMBER(SEARCH('TRANSPORT DASHBOARD'!$C$4,INDEX(MASTER_ZONES!$B:$B,611)))),610,""),""),""))</f>
        <v/>
      </c>
      <c r="K611">
        <f>IF('MIDWEEK DASHBOARD'!$B$4="Area",IF(610&lt;=$N$3,IF(AND(OR('MIDWEEK DASHBOARD'!$C$4="",ISNUMBER(SEARCH('MIDWEEK DASHBOARD'!$C$4,INDEX(MASTER_AREAS!$B:$B,611))))),610,""),""),IF('MIDWEEK DASHBOARD'!$B$4="Zone",IF(610&lt;=$N$4,IF(OR('MIDWEEK DASHBOARD'!$C$4="",ISNUMBER(SEARCH('MIDWEEK DASHBOARD'!$C$4,INDEX(MASTER_ZONES!$B:$B,611)))),610,""),""),""))</f>
        <v/>
      </c>
      <c r="P611">
        <f>IF('CHOP DASHBOARD'!$B$4="Area",IF(610&lt;=$S$3,IF(AND(OR('CHOP DASHBOARD'!$C$4="",ISNUMBER(SEARCH('CHOP DASHBOARD'!$C$4,INDEX(MASTER_AREAS!$B:$B,611))))),610,""),""),IF('CHOP DASHBOARD'!$B$4="Zone",IF(610&lt;=$S$4,IF(OR('CHOP DASHBOARD'!$C$4="",ISNUMBER(SEARCH('CHOP DASHBOARD'!$C$4,INDEX(MASTER_ZONES!$B:$B,611)))),610,""),""),""))</f>
        <v/>
      </c>
      <c r="U611">
        <f>IF('COMMUNITY CHURCH DASHBOARD'!$B$4="Area",IF(610&lt;=$X$3,IF(AND(OR('COMMUNITY CHURCH DASHBOARD'!$C$4="",ISNUMBER(SEARCH('COMMUNITY CHURCH DASHBOARD'!$C$4,INDEX(MASTER_AREAS!$B:$B,611))))),610,""),""),IF('COMMUNITY CHURCH DASHBOARD'!$B$4="Zone",IF(610&lt;=$X$4,IF(OR('COMMUNITY CHURCH DASHBOARD'!$C$4="",ISNUMBER(SEARCH('COMMUNITY CHURCH DASHBOARD'!$C$4,INDEX(MASTER_ZONES!$B:$B,611)))),610,""),""),""))</f>
        <v/>
      </c>
    </row>
    <row r="612">
      <c r="A612">
        <f>IF('WSF DASHBOARD'!$B$4="Area",IF(611&lt;=$D$3,IF(AND(OR('WSF DASHBOARD'!$C$4="",ISNUMBER(SEARCH('WSF DASHBOARD'!$C$4,INDEX(MASTER_AREAS!$B:$B,612))))),611,""),""),IF('WSF DASHBOARD'!$B$4="Zone",IF(611&lt;=$D$4,IF(OR('WSF DASHBOARD'!$C$4="",ISNUMBER(SEARCH('WSF DASHBOARD'!$C$4,INDEX(MASTER_ZONES!$B:$B,612)))),611,""),""),""))</f>
        <v/>
      </c>
      <c r="F612">
        <f>IF('TRANSPORT DASHBOARD'!$B$4="Area",IF(611&lt;=$I$3,IF(AND(INDEX(MASTER_AREAS!$F:$F,612)&lt;&gt;"N",OR('TRANSPORT DASHBOARD'!$C$4="",ISNUMBER(SEARCH('TRANSPORT DASHBOARD'!$C$4,INDEX(MASTER_AREAS!$B:$B,612))))),611,""),""),IF('TRANSPORT DASHBOARD'!$B$4="Zone",IF(611&lt;=$I$4,IF(OR('TRANSPORT DASHBOARD'!$C$4="",ISNUMBER(SEARCH('TRANSPORT DASHBOARD'!$C$4,INDEX(MASTER_ZONES!$B:$B,612)))),611,""),""),""))</f>
        <v/>
      </c>
      <c r="K612">
        <f>IF('MIDWEEK DASHBOARD'!$B$4="Area",IF(611&lt;=$N$3,IF(AND(OR('MIDWEEK DASHBOARD'!$C$4="",ISNUMBER(SEARCH('MIDWEEK DASHBOARD'!$C$4,INDEX(MASTER_AREAS!$B:$B,612))))),611,""),""),IF('MIDWEEK DASHBOARD'!$B$4="Zone",IF(611&lt;=$N$4,IF(OR('MIDWEEK DASHBOARD'!$C$4="",ISNUMBER(SEARCH('MIDWEEK DASHBOARD'!$C$4,INDEX(MASTER_ZONES!$B:$B,612)))),611,""),""),""))</f>
        <v/>
      </c>
      <c r="P612">
        <f>IF('CHOP DASHBOARD'!$B$4="Area",IF(611&lt;=$S$3,IF(AND(OR('CHOP DASHBOARD'!$C$4="",ISNUMBER(SEARCH('CHOP DASHBOARD'!$C$4,INDEX(MASTER_AREAS!$B:$B,612))))),611,""),""),IF('CHOP DASHBOARD'!$B$4="Zone",IF(611&lt;=$S$4,IF(OR('CHOP DASHBOARD'!$C$4="",ISNUMBER(SEARCH('CHOP DASHBOARD'!$C$4,INDEX(MASTER_ZONES!$B:$B,612)))),611,""),""),""))</f>
        <v/>
      </c>
      <c r="U612">
        <f>IF('COMMUNITY CHURCH DASHBOARD'!$B$4="Area",IF(611&lt;=$X$3,IF(AND(OR('COMMUNITY CHURCH DASHBOARD'!$C$4="",ISNUMBER(SEARCH('COMMUNITY CHURCH DASHBOARD'!$C$4,INDEX(MASTER_AREAS!$B:$B,612))))),611,""),""),IF('COMMUNITY CHURCH DASHBOARD'!$B$4="Zone",IF(611&lt;=$X$4,IF(OR('COMMUNITY CHURCH DASHBOARD'!$C$4="",ISNUMBER(SEARCH('COMMUNITY CHURCH DASHBOARD'!$C$4,INDEX(MASTER_ZONES!$B:$B,612)))),611,""),""),""))</f>
        <v/>
      </c>
    </row>
    <row r="613">
      <c r="A613">
        <f>IF('WSF DASHBOARD'!$B$4="Area",IF(612&lt;=$D$3,IF(AND(OR('WSF DASHBOARD'!$C$4="",ISNUMBER(SEARCH('WSF DASHBOARD'!$C$4,INDEX(MASTER_AREAS!$B:$B,613))))),612,""),""),IF('WSF DASHBOARD'!$B$4="Zone",IF(612&lt;=$D$4,IF(OR('WSF DASHBOARD'!$C$4="",ISNUMBER(SEARCH('WSF DASHBOARD'!$C$4,INDEX(MASTER_ZONES!$B:$B,613)))),612,""),""),""))</f>
        <v/>
      </c>
      <c r="F613">
        <f>IF('TRANSPORT DASHBOARD'!$B$4="Area",IF(612&lt;=$I$3,IF(AND(INDEX(MASTER_AREAS!$F:$F,613)&lt;&gt;"N",OR('TRANSPORT DASHBOARD'!$C$4="",ISNUMBER(SEARCH('TRANSPORT DASHBOARD'!$C$4,INDEX(MASTER_AREAS!$B:$B,613))))),612,""),""),IF('TRANSPORT DASHBOARD'!$B$4="Zone",IF(612&lt;=$I$4,IF(OR('TRANSPORT DASHBOARD'!$C$4="",ISNUMBER(SEARCH('TRANSPORT DASHBOARD'!$C$4,INDEX(MASTER_ZONES!$B:$B,613)))),612,""),""),""))</f>
        <v/>
      </c>
      <c r="K613">
        <f>IF('MIDWEEK DASHBOARD'!$B$4="Area",IF(612&lt;=$N$3,IF(AND(OR('MIDWEEK DASHBOARD'!$C$4="",ISNUMBER(SEARCH('MIDWEEK DASHBOARD'!$C$4,INDEX(MASTER_AREAS!$B:$B,613))))),612,""),""),IF('MIDWEEK DASHBOARD'!$B$4="Zone",IF(612&lt;=$N$4,IF(OR('MIDWEEK DASHBOARD'!$C$4="",ISNUMBER(SEARCH('MIDWEEK DASHBOARD'!$C$4,INDEX(MASTER_ZONES!$B:$B,613)))),612,""),""),""))</f>
        <v/>
      </c>
      <c r="P613">
        <f>IF('CHOP DASHBOARD'!$B$4="Area",IF(612&lt;=$S$3,IF(AND(OR('CHOP DASHBOARD'!$C$4="",ISNUMBER(SEARCH('CHOP DASHBOARD'!$C$4,INDEX(MASTER_AREAS!$B:$B,613))))),612,""),""),IF('CHOP DASHBOARD'!$B$4="Zone",IF(612&lt;=$S$4,IF(OR('CHOP DASHBOARD'!$C$4="",ISNUMBER(SEARCH('CHOP DASHBOARD'!$C$4,INDEX(MASTER_ZONES!$B:$B,613)))),612,""),""),""))</f>
        <v/>
      </c>
      <c r="U613">
        <f>IF('COMMUNITY CHURCH DASHBOARD'!$B$4="Area",IF(612&lt;=$X$3,IF(AND(OR('COMMUNITY CHURCH DASHBOARD'!$C$4="",ISNUMBER(SEARCH('COMMUNITY CHURCH DASHBOARD'!$C$4,INDEX(MASTER_AREAS!$B:$B,613))))),612,""),""),IF('COMMUNITY CHURCH DASHBOARD'!$B$4="Zone",IF(612&lt;=$X$4,IF(OR('COMMUNITY CHURCH DASHBOARD'!$C$4="",ISNUMBER(SEARCH('COMMUNITY CHURCH DASHBOARD'!$C$4,INDEX(MASTER_ZONES!$B:$B,613)))),612,""),""),""))</f>
        <v/>
      </c>
    </row>
    <row r="614">
      <c r="A614">
        <f>IF('WSF DASHBOARD'!$B$4="Area",IF(613&lt;=$D$3,IF(AND(OR('WSF DASHBOARD'!$C$4="",ISNUMBER(SEARCH('WSF DASHBOARD'!$C$4,INDEX(MASTER_AREAS!$B:$B,614))))),613,""),""),IF('WSF DASHBOARD'!$B$4="Zone",IF(613&lt;=$D$4,IF(OR('WSF DASHBOARD'!$C$4="",ISNUMBER(SEARCH('WSF DASHBOARD'!$C$4,INDEX(MASTER_ZONES!$B:$B,614)))),613,""),""),""))</f>
        <v/>
      </c>
      <c r="F614">
        <f>IF('TRANSPORT DASHBOARD'!$B$4="Area",IF(613&lt;=$I$3,IF(AND(INDEX(MASTER_AREAS!$F:$F,614)&lt;&gt;"N",OR('TRANSPORT DASHBOARD'!$C$4="",ISNUMBER(SEARCH('TRANSPORT DASHBOARD'!$C$4,INDEX(MASTER_AREAS!$B:$B,614))))),613,""),""),IF('TRANSPORT DASHBOARD'!$B$4="Zone",IF(613&lt;=$I$4,IF(OR('TRANSPORT DASHBOARD'!$C$4="",ISNUMBER(SEARCH('TRANSPORT DASHBOARD'!$C$4,INDEX(MASTER_ZONES!$B:$B,614)))),613,""),""),""))</f>
        <v/>
      </c>
      <c r="K614">
        <f>IF('MIDWEEK DASHBOARD'!$B$4="Area",IF(613&lt;=$N$3,IF(AND(OR('MIDWEEK DASHBOARD'!$C$4="",ISNUMBER(SEARCH('MIDWEEK DASHBOARD'!$C$4,INDEX(MASTER_AREAS!$B:$B,614))))),613,""),""),IF('MIDWEEK DASHBOARD'!$B$4="Zone",IF(613&lt;=$N$4,IF(OR('MIDWEEK DASHBOARD'!$C$4="",ISNUMBER(SEARCH('MIDWEEK DASHBOARD'!$C$4,INDEX(MASTER_ZONES!$B:$B,614)))),613,""),""),""))</f>
        <v/>
      </c>
      <c r="P614">
        <f>IF('CHOP DASHBOARD'!$B$4="Area",IF(613&lt;=$S$3,IF(AND(OR('CHOP DASHBOARD'!$C$4="",ISNUMBER(SEARCH('CHOP DASHBOARD'!$C$4,INDEX(MASTER_AREAS!$B:$B,614))))),613,""),""),IF('CHOP DASHBOARD'!$B$4="Zone",IF(613&lt;=$S$4,IF(OR('CHOP DASHBOARD'!$C$4="",ISNUMBER(SEARCH('CHOP DASHBOARD'!$C$4,INDEX(MASTER_ZONES!$B:$B,614)))),613,""),""),""))</f>
        <v/>
      </c>
      <c r="U614">
        <f>IF('COMMUNITY CHURCH DASHBOARD'!$B$4="Area",IF(613&lt;=$X$3,IF(AND(OR('COMMUNITY CHURCH DASHBOARD'!$C$4="",ISNUMBER(SEARCH('COMMUNITY CHURCH DASHBOARD'!$C$4,INDEX(MASTER_AREAS!$B:$B,614))))),613,""),""),IF('COMMUNITY CHURCH DASHBOARD'!$B$4="Zone",IF(613&lt;=$X$4,IF(OR('COMMUNITY CHURCH DASHBOARD'!$C$4="",ISNUMBER(SEARCH('COMMUNITY CHURCH DASHBOARD'!$C$4,INDEX(MASTER_ZONES!$B:$B,614)))),613,""),""),""))</f>
        <v/>
      </c>
    </row>
    <row r="615">
      <c r="A615">
        <f>IF('WSF DASHBOARD'!$B$4="Area",IF(614&lt;=$D$3,IF(AND(OR('WSF DASHBOARD'!$C$4="",ISNUMBER(SEARCH('WSF DASHBOARD'!$C$4,INDEX(MASTER_AREAS!$B:$B,615))))),614,""),""),IF('WSF DASHBOARD'!$B$4="Zone",IF(614&lt;=$D$4,IF(OR('WSF DASHBOARD'!$C$4="",ISNUMBER(SEARCH('WSF DASHBOARD'!$C$4,INDEX(MASTER_ZONES!$B:$B,615)))),614,""),""),""))</f>
        <v/>
      </c>
      <c r="F615">
        <f>IF('TRANSPORT DASHBOARD'!$B$4="Area",IF(614&lt;=$I$3,IF(AND(INDEX(MASTER_AREAS!$F:$F,615)&lt;&gt;"N",OR('TRANSPORT DASHBOARD'!$C$4="",ISNUMBER(SEARCH('TRANSPORT DASHBOARD'!$C$4,INDEX(MASTER_AREAS!$B:$B,615))))),614,""),""),IF('TRANSPORT DASHBOARD'!$B$4="Zone",IF(614&lt;=$I$4,IF(OR('TRANSPORT DASHBOARD'!$C$4="",ISNUMBER(SEARCH('TRANSPORT DASHBOARD'!$C$4,INDEX(MASTER_ZONES!$B:$B,615)))),614,""),""),""))</f>
        <v/>
      </c>
      <c r="K615">
        <f>IF('MIDWEEK DASHBOARD'!$B$4="Area",IF(614&lt;=$N$3,IF(AND(OR('MIDWEEK DASHBOARD'!$C$4="",ISNUMBER(SEARCH('MIDWEEK DASHBOARD'!$C$4,INDEX(MASTER_AREAS!$B:$B,615))))),614,""),""),IF('MIDWEEK DASHBOARD'!$B$4="Zone",IF(614&lt;=$N$4,IF(OR('MIDWEEK DASHBOARD'!$C$4="",ISNUMBER(SEARCH('MIDWEEK DASHBOARD'!$C$4,INDEX(MASTER_ZONES!$B:$B,615)))),614,""),""),""))</f>
        <v/>
      </c>
      <c r="P615">
        <f>IF('CHOP DASHBOARD'!$B$4="Area",IF(614&lt;=$S$3,IF(AND(OR('CHOP DASHBOARD'!$C$4="",ISNUMBER(SEARCH('CHOP DASHBOARD'!$C$4,INDEX(MASTER_AREAS!$B:$B,615))))),614,""),""),IF('CHOP DASHBOARD'!$B$4="Zone",IF(614&lt;=$S$4,IF(OR('CHOP DASHBOARD'!$C$4="",ISNUMBER(SEARCH('CHOP DASHBOARD'!$C$4,INDEX(MASTER_ZONES!$B:$B,615)))),614,""),""),""))</f>
        <v/>
      </c>
      <c r="U615">
        <f>IF('COMMUNITY CHURCH DASHBOARD'!$B$4="Area",IF(614&lt;=$X$3,IF(AND(OR('COMMUNITY CHURCH DASHBOARD'!$C$4="",ISNUMBER(SEARCH('COMMUNITY CHURCH DASHBOARD'!$C$4,INDEX(MASTER_AREAS!$B:$B,615))))),614,""),""),IF('COMMUNITY CHURCH DASHBOARD'!$B$4="Zone",IF(614&lt;=$X$4,IF(OR('COMMUNITY CHURCH DASHBOARD'!$C$4="",ISNUMBER(SEARCH('COMMUNITY CHURCH DASHBOARD'!$C$4,INDEX(MASTER_ZONES!$B:$B,615)))),614,""),""),""))</f>
        <v/>
      </c>
    </row>
    <row r="616">
      <c r="A616">
        <f>IF('WSF DASHBOARD'!$B$4="Area",IF(615&lt;=$D$3,IF(AND(OR('WSF DASHBOARD'!$C$4="",ISNUMBER(SEARCH('WSF DASHBOARD'!$C$4,INDEX(MASTER_AREAS!$B:$B,616))))),615,""),""),IF('WSF DASHBOARD'!$B$4="Zone",IF(615&lt;=$D$4,IF(OR('WSF DASHBOARD'!$C$4="",ISNUMBER(SEARCH('WSF DASHBOARD'!$C$4,INDEX(MASTER_ZONES!$B:$B,616)))),615,""),""),""))</f>
        <v/>
      </c>
      <c r="F616">
        <f>IF('TRANSPORT DASHBOARD'!$B$4="Area",IF(615&lt;=$I$3,IF(AND(INDEX(MASTER_AREAS!$F:$F,616)&lt;&gt;"N",OR('TRANSPORT DASHBOARD'!$C$4="",ISNUMBER(SEARCH('TRANSPORT DASHBOARD'!$C$4,INDEX(MASTER_AREAS!$B:$B,616))))),615,""),""),IF('TRANSPORT DASHBOARD'!$B$4="Zone",IF(615&lt;=$I$4,IF(OR('TRANSPORT DASHBOARD'!$C$4="",ISNUMBER(SEARCH('TRANSPORT DASHBOARD'!$C$4,INDEX(MASTER_ZONES!$B:$B,616)))),615,""),""),""))</f>
        <v/>
      </c>
      <c r="K616">
        <f>IF('MIDWEEK DASHBOARD'!$B$4="Area",IF(615&lt;=$N$3,IF(AND(OR('MIDWEEK DASHBOARD'!$C$4="",ISNUMBER(SEARCH('MIDWEEK DASHBOARD'!$C$4,INDEX(MASTER_AREAS!$B:$B,616))))),615,""),""),IF('MIDWEEK DASHBOARD'!$B$4="Zone",IF(615&lt;=$N$4,IF(OR('MIDWEEK DASHBOARD'!$C$4="",ISNUMBER(SEARCH('MIDWEEK DASHBOARD'!$C$4,INDEX(MASTER_ZONES!$B:$B,616)))),615,""),""),""))</f>
        <v/>
      </c>
      <c r="P616">
        <f>IF('CHOP DASHBOARD'!$B$4="Area",IF(615&lt;=$S$3,IF(AND(OR('CHOP DASHBOARD'!$C$4="",ISNUMBER(SEARCH('CHOP DASHBOARD'!$C$4,INDEX(MASTER_AREAS!$B:$B,616))))),615,""),""),IF('CHOP DASHBOARD'!$B$4="Zone",IF(615&lt;=$S$4,IF(OR('CHOP DASHBOARD'!$C$4="",ISNUMBER(SEARCH('CHOP DASHBOARD'!$C$4,INDEX(MASTER_ZONES!$B:$B,616)))),615,""),""),""))</f>
        <v/>
      </c>
      <c r="U616">
        <f>IF('COMMUNITY CHURCH DASHBOARD'!$B$4="Area",IF(615&lt;=$X$3,IF(AND(OR('COMMUNITY CHURCH DASHBOARD'!$C$4="",ISNUMBER(SEARCH('COMMUNITY CHURCH DASHBOARD'!$C$4,INDEX(MASTER_AREAS!$B:$B,616))))),615,""),""),IF('COMMUNITY CHURCH DASHBOARD'!$B$4="Zone",IF(615&lt;=$X$4,IF(OR('COMMUNITY CHURCH DASHBOARD'!$C$4="",ISNUMBER(SEARCH('COMMUNITY CHURCH DASHBOARD'!$C$4,INDEX(MASTER_ZONES!$B:$B,616)))),615,""),""),""))</f>
        <v/>
      </c>
    </row>
    <row r="617">
      <c r="A617">
        <f>IF('WSF DASHBOARD'!$B$4="Area",IF(616&lt;=$D$3,IF(AND(OR('WSF DASHBOARD'!$C$4="",ISNUMBER(SEARCH('WSF DASHBOARD'!$C$4,INDEX(MASTER_AREAS!$B:$B,617))))),616,""),""),IF('WSF DASHBOARD'!$B$4="Zone",IF(616&lt;=$D$4,IF(OR('WSF DASHBOARD'!$C$4="",ISNUMBER(SEARCH('WSF DASHBOARD'!$C$4,INDEX(MASTER_ZONES!$B:$B,617)))),616,""),""),""))</f>
        <v/>
      </c>
      <c r="F617">
        <f>IF('TRANSPORT DASHBOARD'!$B$4="Area",IF(616&lt;=$I$3,IF(AND(INDEX(MASTER_AREAS!$F:$F,617)&lt;&gt;"N",OR('TRANSPORT DASHBOARD'!$C$4="",ISNUMBER(SEARCH('TRANSPORT DASHBOARD'!$C$4,INDEX(MASTER_AREAS!$B:$B,617))))),616,""),""),IF('TRANSPORT DASHBOARD'!$B$4="Zone",IF(616&lt;=$I$4,IF(OR('TRANSPORT DASHBOARD'!$C$4="",ISNUMBER(SEARCH('TRANSPORT DASHBOARD'!$C$4,INDEX(MASTER_ZONES!$B:$B,617)))),616,""),""),""))</f>
        <v/>
      </c>
      <c r="K617">
        <f>IF('MIDWEEK DASHBOARD'!$B$4="Area",IF(616&lt;=$N$3,IF(AND(OR('MIDWEEK DASHBOARD'!$C$4="",ISNUMBER(SEARCH('MIDWEEK DASHBOARD'!$C$4,INDEX(MASTER_AREAS!$B:$B,617))))),616,""),""),IF('MIDWEEK DASHBOARD'!$B$4="Zone",IF(616&lt;=$N$4,IF(OR('MIDWEEK DASHBOARD'!$C$4="",ISNUMBER(SEARCH('MIDWEEK DASHBOARD'!$C$4,INDEX(MASTER_ZONES!$B:$B,617)))),616,""),""),""))</f>
        <v/>
      </c>
      <c r="P617">
        <f>IF('CHOP DASHBOARD'!$B$4="Area",IF(616&lt;=$S$3,IF(AND(OR('CHOP DASHBOARD'!$C$4="",ISNUMBER(SEARCH('CHOP DASHBOARD'!$C$4,INDEX(MASTER_AREAS!$B:$B,617))))),616,""),""),IF('CHOP DASHBOARD'!$B$4="Zone",IF(616&lt;=$S$4,IF(OR('CHOP DASHBOARD'!$C$4="",ISNUMBER(SEARCH('CHOP DASHBOARD'!$C$4,INDEX(MASTER_ZONES!$B:$B,617)))),616,""),""),""))</f>
        <v/>
      </c>
      <c r="U617">
        <f>IF('COMMUNITY CHURCH DASHBOARD'!$B$4="Area",IF(616&lt;=$X$3,IF(AND(OR('COMMUNITY CHURCH DASHBOARD'!$C$4="",ISNUMBER(SEARCH('COMMUNITY CHURCH DASHBOARD'!$C$4,INDEX(MASTER_AREAS!$B:$B,617))))),616,""),""),IF('COMMUNITY CHURCH DASHBOARD'!$B$4="Zone",IF(616&lt;=$X$4,IF(OR('COMMUNITY CHURCH DASHBOARD'!$C$4="",ISNUMBER(SEARCH('COMMUNITY CHURCH DASHBOARD'!$C$4,INDEX(MASTER_ZONES!$B:$B,617)))),616,""),""),""))</f>
        <v/>
      </c>
    </row>
    <row r="618">
      <c r="A618">
        <f>IF('WSF DASHBOARD'!$B$4="Area",IF(617&lt;=$D$3,IF(AND(OR('WSF DASHBOARD'!$C$4="",ISNUMBER(SEARCH('WSF DASHBOARD'!$C$4,INDEX(MASTER_AREAS!$B:$B,618))))),617,""),""),IF('WSF DASHBOARD'!$B$4="Zone",IF(617&lt;=$D$4,IF(OR('WSF DASHBOARD'!$C$4="",ISNUMBER(SEARCH('WSF DASHBOARD'!$C$4,INDEX(MASTER_ZONES!$B:$B,618)))),617,""),""),""))</f>
        <v/>
      </c>
      <c r="F618">
        <f>IF('TRANSPORT DASHBOARD'!$B$4="Area",IF(617&lt;=$I$3,IF(AND(INDEX(MASTER_AREAS!$F:$F,618)&lt;&gt;"N",OR('TRANSPORT DASHBOARD'!$C$4="",ISNUMBER(SEARCH('TRANSPORT DASHBOARD'!$C$4,INDEX(MASTER_AREAS!$B:$B,618))))),617,""),""),IF('TRANSPORT DASHBOARD'!$B$4="Zone",IF(617&lt;=$I$4,IF(OR('TRANSPORT DASHBOARD'!$C$4="",ISNUMBER(SEARCH('TRANSPORT DASHBOARD'!$C$4,INDEX(MASTER_ZONES!$B:$B,618)))),617,""),""),""))</f>
        <v/>
      </c>
      <c r="K618">
        <f>IF('MIDWEEK DASHBOARD'!$B$4="Area",IF(617&lt;=$N$3,IF(AND(OR('MIDWEEK DASHBOARD'!$C$4="",ISNUMBER(SEARCH('MIDWEEK DASHBOARD'!$C$4,INDEX(MASTER_AREAS!$B:$B,618))))),617,""),""),IF('MIDWEEK DASHBOARD'!$B$4="Zone",IF(617&lt;=$N$4,IF(OR('MIDWEEK DASHBOARD'!$C$4="",ISNUMBER(SEARCH('MIDWEEK DASHBOARD'!$C$4,INDEX(MASTER_ZONES!$B:$B,618)))),617,""),""),""))</f>
        <v/>
      </c>
      <c r="P618">
        <f>IF('CHOP DASHBOARD'!$B$4="Area",IF(617&lt;=$S$3,IF(AND(OR('CHOP DASHBOARD'!$C$4="",ISNUMBER(SEARCH('CHOP DASHBOARD'!$C$4,INDEX(MASTER_AREAS!$B:$B,618))))),617,""),""),IF('CHOP DASHBOARD'!$B$4="Zone",IF(617&lt;=$S$4,IF(OR('CHOP DASHBOARD'!$C$4="",ISNUMBER(SEARCH('CHOP DASHBOARD'!$C$4,INDEX(MASTER_ZONES!$B:$B,618)))),617,""),""),""))</f>
        <v/>
      </c>
      <c r="U618">
        <f>IF('COMMUNITY CHURCH DASHBOARD'!$B$4="Area",IF(617&lt;=$X$3,IF(AND(OR('COMMUNITY CHURCH DASHBOARD'!$C$4="",ISNUMBER(SEARCH('COMMUNITY CHURCH DASHBOARD'!$C$4,INDEX(MASTER_AREAS!$B:$B,618))))),617,""),""),IF('COMMUNITY CHURCH DASHBOARD'!$B$4="Zone",IF(617&lt;=$X$4,IF(OR('COMMUNITY CHURCH DASHBOARD'!$C$4="",ISNUMBER(SEARCH('COMMUNITY CHURCH DASHBOARD'!$C$4,INDEX(MASTER_ZONES!$B:$B,618)))),617,""),""),""))</f>
        <v/>
      </c>
    </row>
    <row r="619">
      <c r="A619">
        <f>IF('WSF DASHBOARD'!$B$4="Area",IF(618&lt;=$D$3,IF(AND(OR('WSF DASHBOARD'!$C$4="",ISNUMBER(SEARCH('WSF DASHBOARD'!$C$4,INDEX(MASTER_AREAS!$B:$B,619))))),618,""),""),IF('WSF DASHBOARD'!$B$4="Zone",IF(618&lt;=$D$4,IF(OR('WSF DASHBOARD'!$C$4="",ISNUMBER(SEARCH('WSF DASHBOARD'!$C$4,INDEX(MASTER_ZONES!$B:$B,619)))),618,""),""),""))</f>
        <v/>
      </c>
      <c r="F619">
        <f>IF('TRANSPORT DASHBOARD'!$B$4="Area",IF(618&lt;=$I$3,IF(AND(INDEX(MASTER_AREAS!$F:$F,619)&lt;&gt;"N",OR('TRANSPORT DASHBOARD'!$C$4="",ISNUMBER(SEARCH('TRANSPORT DASHBOARD'!$C$4,INDEX(MASTER_AREAS!$B:$B,619))))),618,""),""),IF('TRANSPORT DASHBOARD'!$B$4="Zone",IF(618&lt;=$I$4,IF(OR('TRANSPORT DASHBOARD'!$C$4="",ISNUMBER(SEARCH('TRANSPORT DASHBOARD'!$C$4,INDEX(MASTER_ZONES!$B:$B,619)))),618,""),""),""))</f>
        <v/>
      </c>
      <c r="K619">
        <f>IF('MIDWEEK DASHBOARD'!$B$4="Area",IF(618&lt;=$N$3,IF(AND(OR('MIDWEEK DASHBOARD'!$C$4="",ISNUMBER(SEARCH('MIDWEEK DASHBOARD'!$C$4,INDEX(MASTER_AREAS!$B:$B,619))))),618,""),""),IF('MIDWEEK DASHBOARD'!$B$4="Zone",IF(618&lt;=$N$4,IF(OR('MIDWEEK DASHBOARD'!$C$4="",ISNUMBER(SEARCH('MIDWEEK DASHBOARD'!$C$4,INDEX(MASTER_ZONES!$B:$B,619)))),618,""),""),""))</f>
        <v/>
      </c>
      <c r="P619">
        <f>IF('CHOP DASHBOARD'!$B$4="Area",IF(618&lt;=$S$3,IF(AND(OR('CHOP DASHBOARD'!$C$4="",ISNUMBER(SEARCH('CHOP DASHBOARD'!$C$4,INDEX(MASTER_AREAS!$B:$B,619))))),618,""),""),IF('CHOP DASHBOARD'!$B$4="Zone",IF(618&lt;=$S$4,IF(OR('CHOP DASHBOARD'!$C$4="",ISNUMBER(SEARCH('CHOP DASHBOARD'!$C$4,INDEX(MASTER_ZONES!$B:$B,619)))),618,""),""),""))</f>
        <v/>
      </c>
      <c r="U619">
        <f>IF('COMMUNITY CHURCH DASHBOARD'!$B$4="Area",IF(618&lt;=$X$3,IF(AND(OR('COMMUNITY CHURCH DASHBOARD'!$C$4="",ISNUMBER(SEARCH('COMMUNITY CHURCH DASHBOARD'!$C$4,INDEX(MASTER_AREAS!$B:$B,619))))),618,""),""),IF('COMMUNITY CHURCH DASHBOARD'!$B$4="Zone",IF(618&lt;=$X$4,IF(OR('COMMUNITY CHURCH DASHBOARD'!$C$4="",ISNUMBER(SEARCH('COMMUNITY CHURCH DASHBOARD'!$C$4,INDEX(MASTER_ZONES!$B:$B,619)))),618,""),""),""))</f>
        <v/>
      </c>
    </row>
    <row r="620">
      <c r="A620">
        <f>IF('WSF DASHBOARD'!$B$4="Area",IF(619&lt;=$D$3,IF(AND(OR('WSF DASHBOARD'!$C$4="",ISNUMBER(SEARCH('WSF DASHBOARD'!$C$4,INDEX(MASTER_AREAS!$B:$B,620))))),619,""),""),IF('WSF DASHBOARD'!$B$4="Zone",IF(619&lt;=$D$4,IF(OR('WSF DASHBOARD'!$C$4="",ISNUMBER(SEARCH('WSF DASHBOARD'!$C$4,INDEX(MASTER_ZONES!$B:$B,620)))),619,""),""),""))</f>
        <v/>
      </c>
      <c r="F620">
        <f>IF('TRANSPORT DASHBOARD'!$B$4="Area",IF(619&lt;=$I$3,IF(AND(INDEX(MASTER_AREAS!$F:$F,620)&lt;&gt;"N",OR('TRANSPORT DASHBOARD'!$C$4="",ISNUMBER(SEARCH('TRANSPORT DASHBOARD'!$C$4,INDEX(MASTER_AREAS!$B:$B,620))))),619,""),""),IF('TRANSPORT DASHBOARD'!$B$4="Zone",IF(619&lt;=$I$4,IF(OR('TRANSPORT DASHBOARD'!$C$4="",ISNUMBER(SEARCH('TRANSPORT DASHBOARD'!$C$4,INDEX(MASTER_ZONES!$B:$B,620)))),619,""),""),""))</f>
        <v/>
      </c>
      <c r="K620">
        <f>IF('MIDWEEK DASHBOARD'!$B$4="Area",IF(619&lt;=$N$3,IF(AND(OR('MIDWEEK DASHBOARD'!$C$4="",ISNUMBER(SEARCH('MIDWEEK DASHBOARD'!$C$4,INDEX(MASTER_AREAS!$B:$B,620))))),619,""),""),IF('MIDWEEK DASHBOARD'!$B$4="Zone",IF(619&lt;=$N$4,IF(OR('MIDWEEK DASHBOARD'!$C$4="",ISNUMBER(SEARCH('MIDWEEK DASHBOARD'!$C$4,INDEX(MASTER_ZONES!$B:$B,620)))),619,""),""),""))</f>
        <v/>
      </c>
      <c r="P620">
        <f>IF('CHOP DASHBOARD'!$B$4="Area",IF(619&lt;=$S$3,IF(AND(OR('CHOP DASHBOARD'!$C$4="",ISNUMBER(SEARCH('CHOP DASHBOARD'!$C$4,INDEX(MASTER_AREAS!$B:$B,620))))),619,""),""),IF('CHOP DASHBOARD'!$B$4="Zone",IF(619&lt;=$S$4,IF(OR('CHOP DASHBOARD'!$C$4="",ISNUMBER(SEARCH('CHOP DASHBOARD'!$C$4,INDEX(MASTER_ZONES!$B:$B,620)))),619,""),""),""))</f>
        <v/>
      </c>
      <c r="U620">
        <f>IF('COMMUNITY CHURCH DASHBOARD'!$B$4="Area",IF(619&lt;=$X$3,IF(AND(OR('COMMUNITY CHURCH DASHBOARD'!$C$4="",ISNUMBER(SEARCH('COMMUNITY CHURCH DASHBOARD'!$C$4,INDEX(MASTER_AREAS!$B:$B,620))))),619,""),""),IF('COMMUNITY CHURCH DASHBOARD'!$B$4="Zone",IF(619&lt;=$X$4,IF(OR('COMMUNITY CHURCH DASHBOARD'!$C$4="",ISNUMBER(SEARCH('COMMUNITY CHURCH DASHBOARD'!$C$4,INDEX(MASTER_ZONES!$B:$B,620)))),619,""),""),""))</f>
        <v/>
      </c>
    </row>
    <row r="621">
      <c r="A621">
        <f>IF('WSF DASHBOARD'!$B$4="Area",IF(620&lt;=$D$3,IF(AND(OR('WSF DASHBOARD'!$C$4="",ISNUMBER(SEARCH('WSF DASHBOARD'!$C$4,INDEX(MASTER_AREAS!$B:$B,621))))),620,""),""),IF('WSF DASHBOARD'!$B$4="Zone",IF(620&lt;=$D$4,IF(OR('WSF DASHBOARD'!$C$4="",ISNUMBER(SEARCH('WSF DASHBOARD'!$C$4,INDEX(MASTER_ZONES!$B:$B,621)))),620,""),""),""))</f>
        <v/>
      </c>
      <c r="F621">
        <f>IF('TRANSPORT DASHBOARD'!$B$4="Area",IF(620&lt;=$I$3,IF(AND(INDEX(MASTER_AREAS!$F:$F,621)&lt;&gt;"N",OR('TRANSPORT DASHBOARD'!$C$4="",ISNUMBER(SEARCH('TRANSPORT DASHBOARD'!$C$4,INDEX(MASTER_AREAS!$B:$B,621))))),620,""),""),IF('TRANSPORT DASHBOARD'!$B$4="Zone",IF(620&lt;=$I$4,IF(OR('TRANSPORT DASHBOARD'!$C$4="",ISNUMBER(SEARCH('TRANSPORT DASHBOARD'!$C$4,INDEX(MASTER_ZONES!$B:$B,621)))),620,""),""),""))</f>
        <v/>
      </c>
      <c r="K621">
        <f>IF('MIDWEEK DASHBOARD'!$B$4="Area",IF(620&lt;=$N$3,IF(AND(OR('MIDWEEK DASHBOARD'!$C$4="",ISNUMBER(SEARCH('MIDWEEK DASHBOARD'!$C$4,INDEX(MASTER_AREAS!$B:$B,621))))),620,""),""),IF('MIDWEEK DASHBOARD'!$B$4="Zone",IF(620&lt;=$N$4,IF(OR('MIDWEEK DASHBOARD'!$C$4="",ISNUMBER(SEARCH('MIDWEEK DASHBOARD'!$C$4,INDEX(MASTER_ZONES!$B:$B,621)))),620,""),""),""))</f>
        <v/>
      </c>
      <c r="P621">
        <f>IF('CHOP DASHBOARD'!$B$4="Area",IF(620&lt;=$S$3,IF(AND(OR('CHOP DASHBOARD'!$C$4="",ISNUMBER(SEARCH('CHOP DASHBOARD'!$C$4,INDEX(MASTER_AREAS!$B:$B,621))))),620,""),""),IF('CHOP DASHBOARD'!$B$4="Zone",IF(620&lt;=$S$4,IF(OR('CHOP DASHBOARD'!$C$4="",ISNUMBER(SEARCH('CHOP DASHBOARD'!$C$4,INDEX(MASTER_ZONES!$B:$B,621)))),620,""),""),""))</f>
        <v/>
      </c>
      <c r="U621">
        <f>IF('COMMUNITY CHURCH DASHBOARD'!$B$4="Area",IF(620&lt;=$X$3,IF(AND(OR('COMMUNITY CHURCH DASHBOARD'!$C$4="",ISNUMBER(SEARCH('COMMUNITY CHURCH DASHBOARD'!$C$4,INDEX(MASTER_AREAS!$B:$B,621))))),620,""),""),IF('COMMUNITY CHURCH DASHBOARD'!$B$4="Zone",IF(620&lt;=$X$4,IF(OR('COMMUNITY CHURCH DASHBOARD'!$C$4="",ISNUMBER(SEARCH('COMMUNITY CHURCH DASHBOARD'!$C$4,INDEX(MASTER_ZONES!$B:$B,621)))),620,""),""),""))</f>
        <v/>
      </c>
    </row>
    <row r="622">
      <c r="A622">
        <f>IF('WSF DASHBOARD'!$B$4="Area",IF(621&lt;=$D$3,IF(AND(OR('WSF DASHBOARD'!$C$4="",ISNUMBER(SEARCH('WSF DASHBOARD'!$C$4,INDEX(MASTER_AREAS!$B:$B,622))))),621,""),""),IF('WSF DASHBOARD'!$B$4="Zone",IF(621&lt;=$D$4,IF(OR('WSF DASHBOARD'!$C$4="",ISNUMBER(SEARCH('WSF DASHBOARD'!$C$4,INDEX(MASTER_ZONES!$B:$B,622)))),621,""),""),""))</f>
        <v/>
      </c>
      <c r="F622">
        <f>IF('TRANSPORT DASHBOARD'!$B$4="Area",IF(621&lt;=$I$3,IF(AND(INDEX(MASTER_AREAS!$F:$F,622)&lt;&gt;"N",OR('TRANSPORT DASHBOARD'!$C$4="",ISNUMBER(SEARCH('TRANSPORT DASHBOARD'!$C$4,INDEX(MASTER_AREAS!$B:$B,622))))),621,""),""),IF('TRANSPORT DASHBOARD'!$B$4="Zone",IF(621&lt;=$I$4,IF(OR('TRANSPORT DASHBOARD'!$C$4="",ISNUMBER(SEARCH('TRANSPORT DASHBOARD'!$C$4,INDEX(MASTER_ZONES!$B:$B,622)))),621,""),""),""))</f>
        <v/>
      </c>
      <c r="K622">
        <f>IF('MIDWEEK DASHBOARD'!$B$4="Area",IF(621&lt;=$N$3,IF(AND(OR('MIDWEEK DASHBOARD'!$C$4="",ISNUMBER(SEARCH('MIDWEEK DASHBOARD'!$C$4,INDEX(MASTER_AREAS!$B:$B,622))))),621,""),""),IF('MIDWEEK DASHBOARD'!$B$4="Zone",IF(621&lt;=$N$4,IF(OR('MIDWEEK DASHBOARD'!$C$4="",ISNUMBER(SEARCH('MIDWEEK DASHBOARD'!$C$4,INDEX(MASTER_ZONES!$B:$B,622)))),621,""),""),""))</f>
        <v/>
      </c>
      <c r="P622">
        <f>IF('CHOP DASHBOARD'!$B$4="Area",IF(621&lt;=$S$3,IF(AND(OR('CHOP DASHBOARD'!$C$4="",ISNUMBER(SEARCH('CHOP DASHBOARD'!$C$4,INDEX(MASTER_AREAS!$B:$B,622))))),621,""),""),IF('CHOP DASHBOARD'!$B$4="Zone",IF(621&lt;=$S$4,IF(OR('CHOP DASHBOARD'!$C$4="",ISNUMBER(SEARCH('CHOP DASHBOARD'!$C$4,INDEX(MASTER_ZONES!$B:$B,622)))),621,""),""),""))</f>
        <v/>
      </c>
      <c r="U622">
        <f>IF('COMMUNITY CHURCH DASHBOARD'!$B$4="Area",IF(621&lt;=$X$3,IF(AND(OR('COMMUNITY CHURCH DASHBOARD'!$C$4="",ISNUMBER(SEARCH('COMMUNITY CHURCH DASHBOARD'!$C$4,INDEX(MASTER_AREAS!$B:$B,622))))),621,""),""),IF('COMMUNITY CHURCH DASHBOARD'!$B$4="Zone",IF(621&lt;=$X$4,IF(OR('COMMUNITY CHURCH DASHBOARD'!$C$4="",ISNUMBER(SEARCH('COMMUNITY CHURCH DASHBOARD'!$C$4,INDEX(MASTER_ZONES!$B:$B,622)))),621,""),""),""))</f>
        <v/>
      </c>
    </row>
    <row r="623">
      <c r="A623">
        <f>IF('WSF DASHBOARD'!$B$4="Area",IF(622&lt;=$D$3,IF(AND(OR('WSF DASHBOARD'!$C$4="",ISNUMBER(SEARCH('WSF DASHBOARD'!$C$4,INDEX(MASTER_AREAS!$B:$B,623))))),622,""),""),IF('WSF DASHBOARD'!$B$4="Zone",IF(622&lt;=$D$4,IF(OR('WSF DASHBOARD'!$C$4="",ISNUMBER(SEARCH('WSF DASHBOARD'!$C$4,INDEX(MASTER_ZONES!$B:$B,623)))),622,""),""),""))</f>
        <v/>
      </c>
      <c r="F623">
        <f>IF('TRANSPORT DASHBOARD'!$B$4="Area",IF(622&lt;=$I$3,IF(AND(INDEX(MASTER_AREAS!$F:$F,623)&lt;&gt;"N",OR('TRANSPORT DASHBOARD'!$C$4="",ISNUMBER(SEARCH('TRANSPORT DASHBOARD'!$C$4,INDEX(MASTER_AREAS!$B:$B,623))))),622,""),""),IF('TRANSPORT DASHBOARD'!$B$4="Zone",IF(622&lt;=$I$4,IF(OR('TRANSPORT DASHBOARD'!$C$4="",ISNUMBER(SEARCH('TRANSPORT DASHBOARD'!$C$4,INDEX(MASTER_ZONES!$B:$B,623)))),622,""),""),""))</f>
        <v/>
      </c>
      <c r="K623">
        <f>IF('MIDWEEK DASHBOARD'!$B$4="Area",IF(622&lt;=$N$3,IF(AND(OR('MIDWEEK DASHBOARD'!$C$4="",ISNUMBER(SEARCH('MIDWEEK DASHBOARD'!$C$4,INDEX(MASTER_AREAS!$B:$B,623))))),622,""),""),IF('MIDWEEK DASHBOARD'!$B$4="Zone",IF(622&lt;=$N$4,IF(OR('MIDWEEK DASHBOARD'!$C$4="",ISNUMBER(SEARCH('MIDWEEK DASHBOARD'!$C$4,INDEX(MASTER_ZONES!$B:$B,623)))),622,""),""),""))</f>
        <v/>
      </c>
      <c r="P623">
        <f>IF('CHOP DASHBOARD'!$B$4="Area",IF(622&lt;=$S$3,IF(AND(OR('CHOP DASHBOARD'!$C$4="",ISNUMBER(SEARCH('CHOP DASHBOARD'!$C$4,INDEX(MASTER_AREAS!$B:$B,623))))),622,""),""),IF('CHOP DASHBOARD'!$B$4="Zone",IF(622&lt;=$S$4,IF(OR('CHOP DASHBOARD'!$C$4="",ISNUMBER(SEARCH('CHOP DASHBOARD'!$C$4,INDEX(MASTER_ZONES!$B:$B,623)))),622,""),""),""))</f>
        <v/>
      </c>
      <c r="U623">
        <f>IF('COMMUNITY CHURCH DASHBOARD'!$B$4="Area",IF(622&lt;=$X$3,IF(AND(OR('COMMUNITY CHURCH DASHBOARD'!$C$4="",ISNUMBER(SEARCH('COMMUNITY CHURCH DASHBOARD'!$C$4,INDEX(MASTER_AREAS!$B:$B,623))))),622,""),""),IF('COMMUNITY CHURCH DASHBOARD'!$B$4="Zone",IF(622&lt;=$X$4,IF(OR('COMMUNITY CHURCH DASHBOARD'!$C$4="",ISNUMBER(SEARCH('COMMUNITY CHURCH DASHBOARD'!$C$4,INDEX(MASTER_ZONES!$B:$B,623)))),622,""),""),""))</f>
        <v/>
      </c>
    </row>
    <row r="624">
      <c r="A624">
        <f>IF('WSF DASHBOARD'!$B$4="Area",IF(623&lt;=$D$3,IF(AND(OR('WSF DASHBOARD'!$C$4="",ISNUMBER(SEARCH('WSF DASHBOARD'!$C$4,INDEX(MASTER_AREAS!$B:$B,624))))),623,""),""),IF('WSF DASHBOARD'!$B$4="Zone",IF(623&lt;=$D$4,IF(OR('WSF DASHBOARD'!$C$4="",ISNUMBER(SEARCH('WSF DASHBOARD'!$C$4,INDEX(MASTER_ZONES!$B:$B,624)))),623,""),""),""))</f>
        <v/>
      </c>
      <c r="F624">
        <f>IF('TRANSPORT DASHBOARD'!$B$4="Area",IF(623&lt;=$I$3,IF(AND(INDEX(MASTER_AREAS!$F:$F,624)&lt;&gt;"N",OR('TRANSPORT DASHBOARD'!$C$4="",ISNUMBER(SEARCH('TRANSPORT DASHBOARD'!$C$4,INDEX(MASTER_AREAS!$B:$B,624))))),623,""),""),IF('TRANSPORT DASHBOARD'!$B$4="Zone",IF(623&lt;=$I$4,IF(OR('TRANSPORT DASHBOARD'!$C$4="",ISNUMBER(SEARCH('TRANSPORT DASHBOARD'!$C$4,INDEX(MASTER_ZONES!$B:$B,624)))),623,""),""),""))</f>
        <v/>
      </c>
      <c r="K624">
        <f>IF('MIDWEEK DASHBOARD'!$B$4="Area",IF(623&lt;=$N$3,IF(AND(OR('MIDWEEK DASHBOARD'!$C$4="",ISNUMBER(SEARCH('MIDWEEK DASHBOARD'!$C$4,INDEX(MASTER_AREAS!$B:$B,624))))),623,""),""),IF('MIDWEEK DASHBOARD'!$B$4="Zone",IF(623&lt;=$N$4,IF(OR('MIDWEEK DASHBOARD'!$C$4="",ISNUMBER(SEARCH('MIDWEEK DASHBOARD'!$C$4,INDEX(MASTER_ZONES!$B:$B,624)))),623,""),""),""))</f>
        <v/>
      </c>
      <c r="P624">
        <f>IF('CHOP DASHBOARD'!$B$4="Area",IF(623&lt;=$S$3,IF(AND(OR('CHOP DASHBOARD'!$C$4="",ISNUMBER(SEARCH('CHOP DASHBOARD'!$C$4,INDEX(MASTER_AREAS!$B:$B,624))))),623,""),""),IF('CHOP DASHBOARD'!$B$4="Zone",IF(623&lt;=$S$4,IF(OR('CHOP DASHBOARD'!$C$4="",ISNUMBER(SEARCH('CHOP DASHBOARD'!$C$4,INDEX(MASTER_ZONES!$B:$B,624)))),623,""),""),""))</f>
        <v/>
      </c>
      <c r="U624">
        <f>IF('COMMUNITY CHURCH DASHBOARD'!$B$4="Area",IF(623&lt;=$X$3,IF(AND(OR('COMMUNITY CHURCH DASHBOARD'!$C$4="",ISNUMBER(SEARCH('COMMUNITY CHURCH DASHBOARD'!$C$4,INDEX(MASTER_AREAS!$B:$B,624))))),623,""),""),IF('COMMUNITY CHURCH DASHBOARD'!$B$4="Zone",IF(623&lt;=$X$4,IF(OR('COMMUNITY CHURCH DASHBOARD'!$C$4="",ISNUMBER(SEARCH('COMMUNITY CHURCH DASHBOARD'!$C$4,INDEX(MASTER_ZONES!$B:$B,624)))),623,""),""),""))</f>
        <v/>
      </c>
    </row>
    <row r="625">
      <c r="A625">
        <f>IF('WSF DASHBOARD'!$B$4="Area",IF(624&lt;=$D$3,IF(AND(OR('WSF DASHBOARD'!$C$4="",ISNUMBER(SEARCH('WSF DASHBOARD'!$C$4,INDEX(MASTER_AREAS!$B:$B,625))))),624,""),""),IF('WSF DASHBOARD'!$B$4="Zone",IF(624&lt;=$D$4,IF(OR('WSF DASHBOARD'!$C$4="",ISNUMBER(SEARCH('WSF DASHBOARD'!$C$4,INDEX(MASTER_ZONES!$B:$B,625)))),624,""),""),""))</f>
        <v/>
      </c>
      <c r="F625">
        <f>IF('TRANSPORT DASHBOARD'!$B$4="Area",IF(624&lt;=$I$3,IF(AND(INDEX(MASTER_AREAS!$F:$F,625)&lt;&gt;"N",OR('TRANSPORT DASHBOARD'!$C$4="",ISNUMBER(SEARCH('TRANSPORT DASHBOARD'!$C$4,INDEX(MASTER_AREAS!$B:$B,625))))),624,""),""),IF('TRANSPORT DASHBOARD'!$B$4="Zone",IF(624&lt;=$I$4,IF(OR('TRANSPORT DASHBOARD'!$C$4="",ISNUMBER(SEARCH('TRANSPORT DASHBOARD'!$C$4,INDEX(MASTER_ZONES!$B:$B,625)))),624,""),""),""))</f>
        <v/>
      </c>
      <c r="K625">
        <f>IF('MIDWEEK DASHBOARD'!$B$4="Area",IF(624&lt;=$N$3,IF(AND(OR('MIDWEEK DASHBOARD'!$C$4="",ISNUMBER(SEARCH('MIDWEEK DASHBOARD'!$C$4,INDEX(MASTER_AREAS!$B:$B,625))))),624,""),""),IF('MIDWEEK DASHBOARD'!$B$4="Zone",IF(624&lt;=$N$4,IF(OR('MIDWEEK DASHBOARD'!$C$4="",ISNUMBER(SEARCH('MIDWEEK DASHBOARD'!$C$4,INDEX(MASTER_ZONES!$B:$B,625)))),624,""),""),""))</f>
        <v/>
      </c>
      <c r="P625">
        <f>IF('CHOP DASHBOARD'!$B$4="Area",IF(624&lt;=$S$3,IF(AND(OR('CHOP DASHBOARD'!$C$4="",ISNUMBER(SEARCH('CHOP DASHBOARD'!$C$4,INDEX(MASTER_AREAS!$B:$B,625))))),624,""),""),IF('CHOP DASHBOARD'!$B$4="Zone",IF(624&lt;=$S$4,IF(OR('CHOP DASHBOARD'!$C$4="",ISNUMBER(SEARCH('CHOP DASHBOARD'!$C$4,INDEX(MASTER_ZONES!$B:$B,625)))),624,""),""),""))</f>
        <v/>
      </c>
      <c r="U625">
        <f>IF('COMMUNITY CHURCH DASHBOARD'!$B$4="Area",IF(624&lt;=$X$3,IF(AND(OR('COMMUNITY CHURCH DASHBOARD'!$C$4="",ISNUMBER(SEARCH('COMMUNITY CHURCH DASHBOARD'!$C$4,INDEX(MASTER_AREAS!$B:$B,625))))),624,""),""),IF('COMMUNITY CHURCH DASHBOARD'!$B$4="Zone",IF(624&lt;=$X$4,IF(OR('COMMUNITY CHURCH DASHBOARD'!$C$4="",ISNUMBER(SEARCH('COMMUNITY CHURCH DASHBOARD'!$C$4,INDEX(MASTER_ZONES!$B:$B,625)))),624,""),""),""))</f>
        <v/>
      </c>
    </row>
    <row r="626">
      <c r="A626">
        <f>IF('WSF DASHBOARD'!$B$4="Area",IF(625&lt;=$D$3,IF(AND(OR('WSF DASHBOARD'!$C$4="",ISNUMBER(SEARCH('WSF DASHBOARD'!$C$4,INDEX(MASTER_AREAS!$B:$B,626))))),625,""),""),IF('WSF DASHBOARD'!$B$4="Zone",IF(625&lt;=$D$4,IF(OR('WSF DASHBOARD'!$C$4="",ISNUMBER(SEARCH('WSF DASHBOARD'!$C$4,INDEX(MASTER_ZONES!$B:$B,626)))),625,""),""),""))</f>
        <v/>
      </c>
      <c r="F626">
        <f>IF('TRANSPORT DASHBOARD'!$B$4="Area",IF(625&lt;=$I$3,IF(AND(INDEX(MASTER_AREAS!$F:$F,626)&lt;&gt;"N",OR('TRANSPORT DASHBOARD'!$C$4="",ISNUMBER(SEARCH('TRANSPORT DASHBOARD'!$C$4,INDEX(MASTER_AREAS!$B:$B,626))))),625,""),""),IF('TRANSPORT DASHBOARD'!$B$4="Zone",IF(625&lt;=$I$4,IF(OR('TRANSPORT DASHBOARD'!$C$4="",ISNUMBER(SEARCH('TRANSPORT DASHBOARD'!$C$4,INDEX(MASTER_ZONES!$B:$B,626)))),625,""),""),""))</f>
        <v/>
      </c>
      <c r="K626">
        <f>IF('MIDWEEK DASHBOARD'!$B$4="Area",IF(625&lt;=$N$3,IF(AND(OR('MIDWEEK DASHBOARD'!$C$4="",ISNUMBER(SEARCH('MIDWEEK DASHBOARD'!$C$4,INDEX(MASTER_AREAS!$B:$B,626))))),625,""),""),IF('MIDWEEK DASHBOARD'!$B$4="Zone",IF(625&lt;=$N$4,IF(OR('MIDWEEK DASHBOARD'!$C$4="",ISNUMBER(SEARCH('MIDWEEK DASHBOARD'!$C$4,INDEX(MASTER_ZONES!$B:$B,626)))),625,""),""),""))</f>
        <v/>
      </c>
      <c r="P626">
        <f>IF('CHOP DASHBOARD'!$B$4="Area",IF(625&lt;=$S$3,IF(AND(OR('CHOP DASHBOARD'!$C$4="",ISNUMBER(SEARCH('CHOP DASHBOARD'!$C$4,INDEX(MASTER_AREAS!$B:$B,626))))),625,""),""),IF('CHOP DASHBOARD'!$B$4="Zone",IF(625&lt;=$S$4,IF(OR('CHOP DASHBOARD'!$C$4="",ISNUMBER(SEARCH('CHOP DASHBOARD'!$C$4,INDEX(MASTER_ZONES!$B:$B,626)))),625,""),""),""))</f>
        <v/>
      </c>
      <c r="U626">
        <f>IF('COMMUNITY CHURCH DASHBOARD'!$B$4="Area",IF(625&lt;=$X$3,IF(AND(OR('COMMUNITY CHURCH DASHBOARD'!$C$4="",ISNUMBER(SEARCH('COMMUNITY CHURCH DASHBOARD'!$C$4,INDEX(MASTER_AREAS!$B:$B,626))))),625,""),""),IF('COMMUNITY CHURCH DASHBOARD'!$B$4="Zone",IF(625&lt;=$X$4,IF(OR('COMMUNITY CHURCH DASHBOARD'!$C$4="",ISNUMBER(SEARCH('COMMUNITY CHURCH DASHBOARD'!$C$4,INDEX(MASTER_ZONES!$B:$B,626)))),625,""),""),""))</f>
        <v/>
      </c>
    </row>
    <row r="627">
      <c r="A627">
        <f>IF('WSF DASHBOARD'!$B$4="Area",IF(626&lt;=$D$3,IF(AND(OR('WSF DASHBOARD'!$C$4="",ISNUMBER(SEARCH('WSF DASHBOARD'!$C$4,INDEX(MASTER_AREAS!$B:$B,627))))),626,""),""),IF('WSF DASHBOARD'!$B$4="Zone",IF(626&lt;=$D$4,IF(OR('WSF DASHBOARD'!$C$4="",ISNUMBER(SEARCH('WSF DASHBOARD'!$C$4,INDEX(MASTER_ZONES!$B:$B,627)))),626,""),""),""))</f>
        <v/>
      </c>
      <c r="F627">
        <f>IF('TRANSPORT DASHBOARD'!$B$4="Area",IF(626&lt;=$I$3,IF(AND(INDEX(MASTER_AREAS!$F:$F,627)&lt;&gt;"N",OR('TRANSPORT DASHBOARD'!$C$4="",ISNUMBER(SEARCH('TRANSPORT DASHBOARD'!$C$4,INDEX(MASTER_AREAS!$B:$B,627))))),626,""),""),IF('TRANSPORT DASHBOARD'!$B$4="Zone",IF(626&lt;=$I$4,IF(OR('TRANSPORT DASHBOARD'!$C$4="",ISNUMBER(SEARCH('TRANSPORT DASHBOARD'!$C$4,INDEX(MASTER_ZONES!$B:$B,627)))),626,""),""),""))</f>
        <v/>
      </c>
      <c r="K627">
        <f>IF('MIDWEEK DASHBOARD'!$B$4="Area",IF(626&lt;=$N$3,IF(AND(OR('MIDWEEK DASHBOARD'!$C$4="",ISNUMBER(SEARCH('MIDWEEK DASHBOARD'!$C$4,INDEX(MASTER_AREAS!$B:$B,627))))),626,""),""),IF('MIDWEEK DASHBOARD'!$B$4="Zone",IF(626&lt;=$N$4,IF(OR('MIDWEEK DASHBOARD'!$C$4="",ISNUMBER(SEARCH('MIDWEEK DASHBOARD'!$C$4,INDEX(MASTER_ZONES!$B:$B,627)))),626,""),""),""))</f>
        <v/>
      </c>
      <c r="P627">
        <f>IF('CHOP DASHBOARD'!$B$4="Area",IF(626&lt;=$S$3,IF(AND(OR('CHOP DASHBOARD'!$C$4="",ISNUMBER(SEARCH('CHOP DASHBOARD'!$C$4,INDEX(MASTER_AREAS!$B:$B,627))))),626,""),""),IF('CHOP DASHBOARD'!$B$4="Zone",IF(626&lt;=$S$4,IF(OR('CHOP DASHBOARD'!$C$4="",ISNUMBER(SEARCH('CHOP DASHBOARD'!$C$4,INDEX(MASTER_ZONES!$B:$B,627)))),626,""),""),""))</f>
        <v/>
      </c>
      <c r="U627">
        <f>IF('COMMUNITY CHURCH DASHBOARD'!$B$4="Area",IF(626&lt;=$X$3,IF(AND(OR('COMMUNITY CHURCH DASHBOARD'!$C$4="",ISNUMBER(SEARCH('COMMUNITY CHURCH DASHBOARD'!$C$4,INDEX(MASTER_AREAS!$B:$B,627))))),626,""),""),IF('COMMUNITY CHURCH DASHBOARD'!$B$4="Zone",IF(626&lt;=$X$4,IF(OR('COMMUNITY CHURCH DASHBOARD'!$C$4="",ISNUMBER(SEARCH('COMMUNITY CHURCH DASHBOARD'!$C$4,INDEX(MASTER_ZONES!$B:$B,627)))),626,""),""),""))</f>
        <v/>
      </c>
    </row>
    <row r="628">
      <c r="A628">
        <f>IF('WSF DASHBOARD'!$B$4="Area",IF(627&lt;=$D$3,IF(AND(OR('WSF DASHBOARD'!$C$4="",ISNUMBER(SEARCH('WSF DASHBOARD'!$C$4,INDEX(MASTER_AREAS!$B:$B,628))))),627,""),""),IF('WSF DASHBOARD'!$B$4="Zone",IF(627&lt;=$D$4,IF(OR('WSF DASHBOARD'!$C$4="",ISNUMBER(SEARCH('WSF DASHBOARD'!$C$4,INDEX(MASTER_ZONES!$B:$B,628)))),627,""),""),""))</f>
        <v/>
      </c>
      <c r="F628">
        <f>IF('TRANSPORT DASHBOARD'!$B$4="Area",IF(627&lt;=$I$3,IF(AND(INDEX(MASTER_AREAS!$F:$F,628)&lt;&gt;"N",OR('TRANSPORT DASHBOARD'!$C$4="",ISNUMBER(SEARCH('TRANSPORT DASHBOARD'!$C$4,INDEX(MASTER_AREAS!$B:$B,628))))),627,""),""),IF('TRANSPORT DASHBOARD'!$B$4="Zone",IF(627&lt;=$I$4,IF(OR('TRANSPORT DASHBOARD'!$C$4="",ISNUMBER(SEARCH('TRANSPORT DASHBOARD'!$C$4,INDEX(MASTER_ZONES!$B:$B,628)))),627,""),""),""))</f>
        <v/>
      </c>
      <c r="K628">
        <f>IF('MIDWEEK DASHBOARD'!$B$4="Area",IF(627&lt;=$N$3,IF(AND(OR('MIDWEEK DASHBOARD'!$C$4="",ISNUMBER(SEARCH('MIDWEEK DASHBOARD'!$C$4,INDEX(MASTER_AREAS!$B:$B,628))))),627,""),""),IF('MIDWEEK DASHBOARD'!$B$4="Zone",IF(627&lt;=$N$4,IF(OR('MIDWEEK DASHBOARD'!$C$4="",ISNUMBER(SEARCH('MIDWEEK DASHBOARD'!$C$4,INDEX(MASTER_ZONES!$B:$B,628)))),627,""),""),""))</f>
        <v/>
      </c>
      <c r="P628">
        <f>IF('CHOP DASHBOARD'!$B$4="Area",IF(627&lt;=$S$3,IF(AND(OR('CHOP DASHBOARD'!$C$4="",ISNUMBER(SEARCH('CHOP DASHBOARD'!$C$4,INDEX(MASTER_AREAS!$B:$B,628))))),627,""),""),IF('CHOP DASHBOARD'!$B$4="Zone",IF(627&lt;=$S$4,IF(OR('CHOP DASHBOARD'!$C$4="",ISNUMBER(SEARCH('CHOP DASHBOARD'!$C$4,INDEX(MASTER_ZONES!$B:$B,628)))),627,""),""),""))</f>
        <v/>
      </c>
      <c r="U628">
        <f>IF('COMMUNITY CHURCH DASHBOARD'!$B$4="Area",IF(627&lt;=$X$3,IF(AND(OR('COMMUNITY CHURCH DASHBOARD'!$C$4="",ISNUMBER(SEARCH('COMMUNITY CHURCH DASHBOARD'!$C$4,INDEX(MASTER_AREAS!$B:$B,628))))),627,""),""),IF('COMMUNITY CHURCH DASHBOARD'!$B$4="Zone",IF(627&lt;=$X$4,IF(OR('COMMUNITY CHURCH DASHBOARD'!$C$4="",ISNUMBER(SEARCH('COMMUNITY CHURCH DASHBOARD'!$C$4,INDEX(MASTER_ZONES!$B:$B,628)))),627,""),""),""))</f>
        <v/>
      </c>
    </row>
    <row r="629">
      <c r="A629">
        <f>IF('WSF DASHBOARD'!$B$4="Area",IF(628&lt;=$D$3,IF(AND(OR('WSF DASHBOARD'!$C$4="",ISNUMBER(SEARCH('WSF DASHBOARD'!$C$4,INDEX(MASTER_AREAS!$B:$B,629))))),628,""),""),IF('WSF DASHBOARD'!$B$4="Zone",IF(628&lt;=$D$4,IF(OR('WSF DASHBOARD'!$C$4="",ISNUMBER(SEARCH('WSF DASHBOARD'!$C$4,INDEX(MASTER_ZONES!$B:$B,629)))),628,""),""),""))</f>
        <v/>
      </c>
      <c r="F629">
        <f>IF('TRANSPORT DASHBOARD'!$B$4="Area",IF(628&lt;=$I$3,IF(AND(INDEX(MASTER_AREAS!$F:$F,629)&lt;&gt;"N",OR('TRANSPORT DASHBOARD'!$C$4="",ISNUMBER(SEARCH('TRANSPORT DASHBOARD'!$C$4,INDEX(MASTER_AREAS!$B:$B,629))))),628,""),""),IF('TRANSPORT DASHBOARD'!$B$4="Zone",IF(628&lt;=$I$4,IF(OR('TRANSPORT DASHBOARD'!$C$4="",ISNUMBER(SEARCH('TRANSPORT DASHBOARD'!$C$4,INDEX(MASTER_ZONES!$B:$B,629)))),628,""),""),""))</f>
        <v/>
      </c>
      <c r="K629">
        <f>IF('MIDWEEK DASHBOARD'!$B$4="Area",IF(628&lt;=$N$3,IF(AND(OR('MIDWEEK DASHBOARD'!$C$4="",ISNUMBER(SEARCH('MIDWEEK DASHBOARD'!$C$4,INDEX(MASTER_AREAS!$B:$B,629))))),628,""),""),IF('MIDWEEK DASHBOARD'!$B$4="Zone",IF(628&lt;=$N$4,IF(OR('MIDWEEK DASHBOARD'!$C$4="",ISNUMBER(SEARCH('MIDWEEK DASHBOARD'!$C$4,INDEX(MASTER_ZONES!$B:$B,629)))),628,""),""),""))</f>
        <v/>
      </c>
      <c r="P629">
        <f>IF('CHOP DASHBOARD'!$B$4="Area",IF(628&lt;=$S$3,IF(AND(OR('CHOP DASHBOARD'!$C$4="",ISNUMBER(SEARCH('CHOP DASHBOARD'!$C$4,INDEX(MASTER_AREAS!$B:$B,629))))),628,""),""),IF('CHOP DASHBOARD'!$B$4="Zone",IF(628&lt;=$S$4,IF(OR('CHOP DASHBOARD'!$C$4="",ISNUMBER(SEARCH('CHOP DASHBOARD'!$C$4,INDEX(MASTER_ZONES!$B:$B,629)))),628,""),""),""))</f>
        <v/>
      </c>
      <c r="U629">
        <f>IF('COMMUNITY CHURCH DASHBOARD'!$B$4="Area",IF(628&lt;=$X$3,IF(AND(OR('COMMUNITY CHURCH DASHBOARD'!$C$4="",ISNUMBER(SEARCH('COMMUNITY CHURCH DASHBOARD'!$C$4,INDEX(MASTER_AREAS!$B:$B,629))))),628,""),""),IF('COMMUNITY CHURCH DASHBOARD'!$B$4="Zone",IF(628&lt;=$X$4,IF(OR('COMMUNITY CHURCH DASHBOARD'!$C$4="",ISNUMBER(SEARCH('COMMUNITY CHURCH DASHBOARD'!$C$4,INDEX(MASTER_ZONES!$B:$B,629)))),628,""),""),""))</f>
        <v/>
      </c>
    </row>
    <row r="630">
      <c r="A630">
        <f>IF('WSF DASHBOARD'!$B$4="Area",IF(629&lt;=$D$3,IF(AND(OR('WSF DASHBOARD'!$C$4="",ISNUMBER(SEARCH('WSF DASHBOARD'!$C$4,INDEX(MASTER_AREAS!$B:$B,630))))),629,""),""),IF('WSF DASHBOARD'!$B$4="Zone",IF(629&lt;=$D$4,IF(OR('WSF DASHBOARD'!$C$4="",ISNUMBER(SEARCH('WSF DASHBOARD'!$C$4,INDEX(MASTER_ZONES!$B:$B,630)))),629,""),""),""))</f>
        <v/>
      </c>
      <c r="F630">
        <f>IF('TRANSPORT DASHBOARD'!$B$4="Area",IF(629&lt;=$I$3,IF(AND(INDEX(MASTER_AREAS!$F:$F,630)&lt;&gt;"N",OR('TRANSPORT DASHBOARD'!$C$4="",ISNUMBER(SEARCH('TRANSPORT DASHBOARD'!$C$4,INDEX(MASTER_AREAS!$B:$B,630))))),629,""),""),IF('TRANSPORT DASHBOARD'!$B$4="Zone",IF(629&lt;=$I$4,IF(OR('TRANSPORT DASHBOARD'!$C$4="",ISNUMBER(SEARCH('TRANSPORT DASHBOARD'!$C$4,INDEX(MASTER_ZONES!$B:$B,630)))),629,""),""),""))</f>
        <v/>
      </c>
      <c r="K630">
        <f>IF('MIDWEEK DASHBOARD'!$B$4="Area",IF(629&lt;=$N$3,IF(AND(OR('MIDWEEK DASHBOARD'!$C$4="",ISNUMBER(SEARCH('MIDWEEK DASHBOARD'!$C$4,INDEX(MASTER_AREAS!$B:$B,630))))),629,""),""),IF('MIDWEEK DASHBOARD'!$B$4="Zone",IF(629&lt;=$N$4,IF(OR('MIDWEEK DASHBOARD'!$C$4="",ISNUMBER(SEARCH('MIDWEEK DASHBOARD'!$C$4,INDEX(MASTER_ZONES!$B:$B,630)))),629,""),""),""))</f>
        <v/>
      </c>
      <c r="P630">
        <f>IF('CHOP DASHBOARD'!$B$4="Area",IF(629&lt;=$S$3,IF(AND(OR('CHOP DASHBOARD'!$C$4="",ISNUMBER(SEARCH('CHOP DASHBOARD'!$C$4,INDEX(MASTER_AREAS!$B:$B,630))))),629,""),""),IF('CHOP DASHBOARD'!$B$4="Zone",IF(629&lt;=$S$4,IF(OR('CHOP DASHBOARD'!$C$4="",ISNUMBER(SEARCH('CHOP DASHBOARD'!$C$4,INDEX(MASTER_ZONES!$B:$B,630)))),629,""),""),""))</f>
        <v/>
      </c>
      <c r="U630">
        <f>IF('COMMUNITY CHURCH DASHBOARD'!$B$4="Area",IF(629&lt;=$X$3,IF(AND(OR('COMMUNITY CHURCH DASHBOARD'!$C$4="",ISNUMBER(SEARCH('COMMUNITY CHURCH DASHBOARD'!$C$4,INDEX(MASTER_AREAS!$B:$B,630))))),629,""),""),IF('COMMUNITY CHURCH DASHBOARD'!$B$4="Zone",IF(629&lt;=$X$4,IF(OR('COMMUNITY CHURCH DASHBOARD'!$C$4="",ISNUMBER(SEARCH('COMMUNITY CHURCH DASHBOARD'!$C$4,INDEX(MASTER_ZONES!$B:$B,630)))),629,""),""),""))</f>
        <v/>
      </c>
    </row>
    <row r="631">
      <c r="A631">
        <f>IF('WSF DASHBOARD'!$B$4="Area",IF(630&lt;=$D$3,IF(AND(OR('WSF DASHBOARD'!$C$4="",ISNUMBER(SEARCH('WSF DASHBOARD'!$C$4,INDEX(MASTER_AREAS!$B:$B,631))))),630,""),""),IF('WSF DASHBOARD'!$B$4="Zone",IF(630&lt;=$D$4,IF(OR('WSF DASHBOARD'!$C$4="",ISNUMBER(SEARCH('WSF DASHBOARD'!$C$4,INDEX(MASTER_ZONES!$B:$B,631)))),630,""),""),""))</f>
        <v/>
      </c>
      <c r="F631">
        <f>IF('TRANSPORT DASHBOARD'!$B$4="Area",IF(630&lt;=$I$3,IF(AND(INDEX(MASTER_AREAS!$F:$F,631)&lt;&gt;"N",OR('TRANSPORT DASHBOARD'!$C$4="",ISNUMBER(SEARCH('TRANSPORT DASHBOARD'!$C$4,INDEX(MASTER_AREAS!$B:$B,631))))),630,""),""),IF('TRANSPORT DASHBOARD'!$B$4="Zone",IF(630&lt;=$I$4,IF(OR('TRANSPORT DASHBOARD'!$C$4="",ISNUMBER(SEARCH('TRANSPORT DASHBOARD'!$C$4,INDEX(MASTER_ZONES!$B:$B,631)))),630,""),""),""))</f>
        <v/>
      </c>
      <c r="K631">
        <f>IF('MIDWEEK DASHBOARD'!$B$4="Area",IF(630&lt;=$N$3,IF(AND(OR('MIDWEEK DASHBOARD'!$C$4="",ISNUMBER(SEARCH('MIDWEEK DASHBOARD'!$C$4,INDEX(MASTER_AREAS!$B:$B,631))))),630,""),""),IF('MIDWEEK DASHBOARD'!$B$4="Zone",IF(630&lt;=$N$4,IF(OR('MIDWEEK DASHBOARD'!$C$4="",ISNUMBER(SEARCH('MIDWEEK DASHBOARD'!$C$4,INDEX(MASTER_ZONES!$B:$B,631)))),630,""),""),""))</f>
        <v/>
      </c>
      <c r="P631">
        <f>IF('CHOP DASHBOARD'!$B$4="Area",IF(630&lt;=$S$3,IF(AND(OR('CHOP DASHBOARD'!$C$4="",ISNUMBER(SEARCH('CHOP DASHBOARD'!$C$4,INDEX(MASTER_AREAS!$B:$B,631))))),630,""),""),IF('CHOP DASHBOARD'!$B$4="Zone",IF(630&lt;=$S$4,IF(OR('CHOP DASHBOARD'!$C$4="",ISNUMBER(SEARCH('CHOP DASHBOARD'!$C$4,INDEX(MASTER_ZONES!$B:$B,631)))),630,""),""),""))</f>
        <v/>
      </c>
      <c r="U631">
        <f>IF('COMMUNITY CHURCH DASHBOARD'!$B$4="Area",IF(630&lt;=$X$3,IF(AND(OR('COMMUNITY CHURCH DASHBOARD'!$C$4="",ISNUMBER(SEARCH('COMMUNITY CHURCH DASHBOARD'!$C$4,INDEX(MASTER_AREAS!$B:$B,631))))),630,""),""),IF('COMMUNITY CHURCH DASHBOARD'!$B$4="Zone",IF(630&lt;=$X$4,IF(OR('COMMUNITY CHURCH DASHBOARD'!$C$4="",ISNUMBER(SEARCH('COMMUNITY CHURCH DASHBOARD'!$C$4,INDEX(MASTER_ZONES!$B:$B,631)))),630,""),""),""))</f>
        <v/>
      </c>
    </row>
    <row r="632">
      <c r="A632">
        <f>IF('WSF DASHBOARD'!$B$4="Area",IF(631&lt;=$D$3,IF(AND(OR('WSF DASHBOARD'!$C$4="",ISNUMBER(SEARCH('WSF DASHBOARD'!$C$4,INDEX(MASTER_AREAS!$B:$B,632))))),631,""),""),IF('WSF DASHBOARD'!$B$4="Zone",IF(631&lt;=$D$4,IF(OR('WSF DASHBOARD'!$C$4="",ISNUMBER(SEARCH('WSF DASHBOARD'!$C$4,INDEX(MASTER_ZONES!$B:$B,632)))),631,""),""),""))</f>
        <v/>
      </c>
      <c r="F632">
        <f>IF('TRANSPORT DASHBOARD'!$B$4="Area",IF(631&lt;=$I$3,IF(AND(INDEX(MASTER_AREAS!$F:$F,632)&lt;&gt;"N",OR('TRANSPORT DASHBOARD'!$C$4="",ISNUMBER(SEARCH('TRANSPORT DASHBOARD'!$C$4,INDEX(MASTER_AREAS!$B:$B,632))))),631,""),""),IF('TRANSPORT DASHBOARD'!$B$4="Zone",IF(631&lt;=$I$4,IF(OR('TRANSPORT DASHBOARD'!$C$4="",ISNUMBER(SEARCH('TRANSPORT DASHBOARD'!$C$4,INDEX(MASTER_ZONES!$B:$B,632)))),631,""),""),""))</f>
        <v/>
      </c>
      <c r="K632">
        <f>IF('MIDWEEK DASHBOARD'!$B$4="Area",IF(631&lt;=$N$3,IF(AND(OR('MIDWEEK DASHBOARD'!$C$4="",ISNUMBER(SEARCH('MIDWEEK DASHBOARD'!$C$4,INDEX(MASTER_AREAS!$B:$B,632))))),631,""),""),IF('MIDWEEK DASHBOARD'!$B$4="Zone",IF(631&lt;=$N$4,IF(OR('MIDWEEK DASHBOARD'!$C$4="",ISNUMBER(SEARCH('MIDWEEK DASHBOARD'!$C$4,INDEX(MASTER_ZONES!$B:$B,632)))),631,""),""),""))</f>
        <v/>
      </c>
      <c r="P632">
        <f>IF('CHOP DASHBOARD'!$B$4="Area",IF(631&lt;=$S$3,IF(AND(OR('CHOP DASHBOARD'!$C$4="",ISNUMBER(SEARCH('CHOP DASHBOARD'!$C$4,INDEX(MASTER_AREAS!$B:$B,632))))),631,""),""),IF('CHOP DASHBOARD'!$B$4="Zone",IF(631&lt;=$S$4,IF(OR('CHOP DASHBOARD'!$C$4="",ISNUMBER(SEARCH('CHOP DASHBOARD'!$C$4,INDEX(MASTER_ZONES!$B:$B,632)))),631,""),""),""))</f>
        <v/>
      </c>
      <c r="U632">
        <f>IF('COMMUNITY CHURCH DASHBOARD'!$B$4="Area",IF(631&lt;=$X$3,IF(AND(OR('COMMUNITY CHURCH DASHBOARD'!$C$4="",ISNUMBER(SEARCH('COMMUNITY CHURCH DASHBOARD'!$C$4,INDEX(MASTER_AREAS!$B:$B,632))))),631,""),""),IF('COMMUNITY CHURCH DASHBOARD'!$B$4="Zone",IF(631&lt;=$X$4,IF(OR('COMMUNITY CHURCH DASHBOARD'!$C$4="",ISNUMBER(SEARCH('COMMUNITY CHURCH DASHBOARD'!$C$4,INDEX(MASTER_ZONES!$B:$B,632)))),631,""),""),""))</f>
        <v/>
      </c>
    </row>
    <row r="633">
      <c r="A633">
        <f>IF('WSF DASHBOARD'!$B$4="Area",IF(632&lt;=$D$3,IF(AND(OR('WSF DASHBOARD'!$C$4="",ISNUMBER(SEARCH('WSF DASHBOARD'!$C$4,INDEX(MASTER_AREAS!$B:$B,633))))),632,""),""),IF('WSF DASHBOARD'!$B$4="Zone",IF(632&lt;=$D$4,IF(OR('WSF DASHBOARD'!$C$4="",ISNUMBER(SEARCH('WSF DASHBOARD'!$C$4,INDEX(MASTER_ZONES!$B:$B,633)))),632,""),""),""))</f>
        <v/>
      </c>
      <c r="F633">
        <f>IF('TRANSPORT DASHBOARD'!$B$4="Area",IF(632&lt;=$I$3,IF(AND(INDEX(MASTER_AREAS!$F:$F,633)&lt;&gt;"N",OR('TRANSPORT DASHBOARD'!$C$4="",ISNUMBER(SEARCH('TRANSPORT DASHBOARD'!$C$4,INDEX(MASTER_AREAS!$B:$B,633))))),632,""),""),IF('TRANSPORT DASHBOARD'!$B$4="Zone",IF(632&lt;=$I$4,IF(OR('TRANSPORT DASHBOARD'!$C$4="",ISNUMBER(SEARCH('TRANSPORT DASHBOARD'!$C$4,INDEX(MASTER_ZONES!$B:$B,633)))),632,""),""),""))</f>
        <v/>
      </c>
      <c r="K633">
        <f>IF('MIDWEEK DASHBOARD'!$B$4="Area",IF(632&lt;=$N$3,IF(AND(OR('MIDWEEK DASHBOARD'!$C$4="",ISNUMBER(SEARCH('MIDWEEK DASHBOARD'!$C$4,INDEX(MASTER_AREAS!$B:$B,633))))),632,""),""),IF('MIDWEEK DASHBOARD'!$B$4="Zone",IF(632&lt;=$N$4,IF(OR('MIDWEEK DASHBOARD'!$C$4="",ISNUMBER(SEARCH('MIDWEEK DASHBOARD'!$C$4,INDEX(MASTER_ZONES!$B:$B,633)))),632,""),""),""))</f>
        <v/>
      </c>
      <c r="P633">
        <f>IF('CHOP DASHBOARD'!$B$4="Area",IF(632&lt;=$S$3,IF(AND(OR('CHOP DASHBOARD'!$C$4="",ISNUMBER(SEARCH('CHOP DASHBOARD'!$C$4,INDEX(MASTER_AREAS!$B:$B,633))))),632,""),""),IF('CHOP DASHBOARD'!$B$4="Zone",IF(632&lt;=$S$4,IF(OR('CHOP DASHBOARD'!$C$4="",ISNUMBER(SEARCH('CHOP DASHBOARD'!$C$4,INDEX(MASTER_ZONES!$B:$B,633)))),632,""),""),""))</f>
        <v/>
      </c>
      <c r="U633">
        <f>IF('COMMUNITY CHURCH DASHBOARD'!$B$4="Area",IF(632&lt;=$X$3,IF(AND(OR('COMMUNITY CHURCH DASHBOARD'!$C$4="",ISNUMBER(SEARCH('COMMUNITY CHURCH DASHBOARD'!$C$4,INDEX(MASTER_AREAS!$B:$B,633))))),632,""),""),IF('COMMUNITY CHURCH DASHBOARD'!$B$4="Zone",IF(632&lt;=$X$4,IF(OR('COMMUNITY CHURCH DASHBOARD'!$C$4="",ISNUMBER(SEARCH('COMMUNITY CHURCH DASHBOARD'!$C$4,INDEX(MASTER_ZONES!$B:$B,633)))),632,""),""),""))</f>
        <v/>
      </c>
    </row>
    <row r="634">
      <c r="A634">
        <f>IF('WSF DASHBOARD'!$B$4="Area",IF(633&lt;=$D$3,IF(AND(OR('WSF DASHBOARD'!$C$4="",ISNUMBER(SEARCH('WSF DASHBOARD'!$C$4,INDEX(MASTER_AREAS!$B:$B,634))))),633,""),""),IF('WSF DASHBOARD'!$B$4="Zone",IF(633&lt;=$D$4,IF(OR('WSF DASHBOARD'!$C$4="",ISNUMBER(SEARCH('WSF DASHBOARD'!$C$4,INDEX(MASTER_ZONES!$B:$B,634)))),633,""),""),""))</f>
        <v/>
      </c>
      <c r="F634">
        <f>IF('TRANSPORT DASHBOARD'!$B$4="Area",IF(633&lt;=$I$3,IF(AND(INDEX(MASTER_AREAS!$F:$F,634)&lt;&gt;"N",OR('TRANSPORT DASHBOARD'!$C$4="",ISNUMBER(SEARCH('TRANSPORT DASHBOARD'!$C$4,INDEX(MASTER_AREAS!$B:$B,634))))),633,""),""),IF('TRANSPORT DASHBOARD'!$B$4="Zone",IF(633&lt;=$I$4,IF(OR('TRANSPORT DASHBOARD'!$C$4="",ISNUMBER(SEARCH('TRANSPORT DASHBOARD'!$C$4,INDEX(MASTER_ZONES!$B:$B,634)))),633,""),""),""))</f>
        <v/>
      </c>
      <c r="K634">
        <f>IF('MIDWEEK DASHBOARD'!$B$4="Area",IF(633&lt;=$N$3,IF(AND(OR('MIDWEEK DASHBOARD'!$C$4="",ISNUMBER(SEARCH('MIDWEEK DASHBOARD'!$C$4,INDEX(MASTER_AREAS!$B:$B,634))))),633,""),""),IF('MIDWEEK DASHBOARD'!$B$4="Zone",IF(633&lt;=$N$4,IF(OR('MIDWEEK DASHBOARD'!$C$4="",ISNUMBER(SEARCH('MIDWEEK DASHBOARD'!$C$4,INDEX(MASTER_ZONES!$B:$B,634)))),633,""),""),""))</f>
        <v/>
      </c>
      <c r="P634">
        <f>IF('CHOP DASHBOARD'!$B$4="Area",IF(633&lt;=$S$3,IF(AND(OR('CHOP DASHBOARD'!$C$4="",ISNUMBER(SEARCH('CHOP DASHBOARD'!$C$4,INDEX(MASTER_AREAS!$B:$B,634))))),633,""),""),IF('CHOP DASHBOARD'!$B$4="Zone",IF(633&lt;=$S$4,IF(OR('CHOP DASHBOARD'!$C$4="",ISNUMBER(SEARCH('CHOP DASHBOARD'!$C$4,INDEX(MASTER_ZONES!$B:$B,634)))),633,""),""),""))</f>
        <v/>
      </c>
      <c r="U634">
        <f>IF('COMMUNITY CHURCH DASHBOARD'!$B$4="Area",IF(633&lt;=$X$3,IF(AND(OR('COMMUNITY CHURCH DASHBOARD'!$C$4="",ISNUMBER(SEARCH('COMMUNITY CHURCH DASHBOARD'!$C$4,INDEX(MASTER_AREAS!$B:$B,634))))),633,""),""),IF('COMMUNITY CHURCH DASHBOARD'!$B$4="Zone",IF(633&lt;=$X$4,IF(OR('COMMUNITY CHURCH DASHBOARD'!$C$4="",ISNUMBER(SEARCH('COMMUNITY CHURCH DASHBOARD'!$C$4,INDEX(MASTER_ZONES!$B:$B,634)))),633,""),""),""))</f>
        <v/>
      </c>
    </row>
    <row r="635">
      <c r="A635">
        <f>IF('WSF DASHBOARD'!$B$4="Area",IF(634&lt;=$D$3,IF(AND(OR('WSF DASHBOARD'!$C$4="",ISNUMBER(SEARCH('WSF DASHBOARD'!$C$4,INDEX(MASTER_AREAS!$B:$B,635))))),634,""),""),IF('WSF DASHBOARD'!$B$4="Zone",IF(634&lt;=$D$4,IF(OR('WSF DASHBOARD'!$C$4="",ISNUMBER(SEARCH('WSF DASHBOARD'!$C$4,INDEX(MASTER_ZONES!$B:$B,635)))),634,""),""),""))</f>
        <v/>
      </c>
      <c r="F635">
        <f>IF('TRANSPORT DASHBOARD'!$B$4="Area",IF(634&lt;=$I$3,IF(AND(INDEX(MASTER_AREAS!$F:$F,635)&lt;&gt;"N",OR('TRANSPORT DASHBOARD'!$C$4="",ISNUMBER(SEARCH('TRANSPORT DASHBOARD'!$C$4,INDEX(MASTER_AREAS!$B:$B,635))))),634,""),""),IF('TRANSPORT DASHBOARD'!$B$4="Zone",IF(634&lt;=$I$4,IF(OR('TRANSPORT DASHBOARD'!$C$4="",ISNUMBER(SEARCH('TRANSPORT DASHBOARD'!$C$4,INDEX(MASTER_ZONES!$B:$B,635)))),634,""),""),""))</f>
        <v/>
      </c>
      <c r="K635">
        <f>IF('MIDWEEK DASHBOARD'!$B$4="Area",IF(634&lt;=$N$3,IF(AND(OR('MIDWEEK DASHBOARD'!$C$4="",ISNUMBER(SEARCH('MIDWEEK DASHBOARD'!$C$4,INDEX(MASTER_AREAS!$B:$B,635))))),634,""),""),IF('MIDWEEK DASHBOARD'!$B$4="Zone",IF(634&lt;=$N$4,IF(OR('MIDWEEK DASHBOARD'!$C$4="",ISNUMBER(SEARCH('MIDWEEK DASHBOARD'!$C$4,INDEX(MASTER_ZONES!$B:$B,635)))),634,""),""),""))</f>
        <v/>
      </c>
      <c r="P635">
        <f>IF('CHOP DASHBOARD'!$B$4="Area",IF(634&lt;=$S$3,IF(AND(OR('CHOP DASHBOARD'!$C$4="",ISNUMBER(SEARCH('CHOP DASHBOARD'!$C$4,INDEX(MASTER_AREAS!$B:$B,635))))),634,""),""),IF('CHOP DASHBOARD'!$B$4="Zone",IF(634&lt;=$S$4,IF(OR('CHOP DASHBOARD'!$C$4="",ISNUMBER(SEARCH('CHOP DASHBOARD'!$C$4,INDEX(MASTER_ZONES!$B:$B,635)))),634,""),""),""))</f>
        <v/>
      </c>
      <c r="U635">
        <f>IF('COMMUNITY CHURCH DASHBOARD'!$B$4="Area",IF(634&lt;=$X$3,IF(AND(OR('COMMUNITY CHURCH DASHBOARD'!$C$4="",ISNUMBER(SEARCH('COMMUNITY CHURCH DASHBOARD'!$C$4,INDEX(MASTER_AREAS!$B:$B,635))))),634,""),""),IF('COMMUNITY CHURCH DASHBOARD'!$B$4="Zone",IF(634&lt;=$X$4,IF(OR('COMMUNITY CHURCH DASHBOARD'!$C$4="",ISNUMBER(SEARCH('COMMUNITY CHURCH DASHBOARD'!$C$4,INDEX(MASTER_ZONES!$B:$B,635)))),634,""),""),""))</f>
        <v/>
      </c>
    </row>
    <row r="636">
      <c r="A636">
        <f>IF('WSF DASHBOARD'!$B$4="Area",IF(635&lt;=$D$3,IF(AND(OR('WSF DASHBOARD'!$C$4="",ISNUMBER(SEARCH('WSF DASHBOARD'!$C$4,INDEX(MASTER_AREAS!$B:$B,636))))),635,""),""),IF('WSF DASHBOARD'!$B$4="Zone",IF(635&lt;=$D$4,IF(OR('WSF DASHBOARD'!$C$4="",ISNUMBER(SEARCH('WSF DASHBOARD'!$C$4,INDEX(MASTER_ZONES!$B:$B,636)))),635,""),""),""))</f>
        <v/>
      </c>
      <c r="F636">
        <f>IF('TRANSPORT DASHBOARD'!$B$4="Area",IF(635&lt;=$I$3,IF(AND(INDEX(MASTER_AREAS!$F:$F,636)&lt;&gt;"N",OR('TRANSPORT DASHBOARD'!$C$4="",ISNUMBER(SEARCH('TRANSPORT DASHBOARD'!$C$4,INDEX(MASTER_AREAS!$B:$B,636))))),635,""),""),IF('TRANSPORT DASHBOARD'!$B$4="Zone",IF(635&lt;=$I$4,IF(OR('TRANSPORT DASHBOARD'!$C$4="",ISNUMBER(SEARCH('TRANSPORT DASHBOARD'!$C$4,INDEX(MASTER_ZONES!$B:$B,636)))),635,""),""),""))</f>
        <v/>
      </c>
      <c r="K636">
        <f>IF('MIDWEEK DASHBOARD'!$B$4="Area",IF(635&lt;=$N$3,IF(AND(OR('MIDWEEK DASHBOARD'!$C$4="",ISNUMBER(SEARCH('MIDWEEK DASHBOARD'!$C$4,INDEX(MASTER_AREAS!$B:$B,636))))),635,""),""),IF('MIDWEEK DASHBOARD'!$B$4="Zone",IF(635&lt;=$N$4,IF(OR('MIDWEEK DASHBOARD'!$C$4="",ISNUMBER(SEARCH('MIDWEEK DASHBOARD'!$C$4,INDEX(MASTER_ZONES!$B:$B,636)))),635,""),""),""))</f>
        <v/>
      </c>
      <c r="P636">
        <f>IF('CHOP DASHBOARD'!$B$4="Area",IF(635&lt;=$S$3,IF(AND(OR('CHOP DASHBOARD'!$C$4="",ISNUMBER(SEARCH('CHOP DASHBOARD'!$C$4,INDEX(MASTER_AREAS!$B:$B,636))))),635,""),""),IF('CHOP DASHBOARD'!$B$4="Zone",IF(635&lt;=$S$4,IF(OR('CHOP DASHBOARD'!$C$4="",ISNUMBER(SEARCH('CHOP DASHBOARD'!$C$4,INDEX(MASTER_ZONES!$B:$B,636)))),635,""),""),""))</f>
        <v/>
      </c>
      <c r="U636">
        <f>IF('COMMUNITY CHURCH DASHBOARD'!$B$4="Area",IF(635&lt;=$X$3,IF(AND(OR('COMMUNITY CHURCH DASHBOARD'!$C$4="",ISNUMBER(SEARCH('COMMUNITY CHURCH DASHBOARD'!$C$4,INDEX(MASTER_AREAS!$B:$B,636))))),635,""),""),IF('COMMUNITY CHURCH DASHBOARD'!$B$4="Zone",IF(635&lt;=$X$4,IF(OR('COMMUNITY CHURCH DASHBOARD'!$C$4="",ISNUMBER(SEARCH('COMMUNITY CHURCH DASHBOARD'!$C$4,INDEX(MASTER_ZONES!$B:$B,636)))),635,""),""),""))</f>
        <v/>
      </c>
    </row>
    <row r="637">
      <c r="A637">
        <f>IF('WSF DASHBOARD'!$B$4="Area",IF(636&lt;=$D$3,IF(AND(OR('WSF DASHBOARD'!$C$4="",ISNUMBER(SEARCH('WSF DASHBOARD'!$C$4,INDEX(MASTER_AREAS!$B:$B,637))))),636,""),""),IF('WSF DASHBOARD'!$B$4="Zone",IF(636&lt;=$D$4,IF(OR('WSF DASHBOARD'!$C$4="",ISNUMBER(SEARCH('WSF DASHBOARD'!$C$4,INDEX(MASTER_ZONES!$B:$B,637)))),636,""),""),""))</f>
        <v/>
      </c>
      <c r="F637">
        <f>IF('TRANSPORT DASHBOARD'!$B$4="Area",IF(636&lt;=$I$3,IF(AND(INDEX(MASTER_AREAS!$F:$F,637)&lt;&gt;"N",OR('TRANSPORT DASHBOARD'!$C$4="",ISNUMBER(SEARCH('TRANSPORT DASHBOARD'!$C$4,INDEX(MASTER_AREAS!$B:$B,637))))),636,""),""),IF('TRANSPORT DASHBOARD'!$B$4="Zone",IF(636&lt;=$I$4,IF(OR('TRANSPORT DASHBOARD'!$C$4="",ISNUMBER(SEARCH('TRANSPORT DASHBOARD'!$C$4,INDEX(MASTER_ZONES!$B:$B,637)))),636,""),""),""))</f>
        <v/>
      </c>
      <c r="K637">
        <f>IF('MIDWEEK DASHBOARD'!$B$4="Area",IF(636&lt;=$N$3,IF(AND(OR('MIDWEEK DASHBOARD'!$C$4="",ISNUMBER(SEARCH('MIDWEEK DASHBOARD'!$C$4,INDEX(MASTER_AREAS!$B:$B,637))))),636,""),""),IF('MIDWEEK DASHBOARD'!$B$4="Zone",IF(636&lt;=$N$4,IF(OR('MIDWEEK DASHBOARD'!$C$4="",ISNUMBER(SEARCH('MIDWEEK DASHBOARD'!$C$4,INDEX(MASTER_ZONES!$B:$B,637)))),636,""),""),""))</f>
        <v/>
      </c>
      <c r="P637">
        <f>IF('CHOP DASHBOARD'!$B$4="Area",IF(636&lt;=$S$3,IF(AND(OR('CHOP DASHBOARD'!$C$4="",ISNUMBER(SEARCH('CHOP DASHBOARD'!$C$4,INDEX(MASTER_AREAS!$B:$B,637))))),636,""),""),IF('CHOP DASHBOARD'!$B$4="Zone",IF(636&lt;=$S$4,IF(OR('CHOP DASHBOARD'!$C$4="",ISNUMBER(SEARCH('CHOP DASHBOARD'!$C$4,INDEX(MASTER_ZONES!$B:$B,637)))),636,""),""),""))</f>
        <v/>
      </c>
      <c r="U637">
        <f>IF('COMMUNITY CHURCH DASHBOARD'!$B$4="Area",IF(636&lt;=$X$3,IF(AND(OR('COMMUNITY CHURCH DASHBOARD'!$C$4="",ISNUMBER(SEARCH('COMMUNITY CHURCH DASHBOARD'!$C$4,INDEX(MASTER_AREAS!$B:$B,637))))),636,""),""),IF('COMMUNITY CHURCH DASHBOARD'!$B$4="Zone",IF(636&lt;=$X$4,IF(OR('COMMUNITY CHURCH DASHBOARD'!$C$4="",ISNUMBER(SEARCH('COMMUNITY CHURCH DASHBOARD'!$C$4,INDEX(MASTER_ZONES!$B:$B,637)))),636,""),""),""))</f>
        <v/>
      </c>
    </row>
    <row r="638">
      <c r="A638">
        <f>IF('WSF DASHBOARD'!$B$4="Area",IF(637&lt;=$D$3,IF(AND(OR('WSF DASHBOARD'!$C$4="",ISNUMBER(SEARCH('WSF DASHBOARD'!$C$4,INDEX(MASTER_AREAS!$B:$B,638))))),637,""),""),IF('WSF DASHBOARD'!$B$4="Zone",IF(637&lt;=$D$4,IF(OR('WSF DASHBOARD'!$C$4="",ISNUMBER(SEARCH('WSF DASHBOARD'!$C$4,INDEX(MASTER_ZONES!$B:$B,638)))),637,""),""),""))</f>
        <v/>
      </c>
      <c r="F638">
        <f>IF('TRANSPORT DASHBOARD'!$B$4="Area",IF(637&lt;=$I$3,IF(AND(INDEX(MASTER_AREAS!$F:$F,638)&lt;&gt;"N",OR('TRANSPORT DASHBOARD'!$C$4="",ISNUMBER(SEARCH('TRANSPORT DASHBOARD'!$C$4,INDEX(MASTER_AREAS!$B:$B,638))))),637,""),""),IF('TRANSPORT DASHBOARD'!$B$4="Zone",IF(637&lt;=$I$4,IF(OR('TRANSPORT DASHBOARD'!$C$4="",ISNUMBER(SEARCH('TRANSPORT DASHBOARD'!$C$4,INDEX(MASTER_ZONES!$B:$B,638)))),637,""),""),""))</f>
        <v/>
      </c>
      <c r="K638">
        <f>IF('MIDWEEK DASHBOARD'!$B$4="Area",IF(637&lt;=$N$3,IF(AND(OR('MIDWEEK DASHBOARD'!$C$4="",ISNUMBER(SEARCH('MIDWEEK DASHBOARD'!$C$4,INDEX(MASTER_AREAS!$B:$B,638))))),637,""),""),IF('MIDWEEK DASHBOARD'!$B$4="Zone",IF(637&lt;=$N$4,IF(OR('MIDWEEK DASHBOARD'!$C$4="",ISNUMBER(SEARCH('MIDWEEK DASHBOARD'!$C$4,INDEX(MASTER_ZONES!$B:$B,638)))),637,""),""),""))</f>
        <v/>
      </c>
      <c r="P638">
        <f>IF('CHOP DASHBOARD'!$B$4="Area",IF(637&lt;=$S$3,IF(AND(OR('CHOP DASHBOARD'!$C$4="",ISNUMBER(SEARCH('CHOP DASHBOARD'!$C$4,INDEX(MASTER_AREAS!$B:$B,638))))),637,""),""),IF('CHOP DASHBOARD'!$B$4="Zone",IF(637&lt;=$S$4,IF(OR('CHOP DASHBOARD'!$C$4="",ISNUMBER(SEARCH('CHOP DASHBOARD'!$C$4,INDEX(MASTER_ZONES!$B:$B,638)))),637,""),""),""))</f>
        <v/>
      </c>
      <c r="U638">
        <f>IF('COMMUNITY CHURCH DASHBOARD'!$B$4="Area",IF(637&lt;=$X$3,IF(AND(OR('COMMUNITY CHURCH DASHBOARD'!$C$4="",ISNUMBER(SEARCH('COMMUNITY CHURCH DASHBOARD'!$C$4,INDEX(MASTER_AREAS!$B:$B,638))))),637,""),""),IF('COMMUNITY CHURCH DASHBOARD'!$B$4="Zone",IF(637&lt;=$X$4,IF(OR('COMMUNITY CHURCH DASHBOARD'!$C$4="",ISNUMBER(SEARCH('COMMUNITY CHURCH DASHBOARD'!$C$4,INDEX(MASTER_ZONES!$B:$B,638)))),637,""),""),""))</f>
        <v/>
      </c>
    </row>
    <row r="639">
      <c r="A639">
        <f>IF('WSF DASHBOARD'!$B$4="Area",IF(638&lt;=$D$3,IF(AND(OR('WSF DASHBOARD'!$C$4="",ISNUMBER(SEARCH('WSF DASHBOARD'!$C$4,INDEX(MASTER_AREAS!$B:$B,639))))),638,""),""),IF('WSF DASHBOARD'!$B$4="Zone",IF(638&lt;=$D$4,IF(OR('WSF DASHBOARD'!$C$4="",ISNUMBER(SEARCH('WSF DASHBOARD'!$C$4,INDEX(MASTER_ZONES!$B:$B,639)))),638,""),""),""))</f>
        <v/>
      </c>
      <c r="F639">
        <f>IF('TRANSPORT DASHBOARD'!$B$4="Area",IF(638&lt;=$I$3,IF(AND(INDEX(MASTER_AREAS!$F:$F,639)&lt;&gt;"N",OR('TRANSPORT DASHBOARD'!$C$4="",ISNUMBER(SEARCH('TRANSPORT DASHBOARD'!$C$4,INDEX(MASTER_AREAS!$B:$B,639))))),638,""),""),IF('TRANSPORT DASHBOARD'!$B$4="Zone",IF(638&lt;=$I$4,IF(OR('TRANSPORT DASHBOARD'!$C$4="",ISNUMBER(SEARCH('TRANSPORT DASHBOARD'!$C$4,INDEX(MASTER_ZONES!$B:$B,639)))),638,""),""),""))</f>
        <v/>
      </c>
      <c r="K639">
        <f>IF('MIDWEEK DASHBOARD'!$B$4="Area",IF(638&lt;=$N$3,IF(AND(OR('MIDWEEK DASHBOARD'!$C$4="",ISNUMBER(SEARCH('MIDWEEK DASHBOARD'!$C$4,INDEX(MASTER_AREAS!$B:$B,639))))),638,""),""),IF('MIDWEEK DASHBOARD'!$B$4="Zone",IF(638&lt;=$N$4,IF(OR('MIDWEEK DASHBOARD'!$C$4="",ISNUMBER(SEARCH('MIDWEEK DASHBOARD'!$C$4,INDEX(MASTER_ZONES!$B:$B,639)))),638,""),""),""))</f>
        <v/>
      </c>
      <c r="P639">
        <f>IF('CHOP DASHBOARD'!$B$4="Area",IF(638&lt;=$S$3,IF(AND(OR('CHOP DASHBOARD'!$C$4="",ISNUMBER(SEARCH('CHOP DASHBOARD'!$C$4,INDEX(MASTER_AREAS!$B:$B,639))))),638,""),""),IF('CHOP DASHBOARD'!$B$4="Zone",IF(638&lt;=$S$4,IF(OR('CHOP DASHBOARD'!$C$4="",ISNUMBER(SEARCH('CHOP DASHBOARD'!$C$4,INDEX(MASTER_ZONES!$B:$B,639)))),638,""),""),""))</f>
        <v/>
      </c>
      <c r="U639">
        <f>IF('COMMUNITY CHURCH DASHBOARD'!$B$4="Area",IF(638&lt;=$X$3,IF(AND(OR('COMMUNITY CHURCH DASHBOARD'!$C$4="",ISNUMBER(SEARCH('COMMUNITY CHURCH DASHBOARD'!$C$4,INDEX(MASTER_AREAS!$B:$B,639))))),638,""),""),IF('COMMUNITY CHURCH DASHBOARD'!$B$4="Zone",IF(638&lt;=$X$4,IF(OR('COMMUNITY CHURCH DASHBOARD'!$C$4="",ISNUMBER(SEARCH('COMMUNITY CHURCH DASHBOARD'!$C$4,INDEX(MASTER_ZONES!$B:$B,639)))),638,""),""),""))</f>
        <v/>
      </c>
    </row>
    <row r="640">
      <c r="A640">
        <f>IF('WSF DASHBOARD'!$B$4="Area",IF(639&lt;=$D$3,IF(AND(OR('WSF DASHBOARD'!$C$4="",ISNUMBER(SEARCH('WSF DASHBOARD'!$C$4,INDEX(MASTER_AREAS!$B:$B,640))))),639,""),""),IF('WSF DASHBOARD'!$B$4="Zone",IF(639&lt;=$D$4,IF(OR('WSF DASHBOARD'!$C$4="",ISNUMBER(SEARCH('WSF DASHBOARD'!$C$4,INDEX(MASTER_ZONES!$B:$B,640)))),639,""),""),""))</f>
        <v/>
      </c>
      <c r="F640">
        <f>IF('TRANSPORT DASHBOARD'!$B$4="Area",IF(639&lt;=$I$3,IF(AND(INDEX(MASTER_AREAS!$F:$F,640)&lt;&gt;"N",OR('TRANSPORT DASHBOARD'!$C$4="",ISNUMBER(SEARCH('TRANSPORT DASHBOARD'!$C$4,INDEX(MASTER_AREAS!$B:$B,640))))),639,""),""),IF('TRANSPORT DASHBOARD'!$B$4="Zone",IF(639&lt;=$I$4,IF(OR('TRANSPORT DASHBOARD'!$C$4="",ISNUMBER(SEARCH('TRANSPORT DASHBOARD'!$C$4,INDEX(MASTER_ZONES!$B:$B,640)))),639,""),""),""))</f>
        <v/>
      </c>
      <c r="K640">
        <f>IF('MIDWEEK DASHBOARD'!$B$4="Area",IF(639&lt;=$N$3,IF(AND(OR('MIDWEEK DASHBOARD'!$C$4="",ISNUMBER(SEARCH('MIDWEEK DASHBOARD'!$C$4,INDEX(MASTER_AREAS!$B:$B,640))))),639,""),""),IF('MIDWEEK DASHBOARD'!$B$4="Zone",IF(639&lt;=$N$4,IF(OR('MIDWEEK DASHBOARD'!$C$4="",ISNUMBER(SEARCH('MIDWEEK DASHBOARD'!$C$4,INDEX(MASTER_ZONES!$B:$B,640)))),639,""),""),""))</f>
        <v/>
      </c>
      <c r="P640">
        <f>IF('CHOP DASHBOARD'!$B$4="Area",IF(639&lt;=$S$3,IF(AND(OR('CHOP DASHBOARD'!$C$4="",ISNUMBER(SEARCH('CHOP DASHBOARD'!$C$4,INDEX(MASTER_AREAS!$B:$B,640))))),639,""),""),IF('CHOP DASHBOARD'!$B$4="Zone",IF(639&lt;=$S$4,IF(OR('CHOP DASHBOARD'!$C$4="",ISNUMBER(SEARCH('CHOP DASHBOARD'!$C$4,INDEX(MASTER_ZONES!$B:$B,640)))),639,""),""),""))</f>
        <v/>
      </c>
      <c r="U640">
        <f>IF('COMMUNITY CHURCH DASHBOARD'!$B$4="Area",IF(639&lt;=$X$3,IF(AND(OR('COMMUNITY CHURCH DASHBOARD'!$C$4="",ISNUMBER(SEARCH('COMMUNITY CHURCH DASHBOARD'!$C$4,INDEX(MASTER_AREAS!$B:$B,640))))),639,""),""),IF('COMMUNITY CHURCH DASHBOARD'!$B$4="Zone",IF(639&lt;=$X$4,IF(OR('COMMUNITY CHURCH DASHBOARD'!$C$4="",ISNUMBER(SEARCH('COMMUNITY CHURCH DASHBOARD'!$C$4,INDEX(MASTER_ZONES!$B:$B,640)))),639,""),""),""))</f>
        <v/>
      </c>
    </row>
    <row r="641">
      <c r="A641">
        <f>IF('WSF DASHBOARD'!$B$4="Area",IF(640&lt;=$D$3,IF(AND(OR('WSF DASHBOARD'!$C$4="",ISNUMBER(SEARCH('WSF DASHBOARD'!$C$4,INDEX(MASTER_AREAS!$B:$B,641))))),640,""),""),IF('WSF DASHBOARD'!$B$4="Zone",IF(640&lt;=$D$4,IF(OR('WSF DASHBOARD'!$C$4="",ISNUMBER(SEARCH('WSF DASHBOARD'!$C$4,INDEX(MASTER_ZONES!$B:$B,641)))),640,""),""),""))</f>
        <v/>
      </c>
      <c r="F641">
        <f>IF('TRANSPORT DASHBOARD'!$B$4="Area",IF(640&lt;=$I$3,IF(AND(INDEX(MASTER_AREAS!$F:$F,641)&lt;&gt;"N",OR('TRANSPORT DASHBOARD'!$C$4="",ISNUMBER(SEARCH('TRANSPORT DASHBOARD'!$C$4,INDEX(MASTER_AREAS!$B:$B,641))))),640,""),""),IF('TRANSPORT DASHBOARD'!$B$4="Zone",IF(640&lt;=$I$4,IF(OR('TRANSPORT DASHBOARD'!$C$4="",ISNUMBER(SEARCH('TRANSPORT DASHBOARD'!$C$4,INDEX(MASTER_ZONES!$B:$B,641)))),640,""),""),""))</f>
        <v/>
      </c>
      <c r="K641">
        <f>IF('MIDWEEK DASHBOARD'!$B$4="Area",IF(640&lt;=$N$3,IF(AND(OR('MIDWEEK DASHBOARD'!$C$4="",ISNUMBER(SEARCH('MIDWEEK DASHBOARD'!$C$4,INDEX(MASTER_AREAS!$B:$B,641))))),640,""),""),IF('MIDWEEK DASHBOARD'!$B$4="Zone",IF(640&lt;=$N$4,IF(OR('MIDWEEK DASHBOARD'!$C$4="",ISNUMBER(SEARCH('MIDWEEK DASHBOARD'!$C$4,INDEX(MASTER_ZONES!$B:$B,641)))),640,""),""),""))</f>
        <v/>
      </c>
      <c r="P641">
        <f>IF('CHOP DASHBOARD'!$B$4="Area",IF(640&lt;=$S$3,IF(AND(OR('CHOP DASHBOARD'!$C$4="",ISNUMBER(SEARCH('CHOP DASHBOARD'!$C$4,INDEX(MASTER_AREAS!$B:$B,641))))),640,""),""),IF('CHOP DASHBOARD'!$B$4="Zone",IF(640&lt;=$S$4,IF(OR('CHOP DASHBOARD'!$C$4="",ISNUMBER(SEARCH('CHOP DASHBOARD'!$C$4,INDEX(MASTER_ZONES!$B:$B,641)))),640,""),""),""))</f>
        <v/>
      </c>
      <c r="U641">
        <f>IF('COMMUNITY CHURCH DASHBOARD'!$B$4="Area",IF(640&lt;=$X$3,IF(AND(OR('COMMUNITY CHURCH DASHBOARD'!$C$4="",ISNUMBER(SEARCH('COMMUNITY CHURCH DASHBOARD'!$C$4,INDEX(MASTER_AREAS!$B:$B,641))))),640,""),""),IF('COMMUNITY CHURCH DASHBOARD'!$B$4="Zone",IF(640&lt;=$X$4,IF(OR('COMMUNITY CHURCH DASHBOARD'!$C$4="",ISNUMBER(SEARCH('COMMUNITY CHURCH DASHBOARD'!$C$4,INDEX(MASTER_ZONES!$B:$B,641)))),640,""),""),""))</f>
        <v/>
      </c>
    </row>
    <row r="642">
      <c r="A642">
        <f>IF('WSF DASHBOARD'!$B$4="Area",IF(641&lt;=$D$3,IF(AND(OR('WSF DASHBOARD'!$C$4="",ISNUMBER(SEARCH('WSF DASHBOARD'!$C$4,INDEX(MASTER_AREAS!$B:$B,642))))),641,""),""),IF('WSF DASHBOARD'!$B$4="Zone",IF(641&lt;=$D$4,IF(OR('WSF DASHBOARD'!$C$4="",ISNUMBER(SEARCH('WSF DASHBOARD'!$C$4,INDEX(MASTER_ZONES!$B:$B,642)))),641,""),""),""))</f>
        <v/>
      </c>
      <c r="F642">
        <f>IF('TRANSPORT DASHBOARD'!$B$4="Area",IF(641&lt;=$I$3,IF(AND(INDEX(MASTER_AREAS!$F:$F,642)&lt;&gt;"N",OR('TRANSPORT DASHBOARD'!$C$4="",ISNUMBER(SEARCH('TRANSPORT DASHBOARD'!$C$4,INDEX(MASTER_AREAS!$B:$B,642))))),641,""),""),IF('TRANSPORT DASHBOARD'!$B$4="Zone",IF(641&lt;=$I$4,IF(OR('TRANSPORT DASHBOARD'!$C$4="",ISNUMBER(SEARCH('TRANSPORT DASHBOARD'!$C$4,INDEX(MASTER_ZONES!$B:$B,642)))),641,""),""),""))</f>
        <v/>
      </c>
      <c r="K642">
        <f>IF('MIDWEEK DASHBOARD'!$B$4="Area",IF(641&lt;=$N$3,IF(AND(OR('MIDWEEK DASHBOARD'!$C$4="",ISNUMBER(SEARCH('MIDWEEK DASHBOARD'!$C$4,INDEX(MASTER_AREAS!$B:$B,642))))),641,""),""),IF('MIDWEEK DASHBOARD'!$B$4="Zone",IF(641&lt;=$N$4,IF(OR('MIDWEEK DASHBOARD'!$C$4="",ISNUMBER(SEARCH('MIDWEEK DASHBOARD'!$C$4,INDEX(MASTER_ZONES!$B:$B,642)))),641,""),""),""))</f>
        <v/>
      </c>
      <c r="P642">
        <f>IF('CHOP DASHBOARD'!$B$4="Area",IF(641&lt;=$S$3,IF(AND(OR('CHOP DASHBOARD'!$C$4="",ISNUMBER(SEARCH('CHOP DASHBOARD'!$C$4,INDEX(MASTER_AREAS!$B:$B,642))))),641,""),""),IF('CHOP DASHBOARD'!$B$4="Zone",IF(641&lt;=$S$4,IF(OR('CHOP DASHBOARD'!$C$4="",ISNUMBER(SEARCH('CHOP DASHBOARD'!$C$4,INDEX(MASTER_ZONES!$B:$B,642)))),641,""),""),""))</f>
        <v/>
      </c>
      <c r="U642">
        <f>IF('COMMUNITY CHURCH DASHBOARD'!$B$4="Area",IF(641&lt;=$X$3,IF(AND(OR('COMMUNITY CHURCH DASHBOARD'!$C$4="",ISNUMBER(SEARCH('COMMUNITY CHURCH DASHBOARD'!$C$4,INDEX(MASTER_AREAS!$B:$B,642))))),641,""),""),IF('COMMUNITY CHURCH DASHBOARD'!$B$4="Zone",IF(641&lt;=$X$4,IF(OR('COMMUNITY CHURCH DASHBOARD'!$C$4="",ISNUMBER(SEARCH('COMMUNITY CHURCH DASHBOARD'!$C$4,INDEX(MASTER_ZONES!$B:$B,642)))),641,""),""),""))</f>
        <v/>
      </c>
    </row>
    <row r="643">
      <c r="A643">
        <f>IF('WSF DASHBOARD'!$B$4="Area",IF(642&lt;=$D$3,IF(AND(OR('WSF DASHBOARD'!$C$4="",ISNUMBER(SEARCH('WSF DASHBOARD'!$C$4,INDEX(MASTER_AREAS!$B:$B,643))))),642,""),""),IF('WSF DASHBOARD'!$B$4="Zone",IF(642&lt;=$D$4,IF(OR('WSF DASHBOARD'!$C$4="",ISNUMBER(SEARCH('WSF DASHBOARD'!$C$4,INDEX(MASTER_ZONES!$B:$B,643)))),642,""),""),""))</f>
        <v/>
      </c>
      <c r="F643">
        <f>IF('TRANSPORT DASHBOARD'!$B$4="Area",IF(642&lt;=$I$3,IF(AND(INDEX(MASTER_AREAS!$F:$F,643)&lt;&gt;"N",OR('TRANSPORT DASHBOARD'!$C$4="",ISNUMBER(SEARCH('TRANSPORT DASHBOARD'!$C$4,INDEX(MASTER_AREAS!$B:$B,643))))),642,""),""),IF('TRANSPORT DASHBOARD'!$B$4="Zone",IF(642&lt;=$I$4,IF(OR('TRANSPORT DASHBOARD'!$C$4="",ISNUMBER(SEARCH('TRANSPORT DASHBOARD'!$C$4,INDEX(MASTER_ZONES!$B:$B,643)))),642,""),""),""))</f>
        <v/>
      </c>
      <c r="K643">
        <f>IF('MIDWEEK DASHBOARD'!$B$4="Area",IF(642&lt;=$N$3,IF(AND(OR('MIDWEEK DASHBOARD'!$C$4="",ISNUMBER(SEARCH('MIDWEEK DASHBOARD'!$C$4,INDEX(MASTER_AREAS!$B:$B,643))))),642,""),""),IF('MIDWEEK DASHBOARD'!$B$4="Zone",IF(642&lt;=$N$4,IF(OR('MIDWEEK DASHBOARD'!$C$4="",ISNUMBER(SEARCH('MIDWEEK DASHBOARD'!$C$4,INDEX(MASTER_ZONES!$B:$B,643)))),642,""),""),""))</f>
        <v/>
      </c>
      <c r="P643">
        <f>IF('CHOP DASHBOARD'!$B$4="Area",IF(642&lt;=$S$3,IF(AND(OR('CHOP DASHBOARD'!$C$4="",ISNUMBER(SEARCH('CHOP DASHBOARD'!$C$4,INDEX(MASTER_AREAS!$B:$B,643))))),642,""),""),IF('CHOP DASHBOARD'!$B$4="Zone",IF(642&lt;=$S$4,IF(OR('CHOP DASHBOARD'!$C$4="",ISNUMBER(SEARCH('CHOP DASHBOARD'!$C$4,INDEX(MASTER_ZONES!$B:$B,643)))),642,""),""),""))</f>
        <v/>
      </c>
      <c r="U643">
        <f>IF('COMMUNITY CHURCH DASHBOARD'!$B$4="Area",IF(642&lt;=$X$3,IF(AND(OR('COMMUNITY CHURCH DASHBOARD'!$C$4="",ISNUMBER(SEARCH('COMMUNITY CHURCH DASHBOARD'!$C$4,INDEX(MASTER_AREAS!$B:$B,643))))),642,""),""),IF('COMMUNITY CHURCH DASHBOARD'!$B$4="Zone",IF(642&lt;=$X$4,IF(OR('COMMUNITY CHURCH DASHBOARD'!$C$4="",ISNUMBER(SEARCH('COMMUNITY CHURCH DASHBOARD'!$C$4,INDEX(MASTER_ZONES!$B:$B,643)))),642,""),""),""))</f>
        <v/>
      </c>
    </row>
    <row r="644">
      <c r="A644">
        <f>IF('WSF DASHBOARD'!$B$4="Area",IF(643&lt;=$D$3,IF(AND(OR('WSF DASHBOARD'!$C$4="",ISNUMBER(SEARCH('WSF DASHBOARD'!$C$4,INDEX(MASTER_AREAS!$B:$B,644))))),643,""),""),IF('WSF DASHBOARD'!$B$4="Zone",IF(643&lt;=$D$4,IF(OR('WSF DASHBOARD'!$C$4="",ISNUMBER(SEARCH('WSF DASHBOARD'!$C$4,INDEX(MASTER_ZONES!$B:$B,644)))),643,""),""),""))</f>
        <v/>
      </c>
      <c r="F644">
        <f>IF('TRANSPORT DASHBOARD'!$B$4="Area",IF(643&lt;=$I$3,IF(AND(INDEX(MASTER_AREAS!$F:$F,644)&lt;&gt;"N",OR('TRANSPORT DASHBOARD'!$C$4="",ISNUMBER(SEARCH('TRANSPORT DASHBOARD'!$C$4,INDEX(MASTER_AREAS!$B:$B,644))))),643,""),""),IF('TRANSPORT DASHBOARD'!$B$4="Zone",IF(643&lt;=$I$4,IF(OR('TRANSPORT DASHBOARD'!$C$4="",ISNUMBER(SEARCH('TRANSPORT DASHBOARD'!$C$4,INDEX(MASTER_ZONES!$B:$B,644)))),643,""),""),""))</f>
        <v/>
      </c>
      <c r="K644">
        <f>IF('MIDWEEK DASHBOARD'!$B$4="Area",IF(643&lt;=$N$3,IF(AND(OR('MIDWEEK DASHBOARD'!$C$4="",ISNUMBER(SEARCH('MIDWEEK DASHBOARD'!$C$4,INDEX(MASTER_AREAS!$B:$B,644))))),643,""),""),IF('MIDWEEK DASHBOARD'!$B$4="Zone",IF(643&lt;=$N$4,IF(OR('MIDWEEK DASHBOARD'!$C$4="",ISNUMBER(SEARCH('MIDWEEK DASHBOARD'!$C$4,INDEX(MASTER_ZONES!$B:$B,644)))),643,""),""),""))</f>
        <v/>
      </c>
      <c r="P644">
        <f>IF('CHOP DASHBOARD'!$B$4="Area",IF(643&lt;=$S$3,IF(AND(OR('CHOP DASHBOARD'!$C$4="",ISNUMBER(SEARCH('CHOP DASHBOARD'!$C$4,INDEX(MASTER_AREAS!$B:$B,644))))),643,""),""),IF('CHOP DASHBOARD'!$B$4="Zone",IF(643&lt;=$S$4,IF(OR('CHOP DASHBOARD'!$C$4="",ISNUMBER(SEARCH('CHOP DASHBOARD'!$C$4,INDEX(MASTER_ZONES!$B:$B,644)))),643,""),""),""))</f>
        <v/>
      </c>
      <c r="U644">
        <f>IF('COMMUNITY CHURCH DASHBOARD'!$B$4="Area",IF(643&lt;=$X$3,IF(AND(OR('COMMUNITY CHURCH DASHBOARD'!$C$4="",ISNUMBER(SEARCH('COMMUNITY CHURCH DASHBOARD'!$C$4,INDEX(MASTER_AREAS!$B:$B,644))))),643,""),""),IF('COMMUNITY CHURCH DASHBOARD'!$B$4="Zone",IF(643&lt;=$X$4,IF(OR('COMMUNITY CHURCH DASHBOARD'!$C$4="",ISNUMBER(SEARCH('COMMUNITY CHURCH DASHBOARD'!$C$4,INDEX(MASTER_ZONES!$B:$B,644)))),643,""),""),""))</f>
        <v/>
      </c>
    </row>
    <row r="645">
      <c r="A645">
        <f>IF('WSF DASHBOARD'!$B$4="Area",IF(644&lt;=$D$3,IF(AND(OR('WSF DASHBOARD'!$C$4="",ISNUMBER(SEARCH('WSF DASHBOARD'!$C$4,INDEX(MASTER_AREAS!$B:$B,645))))),644,""),""),IF('WSF DASHBOARD'!$B$4="Zone",IF(644&lt;=$D$4,IF(OR('WSF DASHBOARD'!$C$4="",ISNUMBER(SEARCH('WSF DASHBOARD'!$C$4,INDEX(MASTER_ZONES!$B:$B,645)))),644,""),""),""))</f>
        <v/>
      </c>
      <c r="F645">
        <f>IF('TRANSPORT DASHBOARD'!$B$4="Area",IF(644&lt;=$I$3,IF(AND(INDEX(MASTER_AREAS!$F:$F,645)&lt;&gt;"N",OR('TRANSPORT DASHBOARD'!$C$4="",ISNUMBER(SEARCH('TRANSPORT DASHBOARD'!$C$4,INDEX(MASTER_AREAS!$B:$B,645))))),644,""),""),IF('TRANSPORT DASHBOARD'!$B$4="Zone",IF(644&lt;=$I$4,IF(OR('TRANSPORT DASHBOARD'!$C$4="",ISNUMBER(SEARCH('TRANSPORT DASHBOARD'!$C$4,INDEX(MASTER_ZONES!$B:$B,645)))),644,""),""),""))</f>
        <v/>
      </c>
      <c r="K645">
        <f>IF('MIDWEEK DASHBOARD'!$B$4="Area",IF(644&lt;=$N$3,IF(AND(OR('MIDWEEK DASHBOARD'!$C$4="",ISNUMBER(SEARCH('MIDWEEK DASHBOARD'!$C$4,INDEX(MASTER_AREAS!$B:$B,645))))),644,""),""),IF('MIDWEEK DASHBOARD'!$B$4="Zone",IF(644&lt;=$N$4,IF(OR('MIDWEEK DASHBOARD'!$C$4="",ISNUMBER(SEARCH('MIDWEEK DASHBOARD'!$C$4,INDEX(MASTER_ZONES!$B:$B,645)))),644,""),""),""))</f>
        <v/>
      </c>
      <c r="P645">
        <f>IF('CHOP DASHBOARD'!$B$4="Area",IF(644&lt;=$S$3,IF(AND(OR('CHOP DASHBOARD'!$C$4="",ISNUMBER(SEARCH('CHOP DASHBOARD'!$C$4,INDEX(MASTER_AREAS!$B:$B,645))))),644,""),""),IF('CHOP DASHBOARD'!$B$4="Zone",IF(644&lt;=$S$4,IF(OR('CHOP DASHBOARD'!$C$4="",ISNUMBER(SEARCH('CHOP DASHBOARD'!$C$4,INDEX(MASTER_ZONES!$B:$B,645)))),644,""),""),""))</f>
        <v/>
      </c>
      <c r="U645">
        <f>IF('COMMUNITY CHURCH DASHBOARD'!$B$4="Area",IF(644&lt;=$X$3,IF(AND(OR('COMMUNITY CHURCH DASHBOARD'!$C$4="",ISNUMBER(SEARCH('COMMUNITY CHURCH DASHBOARD'!$C$4,INDEX(MASTER_AREAS!$B:$B,645))))),644,""),""),IF('COMMUNITY CHURCH DASHBOARD'!$B$4="Zone",IF(644&lt;=$X$4,IF(OR('COMMUNITY CHURCH DASHBOARD'!$C$4="",ISNUMBER(SEARCH('COMMUNITY CHURCH DASHBOARD'!$C$4,INDEX(MASTER_ZONES!$B:$B,645)))),644,""),""),""))</f>
        <v/>
      </c>
    </row>
    <row r="646">
      <c r="A646">
        <f>IF('WSF DASHBOARD'!$B$4="Area",IF(645&lt;=$D$3,IF(AND(OR('WSF DASHBOARD'!$C$4="",ISNUMBER(SEARCH('WSF DASHBOARD'!$C$4,INDEX(MASTER_AREAS!$B:$B,646))))),645,""),""),IF('WSF DASHBOARD'!$B$4="Zone",IF(645&lt;=$D$4,IF(OR('WSF DASHBOARD'!$C$4="",ISNUMBER(SEARCH('WSF DASHBOARD'!$C$4,INDEX(MASTER_ZONES!$B:$B,646)))),645,""),""),""))</f>
        <v/>
      </c>
      <c r="F646">
        <f>IF('TRANSPORT DASHBOARD'!$B$4="Area",IF(645&lt;=$I$3,IF(AND(INDEX(MASTER_AREAS!$F:$F,646)&lt;&gt;"N",OR('TRANSPORT DASHBOARD'!$C$4="",ISNUMBER(SEARCH('TRANSPORT DASHBOARD'!$C$4,INDEX(MASTER_AREAS!$B:$B,646))))),645,""),""),IF('TRANSPORT DASHBOARD'!$B$4="Zone",IF(645&lt;=$I$4,IF(OR('TRANSPORT DASHBOARD'!$C$4="",ISNUMBER(SEARCH('TRANSPORT DASHBOARD'!$C$4,INDEX(MASTER_ZONES!$B:$B,646)))),645,""),""),""))</f>
        <v/>
      </c>
      <c r="K646">
        <f>IF('MIDWEEK DASHBOARD'!$B$4="Area",IF(645&lt;=$N$3,IF(AND(OR('MIDWEEK DASHBOARD'!$C$4="",ISNUMBER(SEARCH('MIDWEEK DASHBOARD'!$C$4,INDEX(MASTER_AREAS!$B:$B,646))))),645,""),""),IF('MIDWEEK DASHBOARD'!$B$4="Zone",IF(645&lt;=$N$4,IF(OR('MIDWEEK DASHBOARD'!$C$4="",ISNUMBER(SEARCH('MIDWEEK DASHBOARD'!$C$4,INDEX(MASTER_ZONES!$B:$B,646)))),645,""),""),""))</f>
        <v/>
      </c>
      <c r="P646">
        <f>IF('CHOP DASHBOARD'!$B$4="Area",IF(645&lt;=$S$3,IF(AND(OR('CHOP DASHBOARD'!$C$4="",ISNUMBER(SEARCH('CHOP DASHBOARD'!$C$4,INDEX(MASTER_AREAS!$B:$B,646))))),645,""),""),IF('CHOP DASHBOARD'!$B$4="Zone",IF(645&lt;=$S$4,IF(OR('CHOP DASHBOARD'!$C$4="",ISNUMBER(SEARCH('CHOP DASHBOARD'!$C$4,INDEX(MASTER_ZONES!$B:$B,646)))),645,""),""),""))</f>
        <v/>
      </c>
      <c r="U646">
        <f>IF('COMMUNITY CHURCH DASHBOARD'!$B$4="Area",IF(645&lt;=$X$3,IF(AND(OR('COMMUNITY CHURCH DASHBOARD'!$C$4="",ISNUMBER(SEARCH('COMMUNITY CHURCH DASHBOARD'!$C$4,INDEX(MASTER_AREAS!$B:$B,646))))),645,""),""),IF('COMMUNITY CHURCH DASHBOARD'!$B$4="Zone",IF(645&lt;=$X$4,IF(OR('COMMUNITY CHURCH DASHBOARD'!$C$4="",ISNUMBER(SEARCH('COMMUNITY CHURCH DASHBOARD'!$C$4,INDEX(MASTER_ZONES!$B:$B,646)))),645,""),""),""))</f>
        <v/>
      </c>
    </row>
    <row r="647">
      <c r="A647">
        <f>IF('WSF DASHBOARD'!$B$4="Area",IF(646&lt;=$D$3,IF(AND(OR('WSF DASHBOARD'!$C$4="",ISNUMBER(SEARCH('WSF DASHBOARD'!$C$4,INDEX(MASTER_AREAS!$B:$B,647))))),646,""),""),IF('WSF DASHBOARD'!$B$4="Zone",IF(646&lt;=$D$4,IF(OR('WSF DASHBOARD'!$C$4="",ISNUMBER(SEARCH('WSF DASHBOARD'!$C$4,INDEX(MASTER_ZONES!$B:$B,647)))),646,""),""),""))</f>
        <v/>
      </c>
      <c r="F647">
        <f>IF('TRANSPORT DASHBOARD'!$B$4="Area",IF(646&lt;=$I$3,IF(AND(INDEX(MASTER_AREAS!$F:$F,647)&lt;&gt;"N",OR('TRANSPORT DASHBOARD'!$C$4="",ISNUMBER(SEARCH('TRANSPORT DASHBOARD'!$C$4,INDEX(MASTER_AREAS!$B:$B,647))))),646,""),""),IF('TRANSPORT DASHBOARD'!$B$4="Zone",IF(646&lt;=$I$4,IF(OR('TRANSPORT DASHBOARD'!$C$4="",ISNUMBER(SEARCH('TRANSPORT DASHBOARD'!$C$4,INDEX(MASTER_ZONES!$B:$B,647)))),646,""),""),""))</f>
        <v/>
      </c>
      <c r="K647">
        <f>IF('MIDWEEK DASHBOARD'!$B$4="Area",IF(646&lt;=$N$3,IF(AND(OR('MIDWEEK DASHBOARD'!$C$4="",ISNUMBER(SEARCH('MIDWEEK DASHBOARD'!$C$4,INDEX(MASTER_AREAS!$B:$B,647))))),646,""),""),IF('MIDWEEK DASHBOARD'!$B$4="Zone",IF(646&lt;=$N$4,IF(OR('MIDWEEK DASHBOARD'!$C$4="",ISNUMBER(SEARCH('MIDWEEK DASHBOARD'!$C$4,INDEX(MASTER_ZONES!$B:$B,647)))),646,""),""),""))</f>
        <v/>
      </c>
      <c r="P647">
        <f>IF('CHOP DASHBOARD'!$B$4="Area",IF(646&lt;=$S$3,IF(AND(OR('CHOP DASHBOARD'!$C$4="",ISNUMBER(SEARCH('CHOP DASHBOARD'!$C$4,INDEX(MASTER_AREAS!$B:$B,647))))),646,""),""),IF('CHOP DASHBOARD'!$B$4="Zone",IF(646&lt;=$S$4,IF(OR('CHOP DASHBOARD'!$C$4="",ISNUMBER(SEARCH('CHOP DASHBOARD'!$C$4,INDEX(MASTER_ZONES!$B:$B,647)))),646,""),""),""))</f>
        <v/>
      </c>
      <c r="U647">
        <f>IF('COMMUNITY CHURCH DASHBOARD'!$B$4="Area",IF(646&lt;=$X$3,IF(AND(OR('COMMUNITY CHURCH DASHBOARD'!$C$4="",ISNUMBER(SEARCH('COMMUNITY CHURCH DASHBOARD'!$C$4,INDEX(MASTER_AREAS!$B:$B,647))))),646,""),""),IF('COMMUNITY CHURCH DASHBOARD'!$B$4="Zone",IF(646&lt;=$X$4,IF(OR('COMMUNITY CHURCH DASHBOARD'!$C$4="",ISNUMBER(SEARCH('COMMUNITY CHURCH DASHBOARD'!$C$4,INDEX(MASTER_ZONES!$B:$B,647)))),646,""),""),""))</f>
        <v/>
      </c>
    </row>
    <row r="648">
      <c r="A648">
        <f>IF('WSF DASHBOARD'!$B$4="Area",IF(647&lt;=$D$3,IF(AND(OR('WSF DASHBOARD'!$C$4="",ISNUMBER(SEARCH('WSF DASHBOARD'!$C$4,INDEX(MASTER_AREAS!$B:$B,648))))),647,""),""),IF('WSF DASHBOARD'!$B$4="Zone",IF(647&lt;=$D$4,IF(OR('WSF DASHBOARD'!$C$4="",ISNUMBER(SEARCH('WSF DASHBOARD'!$C$4,INDEX(MASTER_ZONES!$B:$B,648)))),647,""),""),""))</f>
        <v/>
      </c>
      <c r="F648">
        <f>IF('TRANSPORT DASHBOARD'!$B$4="Area",IF(647&lt;=$I$3,IF(AND(INDEX(MASTER_AREAS!$F:$F,648)&lt;&gt;"N",OR('TRANSPORT DASHBOARD'!$C$4="",ISNUMBER(SEARCH('TRANSPORT DASHBOARD'!$C$4,INDEX(MASTER_AREAS!$B:$B,648))))),647,""),""),IF('TRANSPORT DASHBOARD'!$B$4="Zone",IF(647&lt;=$I$4,IF(OR('TRANSPORT DASHBOARD'!$C$4="",ISNUMBER(SEARCH('TRANSPORT DASHBOARD'!$C$4,INDEX(MASTER_ZONES!$B:$B,648)))),647,""),""),""))</f>
        <v/>
      </c>
      <c r="K648">
        <f>IF('MIDWEEK DASHBOARD'!$B$4="Area",IF(647&lt;=$N$3,IF(AND(OR('MIDWEEK DASHBOARD'!$C$4="",ISNUMBER(SEARCH('MIDWEEK DASHBOARD'!$C$4,INDEX(MASTER_AREAS!$B:$B,648))))),647,""),""),IF('MIDWEEK DASHBOARD'!$B$4="Zone",IF(647&lt;=$N$4,IF(OR('MIDWEEK DASHBOARD'!$C$4="",ISNUMBER(SEARCH('MIDWEEK DASHBOARD'!$C$4,INDEX(MASTER_ZONES!$B:$B,648)))),647,""),""),""))</f>
        <v/>
      </c>
      <c r="P648">
        <f>IF('CHOP DASHBOARD'!$B$4="Area",IF(647&lt;=$S$3,IF(AND(OR('CHOP DASHBOARD'!$C$4="",ISNUMBER(SEARCH('CHOP DASHBOARD'!$C$4,INDEX(MASTER_AREAS!$B:$B,648))))),647,""),""),IF('CHOP DASHBOARD'!$B$4="Zone",IF(647&lt;=$S$4,IF(OR('CHOP DASHBOARD'!$C$4="",ISNUMBER(SEARCH('CHOP DASHBOARD'!$C$4,INDEX(MASTER_ZONES!$B:$B,648)))),647,""),""),""))</f>
        <v/>
      </c>
      <c r="U648">
        <f>IF('COMMUNITY CHURCH DASHBOARD'!$B$4="Area",IF(647&lt;=$X$3,IF(AND(OR('COMMUNITY CHURCH DASHBOARD'!$C$4="",ISNUMBER(SEARCH('COMMUNITY CHURCH DASHBOARD'!$C$4,INDEX(MASTER_AREAS!$B:$B,648))))),647,""),""),IF('COMMUNITY CHURCH DASHBOARD'!$B$4="Zone",IF(647&lt;=$X$4,IF(OR('COMMUNITY CHURCH DASHBOARD'!$C$4="",ISNUMBER(SEARCH('COMMUNITY CHURCH DASHBOARD'!$C$4,INDEX(MASTER_ZONES!$B:$B,648)))),647,""),""),""))</f>
        <v/>
      </c>
    </row>
    <row r="649">
      <c r="A649">
        <f>IF('WSF DASHBOARD'!$B$4="Area",IF(648&lt;=$D$3,IF(AND(OR('WSF DASHBOARD'!$C$4="",ISNUMBER(SEARCH('WSF DASHBOARD'!$C$4,INDEX(MASTER_AREAS!$B:$B,649))))),648,""),""),IF('WSF DASHBOARD'!$B$4="Zone",IF(648&lt;=$D$4,IF(OR('WSF DASHBOARD'!$C$4="",ISNUMBER(SEARCH('WSF DASHBOARD'!$C$4,INDEX(MASTER_ZONES!$B:$B,649)))),648,""),""),""))</f>
        <v/>
      </c>
      <c r="F649">
        <f>IF('TRANSPORT DASHBOARD'!$B$4="Area",IF(648&lt;=$I$3,IF(AND(INDEX(MASTER_AREAS!$F:$F,649)&lt;&gt;"N",OR('TRANSPORT DASHBOARD'!$C$4="",ISNUMBER(SEARCH('TRANSPORT DASHBOARD'!$C$4,INDEX(MASTER_AREAS!$B:$B,649))))),648,""),""),IF('TRANSPORT DASHBOARD'!$B$4="Zone",IF(648&lt;=$I$4,IF(OR('TRANSPORT DASHBOARD'!$C$4="",ISNUMBER(SEARCH('TRANSPORT DASHBOARD'!$C$4,INDEX(MASTER_ZONES!$B:$B,649)))),648,""),""),""))</f>
        <v/>
      </c>
      <c r="K649">
        <f>IF('MIDWEEK DASHBOARD'!$B$4="Area",IF(648&lt;=$N$3,IF(AND(OR('MIDWEEK DASHBOARD'!$C$4="",ISNUMBER(SEARCH('MIDWEEK DASHBOARD'!$C$4,INDEX(MASTER_AREAS!$B:$B,649))))),648,""),""),IF('MIDWEEK DASHBOARD'!$B$4="Zone",IF(648&lt;=$N$4,IF(OR('MIDWEEK DASHBOARD'!$C$4="",ISNUMBER(SEARCH('MIDWEEK DASHBOARD'!$C$4,INDEX(MASTER_ZONES!$B:$B,649)))),648,""),""),""))</f>
        <v/>
      </c>
      <c r="P649">
        <f>IF('CHOP DASHBOARD'!$B$4="Area",IF(648&lt;=$S$3,IF(AND(OR('CHOP DASHBOARD'!$C$4="",ISNUMBER(SEARCH('CHOP DASHBOARD'!$C$4,INDEX(MASTER_AREAS!$B:$B,649))))),648,""),""),IF('CHOP DASHBOARD'!$B$4="Zone",IF(648&lt;=$S$4,IF(OR('CHOP DASHBOARD'!$C$4="",ISNUMBER(SEARCH('CHOP DASHBOARD'!$C$4,INDEX(MASTER_ZONES!$B:$B,649)))),648,""),""),""))</f>
        <v/>
      </c>
      <c r="U649">
        <f>IF('COMMUNITY CHURCH DASHBOARD'!$B$4="Area",IF(648&lt;=$X$3,IF(AND(OR('COMMUNITY CHURCH DASHBOARD'!$C$4="",ISNUMBER(SEARCH('COMMUNITY CHURCH DASHBOARD'!$C$4,INDEX(MASTER_AREAS!$B:$B,649))))),648,""),""),IF('COMMUNITY CHURCH DASHBOARD'!$B$4="Zone",IF(648&lt;=$X$4,IF(OR('COMMUNITY CHURCH DASHBOARD'!$C$4="",ISNUMBER(SEARCH('COMMUNITY CHURCH DASHBOARD'!$C$4,INDEX(MASTER_ZONES!$B:$B,649)))),648,""),""),""))</f>
        <v/>
      </c>
    </row>
    <row r="650">
      <c r="A650">
        <f>IF('WSF DASHBOARD'!$B$4="Area",IF(649&lt;=$D$3,IF(AND(OR('WSF DASHBOARD'!$C$4="",ISNUMBER(SEARCH('WSF DASHBOARD'!$C$4,INDEX(MASTER_AREAS!$B:$B,650))))),649,""),""),IF('WSF DASHBOARD'!$B$4="Zone",IF(649&lt;=$D$4,IF(OR('WSF DASHBOARD'!$C$4="",ISNUMBER(SEARCH('WSF DASHBOARD'!$C$4,INDEX(MASTER_ZONES!$B:$B,650)))),649,""),""),""))</f>
        <v/>
      </c>
      <c r="F650">
        <f>IF('TRANSPORT DASHBOARD'!$B$4="Area",IF(649&lt;=$I$3,IF(AND(INDEX(MASTER_AREAS!$F:$F,650)&lt;&gt;"N",OR('TRANSPORT DASHBOARD'!$C$4="",ISNUMBER(SEARCH('TRANSPORT DASHBOARD'!$C$4,INDEX(MASTER_AREAS!$B:$B,650))))),649,""),""),IF('TRANSPORT DASHBOARD'!$B$4="Zone",IF(649&lt;=$I$4,IF(OR('TRANSPORT DASHBOARD'!$C$4="",ISNUMBER(SEARCH('TRANSPORT DASHBOARD'!$C$4,INDEX(MASTER_ZONES!$B:$B,650)))),649,""),""),""))</f>
        <v/>
      </c>
      <c r="K650">
        <f>IF('MIDWEEK DASHBOARD'!$B$4="Area",IF(649&lt;=$N$3,IF(AND(OR('MIDWEEK DASHBOARD'!$C$4="",ISNUMBER(SEARCH('MIDWEEK DASHBOARD'!$C$4,INDEX(MASTER_AREAS!$B:$B,650))))),649,""),""),IF('MIDWEEK DASHBOARD'!$B$4="Zone",IF(649&lt;=$N$4,IF(OR('MIDWEEK DASHBOARD'!$C$4="",ISNUMBER(SEARCH('MIDWEEK DASHBOARD'!$C$4,INDEX(MASTER_ZONES!$B:$B,650)))),649,""),""),""))</f>
        <v/>
      </c>
      <c r="P650">
        <f>IF('CHOP DASHBOARD'!$B$4="Area",IF(649&lt;=$S$3,IF(AND(OR('CHOP DASHBOARD'!$C$4="",ISNUMBER(SEARCH('CHOP DASHBOARD'!$C$4,INDEX(MASTER_AREAS!$B:$B,650))))),649,""),""),IF('CHOP DASHBOARD'!$B$4="Zone",IF(649&lt;=$S$4,IF(OR('CHOP DASHBOARD'!$C$4="",ISNUMBER(SEARCH('CHOP DASHBOARD'!$C$4,INDEX(MASTER_ZONES!$B:$B,650)))),649,""),""),""))</f>
        <v/>
      </c>
      <c r="U650">
        <f>IF('COMMUNITY CHURCH DASHBOARD'!$B$4="Area",IF(649&lt;=$X$3,IF(AND(OR('COMMUNITY CHURCH DASHBOARD'!$C$4="",ISNUMBER(SEARCH('COMMUNITY CHURCH DASHBOARD'!$C$4,INDEX(MASTER_AREAS!$B:$B,650))))),649,""),""),IF('COMMUNITY CHURCH DASHBOARD'!$B$4="Zone",IF(649&lt;=$X$4,IF(OR('COMMUNITY CHURCH DASHBOARD'!$C$4="",ISNUMBER(SEARCH('COMMUNITY CHURCH DASHBOARD'!$C$4,INDEX(MASTER_ZONES!$B:$B,650)))),649,""),""),""))</f>
        <v/>
      </c>
    </row>
    <row r="651">
      <c r="A651">
        <f>IF('WSF DASHBOARD'!$B$4="Area",IF(650&lt;=$D$3,IF(AND(OR('WSF DASHBOARD'!$C$4="",ISNUMBER(SEARCH('WSF DASHBOARD'!$C$4,INDEX(MASTER_AREAS!$B:$B,651))))),650,""),""),IF('WSF DASHBOARD'!$B$4="Zone",IF(650&lt;=$D$4,IF(OR('WSF DASHBOARD'!$C$4="",ISNUMBER(SEARCH('WSF DASHBOARD'!$C$4,INDEX(MASTER_ZONES!$B:$B,651)))),650,""),""),""))</f>
        <v/>
      </c>
      <c r="F651">
        <f>IF('TRANSPORT DASHBOARD'!$B$4="Area",IF(650&lt;=$I$3,IF(AND(INDEX(MASTER_AREAS!$F:$F,651)&lt;&gt;"N",OR('TRANSPORT DASHBOARD'!$C$4="",ISNUMBER(SEARCH('TRANSPORT DASHBOARD'!$C$4,INDEX(MASTER_AREAS!$B:$B,651))))),650,""),""),IF('TRANSPORT DASHBOARD'!$B$4="Zone",IF(650&lt;=$I$4,IF(OR('TRANSPORT DASHBOARD'!$C$4="",ISNUMBER(SEARCH('TRANSPORT DASHBOARD'!$C$4,INDEX(MASTER_ZONES!$B:$B,651)))),650,""),""),""))</f>
        <v/>
      </c>
      <c r="K651">
        <f>IF('MIDWEEK DASHBOARD'!$B$4="Area",IF(650&lt;=$N$3,IF(AND(OR('MIDWEEK DASHBOARD'!$C$4="",ISNUMBER(SEARCH('MIDWEEK DASHBOARD'!$C$4,INDEX(MASTER_AREAS!$B:$B,651))))),650,""),""),IF('MIDWEEK DASHBOARD'!$B$4="Zone",IF(650&lt;=$N$4,IF(OR('MIDWEEK DASHBOARD'!$C$4="",ISNUMBER(SEARCH('MIDWEEK DASHBOARD'!$C$4,INDEX(MASTER_ZONES!$B:$B,651)))),650,""),""),""))</f>
        <v/>
      </c>
      <c r="P651">
        <f>IF('CHOP DASHBOARD'!$B$4="Area",IF(650&lt;=$S$3,IF(AND(OR('CHOP DASHBOARD'!$C$4="",ISNUMBER(SEARCH('CHOP DASHBOARD'!$C$4,INDEX(MASTER_AREAS!$B:$B,651))))),650,""),""),IF('CHOP DASHBOARD'!$B$4="Zone",IF(650&lt;=$S$4,IF(OR('CHOP DASHBOARD'!$C$4="",ISNUMBER(SEARCH('CHOP DASHBOARD'!$C$4,INDEX(MASTER_ZONES!$B:$B,651)))),650,""),""),""))</f>
        <v/>
      </c>
      <c r="U651">
        <f>IF('COMMUNITY CHURCH DASHBOARD'!$B$4="Area",IF(650&lt;=$X$3,IF(AND(OR('COMMUNITY CHURCH DASHBOARD'!$C$4="",ISNUMBER(SEARCH('COMMUNITY CHURCH DASHBOARD'!$C$4,INDEX(MASTER_AREAS!$B:$B,651))))),650,""),""),IF('COMMUNITY CHURCH DASHBOARD'!$B$4="Zone",IF(650&lt;=$X$4,IF(OR('COMMUNITY CHURCH DASHBOARD'!$C$4="",ISNUMBER(SEARCH('COMMUNITY CHURCH DASHBOARD'!$C$4,INDEX(MASTER_ZONES!$B:$B,651)))),650,""),""),""))</f>
        <v/>
      </c>
    </row>
    <row r="652">
      <c r="A652">
        <f>IF('WSF DASHBOARD'!$B$4="Area",IF(651&lt;=$D$3,IF(AND(OR('WSF DASHBOARD'!$C$4="",ISNUMBER(SEARCH('WSF DASHBOARD'!$C$4,INDEX(MASTER_AREAS!$B:$B,652))))),651,""),""),IF('WSF DASHBOARD'!$B$4="Zone",IF(651&lt;=$D$4,IF(OR('WSF DASHBOARD'!$C$4="",ISNUMBER(SEARCH('WSF DASHBOARD'!$C$4,INDEX(MASTER_ZONES!$B:$B,652)))),651,""),""),""))</f>
        <v/>
      </c>
      <c r="F652">
        <f>IF('TRANSPORT DASHBOARD'!$B$4="Area",IF(651&lt;=$I$3,IF(AND(INDEX(MASTER_AREAS!$F:$F,652)&lt;&gt;"N",OR('TRANSPORT DASHBOARD'!$C$4="",ISNUMBER(SEARCH('TRANSPORT DASHBOARD'!$C$4,INDEX(MASTER_AREAS!$B:$B,652))))),651,""),""),IF('TRANSPORT DASHBOARD'!$B$4="Zone",IF(651&lt;=$I$4,IF(OR('TRANSPORT DASHBOARD'!$C$4="",ISNUMBER(SEARCH('TRANSPORT DASHBOARD'!$C$4,INDEX(MASTER_ZONES!$B:$B,652)))),651,""),""),""))</f>
        <v/>
      </c>
      <c r="K652">
        <f>IF('MIDWEEK DASHBOARD'!$B$4="Area",IF(651&lt;=$N$3,IF(AND(OR('MIDWEEK DASHBOARD'!$C$4="",ISNUMBER(SEARCH('MIDWEEK DASHBOARD'!$C$4,INDEX(MASTER_AREAS!$B:$B,652))))),651,""),""),IF('MIDWEEK DASHBOARD'!$B$4="Zone",IF(651&lt;=$N$4,IF(OR('MIDWEEK DASHBOARD'!$C$4="",ISNUMBER(SEARCH('MIDWEEK DASHBOARD'!$C$4,INDEX(MASTER_ZONES!$B:$B,652)))),651,""),""),""))</f>
        <v/>
      </c>
      <c r="P652">
        <f>IF('CHOP DASHBOARD'!$B$4="Area",IF(651&lt;=$S$3,IF(AND(OR('CHOP DASHBOARD'!$C$4="",ISNUMBER(SEARCH('CHOP DASHBOARD'!$C$4,INDEX(MASTER_AREAS!$B:$B,652))))),651,""),""),IF('CHOP DASHBOARD'!$B$4="Zone",IF(651&lt;=$S$4,IF(OR('CHOP DASHBOARD'!$C$4="",ISNUMBER(SEARCH('CHOP DASHBOARD'!$C$4,INDEX(MASTER_ZONES!$B:$B,652)))),651,""),""),""))</f>
        <v/>
      </c>
      <c r="U652">
        <f>IF('COMMUNITY CHURCH DASHBOARD'!$B$4="Area",IF(651&lt;=$X$3,IF(AND(OR('COMMUNITY CHURCH DASHBOARD'!$C$4="",ISNUMBER(SEARCH('COMMUNITY CHURCH DASHBOARD'!$C$4,INDEX(MASTER_AREAS!$B:$B,652))))),651,""),""),IF('COMMUNITY CHURCH DASHBOARD'!$B$4="Zone",IF(651&lt;=$X$4,IF(OR('COMMUNITY CHURCH DASHBOARD'!$C$4="",ISNUMBER(SEARCH('COMMUNITY CHURCH DASHBOARD'!$C$4,INDEX(MASTER_ZONES!$B:$B,652)))),651,""),""),""))</f>
        <v/>
      </c>
    </row>
    <row r="653">
      <c r="A653">
        <f>IF('WSF DASHBOARD'!$B$4="Area",IF(652&lt;=$D$3,IF(AND(OR('WSF DASHBOARD'!$C$4="",ISNUMBER(SEARCH('WSF DASHBOARD'!$C$4,INDEX(MASTER_AREAS!$B:$B,653))))),652,""),""),IF('WSF DASHBOARD'!$B$4="Zone",IF(652&lt;=$D$4,IF(OR('WSF DASHBOARD'!$C$4="",ISNUMBER(SEARCH('WSF DASHBOARD'!$C$4,INDEX(MASTER_ZONES!$B:$B,653)))),652,""),""),""))</f>
        <v/>
      </c>
      <c r="F653">
        <f>IF('TRANSPORT DASHBOARD'!$B$4="Area",IF(652&lt;=$I$3,IF(AND(INDEX(MASTER_AREAS!$F:$F,653)&lt;&gt;"N",OR('TRANSPORT DASHBOARD'!$C$4="",ISNUMBER(SEARCH('TRANSPORT DASHBOARD'!$C$4,INDEX(MASTER_AREAS!$B:$B,653))))),652,""),""),IF('TRANSPORT DASHBOARD'!$B$4="Zone",IF(652&lt;=$I$4,IF(OR('TRANSPORT DASHBOARD'!$C$4="",ISNUMBER(SEARCH('TRANSPORT DASHBOARD'!$C$4,INDEX(MASTER_ZONES!$B:$B,653)))),652,""),""),""))</f>
        <v/>
      </c>
      <c r="K653">
        <f>IF('MIDWEEK DASHBOARD'!$B$4="Area",IF(652&lt;=$N$3,IF(AND(OR('MIDWEEK DASHBOARD'!$C$4="",ISNUMBER(SEARCH('MIDWEEK DASHBOARD'!$C$4,INDEX(MASTER_AREAS!$B:$B,653))))),652,""),""),IF('MIDWEEK DASHBOARD'!$B$4="Zone",IF(652&lt;=$N$4,IF(OR('MIDWEEK DASHBOARD'!$C$4="",ISNUMBER(SEARCH('MIDWEEK DASHBOARD'!$C$4,INDEX(MASTER_ZONES!$B:$B,653)))),652,""),""),""))</f>
        <v/>
      </c>
      <c r="P653">
        <f>IF('CHOP DASHBOARD'!$B$4="Area",IF(652&lt;=$S$3,IF(AND(OR('CHOP DASHBOARD'!$C$4="",ISNUMBER(SEARCH('CHOP DASHBOARD'!$C$4,INDEX(MASTER_AREAS!$B:$B,653))))),652,""),""),IF('CHOP DASHBOARD'!$B$4="Zone",IF(652&lt;=$S$4,IF(OR('CHOP DASHBOARD'!$C$4="",ISNUMBER(SEARCH('CHOP DASHBOARD'!$C$4,INDEX(MASTER_ZONES!$B:$B,653)))),652,""),""),""))</f>
        <v/>
      </c>
      <c r="U653">
        <f>IF('COMMUNITY CHURCH DASHBOARD'!$B$4="Area",IF(652&lt;=$X$3,IF(AND(OR('COMMUNITY CHURCH DASHBOARD'!$C$4="",ISNUMBER(SEARCH('COMMUNITY CHURCH DASHBOARD'!$C$4,INDEX(MASTER_AREAS!$B:$B,653))))),652,""),""),IF('COMMUNITY CHURCH DASHBOARD'!$B$4="Zone",IF(652&lt;=$X$4,IF(OR('COMMUNITY CHURCH DASHBOARD'!$C$4="",ISNUMBER(SEARCH('COMMUNITY CHURCH DASHBOARD'!$C$4,INDEX(MASTER_ZONES!$B:$B,653)))),652,""),""),""))</f>
        <v/>
      </c>
    </row>
    <row r="654">
      <c r="A654">
        <f>IF('WSF DASHBOARD'!$B$4="Area",IF(653&lt;=$D$3,IF(AND(OR('WSF DASHBOARD'!$C$4="",ISNUMBER(SEARCH('WSF DASHBOARD'!$C$4,INDEX(MASTER_AREAS!$B:$B,654))))),653,""),""),IF('WSF DASHBOARD'!$B$4="Zone",IF(653&lt;=$D$4,IF(OR('WSF DASHBOARD'!$C$4="",ISNUMBER(SEARCH('WSF DASHBOARD'!$C$4,INDEX(MASTER_ZONES!$B:$B,654)))),653,""),""),""))</f>
        <v/>
      </c>
      <c r="F654">
        <f>IF('TRANSPORT DASHBOARD'!$B$4="Area",IF(653&lt;=$I$3,IF(AND(INDEX(MASTER_AREAS!$F:$F,654)&lt;&gt;"N",OR('TRANSPORT DASHBOARD'!$C$4="",ISNUMBER(SEARCH('TRANSPORT DASHBOARD'!$C$4,INDEX(MASTER_AREAS!$B:$B,654))))),653,""),""),IF('TRANSPORT DASHBOARD'!$B$4="Zone",IF(653&lt;=$I$4,IF(OR('TRANSPORT DASHBOARD'!$C$4="",ISNUMBER(SEARCH('TRANSPORT DASHBOARD'!$C$4,INDEX(MASTER_ZONES!$B:$B,654)))),653,""),""),""))</f>
        <v/>
      </c>
      <c r="K654">
        <f>IF('MIDWEEK DASHBOARD'!$B$4="Area",IF(653&lt;=$N$3,IF(AND(OR('MIDWEEK DASHBOARD'!$C$4="",ISNUMBER(SEARCH('MIDWEEK DASHBOARD'!$C$4,INDEX(MASTER_AREAS!$B:$B,654))))),653,""),""),IF('MIDWEEK DASHBOARD'!$B$4="Zone",IF(653&lt;=$N$4,IF(OR('MIDWEEK DASHBOARD'!$C$4="",ISNUMBER(SEARCH('MIDWEEK DASHBOARD'!$C$4,INDEX(MASTER_ZONES!$B:$B,654)))),653,""),""),""))</f>
        <v/>
      </c>
      <c r="P654">
        <f>IF('CHOP DASHBOARD'!$B$4="Area",IF(653&lt;=$S$3,IF(AND(OR('CHOP DASHBOARD'!$C$4="",ISNUMBER(SEARCH('CHOP DASHBOARD'!$C$4,INDEX(MASTER_AREAS!$B:$B,654))))),653,""),""),IF('CHOP DASHBOARD'!$B$4="Zone",IF(653&lt;=$S$4,IF(OR('CHOP DASHBOARD'!$C$4="",ISNUMBER(SEARCH('CHOP DASHBOARD'!$C$4,INDEX(MASTER_ZONES!$B:$B,654)))),653,""),""),""))</f>
        <v/>
      </c>
      <c r="U654">
        <f>IF('COMMUNITY CHURCH DASHBOARD'!$B$4="Area",IF(653&lt;=$X$3,IF(AND(OR('COMMUNITY CHURCH DASHBOARD'!$C$4="",ISNUMBER(SEARCH('COMMUNITY CHURCH DASHBOARD'!$C$4,INDEX(MASTER_AREAS!$B:$B,654))))),653,""),""),IF('COMMUNITY CHURCH DASHBOARD'!$B$4="Zone",IF(653&lt;=$X$4,IF(OR('COMMUNITY CHURCH DASHBOARD'!$C$4="",ISNUMBER(SEARCH('COMMUNITY CHURCH DASHBOARD'!$C$4,INDEX(MASTER_ZONES!$B:$B,654)))),653,""),""),""))</f>
        <v/>
      </c>
    </row>
    <row r="655">
      <c r="A655">
        <f>IF('WSF DASHBOARD'!$B$4="Area",IF(654&lt;=$D$3,IF(AND(OR('WSF DASHBOARD'!$C$4="",ISNUMBER(SEARCH('WSF DASHBOARD'!$C$4,INDEX(MASTER_AREAS!$B:$B,655))))),654,""),""),IF('WSF DASHBOARD'!$B$4="Zone",IF(654&lt;=$D$4,IF(OR('WSF DASHBOARD'!$C$4="",ISNUMBER(SEARCH('WSF DASHBOARD'!$C$4,INDEX(MASTER_ZONES!$B:$B,655)))),654,""),""),""))</f>
        <v/>
      </c>
      <c r="F655">
        <f>IF('TRANSPORT DASHBOARD'!$B$4="Area",IF(654&lt;=$I$3,IF(AND(INDEX(MASTER_AREAS!$F:$F,655)&lt;&gt;"N",OR('TRANSPORT DASHBOARD'!$C$4="",ISNUMBER(SEARCH('TRANSPORT DASHBOARD'!$C$4,INDEX(MASTER_AREAS!$B:$B,655))))),654,""),""),IF('TRANSPORT DASHBOARD'!$B$4="Zone",IF(654&lt;=$I$4,IF(OR('TRANSPORT DASHBOARD'!$C$4="",ISNUMBER(SEARCH('TRANSPORT DASHBOARD'!$C$4,INDEX(MASTER_ZONES!$B:$B,655)))),654,""),""),""))</f>
        <v/>
      </c>
      <c r="K655">
        <f>IF('MIDWEEK DASHBOARD'!$B$4="Area",IF(654&lt;=$N$3,IF(AND(OR('MIDWEEK DASHBOARD'!$C$4="",ISNUMBER(SEARCH('MIDWEEK DASHBOARD'!$C$4,INDEX(MASTER_AREAS!$B:$B,655))))),654,""),""),IF('MIDWEEK DASHBOARD'!$B$4="Zone",IF(654&lt;=$N$4,IF(OR('MIDWEEK DASHBOARD'!$C$4="",ISNUMBER(SEARCH('MIDWEEK DASHBOARD'!$C$4,INDEX(MASTER_ZONES!$B:$B,655)))),654,""),""),""))</f>
        <v/>
      </c>
      <c r="P655">
        <f>IF('CHOP DASHBOARD'!$B$4="Area",IF(654&lt;=$S$3,IF(AND(OR('CHOP DASHBOARD'!$C$4="",ISNUMBER(SEARCH('CHOP DASHBOARD'!$C$4,INDEX(MASTER_AREAS!$B:$B,655))))),654,""),""),IF('CHOP DASHBOARD'!$B$4="Zone",IF(654&lt;=$S$4,IF(OR('CHOP DASHBOARD'!$C$4="",ISNUMBER(SEARCH('CHOP DASHBOARD'!$C$4,INDEX(MASTER_ZONES!$B:$B,655)))),654,""),""),""))</f>
        <v/>
      </c>
      <c r="U655">
        <f>IF('COMMUNITY CHURCH DASHBOARD'!$B$4="Area",IF(654&lt;=$X$3,IF(AND(OR('COMMUNITY CHURCH DASHBOARD'!$C$4="",ISNUMBER(SEARCH('COMMUNITY CHURCH DASHBOARD'!$C$4,INDEX(MASTER_AREAS!$B:$B,655))))),654,""),""),IF('COMMUNITY CHURCH DASHBOARD'!$B$4="Zone",IF(654&lt;=$X$4,IF(OR('COMMUNITY CHURCH DASHBOARD'!$C$4="",ISNUMBER(SEARCH('COMMUNITY CHURCH DASHBOARD'!$C$4,INDEX(MASTER_ZONES!$B:$B,655)))),654,""),""),""))</f>
        <v/>
      </c>
    </row>
    <row r="656">
      <c r="A656">
        <f>IF('WSF DASHBOARD'!$B$4="Area",IF(655&lt;=$D$3,IF(AND(OR('WSF DASHBOARD'!$C$4="",ISNUMBER(SEARCH('WSF DASHBOARD'!$C$4,INDEX(MASTER_AREAS!$B:$B,656))))),655,""),""),IF('WSF DASHBOARD'!$B$4="Zone",IF(655&lt;=$D$4,IF(OR('WSF DASHBOARD'!$C$4="",ISNUMBER(SEARCH('WSF DASHBOARD'!$C$4,INDEX(MASTER_ZONES!$B:$B,656)))),655,""),""),""))</f>
        <v/>
      </c>
      <c r="F656">
        <f>IF('TRANSPORT DASHBOARD'!$B$4="Area",IF(655&lt;=$I$3,IF(AND(INDEX(MASTER_AREAS!$F:$F,656)&lt;&gt;"N",OR('TRANSPORT DASHBOARD'!$C$4="",ISNUMBER(SEARCH('TRANSPORT DASHBOARD'!$C$4,INDEX(MASTER_AREAS!$B:$B,656))))),655,""),""),IF('TRANSPORT DASHBOARD'!$B$4="Zone",IF(655&lt;=$I$4,IF(OR('TRANSPORT DASHBOARD'!$C$4="",ISNUMBER(SEARCH('TRANSPORT DASHBOARD'!$C$4,INDEX(MASTER_ZONES!$B:$B,656)))),655,""),""),""))</f>
        <v/>
      </c>
      <c r="K656">
        <f>IF('MIDWEEK DASHBOARD'!$B$4="Area",IF(655&lt;=$N$3,IF(AND(OR('MIDWEEK DASHBOARD'!$C$4="",ISNUMBER(SEARCH('MIDWEEK DASHBOARD'!$C$4,INDEX(MASTER_AREAS!$B:$B,656))))),655,""),""),IF('MIDWEEK DASHBOARD'!$B$4="Zone",IF(655&lt;=$N$4,IF(OR('MIDWEEK DASHBOARD'!$C$4="",ISNUMBER(SEARCH('MIDWEEK DASHBOARD'!$C$4,INDEX(MASTER_ZONES!$B:$B,656)))),655,""),""),""))</f>
        <v/>
      </c>
      <c r="P656">
        <f>IF('CHOP DASHBOARD'!$B$4="Area",IF(655&lt;=$S$3,IF(AND(OR('CHOP DASHBOARD'!$C$4="",ISNUMBER(SEARCH('CHOP DASHBOARD'!$C$4,INDEX(MASTER_AREAS!$B:$B,656))))),655,""),""),IF('CHOP DASHBOARD'!$B$4="Zone",IF(655&lt;=$S$4,IF(OR('CHOP DASHBOARD'!$C$4="",ISNUMBER(SEARCH('CHOP DASHBOARD'!$C$4,INDEX(MASTER_ZONES!$B:$B,656)))),655,""),""),""))</f>
        <v/>
      </c>
      <c r="U656">
        <f>IF('COMMUNITY CHURCH DASHBOARD'!$B$4="Area",IF(655&lt;=$X$3,IF(AND(OR('COMMUNITY CHURCH DASHBOARD'!$C$4="",ISNUMBER(SEARCH('COMMUNITY CHURCH DASHBOARD'!$C$4,INDEX(MASTER_AREAS!$B:$B,656))))),655,""),""),IF('COMMUNITY CHURCH DASHBOARD'!$B$4="Zone",IF(655&lt;=$X$4,IF(OR('COMMUNITY CHURCH DASHBOARD'!$C$4="",ISNUMBER(SEARCH('COMMUNITY CHURCH DASHBOARD'!$C$4,INDEX(MASTER_ZONES!$B:$B,656)))),655,""),""),""))</f>
        <v/>
      </c>
    </row>
    <row r="657">
      <c r="A657">
        <f>IF('WSF DASHBOARD'!$B$4="Area",IF(656&lt;=$D$3,IF(AND(OR('WSF DASHBOARD'!$C$4="",ISNUMBER(SEARCH('WSF DASHBOARD'!$C$4,INDEX(MASTER_AREAS!$B:$B,657))))),656,""),""),IF('WSF DASHBOARD'!$B$4="Zone",IF(656&lt;=$D$4,IF(OR('WSF DASHBOARD'!$C$4="",ISNUMBER(SEARCH('WSF DASHBOARD'!$C$4,INDEX(MASTER_ZONES!$B:$B,657)))),656,""),""),""))</f>
        <v/>
      </c>
      <c r="F657">
        <f>IF('TRANSPORT DASHBOARD'!$B$4="Area",IF(656&lt;=$I$3,IF(AND(INDEX(MASTER_AREAS!$F:$F,657)&lt;&gt;"N",OR('TRANSPORT DASHBOARD'!$C$4="",ISNUMBER(SEARCH('TRANSPORT DASHBOARD'!$C$4,INDEX(MASTER_AREAS!$B:$B,657))))),656,""),""),IF('TRANSPORT DASHBOARD'!$B$4="Zone",IF(656&lt;=$I$4,IF(OR('TRANSPORT DASHBOARD'!$C$4="",ISNUMBER(SEARCH('TRANSPORT DASHBOARD'!$C$4,INDEX(MASTER_ZONES!$B:$B,657)))),656,""),""),""))</f>
        <v/>
      </c>
      <c r="K657">
        <f>IF('MIDWEEK DASHBOARD'!$B$4="Area",IF(656&lt;=$N$3,IF(AND(OR('MIDWEEK DASHBOARD'!$C$4="",ISNUMBER(SEARCH('MIDWEEK DASHBOARD'!$C$4,INDEX(MASTER_AREAS!$B:$B,657))))),656,""),""),IF('MIDWEEK DASHBOARD'!$B$4="Zone",IF(656&lt;=$N$4,IF(OR('MIDWEEK DASHBOARD'!$C$4="",ISNUMBER(SEARCH('MIDWEEK DASHBOARD'!$C$4,INDEX(MASTER_ZONES!$B:$B,657)))),656,""),""),""))</f>
        <v/>
      </c>
      <c r="P657">
        <f>IF('CHOP DASHBOARD'!$B$4="Area",IF(656&lt;=$S$3,IF(AND(OR('CHOP DASHBOARD'!$C$4="",ISNUMBER(SEARCH('CHOP DASHBOARD'!$C$4,INDEX(MASTER_AREAS!$B:$B,657))))),656,""),""),IF('CHOP DASHBOARD'!$B$4="Zone",IF(656&lt;=$S$4,IF(OR('CHOP DASHBOARD'!$C$4="",ISNUMBER(SEARCH('CHOP DASHBOARD'!$C$4,INDEX(MASTER_ZONES!$B:$B,657)))),656,""),""),""))</f>
        <v/>
      </c>
      <c r="U657">
        <f>IF('COMMUNITY CHURCH DASHBOARD'!$B$4="Area",IF(656&lt;=$X$3,IF(AND(OR('COMMUNITY CHURCH DASHBOARD'!$C$4="",ISNUMBER(SEARCH('COMMUNITY CHURCH DASHBOARD'!$C$4,INDEX(MASTER_AREAS!$B:$B,657))))),656,""),""),IF('COMMUNITY CHURCH DASHBOARD'!$B$4="Zone",IF(656&lt;=$X$4,IF(OR('COMMUNITY CHURCH DASHBOARD'!$C$4="",ISNUMBER(SEARCH('COMMUNITY CHURCH DASHBOARD'!$C$4,INDEX(MASTER_ZONES!$B:$B,657)))),656,""),""),""))</f>
        <v/>
      </c>
    </row>
    <row r="658">
      <c r="A658">
        <f>IF('WSF DASHBOARD'!$B$4="Area",IF(657&lt;=$D$3,IF(AND(OR('WSF DASHBOARD'!$C$4="",ISNUMBER(SEARCH('WSF DASHBOARD'!$C$4,INDEX(MASTER_AREAS!$B:$B,658))))),657,""),""),IF('WSF DASHBOARD'!$B$4="Zone",IF(657&lt;=$D$4,IF(OR('WSF DASHBOARD'!$C$4="",ISNUMBER(SEARCH('WSF DASHBOARD'!$C$4,INDEX(MASTER_ZONES!$B:$B,658)))),657,""),""),""))</f>
        <v/>
      </c>
      <c r="F658">
        <f>IF('TRANSPORT DASHBOARD'!$B$4="Area",IF(657&lt;=$I$3,IF(AND(INDEX(MASTER_AREAS!$F:$F,658)&lt;&gt;"N",OR('TRANSPORT DASHBOARD'!$C$4="",ISNUMBER(SEARCH('TRANSPORT DASHBOARD'!$C$4,INDEX(MASTER_AREAS!$B:$B,658))))),657,""),""),IF('TRANSPORT DASHBOARD'!$B$4="Zone",IF(657&lt;=$I$4,IF(OR('TRANSPORT DASHBOARD'!$C$4="",ISNUMBER(SEARCH('TRANSPORT DASHBOARD'!$C$4,INDEX(MASTER_ZONES!$B:$B,658)))),657,""),""),""))</f>
        <v/>
      </c>
      <c r="K658">
        <f>IF('MIDWEEK DASHBOARD'!$B$4="Area",IF(657&lt;=$N$3,IF(AND(OR('MIDWEEK DASHBOARD'!$C$4="",ISNUMBER(SEARCH('MIDWEEK DASHBOARD'!$C$4,INDEX(MASTER_AREAS!$B:$B,658))))),657,""),""),IF('MIDWEEK DASHBOARD'!$B$4="Zone",IF(657&lt;=$N$4,IF(OR('MIDWEEK DASHBOARD'!$C$4="",ISNUMBER(SEARCH('MIDWEEK DASHBOARD'!$C$4,INDEX(MASTER_ZONES!$B:$B,658)))),657,""),""),""))</f>
        <v/>
      </c>
      <c r="P658">
        <f>IF('CHOP DASHBOARD'!$B$4="Area",IF(657&lt;=$S$3,IF(AND(OR('CHOP DASHBOARD'!$C$4="",ISNUMBER(SEARCH('CHOP DASHBOARD'!$C$4,INDEX(MASTER_AREAS!$B:$B,658))))),657,""),""),IF('CHOP DASHBOARD'!$B$4="Zone",IF(657&lt;=$S$4,IF(OR('CHOP DASHBOARD'!$C$4="",ISNUMBER(SEARCH('CHOP DASHBOARD'!$C$4,INDEX(MASTER_ZONES!$B:$B,658)))),657,""),""),""))</f>
        <v/>
      </c>
      <c r="U658">
        <f>IF('COMMUNITY CHURCH DASHBOARD'!$B$4="Area",IF(657&lt;=$X$3,IF(AND(OR('COMMUNITY CHURCH DASHBOARD'!$C$4="",ISNUMBER(SEARCH('COMMUNITY CHURCH DASHBOARD'!$C$4,INDEX(MASTER_AREAS!$B:$B,658))))),657,""),""),IF('COMMUNITY CHURCH DASHBOARD'!$B$4="Zone",IF(657&lt;=$X$4,IF(OR('COMMUNITY CHURCH DASHBOARD'!$C$4="",ISNUMBER(SEARCH('COMMUNITY CHURCH DASHBOARD'!$C$4,INDEX(MASTER_ZONES!$B:$B,658)))),657,""),""),""))</f>
        <v/>
      </c>
    </row>
    <row r="659">
      <c r="A659">
        <f>IF('WSF DASHBOARD'!$B$4="Area",IF(658&lt;=$D$3,IF(AND(OR('WSF DASHBOARD'!$C$4="",ISNUMBER(SEARCH('WSF DASHBOARD'!$C$4,INDEX(MASTER_AREAS!$B:$B,659))))),658,""),""),IF('WSF DASHBOARD'!$B$4="Zone",IF(658&lt;=$D$4,IF(OR('WSF DASHBOARD'!$C$4="",ISNUMBER(SEARCH('WSF DASHBOARD'!$C$4,INDEX(MASTER_ZONES!$B:$B,659)))),658,""),""),""))</f>
        <v/>
      </c>
      <c r="F659">
        <f>IF('TRANSPORT DASHBOARD'!$B$4="Area",IF(658&lt;=$I$3,IF(AND(INDEX(MASTER_AREAS!$F:$F,659)&lt;&gt;"N",OR('TRANSPORT DASHBOARD'!$C$4="",ISNUMBER(SEARCH('TRANSPORT DASHBOARD'!$C$4,INDEX(MASTER_AREAS!$B:$B,659))))),658,""),""),IF('TRANSPORT DASHBOARD'!$B$4="Zone",IF(658&lt;=$I$4,IF(OR('TRANSPORT DASHBOARD'!$C$4="",ISNUMBER(SEARCH('TRANSPORT DASHBOARD'!$C$4,INDEX(MASTER_ZONES!$B:$B,659)))),658,""),""),""))</f>
        <v/>
      </c>
      <c r="K659">
        <f>IF('MIDWEEK DASHBOARD'!$B$4="Area",IF(658&lt;=$N$3,IF(AND(OR('MIDWEEK DASHBOARD'!$C$4="",ISNUMBER(SEARCH('MIDWEEK DASHBOARD'!$C$4,INDEX(MASTER_AREAS!$B:$B,659))))),658,""),""),IF('MIDWEEK DASHBOARD'!$B$4="Zone",IF(658&lt;=$N$4,IF(OR('MIDWEEK DASHBOARD'!$C$4="",ISNUMBER(SEARCH('MIDWEEK DASHBOARD'!$C$4,INDEX(MASTER_ZONES!$B:$B,659)))),658,""),""),""))</f>
        <v/>
      </c>
      <c r="P659">
        <f>IF('CHOP DASHBOARD'!$B$4="Area",IF(658&lt;=$S$3,IF(AND(OR('CHOP DASHBOARD'!$C$4="",ISNUMBER(SEARCH('CHOP DASHBOARD'!$C$4,INDEX(MASTER_AREAS!$B:$B,659))))),658,""),""),IF('CHOP DASHBOARD'!$B$4="Zone",IF(658&lt;=$S$4,IF(OR('CHOP DASHBOARD'!$C$4="",ISNUMBER(SEARCH('CHOP DASHBOARD'!$C$4,INDEX(MASTER_ZONES!$B:$B,659)))),658,""),""),""))</f>
        <v/>
      </c>
      <c r="U659">
        <f>IF('COMMUNITY CHURCH DASHBOARD'!$B$4="Area",IF(658&lt;=$X$3,IF(AND(OR('COMMUNITY CHURCH DASHBOARD'!$C$4="",ISNUMBER(SEARCH('COMMUNITY CHURCH DASHBOARD'!$C$4,INDEX(MASTER_AREAS!$B:$B,659))))),658,""),""),IF('COMMUNITY CHURCH DASHBOARD'!$B$4="Zone",IF(658&lt;=$X$4,IF(OR('COMMUNITY CHURCH DASHBOARD'!$C$4="",ISNUMBER(SEARCH('COMMUNITY CHURCH DASHBOARD'!$C$4,INDEX(MASTER_ZONES!$B:$B,659)))),658,""),""),""))</f>
        <v/>
      </c>
    </row>
    <row r="660">
      <c r="A660">
        <f>IF('WSF DASHBOARD'!$B$4="Area",IF(659&lt;=$D$3,IF(AND(OR('WSF DASHBOARD'!$C$4="",ISNUMBER(SEARCH('WSF DASHBOARD'!$C$4,INDEX(MASTER_AREAS!$B:$B,660))))),659,""),""),IF('WSF DASHBOARD'!$B$4="Zone",IF(659&lt;=$D$4,IF(OR('WSF DASHBOARD'!$C$4="",ISNUMBER(SEARCH('WSF DASHBOARD'!$C$4,INDEX(MASTER_ZONES!$B:$B,660)))),659,""),""),""))</f>
        <v/>
      </c>
      <c r="F660">
        <f>IF('TRANSPORT DASHBOARD'!$B$4="Area",IF(659&lt;=$I$3,IF(AND(INDEX(MASTER_AREAS!$F:$F,660)&lt;&gt;"N",OR('TRANSPORT DASHBOARD'!$C$4="",ISNUMBER(SEARCH('TRANSPORT DASHBOARD'!$C$4,INDEX(MASTER_AREAS!$B:$B,660))))),659,""),""),IF('TRANSPORT DASHBOARD'!$B$4="Zone",IF(659&lt;=$I$4,IF(OR('TRANSPORT DASHBOARD'!$C$4="",ISNUMBER(SEARCH('TRANSPORT DASHBOARD'!$C$4,INDEX(MASTER_ZONES!$B:$B,660)))),659,""),""),""))</f>
        <v/>
      </c>
      <c r="K660">
        <f>IF('MIDWEEK DASHBOARD'!$B$4="Area",IF(659&lt;=$N$3,IF(AND(OR('MIDWEEK DASHBOARD'!$C$4="",ISNUMBER(SEARCH('MIDWEEK DASHBOARD'!$C$4,INDEX(MASTER_AREAS!$B:$B,660))))),659,""),""),IF('MIDWEEK DASHBOARD'!$B$4="Zone",IF(659&lt;=$N$4,IF(OR('MIDWEEK DASHBOARD'!$C$4="",ISNUMBER(SEARCH('MIDWEEK DASHBOARD'!$C$4,INDEX(MASTER_ZONES!$B:$B,660)))),659,""),""),""))</f>
        <v/>
      </c>
      <c r="P660">
        <f>IF('CHOP DASHBOARD'!$B$4="Area",IF(659&lt;=$S$3,IF(AND(OR('CHOP DASHBOARD'!$C$4="",ISNUMBER(SEARCH('CHOP DASHBOARD'!$C$4,INDEX(MASTER_AREAS!$B:$B,660))))),659,""),""),IF('CHOP DASHBOARD'!$B$4="Zone",IF(659&lt;=$S$4,IF(OR('CHOP DASHBOARD'!$C$4="",ISNUMBER(SEARCH('CHOP DASHBOARD'!$C$4,INDEX(MASTER_ZONES!$B:$B,660)))),659,""),""),""))</f>
        <v/>
      </c>
      <c r="U660">
        <f>IF('COMMUNITY CHURCH DASHBOARD'!$B$4="Area",IF(659&lt;=$X$3,IF(AND(OR('COMMUNITY CHURCH DASHBOARD'!$C$4="",ISNUMBER(SEARCH('COMMUNITY CHURCH DASHBOARD'!$C$4,INDEX(MASTER_AREAS!$B:$B,660))))),659,""),""),IF('COMMUNITY CHURCH DASHBOARD'!$B$4="Zone",IF(659&lt;=$X$4,IF(OR('COMMUNITY CHURCH DASHBOARD'!$C$4="",ISNUMBER(SEARCH('COMMUNITY CHURCH DASHBOARD'!$C$4,INDEX(MASTER_ZONES!$B:$B,660)))),659,""),""),""))</f>
        <v/>
      </c>
    </row>
    <row r="661">
      <c r="A661">
        <f>IF('WSF DASHBOARD'!$B$4="Area",IF(660&lt;=$D$3,IF(AND(OR('WSF DASHBOARD'!$C$4="",ISNUMBER(SEARCH('WSF DASHBOARD'!$C$4,INDEX(MASTER_AREAS!$B:$B,661))))),660,""),""),IF('WSF DASHBOARD'!$B$4="Zone",IF(660&lt;=$D$4,IF(OR('WSF DASHBOARD'!$C$4="",ISNUMBER(SEARCH('WSF DASHBOARD'!$C$4,INDEX(MASTER_ZONES!$B:$B,661)))),660,""),""),""))</f>
        <v/>
      </c>
      <c r="F661">
        <f>IF('TRANSPORT DASHBOARD'!$B$4="Area",IF(660&lt;=$I$3,IF(AND(INDEX(MASTER_AREAS!$F:$F,661)&lt;&gt;"N",OR('TRANSPORT DASHBOARD'!$C$4="",ISNUMBER(SEARCH('TRANSPORT DASHBOARD'!$C$4,INDEX(MASTER_AREAS!$B:$B,661))))),660,""),""),IF('TRANSPORT DASHBOARD'!$B$4="Zone",IF(660&lt;=$I$4,IF(OR('TRANSPORT DASHBOARD'!$C$4="",ISNUMBER(SEARCH('TRANSPORT DASHBOARD'!$C$4,INDEX(MASTER_ZONES!$B:$B,661)))),660,""),""),""))</f>
        <v/>
      </c>
      <c r="K661">
        <f>IF('MIDWEEK DASHBOARD'!$B$4="Area",IF(660&lt;=$N$3,IF(AND(OR('MIDWEEK DASHBOARD'!$C$4="",ISNUMBER(SEARCH('MIDWEEK DASHBOARD'!$C$4,INDEX(MASTER_AREAS!$B:$B,661))))),660,""),""),IF('MIDWEEK DASHBOARD'!$B$4="Zone",IF(660&lt;=$N$4,IF(OR('MIDWEEK DASHBOARD'!$C$4="",ISNUMBER(SEARCH('MIDWEEK DASHBOARD'!$C$4,INDEX(MASTER_ZONES!$B:$B,661)))),660,""),""),""))</f>
        <v/>
      </c>
      <c r="P661">
        <f>IF('CHOP DASHBOARD'!$B$4="Area",IF(660&lt;=$S$3,IF(AND(OR('CHOP DASHBOARD'!$C$4="",ISNUMBER(SEARCH('CHOP DASHBOARD'!$C$4,INDEX(MASTER_AREAS!$B:$B,661))))),660,""),""),IF('CHOP DASHBOARD'!$B$4="Zone",IF(660&lt;=$S$4,IF(OR('CHOP DASHBOARD'!$C$4="",ISNUMBER(SEARCH('CHOP DASHBOARD'!$C$4,INDEX(MASTER_ZONES!$B:$B,661)))),660,""),""),""))</f>
        <v/>
      </c>
      <c r="U661">
        <f>IF('COMMUNITY CHURCH DASHBOARD'!$B$4="Area",IF(660&lt;=$X$3,IF(AND(OR('COMMUNITY CHURCH DASHBOARD'!$C$4="",ISNUMBER(SEARCH('COMMUNITY CHURCH DASHBOARD'!$C$4,INDEX(MASTER_AREAS!$B:$B,661))))),660,""),""),IF('COMMUNITY CHURCH DASHBOARD'!$B$4="Zone",IF(660&lt;=$X$4,IF(OR('COMMUNITY CHURCH DASHBOARD'!$C$4="",ISNUMBER(SEARCH('COMMUNITY CHURCH DASHBOARD'!$C$4,INDEX(MASTER_ZONES!$B:$B,661)))),660,""),""),""))</f>
        <v/>
      </c>
    </row>
    <row r="662">
      <c r="A662">
        <f>IF('WSF DASHBOARD'!$B$4="Area",IF(661&lt;=$D$3,IF(AND(OR('WSF DASHBOARD'!$C$4="",ISNUMBER(SEARCH('WSF DASHBOARD'!$C$4,INDEX(MASTER_AREAS!$B:$B,662))))),661,""),""),IF('WSF DASHBOARD'!$B$4="Zone",IF(661&lt;=$D$4,IF(OR('WSF DASHBOARD'!$C$4="",ISNUMBER(SEARCH('WSF DASHBOARD'!$C$4,INDEX(MASTER_ZONES!$B:$B,662)))),661,""),""),""))</f>
        <v/>
      </c>
      <c r="F662">
        <f>IF('TRANSPORT DASHBOARD'!$B$4="Area",IF(661&lt;=$I$3,IF(AND(INDEX(MASTER_AREAS!$F:$F,662)&lt;&gt;"N",OR('TRANSPORT DASHBOARD'!$C$4="",ISNUMBER(SEARCH('TRANSPORT DASHBOARD'!$C$4,INDEX(MASTER_AREAS!$B:$B,662))))),661,""),""),IF('TRANSPORT DASHBOARD'!$B$4="Zone",IF(661&lt;=$I$4,IF(OR('TRANSPORT DASHBOARD'!$C$4="",ISNUMBER(SEARCH('TRANSPORT DASHBOARD'!$C$4,INDEX(MASTER_ZONES!$B:$B,662)))),661,""),""),""))</f>
        <v/>
      </c>
      <c r="K662">
        <f>IF('MIDWEEK DASHBOARD'!$B$4="Area",IF(661&lt;=$N$3,IF(AND(OR('MIDWEEK DASHBOARD'!$C$4="",ISNUMBER(SEARCH('MIDWEEK DASHBOARD'!$C$4,INDEX(MASTER_AREAS!$B:$B,662))))),661,""),""),IF('MIDWEEK DASHBOARD'!$B$4="Zone",IF(661&lt;=$N$4,IF(OR('MIDWEEK DASHBOARD'!$C$4="",ISNUMBER(SEARCH('MIDWEEK DASHBOARD'!$C$4,INDEX(MASTER_ZONES!$B:$B,662)))),661,""),""),""))</f>
        <v/>
      </c>
      <c r="P662">
        <f>IF('CHOP DASHBOARD'!$B$4="Area",IF(661&lt;=$S$3,IF(AND(OR('CHOP DASHBOARD'!$C$4="",ISNUMBER(SEARCH('CHOP DASHBOARD'!$C$4,INDEX(MASTER_AREAS!$B:$B,662))))),661,""),""),IF('CHOP DASHBOARD'!$B$4="Zone",IF(661&lt;=$S$4,IF(OR('CHOP DASHBOARD'!$C$4="",ISNUMBER(SEARCH('CHOP DASHBOARD'!$C$4,INDEX(MASTER_ZONES!$B:$B,662)))),661,""),""),""))</f>
        <v/>
      </c>
      <c r="U662">
        <f>IF('COMMUNITY CHURCH DASHBOARD'!$B$4="Area",IF(661&lt;=$X$3,IF(AND(OR('COMMUNITY CHURCH DASHBOARD'!$C$4="",ISNUMBER(SEARCH('COMMUNITY CHURCH DASHBOARD'!$C$4,INDEX(MASTER_AREAS!$B:$B,662))))),661,""),""),IF('COMMUNITY CHURCH DASHBOARD'!$B$4="Zone",IF(661&lt;=$X$4,IF(OR('COMMUNITY CHURCH DASHBOARD'!$C$4="",ISNUMBER(SEARCH('COMMUNITY CHURCH DASHBOARD'!$C$4,INDEX(MASTER_ZONES!$B:$B,662)))),661,""),""),""))</f>
        <v/>
      </c>
    </row>
    <row r="663">
      <c r="A663">
        <f>IF('WSF DASHBOARD'!$B$4="Area",IF(662&lt;=$D$3,IF(AND(OR('WSF DASHBOARD'!$C$4="",ISNUMBER(SEARCH('WSF DASHBOARD'!$C$4,INDEX(MASTER_AREAS!$B:$B,663))))),662,""),""),IF('WSF DASHBOARD'!$B$4="Zone",IF(662&lt;=$D$4,IF(OR('WSF DASHBOARD'!$C$4="",ISNUMBER(SEARCH('WSF DASHBOARD'!$C$4,INDEX(MASTER_ZONES!$B:$B,663)))),662,""),""),""))</f>
        <v/>
      </c>
      <c r="F663">
        <f>IF('TRANSPORT DASHBOARD'!$B$4="Area",IF(662&lt;=$I$3,IF(AND(INDEX(MASTER_AREAS!$F:$F,663)&lt;&gt;"N",OR('TRANSPORT DASHBOARD'!$C$4="",ISNUMBER(SEARCH('TRANSPORT DASHBOARD'!$C$4,INDEX(MASTER_AREAS!$B:$B,663))))),662,""),""),IF('TRANSPORT DASHBOARD'!$B$4="Zone",IF(662&lt;=$I$4,IF(OR('TRANSPORT DASHBOARD'!$C$4="",ISNUMBER(SEARCH('TRANSPORT DASHBOARD'!$C$4,INDEX(MASTER_ZONES!$B:$B,663)))),662,""),""),""))</f>
        <v/>
      </c>
      <c r="K663">
        <f>IF('MIDWEEK DASHBOARD'!$B$4="Area",IF(662&lt;=$N$3,IF(AND(OR('MIDWEEK DASHBOARD'!$C$4="",ISNUMBER(SEARCH('MIDWEEK DASHBOARD'!$C$4,INDEX(MASTER_AREAS!$B:$B,663))))),662,""),""),IF('MIDWEEK DASHBOARD'!$B$4="Zone",IF(662&lt;=$N$4,IF(OR('MIDWEEK DASHBOARD'!$C$4="",ISNUMBER(SEARCH('MIDWEEK DASHBOARD'!$C$4,INDEX(MASTER_ZONES!$B:$B,663)))),662,""),""),""))</f>
        <v/>
      </c>
      <c r="P663">
        <f>IF('CHOP DASHBOARD'!$B$4="Area",IF(662&lt;=$S$3,IF(AND(OR('CHOP DASHBOARD'!$C$4="",ISNUMBER(SEARCH('CHOP DASHBOARD'!$C$4,INDEX(MASTER_AREAS!$B:$B,663))))),662,""),""),IF('CHOP DASHBOARD'!$B$4="Zone",IF(662&lt;=$S$4,IF(OR('CHOP DASHBOARD'!$C$4="",ISNUMBER(SEARCH('CHOP DASHBOARD'!$C$4,INDEX(MASTER_ZONES!$B:$B,663)))),662,""),""),""))</f>
        <v/>
      </c>
      <c r="U663">
        <f>IF('COMMUNITY CHURCH DASHBOARD'!$B$4="Area",IF(662&lt;=$X$3,IF(AND(OR('COMMUNITY CHURCH DASHBOARD'!$C$4="",ISNUMBER(SEARCH('COMMUNITY CHURCH DASHBOARD'!$C$4,INDEX(MASTER_AREAS!$B:$B,663))))),662,""),""),IF('COMMUNITY CHURCH DASHBOARD'!$B$4="Zone",IF(662&lt;=$X$4,IF(OR('COMMUNITY CHURCH DASHBOARD'!$C$4="",ISNUMBER(SEARCH('COMMUNITY CHURCH DASHBOARD'!$C$4,INDEX(MASTER_ZONES!$B:$B,663)))),662,""),""),""))</f>
        <v/>
      </c>
    </row>
    <row r="664">
      <c r="A664">
        <f>IF('WSF DASHBOARD'!$B$4="Area",IF(663&lt;=$D$3,IF(AND(OR('WSF DASHBOARD'!$C$4="",ISNUMBER(SEARCH('WSF DASHBOARD'!$C$4,INDEX(MASTER_AREAS!$B:$B,664))))),663,""),""),IF('WSF DASHBOARD'!$B$4="Zone",IF(663&lt;=$D$4,IF(OR('WSF DASHBOARD'!$C$4="",ISNUMBER(SEARCH('WSF DASHBOARD'!$C$4,INDEX(MASTER_ZONES!$B:$B,664)))),663,""),""),""))</f>
        <v/>
      </c>
      <c r="F664">
        <f>IF('TRANSPORT DASHBOARD'!$B$4="Area",IF(663&lt;=$I$3,IF(AND(INDEX(MASTER_AREAS!$F:$F,664)&lt;&gt;"N",OR('TRANSPORT DASHBOARD'!$C$4="",ISNUMBER(SEARCH('TRANSPORT DASHBOARD'!$C$4,INDEX(MASTER_AREAS!$B:$B,664))))),663,""),""),IF('TRANSPORT DASHBOARD'!$B$4="Zone",IF(663&lt;=$I$4,IF(OR('TRANSPORT DASHBOARD'!$C$4="",ISNUMBER(SEARCH('TRANSPORT DASHBOARD'!$C$4,INDEX(MASTER_ZONES!$B:$B,664)))),663,""),""),""))</f>
        <v/>
      </c>
      <c r="K664">
        <f>IF('MIDWEEK DASHBOARD'!$B$4="Area",IF(663&lt;=$N$3,IF(AND(OR('MIDWEEK DASHBOARD'!$C$4="",ISNUMBER(SEARCH('MIDWEEK DASHBOARD'!$C$4,INDEX(MASTER_AREAS!$B:$B,664))))),663,""),""),IF('MIDWEEK DASHBOARD'!$B$4="Zone",IF(663&lt;=$N$4,IF(OR('MIDWEEK DASHBOARD'!$C$4="",ISNUMBER(SEARCH('MIDWEEK DASHBOARD'!$C$4,INDEX(MASTER_ZONES!$B:$B,664)))),663,""),""),""))</f>
        <v/>
      </c>
      <c r="P664">
        <f>IF('CHOP DASHBOARD'!$B$4="Area",IF(663&lt;=$S$3,IF(AND(OR('CHOP DASHBOARD'!$C$4="",ISNUMBER(SEARCH('CHOP DASHBOARD'!$C$4,INDEX(MASTER_AREAS!$B:$B,664))))),663,""),""),IF('CHOP DASHBOARD'!$B$4="Zone",IF(663&lt;=$S$4,IF(OR('CHOP DASHBOARD'!$C$4="",ISNUMBER(SEARCH('CHOP DASHBOARD'!$C$4,INDEX(MASTER_ZONES!$B:$B,664)))),663,""),""),""))</f>
        <v/>
      </c>
      <c r="U664">
        <f>IF('COMMUNITY CHURCH DASHBOARD'!$B$4="Area",IF(663&lt;=$X$3,IF(AND(OR('COMMUNITY CHURCH DASHBOARD'!$C$4="",ISNUMBER(SEARCH('COMMUNITY CHURCH DASHBOARD'!$C$4,INDEX(MASTER_AREAS!$B:$B,664))))),663,""),""),IF('COMMUNITY CHURCH DASHBOARD'!$B$4="Zone",IF(663&lt;=$X$4,IF(OR('COMMUNITY CHURCH DASHBOARD'!$C$4="",ISNUMBER(SEARCH('COMMUNITY CHURCH DASHBOARD'!$C$4,INDEX(MASTER_ZONES!$B:$B,664)))),663,""),""),""))</f>
        <v/>
      </c>
    </row>
    <row r="665">
      <c r="A665">
        <f>IF('WSF DASHBOARD'!$B$4="Area",IF(664&lt;=$D$3,IF(AND(OR('WSF DASHBOARD'!$C$4="",ISNUMBER(SEARCH('WSF DASHBOARD'!$C$4,INDEX(MASTER_AREAS!$B:$B,665))))),664,""),""),IF('WSF DASHBOARD'!$B$4="Zone",IF(664&lt;=$D$4,IF(OR('WSF DASHBOARD'!$C$4="",ISNUMBER(SEARCH('WSF DASHBOARD'!$C$4,INDEX(MASTER_ZONES!$B:$B,665)))),664,""),""),""))</f>
        <v/>
      </c>
      <c r="F665">
        <f>IF('TRANSPORT DASHBOARD'!$B$4="Area",IF(664&lt;=$I$3,IF(AND(INDEX(MASTER_AREAS!$F:$F,665)&lt;&gt;"N",OR('TRANSPORT DASHBOARD'!$C$4="",ISNUMBER(SEARCH('TRANSPORT DASHBOARD'!$C$4,INDEX(MASTER_AREAS!$B:$B,665))))),664,""),""),IF('TRANSPORT DASHBOARD'!$B$4="Zone",IF(664&lt;=$I$4,IF(OR('TRANSPORT DASHBOARD'!$C$4="",ISNUMBER(SEARCH('TRANSPORT DASHBOARD'!$C$4,INDEX(MASTER_ZONES!$B:$B,665)))),664,""),""),""))</f>
        <v/>
      </c>
      <c r="K665">
        <f>IF('MIDWEEK DASHBOARD'!$B$4="Area",IF(664&lt;=$N$3,IF(AND(OR('MIDWEEK DASHBOARD'!$C$4="",ISNUMBER(SEARCH('MIDWEEK DASHBOARD'!$C$4,INDEX(MASTER_AREAS!$B:$B,665))))),664,""),""),IF('MIDWEEK DASHBOARD'!$B$4="Zone",IF(664&lt;=$N$4,IF(OR('MIDWEEK DASHBOARD'!$C$4="",ISNUMBER(SEARCH('MIDWEEK DASHBOARD'!$C$4,INDEX(MASTER_ZONES!$B:$B,665)))),664,""),""),""))</f>
        <v/>
      </c>
      <c r="P665">
        <f>IF('CHOP DASHBOARD'!$B$4="Area",IF(664&lt;=$S$3,IF(AND(OR('CHOP DASHBOARD'!$C$4="",ISNUMBER(SEARCH('CHOP DASHBOARD'!$C$4,INDEX(MASTER_AREAS!$B:$B,665))))),664,""),""),IF('CHOP DASHBOARD'!$B$4="Zone",IF(664&lt;=$S$4,IF(OR('CHOP DASHBOARD'!$C$4="",ISNUMBER(SEARCH('CHOP DASHBOARD'!$C$4,INDEX(MASTER_ZONES!$B:$B,665)))),664,""),""),""))</f>
        <v/>
      </c>
      <c r="U665">
        <f>IF('COMMUNITY CHURCH DASHBOARD'!$B$4="Area",IF(664&lt;=$X$3,IF(AND(OR('COMMUNITY CHURCH DASHBOARD'!$C$4="",ISNUMBER(SEARCH('COMMUNITY CHURCH DASHBOARD'!$C$4,INDEX(MASTER_AREAS!$B:$B,665))))),664,""),""),IF('COMMUNITY CHURCH DASHBOARD'!$B$4="Zone",IF(664&lt;=$X$4,IF(OR('COMMUNITY CHURCH DASHBOARD'!$C$4="",ISNUMBER(SEARCH('COMMUNITY CHURCH DASHBOARD'!$C$4,INDEX(MASTER_ZONES!$B:$B,665)))),664,""),""),""))</f>
        <v/>
      </c>
    </row>
    <row r="666">
      <c r="A666">
        <f>IF('WSF DASHBOARD'!$B$4="Area",IF(665&lt;=$D$3,IF(AND(OR('WSF DASHBOARD'!$C$4="",ISNUMBER(SEARCH('WSF DASHBOARD'!$C$4,INDEX(MASTER_AREAS!$B:$B,666))))),665,""),""),IF('WSF DASHBOARD'!$B$4="Zone",IF(665&lt;=$D$4,IF(OR('WSF DASHBOARD'!$C$4="",ISNUMBER(SEARCH('WSF DASHBOARD'!$C$4,INDEX(MASTER_ZONES!$B:$B,666)))),665,""),""),""))</f>
        <v/>
      </c>
      <c r="F666">
        <f>IF('TRANSPORT DASHBOARD'!$B$4="Area",IF(665&lt;=$I$3,IF(AND(INDEX(MASTER_AREAS!$F:$F,666)&lt;&gt;"N",OR('TRANSPORT DASHBOARD'!$C$4="",ISNUMBER(SEARCH('TRANSPORT DASHBOARD'!$C$4,INDEX(MASTER_AREAS!$B:$B,666))))),665,""),""),IF('TRANSPORT DASHBOARD'!$B$4="Zone",IF(665&lt;=$I$4,IF(OR('TRANSPORT DASHBOARD'!$C$4="",ISNUMBER(SEARCH('TRANSPORT DASHBOARD'!$C$4,INDEX(MASTER_ZONES!$B:$B,666)))),665,""),""),""))</f>
        <v/>
      </c>
      <c r="K666">
        <f>IF('MIDWEEK DASHBOARD'!$B$4="Area",IF(665&lt;=$N$3,IF(AND(OR('MIDWEEK DASHBOARD'!$C$4="",ISNUMBER(SEARCH('MIDWEEK DASHBOARD'!$C$4,INDEX(MASTER_AREAS!$B:$B,666))))),665,""),""),IF('MIDWEEK DASHBOARD'!$B$4="Zone",IF(665&lt;=$N$4,IF(OR('MIDWEEK DASHBOARD'!$C$4="",ISNUMBER(SEARCH('MIDWEEK DASHBOARD'!$C$4,INDEX(MASTER_ZONES!$B:$B,666)))),665,""),""),""))</f>
        <v/>
      </c>
      <c r="P666">
        <f>IF('CHOP DASHBOARD'!$B$4="Area",IF(665&lt;=$S$3,IF(AND(OR('CHOP DASHBOARD'!$C$4="",ISNUMBER(SEARCH('CHOP DASHBOARD'!$C$4,INDEX(MASTER_AREAS!$B:$B,666))))),665,""),""),IF('CHOP DASHBOARD'!$B$4="Zone",IF(665&lt;=$S$4,IF(OR('CHOP DASHBOARD'!$C$4="",ISNUMBER(SEARCH('CHOP DASHBOARD'!$C$4,INDEX(MASTER_ZONES!$B:$B,666)))),665,""),""),""))</f>
        <v/>
      </c>
      <c r="U666">
        <f>IF('COMMUNITY CHURCH DASHBOARD'!$B$4="Area",IF(665&lt;=$X$3,IF(AND(OR('COMMUNITY CHURCH DASHBOARD'!$C$4="",ISNUMBER(SEARCH('COMMUNITY CHURCH DASHBOARD'!$C$4,INDEX(MASTER_AREAS!$B:$B,666))))),665,""),""),IF('COMMUNITY CHURCH DASHBOARD'!$B$4="Zone",IF(665&lt;=$X$4,IF(OR('COMMUNITY CHURCH DASHBOARD'!$C$4="",ISNUMBER(SEARCH('COMMUNITY CHURCH DASHBOARD'!$C$4,INDEX(MASTER_ZONES!$B:$B,666)))),665,""),""),""))</f>
        <v/>
      </c>
    </row>
    <row r="667">
      <c r="A667">
        <f>IF('WSF DASHBOARD'!$B$4="Area",IF(666&lt;=$D$3,IF(AND(OR('WSF DASHBOARD'!$C$4="",ISNUMBER(SEARCH('WSF DASHBOARD'!$C$4,INDEX(MASTER_AREAS!$B:$B,667))))),666,""),""),IF('WSF DASHBOARD'!$B$4="Zone",IF(666&lt;=$D$4,IF(OR('WSF DASHBOARD'!$C$4="",ISNUMBER(SEARCH('WSF DASHBOARD'!$C$4,INDEX(MASTER_ZONES!$B:$B,667)))),666,""),""),""))</f>
        <v/>
      </c>
      <c r="F667">
        <f>IF('TRANSPORT DASHBOARD'!$B$4="Area",IF(666&lt;=$I$3,IF(AND(INDEX(MASTER_AREAS!$F:$F,667)&lt;&gt;"N",OR('TRANSPORT DASHBOARD'!$C$4="",ISNUMBER(SEARCH('TRANSPORT DASHBOARD'!$C$4,INDEX(MASTER_AREAS!$B:$B,667))))),666,""),""),IF('TRANSPORT DASHBOARD'!$B$4="Zone",IF(666&lt;=$I$4,IF(OR('TRANSPORT DASHBOARD'!$C$4="",ISNUMBER(SEARCH('TRANSPORT DASHBOARD'!$C$4,INDEX(MASTER_ZONES!$B:$B,667)))),666,""),""),""))</f>
        <v/>
      </c>
      <c r="K667">
        <f>IF('MIDWEEK DASHBOARD'!$B$4="Area",IF(666&lt;=$N$3,IF(AND(OR('MIDWEEK DASHBOARD'!$C$4="",ISNUMBER(SEARCH('MIDWEEK DASHBOARD'!$C$4,INDEX(MASTER_AREAS!$B:$B,667))))),666,""),""),IF('MIDWEEK DASHBOARD'!$B$4="Zone",IF(666&lt;=$N$4,IF(OR('MIDWEEK DASHBOARD'!$C$4="",ISNUMBER(SEARCH('MIDWEEK DASHBOARD'!$C$4,INDEX(MASTER_ZONES!$B:$B,667)))),666,""),""),""))</f>
        <v/>
      </c>
      <c r="P667">
        <f>IF('CHOP DASHBOARD'!$B$4="Area",IF(666&lt;=$S$3,IF(AND(OR('CHOP DASHBOARD'!$C$4="",ISNUMBER(SEARCH('CHOP DASHBOARD'!$C$4,INDEX(MASTER_AREAS!$B:$B,667))))),666,""),""),IF('CHOP DASHBOARD'!$B$4="Zone",IF(666&lt;=$S$4,IF(OR('CHOP DASHBOARD'!$C$4="",ISNUMBER(SEARCH('CHOP DASHBOARD'!$C$4,INDEX(MASTER_ZONES!$B:$B,667)))),666,""),""),""))</f>
        <v/>
      </c>
      <c r="U667">
        <f>IF('COMMUNITY CHURCH DASHBOARD'!$B$4="Area",IF(666&lt;=$X$3,IF(AND(OR('COMMUNITY CHURCH DASHBOARD'!$C$4="",ISNUMBER(SEARCH('COMMUNITY CHURCH DASHBOARD'!$C$4,INDEX(MASTER_AREAS!$B:$B,667))))),666,""),""),IF('COMMUNITY CHURCH DASHBOARD'!$B$4="Zone",IF(666&lt;=$X$4,IF(OR('COMMUNITY CHURCH DASHBOARD'!$C$4="",ISNUMBER(SEARCH('COMMUNITY CHURCH DASHBOARD'!$C$4,INDEX(MASTER_ZONES!$B:$B,667)))),666,""),""),""))</f>
        <v/>
      </c>
    </row>
    <row r="668">
      <c r="A668">
        <f>IF('WSF DASHBOARD'!$B$4="Area",IF(667&lt;=$D$3,IF(AND(OR('WSF DASHBOARD'!$C$4="",ISNUMBER(SEARCH('WSF DASHBOARD'!$C$4,INDEX(MASTER_AREAS!$B:$B,668))))),667,""),""),IF('WSF DASHBOARD'!$B$4="Zone",IF(667&lt;=$D$4,IF(OR('WSF DASHBOARD'!$C$4="",ISNUMBER(SEARCH('WSF DASHBOARD'!$C$4,INDEX(MASTER_ZONES!$B:$B,668)))),667,""),""),""))</f>
        <v/>
      </c>
      <c r="F668">
        <f>IF('TRANSPORT DASHBOARD'!$B$4="Area",IF(667&lt;=$I$3,IF(AND(INDEX(MASTER_AREAS!$F:$F,668)&lt;&gt;"N",OR('TRANSPORT DASHBOARD'!$C$4="",ISNUMBER(SEARCH('TRANSPORT DASHBOARD'!$C$4,INDEX(MASTER_AREAS!$B:$B,668))))),667,""),""),IF('TRANSPORT DASHBOARD'!$B$4="Zone",IF(667&lt;=$I$4,IF(OR('TRANSPORT DASHBOARD'!$C$4="",ISNUMBER(SEARCH('TRANSPORT DASHBOARD'!$C$4,INDEX(MASTER_ZONES!$B:$B,668)))),667,""),""),""))</f>
        <v/>
      </c>
      <c r="K668">
        <f>IF('MIDWEEK DASHBOARD'!$B$4="Area",IF(667&lt;=$N$3,IF(AND(OR('MIDWEEK DASHBOARD'!$C$4="",ISNUMBER(SEARCH('MIDWEEK DASHBOARD'!$C$4,INDEX(MASTER_AREAS!$B:$B,668))))),667,""),""),IF('MIDWEEK DASHBOARD'!$B$4="Zone",IF(667&lt;=$N$4,IF(OR('MIDWEEK DASHBOARD'!$C$4="",ISNUMBER(SEARCH('MIDWEEK DASHBOARD'!$C$4,INDEX(MASTER_ZONES!$B:$B,668)))),667,""),""),""))</f>
        <v/>
      </c>
      <c r="P668">
        <f>IF('CHOP DASHBOARD'!$B$4="Area",IF(667&lt;=$S$3,IF(AND(OR('CHOP DASHBOARD'!$C$4="",ISNUMBER(SEARCH('CHOP DASHBOARD'!$C$4,INDEX(MASTER_AREAS!$B:$B,668))))),667,""),""),IF('CHOP DASHBOARD'!$B$4="Zone",IF(667&lt;=$S$4,IF(OR('CHOP DASHBOARD'!$C$4="",ISNUMBER(SEARCH('CHOP DASHBOARD'!$C$4,INDEX(MASTER_ZONES!$B:$B,668)))),667,""),""),""))</f>
        <v/>
      </c>
      <c r="U668">
        <f>IF('COMMUNITY CHURCH DASHBOARD'!$B$4="Area",IF(667&lt;=$X$3,IF(AND(OR('COMMUNITY CHURCH DASHBOARD'!$C$4="",ISNUMBER(SEARCH('COMMUNITY CHURCH DASHBOARD'!$C$4,INDEX(MASTER_AREAS!$B:$B,668))))),667,""),""),IF('COMMUNITY CHURCH DASHBOARD'!$B$4="Zone",IF(667&lt;=$X$4,IF(OR('COMMUNITY CHURCH DASHBOARD'!$C$4="",ISNUMBER(SEARCH('COMMUNITY CHURCH DASHBOARD'!$C$4,INDEX(MASTER_ZONES!$B:$B,668)))),667,""),""),""))</f>
        <v/>
      </c>
    </row>
    <row r="669">
      <c r="A669">
        <f>IF('WSF DASHBOARD'!$B$4="Area",IF(668&lt;=$D$3,IF(AND(OR('WSF DASHBOARD'!$C$4="",ISNUMBER(SEARCH('WSF DASHBOARD'!$C$4,INDEX(MASTER_AREAS!$B:$B,669))))),668,""),""),IF('WSF DASHBOARD'!$B$4="Zone",IF(668&lt;=$D$4,IF(OR('WSF DASHBOARD'!$C$4="",ISNUMBER(SEARCH('WSF DASHBOARD'!$C$4,INDEX(MASTER_ZONES!$B:$B,669)))),668,""),""),""))</f>
        <v/>
      </c>
      <c r="F669">
        <f>IF('TRANSPORT DASHBOARD'!$B$4="Area",IF(668&lt;=$I$3,IF(AND(INDEX(MASTER_AREAS!$F:$F,669)&lt;&gt;"N",OR('TRANSPORT DASHBOARD'!$C$4="",ISNUMBER(SEARCH('TRANSPORT DASHBOARD'!$C$4,INDEX(MASTER_AREAS!$B:$B,669))))),668,""),""),IF('TRANSPORT DASHBOARD'!$B$4="Zone",IF(668&lt;=$I$4,IF(OR('TRANSPORT DASHBOARD'!$C$4="",ISNUMBER(SEARCH('TRANSPORT DASHBOARD'!$C$4,INDEX(MASTER_ZONES!$B:$B,669)))),668,""),""),""))</f>
        <v/>
      </c>
      <c r="K669">
        <f>IF('MIDWEEK DASHBOARD'!$B$4="Area",IF(668&lt;=$N$3,IF(AND(OR('MIDWEEK DASHBOARD'!$C$4="",ISNUMBER(SEARCH('MIDWEEK DASHBOARD'!$C$4,INDEX(MASTER_AREAS!$B:$B,669))))),668,""),""),IF('MIDWEEK DASHBOARD'!$B$4="Zone",IF(668&lt;=$N$4,IF(OR('MIDWEEK DASHBOARD'!$C$4="",ISNUMBER(SEARCH('MIDWEEK DASHBOARD'!$C$4,INDEX(MASTER_ZONES!$B:$B,669)))),668,""),""),""))</f>
        <v/>
      </c>
      <c r="P669">
        <f>IF('CHOP DASHBOARD'!$B$4="Area",IF(668&lt;=$S$3,IF(AND(OR('CHOP DASHBOARD'!$C$4="",ISNUMBER(SEARCH('CHOP DASHBOARD'!$C$4,INDEX(MASTER_AREAS!$B:$B,669))))),668,""),""),IF('CHOP DASHBOARD'!$B$4="Zone",IF(668&lt;=$S$4,IF(OR('CHOP DASHBOARD'!$C$4="",ISNUMBER(SEARCH('CHOP DASHBOARD'!$C$4,INDEX(MASTER_ZONES!$B:$B,669)))),668,""),""),""))</f>
        <v/>
      </c>
      <c r="U669">
        <f>IF('COMMUNITY CHURCH DASHBOARD'!$B$4="Area",IF(668&lt;=$X$3,IF(AND(OR('COMMUNITY CHURCH DASHBOARD'!$C$4="",ISNUMBER(SEARCH('COMMUNITY CHURCH DASHBOARD'!$C$4,INDEX(MASTER_AREAS!$B:$B,669))))),668,""),""),IF('COMMUNITY CHURCH DASHBOARD'!$B$4="Zone",IF(668&lt;=$X$4,IF(OR('COMMUNITY CHURCH DASHBOARD'!$C$4="",ISNUMBER(SEARCH('COMMUNITY CHURCH DASHBOARD'!$C$4,INDEX(MASTER_ZONES!$B:$B,669)))),668,""),""),""))</f>
        <v/>
      </c>
    </row>
    <row r="670">
      <c r="A670">
        <f>IF('WSF DASHBOARD'!$B$4="Area",IF(669&lt;=$D$3,IF(AND(OR('WSF DASHBOARD'!$C$4="",ISNUMBER(SEARCH('WSF DASHBOARD'!$C$4,INDEX(MASTER_AREAS!$B:$B,670))))),669,""),""),IF('WSF DASHBOARD'!$B$4="Zone",IF(669&lt;=$D$4,IF(OR('WSF DASHBOARD'!$C$4="",ISNUMBER(SEARCH('WSF DASHBOARD'!$C$4,INDEX(MASTER_ZONES!$B:$B,670)))),669,""),""),""))</f>
        <v/>
      </c>
      <c r="F670">
        <f>IF('TRANSPORT DASHBOARD'!$B$4="Area",IF(669&lt;=$I$3,IF(AND(INDEX(MASTER_AREAS!$F:$F,670)&lt;&gt;"N",OR('TRANSPORT DASHBOARD'!$C$4="",ISNUMBER(SEARCH('TRANSPORT DASHBOARD'!$C$4,INDEX(MASTER_AREAS!$B:$B,670))))),669,""),""),IF('TRANSPORT DASHBOARD'!$B$4="Zone",IF(669&lt;=$I$4,IF(OR('TRANSPORT DASHBOARD'!$C$4="",ISNUMBER(SEARCH('TRANSPORT DASHBOARD'!$C$4,INDEX(MASTER_ZONES!$B:$B,670)))),669,""),""),""))</f>
        <v/>
      </c>
      <c r="K670">
        <f>IF('MIDWEEK DASHBOARD'!$B$4="Area",IF(669&lt;=$N$3,IF(AND(OR('MIDWEEK DASHBOARD'!$C$4="",ISNUMBER(SEARCH('MIDWEEK DASHBOARD'!$C$4,INDEX(MASTER_AREAS!$B:$B,670))))),669,""),""),IF('MIDWEEK DASHBOARD'!$B$4="Zone",IF(669&lt;=$N$4,IF(OR('MIDWEEK DASHBOARD'!$C$4="",ISNUMBER(SEARCH('MIDWEEK DASHBOARD'!$C$4,INDEX(MASTER_ZONES!$B:$B,670)))),669,""),""),""))</f>
        <v/>
      </c>
      <c r="P670">
        <f>IF('CHOP DASHBOARD'!$B$4="Area",IF(669&lt;=$S$3,IF(AND(OR('CHOP DASHBOARD'!$C$4="",ISNUMBER(SEARCH('CHOP DASHBOARD'!$C$4,INDEX(MASTER_AREAS!$B:$B,670))))),669,""),""),IF('CHOP DASHBOARD'!$B$4="Zone",IF(669&lt;=$S$4,IF(OR('CHOP DASHBOARD'!$C$4="",ISNUMBER(SEARCH('CHOP DASHBOARD'!$C$4,INDEX(MASTER_ZONES!$B:$B,670)))),669,""),""),""))</f>
        <v/>
      </c>
      <c r="U670">
        <f>IF('COMMUNITY CHURCH DASHBOARD'!$B$4="Area",IF(669&lt;=$X$3,IF(AND(OR('COMMUNITY CHURCH DASHBOARD'!$C$4="",ISNUMBER(SEARCH('COMMUNITY CHURCH DASHBOARD'!$C$4,INDEX(MASTER_AREAS!$B:$B,670))))),669,""),""),IF('COMMUNITY CHURCH DASHBOARD'!$B$4="Zone",IF(669&lt;=$X$4,IF(OR('COMMUNITY CHURCH DASHBOARD'!$C$4="",ISNUMBER(SEARCH('COMMUNITY CHURCH DASHBOARD'!$C$4,INDEX(MASTER_ZONES!$B:$B,670)))),669,""),""),""))</f>
        <v/>
      </c>
    </row>
    <row r="671">
      <c r="A671">
        <f>IF('WSF DASHBOARD'!$B$4="Area",IF(670&lt;=$D$3,IF(AND(OR('WSF DASHBOARD'!$C$4="",ISNUMBER(SEARCH('WSF DASHBOARD'!$C$4,INDEX(MASTER_AREAS!$B:$B,671))))),670,""),""),IF('WSF DASHBOARD'!$B$4="Zone",IF(670&lt;=$D$4,IF(OR('WSF DASHBOARD'!$C$4="",ISNUMBER(SEARCH('WSF DASHBOARD'!$C$4,INDEX(MASTER_ZONES!$B:$B,671)))),670,""),""),""))</f>
        <v/>
      </c>
      <c r="F671">
        <f>IF('TRANSPORT DASHBOARD'!$B$4="Area",IF(670&lt;=$I$3,IF(AND(INDEX(MASTER_AREAS!$F:$F,671)&lt;&gt;"N",OR('TRANSPORT DASHBOARD'!$C$4="",ISNUMBER(SEARCH('TRANSPORT DASHBOARD'!$C$4,INDEX(MASTER_AREAS!$B:$B,671))))),670,""),""),IF('TRANSPORT DASHBOARD'!$B$4="Zone",IF(670&lt;=$I$4,IF(OR('TRANSPORT DASHBOARD'!$C$4="",ISNUMBER(SEARCH('TRANSPORT DASHBOARD'!$C$4,INDEX(MASTER_ZONES!$B:$B,671)))),670,""),""),""))</f>
        <v/>
      </c>
      <c r="K671">
        <f>IF('MIDWEEK DASHBOARD'!$B$4="Area",IF(670&lt;=$N$3,IF(AND(OR('MIDWEEK DASHBOARD'!$C$4="",ISNUMBER(SEARCH('MIDWEEK DASHBOARD'!$C$4,INDEX(MASTER_AREAS!$B:$B,671))))),670,""),""),IF('MIDWEEK DASHBOARD'!$B$4="Zone",IF(670&lt;=$N$4,IF(OR('MIDWEEK DASHBOARD'!$C$4="",ISNUMBER(SEARCH('MIDWEEK DASHBOARD'!$C$4,INDEX(MASTER_ZONES!$B:$B,671)))),670,""),""),""))</f>
        <v/>
      </c>
      <c r="P671">
        <f>IF('CHOP DASHBOARD'!$B$4="Area",IF(670&lt;=$S$3,IF(AND(OR('CHOP DASHBOARD'!$C$4="",ISNUMBER(SEARCH('CHOP DASHBOARD'!$C$4,INDEX(MASTER_AREAS!$B:$B,671))))),670,""),""),IF('CHOP DASHBOARD'!$B$4="Zone",IF(670&lt;=$S$4,IF(OR('CHOP DASHBOARD'!$C$4="",ISNUMBER(SEARCH('CHOP DASHBOARD'!$C$4,INDEX(MASTER_ZONES!$B:$B,671)))),670,""),""),""))</f>
        <v/>
      </c>
      <c r="U671">
        <f>IF('COMMUNITY CHURCH DASHBOARD'!$B$4="Area",IF(670&lt;=$X$3,IF(AND(OR('COMMUNITY CHURCH DASHBOARD'!$C$4="",ISNUMBER(SEARCH('COMMUNITY CHURCH DASHBOARD'!$C$4,INDEX(MASTER_AREAS!$B:$B,671))))),670,""),""),IF('COMMUNITY CHURCH DASHBOARD'!$B$4="Zone",IF(670&lt;=$X$4,IF(OR('COMMUNITY CHURCH DASHBOARD'!$C$4="",ISNUMBER(SEARCH('COMMUNITY CHURCH DASHBOARD'!$C$4,INDEX(MASTER_ZONES!$B:$B,671)))),670,""),""),""))</f>
        <v/>
      </c>
    </row>
    <row r="672">
      <c r="A672">
        <f>IF('WSF DASHBOARD'!$B$4="Area",IF(671&lt;=$D$3,IF(AND(OR('WSF DASHBOARD'!$C$4="",ISNUMBER(SEARCH('WSF DASHBOARD'!$C$4,INDEX(MASTER_AREAS!$B:$B,672))))),671,""),""),IF('WSF DASHBOARD'!$B$4="Zone",IF(671&lt;=$D$4,IF(OR('WSF DASHBOARD'!$C$4="",ISNUMBER(SEARCH('WSF DASHBOARD'!$C$4,INDEX(MASTER_ZONES!$B:$B,672)))),671,""),""),""))</f>
        <v/>
      </c>
      <c r="F672">
        <f>IF('TRANSPORT DASHBOARD'!$B$4="Area",IF(671&lt;=$I$3,IF(AND(INDEX(MASTER_AREAS!$F:$F,672)&lt;&gt;"N",OR('TRANSPORT DASHBOARD'!$C$4="",ISNUMBER(SEARCH('TRANSPORT DASHBOARD'!$C$4,INDEX(MASTER_AREAS!$B:$B,672))))),671,""),""),IF('TRANSPORT DASHBOARD'!$B$4="Zone",IF(671&lt;=$I$4,IF(OR('TRANSPORT DASHBOARD'!$C$4="",ISNUMBER(SEARCH('TRANSPORT DASHBOARD'!$C$4,INDEX(MASTER_ZONES!$B:$B,672)))),671,""),""),""))</f>
        <v/>
      </c>
      <c r="K672">
        <f>IF('MIDWEEK DASHBOARD'!$B$4="Area",IF(671&lt;=$N$3,IF(AND(OR('MIDWEEK DASHBOARD'!$C$4="",ISNUMBER(SEARCH('MIDWEEK DASHBOARD'!$C$4,INDEX(MASTER_AREAS!$B:$B,672))))),671,""),""),IF('MIDWEEK DASHBOARD'!$B$4="Zone",IF(671&lt;=$N$4,IF(OR('MIDWEEK DASHBOARD'!$C$4="",ISNUMBER(SEARCH('MIDWEEK DASHBOARD'!$C$4,INDEX(MASTER_ZONES!$B:$B,672)))),671,""),""),""))</f>
        <v/>
      </c>
      <c r="P672">
        <f>IF('CHOP DASHBOARD'!$B$4="Area",IF(671&lt;=$S$3,IF(AND(OR('CHOP DASHBOARD'!$C$4="",ISNUMBER(SEARCH('CHOP DASHBOARD'!$C$4,INDEX(MASTER_AREAS!$B:$B,672))))),671,""),""),IF('CHOP DASHBOARD'!$B$4="Zone",IF(671&lt;=$S$4,IF(OR('CHOP DASHBOARD'!$C$4="",ISNUMBER(SEARCH('CHOP DASHBOARD'!$C$4,INDEX(MASTER_ZONES!$B:$B,672)))),671,""),""),""))</f>
        <v/>
      </c>
      <c r="U672">
        <f>IF('COMMUNITY CHURCH DASHBOARD'!$B$4="Area",IF(671&lt;=$X$3,IF(AND(OR('COMMUNITY CHURCH DASHBOARD'!$C$4="",ISNUMBER(SEARCH('COMMUNITY CHURCH DASHBOARD'!$C$4,INDEX(MASTER_AREAS!$B:$B,672))))),671,""),""),IF('COMMUNITY CHURCH DASHBOARD'!$B$4="Zone",IF(671&lt;=$X$4,IF(OR('COMMUNITY CHURCH DASHBOARD'!$C$4="",ISNUMBER(SEARCH('COMMUNITY CHURCH DASHBOARD'!$C$4,INDEX(MASTER_ZONES!$B:$B,672)))),671,""),""),""))</f>
        <v/>
      </c>
    </row>
    <row r="673">
      <c r="A673">
        <f>IF('WSF DASHBOARD'!$B$4="Area",IF(672&lt;=$D$3,IF(AND(OR('WSF DASHBOARD'!$C$4="",ISNUMBER(SEARCH('WSF DASHBOARD'!$C$4,INDEX(MASTER_AREAS!$B:$B,673))))),672,""),""),IF('WSF DASHBOARD'!$B$4="Zone",IF(672&lt;=$D$4,IF(OR('WSF DASHBOARD'!$C$4="",ISNUMBER(SEARCH('WSF DASHBOARD'!$C$4,INDEX(MASTER_ZONES!$B:$B,673)))),672,""),""),""))</f>
        <v/>
      </c>
      <c r="F673">
        <f>IF('TRANSPORT DASHBOARD'!$B$4="Area",IF(672&lt;=$I$3,IF(AND(INDEX(MASTER_AREAS!$F:$F,673)&lt;&gt;"N",OR('TRANSPORT DASHBOARD'!$C$4="",ISNUMBER(SEARCH('TRANSPORT DASHBOARD'!$C$4,INDEX(MASTER_AREAS!$B:$B,673))))),672,""),""),IF('TRANSPORT DASHBOARD'!$B$4="Zone",IF(672&lt;=$I$4,IF(OR('TRANSPORT DASHBOARD'!$C$4="",ISNUMBER(SEARCH('TRANSPORT DASHBOARD'!$C$4,INDEX(MASTER_ZONES!$B:$B,673)))),672,""),""),""))</f>
        <v/>
      </c>
      <c r="K673">
        <f>IF('MIDWEEK DASHBOARD'!$B$4="Area",IF(672&lt;=$N$3,IF(AND(OR('MIDWEEK DASHBOARD'!$C$4="",ISNUMBER(SEARCH('MIDWEEK DASHBOARD'!$C$4,INDEX(MASTER_AREAS!$B:$B,673))))),672,""),""),IF('MIDWEEK DASHBOARD'!$B$4="Zone",IF(672&lt;=$N$4,IF(OR('MIDWEEK DASHBOARD'!$C$4="",ISNUMBER(SEARCH('MIDWEEK DASHBOARD'!$C$4,INDEX(MASTER_ZONES!$B:$B,673)))),672,""),""),""))</f>
        <v/>
      </c>
      <c r="P673">
        <f>IF('CHOP DASHBOARD'!$B$4="Area",IF(672&lt;=$S$3,IF(AND(OR('CHOP DASHBOARD'!$C$4="",ISNUMBER(SEARCH('CHOP DASHBOARD'!$C$4,INDEX(MASTER_AREAS!$B:$B,673))))),672,""),""),IF('CHOP DASHBOARD'!$B$4="Zone",IF(672&lt;=$S$4,IF(OR('CHOP DASHBOARD'!$C$4="",ISNUMBER(SEARCH('CHOP DASHBOARD'!$C$4,INDEX(MASTER_ZONES!$B:$B,673)))),672,""),""),""))</f>
        <v/>
      </c>
      <c r="U673">
        <f>IF('COMMUNITY CHURCH DASHBOARD'!$B$4="Area",IF(672&lt;=$X$3,IF(AND(OR('COMMUNITY CHURCH DASHBOARD'!$C$4="",ISNUMBER(SEARCH('COMMUNITY CHURCH DASHBOARD'!$C$4,INDEX(MASTER_AREAS!$B:$B,673))))),672,""),""),IF('COMMUNITY CHURCH DASHBOARD'!$B$4="Zone",IF(672&lt;=$X$4,IF(OR('COMMUNITY CHURCH DASHBOARD'!$C$4="",ISNUMBER(SEARCH('COMMUNITY CHURCH DASHBOARD'!$C$4,INDEX(MASTER_ZONES!$B:$B,673)))),672,""),""),""))</f>
        <v/>
      </c>
    </row>
    <row r="674">
      <c r="A674">
        <f>IF('WSF DASHBOARD'!$B$4="Area",IF(673&lt;=$D$3,IF(AND(OR('WSF DASHBOARD'!$C$4="",ISNUMBER(SEARCH('WSF DASHBOARD'!$C$4,INDEX(MASTER_AREAS!$B:$B,674))))),673,""),""),IF('WSF DASHBOARD'!$B$4="Zone",IF(673&lt;=$D$4,IF(OR('WSF DASHBOARD'!$C$4="",ISNUMBER(SEARCH('WSF DASHBOARD'!$C$4,INDEX(MASTER_ZONES!$B:$B,674)))),673,""),""),""))</f>
        <v/>
      </c>
      <c r="F674">
        <f>IF('TRANSPORT DASHBOARD'!$B$4="Area",IF(673&lt;=$I$3,IF(AND(INDEX(MASTER_AREAS!$F:$F,674)&lt;&gt;"N",OR('TRANSPORT DASHBOARD'!$C$4="",ISNUMBER(SEARCH('TRANSPORT DASHBOARD'!$C$4,INDEX(MASTER_AREAS!$B:$B,674))))),673,""),""),IF('TRANSPORT DASHBOARD'!$B$4="Zone",IF(673&lt;=$I$4,IF(OR('TRANSPORT DASHBOARD'!$C$4="",ISNUMBER(SEARCH('TRANSPORT DASHBOARD'!$C$4,INDEX(MASTER_ZONES!$B:$B,674)))),673,""),""),""))</f>
        <v/>
      </c>
      <c r="K674">
        <f>IF('MIDWEEK DASHBOARD'!$B$4="Area",IF(673&lt;=$N$3,IF(AND(OR('MIDWEEK DASHBOARD'!$C$4="",ISNUMBER(SEARCH('MIDWEEK DASHBOARD'!$C$4,INDEX(MASTER_AREAS!$B:$B,674))))),673,""),""),IF('MIDWEEK DASHBOARD'!$B$4="Zone",IF(673&lt;=$N$4,IF(OR('MIDWEEK DASHBOARD'!$C$4="",ISNUMBER(SEARCH('MIDWEEK DASHBOARD'!$C$4,INDEX(MASTER_ZONES!$B:$B,674)))),673,""),""),""))</f>
        <v/>
      </c>
      <c r="P674">
        <f>IF('CHOP DASHBOARD'!$B$4="Area",IF(673&lt;=$S$3,IF(AND(OR('CHOP DASHBOARD'!$C$4="",ISNUMBER(SEARCH('CHOP DASHBOARD'!$C$4,INDEX(MASTER_AREAS!$B:$B,674))))),673,""),""),IF('CHOP DASHBOARD'!$B$4="Zone",IF(673&lt;=$S$4,IF(OR('CHOP DASHBOARD'!$C$4="",ISNUMBER(SEARCH('CHOP DASHBOARD'!$C$4,INDEX(MASTER_ZONES!$B:$B,674)))),673,""),""),""))</f>
        <v/>
      </c>
      <c r="U674">
        <f>IF('COMMUNITY CHURCH DASHBOARD'!$B$4="Area",IF(673&lt;=$X$3,IF(AND(OR('COMMUNITY CHURCH DASHBOARD'!$C$4="",ISNUMBER(SEARCH('COMMUNITY CHURCH DASHBOARD'!$C$4,INDEX(MASTER_AREAS!$B:$B,674))))),673,""),""),IF('COMMUNITY CHURCH DASHBOARD'!$B$4="Zone",IF(673&lt;=$X$4,IF(OR('COMMUNITY CHURCH DASHBOARD'!$C$4="",ISNUMBER(SEARCH('COMMUNITY CHURCH DASHBOARD'!$C$4,INDEX(MASTER_ZONES!$B:$B,674)))),673,""),""),""))</f>
        <v/>
      </c>
    </row>
    <row r="675">
      <c r="A675">
        <f>IF('WSF DASHBOARD'!$B$4="Area",IF(674&lt;=$D$3,IF(AND(OR('WSF DASHBOARD'!$C$4="",ISNUMBER(SEARCH('WSF DASHBOARD'!$C$4,INDEX(MASTER_AREAS!$B:$B,675))))),674,""),""),IF('WSF DASHBOARD'!$B$4="Zone",IF(674&lt;=$D$4,IF(OR('WSF DASHBOARD'!$C$4="",ISNUMBER(SEARCH('WSF DASHBOARD'!$C$4,INDEX(MASTER_ZONES!$B:$B,675)))),674,""),""),""))</f>
        <v/>
      </c>
      <c r="F675">
        <f>IF('TRANSPORT DASHBOARD'!$B$4="Area",IF(674&lt;=$I$3,IF(AND(INDEX(MASTER_AREAS!$F:$F,675)&lt;&gt;"N",OR('TRANSPORT DASHBOARD'!$C$4="",ISNUMBER(SEARCH('TRANSPORT DASHBOARD'!$C$4,INDEX(MASTER_AREAS!$B:$B,675))))),674,""),""),IF('TRANSPORT DASHBOARD'!$B$4="Zone",IF(674&lt;=$I$4,IF(OR('TRANSPORT DASHBOARD'!$C$4="",ISNUMBER(SEARCH('TRANSPORT DASHBOARD'!$C$4,INDEX(MASTER_ZONES!$B:$B,675)))),674,""),""),""))</f>
        <v/>
      </c>
      <c r="K675">
        <f>IF('MIDWEEK DASHBOARD'!$B$4="Area",IF(674&lt;=$N$3,IF(AND(OR('MIDWEEK DASHBOARD'!$C$4="",ISNUMBER(SEARCH('MIDWEEK DASHBOARD'!$C$4,INDEX(MASTER_AREAS!$B:$B,675))))),674,""),""),IF('MIDWEEK DASHBOARD'!$B$4="Zone",IF(674&lt;=$N$4,IF(OR('MIDWEEK DASHBOARD'!$C$4="",ISNUMBER(SEARCH('MIDWEEK DASHBOARD'!$C$4,INDEX(MASTER_ZONES!$B:$B,675)))),674,""),""),""))</f>
        <v/>
      </c>
      <c r="P675">
        <f>IF('CHOP DASHBOARD'!$B$4="Area",IF(674&lt;=$S$3,IF(AND(OR('CHOP DASHBOARD'!$C$4="",ISNUMBER(SEARCH('CHOP DASHBOARD'!$C$4,INDEX(MASTER_AREAS!$B:$B,675))))),674,""),""),IF('CHOP DASHBOARD'!$B$4="Zone",IF(674&lt;=$S$4,IF(OR('CHOP DASHBOARD'!$C$4="",ISNUMBER(SEARCH('CHOP DASHBOARD'!$C$4,INDEX(MASTER_ZONES!$B:$B,675)))),674,""),""),""))</f>
        <v/>
      </c>
      <c r="U675">
        <f>IF('COMMUNITY CHURCH DASHBOARD'!$B$4="Area",IF(674&lt;=$X$3,IF(AND(OR('COMMUNITY CHURCH DASHBOARD'!$C$4="",ISNUMBER(SEARCH('COMMUNITY CHURCH DASHBOARD'!$C$4,INDEX(MASTER_AREAS!$B:$B,675))))),674,""),""),IF('COMMUNITY CHURCH DASHBOARD'!$B$4="Zone",IF(674&lt;=$X$4,IF(OR('COMMUNITY CHURCH DASHBOARD'!$C$4="",ISNUMBER(SEARCH('COMMUNITY CHURCH DASHBOARD'!$C$4,INDEX(MASTER_ZONES!$B:$B,675)))),674,""),""),""))</f>
        <v/>
      </c>
    </row>
    <row r="676">
      <c r="A676">
        <f>IF('WSF DASHBOARD'!$B$4="Area",IF(675&lt;=$D$3,IF(AND(OR('WSF DASHBOARD'!$C$4="",ISNUMBER(SEARCH('WSF DASHBOARD'!$C$4,INDEX(MASTER_AREAS!$B:$B,676))))),675,""),""),IF('WSF DASHBOARD'!$B$4="Zone",IF(675&lt;=$D$4,IF(OR('WSF DASHBOARD'!$C$4="",ISNUMBER(SEARCH('WSF DASHBOARD'!$C$4,INDEX(MASTER_ZONES!$B:$B,676)))),675,""),""),""))</f>
        <v/>
      </c>
      <c r="F676">
        <f>IF('TRANSPORT DASHBOARD'!$B$4="Area",IF(675&lt;=$I$3,IF(AND(INDEX(MASTER_AREAS!$F:$F,676)&lt;&gt;"N",OR('TRANSPORT DASHBOARD'!$C$4="",ISNUMBER(SEARCH('TRANSPORT DASHBOARD'!$C$4,INDEX(MASTER_AREAS!$B:$B,676))))),675,""),""),IF('TRANSPORT DASHBOARD'!$B$4="Zone",IF(675&lt;=$I$4,IF(OR('TRANSPORT DASHBOARD'!$C$4="",ISNUMBER(SEARCH('TRANSPORT DASHBOARD'!$C$4,INDEX(MASTER_ZONES!$B:$B,676)))),675,""),""),""))</f>
        <v/>
      </c>
      <c r="K676">
        <f>IF('MIDWEEK DASHBOARD'!$B$4="Area",IF(675&lt;=$N$3,IF(AND(OR('MIDWEEK DASHBOARD'!$C$4="",ISNUMBER(SEARCH('MIDWEEK DASHBOARD'!$C$4,INDEX(MASTER_AREAS!$B:$B,676))))),675,""),""),IF('MIDWEEK DASHBOARD'!$B$4="Zone",IF(675&lt;=$N$4,IF(OR('MIDWEEK DASHBOARD'!$C$4="",ISNUMBER(SEARCH('MIDWEEK DASHBOARD'!$C$4,INDEX(MASTER_ZONES!$B:$B,676)))),675,""),""),""))</f>
        <v/>
      </c>
      <c r="P676">
        <f>IF('CHOP DASHBOARD'!$B$4="Area",IF(675&lt;=$S$3,IF(AND(OR('CHOP DASHBOARD'!$C$4="",ISNUMBER(SEARCH('CHOP DASHBOARD'!$C$4,INDEX(MASTER_AREAS!$B:$B,676))))),675,""),""),IF('CHOP DASHBOARD'!$B$4="Zone",IF(675&lt;=$S$4,IF(OR('CHOP DASHBOARD'!$C$4="",ISNUMBER(SEARCH('CHOP DASHBOARD'!$C$4,INDEX(MASTER_ZONES!$B:$B,676)))),675,""),""),""))</f>
        <v/>
      </c>
      <c r="U676">
        <f>IF('COMMUNITY CHURCH DASHBOARD'!$B$4="Area",IF(675&lt;=$X$3,IF(AND(OR('COMMUNITY CHURCH DASHBOARD'!$C$4="",ISNUMBER(SEARCH('COMMUNITY CHURCH DASHBOARD'!$C$4,INDEX(MASTER_AREAS!$B:$B,676))))),675,""),""),IF('COMMUNITY CHURCH DASHBOARD'!$B$4="Zone",IF(675&lt;=$X$4,IF(OR('COMMUNITY CHURCH DASHBOARD'!$C$4="",ISNUMBER(SEARCH('COMMUNITY CHURCH DASHBOARD'!$C$4,INDEX(MASTER_ZONES!$B:$B,676)))),675,""),""),""))</f>
        <v/>
      </c>
    </row>
    <row r="677">
      <c r="A677">
        <f>IF('WSF DASHBOARD'!$B$4="Area",IF(676&lt;=$D$3,IF(AND(OR('WSF DASHBOARD'!$C$4="",ISNUMBER(SEARCH('WSF DASHBOARD'!$C$4,INDEX(MASTER_AREAS!$B:$B,677))))),676,""),""),IF('WSF DASHBOARD'!$B$4="Zone",IF(676&lt;=$D$4,IF(OR('WSF DASHBOARD'!$C$4="",ISNUMBER(SEARCH('WSF DASHBOARD'!$C$4,INDEX(MASTER_ZONES!$B:$B,677)))),676,""),""),""))</f>
        <v/>
      </c>
      <c r="F677">
        <f>IF('TRANSPORT DASHBOARD'!$B$4="Area",IF(676&lt;=$I$3,IF(AND(INDEX(MASTER_AREAS!$F:$F,677)&lt;&gt;"N",OR('TRANSPORT DASHBOARD'!$C$4="",ISNUMBER(SEARCH('TRANSPORT DASHBOARD'!$C$4,INDEX(MASTER_AREAS!$B:$B,677))))),676,""),""),IF('TRANSPORT DASHBOARD'!$B$4="Zone",IF(676&lt;=$I$4,IF(OR('TRANSPORT DASHBOARD'!$C$4="",ISNUMBER(SEARCH('TRANSPORT DASHBOARD'!$C$4,INDEX(MASTER_ZONES!$B:$B,677)))),676,""),""),""))</f>
        <v/>
      </c>
      <c r="K677">
        <f>IF('MIDWEEK DASHBOARD'!$B$4="Area",IF(676&lt;=$N$3,IF(AND(OR('MIDWEEK DASHBOARD'!$C$4="",ISNUMBER(SEARCH('MIDWEEK DASHBOARD'!$C$4,INDEX(MASTER_AREAS!$B:$B,677))))),676,""),""),IF('MIDWEEK DASHBOARD'!$B$4="Zone",IF(676&lt;=$N$4,IF(OR('MIDWEEK DASHBOARD'!$C$4="",ISNUMBER(SEARCH('MIDWEEK DASHBOARD'!$C$4,INDEX(MASTER_ZONES!$B:$B,677)))),676,""),""),""))</f>
        <v/>
      </c>
      <c r="P677">
        <f>IF('CHOP DASHBOARD'!$B$4="Area",IF(676&lt;=$S$3,IF(AND(OR('CHOP DASHBOARD'!$C$4="",ISNUMBER(SEARCH('CHOP DASHBOARD'!$C$4,INDEX(MASTER_AREAS!$B:$B,677))))),676,""),""),IF('CHOP DASHBOARD'!$B$4="Zone",IF(676&lt;=$S$4,IF(OR('CHOP DASHBOARD'!$C$4="",ISNUMBER(SEARCH('CHOP DASHBOARD'!$C$4,INDEX(MASTER_ZONES!$B:$B,677)))),676,""),""),""))</f>
        <v/>
      </c>
      <c r="U677">
        <f>IF('COMMUNITY CHURCH DASHBOARD'!$B$4="Area",IF(676&lt;=$X$3,IF(AND(OR('COMMUNITY CHURCH DASHBOARD'!$C$4="",ISNUMBER(SEARCH('COMMUNITY CHURCH DASHBOARD'!$C$4,INDEX(MASTER_AREAS!$B:$B,677))))),676,""),""),IF('COMMUNITY CHURCH DASHBOARD'!$B$4="Zone",IF(676&lt;=$X$4,IF(OR('COMMUNITY CHURCH DASHBOARD'!$C$4="",ISNUMBER(SEARCH('COMMUNITY CHURCH DASHBOARD'!$C$4,INDEX(MASTER_ZONES!$B:$B,677)))),676,""),""),""))</f>
        <v/>
      </c>
    </row>
    <row r="678">
      <c r="A678">
        <f>IF('WSF DASHBOARD'!$B$4="Area",IF(677&lt;=$D$3,IF(AND(OR('WSF DASHBOARD'!$C$4="",ISNUMBER(SEARCH('WSF DASHBOARD'!$C$4,INDEX(MASTER_AREAS!$B:$B,678))))),677,""),""),IF('WSF DASHBOARD'!$B$4="Zone",IF(677&lt;=$D$4,IF(OR('WSF DASHBOARD'!$C$4="",ISNUMBER(SEARCH('WSF DASHBOARD'!$C$4,INDEX(MASTER_ZONES!$B:$B,678)))),677,""),""),""))</f>
        <v/>
      </c>
      <c r="F678">
        <f>IF('TRANSPORT DASHBOARD'!$B$4="Area",IF(677&lt;=$I$3,IF(AND(INDEX(MASTER_AREAS!$F:$F,678)&lt;&gt;"N",OR('TRANSPORT DASHBOARD'!$C$4="",ISNUMBER(SEARCH('TRANSPORT DASHBOARD'!$C$4,INDEX(MASTER_AREAS!$B:$B,678))))),677,""),""),IF('TRANSPORT DASHBOARD'!$B$4="Zone",IF(677&lt;=$I$4,IF(OR('TRANSPORT DASHBOARD'!$C$4="",ISNUMBER(SEARCH('TRANSPORT DASHBOARD'!$C$4,INDEX(MASTER_ZONES!$B:$B,678)))),677,""),""),""))</f>
        <v/>
      </c>
      <c r="K678">
        <f>IF('MIDWEEK DASHBOARD'!$B$4="Area",IF(677&lt;=$N$3,IF(AND(OR('MIDWEEK DASHBOARD'!$C$4="",ISNUMBER(SEARCH('MIDWEEK DASHBOARD'!$C$4,INDEX(MASTER_AREAS!$B:$B,678))))),677,""),""),IF('MIDWEEK DASHBOARD'!$B$4="Zone",IF(677&lt;=$N$4,IF(OR('MIDWEEK DASHBOARD'!$C$4="",ISNUMBER(SEARCH('MIDWEEK DASHBOARD'!$C$4,INDEX(MASTER_ZONES!$B:$B,678)))),677,""),""),""))</f>
        <v/>
      </c>
      <c r="P678">
        <f>IF('CHOP DASHBOARD'!$B$4="Area",IF(677&lt;=$S$3,IF(AND(OR('CHOP DASHBOARD'!$C$4="",ISNUMBER(SEARCH('CHOP DASHBOARD'!$C$4,INDEX(MASTER_AREAS!$B:$B,678))))),677,""),""),IF('CHOP DASHBOARD'!$B$4="Zone",IF(677&lt;=$S$4,IF(OR('CHOP DASHBOARD'!$C$4="",ISNUMBER(SEARCH('CHOP DASHBOARD'!$C$4,INDEX(MASTER_ZONES!$B:$B,678)))),677,""),""),""))</f>
        <v/>
      </c>
      <c r="U678">
        <f>IF('COMMUNITY CHURCH DASHBOARD'!$B$4="Area",IF(677&lt;=$X$3,IF(AND(OR('COMMUNITY CHURCH DASHBOARD'!$C$4="",ISNUMBER(SEARCH('COMMUNITY CHURCH DASHBOARD'!$C$4,INDEX(MASTER_AREAS!$B:$B,678))))),677,""),""),IF('COMMUNITY CHURCH DASHBOARD'!$B$4="Zone",IF(677&lt;=$X$4,IF(OR('COMMUNITY CHURCH DASHBOARD'!$C$4="",ISNUMBER(SEARCH('COMMUNITY CHURCH DASHBOARD'!$C$4,INDEX(MASTER_ZONES!$B:$B,678)))),677,""),""),""))</f>
        <v/>
      </c>
    </row>
    <row r="679">
      <c r="A679">
        <f>IF('WSF DASHBOARD'!$B$4="Area",IF(678&lt;=$D$3,IF(AND(OR('WSF DASHBOARD'!$C$4="",ISNUMBER(SEARCH('WSF DASHBOARD'!$C$4,INDEX(MASTER_AREAS!$B:$B,679))))),678,""),""),IF('WSF DASHBOARD'!$B$4="Zone",IF(678&lt;=$D$4,IF(OR('WSF DASHBOARD'!$C$4="",ISNUMBER(SEARCH('WSF DASHBOARD'!$C$4,INDEX(MASTER_ZONES!$B:$B,679)))),678,""),""),""))</f>
        <v/>
      </c>
      <c r="F679">
        <f>IF('TRANSPORT DASHBOARD'!$B$4="Area",IF(678&lt;=$I$3,IF(AND(INDEX(MASTER_AREAS!$F:$F,679)&lt;&gt;"N",OR('TRANSPORT DASHBOARD'!$C$4="",ISNUMBER(SEARCH('TRANSPORT DASHBOARD'!$C$4,INDEX(MASTER_AREAS!$B:$B,679))))),678,""),""),IF('TRANSPORT DASHBOARD'!$B$4="Zone",IF(678&lt;=$I$4,IF(OR('TRANSPORT DASHBOARD'!$C$4="",ISNUMBER(SEARCH('TRANSPORT DASHBOARD'!$C$4,INDEX(MASTER_ZONES!$B:$B,679)))),678,""),""),""))</f>
        <v/>
      </c>
      <c r="K679">
        <f>IF('MIDWEEK DASHBOARD'!$B$4="Area",IF(678&lt;=$N$3,IF(AND(OR('MIDWEEK DASHBOARD'!$C$4="",ISNUMBER(SEARCH('MIDWEEK DASHBOARD'!$C$4,INDEX(MASTER_AREAS!$B:$B,679))))),678,""),""),IF('MIDWEEK DASHBOARD'!$B$4="Zone",IF(678&lt;=$N$4,IF(OR('MIDWEEK DASHBOARD'!$C$4="",ISNUMBER(SEARCH('MIDWEEK DASHBOARD'!$C$4,INDEX(MASTER_ZONES!$B:$B,679)))),678,""),""),""))</f>
        <v/>
      </c>
      <c r="P679">
        <f>IF('CHOP DASHBOARD'!$B$4="Area",IF(678&lt;=$S$3,IF(AND(OR('CHOP DASHBOARD'!$C$4="",ISNUMBER(SEARCH('CHOP DASHBOARD'!$C$4,INDEX(MASTER_AREAS!$B:$B,679))))),678,""),""),IF('CHOP DASHBOARD'!$B$4="Zone",IF(678&lt;=$S$4,IF(OR('CHOP DASHBOARD'!$C$4="",ISNUMBER(SEARCH('CHOP DASHBOARD'!$C$4,INDEX(MASTER_ZONES!$B:$B,679)))),678,""),""),""))</f>
        <v/>
      </c>
      <c r="U679">
        <f>IF('COMMUNITY CHURCH DASHBOARD'!$B$4="Area",IF(678&lt;=$X$3,IF(AND(OR('COMMUNITY CHURCH DASHBOARD'!$C$4="",ISNUMBER(SEARCH('COMMUNITY CHURCH DASHBOARD'!$C$4,INDEX(MASTER_AREAS!$B:$B,679))))),678,""),""),IF('COMMUNITY CHURCH DASHBOARD'!$B$4="Zone",IF(678&lt;=$X$4,IF(OR('COMMUNITY CHURCH DASHBOARD'!$C$4="",ISNUMBER(SEARCH('COMMUNITY CHURCH DASHBOARD'!$C$4,INDEX(MASTER_ZONES!$B:$B,679)))),678,""),""),""))</f>
        <v/>
      </c>
    </row>
    <row r="680">
      <c r="A680">
        <f>IF('WSF DASHBOARD'!$B$4="Area",IF(679&lt;=$D$3,IF(AND(OR('WSF DASHBOARD'!$C$4="",ISNUMBER(SEARCH('WSF DASHBOARD'!$C$4,INDEX(MASTER_AREAS!$B:$B,680))))),679,""),""),IF('WSF DASHBOARD'!$B$4="Zone",IF(679&lt;=$D$4,IF(OR('WSF DASHBOARD'!$C$4="",ISNUMBER(SEARCH('WSF DASHBOARD'!$C$4,INDEX(MASTER_ZONES!$B:$B,680)))),679,""),""),""))</f>
        <v/>
      </c>
      <c r="F680">
        <f>IF('TRANSPORT DASHBOARD'!$B$4="Area",IF(679&lt;=$I$3,IF(AND(INDEX(MASTER_AREAS!$F:$F,680)&lt;&gt;"N",OR('TRANSPORT DASHBOARD'!$C$4="",ISNUMBER(SEARCH('TRANSPORT DASHBOARD'!$C$4,INDEX(MASTER_AREAS!$B:$B,680))))),679,""),""),IF('TRANSPORT DASHBOARD'!$B$4="Zone",IF(679&lt;=$I$4,IF(OR('TRANSPORT DASHBOARD'!$C$4="",ISNUMBER(SEARCH('TRANSPORT DASHBOARD'!$C$4,INDEX(MASTER_ZONES!$B:$B,680)))),679,""),""),""))</f>
        <v/>
      </c>
      <c r="K680">
        <f>IF('MIDWEEK DASHBOARD'!$B$4="Area",IF(679&lt;=$N$3,IF(AND(OR('MIDWEEK DASHBOARD'!$C$4="",ISNUMBER(SEARCH('MIDWEEK DASHBOARD'!$C$4,INDEX(MASTER_AREAS!$B:$B,680))))),679,""),""),IF('MIDWEEK DASHBOARD'!$B$4="Zone",IF(679&lt;=$N$4,IF(OR('MIDWEEK DASHBOARD'!$C$4="",ISNUMBER(SEARCH('MIDWEEK DASHBOARD'!$C$4,INDEX(MASTER_ZONES!$B:$B,680)))),679,""),""),""))</f>
        <v/>
      </c>
      <c r="P680">
        <f>IF('CHOP DASHBOARD'!$B$4="Area",IF(679&lt;=$S$3,IF(AND(OR('CHOP DASHBOARD'!$C$4="",ISNUMBER(SEARCH('CHOP DASHBOARD'!$C$4,INDEX(MASTER_AREAS!$B:$B,680))))),679,""),""),IF('CHOP DASHBOARD'!$B$4="Zone",IF(679&lt;=$S$4,IF(OR('CHOP DASHBOARD'!$C$4="",ISNUMBER(SEARCH('CHOP DASHBOARD'!$C$4,INDEX(MASTER_ZONES!$B:$B,680)))),679,""),""),""))</f>
        <v/>
      </c>
      <c r="U680">
        <f>IF('COMMUNITY CHURCH DASHBOARD'!$B$4="Area",IF(679&lt;=$X$3,IF(AND(OR('COMMUNITY CHURCH DASHBOARD'!$C$4="",ISNUMBER(SEARCH('COMMUNITY CHURCH DASHBOARD'!$C$4,INDEX(MASTER_AREAS!$B:$B,680))))),679,""),""),IF('COMMUNITY CHURCH DASHBOARD'!$B$4="Zone",IF(679&lt;=$X$4,IF(OR('COMMUNITY CHURCH DASHBOARD'!$C$4="",ISNUMBER(SEARCH('COMMUNITY CHURCH DASHBOARD'!$C$4,INDEX(MASTER_ZONES!$B:$B,680)))),679,""),""),""))</f>
        <v/>
      </c>
    </row>
    <row r="681">
      <c r="A681">
        <f>IF('WSF DASHBOARD'!$B$4="Area",IF(680&lt;=$D$3,IF(AND(OR('WSF DASHBOARD'!$C$4="",ISNUMBER(SEARCH('WSF DASHBOARD'!$C$4,INDEX(MASTER_AREAS!$B:$B,681))))),680,""),""),IF('WSF DASHBOARD'!$B$4="Zone",IF(680&lt;=$D$4,IF(OR('WSF DASHBOARD'!$C$4="",ISNUMBER(SEARCH('WSF DASHBOARD'!$C$4,INDEX(MASTER_ZONES!$B:$B,681)))),680,""),""),""))</f>
        <v/>
      </c>
      <c r="F681">
        <f>IF('TRANSPORT DASHBOARD'!$B$4="Area",IF(680&lt;=$I$3,IF(AND(INDEX(MASTER_AREAS!$F:$F,681)&lt;&gt;"N",OR('TRANSPORT DASHBOARD'!$C$4="",ISNUMBER(SEARCH('TRANSPORT DASHBOARD'!$C$4,INDEX(MASTER_AREAS!$B:$B,681))))),680,""),""),IF('TRANSPORT DASHBOARD'!$B$4="Zone",IF(680&lt;=$I$4,IF(OR('TRANSPORT DASHBOARD'!$C$4="",ISNUMBER(SEARCH('TRANSPORT DASHBOARD'!$C$4,INDEX(MASTER_ZONES!$B:$B,681)))),680,""),""),""))</f>
        <v/>
      </c>
      <c r="K681">
        <f>IF('MIDWEEK DASHBOARD'!$B$4="Area",IF(680&lt;=$N$3,IF(AND(OR('MIDWEEK DASHBOARD'!$C$4="",ISNUMBER(SEARCH('MIDWEEK DASHBOARD'!$C$4,INDEX(MASTER_AREAS!$B:$B,681))))),680,""),""),IF('MIDWEEK DASHBOARD'!$B$4="Zone",IF(680&lt;=$N$4,IF(OR('MIDWEEK DASHBOARD'!$C$4="",ISNUMBER(SEARCH('MIDWEEK DASHBOARD'!$C$4,INDEX(MASTER_ZONES!$B:$B,681)))),680,""),""),""))</f>
        <v/>
      </c>
      <c r="P681">
        <f>IF('CHOP DASHBOARD'!$B$4="Area",IF(680&lt;=$S$3,IF(AND(OR('CHOP DASHBOARD'!$C$4="",ISNUMBER(SEARCH('CHOP DASHBOARD'!$C$4,INDEX(MASTER_AREAS!$B:$B,681))))),680,""),""),IF('CHOP DASHBOARD'!$B$4="Zone",IF(680&lt;=$S$4,IF(OR('CHOP DASHBOARD'!$C$4="",ISNUMBER(SEARCH('CHOP DASHBOARD'!$C$4,INDEX(MASTER_ZONES!$B:$B,681)))),680,""),""),""))</f>
        <v/>
      </c>
      <c r="U681">
        <f>IF('COMMUNITY CHURCH DASHBOARD'!$B$4="Area",IF(680&lt;=$X$3,IF(AND(OR('COMMUNITY CHURCH DASHBOARD'!$C$4="",ISNUMBER(SEARCH('COMMUNITY CHURCH DASHBOARD'!$C$4,INDEX(MASTER_AREAS!$B:$B,681))))),680,""),""),IF('COMMUNITY CHURCH DASHBOARD'!$B$4="Zone",IF(680&lt;=$X$4,IF(OR('COMMUNITY CHURCH DASHBOARD'!$C$4="",ISNUMBER(SEARCH('COMMUNITY CHURCH DASHBOARD'!$C$4,INDEX(MASTER_ZONES!$B:$B,681)))),680,""),""),""))</f>
        <v/>
      </c>
    </row>
    <row r="682">
      <c r="A682">
        <f>IF('WSF DASHBOARD'!$B$4="Area",IF(681&lt;=$D$3,IF(AND(OR('WSF DASHBOARD'!$C$4="",ISNUMBER(SEARCH('WSF DASHBOARD'!$C$4,INDEX(MASTER_AREAS!$B:$B,682))))),681,""),""),IF('WSF DASHBOARD'!$B$4="Zone",IF(681&lt;=$D$4,IF(OR('WSF DASHBOARD'!$C$4="",ISNUMBER(SEARCH('WSF DASHBOARD'!$C$4,INDEX(MASTER_ZONES!$B:$B,682)))),681,""),""),""))</f>
        <v/>
      </c>
      <c r="F682">
        <f>IF('TRANSPORT DASHBOARD'!$B$4="Area",IF(681&lt;=$I$3,IF(AND(INDEX(MASTER_AREAS!$F:$F,682)&lt;&gt;"N",OR('TRANSPORT DASHBOARD'!$C$4="",ISNUMBER(SEARCH('TRANSPORT DASHBOARD'!$C$4,INDEX(MASTER_AREAS!$B:$B,682))))),681,""),""),IF('TRANSPORT DASHBOARD'!$B$4="Zone",IF(681&lt;=$I$4,IF(OR('TRANSPORT DASHBOARD'!$C$4="",ISNUMBER(SEARCH('TRANSPORT DASHBOARD'!$C$4,INDEX(MASTER_ZONES!$B:$B,682)))),681,""),""),""))</f>
        <v/>
      </c>
      <c r="K682">
        <f>IF('MIDWEEK DASHBOARD'!$B$4="Area",IF(681&lt;=$N$3,IF(AND(OR('MIDWEEK DASHBOARD'!$C$4="",ISNUMBER(SEARCH('MIDWEEK DASHBOARD'!$C$4,INDEX(MASTER_AREAS!$B:$B,682))))),681,""),""),IF('MIDWEEK DASHBOARD'!$B$4="Zone",IF(681&lt;=$N$4,IF(OR('MIDWEEK DASHBOARD'!$C$4="",ISNUMBER(SEARCH('MIDWEEK DASHBOARD'!$C$4,INDEX(MASTER_ZONES!$B:$B,682)))),681,""),""),""))</f>
        <v/>
      </c>
      <c r="P682">
        <f>IF('CHOP DASHBOARD'!$B$4="Area",IF(681&lt;=$S$3,IF(AND(OR('CHOP DASHBOARD'!$C$4="",ISNUMBER(SEARCH('CHOP DASHBOARD'!$C$4,INDEX(MASTER_AREAS!$B:$B,682))))),681,""),""),IF('CHOP DASHBOARD'!$B$4="Zone",IF(681&lt;=$S$4,IF(OR('CHOP DASHBOARD'!$C$4="",ISNUMBER(SEARCH('CHOP DASHBOARD'!$C$4,INDEX(MASTER_ZONES!$B:$B,682)))),681,""),""),""))</f>
        <v/>
      </c>
      <c r="U682">
        <f>IF('COMMUNITY CHURCH DASHBOARD'!$B$4="Area",IF(681&lt;=$X$3,IF(AND(OR('COMMUNITY CHURCH DASHBOARD'!$C$4="",ISNUMBER(SEARCH('COMMUNITY CHURCH DASHBOARD'!$C$4,INDEX(MASTER_AREAS!$B:$B,682))))),681,""),""),IF('COMMUNITY CHURCH DASHBOARD'!$B$4="Zone",IF(681&lt;=$X$4,IF(OR('COMMUNITY CHURCH DASHBOARD'!$C$4="",ISNUMBER(SEARCH('COMMUNITY CHURCH DASHBOARD'!$C$4,INDEX(MASTER_ZONES!$B:$B,682)))),681,""),""),""))</f>
        <v/>
      </c>
    </row>
    <row r="683">
      <c r="A683">
        <f>IF('WSF DASHBOARD'!$B$4="Area",IF(682&lt;=$D$3,IF(AND(OR('WSF DASHBOARD'!$C$4="",ISNUMBER(SEARCH('WSF DASHBOARD'!$C$4,INDEX(MASTER_AREAS!$B:$B,683))))),682,""),""),IF('WSF DASHBOARD'!$B$4="Zone",IF(682&lt;=$D$4,IF(OR('WSF DASHBOARD'!$C$4="",ISNUMBER(SEARCH('WSF DASHBOARD'!$C$4,INDEX(MASTER_ZONES!$B:$B,683)))),682,""),""),""))</f>
        <v/>
      </c>
      <c r="F683">
        <f>IF('TRANSPORT DASHBOARD'!$B$4="Area",IF(682&lt;=$I$3,IF(AND(INDEX(MASTER_AREAS!$F:$F,683)&lt;&gt;"N",OR('TRANSPORT DASHBOARD'!$C$4="",ISNUMBER(SEARCH('TRANSPORT DASHBOARD'!$C$4,INDEX(MASTER_AREAS!$B:$B,683))))),682,""),""),IF('TRANSPORT DASHBOARD'!$B$4="Zone",IF(682&lt;=$I$4,IF(OR('TRANSPORT DASHBOARD'!$C$4="",ISNUMBER(SEARCH('TRANSPORT DASHBOARD'!$C$4,INDEX(MASTER_ZONES!$B:$B,683)))),682,""),""),""))</f>
        <v/>
      </c>
      <c r="K683">
        <f>IF('MIDWEEK DASHBOARD'!$B$4="Area",IF(682&lt;=$N$3,IF(AND(OR('MIDWEEK DASHBOARD'!$C$4="",ISNUMBER(SEARCH('MIDWEEK DASHBOARD'!$C$4,INDEX(MASTER_AREAS!$B:$B,683))))),682,""),""),IF('MIDWEEK DASHBOARD'!$B$4="Zone",IF(682&lt;=$N$4,IF(OR('MIDWEEK DASHBOARD'!$C$4="",ISNUMBER(SEARCH('MIDWEEK DASHBOARD'!$C$4,INDEX(MASTER_ZONES!$B:$B,683)))),682,""),""),""))</f>
        <v/>
      </c>
      <c r="P683">
        <f>IF('CHOP DASHBOARD'!$B$4="Area",IF(682&lt;=$S$3,IF(AND(OR('CHOP DASHBOARD'!$C$4="",ISNUMBER(SEARCH('CHOP DASHBOARD'!$C$4,INDEX(MASTER_AREAS!$B:$B,683))))),682,""),""),IF('CHOP DASHBOARD'!$B$4="Zone",IF(682&lt;=$S$4,IF(OR('CHOP DASHBOARD'!$C$4="",ISNUMBER(SEARCH('CHOP DASHBOARD'!$C$4,INDEX(MASTER_ZONES!$B:$B,683)))),682,""),""),""))</f>
        <v/>
      </c>
      <c r="U683">
        <f>IF('COMMUNITY CHURCH DASHBOARD'!$B$4="Area",IF(682&lt;=$X$3,IF(AND(OR('COMMUNITY CHURCH DASHBOARD'!$C$4="",ISNUMBER(SEARCH('COMMUNITY CHURCH DASHBOARD'!$C$4,INDEX(MASTER_AREAS!$B:$B,683))))),682,""),""),IF('COMMUNITY CHURCH DASHBOARD'!$B$4="Zone",IF(682&lt;=$X$4,IF(OR('COMMUNITY CHURCH DASHBOARD'!$C$4="",ISNUMBER(SEARCH('COMMUNITY CHURCH DASHBOARD'!$C$4,INDEX(MASTER_ZONES!$B:$B,683)))),682,""),""),""))</f>
        <v/>
      </c>
    </row>
    <row r="684">
      <c r="A684">
        <f>IF('WSF DASHBOARD'!$B$4="Area",IF(683&lt;=$D$3,IF(AND(OR('WSF DASHBOARD'!$C$4="",ISNUMBER(SEARCH('WSF DASHBOARD'!$C$4,INDEX(MASTER_AREAS!$B:$B,684))))),683,""),""),IF('WSF DASHBOARD'!$B$4="Zone",IF(683&lt;=$D$4,IF(OR('WSF DASHBOARD'!$C$4="",ISNUMBER(SEARCH('WSF DASHBOARD'!$C$4,INDEX(MASTER_ZONES!$B:$B,684)))),683,""),""),""))</f>
        <v/>
      </c>
      <c r="F684">
        <f>IF('TRANSPORT DASHBOARD'!$B$4="Area",IF(683&lt;=$I$3,IF(AND(INDEX(MASTER_AREAS!$F:$F,684)&lt;&gt;"N",OR('TRANSPORT DASHBOARD'!$C$4="",ISNUMBER(SEARCH('TRANSPORT DASHBOARD'!$C$4,INDEX(MASTER_AREAS!$B:$B,684))))),683,""),""),IF('TRANSPORT DASHBOARD'!$B$4="Zone",IF(683&lt;=$I$4,IF(OR('TRANSPORT DASHBOARD'!$C$4="",ISNUMBER(SEARCH('TRANSPORT DASHBOARD'!$C$4,INDEX(MASTER_ZONES!$B:$B,684)))),683,""),""),""))</f>
        <v/>
      </c>
      <c r="K684">
        <f>IF('MIDWEEK DASHBOARD'!$B$4="Area",IF(683&lt;=$N$3,IF(AND(OR('MIDWEEK DASHBOARD'!$C$4="",ISNUMBER(SEARCH('MIDWEEK DASHBOARD'!$C$4,INDEX(MASTER_AREAS!$B:$B,684))))),683,""),""),IF('MIDWEEK DASHBOARD'!$B$4="Zone",IF(683&lt;=$N$4,IF(OR('MIDWEEK DASHBOARD'!$C$4="",ISNUMBER(SEARCH('MIDWEEK DASHBOARD'!$C$4,INDEX(MASTER_ZONES!$B:$B,684)))),683,""),""),""))</f>
        <v/>
      </c>
      <c r="P684">
        <f>IF('CHOP DASHBOARD'!$B$4="Area",IF(683&lt;=$S$3,IF(AND(OR('CHOP DASHBOARD'!$C$4="",ISNUMBER(SEARCH('CHOP DASHBOARD'!$C$4,INDEX(MASTER_AREAS!$B:$B,684))))),683,""),""),IF('CHOP DASHBOARD'!$B$4="Zone",IF(683&lt;=$S$4,IF(OR('CHOP DASHBOARD'!$C$4="",ISNUMBER(SEARCH('CHOP DASHBOARD'!$C$4,INDEX(MASTER_ZONES!$B:$B,684)))),683,""),""),""))</f>
        <v/>
      </c>
      <c r="U684">
        <f>IF('COMMUNITY CHURCH DASHBOARD'!$B$4="Area",IF(683&lt;=$X$3,IF(AND(OR('COMMUNITY CHURCH DASHBOARD'!$C$4="",ISNUMBER(SEARCH('COMMUNITY CHURCH DASHBOARD'!$C$4,INDEX(MASTER_AREAS!$B:$B,684))))),683,""),""),IF('COMMUNITY CHURCH DASHBOARD'!$B$4="Zone",IF(683&lt;=$X$4,IF(OR('COMMUNITY CHURCH DASHBOARD'!$C$4="",ISNUMBER(SEARCH('COMMUNITY CHURCH DASHBOARD'!$C$4,INDEX(MASTER_ZONES!$B:$B,684)))),683,""),""),""))</f>
        <v/>
      </c>
    </row>
    <row r="685">
      <c r="A685">
        <f>IF('WSF DASHBOARD'!$B$4="Area",IF(684&lt;=$D$3,IF(AND(OR('WSF DASHBOARD'!$C$4="",ISNUMBER(SEARCH('WSF DASHBOARD'!$C$4,INDEX(MASTER_AREAS!$B:$B,685))))),684,""),""),IF('WSF DASHBOARD'!$B$4="Zone",IF(684&lt;=$D$4,IF(OR('WSF DASHBOARD'!$C$4="",ISNUMBER(SEARCH('WSF DASHBOARD'!$C$4,INDEX(MASTER_ZONES!$B:$B,685)))),684,""),""),""))</f>
        <v/>
      </c>
      <c r="F685">
        <f>IF('TRANSPORT DASHBOARD'!$B$4="Area",IF(684&lt;=$I$3,IF(AND(INDEX(MASTER_AREAS!$F:$F,685)&lt;&gt;"N",OR('TRANSPORT DASHBOARD'!$C$4="",ISNUMBER(SEARCH('TRANSPORT DASHBOARD'!$C$4,INDEX(MASTER_AREAS!$B:$B,685))))),684,""),""),IF('TRANSPORT DASHBOARD'!$B$4="Zone",IF(684&lt;=$I$4,IF(OR('TRANSPORT DASHBOARD'!$C$4="",ISNUMBER(SEARCH('TRANSPORT DASHBOARD'!$C$4,INDEX(MASTER_ZONES!$B:$B,685)))),684,""),""),""))</f>
        <v/>
      </c>
      <c r="K685">
        <f>IF('MIDWEEK DASHBOARD'!$B$4="Area",IF(684&lt;=$N$3,IF(AND(OR('MIDWEEK DASHBOARD'!$C$4="",ISNUMBER(SEARCH('MIDWEEK DASHBOARD'!$C$4,INDEX(MASTER_AREAS!$B:$B,685))))),684,""),""),IF('MIDWEEK DASHBOARD'!$B$4="Zone",IF(684&lt;=$N$4,IF(OR('MIDWEEK DASHBOARD'!$C$4="",ISNUMBER(SEARCH('MIDWEEK DASHBOARD'!$C$4,INDEX(MASTER_ZONES!$B:$B,685)))),684,""),""),""))</f>
        <v/>
      </c>
      <c r="P685">
        <f>IF('CHOP DASHBOARD'!$B$4="Area",IF(684&lt;=$S$3,IF(AND(OR('CHOP DASHBOARD'!$C$4="",ISNUMBER(SEARCH('CHOP DASHBOARD'!$C$4,INDEX(MASTER_AREAS!$B:$B,685))))),684,""),""),IF('CHOP DASHBOARD'!$B$4="Zone",IF(684&lt;=$S$4,IF(OR('CHOP DASHBOARD'!$C$4="",ISNUMBER(SEARCH('CHOP DASHBOARD'!$C$4,INDEX(MASTER_ZONES!$B:$B,685)))),684,""),""),""))</f>
        <v/>
      </c>
      <c r="U685">
        <f>IF('COMMUNITY CHURCH DASHBOARD'!$B$4="Area",IF(684&lt;=$X$3,IF(AND(OR('COMMUNITY CHURCH DASHBOARD'!$C$4="",ISNUMBER(SEARCH('COMMUNITY CHURCH DASHBOARD'!$C$4,INDEX(MASTER_AREAS!$B:$B,685))))),684,""),""),IF('COMMUNITY CHURCH DASHBOARD'!$B$4="Zone",IF(684&lt;=$X$4,IF(OR('COMMUNITY CHURCH DASHBOARD'!$C$4="",ISNUMBER(SEARCH('COMMUNITY CHURCH DASHBOARD'!$C$4,INDEX(MASTER_ZONES!$B:$B,685)))),684,""),""),""))</f>
        <v/>
      </c>
    </row>
    <row r="686">
      <c r="A686">
        <f>IF('WSF DASHBOARD'!$B$4="Area",IF(685&lt;=$D$3,IF(AND(OR('WSF DASHBOARD'!$C$4="",ISNUMBER(SEARCH('WSF DASHBOARD'!$C$4,INDEX(MASTER_AREAS!$B:$B,686))))),685,""),""),IF('WSF DASHBOARD'!$B$4="Zone",IF(685&lt;=$D$4,IF(OR('WSF DASHBOARD'!$C$4="",ISNUMBER(SEARCH('WSF DASHBOARD'!$C$4,INDEX(MASTER_ZONES!$B:$B,686)))),685,""),""),""))</f>
        <v/>
      </c>
      <c r="F686">
        <f>IF('TRANSPORT DASHBOARD'!$B$4="Area",IF(685&lt;=$I$3,IF(AND(INDEX(MASTER_AREAS!$F:$F,686)&lt;&gt;"N",OR('TRANSPORT DASHBOARD'!$C$4="",ISNUMBER(SEARCH('TRANSPORT DASHBOARD'!$C$4,INDEX(MASTER_AREAS!$B:$B,686))))),685,""),""),IF('TRANSPORT DASHBOARD'!$B$4="Zone",IF(685&lt;=$I$4,IF(OR('TRANSPORT DASHBOARD'!$C$4="",ISNUMBER(SEARCH('TRANSPORT DASHBOARD'!$C$4,INDEX(MASTER_ZONES!$B:$B,686)))),685,""),""),""))</f>
        <v/>
      </c>
      <c r="K686">
        <f>IF('MIDWEEK DASHBOARD'!$B$4="Area",IF(685&lt;=$N$3,IF(AND(OR('MIDWEEK DASHBOARD'!$C$4="",ISNUMBER(SEARCH('MIDWEEK DASHBOARD'!$C$4,INDEX(MASTER_AREAS!$B:$B,686))))),685,""),""),IF('MIDWEEK DASHBOARD'!$B$4="Zone",IF(685&lt;=$N$4,IF(OR('MIDWEEK DASHBOARD'!$C$4="",ISNUMBER(SEARCH('MIDWEEK DASHBOARD'!$C$4,INDEX(MASTER_ZONES!$B:$B,686)))),685,""),""),""))</f>
        <v/>
      </c>
      <c r="P686">
        <f>IF('CHOP DASHBOARD'!$B$4="Area",IF(685&lt;=$S$3,IF(AND(OR('CHOP DASHBOARD'!$C$4="",ISNUMBER(SEARCH('CHOP DASHBOARD'!$C$4,INDEX(MASTER_AREAS!$B:$B,686))))),685,""),""),IF('CHOP DASHBOARD'!$B$4="Zone",IF(685&lt;=$S$4,IF(OR('CHOP DASHBOARD'!$C$4="",ISNUMBER(SEARCH('CHOP DASHBOARD'!$C$4,INDEX(MASTER_ZONES!$B:$B,686)))),685,""),""),""))</f>
        <v/>
      </c>
      <c r="U686">
        <f>IF('COMMUNITY CHURCH DASHBOARD'!$B$4="Area",IF(685&lt;=$X$3,IF(AND(OR('COMMUNITY CHURCH DASHBOARD'!$C$4="",ISNUMBER(SEARCH('COMMUNITY CHURCH DASHBOARD'!$C$4,INDEX(MASTER_AREAS!$B:$B,686))))),685,""),""),IF('COMMUNITY CHURCH DASHBOARD'!$B$4="Zone",IF(685&lt;=$X$4,IF(OR('COMMUNITY CHURCH DASHBOARD'!$C$4="",ISNUMBER(SEARCH('COMMUNITY CHURCH DASHBOARD'!$C$4,INDEX(MASTER_ZONES!$B:$B,686)))),685,""),""),""))</f>
        <v/>
      </c>
    </row>
    <row r="687">
      <c r="A687">
        <f>IF('WSF DASHBOARD'!$B$4="Area",IF(686&lt;=$D$3,IF(AND(OR('WSF DASHBOARD'!$C$4="",ISNUMBER(SEARCH('WSF DASHBOARD'!$C$4,INDEX(MASTER_AREAS!$B:$B,687))))),686,""),""),IF('WSF DASHBOARD'!$B$4="Zone",IF(686&lt;=$D$4,IF(OR('WSF DASHBOARD'!$C$4="",ISNUMBER(SEARCH('WSF DASHBOARD'!$C$4,INDEX(MASTER_ZONES!$B:$B,687)))),686,""),""),""))</f>
        <v/>
      </c>
      <c r="F687">
        <f>IF('TRANSPORT DASHBOARD'!$B$4="Area",IF(686&lt;=$I$3,IF(AND(INDEX(MASTER_AREAS!$F:$F,687)&lt;&gt;"N",OR('TRANSPORT DASHBOARD'!$C$4="",ISNUMBER(SEARCH('TRANSPORT DASHBOARD'!$C$4,INDEX(MASTER_AREAS!$B:$B,687))))),686,""),""),IF('TRANSPORT DASHBOARD'!$B$4="Zone",IF(686&lt;=$I$4,IF(OR('TRANSPORT DASHBOARD'!$C$4="",ISNUMBER(SEARCH('TRANSPORT DASHBOARD'!$C$4,INDEX(MASTER_ZONES!$B:$B,687)))),686,""),""),""))</f>
        <v/>
      </c>
      <c r="K687">
        <f>IF('MIDWEEK DASHBOARD'!$B$4="Area",IF(686&lt;=$N$3,IF(AND(OR('MIDWEEK DASHBOARD'!$C$4="",ISNUMBER(SEARCH('MIDWEEK DASHBOARD'!$C$4,INDEX(MASTER_AREAS!$B:$B,687))))),686,""),""),IF('MIDWEEK DASHBOARD'!$B$4="Zone",IF(686&lt;=$N$4,IF(OR('MIDWEEK DASHBOARD'!$C$4="",ISNUMBER(SEARCH('MIDWEEK DASHBOARD'!$C$4,INDEX(MASTER_ZONES!$B:$B,687)))),686,""),""),""))</f>
        <v/>
      </c>
      <c r="P687">
        <f>IF('CHOP DASHBOARD'!$B$4="Area",IF(686&lt;=$S$3,IF(AND(OR('CHOP DASHBOARD'!$C$4="",ISNUMBER(SEARCH('CHOP DASHBOARD'!$C$4,INDEX(MASTER_AREAS!$B:$B,687))))),686,""),""),IF('CHOP DASHBOARD'!$B$4="Zone",IF(686&lt;=$S$4,IF(OR('CHOP DASHBOARD'!$C$4="",ISNUMBER(SEARCH('CHOP DASHBOARD'!$C$4,INDEX(MASTER_ZONES!$B:$B,687)))),686,""),""),""))</f>
        <v/>
      </c>
      <c r="U687">
        <f>IF('COMMUNITY CHURCH DASHBOARD'!$B$4="Area",IF(686&lt;=$X$3,IF(AND(OR('COMMUNITY CHURCH DASHBOARD'!$C$4="",ISNUMBER(SEARCH('COMMUNITY CHURCH DASHBOARD'!$C$4,INDEX(MASTER_AREAS!$B:$B,687))))),686,""),""),IF('COMMUNITY CHURCH DASHBOARD'!$B$4="Zone",IF(686&lt;=$X$4,IF(OR('COMMUNITY CHURCH DASHBOARD'!$C$4="",ISNUMBER(SEARCH('COMMUNITY CHURCH DASHBOARD'!$C$4,INDEX(MASTER_ZONES!$B:$B,687)))),686,""),""),""))</f>
        <v/>
      </c>
    </row>
    <row r="688">
      <c r="A688">
        <f>IF('WSF DASHBOARD'!$B$4="Area",IF(687&lt;=$D$3,IF(AND(OR('WSF DASHBOARD'!$C$4="",ISNUMBER(SEARCH('WSF DASHBOARD'!$C$4,INDEX(MASTER_AREAS!$B:$B,688))))),687,""),""),IF('WSF DASHBOARD'!$B$4="Zone",IF(687&lt;=$D$4,IF(OR('WSF DASHBOARD'!$C$4="",ISNUMBER(SEARCH('WSF DASHBOARD'!$C$4,INDEX(MASTER_ZONES!$B:$B,688)))),687,""),""),""))</f>
        <v/>
      </c>
      <c r="F688">
        <f>IF('TRANSPORT DASHBOARD'!$B$4="Area",IF(687&lt;=$I$3,IF(AND(INDEX(MASTER_AREAS!$F:$F,688)&lt;&gt;"N",OR('TRANSPORT DASHBOARD'!$C$4="",ISNUMBER(SEARCH('TRANSPORT DASHBOARD'!$C$4,INDEX(MASTER_AREAS!$B:$B,688))))),687,""),""),IF('TRANSPORT DASHBOARD'!$B$4="Zone",IF(687&lt;=$I$4,IF(OR('TRANSPORT DASHBOARD'!$C$4="",ISNUMBER(SEARCH('TRANSPORT DASHBOARD'!$C$4,INDEX(MASTER_ZONES!$B:$B,688)))),687,""),""),""))</f>
        <v/>
      </c>
      <c r="K688">
        <f>IF('MIDWEEK DASHBOARD'!$B$4="Area",IF(687&lt;=$N$3,IF(AND(OR('MIDWEEK DASHBOARD'!$C$4="",ISNUMBER(SEARCH('MIDWEEK DASHBOARD'!$C$4,INDEX(MASTER_AREAS!$B:$B,688))))),687,""),""),IF('MIDWEEK DASHBOARD'!$B$4="Zone",IF(687&lt;=$N$4,IF(OR('MIDWEEK DASHBOARD'!$C$4="",ISNUMBER(SEARCH('MIDWEEK DASHBOARD'!$C$4,INDEX(MASTER_ZONES!$B:$B,688)))),687,""),""),""))</f>
        <v/>
      </c>
      <c r="P688">
        <f>IF('CHOP DASHBOARD'!$B$4="Area",IF(687&lt;=$S$3,IF(AND(OR('CHOP DASHBOARD'!$C$4="",ISNUMBER(SEARCH('CHOP DASHBOARD'!$C$4,INDEX(MASTER_AREAS!$B:$B,688))))),687,""),""),IF('CHOP DASHBOARD'!$B$4="Zone",IF(687&lt;=$S$4,IF(OR('CHOP DASHBOARD'!$C$4="",ISNUMBER(SEARCH('CHOP DASHBOARD'!$C$4,INDEX(MASTER_ZONES!$B:$B,688)))),687,""),""),""))</f>
        <v/>
      </c>
      <c r="U688">
        <f>IF('COMMUNITY CHURCH DASHBOARD'!$B$4="Area",IF(687&lt;=$X$3,IF(AND(OR('COMMUNITY CHURCH DASHBOARD'!$C$4="",ISNUMBER(SEARCH('COMMUNITY CHURCH DASHBOARD'!$C$4,INDEX(MASTER_AREAS!$B:$B,688))))),687,""),""),IF('COMMUNITY CHURCH DASHBOARD'!$B$4="Zone",IF(687&lt;=$X$4,IF(OR('COMMUNITY CHURCH DASHBOARD'!$C$4="",ISNUMBER(SEARCH('COMMUNITY CHURCH DASHBOARD'!$C$4,INDEX(MASTER_ZONES!$B:$B,688)))),687,""),""),""))</f>
        <v/>
      </c>
    </row>
    <row r="689">
      <c r="A689">
        <f>IF('WSF DASHBOARD'!$B$4="Area",IF(688&lt;=$D$3,IF(AND(OR('WSF DASHBOARD'!$C$4="",ISNUMBER(SEARCH('WSF DASHBOARD'!$C$4,INDEX(MASTER_AREAS!$B:$B,689))))),688,""),""),IF('WSF DASHBOARD'!$B$4="Zone",IF(688&lt;=$D$4,IF(OR('WSF DASHBOARD'!$C$4="",ISNUMBER(SEARCH('WSF DASHBOARD'!$C$4,INDEX(MASTER_ZONES!$B:$B,689)))),688,""),""),""))</f>
        <v/>
      </c>
      <c r="F689">
        <f>IF('TRANSPORT DASHBOARD'!$B$4="Area",IF(688&lt;=$I$3,IF(AND(INDEX(MASTER_AREAS!$F:$F,689)&lt;&gt;"N",OR('TRANSPORT DASHBOARD'!$C$4="",ISNUMBER(SEARCH('TRANSPORT DASHBOARD'!$C$4,INDEX(MASTER_AREAS!$B:$B,689))))),688,""),""),IF('TRANSPORT DASHBOARD'!$B$4="Zone",IF(688&lt;=$I$4,IF(OR('TRANSPORT DASHBOARD'!$C$4="",ISNUMBER(SEARCH('TRANSPORT DASHBOARD'!$C$4,INDEX(MASTER_ZONES!$B:$B,689)))),688,""),""),""))</f>
        <v/>
      </c>
      <c r="K689">
        <f>IF('MIDWEEK DASHBOARD'!$B$4="Area",IF(688&lt;=$N$3,IF(AND(OR('MIDWEEK DASHBOARD'!$C$4="",ISNUMBER(SEARCH('MIDWEEK DASHBOARD'!$C$4,INDEX(MASTER_AREAS!$B:$B,689))))),688,""),""),IF('MIDWEEK DASHBOARD'!$B$4="Zone",IF(688&lt;=$N$4,IF(OR('MIDWEEK DASHBOARD'!$C$4="",ISNUMBER(SEARCH('MIDWEEK DASHBOARD'!$C$4,INDEX(MASTER_ZONES!$B:$B,689)))),688,""),""),""))</f>
        <v/>
      </c>
      <c r="P689">
        <f>IF('CHOP DASHBOARD'!$B$4="Area",IF(688&lt;=$S$3,IF(AND(OR('CHOP DASHBOARD'!$C$4="",ISNUMBER(SEARCH('CHOP DASHBOARD'!$C$4,INDEX(MASTER_AREAS!$B:$B,689))))),688,""),""),IF('CHOP DASHBOARD'!$B$4="Zone",IF(688&lt;=$S$4,IF(OR('CHOP DASHBOARD'!$C$4="",ISNUMBER(SEARCH('CHOP DASHBOARD'!$C$4,INDEX(MASTER_ZONES!$B:$B,689)))),688,""),""),""))</f>
        <v/>
      </c>
      <c r="U689">
        <f>IF('COMMUNITY CHURCH DASHBOARD'!$B$4="Area",IF(688&lt;=$X$3,IF(AND(OR('COMMUNITY CHURCH DASHBOARD'!$C$4="",ISNUMBER(SEARCH('COMMUNITY CHURCH DASHBOARD'!$C$4,INDEX(MASTER_AREAS!$B:$B,689))))),688,""),""),IF('COMMUNITY CHURCH DASHBOARD'!$B$4="Zone",IF(688&lt;=$X$4,IF(OR('COMMUNITY CHURCH DASHBOARD'!$C$4="",ISNUMBER(SEARCH('COMMUNITY CHURCH DASHBOARD'!$C$4,INDEX(MASTER_ZONES!$B:$B,689)))),688,""),""),""))</f>
        <v/>
      </c>
    </row>
    <row r="690">
      <c r="A690">
        <f>IF('WSF DASHBOARD'!$B$4="Area",IF(689&lt;=$D$3,IF(AND(OR('WSF DASHBOARD'!$C$4="",ISNUMBER(SEARCH('WSF DASHBOARD'!$C$4,INDEX(MASTER_AREAS!$B:$B,690))))),689,""),""),IF('WSF DASHBOARD'!$B$4="Zone",IF(689&lt;=$D$4,IF(OR('WSF DASHBOARD'!$C$4="",ISNUMBER(SEARCH('WSF DASHBOARD'!$C$4,INDEX(MASTER_ZONES!$B:$B,690)))),689,""),""),""))</f>
        <v/>
      </c>
      <c r="F690">
        <f>IF('TRANSPORT DASHBOARD'!$B$4="Area",IF(689&lt;=$I$3,IF(AND(INDEX(MASTER_AREAS!$F:$F,690)&lt;&gt;"N",OR('TRANSPORT DASHBOARD'!$C$4="",ISNUMBER(SEARCH('TRANSPORT DASHBOARD'!$C$4,INDEX(MASTER_AREAS!$B:$B,690))))),689,""),""),IF('TRANSPORT DASHBOARD'!$B$4="Zone",IF(689&lt;=$I$4,IF(OR('TRANSPORT DASHBOARD'!$C$4="",ISNUMBER(SEARCH('TRANSPORT DASHBOARD'!$C$4,INDEX(MASTER_ZONES!$B:$B,690)))),689,""),""),""))</f>
        <v/>
      </c>
      <c r="K690">
        <f>IF('MIDWEEK DASHBOARD'!$B$4="Area",IF(689&lt;=$N$3,IF(AND(OR('MIDWEEK DASHBOARD'!$C$4="",ISNUMBER(SEARCH('MIDWEEK DASHBOARD'!$C$4,INDEX(MASTER_AREAS!$B:$B,690))))),689,""),""),IF('MIDWEEK DASHBOARD'!$B$4="Zone",IF(689&lt;=$N$4,IF(OR('MIDWEEK DASHBOARD'!$C$4="",ISNUMBER(SEARCH('MIDWEEK DASHBOARD'!$C$4,INDEX(MASTER_ZONES!$B:$B,690)))),689,""),""),""))</f>
        <v/>
      </c>
      <c r="P690">
        <f>IF('CHOP DASHBOARD'!$B$4="Area",IF(689&lt;=$S$3,IF(AND(OR('CHOP DASHBOARD'!$C$4="",ISNUMBER(SEARCH('CHOP DASHBOARD'!$C$4,INDEX(MASTER_AREAS!$B:$B,690))))),689,""),""),IF('CHOP DASHBOARD'!$B$4="Zone",IF(689&lt;=$S$4,IF(OR('CHOP DASHBOARD'!$C$4="",ISNUMBER(SEARCH('CHOP DASHBOARD'!$C$4,INDEX(MASTER_ZONES!$B:$B,690)))),689,""),""),""))</f>
        <v/>
      </c>
      <c r="U690">
        <f>IF('COMMUNITY CHURCH DASHBOARD'!$B$4="Area",IF(689&lt;=$X$3,IF(AND(OR('COMMUNITY CHURCH DASHBOARD'!$C$4="",ISNUMBER(SEARCH('COMMUNITY CHURCH DASHBOARD'!$C$4,INDEX(MASTER_AREAS!$B:$B,690))))),689,""),""),IF('COMMUNITY CHURCH DASHBOARD'!$B$4="Zone",IF(689&lt;=$X$4,IF(OR('COMMUNITY CHURCH DASHBOARD'!$C$4="",ISNUMBER(SEARCH('COMMUNITY CHURCH DASHBOARD'!$C$4,INDEX(MASTER_ZONES!$B:$B,690)))),689,""),""),""))</f>
        <v/>
      </c>
    </row>
    <row r="691">
      <c r="A691">
        <f>IF('WSF DASHBOARD'!$B$4="Area",IF(690&lt;=$D$3,IF(AND(OR('WSF DASHBOARD'!$C$4="",ISNUMBER(SEARCH('WSF DASHBOARD'!$C$4,INDEX(MASTER_AREAS!$B:$B,691))))),690,""),""),IF('WSF DASHBOARD'!$B$4="Zone",IF(690&lt;=$D$4,IF(OR('WSF DASHBOARD'!$C$4="",ISNUMBER(SEARCH('WSF DASHBOARD'!$C$4,INDEX(MASTER_ZONES!$B:$B,691)))),690,""),""),""))</f>
        <v/>
      </c>
      <c r="F691">
        <f>IF('TRANSPORT DASHBOARD'!$B$4="Area",IF(690&lt;=$I$3,IF(AND(INDEX(MASTER_AREAS!$F:$F,691)&lt;&gt;"N",OR('TRANSPORT DASHBOARD'!$C$4="",ISNUMBER(SEARCH('TRANSPORT DASHBOARD'!$C$4,INDEX(MASTER_AREAS!$B:$B,691))))),690,""),""),IF('TRANSPORT DASHBOARD'!$B$4="Zone",IF(690&lt;=$I$4,IF(OR('TRANSPORT DASHBOARD'!$C$4="",ISNUMBER(SEARCH('TRANSPORT DASHBOARD'!$C$4,INDEX(MASTER_ZONES!$B:$B,691)))),690,""),""),""))</f>
        <v/>
      </c>
      <c r="K691">
        <f>IF('MIDWEEK DASHBOARD'!$B$4="Area",IF(690&lt;=$N$3,IF(AND(OR('MIDWEEK DASHBOARD'!$C$4="",ISNUMBER(SEARCH('MIDWEEK DASHBOARD'!$C$4,INDEX(MASTER_AREAS!$B:$B,691))))),690,""),""),IF('MIDWEEK DASHBOARD'!$B$4="Zone",IF(690&lt;=$N$4,IF(OR('MIDWEEK DASHBOARD'!$C$4="",ISNUMBER(SEARCH('MIDWEEK DASHBOARD'!$C$4,INDEX(MASTER_ZONES!$B:$B,691)))),690,""),""),""))</f>
        <v/>
      </c>
      <c r="P691">
        <f>IF('CHOP DASHBOARD'!$B$4="Area",IF(690&lt;=$S$3,IF(AND(OR('CHOP DASHBOARD'!$C$4="",ISNUMBER(SEARCH('CHOP DASHBOARD'!$C$4,INDEX(MASTER_AREAS!$B:$B,691))))),690,""),""),IF('CHOP DASHBOARD'!$B$4="Zone",IF(690&lt;=$S$4,IF(OR('CHOP DASHBOARD'!$C$4="",ISNUMBER(SEARCH('CHOP DASHBOARD'!$C$4,INDEX(MASTER_ZONES!$B:$B,691)))),690,""),""),""))</f>
        <v/>
      </c>
      <c r="U691">
        <f>IF('COMMUNITY CHURCH DASHBOARD'!$B$4="Area",IF(690&lt;=$X$3,IF(AND(OR('COMMUNITY CHURCH DASHBOARD'!$C$4="",ISNUMBER(SEARCH('COMMUNITY CHURCH DASHBOARD'!$C$4,INDEX(MASTER_AREAS!$B:$B,691))))),690,""),""),IF('COMMUNITY CHURCH DASHBOARD'!$B$4="Zone",IF(690&lt;=$X$4,IF(OR('COMMUNITY CHURCH DASHBOARD'!$C$4="",ISNUMBER(SEARCH('COMMUNITY CHURCH DASHBOARD'!$C$4,INDEX(MASTER_ZONES!$B:$B,691)))),690,""),""),""))</f>
        <v/>
      </c>
    </row>
    <row r="692">
      <c r="A692">
        <f>IF('WSF DASHBOARD'!$B$4="Area",IF(691&lt;=$D$3,IF(AND(OR('WSF DASHBOARD'!$C$4="",ISNUMBER(SEARCH('WSF DASHBOARD'!$C$4,INDEX(MASTER_AREAS!$B:$B,692))))),691,""),""),IF('WSF DASHBOARD'!$B$4="Zone",IF(691&lt;=$D$4,IF(OR('WSF DASHBOARD'!$C$4="",ISNUMBER(SEARCH('WSF DASHBOARD'!$C$4,INDEX(MASTER_ZONES!$B:$B,692)))),691,""),""),""))</f>
        <v/>
      </c>
      <c r="F692">
        <f>IF('TRANSPORT DASHBOARD'!$B$4="Area",IF(691&lt;=$I$3,IF(AND(INDEX(MASTER_AREAS!$F:$F,692)&lt;&gt;"N",OR('TRANSPORT DASHBOARD'!$C$4="",ISNUMBER(SEARCH('TRANSPORT DASHBOARD'!$C$4,INDEX(MASTER_AREAS!$B:$B,692))))),691,""),""),IF('TRANSPORT DASHBOARD'!$B$4="Zone",IF(691&lt;=$I$4,IF(OR('TRANSPORT DASHBOARD'!$C$4="",ISNUMBER(SEARCH('TRANSPORT DASHBOARD'!$C$4,INDEX(MASTER_ZONES!$B:$B,692)))),691,""),""),""))</f>
        <v/>
      </c>
      <c r="K692">
        <f>IF('MIDWEEK DASHBOARD'!$B$4="Area",IF(691&lt;=$N$3,IF(AND(OR('MIDWEEK DASHBOARD'!$C$4="",ISNUMBER(SEARCH('MIDWEEK DASHBOARD'!$C$4,INDEX(MASTER_AREAS!$B:$B,692))))),691,""),""),IF('MIDWEEK DASHBOARD'!$B$4="Zone",IF(691&lt;=$N$4,IF(OR('MIDWEEK DASHBOARD'!$C$4="",ISNUMBER(SEARCH('MIDWEEK DASHBOARD'!$C$4,INDEX(MASTER_ZONES!$B:$B,692)))),691,""),""),""))</f>
        <v/>
      </c>
      <c r="P692">
        <f>IF('CHOP DASHBOARD'!$B$4="Area",IF(691&lt;=$S$3,IF(AND(OR('CHOP DASHBOARD'!$C$4="",ISNUMBER(SEARCH('CHOP DASHBOARD'!$C$4,INDEX(MASTER_AREAS!$B:$B,692))))),691,""),""),IF('CHOP DASHBOARD'!$B$4="Zone",IF(691&lt;=$S$4,IF(OR('CHOP DASHBOARD'!$C$4="",ISNUMBER(SEARCH('CHOP DASHBOARD'!$C$4,INDEX(MASTER_ZONES!$B:$B,692)))),691,""),""),""))</f>
        <v/>
      </c>
      <c r="U692">
        <f>IF('COMMUNITY CHURCH DASHBOARD'!$B$4="Area",IF(691&lt;=$X$3,IF(AND(OR('COMMUNITY CHURCH DASHBOARD'!$C$4="",ISNUMBER(SEARCH('COMMUNITY CHURCH DASHBOARD'!$C$4,INDEX(MASTER_AREAS!$B:$B,692))))),691,""),""),IF('COMMUNITY CHURCH DASHBOARD'!$B$4="Zone",IF(691&lt;=$X$4,IF(OR('COMMUNITY CHURCH DASHBOARD'!$C$4="",ISNUMBER(SEARCH('COMMUNITY CHURCH DASHBOARD'!$C$4,INDEX(MASTER_ZONES!$B:$B,692)))),691,""),""),""))</f>
        <v/>
      </c>
    </row>
    <row r="693">
      <c r="A693">
        <f>IF('WSF DASHBOARD'!$B$4="Area",IF(692&lt;=$D$3,IF(AND(OR('WSF DASHBOARD'!$C$4="",ISNUMBER(SEARCH('WSF DASHBOARD'!$C$4,INDEX(MASTER_AREAS!$B:$B,693))))),692,""),""),IF('WSF DASHBOARD'!$B$4="Zone",IF(692&lt;=$D$4,IF(OR('WSF DASHBOARD'!$C$4="",ISNUMBER(SEARCH('WSF DASHBOARD'!$C$4,INDEX(MASTER_ZONES!$B:$B,693)))),692,""),""),""))</f>
        <v/>
      </c>
      <c r="F693">
        <f>IF('TRANSPORT DASHBOARD'!$B$4="Area",IF(692&lt;=$I$3,IF(AND(INDEX(MASTER_AREAS!$F:$F,693)&lt;&gt;"N",OR('TRANSPORT DASHBOARD'!$C$4="",ISNUMBER(SEARCH('TRANSPORT DASHBOARD'!$C$4,INDEX(MASTER_AREAS!$B:$B,693))))),692,""),""),IF('TRANSPORT DASHBOARD'!$B$4="Zone",IF(692&lt;=$I$4,IF(OR('TRANSPORT DASHBOARD'!$C$4="",ISNUMBER(SEARCH('TRANSPORT DASHBOARD'!$C$4,INDEX(MASTER_ZONES!$B:$B,693)))),692,""),""),""))</f>
        <v/>
      </c>
      <c r="K693">
        <f>IF('MIDWEEK DASHBOARD'!$B$4="Area",IF(692&lt;=$N$3,IF(AND(OR('MIDWEEK DASHBOARD'!$C$4="",ISNUMBER(SEARCH('MIDWEEK DASHBOARD'!$C$4,INDEX(MASTER_AREAS!$B:$B,693))))),692,""),""),IF('MIDWEEK DASHBOARD'!$B$4="Zone",IF(692&lt;=$N$4,IF(OR('MIDWEEK DASHBOARD'!$C$4="",ISNUMBER(SEARCH('MIDWEEK DASHBOARD'!$C$4,INDEX(MASTER_ZONES!$B:$B,693)))),692,""),""),""))</f>
        <v/>
      </c>
      <c r="P693">
        <f>IF('CHOP DASHBOARD'!$B$4="Area",IF(692&lt;=$S$3,IF(AND(OR('CHOP DASHBOARD'!$C$4="",ISNUMBER(SEARCH('CHOP DASHBOARD'!$C$4,INDEX(MASTER_AREAS!$B:$B,693))))),692,""),""),IF('CHOP DASHBOARD'!$B$4="Zone",IF(692&lt;=$S$4,IF(OR('CHOP DASHBOARD'!$C$4="",ISNUMBER(SEARCH('CHOP DASHBOARD'!$C$4,INDEX(MASTER_ZONES!$B:$B,693)))),692,""),""),""))</f>
        <v/>
      </c>
      <c r="U693">
        <f>IF('COMMUNITY CHURCH DASHBOARD'!$B$4="Area",IF(692&lt;=$X$3,IF(AND(OR('COMMUNITY CHURCH DASHBOARD'!$C$4="",ISNUMBER(SEARCH('COMMUNITY CHURCH DASHBOARD'!$C$4,INDEX(MASTER_AREAS!$B:$B,693))))),692,""),""),IF('COMMUNITY CHURCH DASHBOARD'!$B$4="Zone",IF(692&lt;=$X$4,IF(OR('COMMUNITY CHURCH DASHBOARD'!$C$4="",ISNUMBER(SEARCH('COMMUNITY CHURCH DASHBOARD'!$C$4,INDEX(MASTER_ZONES!$B:$B,693)))),692,""),""),""))</f>
        <v/>
      </c>
    </row>
    <row r="694">
      <c r="A694">
        <f>IF('WSF DASHBOARD'!$B$4="Area",IF(693&lt;=$D$3,IF(AND(OR('WSF DASHBOARD'!$C$4="",ISNUMBER(SEARCH('WSF DASHBOARD'!$C$4,INDEX(MASTER_AREAS!$B:$B,694))))),693,""),""),IF('WSF DASHBOARD'!$B$4="Zone",IF(693&lt;=$D$4,IF(OR('WSF DASHBOARD'!$C$4="",ISNUMBER(SEARCH('WSF DASHBOARD'!$C$4,INDEX(MASTER_ZONES!$B:$B,694)))),693,""),""),""))</f>
        <v/>
      </c>
      <c r="F694">
        <f>IF('TRANSPORT DASHBOARD'!$B$4="Area",IF(693&lt;=$I$3,IF(AND(INDEX(MASTER_AREAS!$F:$F,694)&lt;&gt;"N",OR('TRANSPORT DASHBOARD'!$C$4="",ISNUMBER(SEARCH('TRANSPORT DASHBOARD'!$C$4,INDEX(MASTER_AREAS!$B:$B,694))))),693,""),""),IF('TRANSPORT DASHBOARD'!$B$4="Zone",IF(693&lt;=$I$4,IF(OR('TRANSPORT DASHBOARD'!$C$4="",ISNUMBER(SEARCH('TRANSPORT DASHBOARD'!$C$4,INDEX(MASTER_ZONES!$B:$B,694)))),693,""),""),""))</f>
        <v/>
      </c>
      <c r="K694">
        <f>IF('MIDWEEK DASHBOARD'!$B$4="Area",IF(693&lt;=$N$3,IF(AND(OR('MIDWEEK DASHBOARD'!$C$4="",ISNUMBER(SEARCH('MIDWEEK DASHBOARD'!$C$4,INDEX(MASTER_AREAS!$B:$B,694))))),693,""),""),IF('MIDWEEK DASHBOARD'!$B$4="Zone",IF(693&lt;=$N$4,IF(OR('MIDWEEK DASHBOARD'!$C$4="",ISNUMBER(SEARCH('MIDWEEK DASHBOARD'!$C$4,INDEX(MASTER_ZONES!$B:$B,694)))),693,""),""),""))</f>
        <v/>
      </c>
      <c r="P694">
        <f>IF('CHOP DASHBOARD'!$B$4="Area",IF(693&lt;=$S$3,IF(AND(OR('CHOP DASHBOARD'!$C$4="",ISNUMBER(SEARCH('CHOP DASHBOARD'!$C$4,INDEX(MASTER_AREAS!$B:$B,694))))),693,""),""),IF('CHOP DASHBOARD'!$B$4="Zone",IF(693&lt;=$S$4,IF(OR('CHOP DASHBOARD'!$C$4="",ISNUMBER(SEARCH('CHOP DASHBOARD'!$C$4,INDEX(MASTER_ZONES!$B:$B,694)))),693,""),""),""))</f>
        <v/>
      </c>
      <c r="U694">
        <f>IF('COMMUNITY CHURCH DASHBOARD'!$B$4="Area",IF(693&lt;=$X$3,IF(AND(OR('COMMUNITY CHURCH DASHBOARD'!$C$4="",ISNUMBER(SEARCH('COMMUNITY CHURCH DASHBOARD'!$C$4,INDEX(MASTER_AREAS!$B:$B,694))))),693,""),""),IF('COMMUNITY CHURCH DASHBOARD'!$B$4="Zone",IF(693&lt;=$X$4,IF(OR('COMMUNITY CHURCH DASHBOARD'!$C$4="",ISNUMBER(SEARCH('COMMUNITY CHURCH DASHBOARD'!$C$4,INDEX(MASTER_ZONES!$B:$B,694)))),693,""),""),""))</f>
        <v/>
      </c>
    </row>
    <row r="695">
      <c r="A695">
        <f>IF('WSF DASHBOARD'!$B$4="Area",IF(694&lt;=$D$3,IF(AND(OR('WSF DASHBOARD'!$C$4="",ISNUMBER(SEARCH('WSF DASHBOARD'!$C$4,INDEX(MASTER_AREAS!$B:$B,695))))),694,""),""),IF('WSF DASHBOARD'!$B$4="Zone",IF(694&lt;=$D$4,IF(OR('WSF DASHBOARD'!$C$4="",ISNUMBER(SEARCH('WSF DASHBOARD'!$C$4,INDEX(MASTER_ZONES!$B:$B,695)))),694,""),""),""))</f>
        <v/>
      </c>
      <c r="F695">
        <f>IF('TRANSPORT DASHBOARD'!$B$4="Area",IF(694&lt;=$I$3,IF(AND(INDEX(MASTER_AREAS!$F:$F,695)&lt;&gt;"N",OR('TRANSPORT DASHBOARD'!$C$4="",ISNUMBER(SEARCH('TRANSPORT DASHBOARD'!$C$4,INDEX(MASTER_AREAS!$B:$B,695))))),694,""),""),IF('TRANSPORT DASHBOARD'!$B$4="Zone",IF(694&lt;=$I$4,IF(OR('TRANSPORT DASHBOARD'!$C$4="",ISNUMBER(SEARCH('TRANSPORT DASHBOARD'!$C$4,INDEX(MASTER_ZONES!$B:$B,695)))),694,""),""),""))</f>
        <v/>
      </c>
      <c r="K695">
        <f>IF('MIDWEEK DASHBOARD'!$B$4="Area",IF(694&lt;=$N$3,IF(AND(OR('MIDWEEK DASHBOARD'!$C$4="",ISNUMBER(SEARCH('MIDWEEK DASHBOARD'!$C$4,INDEX(MASTER_AREAS!$B:$B,695))))),694,""),""),IF('MIDWEEK DASHBOARD'!$B$4="Zone",IF(694&lt;=$N$4,IF(OR('MIDWEEK DASHBOARD'!$C$4="",ISNUMBER(SEARCH('MIDWEEK DASHBOARD'!$C$4,INDEX(MASTER_ZONES!$B:$B,695)))),694,""),""),""))</f>
        <v/>
      </c>
      <c r="P695">
        <f>IF('CHOP DASHBOARD'!$B$4="Area",IF(694&lt;=$S$3,IF(AND(OR('CHOP DASHBOARD'!$C$4="",ISNUMBER(SEARCH('CHOP DASHBOARD'!$C$4,INDEX(MASTER_AREAS!$B:$B,695))))),694,""),""),IF('CHOP DASHBOARD'!$B$4="Zone",IF(694&lt;=$S$4,IF(OR('CHOP DASHBOARD'!$C$4="",ISNUMBER(SEARCH('CHOP DASHBOARD'!$C$4,INDEX(MASTER_ZONES!$B:$B,695)))),694,""),""),""))</f>
        <v/>
      </c>
      <c r="U695">
        <f>IF('COMMUNITY CHURCH DASHBOARD'!$B$4="Area",IF(694&lt;=$X$3,IF(AND(OR('COMMUNITY CHURCH DASHBOARD'!$C$4="",ISNUMBER(SEARCH('COMMUNITY CHURCH DASHBOARD'!$C$4,INDEX(MASTER_AREAS!$B:$B,695))))),694,""),""),IF('COMMUNITY CHURCH DASHBOARD'!$B$4="Zone",IF(694&lt;=$X$4,IF(OR('COMMUNITY CHURCH DASHBOARD'!$C$4="",ISNUMBER(SEARCH('COMMUNITY CHURCH DASHBOARD'!$C$4,INDEX(MASTER_ZONES!$B:$B,695)))),694,""),""),""))</f>
        <v/>
      </c>
    </row>
    <row r="696">
      <c r="A696">
        <f>IF('WSF DASHBOARD'!$B$4="Area",IF(695&lt;=$D$3,IF(AND(OR('WSF DASHBOARD'!$C$4="",ISNUMBER(SEARCH('WSF DASHBOARD'!$C$4,INDEX(MASTER_AREAS!$B:$B,696))))),695,""),""),IF('WSF DASHBOARD'!$B$4="Zone",IF(695&lt;=$D$4,IF(OR('WSF DASHBOARD'!$C$4="",ISNUMBER(SEARCH('WSF DASHBOARD'!$C$4,INDEX(MASTER_ZONES!$B:$B,696)))),695,""),""),""))</f>
        <v/>
      </c>
      <c r="F696">
        <f>IF('TRANSPORT DASHBOARD'!$B$4="Area",IF(695&lt;=$I$3,IF(AND(INDEX(MASTER_AREAS!$F:$F,696)&lt;&gt;"N",OR('TRANSPORT DASHBOARD'!$C$4="",ISNUMBER(SEARCH('TRANSPORT DASHBOARD'!$C$4,INDEX(MASTER_AREAS!$B:$B,696))))),695,""),""),IF('TRANSPORT DASHBOARD'!$B$4="Zone",IF(695&lt;=$I$4,IF(OR('TRANSPORT DASHBOARD'!$C$4="",ISNUMBER(SEARCH('TRANSPORT DASHBOARD'!$C$4,INDEX(MASTER_ZONES!$B:$B,696)))),695,""),""),""))</f>
        <v/>
      </c>
      <c r="K696">
        <f>IF('MIDWEEK DASHBOARD'!$B$4="Area",IF(695&lt;=$N$3,IF(AND(OR('MIDWEEK DASHBOARD'!$C$4="",ISNUMBER(SEARCH('MIDWEEK DASHBOARD'!$C$4,INDEX(MASTER_AREAS!$B:$B,696))))),695,""),""),IF('MIDWEEK DASHBOARD'!$B$4="Zone",IF(695&lt;=$N$4,IF(OR('MIDWEEK DASHBOARD'!$C$4="",ISNUMBER(SEARCH('MIDWEEK DASHBOARD'!$C$4,INDEX(MASTER_ZONES!$B:$B,696)))),695,""),""),""))</f>
        <v/>
      </c>
      <c r="P696">
        <f>IF('CHOP DASHBOARD'!$B$4="Area",IF(695&lt;=$S$3,IF(AND(OR('CHOP DASHBOARD'!$C$4="",ISNUMBER(SEARCH('CHOP DASHBOARD'!$C$4,INDEX(MASTER_AREAS!$B:$B,696))))),695,""),""),IF('CHOP DASHBOARD'!$B$4="Zone",IF(695&lt;=$S$4,IF(OR('CHOP DASHBOARD'!$C$4="",ISNUMBER(SEARCH('CHOP DASHBOARD'!$C$4,INDEX(MASTER_ZONES!$B:$B,696)))),695,""),""),""))</f>
        <v/>
      </c>
      <c r="U696">
        <f>IF('COMMUNITY CHURCH DASHBOARD'!$B$4="Area",IF(695&lt;=$X$3,IF(AND(OR('COMMUNITY CHURCH DASHBOARD'!$C$4="",ISNUMBER(SEARCH('COMMUNITY CHURCH DASHBOARD'!$C$4,INDEX(MASTER_AREAS!$B:$B,696))))),695,""),""),IF('COMMUNITY CHURCH DASHBOARD'!$B$4="Zone",IF(695&lt;=$X$4,IF(OR('COMMUNITY CHURCH DASHBOARD'!$C$4="",ISNUMBER(SEARCH('COMMUNITY CHURCH DASHBOARD'!$C$4,INDEX(MASTER_ZONES!$B:$B,696)))),695,""),""),""))</f>
        <v/>
      </c>
    </row>
    <row r="697">
      <c r="A697">
        <f>IF('WSF DASHBOARD'!$B$4="Area",IF(696&lt;=$D$3,IF(AND(OR('WSF DASHBOARD'!$C$4="",ISNUMBER(SEARCH('WSF DASHBOARD'!$C$4,INDEX(MASTER_AREAS!$B:$B,697))))),696,""),""),IF('WSF DASHBOARD'!$B$4="Zone",IF(696&lt;=$D$4,IF(OR('WSF DASHBOARD'!$C$4="",ISNUMBER(SEARCH('WSF DASHBOARD'!$C$4,INDEX(MASTER_ZONES!$B:$B,697)))),696,""),""),""))</f>
        <v/>
      </c>
      <c r="F697">
        <f>IF('TRANSPORT DASHBOARD'!$B$4="Area",IF(696&lt;=$I$3,IF(AND(INDEX(MASTER_AREAS!$F:$F,697)&lt;&gt;"N",OR('TRANSPORT DASHBOARD'!$C$4="",ISNUMBER(SEARCH('TRANSPORT DASHBOARD'!$C$4,INDEX(MASTER_AREAS!$B:$B,697))))),696,""),""),IF('TRANSPORT DASHBOARD'!$B$4="Zone",IF(696&lt;=$I$4,IF(OR('TRANSPORT DASHBOARD'!$C$4="",ISNUMBER(SEARCH('TRANSPORT DASHBOARD'!$C$4,INDEX(MASTER_ZONES!$B:$B,697)))),696,""),""),""))</f>
        <v/>
      </c>
      <c r="K697">
        <f>IF('MIDWEEK DASHBOARD'!$B$4="Area",IF(696&lt;=$N$3,IF(AND(OR('MIDWEEK DASHBOARD'!$C$4="",ISNUMBER(SEARCH('MIDWEEK DASHBOARD'!$C$4,INDEX(MASTER_AREAS!$B:$B,697))))),696,""),""),IF('MIDWEEK DASHBOARD'!$B$4="Zone",IF(696&lt;=$N$4,IF(OR('MIDWEEK DASHBOARD'!$C$4="",ISNUMBER(SEARCH('MIDWEEK DASHBOARD'!$C$4,INDEX(MASTER_ZONES!$B:$B,697)))),696,""),""),""))</f>
        <v/>
      </c>
      <c r="P697">
        <f>IF('CHOP DASHBOARD'!$B$4="Area",IF(696&lt;=$S$3,IF(AND(OR('CHOP DASHBOARD'!$C$4="",ISNUMBER(SEARCH('CHOP DASHBOARD'!$C$4,INDEX(MASTER_AREAS!$B:$B,697))))),696,""),""),IF('CHOP DASHBOARD'!$B$4="Zone",IF(696&lt;=$S$4,IF(OR('CHOP DASHBOARD'!$C$4="",ISNUMBER(SEARCH('CHOP DASHBOARD'!$C$4,INDEX(MASTER_ZONES!$B:$B,697)))),696,""),""),""))</f>
        <v/>
      </c>
      <c r="U697">
        <f>IF('COMMUNITY CHURCH DASHBOARD'!$B$4="Area",IF(696&lt;=$X$3,IF(AND(OR('COMMUNITY CHURCH DASHBOARD'!$C$4="",ISNUMBER(SEARCH('COMMUNITY CHURCH DASHBOARD'!$C$4,INDEX(MASTER_AREAS!$B:$B,697))))),696,""),""),IF('COMMUNITY CHURCH DASHBOARD'!$B$4="Zone",IF(696&lt;=$X$4,IF(OR('COMMUNITY CHURCH DASHBOARD'!$C$4="",ISNUMBER(SEARCH('COMMUNITY CHURCH DASHBOARD'!$C$4,INDEX(MASTER_ZONES!$B:$B,697)))),696,""),""),""))</f>
        <v/>
      </c>
    </row>
    <row r="698">
      <c r="A698">
        <f>IF('WSF DASHBOARD'!$B$4="Area",IF(697&lt;=$D$3,IF(AND(OR('WSF DASHBOARD'!$C$4="",ISNUMBER(SEARCH('WSF DASHBOARD'!$C$4,INDEX(MASTER_AREAS!$B:$B,698))))),697,""),""),IF('WSF DASHBOARD'!$B$4="Zone",IF(697&lt;=$D$4,IF(OR('WSF DASHBOARD'!$C$4="",ISNUMBER(SEARCH('WSF DASHBOARD'!$C$4,INDEX(MASTER_ZONES!$B:$B,698)))),697,""),""),""))</f>
        <v/>
      </c>
      <c r="F698">
        <f>IF('TRANSPORT DASHBOARD'!$B$4="Area",IF(697&lt;=$I$3,IF(AND(INDEX(MASTER_AREAS!$F:$F,698)&lt;&gt;"N",OR('TRANSPORT DASHBOARD'!$C$4="",ISNUMBER(SEARCH('TRANSPORT DASHBOARD'!$C$4,INDEX(MASTER_AREAS!$B:$B,698))))),697,""),""),IF('TRANSPORT DASHBOARD'!$B$4="Zone",IF(697&lt;=$I$4,IF(OR('TRANSPORT DASHBOARD'!$C$4="",ISNUMBER(SEARCH('TRANSPORT DASHBOARD'!$C$4,INDEX(MASTER_ZONES!$B:$B,698)))),697,""),""),""))</f>
        <v/>
      </c>
      <c r="K698">
        <f>IF('MIDWEEK DASHBOARD'!$B$4="Area",IF(697&lt;=$N$3,IF(AND(OR('MIDWEEK DASHBOARD'!$C$4="",ISNUMBER(SEARCH('MIDWEEK DASHBOARD'!$C$4,INDEX(MASTER_AREAS!$B:$B,698))))),697,""),""),IF('MIDWEEK DASHBOARD'!$B$4="Zone",IF(697&lt;=$N$4,IF(OR('MIDWEEK DASHBOARD'!$C$4="",ISNUMBER(SEARCH('MIDWEEK DASHBOARD'!$C$4,INDEX(MASTER_ZONES!$B:$B,698)))),697,""),""),""))</f>
        <v/>
      </c>
      <c r="P698">
        <f>IF('CHOP DASHBOARD'!$B$4="Area",IF(697&lt;=$S$3,IF(AND(OR('CHOP DASHBOARD'!$C$4="",ISNUMBER(SEARCH('CHOP DASHBOARD'!$C$4,INDEX(MASTER_AREAS!$B:$B,698))))),697,""),""),IF('CHOP DASHBOARD'!$B$4="Zone",IF(697&lt;=$S$4,IF(OR('CHOP DASHBOARD'!$C$4="",ISNUMBER(SEARCH('CHOP DASHBOARD'!$C$4,INDEX(MASTER_ZONES!$B:$B,698)))),697,""),""),""))</f>
        <v/>
      </c>
      <c r="U698">
        <f>IF('COMMUNITY CHURCH DASHBOARD'!$B$4="Area",IF(697&lt;=$X$3,IF(AND(OR('COMMUNITY CHURCH DASHBOARD'!$C$4="",ISNUMBER(SEARCH('COMMUNITY CHURCH DASHBOARD'!$C$4,INDEX(MASTER_AREAS!$B:$B,698))))),697,""),""),IF('COMMUNITY CHURCH DASHBOARD'!$B$4="Zone",IF(697&lt;=$X$4,IF(OR('COMMUNITY CHURCH DASHBOARD'!$C$4="",ISNUMBER(SEARCH('COMMUNITY CHURCH DASHBOARD'!$C$4,INDEX(MASTER_ZONES!$B:$B,698)))),697,""),""),""))</f>
        <v/>
      </c>
    </row>
    <row r="699">
      <c r="A699">
        <f>IF('WSF DASHBOARD'!$B$4="Area",IF(698&lt;=$D$3,IF(AND(OR('WSF DASHBOARD'!$C$4="",ISNUMBER(SEARCH('WSF DASHBOARD'!$C$4,INDEX(MASTER_AREAS!$B:$B,699))))),698,""),""),IF('WSF DASHBOARD'!$B$4="Zone",IF(698&lt;=$D$4,IF(OR('WSF DASHBOARD'!$C$4="",ISNUMBER(SEARCH('WSF DASHBOARD'!$C$4,INDEX(MASTER_ZONES!$B:$B,699)))),698,""),""),""))</f>
        <v/>
      </c>
      <c r="F699">
        <f>IF('TRANSPORT DASHBOARD'!$B$4="Area",IF(698&lt;=$I$3,IF(AND(INDEX(MASTER_AREAS!$F:$F,699)&lt;&gt;"N",OR('TRANSPORT DASHBOARD'!$C$4="",ISNUMBER(SEARCH('TRANSPORT DASHBOARD'!$C$4,INDEX(MASTER_AREAS!$B:$B,699))))),698,""),""),IF('TRANSPORT DASHBOARD'!$B$4="Zone",IF(698&lt;=$I$4,IF(OR('TRANSPORT DASHBOARD'!$C$4="",ISNUMBER(SEARCH('TRANSPORT DASHBOARD'!$C$4,INDEX(MASTER_ZONES!$B:$B,699)))),698,""),""),""))</f>
        <v/>
      </c>
      <c r="K699">
        <f>IF('MIDWEEK DASHBOARD'!$B$4="Area",IF(698&lt;=$N$3,IF(AND(OR('MIDWEEK DASHBOARD'!$C$4="",ISNUMBER(SEARCH('MIDWEEK DASHBOARD'!$C$4,INDEX(MASTER_AREAS!$B:$B,699))))),698,""),""),IF('MIDWEEK DASHBOARD'!$B$4="Zone",IF(698&lt;=$N$4,IF(OR('MIDWEEK DASHBOARD'!$C$4="",ISNUMBER(SEARCH('MIDWEEK DASHBOARD'!$C$4,INDEX(MASTER_ZONES!$B:$B,699)))),698,""),""),""))</f>
        <v/>
      </c>
      <c r="P699">
        <f>IF('CHOP DASHBOARD'!$B$4="Area",IF(698&lt;=$S$3,IF(AND(OR('CHOP DASHBOARD'!$C$4="",ISNUMBER(SEARCH('CHOP DASHBOARD'!$C$4,INDEX(MASTER_AREAS!$B:$B,699))))),698,""),""),IF('CHOP DASHBOARD'!$B$4="Zone",IF(698&lt;=$S$4,IF(OR('CHOP DASHBOARD'!$C$4="",ISNUMBER(SEARCH('CHOP DASHBOARD'!$C$4,INDEX(MASTER_ZONES!$B:$B,699)))),698,""),""),""))</f>
        <v/>
      </c>
      <c r="U699">
        <f>IF('COMMUNITY CHURCH DASHBOARD'!$B$4="Area",IF(698&lt;=$X$3,IF(AND(OR('COMMUNITY CHURCH DASHBOARD'!$C$4="",ISNUMBER(SEARCH('COMMUNITY CHURCH DASHBOARD'!$C$4,INDEX(MASTER_AREAS!$B:$B,699))))),698,""),""),IF('COMMUNITY CHURCH DASHBOARD'!$B$4="Zone",IF(698&lt;=$X$4,IF(OR('COMMUNITY CHURCH DASHBOARD'!$C$4="",ISNUMBER(SEARCH('COMMUNITY CHURCH DASHBOARD'!$C$4,INDEX(MASTER_ZONES!$B:$B,699)))),698,""),""),""))</f>
        <v/>
      </c>
    </row>
    <row r="700">
      <c r="A700">
        <f>IF('WSF DASHBOARD'!$B$4="Area",IF(699&lt;=$D$3,IF(AND(OR('WSF DASHBOARD'!$C$4="",ISNUMBER(SEARCH('WSF DASHBOARD'!$C$4,INDEX(MASTER_AREAS!$B:$B,700))))),699,""),""),IF('WSF DASHBOARD'!$B$4="Zone",IF(699&lt;=$D$4,IF(OR('WSF DASHBOARD'!$C$4="",ISNUMBER(SEARCH('WSF DASHBOARD'!$C$4,INDEX(MASTER_ZONES!$B:$B,700)))),699,""),""),""))</f>
        <v/>
      </c>
      <c r="F700">
        <f>IF('TRANSPORT DASHBOARD'!$B$4="Area",IF(699&lt;=$I$3,IF(AND(INDEX(MASTER_AREAS!$F:$F,700)&lt;&gt;"N",OR('TRANSPORT DASHBOARD'!$C$4="",ISNUMBER(SEARCH('TRANSPORT DASHBOARD'!$C$4,INDEX(MASTER_AREAS!$B:$B,700))))),699,""),""),IF('TRANSPORT DASHBOARD'!$B$4="Zone",IF(699&lt;=$I$4,IF(OR('TRANSPORT DASHBOARD'!$C$4="",ISNUMBER(SEARCH('TRANSPORT DASHBOARD'!$C$4,INDEX(MASTER_ZONES!$B:$B,700)))),699,""),""),""))</f>
        <v/>
      </c>
      <c r="K700">
        <f>IF('MIDWEEK DASHBOARD'!$B$4="Area",IF(699&lt;=$N$3,IF(AND(OR('MIDWEEK DASHBOARD'!$C$4="",ISNUMBER(SEARCH('MIDWEEK DASHBOARD'!$C$4,INDEX(MASTER_AREAS!$B:$B,700))))),699,""),""),IF('MIDWEEK DASHBOARD'!$B$4="Zone",IF(699&lt;=$N$4,IF(OR('MIDWEEK DASHBOARD'!$C$4="",ISNUMBER(SEARCH('MIDWEEK DASHBOARD'!$C$4,INDEX(MASTER_ZONES!$B:$B,700)))),699,""),""),""))</f>
        <v/>
      </c>
      <c r="P700">
        <f>IF('CHOP DASHBOARD'!$B$4="Area",IF(699&lt;=$S$3,IF(AND(OR('CHOP DASHBOARD'!$C$4="",ISNUMBER(SEARCH('CHOP DASHBOARD'!$C$4,INDEX(MASTER_AREAS!$B:$B,700))))),699,""),""),IF('CHOP DASHBOARD'!$B$4="Zone",IF(699&lt;=$S$4,IF(OR('CHOP DASHBOARD'!$C$4="",ISNUMBER(SEARCH('CHOP DASHBOARD'!$C$4,INDEX(MASTER_ZONES!$B:$B,700)))),699,""),""),""))</f>
        <v/>
      </c>
      <c r="U700">
        <f>IF('COMMUNITY CHURCH DASHBOARD'!$B$4="Area",IF(699&lt;=$X$3,IF(AND(OR('COMMUNITY CHURCH DASHBOARD'!$C$4="",ISNUMBER(SEARCH('COMMUNITY CHURCH DASHBOARD'!$C$4,INDEX(MASTER_AREAS!$B:$B,700))))),699,""),""),IF('COMMUNITY CHURCH DASHBOARD'!$B$4="Zone",IF(699&lt;=$X$4,IF(OR('COMMUNITY CHURCH DASHBOARD'!$C$4="",ISNUMBER(SEARCH('COMMUNITY CHURCH DASHBOARD'!$C$4,INDEX(MASTER_ZONES!$B:$B,700)))),699,""),""),""))</f>
        <v/>
      </c>
    </row>
    <row r="701">
      <c r="A701">
        <f>IF('WSF DASHBOARD'!$B$4="Area",IF(700&lt;=$D$3,IF(AND(OR('WSF DASHBOARD'!$C$4="",ISNUMBER(SEARCH('WSF DASHBOARD'!$C$4,INDEX(MASTER_AREAS!$B:$B,701))))),700,""),""),IF('WSF DASHBOARD'!$B$4="Zone",IF(700&lt;=$D$4,IF(OR('WSF DASHBOARD'!$C$4="",ISNUMBER(SEARCH('WSF DASHBOARD'!$C$4,INDEX(MASTER_ZONES!$B:$B,701)))),700,""),""),""))</f>
        <v/>
      </c>
      <c r="F701">
        <f>IF('TRANSPORT DASHBOARD'!$B$4="Area",IF(700&lt;=$I$3,IF(AND(INDEX(MASTER_AREAS!$F:$F,701)&lt;&gt;"N",OR('TRANSPORT DASHBOARD'!$C$4="",ISNUMBER(SEARCH('TRANSPORT DASHBOARD'!$C$4,INDEX(MASTER_AREAS!$B:$B,701))))),700,""),""),IF('TRANSPORT DASHBOARD'!$B$4="Zone",IF(700&lt;=$I$4,IF(OR('TRANSPORT DASHBOARD'!$C$4="",ISNUMBER(SEARCH('TRANSPORT DASHBOARD'!$C$4,INDEX(MASTER_ZONES!$B:$B,701)))),700,""),""),""))</f>
        <v/>
      </c>
      <c r="K701">
        <f>IF('MIDWEEK DASHBOARD'!$B$4="Area",IF(700&lt;=$N$3,IF(AND(OR('MIDWEEK DASHBOARD'!$C$4="",ISNUMBER(SEARCH('MIDWEEK DASHBOARD'!$C$4,INDEX(MASTER_AREAS!$B:$B,701))))),700,""),""),IF('MIDWEEK DASHBOARD'!$B$4="Zone",IF(700&lt;=$N$4,IF(OR('MIDWEEK DASHBOARD'!$C$4="",ISNUMBER(SEARCH('MIDWEEK DASHBOARD'!$C$4,INDEX(MASTER_ZONES!$B:$B,701)))),700,""),""),""))</f>
        <v/>
      </c>
      <c r="P701">
        <f>IF('CHOP DASHBOARD'!$B$4="Area",IF(700&lt;=$S$3,IF(AND(OR('CHOP DASHBOARD'!$C$4="",ISNUMBER(SEARCH('CHOP DASHBOARD'!$C$4,INDEX(MASTER_AREAS!$B:$B,701))))),700,""),""),IF('CHOP DASHBOARD'!$B$4="Zone",IF(700&lt;=$S$4,IF(OR('CHOP DASHBOARD'!$C$4="",ISNUMBER(SEARCH('CHOP DASHBOARD'!$C$4,INDEX(MASTER_ZONES!$B:$B,701)))),700,""),""),""))</f>
        <v/>
      </c>
      <c r="U701">
        <f>IF('COMMUNITY CHURCH DASHBOARD'!$B$4="Area",IF(700&lt;=$X$3,IF(AND(OR('COMMUNITY CHURCH DASHBOARD'!$C$4="",ISNUMBER(SEARCH('COMMUNITY CHURCH DASHBOARD'!$C$4,INDEX(MASTER_AREAS!$B:$B,701))))),700,""),""),IF('COMMUNITY CHURCH DASHBOARD'!$B$4="Zone",IF(700&lt;=$X$4,IF(OR('COMMUNITY CHURCH DASHBOARD'!$C$4="",ISNUMBER(SEARCH('COMMUNITY CHURCH DASHBOARD'!$C$4,INDEX(MASTER_ZONES!$B:$B,701)))),700,""),""),""))</f>
        <v/>
      </c>
    </row>
    <row r="702">
      <c r="A702">
        <f>IF('WSF DASHBOARD'!$B$4="Area",IF(701&lt;=$D$3,IF(AND(OR('WSF DASHBOARD'!$C$4="",ISNUMBER(SEARCH('WSF DASHBOARD'!$C$4,INDEX(MASTER_AREAS!$B:$B,702))))),701,""),""),IF('WSF DASHBOARD'!$B$4="Zone",IF(701&lt;=$D$4,IF(OR('WSF DASHBOARD'!$C$4="",ISNUMBER(SEARCH('WSF DASHBOARD'!$C$4,INDEX(MASTER_ZONES!$B:$B,702)))),701,""),""),""))</f>
        <v/>
      </c>
      <c r="F702">
        <f>IF('TRANSPORT DASHBOARD'!$B$4="Area",IF(701&lt;=$I$3,IF(AND(INDEX(MASTER_AREAS!$F:$F,702)&lt;&gt;"N",OR('TRANSPORT DASHBOARD'!$C$4="",ISNUMBER(SEARCH('TRANSPORT DASHBOARD'!$C$4,INDEX(MASTER_AREAS!$B:$B,702))))),701,""),""),IF('TRANSPORT DASHBOARD'!$B$4="Zone",IF(701&lt;=$I$4,IF(OR('TRANSPORT DASHBOARD'!$C$4="",ISNUMBER(SEARCH('TRANSPORT DASHBOARD'!$C$4,INDEX(MASTER_ZONES!$B:$B,702)))),701,""),""),""))</f>
        <v/>
      </c>
      <c r="K702">
        <f>IF('MIDWEEK DASHBOARD'!$B$4="Area",IF(701&lt;=$N$3,IF(AND(OR('MIDWEEK DASHBOARD'!$C$4="",ISNUMBER(SEARCH('MIDWEEK DASHBOARD'!$C$4,INDEX(MASTER_AREAS!$B:$B,702))))),701,""),""),IF('MIDWEEK DASHBOARD'!$B$4="Zone",IF(701&lt;=$N$4,IF(OR('MIDWEEK DASHBOARD'!$C$4="",ISNUMBER(SEARCH('MIDWEEK DASHBOARD'!$C$4,INDEX(MASTER_ZONES!$B:$B,702)))),701,""),""),""))</f>
        <v/>
      </c>
      <c r="P702">
        <f>IF('CHOP DASHBOARD'!$B$4="Area",IF(701&lt;=$S$3,IF(AND(OR('CHOP DASHBOARD'!$C$4="",ISNUMBER(SEARCH('CHOP DASHBOARD'!$C$4,INDEX(MASTER_AREAS!$B:$B,702))))),701,""),""),IF('CHOP DASHBOARD'!$B$4="Zone",IF(701&lt;=$S$4,IF(OR('CHOP DASHBOARD'!$C$4="",ISNUMBER(SEARCH('CHOP DASHBOARD'!$C$4,INDEX(MASTER_ZONES!$B:$B,702)))),701,""),""),""))</f>
        <v/>
      </c>
      <c r="U702">
        <f>IF('COMMUNITY CHURCH DASHBOARD'!$B$4="Area",IF(701&lt;=$X$3,IF(AND(OR('COMMUNITY CHURCH DASHBOARD'!$C$4="",ISNUMBER(SEARCH('COMMUNITY CHURCH DASHBOARD'!$C$4,INDEX(MASTER_AREAS!$B:$B,702))))),701,""),""),IF('COMMUNITY CHURCH DASHBOARD'!$B$4="Zone",IF(701&lt;=$X$4,IF(OR('COMMUNITY CHURCH DASHBOARD'!$C$4="",ISNUMBER(SEARCH('COMMUNITY CHURCH DASHBOARD'!$C$4,INDEX(MASTER_ZONES!$B:$B,702)))),701,""),""),""))</f>
        <v/>
      </c>
    </row>
    <row r="703">
      <c r="A703">
        <f>IF('WSF DASHBOARD'!$B$4="Area",IF(702&lt;=$D$3,IF(AND(OR('WSF DASHBOARD'!$C$4="",ISNUMBER(SEARCH('WSF DASHBOARD'!$C$4,INDEX(MASTER_AREAS!$B:$B,703))))),702,""),""),IF('WSF DASHBOARD'!$B$4="Zone",IF(702&lt;=$D$4,IF(OR('WSF DASHBOARD'!$C$4="",ISNUMBER(SEARCH('WSF DASHBOARD'!$C$4,INDEX(MASTER_ZONES!$B:$B,703)))),702,""),""),""))</f>
        <v/>
      </c>
      <c r="F703">
        <f>IF('TRANSPORT DASHBOARD'!$B$4="Area",IF(702&lt;=$I$3,IF(AND(INDEX(MASTER_AREAS!$F:$F,703)&lt;&gt;"N",OR('TRANSPORT DASHBOARD'!$C$4="",ISNUMBER(SEARCH('TRANSPORT DASHBOARD'!$C$4,INDEX(MASTER_AREAS!$B:$B,703))))),702,""),""),IF('TRANSPORT DASHBOARD'!$B$4="Zone",IF(702&lt;=$I$4,IF(OR('TRANSPORT DASHBOARD'!$C$4="",ISNUMBER(SEARCH('TRANSPORT DASHBOARD'!$C$4,INDEX(MASTER_ZONES!$B:$B,703)))),702,""),""),""))</f>
        <v/>
      </c>
      <c r="K703">
        <f>IF('MIDWEEK DASHBOARD'!$B$4="Area",IF(702&lt;=$N$3,IF(AND(OR('MIDWEEK DASHBOARD'!$C$4="",ISNUMBER(SEARCH('MIDWEEK DASHBOARD'!$C$4,INDEX(MASTER_AREAS!$B:$B,703))))),702,""),""),IF('MIDWEEK DASHBOARD'!$B$4="Zone",IF(702&lt;=$N$4,IF(OR('MIDWEEK DASHBOARD'!$C$4="",ISNUMBER(SEARCH('MIDWEEK DASHBOARD'!$C$4,INDEX(MASTER_ZONES!$B:$B,703)))),702,""),""),""))</f>
        <v/>
      </c>
      <c r="P703">
        <f>IF('CHOP DASHBOARD'!$B$4="Area",IF(702&lt;=$S$3,IF(AND(OR('CHOP DASHBOARD'!$C$4="",ISNUMBER(SEARCH('CHOP DASHBOARD'!$C$4,INDEX(MASTER_AREAS!$B:$B,703))))),702,""),""),IF('CHOP DASHBOARD'!$B$4="Zone",IF(702&lt;=$S$4,IF(OR('CHOP DASHBOARD'!$C$4="",ISNUMBER(SEARCH('CHOP DASHBOARD'!$C$4,INDEX(MASTER_ZONES!$B:$B,703)))),702,""),""),""))</f>
        <v/>
      </c>
      <c r="U703">
        <f>IF('COMMUNITY CHURCH DASHBOARD'!$B$4="Area",IF(702&lt;=$X$3,IF(AND(OR('COMMUNITY CHURCH DASHBOARD'!$C$4="",ISNUMBER(SEARCH('COMMUNITY CHURCH DASHBOARD'!$C$4,INDEX(MASTER_AREAS!$B:$B,703))))),702,""),""),IF('COMMUNITY CHURCH DASHBOARD'!$B$4="Zone",IF(702&lt;=$X$4,IF(OR('COMMUNITY CHURCH DASHBOARD'!$C$4="",ISNUMBER(SEARCH('COMMUNITY CHURCH DASHBOARD'!$C$4,INDEX(MASTER_ZONES!$B:$B,703)))),702,""),""),""))</f>
        <v/>
      </c>
    </row>
    <row r="704">
      <c r="A704">
        <f>IF('WSF DASHBOARD'!$B$4="Area",IF(703&lt;=$D$3,IF(AND(OR('WSF DASHBOARD'!$C$4="",ISNUMBER(SEARCH('WSF DASHBOARD'!$C$4,INDEX(MASTER_AREAS!$B:$B,704))))),703,""),""),IF('WSF DASHBOARD'!$B$4="Zone",IF(703&lt;=$D$4,IF(OR('WSF DASHBOARD'!$C$4="",ISNUMBER(SEARCH('WSF DASHBOARD'!$C$4,INDEX(MASTER_ZONES!$B:$B,704)))),703,""),""),""))</f>
        <v/>
      </c>
      <c r="F704">
        <f>IF('TRANSPORT DASHBOARD'!$B$4="Area",IF(703&lt;=$I$3,IF(AND(INDEX(MASTER_AREAS!$F:$F,704)&lt;&gt;"N",OR('TRANSPORT DASHBOARD'!$C$4="",ISNUMBER(SEARCH('TRANSPORT DASHBOARD'!$C$4,INDEX(MASTER_AREAS!$B:$B,704))))),703,""),""),IF('TRANSPORT DASHBOARD'!$B$4="Zone",IF(703&lt;=$I$4,IF(OR('TRANSPORT DASHBOARD'!$C$4="",ISNUMBER(SEARCH('TRANSPORT DASHBOARD'!$C$4,INDEX(MASTER_ZONES!$B:$B,704)))),703,""),""),""))</f>
        <v/>
      </c>
      <c r="K704">
        <f>IF('MIDWEEK DASHBOARD'!$B$4="Area",IF(703&lt;=$N$3,IF(AND(OR('MIDWEEK DASHBOARD'!$C$4="",ISNUMBER(SEARCH('MIDWEEK DASHBOARD'!$C$4,INDEX(MASTER_AREAS!$B:$B,704))))),703,""),""),IF('MIDWEEK DASHBOARD'!$B$4="Zone",IF(703&lt;=$N$4,IF(OR('MIDWEEK DASHBOARD'!$C$4="",ISNUMBER(SEARCH('MIDWEEK DASHBOARD'!$C$4,INDEX(MASTER_ZONES!$B:$B,704)))),703,""),""),""))</f>
        <v/>
      </c>
      <c r="P704">
        <f>IF('CHOP DASHBOARD'!$B$4="Area",IF(703&lt;=$S$3,IF(AND(OR('CHOP DASHBOARD'!$C$4="",ISNUMBER(SEARCH('CHOP DASHBOARD'!$C$4,INDEX(MASTER_AREAS!$B:$B,704))))),703,""),""),IF('CHOP DASHBOARD'!$B$4="Zone",IF(703&lt;=$S$4,IF(OR('CHOP DASHBOARD'!$C$4="",ISNUMBER(SEARCH('CHOP DASHBOARD'!$C$4,INDEX(MASTER_ZONES!$B:$B,704)))),703,""),""),""))</f>
        <v/>
      </c>
      <c r="U704">
        <f>IF('COMMUNITY CHURCH DASHBOARD'!$B$4="Area",IF(703&lt;=$X$3,IF(AND(OR('COMMUNITY CHURCH DASHBOARD'!$C$4="",ISNUMBER(SEARCH('COMMUNITY CHURCH DASHBOARD'!$C$4,INDEX(MASTER_AREAS!$B:$B,704))))),703,""),""),IF('COMMUNITY CHURCH DASHBOARD'!$B$4="Zone",IF(703&lt;=$X$4,IF(OR('COMMUNITY CHURCH DASHBOARD'!$C$4="",ISNUMBER(SEARCH('COMMUNITY CHURCH DASHBOARD'!$C$4,INDEX(MASTER_ZONES!$B:$B,704)))),703,""),""),""))</f>
        <v/>
      </c>
    </row>
    <row r="705">
      <c r="A705">
        <f>IF('WSF DASHBOARD'!$B$4="Area",IF(704&lt;=$D$3,IF(AND(OR('WSF DASHBOARD'!$C$4="",ISNUMBER(SEARCH('WSF DASHBOARD'!$C$4,INDEX(MASTER_AREAS!$B:$B,705))))),704,""),""),IF('WSF DASHBOARD'!$B$4="Zone",IF(704&lt;=$D$4,IF(OR('WSF DASHBOARD'!$C$4="",ISNUMBER(SEARCH('WSF DASHBOARD'!$C$4,INDEX(MASTER_ZONES!$B:$B,705)))),704,""),""),""))</f>
        <v/>
      </c>
      <c r="F705">
        <f>IF('TRANSPORT DASHBOARD'!$B$4="Area",IF(704&lt;=$I$3,IF(AND(INDEX(MASTER_AREAS!$F:$F,705)&lt;&gt;"N",OR('TRANSPORT DASHBOARD'!$C$4="",ISNUMBER(SEARCH('TRANSPORT DASHBOARD'!$C$4,INDEX(MASTER_AREAS!$B:$B,705))))),704,""),""),IF('TRANSPORT DASHBOARD'!$B$4="Zone",IF(704&lt;=$I$4,IF(OR('TRANSPORT DASHBOARD'!$C$4="",ISNUMBER(SEARCH('TRANSPORT DASHBOARD'!$C$4,INDEX(MASTER_ZONES!$B:$B,705)))),704,""),""),""))</f>
        <v/>
      </c>
      <c r="K705">
        <f>IF('MIDWEEK DASHBOARD'!$B$4="Area",IF(704&lt;=$N$3,IF(AND(OR('MIDWEEK DASHBOARD'!$C$4="",ISNUMBER(SEARCH('MIDWEEK DASHBOARD'!$C$4,INDEX(MASTER_AREAS!$B:$B,705))))),704,""),""),IF('MIDWEEK DASHBOARD'!$B$4="Zone",IF(704&lt;=$N$4,IF(OR('MIDWEEK DASHBOARD'!$C$4="",ISNUMBER(SEARCH('MIDWEEK DASHBOARD'!$C$4,INDEX(MASTER_ZONES!$B:$B,705)))),704,""),""),""))</f>
        <v/>
      </c>
      <c r="P705">
        <f>IF('CHOP DASHBOARD'!$B$4="Area",IF(704&lt;=$S$3,IF(AND(OR('CHOP DASHBOARD'!$C$4="",ISNUMBER(SEARCH('CHOP DASHBOARD'!$C$4,INDEX(MASTER_AREAS!$B:$B,705))))),704,""),""),IF('CHOP DASHBOARD'!$B$4="Zone",IF(704&lt;=$S$4,IF(OR('CHOP DASHBOARD'!$C$4="",ISNUMBER(SEARCH('CHOP DASHBOARD'!$C$4,INDEX(MASTER_ZONES!$B:$B,705)))),704,""),""),""))</f>
        <v/>
      </c>
      <c r="U705">
        <f>IF('COMMUNITY CHURCH DASHBOARD'!$B$4="Area",IF(704&lt;=$X$3,IF(AND(OR('COMMUNITY CHURCH DASHBOARD'!$C$4="",ISNUMBER(SEARCH('COMMUNITY CHURCH DASHBOARD'!$C$4,INDEX(MASTER_AREAS!$B:$B,705))))),704,""),""),IF('COMMUNITY CHURCH DASHBOARD'!$B$4="Zone",IF(704&lt;=$X$4,IF(OR('COMMUNITY CHURCH DASHBOARD'!$C$4="",ISNUMBER(SEARCH('COMMUNITY CHURCH DASHBOARD'!$C$4,INDEX(MASTER_ZONES!$B:$B,705)))),704,""),""),""))</f>
        <v/>
      </c>
    </row>
    <row r="706">
      <c r="A706">
        <f>IF('WSF DASHBOARD'!$B$4="Area",IF(705&lt;=$D$3,IF(AND(OR('WSF DASHBOARD'!$C$4="",ISNUMBER(SEARCH('WSF DASHBOARD'!$C$4,INDEX(MASTER_AREAS!$B:$B,706))))),705,""),""),IF('WSF DASHBOARD'!$B$4="Zone",IF(705&lt;=$D$4,IF(OR('WSF DASHBOARD'!$C$4="",ISNUMBER(SEARCH('WSF DASHBOARD'!$C$4,INDEX(MASTER_ZONES!$B:$B,706)))),705,""),""),""))</f>
        <v/>
      </c>
      <c r="F706">
        <f>IF('TRANSPORT DASHBOARD'!$B$4="Area",IF(705&lt;=$I$3,IF(AND(INDEX(MASTER_AREAS!$F:$F,706)&lt;&gt;"N",OR('TRANSPORT DASHBOARD'!$C$4="",ISNUMBER(SEARCH('TRANSPORT DASHBOARD'!$C$4,INDEX(MASTER_AREAS!$B:$B,706))))),705,""),""),IF('TRANSPORT DASHBOARD'!$B$4="Zone",IF(705&lt;=$I$4,IF(OR('TRANSPORT DASHBOARD'!$C$4="",ISNUMBER(SEARCH('TRANSPORT DASHBOARD'!$C$4,INDEX(MASTER_ZONES!$B:$B,706)))),705,""),""),""))</f>
        <v/>
      </c>
      <c r="K706">
        <f>IF('MIDWEEK DASHBOARD'!$B$4="Area",IF(705&lt;=$N$3,IF(AND(OR('MIDWEEK DASHBOARD'!$C$4="",ISNUMBER(SEARCH('MIDWEEK DASHBOARD'!$C$4,INDEX(MASTER_AREAS!$B:$B,706))))),705,""),""),IF('MIDWEEK DASHBOARD'!$B$4="Zone",IF(705&lt;=$N$4,IF(OR('MIDWEEK DASHBOARD'!$C$4="",ISNUMBER(SEARCH('MIDWEEK DASHBOARD'!$C$4,INDEX(MASTER_ZONES!$B:$B,706)))),705,""),""),""))</f>
        <v/>
      </c>
      <c r="P706">
        <f>IF('CHOP DASHBOARD'!$B$4="Area",IF(705&lt;=$S$3,IF(AND(OR('CHOP DASHBOARD'!$C$4="",ISNUMBER(SEARCH('CHOP DASHBOARD'!$C$4,INDEX(MASTER_AREAS!$B:$B,706))))),705,""),""),IF('CHOP DASHBOARD'!$B$4="Zone",IF(705&lt;=$S$4,IF(OR('CHOP DASHBOARD'!$C$4="",ISNUMBER(SEARCH('CHOP DASHBOARD'!$C$4,INDEX(MASTER_ZONES!$B:$B,706)))),705,""),""),""))</f>
        <v/>
      </c>
      <c r="U706">
        <f>IF('COMMUNITY CHURCH DASHBOARD'!$B$4="Area",IF(705&lt;=$X$3,IF(AND(OR('COMMUNITY CHURCH DASHBOARD'!$C$4="",ISNUMBER(SEARCH('COMMUNITY CHURCH DASHBOARD'!$C$4,INDEX(MASTER_AREAS!$B:$B,706))))),705,""),""),IF('COMMUNITY CHURCH DASHBOARD'!$B$4="Zone",IF(705&lt;=$X$4,IF(OR('COMMUNITY CHURCH DASHBOARD'!$C$4="",ISNUMBER(SEARCH('COMMUNITY CHURCH DASHBOARD'!$C$4,INDEX(MASTER_ZONES!$B:$B,706)))),705,""),""),""))</f>
        <v/>
      </c>
    </row>
    <row r="707">
      <c r="A707">
        <f>IF('WSF DASHBOARD'!$B$4="Area",IF(706&lt;=$D$3,IF(AND(OR('WSF DASHBOARD'!$C$4="",ISNUMBER(SEARCH('WSF DASHBOARD'!$C$4,INDEX(MASTER_AREAS!$B:$B,707))))),706,""),""),IF('WSF DASHBOARD'!$B$4="Zone",IF(706&lt;=$D$4,IF(OR('WSF DASHBOARD'!$C$4="",ISNUMBER(SEARCH('WSF DASHBOARD'!$C$4,INDEX(MASTER_ZONES!$B:$B,707)))),706,""),""),""))</f>
        <v/>
      </c>
      <c r="F707">
        <f>IF('TRANSPORT DASHBOARD'!$B$4="Area",IF(706&lt;=$I$3,IF(AND(INDEX(MASTER_AREAS!$F:$F,707)&lt;&gt;"N",OR('TRANSPORT DASHBOARD'!$C$4="",ISNUMBER(SEARCH('TRANSPORT DASHBOARD'!$C$4,INDEX(MASTER_AREAS!$B:$B,707))))),706,""),""),IF('TRANSPORT DASHBOARD'!$B$4="Zone",IF(706&lt;=$I$4,IF(OR('TRANSPORT DASHBOARD'!$C$4="",ISNUMBER(SEARCH('TRANSPORT DASHBOARD'!$C$4,INDEX(MASTER_ZONES!$B:$B,707)))),706,""),""),""))</f>
        <v/>
      </c>
      <c r="K707">
        <f>IF('MIDWEEK DASHBOARD'!$B$4="Area",IF(706&lt;=$N$3,IF(AND(OR('MIDWEEK DASHBOARD'!$C$4="",ISNUMBER(SEARCH('MIDWEEK DASHBOARD'!$C$4,INDEX(MASTER_AREAS!$B:$B,707))))),706,""),""),IF('MIDWEEK DASHBOARD'!$B$4="Zone",IF(706&lt;=$N$4,IF(OR('MIDWEEK DASHBOARD'!$C$4="",ISNUMBER(SEARCH('MIDWEEK DASHBOARD'!$C$4,INDEX(MASTER_ZONES!$B:$B,707)))),706,""),""),""))</f>
        <v/>
      </c>
      <c r="P707">
        <f>IF('CHOP DASHBOARD'!$B$4="Area",IF(706&lt;=$S$3,IF(AND(OR('CHOP DASHBOARD'!$C$4="",ISNUMBER(SEARCH('CHOP DASHBOARD'!$C$4,INDEX(MASTER_AREAS!$B:$B,707))))),706,""),""),IF('CHOP DASHBOARD'!$B$4="Zone",IF(706&lt;=$S$4,IF(OR('CHOP DASHBOARD'!$C$4="",ISNUMBER(SEARCH('CHOP DASHBOARD'!$C$4,INDEX(MASTER_ZONES!$B:$B,707)))),706,""),""),""))</f>
        <v/>
      </c>
      <c r="U707">
        <f>IF('COMMUNITY CHURCH DASHBOARD'!$B$4="Area",IF(706&lt;=$X$3,IF(AND(OR('COMMUNITY CHURCH DASHBOARD'!$C$4="",ISNUMBER(SEARCH('COMMUNITY CHURCH DASHBOARD'!$C$4,INDEX(MASTER_AREAS!$B:$B,707))))),706,""),""),IF('COMMUNITY CHURCH DASHBOARD'!$B$4="Zone",IF(706&lt;=$X$4,IF(OR('COMMUNITY CHURCH DASHBOARD'!$C$4="",ISNUMBER(SEARCH('COMMUNITY CHURCH DASHBOARD'!$C$4,INDEX(MASTER_ZONES!$B:$B,707)))),706,""),""),""))</f>
        <v/>
      </c>
    </row>
    <row r="708">
      <c r="A708">
        <f>IF('WSF DASHBOARD'!$B$4="Area",IF(707&lt;=$D$3,IF(AND(OR('WSF DASHBOARD'!$C$4="",ISNUMBER(SEARCH('WSF DASHBOARD'!$C$4,INDEX(MASTER_AREAS!$B:$B,708))))),707,""),""),IF('WSF DASHBOARD'!$B$4="Zone",IF(707&lt;=$D$4,IF(OR('WSF DASHBOARD'!$C$4="",ISNUMBER(SEARCH('WSF DASHBOARD'!$C$4,INDEX(MASTER_ZONES!$B:$B,708)))),707,""),""),""))</f>
        <v/>
      </c>
      <c r="F708">
        <f>IF('TRANSPORT DASHBOARD'!$B$4="Area",IF(707&lt;=$I$3,IF(AND(INDEX(MASTER_AREAS!$F:$F,708)&lt;&gt;"N",OR('TRANSPORT DASHBOARD'!$C$4="",ISNUMBER(SEARCH('TRANSPORT DASHBOARD'!$C$4,INDEX(MASTER_AREAS!$B:$B,708))))),707,""),""),IF('TRANSPORT DASHBOARD'!$B$4="Zone",IF(707&lt;=$I$4,IF(OR('TRANSPORT DASHBOARD'!$C$4="",ISNUMBER(SEARCH('TRANSPORT DASHBOARD'!$C$4,INDEX(MASTER_ZONES!$B:$B,708)))),707,""),""),""))</f>
        <v/>
      </c>
      <c r="K708">
        <f>IF('MIDWEEK DASHBOARD'!$B$4="Area",IF(707&lt;=$N$3,IF(AND(OR('MIDWEEK DASHBOARD'!$C$4="",ISNUMBER(SEARCH('MIDWEEK DASHBOARD'!$C$4,INDEX(MASTER_AREAS!$B:$B,708))))),707,""),""),IF('MIDWEEK DASHBOARD'!$B$4="Zone",IF(707&lt;=$N$4,IF(OR('MIDWEEK DASHBOARD'!$C$4="",ISNUMBER(SEARCH('MIDWEEK DASHBOARD'!$C$4,INDEX(MASTER_ZONES!$B:$B,708)))),707,""),""),""))</f>
        <v/>
      </c>
      <c r="P708">
        <f>IF('CHOP DASHBOARD'!$B$4="Area",IF(707&lt;=$S$3,IF(AND(OR('CHOP DASHBOARD'!$C$4="",ISNUMBER(SEARCH('CHOP DASHBOARD'!$C$4,INDEX(MASTER_AREAS!$B:$B,708))))),707,""),""),IF('CHOP DASHBOARD'!$B$4="Zone",IF(707&lt;=$S$4,IF(OR('CHOP DASHBOARD'!$C$4="",ISNUMBER(SEARCH('CHOP DASHBOARD'!$C$4,INDEX(MASTER_ZONES!$B:$B,708)))),707,""),""),""))</f>
        <v/>
      </c>
      <c r="U708">
        <f>IF('COMMUNITY CHURCH DASHBOARD'!$B$4="Area",IF(707&lt;=$X$3,IF(AND(OR('COMMUNITY CHURCH DASHBOARD'!$C$4="",ISNUMBER(SEARCH('COMMUNITY CHURCH DASHBOARD'!$C$4,INDEX(MASTER_AREAS!$B:$B,708))))),707,""),""),IF('COMMUNITY CHURCH DASHBOARD'!$B$4="Zone",IF(707&lt;=$X$4,IF(OR('COMMUNITY CHURCH DASHBOARD'!$C$4="",ISNUMBER(SEARCH('COMMUNITY CHURCH DASHBOARD'!$C$4,INDEX(MASTER_ZONES!$B:$B,708)))),707,""),""),""))</f>
        <v/>
      </c>
    </row>
    <row r="709">
      <c r="A709">
        <f>IF('WSF DASHBOARD'!$B$4="Area",IF(708&lt;=$D$3,IF(AND(OR('WSF DASHBOARD'!$C$4="",ISNUMBER(SEARCH('WSF DASHBOARD'!$C$4,INDEX(MASTER_AREAS!$B:$B,709))))),708,""),""),IF('WSF DASHBOARD'!$B$4="Zone",IF(708&lt;=$D$4,IF(OR('WSF DASHBOARD'!$C$4="",ISNUMBER(SEARCH('WSF DASHBOARD'!$C$4,INDEX(MASTER_ZONES!$B:$B,709)))),708,""),""),""))</f>
        <v/>
      </c>
      <c r="F709">
        <f>IF('TRANSPORT DASHBOARD'!$B$4="Area",IF(708&lt;=$I$3,IF(AND(INDEX(MASTER_AREAS!$F:$F,709)&lt;&gt;"N",OR('TRANSPORT DASHBOARD'!$C$4="",ISNUMBER(SEARCH('TRANSPORT DASHBOARD'!$C$4,INDEX(MASTER_AREAS!$B:$B,709))))),708,""),""),IF('TRANSPORT DASHBOARD'!$B$4="Zone",IF(708&lt;=$I$4,IF(OR('TRANSPORT DASHBOARD'!$C$4="",ISNUMBER(SEARCH('TRANSPORT DASHBOARD'!$C$4,INDEX(MASTER_ZONES!$B:$B,709)))),708,""),""),""))</f>
        <v/>
      </c>
      <c r="K709">
        <f>IF('MIDWEEK DASHBOARD'!$B$4="Area",IF(708&lt;=$N$3,IF(AND(OR('MIDWEEK DASHBOARD'!$C$4="",ISNUMBER(SEARCH('MIDWEEK DASHBOARD'!$C$4,INDEX(MASTER_AREAS!$B:$B,709))))),708,""),""),IF('MIDWEEK DASHBOARD'!$B$4="Zone",IF(708&lt;=$N$4,IF(OR('MIDWEEK DASHBOARD'!$C$4="",ISNUMBER(SEARCH('MIDWEEK DASHBOARD'!$C$4,INDEX(MASTER_ZONES!$B:$B,709)))),708,""),""),""))</f>
        <v/>
      </c>
      <c r="P709">
        <f>IF('CHOP DASHBOARD'!$B$4="Area",IF(708&lt;=$S$3,IF(AND(OR('CHOP DASHBOARD'!$C$4="",ISNUMBER(SEARCH('CHOP DASHBOARD'!$C$4,INDEX(MASTER_AREAS!$B:$B,709))))),708,""),""),IF('CHOP DASHBOARD'!$B$4="Zone",IF(708&lt;=$S$4,IF(OR('CHOP DASHBOARD'!$C$4="",ISNUMBER(SEARCH('CHOP DASHBOARD'!$C$4,INDEX(MASTER_ZONES!$B:$B,709)))),708,""),""),""))</f>
        <v/>
      </c>
      <c r="U709">
        <f>IF('COMMUNITY CHURCH DASHBOARD'!$B$4="Area",IF(708&lt;=$X$3,IF(AND(OR('COMMUNITY CHURCH DASHBOARD'!$C$4="",ISNUMBER(SEARCH('COMMUNITY CHURCH DASHBOARD'!$C$4,INDEX(MASTER_AREAS!$B:$B,709))))),708,""),""),IF('COMMUNITY CHURCH DASHBOARD'!$B$4="Zone",IF(708&lt;=$X$4,IF(OR('COMMUNITY CHURCH DASHBOARD'!$C$4="",ISNUMBER(SEARCH('COMMUNITY CHURCH DASHBOARD'!$C$4,INDEX(MASTER_ZONES!$B:$B,709)))),708,""),""),""))</f>
        <v/>
      </c>
    </row>
    <row r="710">
      <c r="A710">
        <f>IF('WSF DASHBOARD'!$B$4="Area",IF(709&lt;=$D$3,IF(AND(OR('WSF DASHBOARD'!$C$4="",ISNUMBER(SEARCH('WSF DASHBOARD'!$C$4,INDEX(MASTER_AREAS!$B:$B,710))))),709,""),""),IF('WSF DASHBOARD'!$B$4="Zone",IF(709&lt;=$D$4,IF(OR('WSF DASHBOARD'!$C$4="",ISNUMBER(SEARCH('WSF DASHBOARD'!$C$4,INDEX(MASTER_ZONES!$B:$B,710)))),709,""),""),""))</f>
        <v/>
      </c>
      <c r="F710">
        <f>IF('TRANSPORT DASHBOARD'!$B$4="Area",IF(709&lt;=$I$3,IF(AND(INDEX(MASTER_AREAS!$F:$F,710)&lt;&gt;"N",OR('TRANSPORT DASHBOARD'!$C$4="",ISNUMBER(SEARCH('TRANSPORT DASHBOARD'!$C$4,INDEX(MASTER_AREAS!$B:$B,710))))),709,""),""),IF('TRANSPORT DASHBOARD'!$B$4="Zone",IF(709&lt;=$I$4,IF(OR('TRANSPORT DASHBOARD'!$C$4="",ISNUMBER(SEARCH('TRANSPORT DASHBOARD'!$C$4,INDEX(MASTER_ZONES!$B:$B,710)))),709,""),""),""))</f>
        <v/>
      </c>
      <c r="K710">
        <f>IF('MIDWEEK DASHBOARD'!$B$4="Area",IF(709&lt;=$N$3,IF(AND(OR('MIDWEEK DASHBOARD'!$C$4="",ISNUMBER(SEARCH('MIDWEEK DASHBOARD'!$C$4,INDEX(MASTER_AREAS!$B:$B,710))))),709,""),""),IF('MIDWEEK DASHBOARD'!$B$4="Zone",IF(709&lt;=$N$4,IF(OR('MIDWEEK DASHBOARD'!$C$4="",ISNUMBER(SEARCH('MIDWEEK DASHBOARD'!$C$4,INDEX(MASTER_ZONES!$B:$B,710)))),709,""),""),""))</f>
        <v/>
      </c>
      <c r="P710">
        <f>IF('CHOP DASHBOARD'!$B$4="Area",IF(709&lt;=$S$3,IF(AND(OR('CHOP DASHBOARD'!$C$4="",ISNUMBER(SEARCH('CHOP DASHBOARD'!$C$4,INDEX(MASTER_AREAS!$B:$B,710))))),709,""),""),IF('CHOP DASHBOARD'!$B$4="Zone",IF(709&lt;=$S$4,IF(OR('CHOP DASHBOARD'!$C$4="",ISNUMBER(SEARCH('CHOP DASHBOARD'!$C$4,INDEX(MASTER_ZONES!$B:$B,710)))),709,""),""),""))</f>
        <v/>
      </c>
      <c r="U710">
        <f>IF('COMMUNITY CHURCH DASHBOARD'!$B$4="Area",IF(709&lt;=$X$3,IF(AND(OR('COMMUNITY CHURCH DASHBOARD'!$C$4="",ISNUMBER(SEARCH('COMMUNITY CHURCH DASHBOARD'!$C$4,INDEX(MASTER_AREAS!$B:$B,710))))),709,""),""),IF('COMMUNITY CHURCH DASHBOARD'!$B$4="Zone",IF(709&lt;=$X$4,IF(OR('COMMUNITY CHURCH DASHBOARD'!$C$4="",ISNUMBER(SEARCH('COMMUNITY CHURCH DASHBOARD'!$C$4,INDEX(MASTER_ZONES!$B:$B,710)))),709,""),""),""))</f>
        <v/>
      </c>
    </row>
    <row r="711">
      <c r="A711">
        <f>IF('WSF DASHBOARD'!$B$4="Area",IF(710&lt;=$D$3,IF(AND(OR('WSF DASHBOARD'!$C$4="",ISNUMBER(SEARCH('WSF DASHBOARD'!$C$4,INDEX(MASTER_AREAS!$B:$B,711))))),710,""),""),IF('WSF DASHBOARD'!$B$4="Zone",IF(710&lt;=$D$4,IF(OR('WSF DASHBOARD'!$C$4="",ISNUMBER(SEARCH('WSF DASHBOARD'!$C$4,INDEX(MASTER_ZONES!$B:$B,711)))),710,""),""),""))</f>
        <v/>
      </c>
      <c r="F711">
        <f>IF('TRANSPORT DASHBOARD'!$B$4="Area",IF(710&lt;=$I$3,IF(AND(INDEX(MASTER_AREAS!$F:$F,711)&lt;&gt;"N",OR('TRANSPORT DASHBOARD'!$C$4="",ISNUMBER(SEARCH('TRANSPORT DASHBOARD'!$C$4,INDEX(MASTER_AREAS!$B:$B,711))))),710,""),""),IF('TRANSPORT DASHBOARD'!$B$4="Zone",IF(710&lt;=$I$4,IF(OR('TRANSPORT DASHBOARD'!$C$4="",ISNUMBER(SEARCH('TRANSPORT DASHBOARD'!$C$4,INDEX(MASTER_ZONES!$B:$B,711)))),710,""),""),""))</f>
        <v/>
      </c>
      <c r="K711">
        <f>IF('MIDWEEK DASHBOARD'!$B$4="Area",IF(710&lt;=$N$3,IF(AND(OR('MIDWEEK DASHBOARD'!$C$4="",ISNUMBER(SEARCH('MIDWEEK DASHBOARD'!$C$4,INDEX(MASTER_AREAS!$B:$B,711))))),710,""),""),IF('MIDWEEK DASHBOARD'!$B$4="Zone",IF(710&lt;=$N$4,IF(OR('MIDWEEK DASHBOARD'!$C$4="",ISNUMBER(SEARCH('MIDWEEK DASHBOARD'!$C$4,INDEX(MASTER_ZONES!$B:$B,711)))),710,""),""),""))</f>
        <v/>
      </c>
      <c r="P711">
        <f>IF('CHOP DASHBOARD'!$B$4="Area",IF(710&lt;=$S$3,IF(AND(OR('CHOP DASHBOARD'!$C$4="",ISNUMBER(SEARCH('CHOP DASHBOARD'!$C$4,INDEX(MASTER_AREAS!$B:$B,711))))),710,""),""),IF('CHOP DASHBOARD'!$B$4="Zone",IF(710&lt;=$S$4,IF(OR('CHOP DASHBOARD'!$C$4="",ISNUMBER(SEARCH('CHOP DASHBOARD'!$C$4,INDEX(MASTER_ZONES!$B:$B,711)))),710,""),""),""))</f>
        <v/>
      </c>
      <c r="U711">
        <f>IF('COMMUNITY CHURCH DASHBOARD'!$B$4="Area",IF(710&lt;=$X$3,IF(AND(OR('COMMUNITY CHURCH DASHBOARD'!$C$4="",ISNUMBER(SEARCH('COMMUNITY CHURCH DASHBOARD'!$C$4,INDEX(MASTER_AREAS!$B:$B,711))))),710,""),""),IF('COMMUNITY CHURCH DASHBOARD'!$B$4="Zone",IF(710&lt;=$X$4,IF(OR('COMMUNITY CHURCH DASHBOARD'!$C$4="",ISNUMBER(SEARCH('COMMUNITY CHURCH DASHBOARD'!$C$4,INDEX(MASTER_ZONES!$B:$B,711)))),710,""),""),""))</f>
        <v/>
      </c>
    </row>
    <row r="712">
      <c r="A712">
        <f>IF('WSF DASHBOARD'!$B$4="Area",IF(711&lt;=$D$3,IF(AND(OR('WSF DASHBOARD'!$C$4="",ISNUMBER(SEARCH('WSF DASHBOARD'!$C$4,INDEX(MASTER_AREAS!$B:$B,712))))),711,""),""),IF('WSF DASHBOARD'!$B$4="Zone",IF(711&lt;=$D$4,IF(OR('WSF DASHBOARD'!$C$4="",ISNUMBER(SEARCH('WSF DASHBOARD'!$C$4,INDEX(MASTER_ZONES!$B:$B,712)))),711,""),""),""))</f>
        <v/>
      </c>
      <c r="F712">
        <f>IF('TRANSPORT DASHBOARD'!$B$4="Area",IF(711&lt;=$I$3,IF(AND(INDEX(MASTER_AREAS!$F:$F,712)&lt;&gt;"N",OR('TRANSPORT DASHBOARD'!$C$4="",ISNUMBER(SEARCH('TRANSPORT DASHBOARD'!$C$4,INDEX(MASTER_AREAS!$B:$B,712))))),711,""),""),IF('TRANSPORT DASHBOARD'!$B$4="Zone",IF(711&lt;=$I$4,IF(OR('TRANSPORT DASHBOARD'!$C$4="",ISNUMBER(SEARCH('TRANSPORT DASHBOARD'!$C$4,INDEX(MASTER_ZONES!$B:$B,712)))),711,""),""),""))</f>
        <v/>
      </c>
      <c r="K712">
        <f>IF('MIDWEEK DASHBOARD'!$B$4="Area",IF(711&lt;=$N$3,IF(AND(OR('MIDWEEK DASHBOARD'!$C$4="",ISNUMBER(SEARCH('MIDWEEK DASHBOARD'!$C$4,INDEX(MASTER_AREAS!$B:$B,712))))),711,""),""),IF('MIDWEEK DASHBOARD'!$B$4="Zone",IF(711&lt;=$N$4,IF(OR('MIDWEEK DASHBOARD'!$C$4="",ISNUMBER(SEARCH('MIDWEEK DASHBOARD'!$C$4,INDEX(MASTER_ZONES!$B:$B,712)))),711,""),""),""))</f>
        <v/>
      </c>
      <c r="P712">
        <f>IF('CHOP DASHBOARD'!$B$4="Area",IF(711&lt;=$S$3,IF(AND(OR('CHOP DASHBOARD'!$C$4="",ISNUMBER(SEARCH('CHOP DASHBOARD'!$C$4,INDEX(MASTER_AREAS!$B:$B,712))))),711,""),""),IF('CHOP DASHBOARD'!$B$4="Zone",IF(711&lt;=$S$4,IF(OR('CHOP DASHBOARD'!$C$4="",ISNUMBER(SEARCH('CHOP DASHBOARD'!$C$4,INDEX(MASTER_ZONES!$B:$B,712)))),711,""),""),""))</f>
        <v/>
      </c>
      <c r="U712">
        <f>IF('COMMUNITY CHURCH DASHBOARD'!$B$4="Area",IF(711&lt;=$X$3,IF(AND(OR('COMMUNITY CHURCH DASHBOARD'!$C$4="",ISNUMBER(SEARCH('COMMUNITY CHURCH DASHBOARD'!$C$4,INDEX(MASTER_AREAS!$B:$B,712))))),711,""),""),IF('COMMUNITY CHURCH DASHBOARD'!$B$4="Zone",IF(711&lt;=$X$4,IF(OR('COMMUNITY CHURCH DASHBOARD'!$C$4="",ISNUMBER(SEARCH('COMMUNITY CHURCH DASHBOARD'!$C$4,INDEX(MASTER_ZONES!$B:$B,712)))),711,""),""),""))</f>
        <v/>
      </c>
    </row>
    <row r="713">
      <c r="A713">
        <f>IF('WSF DASHBOARD'!$B$4="Area",IF(712&lt;=$D$3,IF(AND(OR('WSF DASHBOARD'!$C$4="",ISNUMBER(SEARCH('WSF DASHBOARD'!$C$4,INDEX(MASTER_AREAS!$B:$B,713))))),712,""),""),IF('WSF DASHBOARD'!$B$4="Zone",IF(712&lt;=$D$4,IF(OR('WSF DASHBOARD'!$C$4="",ISNUMBER(SEARCH('WSF DASHBOARD'!$C$4,INDEX(MASTER_ZONES!$B:$B,713)))),712,""),""),""))</f>
        <v/>
      </c>
      <c r="F713">
        <f>IF('TRANSPORT DASHBOARD'!$B$4="Area",IF(712&lt;=$I$3,IF(AND(INDEX(MASTER_AREAS!$F:$F,713)&lt;&gt;"N",OR('TRANSPORT DASHBOARD'!$C$4="",ISNUMBER(SEARCH('TRANSPORT DASHBOARD'!$C$4,INDEX(MASTER_AREAS!$B:$B,713))))),712,""),""),IF('TRANSPORT DASHBOARD'!$B$4="Zone",IF(712&lt;=$I$4,IF(OR('TRANSPORT DASHBOARD'!$C$4="",ISNUMBER(SEARCH('TRANSPORT DASHBOARD'!$C$4,INDEX(MASTER_ZONES!$B:$B,713)))),712,""),""),""))</f>
        <v/>
      </c>
      <c r="K713">
        <f>IF('MIDWEEK DASHBOARD'!$B$4="Area",IF(712&lt;=$N$3,IF(AND(OR('MIDWEEK DASHBOARD'!$C$4="",ISNUMBER(SEARCH('MIDWEEK DASHBOARD'!$C$4,INDEX(MASTER_AREAS!$B:$B,713))))),712,""),""),IF('MIDWEEK DASHBOARD'!$B$4="Zone",IF(712&lt;=$N$4,IF(OR('MIDWEEK DASHBOARD'!$C$4="",ISNUMBER(SEARCH('MIDWEEK DASHBOARD'!$C$4,INDEX(MASTER_ZONES!$B:$B,713)))),712,""),""),""))</f>
        <v/>
      </c>
      <c r="P713">
        <f>IF('CHOP DASHBOARD'!$B$4="Area",IF(712&lt;=$S$3,IF(AND(OR('CHOP DASHBOARD'!$C$4="",ISNUMBER(SEARCH('CHOP DASHBOARD'!$C$4,INDEX(MASTER_AREAS!$B:$B,713))))),712,""),""),IF('CHOP DASHBOARD'!$B$4="Zone",IF(712&lt;=$S$4,IF(OR('CHOP DASHBOARD'!$C$4="",ISNUMBER(SEARCH('CHOP DASHBOARD'!$C$4,INDEX(MASTER_ZONES!$B:$B,713)))),712,""),""),""))</f>
        <v/>
      </c>
      <c r="U713">
        <f>IF('COMMUNITY CHURCH DASHBOARD'!$B$4="Area",IF(712&lt;=$X$3,IF(AND(OR('COMMUNITY CHURCH DASHBOARD'!$C$4="",ISNUMBER(SEARCH('COMMUNITY CHURCH DASHBOARD'!$C$4,INDEX(MASTER_AREAS!$B:$B,713))))),712,""),""),IF('COMMUNITY CHURCH DASHBOARD'!$B$4="Zone",IF(712&lt;=$X$4,IF(OR('COMMUNITY CHURCH DASHBOARD'!$C$4="",ISNUMBER(SEARCH('COMMUNITY CHURCH DASHBOARD'!$C$4,INDEX(MASTER_ZONES!$B:$B,713)))),712,""),""),""))</f>
        <v/>
      </c>
    </row>
    <row r="714">
      <c r="A714">
        <f>IF('WSF DASHBOARD'!$B$4="Area",IF(713&lt;=$D$3,IF(AND(OR('WSF DASHBOARD'!$C$4="",ISNUMBER(SEARCH('WSF DASHBOARD'!$C$4,INDEX(MASTER_AREAS!$B:$B,714))))),713,""),""),IF('WSF DASHBOARD'!$B$4="Zone",IF(713&lt;=$D$4,IF(OR('WSF DASHBOARD'!$C$4="",ISNUMBER(SEARCH('WSF DASHBOARD'!$C$4,INDEX(MASTER_ZONES!$B:$B,714)))),713,""),""),""))</f>
        <v/>
      </c>
      <c r="F714">
        <f>IF('TRANSPORT DASHBOARD'!$B$4="Area",IF(713&lt;=$I$3,IF(AND(INDEX(MASTER_AREAS!$F:$F,714)&lt;&gt;"N",OR('TRANSPORT DASHBOARD'!$C$4="",ISNUMBER(SEARCH('TRANSPORT DASHBOARD'!$C$4,INDEX(MASTER_AREAS!$B:$B,714))))),713,""),""),IF('TRANSPORT DASHBOARD'!$B$4="Zone",IF(713&lt;=$I$4,IF(OR('TRANSPORT DASHBOARD'!$C$4="",ISNUMBER(SEARCH('TRANSPORT DASHBOARD'!$C$4,INDEX(MASTER_ZONES!$B:$B,714)))),713,""),""),""))</f>
        <v/>
      </c>
      <c r="K714">
        <f>IF('MIDWEEK DASHBOARD'!$B$4="Area",IF(713&lt;=$N$3,IF(AND(OR('MIDWEEK DASHBOARD'!$C$4="",ISNUMBER(SEARCH('MIDWEEK DASHBOARD'!$C$4,INDEX(MASTER_AREAS!$B:$B,714))))),713,""),""),IF('MIDWEEK DASHBOARD'!$B$4="Zone",IF(713&lt;=$N$4,IF(OR('MIDWEEK DASHBOARD'!$C$4="",ISNUMBER(SEARCH('MIDWEEK DASHBOARD'!$C$4,INDEX(MASTER_ZONES!$B:$B,714)))),713,""),""),""))</f>
        <v/>
      </c>
      <c r="P714">
        <f>IF('CHOP DASHBOARD'!$B$4="Area",IF(713&lt;=$S$3,IF(AND(OR('CHOP DASHBOARD'!$C$4="",ISNUMBER(SEARCH('CHOP DASHBOARD'!$C$4,INDEX(MASTER_AREAS!$B:$B,714))))),713,""),""),IF('CHOP DASHBOARD'!$B$4="Zone",IF(713&lt;=$S$4,IF(OR('CHOP DASHBOARD'!$C$4="",ISNUMBER(SEARCH('CHOP DASHBOARD'!$C$4,INDEX(MASTER_ZONES!$B:$B,714)))),713,""),""),""))</f>
        <v/>
      </c>
      <c r="U714">
        <f>IF('COMMUNITY CHURCH DASHBOARD'!$B$4="Area",IF(713&lt;=$X$3,IF(AND(OR('COMMUNITY CHURCH DASHBOARD'!$C$4="",ISNUMBER(SEARCH('COMMUNITY CHURCH DASHBOARD'!$C$4,INDEX(MASTER_AREAS!$B:$B,714))))),713,""),""),IF('COMMUNITY CHURCH DASHBOARD'!$B$4="Zone",IF(713&lt;=$X$4,IF(OR('COMMUNITY CHURCH DASHBOARD'!$C$4="",ISNUMBER(SEARCH('COMMUNITY CHURCH DASHBOARD'!$C$4,INDEX(MASTER_ZONES!$B:$B,714)))),713,""),""),""))</f>
        <v/>
      </c>
    </row>
    <row r="715">
      <c r="A715">
        <f>IF('WSF DASHBOARD'!$B$4="Area",IF(714&lt;=$D$3,IF(AND(OR('WSF DASHBOARD'!$C$4="",ISNUMBER(SEARCH('WSF DASHBOARD'!$C$4,INDEX(MASTER_AREAS!$B:$B,715))))),714,""),""),IF('WSF DASHBOARD'!$B$4="Zone",IF(714&lt;=$D$4,IF(OR('WSF DASHBOARD'!$C$4="",ISNUMBER(SEARCH('WSF DASHBOARD'!$C$4,INDEX(MASTER_ZONES!$B:$B,715)))),714,""),""),""))</f>
        <v/>
      </c>
      <c r="F715">
        <f>IF('TRANSPORT DASHBOARD'!$B$4="Area",IF(714&lt;=$I$3,IF(AND(INDEX(MASTER_AREAS!$F:$F,715)&lt;&gt;"N",OR('TRANSPORT DASHBOARD'!$C$4="",ISNUMBER(SEARCH('TRANSPORT DASHBOARD'!$C$4,INDEX(MASTER_AREAS!$B:$B,715))))),714,""),""),IF('TRANSPORT DASHBOARD'!$B$4="Zone",IF(714&lt;=$I$4,IF(OR('TRANSPORT DASHBOARD'!$C$4="",ISNUMBER(SEARCH('TRANSPORT DASHBOARD'!$C$4,INDEX(MASTER_ZONES!$B:$B,715)))),714,""),""),""))</f>
        <v/>
      </c>
      <c r="K715">
        <f>IF('MIDWEEK DASHBOARD'!$B$4="Area",IF(714&lt;=$N$3,IF(AND(OR('MIDWEEK DASHBOARD'!$C$4="",ISNUMBER(SEARCH('MIDWEEK DASHBOARD'!$C$4,INDEX(MASTER_AREAS!$B:$B,715))))),714,""),""),IF('MIDWEEK DASHBOARD'!$B$4="Zone",IF(714&lt;=$N$4,IF(OR('MIDWEEK DASHBOARD'!$C$4="",ISNUMBER(SEARCH('MIDWEEK DASHBOARD'!$C$4,INDEX(MASTER_ZONES!$B:$B,715)))),714,""),""),""))</f>
        <v/>
      </c>
      <c r="P715">
        <f>IF('CHOP DASHBOARD'!$B$4="Area",IF(714&lt;=$S$3,IF(AND(OR('CHOP DASHBOARD'!$C$4="",ISNUMBER(SEARCH('CHOP DASHBOARD'!$C$4,INDEX(MASTER_AREAS!$B:$B,715))))),714,""),""),IF('CHOP DASHBOARD'!$B$4="Zone",IF(714&lt;=$S$4,IF(OR('CHOP DASHBOARD'!$C$4="",ISNUMBER(SEARCH('CHOP DASHBOARD'!$C$4,INDEX(MASTER_ZONES!$B:$B,715)))),714,""),""),""))</f>
        <v/>
      </c>
      <c r="U715">
        <f>IF('COMMUNITY CHURCH DASHBOARD'!$B$4="Area",IF(714&lt;=$X$3,IF(AND(OR('COMMUNITY CHURCH DASHBOARD'!$C$4="",ISNUMBER(SEARCH('COMMUNITY CHURCH DASHBOARD'!$C$4,INDEX(MASTER_AREAS!$B:$B,715))))),714,""),""),IF('COMMUNITY CHURCH DASHBOARD'!$B$4="Zone",IF(714&lt;=$X$4,IF(OR('COMMUNITY CHURCH DASHBOARD'!$C$4="",ISNUMBER(SEARCH('COMMUNITY CHURCH DASHBOARD'!$C$4,INDEX(MASTER_ZONES!$B:$B,715)))),714,""),""),""))</f>
        <v/>
      </c>
    </row>
    <row r="716">
      <c r="A716">
        <f>IF('WSF DASHBOARD'!$B$4="Area",IF(715&lt;=$D$3,IF(AND(OR('WSF DASHBOARD'!$C$4="",ISNUMBER(SEARCH('WSF DASHBOARD'!$C$4,INDEX(MASTER_AREAS!$B:$B,716))))),715,""),""),IF('WSF DASHBOARD'!$B$4="Zone",IF(715&lt;=$D$4,IF(OR('WSF DASHBOARD'!$C$4="",ISNUMBER(SEARCH('WSF DASHBOARD'!$C$4,INDEX(MASTER_ZONES!$B:$B,716)))),715,""),""),""))</f>
        <v/>
      </c>
      <c r="F716">
        <f>IF('TRANSPORT DASHBOARD'!$B$4="Area",IF(715&lt;=$I$3,IF(AND(INDEX(MASTER_AREAS!$F:$F,716)&lt;&gt;"N",OR('TRANSPORT DASHBOARD'!$C$4="",ISNUMBER(SEARCH('TRANSPORT DASHBOARD'!$C$4,INDEX(MASTER_AREAS!$B:$B,716))))),715,""),""),IF('TRANSPORT DASHBOARD'!$B$4="Zone",IF(715&lt;=$I$4,IF(OR('TRANSPORT DASHBOARD'!$C$4="",ISNUMBER(SEARCH('TRANSPORT DASHBOARD'!$C$4,INDEX(MASTER_ZONES!$B:$B,716)))),715,""),""),""))</f>
        <v/>
      </c>
      <c r="K716">
        <f>IF('MIDWEEK DASHBOARD'!$B$4="Area",IF(715&lt;=$N$3,IF(AND(OR('MIDWEEK DASHBOARD'!$C$4="",ISNUMBER(SEARCH('MIDWEEK DASHBOARD'!$C$4,INDEX(MASTER_AREAS!$B:$B,716))))),715,""),""),IF('MIDWEEK DASHBOARD'!$B$4="Zone",IF(715&lt;=$N$4,IF(OR('MIDWEEK DASHBOARD'!$C$4="",ISNUMBER(SEARCH('MIDWEEK DASHBOARD'!$C$4,INDEX(MASTER_ZONES!$B:$B,716)))),715,""),""),""))</f>
        <v/>
      </c>
      <c r="P716">
        <f>IF('CHOP DASHBOARD'!$B$4="Area",IF(715&lt;=$S$3,IF(AND(OR('CHOP DASHBOARD'!$C$4="",ISNUMBER(SEARCH('CHOP DASHBOARD'!$C$4,INDEX(MASTER_AREAS!$B:$B,716))))),715,""),""),IF('CHOP DASHBOARD'!$B$4="Zone",IF(715&lt;=$S$4,IF(OR('CHOP DASHBOARD'!$C$4="",ISNUMBER(SEARCH('CHOP DASHBOARD'!$C$4,INDEX(MASTER_ZONES!$B:$B,716)))),715,""),""),""))</f>
        <v/>
      </c>
      <c r="U716">
        <f>IF('COMMUNITY CHURCH DASHBOARD'!$B$4="Area",IF(715&lt;=$X$3,IF(AND(OR('COMMUNITY CHURCH DASHBOARD'!$C$4="",ISNUMBER(SEARCH('COMMUNITY CHURCH DASHBOARD'!$C$4,INDEX(MASTER_AREAS!$B:$B,716))))),715,""),""),IF('COMMUNITY CHURCH DASHBOARD'!$B$4="Zone",IF(715&lt;=$X$4,IF(OR('COMMUNITY CHURCH DASHBOARD'!$C$4="",ISNUMBER(SEARCH('COMMUNITY CHURCH DASHBOARD'!$C$4,INDEX(MASTER_ZONES!$B:$B,716)))),715,""),""),""))</f>
        <v/>
      </c>
    </row>
    <row r="717">
      <c r="A717">
        <f>IF('WSF DASHBOARD'!$B$4="Area",IF(716&lt;=$D$3,IF(AND(OR('WSF DASHBOARD'!$C$4="",ISNUMBER(SEARCH('WSF DASHBOARD'!$C$4,INDEX(MASTER_AREAS!$B:$B,717))))),716,""),""),IF('WSF DASHBOARD'!$B$4="Zone",IF(716&lt;=$D$4,IF(OR('WSF DASHBOARD'!$C$4="",ISNUMBER(SEARCH('WSF DASHBOARD'!$C$4,INDEX(MASTER_ZONES!$B:$B,717)))),716,""),""),""))</f>
        <v/>
      </c>
      <c r="F717">
        <f>IF('TRANSPORT DASHBOARD'!$B$4="Area",IF(716&lt;=$I$3,IF(AND(INDEX(MASTER_AREAS!$F:$F,717)&lt;&gt;"N",OR('TRANSPORT DASHBOARD'!$C$4="",ISNUMBER(SEARCH('TRANSPORT DASHBOARD'!$C$4,INDEX(MASTER_AREAS!$B:$B,717))))),716,""),""),IF('TRANSPORT DASHBOARD'!$B$4="Zone",IF(716&lt;=$I$4,IF(OR('TRANSPORT DASHBOARD'!$C$4="",ISNUMBER(SEARCH('TRANSPORT DASHBOARD'!$C$4,INDEX(MASTER_ZONES!$B:$B,717)))),716,""),""),""))</f>
        <v/>
      </c>
      <c r="K717">
        <f>IF('MIDWEEK DASHBOARD'!$B$4="Area",IF(716&lt;=$N$3,IF(AND(OR('MIDWEEK DASHBOARD'!$C$4="",ISNUMBER(SEARCH('MIDWEEK DASHBOARD'!$C$4,INDEX(MASTER_AREAS!$B:$B,717))))),716,""),""),IF('MIDWEEK DASHBOARD'!$B$4="Zone",IF(716&lt;=$N$4,IF(OR('MIDWEEK DASHBOARD'!$C$4="",ISNUMBER(SEARCH('MIDWEEK DASHBOARD'!$C$4,INDEX(MASTER_ZONES!$B:$B,717)))),716,""),""),""))</f>
        <v/>
      </c>
      <c r="P717">
        <f>IF('CHOP DASHBOARD'!$B$4="Area",IF(716&lt;=$S$3,IF(AND(OR('CHOP DASHBOARD'!$C$4="",ISNUMBER(SEARCH('CHOP DASHBOARD'!$C$4,INDEX(MASTER_AREAS!$B:$B,717))))),716,""),""),IF('CHOP DASHBOARD'!$B$4="Zone",IF(716&lt;=$S$4,IF(OR('CHOP DASHBOARD'!$C$4="",ISNUMBER(SEARCH('CHOP DASHBOARD'!$C$4,INDEX(MASTER_ZONES!$B:$B,717)))),716,""),""),""))</f>
        <v/>
      </c>
      <c r="U717">
        <f>IF('COMMUNITY CHURCH DASHBOARD'!$B$4="Area",IF(716&lt;=$X$3,IF(AND(OR('COMMUNITY CHURCH DASHBOARD'!$C$4="",ISNUMBER(SEARCH('COMMUNITY CHURCH DASHBOARD'!$C$4,INDEX(MASTER_AREAS!$B:$B,717))))),716,""),""),IF('COMMUNITY CHURCH DASHBOARD'!$B$4="Zone",IF(716&lt;=$X$4,IF(OR('COMMUNITY CHURCH DASHBOARD'!$C$4="",ISNUMBER(SEARCH('COMMUNITY CHURCH DASHBOARD'!$C$4,INDEX(MASTER_ZONES!$B:$B,717)))),716,""),""),""))</f>
        <v/>
      </c>
    </row>
    <row r="718">
      <c r="A718">
        <f>IF('WSF DASHBOARD'!$B$4="Area",IF(717&lt;=$D$3,IF(AND(OR('WSF DASHBOARD'!$C$4="",ISNUMBER(SEARCH('WSF DASHBOARD'!$C$4,INDEX(MASTER_AREAS!$B:$B,718))))),717,""),""),IF('WSF DASHBOARD'!$B$4="Zone",IF(717&lt;=$D$4,IF(OR('WSF DASHBOARD'!$C$4="",ISNUMBER(SEARCH('WSF DASHBOARD'!$C$4,INDEX(MASTER_ZONES!$B:$B,718)))),717,""),""),""))</f>
        <v/>
      </c>
      <c r="F718">
        <f>IF('TRANSPORT DASHBOARD'!$B$4="Area",IF(717&lt;=$I$3,IF(AND(INDEX(MASTER_AREAS!$F:$F,718)&lt;&gt;"N",OR('TRANSPORT DASHBOARD'!$C$4="",ISNUMBER(SEARCH('TRANSPORT DASHBOARD'!$C$4,INDEX(MASTER_AREAS!$B:$B,718))))),717,""),""),IF('TRANSPORT DASHBOARD'!$B$4="Zone",IF(717&lt;=$I$4,IF(OR('TRANSPORT DASHBOARD'!$C$4="",ISNUMBER(SEARCH('TRANSPORT DASHBOARD'!$C$4,INDEX(MASTER_ZONES!$B:$B,718)))),717,""),""),""))</f>
        <v/>
      </c>
      <c r="K718">
        <f>IF('MIDWEEK DASHBOARD'!$B$4="Area",IF(717&lt;=$N$3,IF(AND(OR('MIDWEEK DASHBOARD'!$C$4="",ISNUMBER(SEARCH('MIDWEEK DASHBOARD'!$C$4,INDEX(MASTER_AREAS!$B:$B,718))))),717,""),""),IF('MIDWEEK DASHBOARD'!$B$4="Zone",IF(717&lt;=$N$4,IF(OR('MIDWEEK DASHBOARD'!$C$4="",ISNUMBER(SEARCH('MIDWEEK DASHBOARD'!$C$4,INDEX(MASTER_ZONES!$B:$B,718)))),717,""),""),""))</f>
        <v/>
      </c>
      <c r="P718">
        <f>IF('CHOP DASHBOARD'!$B$4="Area",IF(717&lt;=$S$3,IF(AND(OR('CHOP DASHBOARD'!$C$4="",ISNUMBER(SEARCH('CHOP DASHBOARD'!$C$4,INDEX(MASTER_AREAS!$B:$B,718))))),717,""),""),IF('CHOP DASHBOARD'!$B$4="Zone",IF(717&lt;=$S$4,IF(OR('CHOP DASHBOARD'!$C$4="",ISNUMBER(SEARCH('CHOP DASHBOARD'!$C$4,INDEX(MASTER_ZONES!$B:$B,718)))),717,""),""),""))</f>
        <v/>
      </c>
      <c r="U718">
        <f>IF('COMMUNITY CHURCH DASHBOARD'!$B$4="Area",IF(717&lt;=$X$3,IF(AND(OR('COMMUNITY CHURCH DASHBOARD'!$C$4="",ISNUMBER(SEARCH('COMMUNITY CHURCH DASHBOARD'!$C$4,INDEX(MASTER_AREAS!$B:$B,718))))),717,""),""),IF('COMMUNITY CHURCH DASHBOARD'!$B$4="Zone",IF(717&lt;=$X$4,IF(OR('COMMUNITY CHURCH DASHBOARD'!$C$4="",ISNUMBER(SEARCH('COMMUNITY CHURCH DASHBOARD'!$C$4,INDEX(MASTER_ZONES!$B:$B,718)))),717,""),""),""))</f>
        <v/>
      </c>
    </row>
    <row r="719">
      <c r="A719">
        <f>IF('WSF DASHBOARD'!$B$4="Area",IF(718&lt;=$D$3,IF(AND(OR('WSF DASHBOARD'!$C$4="",ISNUMBER(SEARCH('WSF DASHBOARD'!$C$4,INDEX(MASTER_AREAS!$B:$B,719))))),718,""),""),IF('WSF DASHBOARD'!$B$4="Zone",IF(718&lt;=$D$4,IF(OR('WSF DASHBOARD'!$C$4="",ISNUMBER(SEARCH('WSF DASHBOARD'!$C$4,INDEX(MASTER_ZONES!$B:$B,719)))),718,""),""),""))</f>
        <v/>
      </c>
      <c r="F719">
        <f>IF('TRANSPORT DASHBOARD'!$B$4="Area",IF(718&lt;=$I$3,IF(AND(INDEX(MASTER_AREAS!$F:$F,719)&lt;&gt;"N",OR('TRANSPORT DASHBOARD'!$C$4="",ISNUMBER(SEARCH('TRANSPORT DASHBOARD'!$C$4,INDEX(MASTER_AREAS!$B:$B,719))))),718,""),""),IF('TRANSPORT DASHBOARD'!$B$4="Zone",IF(718&lt;=$I$4,IF(OR('TRANSPORT DASHBOARD'!$C$4="",ISNUMBER(SEARCH('TRANSPORT DASHBOARD'!$C$4,INDEX(MASTER_ZONES!$B:$B,719)))),718,""),""),""))</f>
        <v/>
      </c>
      <c r="K719">
        <f>IF('MIDWEEK DASHBOARD'!$B$4="Area",IF(718&lt;=$N$3,IF(AND(OR('MIDWEEK DASHBOARD'!$C$4="",ISNUMBER(SEARCH('MIDWEEK DASHBOARD'!$C$4,INDEX(MASTER_AREAS!$B:$B,719))))),718,""),""),IF('MIDWEEK DASHBOARD'!$B$4="Zone",IF(718&lt;=$N$4,IF(OR('MIDWEEK DASHBOARD'!$C$4="",ISNUMBER(SEARCH('MIDWEEK DASHBOARD'!$C$4,INDEX(MASTER_ZONES!$B:$B,719)))),718,""),""),""))</f>
        <v/>
      </c>
      <c r="P719">
        <f>IF('CHOP DASHBOARD'!$B$4="Area",IF(718&lt;=$S$3,IF(AND(OR('CHOP DASHBOARD'!$C$4="",ISNUMBER(SEARCH('CHOP DASHBOARD'!$C$4,INDEX(MASTER_AREAS!$B:$B,719))))),718,""),""),IF('CHOP DASHBOARD'!$B$4="Zone",IF(718&lt;=$S$4,IF(OR('CHOP DASHBOARD'!$C$4="",ISNUMBER(SEARCH('CHOP DASHBOARD'!$C$4,INDEX(MASTER_ZONES!$B:$B,719)))),718,""),""),""))</f>
        <v/>
      </c>
      <c r="U719">
        <f>IF('COMMUNITY CHURCH DASHBOARD'!$B$4="Area",IF(718&lt;=$X$3,IF(AND(OR('COMMUNITY CHURCH DASHBOARD'!$C$4="",ISNUMBER(SEARCH('COMMUNITY CHURCH DASHBOARD'!$C$4,INDEX(MASTER_AREAS!$B:$B,719))))),718,""),""),IF('COMMUNITY CHURCH DASHBOARD'!$B$4="Zone",IF(718&lt;=$X$4,IF(OR('COMMUNITY CHURCH DASHBOARD'!$C$4="",ISNUMBER(SEARCH('COMMUNITY CHURCH DASHBOARD'!$C$4,INDEX(MASTER_ZONES!$B:$B,719)))),718,""),""),""))</f>
        <v/>
      </c>
    </row>
    <row r="720">
      <c r="A720">
        <f>IF('WSF DASHBOARD'!$B$4="Area",IF(719&lt;=$D$3,IF(AND(OR('WSF DASHBOARD'!$C$4="",ISNUMBER(SEARCH('WSF DASHBOARD'!$C$4,INDEX(MASTER_AREAS!$B:$B,720))))),719,""),""),IF('WSF DASHBOARD'!$B$4="Zone",IF(719&lt;=$D$4,IF(OR('WSF DASHBOARD'!$C$4="",ISNUMBER(SEARCH('WSF DASHBOARD'!$C$4,INDEX(MASTER_ZONES!$B:$B,720)))),719,""),""),""))</f>
        <v/>
      </c>
      <c r="F720">
        <f>IF('TRANSPORT DASHBOARD'!$B$4="Area",IF(719&lt;=$I$3,IF(AND(INDEX(MASTER_AREAS!$F:$F,720)&lt;&gt;"N",OR('TRANSPORT DASHBOARD'!$C$4="",ISNUMBER(SEARCH('TRANSPORT DASHBOARD'!$C$4,INDEX(MASTER_AREAS!$B:$B,720))))),719,""),""),IF('TRANSPORT DASHBOARD'!$B$4="Zone",IF(719&lt;=$I$4,IF(OR('TRANSPORT DASHBOARD'!$C$4="",ISNUMBER(SEARCH('TRANSPORT DASHBOARD'!$C$4,INDEX(MASTER_ZONES!$B:$B,720)))),719,""),""),""))</f>
        <v/>
      </c>
      <c r="K720">
        <f>IF('MIDWEEK DASHBOARD'!$B$4="Area",IF(719&lt;=$N$3,IF(AND(OR('MIDWEEK DASHBOARD'!$C$4="",ISNUMBER(SEARCH('MIDWEEK DASHBOARD'!$C$4,INDEX(MASTER_AREAS!$B:$B,720))))),719,""),""),IF('MIDWEEK DASHBOARD'!$B$4="Zone",IF(719&lt;=$N$4,IF(OR('MIDWEEK DASHBOARD'!$C$4="",ISNUMBER(SEARCH('MIDWEEK DASHBOARD'!$C$4,INDEX(MASTER_ZONES!$B:$B,720)))),719,""),""),""))</f>
        <v/>
      </c>
      <c r="P720">
        <f>IF('CHOP DASHBOARD'!$B$4="Area",IF(719&lt;=$S$3,IF(AND(OR('CHOP DASHBOARD'!$C$4="",ISNUMBER(SEARCH('CHOP DASHBOARD'!$C$4,INDEX(MASTER_AREAS!$B:$B,720))))),719,""),""),IF('CHOP DASHBOARD'!$B$4="Zone",IF(719&lt;=$S$4,IF(OR('CHOP DASHBOARD'!$C$4="",ISNUMBER(SEARCH('CHOP DASHBOARD'!$C$4,INDEX(MASTER_ZONES!$B:$B,720)))),719,""),""),""))</f>
        <v/>
      </c>
      <c r="U720">
        <f>IF('COMMUNITY CHURCH DASHBOARD'!$B$4="Area",IF(719&lt;=$X$3,IF(AND(OR('COMMUNITY CHURCH DASHBOARD'!$C$4="",ISNUMBER(SEARCH('COMMUNITY CHURCH DASHBOARD'!$C$4,INDEX(MASTER_AREAS!$B:$B,720))))),719,""),""),IF('COMMUNITY CHURCH DASHBOARD'!$B$4="Zone",IF(719&lt;=$X$4,IF(OR('COMMUNITY CHURCH DASHBOARD'!$C$4="",ISNUMBER(SEARCH('COMMUNITY CHURCH DASHBOARD'!$C$4,INDEX(MASTER_ZONES!$B:$B,720)))),719,""),""),""))</f>
        <v/>
      </c>
    </row>
    <row r="721">
      <c r="A721">
        <f>IF('WSF DASHBOARD'!$B$4="Area",IF(720&lt;=$D$3,IF(AND(OR('WSF DASHBOARD'!$C$4="",ISNUMBER(SEARCH('WSF DASHBOARD'!$C$4,INDEX(MASTER_AREAS!$B:$B,721))))),720,""),""),IF('WSF DASHBOARD'!$B$4="Zone",IF(720&lt;=$D$4,IF(OR('WSF DASHBOARD'!$C$4="",ISNUMBER(SEARCH('WSF DASHBOARD'!$C$4,INDEX(MASTER_ZONES!$B:$B,721)))),720,""),""),""))</f>
        <v/>
      </c>
      <c r="F721">
        <f>IF('TRANSPORT DASHBOARD'!$B$4="Area",IF(720&lt;=$I$3,IF(AND(INDEX(MASTER_AREAS!$F:$F,721)&lt;&gt;"N",OR('TRANSPORT DASHBOARD'!$C$4="",ISNUMBER(SEARCH('TRANSPORT DASHBOARD'!$C$4,INDEX(MASTER_AREAS!$B:$B,721))))),720,""),""),IF('TRANSPORT DASHBOARD'!$B$4="Zone",IF(720&lt;=$I$4,IF(OR('TRANSPORT DASHBOARD'!$C$4="",ISNUMBER(SEARCH('TRANSPORT DASHBOARD'!$C$4,INDEX(MASTER_ZONES!$B:$B,721)))),720,""),""),""))</f>
        <v/>
      </c>
      <c r="K721">
        <f>IF('MIDWEEK DASHBOARD'!$B$4="Area",IF(720&lt;=$N$3,IF(AND(OR('MIDWEEK DASHBOARD'!$C$4="",ISNUMBER(SEARCH('MIDWEEK DASHBOARD'!$C$4,INDEX(MASTER_AREAS!$B:$B,721))))),720,""),""),IF('MIDWEEK DASHBOARD'!$B$4="Zone",IF(720&lt;=$N$4,IF(OR('MIDWEEK DASHBOARD'!$C$4="",ISNUMBER(SEARCH('MIDWEEK DASHBOARD'!$C$4,INDEX(MASTER_ZONES!$B:$B,721)))),720,""),""),""))</f>
        <v/>
      </c>
      <c r="P721">
        <f>IF('CHOP DASHBOARD'!$B$4="Area",IF(720&lt;=$S$3,IF(AND(OR('CHOP DASHBOARD'!$C$4="",ISNUMBER(SEARCH('CHOP DASHBOARD'!$C$4,INDEX(MASTER_AREAS!$B:$B,721))))),720,""),""),IF('CHOP DASHBOARD'!$B$4="Zone",IF(720&lt;=$S$4,IF(OR('CHOP DASHBOARD'!$C$4="",ISNUMBER(SEARCH('CHOP DASHBOARD'!$C$4,INDEX(MASTER_ZONES!$B:$B,721)))),720,""),""),""))</f>
        <v/>
      </c>
      <c r="U721">
        <f>IF('COMMUNITY CHURCH DASHBOARD'!$B$4="Area",IF(720&lt;=$X$3,IF(AND(OR('COMMUNITY CHURCH DASHBOARD'!$C$4="",ISNUMBER(SEARCH('COMMUNITY CHURCH DASHBOARD'!$C$4,INDEX(MASTER_AREAS!$B:$B,721))))),720,""),""),IF('COMMUNITY CHURCH DASHBOARD'!$B$4="Zone",IF(720&lt;=$X$4,IF(OR('COMMUNITY CHURCH DASHBOARD'!$C$4="",ISNUMBER(SEARCH('COMMUNITY CHURCH DASHBOARD'!$C$4,INDEX(MASTER_ZONES!$B:$B,721)))),720,""),""),""))</f>
        <v/>
      </c>
    </row>
    <row r="722">
      <c r="A722">
        <f>IF('WSF DASHBOARD'!$B$4="Area",IF(721&lt;=$D$3,IF(AND(OR('WSF DASHBOARD'!$C$4="",ISNUMBER(SEARCH('WSF DASHBOARD'!$C$4,INDEX(MASTER_AREAS!$B:$B,722))))),721,""),""),IF('WSF DASHBOARD'!$B$4="Zone",IF(721&lt;=$D$4,IF(OR('WSF DASHBOARD'!$C$4="",ISNUMBER(SEARCH('WSF DASHBOARD'!$C$4,INDEX(MASTER_ZONES!$B:$B,722)))),721,""),""),""))</f>
        <v/>
      </c>
      <c r="F722">
        <f>IF('TRANSPORT DASHBOARD'!$B$4="Area",IF(721&lt;=$I$3,IF(AND(INDEX(MASTER_AREAS!$F:$F,722)&lt;&gt;"N",OR('TRANSPORT DASHBOARD'!$C$4="",ISNUMBER(SEARCH('TRANSPORT DASHBOARD'!$C$4,INDEX(MASTER_AREAS!$B:$B,722))))),721,""),""),IF('TRANSPORT DASHBOARD'!$B$4="Zone",IF(721&lt;=$I$4,IF(OR('TRANSPORT DASHBOARD'!$C$4="",ISNUMBER(SEARCH('TRANSPORT DASHBOARD'!$C$4,INDEX(MASTER_ZONES!$B:$B,722)))),721,""),""),""))</f>
        <v/>
      </c>
      <c r="K722">
        <f>IF('MIDWEEK DASHBOARD'!$B$4="Area",IF(721&lt;=$N$3,IF(AND(OR('MIDWEEK DASHBOARD'!$C$4="",ISNUMBER(SEARCH('MIDWEEK DASHBOARD'!$C$4,INDEX(MASTER_AREAS!$B:$B,722))))),721,""),""),IF('MIDWEEK DASHBOARD'!$B$4="Zone",IF(721&lt;=$N$4,IF(OR('MIDWEEK DASHBOARD'!$C$4="",ISNUMBER(SEARCH('MIDWEEK DASHBOARD'!$C$4,INDEX(MASTER_ZONES!$B:$B,722)))),721,""),""),""))</f>
        <v/>
      </c>
      <c r="P722">
        <f>IF('CHOP DASHBOARD'!$B$4="Area",IF(721&lt;=$S$3,IF(AND(OR('CHOP DASHBOARD'!$C$4="",ISNUMBER(SEARCH('CHOP DASHBOARD'!$C$4,INDEX(MASTER_AREAS!$B:$B,722))))),721,""),""),IF('CHOP DASHBOARD'!$B$4="Zone",IF(721&lt;=$S$4,IF(OR('CHOP DASHBOARD'!$C$4="",ISNUMBER(SEARCH('CHOP DASHBOARD'!$C$4,INDEX(MASTER_ZONES!$B:$B,722)))),721,""),""),""))</f>
        <v/>
      </c>
      <c r="U722">
        <f>IF('COMMUNITY CHURCH DASHBOARD'!$B$4="Area",IF(721&lt;=$X$3,IF(AND(OR('COMMUNITY CHURCH DASHBOARD'!$C$4="",ISNUMBER(SEARCH('COMMUNITY CHURCH DASHBOARD'!$C$4,INDEX(MASTER_AREAS!$B:$B,722))))),721,""),""),IF('COMMUNITY CHURCH DASHBOARD'!$B$4="Zone",IF(721&lt;=$X$4,IF(OR('COMMUNITY CHURCH DASHBOARD'!$C$4="",ISNUMBER(SEARCH('COMMUNITY CHURCH DASHBOARD'!$C$4,INDEX(MASTER_ZONES!$B:$B,722)))),721,""),""),""))</f>
        <v/>
      </c>
    </row>
    <row r="723">
      <c r="A723">
        <f>IF('WSF DASHBOARD'!$B$4="Area",IF(722&lt;=$D$3,IF(AND(OR('WSF DASHBOARD'!$C$4="",ISNUMBER(SEARCH('WSF DASHBOARD'!$C$4,INDEX(MASTER_AREAS!$B:$B,723))))),722,""),""),IF('WSF DASHBOARD'!$B$4="Zone",IF(722&lt;=$D$4,IF(OR('WSF DASHBOARD'!$C$4="",ISNUMBER(SEARCH('WSF DASHBOARD'!$C$4,INDEX(MASTER_ZONES!$B:$B,723)))),722,""),""),""))</f>
        <v/>
      </c>
      <c r="F723">
        <f>IF('TRANSPORT DASHBOARD'!$B$4="Area",IF(722&lt;=$I$3,IF(AND(INDEX(MASTER_AREAS!$F:$F,723)&lt;&gt;"N",OR('TRANSPORT DASHBOARD'!$C$4="",ISNUMBER(SEARCH('TRANSPORT DASHBOARD'!$C$4,INDEX(MASTER_AREAS!$B:$B,723))))),722,""),""),IF('TRANSPORT DASHBOARD'!$B$4="Zone",IF(722&lt;=$I$4,IF(OR('TRANSPORT DASHBOARD'!$C$4="",ISNUMBER(SEARCH('TRANSPORT DASHBOARD'!$C$4,INDEX(MASTER_ZONES!$B:$B,723)))),722,""),""),""))</f>
        <v/>
      </c>
      <c r="K723">
        <f>IF('MIDWEEK DASHBOARD'!$B$4="Area",IF(722&lt;=$N$3,IF(AND(OR('MIDWEEK DASHBOARD'!$C$4="",ISNUMBER(SEARCH('MIDWEEK DASHBOARD'!$C$4,INDEX(MASTER_AREAS!$B:$B,723))))),722,""),""),IF('MIDWEEK DASHBOARD'!$B$4="Zone",IF(722&lt;=$N$4,IF(OR('MIDWEEK DASHBOARD'!$C$4="",ISNUMBER(SEARCH('MIDWEEK DASHBOARD'!$C$4,INDEX(MASTER_ZONES!$B:$B,723)))),722,""),""),""))</f>
        <v/>
      </c>
      <c r="P723">
        <f>IF('CHOP DASHBOARD'!$B$4="Area",IF(722&lt;=$S$3,IF(AND(OR('CHOP DASHBOARD'!$C$4="",ISNUMBER(SEARCH('CHOP DASHBOARD'!$C$4,INDEX(MASTER_AREAS!$B:$B,723))))),722,""),""),IF('CHOP DASHBOARD'!$B$4="Zone",IF(722&lt;=$S$4,IF(OR('CHOP DASHBOARD'!$C$4="",ISNUMBER(SEARCH('CHOP DASHBOARD'!$C$4,INDEX(MASTER_ZONES!$B:$B,723)))),722,""),""),""))</f>
        <v/>
      </c>
      <c r="U723">
        <f>IF('COMMUNITY CHURCH DASHBOARD'!$B$4="Area",IF(722&lt;=$X$3,IF(AND(OR('COMMUNITY CHURCH DASHBOARD'!$C$4="",ISNUMBER(SEARCH('COMMUNITY CHURCH DASHBOARD'!$C$4,INDEX(MASTER_AREAS!$B:$B,723))))),722,""),""),IF('COMMUNITY CHURCH DASHBOARD'!$B$4="Zone",IF(722&lt;=$X$4,IF(OR('COMMUNITY CHURCH DASHBOARD'!$C$4="",ISNUMBER(SEARCH('COMMUNITY CHURCH DASHBOARD'!$C$4,INDEX(MASTER_ZONES!$B:$B,723)))),722,""),""),""))</f>
        <v/>
      </c>
    </row>
    <row r="724">
      <c r="A724">
        <f>IF('WSF DASHBOARD'!$B$4="Area",IF(723&lt;=$D$3,IF(AND(OR('WSF DASHBOARD'!$C$4="",ISNUMBER(SEARCH('WSF DASHBOARD'!$C$4,INDEX(MASTER_AREAS!$B:$B,724))))),723,""),""),IF('WSF DASHBOARD'!$B$4="Zone",IF(723&lt;=$D$4,IF(OR('WSF DASHBOARD'!$C$4="",ISNUMBER(SEARCH('WSF DASHBOARD'!$C$4,INDEX(MASTER_ZONES!$B:$B,724)))),723,""),""),""))</f>
        <v/>
      </c>
      <c r="F724">
        <f>IF('TRANSPORT DASHBOARD'!$B$4="Area",IF(723&lt;=$I$3,IF(AND(INDEX(MASTER_AREAS!$F:$F,724)&lt;&gt;"N",OR('TRANSPORT DASHBOARD'!$C$4="",ISNUMBER(SEARCH('TRANSPORT DASHBOARD'!$C$4,INDEX(MASTER_AREAS!$B:$B,724))))),723,""),""),IF('TRANSPORT DASHBOARD'!$B$4="Zone",IF(723&lt;=$I$4,IF(OR('TRANSPORT DASHBOARD'!$C$4="",ISNUMBER(SEARCH('TRANSPORT DASHBOARD'!$C$4,INDEX(MASTER_ZONES!$B:$B,724)))),723,""),""),""))</f>
        <v/>
      </c>
      <c r="K724">
        <f>IF('MIDWEEK DASHBOARD'!$B$4="Area",IF(723&lt;=$N$3,IF(AND(OR('MIDWEEK DASHBOARD'!$C$4="",ISNUMBER(SEARCH('MIDWEEK DASHBOARD'!$C$4,INDEX(MASTER_AREAS!$B:$B,724))))),723,""),""),IF('MIDWEEK DASHBOARD'!$B$4="Zone",IF(723&lt;=$N$4,IF(OR('MIDWEEK DASHBOARD'!$C$4="",ISNUMBER(SEARCH('MIDWEEK DASHBOARD'!$C$4,INDEX(MASTER_ZONES!$B:$B,724)))),723,""),""),""))</f>
        <v/>
      </c>
      <c r="P724">
        <f>IF('CHOP DASHBOARD'!$B$4="Area",IF(723&lt;=$S$3,IF(AND(OR('CHOP DASHBOARD'!$C$4="",ISNUMBER(SEARCH('CHOP DASHBOARD'!$C$4,INDEX(MASTER_AREAS!$B:$B,724))))),723,""),""),IF('CHOP DASHBOARD'!$B$4="Zone",IF(723&lt;=$S$4,IF(OR('CHOP DASHBOARD'!$C$4="",ISNUMBER(SEARCH('CHOP DASHBOARD'!$C$4,INDEX(MASTER_ZONES!$B:$B,724)))),723,""),""),""))</f>
        <v/>
      </c>
      <c r="U724">
        <f>IF('COMMUNITY CHURCH DASHBOARD'!$B$4="Area",IF(723&lt;=$X$3,IF(AND(OR('COMMUNITY CHURCH DASHBOARD'!$C$4="",ISNUMBER(SEARCH('COMMUNITY CHURCH DASHBOARD'!$C$4,INDEX(MASTER_AREAS!$B:$B,724))))),723,""),""),IF('COMMUNITY CHURCH DASHBOARD'!$B$4="Zone",IF(723&lt;=$X$4,IF(OR('COMMUNITY CHURCH DASHBOARD'!$C$4="",ISNUMBER(SEARCH('COMMUNITY CHURCH DASHBOARD'!$C$4,INDEX(MASTER_ZONES!$B:$B,724)))),723,""),""),""))</f>
        <v/>
      </c>
    </row>
    <row r="725">
      <c r="A725">
        <f>IF('WSF DASHBOARD'!$B$4="Area",IF(724&lt;=$D$3,IF(AND(OR('WSF DASHBOARD'!$C$4="",ISNUMBER(SEARCH('WSF DASHBOARD'!$C$4,INDEX(MASTER_AREAS!$B:$B,725))))),724,""),""),IF('WSF DASHBOARD'!$B$4="Zone",IF(724&lt;=$D$4,IF(OR('WSF DASHBOARD'!$C$4="",ISNUMBER(SEARCH('WSF DASHBOARD'!$C$4,INDEX(MASTER_ZONES!$B:$B,725)))),724,""),""),""))</f>
        <v/>
      </c>
      <c r="F725">
        <f>IF('TRANSPORT DASHBOARD'!$B$4="Area",IF(724&lt;=$I$3,IF(AND(INDEX(MASTER_AREAS!$F:$F,725)&lt;&gt;"N",OR('TRANSPORT DASHBOARD'!$C$4="",ISNUMBER(SEARCH('TRANSPORT DASHBOARD'!$C$4,INDEX(MASTER_AREAS!$B:$B,725))))),724,""),""),IF('TRANSPORT DASHBOARD'!$B$4="Zone",IF(724&lt;=$I$4,IF(OR('TRANSPORT DASHBOARD'!$C$4="",ISNUMBER(SEARCH('TRANSPORT DASHBOARD'!$C$4,INDEX(MASTER_ZONES!$B:$B,725)))),724,""),""),""))</f>
        <v/>
      </c>
      <c r="K725">
        <f>IF('MIDWEEK DASHBOARD'!$B$4="Area",IF(724&lt;=$N$3,IF(AND(OR('MIDWEEK DASHBOARD'!$C$4="",ISNUMBER(SEARCH('MIDWEEK DASHBOARD'!$C$4,INDEX(MASTER_AREAS!$B:$B,725))))),724,""),""),IF('MIDWEEK DASHBOARD'!$B$4="Zone",IF(724&lt;=$N$4,IF(OR('MIDWEEK DASHBOARD'!$C$4="",ISNUMBER(SEARCH('MIDWEEK DASHBOARD'!$C$4,INDEX(MASTER_ZONES!$B:$B,725)))),724,""),""),""))</f>
        <v/>
      </c>
      <c r="P725">
        <f>IF('CHOP DASHBOARD'!$B$4="Area",IF(724&lt;=$S$3,IF(AND(OR('CHOP DASHBOARD'!$C$4="",ISNUMBER(SEARCH('CHOP DASHBOARD'!$C$4,INDEX(MASTER_AREAS!$B:$B,725))))),724,""),""),IF('CHOP DASHBOARD'!$B$4="Zone",IF(724&lt;=$S$4,IF(OR('CHOP DASHBOARD'!$C$4="",ISNUMBER(SEARCH('CHOP DASHBOARD'!$C$4,INDEX(MASTER_ZONES!$B:$B,725)))),724,""),""),""))</f>
        <v/>
      </c>
      <c r="U725">
        <f>IF('COMMUNITY CHURCH DASHBOARD'!$B$4="Area",IF(724&lt;=$X$3,IF(AND(OR('COMMUNITY CHURCH DASHBOARD'!$C$4="",ISNUMBER(SEARCH('COMMUNITY CHURCH DASHBOARD'!$C$4,INDEX(MASTER_AREAS!$B:$B,725))))),724,""),""),IF('COMMUNITY CHURCH DASHBOARD'!$B$4="Zone",IF(724&lt;=$X$4,IF(OR('COMMUNITY CHURCH DASHBOARD'!$C$4="",ISNUMBER(SEARCH('COMMUNITY CHURCH DASHBOARD'!$C$4,INDEX(MASTER_ZONES!$B:$B,725)))),724,""),""),""))</f>
        <v/>
      </c>
    </row>
    <row r="726">
      <c r="A726">
        <f>IF('WSF DASHBOARD'!$B$4="Area",IF(725&lt;=$D$3,IF(AND(OR('WSF DASHBOARD'!$C$4="",ISNUMBER(SEARCH('WSF DASHBOARD'!$C$4,INDEX(MASTER_AREAS!$B:$B,726))))),725,""),""),IF('WSF DASHBOARD'!$B$4="Zone",IF(725&lt;=$D$4,IF(OR('WSF DASHBOARD'!$C$4="",ISNUMBER(SEARCH('WSF DASHBOARD'!$C$4,INDEX(MASTER_ZONES!$B:$B,726)))),725,""),""),""))</f>
        <v/>
      </c>
      <c r="F726">
        <f>IF('TRANSPORT DASHBOARD'!$B$4="Area",IF(725&lt;=$I$3,IF(AND(INDEX(MASTER_AREAS!$F:$F,726)&lt;&gt;"N",OR('TRANSPORT DASHBOARD'!$C$4="",ISNUMBER(SEARCH('TRANSPORT DASHBOARD'!$C$4,INDEX(MASTER_AREAS!$B:$B,726))))),725,""),""),IF('TRANSPORT DASHBOARD'!$B$4="Zone",IF(725&lt;=$I$4,IF(OR('TRANSPORT DASHBOARD'!$C$4="",ISNUMBER(SEARCH('TRANSPORT DASHBOARD'!$C$4,INDEX(MASTER_ZONES!$B:$B,726)))),725,""),""),""))</f>
        <v/>
      </c>
      <c r="K726">
        <f>IF('MIDWEEK DASHBOARD'!$B$4="Area",IF(725&lt;=$N$3,IF(AND(OR('MIDWEEK DASHBOARD'!$C$4="",ISNUMBER(SEARCH('MIDWEEK DASHBOARD'!$C$4,INDEX(MASTER_AREAS!$B:$B,726))))),725,""),""),IF('MIDWEEK DASHBOARD'!$B$4="Zone",IF(725&lt;=$N$4,IF(OR('MIDWEEK DASHBOARD'!$C$4="",ISNUMBER(SEARCH('MIDWEEK DASHBOARD'!$C$4,INDEX(MASTER_ZONES!$B:$B,726)))),725,""),""),""))</f>
        <v/>
      </c>
      <c r="P726">
        <f>IF('CHOP DASHBOARD'!$B$4="Area",IF(725&lt;=$S$3,IF(AND(OR('CHOP DASHBOARD'!$C$4="",ISNUMBER(SEARCH('CHOP DASHBOARD'!$C$4,INDEX(MASTER_AREAS!$B:$B,726))))),725,""),""),IF('CHOP DASHBOARD'!$B$4="Zone",IF(725&lt;=$S$4,IF(OR('CHOP DASHBOARD'!$C$4="",ISNUMBER(SEARCH('CHOP DASHBOARD'!$C$4,INDEX(MASTER_ZONES!$B:$B,726)))),725,""),""),""))</f>
        <v/>
      </c>
      <c r="U726">
        <f>IF('COMMUNITY CHURCH DASHBOARD'!$B$4="Area",IF(725&lt;=$X$3,IF(AND(OR('COMMUNITY CHURCH DASHBOARD'!$C$4="",ISNUMBER(SEARCH('COMMUNITY CHURCH DASHBOARD'!$C$4,INDEX(MASTER_AREAS!$B:$B,726))))),725,""),""),IF('COMMUNITY CHURCH DASHBOARD'!$B$4="Zone",IF(725&lt;=$X$4,IF(OR('COMMUNITY CHURCH DASHBOARD'!$C$4="",ISNUMBER(SEARCH('COMMUNITY CHURCH DASHBOARD'!$C$4,INDEX(MASTER_ZONES!$B:$B,726)))),725,""),""),""))</f>
        <v/>
      </c>
    </row>
    <row r="727">
      <c r="A727">
        <f>IF('WSF DASHBOARD'!$B$4="Area",IF(726&lt;=$D$3,IF(AND(OR('WSF DASHBOARD'!$C$4="",ISNUMBER(SEARCH('WSF DASHBOARD'!$C$4,INDEX(MASTER_AREAS!$B:$B,727))))),726,""),""),IF('WSF DASHBOARD'!$B$4="Zone",IF(726&lt;=$D$4,IF(OR('WSF DASHBOARD'!$C$4="",ISNUMBER(SEARCH('WSF DASHBOARD'!$C$4,INDEX(MASTER_ZONES!$B:$B,727)))),726,""),""),""))</f>
        <v/>
      </c>
      <c r="F727">
        <f>IF('TRANSPORT DASHBOARD'!$B$4="Area",IF(726&lt;=$I$3,IF(AND(INDEX(MASTER_AREAS!$F:$F,727)&lt;&gt;"N",OR('TRANSPORT DASHBOARD'!$C$4="",ISNUMBER(SEARCH('TRANSPORT DASHBOARD'!$C$4,INDEX(MASTER_AREAS!$B:$B,727))))),726,""),""),IF('TRANSPORT DASHBOARD'!$B$4="Zone",IF(726&lt;=$I$4,IF(OR('TRANSPORT DASHBOARD'!$C$4="",ISNUMBER(SEARCH('TRANSPORT DASHBOARD'!$C$4,INDEX(MASTER_ZONES!$B:$B,727)))),726,""),""),""))</f>
        <v/>
      </c>
      <c r="K727">
        <f>IF('MIDWEEK DASHBOARD'!$B$4="Area",IF(726&lt;=$N$3,IF(AND(OR('MIDWEEK DASHBOARD'!$C$4="",ISNUMBER(SEARCH('MIDWEEK DASHBOARD'!$C$4,INDEX(MASTER_AREAS!$B:$B,727))))),726,""),""),IF('MIDWEEK DASHBOARD'!$B$4="Zone",IF(726&lt;=$N$4,IF(OR('MIDWEEK DASHBOARD'!$C$4="",ISNUMBER(SEARCH('MIDWEEK DASHBOARD'!$C$4,INDEX(MASTER_ZONES!$B:$B,727)))),726,""),""),""))</f>
        <v/>
      </c>
      <c r="P727">
        <f>IF('CHOP DASHBOARD'!$B$4="Area",IF(726&lt;=$S$3,IF(AND(OR('CHOP DASHBOARD'!$C$4="",ISNUMBER(SEARCH('CHOP DASHBOARD'!$C$4,INDEX(MASTER_AREAS!$B:$B,727))))),726,""),""),IF('CHOP DASHBOARD'!$B$4="Zone",IF(726&lt;=$S$4,IF(OR('CHOP DASHBOARD'!$C$4="",ISNUMBER(SEARCH('CHOP DASHBOARD'!$C$4,INDEX(MASTER_ZONES!$B:$B,727)))),726,""),""),""))</f>
        <v/>
      </c>
      <c r="U727">
        <f>IF('COMMUNITY CHURCH DASHBOARD'!$B$4="Area",IF(726&lt;=$X$3,IF(AND(OR('COMMUNITY CHURCH DASHBOARD'!$C$4="",ISNUMBER(SEARCH('COMMUNITY CHURCH DASHBOARD'!$C$4,INDEX(MASTER_AREAS!$B:$B,727))))),726,""),""),IF('COMMUNITY CHURCH DASHBOARD'!$B$4="Zone",IF(726&lt;=$X$4,IF(OR('COMMUNITY CHURCH DASHBOARD'!$C$4="",ISNUMBER(SEARCH('COMMUNITY CHURCH DASHBOARD'!$C$4,INDEX(MASTER_ZONES!$B:$B,727)))),726,""),""),""))</f>
        <v/>
      </c>
    </row>
    <row r="728">
      <c r="A728">
        <f>IF('WSF DASHBOARD'!$B$4="Area",IF(727&lt;=$D$3,IF(AND(OR('WSF DASHBOARD'!$C$4="",ISNUMBER(SEARCH('WSF DASHBOARD'!$C$4,INDEX(MASTER_AREAS!$B:$B,728))))),727,""),""),IF('WSF DASHBOARD'!$B$4="Zone",IF(727&lt;=$D$4,IF(OR('WSF DASHBOARD'!$C$4="",ISNUMBER(SEARCH('WSF DASHBOARD'!$C$4,INDEX(MASTER_ZONES!$B:$B,728)))),727,""),""),""))</f>
        <v/>
      </c>
      <c r="F728">
        <f>IF('TRANSPORT DASHBOARD'!$B$4="Area",IF(727&lt;=$I$3,IF(AND(INDEX(MASTER_AREAS!$F:$F,728)&lt;&gt;"N",OR('TRANSPORT DASHBOARD'!$C$4="",ISNUMBER(SEARCH('TRANSPORT DASHBOARD'!$C$4,INDEX(MASTER_AREAS!$B:$B,728))))),727,""),""),IF('TRANSPORT DASHBOARD'!$B$4="Zone",IF(727&lt;=$I$4,IF(OR('TRANSPORT DASHBOARD'!$C$4="",ISNUMBER(SEARCH('TRANSPORT DASHBOARD'!$C$4,INDEX(MASTER_ZONES!$B:$B,728)))),727,""),""),""))</f>
        <v/>
      </c>
      <c r="K728">
        <f>IF('MIDWEEK DASHBOARD'!$B$4="Area",IF(727&lt;=$N$3,IF(AND(OR('MIDWEEK DASHBOARD'!$C$4="",ISNUMBER(SEARCH('MIDWEEK DASHBOARD'!$C$4,INDEX(MASTER_AREAS!$B:$B,728))))),727,""),""),IF('MIDWEEK DASHBOARD'!$B$4="Zone",IF(727&lt;=$N$4,IF(OR('MIDWEEK DASHBOARD'!$C$4="",ISNUMBER(SEARCH('MIDWEEK DASHBOARD'!$C$4,INDEX(MASTER_ZONES!$B:$B,728)))),727,""),""),""))</f>
        <v/>
      </c>
      <c r="P728">
        <f>IF('CHOP DASHBOARD'!$B$4="Area",IF(727&lt;=$S$3,IF(AND(OR('CHOP DASHBOARD'!$C$4="",ISNUMBER(SEARCH('CHOP DASHBOARD'!$C$4,INDEX(MASTER_AREAS!$B:$B,728))))),727,""),""),IF('CHOP DASHBOARD'!$B$4="Zone",IF(727&lt;=$S$4,IF(OR('CHOP DASHBOARD'!$C$4="",ISNUMBER(SEARCH('CHOP DASHBOARD'!$C$4,INDEX(MASTER_ZONES!$B:$B,728)))),727,""),""),""))</f>
        <v/>
      </c>
      <c r="U728">
        <f>IF('COMMUNITY CHURCH DASHBOARD'!$B$4="Area",IF(727&lt;=$X$3,IF(AND(OR('COMMUNITY CHURCH DASHBOARD'!$C$4="",ISNUMBER(SEARCH('COMMUNITY CHURCH DASHBOARD'!$C$4,INDEX(MASTER_AREAS!$B:$B,728))))),727,""),""),IF('COMMUNITY CHURCH DASHBOARD'!$B$4="Zone",IF(727&lt;=$X$4,IF(OR('COMMUNITY CHURCH DASHBOARD'!$C$4="",ISNUMBER(SEARCH('COMMUNITY CHURCH DASHBOARD'!$C$4,INDEX(MASTER_ZONES!$B:$B,728)))),727,""),""),""))</f>
        <v/>
      </c>
    </row>
    <row r="729">
      <c r="A729">
        <f>IF('WSF DASHBOARD'!$B$4="Area",IF(728&lt;=$D$3,IF(AND(OR('WSF DASHBOARD'!$C$4="",ISNUMBER(SEARCH('WSF DASHBOARD'!$C$4,INDEX(MASTER_AREAS!$B:$B,729))))),728,""),""),IF('WSF DASHBOARD'!$B$4="Zone",IF(728&lt;=$D$4,IF(OR('WSF DASHBOARD'!$C$4="",ISNUMBER(SEARCH('WSF DASHBOARD'!$C$4,INDEX(MASTER_ZONES!$B:$B,729)))),728,""),""),""))</f>
        <v/>
      </c>
      <c r="F729">
        <f>IF('TRANSPORT DASHBOARD'!$B$4="Area",IF(728&lt;=$I$3,IF(AND(INDEX(MASTER_AREAS!$F:$F,729)&lt;&gt;"N",OR('TRANSPORT DASHBOARD'!$C$4="",ISNUMBER(SEARCH('TRANSPORT DASHBOARD'!$C$4,INDEX(MASTER_AREAS!$B:$B,729))))),728,""),""),IF('TRANSPORT DASHBOARD'!$B$4="Zone",IF(728&lt;=$I$4,IF(OR('TRANSPORT DASHBOARD'!$C$4="",ISNUMBER(SEARCH('TRANSPORT DASHBOARD'!$C$4,INDEX(MASTER_ZONES!$B:$B,729)))),728,""),""),""))</f>
        <v/>
      </c>
      <c r="K729">
        <f>IF('MIDWEEK DASHBOARD'!$B$4="Area",IF(728&lt;=$N$3,IF(AND(OR('MIDWEEK DASHBOARD'!$C$4="",ISNUMBER(SEARCH('MIDWEEK DASHBOARD'!$C$4,INDEX(MASTER_AREAS!$B:$B,729))))),728,""),""),IF('MIDWEEK DASHBOARD'!$B$4="Zone",IF(728&lt;=$N$4,IF(OR('MIDWEEK DASHBOARD'!$C$4="",ISNUMBER(SEARCH('MIDWEEK DASHBOARD'!$C$4,INDEX(MASTER_ZONES!$B:$B,729)))),728,""),""),""))</f>
        <v/>
      </c>
      <c r="P729">
        <f>IF('CHOP DASHBOARD'!$B$4="Area",IF(728&lt;=$S$3,IF(AND(OR('CHOP DASHBOARD'!$C$4="",ISNUMBER(SEARCH('CHOP DASHBOARD'!$C$4,INDEX(MASTER_AREAS!$B:$B,729))))),728,""),""),IF('CHOP DASHBOARD'!$B$4="Zone",IF(728&lt;=$S$4,IF(OR('CHOP DASHBOARD'!$C$4="",ISNUMBER(SEARCH('CHOP DASHBOARD'!$C$4,INDEX(MASTER_ZONES!$B:$B,729)))),728,""),""),""))</f>
        <v/>
      </c>
      <c r="U729">
        <f>IF('COMMUNITY CHURCH DASHBOARD'!$B$4="Area",IF(728&lt;=$X$3,IF(AND(OR('COMMUNITY CHURCH DASHBOARD'!$C$4="",ISNUMBER(SEARCH('COMMUNITY CHURCH DASHBOARD'!$C$4,INDEX(MASTER_AREAS!$B:$B,729))))),728,""),""),IF('COMMUNITY CHURCH DASHBOARD'!$B$4="Zone",IF(728&lt;=$X$4,IF(OR('COMMUNITY CHURCH DASHBOARD'!$C$4="",ISNUMBER(SEARCH('COMMUNITY CHURCH DASHBOARD'!$C$4,INDEX(MASTER_ZONES!$B:$B,729)))),728,""),""),""))</f>
        <v/>
      </c>
    </row>
    <row r="730">
      <c r="A730">
        <f>IF('WSF DASHBOARD'!$B$4="Area",IF(729&lt;=$D$3,IF(AND(OR('WSF DASHBOARD'!$C$4="",ISNUMBER(SEARCH('WSF DASHBOARD'!$C$4,INDEX(MASTER_AREAS!$B:$B,730))))),729,""),""),IF('WSF DASHBOARD'!$B$4="Zone",IF(729&lt;=$D$4,IF(OR('WSF DASHBOARD'!$C$4="",ISNUMBER(SEARCH('WSF DASHBOARD'!$C$4,INDEX(MASTER_ZONES!$B:$B,730)))),729,""),""),""))</f>
        <v/>
      </c>
      <c r="F730">
        <f>IF('TRANSPORT DASHBOARD'!$B$4="Area",IF(729&lt;=$I$3,IF(AND(INDEX(MASTER_AREAS!$F:$F,730)&lt;&gt;"N",OR('TRANSPORT DASHBOARD'!$C$4="",ISNUMBER(SEARCH('TRANSPORT DASHBOARD'!$C$4,INDEX(MASTER_AREAS!$B:$B,730))))),729,""),""),IF('TRANSPORT DASHBOARD'!$B$4="Zone",IF(729&lt;=$I$4,IF(OR('TRANSPORT DASHBOARD'!$C$4="",ISNUMBER(SEARCH('TRANSPORT DASHBOARD'!$C$4,INDEX(MASTER_ZONES!$B:$B,730)))),729,""),""),""))</f>
        <v/>
      </c>
      <c r="K730">
        <f>IF('MIDWEEK DASHBOARD'!$B$4="Area",IF(729&lt;=$N$3,IF(AND(OR('MIDWEEK DASHBOARD'!$C$4="",ISNUMBER(SEARCH('MIDWEEK DASHBOARD'!$C$4,INDEX(MASTER_AREAS!$B:$B,730))))),729,""),""),IF('MIDWEEK DASHBOARD'!$B$4="Zone",IF(729&lt;=$N$4,IF(OR('MIDWEEK DASHBOARD'!$C$4="",ISNUMBER(SEARCH('MIDWEEK DASHBOARD'!$C$4,INDEX(MASTER_ZONES!$B:$B,730)))),729,""),""),""))</f>
        <v/>
      </c>
      <c r="P730">
        <f>IF('CHOP DASHBOARD'!$B$4="Area",IF(729&lt;=$S$3,IF(AND(OR('CHOP DASHBOARD'!$C$4="",ISNUMBER(SEARCH('CHOP DASHBOARD'!$C$4,INDEX(MASTER_AREAS!$B:$B,730))))),729,""),""),IF('CHOP DASHBOARD'!$B$4="Zone",IF(729&lt;=$S$4,IF(OR('CHOP DASHBOARD'!$C$4="",ISNUMBER(SEARCH('CHOP DASHBOARD'!$C$4,INDEX(MASTER_ZONES!$B:$B,730)))),729,""),""),""))</f>
        <v/>
      </c>
      <c r="U730">
        <f>IF('COMMUNITY CHURCH DASHBOARD'!$B$4="Area",IF(729&lt;=$X$3,IF(AND(OR('COMMUNITY CHURCH DASHBOARD'!$C$4="",ISNUMBER(SEARCH('COMMUNITY CHURCH DASHBOARD'!$C$4,INDEX(MASTER_AREAS!$B:$B,730))))),729,""),""),IF('COMMUNITY CHURCH DASHBOARD'!$B$4="Zone",IF(729&lt;=$X$4,IF(OR('COMMUNITY CHURCH DASHBOARD'!$C$4="",ISNUMBER(SEARCH('COMMUNITY CHURCH DASHBOARD'!$C$4,INDEX(MASTER_ZONES!$B:$B,730)))),729,""),""),""))</f>
        <v/>
      </c>
    </row>
    <row r="731">
      <c r="A731">
        <f>IF('WSF DASHBOARD'!$B$4="Area",IF(730&lt;=$D$3,IF(AND(OR('WSF DASHBOARD'!$C$4="",ISNUMBER(SEARCH('WSF DASHBOARD'!$C$4,INDEX(MASTER_AREAS!$B:$B,731))))),730,""),""),IF('WSF DASHBOARD'!$B$4="Zone",IF(730&lt;=$D$4,IF(OR('WSF DASHBOARD'!$C$4="",ISNUMBER(SEARCH('WSF DASHBOARD'!$C$4,INDEX(MASTER_ZONES!$B:$B,731)))),730,""),""),""))</f>
        <v/>
      </c>
      <c r="F731">
        <f>IF('TRANSPORT DASHBOARD'!$B$4="Area",IF(730&lt;=$I$3,IF(AND(INDEX(MASTER_AREAS!$F:$F,731)&lt;&gt;"N",OR('TRANSPORT DASHBOARD'!$C$4="",ISNUMBER(SEARCH('TRANSPORT DASHBOARD'!$C$4,INDEX(MASTER_AREAS!$B:$B,731))))),730,""),""),IF('TRANSPORT DASHBOARD'!$B$4="Zone",IF(730&lt;=$I$4,IF(OR('TRANSPORT DASHBOARD'!$C$4="",ISNUMBER(SEARCH('TRANSPORT DASHBOARD'!$C$4,INDEX(MASTER_ZONES!$B:$B,731)))),730,""),""),""))</f>
        <v/>
      </c>
      <c r="K731">
        <f>IF('MIDWEEK DASHBOARD'!$B$4="Area",IF(730&lt;=$N$3,IF(AND(OR('MIDWEEK DASHBOARD'!$C$4="",ISNUMBER(SEARCH('MIDWEEK DASHBOARD'!$C$4,INDEX(MASTER_AREAS!$B:$B,731))))),730,""),""),IF('MIDWEEK DASHBOARD'!$B$4="Zone",IF(730&lt;=$N$4,IF(OR('MIDWEEK DASHBOARD'!$C$4="",ISNUMBER(SEARCH('MIDWEEK DASHBOARD'!$C$4,INDEX(MASTER_ZONES!$B:$B,731)))),730,""),""),""))</f>
        <v/>
      </c>
      <c r="P731">
        <f>IF('CHOP DASHBOARD'!$B$4="Area",IF(730&lt;=$S$3,IF(AND(OR('CHOP DASHBOARD'!$C$4="",ISNUMBER(SEARCH('CHOP DASHBOARD'!$C$4,INDEX(MASTER_AREAS!$B:$B,731))))),730,""),""),IF('CHOP DASHBOARD'!$B$4="Zone",IF(730&lt;=$S$4,IF(OR('CHOP DASHBOARD'!$C$4="",ISNUMBER(SEARCH('CHOP DASHBOARD'!$C$4,INDEX(MASTER_ZONES!$B:$B,731)))),730,""),""),""))</f>
        <v/>
      </c>
      <c r="U731">
        <f>IF('COMMUNITY CHURCH DASHBOARD'!$B$4="Area",IF(730&lt;=$X$3,IF(AND(OR('COMMUNITY CHURCH DASHBOARD'!$C$4="",ISNUMBER(SEARCH('COMMUNITY CHURCH DASHBOARD'!$C$4,INDEX(MASTER_AREAS!$B:$B,731))))),730,""),""),IF('COMMUNITY CHURCH DASHBOARD'!$B$4="Zone",IF(730&lt;=$X$4,IF(OR('COMMUNITY CHURCH DASHBOARD'!$C$4="",ISNUMBER(SEARCH('COMMUNITY CHURCH DASHBOARD'!$C$4,INDEX(MASTER_ZONES!$B:$B,731)))),730,""),""),""))</f>
        <v/>
      </c>
    </row>
    <row r="732">
      <c r="A732">
        <f>IF('WSF DASHBOARD'!$B$4="Area",IF(731&lt;=$D$3,IF(AND(OR('WSF DASHBOARD'!$C$4="",ISNUMBER(SEARCH('WSF DASHBOARD'!$C$4,INDEX(MASTER_AREAS!$B:$B,732))))),731,""),""),IF('WSF DASHBOARD'!$B$4="Zone",IF(731&lt;=$D$4,IF(OR('WSF DASHBOARD'!$C$4="",ISNUMBER(SEARCH('WSF DASHBOARD'!$C$4,INDEX(MASTER_ZONES!$B:$B,732)))),731,""),""),""))</f>
        <v/>
      </c>
      <c r="F732">
        <f>IF('TRANSPORT DASHBOARD'!$B$4="Area",IF(731&lt;=$I$3,IF(AND(INDEX(MASTER_AREAS!$F:$F,732)&lt;&gt;"N",OR('TRANSPORT DASHBOARD'!$C$4="",ISNUMBER(SEARCH('TRANSPORT DASHBOARD'!$C$4,INDEX(MASTER_AREAS!$B:$B,732))))),731,""),""),IF('TRANSPORT DASHBOARD'!$B$4="Zone",IF(731&lt;=$I$4,IF(OR('TRANSPORT DASHBOARD'!$C$4="",ISNUMBER(SEARCH('TRANSPORT DASHBOARD'!$C$4,INDEX(MASTER_ZONES!$B:$B,732)))),731,""),""),""))</f>
        <v/>
      </c>
      <c r="K732">
        <f>IF('MIDWEEK DASHBOARD'!$B$4="Area",IF(731&lt;=$N$3,IF(AND(OR('MIDWEEK DASHBOARD'!$C$4="",ISNUMBER(SEARCH('MIDWEEK DASHBOARD'!$C$4,INDEX(MASTER_AREAS!$B:$B,732))))),731,""),""),IF('MIDWEEK DASHBOARD'!$B$4="Zone",IF(731&lt;=$N$4,IF(OR('MIDWEEK DASHBOARD'!$C$4="",ISNUMBER(SEARCH('MIDWEEK DASHBOARD'!$C$4,INDEX(MASTER_ZONES!$B:$B,732)))),731,""),""),""))</f>
        <v/>
      </c>
      <c r="P732">
        <f>IF('CHOP DASHBOARD'!$B$4="Area",IF(731&lt;=$S$3,IF(AND(OR('CHOP DASHBOARD'!$C$4="",ISNUMBER(SEARCH('CHOP DASHBOARD'!$C$4,INDEX(MASTER_AREAS!$B:$B,732))))),731,""),""),IF('CHOP DASHBOARD'!$B$4="Zone",IF(731&lt;=$S$4,IF(OR('CHOP DASHBOARD'!$C$4="",ISNUMBER(SEARCH('CHOP DASHBOARD'!$C$4,INDEX(MASTER_ZONES!$B:$B,732)))),731,""),""),""))</f>
        <v/>
      </c>
      <c r="U732">
        <f>IF('COMMUNITY CHURCH DASHBOARD'!$B$4="Area",IF(731&lt;=$X$3,IF(AND(OR('COMMUNITY CHURCH DASHBOARD'!$C$4="",ISNUMBER(SEARCH('COMMUNITY CHURCH DASHBOARD'!$C$4,INDEX(MASTER_AREAS!$B:$B,732))))),731,""),""),IF('COMMUNITY CHURCH DASHBOARD'!$B$4="Zone",IF(731&lt;=$X$4,IF(OR('COMMUNITY CHURCH DASHBOARD'!$C$4="",ISNUMBER(SEARCH('COMMUNITY CHURCH DASHBOARD'!$C$4,INDEX(MASTER_ZONES!$B:$B,732)))),731,""),""),""))</f>
        <v/>
      </c>
    </row>
    <row r="733">
      <c r="A733">
        <f>IF('WSF DASHBOARD'!$B$4="Area",IF(732&lt;=$D$3,IF(AND(OR('WSF DASHBOARD'!$C$4="",ISNUMBER(SEARCH('WSF DASHBOARD'!$C$4,INDEX(MASTER_AREAS!$B:$B,733))))),732,""),""),IF('WSF DASHBOARD'!$B$4="Zone",IF(732&lt;=$D$4,IF(OR('WSF DASHBOARD'!$C$4="",ISNUMBER(SEARCH('WSF DASHBOARD'!$C$4,INDEX(MASTER_ZONES!$B:$B,733)))),732,""),""),""))</f>
        <v/>
      </c>
      <c r="F733">
        <f>IF('TRANSPORT DASHBOARD'!$B$4="Area",IF(732&lt;=$I$3,IF(AND(INDEX(MASTER_AREAS!$F:$F,733)&lt;&gt;"N",OR('TRANSPORT DASHBOARD'!$C$4="",ISNUMBER(SEARCH('TRANSPORT DASHBOARD'!$C$4,INDEX(MASTER_AREAS!$B:$B,733))))),732,""),""),IF('TRANSPORT DASHBOARD'!$B$4="Zone",IF(732&lt;=$I$4,IF(OR('TRANSPORT DASHBOARD'!$C$4="",ISNUMBER(SEARCH('TRANSPORT DASHBOARD'!$C$4,INDEX(MASTER_ZONES!$B:$B,733)))),732,""),""),""))</f>
        <v/>
      </c>
      <c r="K733">
        <f>IF('MIDWEEK DASHBOARD'!$B$4="Area",IF(732&lt;=$N$3,IF(AND(OR('MIDWEEK DASHBOARD'!$C$4="",ISNUMBER(SEARCH('MIDWEEK DASHBOARD'!$C$4,INDEX(MASTER_AREAS!$B:$B,733))))),732,""),""),IF('MIDWEEK DASHBOARD'!$B$4="Zone",IF(732&lt;=$N$4,IF(OR('MIDWEEK DASHBOARD'!$C$4="",ISNUMBER(SEARCH('MIDWEEK DASHBOARD'!$C$4,INDEX(MASTER_ZONES!$B:$B,733)))),732,""),""),""))</f>
        <v/>
      </c>
      <c r="P733">
        <f>IF('CHOP DASHBOARD'!$B$4="Area",IF(732&lt;=$S$3,IF(AND(OR('CHOP DASHBOARD'!$C$4="",ISNUMBER(SEARCH('CHOP DASHBOARD'!$C$4,INDEX(MASTER_AREAS!$B:$B,733))))),732,""),""),IF('CHOP DASHBOARD'!$B$4="Zone",IF(732&lt;=$S$4,IF(OR('CHOP DASHBOARD'!$C$4="",ISNUMBER(SEARCH('CHOP DASHBOARD'!$C$4,INDEX(MASTER_ZONES!$B:$B,733)))),732,""),""),""))</f>
        <v/>
      </c>
      <c r="U733">
        <f>IF('COMMUNITY CHURCH DASHBOARD'!$B$4="Area",IF(732&lt;=$X$3,IF(AND(OR('COMMUNITY CHURCH DASHBOARD'!$C$4="",ISNUMBER(SEARCH('COMMUNITY CHURCH DASHBOARD'!$C$4,INDEX(MASTER_AREAS!$B:$B,733))))),732,""),""),IF('COMMUNITY CHURCH DASHBOARD'!$B$4="Zone",IF(732&lt;=$X$4,IF(OR('COMMUNITY CHURCH DASHBOARD'!$C$4="",ISNUMBER(SEARCH('COMMUNITY CHURCH DASHBOARD'!$C$4,INDEX(MASTER_ZONES!$B:$B,733)))),732,""),""),""))</f>
        <v/>
      </c>
    </row>
    <row r="734">
      <c r="A734">
        <f>IF('WSF DASHBOARD'!$B$4="Area",IF(733&lt;=$D$3,IF(AND(OR('WSF DASHBOARD'!$C$4="",ISNUMBER(SEARCH('WSF DASHBOARD'!$C$4,INDEX(MASTER_AREAS!$B:$B,734))))),733,""),""),IF('WSF DASHBOARD'!$B$4="Zone",IF(733&lt;=$D$4,IF(OR('WSF DASHBOARD'!$C$4="",ISNUMBER(SEARCH('WSF DASHBOARD'!$C$4,INDEX(MASTER_ZONES!$B:$B,734)))),733,""),""),""))</f>
        <v/>
      </c>
      <c r="F734">
        <f>IF('TRANSPORT DASHBOARD'!$B$4="Area",IF(733&lt;=$I$3,IF(AND(INDEX(MASTER_AREAS!$F:$F,734)&lt;&gt;"N",OR('TRANSPORT DASHBOARD'!$C$4="",ISNUMBER(SEARCH('TRANSPORT DASHBOARD'!$C$4,INDEX(MASTER_AREAS!$B:$B,734))))),733,""),""),IF('TRANSPORT DASHBOARD'!$B$4="Zone",IF(733&lt;=$I$4,IF(OR('TRANSPORT DASHBOARD'!$C$4="",ISNUMBER(SEARCH('TRANSPORT DASHBOARD'!$C$4,INDEX(MASTER_ZONES!$B:$B,734)))),733,""),""),""))</f>
        <v/>
      </c>
      <c r="K734">
        <f>IF('MIDWEEK DASHBOARD'!$B$4="Area",IF(733&lt;=$N$3,IF(AND(OR('MIDWEEK DASHBOARD'!$C$4="",ISNUMBER(SEARCH('MIDWEEK DASHBOARD'!$C$4,INDEX(MASTER_AREAS!$B:$B,734))))),733,""),""),IF('MIDWEEK DASHBOARD'!$B$4="Zone",IF(733&lt;=$N$4,IF(OR('MIDWEEK DASHBOARD'!$C$4="",ISNUMBER(SEARCH('MIDWEEK DASHBOARD'!$C$4,INDEX(MASTER_ZONES!$B:$B,734)))),733,""),""),""))</f>
        <v/>
      </c>
      <c r="P734">
        <f>IF('CHOP DASHBOARD'!$B$4="Area",IF(733&lt;=$S$3,IF(AND(OR('CHOP DASHBOARD'!$C$4="",ISNUMBER(SEARCH('CHOP DASHBOARD'!$C$4,INDEX(MASTER_AREAS!$B:$B,734))))),733,""),""),IF('CHOP DASHBOARD'!$B$4="Zone",IF(733&lt;=$S$4,IF(OR('CHOP DASHBOARD'!$C$4="",ISNUMBER(SEARCH('CHOP DASHBOARD'!$C$4,INDEX(MASTER_ZONES!$B:$B,734)))),733,""),""),""))</f>
        <v/>
      </c>
      <c r="U734">
        <f>IF('COMMUNITY CHURCH DASHBOARD'!$B$4="Area",IF(733&lt;=$X$3,IF(AND(OR('COMMUNITY CHURCH DASHBOARD'!$C$4="",ISNUMBER(SEARCH('COMMUNITY CHURCH DASHBOARD'!$C$4,INDEX(MASTER_AREAS!$B:$B,734))))),733,""),""),IF('COMMUNITY CHURCH DASHBOARD'!$B$4="Zone",IF(733&lt;=$X$4,IF(OR('COMMUNITY CHURCH DASHBOARD'!$C$4="",ISNUMBER(SEARCH('COMMUNITY CHURCH DASHBOARD'!$C$4,INDEX(MASTER_ZONES!$B:$B,734)))),733,""),""),""))</f>
        <v/>
      </c>
    </row>
    <row r="735">
      <c r="A735">
        <f>IF('WSF DASHBOARD'!$B$4="Area",IF(734&lt;=$D$3,IF(AND(OR('WSF DASHBOARD'!$C$4="",ISNUMBER(SEARCH('WSF DASHBOARD'!$C$4,INDEX(MASTER_AREAS!$B:$B,735))))),734,""),""),IF('WSF DASHBOARD'!$B$4="Zone",IF(734&lt;=$D$4,IF(OR('WSF DASHBOARD'!$C$4="",ISNUMBER(SEARCH('WSF DASHBOARD'!$C$4,INDEX(MASTER_ZONES!$B:$B,735)))),734,""),""),""))</f>
        <v/>
      </c>
      <c r="F735">
        <f>IF('TRANSPORT DASHBOARD'!$B$4="Area",IF(734&lt;=$I$3,IF(AND(INDEX(MASTER_AREAS!$F:$F,735)&lt;&gt;"N",OR('TRANSPORT DASHBOARD'!$C$4="",ISNUMBER(SEARCH('TRANSPORT DASHBOARD'!$C$4,INDEX(MASTER_AREAS!$B:$B,735))))),734,""),""),IF('TRANSPORT DASHBOARD'!$B$4="Zone",IF(734&lt;=$I$4,IF(OR('TRANSPORT DASHBOARD'!$C$4="",ISNUMBER(SEARCH('TRANSPORT DASHBOARD'!$C$4,INDEX(MASTER_ZONES!$B:$B,735)))),734,""),""),""))</f>
        <v/>
      </c>
      <c r="K735">
        <f>IF('MIDWEEK DASHBOARD'!$B$4="Area",IF(734&lt;=$N$3,IF(AND(OR('MIDWEEK DASHBOARD'!$C$4="",ISNUMBER(SEARCH('MIDWEEK DASHBOARD'!$C$4,INDEX(MASTER_AREAS!$B:$B,735))))),734,""),""),IF('MIDWEEK DASHBOARD'!$B$4="Zone",IF(734&lt;=$N$4,IF(OR('MIDWEEK DASHBOARD'!$C$4="",ISNUMBER(SEARCH('MIDWEEK DASHBOARD'!$C$4,INDEX(MASTER_ZONES!$B:$B,735)))),734,""),""),""))</f>
        <v/>
      </c>
      <c r="P735">
        <f>IF('CHOP DASHBOARD'!$B$4="Area",IF(734&lt;=$S$3,IF(AND(OR('CHOP DASHBOARD'!$C$4="",ISNUMBER(SEARCH('CHOP DASHBOARD'!$C$4,INDEX(MASTER_AREAS!$B:$B,735))))),734,""),""),IF('CHOP DASHBOARD'!$B$4="Zone",IF(734&lt;=$S$4,IF(OR('CHOP DASHBOARD'!$C$4="",ISNUMBER(SEARCH('CHOP DASHBOARD'!$C$4,INDEX(MASTER_ZONES!$B:$B,735)))),734,""),""),""))</f>
        <v/>
      </c>
      <c r="U735">
        <f>IF('COMMUNITY CHURCH DASHBOARD'!$B$4="Area",IF(734&lt;=$X$3,IF(AND(OR('COMMUNITY CHURCH DASHBOARD'!$C$4="",ISNUMBER(SEARCH('COMMUNITY CHURCH DASHBOARD'!$C$4,INDEX(MASTER_AREAS!$B:$B,735))))),734,""),""),IF('COMMUNITY CHURCH DASHBOARD'!$B$4="Zone",IF(734&lt;=$X$4,IF(OR('COMMUNITY CHURCH DASHBOARD'!$C$4="",ISNUMBER(SEARCH('COMMUNITY CHURCH DASHBOARD'!$C$4,INDEX(MASTER_ZONES!$B:$B,735)))),734,""),""),""))</f>
        <v/>
      </c>
    </row>
    <row r="736">
      <c r="A736">
        <f>IF('WSF DASHBOARD'!$B$4="Area",IF(735&lt;=$D$3,IF(AND(OR('WSF DASHBOARD'!$C$4="",ISNUMBER(SEARCH('WSF DASHBOARD'!$C$4,INDEX(MASTER_AREAS!$B:$B,736))))),735,""),""),IF('WSF DASHBOARD'!$B$4="Zone",IF(735&lt;=$D$4,IF(OR('WSF DASHBOARD'!$C$4="",ISNUMBER(SEARCH('WSF DASHBOARD'!$C$4,INDEX(MASTER_ZONES!$B:$B,736)))),735,""),""),""))</f>
        <v/>
      </c>
      <c r="F736">
        <f>IF('TRANSPORT DASHBOARD'!$B$4="Area",IF(735&lt;=$I$3,IF(AND(INDEX(MASTER_AREAS!$F:$F,736)&lt;&gt;"N",OR('TRANSPORT DASHBOARD'!$C$4="",ISNUMBER(SEARCH('TRANSPORT DASHBOARD'!$C$4,INDEX(MASTER_AREAS!$B:$B,736))))),735,""),""),IF('TRANSPORT DASHBOARD'!$B$4="Zone",IF(735&lt;=$I$4,IF(OR('TRANSPORT DASHBOARD'!$C$4="",ISNUMBER(SEARCH('TRANSPORT DASHBOARD'!$C$4,INDEX(MASTER_ZONES!$B:$B,736)))),735,""),""),""))</f>
        <v/>
      </c>
      <c r="K736">
        <f>IF('MIDWEEK DASHBOARD'!$B$4="Area",IF(735&lt;=$N$3,IF(AND(OR('MIDWEEK DASHBOARD'!$C$4="",ISNUMBER(SEARCH('MIDWEEK DASHBOARD'!$C$4,INDEX(MASTER_AREAS!$B:$B,736))))),735,""),""),IF('MIDWEEK DASHBOARD'!$B$4="Zone",IF(735&lt;=$N$4,IF(OR('MIDWEEK DASHBOARD'!$C$4="",ISNUMBER(SEARCH('MIDWEEK DASHBOARD'!$C$4,INDEX(MASTER_ZONES!$B:$B,736)))),735,""),""),""))</f>
        <v/>
      </c>
      <c r="P736">
        <f>IF('CHOP DASHBOARD'!$B$4="Area",IF(735&lt;=$S$3,IF(AND(OR('CHOP DASHBOARD'!$C$4="",ISNUMBER(SEARCH('CHOP DASHBOARD'!$C$4,INDEX(MASTER_AREAS!$B:$B,736))))),735,""),""),IF('CHOP DASHBOARD'!$B$4="Zone",IF(735&lt;=$S$4,IF(OR('CHOP DASHBOARD'!$C$4="",ISNUMBER(SEARCH('CHOP DASHBOARD'!$C$4,INDEX(MASTER_ZONES!$B:$B,736)))),735,""),""),""))</f>
        <v/>
      </c>
      <c r="U736">
        <f>IF('COMMUNITY CHURCH DASHBOARD'!$B$4="Area",IF(735&lt;=$X$3,IF(AND(OR('COMMUNITY CHURCH DASHBOARD'!$C$4="",ISNUMBER(SEARCH('COMMUNITY CHURCH DASHBOARD'!$C$4,INDEX(MASTER_AREAS!$B:$B,736))))),735,""),""),IF('COMMUNITY CHURCH DASHBOARD'!$B$4="Zone",IF(735&lt;=$X$4,IF(OR('COMMUNITY CHURCH DASHBOARD'!$C$4="",ISNUMBER(SEARCH('COMMUNITY CHURCH DASHBOARD'!$C$4,INDEX(MASTER_ZONES!$B:$B,736)))),735,""),""),""))</f>
        <v/>
      </c>
    </row>
    <row r="737">
      <c r="A737">
        <f>IF('WSF DASHBOARD'!$B$4="Area",IF(736&lt;=$D$3,IF(AND(OR('WSF DASHBOARD'!$C$4="",ISNUMBER(SEARCH('WSF DASHBOARD'!$C$4,INDEX(MASTER_AREAS!$B:$B,737))))),736,""),""),IF('WSF DASHBOARD'!$B$4="Zone",IF(736&lt;=$D$4,IF(OR('WSF DASHBOARD'!$C$4="",ISNUMBER(SEARCH('WSF DASHBOARD'!$C$4,INDEX(MASTER_ZONES!$B:$B,737)))),736,""),""),""))</f>
        <v/>
      </c>
      <c r="F737">
        <f>IF('TRANSPORT DASHBOARD'!$B$4="Area",IF(736&lt;=$I$3,IF(AND(INDEX(MASTER_AREAS!$F:$F,737)&lt;&gt;"N",OR('TRANSPORT DASHBOARD'!$C$4="",ISNUMBER(SEARCH('TRANSPORT DASHBOARD'!$C$4,INDEX(MASTER_AREAS!$B:$B,737))))),736,""),""),IF('TRANSPORT DASHBOARD'!$B$4="Zone",IF(736&lt;=$I$4,IF(OR('TRANSPORT DASHBOARD'!$C$4="",ISNUMBER(SEARCH('TRANSPORT DASHBOARD'!$C$4,INDEX(MASTER_ZONES!$B:$B,737)))),736,""),""),""))</f>
        <v/>
      </c>
      <c r="K737">
        <f>IF('MIDWEEK DASHBOARD'!$B$4="Area",IF(736&lt;=$N$3,IF(AND(OR('MIDWEEK DASHBOARD'!$C$4="",ISNUMBER(SEARCH('MIDWEEK DASHBOARD'!$C$4,INDEX(MASTER_AREAS!$B:$B,737))))),736,""),""),IF('MIDWEEK DASHBOARD'!$B$4="Zone",IF(736&lt;=$N$4,IF(OR('MIDWEEK DASHBOARD'!$C$4="",ISNUMBER(SEARCH('MIDWEEK DASHBOARD'!$C$4,INDEX(MASTER_ZONES!$B:$B,737)))),736,""),""),""))</f>
        <v/>
      </c>
      <c r="P737">
        <f>IF('CHOP DASHBOARD'!$B$4="Area",IF(736&lt;=$S$3,IF(AND(OR('CHOP DASHBOARD'!$C$4="",ISNUMBER(SEARCH('CHOP DASHBOARD'!$C$4,INDEX(MASTER_AREAS!$B:$B,737))))),736,""),""),IF('CHOP DASHBOARD'!$B$4="Zone",IF(736&lt;=$S$4,IF(OR('CHOP DASHBOARD'!$C$4="",ISNUMBER(SEARCH('CHOP DASHBOARD'!$C$4,INDEX(MASTER_ZONES!$B:$B,737)))),736,""),""),""))</f>
        <v/>
      </c>
      <c r="U737">
        <f>IF('COMMUNITY CHURCH DASHBOARD'!$B$4="Area",IF(736&lt;=$X$3,IF(AND(OR('COMMUNITY CHURCH DASHBOARD'!$C$4="",ISNUMBER(SEARCH('COMMUNITY CHURCH DASHBOARD'!$C$4,INDEX(MASTER_AREAS!$B:$B,737))))),736,""),""),IF('COMMUNITY CHURCH DASHBOARD'!$B$4="Zone",IF(736&lt;=$X$4,IF(OR('COMMUNITY CHURCH DASHBOARD'!$C$4="",ISNUMBER(SEARCH('COMMUNITY CHURCH DASHBOARD'!$C$4,INDEX(MASTER_ZONES!$B:$B,737)))),736,""),""),""))</f>
        <v/>
      </c>
    </row>
    <row r="738">
      <c r="A738">
        <f>IF('WSF DASHBOARD'!$B$4="Area",IF(737&lt;=$D$3,IF(AND(OR('WSF DASHBOARD'!$C$4="",ISNUMBER(SEARCH('WSF DASHBOARD'!$C$4,INDEX(MASTER_AREAS!$B:$B,738))))),737,""),""),IF('WSF DASHBOARD'!$B$4="Zone",IF(737&lt;=$D$4,IF(OR('WSF DASHBOARD'!$C$4="",ISNUMBER(SEARCH('WSF DASHBOARD'!$C$4,INDEX(MASTER_ZONES!$B:$B,738)))),737,""),""),""))</f>
        <v/>
      </c>
      <c r="F738">
        <f>IF('TRANSPORT DASHBOARD'!$B$4="Area",IF(737&lt;=$I$3,IF(AND(INDEX(MASTER_AREAS!$F:$F,738)&lt;&gt;"N",OR('TRANSPORT DASHBOARD'!$C$4="",ISNUMBER(SEARCH('TRANSPORT DASHBOARD'!$C$4,INDEX(MASTER_AREAS!$B:$B,738))))),737,""),""),IF('TRANSPORT DASHBOARD'!$B$4="Zone",IF(737&lt;=$I$4,IF(OR('TRANSPORT DASHBOARD'!$C$4="",ISNUMBER(SEARCH('TRANSPORT DASHBOARD'!$C$4,INDEX(MASTER_ZONES!$B:$B,738)))),737,""),""),""))</f>
        <v/>
      </c>
      <c r="K738">
        <f>IF('MIDWEEK DASHBOARD'!$B$4="Area",IF(737&lt;=$N$3,IF(AND(OR('MIDWEEK DASHBOARD'!$C$4="",ISNUMBER(SEARCH('MIDWEEK DASHBOARD'!$C$4,INDEX(MASTER_AREAS!$B:$B,738))))),737,""),""),IF('MIDWEEK DASHBOARD'!$B$4="Zone",IF(737&lt;=$N$4,IF(OR('MIDWEEK DASHBOARD'!$C$4="",ISNUMBER(SEARCH('MIDWEEK DASHBOARD'!$C$4,INDEX(MASTER_ZONES!$B:$B,738)))),737,""),""),""))</f>
        <v/>
      </c>
      <c r="P738">
        <f>IF('CHOP DASHBOARD'!$B$4="Area",IF(737&lt;=$S$3,IF(AND(OR('CHOP DASHBOARD'!$C$4="",ISNUMBER(SEARCH('CHOP DASHBOARD'!$C$4,INDEX(MASTER_AREAS!$B:$B,738))))),737,""),""),IF('CHOP DASHBOARD'!$B$4="Zone",IF(737&lt;=$S$4,IF(OR('CHOP DASHBOARD'!$C$4="",ISNUMBER(SEARCH('CHOP DASHBOARD'!$C$4,INDEX(MASTER_ZONES!$B:$B,738)))),737,""),""),""))</f>
        <v/>
      </c>
      <c r="U738">
        <f>IF('COMMUNITY CHURCH DASHBOARD'!$B$4="Area",IF(737&lt;=$X$3,IF(AND(OR('COMMUNITY CHURCH DASHBOARD'!$C$4="",ISNUMBER(SEARCH('COMMUNITY CHURCH DASHBOARD'!$C$4,INDEX(MASTER_AREAS!$B:$B,738))))),737,""),""),IF('COMMUNITY CHURCH DASHBOARD'!$B$4="Zone",IF(737&lt;=$X$4,IF(OR('COMMUNITY CHURCH DASHBOARD'!$C$4="",ISNUMBER(SEARCH('COMMUNITY CHURCH DASHBOARD'!$C$4,INDEX(MASTER_ZONES!$B:$B,738)))),737,""),""),""))</f>
        <v/>
      </c>
    </row>
    <row r="739">
      <c r="A739">
        <f>IF('WSF DASHBOARD'!$B$4="Area",IF(738&lt;=$D$3,IF(AND(OR('WSF DASHBOARD'!$C$4="",ISNUMBER(SEARCH('WSF DASHBOARD'!$C$4,INDEX(MASTER_AREAS!$B:$B,739))))),738,""),""),IF('WSF DASHBOARD'!$B$4="Zone",IF(738&lt;=$D$4,IF(OR('WSF DASHBOARD'!$C$4="",ISNUMBER(SEARCH('WSF DASHBOARD'!$C$4,INDEX(MASTER_ZONES!$B:$B,739)))),738,""),""),""))</f>
        <v/>
      </c>
      <c r="F739">
        <f>IF('TRANSPORT DASHBOARD'!$B$4="Area",IF(738&lt;=$I$3,IF(AND(INDEX(MASTER_AREAS!$F:$F,739)&lt;&gt;"N",OR('TRANSPORT DASHBOARD'!$C$4="",ISNUMBER(SEARCH('TRANSPORT DASHBOARD'!$C$4,INDEX(MASTER_AREAS!$B:$B,739))))),738,""),""),IF('TRANSPORT DASHBOARD'!$B$4="Zone",IF(738&lt;=$I$4,IF(OR('TRANSPORT DASHBOARD'!$C$4="",ISNUMBER(SEARCH('TRANSPORT DASHBOARD'!$C$4,INDEX(MASTER_ZONES!$B:$B,739)))),738,""),""),""))</f>
        <v/>
      </c>
      <c r="K739">
        <f>IF('MIDWEEK DASHBOARD'!$B$4="Area",IF(738&lt;=$N$3,IF(AND(OR('MIDWEEK DASHBOARD'!$C$4="",ISNUMBER(SEARCH('MIDWEEK DASHBOARD'!$C$4,INDEX(MASTER_AREAS!$B:$B,739))))),738,""),""),IF('MIDWEEK DASHBOARD'!$B$4="Zone",IF(738&lt;=$N$4,IF(OR('MIDWEEK DASHBOARD'!$C$4="",ISNUMBER(SEARCH('MIDWEEK DASHBOARD'!$C$4,INDEX(MASTER_ZONES!$B:$B,739)))),738,""),""),""))</f>
        <v/>
      </c>
      <c r="P739">
        <f>IF('CHOP DASHBOARD'!$B$4="Area",IF(738&lt;=$S$3,IF(AND(OR('CHOP DASHBOARD'!$C$4="",ISNUMBER(SEARCH('CHOP DASHBOARD'!$C$4,INDEX(MASTER_AREAS!$B:$B,739))))),738,""),""),IF('CHOP DASHBOARD'!$B$4="Zone",IF(738&lt;=$S$4,IF(OR('CHOP DASHBOARD'!$C$4="",ISNUMBER(SEARCH('CHOP DASHBOARD'!$C$4,INDEX(MASTER_ZONES!$B:$B,739)))),738,""),""),""))</f>
        <v/>
      </c>
      <c r="U739">
        <f>IF('COMMUNITY CHURCH DASHBOARD'!$B$4="Area",IF(738&lt;=$X$3,IF(AND(OR('COMMUNITY CHURCH DASHBOARD'!$C$4="",ISNUMBER(SEARCH('COMMUNITY CHURCH DASHBOARD'!$C$4,INDEX(MASTER_AREAS!$B:$B,739))))),738,""),""),IF('COMMUNITY CHURCH DASHBOARD'!$B$4="Zone",IF(738&lt;=$X$4,IF(OR('COMMUNITY CHURCH DASHBOARD'!$C$4="",ISNUMBER(SEARCH('COMMUNITY CHURCH DASHBOARD'!$C$4,INDEX(MASTER_ZONES!$B:$B,739)))),738,""),""),""))</f>
        <v/>
      </c>
    </row>
    <row r="740">
      <c r="A740">
        <f>IF('WSF DASHBOARD'!$B$4="Area",IF(739&lt;=$D$3,IF(AND(OR('WSF DASHBOARD'!$C$4="",ISNUMBER(SEARCH('WSF DASHBOARD'!$C$4,INDEX(MASTER_AREAS!$B:$B,740))))),739,""),""),IF('WSF DASHBOARD'!$B$4="Zone",IF(739&lt;=$D$4,IF(OR('WSF DASHBOARD'!$C$4="",ISNUMBER(SEARCH('WSF DASHBOARD'!$C$4,INDEX(MASTER_ZONES!$B:$B,740)))),739,""),""),""))</f>
        <v/>
      </c>
      <c r="F740">
        <f>IF('TRANSPORT DASHBOARD'!$B$4="Area",IF(739&lt;=$I$3,IF(AND(INDEX(MASTER_AREAS!$F:$F,740)&lt;&gt;"N",OR('TRANSPORT DASHBOARD'!$C$4="",ISNUMBER(SEARCH('TRANSPORT DASHBOARD'!$C$4,INDEX(MASTER_AREAS!$B:$B,740))))),739,""),""),IF('TRANSPORT DASHBOARD'!$B$4="Zone",IF(739&lt;=$I$4,IF(OR('TRANSPORT DASHBOARD'!$C$4="",ISNUMBER(SEARCH('TRANSPORT DASHBOARD'!$C$4,INDEX(MASTER_ZONES!$B:$B,740)))),739,""),""),""))</f>
        <v/>
      </c>
      <c r="K740">
        <f>IF('MIDWEEK DASHBOARD'!$B$4="Area",IF(739&lt;=$N$3,IF(AND(OR('MIDWEEK DASHBOARD'!$C$4="",ISNUMBER(SEARCH('MIDWEEK DASHBOARD'!$C$4,INDEX(MASTER_AREAS!$B:$B,740))))),739,""),""),IF('MIDWEEK DASHBOARD'!$B$4="Zone",IF(739&lt;=$N$4,IF(OR('MIDWEEK DASHBOARD'!$C$4="",ISNUMBER(SEARCH('MIDWEEK DASHBOARD'!$C$4,INDEX(MASTER_ZONES!$B:$B,740)))),739,""),""),""))</f>
        <v/>
      </c>
      <c r="P740">
        <f>IF('CHOP DASHBOARD'!$B$4="Area",IF(739&lt;=$S$3,IF(AND(OR('CHOP DASHBOARD'!$C$4="",ISNUMBER(SEARCH('CHOP DASHBOARD'!$C$4,INDEX(MASTER_AREAS!$B:$B,740))))),739,""),""),IF('CHOP DASHBOARD'!$B$4="Zone",IF(739&lt;=$S$4,IF(OR('CHOP DASHBOARD'!$C$4="",ISNUMBER(SEARCH('CHOP DASHBOARD'!$C$4,INDEX(MASTER_ZONES!$B:$B,740)))),739,""),""),""))</f>
        <v/>
      </c>
      <c r="U740">
        <f>IF('COMMUNITY CHURCH DASHBOARD'!$B$4="Area",IF(739&lt;=$X$3,IF(AND(OR('COMMUNITY CHURCH DASHBOARD'!$C$4="",ISNUMBER(SEARCH('COMMUNITY CHURCH DASHBOARD'!$C$4,INDEX(MASTER_AREAS!$B:$B,740))))),739,""),""),IF('COMMUNITY CHURCH DASHBOARD'!$B$4="Zone",IF(739&lt;=$X$4,IF(OR('COMMUNITY CHURCH DASHBOARD'!$C$4="",ISNUMBER(SEARCH('COMMUNITY CHURCH DASHBOARD'!$C$4,INDEX(MASTER_ZONES!$B:$B,740)))),739,""),""),""))</f>
        <v/>
      </c>
    </row>
    <row r="741">
      <c r="A741">
        <f>IF('WSF DASHBOARD'!$B$4="Area",IF(740&lt;=$D$3,IF(AND(OR('WSF DASHBOARD'!$C$4="",ISNUMBER(SEARCH('WSF DASHBOARD'!$C$4,INDEX(MASTER_AREAS!$B:$B,741))))),740,""),""),IF('WSF DASHBOARD'!$B$4="Zone",IF(740&lt;=$D$4,IF(OR('WSF DASHBOARD'!$C$4="",ISNUMBER(SEARCH('WSF DASHBOARD'!$C$4,INDEX(MASTER_ZONES!$B:$B,741)))),740,""),""),""))</f>
        <v/>
      </c>
      <c r="F741">
        <f>IF('TRANSPORT DASHBOARD'!$B$4="Area",IF(740&lt;=$I$3,IF(AND(INDEX(MASTER_AREAS!$F:$F,741)&lt;&gt;"N",OR('TRANSPORT DASHBOARD'!$C$4="",ISNUMBER(SEARCH('TRANSPORT DASHBOARD'!$C$4,INDEX(MASTER_AREAS!$B:$B,741))))),740,""),""),IF('TRANSPORT DASHBOARD'!$B$4="Zone",IF(740&lt;=$I$4,IF(OR('TRANSPORT DASHBOARD'!$C$4="",ISNUMBER(SEARCH('TRANSPORT DASHBOARD'!$C$4,INDEX(MASTER_ZONES!$B:$B,741)))),740,""),""),""))</f>
        <v/>
      </c>
      <c r="K741">
        <f>IF('MIDWEEK DASHBOARD'!$B$4="Area",IF(740&lt;=$N$3,IF(AND(OR('MIDWEEK DASHBOARD'!$C$4="",ISNUMBER(SEARCH('MIDWEEK DASHBOARD'!$C$4,INDEX(MASTER_AREAS!$B:$B,741))))),740,""),""),IF('MIDWEEK DASHBOARD'!$B$4="Zone",IF(740&lt;=$N$4,IF(OR('MIDWEEK DASHBOARD'!$C$4="",ISNUMBER(SEARCH('MIDWEEK DASHBOARD'!$C$4,INDEX(MASTER_ZONES!$B:$B,741)))),740,""),""),""))</f>
        <v/>
      </c>
      <c r="P741">
        <f>IF('CHOP DASHBOARD'!$B$4="Area",IF(740&lt;=$S$3,IF(AND(OR('CHOP DASHBOARD'!$C$4="",ISNUMBER(SEARCH('CHOP DASHBOARD'!$C$4,INDEX(MASTER_AREAS!$B:$B,741))))),740,""),""),IF('CHOP DASHBOARD'!$B$4="Zone",IF(740&lt;=$S$4,IF(OR('CHOP DASHBOARD'!$C$4="",ISNUMBER(SEARCH('CHOP DASHBOARD'!$C$4,INDEX(MASTER_ZONES!$B:$B,741)))),740,""),""),""))</f>
        <v/>
      </c>
      <c r="U741">
        <f>IF('COMMUNITY CHURCH DASHBOARD'!$B$4="Area",IF(740&lt;=$X$3,IF(AND(OR('COMMUNITY CHURCH DASHBOARD'!$C$4="",ISNUMBER(SEARCH('COMMUNITY CHURCH DASHBOARD'!$C$4,INDEX(MASTER_AREAS!$B:$B,741))))),740,""),""),IF('COMMUNITY CHURCH DASHBOARD'!$B$4="Zone",IF(740&lt;=$X$4,IF(OR('COMMUNITY CHURCH DASHBOARD'!$C$4="",ISNUMBER(SEARCH('COMMUNITY CHURCH DASHBOARD'!$C$4,INDEX(MASTER_ZONES!$B:$B,741)))),740,""),""),""))</f>
        <v/>
      </c>
    </row>
    <row r="742">
      <c r="A742">
        <f>IF('WSF DASHBOARD'!$B$4="Area",IF(741&lt;=$D$3,IF(AND(OR('WSF DASHBOARD'!$C$4="",ISNUMBER(SEARCH('WSF DASHBOARD'!$C$4,INDEX(MASTER_AREAS!$B:$B,742))))),741,""),""),IF('WSF DASHBOARD'!$B$4="Zone",IF(741&lt;=$D$4,IF(OR('WSF DASHBOARD'!$C$4="",ISNUMBER(SEARCH('WSF DASHBOARD'!$C$4,INDEX(MASTER_ZONES!$B:$B,742)))),741,""),""),""))</f>
        <v/>
      </c>
      <c r="F742">
        <f>IF('TRANSPORT DASHBOARD'!$B$4="Area",IF(741&lt;=$I$3,IF(AND(INDEX(MASTER_AREAS!$F:$F,742)&lt;&gt;"N",OR('TRANSPORT DASHBOARD'!$C$4="",ISNUMBER(SEARCH('TRANSPORT DASHBOARD'!$C$4,INDEX(MASTER_AREAS!$B:$B,742))))),741,""),""),IF('TRANSPORT DASHBOARD'!$B$4="Zone",IF(741&lt;=$I$4,IF(OR('TRANSPORT DASHBOARD'!$C$4="",ISNUMBER(SEARCH('TRANSPORT DASHBOARD'!$C$4,INDEX(MASTER_ZONES!$B:$B,742)))),741,""),""),""))</f>
        <v/>
      </c>
      <c r="K742">
        <f>IF('MIDWEEK DASHBOARD'!$B$4="Area",IF(741&lt;=$N$3,IF(AND(OR('MIDWEEK DASHBOARD'!$C$4="",ISNUMBER(SEARCH('MIDWEEK DASHBOARD'!$C$4,INDEX(MASTER_AREAS!$B:$B,742))))),741,""),""),IF('MIDWEEK DASHBOARD'!$B$4="Zone",IF(741&lt;=$N$4,IF(OR('MIDWEEK DASHBOARD'!$C$4="",ISNUMBER(SEARCH('MIDWEEK DASHBOARD'!$C$4,INDEX(MASTER_ZONES!$B:$B,742)))),741,""),""),""))</f>
        <v/>
      </c>
      <c r="P742">
        <f>IF('CHOP DASHBOARD'!$B$4="Area",IF(741&lt;=$S$3,IF(AND(OR('CHOP DASHBOARD'!$C$4="",ISNUMBER(SEARCH('CHOP DASHBOARD'!$C$4,INDEX(MASTER_AREAS!$B:$B,742))))),741,""),""),IF('CHOP DASHBOARD'!$B$4="Zone",IF(741&lt;=$S$4,IF(OR('CHOP DASHBOARD'!$C$4="",ISNUMBER(SEARCH('CHOP DASHBOARD'!$C$4,INDEX(MASTER_ZONES!$B:$B,742)))),741,""),""),""))</f>
        <v/>
      </c>
      <c r="U742">
        <f>IF('COMMUNITY CHURCH DASHBOARD'!$B$4="Area",IF(741&lt;=$X$3,IF(AND(OR('COMMUNITY CHURCH DASHBOARD'!$C$4="",ISNUMBER(SEARCH('COMMUNITY CHURCH DASHBOARD'!$C$4,INDEX(MASTER_AREAS!$B:$B,742))))),741,""),""),IF('COMMUNITY CHURCH DASHBOARD'!$B$4="Zone",IF(741&lt;=$X$4,IF(OR('COMMUNITY CHURCH DASHBOARD'!$C$4="",ISNUMBER(SEARCH('COMMUNITY CHURCH DASHBOARD'!$C$4,INDEX(MASTER_ZONES!$B:$B,742)))),741,""),""),""))</f>
        <v/>
      </c>
    </row>
    <row r="743">
      <c r="A743">
        <f>IF('WSF DASHBOARD'!$B$4="Area",IF(742&lt;=$D$3,IF(AND(OR('WSF DASHBOARD'!$C$4="",ISNUMBER(SEARCH('WSF DASHBOARD'!$C$4,INDEX(MASTER_AREAS!$B:$B,743))))),742,""),""),IF('WSF DASHBOARD'!$B$4="Zone",IF(742&lt;=$D$4,IF(OR('WSF DASHBOARD'!$C$4="",ISNUMBER(SEARCH('WSF DASHBOARD'!$C$4,INDEX(MASTER_ZONES!$B:$B,743)))),742,""),""),""))</f>
        <v/>
      </c>
      <c r="F743">
        <f>IF('TRANSPORT DASHBOARD'!$B$4="Area",IF(742&lt;=$I$3,IF(AND(INDEX(MASTER_AREAS!$F:$F,743)&lt;&gt;"N",OR('TRANSPORT DASHBOARD'!$C$4="",ISNUMBER(SEARCH('TRANSPORT DASHBOARD'!$C$4,INDEX(MASTER_AREAS!$B:$B,743))))),742,""),""),IF('TRANSPORT DASHBOARD'!$B$4="Zone",IF(742&lt;=$I$4,IF(OR('TRANSPORT DASHBOARD'!$C$4="",ISNUMBER(SEARCH('TRANSPORT DASHBOARD'!$C$4,INDEX(MASTER_ZONES!$B:$B,743)))),742,""),""),""))</f>
        <v/>
      </c>
      <c r="K743">
        <f>IF('MIDWEEK DASHBOARD'!$B$4="Area",IF(742&lt;=$N$3,IF(AND(OR('MIDWEEK DASHBOARD'!$C$4="",ISNUMBER(SEARCH('MIDWEEK DASHBOARD'!$C$4,INDEX(MASTER_AREAS!$B:$B,743))))),742,""),""),IF('MIDWEEK DASHBOARD'!$B$4="Zone",IF(742&lt;=$N$4,IF(OR('MIDWEEK DASHBOARD'!$C$4="",ISNUMBER(SEARCH('MIDWEEK DASHBOARD'!$C$4,INDEX(MASTER_ZONES!$B:$B,743)))),742,""),""),""))</f>
        <v/>
      </c>
      <c r="P743">
        <f>IF('CHOP DASHBOARD'!$B$4="Area",IF(742&lt;=$S$3,IF(AND(OR('CHOP DASHBOARD'!$C$4="",ISNUMBER(SEARCH('CHOP DASHBOARD'!$C$4,INDEX(MASTER_AREAS!$B:$B,743))))),742,""),""),IF('CHOP DASHBOARD'!$B$4="Zone",IF(742&lt;=$S$4,IF(OR('CHOP DASHBOARD'!$C$4="",ISNUMBER(SEARCH('CHOP DASHBOARD'!$C$4,INDEX(MASTER_ZONES!$B:$B,743)))),742,""),""),""))</f>
        <v/>
      </c>
      <c r="U743">
        <f>IF('COMMUNITY CHURCH DASHBOARD'!$B$4="Area",IF(742&lt;=$X$3,IF(AND(OR('COMMUNITY CHURCH DASHBOARD'!$C$4="",ISNUMBER(SEARCH('COMMUNITY CHURCH DASHBOARD'!$C$4,INDEX(MASTER_AREAS!$B:$B,743))))),742,""),""),IF('COMMUNITY CHURCH DASHBOARD'!$B$4="Zone",IF(742&lt;=$X$4,IF(OR('COMMUNITY CHURCH DASHBOARD'!$C$4="",ISNUMBER(SEARCH('COMMUNITY CHURCH DASHBOARD'!$C$4,INDEX(MASTER_ZONES!$B:$B,743)))),742,""),""),""))</f>
        <v/>
      </c>
    </row>
    <row r="744">
      <c r="A744">
        <f>IF('WSF DASHBOARD'!$B$4="Area",IF(743&lt;=$D$3,IF(AND(OR('WSF DASHBOARD'!$C$4="",ISNUMBER(SEARCH('WSF DASHBOARD'!$C$4,INDEX(MASTER_AREAS!$B:$B,744))))),743,""),""),IF('WSF DASHBOARD'!$B$4="Zone",IF(743&lt;=$D$4,IF(OR('WSF DASHBOARD'!$C$4="",ISNUMBER(SEARCH('WSF DASHBOARD'!$C$4,INDEX(MASTER_ZONES!$B:$B,744)))),743,""),""),""))</f>
        <v/>
      </c>
      <c r="F744">
        <f>IF('TRANSPORT DASHBOARD'!$B$4="Area",IF(743&lt;=$I$3,IF(AND(INDEX(MASTER_AREAS!$F:$F,744)&lt;&gt;"N",OR('TRANSPORT DASHBOARD'!$C$4="",ISNUMBER(SEARCH('TRANSPORT DASHBOARD'!$C$4,INDEX(MASTER_AREAS!$B:$B,744))))),743,""),""),IF('TRANSPORT DASHBOARD'!$B$4="Zone",IF(743&lt;=$I$4,IF(OR('TRANSPORT DASHBOARD'!$C$4="",ISNUMBER(SEARCH('TRANSPORT DASHBOARD'!$C$4,INDEX(MASTER_ZONES!$B:$B,744)))),743,""),""),""))</f>
        <v/>
      </c>
      <c r="K744">
        <f>IF('MIDWEEK DASHBOARD'!$B$4="Area",IF(743&lt;=$N$3,IF(AND(OR('MIDWEEK DASHBOARD'!$C$4="",ISNUMBER(SEARCH('MIDWEEK DASHBOARD'!$C$4,INDEX(MASTER_AREAS!$B:$B,744))))),743,""),""),IF('MIDWEEK DASHBOARD'!$B$4="Zone",IF(743&lt;=$N$4,IF(OR('MIDWEEK DASHBOARD'!$C$4="",ISNUMBER(SEARCH('MIDWEEK DASHBOARD'!$C$4,INDEX(MASTER_ZONES!$B:$B,744)))),743,""),""),""))</f>
        <v/>
      </c>
      <c r="P744">
        <f>IF('CHOP DASHBOARD'!$B$4="Area",IF(743&lt;=$S$3,IF(AND(OR('CHOP DASHBOARD'!$C$4="",ISNUMBER(SEARCH('CHOP DASHBOARD'!$C$4,INDEX(MASTER_AREAS!$B:$B,744))))),743,""),""),IF('CHOP DASHBOARD'!$B$4="Zone",IF(743&lt;=$S$4,IF(OR('CHOP DASHBOARD'!$C$4="",ISNUMBER(SEARCH('CHOP DASHBOARD'!$C$4,INDEX(MASTER_ZONES!$B:$B,744)))),743,""),""),""))</f>
        <v/>
      </c>
      <c r="U744">
        <f>IF('COMMUNITY CHURCH DASHBOARD'!$B$4="Area",IF(743&lt;=$X$3,IF(AND(OR('COMMUNITY CHURCH DASHBOARD'!$C$4="",ISNUMBER(SEARCH('COMMUNITY CHURCH DASHBOARD'!$C$4,INDEX(MASTER_AREAS!$B:$B,744))))),743,""),""),IF('COMMUNITY CHURCH DASHBOARD'!$B$4="Zone",IF(743&lt;=$X$4,IF(OR('COMMUNITY CHURCH DASHBOARD'!$C$4="",ISNUMBER(SEARCH('COMMUNITY CHURCH DASHBOARD'!$C$4,INDEX(MASTER_ZONES!$B:$B,744)))),743,""),""),""))</f>
        <v/>
      </c>
    </row>
    <row r="745">
      <c r="A745">
        <f>IF('WSF DASHBOARD'!$B$4="Area",IF(744&lt;=$D$3,IF(AND(OR('WSF DASHBOARD'!$C$4="",ISNUMBER(SEARCH('WSF DASHBOARD'!$C$4,INDEX(MASTER_AREAS!$B:$B,745))))),744,""),""),IF('WSF DASHBOARD'!$B$4="Zone",IF(744&lt;=$D$4,IF(OR('WSF DASHBOARD'!$C$4="",ISNUMBER(SEARCH('WSF DASHBOARD'!$C$4,INDEX(MASTER_ZONES!$B:$B,745)))),744,""),""),""))</f>
        <v/>
      </c>
      <c r="F745">
        <f>IF('TRANSPORT DASHBOARD'!$B$4="Area",IF(744&lt;=$I$3,IF(AND(INDEX(MASTER_AREAS!$F:$F,745)&lt;&gt;"N",OR('TRANSPORT DASHBOARD'!$C$4="",ISNUMBER(SEARCH('TRANSPORT DASHBOARD'!$C$4,INDEX(MASTER_AREAS!$B:$B,745))))),744,""),""),IF('TRANSPORT DASHBOARD'!$B$4="Zone",IF(744&lt;=$I$4,IF(OR('TRANSPORT DASHBOARD'!$C$4="",ISNUMBER(SEARCH('TRANSPORT DASHBOARD'!$C$4,INDEX(MASTER_ZONES!$B:$B,745)))),744,""),""),""))</f>
        <v/>
      </c>
      <c r="K745">
        <f>IF('MIDWEEK DASHBOARD'!$B$4="Area",IF(744&lt;=$N$3,IF(AND(OR('MIDWEEK DASHBOARD'!$C$4="",ISNUMBER(SEARCH('MIDWEEK DASHBOARD'!$C$4,INDEX(MASTER_AREAS!$B:$B,745))))),744,""),""),IF('MIDWEEK DASHBOARD'!$B$4="Zone",IF(744&lt;=$N$4,IF(OR('MIDWEEK DASHBOARD'!$C$4="",ISNUMBER(SEARCH('MIDWEEK DASHBOARD'!$C$4,INDEX(MASTER_ZONES!$B:$B,745)))),744,""),""),""))</f>
        <v/>
      </c>
      <c r="P745">
        <f>IF('CHOP DASHBOARD'!$B$4="Area",IF(744&lt;=$S$3,IF(AND(OR('CHOP DASHBOARD'!$C$4="",ISNUMBER(SEARCH('CHOP DASHBOARD'!$C$4,INDEX(MASTER_AREAS!$B:$B,745))))),744,""),""),IF('CHOP DASHBOARD'!$B$4="Zone",IF(744&lt;=$S$4,IF(OR('CHOP DASHBOARD'!$C$4="",ISNUMBER(SEARCH('CHOP DASHBOARD'!$C$4,INDEX(MASTER_ZONES!$B:$B,745)))),744,""),""),""))</f>
        <v/>
      </c>
      <c r="U745">
        <f>IF('COMMUNITY CHURCH DASHBOARD'!$B$4="Area",IF(744&lt;=$X$3,IF(AND(OR('COMMUNITY CHURCH DASHBOARD'!$C$4="",ISNUMBER(SEARCH('COMMUNITY CHURCH DASHBOARD'!$C$4,INDEX(MASTER_AREAS!$B:$B,745))))),744,""),""),IF('COMMUNITY CHURCH DASHBOARD'!$B$4="Zone",IF(744&lt;=$X$4,IF(OR('COMMUNITY CHURCH DASHBOARD'!$C$4="",ISNUMBER(SEARCH('COMMUNITY CHURCH DASHBOARD'!$C$4,INDEX(MASTER_ZONES!$B:$B,745)))),744,""),""),""))</f>
        <v/>
      </c>
    </row>
    <row r="746">
      <c r="A746">
        <f>IF('WSF DASHBOARD'!$B$4="Area",IF(745&lt;=$D$3,IF(AND(OR('WSF DASHBOARD'!$C$4="",ISNUMBER(SEARCH('WSF DASHBOARD'!$C$4,INDEX(MASTER_AREAS!$B:$B,746))))),745,""),""),IF('WSF DASHBOARD'!$B$4="Zone",IF(745&lt;=$D$4,IF(OR('WSF DASHBOARD'!$C$4="",ISNUMBER(SEARCH('WSF DASHBOARD'!$C$4,INDEX(MASTER_ZONES!$B:$B,746)))),745,""),""),""))</f>
        <v/>
      </c>
      <c r="F746">
        <f>IF('TRANSPORT DASHBOARD'!$B$4="Area",IF(745&lt;=$I$3,IF(AND(INDEX(MASTER_AREAS!$F:$F,746)&lt;&gt;"N",OR('TRANSPORT DASHBOARD'!$C$4="",ISNUMBER(SEARCH('TRANSPORT DASHBOARD'!$C$4,INDEX(MASTER_AREAS!$B:$B,746))))),745,""),""),IF('TRANSPORT DASHBOARD'!$B$4="Zone",IF(745&lt;=$I$4,IF(OR('TRANSPORT DASHBOARD'!$C$4="",ISNUMBER(SEARCH('TRANSPORT DASHBOARD'!$C$4,INDEX(MASTER_ZONES!$B:$B,746)))),745,""),""),""))</f>
        <v/>
      </c>
      <c r="K746">
        <f>IF('MIDWEEK DASHBOARD'!$B$4="Area",IF(745&lt;=$N$3,IF(AND(OR('MIDWEEK DASHBOARD'!$C$4="",ISNUMBER(SEARCH('MIDWEEK DASHBOARD'!$C$4,INDEX(MASTER_AREAS!$B:$B,746))))),745,""),""),IF('MIDWEEK DASHBOARD'!$B$4="Zone",IF(745&lt;=$N$4,IF(OR('MIDWEEK DASHBOARD'!$C$4="",ISNUMBER(SEARCH('MIDWEEK DASHBOARD'!$C$4,INDEX(MASTER_ZONES!$B:$B,746)))),745,""),""),""))</f>
        <v/>
      </c>
      <c r="P746">
        <f>IF('CHOP DASHBOARD'!$B$4="Area",IF(745&lt;=$S$3,IF(AND(OR('CHOP DASHBOARD'!$C$4="",ISNUMBER(SEARCH('CHOP DASHBOARD'!$C$4,INDEX(MASTER_AREAS!$B:$B,746))))),745,""),""),IF('CHOP DASHBOARD'!$B$4="Zone",IF(745&lt;=$S$4,IF(OR('CHOP DASHBOARD'!$C$4="",ISNUMBER(SEARCH('CHOP DASHBOARD'!$C$4,INDEX(MASTER_ZONES!$B:$B,746)))),745,""),""),""))</f>
        <v/>
      </c>
      <c r="U746">
        <f>IF('COMMUNITY CHURCH DASHBOARD'!$B$4="Area",IF(745&lt;=$X$3,IF(AND(OR('COMMUNITY CHURCH DASHBOARD'!$C$4="",ISNUMBER(SEARCH('COMMUNITY CHURCH DASHBOARD'!$C$4,INDEX(MASTER_AREAS!$B:$B,746))))),745,""),""),IF('COMMUNITY CHURCH DASHBOARD'!$B$4="Zone",IF(745&lt;=$X$4,IF(OR('COMMUNITY CHURCH DASHBOARD'!$C$4="",ISNUMBER(SEARCH('COMMUNITY CHURCH DASHBOARD'!$C$4,INDEX(MASTER_ZONES!$B:$B,746)))),745,""),""),""))</f>
        <v/>
      </c>
    </row>
    <row r="747">
      <c r="A747">
        <f>IF('WSF DASHBOARD'!$B$4="Area",IF(746&lt;=$D$3,IF(AND(OR('WSF DASHBOARD'!$C$4="",ISNUMBER(SEARCH('WSF DASHBOARD'!$C$4,INDEX(MASTER_AREAS!$B:$B,747))))),746,""),""),IF('WSF DASHBOARD'!$B$4="Zone",IF(746&lt;=$D$4,IF(OR('WSF DASHBOARD'!$C$4="",ISNUMBER(SEARCH('WSF DASHBOARD'!$C$4,INDEX(MASTER_ZONES!$B:$B,747)))),746,""),""),""))</f>
        <v/>
      </c>
      <c r="F747">
        <f>IF('TRANSPORT DASHBOARD'!$B$4="Area",IF(746&lt;=$I$3,IF(AND(INDEX(MASTER_AREAS!$F:$F,747)&lt;&gt;"N",OR('TRANSPORT DASHBOARD'!$C$4="",ISNUMBER(SEARCH('TRANSPORT DASHBOARD'!$C$4,INDEX(MASTER_AREAS!$B:$B,747))))),746,""),""),IF('TRANSPORT DASHBOARD'!$B$4="Zone",IF(746&lt;=$I$4,IF(OR('TRANSPORT DASHBOARD'!$C$4="",ISNUMBER(SEARCH('TRANSPORT DASHBOARD'!$C$4,INDEX(MASTER_ZONES!$B:$B,747)))),746,""),""),""))</f>
        <v/>
      </c>
      <c r="K747">
        <f>IF('MIDWEEK DASHBOARD'!$B$4="Area",IF(746&lt;=$N$3,IF(AND(OR('MIDWEEK DASHBOARD'!$C$4="",ISNUMBER(SEARCH('MIDWEEK DASHBOARD'!$C$4,INDEX(MASTER_AREAS!$B:$B,747))))),746,""),""),IF('MIDWEEK DASHBOARD'!$B$4="Zone",IF(746&lt;=$N$4,IF(OR('MIDWEEK DASHBOARD'!$C$4="",ISNUMBER(SEARCH('MIDWEEK DASHBOARD'!$C$4,INDEX(MASTER_ZONES!$B:$B,747)))),746,""),""),""))</f>
        <v/>
      </c>
      <c r="P747">
        <f>IF('CHOP DASHBOARD'!$B$4="Area",IF(746&lt;=$S$3,IF(AND(OR('CHOP DASHBOARD'!$C$4="",ISNUMBER(SEARCH('CHOP DASHBOARD'!$C$4,INDEX(MASTER_AREAS!$B:$B,747))))),746,""),""),IF('CHOP DASHBOARD'!$B$4="Zone",IF(746&lt;=$S$4,IF(OR('CHOP DASHBOARD'!$C$4="",ISNUMBER(SEARCH('CHOP DASHBOARD'!$C$4,INDEX(MASTER_ZONES!$B:$B,747)))),746,""),""),""))</f>
        <v/>
      </c>
      <c r="U747">
        <f>IF('COMMUNITY CHURCH DASHBOARD'!$B$4="Area",IF(746&lt;=$X$3,IF(AND(OR('COMMUNITY CHURCH DASHBOARD'!$C$4="",ISNUMBER(SEARCH('COMMUNITY CHURCH DASHBOARD'!$C$4,INDEX(MASTER_AREAS!$B:$B,747))))),746,""),""),IF('COMMUNITY CHURCH DASHBOARD'!$B$4="Zone",IF(746&lt;=$X$4,IF(OR('COMMUNITY CHURCH DASHBOARD'!$C$4="",ISNUMBER(SEARCH('COMMUNITY CHURCH DASHBOARD'!$C$4,INDEX(MASTER_ZONES!$B:$B,747)))),746,""),""),""))</f>
        <v/>
      </c>
    </row>
    <row r="748">
      <c r="A748">
        <f>IF('WSF DASHBOARD'!$B$4="Area",IF(747&lt;=$D$3,IF(AND(OR('WSF DASHBOARD'!$C$4="",ISNUMBER(SEARCH('WSF DASHBOARD'!$C$4,INDEX(MASTER_AREAS!$B:$B,748))))),747,""),""),IF('WSF DASHBOARD'!$B$4="Zone",IF(747&lt;=$D$4,IF(OR('WSF DASHBOARD'!$C$4="",ISNUMBER(SEARCH('WSF DASHBOARD'!$C$4,INDEX(MASTER_ZONES!$B:$B,748)))),747,""),""),""))</f>
        <v/>
      </c>
      <c r="F748">
        <f>IF('TRANSPORT DASHBOARD'!$B$4="Area",IF(747&lt;=$I$3,IF(AND(INDEX(MASTER_AREAS!$F:$F,748)&lt;&gt;"N",OR('TRANSPORT DASHBOARD'!$C$4="",ISNUMBER(SEARCH('TRANSPORT DASHBOARD'!$C$4,INDEX(MASTER_AREAS!$B:$B,748))))),747,""),""),IF('TRANSPORT DASHBOARD'!$B$4="Zone",IF(747&lt;=$I$4,IF(OR('TRANSPORT DASHBOARD'!$C$4="",ISNUMBER(SEARCH('TRANSPORT DASHBOARD'!$C$4,INDEX(MASTER_ZONES!$B:$B,748)))),747,""),""),""))</f>
        <v/>
      </c>
      <c r="K748">
        <f>IF('MIDWEEK DASHBOARD'!$B$4="Area",IF(747&lt;=$N$3,IF(AND(OR('MIDWEEK DASHBOARD'!$C$4="",ISNUMBER(SEARCH('MIDWEEK DASHBOARD'!$C$4,INDEX(MASTER_AREAS!$B:$B,748))))),747,""),""),IF('MIDWEEK DASHBOARD'!$B$4="Zone",IF(747&lt;=$N$4,IF(OR('MIDWEEK DASHBOARD'!$C$4="",ISNUMBER(SEARCH('MIDWEEK DASHBOARD'!$C$4,INDEX(MASTER_ZONES!$B:$B,748)))),747,""),""),""))</f>
        <v/>
      </c>
      <c r="P748">
        <f>IF('CHOP DASHBOARD'!$B$4="Area",IF(747&lt;=$S$3,IF(AND(OR('CHOP DASHBOARD'!$C$4="",ISNUMBER(SEARCH('CHOP DASHBOARD'!$C$4,INDEX(MASTER_AREAS!$B:$B,748))))),747,""),""),IF('CHOP DASHBOARD'!$B$4="Zone",IF(747&lt;=$S$4,IF(OR('CHOP DASHBOARD'!$C$4="",ISNUMBER(SEARCH('CHOP DASHBOARD'!$C$4,INDEX(MASTER_ZONES!$B:$B,748)))),747,""),""),""))</f>
        <v/>
      </c>
      <c r="U748">
        <f>IF('COMMUNITY CHURCH DASHBOARD'!$B$4="Area",IF(747&lt;=$X$3,IF(AND(OR('COMMUNITY CHURCH DASHBOARD'!$C$4="",ISNUMBER(SEARCH('COMMUNITY CHURCH DASHBOARD'!$C$4,INDEX(MASTER_AREAS!$B:$B,748))))),747,""),""),IF('COMMUNITY CHURCH DASHBOARD'!$B$4="Zone",IF(747&lt;=$X$4,IF(OR('COMMUNITY CHURCH DASHBOARD'!$C$4="",ISNUMBER(SEARCH('COMMUNITY CHURCH DASHBOARD'!$C$4,INDEX(MASTER_ZONES!$B:$B,748)))),747,""),""),""))</f>
        <v/>
      </c>
    </row>
    <row r="749">
      <c r="A749">
        <f>IF('WSF DASHBOARD'!$B$4="Area",IF(748&lt;=$D$3,IF(AND(OR('WSF DASHBOARD'!$C$4="",ISNUMBER(SEARCH('WSF DASHBOARD'!$C$4,INDEX(MASTER_AREAS!$B:$B,749))))),748,""),""),IF('WSF DASHBOARD'!$B$4="Zone",IF(748&lt;=$D$4,IF(OR('WSF DASHBOARD'!$C$4="",ISNUMBER(SEARCH('WSF DASHBOARD'!$C$4,INDEX(MASTER_ZONES!$B:$B,749)))),748,""),""),""))</f>
        <v/>
      </c>
      <c r="F749">
        <f>IF('TRANSPORT DASHBOARD'!$B$4="Area",IF(748&lt;=$I$3,IF(AND(INDEX(MASTER_AREAS!$F:$F,749)&lt;&gt;"N",OR('TRANSPORT DASHBOARD'!$C$4="",ISNUMBER(SEARCH('TRANSPORT DASHBOARD'!$C$4,INDEX(MASTER_AREAS!$B:$B,749))))),748,""),""),IF('TRANSPORT DASHBOARD'!$B$4="Zone",IF(748&lt;=$I$4,IF(OR('TRANSPORT DASHBOARD'!$C$4="",ISNUMBER(SEARCH('TRANSPORT DASHBOARD'!$C$4,INDEX(MASTER_ZONES!$B:$B,749)))),748,""),""),""))</f>
        <v/>
      </c>
      <c r="K749">
        <f>IF('MIDWEEK DASHBOARD'!$B$4="Area",IF(748&lt;=$N$3,IF(AND(OR('MIDWEEK DASHBOARD'!$C$4="",ISNUMBER(SEARCH('MIDWEEK DASHBOARD'!$C$4,INDEX(MASTER_AREAS!$B:$B,749))))),748,""),""),IF('MIDWEEK DASHBOARD'!$B$4="Zone",IF(748&lt;=$N$4,IF(OR('MIDWEEK DASHBOARD'!$C$4="",ISNUMBER(SEARCH('MIDWEEK DASHBOARD'!$C$4,INDEX(MASTER_ZONES!$B:$B,749)))),748,""),""),""))</f>
        <v/>
      </c>
      <c r="P749">
        <f>IF('CHOP DASHBOARD'!$B$4="Area",IF(748&lt;=$S$3,IF(AND(OR('CHOP DASHBOARD'!$C$4="",ISNUMBER(SEARCH('CHOP DASHBOARD'!$C$4,INDEX(MASTER_AREAS!$B:$B,749))))),748,""),""),IF('CHOP DASHBOARD'!$B$4="Zone",IF(748&lt;=$S$4,IF(OR('CHOP DASHBOARD'!$C$4="",ISNUMBER(SEARCH('CHOP DASHBOARD'!$C$4,INDEX(MASTER_ZONES!$B:$B,749)))),748,""),""),""))</f>
        <v/>
      </c>
      <c r="U749">
        <f>IF('COMMUNITY CHURCH DASHBOARD'!$B$4="Area",IF(748&lt;=$X$3,IF(AND(OR('COMMUNITY CHURCH DASHBOARD'!$C$4="",ISNUMBER(SEARCH('COMMUNITY CHURCH DASHBOARD'!$C$4,INDEX(MASTER_AREAS!$B:$B,749))))),748,""),""),IF('COMMUNITY CHURCH DASHBOARD'!$B$4="Zone",IF(748&lt;=$X$4,IF(OR('COMMUNITY CHURCH DASHBOARD'!$C$4="",ISNUMBER(SEARCH('COMMUNITY CHURCH DASHBOARD'!$C$4,INDEX(MASTER_ZONES!$B:$B,749)))),748,""),""),""))</f>
        <v/>
      </c>
    </row>
    <row r="750">
      <c r="A750">
        <f>IF('WSF DASHBOARD'!$B$4="Area",IF(749&lt;=$D$3,IF(AND(OR('WSF DASHBOARD'!$C$4="",ISNUMBER(SEARCH('WSF DASHBOARD'!$C$4,INDEX(MASTER_AREAS!$B:$B,750))))),749,""),""),IF('WSF DASHBOARD'!$B$4="Zone",IF(749&lt;=$D$4,IF(OR('WSF DASHBOARD'!$C$4="",ISNUMBER(SEARCH('WSF DASHBOARD'!$C$4,INDEX(MASTER_ZONES!$B:$B,750)))),749,""),""),""))</f>
        <v/>
      </c>
      <c r="F750">
        <f>IF('TRANSPORT DASHBOARD'!$B$4="Area",IF(749&lt;=$I$3,IF(AND(INDEX(MASTER_AREAS!$F:$F,750)&lt;&gt;"N",OR('TRANSPORT DASHBOARD'!$C$4="",ISNUMBER(SEARCH('TRANSPORT DASHBOARD'!$C$4,INDEX(MASTER_AREAS!$B:$B,750))))),749,""),""),IF('TRANSPORT DASHBOARD'!$B$4="Zone",IF(749&lt;=$I$4,IF(OR('TRANSPORT DASHBOARD'!$C$4="",ISNUMBER(SEARCH('TRANSPORT DASHBOARD'!$C$4,INDEX(MASTER_ZONES!$B:$B,750)))),749,""),""),""))</f>
        <v/>
      </c>
      <c r="K750">
        <f>IF('MIDWEEK DASHBOARD'!$B$4="Area",IF(749&lt;=$N$3,IF(AND(OR('MIDWEEK DASHBOARD'!$C$4="",ISNUMBER(SEARCH('MIDWEEK DASHBOARD'!$C$4,INDEX(MASTER_AREAS!$B:$B,750))))),749,""),""),IF('MIDWEEK DASHBOARD'!$B$4="Zone",IF(749&lt;=$N$4,IF(OR('MIDWEEK DASHBOARD'!$C$4="",ISNUMBER(SEARCH('MIDWEEK DASHBOARD'!$C$4,INDEX(MASTER_ZONES!$B:$B,750)))),749,""),""),""))</f>
        <v/>
      </c>
      <c r="P750">
        <f>IF('CHOP DASHBOARD'!$B$4="Area",IF(749&lt;=$S$3,IF(AND(OR('CHOP DASHBOARD'!$C$4="",ISNUMBER(SEARCH('CHOP DASHBOARD'!$C$4,INDEX(MASTER_AREAS!$B:$B,750))))),749,""),""),IF('CHOP DASHBOARD'!$B$4="Zone",IF(749&lt;=$S$4,IF(OR('CHOP DASHBOARD'!$C$4="",ISNUMBER(SEARCH('CHOP DASHBOARD'!$C$4,INDEX(MASTER_ZONES!$B:$B,750)))),749,""),""),""))</f>
        <v/>
      </c>
      <c r="U750">
        <f>IF('COMMUNITY CHURCH DASHBOARD'!$B$4="Area",IF(749&lt;=$X$3,IF(AND(OR('COMMUNITY CHURCH DASHBOARD'!$C$4="",ISNUMBER(SEARCH('COMMUNITY CHURCH DASHBOARD'!$C$4,INDEX(MASTER_AREAS!$B:$B,750))))),749,""),""),IF('COMMUNITY CHURCH DASHBOARD'!$B$4="Zone",IF(749&lt;=$X$4,IF(OR('COMMUNITY CHURCH DASHBOARD'!$C$4="",ISNUMBER(SEARCH('COMMUNITY CHURCH DASHBOARD'!$C$4,INDEX(MASTER_ZONES!$B:$B,750)))),749,""),""),""))</f>
        <v/>
      </c>
    </row>
    <row r="751">
      <c r="A751">
        <f>IF('WSF DASHBOARD'!$B$4="Area",IF(750&lt;=$D$3,IF(AND(OR('WSF DASHBOARD'!$C$4="",ISNUMBER(SEARCH('WSF DASHBOARD'!$C$4,INDEX(MASTER_AREAS!$B:$B,751))))),750,""),""),IF('WSF DASHBOARD'!$B$4="Zone",IF(750&lt;=$D$4,IF(OR('WSF DASHBOARD'!$C$4="",ISNUMBER(SEARCH('WSF DASHBOARD'!$C$4,INDEX(MASTER_ZONES!$B:$B,751)))),750,""),""),""))</f>
        <v/>
      </c>
      <c r="F751">
        <f>IF('TRANSPORT DASHBOARD'!$B$4="Area",IF(750&lt;=$I$3,IF(AND(INDEX(MASTER_AREAS!$F:$F,751)&lt;&gt;"N",OR('TRANSPORT DASHBOARD'!$C$4="",ISNUMBER(SEARCH('TRANSPORT DASHBOARD'!$C$4,INDEX(MASTER_AREAS!$B:$B,751))))),750,""),""),IF('TRANSPORT DASHBOARD'!$B$4="Zone",IF(750&lt;=$I$4,IF(OR('TRANSPORT DASHBOARD'!$C$4="",ISNUMBER(SEARCH('TRANSPORT DASHBOARD'!$C$4,INDEX(MASTER_ZONES!$B:$B,751)))),750,""),""),""))</f>
        <v/>
      </c>
      <c r="K751">
        <f>IF('MIDWEEK DASHBOARD'!$B$4="Area",IF(750&lt;=$N$3,IF(AND(OR('MIDWEEK DASHBOARD'!$C$4="",ISNUMBER(SEARCH('MIDWEEK DASHBOARD'!$C$4,INDEX(MASTER_AREAS!$B:$B,751))))),750,""),""),IF('MIDWEEK DASHBOARD'!$B$4="Zone",IF(750&lt;=$N$4,IF(OR('MIDWEEK DASHBOARD'!$C$4="",ISNUMBER(SEARCH('MIDWEEK DASHBOARD'!$C$4,INDEX(MASTER_ZONES!$B:$B,751)))),750,""),""),""))</f>
        <v/>
      </c>
      <c r="P751">
        <f>IF('CHOP DASHBOARD'!$B$4="Area",IF(750&lt;=$S$3,IF(AND(OR('CHOP DASHBOARD'!$C$4="",ISNUMBER(SEARCH('CHOP DASHBOARD'!$C$4,INDEX(MASTER_AREAS!$B:$B,751))))),750,""),""),IF('CHOP DASHBOARD'!$B$4="Zone",IF(750&lt;=$S$4,IF(OR('CHOP DASHBOARD'!$C$4="",ISNUMBER(SEARCH('CHOP DASHBOARD'!$C$4,INDEX(MASTER_ZONES!$B:$B,751)))),750,""),""),""))</f>
        <v/>
      </c>
      <c r="U751">
        <f>IF('COMMUNITY CHURCH DASHBOARD'!$B$4="Area",IF(750&lt;=$X$3,IF(AND(OR('COMMUNITY CHURCH DASHBOARD'!$C$4="",ISNUMBER(SEARCH('COMMUNITY CHURCH DASHBOARD'!$C$4,INDEX(MASTER_AREAS!$B:$B,751))))),750,""),""),IF('COMMUNITY CHURCH DASHBOARD'!$B$4="Zone",IF(750&lt;=$X$4,IF(OR('COMMUNITY CHURCH DASHBOARD'!$C$4="",ISNUMBER(SEARCH('COMMUNITY CHURCH DASHBOARD'!$C$4,INDEX(MASTER_ZONES!$B:$B,751)))),750,""),""),""))</f>
        <v/>
      </c>
    </row>
    <row r="752">
      <c r="A752">
        <f>IF('WSF DASHBOARD'!$B$4="Area",IF(751&lt;=$D$3,IF(AND(OR('WSF DASHBOARD'!$C$4="",ISNUMBER(SEARCH('WSF DASHBOARD'!$C$4,INDEX(MASTER_AREAS!$B:$B,752))))),751,""),""),IF('WSF DASHBOARD'!$B$4="Zone",IF(751&lt;=$D$4,IF(OR('WSF DASHBOARD'!$C$4="",ISNUMBER(SEARCH('WSF DASHBOARD'!$C$4,INDEX(MASTER_ZONES!$B:$B,752)))),751,""),""),""))</f>
        <v/>
      </c>
      <c r="F752">
        <f>IF('TRANSPORT DASHBOARD'!$B$4="Area",IF(751&lt;=$I$3,IF(AND(INDEX(MASTER_AREAS!$F:$F,752)&lt;&gt;"N",OR('TRANSPORT DASHBOARD'!$C$4="",ISNUMBER(SEARCH('TRANSPORT DASHBOARD'!$C$4,INDEX(MASTER_AREAS!$B:$B,752))))),751,""),""),IF('TRANSPORT DASHBOARD'!$B$4="Zone",IF(751&lt;=$I$4,IF(OR('TRANSPORT DASHBOARD'!$C$4="",ISNUMBER(SEARCH('TRANSPORT DASHBOARD'!$C$4,INDEX(MASTER_ZONES!$B:$B,752)))),751,""),""),""))</f>
        <v/>
      </c>
      <c r="K752">
        <f>IF('MIDWEEK DASHBOARD'!$B$4="Area",IF(751&lt;=$N$3,IF(AND(OR('MIDWEEK DASHBOARD'!$C$4="",ISNUMBER(SEARCH('MIDWEEK DASHBOARD'!$C$4,INDEX(MASTER_AREAS!$B:$B,752))))),751,""),""),IF('MIDWEEK DASHBOARD'!$B$4="Zone",IF(751&lt;=$N$4,IF(OR('MIDWEEK DASHBOARD'!$C$4="",ISNUMBER(SEARCH('MIDWEEK DASHBOARD'!$C$4,INDEX(MASTER_ZONES!$B:$B,752)))),751,""),""),""))</f>
        <v/>
      </c>
      <c r="P752">
        <f>IF('CHOP DASHBOARD'!$B$4="Area",IF(751&lt;=$S$3,IF(AND(OR('CHOP DASHBOARD'!$C$4="",ISNUMBER(SEARCH('CHOP DASHBOARD'!$C$4,INDEX(MASTER_AREAS!$B:$B,752))))),751,""),""),IF('CHOP DASHBOARD'!$B$4="Zone",IF(751&lt;=$S$4,IF(OR('CHOP DASHBOARD'!$C$4="",ISNUMBER(SEARCH('CHOP DASHBOARD'!$C$4,INDEX(MASTER_ZONES!$B:$B,752)))),751,""),""),""))</f>
        <v/>
      </c>
      <c r="U752">
        <f>IF('COMMUNITY CHURCH DASHBOARD'!$B$4="Area",IF(751&lt;=$X$3,IF(AND(OR('COMMUNITY CHURCH DASHBOARD'!$C$4="",ISNUMBER(SEARCH('COMMUNITY CHURCH DASHBOARD'!$C$4,INDEX(MASTER_AREAS!$B:$B,752))))),751,""),""),IF('COMMUNITY CHURCH DASHBOARD'!$B$4="Zone",IF(751&lt;=$X$4,IF(OR('COMMUNITY CHURCH DASHBOARD'!$C$4="",ISNUMBER(SEARCH('COMMUNITY CHURCH DASHBOARD'!$C$4,INDEX(MASTER_ZONES!$B:$B,752)))),751,""),""),""))</f>
        <v/>
      </c>
    </row>
    <row r="753">
      <c r="A753">
        <f>IF('WSF DASHBOARD'!$B$4="Area",IF(752&lt;=$D$3,IF(AND(OR('WSF DASHBOARD'!$C$4="",ISNUMBER(SEARCH('WSF DASHBOARD'!$C$4,INDEX(MASTER_AREAS!$B:$B,753))))),752,""),""),IF('WSF DASHBOARD'!$B$4="Zone",IF(752&lt;=$D$4,IF(OR('WSF DASHBOARD'!$C$4="",ISNUMBER(SEARCH('WSF DASHBOARD'!$C$4,INDEX(MASTER_ZONES!$B:$B,753)))),752,""),""),""))</f>
        <v/>
      </c>
      <c r="F753">
        <f>IF('TRANSPORT DASHBOARD'!$B$4="Area",IF(752&lt;=$I$3,IF(AND(INDEX(MASTER_AREAS!$F:$F,753)&lt;&gt;"N",OR('TRANSPORT DASHBOARD'!$C$4="",ISNUMBER(SEARCH('TRANSPORT DASHBOARD'!$C$4,INDEX(MASTER_AREAS!$B:$B,753))))),752,""),""),IF('TRANSPORT DASHBOARD'!$B$4="Zone",IF(752&lt;=$I$4,IF(OR('TRANSPORT DASHBOARD'!$C$4="",ISNUMBER(SEARCH('TRANSPORT DASHBOARD'!$C$4,INDEX(MASTER_ZONES!$B:$B,753)))),752,""),""),""))</f>
        <v/>
      </c>
      <c r="K753">
        <f>IF('MIDWEEK DASHBOARD'!$B$4="Area",IF(752&lt;=$N$3,IF(AND(OR('MIDWEEK DASHBOARD'!$C$4="",ISNUMBER(SEARCH('MIDWEEK DASHBOARD'!$C$4,INDEX(MASTER_AREAS!$B:$B,753))))),752,""),""),IF('MIDWEEK DASHBOARD'!$B$4="Zone",IF(752&lt;=$N$4,IF(OR('MIDWEEK DASHBOARD'!$C$4="",ISNUMBER(SEARCH('MIDWEEK DASHBOARD'!$C$4,INDEX(MASTER_ZONES!$B:$B,753)))),752,""),""),""))</f>
        <v/>
      </c>
      <c r="P753">
        <f>IF('CHOP DASHBOARD'!$B$4="Area",IF(752&lt;=$S$3,IF(AND(OR('CHOP DASHBOARD'!$C$4="",ISNUMBER(SEARCH('CHOP DASHBOARD'!$C$4,INDEX(MASTER_AREAS!$B:$B,753))))),752,""),""),IF('CHOP DASHBOARD'!$B$4="Zone",IF(752&lt;=$S$4,IF(OR('CHOP DASHBOARD'!$C$4="",ISNUMBER(SEARCH('CHOP DASHBOARD'!$C$4,INDEX(MASTER_ZONES!$B:$B,753)))),752,""),""),""))</f>
        <v/>
      </c>
      <c r="U753">
        <f>IF('COMMUNITY CHURCH DASHBOARD'!$B$4="Area",IF(752&lt;=$X$3,IF(AND(OR('COMMUNITY CHURCH DASHBOARD'!$C$4="",ISNUMBER(SEARCH('COMMUNITY CHURCH DASHBOARD'!$C$4,INDEX(MASTER_AREAS!$B:$B,753))))),752,""),""),IF('COMMUNITY CHURCH DASHBOARD'!$B$4="Zone",IF(752&lt;=$X$4,IF(OR('COMMUNITY CHURCH DASHBOARD'!$C$4="",ISNUMBER(SEARCH('COMMUNITY CHURCH DASHBOARD'!$C$4,INDEX(MASTER_ZONES!$B:$B,753)))),752,""),""),""))</f>
        <v/>
      </c>
    </row>
    <row r="754">
      <c r="A754">
        <f>IF('WSF DASHBOARD'!$B$4="Area",IF(753&lt;=$D$3,IF(AND(OR('WSF DASHBOARD'!$C$4="",ISNUMBER(SEARCH('WSF DASHBOARD'!$C$4,INDEX(MASTER_AREAS!$B:$B,754))))),753,""),""),IF('WSF DASHBOARD'!$B$4="Zone",IF(753&lt;=$D$4,IF(OR('WSF DASHBOARD'!$C$4="",ISNUMBER(SEARCH('WSF DASHBOARD'!$C$4,INDEX(MASTER_ZONES!$B:$B,754)))),753,""),""),""))</f>
        <v/>
      </c>
      <c r="F754">
        <f>IF('TRANSPORT DASHBOARD'!$B$4="Area",IF(753&lt;=$I$3,IF(AND(INDEX(MASTER_AREAS!$F:$F,754)&lt;&gt;"N",OR('TRANSPORT DASHBOARD'!$C$4="",ISNUMBER(SEARCH('TRANSPORT DASHBOARD'!$C$4,INDEX(MASTER_AREAS!$B:$B,754))))),753,""),""),IF('TRANSPORT DASHBOARD'!$B$4="Zone",IF(753&lt;=$I$4,IF(OR('TRANSPORT DASHBOARD'!$C$4="",ISNUMBER(SEARCH('TRANSPORT DASHBOARD'!$C$4,INDEX(MASTER_ZONES!$B:$B,754)))),753,""),""),""))</f>
        <v/>
      </c>
      <c r="K754">
        <f>IF('MIDWEEK DASHBOARD'!$B$4="Area",IF(753&lt;=$N$3,IF(AND(OR('MIDWEEK DASHBOARD'!$C$4="",ISNUMBER(SEARCH('MIDWEEK DASHBOARD'!$C$4,INDEX(MASTER_AREAS!$B:$B,754))))),753,""),""),IF('MIDWEEK DASHBOARD'!$B$4="Zone",IF(753&lt;=$N$4,IF(OR('MIDWEEK DASHBOARD'!$C$4="",ISNUMBER(SEARCH('MIDWEEK DASHBOARD'!$C$4,INDEX(MASTER_ZONES!$B:$B,754)))),753,""),""),""))</f>
        <v/>
      </c>
      <c r="P754">
        <f>IF('CHOP DASHBOARD'!$B$4="Area",IF(753&lt;=$S$3,IF(AND(OR('CHOP DASHBOARD'!$C$4="",ISNUMBER(SEARCH('CHOP DASHBOARD'!$C$4,INDEX(MASTER_AREAS!$B:$B,754))))),753,""),""),IF('CHOP DASHBOARD'!$B$4="Zone",IF(753&lt;=$S$4,IF(OR('CHOP DASHBOARD'!$C$4="",ISNUMBER(SEARCH('CHOP DASHBOARD'!$C$4,INDEX(MASTER_ZONES!$B:$B,754)))),753,""),""),""))</f>
        <v/>
      </c>
      <c r="U754">
        <f>IF('COMMUNITY CHURCH DASHBOARD'!$B$4="Area",IF(753&lt;=$X$3,IF(AND(OR('COMMUNITY CHURCH DASHBOARD'!$C$4="",ISNUMBER(SEARCH('COMMUNITY CHURCH DASHBOARD'!$C$4,INDEX(MASTER_AREAS!$B:$B,754))))),753,""),""),IF('COMMUNITY CHURCH DASHBOARD'!$B$4="Zone",IF(753&lt;=$X$4,IF(OR('COMMUNITY CHURCH DASHBOARD'!$C$4="",ISNUMBER(SEARCH('COMMUNITY CHURCH DASHBOARD'!$C$4,INDEX(MASTER_ZONES!$B:$B,754)))),753,""),""),""))</f>
        <v/>
      </c>
    </row>
    <row r="755">
      <c r="A755">
        <f>IF('WSF DASHBOARD'!$B$4="Area",IF(754&lt;=$D$3,IF(AND(OR('WSF DASHBOARD'!$C$4="",ISNUMBER(SEARCH('WSF DASHBOARD'!$C$4,INDEX(MASTER_AREAS!$B:$B,755))))),754,""),""),IF('WSF DASHBOARD'!$B$4="Zone",IF(754&lt;=$D$4,IF(OR('WSF DASHBOARD'!$C$4="",ISNUMBER(SEARCH('WSF DASHBOARD'!$C$4,INDEX(MASTER_ZONES!$B:$B,755)))),754,""),""),""))</f>
        <v/>
      </c>
      <c r="F755">
        <f>IF('TRANSPORT DASHBOARD'!$B$4="Area",IF(754&lt;=$I$3,IF(AND(INDEX(MASTER_AREAS!$F:$F,755)&lt;&gt;"N",OR('TRANSPORT DASHBOARD'!$C$4="",ISNUMBER(SEARCH('TRANSPORT DASHBOARD'!$C$4,INDEX(MASTER_AREAS!$B:$B,755))))),754,""),""),IF('TRANSPORT DASHBOARD'!$B$4="Zone",IF(754&lt;=$I$4,IF(OR('TRANSPORT DASHBOARD'!$C$4="",ISNUMBER(SEARCH('TRANSPORT DASHBOARD'!$C$4,INDEX(MASTER_ZONES!$B:$B,755)))),754,""),""),""))</f>
        <v/>
      </c>
      <c r="K755">
        <f>IF('MIDWEEK DASHBOARD'!$B$4="Area",IF(754&lt;=$N$3,IF(AND(OR('MIDWEEK DASHBOARD'!$C$4="",ISNUMBER(SEARCH('MIDWEEK DASHBOARD'!$C$4,INDEX(MASTER_AREAS!$B:$B,755))))),754,""),""),IF('MIDWEEK DASHBOARD'!$B$4="Zone",IF(754&lt;=$N$4,IF(OR('MIDWEEK DASHBOARD'!$C$4="",ISNUMBER(SEARCH('MIDWEEK DASHBOARD'!$C$4,INDEX(MASTER_ZONES!$B:$B,755)))),754,""),""),""))</f>
        <v/>
      </c>
      <c r="P755">
        <f>IF('CHOP DASHBOARD'!$B$4="Area",IF(754&lt;=$S$3,IF(AND(OR('CHOP DASHBOARD'!$C$4="",ISNUMBER(SEARCH('CHOP DASHBOARD'!$C$4,INDEX(MASTER_AREAS!$B:$B,755))))),754,""),""),IF('CHOP DASHBOARD'!$B$4="Zone",IF(754&lt;=$S$4,IF(OR('CHOP DASHBOARD'!$C$4="",ISNUMBER(SEARCH('CHOP DASHBOARD'!$C$4,INDEX(MASTER_ZONES!$B:$B,755)))),754,""),""),""))</f>
        <v/>
      </c>
      <c r="U755">
        <f>IF('COMMUNITY CHURCH DASHBOARD'!$B$4="Area",IF(754&lt;=$X$3,IF(AND(OR('COMMUNITY CHURCH DASHBOARD'!$C$4="",ISNUMBER(SEARCH('COMMUNITY CHURCH DASHBOARD'!$C$4,INDEX(MASTER_AREAS!$B:$B,755))))),754,""),""),IF('COMMUNITY CHURCH DASHBOARD'!$B$4="Zone",IF(754&lt;=$X$4,IF(OR('COMMUNITY CHURCH DASHBOARD'!$C$4="",ISNUMBER(SEARCH('COMMUNITY CHURCH DASHBOARD'!$C$4,INDEX(MASTER_ZONES!$B:$B,755)))),754,""),""),""))</f>
        <v/>
      </c>
    </row>
    <row r="756">
      <c r="A756">
        <f>IF('WSF DASHBOARD'!$B$4="Area",IF(755&lt;=$D$3,IF(AND(OR('WSF DASHBOARD'!$C$4="",ISNUMBER(SEARCH('WSF DASHBOARD'!$C$4,INDEX(MASTER_AREAS!$B:$B,756))))),755,""),""),IF('WSF DASHBOARD'!$B$4="Zone",IF(755&lt;=$D$4,IF(OR('WSF DASHBOARD'!$C$4="",ISNUMBER(SEARCH('WSF DASHBOARD'!$C$4,INDEX(MASTER_ZONES!$B:$B,756)))),755,""),""),""))</f>
        <v/>
      </c>
      <c r="F756">
        <f>IF('TRANSPORT DASHBOARD'!$B$4="Area",IF(755&lt;=$I$3,IF(AND(INDEX(MASTER_AREAS!$F:$F,756)&lt;&gt;"N",OR('TRANSPORT DASHBOARD'!$C$4="",ISNUMBER(SEARCH('TRANSPORT DASHBOARD'!$C$4,INDEX(MASTER_AREAS!$B:$B,756))))),755,""),""),IF('TRANSPORT DASHBOARD'!$B$4="Zone",IF(755&lt;=$I$4,IF(OR('TRANSPORT DASHBOARD'!$C$4="",ISNUMBER(SEARCH('TRANSPORT DASHBOARD'!$C$4,INDEX(MASTER_ZONES!$B:$B,756)))),755,""),""),""))</f>
        <v/>
      </c>
      <c r="K756">
        <f>IF('MIDWEEK DASHBOARD'!$B$4="Area",IF(755&lt;=$N$3,IF(AND(OR('MIDWEEK DASHBOARD'!$C$4="",ISNUMBER(SEARCH('MIDWEEK DASHBOARD'!$C$4,INDEX(MASTER_AREAS!$B:$B,756))))),755,""),""),IF('MIDWEEK DASHBOARD'!$B$4="Zone",IF(755&lt;=$N$4,IF(OR('MIDWEEK DASHBOARD'!$C$4="",ISNUMBER(SEARCH('MIDWEEK DASHBOARD'!$C$4,INDEX(MASTER_ZONES!$B:$B,756)))),755,""),""),""))</f>
        <v/>
      </c>
      <c r="P756">
        <f>IF('CHOP DASHBOARD'!$B$4="Area",IF(755&lt;=$S$3,IF(AND(OR('CHOP DASHBOARD'!$C$4="",ISNUMBER(SEARCH('CHOP DASHBOARD'!$C$4,INDEX(MASTER_AREAS!$B:$B,756))))),755,""),""),IF('CHOP DASHBOARD'!$B$4="Zone",IF(755&lt;=$S$4,IF(OR('CHOP DASHBOARD'!$C$4="",ISNUMBER(SEARCH('CHOP DASHBOARD'!$C$4,INDEX(MASTER_ZONES!$B:$B,756)))),755,""),""),""))</f>
        <v/>
      </c>
      <c r="U756">
        <f>IF('COMMUNITY CHURCH DASHBOARD'!$B$4="Area",IF(755&lt;=$X$3,IF(AND(OR('COMMUNITY CHURCH DASHBOARD'!$C$4="",ISNUMBER(SEARCH('COMMUNITY CHURCH DASHBOARD'!$C$4,INDEX(MASTER_AREAS!$B:$B,756))))),755,""),""),IF('COMMUNITY CHURCH DASHBOARD'!$B$4="Zone",IF(755&lt;=$X$4,IF(OR('COMMUNITY CHURCH DASHBOARD'!$C$4="",ISNUMBER(SEARCH('COMMUNITY CHURCH DASHBOARD'!$C$4,INDEX(MASTER_ZONES!$B:$B,756)))),755,""),""),""))</f>
        <v/>
      </c>
    </row>
    <row r="757">
      <c r="A757">
        <f>IF('WSF DASHBOARD'!$B$4="Area",IF(756&lt;=$D$3,IF(AND(OR('WSF DASHBOARD'!$C$4="",ISNUMBER(SEARCH('WSF DASHBOARD'!$C$4,INDEX(MASTER_AREAS!$B:$B,757))))),756,""),""),IF('WSF DASHBOARD'!$B$4="Zone",IF(756&lt;=$D$4,IF(OR('WSF DASHBOARD'!$C$4="",ISNUMBER(SEARCH('WSF DASHBOARD'!$C$4,INDEX(MASTER_ZONES!$B:$B,757)))),756,""),""),""))</f>
        <v/>
      </c>
      <c r="F757">
        <f>IF('TRANSPORT DASHBOARD'!$B$4="Area",IF(756&lt;=$I$3,IF(AND(INDEX(MASTER_AREAS!$F:$F,757)&lt;&gt;"N",OR('TRANSPORT DASHBOARD'!$C$4="",ISNUMBER(SEARCH('TRANSPORT DASHBOARD'!$C$4,INDEX(MASTER_AREAS!$B:$B,757))))),756,""),""),IF('TRANSPORT DASHBOARD'!$B$4="Zone",IF(756&lt;=$I$4,IF(OR('TRANSPORT DASHBOARD'!$C$4="",ISNUMBER(SEARCH('TRANSPORT DASHBOARD'!$C$4,INDEX(MASTER_ZONES!$B:$B,757)))),756,""),""),""))</f>
        <v/>
      </c>
      <c r="K757">
        <f>IF('MIDWEEK DASHBOARD'!$B$4="Area",IF(756&lt;=$N$3,IF(AND(OR('MIDWEEK DASHBOARD'!$C$4="",ISNUMBER(SEARCH('MIDWEEK DASHBOARD'!$C$4,INDEX(MASTER_AREAS!$B:$B,757))))),756,""),""),IF('MIDWEEK DASHBOARD'!$B$4="Zone",IF(756&lt;=$N$4,IF(OR('MIDWEEK DASHBOARD'!$C$4="",ISNUMBER(SEARCH('MIDWEEK DASHBOARD'!$C$4,INDEX(MASTER_ZONES!$B:$B,757)))),756,""),""),""))</f>
        <v/>
      </c>
      <c r="P757">
        <f>IF('CHOP DASHBOARD'!$B$4="Area",IF(756&lt;=$S$3,IF(AND(OR('CHOP DASHBOARD'!$C$4="",ISNUMBER(SEARCH('CHOP DASHBOARD'!$C$4,INDEX(MASTER_AREAS!$B:$B,757))))),756,""),""),IF('CHOP DASHBOARD'!$B$4="Zone",IF(756&lt;=$S$4,IF(OR('CHOP DASHBOARD'!$C$4="",ISNUMBER(SEARCH('CHOP DASHBOARD'!$C$4,INDEX(MASTER_ZONES!$B:$B,757)))),756,""),""),""))</f>
        <v/>
      </c>
      <c r="U757">
        <f>IF('COMMUNITY CHURCH DASHBOARD'!$B$4="Area",IF(756&lt;=$X$3,IF(AND(OR('COMMUNITY CHURCH DASHBOARD'!$C$4="",ISNUMBER(SEARCH('COMMUNITY CHURCH DASHBOARD'!$C$4,INDEX(MASTER_AREAS!$B:$B,757))))),756,""),""),IF('COMMUNITY CHURCH DASHBOARD'!$B$4="Zone",IF(756&lt;=$X$4,IF(OR('COMMUNITY CHURCH DASHBOARD'!$C$4="",ISNUMBER(SEARCH('COMMUNITY CHURCH DASHBOARD'!$C$4,INDEX(MASTER_ZONES!$B:$B,757)))),756,""),""),""))</f>
        <v/>
      </c>
    </row>
    <row r="758">
      <c r="A758">
        <f>IF('WSF DASHBOARD'!$B$4="Area",IF(757&lt;=$D$3,IF(AND(OR('WSF DASHBOARD'!$C$4="",ISNUMBER(SEARCH('WSF DASHBOARD'!$C$4,INDEX(MASTER_AREAS!$B:$B,758))))),757,""),""),IF('WSF DASHBOARD'!$B$4="Zone",IF(757&lt;=$D$4,IF(OR('WSF DASHBOARD'!$C$4="",ISNUMBER(SEARCH('WSF DASHBOARD'!$C$4,INDEX(MASTER_ZONES!$B:$B,758)))),757,""),""),""))</f>
        <v/>
      </c>
      <c r="F758">
        <f>IF('TRANSPORT DASHBOARD'!$B$4="Area",IF(757&lt;=$I$3,IF(AND(INDEX(MASTER_AREAS!$F:$F,758)&lt;&gt;"N",OR('TRANSPORT DASHBOARD'!$C$4="",ISNUMBER(SEARCH('TRANSPORT DASHBOARD'!$C$4,INDEX(MASTER_AREAS!$B:$B,758))))),757,""),""),IF('TRANSPORT DASHBOARD'!$B$4="Zone",IF(757&lt;=$I$4,IF(OR('TRANSPORT DASHBOARD'!$C$4="",ISNUMBER(SEARCH('TRANSPORT DASHBOARD'!$C$4,INDEX(MASTER_ZONES!$B:$B,758)))),757,""),""),""))</f>
        <v/>
      </c>
      <c r="K758">
        <f>IF('MIDWEEK DASHBOARD'!$B$4="Area",IF(757&lt;=$N$3,IF(AND(OR('MIDWEEK DASHBOARD'!$C$4="",ISNUMBER(SEARCH('MIDWEEK DASHBOARD'!$C$4,INDEX(MASTER_AREAS!$B:$B,758))))),757,""),""),IF('MIDWEEK DASHBOARD'!$B$4="Zone",IF(757&lt;=$N$4,IF(OR('MIDWEEK DASHBOARD'!$C$4="",ISNUMBER(SEARCH('MIDWEEK DASHBOARD'!$C$4,INDEX(MASTER_ZONES!$B:$B,758)))),757,""),""),""))</f>
        <v/>
      </c>
      <c r="P758">
        <f>IF('CHOP DASHBOARD'!$B$4="Area",IF(757&lt;=$S$3,IF(AND(OR('CHOP DASHBOARD'!$C$4="",ISNUMBER(SEARCH('CHOP DASHBOARD'!$C$4,INDEX(MASTER_AREAS!$B:$B,758))))),757,""),""),IF('CHOP DASHBOARD'!$B$4="Zone",IF(757&lt;=$S$4,IF(OR('CHOP DASHBOARD'!$C$4="",ISNUMBER(SEARCH('CHOP DASHBOARD'!$C$4,INDEX(MASTER_ZONES!$B:$B,758)))),757,""),""),""))</f>
        <v/>
      </c>
      <c r="U758">
        <f>IF('COMMUNITY CHURCH DASHBOARD'!$B$4="Area",IF(757&lt;=$X$3,IF(AND(OR('COMMUNITY CHURCH DASHBOARD'!$C$4="",ISNUMBER(SEARCH('COMMUNITY CHURCH DASHBOARD'!$C$4,INDEX(MASTER_AREAS!$B:$B,758))))),757,""),""),IF('COMMUNITY CHURCH DASHBOARD'!$B$4="Zone",IF(757&lt;=$X$4,IF(OR('COMMUNITY CHURCH DASHBOARD'!$C$4="",ISNUMBER(SEARCH('COMMUNITY CHURCH DASHBOARD'!$C$4,INDEX(MASTER_ZONES!$B:$B,758)))),757,""),""),""))</f>
        <v/>
      </c>
    </row>
    <row r="759">
      <c r="A759">
        <f>IF('WSF DASHBOARD'!$B$4="Area",IF(758&lt;=$D$3,IF(AND(OR('WSF DASHBOARD'!$C$4="",ISNUMBER(SEARCH('WSF DASHBOARD'!$C$4,INDEX(MASTER_AREAS!$B:$B,759))))),758,""),""),IF('WSF DASHBOARD'!$B$4="Zone",IF(758&lt;=$D$4,IF(OR('WSF DASHBOARD'!$C$4="",ISNUMBER(SEARCH('WSF DASHBOARD'!$C$4,INDEX(MASTER_ZONES!$B:$B,759)))),758,""),""),""))</f>
        <v/>
      </c>
      <c r="F759">
        <f>IF('TRANSPORT DASHBOARD'!$B$4="Area",IF(758&lt;=$I$3,IF(AND(INDEX(MASTER_AREAS!$F:$F,759)&lt;&gt;"N",OR('TRANSPORT DASHBOARD'!$C$4="",ISNUMBER(SEARCH('TRANSPORT DASHBOARD'!$C$4,INDEX(MASTER_AREAS!$B:$B,759))))),758,""),""),IF('TRANSPORT DASHBOARD'!$B$4="Zone",IF(758&lt;=$I$4,IF(OR('TRANSPORT DASHBOARD'!$C$4="",ISNUMBER(SEARCH('TRANSPORT DASHBOARD'!$C$4,INDEX(MASTER_ZONES!$B:$B,759)))),758,""),""),""))</f>
        <v/>
      </c>
      <c r="K759">
        <f>IF('MIDWEEK DASHBOARD'!$B$4="Area",IF(758&lt;=$N$3,IF(AND(OR('MIDWEEK DASHBOARD'!$C$4="",ISNUMBER(SEARCH('MIDWEEK DASHBOARD'!$C$4,INDEX(MASTER_AREAS!$B:$B,759))))),758,""),""),IF('MIDWEEK DASHBOARD'!$B$4="Zone",IF(758&lt;=$N$4,IF(OR('MIDWEEK DASHBOARD'!$C$4="",ISNUMBER(SEARCH('MIDWEEK DASHBOARD'!$C$4,INDEX(MASTER_ZONES!$B:$B,759)))),758,""),""),""))</f>
        <v/>
      </c>
      <c r="P759">
        <f>IF('CHOP DASHBOARD'!$B$4="Area",IF(758&lt;=$S$3,IF(AND(OR('CHOP DASHBOARD'!$C$4="",ISNUMBER(SEARCH('CHOP DASHBOARD'!$C$4,INDEX(MASTER_AREAS!$B:$B,759))))),758,""),""),IF('CHOP DASHBOARD'!$B$4="Zone",IF(758&lt;=$S$4,IF(OR('CHOP DASHBOARD'!$C$4="",ISNUMBER(SEARCH('CHOP DASHBOARD'!$C$4,INDEX(MASTER_ZONES!$B:$B,759)))),758,""),""),""))</f>
        <v/>
      </c>
      <c r="U759">
        <f>IF('COMMUNITY CHURCH DASHBOARD'!$B$4="Area",IF(758&lt;=$X$3,IF(AND(OR('COMMUNITY CHURCH DASHBOARD'!$C$4="",ISNUMBER(SEARCH('COMMUNITY CHURCH DASHBOARD'!$C$4,INDEX(MASTER_AREAS!$B:$B,759))))),758,""),""),IF('COMMUNITY CHURCH DASHBOARD'!$B$4="Zone",IF(758&lt;=$X$4,IF(OR('COMMUNITY CHURCH DASHBOARD'!$C$4="",ISNUMBER(SEARCH('COMMUNITY CHURCH DASHBOARD'!$C$4,INDEX(MASTER_ZONES!$B:$B,759)))),758,""),""),""))</f>
        <v/>
      </c>
    </row>
    <row r="760">
      <c r="A760">
        <f>IF('WSF DASHBOARD'!$B$4="Area",IF(759&lt;=$D$3,IF(AND(OR('WSF DASHBOARD'!$C$4="",ISNUMBER(SEARCH('WSF DASHBOARD'!$C$4,INDEX(MASTER_AREAS!$B:$B,760))))),759,""),""),IF('WSF DASHBOARD'!$B$4="Zone",IF(759&lt;=$D$4,IF(OR('WSF DASHBOARD'!$C$4="",ISNUMBER(SEARCH('WSF DASHBOARD'!$C$4,INDEX(MASTER_ZONES!$B:$B,760)))),759,""),""),""))</f>
        <v/>
      </c>
      <c r="F760">
        <f>IF('TRANSPORT DASHBOARD'!$B$4="Area",IF(759&lt;=$I$3,IF(AND(INDEX(MASTER_AREAS!$F:$F,760)&lt;&gt;"N",OR('TRANSPORT DASHBOARD'!$C$4="",ISNUMBER(SEARCH('TRANSPORT DASHBOARD'!$C$4,INDEX(MASTER_AREAS!$B:$B,760))))),759,""),""),IF('TRANSPORT DASHBOARD'!$B$4="Zone",IF(759&lt;=$I$4,IF(OR('TRANSPORT DASHBOARD'!$C$4="",ISNUMBER(SEARCH('TRANSPORT DASHBOARD'!$C$4,INDEX(MASTER_ZONES!$B:$B,760)))),759,""),""),""))</f>
        <v/>
      </c>
      <c r="K760">
        <f>IF('MIDWEEK DASHBOARD'!$B$4="Area",IF(759&lt;=$N$3,IF(AND(OR('MIDWEEK DASHBOARD'!$C$4="",ISNUMBER(SEARCH('MIDWEEK DASHBOARD'!$C$4,INDEX(MASTER_AREAS!$B:$B,760))))),759,""),""),IF('MIDWEEK DASHBOARD'!$B$4="Zone",IF(759&lt;=$N$4,IF(OR('MIDWEEK DASHBOARD'!$C$4="",ISNUMBER(SEARCH('MIDWEEK DASHBOARD'!$C$4,INDEX(MASTER_ZONES!$B:$B,760)))),759,""),""),""))</f>
        <v/>
      </c>
      <c r="P760">
        <f>IF('CHOP DASHBOARD'!$B$4="Area",IF(759&lt;=$S$3,IF(AND(OR('CHOP DASHBOARD'!$C$4="",ISNUMBER(SEARCH('CHOP DASHBOARD'!$C$4,INDEX(MASTER_AREAS!$B:$B,760))))),759,""),""),IF('CHOP DASHBOARD'!$B$4="Zone",IF(759&lt;=$S$4,IF(OR('CHOP DASHBOARD'!$C$4="",ISNUMBER(SEARCH('CHOP DASHBOARD'!$C$4,INDEX(MASTER_ZONES!$B:$B,760)))),759,""),""),""))</f>
        <v/>
      </c>
      <c r="U760">
        <f>IF('COMMUNITY CHURCH DASHBOARD'!$B$4="Area",IF(759&lt;=$X$3,IF(AND(OR('COMMUNITY CHURCH DASHBOARD'!$C$4="",ISNUMBER(SEARCH('COMMUNITY CHURCH DASHBOARD'!$C$4,INDEX(MASTER_AREAS!$B:$B,760))))),759,""),""),IF('COMMUNITY CHURCH DASHBOARD'!$B$4="Zone",IF(759&lt;=$X$4,IF(OR('COMMUNITY CHURCH DASHBOARD'!$C$4="",ISNUMBER(SEARCH('COMMUNITY CHURCH DASHBOARD'!$C$4,INDEX(MASTER_ZONES!$B:$B,760)))),759,""),""),""))</f>
        <v/>
      </c>
    </row>
    <row r="761">
      <c r="A761">
        <f>IF('WSF DASHBOARD'!$B$4="Area",IF(760&lt;=$D$3,IF(AND(OR('WSF DASHBOARD'!$C$4="",ISNUMBER(SEARCH('WSF DASHBOARD'!$C$4,INDEX(MASTER_AREAS!$B:$B,761))))),760,""),""),IF('WSF DASHBOARD'!$B$4="Zone",IF(760&lt;=$D$4,IF(OR('WSF DASHBOARD'!$C$4="",ISNUMBER(SEARCH('WSF DASHBOARD'!$C$4,INDEX(MASTER_ZONES!$B:$B,761)))),760,""),""),""))</f>
        <v/>
      </c>
      <c r="F761">
        <f>IF('TRANSPORT DASHBOARD'!$B$4="Area",IF(760&lt;=$I$3,IF(AND(INDEX(MASTER_AREAS!$F:$F,761)&lt;&gt;"N",OR('TRANSPORT DASHBOARD'!$C$4="",ISNUMBER(SEARCH('TRANSPORT DASHBOARD'!$C$4,INDEX(MASTER_AREAS!$B:$B,761))))),760,""),""),IF('TRANSPORT DASHBOARD'!$B$4="Zone",IF(760&lt;=$I$4,IF(OR('TRANSPORT DASHBOARD'!$C$4="",ISNUMBER(SEARCH('TRANSPORT DASHBOARD'!$C$4,INDEX(MASTER_ZONES!$B:$B,761)))),760,""),""),""))</f>
        <v/>
      </c>
      <c r="K761">
        <f>IF('MIDWEEK DASHBOARD'!$B$4="Area",IF(760&lt;=$N$3,IF(AND(OR('MIDWEEK DASHBOARD'!$C$4="",ISNUMBER(SEARCH('MIDWEEK DASHBOARD'!$C$4,INDEX(MASTER_AREAS!$B:$B,761))))),760,""),""),IF('MIDWEEK DASHBOARD'!$B$4="Zone",IF(760&lt;=$N$4,IF(OR('MIDWEEK DASHBOARD'!$C$4="",ISNUMBER(SEARCH('MIDWEEK DASHBOARD'!$C$4,INDEX(MASTER_ZONES!$B:$B,761)))),760,""),""),""))</f>
        <v/>
      </c>
      <c r="P761">
        <f>IF('CHOP DASHBOARD'!$B$4="Area",IF(760&lt;=$S$3,IF(AND(OR('CHOP DASHBOARD'!$C$4="",ISNUMBER(SEARCH('CHOP DASHBOARD'!$C$4,INDEX(MASTER_AREAS!$B:$B,761))))),760,""),""),IF('CHOP DASHBOARD'!$B$4="Zone",IF(760&lt;=$S$4,IF(OR('CHOP DASHBOARD'!$C$4="",ISNUMBER(SEARCH('CHOP DASHBOARD'!$C$4,INDEX(MASTER_ZONES!$B:$B,761)))),760,""),""),""))</f>
        <v/>
      </c>
      <c r="U761">
        <f>IF('COMMUNITY CHURCH DASHBOARD'!$B$4="Area",IF(760&lt;=$X$3,IF(AND(OR('COMMUNITY CHURCH DASHBOARD'!$C$4="",ISNUMBER(SEARCH('COMMUNITY CHURCH DASHBOARD'!$C$4,INDEX(MASTER_AREAS!$B:$B,761))))),760,""),""),IF('COMMUNITY CHURCH DASHBOARD'!$B$4="Zone",IF(760&lt;=$X$4,IF(OR('COMMUNITY CHURCH DASHBOARD'!$C$4="",ISNUMBER(SEARCH('COMMUNITY CHURCH DASHBOARD'!$C$4,INDEX(MASTER_ZONES!$B:$B,761)))),760,""),""),""))</f>
        <v/>
      </c>
    </row>
    <row r="762">
      <c r="A762">
        <f>IF('WSF DASHBOARD'!$B$4="Area",IF(761&lt;=$D$3,IF(AND(OR('WSF DASHBOARD'!$C$4="",ISNUMBER(SEARCH('WSF DASHBOARD'!$C$4,INDEX(MASTER_AREAS!$B:$B,762))))),761,""),""),IF('WSF DASHBOARD'!$B$4="Zone",IF(761&lt;=$D$4,IF(OR('WSF DASHBOARD'!$C$4="",ISNUMBER(SEARCH('WSF DASHBOARD'!$C$4,INDEX(MASTER_ZONES!$B:$B,762)))),761,""),""),""))</f>
        <v/>
      </c>
      <c r="F762">
        <f>IF('TRANSPORT DASHBOARD'!$B$4="Area",IF(761&lt;=$I$3,IF(AND(INDEX(MASTER_AREAS!$F:$F,762)&lt;&gt;"N",OR('TRANSPORT DASHBOARD'!$C$4="",ISNUMBER(SEARCH('TRANSPORT DASHBOARD'!$C$4,INDEX(MASTER_AREAS!$B:$B,762))))),761,""),""),IF('TRANSPORT DASHBOARD'!$B$4="Zone",IF(761&lt;=$I$4,IF(OR('TRANSPORT DASHBOARD'!$C$4="",ISNUMBER(SEARCH('TRANSPORT DASHBOARD'!$C$4,INDEX(MASTER_ZONES!$B:$B,762)))),761,""),""),""))</f>
        <v/>
      </c>
      <c r="K762">
        <f>IF('MIDWEEK DASHBOARD'!$B$4="Area",IF(761&lt;=$N$3,IF(AND(OR('MIDWEEK DASHBOARD'!$C$4="",ISNUMBER(SEARCH('MIDWEEK DASHBOARD'!$C$4,INDEX(MASTER_AREAS!$B:$B,762))))),761,""),""),IF('MIDWEEK DASHBOARD'!$B$4="Zone",IF(761&lt;=$N$4,IF(OR('MIDWEEK DASHBOARD'!$C$4="",ISNUMBER(SEARCH('MIDWEEK DASHBOARD'!$C$4,INDEX(MASTER_ZONES!$B:$B,762)))),761,""),""),""))</f>
        <v/>
      </c>
      <c r="P762">
        <f>IF('CHOP DASHBOARD'!$B$4="Area",IF(761&lt;=$S$3,IF(AND(OR('CHOP DASHBOARD'!$C$4="",ISNUMBER(SEARCH('CHOP DASHBOARD'!$C$4,INDEX(MASTER_AREAS!$B:$B,762))))),761,""),""),IF('CHOP DASHBOARD'!$B$4="Zone",IF(761&lt;=$S$4,IF(OR('CHOP DASHBOARD'!$C$4="",ISNUMBER(SEARCH('CHOP DASHBOARD'!$C$4,INDEX(MASTER_ZONES!$B:$B,762)))),761,""),""),""))</f>
        <v/>
      </c>
      <c r="U762">
        <f>IF('COMMUNITY CHURCH DASHBOARD'!$B$4="Area",IF(761&lt;=$X$3,IF(AND(OR('COMMUNITY CHURCH DASHBOARD'!$C$4="",ISNUMBER(SEARCH('COMMUNITY CHURCH DASHBOARD'!$C$4,INDEX(MASTER_AREAS!$B:$B,762))))),761,""),""),IF('COMMUNITY CHURCH DASHBOARD'!$B$4="Zone",IF(761&lt;=$X$4,IF(OR('COMMUNITY CHURCH DASHBOARD'!$C$4="",ISNUMBER(SEARCH('COMMUNITY CHURCH DASHBOARD'!$C$4,INDEX(MASTER_ZONES!$B:$B,762)))),761,""),""),""))</f>
        <v/>
      </c>
    </row>
    <row r="763">
      <c r="A763">
        <f>IF('WSF DASHBOARD'!$B$4="Area",IF(762&lt;=$D$3,IF(AND(OR('WSF DASHBOARD'!$C$4="",ISNUMBER(SEARCH('WSF DASHBOARD'!$C$4,INDEX(MASTER_AREAS!$B:$B,763))))),762,""),""),IF('WSF DASHBOARD'!$B$4="Zone",IF(762&lt;=$D$4,IF(OR('WSF DASHBOARD'!$C$4="",ISNUMBER(SEARCH('WSF DASHBOARD'!$C$4,INDEX(MASTER_ZONES!$B:$B,763)))),762,""),""),""))</f>
        <v/>
      </c>
      <c r="F763">
        <f>IF('TRANSPORT DASHBOARD'!$B$4="Area",IF(762&lt;=$I$3,IF(AND(INDEX(MASTER_AREAS!$F:$F,763)&lt;&gt;"N",OR('TRANSPORT DASHBOARD'!$C$4="",ISNUMBER(SEARCH('TRANSPORT DASHBOARD'!$C$4,INDEX(MASTER_AREAS!$B:$B,763))))),762,""),""),IF('TRANSPORT DASHBOARD'!$B$4="Zone",IF(762&lt;=$I$4,IF(OR('TRANSPORT DASHBOARD'!$C$4="",ISNUMBER(SEARCH('TRANSPORT DASHBOARD'!$C$4,INDEX(MASTER_ZONES!$B:$B,763)))),762,""),""),""))</f>
        <v/>
      </c>
      <c r="K763">
        <f>IF('MIDWEEK DASHBOARD'!$B$4="Area",IF(762&lt;=$N$3,IF(AND(OR('MIDWEEK DASHBOARD'!$C$4="",ISNUMBER(SEARCH('MIDWEEK DASHBOARD'!$C$4,INDEX(MASTER_AREAS!$B:$B,763))))),762,""),""),IF('MIDWEEK DASHBOARD'!$B$4="Zone",IF(762&lt;=$N$4,IF(OR('MIDWEEK DASHBOARD'!$C$4="",ISNUMBER(SEARCH('MIDWEEK DASHBOARD'!$C$4,INDEX(MASTER_ZONES!$B:$B,763)))),762,""),""),""))</f>
        <v/>
      </c>
      <c r="P763">
        <f>IF('CHOP DASHBOARD'!$B$4="Area",IF(762&lt;=$S$3,IF(AND(OR('CHOP DASHBOARD'!$C$4="",ISNUMBER(SEARCH('CHOP DASHBOARD'!$C$4,INDEX(MASTER_AREAS!$B:$B,763))))),762,""),""),IF('CHOP DASHBOARD'!$B$4="Zone",IF(762&lt;=$S$4,IF(OR('CHOP DASHBOARD'!$C$4="",ISNUMBER(SEARCH('CHOP DASHBOARD'!$C$4,INDEX(MASTER_ZONES!$B:$B,763)))),762,""),""),""))</f>
        <v/>
      </c>
      <c r="U763">
        <f>IF('COMMUNITY CHURCH DASHBOARD'!$B$4="Area",IF(762&lt;=$X$3,IF(AND(OR('COMMUNITY CHURCH DASHBOARD'!$C$4="",ISNUMBER(SEARCH('COMMUNITY CHURCH DASHBOARD'!$C$4,INDEX(MASTER_AREAS!$B:$B,763))))),762,""),""),IF('COMMUNITY CHURCH DASHBOARD'!$B$4="Zone",IF(762&lt;=$X$4,IF(OR('COMMUNITY CHURCH DASHBOARD'!$C$4="",ISNUMBER(SEARCH('COMMUNITY CHURCH DASHBOARD'!$C$4,INDEX(MASTER_ZONES!$B:$B,763)))),762,""),""),""))</f>
        <v/>
      </c>
    </row>
    <row r="764">
      <c r="A764">
        <f>IF('WSF DASHBOARD'!$B$4="Area",IF(763&lt;=$D$3,IF(AND(OR('WSF DASHBOARD'!$C$4="",ISNUMBER(SEARCH('WSF DASHBOARD'!$C$4,INDEX(MASTER_AREAS!$B:$B,764))))),763,""),""),IF('WSF DASHBOARD'!$B$4="Zone",IF(763&lt;=$D$4,IF(OR('WSF DASHBOARD'!$C$4="",ISNUMBER(SEARCH('WSF DASHBOARD'!$C$4,INDEX(MASTER_ZONES!$B:$B,764)))),763,""),""),""))</f>
        <v/>
      </c>
      <c r="F764">
        <f>IF('TRANSPORT DASHBOARD'!$B$4="Area",IF(763&lt;=$I$3,IF(AND(INDEX(MASTER_AREAS!$F:$F,764)&lt;&gt;"N",OR('TRANSPORT DASHBOARD'!$C$4="",ISNUMBER(SEARCH('TRANSPORT DASHBOARD'!$C$4,INDEX(MASTER_AREAS!$B:$B,764))))),763,""),""),IF('TRANSPORT DASHBOARD'!$B$4="Zone",IF(763&lt;=$I$4,IF(OR('TRANSPORT DASHBOARD'!$C$4="",ISNUMBER(SEARCH('TRANSPORT DASHBOARD'!$C$4,INDEX(MASTER_ZONES!$B:$B,764)))),763,""),""),""))</f>
        <v/>
      </c>
      <c r="K764">
        <f>IF('MIDWEEK DASHBOARD'!$B$4="Area",IF(763&lt;=$N$3,IF(AND(OR('MIDWEEK DASHBOARD'!$C$4="",ISNUMBER(SEARCH('MIDWEEK DASHBOARD'!$C$4,INDEX(MASTER_AREAS!$B:$B,764))))),763,""),""),IF('MIDWEEK DASHBOARD'!$B$4="Zone",IF(763&lt;=$N$4,IF(OR('MIDWEEK DASHBOARD'!$C$4="",ISNUMBER(SEARCH('MIDWEEK DASHBOARD'!$C$4,INDEX(MASTER_ZONES!$B:$B,764)))),763,""),""),""))</f>
        <v/>
      </c>
      <c r="P764">
        <f>IF('CHOP DASHBOARD'!$B$4="Area",IF(763&lt;=$S$3,IF(AND(OR('CHOP DASHBOARD'!$C$4="",ISNUMBER(SEARCH('CHOP DASHBOARD'!$C$4,INDEX(MASTER_AREAS!$B:$B,764))))),763,""),""),IF('CHOP DASHBOARD'!$B$4="Zone",IF(763&lt;=$S$4,IF(OR('CHOP DASHBOARD'!$C$4="",ISNUMBER(SEARCH('CHOP DASHBOARD'!$C$4,INDEX(MASTER_ZONES!$B:$B,764)))),763,""),""),""))</f>
        <v/>
      </c>
      <c r="U764">
        <f>IF('COMMUNITY CHURCH DASHBOARD'!$B$4="Area",IF(763&lt;=$X$3,IF(AND(OR('COMMUNITY CHURCH DASHBOARD'!$C$4="",ISNUMBER(SEARCH('COMMUNITY CHURCH DASHBOARD'!$C$4,INDEX(MASTER_AREAS!$B:$B,764))))),763,""),""),IF('COMMUNITY CHURCH DASHBOARD'!$B$4="Zone",IF(763&lt;=$X$4,IF(OR('COMMUNITY CHURCH DASHBOARD'!$C$4="",ISNUMBER(SEARCH('COMMUNITY CHURCH DASHBOARD'!$C$4,INDEX(MASTER_ZONES!$B:$B,764)))),763,""),""),""))</f>
        <v/>
      </c>
    </row>
    <row r="765">
      <c r="A765">
        <f>IF('WSF DASHBOARD'!$B$4="Area",IF(764&lt;=$D$3,IF(AND(OR('WSF DASHBOARD'!$C$4="",ISNUMBER(SEARCH('WSF DASHBOARD'!$C$4,INDEX(MASTER_AREAS!$B:$B,765))))),764,""),""),IF('WSF DASHBOARD'!$B$4="Zone",IF(764&lt;=$D$4,IF(OR('WSF DASHBOARD'!$C$4="",ISNUMBER(SEARCH('WSF DASHBOARD'!$C$4,INDEX(MASTER_ZONES!$B:$B,765)))),764,""),""),""))</f>
        <v/>
      </c>
      <c r="F765">
        <f>IF('TRANSPORT DASHBOARD'!$B$4="Area",IF(764&lt;=$I$3,IF(AND(INDEX(MASTER_AREAS!$F:$F,765)&lt;&gt;"N",OR('TRANSPORT DASHBOARD'!$C$4="",ISNUMBER(SEARCH('TRANSPORT DASHBOARD'!$C$4,INDEX(MASTER_AREAS!$B:$B,765))))),764,""),""),IF('TRANSPORT DASHBOARD'!$B$4="Zone",IF(764&lt;=$I$4,IF(OR('TRANSPORT DASHBOARD'!$C$4="",ISNUMBER(SEARCH('TRANSPORT DASHBOARD'!$C$4,INDEX(MASTER_ZONES!$B:$B,765)))),764,""),""),""))</f>
        <v/>
      </c>
      <c r="K765">
        <f>IF('MIDWEEK DASHBOARD'!$B$4="Area",IF(764&lt;=$N$3,IF(AND(OR('MIDWEEK DASHBOARD'!$C$4="",ISNUMBER(SEARCH('MIDWEEK DASHBOARD'!$C$4,INDEX(MASTER_AREAS!$B:$B,765))))),764,""),""),IF('MIDWEEK DASHBOARD'!$B$4="Zone",IF(764&lt;=$N$4,IF(OR('MIDWEEK DASHBOARD'!$C$4="",ISNUMBER(SEARCH('MIDWEEK DASHBOARD'!$C$4,INDEX(MASTER_ZONES!$B:$B,765)))),764,""),""),""))</f>
        <v/>
      </c>
      <c r="P765">
        <f>IF('CHOP DASHBOARD'!$B$4="Area",IF(764&lt;=$S$3,IF(AND(OR('CHOP DASHBOARD'!$C$4="",ISNUMBER(SEARCH('CHOP DASHBOARD'!$C$4,INDEX(MASTER_AREAS!$B:$B,765))))),764,""),""),IF('CHOP DASHBOARD'!$B$4="Zone",IF(764&lt;=$S$4,IF(OR('CHOP DASHBOARD'!$C$4="",ISNUMBER(SEARCH('CHOP DASHBOARD'!$C$4,INDEX(MASTER_ZONES!$B:$B,765)))),764,""),""),""))</f>
        <v/>
      </c>
      <c r="U765">
        <f>IF('COMMUNITY CHURCH DASHBOARD'!$B$4="Area",IF(764&lt;=$X$3,IF(AND(OR('COMMUNITY CHURCH DASHBOARD'!$C$4="",ISNUMBER(SEARCH('COMMUNITY CHURCH DASHBOARD'!$C$4,INDEX(MASTER_AREAS!$B:$B,765))))),764,""),""),IF('COMMUNITY CHURCH DASHBOARD'!$B$4="Zone",IF(764&lt;=$X$4,IF(OR('COMMUNITY CHURCH DASHBOARD'!$C$4="",ISNUMBER(SEARCH('COMMUNITY CHURCH DASHBOARD'!$C$4,INDEX(MASTER_ZONES!$B:$B,765)))),764,""),""),""))</f>
        <v/>
      </c>
    </row>
    <row r="766">
      <c r="A766">
        <f>IF('WSF DASHBOARD'!$B$4="Area",IF(765&lt;=$D$3,IF(AND(OR('WSF DASHBOARD'!$C$4="",ISNUMBER(SEARCH('WSF DASHBOARD'!$C$4,INDEX(MASTER_AREAS!$B:$B,766))))),765,""),""),IF('WSF DASHBOARD'!$B$4="Zone",IF(765&lt;=$D$4,IF(OR('WSF DASHBOARD'!$C$4="",ISNUMBER(SEARCH('WSF DASHBOARD'!$C$4,INDEX(MASTER_ZONES!$B:$B,766)))),765,""),""),""))</f>
        <v/>
      </c>
      <c r="F766">
        <f>IF('TRANSPORT DASHBOARD'!$B$4="Area",IF(765&lt;=$I$3,IF(AND(INDEX(MASTER_AREAS!$F:$F,766)&lt;&gt;"N",OR('TRANSPORT DASHBOARD'!$C$4="",ISNUMBER(SEARCH('TRANSPORT DASHBOARD'!$C$4,INDEX(MASTER_AREAS!$B:$B,766))))),765,""),""),IF('TRANSPORT DASHBOARD'!$B$4="Zone",IF(765&lt;=$I$4,IF(OR('TRANSPORT DASHBOARD'!$C$4="",ISNUMBER(SEARCH('TRANSPORT DASHBOARD'!$C$4,INDEX(MASTER_ZONES!$B:$B,766)))),765,""),""),""))</f>
        <v/>
      </c>
      <c r="K766">
        <f>IF('MIDWEEK DASHBOARD'!$B$4="Area",IF(765&lt;=$N$3,IF(AND(OR('MIDWEEK DASHBOARD'!$C$4="",ISNUMBER(SEARCH('MIDWEEK DASHBOARD'!$C$4,INDEX(MASTER_AREAS!$B:$B,766))))),765,""),""),IF('MIDWEEK DASHBOARD'!$B$4="Zone",IF(765&lt;=$N$4,IF(OR('MIDWEEK DASHBOARD'!$C$4="",ISNUMBER(SEARCH('MIDWEEK DASHBOARD'!$C$4,INDEX(MASTER_ZONES!$B:$B,766)))),765,""),""),""))</f>
        <v/>
      </c>
      <c r="P766">
        <f>IF('CHOP DASHBOARD'!$B$4="Area",IF(765&lt;=$S$3,IF(AND(OR('CHOP DASHBOARD'!$C$4="",ISNUMBER(SEARCH('CHOP DASHBOARD'!$C$4,INDEX(MASTER_AREAS!$B:$B,766))))),765,""),""),IF('CHOP DASHBOARD'!$B$4="Zone",IF(765&lt;=$S$4,IF(OR('CHOP DASHBOARD'!$C$4="",ISNUMBER(SEARCH('CHOP DASHBOARD'!$C$4,INDEX(MASTER_ZONES!$B:$B,766)))),765,""),""),""))</f>
        <v/>
      </c>
      <c r="U766">
        <f>IF('COMMUNITY CHURCH DASHBOARD'!$B$4="Area",IF(765&lt;=$X$3,IF(AND(OR('COMMUNITY CHURCH DASHBOARD'!$C$4="",ISNUMBER(SEARCH('COMMUNITY CHURCH DASHBOARD'!$C$4,INDEX(MASTER_AREAS!$B:$B,766))))),765,""),""),IF('COMMUNITY CHURCH DASHBOARD'!$B$4="Zone",IF(765&lt;=$X$4,IF(OR('COMMUNITY CHURCH DASHBOARD'!$C$4="",ISNUMBER(SEARCH('COMMUNITY CHURCH DASHBOARD'!$C$4,INDEX(MASTER_ZONES!$B:$B,766)))),765,""),""),""))</f>
        <v/>
      </c>
    </row>
    <row r="767">
      <c r="A767">
        <f>IF('WSF DASHBOARD'!$B$4="Area",IF(766&lt;=$D$3,IF(AND(OR('WSF DASHBOARD'!$C$4="",ISNUMBER(SEARCH('WSF DASHBOARD'!$C$4,INDEX(MASTER_AREAS!$B:$B,767))))),766,""),""),IF('WSF DASHBOARD'!$B$4="Zone",IF(766&lt;=$D$4,IF(OR('WSF DASHBOARD'!$C$4="",ISNUMBER(SEARCH('WSF DASHBOARD'!$C$4,INDEX(MASTER_ZONES!$B:$B,767)))),766,""),""),""))</f>
        <v/>
      </c>
      <c r="F767">
        <f>IF('TRANSPORT DASHBOARD'!$B$4="Area",IF(766&lt;=$I$3,IF(AND(INDEX(MASTER_AREAS!$F:$F,767)&lt;&gt;"N",OR('TRANSPORT DASHBOARD'!$C$4="",ISNUMBER(SEARCH('TRANSPORT DASHBOARD'!$C$4,INDEX(MASTER_AREAS!$B:$B,767))))),766,""),""),IF('TRANSPORT DASHBOARD'!$B$4="Zone",IF(766&lt;=$I$4,IF(OR('TRANSPORT DASHBOARD'!$C$4="",ISNUMBER(SEARCH('TRANSPORT DASHBOARD'!$C$4,INDEX(MASTER_ZONES!$B:$B,767)))),766,""),""),""))</f>
        <v/>
      </c>
      <c r="K767">
        <f>IF('MIDWEEK DASHBOARD'!$B$4="Area",IF(766&lt;=$N$3,IF(AND(OR('MIDWEEK DASHBOARD'!$C$4="",ISNUMBER(SEARCH('MIDWEEK DASHBOARD'!$C$4,INDEX(MASTER_AREAS!$B:$B,767))))),766,""),""),IF('MIDWEEK DASHBOARD'!$B$4="Zone",IF(766&lt;=$N$4,IF(OR('MIDWEEK DASHBOARD'!$C$4="",ISNUMBER(SEARCH('MIDWEEK DASHBOARD'!$C$4,INDEX(MASTER_ZONES!$B:$B,767)))),766,""),""),""))</f>
        <v/>
      </c>
      <c r="P767">
        <f>IF('CHOP DASHBOARD'!$B$4="Area",IF(766&lt;=$S$3,IF(AND(OR('CHOP DASHBOARD'!$C$4="",ISNUMBER(SEARCH('CHOP DASHBOARD'!$C$4,INDEX(MASTER_AREAS!$B:$B,767))))),766,""),""),IF('CHOP DASHBOARD'!$B$4="Zone",IF(766&lt;=$S$4,IF(OR('CHOP DASHBOARD'!$C$4="",ISNUMBER(SEARCH('CHOP DASHBOARD'!$C$4,INDEX(MASTER_ZONES!$B:$B,767)))),766,""),""),""))</f>
        <v/>
      </c>
      <c r="U767">
        <f>IF('COMMUNITY CHURCH DASHBOARD'!$B$4="Area",IF(766&lt;=$X$3,IF(AND(OR('COMMUNITY CHURCH DASHBOARD'!$C$4="",ISNUMBER(SEARCH('COMMUNITY CHURCH DASHBOARD'!$C$4,INDEX(MASTER_AREAS!$B:$B,767))))),766,""),""),IF('COMMUNITY CHURCH DASHBOARD'!$B$4="Zone",IF(766&lt;=$X$4,IF(OR('COMMUNITY CHURCH DASHBOARD'!$C$4="",ISNUMBER(SEARCH('COMMUNITY CHURCH DASHBOARD'!$C$4,INDEX(MASTER_ZONES!$B:$B,767)))),766,""),""),""))</f>
        <v/>
      </c>
    </row>
    <row r="768">
      <c r="A768">
        <f>IF('WSF DASHBOARD'!$B$4="Area",IF(767&lt;=$D$3,IF(AND(OR('WSF DASHBOARD'!$C$4="",ISNUMBER(SEARCH('WSF DASHBOARD'!$C$4,INDEX(MASTER_AREAS!$B:$B,768))))),767,""),""),IF('WSF DASHBOARD'!$B$4="Zone",IF(767&lt;=$D$4,IF(OR('WSF DASHBOARD'!$C$4="",ISNUMBER(SEARCH('WSF DASHBOARD'!$C$4,INDEX(MASTER_ZONES!$B:$B,768)))),767,""),""),""))</f>
        <v/>
      </c>
      <c r="F768">
        <f>IF('TRANSPORT DASHBOARD'!$B$4="Area",IF(767&lt;=$I$3,IF(AND(INDEX(MASTER_AREAS!$F:$F,768)&lt;&gt;"N",OR('TRANSPORT DASHBOARD'!$C$4="",ISNUMBER(SEARCH('TRANSPORT DASHBOARD'!$C$4,INDEX(MASTER_AREAS!$B:$B,768))))),767,""),""),IF('TRANSPORT DASHBOARD'!$B$4="Zone",IF(767&lt;=$I$4,IF(OR('TRANSPORT DASHBOARD'!$C$4="",ISNUMBER(SEARCH('TRANSPORT DASHBOARD'!$C$4,INDEX(MASTER_ZONES!$B:$B,768)))),767,""),""),""))</f>
        <v/>
      </c>
      <c r="K768">
        <f>IF('MIDWEEK DASHBOARD'!$B$4="Area",IF(767&lt;=$N$3,IF(AND(OR('MIDWEEK DASHBOARD'!$C$4="",ISNUMBER(SEARCH('MIDWEEK DASHBOARD'!$C$4,INDEX(MASTER_AREAS!$B:$B,768))))),767,""),""),IF('MIDWEEK DASHBOARD'!$B$4="Zone",IF(767&lt;=$N$4,IF(OR('MIDWEEK DASHBOARD'!$C$4="",ISNUMBER(SEARCH('MIDWEEK DASHBOARD'!$C$4,INDEX(MASTER_ZONES!$B:$B,768)))),767,""),""),""))</f>
        <v/>
      </c>
      <c r="P768">
        <f>IF('CHOP DASHBOARD'!$B$4="Area",IF(767&lt;=$S$3,IF(AND(OR('CHOP DASHBOARD'!$C$4="",ISNUMBER(SEARCH('CHOP DASHBOARD'!$C$4,INDEX(MASTER_AREAS!$B:$B,768))))),767,""),""),IF('CHOP DASHBOARD'!$B$4="Zone",IF(767&lt;=$S$4,IF(OR('CHOP DASHBOARD'!$C$4="",ISNUMBER(SEARCH('CHOP DASHBOARD'!$C$4,INDEX(MASTER_ZONES!$B:$B,768)))),767,""),""),""))</f>
        <v/>
      </c>
      <c r="U768">
        <f>IF('COMMUNITY CHURCH DASHBOARD'!$B$4="Area",IF(767&lt;=$X$3,IF(AND(OR('COMMUNITY CHURCH DASHBOARD'!$C$4="",ISNUMBER(SEARCH('COMMUNITY CHURCH DASHBOARD'!$C$4,INDEX(MASTER_AREAS!$B:$B,768))))),767,""),""),IF('COMMUNITY CHURCH DASHBOARD'!$B$4="Zone",IF(767&lt;=$X$4,IF(OR('COMMUNITY CHURCH DASHBOARD'!$C$4="",ISNUMBER(SEARCH('COMMUNITY CHURCH DASHBOARD'!$C$4,INDEX(MASTER_ZONES!$B:$B,768)))),767,""),""),""))</f>
        <v/>
      </c>
    </row>
    <row r="769">
      <c r="A769">
        <f>IF('WSF DASHBOARD'!$B$4="Area",IF(768&lt;=$D$3,IF(AND(OR('WSF DASHBOARD'!$C$4="",ISNUMBER(SEARCH('WSF DASHBOARD'!$C$4,INDEX(MASTER_AREAS!$B:$B,769))))),768,""),""),IF('WSF DASHBOARD'!$B$4="Zone",IF(768&lt;=$D$4,IF(OR('WSF DASHBOARD'!$C$4="",ISNUMBER(SEARCH('WSF DASHBOARD'!$C$4,INDEX(MASTER_ZONES!$B:$B,769)))),768,""),""),""))</f>
        <v/>
      </c>
      <c r="F769">
        <f>IF('TRANSPORT DASHBOARD'!$B$4="Area",IF(768&lt;=$I$3,IF(AND(INDEX(MASTER_AREAS!$F:$F,769)&lt;&gt;"N",OR('TRANSPORT DASHBOARD'!$C$4="",ISNUMBER(SEARCH('TRANSPORT DASHBOARD'!$C$4,INDEX(MASTER_AREAS!$B:$B,769))))),768,""),""),IF('TRANSPORT DASHBOARD'!$B$4="Zone",IF(768&lt;=$I$4,IF(OR('TRANSPORT DASHBOARD'!$C$4="",ISNUMBER(SEARCH('TRANSPORT DASHBOARD'!$C$4,INDEX(MASTER_ZONES!$B:$B,769)))),768,""),""),""))</f>
        <v/>
      </c>
      <c r="K769">
        <f>IF('MIDWEEK DASHBOARD'!$B$4="Area",IF(768&lt;=$N$3,IF(AND(OR('MIDWEEK DASHBOARD'!$C$4="",ISNUMBER(SEARCH('MIDWEEK DASHBOARD'!$C$4,INDEX(MASTER_AREAS!$B:$B,769))))),768,""),""),IF('MIDWEEK DASHBOARD'!$B$4="Zone",IF(768&lt;=$N$4,IF(OR('MIDWEEK DASHBOARD'!$C$4="",ISNUMBER(SEARCH('MIDWEEK DASHBOARD'!$C$4,INDEX(MASTER_ZONES!$B:$B,769)))),768,""),""),""))</f>
        <v/>
      </c>
      <c r="P769">
        <f>IF('CHOP DASHBOARD'!$B$4="Area",IF(768&lt;=$S$3,IF(AND(OR('CHOP DASHBOARD'!$C$4="",ISNUMBER(SEARCH('CHOP DASHBOARD'!$C$4,INDEX(MASTER_AREAS!$B:$B,769))))),768,""),""),IF('CHOP DASHBOARD'!$B$4="Zone",IF(768&lt;=$S$4,IF(OR('CHOP DASHBOARD'!$C$4="",ISNUMBER(SEARCH('CHOP DASHBOARD'!$C$4,INDEX(MASTER_ZONES!$B:$B,769)))),768,""),""),""))</f>
        <v/>
      </c>
      <c r="U769">
        <f>IF('COMMUNITY CHURCH DASHBOARD'!$B$4="Area",IF(768&lt;=$X$3,IF(AND(OR('COMMUNITY CHURCH DASHBOARD'!$C$4="",ISNUMBER(SEARCH('COMMUNITY CHURCH DASHBOARD'!$C$4,INDEX(MASTER_AREAS!$B:$B,769))))),768,""),""),IF('COMMUNITY CHURCH DASHBOARD'!$B$4="Zone",IF(768&lt;=$X$4,IF(OR('COMMUNITY CHURCH DASHBOARD'!$C$4="",ISNUMBER(SEARCH('COMMUNITY CHURCH DASHBOARD'!$C$4,INDEX(MASTER_ZONES!$B:$B,769)))),768,""),""),""))</f>
        <v/>
      </c>
    </row>
    <row r="770">
      <c r="A770">
        <f>IF('WSF DASHBOARD'!$B$4="Area",IF(769&lt;=$D$3,IF(AND(OR('WSF DASHBOARD'!$C$4="",ISNUMBER(SEARCH('WSF DASHBOARD'!$C$4,INDEX(MASTER_AREAS!$B:$B,770))))),769,""),""),IF('WSF DASHBOARD'!$B$4="Zone",IF(769&lt;=$D$4,IF(OR('WSF DASHBOARD'!$C$4="",ISNUMBER(SEARCH('WSF DASHBOARD'!$C$4,INDEX(MASTER_ZONES!$B:$B,770)))),769,""),""),""))</f>
        <v/>
      </c>
      <c r="F770">
        <f>IF('TRANSPORT DASHBOARD'!$B$4="Area",IF(769&lt;=$I$3,IF(AND(INDEX(MASTER_AREAS!$F:$F,770)&lt;&gt;"N",OR('TRANSPORT DASHBOARD'!$C$4="",ISNUMBER(SEARCH('TRANSPORT DASHBOARD'!$C$4,INDEX(MASTER_AREAS!$B:$B,770))))),769,""),""),IF('TRANSPORT DASHBOARD'!$B$4="Zone",IF(769&lt;=$I$4,IF(OR('TRANSPORT DASHBOARD'!$C$4="",ISNUMBER(SEARCH('TRANSPORT DASHBOARD'!$C$4,INDEX(MASTER_ZONES!$B:$B,770)))),769,""),""),""))</f>
        <v/>
      </c>
      <c r="K770">
        <f>IF('MIDWEEK DASHBOARD'!$B$4="Area",IF(769&lt;=$N$3,IF(AND(OR('MIDWEEK DASHBOARD'!$C$4="",ISNUMBER(SEARCH('MIDWEEK DASHBOARD'!$C$4,INDEX(MASTER_AREAS!$B:$B,770))))),769,""),""),IF('MIDWEEK DASHBOARD'!$B$4="Zone",IF(769&lt;=$N$4,IF(OR('MIDWEEK DASHBOARD'!$C$4="",ISNUMBER(SEARCH('MIDWEEK DASHBOARD'!$C$4,INDEX(MASTER_ZONES!$B:$B,770)))),769,""),""),""))</f>
        <v/>
      </c>
      <c r="P770">
        <f>IF('CHOP DASHBOARD'!$B$4="Area",IF(769&lt;=$S$3,IF(AND(OR('CHOP DASHBOARD'!$C$4="",ISNUMBER(SEARCH('CHOP DASHBOARD'!$C$4,INDEX(MASTER_AREAS!$B:$B,770))))),769,""),""),IF('CHOP DASHBOARD'!$B$4="Zone",IF(769&lt;=$S$4,IF(OR('CHOP DASHBOARD'!$C$4="",ISNUMBER(SEARCH('CHOP DASHBOARD'!$C$4,INDEX(MASTER_ZONES!$B:$B,770)))),769,""),""),""))</f>
        <v/>
      </c>
      <c r="U770">
        <f>IF('COMMUNITY CHURCH DASHBOARD'!$B$4="Area",IF(769&lt;=$X$3,IF(AND(OR('COMMUNITY CHURCH DASHBOARD'!$C$4="",ISNUMBER(SEARCH('COMMUNITY CHURCH DASHBOARD'!$C$4,INDEX(MASTER_AREAS!$B:$B,770))))),769,""),""),IF('COMMUNITY CHURCH DASHBOARD'!$B$4="Zone",IF(769&lt;=$X$4,IF(OR('COMMUNITY CHURCH DASHBOARD'!$C$4="",ISNUMBER(SEARCH('COMMUNITY CHURCH DASHBOARD'!$C$4,INDEX(MASTER_ZONES!$B:$B,770)))),769,""),""),""))</f>
        <v/>
      </c>
    </row>
    <row r="771">
      <c r="A771">
        <f>IF('WSF DASHBOARD'!$B$4="Area",IF(770&lt;=$D$3,IF(AND(OR('WSF DASHBOARD'!$C$4="",ISNUMBER(SEARCH('WSF DASHBOARD'!$C$4,INDEX(MASTER_AREAS!$B:$B,771))))),770,""),""),IF('WSF DASHBOARD'!$B$4="Zone",IF(770&lt;=$D$4,IF(OR('WSF DASHBOARD'!$C$4="",ISNUMBER(SEARCH('WSF DASHBOARD'!$C$4,INDEX(MASTER_ZONES!$B:$B,771)))),770,""),""),""))</f>
        <v/>
      </c>
      <c r="F771">
        <f>IF('TRANSPORT DASHBOARD'!$B$4="Area",IF(770&lt;=$I$3,IF(AND(INDEX(MASTER_AREAS!$F:$F,771)&lt;&gt;"N",OR('TRANSPORT DASHBOARD'!$C$4="",ISNUMBER(SEARCH('TRANSPORT DASHBOARD'!$C$4,INDEX(MASTER_AREAS!$B:$B,771))))),770,""),""),IF('TRANSPORT DASHBOARD'!$B$4="Zone",IF(770&lt;=$I$4,IF(OR('TRANSPORT DASHBOARD'!$C$4="",ISNUMBER(SEARCH('TRANSPORT DASHBOARD'!$C$4,INDEX(MASTER_ZONES!$B:$B,771)))),770,""),""),""))</f>
        <v/>
      </c>
      <c r="K771">
        <f>IF('MIDWEEK DASHBOARD'!$B$4="Area",IF(770&lt;=$N$3,IF(AND(OR('MIDWEEK DASHBOARD'!$C$4="",ISNUMBER(SEARCH('MIDWEEK DASHBOARD'!$C$4,INDEX(MASTER_AREAS!$B:$B,771))))),770,""),""),IF('MIDWEEK DASHBOARD'!$B$4="Zone",IF(770&lt;=$N$4,IF(OR('MIDWEEK DASHBOARD'!$C$4="",ISNUMBER(SEARCH('MIDWEEK DASHBOARD'!$C$4,INDEX(MASTER_ZONES!$B:$B,771)))),770,""),""),""))</f>
        <v/>
      </c>
      <c r="P771">
        <f>IF('CHOP DASHBOARD'!$B$4="Area",IF(770&lt;=$S$3,IF(AND(OR('CHOP DASHBOARD'!$C$4="",ISNUMBER(SEARCH('CHOP DASHBOARD'!$C$4,INDEX(MASTER_AREAS!$B:$B,771))))),770,""),""),IF('CHOP DASHBOARD'!$B$4="Zone",IF(770&lt;=$S$4,IF(OR('CHOP DASHBOARD'!$C$4="",ISNUMBER(SEARCH('CHOP DASHBOARD'!$C$4,INDEX(MASTER_ZONES!$B:$B,771)))),770,""),""),""))</f>
        <v/>
      </c>
      <c r="U771">
        <f>IF('COMMUNITY CHURCH DASHBOARD'!$B$4="Area",IF(770&lt;=$X$3,IF(AND(OR('COMMUNITY CHURCH DASHBOARD'!$C$4="",ISNUMBER(SEARCH('COMMUNITY CHURCH DASHBOARD'!$C$4,INDEX(MASTER_AREAS!$B:$B,771))))),770,""),""),IF('COMMUNITY CHURCH DASHBOARD'!$B$4="Zone",IF(770&lt;=$X$4,IF(OR('COMMUNITY CHURCH DASHBOARD'!$C$4="",ISNUMBER(SEARCH('COMMUNITY CHURCH DASHBOARD'!$C$4,INDEX(MASTER_ZONES!$B:$B,771)))),770,""),""),""))</f>
        <v/>
      </c>
    </row>
    <row r="772">
      <c r="A772">
        <f>IF('WSF DASHBOARD'!$B$4="Area",IF(771&lt;=$D$3,IF(AND(OR('WSF DASHBOARD'!$C$4="",ISNUMBER(SEARCH('WSF DASHBOARD'!$C$4,INDEX(MASTER_AREAS!$B:$B,772))))),771,""),""),IF('WSF DASHBOARD'!$B$4="Zone",IF(771&lt;=$D$4,IF(OR('WSF DASHBOARD'!$C$4="",ISNUMBER(SEARCH('WSF DASHBOARD'!$C$4,INDEX(MASTER_ZONES!$B:$B,772)))),771,""),""),""))</f>
        <v/>
      </c>
      <c r="F772">
        <f>IF('TRANSPORT DASHBOARD'!$B$4="Area",IF(771&lt;=$I$3,IF(AND(INDEX(MASTER_AREAS!$F:$F,772)&lt;&gt;"N",OR('TRANSPORT DASHBOARD'!$C$4="",ISNUMBER(SEARCH('TRANSPORT DASHBOARD'!$C$4,INDEX(MASTER_AREAS!$B:$B,772))))),771,""),""),IF('TRANSPORT DASHBOARD'!$B$4="Zone",IF(771&lt;=$I$4,IF(OR('TRANSPORT DASHBOARD'!$C$4="",ISNUMBER(SEARCH('TRANSPORT DASHBOARD'!$C$4,INDEX(MASTER_ZONES!$B:$B,772)))),771,""),""),""))</f>
        <v/>
      </c>
      <c r="K772">
        <f>IF('MIDWEEK DASHBOARD'!$B$4="Area",IF(771&lt;=$N$3,IF(AND(OR('MIDWEEK DASHBOARD'!$C$4="",ISNUMBER(SEARCH('MIDWEEK DASHBOARD'!$C$4,INDEX(MASTER_AREAS!$B:$B,772))))),771,""),""),IF('MIDWEEK DASHBOARD'!$B$4="Zone",IF(771&lt;=$N$4,IF(OR('MIDWEEK DASHBOARD'!$C$4="",ISNUMBER(SEARCH('MIDWEEK DASHBOARD'!$C$4,INDEX(MASTER_ZONES!$B:$B,772)))),771,""),""),""))</f>
        <v/>
      </c>
      <c r="P772">
        <f>IF('CHOP DASHBOARD'!$B$4="Area",IF(771&lt;=$S$3,IF(AND(OR('CHOP DASHBOARD'!$C$4="",ISNUMBER(SEARCH('CHOP DASHBOARD'!$C$4,INDEX(MASTER_AREAS!$B:$B,772))))),771,""),""),IF('CHOP DASHBOARD'!$B$4="Zone",IF(771&lt;=$S$4,IF(OR('CHOP DASHBOARD'!$C$4="",ISNUMBER(SEARCH('CHOP DASHBOARD'!$C$4,INDEX(MASTER_ZONES!$B:$B,772)))),771,""),""),""))</f>
        <v/>
      </c>
      <c r="U772">
        <f>IF('COMMUNITY CHURCH DASHBOARD'!$B$4="Area",IF(771&lt;=$X$3,IF(AND(OR('COMMUNITY CHURCH DASHBOARD'!$C$4="",ISNUMBER(SEARCH('COMMUNITY CHURCH DASHBOARD'!$C$4,INDEX(MASTER_AREAS!$B:$B,772))))),771,""),""),IF('COMMUNITY CHURCH DASHBOARD'!$B$4="Zone",IF(771&lt;=$X$4,IF(OR('COMMUNITY CHURCH DASHBOARD'!$C$4="",ISNUMBER(SEARCH('COMMUNITY CHURCH DASHBOARD'!$C$4,INDEX(MASTER_ZONES!$B:$B,772)))),771,""),""),""))</f>
        <v/>
      </c>
    </row>
    <row r="773">
      <c r="A773">
        <f>IF('WSF DASHBOARD'!$B$4="Area",IF(772&lt;=$D$3,IF(AND(OR('WSF DASHBOARD'!$C$4="",ISNUMBER(SEARCH('WSF DASHBOARD'!$C$4,INDEX(MASTER_AREAS!$B:$B,773))))),772,""),""),IF('WSF DASHBOARD'!$B$4="Zone",IF(772&lt;=$D$4,IF(OR('WSF DASHBOARD'!$C$4="",ISNUMBER(SEARCH('WSF DASHBOARD'!$C$4,INDEX(MASTER_ZONES!$B:$B,773)))),772,""),""),""))</f>
        <v/>
      </c>
      <c r="F773">
        <f>IF('TRANSPORT DASHBOARD'!$B$4="Area",IF(772&lt;=$I$3,IF(AND(INDEX(MASTER_AREAS!$F:$F,773)&lt;&gt;"N",OR('TRANSPORT DASHBOARD'!$C$4="",ISNUMBER(SEARCH('TRANSPORT DASHBOARD'!$C$4,INDEX(MASTER_AREAS!$B:$B,773))))),772,""),""),IF('TRANSPORT DASHBOARD'!$B$4="Zone",IF(772&lt;=$I$4,IF(OR('TRANSPORT DASHBOARD'!$C$4="",ISNUMBER(SEARCH('TRANSPORT DASHBOARD'!$C$4,INDEX(MASTER_ZONES!$B:$B,773)))),772,""),""),""))</f>
        <v/>
      </c>
      <c r="K773">
        <f>IF('MIDWEEK DASHBOARD'!$B$4="Area",IF(772&lt;=$N$3,IF(AND(OR('MIDWEEK DASHBOARD'!$C$4="",ISNUMBER(SEARCH('MIDWEEK DASHBOARD'!$C$4,INDEX(MASTER_AREAS!$B:$B,773))))),772,""),""),IF('MIDWEEK DASHBOARD'!$B$4="Zone",IF(772&lt;=$N$4,IF(OR('MIDWEEK DASHBOARD'!$C$4="",ISNUMBER(SEARCH('MIDWEEK DASHBOARD'!$C$4,INDEX(MASTER_ZONES!$B:$B,773)))),772,""),""),""))</f>
        <v/>
      </c>
      <c r="P773">
        <f>IF('CHOP DASHBOARD'!$B$4="Area",IF(772&lt;=$S$3,IF(AND(OR('CHOP DASHBOARD'!$C$4="",ISNUMBER(SEARCH('CHOP DASHBOARD'!$C$4,INDEX(MASTER_AREAS!$B:$B,773))))),772,""),""),IF('CHOP DASHBOARD'!$B$4="Zone",IF(772&lt;=$S$4,IF(OR('CHOP DASHBOARD'!$C$4="",ISNUMBER(SEARCH('CHOP DASHBOARD'!$C$4,INDEX(MASTER_ZONES!$B:$B,773)))),772,""),""),""))</f>
        <v/>
      </c>
      <c r="U773">
        <f>IF('COMMUNITY CHURCH DASHBOARD'!$B$4="Area",IF(772&lt;=$X$3,IF(AND(OR('COMMUNITY CHURCH DASHBOARD'!$C$4="",ISNUMBER(SEARCH('COMMUNITY CHURCH DASHBOARD'!$C$4,INDEX(MASTER_AREAS!$B:$B,773))))),772,""),""),IF('COMMUNITY CHURCH DASHBOARD'!$B$4="Zone",IF(772&lt;=$X$4,IF(OR('COMMUNITY CHURCH DASHBOARD'!$C$4="",ISNUMBER(SEARCH('COMMUNITY CHURCH DASHBOARD'!$C$4,INDEX(MASTER_ZONES!$B:$B,773)))),772,""),""),""))</f>
        <v/>
      </c>
    </row>
    <row r="774">
      <c r="A774">
        <f>IF('WSF DASHBOARD'!$B$4="Area",IF(773&lt;=$D$3,IF(AND(OR('WSF DASHBOARD'!$C$4="",ISNUMBER(SEARCH('WSF DASHBOARD'!$C$4,INDEX(MASTER_AREAS!$B:$B,774))))),773,""),""),IF('WSF DASHBOARD'!$B$4="Zone",IF(773&lt;=$D$4,IF(OR('WSF DASHBOARD'!$C$4="",ISNUMBER(SEARCH('WSF DASHBOARD'!$C$4,INDEX(MASTER_ZONES!$B:$B,774)))),773,""),""),""))</f>
        <v/>
      </c>
      <c r="F774">
        <f>IF('TRANSPORT DASHBOARD'!$B$4="Area",IF(773&lt;=$I$3,IF(AND(INDEX(MASTER_AREAS!$F:$F,774)&lt;&gt;"N",OR('TRANSPORT DASHBOARD'!$C$4="",ISNUMBER(SEARCH('TRANSPORT DASHBOARD'!$C$4,INDEX(MASTER_AREAS!$B:$B,774))))),773,""),""),IF('TRANSPORT DASHBOARD'!$B$4="Zone",IF(773&lt;=$I$4,IF(OR('TRANSPORT DASHBOARD'!$C$4="",ISNUMBER(SEARCH('TRANSPORT DASHBOARD'!$C$4,INDEX(MASTER_ZONES!$B:$B,774)))),773,""),""),""))</f>
        <v/>
      </c>
      <c r="K774">
        <f>IF('MIDWEEK DASHBOARD'!$B$4="Area",IF(773&lt;=$N$3,IF(AND(OR('MIDWEEK DASHBOARD'!$C$4="",ISNUMBER(SEARCH('MIDWEEK DASHBOARD'!$C$4,INDEX(MASTER_AREAS!$B:$B,774))))),773,""),""),IF('MIDWEEK DASHBOARD'!$B$4="Zone",IF(773&lt;=$N$4,IF(OR('MIDWEEK DASHBOARD'!$C$4="",ISNUMBER(SEARCH('MIDWEEK DASHBOARD'!$C$4,INDEX(MASTER_ZONES!$B:$B,774)))),773,""),""),""))</f>
        <v/>
      </c>
      <c r="P774">
        <f>IF('CHOP DASHBOARD'!$B$4="Area",IF(773&lt;=$S$3,IF(AND(OR('CHOP DASHBOARD'!$C$4="",ISNUMBER(SEARCH('CHOP DASHBOARD'!$C$4,INDEX(MASTER_AREAS!$B:$B,774))))),773,""),""),IF('CHOP DASHBOARD'!$B$4="Zone",IF(773&lt;=$S$4,IF(OR('CHOP DASHBOARD'!$C$4="",ISNUMBER(SEARCH('CHOP DASHBOARD'!$C$4,INDEX(MASTER_ZONES!$B:$B,774)))),773,""),""),""))</f>
        <v/>
      </c>
      <c r="U774">
        <f>IF('COMMUNITY CHURCH DASHBOARD'!$B$4="Area",IF(773&lt;=$X$3,IF(AND(OR('COMMUNITY CHURCH DASHBOARD'!$C$4="",ISNUMBER(SEARCH('COMMUNITY CHURCH DASHBOARD'!$C$4,INDEX(MASTER_AREAS!$B:$B,774))))),773,""),""),IF('COMMUNITY CHURCH DASHBOARD'!$B$4="Zone",IF(773&lt;=$X$4,IF(OR('COMMUNITY CHURCH DASHBOARD'!$C$4="",ISNUMBER(SEARCH('COMMUNITY CHURCH DASHBOARD'!$C$4,INDEX(MASTER_ZONES!$B:$B,774)))),773,""),""),""))</f>
        <v/>
      </c>
    </row>
    <row r="775">
      <c r="A775">
        <f>IF('WSF DASHBOARD'!$B$4="Area",IF(774&lt;=$D$3,IF(AND(OR('WSF DASHBOARD'!$C$4="",ISNUMBER(SEARCH('WSF DASHBOARD'!$C$4,INDEX(MASTER_AREAS!$B:$B,775))))),774,""),""),IF('WSF DASHBOARD'!$B$4="Zone",IF(774&lt;=$D$4,IF(OR('WSF DASHBOARD'!$C$4="",ISNUMBER(SEARCH('WSF DASHBOARD'!$C$4,INDEX(MASTER_ZONES!$B:$B,775)))),774,""),""),""))</f>
        <v/>
      </c>
      <c r="F775">
        <f>IF('TRANSPORT DASHBOARD'!$B$4="Area",IF(774&lt;=$I$3,IF(AND(INDEX(MASTER_AREAS!$F:$F,775)&lt;&gt;"N",OR('TRANSPORT DASHBOARD'!$C$4="",ISNUMBER(SEARCH('TRANSPORT DASHBOARD'!$C$4,INDEX(MASTER_AREAS!$B:$B,775))))),774,""),""),IF('TRANSPORT DASHBOARD'!$B$4="Zone",IF(774&lt;=$I$4,IF(OR('TRANSPORT DASHBOARD'!$C$4="",ISNUMBER(SEARCH('TRANSPORT DASHBOARD'!$C$4,INDEX(MASTER_ZONES!$B:$B,775)))),774,""),""),""))</f>
        <v/>
      </c>
      <c r="K775">
        <f>IF('MIDWEEK DASHBOARD'!$B$4="Area",IF(774&lt;=$N$3,IF(AND(OR('MIDWEEK DASHBOARD'!$C$4="",ISNUMBER(SEARCH('MIDWEEK DASHBOARD'!$C$4,INDEX(MASTER_AREAS!$B:$B,775))))),774,""),""),IF('MIDWEEK DASHBOARD'!$B$4="Zone",IF(774&lt;=$N$4,IF(OR('MIDWEEK DASHBOARD'!$C$4="",ISNUMBER(SEARCH('MIDWEEK DASHBOARD'!$C$4,INDEX(MASTER_ZONES!$B:$B,775)))),774,""),""),""))</f>
        <v/>
      </c>
      <c r="P775">
        <f>IF('CHOP DASHBOARD'!$B$4="Area",IF(774&lt;=$S$3,IF(AND(OR('CHOP DASHBOARD'!$C$4="",ISNUMBER(SEARCH('CHOP DASHBOARD'!$C$4,INDEX(MASTER_AREAS!$B:$B,775))))),774,""),""),IF('CHOP DASHBOARD'!$B$4="Zone",IF(774&lt;=$S$4,IF(OR('CHOP DASHBOARD'!$C$4="",ISNUMBER(SEARCH('CHOP DASHBOARD'!$C$4,INDEX(MASTER_ZONES!$B:$B,775)))),774,""),""),""))</f>
        <v/>
      </c>
      <c r="U775">
        <f>IF('COMMUNITY CHURCH DASHBOARD'!$B$4="Area",IF(774&lt;=$X$3,IF(AND(OR('COMMUNITY CHURCH DASHBOARD'!$C$4="",ISNUMBER(SEARCH('COMMUNITY CHURCH DASHBOARD'!$C$4,INDEX(MASTER_AREAS!$B:$B,775))))),774,""),""),IF('COMMUNITY CHURCH DASHBOARD'!$B$4="Zone",IF(774&lt;=$X$4,IF(OR('COMMUNITY CHURCH DASHBOARD'!$C$4="",ISNUMBER(SEARCH('COMMUNITY CHURCH DASHBOARD'!$C$4,INDEX(MASTER_ZONES!$B:$B,775)))),774,""),""),""))</f>
        <v/>
      </c>
    </row>
    <row r="776">
      <c r="A776">
        <f>IF('WSF DASHBOARD'!$B$4="Area",IF(775&lt;=$D$3,IF(AND(OR('WSF DASHBOARD'!$C$4="",ISNUMBER(SEARCH('WSF DASHBOARD'!$C$4,INDEX(MASTER_AREAS!$B:$B,776))))),775,""),""),IF('WSF DASHBOARD'!$B$4="Zone",IF(775&lt;=$D$4,IF(OR('WSF DASHBOARD'!$C$4="",ISNUMBER(SEARCH('WSF DASHBOARD'!$C$4,INDEX(MASTER_ZONES!$B:$B,776)))),775,""),""),""))</f>
        <v/>
      </c>
      <c r="F776">
        <f>IF('TRANSPORT DASHBOARD'!$B$4="Area",IF(775&lt;=$I$3,IF(AND(INDEX(MASTER_AREAS!$F:$F,776)&lt;&gt;"N",OR('TRANSPORT DASHBOARD'!$C$4="",ISNUMBER(SEARCH('TRANSPORT DASHBOARD'!$C$4,INDEX(MASTER_AREAS!$B:$B,776))))),775,""),""),IF('TRANSPORT DASHBOARD'!$B$4="Zone",IF(775&lt;=$I$4,IF(OR('TRANSPORT DASHBOARD'!$C$4="",ISNUMBER(SEARCH('TRANSPORT DASHBOARD'!$C$4,INDEX(MASTER_ZONES!$B:$B,776)))),775,""),""),""))</f>
        <v/>
      </c>
      <c r="K776">
        <f>IF('MIDWEEK DASHBOARD'!$B$4="Area",IF(775&lt;=$N$3,IF(AND(OR('MIDWEEK DASHBOARD'!$C$4="",ISNUMBER(SEARCH('MIDWEEK DASHBOARD'!$C$4,INDEX(MASTER_AREAS!$B:$B,776))))),775,""),""),IF('MIDWEEK DASHBOARD'!$B$4="Zone",IF(775&lt;=$N$4,IF(OR('MIDWEEK DASHBOARD'!$C$4="",ISNUMBER(SEARCH('MIDWEEK DASHBOARD'!$C$4,INDEX(MASTER_ZONES!$B:$B,776)))),775,""),""),""))</f>
        <v/>
      </c>
      <c r="P776">
        <f>IF('CHOP DASHBOARD'!$B$4="Area",IF(775&lt;=$S$3,IF(AND(OR('CHOP DASHBOARD'!$C$4="",ISNUMBER(SEARCH('CHOP DASHBOARD'!$C$4,INDEX(MASTER_AREAS!$B:$B,776))))),775,""),""),IF('CHOP DASHBOARD'!$B$4="Zone",IF(775&lt;=$S$4,IF(OR('CHOP DASHBOARD'!$C$4="",ISNUMBER(SEARCH('CHOP DASHBOARD'!$C$4,INDEX(MASTER_ZONES!$B:$B,776)))),775,""),""),""))</f>
        <v/>
      </c>
      <c r="U776">
        <f>IF('COMMUNITY CHURCH DASHBOARD'!$B$4="Area",IF(775&lt;=$X$3,IF(AND(OR('COMMUNITY CHURCH DASHBOARD'!$C$4="",ISNUMBER(SEARCH('COMMUNITY CHURCH DASHBOARD'!$C$4,INDEX(MASTER_AREAS!$B:$B,776))))),775,""),""),IF('COMMUNITY CHURCH DASHBOARD'!$B$4="Zone",IF(775&lt;=$X$4,IF(OR('COMMUNITY CHURCH DASHBOARD'!$C$4="",ISNUMBER(SEARCH('COMMUNITY CHURCH DASHBOARD'!$C$4,INDEX(MASTER_ZONES!$B:$B,776)))),775,""),""),""))</f>
        <v/>
      </c>
    </row>
    <row r="777">
      <c r="A777">
        <f>IF('WSF DASHBOARD'!$B$4="Area",IF(776&lt;=$D$3,IF(AND(OR('WSF DASHBOARD'!$C$4="",ISNUMBER(SEARCH('WSF DASHBOARD'!$C$4,INDEX(MASTER_AREAS!$B:$B,777))))),776,""),""),IF('WSF DASHBOARD'!$B$4="Zone",IF(776&lt;=$D$4,IF(OR('WSF DASHBOARD'!$C$4="",ISNUMBER(SEARCH('WSF DASHBOARD'!$C$4,INDEX(MASTER_ZONES!$B:$B,777)))),776,""),""),""))</f>
        <v/>
      </c>
      <c r="F777">
        <f>IF('TRANSPORT DASHBOARD'!$B$4="Area",IF(776&lt;=$I$3,IF(AND(INDEX(MASTER_AREAS!$F:$F,777)&lt;&gt;"N",OR('TRANSPORT DASHBOARD'!$C$4="",ISNUMBER(SEARCH('TRANSPORT DASHBOARD'!$C$4,INDEX(MASTER_AREAS!$B:$B,777))))),776,""),""),IF('TRANSPORT DASHBOARD'!$B$4="Zone",IF(776&lt;=$I$4,IF(OR('TRANSPORT DASHBOARD'!$C$4="",ISNUMBER(SEARCH('TRANSPORT DASHBOARD'!$C$4,INDEX(MASTER_ZONES!$B:$B,777)))),776,""),""),""))</f>
        <v/>
      </c>
      <c r="K777">
        <f>IF('MIDWEEK DASHBOARD'!$B$4="Area",IF(776&lt;=$N$3,IF(AND(OR('MIDWEEK DASHBOARD'!$C$4="",ISNUMBER(SEARCH('MIDWEEK DASHBOARD'!$C$4,INDEX(MASTER_AREAS!$B:$B,777))))),776,""),""),IF('MIDWEEK DASHBOARD'!$B$4="Zone",IF(776&lt;=$N$4,IF(OR('MIDWEEK DASHBOARD'!$C$4="",ISNUMBER(SEARCH('MIDWEEK DASHBOARD'!$C$4,INDEX(MASTER_ZONES!$B:$B,777)))),776,""),""),""))</f>
        <v/>
      </c>
      <c r="P777">
        <f>IF('CHOP DASHBOARD'!$B$4="Area",IF(776&lt;=$S$3,IF(AND(OR('CHOP DASHBOARD'!$C$4="",ISNUMBER(SEARCH('CHOP DASHBOARD'!$C$4,INDEX(MASTER_AREAS!$B:$B,777))))),776,""),""),IF('CHOP DASHBOARD'!$B$4="Zone",IF(776&lt;=$S$4,IF(OR('CHOP DASHBOARD'!$C$4="",ISNUMBER(SEARCH('CHOP DASHBOARD'!$C$4,INDEX(MASTER_ZONES!$B:$B,777)))),776,""),""),""))</f>
        <v/>
      </c>
      <c r="U777">
        <f>IF('COMMUNITY CHURCH DASHBOARD'!$B$4="Area",IF(776&lt;=$X$3,IF(AND(OR('COMMUNITY CHURCH DASHBOARD'!$C$4="",ISNUMBER(SEARCH('COMMUNITY CHURCH DASHBOARD'!$C$4,INDEX(MASTER_AREAS!$B:$B,777))))),776,""),""),IF('COMMUNITY CHURCH DASHBOARD'!$B$4="Zone",IF(776&lt;=$X$4,IF(OR('COMMUNITY CHURCH DASHBOARD'!$C$4="",ISNUMBER(SEARCH('COMMUNITY CHURCH DASHBOARD'!$C$4,INDEX(MASTER_ZONES!$B:$B,777)))),776,""),""),""))</f>
        <v/>
      </c>
    </row>
    <row r="778">
      <c r="A778">
        <f>IF('WSF DASHBOARD'!$B$4="Area",IF(777&lt;=$D$3,IF(AND(OR('WSF DASHBOARD'!$C$4="",ISNUMBER(SEARCH('WSF DASHBOARD'!$C$4,INDEX(MASTER_AREAS!$B:$B,778))))),777,""),""),IF('WSF DASHBOARD'!$B$4="Zone",IF(777&lt;=$D$4,IF(OR('WSF DASHBOARD'!$C$4="",ISNUMBER(SEARCH('WSF DASHBOARD'!$C$4,INDEX(MASTER_ZONES!$B:$B,778)))),777,""),""),""))</f>
        <v/>
      </c>
      <c r="F778">
        <f>IF('TRANSPORT DASHBOARD'!$B$4="Area",IF(777&lt;=$I$3,IF(AND(INDEX(MASTER_AREAS!$F:$F,778)&lt;&gt;"N",OR('TRANSPORT DASHBOARD'!$C$4="",ISNUMBER(SEARCH('TRANSPORT DASHBOARD'!$C$4,INDEX(MASTER_AREAS!$B:$B,778))))),777,""),""),IF('TRANSPORT DASHBOARD'!$B$4="Zone",IF(777&lt;=$I$4,IF(OR('TRANSPORT DASHBOARD'!$C$4="",ISNUMBER(SEARCH('TRANSPORT DASHBOARD'!$C$4,INDEX(MASTER_ZONES!$B:$B,778)))),777,""),""),""))</f>
        <v/>
      </c>
      <c r="K778">
        <f>IF('MIDWEEK DASHBOARD'!$B$4="Area",IF(777&lt;=$N$3,IF(AND(OR('MIDWEEK DASHBOARD'!$C$4="",ISNUMBER(SEARCH('MIDWEEK DASHBOARD'!$C$4,INDEX(MASTER_AREAS!$B:$B,778))))),777,""),""),IF('MIDWEEK DASHBOARD'!$B$4="Zone",IF(777&lt;=$N$4,IF(OR('MIDWEEK DASHBOARD'!$C$4="",ISNUMBER(SEARCH('MIDWEEK DASHBOARD'!$C$4,INDEX(MASTER_ZONES!$B:$B,778)))),777,""),""),""))</f>
        <v/>
      </c>
      <c r="P778">
        <f>IF('CHOP DASHBOARD'!$B$4="Area",IF(777&lt;=$S$3,IF(AND(OR('CHOP DASHBOARD'!$C$4="",ISNUMBER(SEARCH('CHOP DASHBOARD'!$C$4,INDEX(MASTER_AREAS!$B:$B,778))))),777,""),""),IF('CHOP DASHBOARD'!$B$4="Zone",IF(777&lt;=$S$4,IF(OR('CHOP DASHBOARD'!$C$4="",ISNUMBER(SEARCH('CHOP DASHBOARD'!$C$4,INDEX(MASTER_ZONES!$B:$B,778)))),777,""),""),""))</f>
        <v/>
      </c>
      <c r="U778">
        <f>IF('COMMUNITY CHURCH DASHBOARD'!$B$4="Area",IF(777&lt;=$X$3,IF(AND(OR('COMMUNITY CHURCH DASHBOARD'!$C$4="",ISNUMBER(SEARCH('COMMUNITY CHURCH DASHBOARD'!$C$4,INDEX(MASTER_AREAS!$B:$B,778))))),777,""),""),IF('COMMUNITY CHURCH DASHBOARD'!$B$4="Zone",IF(777&lt;=$X$4,IF(OR('COMMUNITY CHURCH DASHBOARD'!$C$4="",ISNUMBER(SEARCH('COMMUNITY CHURCH DASHBOARD'!$C$4,INDEX(MASTER_ZONES!$B:$B,778)))),777,""),""),""))</f>
        <v/>
      </c>
    </row>
    <row r="779">
      <c r="A779">
        <f>IF('WSF DASHBOARD'!$B$4="Area",IF(778&lt;=$D$3,IF(AND(OR('WSF DASHBOARD'!$C$4="",ISNUMBER(SEARCH('WSF DASHBOARD'!$C$4,INDEX(MASTER_AREAS!$B:$B,779))))),778,""),""),IF('WSF DASHBOARD'!$B$4="Zone",IF(778&lt;=$D$4,IF(OR('WSF DASHBOARD'!$C$4="",ISNUMBER(SEARCH('WSF DASHBOARD'!$C$4,INDEX(MASTER_ZONES!$B:$B,779)))),778,""),""),""))</f>
        <v/>
      </c>
      <c r="F779">
        <f>IF('TRANSPORT DASHBOARD'!$B$4="Area",IF(778&lt;=$I$3,IF(AND(INDEX(MASTER_AREAS!$F:$F,779)&lt;&gt;"N",OR('TRANSPORT DASHBOARD'!$C$4="",ISNUMBER(SEARCH('TRANSPORT DASHBOARD'!$C$4,INDEX(MASTER_AREAS!$B:$B,779))))),778,""),""),IF('TRANSPORT DASHBOARD'!$B$4="Zone",IF(778&lt;=$I$4,IF(OR('TRANSPORT DASHBOARD'!$C$4="",ISNUMBER(SEARCH('TRANSPORT DASHBOARD'!$C$4,INDEX(MASTER_ZONES!$B:$B,779)))),778,""),""),""))</f>
        <v/>
      </c>
      <c r="K779">
        <f>IF('MIDWEEK DASHBOARD'!$B$4="Area",IF(778&lt;=$N$3,IF(AND(OR('MIDWEEK DASHBOARD'!$C$4="",ISNUMBER(SEARCH('MIDWEEK DASHBOARD'!$C$4,INDEX(MASTER_AREAS!$B:$B,779))))),778,""),""),IF('MIDWEEK DASHBOARD'!$B$4="Zone",IF(778&lt;=$N$4,IF(OR('MIDWEEK DASHBOARD'!$C$4="",ISNUMBER(SEARCH('MIDWEEK DASHBOARD'!$C$4,INDEX(MASTER_ZONES!$B:$B,779)))),778,""),""),""))</f>
        <v/>
      </c>
      <c r="P779">
        <f>IF('CHOP DASHBOARD'!$B$4="Area",IF(778&lt;=$S$3,IF(AND(OR('CHOP DASHBOARD'!$C$4="",ISNUMBER(SEARCH('CHOP DASHBOARD'!$C$4,INDEX(MASTER_AREAS!$B:$B,779))))),778,""),""),IF('CHOP DASHBOARD'!$B$4="Zone",IF(778&lt;=$S$4,IF(OR('CHOP DASHBOARD'!$C$4="",ISNUMBER(SEARCH('CHOP DASHBOARD'!$C$4,INDEX(MASTER_ZONES!$B:$B,779)))),778,""),""),""))</f>
        <v/>
      </c>
      <c r="U779">
        <f>IF('COMMUNITY CHURCH DASHBOARD'!$B$4="Area",IF(778&lt;=$X$3,IF(AND(OR('COMMUNITY CHURCH DASHBOARD'!$C$4="",ISNUMBER(SEARCH('COMMUNITY CHURCH DASHBOARD'!$C$4,INDEX(MASTER_AREAS!$B:$B,779))))),778,""),""),IF('COMMUNITY CHURCH DASHBOARD'!$B$4="Zone",IF(778&lt;=$X$4,IF(OR('COMMUNITY CHURCH DASHBOARD'!$C$4="",ISNUMBER(SEARCH('COMMUNITY CHURCH DASHBOARD'!$C$4,INDEX(MASTER_ZONES!$B:$B,779)))),778,""),""),""))</f>
        <v/>
      </c>
    </row>
    <row r="780">
      <c r="A780">
        <f>IF('WSF DASHBOARD'!$B$4="Area",IF(779&lt;=$D$3,IF(AND(OR('WSF DASHBOARD'!$C$4="",ISNUMBER(SEARCH('WSF DASHBOARD'!$C$4,INDEX(MASTER_AREAS!$B:$B,780))))),779,""),""),IF('WSF DASHBOARD'!$B$4="Zone",IF(779&lt;=$D$4,IF(OR('WSF DASHBOARD'!$C$4="",ISNUMBER(SEARCH('WSF DASHBOARD'!$C$4,INDEX(MASTER_ZONES!$B:$B,780)))),779,""),""),""))</f>
        <v/>
      </c>
      <c r="F780">
        <f>IF('TRANSPORT DASHBOARD'!$B$4="Area",IF(779&lt;=$I$3,IF(AND(INDEX(MASTER_AREAS!$F:$F,780)&lt;&gt;"N",OR('TRANSPORT DASHBOARD'!$C$4="",ISNUMBER(SEARCH('TRANSPORT DASHBOARD'!$C$4,INDEX(MASTER_AREAS!$B:$B,780))))),779,""),""),IF('TRANSPORT DASHBOARD'!$B$4="Zone",IF(779&lt;=$I$4,IF(OR('TRANSPORT DASHBOARD'!$C$4="",ISNUMBER(SEARCH('TRANSPORT DASHBOARD'!$C$4,INDEX(MASTER_ZONES!$B:$B,780)))),779,""),""),""))</f>
        <v/>
      </c>
      <c r="K780">
        <f>IF('MIDWEEK DASHBOARD'!$B$4="Area",IF(779&lt;=$N$3,IF(AND(OR('MIDWEEK DASHBOARD'!$C$4="",ISNUMBER(SEARCH('MIDWEEK DASHBOARD'!$C$4,INDEX(MASTER_AREAS!$B:$B,780))))),779,""),""),IF('MIDWEEK DASHBOARD'!$B$4="Zone",IF(779&lt;=$N$4,IF(OR('MIDWEEK DASHBOARD'!$C$4="",ISNUMBER(SEARCH('MIDWEEK DASHBOARD'!$C$4,INDEX(MASTER_ZONES!$B:$B,780)))),779,""),""),""))</f>
        <v/>
      </c>
      <c r="P780">
        <f>IF('CHOP DASHBOARD'!$B$4="Area",IF(779&lt;=$S$3,IF(AND(OR('CHOP DASHBOARD'!$C$4="",ISNUMBER(SEARCH('CHOP DASHBOARD'!$C$4,INDEX(MASTER_AREAS!$B:$B,780))))),779,""),""),IF('CHOP DASHBOARD'!$B$4="Zone",IF(779&lt;=$S$4,IF(OR('CHOP DASHBOARD'!$C$4="",ISNUMBER(SEARCH('CHOP DASHBOARD'!$C$4,INDEX(MASTER_ZONES!$B:$B,780)))),779,""),""),""))</f>
        <v/>
      </c>
      <c r="U780">
        <f>IF('COMMUNITY CHURCH DASHBOARD'!$B$4="Area",IF(779&lt;=$X$3,IF(AND(OR('COMMUNITY CHURCH DASHBOARD'!$C$4="",ISNUMBER(SEARCH('COMMUNITY CHURCH DASHBOARD'!$C$4,INDEX(MASTER_AREAS!$B:$B,780))))),779,""),""),IF('COMMUNITY CHURCH DASHBOARD'!$B$4="Zone",IF(779&lt;=$X$4,IF(OR('COMMUNITY CHURCH DASHBOARD'!$C$4="",ISNUMBER(SEARCH('COMMUNITY CHURCH DASHBOARD'!$C$4,INDEX(MASTER_ZONES!$B:$B,780)))),779,""),""),""))</f>
        <v/>
      </c>
    </row>
    <row r="781">
      <c r="A781">
        <f>IF('WSF DASHBOARD'!$B$4="Area",IF(780&lt;=$D$3,IF(AND(OR('WSF DASHBOARD'!$C$4="",ISNUMBER(SEARCH('WSF DASHBOARD'!$C$4,INDEX(MASTER_AREAS!$B:$B,781))))),780,""),""),IF('WSF DASHBOARD'!$B$4="Zone",IF(780&lt;=$D$4,IF(OR('WSF DASHBOARD'!$C$4="",ISNUMBER(SEARCH('WSF DASHBOARD'!$C$4,INDEX(MASTER_ZONES!$B:$B,781)))),780,""),""),""))</f>
        <v/>
      </c>
      <c r="F781">
        <f>IF('TRANSPORT DASHBOARD'!$B$4="Area",IF(780&lt;=$I$3,IF(AND(INDEX(MASTER_AREAS!$F:$F,781)&lt;&gt;"N",OR('TRANSPORT DASHBOARD'!$C$4="",ISNUMBER(SEARCH('TRANSPORT DASHBOARD'!$C$4,INDEX(MASTER_AREAS!$B:$B,781))))),780,""),""),IF('TRANSPORT DASHBOARD'!$B$4="Zone",IF(780&lt;=$I$4,IF(OR('TRANSPORT DASHBOARD'!$C$4="",ISNUMBER(SEARCH('TRANSPORT DASHBOARD'!$C$4,INDEX(MASTER_ZONES!$B:$B,781)))),780,""),""),""))</f>
        <v/>
      </c>
      <c r="K781">
        <f>IF('MIDWEEK DASHBOARD'!$B$4="Area",IF(780&lt;=$N$3,IF(AND(OR('MIDWEEK DASHBOARD'!$C$4="",ISNUMBER(SEARCH('MIDWEEK DASHBOARD'!$C$4,INDEX(MASTER_AREAS!$B:$B,781))))),780,""),""),IF('MIDWEEK DASHBOARD'!$B$4="Zone",IF(780&lt;=$N$4,IF(OR('MIDWEEK DASHBOARD'!$C$4="",ISNUMBER(SEARCH('MIDWEEK DASHBOARD'!$C$4,INDEX(MASTER_ZONES!$B:$B,781)))),780,""),""),""))</f>
        <v/>
      </c>
      <c r="P781">
        <f>IF('CHOP DASHBOARD'!$B$4="Area",IF(780&lt;=$S$3,IF(AND(OR('CHOP DASHBOARD'!$C$4="",ISNUMBER(SEARCH('CHOP DASHBOARD'!$C$4,INDEX(MASTER_AREAS!$B:$B,781))))),780,""),""),IF('CHOP DASHBOARD'!$B$4="Zone",IF(780&lt;=$S$4,IF(OR('CHOP DASHBOARD'!$C$4="",ISNUMBER(SEARCH('CHOP DASHBOARD'!$C$4,INDEX(MASTER_ZONES!$B:$B,781)))),780,""),""),""))</f>
        <v/>
      </c>
      <c r="U781">
        <f>IF('COMMUNITY CHURCH DASHBOARD'!$B$4="Area",IF(780&lt;=$X$3,IF(AND(OR('COMMUNITY CHURCH DASHBOARD'!$C$4="",ISNUMBER(SEARCH('COMMUNITY CHURCH DASHBOARD'!$C$4,INDEX(MASTER_AREAS!$B:$B,781))))),780,""),""),IF('COMMUNITY CHURCH DASHBOARD'!$B$4="Zone",IF(780&lt;=$X$4,IF(OR('COMMUNITY CHURCH DASHBOARD'!$C$4="",ISNUMBER(SEARCH('COMMUNITY CHURCH DASHBOARD'!$C$4,INDEX(MASTER_ZONES!$B:$B,781)))),780,""),""),""))</f>
        <v/>
      </c>
    </row>
    <row r="782">
      <c r="A782">
        <f>IF('WSF DASHBOARD'!$B$4="Area",IF(781&lt;=$D$3,IF(AND(OR('WSF DASHBOARD'!$C$4="",ISNUMBER(SEARCH('WSF DASHBOARD'!$C$4,INDEX(MASTER_AREAS!$B:$B,782))))),781,""),""),IF('WSF DASHBOARD'!$B$4="Zone",IF(781&lt;=$D$4,IF(OR('WSF DASHBOARD'!$C$4="",ISNUMBER(SEARCH('WSF DASHBOARD'!$C$4,INDEX(MASTER_ZONES!$B:$B,782)))),781,""),""),""))</f>
        <v/>
      </c>
      <c r="F782">
        <f>IF('TRANSPORT DASHBOARD'!$B$4="Area",IF(781&lt;=$I$3,IF(AND(INDEX(MASTER_AREAS!$F:$F,782)&lt;&gt;"N",OR('TRANSPORT DASHBOARD'!$C$4="",ISNUMBER(SEARCH('TRANSPORT DASHBOARD'!$C$4,INDEX(MASTER_AREAS!$B:$B,782))))),781,""),""),IF('TRANSPORT DASHBOARD'!$B$4="Zone",IF(781&lt;=$I$4,IF(OR('TRANSPORT DASHBOARD'!$C$4="",ISNUMBER(SEARCH('TRANSPORT DASHBOARD'!$C$4,INDEX(MASTER_ZONES!$B:$B,782)))),781,""),""),""))</f>
        <v/>
      </c>
      <c r="K782">
        <f>IF('MIDWEEK DASHBOARD'!$B$4="Area",IF(781&lt;=$N$3,IF(AND(OR('MIDWEEK DASHBOARD'!$C$4="",ISNUMBER(SEARCH('MIDWEEK DASHBOARD'!$C$4,INDEX(MASTER_AREAS!$B:$B,782))))),781,""),""),IF('MIDWEEK DASHBOARD'!$B$4="Zone",IF(781&lt;=$N$4,IF(OR('MIDWEEK DASHBOARD'!$C$4="",ISNUMBER(SEARCH('MIDWEEK DASHBOARD'!$C$4,INDEX(MASTER_ZONES!$B:$B,782)))),781,""),""),""))</f>
        <v/>
      </c>
      <c r="P782">
        <f>IF('CHOP DASHBOARD'!$B$4="Area",IF(781&lt;=$S$3,IF(AND(OR('CHOP DASHBOARD'!$C$4="",ISNUMBER(SEARCH('CHOP DASHBOARD'!$C$4,INDEX(MASTER_AREAS!$B:$B,782))))),781,""),""),IF('CHOP DASHBOARD'!$B$4="Zone",IF(781&lt;=$S$4,IF(OR('CHOP DASHBOARD'!$C$4="",ISNUMBER(SEARCH('CHOP DASHBOARD'!$C$4,INDEX(MASTER_ZONES!$B:$B,782)))),781,""),""),""))</f>
        <v/>
      </c>
      <c r="U782">
        <f>IF('COMMUNITY CHURCH DASHBOARD'!$B$4="Area",IF(781&lt;=$X$3,IF(AND(OR('COMMUNITY CHURCH DASHBOARD'!$C$4="",ISNUMBER(SEARCH('COMMUNITY CHURCH DASHBOARD'!$C$4,INDEX(MASTER_AREAS!$B:$B,782))))),781,""),""),IF('COMMUNITY CHURCH DASHBOARD'!$B$4="Zone",IF(781&lt;=$X$4,IF(OR('COMMUNITY CHURCH DASHBOARD'!$C$4="",ISNUMBER(SEARCH('COMMUNITY CHURCH DASHBOARD'!$C$4,INDEX(MASTER_ZONES!$B:$B,782)))),781,""),""),""))</f>
        <v/>
      </c>
    </row>
    <row r="783">
      <c r="A783">
        <f>IF('WSF DASHBOARD'!$B$4="Area",IF(782&lt;=$D$3,IF(AND(OR('WSF DASHBOARD'!$C$4="",ISNUMBER(SEARCH('WSF DASHBOARD'!$C$4,INDEX(MASTER_AREAS!$B:$B,783))))),782,""),""),IF('WSF DASHBOARD'!$B$4="Zone",IF(782&lt;=$D$4,IF(OR('WSF DASHBOARD'!$C$4="",ISNUMBER(SEARCH('WSF DASHBOARD'!$C$4,INDEX(MASTER_ZONES!$B:$B,783)))),782,""),""),""))</f>
        <v/>
      </c>
      <c r="F783">
        <f>IF('TRANSPORT DASHBOARD'!$B$4="Area",IF(782&lt;=$I$3,IF(AND(INDEX(MASTER_AREAS!$F:$F,783)&lt;&gt;"N",OR('TRANSPORT DASHBOARD'!$C$4="",ISNUMBER(SEARCH('TRANSPORT DASHBOARD'!$C$4,INDEX(MASTER_AREAS!$B:$B,783))))),782,""),""),IF('TRANSPORT DASHBOARD'!$B$4="Zone",IF(782&lt;=$I$4,IF(OR('TRANSPORT DASHBOARD'!$C$4="",ISNUMBER(SEARCH('TRANSPORT DASHBOARD'!$C$4,INDEX(MASTER_ZONES!$B:$B,783)))),782,""),""),""))</f>
        <v/>
      </c>
      <c r="K783">
        <f>IF('MIDWEEK DASHBOARD'!$B$4="Area",IF(782&lt;=$N$3,IF(AND(OR('MIDWEEK DASHBOARD'!$C$4="",ISNUMBER(SEARCH('MIDWEEK DASHBOARD'!$C$4,INDEX(MASTER_AREAS!$B:$B,783))))),782,""),""),IF('MIDWEEK DASHBOARD'!$B$4="Zone",IF(782&lt;=$N$4,IF(OR('MIDWEEK DASHBOARD'!$C$4="",ISNUMBER(SEARCH('MIDWEEK DASHBOARD'!$C$4,INDEX(MASTER_ZONES!$B:$B,783)))),782,""),""),""))</f>
        <v/>
      </c>
      <c r="P783">
        <f>IF('CHOP DASHBOARD'!$B$4="Area",IF(782&lt;=$S$3,IF(AND(OR('CHOP DASHBOARD'!$C$4="",ISNUMBER(SEARCH('CHOP DASHBOARD'!$C$4,INDEX(MASTER_AREAS!$B:$B,783))))),782,""),""),IF('CHOP DASHBOARD'!$B$4="Zone",IF(782&lt;=$S$4,IF(OR('CHOP DASHBOARD'!$C$4="",ISNUMBER(SEARCH('CHOP DASHBOARD'!$C$4,INDEX(MASTER_ZONES!$B:$B,783)))),782,""),""),""))</f>
        <v/>
      </c>
      <c r="U783">
        <f>IF('COMMUNITY CHURCH DASHBOARD'!$B$4="Area",IF(782&lt;=$X$3,IF(AND(OR('COMMUNITY CHURCH DASHBOARD'!$C$4="",ISNUMBER(SEARCH('COMMUNITY CHURCH DASHBOARD'!$C$4,INDEX(MASTER_AREAS!$B:$B,783))))),782,""),""),IF('COMMUNITY CHURCH DASHBOARD'!$B$4="Zone",IF(782&lt;=$X$4,IF(OR('COMMUNITY CHURCH DASHBOARD'!$C$4="",ISNUMBER(SEARCH('COMMUNITY CHURCH DASHBOARD'!$C$4,INDEX(MASTER_ZONES!$B:$B,783)))),782,""),""),""))</f>
        <v/>
      </c>
    </row>
    <row r="784">
      <c r="A784">
        <f>IF('WSF DASHBOARD'!$B$4="Area",IF(783&lt;=$D$3,IF(AND(OR('WSF DASHBOARD'!$C$4="",ISNUMBER(SEARCH('WSF DASHBOARD'!$C$4,INDEX(MASTER_AREAS!$B:$B,784))))),783,""),""),IF('WSF DASHBOARD'!$B$4="Zone",IF(783&lt;=$D$4,IF(OR('WSF DASHBOARD'!$C$4="",ISNUMBER(SEARCH('WSF DASHBOARD'!$C$4,INDEX(MASTER_ZONES!$B:$B,784)))),783,""),""),""))</f>
        <v/>
      </c>
      <c r="F784">
        <f>IF('TRANSPORT DASHBOARD'!$B$4="Area",IF(783&lt;=$I$3,IF(AND(INDEX(MASTER_AREAS!$F:$F,784)&lt;&gt;"N",OR('TRANSPORT DASHBOARD'!$C$4="",ISNUMBER(SEARCH('TRANSPORT DASHBOARD'!$C$4,INDEX(MASTER_AREAS!$B:$B,784))))),783,""),""),IF('TRANSPORT DASHBOARD'!$B$4="Zone",IF(783&lt;=$I$4,IF(OR('TRANSPORT DASHBOARD'!$C$4="",ISNUMBER(SEARCH('TRANSPORT DASHBOARD'!$C$4,INDEX(MASTER_ZONES!$B:$B,784)))),783,""),""),""))</f>
        <v/>
      </c>
      <c r="K784">
        <f>IF('MIDWEEK DASHBOARD'!$B$4="Area",IF(783&lt;=$N$3,IF(AND(OR('MIDWEEK DASHBOARD'!$C$4="",ISNUMBER(SEARCH('MIDWEEK DASHBOARD'!$C$4,INDEX(MASTER_AREAS!$B:$B,784))))),783,""),""),IF('MIDWEEK DASHBOARD'!$B$4="Zone",IF(783&lt;=$N$4,IF(OR('MIDWEEK DASHBOARD'!$C$4="",ISNUMBER(SEARCH('MIDWEEK DASHBOARD'!$C$4,INDEX(MASTER_ZONES!$B:$B,784)))),783,""),""),""))</f>
        <v/>
      </c>
      <c r="P784">
        <f>IF('CHOP DASHBOARD'!$B$4="Area",IF(783&lt;=$S$3,IF(AND(OR('CHOP DASHBOARD'!$C$4="",ISNUMBER(SEARCH('CHOP DASHBOARD'!$C$4,INDEX(MASTER_AREAS!$B:$B,784))))),783,""),""),IF('CHOP DASHBOARD'!$B$4="Zone",IF(783&lt;=$S$4,IF(OR('CHOP DASHBOARD'!$C$4="",ISNUMBER(SEARCH('CHOP DASHBOARD'!$C$4,INDEX(MASTER_ZONES!$B:$B,784)))),783,""),""),""))</f>
        <v/>
      </c>
      <c r="U784">
        <f>IF('COMMUNITY CHURCH DASHBOARD'!$B$4="Area",IF(783&lt;=$X$3,IF(AND(OR('COMMUNITY CHURCH DASHBOARD'!$C$4="",ISNUMBER(SEARCH('COMMUNITY CHURCH DASHBOARD'!$C$4,INDEX(MASTER_AREAS!$B:$B,784))))),783,""),""),IF('COMMUNITY CHURCH DASHBOARD'!$B$4="Zone",IF(783&lt;=$X$4,IF(OR('COMMUNITY CHURCH DASHBOARD'!$C$4="",ISNUMBER(SEARCH('COMMUNITY CHURCH DASHBOARD'!$C$4,INDEX(MASTER_ZONES!$B:$B,784)))),783,""),""),""))</f>
        <v/>
      </c>
    </row>
    <row r="785">
      <c r="A785">
        <f>IF('WSF DASHBOARD'!$B$4="Area",IF(784&lt;=$D$3,IF(AND(OR('WSF DASHBOARD'!$C$4="",ISNUMBER(SEARCH('WSF DASHBOARD'!$C$4,INDEX(MASTER_AREAS!$B:$B,785))))),784,""),""),IF('WSF DASHBOARD'!$B$4="Zone",IF(784&lt;=$D$4,IF(OR('WSF DASHBOARD'!$C$4="",ISNUMBER(SEARCH('WSF DASHBOARD'!$C$4,INDEX(MASTER_ZONES!$B:$B,785)))),784,""),""),""))</f>
        <v/>
      </c>
      <c r="F785">
        <f>IF('TRANSPORT DASHBOARD'!$B$4="Area",IF(784&lt;=$I$3,IF(AND(INDEX(MASTER_AREAS!$F:$F,785)&lt;&gt;"N",OR('TRANSPORT DASHBOARD'!$C$4="",ISNUMBER(SEARCH('TRANSPORT DASHBOARD'!$C$4,INDEX(MASTER_AREAS!$B:$B,785))))),784,""),""),IF('TRANSPORT DASHBOARD'!$B$4="Zone",IF(784&lt;=$I$4,IF(OR('TRANSPORT DASHBOARD'!$C$4="",ISNUMBER(SEARCH('TRANSPORT DASHBOARD'!$C$4,INDEX(MASTER_ZONES!$B:$B,785)))),784,""),""),""))</f>
        <v/>
      </c>
      <c r="K785">
        <f>IF('MIDWEEK DASHBOARD'!$B$4="Area",IF(784&lt;=$N$3,IF(AND(OR('MIDWEEK DASHBOARD'!$C$4="",ISNUMBER(SEARCH('MIDWEEK DASHBOARD'!$C$4,INDEX(MASTER_AREAS!$B:$B,785))))),784,""),""),IF('MIDWEEK DASHBOARD'!$B$4="Zone",IF(784&lt;=$N$4,IF(OR('MIDWEEK DASHBOARD'!$C$4="",ISNUMBER(SEARCH('MIDWEEK DASHBOARD'!$C$4,INDEX(MASTER_ZONES!$B:$B,785)))),784,""),""),""))</f>
        <v/>
      </c>
      <c r="P785">
        <f>IF('CHOP DASHBOARD'!$B$4="Area",IF(784&lt;=$S$3,IF(AND(OR('CHOP DASHBOARD'!$C$4="",ISNUMBER(SEARCH('CHOP DASHBOARD'!$C$4,INDEX(MASTER_AREAS!$B:$B,785))))),784,""),""),IF('CHOP DASHBOARD'!$B$4="Zone",IF(784&lt;=$S$4,IF(OR('CHOP DASHBOARD'!$C$4="",ISNUMBER(SEARCH('CHOP DASHBOARD'!$C$4,INDEX(MASTER_ZONES!$B:$B,785)))),784,""),""),""))</f>
        <v/>
      </c>
      <c r="U785">
        <f>IF('COMMUNITY CHURCH DASHBOARD'!$B$4="Area",IF(784&lt;=$X$3,IF(AND(OR('COMMUNITY CHURCH DASHBOARD'!$C$4="",ISNUMBER(SEARCH('COMMUNITY CHURCH DASHBOARD'!$C$4,INDEX(MASTER_AREAS!$B:$B,785))))),784,""),""),IF('COMMUNITY CHURCH DASHBOARD'!$B$4="Zone",IF(784&lt;=$X$4,IF(OR('COMMUNITY CHURCH DASHBOARD'!$C$4="",ISNUMBER(SEARCH('COMMUNITY CHURCH DASHBOARD'!$C$4,INDEX(MASTER_ZONES!$B:$B,785)))),784,""),""),""))</f>
        <v/>
      </c>
    </row>
    <row r="786">
      <c r="A786">
        <f>IF('WSF DASHBOARD'!$B$4="Area",IF(785&lt;=$D$3,IF(AND(OR('WSF DASHBOARD'!$C$4="",ISNUMBER(SEARCH('WSF DASHBOARD'!$C$4,INDEX(MASTER_AREAS!$B:$B,786))))),785,""),""),IF('WSF DASHBOARD'!$B$4="Zone",IF(785&lt;=$D$4,IF(OR('WSF DASHBOARD'!$C$4="",ISNUMBER(SEARCH('WSF DASHBOARD'!$C$4,INDEX(MASTER_ZONES!$B:$B,786)))),785,""),""),""))</f>
        <v/>
      </c>
      <c r="F786">
        <f>IF('TRANSPORT DASHBOARD'!$B$4="Area",IF(785&lt;=$I$3,IF(AND(INDEX(MASTER_AREAS!$F:$F,786)&lt;&gt;"N",OR('TRANSPORT DASHBOARD'!$C$4="",ISNUMBER(SEARCH('TRANSPORT DASHBOARD'!$C$4,INDEX(MASTER_AREAS!$B:$B,786))))),785,""),""),IF('TRANSPORT DASHBOARD'!$B$4="Zone",IF(785&lt;=$I$4,IF(OR('TRANSPORT DASHBOARD'!$C$4="",ISNUMBER(SEARCH('TRANSPORT DASHBOARD'!$C$4,INDEX(MASTER_ZONES!$B:$B,786)))),785,""),""),""))</f>
        <v/>
      </c>
      <c r="K786">
        <f>IF('MIDWEEK DASHBOARD'!$B$4="Area",IF(785&lt;=$N$3,IF(AND(OR('MIDWEEK DASHBOARD'!$C$4="",ISNUMBER(SEARCH('MIDWEEK DASHBOARD'!$C$4,INDEX(MASTER_AREAS!$B:$B,786))))),785,""),""),IF('MIDWEEK DASHBOARD'!$B$4="Zone",IF(785&lt;=$N$4,IF(OR('MIDWEEK DASHBOARD'!$C$4="",ISNUMBER(SEARCH('MIDWEEK DASHBOARD'!$C$4,INDEX(MASTER_ZONES!$B:$B,786)))),785,""),""),""))</f>
        <v/>
      </c>
      <c r="P786">
        <f>IF('CHOP DASHBOARD'!$B$4="Area",IF(785&lt;=$S$3,IF(AND(OR('CHOP DASHBOARD'!$C$4="",ISNUMBER(SEARCH('CHOP DASHBOARD'!$C$4,INDEX(MASTER_AREAS!$B:$B,786))))),785,""),""),IF('CHOP DASHBOARD'!$B$4="Zone",IF(785&lt;=$S$4,IF(OR('CHOP DASHBOARD'!$C$4="",ISNUMBER(SEARCH('CHOP DASHBOARD'!$C$4,INDEX(MASTER_ZONES!$B:$B,786)))),785,""),""),""))</f>
        <v/>
      </c>
      <c r="U786">
        <f>IF('COMMUNITY CHURCH DASHBOARD'!$B$4="Area",IF(785&lt;=$X$3,IF(AND(OR('COMMUNITY CHURCH DASHBOARD'!$C$4="",ISNUMBER(SEARCH('COMMUNITY CHURCH DASHBOARD'!$C$4,INDEX(MASTER_AREAS!$B:$B,786))))),785,""),""),IF('COMMUNITY CHURCH DASHBOARD'!$B$4="Zone",IF(785&lt;=$X$4,IF(OR('COMMUNITY CHURCH DASHBOARD'!$C$4="",ISNUMBER(SEARCH('COMMUNITY CHURCH DASHBOARD'!$C$4,INDEX(MASTER_ZONES!$B:$B,786)))),785,""),""),""))</f>
        <v/>
      </c>
    </row>
    <row r="787">
      <c r="A787">
        <f>IF('WSF DASHBOARD'!$B$4="Area",IF(786&lt;=$D$3,IF(AND(OR('WSF DASHBOARD'!$C$4="",ISNUMBER(SEARCH('WSF DASHBOARD'!$C$4,INDEX(MASTER_AREAS!$B:$B,787))))),786,""),""),IF('WSF DASHBOARD'!$B$4="Zone",IF(786&lt;=$D$4,IF(OR('WSF DASHBOARD'!$C$4="",ISNUMBER(SEARCH('WSF DASHBOARD'!$C$4,INDEX(MASTER_ZONES!$B:$B,787)))),786,""),""),""))</f>
        <v/>
      </c>
      <c r="F787">
        <f>IF('TRANSPORT DASHBOARD'!$B$4="Area",IF(786&lt;=$I$3,IF(AND(INDEX(MASTER_AREAS!$F:$F,787)&lt;&gt;"N",OR('TRANSPORT DASHBOARD'!$C$4="",ISNUMBER(SEARCH('TRANSPORT DASHBOARD'!$C$4,INDEX(MASTER_AREAS!$B:$B,787))))),786,""),""),IF('TRANSPORT DASHBOARD'!$B$4="Zone",IF(786&lt;=$I$4,IF(OR('TRANSPORT DASHBOARD'!$C$4="",ISNUMBER(SEARCH('TRANSPORT DASHBOARD'!$C$4,INDEX(MASTER_ZONES!$B:$B,787)))),786,""),""),""))</f>
        <v/>
      </c>
      <c r="K787">
        <f>IF('MIDWEEK DASHBOARD'!$B$4="Area",IF(786&lt;=$N$3,IF(AND(OR('MIDWEEK DASHBOARD'!$C$4="",ISNUMBER(SEARCH('MIDWEEK DASHBOARD'!$C$4,INDEX(MASTER_AREAS!$B:$B,787))))),786,""),""),IF('MIDWEEK DASHBOARD'!$B$4="Zone",IF(786&lt;=$N$4,IF(OR('MIDWEEK DASHBOARD'!$C$4="",ISNUMBER(SEARCH('MIDWEEK DASHBOARD'!$C$4,INDEX(MASTER_ZONES!$B:$B,787)))),786,""),""),""))</f>
        <v/>
      </c>
      <c r="P787">
        <f>IF('CHOP DASHBOARD'!$B$4="Area",IF(786&lt;=$S$3,IF(AND(OR('CHOP DASHBOARD'!$C$4="",ISNUMBER(SEARCH('CHOP DASHBOARD'!$C$4,INDEX(MASTER_AREAS!$B:$B,787))))),786,""),""),IF('CHOP DASHBOARD'!$B$4="Zone",IF(786&lt;=$S$4,IF(OR('CHOP DASHBOARD'!$C$4="",ISNUMBER(SEARCH('CHOP DASHBOARD'!$C$4,INDEX(MASTER_ZONES!$B:$B,787)))),786,""),""),""))</f>
        <v/>
      </c>
      <c r="U787">
        <f>IF('COMMUNITY CHURCH DASHBOARD'!$B$4="Area",IF(786&lt;=$X$3,IF(AND(OR('COMMUNITY CHURCH DASHBOARD'!$C$4="",ISNUMBER(SEARCH('COMMUNITY CHURCH DASHBOARD'!$C$4,INDEX(MASTER_AREAS!$B:$B,787))))),786,""),""),IF('COMMUNITY CHURCH DASHBOARD'!$B$4="Zone",IF(786&lt;=$X$4,IF(OR('COMMUNITY CHURCH DASHBOARD'!$C$4="",ISNUMBER(SEARCH('COMMUNITY CHURCH DASHBOARD'!$C$4,INDEX(MASTER_ZONES!$B:$B,787)))),786,""),""),""))</f>
        <v/>
      </c>
    </row>
    <row r="788">
      <c r="A788">
        <f>IF('WSF DASHBOARD'!$B$4="Area",IF(787&lt;=$D$3,IF(AND(OR('WSF DASHBOARD'!$C$4="",ISNUMBER(SEARCH('WSF DASHBOARD'!$C$4,INDEX(MASTER_AREAS!$B:$B,788))))),787,""),""),IF('WSF DASHBOARD'!$B$4="Zone",IF(787&lt;=$D$4,IF(OR('WSF DASHBOARD'!$C$4="",ISNUMBER(SEARCH('WSF DASHBOARD'!$C$4,INDEX(MASTER_ZONES!$B:$B,788)))),787,""),""),""))</f>
        <v/>
      </c>
      <c r="F788">
        <f>IF('TRANSPORT DASHBOARD'!$B$4="Area",IF(787&lt;=$I$3,IF(AND(INDEX(MASTER_AREAS!$F:$F,788)&lt;&gt;"N",OR('TRANSPORT DASHBOARD'!$C$4="",ISNUMBER(SEARCH('TRANSPORT DASHBOARD'!$C$4,INDEX(MASTER_AREAS!$B:$B,788))))),787,""),""),IF('TRANSPORT DASHBOARD'!$B$4="Zone",IF(787&lt;=$I$4,IF(OR('TRANSPORT DASHBOARD'!$C$4="",ISNUMBER(SEARCH('TRANSPORT DASHBOARD'!$C$4,INDEX(MASTER_ZONES!$B:$B,788)))),787,""),""),""))</f>
        <v/>
      </c>
      <c r="K788">
        <f>IF('MIDWEEK DASHBOARD'!$B$4="Area",IF(787&lt;=$N$3,IF(AND(OR('MIDWEEK DASHBOARD'!$C$4="",ISNUMBER(SEARCH('MIDWEEK DASHBOARD'!$C$4,INDEX(MASTER_AREAS!$B:$B,788))))),787,""),""),IF('MIDWEEK DASHBOARD'!$B$4="Zone",IF(787&lt;=$N$4,IF(OR('MIDWEEK DASHBOARD'!$C$4="",ISNUMBER(SEARCH('MIDWEEK DASHBOARD'!$C$4,INDEX(MASTER_ZONES!$B:$B,788)))),787,""),""),""))</f>
        <v/>
      </c>
      <c r="P788">
        <f>IF('CHOP DASHBOARD'!$B$4="Area",IF(787&lt;=$S$3,IF(AND(OR('CHOP DASHBOARD'!$C$4="",ISNUMBER(SEARCH('CHOP DASHBOARD'!$C$4,INDEX(MASTER_AREAS!$B:$B,788))))),787,""),""),IF('CHOP DASHBOARD'!$B$4="Zone",IF(787&lt;=$S$4,IF(OR('CHOP DASHBOARD'!$C$4="",ISNUMBER(SEARCH('CHOP DASHBOARD'!$C$4,INDEX(MASTER_ZONES!$B:$B,788)))),787,""),""),""))</f>
        <v/>
      </c>
      <c r="U788">
        <f>IF('COMMUNITY CHURCH DASHBOARD'!$B$4="Area",IF(787&lt;=$X$3,IF(AND(OR('COMMUNITY CHURCH DASHBOARD'!$C$4="",ISNUMBER(SEARCH('COMMUNITY CHURCH DASHBOARD'!$C$4,INDEX(MASTER_AREAS!$B:$B,788))))),787,""),""),IF('COMMUNITY CHURCH DASHBOARD'!$B$4="Zone",IF(787&lt;=$X$4,IF(OR('COMMUNITY CHURCH DASHBOARD'!$C$4="",ISNUMBER(SEARCH('COMMUNITY CHURCH DASHBOARD'!$C$4,INDEX(MASTER_ZONES!$B:$B,788)))),787,""),""),""))</f>
        <v/>
      </c>
    </row>
    <row r="789">
      <c r="A789">
        <f>IF('WSF DASHBOARD'!$B$4="Area",IF(788&lt;=$D$3,IF(AND(OR('WSF DASHBOARD'!$C$4="",ISNUMBER(SEARCH('WSF DASHBOARD'!$C$4,INDEX(MASTER_AREAS!$B:$B,789))))),788,""),""),IF('WSF DASHBOARD'!$B$4="Zone",IF(788&lt;=$D$4,IF(OR('WSF DASHBOARD'!$C$4="",ISNUMBER(SEARCH('WSF DASHBOARD'!$C$4,INDEX(MASTER_ZONES!$B:$B,789)))),788,""),""),""))</f>
        <v/>
      </c>
      <c r="F789">
        <f>IF('TRANSPORT DASHBOARD'!$B$4="Area",IF(788&lt;=$I$3,IF(AND(INDEX(MASTER_AREAS!$F:$F,789)&lt;&gt;"N",OR('TRANSPORT DASHBOARD'!$C$4="",ISNUMBER(SEARCH('TRANSPORT DASHBOARD'!$C$4,INDEX(MASTER_AREAS!$B:$B,789))))),788,""),""),IF('TRANSPORT DASHBOARD'!$B$4="Zone",IF(788&lt;=$I$4,IF(OR('TRANSPORT DASHBOARD'!$C$4="",ISNUMBER(SEARCH('TRANSPORT DASHBOARD'!$C$4,INDEX(MASTER_ZONES!$B:$B,789)))),788,""),""),""))</f>
        <v/>
      </c>
      <c r="K789">
        <f>IF('MIDWEEK DASHBOARD'!$B$4="Area",IF(788&lt;=$N$3,IF(AND(OR('MIDWEEK DASHBOARD'!$C$4="",ISNUMBER(SEARCH('MIDWEEK DASHBOARD'!$C$4,INDEX(MASTER_AREAS!$B:$B,789))))),788,""),""),IF('MIDWEEK DASHBOARD'!$B$4="Zone",IF(788&lt;=$N$4,IF(OR('MIDWEEK DASHBOARD'!$C$4="",ISNUMBER(SEARCH('MIDWEEK DASHBOARD'!$C$4,INDEX(MASTER_ZONES!$B:$B,789)))),788,""),""),""))</f>
        <v/>
      </c>
      <c r="P789">
        <f>IF('CHOP DASHBOARD'!$B$4="Area",IF(788&lt;=$S$3,IF(AND(OR('CHOP DASHBOARD'!$C$4="",ISNUMBER(SEARCH('CHOP DASHBOARD'!$C$4,INDEX(MASTER_AREAS!$B:$B,789))))),788,""),""),IF('CHOP DASHBOARD'!$B$4="Zone",IF(788&lt;=$S$4,IF(OR('CHOP DASHBOARD'!$C$4="",ISNUMBER(SEARCH('CHOP DASHBOARD'!$C$4,INDEX(MASTER_ZONES!$B:$B,789)))),788,""),""),""))</f>
        <v/>
      </c>
      <c r="U789">
        <f>IF('COMMUNITY CHURCH DASHBOARD'!$B$4="Area",IF(788&lt;=$X$3,IF(AND(OR('COMMUNITY CHURCH DASHBOARD'!$C$4="",ISNUMBER(SEARCH('COMMUNITY CHURCH DASHBOARD'!$C$4,INDEX(MASTER_AREAS!$B:$B,789))))),788,""),""),IF('COMMUNITY CHURCH DASHBOARD'!$B$4="Zone",IF(788&lt;=$X$4,IF(OR('COMMUNITY CHURCH DASHBOARD'!$C$4="",ISNUMBER(SEARCH('COMMUNITY CHURCH DASHBOARD'!$C$4,INDEX(MASTER_ZONES!$B:$B,789)))),788,""),""),""))</f>
        <v/>
      </c>
    </row>
    <row r="790">
      <c r="A790">
        <f>IF('WSF DASHBOARD'!$B$4="Area",IF(789&lt;=$D$3,IF(AND(OR('WSF DASHBOARD'!$C$4="",ISNUMBER(SEARCH('WSF DASHBOARD'!$C$4,INDEX(MASTER_AREAS!$B:$B,790))))),789,""),""),IF('WSF DASHBOARD'!$B$4="Zone",IF(789&lt;=$D$4,IF(OR('WSF DASHBOARD'!$C$4="",ISNUMBER(SEARCH('WSF DASHBOARD'!$C$4,INDEX(MASTER_ZONES!$B:$B,790)))),789,""),""),""))</f>
        <v/>
      </c>
      <c r="F790">
        <f>IF('TRANSPORT DASHBOARD'!$B$4="Area",IF(789&lt;=$I$3,IF(AND(INDEX(MASTER_AREAS!$F:$F,790)&lt;&gt;"N",OR('TRANSPORT DASHBOARD'!$C$4="",ISNUMBER(SEARCH('TRANSPORT DASHBOARD'!$C$4,INDEX(MASTER_AREAS!$B:$B,790))))),789,""),""),IF('TRANSPORT DASHBOARD'!$B$4="Zone",IF(789&lt;=$I$4,IF(OR('TRANSPORT DASHBOARD'!$C$4="",ISNUMBER(SEARCH('TRANSPORT DASHBOARD'!$C$4,INDEX(MASTER_ZONES!$B:$B,790)))),789,""),""),""))</f>
        <v/>
      </c>
      <c r="K790">
        <f>IF('MIDWEEK DASHBOARD'!$B$4="Area",IF(789&lt;=$N$3,IF(AND(OR('MIDWEEK DASHBOARD'!$C$4="",ISNUMBER(SEARCH('MIDWEEK DASHBOARD'!$C$4,INDEX(MASTER_AREAS!$B:$B,790))))),789,""),""),IF('MIDWEEK DASHBOARD'!$B$4="Zone",IF(789&lt;=$N$4,IF(OR('MIDWEEK DASHBOARD'!$C$4="",ISNUMBER(SEARCH('MIDWEEK DASHBOARD'!$C$4,INDEX(MASTER_ZONES!$B:$B,790)))),789,""),""),""))</f>
        <v/>
      </c>
      <c r="P790">
        <f>IF('CHOP DASHBOARD'!$B$4="Area",IF(789&lt;=$S$3,IF(AND(OR('CHOP DASHBOARD'!$C$4="",ISNUMBER(SEARCH('CHOP DASHBOARD'!$C$4,INDEX(MASTER_AREAS!$B:$B,790))))),789,""),""),IF('CHOP DASHBOARD'!$B$4="Zone",IF(789&lt;=$S$4,IF(OR('CHOP DASHBOARD'!$C$4="",ISNUMBER(SEARCH('CHOP DASHBOARD'!$C$4,INDEX(MASTER_ZONES!$B:$B,790)))),789,""),""),""))</f>
        <v/>
      </c>
      <c r="U790">
        <f>IF('COMMUNITY CHURCH DASHBOARD'!$B$4="Area",IF(789&lt;=$X$3,IF(AND(OR('COMMUNITY CHURCH DASHBOARD'!$C$4="",ISNUMBER(SEARCH('COMMUNITY CHURCH DASHBOARD'!$C$4,INDEX(MASTER_AREAS!$B:$B,790))))),789,""),""),IF('COMMUNITY CHURCH DASHBOARD'!$B$4="Zone",IF(789&lt;=$X$4,IF(OR('COMMUNITY CHURCH DASHBOARD'!$C$4="",ISNUMBER(SEARCH('COMMUNITY CHURCH DASHBOARD'!$C$4,INDEX(MASTER_ZONES!$B:$B,790)))),789,""),""),""))</f>
        <v/>
      </c>
    </row>
    <row r="791">
      <c r="A791">
        <f>IF('WSF DASHBOARD'!$B$4="Area",IF(790&lt;=$D$3,IF(AND(OR('WSF DASHBOARD'!$C$4="",ISNUMBER(SEARCH('WSF DASHBOARD'!$C$4,INDEX(MASTER_AREAS!$B:$B,791))))),790,""),""),IF('WSF DASHBOARD'!$B$4="Zone",IF(790&lt;=$D$4,IF(OR('WSF DASHBOARD'!$C$4="",ISNUMBER(SEARCH('WSF DASHBOARD'!$C$4,INDEX(MASTER_ZONES!$B:$B,791)))),790,""),""),""))</f>
        <v/>
      </c>
      <c r="F791">
        <f>IF('TRANSPORT DASHBOARD'!$B$4="Area",IF(790&lt;=$I$3,IF(AND(INDEX(MASTER_AREAS!$F:$F,791)&lt;&gt;"N",OR('TRANSPORT DASHBOARD'!$C$4="",ISNUMBER(SEARCH('TRANSPORT DASHBOARD'!$C$4,INDEX(MASTER_AREAS!$B:$B,791))))),790,""),""),IF('TRANSPORT DASHBOARD'!$B$4="Zone",IF(790&lt;=$I$4,IF(OR('TRANSPORT DASHBOARD'!$C$4="",ISNUMBER(SEARCH('TRANSPORT DASHBOARD'!$C$4,INDEX(MASTER_ZONES!$B:$B,791)))),790,""),""),""))</f>
        <v/>
      </c>
      <c r="K791">
        <f>IF('MIDWEEK DASHBOARD'!$B$4="Area",IF(790&lt;=$N$3,IF(AND(OR('MIDWEEK DASHBOARD'!$C$4="",ISNUMBER(SEARCH('MIDWEEK DASHBOARD'!$C$4,INDEX(MASTER_AREAS!$B:$B,791))))),790,""),""),IF('MIDWEEK DASHBOARD'!$B$4="Zone",IF(790&lt;=$N$4,IF(OR('MIDWEEK DASHBOARD'!$C$4="",ISNUMBER(SEARCH('MIDWEEK DASHBOARD'!$C$4,INDEX(MASTER_ZONES!$B:$B,791)))),790,""),""),""))</f>
        <v/>
      </c>
      <c r="P791">
        <f>IF('CHOP DASHBOARD'!$B$4="Area",IF(790&lt;=$S$3,IF(AND(OR('CHOP DASHBOARD'!$C$4="",ISNUMBER(SEARCH('CHOP DASHBOARD'!$C$4,INDEX(MASTER_AREAS!$B:$B,791))))),790,""),""),IF('CHOP DASHBOARD'!$B$4="Zone",IF(790&lt;=$S$4,IF(OR('CHOP DASHBOARD'!$C$4="",ISNUMBER(SEARCH('CHOP DASHBOARD'!$C$4,INDEX(MASTER_ZONES!$B:$B,791)))),790,""),""),""))</f>
        <v/>
      </c>
      <c r="U791">
        <f>IF('COMMUNITY CHURCH DASHBOARD'!$B$4="Area",IF(790&lt;=$X$3,IF(AND(OR('COMMUNITY CHURCH DASHBOARD'!$C$4="",ISNUMBER(SEARCH('COMMUNITY CHURCH DASHBOARD'!$C$4,INDEX(MASTER_AREAS!$B:$B,791))))),790,""),""),IF('COMMUNITY CHURCH DASHBOARD'!$B$4="Zone",IF(790&lt;=$X$4,IF(OR('COMMUNITY CHURCH DASHBOARD'!$C$4="",ISNUMBER(SEARCH('COMMUNITY CHURCH DASHBOARD'!$C$4,INDEX(MASTER_ZONES!$B:$B,791)))),790,""),""),""))</f>
        <v/>
      </c>
    </row>
    <row r="792">
      <c r="A792">
        <f>IF('WSF DASHBOARD'!$B$4="Area",IF(791&lt;=$D$3,IF(AND(OR('WSF DASHBOARD'!$C$4="",ISNUMBER(SEARCH('WSF DASHBOARD'!$C$4,INDEX(MASTER_AREAS!$B:$B,792))))),791,""),""),IF('WSF DASHBOARD'!$B$4="Zone",IF(791&lt;=$D$4,IF(OR('WSF DASHBOARD'!$C$4="",ISNUMBER(SEARCH('WSF DASHBOARD'!$C$4,INDEX(MASTER_ZONES!$B:$B,792)))),791,""),""),""))</f>
        <v/>
      </c>
      <c r="F792">
        <f>IF('TRANSPORT DASHBOARD'!$B$4="Area",IF(791&lt;=$I$3,IF(AND(INDEX(MASTER_AREAS!$F:$F,792)&lt;&gt;"N",OR('TRANSPORT DASHBOARD'!$C$4="",ISNUMBER(SEARCH('TRANSPORT DASHBOARD'!$C$4,INDEX(MASTER_AREAS!$B:$B,792))))),791,""),""),IF('TRANSPORT DASHBOARD'!$B$4="Zone",IF(791&lt;=$I$4,IF(OR('TRANSPORT DASHBOARD'!$C$4="",ISNUMBER(SEARCH('TRANSPORT DASHBOARD'!$C$4,INDEX(MASTER_ZONES!$B:$B,792)))),791,""),""),""))</f>
        <v/>
      </c>
      <c r="K792">
        <f>IF('MIDWEEK DASHBOARD'!$B$4="Area",IF(791&lt;=$N$3,IF(AND(OR('MIDWEEK DASHBOARD'!$C$4="",ISNUMBER(SEARCH('MIDWEEK DASHBOARD'!$C$4,INDEX(MASTER_AREAS!$B:$B,792))))),791,""),""),IF('MIDWEEK DASHBOARD'!$B$4="Zone",IF(791&lt;=$N$4,IF(OR('MIDWEEK DASHBOARD'!$C$4="",ISNUMBER(SEARCH('MIDWEEK DASHBOARD'!$C$4,INDEX(MASTER_ZONES!$B:$B,792)))),791,""),""),""))</f>
        <v/>
      </c>
      <c r="P792">
        <f>IF('CHOP DASHBOARD'!$B$4="Area",IF(791&lt;=$S$3,IF(AND(OR('CHOP DASHBOARD'!$C$4="",ISNUMBER(SEARCH('CHOP DASHBOARD'!$C$4,INDEX(MASTER_AREAS!$B:$B,792))))),791,""),""),IF('CHOP DASHBOARD'!$B$4="Zone",IF(791&lt;=$S$4,IF(OR('CHOP DASHBOARD'!$C$4="",ISNUMBER(SEARCH('CHOP DASHBOARD'!$C$4,INDEX(MASTER_ZONES!$B:$B,792)))),791,""),""),""))</f>
        <v/>
      </c>
      <c r="U792">
        <f>IF('COMMUNITY CHURCH DASHBOARD'!$B$4="Area",IF(791&lt;=$X$3,IF(AND(OR('COMMUNITY CHURCH DASHBOARD'!$C$4="",ISNUMBER(SEARCH('COMMUNITY CHURCH DASHBOARD'!$C$4,INDEX(MASTER_AREAS!$B:$B,792))))),791,""),""),IF('COMMUNITY CHURCH DASHBOARD'!$B$4="Zone",IF(791&lt;=$X$4,IF(OR('COMMUNITY CHURCH DASHBOARD'!$C$4="",ISNUMBER(SEARCH('COMMUNITY CHURCH DASHBOARD'!$C$4,INDEX(MASTER_ZONES!$B:$B,792)))),791,""),""),""))</f>
        <v/>
      </c>
    </row>
    <row r="793">
      <c r="A793">
        <f>IF('WSF DASHBOARD'!$B$4="Area",IF(792&lt;=$D$3,IF(AND(OR('WSF DASHBOARD'!$C$4="",ISNUMBER(SEARCH('WSF DASHBOARD'!$C$4,INDEX(MASTER_AREAS!$B:$B,793))))),792,""),""),IF('WSF DASHBOARD'!$B$4="Zone",IF(792&lt;=$D$4,IF(OR('WSF DASHBOARD'!$C$4="",ISNUMBER(SEARCH('WSF DASHBOARD'!$C$4,INDEX(MASTER_ZONES!$B:$B,793)))),792,""),""),""))</f>
        <v/>
      </c>
      <c r="F793">
        <f>IF('TRANSPORT DASHBOARD'!$B$4="Area",IF(792&lt;=$I$3,IF(AND(INDEX(MASTER_AREAS!$F:$F,793)&lt;&gt;"N",OR('TRANSPORT DASHBOARD'!$C$4="",ISNUMBER(SEARCH('TRANSPORT DASHBOARD'!$C$4,INDEX(MASTER_AREAS!$B:$B,793))))),792,""),""),IF('TRANSPORT DASHBOARD'!$B$4="Zone",IF(792&lt;=$I$4,IF(OR('TRANSPORT DASHBOARD'!$C$4="",ISNUMBER(SEARCH('TRANSPORT DASHBOARD'!$C$4,INDEX(MASTER_ZONES!$B:$B,793)))),792,""),""),""))</f>
        <v/>
      </c>
      <c r="K793">
        <f>IF('MIDWEEK DASHBOARD'!$B$4="Area",IF(792&lt;=$N$3,IF(AND(OR('MIDWEEK DASHBOARD'!$C$4="",ISNUMBER(SEARCH('MIDWEEK DASHBOARD'!$C$4,INDEX(MASTER_AREAS!$B:$B,793))))),792,""),""),IF('MIDWEEK DASHBOARD'!$B$4="Zone",IF(792&lt;=$N$4,IF(OR('MIDWEEK DASHBOARD'!$C$4="",ISNUMBER(SEARCH('MIDWEEK DASHBOARD'!$C$4,INDEX(MASTER_ZONES!$B:$B,793)))),792,""),""),""))</f>
        <v/>
      </c>
      <c r="P793">
        <f>IF('CHOP DASHBOARD'!$B$4="Area",IF(792&lt;=$S$3,IF(AND(OR('CHOP DASHBOARD'!$C$4="",ISNUMBER(SEARCH('CHOP DASHBOARD'!$C$4,INDEX(MASTER_AREAS!$B:$B,793))))),792,""),""),IF('CHOP DASHBOARD'!$B$4="Zone",IF(792&lt;=$S$4,IF(OR('CHOP DASHBOARD'!$C$4="",ISNUMBER(SEARCH('CHOP DASHBOARD'!$C$4,INDEX(MASTER_ZONES!$B:$B,793)))),792,""),""),""))</f>
        <v/>
      </c>
      <c r="U793">
        <f>IF('COMMUNITY CHURCH DASHBOARD'!$B$4="Area",IF(792&lt;=$X$3,IF(AND(OR('COMMUNITY CHURCH DASHBOARD'!$C$4="",ISNUMBER(SEARCH('COMMUNITY CHURCH DASHBOARD'!$C$4,INDEX(MASTER_AREAS!$B:$B,793))))),792,""),""),IF('COMMUNITY CHURCH DASHBOARD'!$B$4="Zone",IF(792&lt;=$X$4,IF(OR('COMMUNITY CHURCH DASHBOARD'!$C$4="",ISNUMBER(SEARCH('COMMUNITY CHURCH DASHBOARD'!$C$4,INDEX(MASTER_ZONES!$B:$B,793)))),792,""),""),""))</f>
        <v/>
      </c>
    </row>
    <row r="794">
      <c r="A794">
        <f>IF('WSF DASHBOARD'!$B$4="Area",IF(793&lt;=$D$3,IF(AND(OR('WSF DASHBOARD'!$C$4="",ISNUMBER(SEARCH('WSF DASHBOARD'!$C$4,INDEX(MASTER_AREAS!$B:$B,794))))),793,""),""),IF('WSF DASHBOARD'!$B$4="Zone",IF(793&lt;=$D$4,IF(OR('WSF DASHBOARD'!$C$4="",ISNUMBER(SEARCH('WSF DASHBOARD'!$C$4,INDEX(MASTER_ZONES!$B:$B,794)))),793,""),""),""))</f>
        <v/>
      </c>
      <c r="F794">
        <f>IF('TRANSPORT DASHBOARD'!$B$4="Area",IF(793&lt;=$I$3,IF(AND(INDEX(MASTER_AREAS!$F:$F,794)&lt;&gt;"N",OR('TRANSPORT DASHBOARD'!$C$4="",ISNUMBER(SEARCH('TRANSPORT DASHBOARD'!$C$4,INDEX(MASTER_AREAS!$B:$B,794))))),793,""),""),IF('TRANSPORT DASHBOARD'!$B$4="Zone",IF(793&lt;=$I$4,IF(OR('TRANSPORT DASHBOARD'!$C$4="",ISNUMBER(SEARCH('TRANSPORT DASHBOARD'!$C$4,INDEX(MASTER_ZONES!$B:$B,794)))),793,""),""),""))</f>
        <v/>
      </c>
      <c r="K794">
        <f>IF('MIDWEEK DASHBOARD'!$B$4="Area",IF(793&lt;=$N$3,IF(AND(OR('MIDWEEK DASHBOARD'!$C$4="",ISNUMBER(SEARCH('MIDWEEK DASHBOARD'!$C$4,INDEX(MASTER_AREAS!$B:$B,794))))),793,""),""),IF('MIDWEEK DASHBOARD'!$B$4="Zone",IF(793&lt;=$N$4,IF(OR('MIDWEEK DASHBOARD'!$C$4="",ISNUMBER(SEARCH('MIDWEEK DASHBOARD'!$C$4,INDEX(MASTER_ZONES!$B:$B,794)))),793,""),""),""))</f>
        <v/>
      </c>
      <c r="P794">
        <f>IF('CHOP DASHBOARD'!$B$4="Area",IF(793&lt;=$S$3,IF(AND(OR('CHOP DASHBOARD'!$C$4="",ISNUMBER(SEARCH('CHOP DASHBOARD'!$C$4,INDEX(MASTER_AREAS!$B:$B,794))))),793,""),""),IF('CHOP DASHBOARD'!$B$4="Zone",IF(793&lt;=$S$4,IF(OR('CHOP DASHBOARD'!$C$4="",ISNUMBER(SEARCH('CHOP DASHBOARD'!$C$4,INDEX(MASTER_ZONES!$B:$B,794)))),793,""),""),""))</f>
        <v/>
      </c>
      <c r="U794">
        <f>IF('COMMUNITY CHURCH DASHBOARD'!$B$4="Area",IF(793&lt;=$X$3,IF(AND(OR('COMMUNITY CHURCH DASHBOARD'!$C$4="",ISNUMBER(SEARCH('COMMUNITY CHURCH DASHBOARD'!$C$4,INDEX(MASTER_AREAS!$B:$B,794))))),793,""),""),IF('COMMUNITY CHURCH DASHBOARD'!$B$4="Zone",IF(793&lt;=$X$4,IF(OR('COMMUNITY CHURCH DASHBOARD'!$C$4="",ISNUMBER(SEARCH('COMMUNITY CHURCH DASHBOARD'!$C$4,INDEX(MASTER_ZONES!$B:$B,794)))),793,""),""),""))</f>
        <v/>
      </c>
    </row>
    <row r="795">
      <c r="A795">
        <f>IF('WSF DASHBOARD'!$B$4="Area",IF(794&lt;=$D$3,IF(AND(OR('WSF DASHBOARD'!$C$4="",ISNUMBER(SEARCH('WSF DASHBOARD'!$C$4,INDEX(MASTER_AREAS!$B:$B,795))))),794,""),""),IF('WSF DASHBOARD'!$B$4="Zone",IF(794&lt;=$D$4,IF(OR('WSF DASHBOARD'!$C$4="",ISNUMBER(SEARCH('WSF DASHBOARD'!$C$4,INDEX(MASTER_ZONES!$B:$B,795)))),794,""),""),""))</f>
        <v/>
      </c>
      <c r="F795">
        <f>IF('TRANSPORT DASHBOARD'!$B$4="Area",IF(794&lt;=$I$3,IF(AND(INDEX(MASTER_AREAS!$F:$F,795)&lt;&gt;"N",OR('TRANSPORT DASHBOARD'!$C$4="",ISNUMBER(SEARCH('TRANSPORT DASHBOARD'!$C$4,INDEX(MASTER_AREAS!$B:$B,795))))),794,""),""),IF('TRANSPORT DASHBOARD'!$B$4="Zone",IF(794&lt;=$I$4,IF(OR('TRANSPORT DASHBOARD'!$C$4="",ISNUMBER(SEARCH('TRANSPORT DASHBOARD'!$C$4,INDEX(MASTER_ZONES!$B:$B,795)))),794,""),""),""))</f>
        <v/>
      </c>
      <c r="K795">
        <f>IF('MIDWEEK DASHBOARD'!$B$4="Area",IF(794&lt;=$N$3,IF(AND(OR('MIDWEEK DASHBOARD'!$C$4="",ISNUMBER(SEARCH('MIDWEEK DASHBOARD'!$C$4,INDEX(MASTER_AREAS!$B:$B,795))))),794,""),""),IF('MIDWEEK DASHBOARD'!$B$4="Zone",IF(794&lt;=$N$4,IF(OR('MIDWEEK DASHBOARD'!$C$4="",ISNUMBER(SEARCH('MIDWEEK DASHBOARD'!$C$4,INDEX(MASTER_ZONES!$B:$B,795)))),794,""),""),""))</f>
        <v/>
      </c>
      <c r="P795">
        <f>IF('CHOP DASHBOARD'!$B$4="Area",IF(794&lt;=$S$3,IF(AND(OR('CHOP DASHBOARD'!$C$4="",ISNUMBER(SEARCH('CHOP DASHBOARD'!$C$4,INDEX(MASTER_AREAS!$B:$B,795))))),794,""),""),IF('CHOP DASHBOARD'!$B$4="Zone",IF(794&lt;=$S$4,IF(OR('CHOP DASHBOARD'!$C$4="",ISNUMBER(SEARCH('CHOP DASHBOARD'!$C$4,INDEX(MASTER_ZONES!$B:$B,795)))),794,""),""),""))</f>
        <v/>
      </c>
      <c r="U795">
        <f>IF('COMMUNITY CHURCH DASHBOARD'!$B$4="Area",IF(794&lt;=$X$3,IF(AND(OR('COMMUNITY CHURCH DASHBOARD'!$C$4="",ISNUMBER(SEARCH('COMMUNITY CHURCH DASHBOARD'!$C$4,INDEX(MASTER_AREAS!$B:$B,795))))),794,""),""),IF('COMMUNITY CHURCH DASHBOARD'!$B$4="Zone",IF(794&lt;=$X$4,IF(OR('COMMUNITY CHURCH DASHBOARD'!$C$4="",ISNUMBER(SEARCH('COMMUNITY CHURCH DASHBOARD'!$C$4,INDEX(MASTER_ZONES!$B:$B,795)))),794,""),""),""))</f>
        <v/>
      </c>
    </row>
    <row r="796">
      <c r="A796">
        <f>IF('WSF DASHBOARD'!$B$4="Area",IF(795&lt;=$D$3,IF(AND(OR('WSF DASHBOARD'!$C$4="",ISNUMBER(SEARCH('WSF DASHBOARD'!$C$4,INDEX(MASTER_AREAS!$B:$B,796))))),795,""),""),IF('WSF DASHBOARD'!$B$4="Zone",IF(795&lt;=$D$4,IF(OR('WSF DASHBOARD'!$C$4="",ISNUMBER(SEARCH('WSF DASHBOARD'!$C$4,INDEX(MASTER_ZONES!$B:$B,796)))),795,""),""),""))</f>
        <v/>
      </c>
      <c r="F796">
        <f>IF('TRANSPORT DASHBOARD'!$B$4="Area",IF(795&lt;=$I$3,IF(AND(INDEX(MASTER_AREAS!$F:$F,796)&lt;&gt;"N",OR('TRANSPORT DASHBOARD'!$C$4="",ISNUMBER(SEARCH('TRANSPORT DASHBOARD'!$C$4,INDEX(MASTER_AREAS!$B:$B,796))))),795,""),""),IF('TRANSPORT DASHBOARD'!$B$4="Zone",IF(795&lt;=$I$4,IF(OR('TRANSPORT DASHBOARD'!$C$4="",ISNUMBER(SEARCH('TRANSPORT DASHBOARD'!$C$4,INDEX(MASTER_ZONES!$B:$B,796)))),795,""),""),""))</f>
        <v/>
      </c>
      <c r="K796">
        <f>IF('MIDWEEK DASHBOARD'!$B$4="Area",IF(795&lt;=$N$3,IF(AND(OR('MIDWEEK DASHBOARD'!$C$4="",ISNUMBER(SEARCH('MIDWEEK DASHBOARD'!$C$4,INDEX(MASTER_AREAS!$B:$B,796))))),795,""),""),IF('MIDWEEK DASHBOARD'!$B$4="Zone",IF(795&lt;=$N$4,IF(OR('MIDWEEK DASHBOARD'!$C$4="",ISNUMBER(SEARCH('MIDWEEK DASHBOARD'!$C$4,INDEX(MASTER_ZONES!$B:$B,796)))),795,""),""),""))</f>
        <v/>
      </c>
      <c r="P796">
        <f>IF('CHOP DASHBOARD'!$B$4="Area",IF(795&lt;=$S$3,IF(AND(OR('CHOP DASHBOARD'!$C$4="",ISNUMBER(SEARCH('CHOP DASHBOARD'!$C$4,INDEX(MASTER_AREAS!$B:$B,796))))),795,""),""),IF('CHOP DASHBOARD'!$B$4="Zone",IF(795&lt;=$S$4,IF(OR('CHOP DASHBOARD'!$C$4="",ISNUMBER(SEARCH('CHOP DASHBOARD'!$C$4,INDEX(MASTER_ZONES!$B:$B,796)))),795,""),""),""))</f>
        <v/>
      </c>
      <c r="U796">
        <f>IF('COMMUNITY CHURCH DASHBOARD'!$B$4="Area",IF(795&lt;=$X$3,IF(AND(OR('COMMUNITY CHURCH DASHBOARD'!$C$4="",ISNUMBER(SEARCH('COMMUNITY CHURCH DASHBOARD'!$C$4,INDEX(MASTER_AREAS!$B:$B,796))))),795,""),""),IF('COMMUNITY CHURCH DASHBOARD'!$B$4="Zone",IF(795&lt;=$X$4,IF(OR('COMMUNITY CHURCH DASHBOARD'!$C$4="",ISNUMBER(SEARCH('COMMUNITY CHURCH DASHBOARD'!$C$4,INDEX(MASTER_ZONES!$B:$B,796)))),795,""),""),""))</f>
        <v/>
      </c>
    </row>
    <row r="797">
      <c r="A797">
        <f>IF('WSF DASHBOARD'!$B$4="Area",IF(796&lt;=$D$3,IF(AND(OR('WSF DASHBOARD'!$C$4="",ISNUMBER(SEARCH('WSF DASHBOARD'!$C$4,INDEX(MASTER_AREAS!$B:$B,797))))),796,""),""),IF('WSF DASHBOARD'!$B$4="Zone",IF(796&lt;=$D$4,IF(OR('WSF DASHBOARD'!$C$4="",ISNUMBER(SEARCH('WSF DASHBOARD'!$C$4,INDEX(MASTER_ZONES!$B:$B,797)))),796,""),""),""))</f>
        <v/>
      </c>
      <c r="F797">
        <f>IF('TRANSPORT DASHBOARD'!$B$4="Area",IF(796&lt;=$I$3,IF(AND(INDEX(MASTER_AREAS!$F:$F,797)&lt;&gt;"N",OR('TRANSPORT DASHBOARD'!$C$4="",ISNUMBER(SEARCH('TRANSPORT DASHBOARD'!$C$4,INDEX(MASTER_AREAS!$B:$B,797))))),796,""),""),IF('TRANSPORT DASHBOARD'!$B$4="Zone",IF(796&lt;=$I$4,IF(OR('TRANSPORT DASHBOARD'!$C$4="",ISNUMBER(SEARCH('TRANSPORT DASHBOARD'!$C$4,INDEX(MASTER_ZONES!$B:$B,797)))),796,""),""),""))</f>
        <v/>
      </c>
      <c r="K797">
        <f>IF('MIDWEEK DASHBOARD'!$B$4="Area",IF(796&lt;=$N$3,IF(AND(OR('MIDWEEK DASHBOARD'!$C$4="",ISNUMBER(SEARCH('MIDWEEK DASHBOARD'!$C$4,INDEX(MASTER_AREAS!$B:$B,797))))),796,""),""),IF('MIDWEEK DASHBOARD'!$B$4="Zone",IF(796&lt;=$N$4,IF(OR('MIDWEEK DASHBOARD'!$C$4="",ISNUMBER(SEARCH('MIDWEEK DASHBOARD'!$C$4,INDEX(MASTER_ZONES!$B:$B,797)))),796,""),""),""))</f>
        <v/>
      </c>
      <c r="P797">
        <f>IF('CHOP DASHBOARD'!$B$4="Area",IF(796&lt;=$S$3,IF(AND(OR('CHOP DASHBOARD'!$C$4="",ISNUMBER(SEARCH('CHOP DASHBOARD'!$C$4,INDEX(MASTER_AREAS!$B:$B,797))))),796,""),""),IF('CHOP DASHBOARD'!$B$4="Zone",IF(796&lt;=$S$4,IF(OR('CHOP DASHBOARD'!$C$4="",ISNUMBER(SEARCH('CHOP DASHBOARD'!$C$4,INDEX(MASTER_ZONES!$B:$B,797)))),796,""),""),""))</f>
        <v/>
      </c>
      <c r="U797">
        <f>IF('COMMUNITY CHURCH DASHBOARD'!$B$4="Area",IF(796&lt;=$X$3,IF(AND(OR('COMMUNITY CHURCH DASHBOARD'!$C$4="",ISNUMBER(SEARCH('COMMUNITY CHURCH DASHBOARD'!$C$4,INDEX(MASTER_AREAS!$B:$B,797))))),796,""),""),IF('COMMUNITY CHURCH DASHBOARD'!$B$4="Zone",IF(796&lt;=$X$4,IF(OR('COMMUNITY CHURCH DASHBOARD'!$C$4="",ISNUMBER(SEARCH('COMMUNITY CHURCH DASHBOARD'!$C$4,INDEX(MASTER_ZONES!$B:$B,797)))),796,""),""),""))</f>
        <v/>
      </c>
    </row>
    <row r="798">
      <c r="A798">
        <f>IF('WSF DASHBOARD'!$B$4="Area",IF(797&lt;=$D$3,IF(AND(OR('WSF DASHBOARD'!$C$4="",ISNUMBER(SEARCH('WSF DASHBOARD'!$C$4,INDEX(MASTER_AREAS!$B:$B,798))))),797,""),""),IF('WSF DASHBOARD'!$B$4="Zone",IF(797&lt;=$D$4,IF(OR('WSF DASHBOARD'!$C$4="",ISNUMBER(SEARCH('WSF DASHBOARD'!$C$4,INDEX(MASTER_ZONES!$B:$B,798)))),797,""),""),""))</f>
        <v/>
      </c>
      <c r="F798">
        <f>IF('TRANSPORT DASHBOARD'!$B$4="Area",IF(797&lt;=$I$3,IF(AND(INDEX(MASTER_AREAS!$F:$F,798)&lt;&gt;"N",OR('TRANSPORT DASHBOARD'!$C$4="",ISNUMBER(SEARCH('TRANSPORT DASHBOARD'!$C$4,INDEX(MASTER_AREAS!$B:$B,798))))),797,""),""),IF('TRANSPORT DASHBOARD'!$B$4="Zone",IF(797&lt;=$I$4,IF(OR('TRANSPORT DASHBOARD'!$C$4="",ISNUMBER(SEARCH('TRANSPORT DASHBOARD'!$C$4,INDEX(MASTER_ZONES!$B:$B,798)))),797,""),""),""))</f>
        <v/>
      </c>
      <c r="K798">
        <f>IF('MIDWEEK DASHBOARD'!$B$4="Area",IF(797&lt;=$N$3,IF(AND(OR('MIDWEEK DASHBOARD'!$C$4="",ISNUMBER(SEARCH('MIDWEEK DASHBOARD'!$C$4,INDEX(MASTER_AREAS!$B:$B,798))))),797,""),""),IF('MIDWEEK DASHBOARD'!$B$4="Zone",IF(797&lt;=$N$4,IF(OR('MIDWEEK DASHBOARD'!$C$4="",ISNUMBER(SEARCH('MIDWEEK DASHBOARD'!$C$4,INDEX(MASTER_ZONES!$B:$B,798)))),797,""),""),""))</f>
        <v/>
      </c>
      <c r="P798">
        <f>IF('CHOP DASHBOARD'!$B$4="Area",IF(797&lt;=$S$3,IF(AND(OR('CHOP DASHBOARD'!$C$4="",ISNUMBER(SEARCH('CHOP DASHBOARD'!$C$4,INDEX(MASTER_AREAS!$B:$B,798))))),797,""),""),IF('CHOP DASHBOARD'!$B$4="Zone",IF(797&lt;=$S$4,IF(OR('CHOP DASHBOARD'!$C$4="",ISNUMBER(SEARCH('CHOP DASHBOARD'!$C$4,INDEX(MASTER_ZONES!$B:$B,798)))),797,""),""),""))</f>
        <v/>
      </c>
      <c r="U798">
        <f>IF('COMMUNITY CHURCH DASHBOARD'!$B$4="Area",IF(797&lt;=$X$3,IF(AND(OR('COMMUNITY CHURCH DASHBOARD'!$C$4="",ISNUMBER(SEARCH('COMMUNITY CHURCH DASHBOARD'!$C$4,INDEX(MASTER_AREAS!$B:$B,798))))),797,""),""),IF('COMMUNITY CHURCH DASHBOARD'!$B$4="Zone",IF(797&lt;=$X$4,IF(OR('COMMUNITY CHURCH DASHBOARD'!$C$4="",ISNUMBER(SEARCH('COMMUNITY CHURCH DASHBOARD'!$C$4,INDEX(MASTER_ZONES!$B:$B,798)))),797,""),""),""))</f>
        <v/>
      </c>
    </row>
    <row r="799">
      <c r="A799">
        <f>IF('WSF DASHBOARD'!$B$4="Area",IF(798&lt;=$D$3,IF(AND(OR('WSF DASHBOARD'!$C$4="",ISNUMBER(SEARCH('WSF DASHBOARD'!$C$4,INDEX(MASTER_AREAS!$B:$B,799))))),798,""),""),IF('WSF DASHBOARD'!$B$4="Zone",IF(798&lt;=$D$4,IF(OR('WSF DASHBOARD'!$C$4="",ISNUMBER(SEARCH('WSF DASHBOARD'!$C$4,INDEX(MASTER_ZONES!$B:$B,799)))),798,""),""),""))</f>
        <v/>
      </c>
      <c r="F799">
        <f>IF('TRANSPORT DASHBOARD'!$B$4="Area",IF(798&lt;=$I$3,IF(AND(INDEX(MASTER_AREAS!$F:$F,799)&lt;&gt;"N",OR('TRANSPORT DASHBOARD'!$C$4="",ISNUMBER(SEARCH('TRANSPORT DASHBOARD'!$C$4,INDEX(MASTER_AREAS!$B:$B,799))))),798,""),""),IF('TRANSPORT DASHBOARD'!$B$4="Zone",IF(798&lt;=$I$4,IF(OR('TRANSPORT DASHBOARD'!$C$4="",ISNUMBER(SEARCH('TRANSPORT DASHBOARD'!$C$4,INDEX(MASTER_ZONES!$B:$B,799)))),798,""),""),""))</f>
        <v/>
      </c>
      <c r="K799">
        <f>IF('MIDWEEK DASHBOARD'!$B$4="Area",IF(798&lt;=$N$3,IF(AND(OR('MIDWEEK DASHBOARD'!$C$4="",ISNUMBER(SEARCH('MIDWEEK DASHBOARD'!$C$4,INDEX(MASTER_AREAS!$B:$B,799))))),798,""),""),IF('MIDWEEK DASHBOARD'!$B$4="Zone",IF(798&lt;=$N$4,IF(OR('MIDWEEK DASHBOARD'!$C$4="",ISNUMBER(SEARCH('MIDWEEK DASHBOARD'!$C$4,INDEX(MASTER_ZONES!$B:$B,799)))),798,""),""),""))</f>
        <v/>
      </c>
      <c r="P799">
        <f>IF('CHOP DASHBOARD'!$B$4="Area",IF(798&lt;=$S$3,IF(AND(OR('CHOP DASHBOARD'!$C$4="",ISNUMBER(SEARCH('CHOP DASHBOARD'!$C$4,INDEX(MASTER_AREAS!$B:$B,799))))),798,""),""),IF('CHOP DASHBOARD'!$B$4="Zone",IF(798&lt;=$S$4,IF(OR('CHOP DASHBOARD'!$C$4="",ISNUMBER(SEARCH('CHOP DASHBOARD'!$C$4,INDEX(MASTER_ZONES!$B:$B,799)))),798,""),""),""))</f>
        <v/>
      </c>
      <c r="U799">
        <f>IF('COMMUNITY CHURCH DASHBOARD'!$B$4="Area",IF(798&lt;=$X$3,IF(AND(OR('COMMUNITY CHURCH DASHBOARD'!$C$4="",ISNUMBER(SEARCH('COMMUNITY CHURCH DASHBOARD'!$C$4,INDEX(MASTER_AREAS!$B:$B,799))))),798,""),""),IF('COMMUNITY CHURCH DASHBOARD'!$B$4="Zone",IF(798&lt;=$X$4,IF(OR('COMMUNITY CHURCH DASHBOARD'!$C$4="",ISNUMBER(SEARCH('COMMUNITY CHURCH DASHBOARD'!$C$4,INDEX(MASTER_ZONES!$B:$B,799)))),798,""),""),""))</f>
        <v/>
      </c>
    </row>
    <row r="800">
      <c r="A800">
        <f>IF('WSF DASHBOARD'!$B$4="Area",IF(799&lt;=$D$3,IF(AND(OR('WSF DASHBOARD'!$C$4="",ISNUMBER(SEARCH('WSF DASHBOARD'!$C$4,INDEX(MASTER_AREAS!$B:$B,800))))),799,""),""),IF('WSF DASHBOARD'!$B$4="Zone",IF(799&lt;=$D$4,IF(OR('WSF DASHBOARD'!$C$4="",ISNUMBER(SEARCH('WSF DASHBOARD'!$C$4,INDEX(MASTER_ZONES!$B:$B,800)))),799,""),""),""))</f>
        <v/>
      </c>
      <c r="F800">
        <f>IF('TRANSPORT DASHBOARD'!$B$4="Area",IF(799&lt;=$I$3,IF(AND(INDEX(MASTER_AREAS!$F:$F,800)&lt;&gt;"N",OR('TRANSPORT DASHBOARD'!$C$4="",ISNUMBER(SEARCH('TRANSPORT DASHBOARD'!$C$4,INDEX(MASTER_AREAS!$B:$B,800))))),799,""),""),IF('TRANSPORT DASHBOARD'!$B$4="Zone",IF(799&lt;=$I$4,IF(OR('TRANSPORT DASHBOARD'!$C$4="",ISNUMBER(SEARCH('TRANSPORT DASHBOARD'!$C$4,INDEX(MASTER_ZONES!$B:$B,800)))),799,""),""),""))</f>
        <v/>
      </c>
      <c r="K800">
        <f>IF('MIDWEEK DASHBOARD'!$B$4="Area",IF(799&lt;=$N$3,IF(AND(OR('MIDWEEK DASHBOARD'!$C$4="",ISNUMBER(SEARCH('MIDWEEK DASHBOARD'!$C$4,INDEX(MASTER_AREAS!$B:$B,800))))),799,""),""),IF('MIDWEEK DASHBOARD'!$B$4="Zone",IF(799&lt;=$N$4,IF(OR('MIDWEEK DASHBOARD'!$C$4="",ISNUMBER(SEARCH('MIDWEEK DASHBOARD'!$C$4,INDEX(MASTER_ZONES!$B:$B,800)))),799,""),""),""))</f>
        <v/>
      </c>
      <c r="P800">
        <f>IF('CHOP DASHBOARD'!$B$4="Area",IF(799&lt;=$S$3,IF(AND(OR('CHOP DASHBOARD'!$C$4="",ISNUMBER(SEARCH('CHOP DASHBOARD'!$C$4,INDEX(MASTER_AREAS!$B:$B,800))))),799,""),""),IF('CHOP DASHBOARD'!$B$4="Zone",IF(799&lt;=$S$4,IF(OR('CHOP DASHBOARD'!$C$4="",ISNUMBER(SEARCH('CHOP DASHBOARD'!$C$4,INDEX(MASTER_ZONES!$B:$B,800)))),799,""),""),""))</f>
        <v/>
      </c>
      <c r="U800">
        <f>IF('COMMUNITY CHURCH DASHBOARD'!$B$4="Area",IF(799&lt;=$X$3,IF(AND(OR('COMMUNITY CHURCH DASHBOARD'!$C$4="",ISNUMBER(SEARCH('COMMUNITY CHURCH DASHBOARD'!$C$4,INDEX(MASTER_AREAS!$B:$B,800))))),799,""),""),IF('COMMUNITY CHURCH DASHBOARD'!$B$4="Zone",IF(799&lt;=$X$4,IF(OR('COMMUNITY CHURCH DASHBOARD'!$C$4="",ISNUMBER(SEARCH('COMMUNITY CHURCH DASHBOARD'!$C$4,INDEX(MASTER_ZONES!$B:$B,800)))),799,""),""),""))</f>
        <v/>
      </c>
    </row>
    <row r="801">
      <c r="A801">
        <f>IF('WSF DASHBOARD'!$B$4="Area",IF(800&lt;=$D$3,IF(AND(OR('WSF DASHBOARD'!$C$4="",ISNUMBER(SEARCH('WSF DASHBOARD'!$C$4,INDEX(MASTER_AREAS!$B:$B,801))))),800,""),""),IF('WSF DASHBOARD'!$B$4="Zone",IF(800&lt;=$D$4,IF(OR('WSF DASHBOARD'!$C$4="",ISNUMBER(SEARCH('WSF DASHBOARD'!$C$4,INDEX(MASTER_ZONES!$B:$B,801)))),800,""),""),""))</f>
        <v/>
      </c>
      <c r="F801">
        <f>IF('TRANSPORT DASHBOARD'!$B$4="Area",IF(800&lt;=$I$3,IF(AND(INDEX(MASTER_AREAS!$F:$F,801)&lt;&gt;"N",OR('TRANSPORT DASHBOARD'!$C$4="",ISNUMBER(SEARCH('TRANSPORT DASHBOARD'!$C$4,INDEX(MASTER_AREAS!$B:$B,801))))),800,""),""),IF('TRANSPORT DASHBOARD'!$B$4="Zone",IF(800&lt;=$I$4,IF(OR('TRANSPORT DASHBOARD'!$C$4="",ISNUMBER(SEARCH('TRANSPORT DASHBOARD'!$C$4,INDEX(MASTER_ZONES!$B:$B,801)))),800,""),""),""))</f>
        <v/>
      </c>
      <c r="K801">
        <f>IF('MIDWEEK DASHBOARD'!$B$4="Area",IF(800&lt;=$N$3,IF(AND(OR('MIDWEEK DASHBOARD'!$C$4="",ISNUMBER(SEARCH('MIDWEEK DASHBOARD'!$C$4,INDEX(MASTER_AREAS!$B:$B,801))))),800,""),""),IF('MIDWEEK DASHBOARD'!$B$4="Zone",IF(800&lt;=$N$4,IF(OR('MIDWEEK DASHBOARD'!$C$4="",ISNUMBER(SEARCH('MIDWEEK DASHBOARD'!$C$4,INDEX(MASTER_ZONES!$B:$B,801)))),800,""),""),""))</f>
        <v/>
      </c>
      <c r="P801">
        <f>IF('CHOP DASHBOARD'!$B$4="Area",IF(800&lt;=$S$3,IF(AND(OR('CHOP DASHBOARD'!$C$4="",ISNUMBER(SEARCH('CHOP DASHBOARD'!$C$4,INDEX(MASTER_AREAS!$B:$B,801))))),800,""),""),IF('CHOP DASHBOARD'!$B$4="Zone",IF(800&lt;=$S$4,IF(OR('CHOP DASHBOARD'!$C$4="",ISNUMBER(SEARCH('CHOP DASHBOARD'!$C$4,INDEX(MASTER_ZONES!$B:$B,801)))),800,""),""),""))</f>
        <v/>
      </c>
      <c r="U801">
        <f>IF('COMMUNITY CHURCH DASHBOARD'!$B$4="Area",IF(800&lt;=$X$3,IF(AND(OR('COMMUNITY CHURCH DASHBOARD'!$C$4="",ISNUMBER(SEARCH('COMMUNITY CHURCH DASHBOARD'!$C$4,INDEX(MASTER_AREAS!$B:$B,801))))),800,""),""),IF('COMMUNITY CHURCH DASHBOARD'!$B$4="Zone",IF(800&lt;=$X$4,IF(OR('COMMUNITY CHURCH DASHBOARD'!$C$4="",ISNUMBER(SEARCH('COMMUNITY CHURCH DASHBOARD'!$C$4,INDEX(MASTER_ZONES!$B:$B,801)))),800,""),""),""))</f>
        <v/>
      </c>
    </row>
    <row r="802">
      <c r="A802">
        <f>IF('WSF DASHBOARD'!$B$4="Area",IF(801&lt;=$D$3,IF(AND(OR('WSF DASHBOARD'!$C$4="",ISNUMBER(SEARCH('WSF DASHBOARD'!$C$4,INDEX(MASTER_AREAS!$B:$B,802))))),801,""),""),IF('WSF DASHBOARD'!$B$4="Zone",IF(801&lt;=$D$4,IF(OR('WSF DASHBOARD'!$C$4="",ISNUMBER(SEARCH('WSF DASHBOARD'!$C$4,INDEX(MASTER_ZONES!$B:$B,802)))),801,""),""),""))</f>
        <v/>
      </c>
      <c r="F802">
        <f>IF('TRANSPORT DASHBOARD'!$B$4="Area",IF(801&lt;=$I$3,IF(AND(INDEX(MASTER_AREAS!$F:$F,802)&lt;&gt;"N",OR('TRANSPORT DASHBOARD'!$C$4="",ISNUMBER(SEARCH('TRANSPORT DASHBOARD'!$C$4,INDEX(MASTER_AREAS!$B:$B,802))))),801,""),""),IF('TRANSPORT DASHBOARD'!$B$4="Zone",IF(801&lt;=$I$4,IF(OR('TRANSPORT DASHBOARD'!$C$4="",ISNUMBER(SEARCH('TRANSPORT DASHBOARD'!$C$4,INDEX(MASTER_ZONES!$B:$B,802)))),801,""),""),""))</f>
        <v/>
      </c>
      <c r="K802">
        <f>IF('MIDWEEK DASHBOARD'!$B$4="Area",IF(801&lt;=$N$3,IF(AND(OR('MIDWEEK DASHBOARD'!$C$4="",ISNUMBER(SEARCH('MIDWEEK DASHBOARD'!$C$4,INDEX(MASTER_AREAS!$B:$B,802))))),801,""),""),IF('MIDWEEK DASHBOARD'!$B$4="Zone",IF(801&lt;=$N$4,IF(OR('MIDWEEK DASHBOARD'!$C$4="",ISNUMBER(SEARCH('MIDWEEK DASHBOARD'!$C$4,INDEX(MASTER_ZONES!$B:$B,802)))),801,""),""),""))</f>
        <v/>
      </c>
      <c r="P802">
        <f>IF('CHOP DASHBOARD'!$B$4="Area",IF(801&lt;=$S$3,IF(AND(OR('CHOP DASHBOARD'!$C$4="",ISNUMBER(SEARCH('CHOP DASHBOARD'!$C$4,INDEX(MASTER_AREAS!$B:$B,802))))),801,""),""),IF('CHOP DASHBOARD'!$B$4="Zone",IF(801&lt;=$S$4,IF(OR('CHOP DASHBOARD'!$C$4="",ISNUMBER(SEARCH('CHOP DASHBOARD'!$C$4,INDEX(MASTER_ZONES!$B:$B,802)))),801,""),""),""))</f>
        <v/>
      </c>
      <c r="U802">
        <f>IF('COMMUNITY CHURCH DASHBOARD'!$B$4="Area",IF(801&lt;=$X$3,IF(AND(OR('COMMUNITY CHURCH DASHBOARD'!$C$4="",ISNUMBER(SEARCH('COMMUNITY CHURCH DASHBOARD'!$C$4,INDEX(MASTER_AREAS!$B:$B,802))))),801,""),""),IF('COMMUNITY CHURCH DASHBOARD'!$B$4="Zone",IF(801&lt;=$X$4,IF(OR('COMMUNITY CHURCH DASHBOARD'!$C$4="",ISNUMBER(SEARCH('COMMUNITY CHURCH DASHBOARD'!$C$4,INDEX(MASTER_ZONES!$B:$B,802)))),801,""),""),""))</f>
        <v/>
      </c>
    </row>
    <row r="803">
      <c r="A803">
        <f>IF('WSF DASHBOARD'!$B$4="Area",IF(802&lt;=$D$3,IF(AND(OR('WSF DASHBOARD'!$C$4="",ISNUMBER(SEARCH('WSF DASHBOARD'!$C$4,INDEX(MASTER_AREAS!$B:$B,803))))),802,""),""),IF('WSF DASHBOARD'!$B$4="Zone",IF(802&lt;=$D$4,IF(OR('WSF DASHBOARD'!$C$4="",ISNUMBER(SEARCH('WSF DASHBOARD'!$C$4,INDEX(MASTER_ZONES!$B:$B,803)))),802,""),""),""))</f>
        <v/>
      </c>
      <c r="F803">
        <f>IF('TRANSPORT DASHBOARD'!$B$4="Area",IF(802&lt;=$I$3,IF(AND(INDEX(MASTER_AREAS!$F:$F,803)&lt;&gt;"N",OR('TRANSPORT DASHBOARD'!$C$4="",ISNUMBER(SEARCH('TRANSPORT DASHBOARD'!$C$4,INDEX(MASTER_AREAS!$B:$B,803))))),802,""),""),IF('TRANSPORT DASHBOARD'!$B$4="Zone",IF(802&lt;=$I$4,IF(OR('TRANSPORT DASHBOARD'!$C$4="",ISNUMBER(SEARCH('TRANSPORT DASHBOARD'!$C$4,INDEX(MASTER_ZONES!$B:$B,803)))),802,""),""),""))</f>
        <v/>
      </c>
      <c r="K803">
        <f>IF('MIDWEEK DASHBOARD'!$B$4="Area",IF(802&lt;=$N$3,IF(AND(OR('MIDWEEK DASHBOARD'!$C$4="",ISNUMBER(SEARCH('MIDWEEK DASHBOARD'!$C$4,INDEX(MASTER_AREAS!$B:$B,803))))),802,""),""),IF('MIDWEEK DASHBOARD'!$B$4="Zone",IF(802&lt;=$N$4,IF(OR('MIDWEEK DASHBOARD'!$C$4="",ISNUMBER(SEARCH('MIDWEEK DASHBOARD'!$C$4,INDEX(MASTER_ZONES!$B:$B,803)))),802,""),""),""))</f>
        <v/>
      </c>
      <c r="P803">
        <f>IF('CHOP DASHBOARD'!$B$4="Area",IF(802&lt;=$S$3,IF(AND(OR('CHOP DASHBOARD'!$C$4="",ISNUMBER(SEARCH('CHOP DASHBOARD'!$C$4,INDEX(MASTER_AREAS!$B:$B,803))))),802,""),""),IF('CHOP DASHBOARD'!$B$4="Zone",IF(802&lt;=$S$4,IF(OR('CHOP DASHBOARD'!$C$4="",ISNUMBER(SEARCH('CHOP DASHBOARD'!$C$4,INDEX(MASTER_ZONES!$B:$B,803)))),802,""),""),""))</f>
        <v/>
      </c>
      <c r="U803">
        <f>IF('COMMUNITY CHURCH DASHBOARD'!$B$4="Area",IF(802&lt;=$X$3,IF(AND(OR('COMMUNITY CHURCH DASHBOARD'!$C$4="",ISNUMBER(SEARCH('COMMUNITY CHURCH DASHBOARD'!$C$4,INDEX(MASTER_AREAS!$B:$B,803))))),802,""),""),IF('COMMUNITY CHURCH DASHBOARD'!$B$4="Zone",IF(802&lt;=$X$4,IF(OR('COMMUNITY CHURCH DASHBOARD'!$C$4="",ISNUMBER(SEARCH('COMMUNITY CHURCH DASHBOARD'!$C$4,INDEX(MASTER_ZONES!$B:$B,803)))),802,""),""),""))</f>
        <v/>
      </c>
    </row>
    <row r="804">
      <c r="A804">
        <f>IF('WSF DASHBOARD'!$B$4="Area",IF(803&lt;=$D$3,IF(AND(OR('WSF DASHBOARD'!$C$4="",ISNUMBER(SEARCH('WSF DASHBOARD'!$C$4,INDEX(MASTER_AREAS!$B:$B,804))))),803,""),""),IF('WSF DASHBOARD'!$B$4="Zone",IF(803&lt;=$D$4,IF(OR('WSF DASHBOARD'!$C$4="",ISNUMBER(SEARCH('WSF DASHBOARD'!$C$4,INDEX(MASTER_ZONES!$B:$B,804)))),803,""),""),""))</f>
        <v/>
      </c>
      <c r="F804">
        <f>IF('TRANSPORT DASHBOARD'!$B$4="Area",IF(803&lt;=$I$3,IF(AND(INDEX(MASTER_AREAS!$F:$F,804)&lt;&gt;"N",OR('TRANSPORT DASHBOARD'!$C$4="",ISNUMBER(SEARCH('TRANSPORT DASHBOARD'!$C$4,INDEX(MASTER_AREAS!$B:$B,804))))),803,""),""),IF('TRANSPORT DASHBOARD'!$B$4="Zone",IF(803&lt;=$I$4,IF(OR('TRANSPORT DASHBOARD'!$C$4="",ISNUMBER(SEARCH('TRANSPORT DASHBOARD'!$C$4,INDEX(MASTER_ZONES!$B:$B,804)))),803,""),""),""))</f>
        <v/>
      </c>
      <c r="K804">
        <f>IF('MIDWEEK DASHBOARD'!$B$4="Area",IF(803&lt;=$N$3,IF(AND(OR('MIDWEEK DASHBOARD'!$C$4="",ISNUMBER(SEARCH('MIDWEEK DASHBOARD'!$C$4,INDEX(MASTER_AREAS!$B:$B,804))))),803,""),""),IF('MIDWEEK DASHBOARD'!$B$4="Zone",IF(803&lt;=$N$4,IF(OR('MIDWEEK DASHBOARD'!$C$4="",ISNUMBER(SEARCH('MIDWEEK DASHBOARD'!$C$4,INDEX(MASTER_ZONES!$B:$B,804)))),803,""),""),""))</f>
        <v/>
      </c>
      <c r="P804">
        <f>IF('CHOP DASHBOARD'!$B$4="Area",IF(803&lt;=$S$3,IF(AND(OR('CHOP DASHBOARD'!$C$4="",ISNUMBER(SEARCH('CHOP DASHBOARD'!$C$4,INDEX(MASTER_AREAS!$B:$B,804))))),803,""),""),IF('CHOP DASHBOARD'!$B$4="Zone",IF(803&lt;=$S$4,IF(OR('CHOP DASHBOARD'!$C$4="",ISNUMBER(SEARCH('CHOP DASHBOARD'!$C$4,INDEX(MASTER_ZONES!$B:$B,804)))),803,""),""),""))</f>
        <v/>
      </c>
      <c r="U804">
        <f>IF('COMMUNITY CHURCH DASHBOARD'!$B$4="Area",IF(803&lt;=$X$3,IF(AND(OR('COMMUNITY CHURCH DASHBOARD'!$C$4="",ISNUMBER(SEARCH('COMMUNITY CHURCH DASHBOARD'!$C$4,INDEX(MASTER_AREAS!$B:$B,804))))),803,""),""),IF('COMMUNITY CHURCH DASHBOARD'!$B$4="Zone",IF(803&lt;=$X$4,IF(OR('COMMUNITY CHURCH DASHBOARD'!$C$4="",ISNUMBER(SEARCH('COMMUNITY CHURCH DASHBOARD'!$C$4,INDEX(MASTER_ZONES!$B:$B,804)))),803,""),""),""))</f>
        <v/>
      </c>
    </row>
    <row r="805">
      <c r="A805">
        <f>IF('WSF DASHBOARD'!$B$4="Area",IF(804&lt;=$D$3,IF(AND(OR('WSF DASHBOARD'!$C$4="",ISNUMBER(SEARCH('WSF DASHBOARD'!$C$4,INDEX(MASTER_AREAS!$B:$B,805))))),804,""),""),IF('WSF DASHBOARD'!$B$4="Zone",IF(804&lt;=$D$4,IF(OR('WSF DASHBOARD'!$C$4="",ISNUMBER(SEARCH('WSF DASHBOARD'!$C$4,INDEX(MASTER_ZONES!$B:$B,805)))),804,""),""),""))</f>
        <v/>
      </c>
      <c r="F805">
        <f>IF('TRANSPORT DASHBOARD'!$B$4="Area",IF(804&lt;=$I$3,IF(AND(INDEX(MASTER_AREAS!$F:$F,805)&lt;&gt;"N",OR('TRANSPORT DASHBOARD'!$C$4="",ISNUMBER(SEARCH('TRANSPORT DASHBOARD'!$C$4,INDEX(MASTER_AREAS!$B:$B,805))))),804,""),""),IF('TRANSPORT DASHBOARD'!$B$4="Zone",IF(804&lt;=$I$4,IF(OR('TRANSPORT DASHBOARD'!$C$4="",ISNUMBER(SEARCH('TRANSPORT DASHBOARD'!$C$4,INDEX(MASTER_ZONES!$B:$B,805)))),804,""),""),""))</f>
        <v/>
      </c>
      <c r="K805">
        <f>IF('MIDWEEK DASHBOARD'!$B$4="Area",IF(804&lt;=$N$3,IF(AND(OR('MIDWEEK DASHBOARD'!$C$4="",ISNUMBER(SEARCH('MIDWEEK DASHBOARD'!$C$4,INDEX(MASTER_AREAS!$B:$B,805))))),804,""),""),IF('MIDWEEK DASHBOARD'!$B$4="Zone",IF(804&lt;=$N$4,IF(OR('MIDWEEK DASHBOARD'!$C$4="",ISNUMBER(SEARCH('MIDWEEK DASHBOARD'!$C$4,INDEX(MASTER_ZONES!$B:$B,805)))),804,""),""),""))</f>
        <v/>
      </c>
      <c r="P805">
        <f>IF('CHOP DASHBOARD'!$B$4="Area",IF(804&lt;=$S$3,IF(AND(OR('CHOP DASHBOARD'!$C$4="",ISNUMBER(SEARCH('CHOP DASHBOARD'!$C$4,INDEX(MASTER_AREAS!$B:$B,805))))),804,""),""),IF('CHOP DASHBOARD'!$B$4="Zone",IF(804&lt;=$S$4,IF(OR('CHOP DASHBOARD'!$C$4="",ISNUMBER(SEARCH('CHOP DASHBOARD'!$C$4,INDEX(MASTER_ZONES!$B:$B,805)))),804,""),""),""))</f>
        <v/>
      </c>
      <c r="U805">
        <f>IF('COMMUNITY CHURCH DASHBOARD'!$B$4="Area",IF(804&lt;=$X$3,IF(AND(OR('COMMUNITY CHURCH DASHBOARD'!$C$4="",ISNUMBER(SEARCH('COMMUNITY CHURCH DASHBOARD'!$C$4,INDEX(MASTER_AREAS!$B:$B,805))))),804,""),""),IF('COMMUNITY CHURCH DASHBOARD'!$B$4="Zone",IF(804&lt;=$X$4,IF(OR('COMMUNITY CHURCH DASHBOARD'!$C$4="",ISNUMBER(SEARCH('COMMUNITY CHURCH DASHBOARD'!$C$4,INDEX(MASTER_ZONES!$B:$B,805)))),804,""),""),""))</f>
        <v/>
      </c>
    </row>
    <row r="806">
      <c r="A806">
        <f>IF('WSF DASHBOARD'!$B$4="Area",IF(805&lt;=$D$3,IF(AND(OR('WSF DASHBOARD'!$C$4="",ISNUMBER(SEARCH('WSF DASHBOARD'!$C$4,INDEX(MASTER_AREAS!$B:$B,806))))),805,""),""),IF('WSF DASHBOARD'!$B$4="Zone",IF(805&lt;=$D$4,IF(OR('WSF DASHBOARD'!$C$4="",ISNUMBER(SEARCH('WSF DASHBOARD'!$C$4,INDEX(MASTER_ZONES!$B:$B,806)))),805,""),""),""))</f>
        <v/>
      </c>
      <c r="F806">
        <f>IF('TRANSPORT DASHBOARD'!$B$4="Area",IF(805&lt;=$I$3,IF(AND(INDEX(MASTER_AREAS!$F:$F,806)&lt;&gt;"N",OR('TRANSPORT DASHBOARD'!$C$4="",ISNUMBER(SEARCH('TRANSPORT DASHBOARD'!$C$4,INDEX(MASTER_AREAS!$B:$B,806))))),805,""),""),IF('TRANSPORT DASHBOARD'!$B$4="Zone",IF(805&lt;=$I$4,IF(OR('TRANSPORT DASHBOARD'!$C$4="",ISNUMBER(SEARCH('TRANSPORT DASHBOARD'!$C$4,INDEX(MASTER_ZONES!$B:$B,806)))),805,""),""),""))</f>
        <v/>
      </c>
      <c r="K806">
        <f>IF('MIDWEEK DASHBOARD'!$B$4="Area",IF(805&lt;=$N$3,IF(AND(OR('MIDWEEK DASHBOARD'!$C$4="",ISNUMBER(SEARCH('MIDWEEK DASHBOARD'!$C$4,INDEX(MASTER_AREAS!$B:$B,806))))),805,""),""),IF('MIDWEEK DASHBOARD'!$B$4="Zone",IF(805&lt;=$N$4,IF(OR('MIDWEEK DASHBOARD'!$C$4="",ISNUMBER(SEARCH('MIDWEEK DASHBOARD'!$C$4,INDEX(MASTER_ZONES!$B:$B,806)))),805,""),""),""))</f>
        <v/>
      </c>
      <c r="P806">
        <f>IF('CHOP DASHBOARD'!$B$4="Area",IF(805&lt;=$S$3,IF(AND(OR('CHOP DASHBOARD'!$C$4="",ISNUMBER(SEARCH('CHOP DASHBOARD'!$C$4,INDEX(MASTER_AREAS!$B:$B,806))))),805,""),""),IF('CHOP DASHBOARD'!$B$4="Zone",IF(805&lt;=$S$4,IF(OR('CHOP DASHBOARD'!$C$4="",ISNUMBER(SEARCH('CHOP DASHBOARD'!$C$4,INDEX(MASTER_ZONES!$B:$B,806)))),805,""),""),""))</f>
        <v/>
      </c>
      <c r="U806">
        <f>IF('COMMUNITY CHURCH DASHBOARD'!$B$4="Area",IF(805&lt;=$X$3,IF(AND(OR('COMMUNITY CHURCH DASHBOARD'!$C$4="",ISNUMBER(SEARCH('COMMUNITY CHURCH DASHBOARD'!$C$4,INDEX(MASTER_AREAS!$B:$B,806))))),805,""),""),IF('COMMUNITY CHURCH DASHBOARD'!$B$4="Zone",IF(805&lt;=$X$4,IF(OR('COMMUNITY CHURCH DASHBOARD'!$C$4="",ISNUMBER(SEARCH('COMMUNITY CHURCH DASHBOARD'!$C$4,INDEX(MASTER_ZONES!$B:$B,806)))),805,""),""),""))</f>
        <v/>
      </c>
    </row>
    <row r="807">
      <c r="A807">
        <f>IF('WSF DASHBOARD'!$B$4="Area",IF(806&lt;=$D$3,IF(AND(OR('WSF DASHBOARD'!$C$4="",ISNUMBER(SEARCH('WSF DASHBOARD'!$C$4,INDEX(MASTER_AREAS!$B:$B,807))))),806,""),""),IF('WSF DASHBOARD'!$B$4="Zone",IF(806&lt;=$D$4,IF(OR('WSF DASHBOARD'!$C$4="",ISNUMBER(SEARCH('WSF DASHBOARD'!$C$4,INDEX(MASTER_ZONES!$B:$B,807)))),806,""),""),""))</f>
        <v/>
      </c>
      <c r="F807">
        <f>IF('TRANSPORT DASHBOARD'!$B$4="Area",IF(806&lt;=$I$3,IF(AND(INDEX(MASTER_AREAS!$F:$F,807)&lt;&gt;"N",OR('TRANSPORT DASHBOARD'!$C$4="",ISNUMBER(SEARCH('TRANSPORT DASHBOARD'!$C$4,INDEX(MASTER_AREAS!$B:$B,807))))),806,""),""),IF('TRANSPORT DASHBOARD'!$B$4="Zone",IF(806&lt;=$I$4,IF(OR('TRANSPORT DASHBOARD'!$C$4="",ISNUMBER(SEARCH('TRANSPORT DASHBOARD'!$C$4,INDEX(MASTER_ZONES!$B:$B,807)))),806,""),""),""))</f>
        <v/>
      </c>
      <c r="K807">
        <f>IF('MIDWEEK DASHBOARD'!$B$4="Area",IF(806&lt;=$N$3,IF(AND(OR('MIDWEEK DASHBOARD'!$C$4="",ISNUMBER(SEARCH('MIDWEEK DASHBOARD'!$C$4,INDEX(MASTER_AREAS!$B:$B,807))))),806,""),""),IF('MIDWEEK DASHBOARD'!$B$4="Zone",IF(806&lt;=$N$4,IF(OR('MIDWEEK DASHBOARD'!$C$4="",ISNUMBER(SEARCH('MIDWEEK DASHBOARD'!$C$4,INDEX(MASTER_ZONES!$B:$B,807)))),806,""),""),""))</f>
        <v/>
      </c>
      <c r="P807">
        <f>IF('CHOP DASHBOARD'!$B$4="Area",IF(806&lt;=$S$3,IF(AND(OR('CHOP DASHBOARD'!$C$4="",ISNUMBER(SEARCH('CHOP DASHBOARD'!$C$4,INDEX(MASTER_AREAS!$B:$B,807))))),806,""),""),IF('CHOP DASHBOARD'!$B$4="Zone",IF(806&lt;=$S$4,IF(OR('CHOP DASHBOARD'!$C$4="",ISNUMBER(SEARCH('CHOP DASHBOARD'!$C$4,INDEX(MASTER_ZONES!$B:$B,807)))),806,""),""),""))</f>
        <v/>
      </c>
      <c r="U807">
        <f>IF('COMMUNITY CHURCH DASHBOARD'!$B$4="Area",IF(806&lt;=$X$3,IF(AND(OR('COMMUNITY CHURCH DASHBOARD'!$C$4="",ISNUMBER(SEARCH('COMMUNITY CHURCH DASHBOARD'!$C$4,INDEX(MASTER_AREAS!$B:$B,807))))),806,""),""),IF('COMMUNITY CHURCH DASHBOARD'!$B$4="Zone",IF(806&lt;=$X$4,IF(OR('COMMUNITY CHURCH DASHBOARD'!$C$4="",ISNUMBER(SEARCH('COMMUNITY CHURCH DASHBOARD'!$C$4,INDEX(MASTER_ZONES!$B:$B,807)))),806,""),""),""))</f>
        <v/>
      </c>
    </row>
    <row r="808">
      <c r="A808">
        <f>IF('WSF DASHBOARD'!$B$4="Area",IF(807&lt;=$D$3,IF(AND(OR('WSF DASHBOARD'!$C$4="",ISNUMBER(SEARCH('WSF DASHBOARD'!$C$4,INDEX(MASTER_AREAS!$B:$B,808))))),807,""),""),IF('WSF DASHBOARD'!$B$4="Zone",IF(807&lt;=$D$4,IF(OR('WSF DASHBOARD'!$C$4="",ISNUMBER(SEARCH('WSF DASHBOARD'!$C$4,INDEX(MASTER_ZONES!$B:$B,808)))),807,""),""),""))</f>
        <v/>
      </c>
      <c r="F808">
        <f>IF('TRANSPORT DASHBOARD'!$B$4="Area",IF(807&lt;=$I$3,IF(AND(INDEX(MASTER_AREAS!$F:$F,808)&lt;&gt;"N",OR('TRANSPORT DASHBOARD'!$C$4="",ISNUMBER(SEARCH('TRANSPORT DASHBOARD'!$C$4,INDEX(MASTER_AREAS!$B:$B,808))))),807,""),""),IF('TRANSPORT DASHBOARD'!$B$4="Zone",IF(807&lt;=$I$4,IF(OR('TRANSPORT DASHBOARD'!$C$4="",ISNUMBER(SEARCH('TRANSPORT DASHBOARD'!$C$4,INDEX(MASTER_ZONES!$B:$B,808)))),807,""),""),""))</f>
        <v/>
      </c>
      <c r="K808">
        <f>IF('MIDWEEK DASHBOARD'!$B$4="Area",IF(807&lt;=$N$3,IF(AND(OR('MIDWEEK DASHBOARD'!$C$4="",ISNUMBER(SEARCH('MIDWEEK DASHBOARD'!$C$4,INDEX(MASTER_AREAS!$B:$B,808))))),807,""),""),IF('MIDWEEK DASHBOARD'!$B$4="Zone",IF(807&lt;=$N$4,IF(OR('MIDWEEK DASHBOARD'!$C$4="",ISNUMBER(SEARCH('MIDWEEK DASHBOARD'!$C$4,INDEX(MASTER_ZONES!$B:$B,808)))),807,""),""),""))</f>
        <v/>
      </c>
      <c r="P808">
        <f>IF('CHOP DASHBOARD'!$B$4="Area",IF(807&lt;=$S$3,IF(AND(OR('CHOP DASHBOARD'!$C$4="",ISNUMBER(SEARCH('CHOP DASHBOARD'!$C$4,INDEX(MASTER_AREAS!$B:$B,808))))),807,""),""),IF('CHOP DASHBOARD'!$B$4="Zone",IF(807&lt;=$S$4,IF(OR('CHOP DASHBOARD'!$C$4="",ISNUMBER(SEARCH('CHOP DASHBOARD'!$C$4,INDEX(MASTER_ZONES!$B:$B,808)))),807,""),""),""))</f>
        <v/>
      </c>
      <c r="U808">
        <f>IF('COMMUNITY CHURCH DASHBOARD'!$B$4="Area",IF(807&lt;=$X$3,IF(AND(OR('COMMUNITY CHURCH DASHBOARD'!$C$4="",ISNUMBER(SEARCH('COMMUNITY CHURCH DASHBOARD'!$C$4,INDEX(MASTER_AREAS!$B:$B,808))))),807,""),""),IF('COMMUNITY CHURCH DASHBOARD'!$B$4="Zone",IF(807&lt;=$X$4,IF(OR('COMMUNITY CHURCH DASHBOARD'!$C$4="",ISNUMBER(SEARCH('COMMUNITY CHURCH DASHBOARD'!$C$4,INDEX(MASTER_ZONES!$B:$B,808)))),807,""),""),""))</f>
        <v/>
      </c>
    </row>
    <row r="809">
      <c r="A809">
        <f>IF('WSF DASHBOARD'!$B$4="Area",IF(808&lt;=$D$3,IF(AND(OR('WSF DASHBOARD'!$C$4="",ISNUMBER(SEARCH('WSF DASHBOARD'!$C$4,INDEX(MASTER_AREAS!$B:$B,809))))),808,""),""),IF('WSF DASHBOARD'!$B$4="Zone",IF(808&lt;=$D$4,IF(OR('WSF DASHBOARD'!$C$4="",ISNUMBER(SEARCH('WSF DASHBOARD'!$C$4,INDEX(MASTER_ZONES!$B:$B,809)))),808,""),""),""))</f>
        <v/>
      </c>
      <c r="F809">
        <f>IF('TRANSPORT DASHBOARD'!$B$4="Area",IF(808&lt;=$I$3,IF(AND(INDEX(MASTER_AREAS!$F:$F,809)&lt;&gt;"N",OR('TRANSPORT DASHBOARD'!$C$4="",ISNUMBER(SEARCH('TRANSPORT DASHBOARD'!$C$4,INDEX(MASTER_AREAS!$B:$B,809))))),808,""),""),IF('TRANSPORT DASHBOARD'!$B$4="Zone",IF(808&lt;=$I$4,IF(OR('TRANSPORT DASHBOARD'!$C$4="",ISNUMBER(SEARCH('TRANSPORT DASHBOARD'!$C$4,INDEX(MASTER_ZONES!$B:$B,809)))),808,""),""),""))</f>
        <v/>
      </c>
      <c r="K809">
        <f>IF('MIDWEEK DASHBOARD'!$B$4="Area",IF(808&lt;=$N$3,IF(AND(OR('MIDWEEK DASHBOARD'!$C$4="",ISNUMBER(SEARCH('MIDWEEK DASHBOARD'!$C$4,INDEX(MASTER_AREAS!$B:$B,809))))),808,""),""),IF('MIDWEEK DASHBOARD'!$B$4="Zone",IF(808&lt;=$N$4,IF(OR('MIDWEEK DASHBOARD'!$C$4="",ISNUMBER(SEARCH('MIDWEEK DASHBOARD'!$C$4,INDEX(MASTER_ZONES!$B:$B,809)))),808,""),""),""))</f>
        <v/>
      </c>
      <c r="P809">
        <f>IF('CHOP DASHBOARD'!$B$4="Area",IF(808&lt;=$S$3,IF(AND(OR('CHOP DASHBOARD'!$C$4="",ISNUMBER(SEARCH('CHOP DASHBOARD'!$C$4,INDEX(MASTER_AREAS!$B:$B,809))))),808,""),""),IF('CHOP DASHBOARD'!$B$4="Zone",IF(808&lt;=$S$4,IF(OR('CHOP DASHBOARD'!$C$4="",ISNUMBER(SEARCH('CHOP DASHBOARD'!$C$4,INDEX(MASTER_ZONES!$B:$B,809)))),808,""),""),""))</f>
        <v/>
      </c>
      <c r="U809">
        <f>IF('COMMUNITY CHURCH DASHBOARD'!$B$4="Area",IF(808&lt;=$X$3,IF(AND(OR('COMMUNITY CHURCH DASHBOARD'!$C$4="",ISNUMBER(SEARCH('COMMUNITY CHURCH DASHBOARD'!$C$4,INDEX(MASTER_AREAS!$B:$B,809))))),808,""),""),IF('COMMUNITY CHURCH DASHBOARD'!$B$4="Zone",IF(808&lt;=$X$4,IF(OR('COMMUNITY CHURCH DASHBOARD'!$C$4="",ISNUMBER(SEARCH('COMMUNITY CHURCH DASHBOARD'!$C$4,INDEX(MASTER_ZONES!$B:$B,809)))),808,""),""),""))</f>
        <v/>
      </c>
    </row>
    <row r="810">
      <c r="A810">
        <f>IF('WSF DASHBOARD'!$B$4="Area",IF(809&lt;=$D$3,IF(AND(OR('WSF DASHBOARD'!$C$4="",ISNUMBER(SEARCH('WSF DASHBOARD'!$C$4,INDEX(MASTER_AREAS!$B:$B,810))))),809,""),""),IF('WSF DASHBOARD'!$B$4="Zone",IF(809&lt;=$D$4,IF(OR('WSF DASHBOARD'!$C$4="",ISNUMBER(SEARCH('WSF DASHBOARD'!$C$4,INDEX(MASTER_ZONES!$B:$B,810)))),809,""),""),""))</f>
        <v/>
      </c>
      <c r="F810">
        <f>IF('TRANSPORT DASHBOARD'!$B$4="Area",IF(809&lt;=$I$3,IF(AND(INDEX(MASTER_AREAS!$F:$F,810)&lt;&gt;"N",OR('TRANSPORT DASHBOARD'!$C$4="",ISNUMBER(SEARCH('TRANSPORT DASHBOARD'!$C$4,INDEX(MASTER_AREAS!$B:$B,810))))),809,""),""),IF('TRANSPORT DASHBOARD'!$B$4="Zone",IF(809&lt;=$I$4,IF(OR('TRANSPORT DASHBOARD'!$C$4="",ISNUMBER(SEARCH('TRANSPORT DASHBOARD'!$C$4,INDEX(MASTER_ZONES!$B:$B,810)))),809,""),""),""))</f>
        <v/>
      </c>
      <c r="K810">
        <f>IF('MIDWEEK DASHBOARD'!$B$4="Area",IF(809&lt;=$N$3,IF(AND(OR('MIDWEEK DASHBOARD'!$C$4="",ISNUMBER(SEARCH('MIDWEEK DASHBOARD'!$C$4,INDEX(MASTER_AREAS!$B:$B,810))))),809,""),""),IF('MIDWEEK DASHBOARD'!$B$4="Zone",IF(809&lt;=$N$4,IF(OR('MIDWEEK DASHBOARD'!$C$4="",ISNUMBER(SEARCH('MIDWEEK DASHBOARD'!$C$4,INDEX(MASTER_ZONES!$B:$B,810)))),809,""),""),""))</f>
        <v/>
      </c>
      <c r="P810">
        <f>IF('CHOP DASHBOARD'!$B$4="Area",IF(809&lt;=$S$3,IF(AND(OR('CHOP DASHBOARD'!$C$4="",ISNUMBER(SEARCH('CHOP DASHBOARD'!$C$4,INDEX(MASTER_AREAS!$B:$B,810))))),809,""),""),IF('CHOP DASHBOARD'!$B$4="Zone",IF(809&lt;=$S$4,IF(OR('CHOP DASHBOARD'!$C$4="",ISNUMBER(SEARCH('CHOP DASHBOARD'!$C$4,INDEX(MASTER_ZONES!$B:$B,810)))),809,""),""),""))</f>
        <v/>
      </c>
      <c r="U810">
        <f>IF('COMMUNITY CHURCH DASHBOARD'!$B$4="Area",IF(809&lt;=$X$3,IF(AND(OR('COMMUNITY CHURCH DASHBOARD'!$C$4="",ISNUMBER(SEARCH('COMMUNITY CHURCH DASHBOARD'!$C$4,INDEX(MASTER_AREAS!$B:$B,810))))),809,""),""),IF('COMMUNITY CHURCH DASHBOARD'!$B$4="Zone",IF(809&lt;=$X$4,IF(OR('COMMUNITY CHURCH DASHBOARD'!$C$4="",ISNUMBER(SEARCH('COMMUNITY CHURCH DASHBOARD'!$C$4,INDEX(MASTER_ZONES!$B:$B,810)))),809,""),""),""))</f>
        <v/>
      </c>
    </row>
    <row r="811">
      <c r="A811">
        <f>IF('WSF DASHBOARD'!$B$4="Area",IF(810&lt;=$D$3,IF(AND(OR('WSF DASHBOARD'!$C$4="",ISNUMBER(SEARCH('WSF DASHBOARD'!$C$4,INDEX(MASTER_AREAS!$B:$B,811))))),810,""),""),IF('WSF DASHBOARD'!$B$4="Zone",IF(810&lt;=$D$4,IF(OR('WSF DASHBOARD'!$C$4="",ISNUMBER(SEARCH('WSF DASHBOARD'!$C$4,INDEX(MASTER_ZONES!$B:$B,811)))),810,""),""),""))</f>
        <v/>
      </c>
      <c r="F811">
        <f>IF('TRANSPORT DASHBOARD'!$B$4="Area",IF(810&lt;=$I$3,IF(AND(INDEX(MASTER_AREAS!$F:$F,811)&lt;&gt;"N",OR('TRANSPORT DASHBOARD'!$C$4="",ISNUMBER(SEARCH('TRANSPORT DASHBOARD'!$C$4,INDEX(MASTER_AREAS!$B:$B,811))))),810,""),""),IF('TRANSPORT DASHBOARD'!$B$4="Zone",IF(810&lt;=$I$4,IF(OR('TRANSPORT DASHBOARD'!$C$4="",ISNUMBER(SEARCH('TRANSPORT DASHBOARD'!$C$4,INDEX(MASTER_ZONES!$B:$B,811)))),810,""),""),""))</f>
        <v/>
      </c>
      <c r="K811">
        <f>IF('MIDWEEK DASHBOARD'!$B$4="Area",IF(810&lt;=$N$3,IF(AND(OR('MIDWEEK DASHBOARD'!$C$4="",ISNUMBER(SEARCH('MIDWEEK DASHBOARD'!$C$4,INDEX(MASTER_AREAS!$B:$B,811))))),810,""),""),IF('MIDWEEK DASHBOARD'!$B$4="Zone",IF(810&lt;=$N$4,IF(OR('MIDWEEK DASHBOARD'!$C$4="",ISNUMBER(SEARCH('MIDWEEK DASHBOARD'!$C$4,INDEX(MASTER_ZONES!$B:$B,811)))),810,""),""),""))</f>
        <v/>
      </c>
      <c r="P811">
        <f>IF('CHOP DASHBOARD'!$B$4="Area",IF(810&lt;=$S$3,IF(AND(OR('CHOP DASHBOARD'!$C$4="",ISNUMBER(SEARCH('CHOP DASHBOARD'!$C$4,INDEX(MASTER_AREAS!$B:$B,811))))),810,""),""),IF('CHOP DASHBOARD'!$B$4="Zone",IF(810&lt;=$S$4,IF(OR('CHOP DASHBOARD'!$C$4="",ISNUMBER(SEARCH('CHOP DASHBOARD'!$C$4,INDEX(MASTER_ZONES!$B:$B,811)))),810,""),""),""))</f>
        <v/>
      </c>
      <c r="U811">
        <f>IF('COMMUNITY CHURCH DASHBOARD'!$B$4="Area",IF(810&lt;=$X$3,IF(AND(OR('COMMUNITY CHURCH DASHBOARD'!$C$4="",ISNUMBER(SEARCH('COMMUNITY CHURCH DASHBOARD'!$C$4,INDEX(MASTER_AREAS!$B:$B,811))))),810,""),""),IF('COMMUNITY CHURCH DASHBOARD'!$B$4="Zone",IF(810&lt;=$X$4,IF(OR('COMMUNITY CHURCH DASHBOARD'!$C$4="",ISNUMBER(SEARCH('COMMUNITY CHURCH DASHBOARD'!$C$4,INDEX(MASTER_ZONES!$B:$B,811)))),810,""),""),""))</f>
        <v/>
      </c>
    </row>
    <row r="812">
      <c r="A812">
        <f>IF('WSF DASHBOARD'!$B$4="Area",IF(811&lt;=$D$3,IF(AND(OR('WSF DASHBOARD'!$C$4="",ISNUMBER(SEARCH('WSF DASHBOARD'!$C$4,INDEX(MASTER_AREAS!$B:$B,812))))),811,""),""),IF('WSF DASHBOARD'!$B$4="Zone",IF(811&lt;=$D$4,IF(OR('WSF DASHBOARD'!$C$4="",ISNUMBER(SEARCH('WSF DASHBOARD'!$C$4,INDEX(MASTER_ZONES!$B:$B,812)))),811,""),""),""))</f>
        <v/>
      </c>
      <c r="F812">
        <f>IF('TRANSPORT DASHBOARD'!$B$4="Area",IF(811&lt;=$I$3,IF(AND(INDEX(MASTER_AREAS!$F:$F,812)&lt;&gt;"N",OR('TRANSPORT DASHBOARD'!$C$4="",ISNUMBER(SEARCH('TRANSPORT DASHBOARD'!$C$4,INDEX(MASTER_AREAS!$B:$B,812))))),811,""),""),IF('TRANSPORT DASHBOARD'!$B$4="Zone",IF(811&lt;=$I$4,IF(OR('TRANSPORT DASHBOARD'!$C$4="",ISNUMBER(SEARCH('TRANSPORT DASHBOARD'!$C$4,INDEX(MASTER_ZONES!$B:$B,812)))),811,""),""),""))</f>
        <v/>
      </c>
      <c r="K812">
        <f>IF('MIDWEEK DASHBOARD'!$B$4="Area",IF(811&lt;=$N$3,IF(AND(OR('MIDWEEK DASHBOARD'!$C$4="",ISNUMBER(SEARCH('MIDWEEK DASHBOARD'!$C$4,INDEX(MASTER_AREAS!$B:$B,812))))),811,""),""),IF('MIDWEEK DASHBOARD'!$B$4="Zone",IF(811&lt;=$N$4,IF(OR('MIDWEEK DASHBOARD'!$C$4="",ISNUMBER(SEARCH('MIDWEEK DASHBOARD'!$C$4,INDEX(MASTER_ZONES!$B:$B,812)))),811,""),""),""))</f>
        <v/>
      </c>
      <c r="P812">
        <f>IF('CHOP DASHBOARD'!$B$4="Area",IF(811&lt;=$S$3,IF(AND(OR('CHOP DASHBOARD'!$C$4="",ISNUMBER(SEARCH('CHOP DASHBOARD'!$C$4,INDEX(MASTER_AREAS!$B:$B,812))))),811,""),""),IF('CHOP DASHBOARD'!$B$4="Zone",IF(811&lt;=$S$4,IF(OR('CHOP DASHBOARD'!$C$4="",ISNUMBER(SEARCH('CHOP DASHBOARD'!$C$4,INDEX(MASTER_ZONES!$B:$B,812)))),811,""),""),""))</f>
        <v/>
      </c>
      <c r="U812">
        <f>IF('COMMUNITY CHURCH DASHBOARD'!$B$4="Area",IF(811&lt;=$X$3,IF(AND(OR('COMMUNITY CHURCH DASHBOARD'!$C$4="",ISNUMBER(SEARCH('COMMUNITY CHURCH DASHBOARD'!$C$4,INDEX(MASTER_AREAS!$B:$B,812))))),811,""),""),IF('COMMUNITY CHURCH DASHBOARD'!$B$4="Zone",IF(811&lt;=$X$4,IF(OR('COMMUNITY CHURCH DASHBOARD'!$C$4="",ISNUMBER(SEARCH('COMMUNITY CHURCH DASHBOARD'!$C$4,INDEX(MASTER_ZONES!$B:$B,812)))),811,""),""),""))</f>
        <v/>
      </c>
    </row>
    <row r="813">
      <c r="A813">
        <f>IF('WSF DASHBOARD'!$B$4="Area",IF(812&lt;=$D$3,IF(AND(OR('WSF DASHBOARD'!$C$4="",ISNUMBER(SEARCH('WSF DASHBOARD'!$C$4,INDEX(MASTER_AREAS!$B:$B,813))))),812,""),""),IF('WSF DASHBOARD'!$B$4="Zone",IF(812&lt;=$D$4,IF(OR('WSF DASHBOARD'!$C$4="",ISNUMBER(SEARCH('WSF DASHBOARD'!$C$4,INDEX(MASTER_ZONES!$B:$B,813)))),812,""),""),""))</f>
        <v/>
      </c>
      <c r="F813">
        <f>IF('TRANSPORT DASHBOARD'!$B$4="Area",IF(812&lt;=$I$3,IF(AND(INDEX(MASTER_AREAS!$F:$F,813)&lt;&gt;"N",OR('TRANSPORT DASHBOARD'!$C$4="",ISNUMBER(SEARCH('TRANSPORT DASHBOARD'!$C$4,INDEX(MASTER_AREAS!$B:$B,813))))),812,""),""),IF('TRANSPORT DASHBOARD'!$B$4="Zone",IF(812&lt;=$I$4,IF(OR('TRANSPORT DASHBOARD'!$C$4="",ISNUMBER(SEARCH('TRANSPORT DASHBOARD'!$C$4,INDEX(MASTER_ZONES!$B:$B,813)))),812,""),""),""))</f>
        <v/>
      </c>
      <c r="K813">
        <f>IF('MIDWEEK DASHBOARD'!$B$4="Area",IF(812&lt;=$N$3,IF(AND(OR('MIDWEEK DASHBOARD'!$C$4="",ISNUMBER(SEARCH('MIDWEEK DASHBOARD'!$C$4,INDEX(MASTER_AREAS!$B:$B,813))))),812,""),""),IF('MIDWEEK DASHBOARD'!$B$4="Zone",IF(812&lt;=$N$4,IF(OR('MIDWEEK DASHBOARD'!$C$4="",ISNUMBER(SEARCH('MIDWEEK DASHBOARD'!$C$4,INDEX(MASTER_ZONES!$B:$B,813)))),812,""),""),""))</f>
        <v/>
      </c>
      <c r="P813">
        <f>IF('CHOP DASHBOARD'!$B$4="Area",IF(812&lt;=$S$3,IF(AND(OR('CHOP DASHBOARD'!$C$4="",ISNUMBER(SEARCH('CHOP DASHBOARD'!$C$4,INDEX(MASTER_AREAS!$B:$B,813))))),812,""),""),IF('CHOP DASHBOARD'!$B$4="Zone",IF(812&lt;=$S$4,IF(OR('CHOP DASHBOARD'!$C$4="",ISNUMBER(SEARCH('CHOP DASHBOARD'!$C$4,INDEX(MASTER_ZONES!$B:$B,813)))),812,""),""),""))</f>
        <v/>
      </c>
      <c r="U813">
        <f>IF('COMMUNITY CHURCH DASHBOARD'!$B$4="Area",IF(812&lt;=$X$3,IF(AND(OR('COMMUNITY CHURCH DASHBOARD'!$C$4="",ISNUMBER(SEARCH('COMMUNITY CHURCH DASHBOARD'!$C$4,INDEX(MASTER_AREAS!$B:$B,813))))),812,""),""),IF('COMMUNITY CHURCH DASHBOARD'!$B$4="Zone",IF(812&lt;=$X$4,IF(OR('COMMUNITY CHURCH DASHBOARD'!$C$4="",ISNUMBER(SEARCH('COMMUNITY CHURCH DASHBOARD'!$C$4,INDEX(MASTER_ZONES!$B:$B,813)))),812,""),""),""))</f>
        <v/>
      </c>
    </row>
    <row r="814">
      <c r="A814">
        <f>IF('WSF DASHBOARD'!$B$4="Area",IF(813&lt;=$D$3,IF(AND(OR('WSF DASHBOARD'!$C$4="",ISNUMBER(SEARCH('WSF DASHBOARD'!$C$4,INDEX(MASTER_AREAS!$B:$B,814))))),813,""),""),IF('WSF DASHBOARD'!$B$4="Zone",IF(813&lt;=$D$4,IF(OR('WSF DASHBOARD'!$C$4="",ISNUMBER(SEARCH('WSF DASHBOARD'!$C$4,INDEX(MASTER_ZONES!$B:$B,814)))),813,""),""),""))</f>
        <v/>
      </c>
      <c r="F814">
        <f>IF('TRANSPORT DASHBOARD'!$B$4="Area",IF(813&lt;=$I$3,IF(AND(INDEX(MASTER_AREAS!$F:$F,814)&lt;&gt;"N",OR('TRANSPORT DASHBOARD'!$C$4="",ISNUMBER(SEARCH('TRANSPORT DASHBOARD'!$C$4,INDEX(MASTER_AREAS!$B:$B,814))))),813,""),""),IF('TRANSPORT DASHBOARD'!$B$4="Zone",IF(813&lt;=$I$4,IF(OR('TRANSPORT DASHBOARD'!$C$4="",ISNUMBER(SEARCH('TRANSPORT DASHBOARD'!$C$4,INDEX(MASTER_ZONES!$B:$B,814)))),813,""),""),""))</f>
        <v/>
      </c>
      <c r="K814">
        <f>IF('MIDWEEK DASHBOARD'!$B$4="Area",IF(813&lt;=$N$3,IF(AND(OR('MIDWEEK DASHBOARD'!$C$4="",ISNUMBER(SEARCH('MIDWEEK DASHBOARD'!$C$4,INDEX(MASTER_AREAS!$B:$B,814))))),813,""),""),IF('MIDWEEK DASHBOARD'!$B$4="Zone",IF(813&lt;=$N$4,IF(OR('MIDWEEK DASHBOARD'!$C$4="",ISNUMBER(SEARCH('MIDWEEK DASHBOARD'!$C$4,INDEX(MASTER_ZONES!$B:$B,814)))),813,""),""),""))</f>
        <v/>
      </c>
      <c r="P814">
        <f>IF('CHOP DASHBOARD'!$B$4="Area",IF(813&lt;=$S$3,IF(AND(OR('CHOP DASHBOARD'!$C$4="",ISNUMBER(SEARCH('CHOP DASHBOARD'!$C$4,INDEX(MASTER_AREAS!$B:$B,814))))),813,""),""),IF('CHOP DASHBOARD'!$B$4="Zone",IF(813&lt;=$S$4,IF(OR('CHOP DASHBOARD'!$C$4="",ISNUMBER(SEARCH('CHOP DASHBOARD'!$C$4,INDEX(MASTER_ZONES!$B:$B,814)))),813,""),""),""))</f>
        <v/>
      </c>
      <c r="U814">
        <f>IF('COMMUNITY CHURCH DASHBOARD'!$B$4="Area",IF(813&lt;=$X$3,IF(AND(OR('COMMUNITY CHURCH DASHBOARD'!$C$4="",ISNUMBER(SEARCH('COMMUNITY CHURCH DASHBOARD'!$C$4,INDEX(MASTER_AREAS!$B:$B,814))))),813,""),""),IF('COMMUNITY CHURCH DASHBOARD'!$B$4="Zone",IF(813&lt;=$X$4,IF(OR('COMMUNITY CHURCH DASHBOARD'!$C$4="",ISNUMBER(SEARCH('COMMUNITY CHURCH DASHBOARD'!$C$4,INDEX(MASTER_ZONES!$B:$B,814)))),813,""),""),""))</f>
        <v/>
      </c>
    </row>
    <row r="815">
      <c r="A815">
        <f>IF('WSF DASHBOARD'!$B$4="Area",IF(814&lt;=$D$3,IF(AND(OR('WSF DASHBOARD'!$C$4="",ISNUMBER(SEARCH('WSF DASHBOARD'!$C$4,INDEX(MASTER_AREAS!$B:$B,815))))),814,""),""),IF('WSF DASHBOARD'!$B$4="Zone",IF(814&lt;=$D$4,IF(OR('WSF DASHBOARD'!$C$4="",ISNUMBER(SEARCH('WSF DASHBOARD'!$C$4,INDEX(MASTER_ZONES!$B:$B,815)))),814,""),""),""))</f>
        <v/>
      </c>
      <c r="F815">
        <f>IF('TRANSPORT DASHBOARD'!$B$4="Area",IF(814&lt;=$I$3,IF(AND(INDEX(MASTER_AREAS!$F:$F,815)&lt;&gt;"N",OR('TRANSPORT DASHBOARD'!$C$4="",ISNUMBER(SEARCH('TRANSPORT DASHBOARD'!$C$4,INDEX(MASTER_AREAS!$B:$B,815))))),814,""),""),IF('TRANSPORT DASHBOARD'!$B$4="Zone",IF(814&lt;=$I$4,IF(OR('TRANSPORT DASHBOARD'!$C$4="",ISNUMBER(SEARCH('TRANSPORT DASHBOARD'!$C$4,INDEX(MASTER_ZONES!$B:$B,815)))),814,""),""),""))</f>
        <v/>
      </c>
      <c r="K815">
        <f>IF('MIDWEEK DASHBOARD'!$B$4="Area",IF(814&lt;=$N$3,IF(AND(OR('MIDWEEK DASHBOARD'!$C$4="",ISNUMBER(SEARCH('MIDWEEK DASHBOARD'!$C$4,INDEX(MASTER_AREAS!$B:$B,815))))),814,""),""),IF('MIDWEEK DASHBOARD'!$B$4="Zone",IF(814&lt;=$N$4,IF(OR('MIDWEEK DASHBOARD'!$C$4="",ISNUMBER(SEARCH('MIDWEEK DASHBOARD'!$C$4,INDEX(MASTER_ZONES!$B:$B,815)))),814,""),""),""))</f>
        <v/>
      </c>
      <c r="P815">
        <f>IF('CHOP DASHBOARD'!$B$4="Area",IF(814&lt;=$S$3,IF(AND(OR('CHOP DASHBOARD'!$C$4="",ISNUMBER(SEARCH('CHOP DASHBOARD'!$C$4,INDEX(MASTER_AREAS!$B:$B,815))))),814,""),""),IF('CHOP DASHBOARD'!$B$4="Zone",IF(814&lt;=$S$4,IF(OR('CHOP DASHBOARD'!$C$4="",ISNUMBER(SEARCH('CHOP DASHBOARD'!$C$4,INDEX(MASTER_ZONES!$B:$B,815)))),814,""),""),""))</f>
        <v/>
      </c>
      <c r="U815">
        <f>IF('COMMUNITY CHURCH DASHBOARD'!$B$4="Area",IF(814&lt;=$X$3,IF(AND(OR('COMMUNITY CHURCH DASHBOARD'!$C$4="",ISNUMBER(SEARCH('COMMUNITY CHURCH DASHBOARD'!$C$4,INDEX(MASTER_AREAS!$B:$B,815))))),814,""),""),IF('COMMUNITY CHURCH DASHBOARD'!$B$4="Zone",IF(814&lt;=$X$4,IF(OR('COMMUNITY CHURCH DASHBOARD'!$C$4="",ISNUMBER(SEARCH('COMMUNITY CHURCH DASHBOARD'!$C$4,INDEX(MASTER_ZONES!$B:$B,815)))),814,""),""),""))</f>
        <v/>
      </c>
    </row>
    <row r="816">
      <c r="A816">
        <f>IF('WSF DASHBOARD'!$B$4="Area",IF(815&lt;=$D$3,IF(AND(OR('WSF DASHBOARD'!$C$4="",ISNUMBER(SEARCH('WSF DASHBOARD'!$C$4,INDEX(MASTER_AREAS!$B:$B,816))))),815,""),""),IF('WSF DASHBOARD'!$B$4="Zone",IF(815&lt;=$D$4,IF(OR('WSF DASHBOARD'!$C$4="",ISNUMBER(SEARCH('WSF DASHBOARD'!$C$4,INDEX(MASTER_ZONES!$B:$B,816)))),815,""),""),""))</f>
        <v/>
      </c>
      <c r="F816">
        <f>IF('TRANSPORT DASHBOARD'!$B$4="Area",IF(815&lt;=$I$3,IF(AND(INDEX(MASTER_AREAS!$F:$F,816)&lt;&gt;"N",OR('TRANSPORT DASHBOARD'!$C$4="",ISNUMBER(SEARCH('TRANSPORT DASHBOARD'!$C$4,INDEX(MASTER_AREAS!$B:$B,816))))),815,""),""),IF('TRANSPORT DASHBOARD'!$B$4="Zone",IF(815&lt;=$I$4,IF(OR('TRANSPORT DASHBOARD'!$C$4="",ISNUMBER(SEARCH('TRANSPORT DASHBOARD'!$C$4,INDEX(MASTER_ZONES!$B:$B,816)))),815,""),""),""))</f>
        <v/>
      </c>
      <c r="K816">
        <f>IF('MIDWEEK DASHBOARD'!$B$4="Area",IF(815&lt;=$N$3,IF(AND(OR('MIDWEEK DASHBOARD'!$C$4="",ISNUMBER(SEARCH('MIDWEEK DASHBOARD'!$C$4,INDEX(MASTER_AREAS!$B:$B,816))))),815,""),""),IF('MIDWEEK DASHBOARD'!$B$4="Zone",IF(815&lt;=$N$4,IF(OR('MIDWEEK DASHBOARD'!$C$4="",ISNUMBER(SEARCH('MIDWEEK DASHBOARD'!$C$4,INDEX(MASTER_ZONES!$B:$B,816)))),815,""),""),""))</f>
        <v/>
      </c>
      <c r="P816">
        <f>IF('CHOP DASHBOARD'!$B$4="Area",IF(815&lt;=$S$3,IF(AND(OR('CHOP DASHBOARD'!$C$4="",ISNUMBER(SEARCH('CHOP DASHBOARD'!$C$4,INDEX(MASTER_AREAS!$B:$B,816))))),815,""),""),IF('CHOP DASHBOARD'!$B$4="Zone",IF(815&lt;=$S$4,IF(OR('CHOP DASHBOARD'!$C$4="",ISNUMBER(SEARCH('CHOP DASHBOARD'!$C$4,INDEX(MASTER_ZONES!$B:$B,816)))),815,""),""),""))</f>
        <v/>
      </c>
      <c r="U816">
        <f>IF('COMMUNITY CHURCH DASHBOARD'!$B$4="Area",IF(815&lt;=$X$3,IF(AND(OR('COMMUNITY CHURCH DASHBOARD'!$C$4="",ISNUMBER(SEARCH('COMMUNITY CHURCH DASHBOARD'!$C$4,INDEX(MASTER_AREAS!$B:$B,816))))),815,""),""),IF('COMMUNITY CHURCH DASHBOARD'!$B$4="Zone",IF(815&lt;=$X$4,IF(OR('COMMUNITY CHURCH DASHBOARD'!$C$4="",ISNUMBER(SEARCH('COMMUNITY CHURCH DASHBOARD'!$C$4,INDEX(MASTER_ZONES!$B:$B,816)))),815,""),""),""))</f>
        <v/>
      </c>
    </row>
    <row r="817">
      <c r="A817">
        <f>IF('WSF DASHBOARD'!$B$4="Area",IF(816&lt;=$D$3,IF(AND(OR('WSF DASHBOARD'!$C$4="",ISNUMBER(SEARCH('WSF DASHBOARD'!$C$4,INDEX(MASTER_AREAS!$B:$B,817))))),816,""),""),IF('WSF DASHBOARD'!$B$4="Zone",IF(816&lt;=$D$4,IF(OR('WSF DASHBOARD'!$C$4="",ISNUMBER(SEARCH('WSF DASHBOARD'!$C$4,INDEX(MASTER_ZONES!$B:$B,817)))),816,""),""),""))</f>
        <v/>
      </c>
      <c r="F817">
        <f>IF('TRANSPORT DASHBOARD'!$B$4="Area",IF(816&lt;=$I$3,IF(AND(INDEX(MASTER_AREAS!$F:$F,817)&lt;&gt;"N",OR('TRANSPORT DASHBOARD'!$C$4="",ISNUMBER(SEARCH('TRANSPORT DASHBOARD'!$C$4,INDEX(MASTER_AREAS!$B:$B,817))))),816,""),""),IF('TRANSPORT DASHBOARD'!$B$4="Zone",IF(816&lt;=$I$4,IF(OR('TRANSPORT DASHBOARD'!$C$4="",ISNUMBER(SEARCH('TRANSPORT DASHBOARD'!$C$4,INDEX(MASTER_ZONES!$B:$B,817)))),816,""),""),""))</f>
        <v/>
      </c>
      <c r="K817">
        <f>IF('MIDWEEK DASHBOARD'!$B$4="Area",IF(816&lt;=$N$3,IF(AND(OR('MIDWEEK DASHBOARD'!$C$4="",ISNUMBER(SEARCH('MIDWEEK DASHBOARD'!$C$4,INDEX(MASTER_AREAS!$B:$B,817))))),816,""),""),IF('MIDWEEK DASHBOARD'!$B$4="Zone",IF(816&lt;=$N$4,IF(OR('MIDWEEK DASHBOARD'!$C$4="",ISNUMBER(SEARCH('MIDWEEK DASHBOARD'!$C$4,INDEX(MASTER_ZONES!$B:$B,817)))),816,""),""),""))</f>
        <v/>
      </c>
      <c r="P817">
        <f>IF('CHOP DASHBOARD'!$B$4="Area",IF(816&lt;=$S$3,IF(AND(OR('CHOP DASHBOARD'!$C$4="",ISNUMBER(SEARCH('CHOP DASHBOARD'!$C$4,INDEX(MASTER_AREAS!$B:$B,817))))),816,""),""),IF('CHOP DASHBOARD'!$B$4="Zone",IF(816&lt;=$S$4,IF(OR('CHOP DASHBOARD'!$C$4="",ISNUMBER(SEARCH('CHOP DASHBOARD'!$C$4,INDEX(MASTER_ZONES!$B:$B,817)))),816,""),""),""))</f>
        <v/>
      </c>
      <c r="U817">
        <f>IF('COMMUNITY CHURCH DASHBOARD'!$B$4="Area",IF(816&lt;=$X$3,IF(AND(OR('COMMUNITY CHURCH DASHBOARD'!$C$4="",ISNUMBER(SEARCH('COMMUNITY CHURCH DASHBOARD'!$C$4,INDEX(MASTER_AREAS!$B:$B,817))))),816,""),""),IF('COMMUNITY CHURCH DASHBOARD'!$B$4="Zone",IF(816&lt;=$X$4,IF(OR('COMMUNITY CHURCH DASHBOARD'!$C$4="",ISNUMBER(SEARCH('COMMUNITY CHURCH DASHBOARD'!$C$4,INDEX(MASTER_ZONES!$B:$B,817)))),816,""),""),""))</f>
        <v/>
      </c>
    </row>
    <row r="818">
      <c r="A818">
        <f>IF('WSF DASHBOARD'!$B$4="Area",IF(817&lt;=$D$3,IF(AND(OR('WSF DASHBOARD'!$C$4="",ISNUMBER(SEARCH('WSF DASHBOARD'!$C$4,INDEX(MASTER_AREAS!$B:$B,818))))),817,""),""),IF('WSF DASHBOARD'!$B$4="Zone",IF(817&lt;=$D$4,IF(OR('WSF DASHBOARD'!$C$4="",ISNUMBER(SEARCH('WSF DASHBOARD'!$C$4,INDEX(MASTER_ZONES!$B:$B,818)))),817,""),""),""))</f>
        <v/>
      </c>
      <c r="F818">
        <f>IF('TRANSPORT DASHBOARD'!$B$4="Area",IF(817&lt;=$I$3,IF(AND(INDEX(MASTER_AREAS!$F:$F,818)&lt;&gt;"N",OR('TRANSPORT DASHBOARD'!$C$4="",ISNUMBER(SEARCH('TRANSPORT DASHBOARD'!$C$4,INDEX(MASTER_AREAS!$B:$B,818))))),817,""),""),IF('TRANSPORT DASHBOARD'!$B$4="Zone",IF(817&lt;=$I$4,IF(OR('TRANSPORT DASHBOARD'!$C$4="",ISNUMBER(SEARCH('TRANSPORT DASHBOARD'!$C$4,INDEX(MASTER_ZONES!$B:$B,818)))),817,""),""),""))</f>
        <v/>
      </c>
      <c r="K818">
        <f>IF('MIDWEEK DASHBOARD'!$B$4="Area",IF(817&lt;=$N$3,IF(AND(OR('MIDWEEK DASHBOARD'!$C$4="",ISNUMBER(SEARCH('MIDWEEK DASHBOARD'!$C$4,INDEX(MASTER_AREAS!$B:$B,818))))),817,""),""),IF('MIDWEEK DASHBOARD'!$B$4="Zone",IF(817&lt;=$N$4,IF(OR('MIDWEEK DASHBOARD'!$C$4="",ISNUMBER(SEARCH('MIDWEEK DASHBOARD'!$C$4,INDEX(MASTER_ZONES!$B:$B,818)))),817,""),""),""))</f>
        <v/>
      </c>
      <c r="P818">
        <f>IF('CHOP DASHBOARD'!$B$4="Area",IF(817&lt;=$S$3,IF(AND(OR('CHOP DASHBOARD'!$C$4="",ISNUMBER(SEARCH('CHOP DASHBOARD'!$C$4,INDEX(MASTER_AREAS!$B:$B,818))))),817,""),""),IF('CHOP DASHBOARD'!$B$4="Zone",IF(817&lt;=$S$4,IF(OR('CHOP DASHBOARD'!$C$4="",ISNUMBER(SEARCH('CHOP DASHBOARD'!$C$4,INDEX(MASTER_ZONES!$B:$B,818)))),817,""),""),""))</f>
        <v/>
      </c>
      <c r="U818">
        <f>IF('COMMUNITY CHURCH DASHBOARD'!$B$4="Area",IF(817&lt;=$X$3,IF(AND(OR('COMMUNITY CHURCH DASHBOARD'!$C$4="",ISNUMBER(SEARCH('COMMUNITY CHURCH DASHBOARD'!$C$4,INDEX(MASTER_AREAS!$B:$B,818))))),817,""),""),IF('COMMUNITY CHURCH DASHBOARD'!$B$4="Zone",IF(817&lt;=$X$4,IF(OR('COMMUNITY CHURCH DASHBOARD'!$C$4="",ISNUMBER(SEARCH('COMMUNITY CHURCH DASHBOARD'!$C$4,INDEX(MASTER_ZONES!$B:$B,818)))),817,""),""),""))</f>
        <v/>
      </c>
    </row>
    <row r="819">
      <c r="A819">
        <f>IF('WSF DASHBOARD'!$B$4="Area",IF(818&lt;=$D$3,IF(AND(OR('WSF DASHBOARD'!$C$4="",ISNUMBER(SEARCH('WSF DASHBOARD'!$C$4,INDEX(MASTER_AREAS!$B:$B,819))))),818,""),""),IF('WSF DASHBOARD'!$B$4="Zone",IF(818&lt;=$D$4,IF(OR('WSF DASHBOARD'!$C$4="",ISNUMBER(SEARCH('WSF DASHBOARD'!$C$4,INDEX(MASTER_ZONES!$B:$B,819)))),818,""),""),""))</f>
        <v/>
      </c>
      <c r="F819">
        <f>IF('TRANSPORT DASHBOARD'!$B$4="Area",IF(818&lt;=$I$3,IF(AND(INDEX(MASTER_AREAS!$F:$F,819)&lt;&gt;"N",OR('TRANSPORT DASHBOARD'!$C$4="",ISNUMBER(SEARCH('TRANSPORT DASHBOARD'!$C$4,INDEX(MASTER_AREAS!$B:$B,819))))),818,""),""),IF('TRANSPORT DASHBOARD'!$B$4="Zone",IF(818&lt;=$I$4,IF(OR('TRANSPORT DASHBOARD'!$C$4="",ISNUMBER(SEARCH('TRANSPORT DASHBOARD'!$C$4,INDEX(MASTER_ZONES!$B:$B,819)))),818,""),""),""))</f>
        <v/>
      </c>
      <c r="K819">
        <f>IF('MIDWEEK DASHBOARD'!$B$4="Area",IF(818&lt;=$N$3,IF(AND(OR('MIDWEEK DASHBOARD'!$C$4="",ISNUMBER(SEARCH('MIDWEEK DASHBOARD'!$C$4,INDEX(MASTER_AREAS!$B:$B,819))))),818,""),""),IF('MIDWEEK DASHBOARD'!$B$4="Zone",IF(818&lt;=$N$4,IF(OR('MIDWEEK DASHBOARD'!$C$4="",ISNUMBER(SEARCH('MIDWEEK DASHBOARD'!$C$4,INDEX(MASTER_ZONES!$B:$B,819)))),818,""),""),""))</f>
        <v/>
      </c>
      <c r="P819">
        <f>IF('CHOP DASHBOARD'!$B$4="Area",IF(818&lt;=$S$3,IF(AND(OR('CHOP DASHBOARD'!$C$4="",ISNUMBER(SEARCH('CHOP DASHBOARD'!$C$4,INDEX(MASTER_AREAS!$B:$B,819))))),818,""),""),IF('CHOP DASHBOARD'!$B$4="Zone",IF(818&lt;=$S$4,IF(OR('CHOP DASHBOARD'!$C$4="",ISNUMBER(SEARCH('CHOP DASHBOARD'!$C$4,INDEX(MASTER_ZONES!$B:$B,819)))),818,""),""),""))</f>
        <v/>
      </c>
      <c r="U819">
        <f>IF('COMMUNITY CHURCH DASHBOARD'!$B$4="Area",IF(818&lt;=$X$3,IF(AND(OR('COMMUNITY CHURCH DASHBOARD'!$C$4="",ISNUMBER(SEARCH('COMMUNITY CHURCH DASHBOARD'!$C$4,INDEX(MASTER_AREAS!$B:$B,819))))),818,""),""),IF('COMMUNITY CHURCH DASHBOARD'!$B$4="Zone",IF(818&lt;=$X$4,IF(OR('COMMUNITY CHURCH DASHBOARD'!$C$4="",ISNUMBER(SEARCH('COMMUNITY CHURCH DASHBOARD'!$C$4,INDEX(MASTER_ZONES!$B:$B,819)))),818,""),""),""))</f>
        <v/>
      </c>
    </row>
    <row r="820">
      <c r="A820">
        <f>IF('WSF DASHBOARD'!$B$4="Area",IF(819&lt;=$D$3,IF(AND(OR('WSF DASHBOARD'!$C$4="",ISNUMBER(SEARCH('WSF DASHBOARD'!$C$4,INDEX(MASTER_AREAS!$B:$B,820))))),819,""),""),IF('WSF DASHBOARD'!$B$4="Zone",IF(819&lt;=$D$4,IF(OR('WSF DASHBOARD'!$C$4="",ISNUMBER(SEARCH('WSF DASHBOARD'!$C$4,INDEX(MASTER_ZONES!$B:$B,820)))),819,""),""),""))</f>
        <v/>
      </c>
      <c r="F820">
        <f>IF('TRANSPORT DASHBOARD'!$B$4="Area",IF(819&lt;=$I$3,IF(AND(INDEX(MASTER_AREAS!$F:$F,820)&lt;&gt;"N",OR('TRANSPORT DASHBOARD'!$C$4="",ISNUMBER(SEARCH('TRANSPORT DASHBOARD'!$C$4,INDEX(MASTER_AREAS!$B:$B,820))))),819,""),""),IF('TRANSPORT DASHBOARD'!$B$4="Zone",IF(819&lt;=$I$4,IF(OR('TRANSPORT DASHBOARD'!$C$4="",ISNUMBER(SEARCH('TRANSPORT DASHBOARD'!$C$4,INDEX(MASTER_ZONES!$B:$B,820)))),819,""),""),""))</f>
        <v/>
      </c>
      <c r="K820">
        <f>IF('MIDWEEK DASHBOARD'!$B$4="Area",IF(819&lt;=$N$3,IF(AND(OR('MIDWEEK DASHBOARD'!$C$4="",ISNUMBER(SEARCH('MIDWEEK DASHBOARD'!$C$4,INDEX(MASTER_AREAS!$B:$B,820))))),819,""),""),IF('MIDWEEK DASHBOARD'!$B$4="Zone",IF(819&lt;=$N$4,IF(OR('MIDWEEK DASHBOARD'!$C$4="",ISNUMBER(SEARCH('MIDWEEK DASHBOARD'!$C$4,INDEX(MASTER_ZONES!$B:$B,820)))),819,""),""),""))</f>
        <v/>
      </c>
      <c r="P820">
        <f>IF('CHOP DASHBOARD'!$B$4="Area",IF(819&lt;=$S$3,IF(AND(OR('CHOP DASHBOARD'!$C$4="",ISNUMBER(SEARCH('CHOP DASHBOARD'!$C$4,INDEX(MASTER_AREAS!$B:$B,820))))),819,""),""),IF('CHOP DASHBOARD'!$B$4="Zone",IF(819&lt;=$S$4,IF(OR('CHOP DASHBOARD'!$C$4="",ISNUMBER(SEARCH('CHOP DASHBOARD'!$C$4,INDEX(MASTER_ZONES!$B:$B,820)))),819,""),""),""))</f>
        <v/>
      </c>
      <c r="U820">
        <f>IF('COMMUNITY CHURCH DASHBOARD'!$B$4="Area",IF(819&lt;=$X$3,IF(AND(OR('COMMUNITY CHURCH DASHBOARD'!$C$4="",ISNUMBER(SEARCH('COMMUNITY CHURCH DASHBOARD'!$C$4,INDEX(MASTER_AREAS!$B:$B,820))))),819,""),""),IF('COMMUNITY CHURCH DASHBOARD'!$B$4="Zone",IF(819&lt;=$X$4,IF(OR('COMMUNITY CHURCH DASHBOARD'!$C$4="",ISNUMBER(SEARCH('COMMUNITY CHURCH DASHBOARD'!$C$4,INDEX(MASTER_ZONES!$B:$B,820)))),819,""),""),""))</f>
        <v/>
      </c>
    </row>
    <row r="821">
      <c r="A821">
        <f>IF('WSF DASHBOARD'!$B$4="Area",IF(820&lt;=$D$3,IF(AND(OR('WSF DASHBOARD'!$C$4="",ISNUMBER(SEARCH('WSF DASHBOARD'!$C$4,INDEX(MASTER_AREAS!$B:$B,821))))),820,""),""),IF('WSF DASHBOARD'!$B$4="Zone",IF(820&lt;=$D$4,IF(OR('WSF DASHBOARD'!$C$4="",ISNUMBER(SEARCH('WSF DASHBOARD'!$C$4,INDEX(MASTER_ZONES!$B:$B,821)))),820,""),""),""))</f>
        <v/>
      </c>
      <c r="F821">
        <f>IF('TRANSPORT DASHBOARD'!$B$4="Area",IF(820&lt;=$I$3,IF(AND(INDEX(MASTER_AREAS!$F:$F,821)&lt;&gt;"N",OR('TRANSPORT DASHBOARD'!$C$4="",ISNUMBER(SEARCH('TRANSPORT DASHBOARD'!$C$4,INDEX(MASTER_AREAS!$B:$B,821))))),820,""),""),IF('TRANSPORT DASHBOARD'!$B$4="Zone",IF(820&lt;=$I$4,IF(OR('TRANSPORT DASHBOARD'!$C$4="",ISNUMBER(SEARCH('TRANSPORT DASHBOARD'!$C$4,INDEX(MASTER_ZONES!$B:$B,821)))),820,""),""),""))</f>
        <v/>
      </c>
      <c r="K821">
        <f>IF('MIDWEEK DASHBOARD'!$B$4="Area",IF(820&lt;=$N$3,IF(AND(OR('MIDWEEK DASHBOARD'!$C$4="",ISNUMBER(SEARCH('MIDWEEK DASHBOARD'!$C$4,INDEX(MASTER_AREAS!$B:$B,821))))),820,""),""),IF('MIDWEEK DASHBOARD'!$B$4="Zone",IF(820&lt;=$N$4,IF(OR('MIDWEEK DASHBOARD'!$C$4="",ISNUMBER(SEARCH('MIDWEEK DASHBOARD'!$C$4,INDEX(MASTER_ZONES!$B:$B,821)))),820,""),""),""))</f>
        <v/>
      </c>
      <c r="P821">
        <f>IF('CHOP DASHBOARD'!$B$4="Area",IF(820&lt;=$S$3,IF(AND(OR('CHOP DASHBOARD'!$C$4="",ISNUMBER(SEARCH('CHOP DASHBOARD'!$C$4,INDEX(MASTER_AREAS!$B:$B,821))))),820,""),""),IF('CHOP DASHBOARD'!$B$4="Zone",IF(820&lt;=$S$4,IF(OR('CHOP DASHBOARD'!$C$4="",ISNUMBER(SEARCH('CHOP DASHBOARD'!$C$4,INDEX(MASTER_ZONES!$B:$B,821)))),820,""),""),""))</f>
        <v/>
      </c>
      <c r="U821">
        <f>IF('COMMUNITY CHURCH DASHBOARD'!$B$4="Area",IF(820&lt;=$X$3,IF(AND(OR('COMMUNITY CHURCH DASHBOARD'!$C$4="",ISNUMBER(SEARCH('COMMUNITY CHURCH DASHBOARD'!$C$4,INDEX(MASTER_AREAS!$B:$B,821))))),820,""),""),IF('COMMUNITY CHURCH DASHBOARD'!$B$4="Zone",IF(820&lt;=$X$4,IF(OR('COMMUNITY CHURCH DASHBOARD'!$C$4="",ISNUMBER(SEARCH('COMMUNITY CHURCH DASHBOARD'!$C$4,INDEX(MASTER_ZONES!$B:$B,821)))),820,""),""),""))</f>
        <v/>
      </c>
    </row>
    <row r="822">
      <c r="A822">
        <f>IF('WSF DASHBOARD'!$B$4="Area",IF(821&lt;=$D$3,IF(AND(OR('WSF DASHBOARD'!$C$4="",ISNUMBER(SEARCH('WSF DASHBOARD'!$C$4,INDEX(MASTER_AREAS!$B:$B,822))))),821,""),""),IF('WSF DASHBOARD'!$B$4="Zone",IF(821&lt;=$D$4,IF(OR('WSF DASHBOARD'!$C$4="",ISNUMBER(SEARCH('WSF DASHBOARD'!$C$4,INDEX(MASTER_ZONES!$B:$B,822)))),821,""),""),""))</f>
        <v/>
      </c>
      <c r="F822">
        <f>IF('TRANSPORT DASHBOARD'!$B$4="Area",IF(821&lt;=$I$3,IF(AND(INDEX(MASTER_AREAS!$F:$F,822)&lt;&gt;"N",OR('TRANSPORT DASHBOARD'!$C$4="",ISNUMBER(SEARCH('TRANSPORT DASHBOARD'!$C$4,INDEX(MASTER_AREAS!$B:$B,822))))),821,""),""),IF('TRANSPORT DASHBOARD'!$B$4="Zone",IF(821&lt;=$I$4,IF(OR('TRANSPORT DASHBOARD'!$C$4="",ISNUMBER(SEARCH('TRANSPORT DASHBOARD'!$C$4,INDEX(MASTER_ZONES!$B:$B,822)))),821,""),""),""))</f>
        <v/>
      </c>
      <c r="K822">
        <f>IF('MIDWEEK DASHBOARD'!$B$4="Area",IF(821&lt;=$N$3,IF(AND(OR('MIDWEEK DASHBOARD'!$C$4="",ISNUMBER(SEARCH('MIDWEEK DASHBOARD'!$C$4,INDEX(MASTER_AREAS!$B:$B,822))))),821,""),""),IF('MIDWEEK DASHBOARD'!$B$4="Zone",IF(821&lt;=$N$4,IF(OR('MIDWEEK DASHBOARD'!$C$4="",ISNUMBER(SEARCH('MIDWEEK DASHBOARD'!$C$4,INDEX(MASTER_ZONES!$B:$B,822)))),821,""),""),""))</f>
        <v/>
      </c>
      <c r="P822">
        <f>IF('CHOP DASHBOARD'!$B$4="Area",IF(821&lt;=$S$3,IF(AND(OR('CHOP DASHBOARD'!$C$4="",ISNUMBER(SEARCH('CHOP DASHBOARD'!$C$4,INDEX(MASTER_AREAS!$B:$B,822))))),821,""),""),IF('CHOP DASHBOARD'!$B$4="Zone",IF(821&lt;=$S$4,IF(OR('CHOP DASHBOARD'!$C$4="",ISNUMBER(SEARCH('CHOP DASHBOARD'!$C$4,INDEX(MASTER_ZONES!$B:$B,822)))),821,""),""),""))</f>
        <v/>
      </c>
      <c r="U822">
        <f>IF('COMMUNITY CHURCH DASHBOARD'!$B$4="Area",IF(821&lt;=$X$3,IF(AND(OR('COMMUNITY CHURCH DASHBOARD'!$C$4="",ISNUMBER(SEARCH('COMMUNITY CHURCH DASHBOARD'!$C$4,INDEX(MASTER_AREAS!$B:$B,822))))),821,""),""),IF('COMMUNITY CHURCH DASHBOARD'!$B$4="Zone",IF(821&lt;=$X$4,IF(OR('COMMUNITY CHURCH DASHBOARD'!$C$4="",ISNUMBER(SEARCH('COMMUNITY CHURCH DASHBOARD'!$C$4,INDEX(MASTER_ZONES!$B:$B,822)))),821,""),""),""))</f>
        <v/>
      </c>
    </row>
    <row r="823">
      <c r="A823">
        <f>IF('WSF DASHBOARD'!$B$4="Area",IF(822&lt;=$D$3,IF(AND(OR('WSF DASHBOARD'!$C$4="",ISNUMBER(SEARCH('WSF DASHBOARD'!$C$4,INDEX(MASTER_AREAS!$B:$B,823))))),822,""),""),IF('WSF DASHBOARD'!$B$4="Zone",IF(822&lt;=$D$4,IF(OR('WSF DASHBOARD'!$C$4="",ISNUMBER(SEARCH('WSF DASHBOARD'!$C$4,INDEX(MASTER_ZONES!$B:$B,823)))),822,""),""),""))</f>
        <v/>
      </c>
      <c r="F823">
        <f>IF('TRANSPORT DASHBOARD'!$B$4="Area",IF(822&lt;=$I$3,IF(AND(INDEX(MASTER_AREAS!$F:$F,823)&lt;&gt;"N",OR('TRANSPORT DASHBOARD'!$C$4="",ISNUMBER(SEARCH('TRANSPORT DASHBOARD'!$C$4,INDEX(MASTER_AREAS!$B:$B,823))))),822,""),""),IF('TRANSPORT DASHBOARD'!$B$4="Zone",IF(822&lt;=$I$4,IF(OR('TRANSPORT DASHBOARD'!$C$4="",ISNUMBER(SEARCH('TRANSPORT DASHBOARD'!$C$4,INDEX(MASTER_ZONES!$B:$B,823)))),822,""),""),""))</f>
        <v/>
      </c>
      <c r="K823">
        <f>IF('MIDWEEK DASHBOARD'!$B$4="Area",IF(822&lt;=$N$3,IF(AND(OR('MIDWEEK DASHBOARD'!$C$4="",ISNUMBER(SEARCH('MIDWEEK DASHBOARD'!$C$4,INDEX(MASTER_AREAS!$B:$B,823))))),822,""),""),IF('MIDWEEK DASHBOARD'!$B$4="Zone",IF(822&lt;=$N$4,IF(OR('MIDWEEK DASHBOARD'!$C$4="",ISNUMBER(SEARCH('MIDWEEK DASHBOARD'!$C$4,INDEX(MASTER_ZONES!$B:$B,823)))),822,""),""),""))</f>
        <v/>
      </c>
      <c r="P823">
        <f>IF('CHOP DASHBOARD'!$B$4="Area",IF(822&lt;=$S$3,IF(AND(OR('CHOP DASHBOARD'!$C$4="",ISNUMBER(SEARCH('CHOP DASHBOARD'!$C$4,INDEX(MASTER_AREAS!$B:$B,823))))),822,""),""),IF('CHOP DASHBOARD'!$B$4="Zone",IF(822&lt;=$S$4,IF(OR('CHOP DASHBOARD'!$C$4="",ISNUMBER(SEARCH('CHOP DASHBOARD'!$C$4,INDEX(MASTER_ZONES!$B:$B,823)))),822,""),""),""))</f>
        <v/>
      </c>
      <c r="U823">
        <f>IF('COMMUNITY CHURCH DASHBOARD'!$B$4="Area",IF(822&lt;=$X$3,IF(AND(OR('COMMUNITY CHURCH DASHBOARD'!$C$4="",ISNUMBER(SEARCH('COMMUNITY CHURCH DASHBOARD'!$C$4,INDEX(MASTER_AREAS!$B:$B,823))))),822,""),""),IF('COMMUNITY CHURCH DASHBOARD'!$B$4="Zone",IF(822&lt;=$X$4,IF(OR('COMMUNITY CHURCH DASHBOARD'!$C$4="",ISNUMBER(SEARCH('COMMUNITY CHURCH DASHBOARD'!$C$4,INDEX(MASTER_ZONES!$B:$B,823)))),822,""),""),""))</f>
        <v/>
      </c>
    </row>
    <row r="824">
      <c r="A824">
        <f>IF('WSF DASHBOARD'!$B$4="Area",IF(823&lt;=$D$3,IF(AND(OR('WSF DASHBOARD'!$C$4="",ISNUMBER(SEARCH('WSF DASHBOARD'!$C$4,INDEX(MASTER_AREAS!$B:$B,824))))),823,""),""),IF('WSF DASHBOARD'!$B$4="Zone",IF(823&lt;=$D$4,IF(OR('WSF DASHBOARD'!$C$4="",ISNUMBER(SEARCH('WSF DASHBOARD'!$C$4,INDEX(MASTER_ZONES!$B:$B,824)))),823,""),""),""))</f>
        <v/>
      </c>
      <c r="F824">
        <f>IF('TRANSPORT DASHBOARD'!$B$4="Area",IF(823&lt;=$I$3,IF(AND(INDEX(MASTER_AREAS!$F:$F,824)&lt;&gt;"N",OR('TRANSPORT DASHBOARD'!$C$4="",ISNUMBER(SEARCH('TRANSPORT DASHBOARD'!$C$4,INDEX(MASTER_AREAS!$B:$B,824))))),823,""),""),IF('TRANSPORT DASHBOARD'!$B$4="Zone",IF(823&lt;=$I$4,IF(OR('TRANSPORT DASHBOARD'!$C$4="",ISNUMBER(SEARCH('TRANSPORT DASHBOARD'!$C$4,INDEX(MASTER_ZONES!$B:$B,824)))),823,""),""),""))</f>
        <v/>
      </c>
      <c r="K824">
        <f>IF('MIDWEEK DASHBOARD'!$B$4="Area",IF(823&lt;=$N$3,IF(AND(OR('MIDWEEK DASHBOARD'!$C$4="",ISNUMBER(SEARCH('MIDWEEK DASHBOARD'!$C$4,INDEX(MASTER_AREAS!$B:$B,824))))),823,""),""),IF('MIDWEEK DASHBOARD'!$B$4="Zone",IF(823&lt;=$N$4,IF(OR('MIDWEEK DASHBOARD'!$C$4="",ISNUMBER(SEARCH('MIDWEEK DASHBOARD'!$C$4,INDEX(MASTER_ZONES!$B:$B,824)))),823,""),""),""))</f>
        <v/>
      </c>
      <c r="P824">
        <f>IF('CHOP DASHBOARD'!$B$4="Area",IF(823&lt;=$S$3,IF(AND(OR('CHOP DASHBOARD'!$C$4="",ISNUMBER(SEARCH('CHOP DASHBOARD'!$C$4,INDEX(MASTER_AREAS!$B:$B,824))))),823,""),""),IF('CHOP DASHBOARD'!$B$4="Zone",IF(823&lt;=$S$4,IF(OR('CHOP DASHBOARD'!$C$4="",ISNUMBER(SEARCH('CHOP DASHBOARD'!$C$4,INDEX(MASTER_ZONES!$B:$B,824)))),823,""),""),""))</f>
        <v/>
      </c>
      <c r="U824">
        <f>IF('COMMUNITY CHURCH DASHBOARD'!$B$4="Area",IF(823&lt;=$X$3,IF(AND(OR('COMMUNITY CHURCH DASHBOARD'!$C$4="",ISNUMBER(SEARCH('COMMUNITY CHURCH DASHBOARD'!$C$4,INDEX(MASTER_AREAS!$B:$B,824))))),823,""),""),IF('COMMUNITY CHURCH DASHBOARD'!$B$4="Zone",IF(823&lt;=$X$4,IF(OR('COMMUNITY CHURCH DASHBOARD'!$C$4="",ISNUMBER(SEARCH('COMMUNITY CHURCH DASHBOARD'!$C$4,INDEX(MASTER_ZONES!$B:$B,824)))),823,""),""),""))</f>
        <v/>
      </c>
    </row>
    <row r="825">
      <c r="A825">
        <f>IF('WSF DASHBOARD'!$B$4="Area",IF(824&lt;=$D$3,IF(AND(OR('WSF DASHBOARD'!$C$4="",ISNUMBER(SEARCH('WSF DASHBOARD'!$C$4,INDEX(MASTER_AREAS!$B:$B,825))))),824,""),""),IF('WSF DASHBOARD'!$B$4="Zone",IF(824&lt;=$D$4,IF(OR('WSF DASHBOARD'!$C$4="",ISNUMBER(SEARCH('WSF DASHBOARD'!$C$4,INDEX(MASTER_ZONES!$B:$B,825)))),824,""),""),""))</f>
        <v/>
      </c>
      <c r="F825">
        <f>IF('TRANSPORT DASHBOARD'!$B$4="Area",IF(824&lt;=$I$3,IF(AND(INDEX(MASTER_AREAS!$F:$F,825)&lt;&gt;"N",OR('TRANSPORT DASHBOARD'!$C$4="",ISNUMBER(SEARCH('TRANSPORT DASHBOARD'!$C$4,INDEX(MASTER_AREAS!$B:$B,825))))),824,""),""),IF('TRANSPORT DASHBOARD'!$B$4="Zone",IF(824&lt;=$I$4,IF(OR('TRANSPORT DASHBOARD'!$C$4="",ISNUMBER(SEARCH('TRANSPORT DASHBOARD'!$C$4,INDEX(MASTER_ZONES!$B:$B,825)))),824,""),""),""))</f>
        <v/>
      </c>
      <c r="K825">
        <f>IF('MIDWEEK DASHBOARD'!$B$4="Area",IF(824&lt;=$N$3,IF(AND(OR('MIDWEEK DASHBOARD'!$C$4="",ISNUMBER(SEARCH('MIDWEEK DASHBOARD'!$C$4,INDEX(MASTER_AREAS!$B:$B,825))))),824,""),""),IF('MIDWEEK DASHBOARD'!$B$4="Zone",IF(824&lt;=$N$4,IF(OR('MIDWEEK DASHBOARD'!$C$4="",ISNUMBER(SEARCH('MIDWEEK DASHBOARD'!$C$4,INDEX(MASTER_ZONES!$B:$B,825)))),824,""),""),""))</f>
        <v/>
      </c>
      <c r="P825">
        <f>IF('CHOP DASHBOARD'!$B$4="Area",IF(824&lt;=$S$3,IF(AND(OR('CHOP DASHBOARD'!$C$4="",ISNUMBER(SEARCH('CHOP DASHBOARD'!$C$4,INDEX(MASTER_AREAS!$B:$B,825))))),824,""),""),IF('CHOP DASHBOARD'!$B$4="Zone",IF(824&lt;=$S$4,IF(OR('CHOP DASHBOARD'!$C$4="",ISNUMBER(SEARCH('CHOP DASHBOARD'!$C$4,INDEX(MASTER_ZONES!$B:$B,825)))),824,""),""),""))</f>
        <v/>
      </c>
      <c r="U825">
        <f>IF('COMMUNITY CHURCH DASHBOARD'!$B$4="Area",IF(824&lt;=$X$3,IF(AND(OR('COMMUNITY CHURCH DASHBOARD'!$C$4="",ISNUMBER(SEARCH('COMMUNITY CHURCH DASHBOARD'!$C$4,INDEX(MASTER_AREAS!$B:$B,825))))),824,""),""),IF('COMMUNITY CHURCH DASHBOARD'!$B$4="Zone",IF(824&lt;=$X$4,IF(OR('COMMUNITY CHURCH DASHBOARD'!$C$4="",ISNUMBER(SEARCH('COMMUNITY CHURCH DASHBOARD'!$C$4,INDEX(MASTER_ZONES!$B:$B,825)))),824,""),""),""))</f>
        <v/>
      </c>
    </row>
    <row r="826">
      <c r="A826">
        <f>IF('WSF DASHBOARD'!$B$4="Area",IF(825&lt;=$D$3,IF(AND(OR('WSF DASHBOARD'!$C$4="",ISNUMBER(SEARCH('WSF DASHBOARD'!$C$4,INDEX(MASTER_AREAS!$B:$B,826))))),825,""),""),IF('WSF DASHBOARD'!$B$4="Zone",IF(825&lt;=$D$4,IF(OR('WSF DASHBOARD'!$C$4="",ISNUMBER(SEARCH('WSF DASHBOARD'!$C$4,INDEX(MASTER_ZONES!$B:$B,826)))),825,""),""),""))</f>
        <v/>
      </c>
      <c r="F826">
        <f>IF('TRANSPORT DASHBOARD'!$B$4="Area",IF(825&lt;=$I$3,IF(AND(INDEX(MASTER_AREAS!$F:$F,826)&lt;&gt;"N",OR('TRANSPORT DASHBOARD'!$C$4="",ISNUMBER(SEARCH('TRANSPORT DASHBOARD'!$C$4,INDEX(MASTER_AREAS!$B:$B,826))))),825,""),""),IF('TRANSPORT DASHBOARD'!$B$4="Zone",IF(825&lt;=$I$4,IF(OR('TRANSPORT DASHBOARD'!$C$4="",ISNUMBER(SEARCH('TRANSPORT DASHBOARD'!$C$4,INDEX(MASTER_ZONES!$B:$B,826)))),825,""),""),""))</f>
        <v/>
      </c>
      <c r="K826">
        <f>IF('MIDWEEK DASHBOARD'!$B$4="Area",IF(825&lt;=$N$3,IF(AND(OR('MIDWEEK DASHBOARD'!$C$4="",ISNUMBER(SEARCH('MIDWEEK DASHBOARD'!$C$4,INDEX(MASTER_AREAS!$B:$B,826))))),825,""),""),IF('MIDWEEK DASHBOARD'!$B$4="Zone",IF(825&lt;=$N$4,IF(OR('MIDWEEK DASHBOARD'!$C$4="",ISNUMBER(SEARCH('MIDWEEK DASHBOARD'!$C$4,INDEX(MASTER_ZONES!$B:$B,826)))),825,""),""),""))</f>
        <v/>
      </c>
      <c r="P826">
        <f>IF('CHOP DASHBOARD'!$B$4="Area",IF(825&lt;=$S$3,IF(AND(OR('CHOP DASHBOARD'!$C$4="",ISNUMBER(SEARCH('CHOP DASHBOARD'!$C$4,INDEX(MASTER_AREAS!$B:$B,826))))),825,""),""),IF('CHOP DASHBOARD'!$B$4="Zone",IF(825&lt;=$S$4,IF(OR('CHOP DASHBOARD'!$C$4="",ISNUMBER(SEARCH('CHOP DASHBOARD'!$C$4,INDEX(MASTER_ZONES!$B:$B,826)))),825,""),""),""))</f>
        <v/>
      </c>
      <c r="U826">
        <f>IF('COMMUNITY CHURCH DASHBOARD'!$B$4="Area",IF(825&lt;=$X$3,IF(AND(OR('COMMUNITY CHURCH DASHBOARD'!$C$4="",ISNUMBER(SEARCH('COMMUNITY CHURCH DASHBOARD'!$C$4,INDEX(MASTER_AREAS!$B:$B,826))))),825,""),""),IF('COMMUNITY CHURCH DASHBOARD'!$B$4="Zone",IF(825&lt;=$X$4,IF(OR('COMMUNITY CHURCH DASHBOARD'!$C$4="",ISNUMBER(SEARCH('COMMUNITY CHURCH DASHBOARD'!$C$4,INDEX(MASTER_ZONES!$B:$B,826)))),825,""),""),""))</f>
        <v/>
      </c>
    </row>
    <row r="827">
      <c r="A827">
        <f>IF('WSF DASHBOARD'!$B$4="Area",IF(826&lt;=$D$3,IF(AND(OR('WSF DASHBOARD'!$C$4="",ISNUMBER(SEARCH('WSF DASHBOARD'!$C$4,INDEX(MASTER_AREAS!$B:$B,827))))),826,""),""),IF('WSF DASHBOARD'!$B$4="Zone",IF(826&lt;=$D$4,IF(OR('WSF DASHBOARD'!$C$4="",ISNUMBER(SEARCH('WSF DASHBOARD'!$C$4,INDEX(MASTER_ZONES!$B:$B,827)))),826,""),""),""))</f>
        <v/>
      </c>
      <c r="F827">
        <f>IF('TRANSPORT DASHBOARD'!$B$4="Area",IF(826&lt;=$I$3,IF(AND(INDEX(MASTER_AREAS!$F:$F,827)&lt;&gt;"N",OR('TRANSPORT DASHBOARD'!$C$4="",ISNUMBER(SEARCH('TRANSPORT DASHBOARD'!$C$4,INDEX(MASTER_AREAS!$B:$B,827))))),826,""),""),IF('TRANSPORT DASHBOARD'!$B$4="Zone",IF(826&lt;=$I$4,IF(OR('TRANSPORT DASHBOARD'!$C$4="",ISNUMBER(SEARCH('TRANSPORT DASHBOARD'!$C$4,INDEX(MASTER_ZONES!$B:$B,827)))),826,""),""),""))</f>
        <v/>
      </c>
      <c r="K827">
        <f>IF('MIDWEEK DASHBOARD'!$B$4="Area",IF(826&lt;=$N$3,IF(AND(OR('MIDWEEK DASHBOARD'!$C$4="",ISNUMBER(SEARCH('MIDWEEK DASHBOARD'!$C$4,INDEX(MASTER_AREAS!$B:$B,827))))),826,""),""),IF('MIDWEEK DASHBOARD'!$B$4="Zone",IF(826&lt;=$N$4,IF(OR('MIDWEEK DASHBOARD'!$C$4="",ISNUMBER(SEARCH('MIDWEEK DASHBOARD'!$C$4,INDEX(MASTER_ZONES!$B:$B,827)))),826,""),""),""))</f>
        <v/>
      </c>
      <c r="P827">
        <f>IF('CHOP DASHBOARD'!$B$4="Area",IF(826&lt;=$S$3,IF(AND(OR('CHOP DASHBOARD'!$C$4="",ISNUMBER(SEARCH('CHOP DASHBOARD'!$C$4,INDEX(MASTER_AREAS!$B:$B,827))))),826,""),""),IF('CHOP DASHBOARD'!$B$4="Zone",IF(826&lt;=$S$4,IF(OR('CHOP DASHBOARD'!$C$4="",ISNUMBER(SEARCH('CHOP DASHBOARD'!$C$4,INDEX(MASTER_ZONES!$B:$B,827)))),826,""),""),""))</f>
        <v/>
      </c>
      <c r="U827">
        <f>IF('COMMUNITY CHURCH DASHBOARD'!$B$4="Area",IF(826&lt;=$X$3,IF(AND(OR('COMMUNITY CHURCH DASHBOARD'!$C$4="",ISNUMBER(SEARCH('COMMUNITY CHURCH DASHBOARD'!$C$4,INDEX(MASTER_AREAS!$B:$B,827))))),826,""),""),IF('COMMUNITY CHURCH DASHBOARD'!$B$4="Zone",IF(826&lt;=$X$4,IF(OR('COMMUNITY CHURCH DASHBOARD'!$C$4="",ISNUMBER(SEARCH('COMMUNITY CHURCH DASHBOARD'!$C$4,INDEX(MASTER_ZONES!$B:$B,827)))),826,""),""),""))</f>
        <v/>
      </c>
    </row>
    <row r="828">
      <c r="A828">
        <f>IF('WSF DASHBOARD'!$B$4="Area",IF(827&lt;=$D$3,IF(AND(OR('WSF DASHBOARD'!$C$4="",ISNUMBER(SEARCH('WSF DASHBOARD'!$C$4,INDEX(MASTER_AREAS!$B:$B,828))))),827,""),""),IF('WSF DASHBOARD'!$B$4="Zone",IF(827&lt;=$D$4,IF(OR('WSF DASHBOARD'!$C$4="",ISNUMBER(SEARCH('WSF DASHBOARD'!$C$4,INDEX(MASTER_ZONES!$B:$B,828)))),827,""),""),""))</f>
        <v/>
      </c>
      <c r="F828">
        <f>IF('TRANSPORT DASHBOARD'!$B$4="Area",IF(827&lt;=$I$3,IF(AND(INDEX(MASTER_AREAS!$F:$F,828)&lt;&gt;"N",OR('TRANSPORT DASHBOARD'!$C$4="",ISNUMBER(SEARCH('TRANSPORT DASHBOARD'!$C$4,INDEX(MASTER_AREAS!$B:$B,828))))),827,""),""),IF('TRANSPORT DASHBOARD'!$B$4="Zone",IF(827&lt;=$I$4,IF(OR('TRANSPORT DASHBOARD'!$C$4="",ISNUMBER(SEARCH('TRANSPORT DASHBOARD'!$C$4,INDEX(MASTER_ZONES!$B:$B,828)))),827,""),""),""))</f>
        <v/>
      </c>
      <c r="K828">
        <f>IF('MIDWEEK DASHBOARD'!$B$4="Area",IF(827&lt;=$N$3,IF(AND(OR('MIDWEEK DASHBOARD'!$C$4="",ISNUMBER(SEARCH('MIDWEEK DASHBOARD'!$C$4,INDEX(MASTER_AREAS!$B:$B,828))))),827,""),""),IF('MIDWEEK DASHBOARD'!$B$4="Zone",IF(827&lt;=$N$4,IF(OR('MIDWEEK DASHBOARD'!$C$4="",ISNUMBER(SEARCH('MIDWEEK DASHBOARD'!$C$4,INDEX(MASTER_ZONES!$B:$B,828)))),827,""),""),""))</f>
        <v/>
      </c>
      <c r="P828">
        <f>IF('CHOP DASHBOARD'!$B$4="Area",IF(827&lt;=$S$3,IF(AND(OR('CHOP DASHBOARD'!$C$4="",ISNUMBER(SEARCH('CHOP DASHBOARD'!$C$4,INDEX(MASTER_AREAS!$B:$B,828))))),827,""),""),IF('CHOP DASHBOARD'!$B$4="Zone",IF(827&lt;=$S$4,IF(OR('CHOP DASHBOARD'!$C$4="",ISNUMBER(SEARCH('CHOP DASHBOARD'!$C$4,INDEX(MASTER_ZONES!$B:$B,828)))),827,""),""),""))</f>
        <v/>
      </c>
      <c r="U828">
        <f>IF('COMMUNITY CHURCH DASHBOARD'!$B$4="Area",IF(827&lt;=$X$3,IF(AND(OR('COMMUNITY CHURCH DASHBOARD'!$C$4="",ISNUMBER(SEARCH('COMMUNITY CHURCH DASHBOARD'!$C$4,INDEX(MASTER_AREAS!$B:$B,828))))),827,""),""),IF('COMMUNITY CHURCH DASHBOARD'!$B$4="Zone",IF(827&lt;=$X$4,IF(OR('COMMUNITY CHURCH DASHBOARD'!$C$4="",ISNUMBER(SEARCH('COMMUNITY CHURCH DASHBOARD'!$C$4,INDEX(MASTER_ZONES!$B:$B,828)))),827,""),""),""))</f>
        <v/>
      </c>
    </row>
    <row r="829">
      <c r="A829">
        <f>IF('WSF DASHBOARD'!$B$4="Area",IF(828&lt;=$D$3,IF(AND(OR('WSF DASHBOARD'!$C$4="",ISNUMBER(SEARCH('WSF DASHBOARD'!$C$4,INDEX(MASTER_AREAS!$B:$B,829))))),828,""),""),IF('WSF DASHBOARD'!$B$4="Zone",IF(828&lt;=$D$4,IF(OR('WSF DASHBOARD'!$C$4="",ISNUMBER(SEARCH('WSF DASHBOARD'!$C$4,INDEX(MASTER_ZONES!$B:$B,829)))),828,""),""),""))</f>
        <v/>
      </c>
      <c r="F829">
        <f>IF('TRANSPORT DASHBOARD'!$B$4="Area",IF(828&lt;=$I$3,IF(AND(INDEX(MASTER_AREAS!$F:$F,829)&lt;&gt;"N",OR('TRANSPORT DASHBOARD'!$C$4="",ISNUMBER(SEARCH('TRANSPORT DASHBOARD'!$C$4,INDEX(MASTER_AREAS!$B:$B,829))))),828,""),""),IF('TRANSPORT DASHBOARD'!$B$4="Zone",IF(828&lt;=$I$4,IF(OR('TRANSPORT DASHBOARD'!$C$4="",ISNUMBER(SEARCH('TRANSPORT DASHBOARD'!$C$4,INDEX(MASTER_ZONES!$B:$B,829)))),828,""),""),""))</f>
        <v/>
      </c>
      <c r="K829">
        <f>IF('MIDWEEK DASHBOARD'!$B$4="Area",IF(828&lt;=$N$3,IF(AND(OR('MIDWEEK DASHBOARD'!$C$4="",ISNUMBER(SEARCH('MIDWEEK DASHBOARD'!$C$4,INDEX(MASTER_AREAS!$B:$B,829))))),828,""),""),IF('MIDWEEK DASHBOARD'!$B$4="Zone",IF(828&lt;=$N$4,IF(OR('MIDWEEK DASHBOARD'!$C$4="",ISNUMBER(SEARCH('MIDWEEK DASHBOARD'!$C$4,INDEX(MASTER_ZONES!$B:$B,829)))),828,""),""),""))</f>
        <v/>
      </c>
      <c r="P829">
        <f>IF('CHOP DASHBOARD'!$B$4="Area",IF(828&lt;=$S$3,IF(AND(OR('CHOP DASHBOARD'!$C$4="",ISNUMBER(SEARCH('CHOP DASHBOARD'!$C$4,INDEX(MASTER_AREAS!$B:$B,829))))),828,""),""),IF('CHOP DASHBOARD'!$B$4="Zone",IF(828&lt;=$S$4,IF(OR('CHOP DASHBOARD'!$C$4="",ISNUMBER(SEARCH('CHOP DASHBOARD'!$C$4,INDEX(MASTER_ZONES!$B:$B,829)))),828,""),""),""))</f>
        <v/>
      </c>
      <c r="U829">
        <f>IF('COMMUNITY CHURCH DASHBOARD'!$B$4="Area",IF(828&lt;=$X$3,IF(AND(OR('COMMUNITY CHURCH DASHBOARD'!$C$4="",ISNUMBER(SEARCH('COMMUNITY CHURCH DASHBOARD'!$C$4,INDEX(MASTER_AREAS!$B:$B,829))))),828,""),""),IF('COMMUNITY CHURCH DASHBOARD'!$B$4="Zone",IF(828&lt;=$X$4,IF(OR('COMMUNITY CHURCH DASHBOARD'!$C$4="",ISNUMBER(SEARCH('COMMUNITY CHURCH DASHBOARD'!$C$4,INDEX(MASTER_ZONES!$B:$B,829)))),828,""),""),""))</f>
        <v/>
      </c>
    </row>
    <row r="830">
      <c r="A830">
        <f>IF('WSF DASHBOARD'!$B$4="Area",IF(829&lt;=$D$3,IF(AND(OR('WSF DASHBOARD'!$C$4="",ISNUMBER(SEARCH('WSF DASHBOARD'!$C$4,INDEX(MASTER_AREAS!$B:$B,830))))),829,""),""),IF('WSF DASHBOARD'!$B$4="Zone",IF(829&lt;=$D$4,IF(OR('WSF DASHBOARD'!$C$4="",ISNUMBER(SEARCH('WSF DASHBOARD'!$C$4,INDEX(MASTER_ZONES!$B:$B,830)))),829,""),""),""))</f>
        <v/>
      </c>
      <c r="F830">
        <f>IF('TRANSPORT DASHBOARD'!$B$4="Area",IF(829&lt;=$I$3,IF(AND(INDEX(MASTER_AREAS!$F:$F,830)&lt;&gt;"N",OR('TRANSPORT DASHBOARD'!$C$4="",ISNUMBER(SEARCH('TRANSPORT DASHBOARD'!$C$4,INDEX(MASTER_AREAS!$B:$B,830))))),829,""),""),IF('TRANSPORT DASHBOARD'!$B$4="Zone",IF(829&lt;=$I$4,IF(OR('TRANSPORT DASHBOARD'!$C$4="",ISNUMBER(SEARCH('TRANSPORT DASHBOARD'!$C$4,INDEX(MASTER_ZONES!$B:$B,830)))),829,""),""),""))</f>
        <v/>
      </c>
      <c r="K830">
        <f>IF('MIDWEEK DASHBOARD'!$B$4="Area",IF(829&lt;=$N$3,IF(AND(OR('MIDWEEK DASHBOARD'!$C$4="",ISNUMBER(SEARCH('MIDWEEK DASHBOARD'!$C$4,INDEX(MASTER_AREAS!$B:$B,830))))),829,""),""),IF('MIDWEEK DASHBOARD'!$B$4="Zone",IF(829&lt;=$N$4,IF(OR('MIDWEEK DASHBOARD'!$C$4="",ISNUMBER(SEARCH('MIDWEEK DASHBOARD'!$C$4,INDEX(MASTER_ZONES!$B:$B,830)))),829,""),""),""))</f>
        <v/>
      </c>
      <c r="P830">
        <f>IF('CHOP DASHBOARD'!$B$4="Area",IF(829&lt;=$S$3,IF(AND(OR('CHOP DASHBOARD'!$C$4="",ISNUMBER(SEARCH('CHOP DASHBOARD'!$C$4,INDEX(MASTER_AREAS!$B:$B,830))))),829,""),""),IF('CHOP DASHBOARD'!$B$4="Zone",IF(829&lt;=$S$4,IF(OR('CHOP DASHBOARD'!$C$4="",ISNUMBER(SEARCH('CHOP DASHBOARD'!$C$4,INDEX(MASTER_ZONES!$B:$B,830)))),829,""),""),""))</f>
        <v/>
      </c>
      <c r="U830">
        <f>IF('COMMUNITY CHURCH DASHBOARD'!$B$4="Area",IF(829&lt;=$X$3,IF(AND(OR('COMMUNITY CHURCH DASHBOARD'!$C$4="",ISNUMBER(SEARCH('COMMUNITY CHURCH DASHBOARD'!$C$4,INDEX(MASTER_AREAS!$B:$B,830))))),829,""),""),IF('COMMUNITY CHURCH DASHBOARD'!$B$4="Zone",IF(829&lt;=$X$4,IF(OR('COMMUNITY CHURCH DASHBOARD'!$C$4="",ISNUMBER(SEARCH('COMMUNITY CHURCH DASHBOARD'!$C$4,INDEX(MASTER_ZONES!$B:$B,830)))),829,""),""),""))</f>
        <v/>
      </c>
    </row>
    <row r="831">
      <c r="A831">
        <f>IF('WSF DASHBOARD'!$B$4="Area",IF(830&lt;=$D$3,IF(AND(OR('WSF DASHBOARD'!$C$4="",ISNUMBER(SEARCH('WSF DASHBOARD'!$C$4,INDEX(MASTER_AREAS!$B:$B,831))))),830,""),""),IF('WSF DASHBOARD'!$B$4="Zone",IF(830&lt;=$D$4,IF(OR('WSF DASHBOARD'!$C$4="",ISNUMBER(SEARCH('WSF DASHBOARD'!$C$4,INDEX(MASTER_ZONES!$B:$B,831)))),830,""),""),""))</f>
        <v/>
      </c>
      <c r="F831">
        <f>IF('TRANSPORT DASHBOARD'!$B$4="Area",IF(830&lt;=$I$3,IF(AND(INDEX(MASTER_AREAS!$F:$F,831)&lt;&gt;"N",OR('TRANSPORT DASHBOARD'!$C$4="",ISNUMBER(SEARCH('TRANSPORT DASHBOARD'!$C$4,INDEX(MASTER_AREAS!$B:$B,831))))),830,""),""),IF('TRANSPORT DASHBOARD'!$B$4="Zone",IF(830&lt;=$I$4,IF(OR('TRANSPORT DASHBOARD'!$C$4="",ISNUMBER(SEARCH('TRANSPORT DASHBOARD'!$C$4,INDEX(MASTER_ZONES!$B:$B,831)))),830,""),""),""))</f>
        <v/>
      </c>
      <c r="K831">
        <f>IF('MIDWEEK DASHBOARD'!$B$4="Area",IF(830&lt;=$N$3,IF(AND(OR('MIDWEEK DASHBOARD'!$C$4="",ISNUMBER(SEARCH('MIDWEEK DASHBOARD'!$C$4,INDEX(MASTER_AREAS!$B:$B,831))))),830,""),""),IF('MIDWEEK DASHBOARD'!$B$4="Zone",IF(830&lt;=$N$4,IF(OR('MIDWEEK DASHBOARD'!$C$4="",ISNUMBER(SEARCH('MIDWEEK DASHBOARD'!$C$4,INDEX(MASTER_ZONES!$B:$B,831)))),830,""),""),""))</f>
        <v/>
      </c>
      <c r="P831">
        <f>IF('CHOP DASHBOARD'!$B$4="Area",IF(830&lt;=$S$3,IF(AND(OR('CHOP DASHBOARD'!$C$4="",ISNUMBER(SEARCH('CHOP DASHBOARD'!$C$4,INDEX(MASTER_AREAS!$B:$B,831))))),830,""),""),IF('CHOP DASHBOARD'!$B$4="Zone",IF(830&lt;=$S$4,IF(OR('CHOP DASHBOARD'!$C$4="",ISNUMBER(SEARCH('CHOP DASHBOARD'!$C$4,INDEX(MASTER_ZONES!$B:$B,831)))),830,""),""),""))</f>
        <v/>
      </c>
      <c r="U831">
        <f>IF('COMMUNITY CHURCH DASHBOARD'!$B$4="Area",IF(830&lt;=$X$3,IF(AND(OR('COMMUNITY CHURCH DASHBOARD'!$C$4="",ISNUMBER(SEARCH('COMMUNITY CHURCH DASHBOARD'!$C$4,INDEX(MASTER_AREAS!$B:$B,831))))),830,""),""),IF('COMMUNITY CHURCH DASHBOARD'!$B$4="Zone",IF(830&lt;=$X$4,IF(OR('COMMUNITY CHURCH DASHBOARD'!$C$4="",ISNUMBER(SEARCH('COMMUNITY CHURCH DASHBOARD'!$C$4,INDEX(MASTER_ZONES!$B:$B,831)))),830,""),""),""))</f>
        <v/>
      </c>
    </row>
    <row r="832">
      <c r="A832">
        <f>IF('WSF DASHBOARD'!$B$4="Area",IF(831&lt;=$D$3,IF(AND(OR('WSF DASHBOARD'!$C$4="",ISNUMBER(SEARCH('WSF DASHBOARD'!$C$4,INDEX(MASTER_AREAS!$B:$B,832))))),831,""),""),IF('WSF DASHBOARD'!$B$4="Zone",IF(831&lt;=$D$4,IF(OR('WSF DASHBOARD'!$C$4="",ISNUMBER(SEARCH('WSF DASHBOARD'!$C$4,INDEX(MASTER_ZONES!$B:$B,832)))),831,""),""),""))</f>
        <v/>
      </c>
      <c r="F832">
        <f>IF('TRANSPORT DASHBOARD'!$B$4="Area",IF(831&lt;=$I$3,IF(AND(INDEX(MASTER_AREAS!$F:$F,832)&lt;&gt;"N",OR('TRANSPORT DASHBOARD'!$C$4="",ISNUMBER(SEARCH('TRANSPORT DASHBOARD'!$C$4,INDEX(MASTER_AREAS!$B:$B,832))))),831,""),""),IF('TRANSPORT DASHBOARD'!$B$4="Zone",IF(831&lt;=$I$4,IF(OR('TRANSPORT DASHBOARD'!$C$4="",ISNUMBER(SEARCH('TRANSPORT DASHBOARD'!$C$4,INDEX(MASTER_ZONES!$B:$B,832)))),831,""),""),""))</f>
        <v/>
      </c>
      <c r="K832">
        <f>IF('MIDWEEK DASHBOARD'!$B$4="Area",IF(831&lt;=$N$3,IF(AND(OR('MIDWEEK DASHBOARD'!$C$4="",ISNUMBER(SEARCH('MIDWEEK DASHBOARD'!$C$4,INDEX(MASTER_AREAS!$B:$B,832))))),831,""),""),IF('MIDWEEK DASHBOARD'!$B$4="Zone",IF(831&lt;=$N$4,IF(OR('MIDWEEK DASHBOARD'!$C$4="",ISNUMBER(SEARCH('MIDWEEK DASHBOARD'!$C$4,INDEX(MASTER_ZONES!$B:$B,832)))),831,""),""),""))</f>
        <v/>
      </c>
      <c r="P832">
        <f>IF('CHOP DASHBOARD'!$B$4="Area",IF(831&lt;=$S$3,IF(AND(OR('CHOP DASHBOARD'!$C$4="",ISNUMBER(SEARCH('CHOP DASHBOARD'!$C$4,INDEX(MASTER_AREAS!$B:$B,832))))),831,""),""),IF('CHOP DASHBOARD'!$B$4="Zone",IF(831&lt;=$S$4,IF(OR('CHOP DASHBOARD'!$C$4="",ISNUMBER(SEARCH('CHOP DASHBOARD'!$C$4,INDEX(MASTER_ZONES!$B:$B,832)))),831,""),""),""))</f>
        <v/>
      </c>
      <c r="U832">
        <f>IF('COMMUNITY CHURCH DASHBOARD'!$B$4="Area",IF(831&lt;=$X$3,IF(AND(OR('COMMUNITY CHURCH DASHBOARD'!$C$4="",ISNUMBER(SEARCH('COMMUNITY CHURCH DASHBOARD'!$C$4,INDEX(MASTER_AREAS!$B:$B,832))))),831,""),""),IF('COMMUNITY CHURCH DASHBOARD'!$B$4="Zone",IF(831&lt;=$X$4,IF(OR('COMMUNITY CHURCH DASHBOARD'!$C$4="",ISNUMBER(SEARCH('COMMUNITY CHURCH DASHBOARD'!$C$4,INDEX(MASTER_ZONES!$B:$B,832)))),831,""),""),""))</f>
        <v/>
      </c>
    </row>
    <row r="833">
      <c r="A833">
        <f>IF('WSF DASHBOARD'!$B$4="Area",IF(832&lt;=$D$3,IF(AND(OR('WSF DASHBOARD'!$C$4="",ISNUMBER(SEARCH('WSF DASHBOARD'!$C$4,INDEX(MASTER_AREAS!$B:$B,833))))),832,""),""),IF('WSF DASHBOARD'!$B$4="Zone",IF(832&lt;=$D$4,IF(OR('WSF DASHBOARD'!$C$4="",ISNUMBER(SEARCH('WSF DASHBOARD'!$C$4,INDEX(MASTER_ZONES!$B:$B,833)))),832,""),""),""))</f>
        <v/>
      </c>
      <c r="F833">
        <f>IF('TRANSPORT DASHBOARD'!$B$4="Area",IF(832&lt;=$I$3,IF(AND(INDEX(MASTER_AREAS!$F:$F,833)&lt;&gt;"N",OR('TRANSPORT DASHBOARD'!$C$4="",ISNUMBER(SEARCH('TRANSPORT DASHBOARD'!$C$4,INDEX(MASTER_AREAS!$B:$B,833))))),832,""),""),IF('TRANSPORT DASHBOARD'!$B$4="Zone",IF(832&lt;=$I$4,IF(OR('TRANSPORT DASHBOARD'!$C$4="",ISNUMBER(SEARCH('TRANSPORT DASHBOARD'!$C$4,INDEX(MASTER_ZONES!$B:$B,833)))),832,""),""),""))</f>
        <v/>
      </c>
      <c r="K833">
        <f>IF('MIDWEEK DASHBOARD'!$B$4="Area",IF(832&lt;=$N$3,IF(AND(OR('MIDWEEK DASHBOARD'!$C$4="",ISNUMBER(SEARCH('MIDWEEK DASHBOARD'!$C$4,INDEX(MASTER_AREAS!$B:$B,833))))),832,""),""),IF('MIDWEEK DASHBOARD'!$B$4="Zone",IF(832&lt;=$N$4,IF(OR('MIDWEEK DASHBOARD'!$C$4="",ISNUMBER(SEARCH('MIDWEEK DASHBOARD'!$C$4,INDEX(MASTER_ZONES!$B:$B,833)))),832,""),""),""))</f>
        <v/>
      </c>
      <c r="P833">
        <f>IF('CHOP DASHBOARD'!$B$4="Area",IF(832&lt;=$S$3,IF(AND(OR('CHOP DASHBOARD'!$C$4="",ISNUMBER(SEARCH('CHOP DASHBOARD'!$C$4,INDEX(MASTER_AREAS!$B:$B,833))))),832,""),""),IF('CHOP DASHBOARD'!$B$4="Zone",IF(832&lt;=$S$4,IF(OR('CHOP DASHBOARD'!$C$4="",ISNUMBER(SEARCH('CHOP DASHBOARD'!$C$4,INDEX(MASTER_ZONES!$B:$B,833)))),832,""),""),""))</f>
        <v/>
      </c>
      <c r="U833">
        <f>IF('COMMUNITY CHURCH DASHBOARD'!$B$4="Area",IF(832&lt;=$X$3,IF(AND(OR('COMMUNITY CHURCH DASHBOARD'!$C$4="",ISNUMBER(SEARCH('COMMUNITY CHURCH DASHBOARD'!$C$4,INDEX(MASTER_AREAS!$B:$B,833))))),832,""),""),IF('COMMUNITY CHURCH DASHBOARD'!$B$4="Zone",IF(832&lt;=$X$4,IF(OR('COMMUNITY CHURCH DASHBOARD'!$C$4="",ISNUMBER(SEARCH('COMMUNITY CHURCH DASHBOARD'!$C$4,INDEX(MASTER_ZONES!$B:$B,833)))),832,""),""),""))</f>
        <v/>
      </c>
    </row>
    <row r="834">
      <c r="A834">
        <f>IF('WSF DASHBOARD'!$B$4="Area",IF(833&lt;=$D$3,IF(AND(OR('WSF DASHBOARD'!$C$4="",ISNUMBER(SEARCH('WSF DASHBOARD'!$C$4,INDEX(MASTER_AREAS!$B:$B,834))))),833,""),""),IF('WSF DASHBOARD'!$B$4="Zone",IF(833&lt;=$D$4,IF(OR('WSF DASHBOARD'!$C$4="",ISNUMBER(SEARCH('WSF DASHBOARD'!$C$4,INDEX(MASTER_ZONES!$B:$B,834)))),833,""),""),""))</f>
        <v/>
      </c>
      <c r="F834">
        <f>IF('TRANSPORT DASHBOARD'!$B$4="Area",IF(833&lt;=$I$3,IF(AND(INDEX(MASTER_AREAS!$F:$F,834)&lt;&gt;"N",OR('TRANSPORT DASHBOARD'!$C$4="",ISNUMBER(SEARCH('TRANSPORT DASHBOARD'!$C$4,INDEX(MASTER_AREAS!$B:$B,834))))),833,""),""),IF('TRANSPORT DASHBOARD'!$B$4="Zone",IF(833&lt;=$I$4,IF(OR('TRANSPORT DASHBOARD'!$C$4="",ISNUMBER(SEARCH('TRANSPORT DASHBOARD'!$C$4,INDEX(MASTER_ZONES!$B:$B,834)))),833,""),""),""))</f>
        <v/>
      </c>
      <c r="K834">
        <f>IF('MIDWEEK DASHBOARD'!$B$4="Area",IF(833&lt;=$N$3,IF(AND(OR('MIDWEEK DASHBOARD'!$C$4="",ISNUMBER(SEARCH('MIDWEEK DASHBOARD'!$C$4,INDEX(MASTER_AREAS!$B:$B,834))))),833,""),""),IF('MIDWEEK DASHBOARD'!$B$4="Zone",IF(833&lt;=$N$4,IF(OR('MIDWEEK DASHBOARD'!$C$4="",ISNUMBER(SEARCH('MIDWEEK DASHBOARD'!$C$4,INDEX(MASTER_ZONES!$B:$B,834)))),833,""),""),""))</f>
        <v/>
      </c>
      <c r="P834">
        <f>IF('CHOP DASHBOARD'!$B$4="Area",IF(833&lt;=$S$3,IF(AND(OR('CHOP DASHBOARD'!$C$4="",ISNUMBER(SEARCH('CHOP DASHBOARD'!$C$4,INDEX(MASTER_AREAS!$B:$B,834))))),833,""),""),IF('CHOP DASHBOARD'!$B$4="Zone",IF(833&lt;=$S$4,IF(OR('CHOP DASHBOARD'!$C$4="",ISNUMBER(SEARCH('CHOP DASHBOARD'!$C$4,INDEX(MASTER_ZONES!$B:$B,834)))),833,""),""),""))</f>
        <v/>
      </c>
      <c r="U834">
        <f>IF('COMMUNITY CHURCH DASHBOARD'!$B$4="Area",IF(833&lt;=$X$3,IF(AND(OR('COMMUNITY CHURCH DASHBOARD'!$C$4="",ISNUMBER(SEARCH('COMMUNITY CHURCH DASHBOARD'!$C$4,INDEX(MASTER_AREAS!$B:$B,834))))),833,""),""),IF('COMMUNITY CHURCH DASHBOARD'!$B$4="Zone",IF(833&lt;=$X$4,IF(OR('COMMUNITY CHURCH DASHBOARD'!$C$4="",ISNUMBER(SEARCH('COMMUNITY CHURCH DASHBOARD'!$C$4,INDEX(MASTER_ZONES!$B:$B,834)))),833,""),""),""))</f>
        <v/>
      </c>
    </row>
    <row r="835">
      <c r="A835">
        <f>IF('WSF DASHBOARD'!$B$4="Area",IF(834&lt;=$D$3,IF(AND(OR('WSF DASHBOARD'!$C$4="",ISNUMBER(SEARCH('WSF DASHBOARD'!$C$4,INDEX(MASTER_AREAS!$B:$B,835))))),834,""),""),IF('WSF DASHBOARD'!$B$4="Zone",IF(834&lt;=$D$4,IF(OR('WSF DASHBOARD'!$C$4="",ISNUMBER(SEARCH('WSF DASHBOARD'!$C$4,INDEX(MASTER_ZONES!$B:$B,835)))),834,""),""),""))</f>
        <v/>
      </c>
      <c r="F835">
        <f>IF('TRANSPORT DASHBOARD'!$B$4="Area",IF(834&lt;=$I$3,IF(AND(INDEX(MASTER_AREAS!$F:$F,835)&lt;&gt;"N",OR('TRANSPORT DASHBOARD'!$C$4="",ISNUMBER(SEARCH('TRANSPORT DASHBOARD'!$C$4,INDEX(MASTER_AREAS!$B:$B,835))))),834,""),""),IF('TRANSPORT DASHBOARD'!$B$4="Zone",IF(834&lt;=$I$4,IF(OR('TRANSPORT DASHBOARD'!$C$4="",ISNUMBER(SEARCH('TRANSPORT DASHBOARD'!$C$4,INDEX(MASTER_ZONES!$B:$B,835)))),834,""),""),""))</f>
        <v/>
      </c>
      <c r="K835">
        <f>IF('MIDWEEK DASHBOARD'!$B$4="Area",IF(834&lt;=$N$3,IF(AND(OR('MIDWEEK DASHBOARD'!$C$4="",ISNUMBER(SEARCH('MIDWEEK DASHBOARD'!$C$4,INDEX(MASTER_AREAS!$B:$B,835))))),834,""),""),IF('MIDWEEK DASHBOARD'!$B$4="Zone",IF(834&lt;=$N$4,IF(OR('MIDWEEK DASHBOARD'!$C$4="",ISNUMBER(SEARCH('MIDWEEK DASHBOARD'!$C$4,INDEX(MASTER_ZONES!$B:$B,835)))),834,""),""),""))</f>
        <v/>
      </c>
      <c r="P835">
        <f>IF('CHOP DASHBOARD'!$B$4="Area",IF(834&lt;=$S$3,IF(AND(OR('CHOP DASHBOARD'!$C$4="",ISNUMBER(SEARCH('CHOP DASHBOARD'!$C$4,INDEX(MASTER_AREAS!$B:$B,835))))),834,""),""),IF('CHOP DASHBOARD'!$B$4="Zone",IF(834&lt;=$S$4,IF(OR('CHOP DASHBOARD'!$C$4="",ISNUMBER(SEARCH('CHOP DASHBOARD'!$C$4,INDEX(MASTER_ZONES!$B:$B,835)))),834,""),""),""))</f>
        <v/>
      </c>
      <c r="U835">
        <f>IF('COMMUNITY CHURCH DASHBOARD'!$B$4="Area",IF(834&lt;=$X$3,IF(AND(OR('COMMUNITY CHURCH DASHBOARD'!$C$4="",ISNUMBER(SEARCH('COMMUNITY CHURCH DASHBOARD'!$C$4,INDEX(MASTER_AREAS!$B:$B,835))))),834,""),""),IF('COMMUNITY CHURCH DASHBOARD'!$B$4="Zone",IF(834&lt;=$X$4,IF(OR('COMMUNITY CHURCH DASHBOARD'!$C$4="",ISNUMBER(SEARCH('COMMUNITY CHURCH DASHBOARD'!$C$4,INDEX(MASTER_ZONES!$B:$B,835)))),834,""),""),""))</f>
        <v/>
      </c>
    </row>
    <row r="836">
      <c r="A836">
        <f>IF('WSF DASHBOARD'!$B$4="Area",IF(835&lt;=$D$3,IF(AND(OR('WSF DASHBOARD'!$C$4="",ISNUMBER(SEARCH('WSF DASHBOARD'!$C$4,INDEX(MASTER_AREAS!$B:$B,836))))),835,""),""),IF('WSF DASHBOARD'!$B$4="Zone",IF(835&lt;=$D$4,IF(OR('WSF DASHBOARD'!$C$4="",ISNUMBER(SEARCH('WSF DASHBOARD'!$C$4,INDEX(MASTER_ZONES!$B:$B,836)))),835,""),""),""))</f>
        <v/>
      </c>
      <c r="F836">
        <f>IF('TRANSPORT DASHBOARD'!$B$4="Area",IF(835&lt;=$I$3,IF(AND(INDEX(MASTER_AREAS!$F:$F,836)&lt;&gt;"N",OR('TRANSPORT DASHBOARD'!$C$4="",ISNUMBER(SEARCH('TRANSPORT DASHBOARD'!$C$4,INDEX(MASTER_AREAS!$B:$B,836))))),835,""),""),IF('TRANSPORT DASHBOARD'!$B$4="Zone",IF(835&lt;=$I$4,IF(OR('TRANSPORT DASHBOARD'!$C$4="",ISNUMBER(SEARCH('TRANSPORT DASHBOARD'!$C$4,INDEX(MASTER_ZONES!$B:$B,836)))),835,""),""),""))</f>
        <v/>
      </c>
      <c r="K836">
        <f>IF('MIDWEEK DASHBOARD'!$B$4="Area",IF(835&lt;=$N$3,IF(AND(OR('MIDWEEK DASHBOARD'!$C$4="",ISNUMBER(SEARCH('MIDWEEK DASHBOARD'!$C$4,INDEX(MASTER_AREAS!$B:$B,836))))),835,""),""),IF('MIDWEEK DASHBOARD'!$B$4="Zone",IF(835&lt;=$N$4,IF(OR('MIDWEEK DASHBOARD'!$C$4="",ISNUMBER(SEARCH('MIDWEEK DASHBOARD'!$C$4,INDEX(MASTER_ZONES!$B:$B,836)))),835,""),""),""))</f>
        <v/>
      </c>
      <c r="P836">
        <f>IF('CHOP DASHBOARD'!$B$4="Area",IF(835&lt;=$S$3,IF(AND(OR('CHOP DASHBOARD'!$C$4="",ISNUMBER(SEARCH('CHOP DASHBOARD'!$C$4,INDEX(MASTER_AREAS!$B:$B,836))))),835,""),""),IF('CHOP DASHBOARD'!$B$4="Zone",IF(835&lt;=$S$4,IF(OR('CHOP DASHBOARD'!$C$4="",ISNUMBER(SEARCH('CHOP DASHBOARD'!$C$4,INDEX(MASTER_ZONES!$B:$B,836)))),835,""),""),""))</f>
        <v/>
      </c>
      <c r="U836">
        <f>IF('COMMUNITY CHURCH DASHBOARD'!$B$4="Area",IF(835&lt;=$X$3,IF(AND(OR('COMMUNITY CHURCH DASHBOARD'!$C$4="",ISNUMBER(SEARCH('COMMUNITY CHURCH DASHBOARD'!$C$4,INDEX(MASTER_AREAS!$B:$B,836))))),835,""),""),IF('COMMUNITY CHURCH DASHBOARD'!$B$4="Zone",IF(835&lt;=$X$4,IF(OR('COMMUNITY CHURCH DASHBOARD'!$C$4="",ISNUMBER(SEARCH('COMMUNITY CHURCH DASHBOARD'!$C$4,INDEX(MASTER_ZONES!$B:$B,836)))),835,""),""),""))</f>
        <v/>
      </c>
    </row>
    <row r="837">
      <c r="A837">
        <f>IF('WSF DASHBOARD'!$B$4="Area",IF(836&lt;=$D$3,IF(AND(OR('WSF DASHBOARD'!$C$4="",ISNUMBER(SEARCH('WSF DASHBOARD'!$C$4,INDEX(MASTER_AREAS!$B:$B,837))))),836,""),""),IF('WSF DASHBOARD'!$B$4="Zone",IF(836&lt;=$D$4,IF(OR('WSF DASHBOARD'!$C$4="",ISNUMBER(SEARCH('WSF DASHBOARD'!$C$4,INDEX(MASTER_ZONES!$B:$B,837)))),836,""),""),""))</f>
        <v/>
      </c>
      <c r="F837">
        <f>IF('TRANSPORT DASHBOARD'!$B$4="Area",IF(836&lt;=$I$3,IF(AND(INDEX(MASTER_AREAS!$F:$F,837)&lt;&gt;"N",OR('TRANSPORT DASHBOARD'!$C$4="",ISNUMBER(SEARCH('TRANSPORT DASHBOARD'!$C$4,INDEX(MASTER_AREAS!$B:$B,837))))),836,""),""),IF('TRANSPORT DASHBOARD'!$B$4="Zone",IF(836&lt;=$I$4,IF(OR('TRANSPORT DASHBOARD'!$C$4="",ISNUMBER(SEARCH('TRANSPORT DASHBOARD'!$C$4,INDEX(MASTER_ZONES!$B:$B,837)))),836,""),""),""))</f>
        <v/>
      </c>
      <c r="K837">
        <f>IF('MIDWEEK DASHBOARD'!$B$4="Area",IF(836&lt;=$N$3,IF(AND(OR('MIDWEEK DASHBOARD'!$C$4="",ISNUMBER(SEARCH('MIDWEEK DASHBOARD'!$C$4,INDEX(MASTER_AREAS!$B:$B,837))))),836,""),""),IF('MIDWEEK DASHBOARD'!$B$4="Zone",IF(836&lt;=$N$4,IF(OR('MIDWEEK DASHBOARD'!$C$4="",ISNUMBER(SEARCH('MIDWEEK DASHBOARD'!$C$4,INDEX(MASTER_ZONES!$B:$B,837)))),836,""),""),""))</f>
        <v/>
      </c>
      <c r="P837">
        <f>IF('CHOP DASHBOARD'!$B$4="Area",IF(836&lt;=$S$3,IF(AND(OR('CHOP DASHBOARD'!$C$4="",ISNUMBER(SEARCH('CHOP DASHBOARD'!$C$4,INDEX(MASTER_AREAS!$B:$B,837))))),836,""),""),IF('CHOP DASHBOARD'!$B$4="Zone",IF(836&lt;=$S$4,IF(OR('CHOP DASHBOARD'!$C$4="",ISNUMBER(SEARCH('CHOP DASHBOARD'!$C$4,INDEX(MASTER_ZONES!$B:$B,837)))),836,""),""),""))</f>
        <v/>
      </c>
      <c r="U837">
        <f>IF('COMMUNITY CHURCH DASHBOARD'!$B$4="Area",IF(836&lt;=$X$3,IF(AND(OR('COMMUNITY CHURCH DASHBOARD'!$C$4="",ISNUMBER(SEARCH('COMMUNITY CHURCH DASHBOARD'!$C$4,INDEX(MASTER_AREAS!$B:$B,837))))),836,""),""),IF('COMMUNITY CHURCH DASHBOARD'!$B$4="Zone",IF(836&lt;=$X$4,IF(OR('COMMUNITY CHURCH DASHBOARD'!$C$4="",ISNUMBER(SEARCH('COMMUNITY CHURCH DASHBOARD'!$C$4,INDEX(MASTER_ZONES!$B:$B,837)))),836,""),""),""))</f>
        <v/>
      </c>
    </row>
    <row r="838">
      <c r="A838">
        <f>IF('WSF DASHBOARD'!$B$4="Area",IF(837&lt;=$D$3,IF(AND(OR('WSF DASHBOARD'!$C$4="",ISNUMBER(SEARCH('WSF DASHBOARD'!$C$4,INDEX(MASTER_AREAS!$B:$B,838))))),837,""),""),IF('WSF DASHBOARD'!$B$4="Zone",IF(837&lt;=$D$4,IF(OR('WSF DASHBOARD'!$C$4="",ISNUMBER(SEARCH('WSF DASHBOARD'!$C$4,INDEX(MASTER_ZONES!$B:$B,838)))),837,""),""),""))</f>
        <v/>
      </c>
      <c r="F838">
        <f>IF('TRANSPORT DASHBOARD'!$B$4="Area",IF(837&lt;=$I$3,IF(AND(INDEX(MASTER_AREAS!$F:$F,838)&lt;&gt;"N",OR('TRANSPORT DASHBOARD'!$C$4="",ISNUMBER(SEARCH('TRANSPORT DASHBOARD'!$C$4,INDEX(MASTER_AREAS!$B:$B,838))))),837,""),""),IF('TRANSPORT DASHBOARD'!$B$4="Zone",IF(837&lt;=$I$4,IF(OR('TRANSPORT DASHBOARD'!$C$4="",ISNUMBER(SEARCH('TRANSPORT DASHBOARD'!$C$4,INDEX(MASTER_ZONES!$B:$B,838)))),837,""),""),""))</f>
        <v/>
      </c>
      <c r="K838">
        <f>IF('MIDWEEK DASHBOARD'!$B$4="Area",IF(837&lt;=$N$3,IF(AND(OR('MIDWEEK DASHBOARD'!$C$4="",ISNUMBER(SEARCH('MIDWEEK DASHBOARD'!$C$4,INDEX(MASTER_AREAS!$B:$B,838))))),837,""),""),IF('MIDWEEK DASHBOARD'!$B$4="Zone",IF(837&lt;=$N$4,IF(OR('MIDWEEK DASHBOARD'!$C$4="",ISNUMBER(SEARCH('MIDWEEK DASHBOARD'!$C$4,INDEX(MASTER_ZONES!$B:$B,838)))),837,""),""),""))</f>
        <v/>
      </c>
      <c r="P838">
        <f>IF('CHOP DASHBOARD'!$B$4="Area",IF(837&lt;=$S$3,IF(AND(OR('CHOP DASHBOARD'!$C$4="",ISNUMBER(SEARCH('CHOP DASHBOARD'!$C$4,INDEX(MASTER_AREAS!$B:$B,838))))),837,""),""),IF('CHOP DASHBOARD'!$B$4="Zone",IF(837&lt;=$S$4,IF(OR('CHOP DASHBOARD'!$C$4="",ISNUMBER(SEARCH('CHOP DASHBOARD'!$C$4,INDEX(MASTER_ZONES!$B:$B,838)))),837,""),""),""))</f>
        <v/>
      </c>
      <c r="U838">
        <f>IF('COMMUNITY CHURCH DASHBOARD'!$B$4="Area",IF(837&lt;=$X$3,IF(AND(OR('COMMUNITY CHURCH DASHBOARD'!$C$4="",ISNUMBER(SEARCH('COMMUNITY CHURCH DASHBOARD'!$C$4,INDEX(MASTER_AREAS!$B:$B,838))))),837,""),""),IF('COMMUNITY CHURCH DASHBOARD'!$B$4="Zone",IF(837&lt;=$X$4,IF(OR('COMMUNITY CHURCH DASHBOARD'!$C$4="",ISNUMBER(SEARCH('COMMUNITY CHURCH DASHBOARD'!$C$4,INDEX(MASTER_ZONES!$B:$B,838)))),837,""),""),""))</f>
        <v/>
      </c>
    </row>
    <row r="839">
      <c r="A839">
        <f>IF('WSF DASHBOARD'!$B$4="Area",IF(838&lt;=$D$3,IF(AND(OR('WSF DASHBOARD'!$C$4="",ISNUMBER(SEARCH('WSF DASHBOARD'!$C$4,INDEX(MASTER_AREAS!$B:$B,839))))),838,""),""),IF('WSF DASHBOARD'!$B$4="Zone",IF(838&lt;=$D$4,IF(OR('WSF DASHBOARD'!$C$4="",ISNUMBER(SEARCH('WSF DASHBOARD'!$C$4,INDEX(MASTER_ZONES!$B:$B,839)))),838,""),""),""))</f>
        <v/>
      </c>
      <c r="F839">
        <f>IF('TRANSPORT DASHBOARD'!$B$4="Area",IF(838&lt;=$I$3,IF(AND(INDEX(MASTER_AREAS!$F:$F,839)&lt;&gt;"N",OR('TRANSPORT DASHBOARD'!$C$4="",ISNUMBER(SEARCH('TRANSPORT DASHBOARD'!$C$4,INDEX(MASTER_AREAS!$B:$B,839))))),838,""),""),IF('TRANSPORT DASHBOARD'!$B$4="Zone",IF(838&lt;=$I$4,IF(OR('TRANSPORT DASHBOARD'!$C$4="",ISNUMBER(SEARCH('TRANSPORT DASHBOARD'!$C$4,INDEX(MASTER_ZONES!$B:$B,839)))),838,""),""),""))</f>
        <v/>
      </c>
      <c r="K839">
        <f>IF('MIDWEEK DASHBOARD'!$B$4="Area",IF(838&lt;=$N$3,IF(AND(OR('MIDWEEK DASHBOARD'!$C$4="",ISNUMBER(SEARCH('MIDWEEK DASHBOARD'!$C$4,INDEX(MASTER_AREAS!$B:$B,839))))),838,""),""),IF('MIDWEEK DASHBOARD'!$B$4="Zone",IF(838&lt;=$N$4,IF(OR('MIDWEEK DASHBOARD'!$C$4="",ISNUMBER(SEARCH('MIDWEEK DASHBOARD'!$C$4,INDEX(MASTER_ZONES!$B:$B,839)))),838,""),""),""))</f>
        <v/>
      </c>
      <c r="P839">
        <f>IF('CHOP DASHBOARD'!$B$4="Area",IF(838&lt;=$S$3,IF(AND(OR('CHOP DASHBOARD'!$C$4="",ISNUMBER(SEARCH('CHOP DASHBOARD'!$C$4,INDEX(MASTER_AREAS!$B:$B,839))))),838,""),""),IF('CHOP DASHBOARD'!$B$4="Zone",IF(838&lt;=$S$4,IF(OR('CHOP DASHBOARD'!$C$4="",ISNUMBER(SEARCH('CHOP DASHBOARD'!$C$4,INDEX(MASTER_ZONES!$B:$B,839)))),838,""),""),""))</f>
        <v/>
      </c>
      <c r="U839">
        <f>IF('COMMUNITY CHURCH DASHBOARD'!$B$4="Area",IF(838&lt;=$X$3,IF(AND(OR('COMMUNITY CHURCH DASHBOARD'!$C$4="",ISNUMBER(SEARCH('COMMUNITY CHURCH DASHBOARD'!$C$4,INDEX(MASTER_AREAS!$B:$B,839))))),838,""),""),IF('COMMUNITY CHURCH DASHBOARD'!$B$4="Zone",IF(838&lt;=$X$4,IF(OR('COMMUNITY CHURCH DASHBOARD'!$C$4="",ISNUMBER(SEARCH('COMMUNITY CHURCH DASHBOARD'!$C$4,INDEX(MASTER_ZONES!$B:$B,839)))),838,""),""),""))</f>
        <v/>
      </c>
    </row>
    <row r="840">
      <c r="A840">
        <f>IF('WSF DASHBOARD'!$B$4="Area",IF(839&lt;=$D$3,IF(AND(OR('WSF DASHBOARD'!$C$4="",ISNUMBER(SEARCH('WSF DASHBOARD'!$C$4,INDEX(MASTER_AREAS!$B:$B,840))))),839,""),""),IF('WSF DASHBOARD'!$B$4="Zone",IF(839&lt;=$D$4,IF(OR('WSF DASHBOARD'!$C$4="",ISNUMBER(SEARCH('WSF DASHBOARD'!$C$4,INDEX(MASTER_ZONES!$B:$B,840)))),839,""),""),""))</f>
        <v/>
      </c>
      <c r="F840">
        <f>IF('TRANSPORT DASHBOARD'!$B$4="Area",IF(839&lt;=$I$3,IF(AND(INDEX(MASTER_AREAS!$F:$F,840)&lt;&gt;"N",OR('TRANSPORT DASHBOARD'!$C$4="",ISNUMBER(SEARCH('TRANSPORT DASHBOARD'!$C$4,INDEX(MASTER_AREAS!$B:$B,840))))),839,""),""),IF('TRANSPORT DASHBOARD'!$B$4="Zone",IF(839&lt;=$I$4,IF(OR('TRANSPORT DASHBOARD'!$C$4="",ISNUMBER(SEARCH('TRANSPORT DASHBOARD'!$C$4,INDEX(MASTER_ZONES!$B:$B,840)))),839,""),""),""))</f>
        <v/>
      </c>
      <c r="K840">
        <f>IF('MIDWEEK DASHBOARD'!$B$4="Area",IF(839&lt;=$N$3,IF(AND(OR('MIDWEEK DASHBOARD'!$C$4="",ISNUMBER(SEARCH('MIDWEEK DASHBOARD'!$C$4,INDEX(MASTER_AREAS!$B:$B,840))))),839,""),""),IF('MIDWEEK DASHBOARD'!$B$4="Zone",IF(839&lt;=$N$4,IF(OR('MIDWEEK DASHBOARD'!$C$4="",ISNUMBER(SEARCH('MIDWEEK DASHBOARD'!$C$4,INDEX(MASTER_ZONES!$B:$B,840)))),839,""),""),""))</f>
        <v/>
      </c>
      <c r="P840">
        <f>IF('CHOP DASHBOARD'!$B$4="Area",IF(839&lt;=$S$3,IF(AND(OR('CHOP DASHBOARD'!$C$4="",ISNUMBER(SEARCH('CHOP DASHBOARD'!$C$4,INDEX(MASTER_AREAS!$B:$B,840))))),839,""),""),IF('CHOP DASHBOARD'!$B$4="Zone",IF(839&lt;=$S$4,IF(OR('CHOP DASHBOARD'!$C$4="",ISNUMBER(SEARCH('CHOP DASHBOARD'!$C$4,INDEX(MASTER_ZONES!$B:$B,840)))),839,""),""),""))</f>
        <v/>
      </c>
      <c r="U840">
        <f>IF('COMMUNITY CHURCH DASHBOARD'!$B$4="Area",IF(839&lt;=$X$3,IF(AND(OR('COMMUNITY CHURCH DASHBOARD'!$C$4="",ISNUMBER(SEARCH('COMMUNITY CHURCH DASHBOARD'!$C$4,INDEX(MASTER_AREAS!$B:$B,840))))),839,""),""),IF('COMMUNITY CHURCH DASHBOARD'!$B$4="Zone",IF(839&lt;=$X$4,IF(OR('COMMUNITY CHURCH DASHBOARD'!$C$4="",ISNUMBER(SEARCH('COMMUNITY CHURCH DASHBOARD'!$C$4,INDEX(MASTER_ZONES!$B:$B,840)))),839,""),""),""))</f>
        <v/>
      </c>
    </row>
    <row r="841">
      <c r="A841">
        <f>IF('WSF DASHBOARD'!$B$4="Area",IF(840&lt;=$D$3,IF(AND(OR('WSF DASHBOARD'!$C$4="",ISNUMBER(SEARCH('WSF DASHBOARD'!$C$4,INDEX(MASTER_AREAS!$B:$B,841))))),840,""),""),IF('WSF DASHBOARD'!$B$4="Zone",IF(840&lt;=$D$4,IF(OR('WSF DASHBOARD'!$C$4="",ISNUMBER(SEARCH('WSF DASHBOARD'!$C$4,INDEX(MASTER_ZONES!$B:$B,841)))),840,""),""),""))</f>
        <v/>
      </c>
      <c r="F841">
        <f>IF('TRANSPORT DASHBOARD'!$B$4="Area",IF(840&lt;=$I$3,IF(AND(INDEX(MASTER_AREAS!$F:$F,841)&lt;&gt;"N",OR('TRANSPORT DASHBOARD'!$C$4="",ISNUMBER(SEARCH('TRANSPORT DASHBOARD'!$C$4,INDEX(MASTER_AREAS!$B:$B,841))))),840,""),""),IF('TRANSPORT DASHBOARD'!$B$4="Zone",IF(840&lt;=$I$4,IF(OR('TRANSPORT DASHBOARD'!$C$4="",ISNUMBER(SEARCH('TRANSPORT DASHBOARD'!$C$4,INDEX(MASTER_ZONES!$B:$B,841)))),840,""),""),""))</f>
        <v/>
      </c>
      <c r="K841">
        <f>IF('MIDWEEK DASHBOARD'!$B$4="Area",IF(840&lt;=$N$3,IF(AND(OR('MIDWEEK DASHBOARD'!$C$4="",ISNUMBER(SEARCH('MIDWEEK DASHBOARD'!$C$4,INDEX(MASTER_AREAS!$B:$B,841))))),840,""),""),IF('MIDWEEK DASHBOARD'!$B$4="Zone",IF(840&lt;=$N$4,IF(OR('MIDWEEK DASHBOARD'!$C$4="",ISNUMBER(SEARCH('MIDWEEK DASHBOARD'!$C$4,INDEX(MASTER_ZONES!$B:$B,841)))),840,""),""),""))</f>
        <v/>
      </c>
      <c r="P841">
        <f>IF('CHOP DASHBOARD'!$B$4="Area",IF(840&lt;=$S$3,IF(AND(OR('CHOP DASHBOARD'!$C$4="",ISNUMBER(SEARCH('CHOP DASHBOARD'!$C$4,INDEX(MASTER_AREAS!$B:$B,841))))),840,""),""),IF('CHOP DASHBOARD'!$B$4="Zone",IF(840&lt;=$S$4,IF(OR('CHOP DASHBOARD'!$C$4="",ISNUMBER(SEARCH('CHOP DASHBOARD'!$C$4,INDEX(MASTER_ZONES!$B:$B,841)))),840,""),""),""))</f>
        <v/>
      </c>
      <c r="U841">
        <f>IF('COMMUNITY CHURCH DASHBOARD'!$B$4="Area",IF(840&lt;=$X$3,IF(AND(OR('COMMUNITY CHURCH DASHBOARD'!$C$4="",ISNUMBER(SEARCH('COMMUNITY CHURCH DASHBOARD'!$C$4,INDEX(MASTER_AREAS!$B:$B,841))))),840,""),""),IF('COMMUNITY CHURCH DASHBOARD'!$B$4="Zone",IF(840&lt;=$X$4,IF(OR('COMMUNITY CHURCH DASHBOARD'!$C$4="",ISNUMBER(SEARCH('COMMUNITY CHURCH DASHBOARD'!$C$4,INDEX(MASTER_ZONES!$B:$B,841)))),840,""),""),""))</f>
        <v/>
      </c>
    </row>
    <row r="842">
      <c r="A842">
        <f>IF('WSF DASHBOARD'!$B$4="Area",IF(841&lt;=$D$3,IF(AND(OR('WSF DASHBOARD'!$C$4="",ISNUMBER(SEARCH('WSF DASHBOARD'!$C$4,INDEX(MASTER_AREAS!$B:$B,842))))),841,""),""),IF('WSF DASHBOARD'!$B$4="Zone",IF(841&lt;=$D$4,IF(OR('WSF DASHBOARD'!$C$4="",ISNUMBER(SEARCH('WSF DASHBOARD'!$C$4,INDEX(MASTER_ZONES!$B:$B,842)))),841,""),""),""))</f>
        <v/>
      </c>
      <c r="F842">
        <f>IF('TRANSPORT DASHBOARD'!$B$4="Area",IF(841&lt;=$I$3,IF(AND(INDEX(MASTER_AREAS!$F:$F,842)&lt;&gt;"N",OR('TRANSPORT DASHBOARD'!$C$4="",ISNUMBER(SEARCH('TRANSPORT DASHBOARD'!$C$4,INDEX(MASTER_AREAS!$B:$B,842))))),841,""),""),IF('TRANSPORT DASHBOARD'!$B$4="Zone",IF(841&lt;=$I$4,IF(OR('TRANSPORT DASHBOARD'!$C$4="",ISNUMBER(SEARCH('TRANSPORT DASHBOARD'!$C$4,INDEX(MASTER_ZONES!$B:$B,842)))),841,""),""),""))</f>
        <v/>
      </c>
      <c r="K842">
        <f>IF('MIDWEEK DASHBOARD'!$B$4="Area",IF(841&lt;=$N$3,IF(AND(OR('MIDWEEK DASHBOARD'!$C$4="",ISNUMBER(SEARCH('MIDWEEK DASHBOARD'!$C$4,INDEX(MASTER_AREAS!$B:$B,842))))),841,""),""),IF('MIDWEEK DASHBOARD'!$B$4="Zone",IF(841&lt;=$N$4,IF(OR('MIDWEEK DASHBOARD'!$C$4="",ISNUMBER(SEARCH('MIDWEEK DASHBOARD'!$C$4,INDEX(MASTER_ZONES!$B:$B,842)))),841,""),""),""))</f>
        <v/>
      </c>
      <c r="P842">
        <f>IF('CHOP DASHBOARD'!$B$4="Area",IF(841&lt;=$S$3,IF(AND(OR('CHOP DASHBOARD'!$C$4="",ISNUMBER(SEARCH('CHOP DASHBOARD'!$C$4,INDEX(MASTER_AREAS!$B:$B,842))))),841,""),""),IF('CHOP DASHBOARD'!$B$4="Zone",IF(841&lt;=$S$4,IF(OR('CHOP DASHBOARD'!$C$4="",ISNUMBER(SEARCH('CHOP DASHBOARD'!$C$4,INDEX(MASTER_ZONES!$B:$B,842)))),841,""),""),""))</f>
        <v/>
      </c>
      <c r="U842">
        <f>IF('COMMUNITY CHURCH DASHBOARD'!$B$4="Area",IF(841&lt;=$X$3,IF(AND(OR('COMMUNITY CHURCH DASHBOARD'!$C$4="",ISNUMBER(SEARCH('COMMUNITY CHURCH DASHBOARD'!$C$4,INDEX(MASTER_AREAS!$B:$B,842))))),841,""),""),IF('COMMUNITY CHURCH DASHBOARD'!$B$4="Zone",IF(841&lt;=$X$4,IF(OR('COMMUNITY CHURCH DASHBOARD'!$C$4="",ISNUMBER(SEARCH('COMMUNITY CHURCH DASHBOARD'!$C$4,INDEX(MASTER_ZONES!$B:$B,842)))),841,""),""),""))</f>
        <v/>
      </c>
    </row>
    <row r="843">
      <c r="A843">
        <f>IF('WSF DASHBOARD'!$B$4="Area",IF(842&lt;=$D$3,IF(AND(OR('WSF DASHBOARD'!$C$4="",ISNUMBER(SEARCH('WSF DASHBOARD'!$C$4,INDEX(MASTER_AREAS!$B:$B,843))))),842,""),""),IF('WSF DASHBOARD'!$B$4="Zone",IF(842&lt;=$D$4,IF(OR('WSF DASHBOARD'!$C$4="",ISNUMBER(SEARCH('WSF DASHBOARD'!$C$4,INDEX(MASTER_ZONES!$B:$B,843)))),842,""),""),""))</f>
        <v/>
      </c>
      <c r="F843">
        <f>IF('TRANSPORT DASHBOARD'!$B$4="Area",IF(842&lt;=$I$3,IF(AND(INDEX(MASTER_AREAS!$F:$F,843)&lt;&gt;"N",OR('TRANSPORT DASHBOARD'!$C$4="",ISNUMBER(SEARCH('TRANSPORT DASHBOARD'!$C$4,INDEX(MASTER_AREAS!$B:$B,843))))),842,""),""),IF('TRANSPORT DASHBOARD'!$B$4="Zone",IF(842&lt;=$I$4,IF(OR('TRANSPORT DASHBOARD'!$C$4="",ISNUMBER(SEARCH('TRANSPORT DASHBOARD'!$C$4,INDEX(MASTER_ZONES!$B:$B,843)))),842,""),""),""))</f>
        <v/>
      </c>
      <c r="K843">
        <f>IF('MIDWEEK DASHBOARD'!$B$4="Area",IF(842&lt;=$N$3,IF(AND(OR('MIDWEEK DASHBOARD'!$C$4="",ISNUMBER(SEARCH('MIDWEEK DASHBOARD'!$C$4,INDEX(MASTER_AREAS!$B:$B,843))))),842,""),""),IF('MIDWEEK DASHBOARD'!$B$4="Zone",IF(842&lt;=$N$4,IF(OR('MIDWEEK DASHBOARD'!$C$4="",ISNUMBER(SEARCH('MIDWEEK DASHBOARD'!$C$4,INDEX(MASTER_ZONES!$B:$B,843)))),842,""),""),""))</f>
        <v/>
      </c>
      <c r="P843">
        <f>IF('CHOP DASHBOARD'!$B$4="Area",IF(842&lt;=$S$3,IF(AND(OR('CHOP DASHBOARD'!$C$4="",ISNUMBER(SEARCH('CHOP DASHBOARD'!$C$4,INDEX(MASTER_AREAS!$B:$B,843))))),842,""),""),IF('CHOP DASHBOARD'!$B$4="Zone",IF(842&lt;=$S$4,IF(OR('CHOP DASHBOARD'!$C$4="",ISNUMBER(SEARCH('CHOP DASHBOARD'!$C$4,INDEX(MASTER_ZONES!$B:$B,843)))),842,""),""),""))</f>
        <v/>
      </c>
      <c r="U843">
        <f>IF('COMMUNITY CHURCH DASHBOARD'!$B$4="Area",IF(842&lt;=$X$3,IF(AND(OR('COMMUNITY CHURCH DASHBOARD'!$C$4="",ISNUMBER(SEARCH('COMMUNITY CHURCH DASHBOARD'!$C$4,INDEX(MASTER_AREAS!$B:$B,843))))),842,""),""),IF('COMMUNITY CHURCH DASHBOARD'!$B$4="Zone",IF(842&lt;=$X$4,IF(OR('COMMUNITY CHURCH DASHBOARD'!$C$4="",ISNUMBER(SEARCH('COMMUNITY CHURCH DASHBOARD'!$C$4,INDEX(MASTER_ZONES!$B:$B,843)))),842,""),""),""))</f>
        <v/>
      </c>
    </row>
    <row r="844">
      <c r="A844">
        <f>IF('WSF DASHBOARD'!$B$4="Area",IF(843&lt;=$D$3,IF(AND(OR('WSF DASHBOARD'!$C$4="",ISNUMBER(SEARCH('WSF DASHBOARD'!$C$4,INDEX(MASTER_AREAS!$B:$B,844))))),843,""),""),IF('WSF DASHBOARD'!$B$4="Zone",IF(843&lt;=$D$4,IF(OR('WSF DASHBOARD'!$C$4="",ISNUMBER(SEARCH('WSF DASHBOARD'!$C$4,INDEX(MASTER_ZONES!$B:$B,844)))),843,""),""),""))</f>
        <v/>
      </c>
      <c r="F844">
        <f>IF('TRANSPORT DASHBOARD'!$B$4="Area",IF(843&lt;=$I$3,IF(AND(INDEX(MASTER_AREAS!$F:$F,844)&lt;&gt;"N",OR('TRANSPORT DASHBOARD'!$C$4="",ISNUMBER(SEARCH('TRANSPORT DASHBOARD'!$C$4,INDEX(MASTER_AREAS!$B:$B,844))))),843,""),""),IF('TRANSPORT DASHBOARD'!$B$4="Zone",IF(843&lt;=$I$4,IF(OR('TRANSPORT DASHBOARD'!$C$4="",ISNUMBER(SEARCH('TRANSPORT DASHBOARD'!$C$4,INDEX(MASTER_ZONES!$B:$B,844)))),843,""),""),""))</f>
        <v/>
      </c>
      <c r="K844">
        <f>IF('MIDWEEK DASHBOARD'!$B$4="Area",IF(843&lt;=$N$3,IF(AND(OR('MIDWEEK DASHBOARD'!$C$4="",ISNUMBER(SEARCH('MIDWEEK DASHBOARD'!$C$4,INDEX(MASTER_AREAS!$B:$B,844))))),843,""),""),IF('MIDWEEK DASHBOARD'!$B$4="Zone",IF(843&lt;=$N$4,IF(OR('MIDWEEK DASHBOARD'!$C$4="",ISNUMBER(SEARCH('MIDWEEK DASHBOARD'!$C$4,INDEX(MASTER_ZONES!$B:$B,844)))),843,""),""),""))</f>
        <v/>
      </c>
      <c r="P844">
        <f>IF('CHOP DASHBOARD'!$B$4="Area",IF(843&lt;=$S$3,IF(AND(OR('CHOP DASHBOARD'!$C$4="",ISNUMBER(SEARCH('CHOP DASHBOARD'!$C$4,INDEX(MASTER_AREAS!$B:$B,844))))),843,""),""),IF('CHOP DASHBOARD'!$B$4="Zone",IF(843&lt;=$S$4,IF(OR('CHOP DASHBOARD'!$C$4="",ISNUMBER(SEARCH('CHOP DASHBOARD'!$C$4,INDEX(MASTER_ZONES!$B:$B,844)))),843,""),""),""))</f>
        <v/>
      </c>
      <c r="U844">
        <f>IF('COMMUNITY CHURCH DASHBOARD'!$B$4="Area",IF(843&lt;=$X$3,IF(AND(OR('COMMUNITY CHURCH DASHBOARD'!$C$4="",ISNUMBER(SEARCH('COMMUNITY CHURCH DASHBOARD'!$C$4,INDEX(MASTER_AREAS!$B:$B,844))))),843,""),""),IF('COMMUNITY CHURCH DASHBOARD'!$B$4="Zone",IF(843&lt;=$X$4,IF(OR('COMMUNITY CHURCH DASHBOARD'!$C$4="",ISNUMBER(SEARCH('COMMUNITY CHURCH DASHBOARD'!$C$4,INDEX(MASTER_ZONES!$B:$B,844)))),843,""),""),""))</f>
        <v/>
      </c>
    </row>
    <row r="845">
      <c r="A845">
        <f>IF('WSF DASHBOARD'!$B$4="Area",IF(844&lt;=$D$3,IF(AND(OR('WSF DASHBOARD'!$C$4="",ISNUMBER(SEARCH('WSF DASHBOARD'!$C$4,INDEX(MASTER_AREAS!$B:$B,845))))),844,""),""),IF('WSF DASHBOARD'!$B$4="Zone",IF(844&lt;=$D$4,IF(OR('WSF DASHBOARD'!$C$4="",ISNUMBER(SEARCH('WSF DASHBOARD'!$C$4,INDEX(MASTER_ZONES!$B:$B,845)))),844,""),""),""))</f>
        <v/>
      </c>
      <c r="F845">
        <f>IF('TRANSPORT DASHBOARD'!$B$4="Area",IF(844&lt;=$I$3,IF(AND(INDEX(MASTER_AREAS!$F:$F,845)&lt;&gt;"N",OR('TRANSPORT DASHBOARD'!$C$4="",ISNUMBER(SEARCH('TRANSPORT DASHBOARD'!$C$4,INDEX(MASTER_AREAS!$B:$B,845))))),844,""),""),IF('TRANSPORT DASHBOARD'!$B$4="Zone",IF(844&lt;=$I$4,IF(OR('TRANSPORT DASHBOARD'!$C$4="",ISNUMBER(SEARCH('TRANSPORT DASHBOARD'!$C$4,INDEX(MASTER_ZONES!$B:$B,845)))),844,""),""),""))</f>
        <v/>
      </c>
      <c r="K845">
        <f>IF('MIDWEEK DASHBOARD'!$B$4="Area",IF(844&lt;=$N$3,IF(AND(OR('MIDWEEK DASHBOARD'!$C$4="",ISNUMBER(SEARCH('MIDWEEK DASHBOARD'!$C$4,INDEX(MASTER_AREAS!$B:$B,845))))),844,""),""),IF('MIDWEEK DASHBOARD'!$B$4="Zone",IF(844&lt;=$N$4,IF(OR('MIDWEEK DASHBOARD'!$C$4="",ISNUMBER(SEARCH('MIDWEEK DASHBOARD'!$C$4,INDEX(MASTER_ZONES!$B:$B,845)))),844,""),""),""))</f>
        <v/>
      </c>
      <c r="P845">
        <f>IF('CHOP DASHBOARD'!$B$4="Area",IF(844&lt;=$S$3,IF(AND(OR('CHOP DASHBOARD'!$C$4="",ISNUMBER(SEARCH('CHOP DASHBOARD'!$C$4,INDEX(MASTER_AREAS!$B:$B,845))))),844,""),""),IF('CHOP DASHBOARD'!$B$4="Zone",IF(844&lt;=$S$4,IF(OR('CHOP DASHBOARD'!$C$4="",ISNUMBER(SEARCH('CHOP DASHBOARD'!$C$4,INDEX(MASTER_ZONES!$B:$B,845)))),844,""),""),""))</f>
        <v/>
      </c>
      <c r="U845">
        <f>IF('COMMUNITY CHURCH DASHBOARD'!$B$4="Area",IF(844&lt;=$X$3,IF(AND(OR('COMMUNITY CHURCH DASHBOARD'!$C$4="",ISNUMBER(SEARCH('COMMUNITY CHURCH DASHBOARD'!$C$4,INDEX(MASTER_AREAS!$B:$B,845))))),844,""),""),IF('COMMUNITY CHURCH DASHBOARD'!$B$4="Zone",IF(844&lt;=$X$4,IF(OR('COMMUNITY CHURCH DASHBOARD'!$C$4="",ISNUMBER(SEARCH('COMMUNITY CHURCH DASHBOARD'!$C$4,INDEX(MASTER_ZONES!$B:$B,845)))),844,""),""),""))</f>
        <v/>
      </c>
    </row>
    <row r="846">
      <c r="A846">
        <f>IF('WSF DASHBOARD'!$B$4="Area",IF(845&lt;=$D$3,IF(AND(OR('WSF DASHBOARD'!$C$4="",ISNUMBER(SEARCH('WSF DASHBOARD'!$C$4,INDEX(MASTER_AREAS!$B:$B,846))))),845,""),""),IF('WSF DASHBOARD'!$B$4="Zone",IF(845&lt;=$D$4,IF(OR('WSF DASHBOARD'!$C$4="",ISNUMBER(SEARCH('WSF DASHBOARD'!$C$4,INDEX(MASTER_ZONES!$B:$B,846)))),845,""),""),""))</f>
        <v/>
      </c>
      <c r="F846">
        <f>IF('TRANSPORT DASHBOARD'!$B$4="Area",IF(845&lt;=$I$3,IF(AND(INDEX(MASTER_AREAS!$F:$F,846)&lt;&gt;"N",OR('TRANSPORT DASHBOARD'!$C$4="",ISNUMBER(SEARCH('TRANSPORT DASHBOARD'!$C$4,INDEX(MASTER_AREAS!$B:$B,846))))),845,""),""),IF('TRANSPORT DASHBOARD'!$B$4="Zone",IF(845&lt;=$I$4,IF(OR('TRANSPORT DASHBOARD'!$C$4="",ISNUMBER(SEARCH('TRANSPORT DASHBOARD'!$C$4,INDEX(MASTER_ZONES!$B:$B,846)))),845,""),""),""))</f>
        <v/>
      </c>
      <c r="K846">
        <f>IF('MIDWEEK DASHBOARD'!$B$4="Area",IF(845&lt;=$N$3,IF(AND(OR('MIDWEEK DASHBOARD'!$C$4="",ISNUMBER(SEARCH('MIDWEEK DASHBOARD'!$C$4,INDEX(MASTER_AREAS!$B:$B,846))))),845,""),""),IF('MIDWEEK DASHBOARD'!$B$4="Zone",IF(845&lt;=$N$4,IF(OR('MIDWEEK DASHBOARD'!$C$4="",ISNUMBER(SEARCH('MIDWEEK DASHBOARD'!$C$4,INDEX(MASTER_ZONES!$B:$B,846)))),845,""),""),""))</f>
        <v/>
      </c>
      <c r="P846">
        <f>IF('CHOP DASHBOARD'!$B$4="Area",IF(845&lt;=$S$3,IF(AND(OR('CHOP DASHBOARD'!$C$4="",ISNUMBER(SEARCH('CHOP DASHBOARD'!$C$4,INDEX(MASTER_AREAS!$B:$B,846))))),845,""),""),IF('CHOP DASHBOARD'!$B$4="Zone",IF(845&lt;=$S$4,IF(OR('CHOP DASHBOARD'!$C$4="",ISNUMBER(SEARCH('CHOP DASHBOARD'!$C$4,INDEX(MASTER_ZONES!$B:$B,846)))),845,""),""),""))</f>
        <v/>
      </c>
      <c r="U846">
        <f>IF('COMMUNITY CHURCH DASHBOARD'!$B$4="Area",IF(845&lt;=$X$3,IF(AND(OR('COMMUNITY CHURCH DASHBOARD'!$C$4="",ISNUMBER(SEARCH('COMMUNITY CHURCH DASHBOARD'!$C$4,INDEX(MASTER_AREAS!$B:$B,846))))),845,""),""),IF('COMMUNITY CHURCH DASHBOARD'!$B$4="Zone",IF(845&lt;=$X$4,IF(OR('COMMUNITY CHURCH DASHBOARD'!$C$4="",ISNUMBER(SEARCH('COMMUNITY CHURCH DASHBOARD'!$C$4,INDEX(MASTER_ZONES!$B:$B,846)))),845,""),""),""))</f>
        <v/>
      </c>
    </row>
    <row r="847">
      <c r="A847">
        <f>IF('WSF DASHBOARD'!$B$4="Area",IF(846&lt;=$D$3,IF(AND(OR('WSF DASHBOARD'!$C$4="",ISNUMBER(SEARCH('WSF DASHBOARD'!$C$4,INDEX(MASTER_AREAS!$B:$B,847))))),846,""),""),IF('WSF DASHBOARD'!$B$4="Zone",IF(846&lt;=$D$4,IF(OR('WSF DASHBOARD'!$C$4="",ISNUMBER(SEARCH('WSF DASHBOARD'!$C$4,INDEX(MASTER_ZONES!$B:$B,847)))),846,""),""),""))</f>
        <v/>
      </c>
      <c r="F847">
        <f>IF('TRANSPORT DASHBOARD'!$B$4="Area",IF(846&lt;=$I$3,IF(AND(INDEX(MASTER_AREAS!$F:$F,847)&lt;&gt;"N",OR('TRANSPORT DASHBOARD'!$C$4="",ISNUMBER(SEARCH('TRANSPORT DASHBOARD'!$C$4,INDEX(MASTER_AREAS!$B:$B,847))))),846,""),""),IF('TRANSPORT DASHBOARD'!$B$4="Zone",IF(846&lt;=$I$4,IF(OR('TRANSPORT DASHBOARD'!$C$4="",ISNUMBER(SEARCH('TRANSPORT DASHBOARD'!$C$4,INDEX(MASTER_ZONES!$B:$B,847)))),846,""),""),""))</f>
        <v/>
      </c>
      <c r="K847">
        <f>IF('MIDWEEK DASHBOARD'!$B$4="Area",IF(846&lt;=$N$3,IF(AND(OR('MIDWEEK DASHBOARD'!$C$4="",ISNUMBER(SEARCH('MIDWEEK DASHBOARD'!$C$4,INDEX(MASTER_AREAS!$B:$B,847))))),846,""),""),IF('MIDWEEK DASHBOARD'!$B$4="Zone",IF(846&lt;=$N$4,IF(OR('MIDWEEK DASHBOARD'!$C$4="",ISNUMBER(SEARCH('MIDWEEK DASHBOARD'!$C$4,INDEX(MASTER_ZONES!$B:$B,847)))),846,""),""),""))</f>
        <v/>
      </c>
      <c r="P847">
        <f>IF('CHOP DASHBOARD'!$B$4="Area",IF(846&lt;=$S$3,IF(AND(OR('CHOP DASHBOARD'!$C$4="",ISNUMBER(SEARCH('CHOP DASHBOARD'!$C$4,INDEX(MASTER_AREAS!$B:$B,847))))),846,""),""),IF('CHOP DASHBOARD'!$B$4="Zone",IF(846&lt;=$S$4,IF(OR('CHOP DASHBOARD'!$C$4="",ISNUMBER(SEARCH('CHOP DASHBOARD'!$C$4,INDEX(MASTER_ZONES!$B:$B,847)))),846,""),""),""))</f>
        <v/>
      </c>
      <c r="U847">
        <f>IF('COMMUNITY CHURCH DASHBOARD'!$B$4="Area",IF(846&lt;=$X$3,IF(AND(OR('COMMUNITY CHURCH DASHBOARD'!$C$4="",ISNUMBER(SEARCH('COMMUNITY CHURCH DASHBOARD'!$C$4,INDEX(MASTER_AREAS!$B:$B,847))))),846,""),""),IF('COMMUNITY CHURCH DASHBOARD'!$B$4="Zone",IF(846&lt;=$X$4,IF(OR('COMMUNITY CHURCH DASHBOARD'!$C$4="",ISNUMBER(SEARCH('COMMUNITY CHURCH DASHBOARD'!$C$4,INDEX(MASTER_ZONES!$B:$B,847)))),846,""),""),""))</f>
        <v/>
      </c>
    </row>
    <row r="848">
      <c r="A848">
        <f>IF('WSF DASHBOARD'!$B$4="Area",IF(847&lt;=$D$3,IF(AND(OR('WSF DASHBOARD'!$C$4="",ISNUMBER(SEARCH('WSF DASHBOARD'!$C$4,INDEX(MASTER_AREAS!$B:$B,848))))),847,""),""),IF('WSF DASHBOARD'!$B$4="Zone",IF(847&lt;=$D$4,IF(OR('WSF DASHBOARD'!$C$4="",ISNUMBER(SEARCH('WSF DASHBOARD'!$C$4,INDEX(MASTER_ZONES!$B:$B,848)))),847,""),""),""))</f>
        <v/>
      </c>
      <c r="F848">
        <f>IF('TRANSPORT DASHBOARD'!$B$4="Area",IF(847&lt;=$I$3,IF(AND(INDEX(MASTER_AREAS!$F:$F,848)&lt;&gt;"N",OR('TRANSPORT DASHBOARD'!$C$4="",ISNUMBER(SEARCH('TRANSPORT DASHBOARD'!$C$4,INDEX(MASTER_AREAS!$B:$B,848))))),847,""),""),IF('TRANSPORT DASHBOARD'!$B$4="Zone",IF(847&lt;=$I$4,IF(OR('TRANSPORT DASHBOARD'!$C$4="",ISNUMBER(SEARCH('TRANSPORT DASHBOARD'!$C$4,INDEX(MASTER_ZONES!$B:$B,848)))),847,""),""),""))</f>
        <v/>
      </c>
      <c r="K848">
        <f>IF('MIDWEEK DASHBOARD'!$B$4="Area",IF(847&lt;=$N$3,IF(AND(OR('MIDWEEK DASHBOARD'!$C$4="",ISNUMBER(SEARCH('MIDWEEK DASHBOARD'!$C$4,INDEX(MASTER_AREAS!$B:$B,848))))),847,""),""),IF('MIDWEEK DASHBOARD'!$B$4="Zone",IF(847&lt;=$N$4,IF(OR('MIDWEEK DASHBOARD'!$C$4="",ISNUMBER(SEARCH('MIDWEEK DASHBOARD'!$C$4,INDEX(MASTER_ZONES!$B:$B,848)))),847,""),""),""))</f>
        <v/>
      </c>
      <c r="P848">
        <f>IF('CHOP DASHBOARD'!$B$4="Area",IF(847&lt;=$S$3,IF(AND(OR('CHOP DASHBOARD'!$C$4="",ISNUMBER(SEARCH('CHOP DASHBOARD'!$C$4,INDEX(MASTER_AREAS!$B:$B,848))))),847,""),""),IF('CHOP DASHBOARD'!$B$4="Zone",IF(847&lt;=$S$4,IF(OR('CHOP DASHBOARD'!$C$4="",ISNUMBER(SEARCH('CHOP DASHBOARD'!$C$4,INDEX(MASTER_ZONES!$B:$B,848)))),847,""),""),""))</f>
        <v/>
      </c>
      <c r="U848">
        <f>IF('COMMUNITY CHURCH DASHBOARD'!$B$4="Area",IF(847&lt;=$X$3,IF(AND(OR('COMMUNITY CHURCH DASHBOARD'!$C$4="",ISNUMBER(SEARCH('COMMUNITY CHURCH DASHBOARD'!$C$4,INDEX(MASTER_AREAS!$B:$B,848))))),847,""),""),IF('COMMUNITY CHURCH DASHBOARD'!$B$4="Zone",IF(847&lt;=$X$4,IF(OR('COMMUNITY CHURCH DASHBOARD'!$C$4="",ISNUMBER(SEARCH('COMMUNITY CHURCH DASHBOARD'!$C$4,INDEX(MASTER_ZONES!$B:$B,848)))),847,""),""),""))</f>
        <v/>
      </c>
    </row>
    <row r="849">
      <c r="A849">
        <f>IF('WSF DASHBOARD'!$B$4="Area",IF(848&lt;=$D$3,IF(AND(OR('WSF DASHBOARD'!$C$4="",ISNUMBER(SEARCH('WSF DASHBOARD'!$C$4,INDEX(MASTER_AREAS!$B:$B,849))))),848,""),""),IF('WSF DASHBOARD'!$B$4="Zone",IF(848&lt;=$D$4,IF(OR('WSF DASHBOARD'!$C$4="",ISNUMBER(SEARCH('WSF DASHBOARD'!$C$4,INDEX(MASTER_ZONES!$B:$B,849)))),848,""),""),""))</f>
        <v/>
      </c>
      <c r="F849">
        <f>IF('TRANSPORT DASHBOARD'!$B$4="Area",IF(848&lt;=$I$3,IF(AND(INDEX(MASTER_AREAS!$F:$F,849)&lt;&gt;"N",OR('TRANSPORT DASHBOARD'!$C$4="",ISNUMBER(SEARCH('TRANSPORT DASHBOARD'!$C$4,INDEX(MASTER_AREAS!$B:$B,849))))),848,""),""),IF('TRANSPORT DASHBOARD'!$B$4="Zone",IF(848&lt;=$I$4,IF(OR('TRANSPORT DASHBOARD'!$C$4="",ISNUMBER(SEARCH('TRANSPORT DASHBOARD'!$C$4,INDEX(MASTER_ZONES!$B:$B,849)))),848,""),""),""))</f>
        <v/>
      </c>
      <c r="K849">
        <f>IF('MIDWEEK DASHBOARD'!$B$4="Area",IF(848&lt;=$N$3,IF(AND(OR('MIDWEEK DASHBOARD'!$C$4="",ISNUMBER(SEARCH('MIDWEEK DASHBOARD'!$C$4,INDEX(MASTER_AREAS!$B:$B,849))))),848,""),""),IF('MIDWEEK DASHBOARD'!$B$4="Zone",IF(848&lt;=$N$4,IF(OR('MIDWEEK DASHBOARD'!$C$4="",ISNUMBER(SEARCH('MIDWEEK DASHBOARD'!$C$4,INDEX(MASTER_ZONES!$B:$B,849)))),848,""),""),""))</f>
        <v/>
      </c>
      <c r="P849">
        <f>IF('CHOP DASHBOARD'!$B$4="Area",IF(848&lt;=$S$3,IF(AND(OR('CHOP DASHBOARD'!$C$4="",ISNUMBER(SEARCH('CHOP DASHBOARD'!$C$4,INDEX(MASTER_AREAS!$B:$B,849))))),848,""),""),IF('CHOP DASHBOARD'!$B$4="Zone",IF(848&lt;=$S$4,IF(OR('CHOP DASHBOARD'!$C$4="",ISNUMBER(SEARCH('CHOP DASHBOARD'!$C$4,INDEX(MASTER_ZONES!$B:$B,849)))),848,""),""),""))</f>
        <v/>
      </c>
      <c r="U849">
        <f>IF('COMMUNITY CHURCH DASHBOARD'!$B$4="Area",IF(848&lt;=$X$3,IF(AND(OR('COMMUNITY CHURCH DASHBOARD'!$C$4="",ISNUMBER(SEARCH('COMMUNITY CHURCH DASHBOARD'!$C$4,INDEX(MASTER_AREAS!$B:$B,849))))),848,""),""),IF('COMMUNITY CHURCH DASHBOARD'!$B$4="Zone",IF(848&lt;=$X$4,IF(OR('COMMUNITY CHURCH DASHBOARD'!$C$4="",ISNUMBER(SEARCH('COMMUNITY CHURCH DASHBOARD'!$C$4,INDEX(MASTER_ZONES!$B:$B,849)))),848,""),""),""))</f>
        <v/>
      </c>
    </row>
    <row r="850">
      <c r="A850">
        <f>IF('WSF DASHBOARD'!$B$4="Area",IF(849&lt;=$D$3,IF(AND(OR('WSF DASHBOARD'!$C$4="",ISNUMBER(SEARCH('WSF DASHBOARD'!$C$4,INDEX(MASTER_AREAS!$B:$B,850))))),849,""),""),IF('WSF DASHBOARD'!$B$4="Zone",IF(849&lt;=$D$4,IF(OR('WSF DASHBOARD'!$C$4="",ISNUMBER(SEARCH('WSF DASHBOARD'!$C$4,INDEX(MASTER_ZONES!$B:$B,850)))),849,""),""),""))</f>
        <v/>
      </c>
      <c r="F850">
        <f>IF('TRANSPORT DASHBOARD'!$B$4="Area",IF(849&lt;=$I$3,IF(AND(INDEX(MASTER_AREAS!$F:$F,850)&lt;&gt;"N",OR('TRANSPORT DASHBOARD'!$C$4="",ISNUMBER(SEARCH('TRANSPORT DASHBOARD'!$C$4,INDEX(MASTER_AREAS!$B:$B,850))))),849,""),""),IF('TRANSPORT DASHBOARD'!$B$4="Zone",IF(849&lt;=$I$4,IF(OR('TRANSPORT DASHBOARD'!$C$4="",ISNUMBER(SEARCH('TRANSPORT DASHBOARD'!$C$4,INDEX(MASTER_ZONES!$B:$B,850)))),849,""),""),""))</f>
        <v/>
      </c>
      <c r="K850">
        <f>IF('MIDWEEK DASHBOARD'!$B$4="Area",IF(849&lt;=$N$3,IF(AND(OR('MIDWEEK DASHBOARD'!$C$4="",ISNUMBER(SEARCH('MIDWEEK DASHBOARD'!$C$4,INDEX(MASTER_AREAS!$B:$B,850))))),849,""),""),IF('MIDWEEK DASHBOARD'!$B$4="Zone",IF(849&lt;=$N$4,IF(OR('MIDWEEK DASHBOARD'!$C$4="",ISNUMBER(SEARCH('MIDWEEK DASHBOARD'!$C$4,INDEX(MASTER_ZONES!$B:$B,850)))),849,""),""),""))</f>
        <v/>
      </c>
      <c r="P850">
        <f>IF('CHOP DASHBOARD'!$B$4="Area",IF(849&lt;=$S$3,IF(AND(OR('CHOP DASHBOARD'!$C$4="",ISNUMBER(SEARCH('CHOP DASHBOARD'!$C$4,INDEX(MASTER_AREAS!$B:$B,850))))),849,""),""),IF('CHOP DASHBOARD'!$B$4="Zone",IF(849&lt;=$S$4,IF(OR('CHOP DASHBOARD'!$C$4="",ISNUMBER(SEARCH('CHOP DASHBOARD'!$C$4,INDEX(MASTER_ZONES!$B:$B,850)))),849,""),""),""))</f>
        <v/>
      </c>
      <c r="U850">
        <f>IF('COMMUNITY CHURCH DASHBOARD'!$B$4="Area",IF(849&lt;=$X$3,IF(AND(OR('COMMUNITY CHURCH DASHBOARD'!$C$4="",ISNUMBER(SEARCH('COMMUNITY CHURCH DASHBOARD'!$C$4,INDEX(MASTER_AREAS!$B:$B,850))))),849,""),""),IF('COMMUNITY CHURCH DASHBOARD'!$B$4="Zone",IF(849&lt;=$X$4,IF(OR('COMMUNITY CHURCH DASHBOARD'!$C$4="",ISNUMBER(SEARCH('COMMUNITY CHURCH DASHBOARD'!$C$4,INDEX(MASTER_ZONES!$B:$B,850)))),849,""),""),""))</f>
        <v/>
      </c>
    </row>
    <row r="851">
      <c r="A851">
        <f>IF('WSF DASHBOARD'!$B$4="Area",IF(850&lt;=$D$3,IF(AND(OR('WSF DASHBOARD'!$C$4="",ISNUMBER(SEARCH('WSF DASHBOARD'!$C$4,INDEX(MASTER_AREAS!$B:$B,851))))),850,""),""),IF('WSF DASHBOARD'!$B$4="Zone",IF(850&lt;=$D$4,IF(OR('WSF DASHBOARD'!$C$4="",ISNUMBER(SEARCH('WSF DASHBOARD'!$C$4,INDEX(MASTER_ZONES!$B:$B,851)))),850,""),""),""))</f>
        <v/>
      </c>
      <c r="F851">
        <f>IF('TRANSPORT DASHBOARD'!$B$4="Area",IF(850&lt;=$I$3,IF(AND(INDEX(MASTER_AREAS!$F:$F,851)&lt;&gt;"N",OR('TRANSPORT DASHBOARD'!$C$4="",ISNUMBER(SEARCH('TRANSPORT DASHBOARD'!$C$4,INDEX(MASTER_AREAS!$B:$B,851))))),850,""),""),IF('TRANSPORT DASHBOARD'!$B$4="Zone",IF(850&lt;=$I$4,IF(OR('TRANSPORT DASHBOARD'!$C$4="",ISNUMBER(SEARCH('TRANSPORT DASHBOARD'!$C$4,INDEX(MASTER_ZONES!$B:$B,851)))),850,""),""),""))</f>
        <v/>
      </c>
      <c r="K851">
        <f>IF('MIDWEEK DASHBOARD'!$B$4="Area",IF(850&lt;=$N$3,IF(AND(OR('MIDWEEK DASHBOARD'!$C$4="",ISNUMBER(SEARCH('MIDWEEK DASHBOARD'!$C$4,INDEX(MASTER_AREAS!$B:$B,851))))),850,""),""),IF('MIDWEEK DASHBOARD'!$B$4="Zone",IF(850&lt;=$N$4,IF(OR('MIDWEEK DASHBOARD'!$C$4="",ISNUMBER(SEARCH('MIDWEEK DASHBOARD'!$C$4,INDEX(MASTER_ZONES!$B:$B,851)))),850,""),""),""))</f>
        <v/>
      </c>
      <c r="P851">
        <f>IF('CHOP DASHBOARD'!$B$4="Area",IF(850&lt;=$S$3,IF(AND(OR('CHOP DASHBOARD'!$C$4="",ISNUMBER(SEARCH('CHOP DASHBOARD'!$C$4,INDEX(MASTER_AREAS!$B:$B,851))))),850,""),""),IF('CHOP DASHBOARD'!$B$4="Zone",IF(850&lt;=$S$4,IF(OR('CHOP DASHBOARD'!$C$4="",ISNUMBER(SEARCH('CHOP DASHBOARD'!$C$4,INDEX(MASTER_ZONES!$B:$B,851)))),850,""),""),""))</f>
        <v/>
      </c>
      <c r="U851">
        <f>IF('COMMUNITY CHURCH DASHBOARD'!$B$4="Area",IF(850&lt;=$X$3,IF(AND(OR('COMMUNITY CHURCH DASHBOARD'!$C$4="",ISNUMBER(SEARCH('COMMUNITY CHURCH DASHBOARD'!$C$4,INDEX(MASTER_AREAS!$B:$B,851))))),850,""),""),IF('COMMUNITY CHURCH DASHBOARD'!$B$4="Zone",IF(850&lt;=$X$4,IF(OR('COMMUNITY CHURCH DASHBOARD'!$C$4="",ISNUMBER(SEARCH('COMMUNITY CHURCH DASHBOARD'!$C$4,INDEX(MASTER_ZONES!$B:$B,851)))),850,""),""),""))</f>
        <v/>
      </c>
    </row>
    <row r="852">
      <c r="A852">
        <f>IF('WSF DASHBOARD'!$B$4="Area",IF(851&lt;=$D$3,IF(AND(OR('WSF DASHBOARD'!$C$4="",ISNUMBER(SEARCH('WSF DASHBOARD'!$C$4,INDEX(MASTER_AREAS!$B:$B,852))))),851,""),""),IF('WSF DASHBOARD'!$B$4="Zone",IF(851&lt;=$D$4,IF(OR('WSF DASHBOARD'!$C$4="",ISNUMBER(SEARCH('WSF DASHBOARD'!$C$4,INDEX(MASTER_ZONES!$B:$B,852)))),851,""),""),""))</f>
        <v/>
      </c>
      <c r="F852">
        <f>IF('TRANSPORT DASHBOARD'!$B$4="Area",IF(851&lt;=$I$3,IF(AND(INDEX(MASTER_AREAS!$F:$F,852)&lt;&gt;"N",OR('TRANSPORT DASHBOARD'!$C$4="",ISNUMBER(SEARCH('TRANSPORT DASHBOARD'!$C$4,INDEX(MASTER_AREAS!$B:$B,852))))),851,""),""),IF('TRANSPORT DASHBOARD'!$B$4="Zone",IF(851&lt;=$I$4,IF(OR('TRANSPORT DASHBOARD'!$C$4="",ISNUMBER(SEARCH('TRANSPORT DASHBOARD'!$C$4,INDEX(MASTER_ZONES!$B:$B,852)))),851,""),""),""))</f>
        <v/>
      </c>
      <c r="K852">
        <f>IF('MIDWEEK DASHBOARD'!$B$4="Area",IF(851&lt;=$N$3,IF(AND(OR('MIDWEEK DASHBOARD'!$C$4="",ISNUMBER(SEARCH('MIDWEEK DASHBOARD'!$C$4,INDEX(MASTER_AREAS!$B:$B,852))))),851,""),""),IF('MIDWEEK DASHBOARD'!$B$4="Zone",IF(851&lt;=$N$4,IF(OR('MIDWEEK DASHBOARD'!$C$4="",ISNUMBER(SEARCH('MIDWEEK DASHBOARD'!$C$4,INDEX(MASTER_ZONES!$B:$B,852)))),851,""),""),""))</f>
        <v/>
      </c>
      <c r="P852">
        <f>IF('CHOP DASHBOARD'!$B$4="Area",IF(851&lt;=$S$3,IF(AND(OR('CHOP DASHBOARD'!$C$4="",ISNUMBER(SEARCH('CHOP DASHBOARD'!$C$4,INDEX(MASTER_AREAS!$B:$B,852))))),851,""),""),IF('CHOP DASHBOARD'!$B$4="Zone",IF(851&lt;=$S$4,IF(OR('CHOP DASHBOARD'!$C$4="",ISNUMBER(SEARCH('CHOP DASHBOARD'!$C$4,INDEX(MASTER_ZONES!$B:$B,852)))),851,""),""),""))</f>
        <v/>
      </c>
      <c r="U852">
        <f>IF('COMMUNITY CHURCH DASHBOARD'!$B$4="Area",IF(851&lt;=$X$3,IF(AND(OR('COMMUNITY CHURCH DASHBOARD'!$C$4="",ISNUMBER(SEARCH('COMMUNITY CHURCH DASHBOARD'!$C$4,INDEX(MASTER_AREAS!$B:$B,852))))),851,""),""),IF('COMMUNITY CHURCH DASHBOARD'!$B$4="Zone",IF(851&lt;=$X$4,IF(OR('COMMUNITY CHURCH DASHBOARD'!$C$4="",ISNUMBER(SEARCH('COMMUNITY CHURCH DASHBOARD'!$C$4,INDEX(MASTER_ZONES!$B:$B,852)))),851,""),""),""))</f>
        <v/>
      </c>
    </row>
    <row r="853">
      <c r="A853">
        <f>IF('WSF DASHBOARD'!$B$4="Area",IF(852&lt;=$D$3,IF(AND(OR('WSF DASHBOARD'!$C$4="",ISNUMBER(SEARCH('WSF DASHBOARD'!$C$4,INDEX(MASTER_AREAS!$B:$B,853))))),852,""),""),IF('WSF DASHBOARD'!$B$4="Zone",IF(852&lt;=$D$4,IF(OR('WSF DASHBOARD'!$C$4="",ISNUMBER(SEARCH('WSF DASHBOARD'!$C$4,INDEX(MASTER_ZONES!$B:$B,853)))),852,""),""),""))</f>
        <v/>
      </c>
      <c r="F853">
        <f>IF('TRANSPORT DASHBOARD'!$B$4="Area",IF(852&lt;=$I$3,IF(AND(INDEX(MASTER_AREAS!$F:$F,853)&lt;&gt;"N",OR('TRANSPORT DASHBOARD'!$C$4="",ISNUMBER(SEARCH('TRANSPORT DASHBOARD'!$C$4,INDEX(MASTER_AREAS!$B:$B,853))))),852,""),""),IF('TRANSPORT DASHBOARD'!$B$4="Zone",IF(852&lt;=$I$4,IF(OR('TRANSPORT DASHBOARD'!$C$4="",ISNUMBER(SEARCH('TRANSPORT DASHBOARD'!$C$4,INDEX(MASTER_ZONES!$B:$B,853)))),852,""),""),""))</f>
        <v/>
      </c>
      <c r="K853">
        <f>IF('MIDWEEK DASHBOARD'!$B$4="Area",IF(852&lt;=$N$3,IF(AND(OR('MIDWEEK DASHBOARD'!$C$4="",ISNUMBER(SEARCH('MIDWEEK DASHBOARD'!$C$4,INDEX(MASTER_AREAS!$B:$B,853))))),852,""),""),IF('MIDWEEK DASHBOARD'!$B$4="Zone",IF(852&lt;=$N$4,IF(OR('MIDWEEK DASHBOARD'!$C$4="",ISNUMBER(SEARCH('MIDWEEK DASHBOARD'!$C$4,INDEX(MASTER_ZONES!$B:$B,853)))),852,""),""),""))</f>
        <v/>
      </c>
      <c r="P853">
        <f>IF('CHOP DASHBOARD'!$B$4="Area",IF(852&lt;=$S$3,IF(AND(OR('CHOP DASHBOARD'!$C$4="",ISNUMBER(SEARCH('CHOP DASHBOARD'!$C$4,INDEX(MASTER_AREAS!$B:$B,853))))),852,""),""),IF('CHOP DASHBOARD'!$B$4="Zone",IF(852&lt;=$S$4,IF(OR('CHOP DASHBOARD'!$C$4="",ISNUMBER(SEARCH('CHOP DASHBOARD'!$C$4,INDEX(MASTER_ZONES!$B:$B,853)))),852,""),""),""))</f>
        <v/>
      </c>
      <c r="U853">
        <f>IF('COMMUNITY CHURCH DASHBOARD'!$B$4="Area",IF(852&lt;=$X$3,IF(AND(OR('COMMUNITY CHURCH DASHBOARD'!$C$4="",ISNUMBER(SEARCH('COMMUNITY CHURCH DASHBOARD'!$C$4,INDEX(MASTER_AREAS!$B:$B,853))))),852,""),""),IF('COMMUNITY CHURCH DASHBOARD'!$B$4="Zone",IF(852&lt;=$X$4,IF(OR('COMMUNITY CHURCH DASHBOARD'!$C$4="",ISNUMBER(SEARCH('COMMUNITY CHURCH DASHBOARD'!$C$4,INDEX(MASTER_ZONES!$B:$B,853)))),852,""),""),""))</f>
        <v/>
      </c>
    </row>
    <row r="854">
      <c r="A854">
        <f>IF('WSF DASHBOARD'!$B$4="Area",IF(853&lt;=$D$3,IF(AND(OR('WSF DASHBOARD'!$C$4="",ISNUMBER(SEARCH('WSF DASHBOARD'!$C$4,INDEX(MASTER_AREAS!$B:$B,854))))),853,""),""),IF('WSF DASHBOARD'!$B$4="Zone",IF(853&lt;=$D$4,IF(OR('WSF DASHBOARD'!$C$4="",ISNUMBER(SEARCH('WSF DASHBOARD'!$C$4,INDEX(MASTER_ZONES!$B:$B,854)))),853,""),""),""))</f>
        <v/>
      </c>
      <c r="F854">
        <f>IF('TRANSPORT DASHBOARD'!$B$4="Area",IF(853&lt;=$I$3,IF(AND(INDEX(MASTER_AREAS!$F:$F,854)&lt;&gt;"N",OR('TRANSPORT DASHBOARD'!$C$4="",ISNUMBER(SEARCH('TRANSPORT DASHBOARD'!$C$4,INDEX(MASTER_AREAS!$B:$B,854))))),853,""),""),IF('TRANSPORT DASHBOARD'!$B$4="Zone",IF(853&lt;=$I$4,IF(OR('TRANSPORT DASHBOARD'!$C$4="",ISNUMBER(SEARCH('TRANSPORT DASHBOARD'!$C$4,INDEX(MASTER_ZONES!$B:$B,854)))),853,""),""),""))</f>
        <v/>
      </c>
      <c r="K854">
        <f>IF('MIDWEEK DASHBOARD'!$B$4="Area",IF(853&lt;=$N$3,IF(AND(OR('MIDWEEK DASHBOARD'!$C$4="",ISNUMBER(SEARCH('MIDWEEK DASHBOARD'!$C$4,INDEX(MASTER_AREAS!$B:$B,854))))),853,""),""),IF('MIDWEEK DASHBOARD'!$B$4="Zone",IF(853&lt;=$N$4,IF(OR('MIDWEEK DASHBOARD'!$C$4="",ISNUMBER(SEARCH('MIDWEEK DASHBOARD'!$C$4,INDEX(MASTER_ZONES!$B:$B,854)))),853,""),""),""))</f>
        <v/>
      </c>
      <c r="P854">
        <f>IF('CHOP DASHBOARD'!$B$4="Area",IF(853&lt;=$S$3,IF(AND(OR('CHOP DASHBOARD'!$C$4="",ISNUMBER(SEARCH('CHOP DASHBOARD'!$C$4,INDEX(MASTER_AREAS!$B:$B,854))))),853,""),""),IF('CHOP DASHBOARD'!$B$4="Zone",IF(853&lt;=$S$4,IF(OR('CHOP DASHBOARD'!$C$4="",ISNUMBER(SEARCH('CHOP DASHBOARD'!$C$4,INDEX(MASTER_ZONES!$B:$B,854)))),853,""),""),""))</f>
        <v/>
      </c>
      <c r="U854">
        <f>IF('COMMUNITY CHURCH DASHBOARD'!$B$4="Area",IF(853&lt;=$X$3,IF(AND(OR('COMMUNITY CHURCH DASHBOARD'!$C$4="",ISNUMBER(SEARCH('COMMUNITY CHURCH DASHBOARD'!$C$4,INDEX(MASTER_AREAS!$B:$B,854))))),853,""),""),IF('COMMUNITY CHURCH DASHBOARD'!$B$4="Zone",IF(853&lt;=$X$4,IF(OR('COMMUNITY CHURCH DASHBOARD'!$C$4="",ISNUMBER(SEARCH('COMMUNITY CHURCH DASHBOARD'!$C$4,INDEX(MASTER_ZONES!$B:$B,854)))),853,""),""),""))</f>
        <v/>
      </c>
    </row>
    <row r="855">
      <c r="A855">
        <f>IF('WSF DASHBOARD'!$B$4="Area",IF(854&lt;=$D$3,IF(AND(OR('WSF DASHBOARD'!$C$4="",ISNUMBER(SEARCH('WSF DASHBOARD'!$C$4,INDEX(MASTER_AREAS!$B:$B,855))))),854,""),""),IF('WSF DASHBOARD'!$B$4="Zone",IF(854&lt;=$D$4,IF(OR('WSF DASHBOARD'!$C$4="",ISNUMBER(SEARCH('WSF DASHBOARD'!$C$4,INDEX(MASTER_ZONES!$B:$B,855)))),854,""),""),""))</f>
        <v/>
      </c>
      <c r="F855">
        <f>IF('TRANSPORT DASHBOARD'!$B$4="Area",IF(854&lt;=$I$3,IF(AND(INDEX(MASTER_AREAS!$F:$F,855)&lt;&gt;"N",OR('TRANSPORT DASHBOARD'!$C$4="",ISNUMBER(SEARCH('TRANSPORT DASHBOARD'!$C$4,INDEX(MASTER_AREAS!$B:$B,855))))),854,""),""),IF('TRANSPORT DASHBOARD'!$B$4="Zone",IF(854&lt;=$I$4,IF(OR('TRANSPORT DASHBOARD'!$C$4="",ISNUMBER(SEARCH('TRANSPORT DASHBOARD'!$C$4,INDEX(MASTER_ZONES!$B:$B,855)))),854,""),""),""))</f>
        <v/>
      </c>
      <c r="K855">
        <f>IF('MIDWEEK DASHBOARD'!$B$4="Area",IF(854&lt;=$N$3,IF(AND(OR('MIDWEEK DASHBOARD'!$C$4="",ISNUMBER(SEARCH('MIDWEEK DASHBOARD'!$C$4,INDEX(MASTER_AREAS!$B:$B,855))))),854,""),""),IF('MIDWEEK DASHBOARD'!$B$4="Zone",IF(854&lt;=$N$4,IF(OR('MIDWEEK DASHBOARD'!$C$4="",ISNUMBER(SEARCH('MIDWEEK DASHBOARD'!$C$4,INDEX(MASTER_ZONES!$B:$B,855)))),854,""),""),""))</f>
        <v/>
      </c>
      <c r="P855">
        <f>IF('CHOP DASHBOARD'!$B$4="Area",IF(854&lt;=$S$3,IF(AND(OR('CHOP DASHBOARD'!$C$4="",ISNUMBER(SEARCH('CHOP DASHBOARD'!$C$4,INDEX(MASTER_AREAS!$B:$B,855))))),854,""),""),IF('CHOP DASHBOARD'!$B$4="Zone",IF(854&lt;=$S$4,IF(OR('CHOP DASHBOARD'!$C$4="",ISNUMBER(SEARCH('CHOP DASHBOARD'!$C$4,INDEX(MASTER_ZONES!$B:$B,855)))),854,""),""),""))</f>
        <v/>
      </c>
      <c r="U855">
        <f>IF('COMMUNITY CHURCH DASHBOARD'!$B$4="Area",IF(854&lt;=$X$3,IF(AND(OR('COMMUNITY CHURCH DASHBOARD'!$C$4="",ISNUMBER(SEARCH('COMMUNITY CHURCH DASHBOARD'!$C$4,INDEX(MASTER_AREAS!$B:$B,855))))),854,""),""),IF('COMMUNITY CHURCH DASHBOARD'!$B$4="Zone",IF(854&lt;=$X$4,IF(OR('COMMUNITY CHURCH DASHBOARD'!$C$4="",ISNUMBER(SEARCH('COMMUNITY CHURCH DASHBOARD'!$C$4,INDEX(MASTER_ZONES!$B:$B,855)))),854,""),""),""))</f>
        <v/>
      </c>
    </row>
    <row r="856">
      <c r="A856">
        <f>IF('WSF DASHBOARD'!$B$4="Area",IF(855&lt;=$D$3,IF(AND(OR('WSF DASHBOARD'!$C$4="",ISNUMBER(SEARCH('WSF DASHBOARD'!$C$4,INDEX(MASTER_AREAS!$B:$B,856))))),855,""),""),IF('WSF DASHBOARD'!$B$4="Zone",IF(855&lt;=$D$4,IF(OR('WSF DASHBOARD'!$C$4="",ISNUMBER(SEARCH('WSF DASHBOARD'!$C$4,INDEX(MASTER_ZONES!$B:$B,856)))),855,""),""),""))</f>
        <v/>
      </c>
      <c r="F856">
        <f>IF('TRANSPORT DASHBOARD'!$B$4="Area",IF(855&lt;=$I$3,IF(AND(INDEX(MASTER_AREAS!$F:$F,856)&lt;&gt;"N",OR('TRANSPORT DASHBOARD'!$C$4="",ISNUMBER(SEARCH('TRANSPORT DASHBOARD'!$C$4,INDEX(MASTER_AREAS!$B:$B,856))))),855,""),""),IF('TRANSPORT DASHBOARD'!$B$4="Zone",IF(855&lt;=$I$4,IF(OR('TRANSPORT DASHBOARD'!$C$4="",ISNUMBER(SEARCH('TRANSPORT DASHBOARD'!$C$4,INDEX(MASTER_ZONES!$B:$B,856)))),855,""),""),""))</f>
        <v/>
      </c>
      <c r="K856">
        <f>IF('MIDWEEK DASHBOARD'!$B$4="Area",IF(855&lt;=$N$3,IF(AND(OR('MIDWEEK DASHBOARD'!$C$4="",ISNUMBER(SEARCH('MIDWEEK DASHBOARD'!$C$4,INDEX(MASTER_AREAS!$B:$B,856))))),855,""),""),IF('MIDWEEK DASHBOARD'!$B$4="Zone",IF(855&lt;=$N$4,IF(OR('MIDWEEK DASHBOARD'!$C$4="",ISNUMBER(SEARCH('MIDWEEK DASHBOARD'!$C$4,INDEX(MASTER_ZONES!$B:$B,856)))),855,""),""),""))</f>
        <v/>
      </c>
      <c r="P856">
        <f>IF('CHOP DASHBOARD'!$B$4="Area",IF(855&lt;=$S$3,IF(AND(OR('CHOP DASHBOARD'!$C$4="",ISNUMBER(SEARCH('CHOP DASHBOARD'!$C$4,INDEX(MASTER_AREAS!$B:$B,856))))),855,""),""),IF('CHOP DASHBOARD'!$B$4="Zone",IF(855&lt;=$S$4,IF(OR('CHOP DASHBOARD'!$C$4="",ISNUMBER(SEARCH('CHOP DASHBOARD'!$C$4,INDEX(MASTER_ZONES!$B:$B,856)))),855,""),""),""))</f>
        <v/>
      </c>
      <c r="U856">
        <f>IF('COMMUNITY CHURCH DASHBOARD'!$B$4="Area",IF(855&lt;=$X$3,IF(AND(OR('COMMUNITY CHURCH DASHBOARD'!$C$4="",ISNUMBER(SEARCH('COMMUNITY CHURCH DASHBOARD'!$C$4,INDEX(MASTER_AREAS!$B:$B,856))))),855,""),""),IF('COMMUNITY CHURCH DASHBOARD'!$B$4="Zone",IF(855&lt;=$X$4,IF(OR('COMMUNITY CHURCH DASHBOARD'!$C$4="",ISNUMBER(SEARCH('COMMUNITY CHURCH DASHBOARD'!$C$4,INDEX(MASTER_ZONES!$B:$B,856)))),855,""),""),""))</f>
        <v/>
      </c>
    </row>
    <row r="857">
      <c r="A857">
        <f>IF('WSF DASHBOARD'!$B$4="Area",IF(856&lt;=$D$3,IF(AND(OR('WSF DASHBOARD'!$C$4="",ISNUMBER(SEARCH('WSF DASHBOARD'!$C$4,INDEX(MASTER_AREAS!$B:$B,857))))),856,""),""),IF('WSF DASHBOARD'!$B$4="Zone",IF(856&lt;=$D$4,IF(OR('WSF DASHBOARD'!$C$4="",ISNUMBER(SEARCH('WSF DASHBOARD'!$C$4,INDEX(MASTER_ZONES!$B:$B,857)))),856,""),""),""))</f>
        <v/>
      </c>
      <c r="F857">
        <f>IF('TRANSPORT DASHBOARD'!$B$4="Area",IF(856&lt;=$I$3,IF(AND(INDEX(MASTER_AREAS!$F:$F,857)&lt;&gt;"N",OR('TRANSPORT DASHBOARD'!$C$4="",ISNUMBER(SEARCH('TRANSPORT DASHBOARD'!$C$4,INDEX(MASTER_AREAS!$B:$B,857))))),856,""),""),IF('TRANSPORT DASHBOARD'!$B$4="Zone",IF(856&lt;=$I$4,IF(OR('TRANSPORT DASHBOARD'!$C$4="",ISNUMBER(SEARCH('TRANSPORT DASHBOARD'!$C$4,INDEX(MASTER_ZONES!$B:$B,857)))),856,""),""),""))</f>
        <v/>
      </c>
      <c r="K857">
        <f>IF('MIDWEEK DASHBOARD'!$B$4="Area",IF(856&lt;=$N$3,IF(AND(OR('MIDWEEK DASHBOARD'!$C$4="",ISNUMBER(SEARCH('MIDWEEK DASHBOARD'!$C$4,INDEX(MASTER_AREAS!$B:$B,857))))),856,""),""),IF('MIDWEEK DASHBOARD'!$B$4="Zone",IF(856&lt;=$N$4,IF(OR('MIDWEEK DASHBOARD'!$C$4="",ISNUMBER(SEARCH('MIDWEEK DASHBOARD'!$C$4,INDEX(MASTER_ZONES!$B:$B,857)))),856,""),""),""))</f>
        <v/>
      </c>
      <c r="P857">
        <f>IF('CHOP DASHBOARD'!$B$4="Area",IF(856&lt;=$S$3,IF(AND(OR('CHOP DASHBOARD'!$C$4="",ISNUMBER(SEARCH('CHOP DASHBOARD'!$C$4,INDEX(MASTER_AREAS!$B:$B,857))))),856,""),""),IF('CHOP DASHBOARD'!$B$4="Zone",IF(856&lt;=$S$4,IF(OR('CHOP DASHBOARD'!$C$4="",ISNUMBER(SEARCH('CHOP DASHBOARD'!$C$4,INDEX(MASTER_ZONES!$B:$B,857)))),856,""),""),""))</f>
        <v/>
      </c>
      <c r="U857">
        <f>IF('COMMUNITY CHURCH DASHBOARD'!$B$4="Area",IF(856&lt;=$X$3,IF(AND(OR('COMMUNITY CHURCH DASHBOARD'!$C$4="",ISNUMBER(SEARCH('COMMUNITY CHURCH DASHBOARD'!$C$4,INDEX(MASTER_AREAS!$B:$B,857))))),856,""),""),IF('COMMUNITY CHURCH DASHBOARD'!$B$4="Zone",IF(856&lt;=$X$4,IF(OR('COMMUNITY CHURCH DASHBOARD'!$C$4="",ISNUMBER(SEARCH('COMMUNITY CHURCH DASHBOARD'!$C$4,INDEX(MASTER_ZONES!$B:$B,857)))),856,""),""),""))</f>
        <v/>
      </c>
    </row>
    <row r="858">
      <c r="A858">
        <f>IF('WSF DASHBOARD'!$B$4="Area",IF(857&lt;=$D$3,IF(AND(OR('WSF DASHBOARD'!$C$4="",ISNUMBER(SEARCH('WSF DASHBOARD'!$C$4,INDEX(MASTER_AREAS!$B:$B,858))))),857,""),""),IF('WSF DASHBOARD'!$B$4="Zone",IF(857&lt;=$D$4,IF(OR('WSF DASHBOARD'!$C$4="",ISNUMBER(SEARCH('WSF DASHBOARD'!$C$4,INDEX(MASTER_ZONES!$B:$B,858)))),857,""),""),""))</f>
        <v/>
      </c>
      <c r="F858">
        <f>IF('TRANSPORT DASHBOARD'!$B$4="Area",IF(857&lt;=$I$3,IF(AND(INDEX(MASTER_AREAS!$F:$F,858)&lt;&gt;"N",OR('TRANSPORT DASHBOARD'!$C$4="",ISNUMBER(SEARCH('TRANSPORT DASHBOARD'!$C$4,INDEX(MASTER_AREAS!$B:$B,858))))),857,""),""),IF('TRANSPORT DASHBOARD'!$B$4="Zone",IF(857&lt;=$I$4,IF(OR('TRANSPORT DASHBOARD'!$C$4="",ISNUMBER(SEARCH('TRANSPORT DASHBOARD'!$C$4,INDEX(MASTER_ZONES!$B:$B,858)))),857,""),""),""))</f>
        <v/>
      </c>
      <c r="K858">
        <f>IF('MIDWEEK DASHBOARD'!$B$4="Area",IF(857&lt;=$N$3,IF(AND(OR('MIDWEEK DASHBOARD'!$C$4="",ISNUMBER(SEARCH('MIDWEEK DASHBOARD'!$C$4,INDEX(MASTER_AREAS!$B:$B,858))))),857,""),""),IF('MIDWEEK DASHBOARD'!$B$4="Zone",IF(857&lt;=$N$4,IF(OR('MIDWEEK DASHBOARD'!$C$4="",ISNUMBER(SEARCH('MIDWEEK DASHBOARD'!$C$4,INDEX(MASTER_ZONES!$B:$B,858)))),857,""),""),""))</f>
        <v/>
      </c>
      <c r="P858">
        <f>IF('CHOP DASHBOARD'!$B$4="Area",IF(857&lt;=$S$3,IF(AND(OR('CHOP DASHBOARD'!$C$4="",ISNUMBER(SEARCH('CHOP DASHBOARD'!$C$4,INDEX(MASTER_AREAS!$B:$B,858))))),857,""),""),IF('CHOP DASHBOARD'!$B$4="Zone",IF(857&lt;=$S$4,IF(OR('CHOP DASHBOARD'!$C$4="",ISNUMBER(SEARCH('CHOP DASHBOARD'!$C$4,INDEX(MASTER_ZONES!$B:$B,858)))),857,""),""),""))</f>
        <v/>
      </c>
      <c r="U858">
        <f>IF('COMMUNITY CHURCH DASHBOARD'!$B$4="Area",IF(857&lt;=$X$3,IF(AND(OR('COMMUNITY CHURCH DASHBOARD'!$C$4="",ISNUMBER(SEARCH('COMMUNITY CHURCH DASHBOARD'!$C$4,INDEX(MASTER_AREAS!$B:$B,858))))),857,""),""),IF('COMMUNITY CHURCH DASHBOARD'!$B$4="Zone",IF(857&lt;=$X$4,IF(OR('COMMUNITY CHURCH DASHBOARD'!$C$4="",ISNUMBER(SEARCH('COMMUNITY CHURCH DASHBOARD'!$C$4,INDEX(MASTER_ZONES!$B:$B,858)))),857,""),""),""))</f>
        <v/>
      </c>
    </row>
    <row r="859">
      <c r="A859">
        <f>IF('WSF DASHBOARD'!$B$4="Area",IF(858&lt;=$D$3,IF(AND(OR('WSF DASHBOARD'!$C$4="",ISNUMBER(SEARCH('WSF DASHBOARD'!$C$4,INDEX(MASTER_AREAS!$B:$B,859))))),858,""),""),IF('WSF DASHBOARD'!$B$4="Zone",IF(858&lt;=$D$4,IF(OR('WSF DASHBOARD'!$C$4="",ISNUMBER(SEARCH('WSF DASHBOARD'!$C$4,INDEX(MASTER_ZONES!$B:$B,859)))),858,""),""),""))</f>
        <v/>
      </c>
      <c r="F859">
        <f>IF('TRANSPORT DASHBOARD'!$B$4="Area",IF(858&lt;=$I$3,IF(AND(INDEX(MASTER_AREAS!$F:$F,859)&lt;&gt;"N",OR('TRANSPORT DASHBOARD'!$C$4="",ISNUMBER(SEARCH('TRANSPORT DASHBOARD'!$C$4,INDEX(MASTER_AREAS!$B:$B,859))))),858,""),""),IF('TRANSPORT DASHBOARD'!$B$4="Zone",IF(858&lt;=$I$4,IF(OR('TRANSPORT DASHBOARD'!$C$4="",ISNUMBER(SEARCH('TRANSPORT DASHBOARD'!$C$4,INDEX(MASTER_ZONES!$B:$B,859)))),858,""),""),""))</f>
        <v/>
      </c>
      <c r="K859">
        <f>IF('MIDWEEK DASHBOARD'!$B$4="Area",IF(858&lt;=$N$3,IF(AND(OR('MIDWEEK DASHBOARD'!$C$4="",ISNUMBER(SEARCH('MIDWEEK DASHBOARD'!$C$4,INDEX(MASTER_AREAS!$B:$B,859))))),858,""),""),IF('MIDWEEK DASHBOARD'!$B$4="Zone",IF(858&lt;=$N$4,IF(OR('MIDWEEK DASHBOARD'!$C$4="",ISNUMBER(SEARCH('MIDWEEK DASHBOARD'!$C$4,INDEX(MASTER_ZONES!$B:$B,859)))),858,""),""),""))</f>
        <v/>
      </c>
      <c r="P859">
        <f>IF('CHOP DASHBOARD'!$B$4="Area",IF(858&lt;=$S$3,IF(AND(OR('CHOP DASHBOARD'!$C$4="",ISNUMBER(SEARCH('CHOP DASHBOARD'!$C$4,INDEX(MASTER_AREAS!$B:$B,859))))),858,""),""),IF('CHOP DASHBOARD'!$B$4="Zone",IF(858&lt;=$S$4,IF(OR('CHOP DASHBOARD'!$C$4="",ISNUMBER(SEARCH('CHOP DASHBOARD'!$C$4,INDEX(MASTER_ZONES!$B:$B,859)))),858,""),""),""))</f>
        <v/>
      </c>
      <c r="U859">
        <f>IF('COMMUNITY CHURCH DASHBOARD'!$B$4="Area",IF(858&lt;=$X$3,IF(AND(OR('COMMUNITY CHURCH DASHBOARD'!$C$4="",ISNUMBER(SEARCH('COMMUNITY CHURCH DASHBOARD'!$C$4,INDEX(MASTER_AREAS!$B:$B,859))))),858,""),""),IF('COMMUNITY CHURCH DASHBOARD'!$B$4="Zone",IF(858&lt;=$X$4,IF(OR('COMMUNITY CHURCH DASHBOARD'!$C$4="",ISNUMBER(SEARCH('COMMUNITY CHURCH DASHBOARD'!$C$4,INDEX(MASTER_ZONES!$B:$B,859)))),858,""),""),""))</f>
        <v/>
      </c>
    </row>
    <row r="860">
      <c r="A860">
        <f>IF('WSF DASHBOARD'!$B$4="Area",IF(859&lt;=$D$3,IF(AND(OR('WSF DASHBOARD'!$C$4="",ISNUMBER(SEARCH('WSF DASHBOARD'!$C$4,INDEX(MASTER_AREAS!$B:$B,860))))),859,""),""),IF('WSF DASHBOARD'!$B$4="Zone",IF(859&lt;=$D$4,IF(OR('WSF DASHBOARD'!$C$4="",ISNUMBER(SEARCH('WSF DASHBOARD'!$C$4,INDEX(MASTER_ZONES!$B:$B,860)))),859,""),""),""))</f>
        <v/>
      </c>
      <c r="F860">
        <f>IF('TRANSPORT DASHBOARD'!$B$4="Area",IF(859&lt;=$I$3,IF(AND(INDEX(MASTER_AREAS!$F:$F,860)&lt;&gt;"N",OR('TRANSPORT DASHBOARD'!$C$4="",ISNUMBER(SEARCH('TRANSPORT DASHBOARD'!$C$4,INDEX(MASTER_AREAS!$B:$B,860))))),859,""),""),IF('TRANSPORT DASHBOARD'!$B$4="Zone",IF(859&lt;=$I$4,IF(OR('TRANSPORT DASHBOARD'!$C$4="",ISNUMBER(SEARCH('TRANSPORT DASHBOARD'!$C$4,INDEX(MASTER_ZONES!$B:$B,860)))),859,""),""),""))</f>
        <v/>
      </c>
      <c r="K860">
        <f>IF('MIDWEEK DASHBOARD'!$B$4="Area",IF(859&lt;=$N$3,IF(AND(OR('MIDWEEK DASHBOARD'!$C$4="",ISNUMBER(SEARCH('MIDWEEK DASHBOARD'!$C$4,INDEX(MASTER_AREAS!$B:$B,860))))),859,""),""),IF('MIDWEEK DASHBOARD'!$B$4="Zone",IF(859&lt;=$N$4,IF(OR('MIDWEEK DASHBOARD'!$C$4="",ISNUMBER(SEARCH('MIDWEEK DASHBOARD'!$C$4,INDEX(MASTER_ZONES!$B:$B,860)))),859,""),""),""))</f>
        <v/>
      </c>
      <c r="P860">
        <f>IF('CHOP DASHBOARD'!$B$4="Area",IF(859&lt;=$S$3,IF(AND(OR('CHOP DASHBOARD'!$C$4="",ISNUMBER(SEARCH('CHOP DASHBOARD'!$C$4,INDEX(MASTER_AREAS!$B:$B,860))))),859,""),""),IF('CHOP DASHBOARD'!$B$4="Zone",IF(859&lt;=$S$4,IF(OR('CHOP DASHBOARD'!$C$4="",ISNUMBER(SEARCH('CHOP DASHBOARD'!$C$4,INDEX(MASTER_ZONES!$B:$B,860)))),859,""),""),""))</f>
        <v/>
      </c>
      <c r="U860">
        <f>IF('COMMUNITY CHURCH DASHBOARD'!$B$4="Area",IF(859&lt;=$X$3,IF(AND(OR('COMMUNITY CHURCH DASHBOARD'!$C$4="",ISNUMBER(SEARCH('COMMUNITY CHURCH DASHBOARD'!$C$4,INDEX(MASTER_AREAS!$B:$B,860))))),859,""),""),IF('COMMUNITY CHURCH DASHBOARD'!$B$4="Zone",IF(859&lt;=$X$4,IF(OR('COMMUNITY CHURCH DASHBOARD'!$C$4="",ISNUMBER(SEARCH('COMMUNITY CHURCH DASHBOARD'!$C$4,INDEX(MASTER_ZONES!$B:$B,860)))),859,""),""),""))</f>
        <v/>
      </c>
    </row>
    <row r="861">
      <c r="A861">
        <f>IF('WSF DASHBOARD'!$B$4="Area",IF(860&lt;=$D$3,IF(AND(OR('WSF DASHBOARD'!$C$4="",ISNUMBER(SEARCH('WSF DASHBOARD'!$C$4,INDEX(MASTER_AREAS!$B:$B,861))))),860,""),""),IF('WSF DASHBOARD'!$B$4="Zone",IF(860&lt;=$D$4,IF(OR('WSF DASHBOARD'!$C$4="",ISNUMBER(SEARCH('WSF DASHBOARD'!$C$4,INDEX(MASTER_ZONES!$B:$B,861)))),860,""),""),""))</f>
        <v/>
      </c>
      <c r="F861">
        <f>IF('TRANSPORT DASHBOARD'!$B$4="Area",IF(860&lt;=$I$3,IF(AND(INDEX(MASTER_AREAS!$F:$F,861)&lt;&gt;"N",OR('TRANSPORT DASHBOARD'!$C$4="",ISNUMBER(SEARCH('TRANSPORT DASHBOARD'!$C$4,INDEX(MASTER_AREAS!$B:$B,861))))),860,""),""),IF('TRANSPORT DASHBOARD'!$B$4="Zone",IF(860&lt;=$I$4,IF(OR('TRANSPORT DASHBOARD'!$C$4="",ISNUMBER(SEARCH('TRANSPORT DASHBOARD'!$C$4,INDEX(MASTER_ZONES!$B:$B,861)))),860,""),""),""))</f>
        <v/>
      </c>
      <c r="K861">
        <f>IF('MIDWEEK DASHBOARD'!$B$4="Area",IF(860&lt;=$N$3,IF(AND(OR('MIDWEEK DASHBOARD'!$C$4="",ISNUMBER(SEARCH('MIDWEEK DASHBOARD'!$C$4,INDEX(MASTER_AREAS!$B:$B,861))))),860,""),""),IF('MIDWEEK DASHBOARD'!$B$4="Zone",IF(860&lt;=$N$4,IF(OR('MIDWEEK DASHBOARD'!$C$4="",ISNUMBER(SEARCH('MIDWEEK DASHBOARD'!$C$4,INDEX(MASTER_ZONES!$B:$B,861)))),860,""),""),""))</f>
        <v/>
      </c>
      <c r="P861">
        <f>IF('CHOP DASHBOARD'!$B$4="Area",IF(860&lt;=$S$3,IF(AND(OR('CHOP DASHBOARD'!$C$4="",ISNUMBER(SEARCH('CHOP DASHBOARD'!$C$4,INDEX(MASTER_AREAS!$B:$B,861))))),860,""),""),IF('CHOP DASHBOARD'!$B$4="Zone",IF(860&lt;=$S$4,IF(OR('CHOP DASHBOARD'!$C$4="",ISNUMBER(SEARCH('CHOP DASHBOARD'!$C$4,INDEX(MASTER_ZONES!$B:$B,861)))),860,""),""),""))</f>
        <v/>
      </c>
      <c r="U861">
        <f>IF('COMMUNITY CHURCH DASHBOARD'!$B$4="Area",IF(860&lt;=$X$3,IF(AND(OR('COMMUNITY CHURCH DASHBOARD'!$C$4="",ISNUMBER(SEARCH('COMMUNITY CHURCH DASHBOARD'!$C$4,INDEX(MASTER_AREAS!$B:$B,861))))),860,""),""),IF('COMMUNITY CHURCH DASHBOARD'!$B$4="Zone",IF(860&lt;=$X$4,IF(OR('COMMUNITY CHURCH DASHBOARD'!$C$4="",ISNUMBER(SEARCH('COMMUNITY CHURCH DASHBOARD'!$C$4,INDEX(MASTER_ZONES!$B:$B,861)))),860,""),""),""))</f>
        <v/>
      </c>
    </row>
    <row r="862">
      <c r="A862">
        <f>IF('WSF DASHBOARD'!$B$4="Area",IF(861&lt;=$D$3,IF(AND(OR('WSF DASHBOARD'!$C$4="",ISNUMBER(SEARCH('WSF DASHBOARD'!$C$4,INDEX(MASTER_AREAS!$B:$B,862))))),861,""),""),IF('WSF DASHBOARD'!$B$4="Zone",IF(861&lt;=$D$4,IF(OR('WSF DASHBOARD'!$C$4="",ISNUMBER(SEARCH('WSF DASHBOARD'!$C$4,INDEX(MASTER_ZONES!$B:$B,862)))),861,""),""),""))</f>
        <v/>
      </c>
      <c r="F862">
        <f>IF('TRANSPORT DASHBOARD'!$B$4="Area",IF(861&lt;=$I$3,IF(AND(INDEX(MASTER_AREAS!$F:$F,862)&lt;&gt;"N",OR('TRANSPORT DASHBOARD'!$C$4="",ISNUMBER(SEARCH('TRANSPORT DASHBOARD'!$C$4,INDEX(MASTER_AREAS!$B:$B,862))))),861,""),""),IF('TRANSPORT DASHBOARD'!$B$4="Zone",IF(861&lt;=$I$4,IF(OR('TRANSPORT DASHBOARD'!$C$4="",ISNUMBER(SEARCH('TRANSPORT DASHBOARD'!$C$4,INDEX(MASTER_ZONES!$B:$B,862)))),861,""),""),""))</f>
        <v/>
      </c>
      <c r="K862">
        <f>IF('MIDWEEK DASHBOARD'!$B$4="Area",IF(861&lt;=$N$3,IF(AND(OR('MIDWEEK DASHBOARD'!$C$4="",ISNUMBER(SEARCH('MIDWEEK DASHBOARD'!$C$4,INDEX(MASTER_AREAS!$B:$B,862))))),861,""),""),IF('MIDWEEK DASHBOARD'!$B$4="Zone",IF(861&lt;=$N$4,IF(OR('MIDWEEK DASHBOARD'!$C$4="",ISNUMBER(SEARCH('MIDWEEK DASHBOARD'!$C$4,INDEX(MASTER_ZONES!$B:$B,862)))),861,""),""),""))</f>
        <v/>
      </c>
      <c r="P862">
        <f>IF('CHOP DASHBOARD'!$B$4="Area",IF(861&lt;=$S$3,IF(AND(OR('CHOP DASHBOARD'!$C$4="",ISNUMBER(SEARCH('CHOP DASHBOARD'!$C$4,INDEX(MASTER_AREAS!$B:$B,862))))),861,""),""),IF('CHOP DASHBOARD'!$B$4="Zone",IF(861&lt;=$S$4,IF(OR('CHOP DASHBOARD'!$C$4="",ISNUMBER(SEARCH('CHOP DASHBOARD'!$C$4,INDEX(MASTER_ZONES!$B:$B,862)))),861,""),""),""))</f>
        <v/>
      </c>
      <c r="U862">
        <f>IF('COMMUNITY CHURCH DASHBOARD'!$B$4="Area",IF(861&lt;=$X$3,IF(AND(OR('COMMUNITY CHURCH DASHBOARD'!$C$4="",ISNUMBER(SEARCH('COMMUNITY CHURCH DASHBOARD'!$C$4,INDEX(MASTER_AREAS!$B:$B,862))))),861,""),""),IF('COMMUNITY CHURCH DASHBOARD'!$B$4="Zone",IF(861&lt;=$X$4,IF(OR('COMMUNITY CHURCH DASHBOARD'!$C$4="",ISNUMBER(SEARCH('COMMUNITY CHURCH DASHBOARD'!$C$4,INDEX(MASTER_ZONES!$B:$B,862)))),861,""),""),""))</f>
        <v/>
      </c>
    </row>
    <row r="863">
      <c r="A863">
        <f>IF('WSF DASHBOARD'!$B$4="Area",IF(862&lt;=$D$3,IF(AND(OR('WSF DASHBOARD'!$C$4="",ISNUMBER(SEARCH('WSF DASHBOARD'!$C$4,INDEX(MASTER_AREAS!$B:$B,863))))),862,""),""),IF('WSF DASHBOARD'!$B$4="Zone",IF(862&lt;=$D$4,IF(OR('WSF DASHBOARD'!$C$4="",ISNUMBER(SEARCH('WSF DASHBOARD'!$C$4,INDEX(MASTER_ZONES!$B:$B,863)))),862,""),""),""))</f>
        <v/>
      </c>
      <c r="F863">
        <f>IF('TRANSPORT DASHBOARD'!$B$4="Area",IF(862&lt;=$I$3,IF(AND(INDEX(MASTER_AREAS!$F:$F,863)&lt;&gt;"N",OR('TRANSPORT DASHBOARD'!$C$4="",ISNUMBER(SEARCH('TRANSPORT DASHBOARD'!$C$4,INDEX(MASTER_AREAS!$B:$B,863))))),862,""),""),IF('TRANSPORT DASHBOARD'!$B$4="Zone",IF(862&lt;=$I$4,IF(OR('TRANSPORT DASHBOARD'!$C$4="",ISNUMBER(SEARCH('TRANSPORT DASHBOARD'!$C$4,INDEX(MASTER_ZONES!$B:$B,863)))),862,""),""),""))</f>
        <v/>
      </c>
      <c r="K863">
        <f>IF('MIDWEEK DASHBOARD'!$B$4="Area",IF(862&lt;=$N$3,IF(AND(OR('MIDWEEK DASHBOARD'!$C$4="",ISNUMBER(SEARCH('MIDWEEK DASHBOARD'!$C$4,INDEX(MASTER_AREAS!$B:$B,863))))),862,""),""),IF('MIDWEEK DASHBOARD'!$B$4="Zone",IF(862&lt;=$N$4,IF(OR('MIDWEEK DASHBOARD'!$C$4="",ISNUMBER(SEARCH('MIDWEEK DASHBOARD'!$C$4,INDEX(MASTER_ZONES!$B:$B,863)))),862,""),""),""))</f>
        <v/>
      </c>
      <c r="P863">
        <f>IF('CHOP DASHBOARD'!$B$4="Area",IF(862&lt;=$S$3,IF(AND(OR('CHOP DASHBOARD'!$C$4="",ISNUMBER(SEARCH('CHOP DASHBOARD'!$C$4,INDEX(MASTER_AREAS!$B:$B,863))))),862,""),""),IF('CHOP DASHBOARD'!$B$4="Zone",IF(862&lt;=$S$4,IF(OR('CHOP DASHBOARD'!$C$4="",ISNUMBER(SEARCH('CHOP DASHBOARD'!$C$4,INDEX(MASTER_ZONES!$B:$B,863)))),862,""),""),""))</f>
        <v/>
      </c>
      <c r="U863">
        <f>IF('COMMUNITY CHURCH DASHBOARD'!$B$4="Area",IF(862&lt;=$X$3,IF(AND(OR('COMMUNITY CHURCH DASHBOARD'!$C$4="",ISNUMBER(SEARCH('COMMUNITY CHURCH DASHBOARD'!$C$4,INDEX(MASTER_AREAS!$B:$B,863))))),862,""),""),IF('COMMUNITY CHURCH DASHBOARD'!$B$4="Zone",IF(862&lt;=$X$4,IF(OR('COMMUNITY CHURCH DASHBOARD'!$C$4="",ISNUMBER(SEARCH('COMMUNITY CHURCH DASHBOARD'!$C$4,INDEX(MASTER_ZONES!$B:$B,863)))),862,""),""),""))</f>
        <v/>
      </c>
    </row>
    <row r="864">
      <c r="A864">
        <f>IF('WSF DASHBOARD'!$B$4="Area",IF(863&lt;=$D$3,IF(AND(OR('WSF DASHBOARD'!$C$4="",ISNUMBER(SEARCH('WSF DASHBOARD'!$C$4,INDEX(MASTER_AREAS!$B:$B,864))))),863,""),""),IF('WSF DASHBOARD'!$B$4="Zone",IF(863&lt;=$D$4,IF(OR('WSF DASHBOARD'!$C$4="",ISNUMBER(SEARCH('WSF DASHBOARD'!$C$4,INDEX(MASTER_ZONES!$B:$B,864)))),863,""),""),""))</f>
        <v/>
      </c>
      <c r="F864">
        <f>IF('TRANSPORT DASHBOARD'!$B$4="Area",IF(863&lt;=$I$3,IF(AND(INDEX(MASTER_AREAS!$F:$F,864)&lt;&gt;"N",OR('TRANSPORT DASHBOARD'!$C$4="",ISNUMBER(SEARCH('TRANSPORT DASHBOARD'!$C$4,INDEX(MASTER_AREAS!$B:$B,864))))),863,""),""),IF('TRANSPORT DASHBOARD'!$B$4="Zone",IF(863&lt;=$I$4,IF(OR('TRANSPORT DASHBOARD'!$C$4="",ISNUMBER(SEARCH('TRANSPORT DASHBOARD'!$C$4,INDEX(MASTER_ZONES!$B:$B,864)))),863,""),""),""))</f>
        <v/>
      </c>
      <c r="K864">
        <f>IF('MIDWEEK DASHBOARD'!$B$4="Area",IF(863&lt;=$N$3,IF(AND(OR('MIDWEEK DASHBOARD'!$C$4="",ISNUMBER(SEARCH('MIDWEEK DASHBOARD'!$C$4,INDEX(MASTER_AREAS!$B:$B,864))))),863,""),""),IF('MIDWEEK DASHBOARD'!$B$4="Zone",IF(863&lt;=$N$4,IF(OR('MIDWEEK DASHBOARD'!$C$4="",ISNUMBER(SEARCH('MIDWEEK DASHBOARD'!$C$4,INDEX(MASTER_ZONES!$B:$B,864)))),863,""),""),""))</f>
        <v/>
      </c>
      <c r="P864">
        <f>IF('CHOP DASHBOARD'!$B$4="Area",IF(863&lt;=$S$3,IF(AND(OR('CHOP DASHBOARD'!$C$4="",ISNUMBER(SEARCH('CHOP DASHBOARD'!$C$4,INDEX(MASTER_AREAS!$B:$B,864))))),863,""),""),IF('CHOP DASHBOARD'!$B$4="Zone",IF(863&lt;=$S$4,IF(OR('CHOP DASHBOARD'!$C$4="",ISNUMBER(SEARCH('CHOP DASHBOARD'!$C$4,INDEX(MASTER_ZONES!$B:$B,864)))),863,""),""),""))</f>
        <v/>
      </c>
      <c r="U864">
        <f>IF('COMMUNITY CHURCH DASHBOARD'!$B$4="Area",IF(863&lt;=$X$3,IF(AND(OR('COMMUNITY CHURCH DASHBOARD'!$C$4="",ISNUMBER(SEARCH('COMMUNITY CHURCH DASHBOARD'!$C$4,INDEX(MASTER_AREAS!$B:$B,864))))),863,""),""),IF('COMMUNITY CHURCH DASHBOARD'!$B$4="Zone",IF(863&lt;=$X$4,IF(OR('COMMUNITY CHURCH DASHBOARD'!$C$4="",ISNUMBER(SEARCH('COMMUNITY CHURCH DASHBOARD'!$C$4,INDEX(MASTER_ZONES!$B:$B,864)))),863,""),""),""))</f>
        <v/>
      </c>
    </row>
    <row r="865">
      <c r="A865">
        <f>IF('WSF DASHBOARD'!$B$4="Area",IF(864&lt;=$D$3,IF(AND(OR('WSF DASHBOARD'!$C$4="",ISNUMBER(SEARCH('WSF DASHBOARD'!$C$4,INDEX(MASTER_AREAS!$B:$B,865))))),864,""),""),IF('WSF DASHBOARD'!$B$4="Zone",IF(864&lt;=$D$4,IF(OR('WSF DASHBOARD'!$C$4="",ISNUMBER(SEARCH('WSF DASHBOARD'!$C$4,INDEX(MASTER_ZONES!$B:$B,865)))),864,""),""),""))</f>
        <v/>
      </c>
      <c r="F865">
        <f>IF('TRANSPORT DASHBOARD'!$B$4="Area",IF(864&lt;=$I$3,IF(AND(INDEX(MASTER_AREAS!$F:$F,865)&lt;&gt;"N",OR('TRANSPORT DASHBOARD'!$C$4="",ISNUMBER(SEARCH('TRANSPORT DASHBOARD'!$C$4,INDEX(MASTER_AREAS!$B:$B,865))))),864,""),""),IF('TRANSPORT DASHBOARD'!$B$4="Zone",IF(864&lt;=$I$4,IF(OR('TRANSPORT DASHBOARD'!$C$4="",ISNUMBER(SEARCH('TRANSPORT DASHBOARD'!$C$4,INDEX(MASTER_ZONES!$B:$B,865)))),864,""),""),""))</f>
        <v/>
      </c>
      <c r="K865">
        <f>IF('MIDWEEK DASHBOARD'!$B$4="Area",IF(864&lt;=$N$3,IF(AND(OR('MIDWEEK DASHBOARD'!$C$4="",ISNUMBER(SEARCH('MIDWEEK DASHBOARD'!$C$4,INDEX(MASTER_AREAS!$B:$B,865))))),864,""),""),IF('MIDWEEK DASHBOARD'!$B$4="Zone",IF(864&lt;=$N$4,IF(OR('MIDWEEK DASHBOARD'!$C$4="",ISNUMBER(SEARCH('MIDWEEK DASHBOARD'!$C$4,INDEX(MASTER_ZONES!$B:$B,865)))),864,""),""),""))</f>
        <v/>
      </c>
      <c r="P865">
        <f>IF('CHOP DASHBOARD'!$B$4="Area",IF(864&lt;=$S$3,IF(AND(OR('CHOP DASHBOARD'!$C$4="",ISNUMBER(SEARCH('CHOP DASHBOARD'!$C$4,INDEX(MASTER_AREAS!$B:$B,865))))),864,""),""),IF('CHOP DASHBOARD'!$B$4="Zone",IF(864&lt;=$S$4,IF(OR('CHOP DASHBOARD'!$C$4="",ISNUMBER(SEARCH('CHOP DASHBOARD'!$C$4,INDEX(MASTER_ZONES!$B:$B,865)))),864,""),""),""))</f>
        <v/>
      </c>
      <c r="U865">
        <f>IF('COMMUNITY CHURCH DASHBOARD'!$B$4="Area",IF(864&lt;=$X$3,IF(AND(OR('COMMUNITY CHURCH DASHBOARD'!$C$4="",ISNUMBER(SEARCH('COMMUNITY CHURCH DASHBOARD'!$C$4,INDEX(MASTER_AREAS!$B:$B,865))))),864,""),""),IF('COMMUNITY CHURCH DASHBOARD'!$B$4="Zone",IF(864&lt;=$X$4,IF(OR('COMMUNITY CHURCH DASHBOARD'!$C$4="",ISNUMBER(SEARCH('COMMUNITY CHURCH DASHBOARD'!$C$4,INDEX(MASTER_ZONES!$B:$B,865)))),864,""),""),""))</f>
        <v/>
      </c>
    </row>
    <row r="866">
      <c r="A866">
        <f>IF('WSF DASHBOARD'!$B$4="Area",IF(865&lt;=$D$3,IF(AND(OR('WSF DASHBOARD'!$C$4="",ISNUMBER(SEARCH('WSF DASHBOARD'!$C$4,INDEX(MASTER_AREAS!$B:$B,866))))),865,""),""),IF('WSF DASHBOARD'!$B$4="Zone",IF(865&lt;=$D$4,IF(OR('WSF DASHBOARD'!$C$4="",ISNUMBER(SEARCH('WSF DASHBOARD'!$C$4,INDEX(MASTER_ZONES!$B:$B,866)))),865,""),""),""))</f>
        <v/>
      </c>
      <c r="F866">
        <f>IF('TRANSPORT DASHBOARD'!$B$4="Area",IF(865&lt;=$I$3,IF(AND(INDEX(MASTER_AREAS!$F:$F,866)&lt;&gt;"N",OR('TRANSPORT DASHBOARD'!$C$4="",ISNUMBER(SEARCH('TRANSPORT DASHBOARD'!$C$4,INDEX(MASTER_AREAS!$B:$B,866))))),865,""),""),IF('TRANSPORT DASHBOARD'!$B$4="Zone",IF(865&lt;=$I$4,IF(OR('TRANSPORT DASHBOARD'!$C$4="",ISNUMBER(SEARCH('TRANSPORT DASHBOARD'!$C$4,INDEX(MASTER_ZONES!$B:$B,866)))),865,""),""),""))</f>
        <v/>
      </c>
      <c r="K866">
        <f>IF('MIDWEEK DASHBOARD'!$B$4="Area",IF(865&lt;=$N$3,IF(AND(OR('MIDWEEK DASHBOARD'!$C$4="",ISNUMBER(SEARCH('MIDWEEK DASHBOARD'!$C$4,INDEX(MASTER_AREAS!$B:$B,866))))),865,""),""),IF('MIDWEEK DASHBOARD'!$B$4="Zone",IF(865&lt;=$N$4,IF(OR('MIDWEEK DASHBOARD'!$C$4="",ISNUMBER(SEARCH('MIDWEEK DASHBOARD'!$C$4,INDEX(MASTER_ZONES!$B:$B,866)))),865,""),""),""))</f>
        <v/>
      </c>
      <c r="P866">
        <f>IF('CHOP DASHBOARD'!$B$4="Area",IF(865&lt;=$S$3,IF(AND(OR('CHOP DASHBOARD'!$C$4="",ISNUMBER(SEARCH('CHOP DASHBOARD'!$C$4,INDEX(MASTER_AREAS!$B:$B,866))))),865,""),""),IF('CHOP DASHBOARD'!$B$4="Zone",IF(865&lt;=$S$4,IF(OR('CHOP DASHBOARD'!$C$4="",ISNUMBER(SEARCH('CHOP DASHBOARD'!$C$4,INDEX(MASTER_ZONES!$B:$B,866)))),865,""),""),""))</f>
        <v/>
      </c>
      <c r="U866">
        <f>IF('COMMUNITY CHURCH DASHBOARD'!$B$4="Area",IF(865&lt;=$X$3,IF(AND(OR('COMMUNITY CHURCH DASHBOARD'!$C$4="",ISNUMBER(SEARCH('COMMUNITY CHURCH DASHBOARD'!$C$4,INDEX(MASTER_AREAS!$B:$B,866))))),865,""),""),IF('COMMUNITY CHURCH DASHBOARD'!$B$4="Zone",IF(865&lt;=$X$4,IF(OR('COMMUNITY CHURCH DASHBOARD'!$C$4="",ISNUMBER(SEARCH('COMMUNITY CHURCH DASHBOARD'!$C$4,INDEX(MASTER_ZONES!$B:$B,866)))),865,""),""),""))</f>
        <v/>
      </c>
    </row>
    <row r="867">
      <c r="A867">
        <f>IF('WSF DASHBOARD'!$B$4="Area",IF(866&lt;=$D$3,IF(AND(OR('WSF DASHBOARD'!$C$4="",ISNUMBER(SEARCH('WSF DASHBOARD'!$C$4,INDEX(MASTER_AREAS!$B:$B,867))))),866,""),""),IF('WSF DASHBOARD'!$B$4="Zone",IF(866&lt;=$D$4,IF(OR('WSF DASHBOARD'!$C$4="",ISNUMBER(SEARCH('WSF DASHBOARD'!$C$4,INDEX(MASTER_ZONES!$B:$B,867)))),866,""),""),""))</f>
        <v/>
      </c>
      <c r="F867">
        <f>IF('TRANSPORT DASHBOARD'!$B$4="Area",IF(866&lt;=$I$3,IF(AND(INDEX(MASTER_AREAS!$F:$F,867)&lt;&gt;"N",OR('TRANSPORT DASHBOARD'!$C$4="",ISNUMBER(SEARCH('TRANSPORT DASHBOARD'!$C$4,INDEX(MASTER_AREAS!$B:$B,867))))),866,""),""),IF('TRANSPORT DASHBOARD'!$B$4="Zone",IF(866&lt;=$I$4,IF(OR('TRANSPORT DASHBOARD'!$C$4="",ISNUMBER(SEARCH('TRANSPORT DASHBOARD'!$C$4,INDEX(MASTER_ZONES!$B:$B,867)))),866,""),""),""))</f>
        <v/>
      </c>
      <c r="K867">
        <f>IF('MIDWEEK DASHBOARD'!$B$4="Area",IF(866&lt;=$N$3,IF(AND(OR('MIDWEEK DASHBOARD'!$C$4="",ISNUMBER(SEARCH('MIDWEEK DASHBOARD'!$C$4,INDEX(MASTER_AREAS!$B:$B,867))))),866,""),""),IF('MIDWEEK DASHBOARD'!$B$4="Zone",IF(866&lt;=$N$4,IF(OR('MIDWEEK DASHBOARD'!$C$4="",ISNUMBER(SEARCH('MIDWEEK DASHBOARD'!$C$4,INDEX(MASTER_ZONES!$B:$B,867)))),866,""),""),""))</f>
        <v/>
      </c>
      <c r="P867">
        <f>IF('CHOP DASHBOARD'!$B$4="Area",IF(866&lt;=$S$3,IF(AND(OR('CHOP DASHBOARD'!$C$4="",ISNUMBER(SEARCH('CHOP DASHBOARD'!$C$4,INDEX(MASTER_AREAS!$B:$B,867))))),866,""),""),IF('CHOP DASHBOARD'!$B$4="Zone",IF(866&lt;=$S$4,IF(OR('CHOP DASHBOARD'!$C$4="",ISNUMBER(SEARCH('CHOP DASHBOARD'!$C$4,INDEX(MASTER_ZONES!$B:$B,867)))),866,""),""),""))</f>
        <v/>
      </c>
      <c r="U867">
        <f>IF('COMMUNITY CHURCH DASHBOARD'!$B$4="Area",IF(866&lt;=$X$3,IF(AND(OR('COMMUNITY CHURCH DASHBOARD'!$C$4="",ISNUMBER(SEARCH('COMMUNITY CHURCH DASHBOARD'!$C$4,INDEX(MASTER_AREAS!$B:$B,867))))),866,""),""),IF('COMMUNITY CHURCH DASHBOARD'!$B$4="Zone",IF(866&lt;=$X$4,IF(OR('COMMUNITY CHURCH DASHBOARD'!$C$4="",ISNUMBER(SEARCH('COMMUNITY CHURCH DASHBOARD'!$C$4,INDEX(MASTER_ZONES!$B:$B,867)))),866,""),""),""))</f>
        <v/>
      </c>
    </row>
    <row r="868">
      <c r="A868">
        <f>IF('WSF DASHBOARD'!$B$4="Area",IF(867&lt;=$D$3,IF(AND(OR('WSF DASHBOARD'!$C$4="",ISNUMBER(SEARCH('WSF DASHBOARD'!$C$4,INDEX(MASTER_AREAS!$B:$B,868))))),867,""),""),IF('WSF DASHBOARD'!$B$4="Zone",IF(867&lt;=$D$4,IF(OR('WSF DASHBOARD'!$C$4="",ISNUMBER(SEARCH('WSF DASHBOARD'!$C$4,INDEX(MASTER_ZONES!$B:$B,868)))),867,""),""),""))</f>
        <v/>
      </c>
      <c r="F868">
        <f>IF('TRANSPORT DASHBOARD'!$B$4="Area",IF(867&lt;=$I$3,IF(AND(INDEX(MASTER_AREAS!$F:$F,868)&lt;&gt;"N",OR('TRANSPORT DASHBOARD'!$C$4="",ISNUMBER(SEARCH('TRANSPORT DASHBOARD'!$C$4,INDEX(MASTER_AREAS!$B:$B,868))))),867,""),""),IF('TRANSPORT DASHBOARD'!$B$4="Zone",IF(867&lt;=$I$4,IF(OR('TRANSPORT DASHBOARD'!$C$4="",ISNUMBER(SEARCH('TRANSPORT DASHBOARD'!$C$4,INDEX(MASTER_ZONES!$B:$B,868)))),867,""),""),""))</f>
        <v/>
      </c>
      <c r="K868">
        <f>IF('MIDWEEK DASHBOARD'!$B$4="Area",IF(867&lt;=$N$3,IF(AND(OR('MIDWEEK DASHBOARD'!$C$4="",ISNUMBER(SEARCH('MIDWEEK DASHBOARD'!$C$4,INDEX(MASTER_AREAS!$B:$B,868))))),867,""),""),IF('MIDWEEK DASHBOARD'!$B$4="Zone",IF(867&lt;=$N$4,IF(OR('MIDWEEK DASHBOARD'!$C$4="",ISNUMBER(SEARCH('MIDWEEK DASHBOARD'!$C$4,INDEX(MASTER_ZONES!$B:$B,868)))),867,""),""),""))</f>
        <v/>
      </c>
      <c r="P868">
        <f>IF('CHOP DASHBOARD'!$B$4="Area",IF(867&lt;=$S$3,IF(AND(OR('CHOP DASHBOARD'!$C$4="",ISNUMBER(SEARCH('CHOP DASHBOARD'!$C$4,INDEX(MASTER_AREAS!$B:$B,868))))),867,""),""),IF('CHOP DASHBOARD'!$B$4="Zone",IF(867&lt;=$S$4,IF(OR('CHOP DASHBOARD'!$C$4="",ISNUMBER(SEARCH('CHOP DASHBOARD'!$C$4,INDEX(MASTER_ZONES!$B:$B,868)))),867,""),""),""))</f>
        <v/>
      </c>
      <c r="U868">
        <f>IF('COMMUNITY CHURCH DASHBOARD'!$B$4="Area",IF(867&lt;=$X$3,IF(AND(OR('COMMUNITY CHURCH DASHBOARD'!$C$4="",ISNUMBER(SEARCH('COMMUNITY CHURCH DASHBOARD'!$C$4,INDEX(MASTER_AREAS!$B:$B,868))))),867,""),""),IF('COMMUNITY CHURCH DASHBOARD'!$B$4="Zone",IF(867&lt;=$X$4,IF(OR('COMMUNITY CHURCH DASHBOARD'!$C$4="",ISNUMBER(SEARCH('COMMUNITY CHURCH DASHBOARD'!$C$4,INDEX(MASTER_ZONES!$B:$B,868)))),867,""),""),""))</f>
        <v/>
      </c>
    </row>
    <row r="869">
      <c r="A869">
        <f>IF('WSF DASHBOARD'!$B$4="Area",IF(868&lt;=$D$3,IF(AND(OR('WSF DASHBOARD'!$C$4="",ISNUMBER(SEARCH('WSF DASHBOARD'!$C$4,INDEX(MASTER_AREAS!$B:$B,869))))),868,""),""),IF('WSF DASHBOARD'!$B$4="Zone",IF(868&lt;=$D$4,IF(OR('WSF DASHBOARD'!$C$4="",ISNUMBER(SEARCH('WSF DASHBOARD'!$C$4,INDEX(MASTER_ZONES!$B:$B,869)))),868,""),""),""))</f>
        <v/>
      </c>
      <c r="F869">
        <f>IF('TRANSPORT DASHBOARD'!$B$4="Area",IF(868&lt;=$I$3,IF(AND(INDEX(MASTER_AREAS!$F:$F,869)&lt;&gt;"N",OR('TRANSPORT DASHBOARD'!$C$4="",ISNUMBER(SEARCH('TRANSPORT DASHBOARD'!$C$4,INDEX(MASTER_AREAS!$B:$B,869))))),868,""),""),IF('TRANSPORT DASHBOARD'!$B$4="Zone",IF(868&lt;=$I$4,IF(OR('TRANSPORT DASHBOARD'!$C$4="",ISNUMBER(SEARCH('TRANSPORT DASHBOARD'!$C$4,INDEX(MASTER_ZONES!$B:$B,869)))),868,""),""),""))</f>
        <v/>
      </c>
      <c r="K869">
        <f>IF('MIDWEEK DASHBOARD'!$B$4="Area",IF(868&lt;=$N$3,IF(AND(OR('MIDWEEK DASHBOARD'!$C$4="",ISNUMBER(SEARCH('MIDWEEK DASHBOARD'!$C$4,INDEX(MASTER_AREAS!$B:$B,869))))),868,""),""),IF('MIDWEEK DASHBOARD'!$B$4="Zone",IF(868&lt;=$N$4,IF(OR('MIDWEEK DASHBOARD'!$C$4="",ISNUMBER(SEARCH('MIDWEEK DASHBOARD'!$C$4,INDEX(MASTER_ZONES!$B:$B,869)))),868,""),""),""))</f>
        <v/>
      </c>
      <c r="P869">
        <f>IF('CHOP DASHBOARD'!$B$4="Area",IF(868&lt;=$S$3,IF(AND(OR('CHOP DASHBOARD'!$C$4="",ISNUMBER(SEARCH('CHOP DASHBOARD'!$C$4,INDEX(MASTER_AREAS!$B:$B,869))))),868,""),""),IF('CHOP DASHBOARD'!$B$4="Zone",IF(868&lt;=$S$4,IF(OR('CHOP DASHBOARD'!$C$4="",ISNUMBER(SEARCH('CHOP DASHBOARD'!$C$4,INDEX(MASTER_ZONES!$B:$B,869)))),868,""),""),""))</f>
        <v/>
      </c>
      <c r="U869">
        <f>IF('COMMUNITY CHURCH DASHBOARD'!$B$4="Area",IF(868&lt;=$X$3,IF(AND(OR('COMMUNITY CHURCH DASHBOARD'!$C$4="",ISNUMBER(SEARCH('COMMUNITY CHURCH DASHBOARD'!$C$4,INDEX(MASTER_AREAS!$B:$B,869))))),868,""),""),IF('COMMUNITY CHURCH DASHBOARD'!$B$4="Zone",IF(868&lt;=$X$4,IF(OR('COMMUNITY CHURCH DASHBOARD'!$C$4="",ISNUMBER(SEARCH('COMMUNITY CHURCH DASHBOARD'!$C$4,INDEX(MASTER_ZONES!$B:$B,869)))),868,""),""),""))</f>
        <v/>
      </c>
    </row>
    <row r="870">
      <c r="A870">
        <f>IF('WSF DASHBOARD'!$B$4="Area",IF(869&lt;=$D$3,IF(AND(OR('WSF DASHBOARD'!$C$4="",ISNUMBER(SEARCH('WSF DASHBOARD'!$C$4,INDEX(MASTER_AREAS!$B:$B,870))))),869,""),""),IF('WSF DASHBOARD'!$B$4="Zone",IF(869&lt;=$D$4,IF(OR('WSF DASHBOARD'!$C$4="",ISNUMBER(SEARCH('WSF DASHBOARD'!$C$4,INDEX(MASTER_ZONES!$B:$B,870)))),869,""),""),""))</f>
        <v/>
      </c>
      <c r="F870">
        <f>IF('TRANSPORT DASHBOARD'!$B$4="Area",IF(869&lt;=$I$3,IF(AND(INDEX(MASTER_AREAS!$F:$F,870)&lt;&gt;"N",OR('TRANSPORT DASHBOARD'!$C$4="",ISNUMBER(SEARCH('TRANSPORT DASHBOARD'!$C$4,INDEX(MASTER_AREAS!$B:$B,870))))),869,""),""),IF('TRANSPORT DASHBOARD'!$B$4="Zone",IF(869&lt;=$I$4,IF(OR('TRANSPORT DASHBOARD'!$C$4="",ISNUMBER(SEARCH('TRANSPORT DASHBOARD'!$C$4,INDEX(MASTER_ZONES!$B:$B,870)))),869,""),""),""))</f>
        <v/>
      </c>
      <c r="K870">
        <f>IF('MIDWEEK DASHBOARD'!$B$4="Area",IF(869&lt;=$N$3,IF(AND(OR('MIDWEEK DASHBOARD'!$C$4="",ISNUMBER(SEARCH('MIDWEEK DASHBOARD'!$C$4,INDEX(MASTER_AREAS!$B:$B,870))))),869,""),""),IF('MIDWEEK DASHBOARD'!$B$4="Zone",IF(869&lt;=$N$4,IF(OR('MIDWEEK DASHBOARD'!$C$4="",ISNUMBER(SEARCH('MIDWEEK DASHBOARD'!$C$4,INDEX(MASTER_ZONES!$B:$B,870)))),869,""),""),""))</f>
        <v/>
      </c>
      <c r="P870">
        <f>IF('CHOP DASHBOARD'!$B$4="Area",IF(869&lt;=$S$3,IF(AND(OR('CHOP DASHBOARD'!$C$4="",ISNUMBER(SEARCH('CHOP DASHBOARD'!$C$4,INDEX(MASTER_AREAS!$B:$B,870))))),869,""),""),IF('CHOP DASHBOARD'!$B$4="Zone",IF(869&lt;=$S$4,IF(OR('CHOP DASHBOARD'!$C$4="",ISNUMBER(SEARCH('CHOP DASHBOARD'!$C$4,INDEX(MASTER_ZONES!$B:$B,870)))),869,""),""),""))</f>
        <v/>
      </c>
      <c r="U870">
        <f>IF('COMMUNITY CHURCH DASHBOARD'!$B$4="Area",IF(869&lt;=$X$3,IF(AND(OR('COMMUNITY CHURCH DASHBOARD'!$C$4="",ISNUMBER(SEARCH('COMMUNITY CHURCH DASHBOARD'!$C$4,INDEX(MASTER_AREAS!$B:$B,870))))),869,""),""),IF('COMMUNITY CHURCH DASHBOARD'!$B$4="Zone",IF(869&lt;=$X$4,IF(OR('COMMUNITY CHURCH DASHBOARD'!$C$4="",ISNUMBER(SEARCH('COMMUNITY CHURCH DASHBOARD'!$C$4,INDEX(MASTER_ZONES!$B:$B,870)))),869,""),""),""))</f>
        <v/>
      </c>
    </row>
    <row r="871">
      <c r="A871">
        <f>IF('WSF DASHBOARD'!$B$4="Area",IF(870&lt;=$D$3,IF(AND(OR('WSF DASHBOARD'!$C$4="",ISNUMBER(SEARCH('WSF DASHBOARD'!$C$4,INDEX(MASTER_AREAS!$B:$B,871))))),870,""),""),IF('WSF DASHBOARD'!$B$4="Zone",IF(870&lt;=$D$4,IF(OR('WSF DASHBOARD'!$C$4="",ISNUMBER(SEARCH('WSF DASHBOARD'!$C$4,INDEX(MASTER_ZONES!$B:$B,871)))),870,""),""),""))</f>
        <v/>
      </c>
      <c r="F871">
        <f>IF('TRANSPORT DASHBOARD'!$B$4="Area",IF(870&lt;=$I$3,IF(AND(INDEX(MASTER_AREAS!$F:$F,871)&lt;&gt;"N",OR('TRANSPORT DASHBOARD'!$C$4="",ISNUMBER(SEARCH('TRANSPORT DASHBOARD'!$C$4,INDEX(MASTER_AREAS!$B:$B,871))))),870,""),""),IF('TRANSPORT DASHBOARD'!$B$4="Zone",IF(870&lt;=$I$4,IF(OR('TRANSPORT DASHBOARD'!$C$4="",ISNUMBER(SEARCH('TRANSPORT DASHBOARD'!$C$4,INDEX(MASTER_ZONES!$B:$B,871)))),870,""),""),""))</f>
        <v/>
      </c>
      <c r="K871">
        <f>IF('MIDWEEK DASHBOARD'!$B$4="Area",IF(870&lt;=$N$3,IF(AND(OR('MIDWEEK DASHBOARD'!$C$4="",ISNUMBER(SEARCH('MIDWEEK DASHBOARD'!$C$4,INDEX(MASTER_AREAS!$B:$B,871))))),870,""),""),IF('MIDWEEK DASHBOARD'!$B$4="Zone",IF(870&lt;=$N$4,IF(OR('MIDWEEK DASHBOARD'!$C$4="",ISNUMBER(SEARCH('MIDWEEK DASHBOARD'!$C$4,INDEX(MASTER_ZONES!$B:$B,871)))),870,""),""),""))</f>
        <v/>
      </c>
      <c r="P871">
        <f>IF('CHOP DASHBOARD'!$B$4="Area",IF(870&lt;=$S$3,IF(AND(OR('CHOP DASHBOARD'!$C$4="",ISNUMBER(SEARCH('CHOP DASHBOARD'!$C$4,INDEX(MASTER_AREAS!$B:$B,871))))),870,""),""),IF('CHOP DASHBOARD'!$B$4="Zone",IF(870&lt;=$S$4,IF(OR('CHOP DASHBOARD'!$C$4="",ISNUMBER(SEARCH('CHOP DASHBOARD'!$C$4,INDEX(MASTER_ZONES!$B:$B,871)))),870,""),""),""))</f>
        <v/>
      </c>
      <c r="U871">
        <f>IF('COMMUNITY CHURCH DASHBOARD'!$B$4="Area",IF(870&lt;=$X$3,IF(AND(OR('COMMUNITY CHURCH DASHBOARD'!$C$4="",ISNUMBER(SEARCH('COMMUNITY CHURCH DASHBOARD'!$C$4,INDEX(MASTER_AREAS!$B:$B,871))))),870,""),""),IF('COMMUNITY CHURCH DASHBOARD'!$B$4="Zone",IF(870&lt;=$X$4,IF(OR('COMMUNITY CHURCH DASHBOARD'!$C$4="",ISNUMBER(SEARCH('COMMUNITY CHURCH DASHBOARD'!$C$4,INDEX(MASTER_ZONES!$B:$B,871)))),870,""),""),""))</f>
        <v/>
      </c>
    </row>
    <row r="872">
      <c r="A872">
        <f>IF('WSF DASHBOARD'!$B$4="Area",IF(871&lt;=$D$3,IF(AND(OR('WSF DASHBOARD'!$C$4="",ISNUMBER(SEARCH('WSF DASHBOARD'!$C$4,INDEX(MASTER_AREAS!$B:$B,872))))),871,""),""),IF('WSF DASHBOARD'!$B$4="Zone",IF(871&lt;=$D$4,IF(OR('WSF DASHBOARD'!$C$4="",ISNUMBER(SEARCH('WSF DASHBOARD'!$C$4,INDEX(MASTER_ZONES!$B:$B,872)))),871,""),""),""))</f>
        <v/>
      </c>
      <c r="F872">
        <f>IF('TRANSPORT DASHBOARD'!$B$4="Area",IF(871&lt;=$I$3,IF(AND(INDEX(MASTER_AREAS!$F:$F,872)&lt;&gt;"N",OR('TRANSPORT DASHBOARD'!$C$4="",ISNUMBER(SEARCH('TRANSPORT DASHBOARD'!$C$4,INDEX(MASTER_AREAS!$B:$B,872))))),871,""),""),IF('TRANSPORT DASHBOARD'!$B$4="Zone",IF(871&lt;=$I$4,IF(OR('TRANSPORT DASHBOARD'!$C$4="",ISNUMBER(SEARCH('TRANSPORT DASHBOARD'!$C$4,INDEX(MASTER_ZONES!$B:$B,872)))),871,""),""),""))</f>
        <v/>
      </c>
      <c r="K872">
        <f>IF('MIDWEEK DASHBOARD'!$B$4="Area",IF(871&lt;=$N$3,IF(AND(OR('MIDWEEK DASHBOARD'!$C$4="",ISNUMBER(SEARCH('MIDWEEK DASHBOARD'!$C$4,INDEX(MASTER_AREAS!$B:$B,872))))),871,""),""),IF('MIDWEEK DASHBOARD'!$B$4="Zone",IF(871&lt;=$N$4,IF(OR('MIDWEEK DASHBOARD'!$C$4="",ISNUMBER(SEARCH('MIDWEEK DASHBOARD'!$C$4,INDEX(MASTER_ZONES!$B:$B,872)))),871,""),""),""))</f>
        <v/>
      </c>
      <c r="P872">
        <f>IF('CHOP DASHBOARD'!$B$4="Area",IF(871&lt;=$S$3,IF(AND(OR('CHOP DASHBOARD'!$C$4="",ISNUMBER(SEARCH('CHOP DASHBOARD'!$C$4,INDEX(MASTER_AREAS!$B:$B,872))))),871,""),""),IF('CHOP DASHBOARD'!$B$4="Zone",IF(871&lt;=$S$4,IF(OR('CHOP DASHBOARD'!$C$4="",ISNUMBER(SEARCH('CHOP DASHBOARD'!$C$4,INDEX(MASTER_ZONES!$B:$B,872)))),871,""),""),""))</f>
        <v/>
      </c>
      <c r="U872">
        <f>IF('COMMUNITY CHURCH DASHBOARD'!$B$4="Area",IF(871&lt;=$X$3,IF(AND(OR('COMMUNITY CHURCH DASHBOARD'!$C$4="",ISNUMBER(SEARCH('COMMUNITY CHURCH DASHBOARD'!$C$4,INDEX(MASTER_AREAS!$B:$B,872))))),871,""),""),IF('COMMUNITY CHURCH DASHBOARD'!$B$4="Zone",IF(871&lt;=$X$4,IF(OR('COMMUNITY CHURCH DASHBOARD'!$C$4="",ISNUMBER(SEARCH('COMMUNITY CHURCH DASHBOARD'!$C$4,INDEX(MASTER_ZONES!$B:$B,872)))),871,""),""),""))</f>
        <v/>
      </c>
    </row>
    <row r="873">
      <c r="A873">
        <f>IF('WSF DASHBOARD'!$B$4="Area",IF(872&lt;=$D$3,IF(AND(OR('WSF DASHBOARD'!$C$4="",ISNUMBER(SEARCH('WSF DASHBOARD'!$C$4,INDEX(MASTER_AREAS!$B:$B,873))))),872,""),""),IF('WSF DASHBOARD'!$B$4="Zone",IF(872&lt;=$D$4,IF(OR('WSF DASHBOARD'!$C$4="",ISNUMBER(SEARCH('WSF DASHBOARD'!$C$4,INDEX(MASTER_ZONES!$B:$B,873)))),872,""),""),""))</f>
        <v/>
      </c>
      <c r="F873">
        <f>IF('TRANSPORT DASHBOARD'!$B$4="Area",IF(872&lt;=$I$3,IF(AND(INDEX(MASTER_AREAS!$F:$F,873)&lt;&gt;"N",OR('TRANSPORT DASHBOARD'!$C$4="",ISNUMBER(SEARCH('TRANSPORT DASHBOARD'!$C$4,INDEX(MASTER_AREAS!$B:$B,873))))),872,""),""),IF('TRANSPORT DASHBOARD'!$B$4="Zone",IF(872&lt;=$I$4,IF(OR('TRANSPORT DASHBOARD'!$C$4="",ISNUMBER(SEARCH('TRANSPORT DASHBOARD'!$C$4,INDEX(MASTER_ZONES!$B:$B,873)))),872,""),""),""))</f>
        <v/>
      </c>
      <c r="K873">
        <f>IF('MIDWEEK DASHBOARD'!$B$4="Area",IF(872&lt;=$N$3,IF(AND(OR('MIDWEEK DASHBOARD'!$C$4="",ISNUMBER(SEARCH('MIDWEEK DASHBOARD'!$C$4,INDEX(MASTER_AREAS!$B:$B,873))))),872,""),""),IF('MIDWEEK DASHBOARD'!$B$4="Zone",IF(872&lt;=$N$4,IF(OR('MIDWEEK DASHBOARD'!$C$4="",ISNUMBER(SEARCH('MIDWEEK DASHBOARD'!$C$4,INDEX(MASTER_ZONES!$B:$B,873)))),872,""),""),""))</f>
        <v/>
      </c>
      <c r="P873">
        <f>IF('CHOP DASHBOARD'!$B$4="Area",IF(872&lt;=$S$3,IF(AND(OR('CHOP DASHBOARD'!$C$4="",ISNUMBER(SEARCH('CHOP DASHBOARD'!$C$4,INDEX(MASTER_AREAS!$B:$B,873))))),872,""),""),IF('CHOP DASHBOARD'!$B$4="Zone",IF(872&lt;=$S$4,IF(OR('CHOP DASHBOARD'!$C$4="",ISNUMBER(SEARCH('CHOP DASHBOARD'!$C$4,INDEX(MASTER_ZONES!$B:$B,873)))),872,""),""),""))</f>
        <v/>
      </c>
      <c r="U873">
        <f>IF('COMMUNITY CHURCH DASHBOARD'!$B$4="Area",IF(872&lt;=$X$3,IF(AND(OR('COMMUNITY CHURCH DASHBOARD'!$C$4="",ISNUMBER(SEARCH('COMMUNITY CHURCH DASHBOARD'!$C$4,INDEX(MASTER_AREAS!$B:$B,873))))),872,""),""),IF('COMMUNITY CHURCH DASHBOARD'!$B$4="Zone",IF(872&lt;=$X$4,IF(OR('COMMUNITY CHURCH DASHBOARD'!$C$4="",ISNUMBER(SEARCH('COMMUNITY CHURCH DASHBOARD'!$C$4,INDEX(MASTER_ZONES!$B:$B,873)))),872,""),""),""))</f>
        <v/>
      </c>
    </row>
    <row r="874">
      <c r="A874">
        <f>IF('WSF DASHBOARD'!$B$4="Area",IF(873&lt;=$D$3,IF(AND(OR('WSF DASHBOARD'!$C$4="",ISNUMBER(SEARCH('WSF DASHBOARD'!$C$4,INDEX(MASTER_AREAS!$B:$B,874))))),873,""),""),IF('WSF DASHBOARD'!$B$4="Zone",IF(873&lt;=$D$4,IF(OR('WSF DASHBOARD'!$C$4="",ISNUMBER(SEARCH('WSF DASHBOARD'!$C$4,INDEX(MASTER_ZONES!$B:$B,874)))),873,""),""),""))</f>
        <v/>
      </c>
      <c r="F874">
        <f>IF('TRANSPORT DASHBOARD'!$B$4="Area",IF(873&lt;=$I$3,IF(AND(INDEX(MASTER_AREAS!$F:$F,874)&lt;&gt;"N",OR('TRANSPORT DASHBOARD'!$C$4="",ISNUMBER(SEARCH('TRANSPORT DASHBOARD'!$C$4,INDEX(MASTER_AREAS!$B:$B,874))))),873,""),""),IF('TRANSPORT DASHBOARD'!$B$4="Zone",IF(873&lt;=$I$4,IF(OR('TRANSPORT DASHBOARD'!$C$4="",ISNUMBER(SEARCH('TRANSPORT DASHBOARD'!$C$4,INDEX(MASTER_ZONES!$B:$B,874)))),873,""),""),""))</f>
        <v/>
      </c>
      <c r="K874">
        <f>IF('MIDWEEK DASHBOARD'!$B$4="Area",IF(873&lt;=$N$3,IF(AND(OR('MIDWEEK DASHBOARD'!$C$4="",ISNUMBER(SEARCH('MIDWEEK DASHBOARD'!$C$4,INDEX(MASTER_AREAS!$B:$B,874))))),873,""),""),IF('MIDWEEK DASHBOARD'!$B$4="Zone",IF(873&lt;=$N$4,IF(OR('MIDWEEK DASHBOARD'!$C$4="",ISNUMBER(SEARCH('MIDWEEK DASHBOARD'!$C$4,INDEX(MASTER_ZONES!$B:$B,874)))),873,""),""),""))</f>
        <v/>
      </c>
      <c r="P874">
        <f>IF('CHOP DASHBOARD'!$B$4="Area",IF(873&lt;=$S$3,IF(AND(OR('CHOP DASHBOARD'!$C$4="",ISNUMBER(SEARCH('CHOP DASHBOARD'!$C$4,INDEX(MASTER_AREAS!$B:$B,874))))),873,""),""),IF('CHOP DASHBOARD'!$B$4="Zone",IF(873&lt;=$S$4,IF(OR('CHOP DASHBOARD'!$C$4="",ISNUMBER(SEARCH('CHOP DASHBOARD'!$C$4,INDEX(MASTER_ZONES!$B:$B,874)))),873,""),""),""))</f>
        <v/>
      </c>
      <c r="U874">
        <f>IF('COMMUNITY CHURCH DASHBOARD'!$B$4="Area",IF(873&lt;=$X$3,IF(AND(OR('COMMUNITY CHURCH DASHBOARD'!$C$4="",ISNUMBER(SEARCH('COMMUNITY CHURCH DASHBOARD'!$C$4,INDEX(MASTER_AREAS!$B:$B,874))))),873,""),""),IF('COMMUNITY CHURCH DASHBOARD'!$B$4="Zone",IF(873&lt;=$X$4,IF(OR('COMMUNITY CHURCH DASHBOARD'!$C$4="",ISNUMBER(SEARCH('COMMUNITY CHURCH DASHBOARD'!$C$4,INDEX(MASTER_ZONES!$B:$B,874)))),873,""),""),""))</f>
        <v/>
      </c>
    </row>
    <row r="875">
      <c r="A875">
        <f>IF('WSF DASHBOARD'!$B$4="Area",IF(874&lt;=$D$3,IF(AND(OR('WSF DASHBOARD'!$C$4="",ISNUMBER(SEARCH('WSF DASHBOARD'!$C$4,INDEX(MASTER_AREAS!$B:$B,875))))),874,""),""),IF('WSF DASHBOARD'!$B$4="Zone",IF(874&lt;=$D$4,IF(OR('WSF DASHBOARD'!$C$4="",ISNUMBER(SEARCH('WSF DASHBOARD'!$C$4,INDEX(MASTER_ZONES!$B:$B,875)))),874,""),""),""))</f>
        <v/>
      </c>
      <c r="F875">
        <f>IF('TRANSPORT DASHBOARD'!$B$4="Area",IF(874&lt;=$I$3,IF(AND(INDEX(MASTER_AREAS!$F:$F,875)&lt;&gt;"N",OR('TRANSPORT DASHBOARD'!$C$4="",ISNUMBER(SEARCH('TRANSPORT DASHBOARD'!$C$4,INDEX(MASTER_AREAS!$B:$B,875))))),874,""),""),IF('TRANSPORT DASHBOARD'!$B$4="Zone",IF(874&lt;=$I$4,IF(OR('TRANSPORT DASHBOARD'!$C$4="",ISNUMBER(SEARCH('TRANSPORT DASHBOARD'!$C$4,INDEX(MASTER_ZONES!$B:$B,875)))),874,""),""),""))</f>
        <v/>
      </c>
      <c r="K875">
        <f>IF('MIDWEEK DASHBOARD'!$B$4="Area",IF(874&lt;=$N$3,IF(AND(OR('MIDWEEK DASHBOARD'!$C$4="",ISNUMBER(SEARCH('MIDWEEK DASHBOARD'!$C$4,INDEX(MASTER_AREAS!$B:$B,875))))),874,""),""),IF('MIDWEEK DASHBOARD'!$B$4="Zone",IF(874&lt;=$N$4,IF(OR('MIDWEEK DASHBOARD'!$C$4="",ISNUMBER(SEARCH('MIDWEEK DASHBOARD'!$C$4,INDEX(MASTER_ZONES!$B:$B,875)))),874,""),""),""))</f>
        <v/>
      </c>
      <c r="P875">
        <f>IF('CHOP DASHBOARD'!$B$4="Area",IF(874&lt;=$S$3,IF(AND(OR('CHOP DASHBOARD'!$C$4="",ISNUMBER(SEARCH('CHOP DASHBOARD'!$C$4,INDEX(MASTER_AREAS!$B:$B,875))))),874,""),""),IF('CHOP DASHBOARD'!$B$4="Zone",IF(874&lt;=$S$4,IF(OR('CHOP DASHBOARD'!$C$4="",ISNUMBER(SEARCH('CHOP DASHBOARD'!$C$4,INDEX(MASTER_ZONES!$B:$B,875)))),874,""),""),""))</f>
        <v/>
      </c>
      <c r="U875">
        <f>IF('COMMUNITY CHURCH DASHBOARD'!$B$4="Area",IF(874&lt;=$X$3,IF(AND(OR('COMMUNITY CHURCH DASHBOARD'!$C$4="",ISNUMBER(SEARCH('COMMUNITY CHURCH DASHBOARD'!$C$4,INDEX(MASTER_AREAS!$B:$B,875))))),874,""),""),IF('COMMUNITY CHURCH DASHBOARD'!$B$4="Zone",IF(874&lt;=$X$4,IF(OR('COMMUNITY CHURCH DASHBOARD'!$C$4="",ISNUMBER(SEARCH('COMMUNITY CHURCH DASHBOARD'!$C$4,INDEX(MASTER_ZONES!$B:$B,875)))),874,""),""),""))</f>
        <v/>
      </c>
    </row>
    <row r="876">
      <c r="A876">
        <f>IF('WSF DASHBOARD'!$B$4="Area",IF(875&lt;=$D$3,IF(AND(OR('WSF DASHBOARD'!$C$4="",ISNUMBER(SEARCH('WSF DASHBOARD'!$C$4,INDEX(MASTER_AREAS!$B:$B,876))))),875,""),""),IF('WSF DASHBOARD'!$B$4="Zone",IF(875&lt;=$D$4,IF(OR('WSF DASHBOARD'!$C$4="",ISNUMBER(SEARCH('WSF DASHBOARD'!$C$4,INDEX(MASTER_ZONES!$B:$B,876)))),875,""),""),""))</f>
        <v/>
      </c>
      <c r="F876">
        <f>IF('TRANSPORT DASHBOARD'!$B$4="Area",IF(875&lt;=$I$3,IF(AND(INDEX(MASTER_AREAS!$F:$F,876)&lt;&gt;"N",OR('TRANSPORT DASHBOARD'!$C$4="",ISNUMBER(SEARCH('TRANSPORT DASHBOARD'!$C$4,INDEX(MASTER_AREAS!$B:$B,876))))),875,""),""),IF('TRANSPORT DASHBOARD'!$B$4="Zone",IF(875&lt;=$I$4,IF(OR('TRANSPORT DASHBOARD'!$C$4="",ISNUMBER(SEARCH('TRANSPORT DASHBOARD'!$C$4,INDEX(MASTER_ZONES!$B:$B,876)))),875,""),""),""))</f>
        <v/>
      </c>
      <c r="K876">
        <f>IF('MIDWEEK DASHBOARD'!$B$4="Area",IF(875&lt;=$N$3,IF(AND(OR('MIDWEEK DASHBOARD'!$C$4="",ISNUMBER(SEARCH('MIDWEEK DASHBOARD'!$C$4,INDEX(MASTER_AREAS!$B:$B,876))))),875,""),""),IF('MIDWEEK DASHBOARD'!$B$4="Zone",IF(875&lt;=$N$4,IF(OR('MIDWEEK DASHBOARD'!$C$4="",ISNUMBER(SEARCH('MIDWEEK DASHBOARD'!$C$4,INDEX(MASTER_ZONES!$B:$B,876)))),875,""),""),""))</f>
        <v/>
      </c>
      <c r="P876">
        <f>IF('CHOP DASHBOARD'!$B$4="Area",IF(875&lt;=$S$3,IF(AND(OR('CHOP DASHBOARD'!$C$4="",ISNUMBER(SEARCH('CHOP DASHBOARD'!$C$4,INDEX(MASTER_AREAS!$B:$B,876))))),875,""),""),IF('CHOP DASHBOARD'!$B$4="Zone",IF(875&lt;=$S$4,IF(OR('CHOP DASHBOARD'!$C$4="",ISNUMBER(SEARCH('CHOP DASHBOARD'!$C$4,INDEX(MASTER_ZONES!$B:$B,876)))),875,""),""),""))</f>
        <v/>
      </c>
      <c r="U876">
        <f>IF('COMMUNITY CHURCH DASHBOARD'!$B$4="Area",IF(875&lt;=$X$3,IF(AND(OR('COMMUNITY CHURCH DASHBOARD'!$C$4="",ISNUMBER(SEARCH('COMMUNITY CHURCH DASHBOARD'!$C$4,INDEX(MASTER_AREAS!$B:$B,876))))),875,""),""),IF('COMMUNITY CHURCH DASHBOARD'!$B$4="Zone",IF(875&lt;=$X$4,IF(OR('COMMUNITY CHURCH DASHBOARD'!$C$4="",ISNUMBER(SEARCH('COMMUNITY CHURCH DASHBOARD'!$C$4,INDEX(MASTER_ZONES!$B:$B,876)))),875,""),""),""))</f>
        <v/>
      </c>
    </row>
    <row r="877">
      <c r="A877">
        <f>IF('WSF DASHBOARD'!$B$4="Area",IF(876&lt;=$D$3,IF(AND(OR('WSF DASHBOARD'!$C$4="",ISNUMBER(SEARCH('WSF DASHBOARD'!$C$4,INDEX(MASTER_AREAS!$B:$B,877))))),876,""),""),IF('WSF DASHBOARD'!$B$4="Zone",IF(876&lt;=$D$4,IF(OR('WSF DASHBOARD'!$C$4="",ISNUMBER(SEARCH('WSF DASHBOARD'!$C$4,INDEX(MASTER_ZONES!$B:$B,877)))),876,""),""),""))</f>
        <v/>
      </c>
      <c r="F877">
        <f>IF('TRANSPORT DASHBOARD'!$B$4="Area",IF(876&lt;=$I$3,IF(AND(INDEX(MASTER_AREAS!$F:$F,877)&lt;&gt;"N",OR('TRANSPORT DASHBOARD'!$C$4="",ISNUMBER(SEARCH('TRANSPORT DASHBOARD'!$C$4,INDEX(MASTER_AREAS!$B:$B,877))))),876,""),""),IF('TRANSPORT DASHBOARD'!$B$4="Zone",IF(876&lt;=$I$4,IF(OR('TRANSPORT DASHBOARD'!$C$4="",ISNUMBER(SEARCH('TRANSPORT DASHBOARD'!$C$4,INDEX(MASTER_ZONES!$B:$B,877)))),876,""),""),""))</f>
        <v/>
      </c>
      <c r="K877">
        <f>IF('MIDWEEK DASHBOARD'!$B$4="Area",IF(876&lt;=$N$3,IF(AND(OR('MIDWEEK DASHBOARD'!$C$4="",ISNUMBER(SEARCH('MIDWEEK DASHBOARD'!$C$4,INDEX(MASTER_AREAS!$B:$B,877))))),876,""),""),IF('MIDWEEK DASHBOARD'!$B$4="Zone",IF(876&lt;=$N$4,IF(OR('MIDWEEK DASHBOARD'!$C$4="",ISNUMBER(SEARCH('MIDWEEK DASHBOARD'!$C$4,INDEX(MASTER_ZONES!$B:$B,877)))),876,""),""),""))</f>
        <v/>
      </c>
      <c r="P877">
        <f>IF('CHOP DASHBOARD'!$B$4="Area",IF(876&lt;=$S$3,IF(AND(OR('CHOP DASHBOARD'!$C$4="",ISNUMBER(SEARCH('CHOP DASHBOARD'!$C$4,INDEX(MASTER_AREAS!$B:$B,877))))),876,""),""),IF('CHOP DASHBOARD'!$B$4="Zone",IF(876&lt;=$S$4,IF(OR('CHOP DASHBOARD'!$C$4="",ISNUMBER(SEARCH('CHOP DASHBOARD'!$C$4,INDEX(MASTER_ZONES!$B:$B,877)))),876,""),""),""))</f>
        <v/>
      </c>
      <c r="U877">
        <f>IF('COMMUNITY CHURCH DASHBOARD'!$B$4="Area",IF(876&lt;=$X$3,IF(AND(OR('COMMUNITY CHURCH DASHBOARD'!$C$4="",ISNUMBER(SEARCH('COMMUNITY CHURCH DASHBOARD'!$C$4,INDEX(MASTER_AREAS!$B:$B,877))))),876,""),""),IF('COMMUNITY CHURCH DASHBOARD'!$B$4="Zone",IF(876&lt;=$X$4,IF(OR('COMMUNITY CHURCH DASHBOARD'!$C$4="",ISNUMBER(SEARCH('COMMUNITY CHURCH DASHBOARD'!$C$4,INDEX(MASTER_ZONES!$B:$B,877)))),876,""),""),""))</f>
        <v/>
      </c>
    </row>
    <row r="878">
      <c r="A878">
        <f>IF('WSF DASHBOARD'!$B$4="Area",IF(877&lt;=$D$3,IF(AND(OR('WSF DASHBOARD'!$C$4="",ISNUMBER(SEARCH('WSF DASHBOARD'!$C$4,INDEX(MASTER_AREAS!$B:$B,878))))),877,""),""),IF('WSF DASHBOARD'!$B$4="Zone",IF(877&lt;=$D$4,IF(OR('WSF DASHBOARD'!$C$4="",ISNUMBER(SEARCH('WSF DASHBOARD'!$C$4,INDEX(MASTER_ZONES!$B:$B,878)))),877,""),""),""))</f>
        <v/>
      </c>
      <c r="F878">
        <f>IF('TRANSPORT DASHBOARD'!$B$4="Area",IF(877&lt;=$I$3,IF(AND(INDEX(MASTER_AREAS!$F:$F,878)&lt;&gt;"N",OR('TRANSPORT DASHBOARD'!$C$4="",ISNUMBER(SEARCH('TRANSPORT DASHBOARD'!$C$4,INDEX(MASTER_AREAS!$B:$B,878))))),877,""),""),IF('TRANSPORT DASHBOARD'!$B$4="Zone",IF(877&lt;=$I$4,IF(OR('TRANSPORT DASHBOARD'!$C$4="",ISNUMBER(SEARCH('TRANSPORT DASHBOARD'!$C$4,INDEX(MASTER_ZONES!$B:$B,878)))),877,""),""),""))</f>
        <v/>
      </c>
      <c r="K878">
        <f>IF('MIDWEEK DASHBOARD'!$B$4="Area",IF(877&lt;=$N$3,IF(AND(OR('MIDWEEK DASHBOARD'!$C$4="",ISNUMBER(SEARCH('MIDWEEK DASHBOARD'!$C$4,INDEX(MASTER_AREAS!$B:$B,878))))),877,""),""),IF('MIDWEEK DASHBOARD'!$B$4="Zone",IF(877&lt;=$N$4,IF(OR('MIDWEEK DASHBOARD'!$C$4="",ISNUMBER(SEARCH('MIDWEEK DASHBOARD'!$C$4,INDEX(MASTER_ZONES!$B:$B,878)))),877,""),""),""))</f>
        <v/>
      </c>
      <c r="P878">
        <f>IF('CHOP DASHBOARD'!$B$4="Area",IF(877&lt;=$S$3,IF(AND(OR('CHOP DASHBOARD'!$C$4="",ISNUMBER(SEARCH('CHOP DASHBOARD'!$C$4,INDEX(MASTER_AREAS!$B:$B,878))))),877,""),""),IF('CHOP DASHBOARD'!$B$4="Zone",IF(877&lt;=$S$4,IF(OR('CHOP DASHBOARD'!$C$4="",ISNUMBER(SEARCH('CHOP DASHBOARD'!$C$4,INDEX(MASTER_ZONES!$B:$B,878)))),877,""),""),""))</f>
        <v/>
      </c>
      <c r="U878">
        <f>IF('COMMUNITY CHURCH DASHBOARD'!$B$4="Area",IF(877&lt;=$X$3,IF(AND(OR('COMMUNITY CHURCH DASHBOARD'!$C$4="",ISNUMBER(SEARCH('COMMUNITY CHURCH DASHBOARD'!$C$4,INDEX(MASTER_AREAS!$B:$B,878))))),877,""),""),IF('COMMUNITY CHURCH DASHBOARD'!$B$4="Zone",IF(877&lt;=$X$4,IF(OR('COMMUNITY CHURCH DASHBOARD'!$C$4="",ISNUMBER(SEARCH('COMMUNITY CHURCH DASHBOARD'!$C$4,INDEX(MASTER_ZONES!$B:$B,878)))),877,""),""),""))</f>
        <v/>
      </c>
    </row>
    <row r="879">
      <c r="A879">
        <f>IF('WSF DASHBOARD'!$B$4="Area",IF(878&lt;=$D$3,IF(AND(OR('WSF DASHBOARD'!$C$4="",ISNUMBER(SEARCH('WSF DASHBOARD'!$C$4,INDEX(MASTER_AREAS!$B:$B,879))))),878,""),""),IF('WSF DASHBOARD'!$B$4="Zone",IF(878&lt;=$D$4,IF(OR('WSF DASHBOARD'!$C$4="",ISNUMBER(SEARCH('WSF DASHBOARD'!$C$4,INDEX(MASTER_ZONES!$B:$B,879)))),878,""),""),""))</f>
        <v/>
      </c>
      <c r="F879">
        <f>IF('TRANSPORT DASHBOARD'!$B$4="Area",IF(878&lt;=$I$3,IF(AND(INDEX(MASTER_AREAS!$F:$F,879)&lt;&gt;"N",OR('TRANSPORT DASHBOARD'!$C$4="",ISNUMBER(SEARCH('TRANSPORT DASHBOARD'!$C$4,INDEX(MASTER_AREAS!$B:$B,879))))),878,""),""),IF('TRANSPORT DASHBOARD'!$B$4="Zone",IF(878&lt;=$I$4,IF(OR('TRANSPORT DASHBOARD'!$C$4="",ISNUMBER(SEARCH('TRANSPORT DASHBOARD'!$C$4,INDEX(MASTER_ZONES!$B:$B,879)))),878,""),""),""))</f>
        <v/>
      </c>
      <c r="K879">
        <f>IF('MIDWEEK DASHBOARD'!$B$4="Area",IF(878&lt;=$N$3,IF(AND(OR('MIDWEEK DASHBOARD'!$C$4="",ISNUMBER(SEARCH('MIDWEEK DASHBOARD'!$C$4,INDEX(MASTER_AREAS!$B:$B,879))))),878,""),""),IF('MIDWEEK DASHBOARD'!$B$4="Zone",IF(878&lt;=$N$4,IF(OR('MIDWEEK DASHBOARD'!$C$4="",ISNUMBER(SEARCH('MIDWEEK DASHBOARD'!$C$4,INDEX(MASTER_ZONES!$B:$B,879)))),878,""),""),""))</f>
        <v/>
      </c>
      <c r="P879">
        <f>IF('CHOP DASHBOARD'!$B$4="Area",IF(878&lt;=$S$3,IF(AND(OR('CHOP DASHBOARD'!$C$4="",ISNUMBER(SEARCH('CHOP DASHBOARD'!$C$4,INDEX(MASTER_AREAS!$B:$B,879))))),878,""),""),IF('CHOP DASHBOARD'!$B$4="Zone",IF(878&lt;=$S$4,IF(OR('CHOP DASHBOARD'!$C$4="",ISNUMBER(SEARCH('CHOP DASHBOARD'!$C$4,INDEX(MASTER_ZONES!$B:$B,879)))),878,""),""),""))</f>
        <v/>
      </c>
      <c r="U879">
        <f>IF('COMMUNITY CHURCH DASHBOARD'!$B$4="Area",IF(878&lt;=$X$3,IF(AND(OR('COMMUNITY CHURCH DASHBOARD'!$C$4="",ISNUMBER(SEARCH('COMMUNITY CHURCH DASHBOARD'!$C$4,INDEX(MASTER_AREAS!$B:$B,879))))),878,""),""),IF('COMMUNITY CHURCH DASHBOARD'!$B$4="Zone",IF(878&lt;=$X$4,IF(OR('COMMUNITY CHURCH DASHBOARD'!$C$4="",ISNUMBER(SEARCH('COMMUNITY CHURCH DASHBOARD'!$C$4,INDEX(MASTER_ZONES!$B:$B,879)))),878,""),""),""))</f>
        <v/>
      </c>
    </row>
    <row r="880">
      <c r="A880">
        <f>IF('WSF DASHBOARD'!$B$4="Area",IF(879&lt;=$D$3,IF(AND(OR('WSF DASHBOARD'!$C$4="",ISNUMBER(SEARCH('WSF DASHBOARD'!$C$4,INDEX(MASTER_AREAS!$B:$B,880))))),879,""),""),IF('WSF DASHBOARD'!$B$4="Zone",IF(879&lt;=$D$4,IF(OR('WSF DASHBOARD'!$C$4="",ISNUMBER(SEARCH('WSF DASHBOARD'!$C$4,INDEX(MASTER_ZONES!$B:$B,880)))),879,""),""),""))</f>
        <v/>
      </c>
      <c r="F880">
        <f>IF('TRANSPORT DASHBOARD'!$B$4="Area",IF(879&lt;=$I$3,IF(AND(INDEX(MASTER_AREAS!$F:$F,880)&lt;&gt;"N",OR('TRANSPORT DASHBOARD'!$C$4="",ISNUMBER(SEARCH('TRANSPORT DASHBOARD'!$C$4,INDEX(MASTER_AREAS!$B:$B,880))))),879,""),""),IF('TRANSPORT DASHBOARD'!$B$4="Zone",IF(879&lt;=$I$4,IF(OR('TRANSPORT DASHBOARD'!$C$4="",ISNUMBER(SEARCH('TRANSPORT DASHBOARD'!$C$4,INDEX(MASTER_ZONES!$B:$B,880)))),879,""),""),""))</f>
        <v/>
      </c>
      <c r="K880">
        <f>IF('MIDWEEK DASHBOARD'!$B$4="Area",IF(879&lt;=$N$3,IF(AND(OR('MIDWEEK DASHBOARD'!$C$4="",ISNUMBER(SEARCH('MIDWEEK DASHBOARD'!$C$4,INDEX(MASTER_AREAS!$B:$B,880))))),879,""),""),IF('MIDWEEK DASHBOARD'!$B$4="Zone",IF(879&lt;=$N$4,IF(OR('MIDWEEK DASHBOARD'!$C$4="",ISNUMBER(SEARCH('MIDWEEK DASHBOARD'!$C$4,INDEX(MASTER_ZONES!$B:$B,880)))),879,""),""),""))</f>
        <v/>
      </c>
      <c r="P880">
        <f>IF('CHOP DASHBOARD'!$B$4="Area",IF(879&lt;=$S$3,IF(AND(OR('CHOP DASHBOARD'!$C$4="",ISNUMBER(SEARCH('CHOP DASHBOARD'!$C$4,INDEX(MASTER_AREAS!$B:$B,880))))),879,""),""),IF('CHOP DASHBOARD'!$B$4="Zone",IF(879&lt;=$S$4,IF(OR('CHOP DASHBOARD'!$C$4="",ISNUMBER(SEARCH('CHOP DASHBOARD'!$C$4,INDEX(MASTER_ZONES!$B:$B,880)))),879,""),""),""))</f>
        <v/>
      </c>
      <c r="U880">
        <f>IF('COMMUNITY CHURCH DASHBOARD'!$B$4="Area",IF(879&lt;=$X$3,IF(AND(OR('COMMUNITY CHURCH DASHBOARD'!$C$4="",ISNUMBER(SEARCH('COMMUNITY CHURCH DASHBOARD'!$C$4,INDEX(MASTER_AREAS!$B:$B,880))))),879,""),""),IF('COMMUNITY CHURCH DASHBOARD'!$B$4="Zone",IF(879&lt;=$X$4,IF(OR('COMMUNITY CHURCH DASHBOARD'!$C$4="",ISNUMBER(SEARCH('COMMUNITY CHURCH DASHBOARD'!$C$4,INDEX(MASTER_ZONES!$B:$B,880)))),879,""),""),""))</f>
        <v/>
      </c>
    </row>
    <row r="881">
      <c r="A881">
        <f>IF('WSF DASHBOARD'!$B$4="Area",IF(880&lt;=$D$3,IF(AND(OR('WSF DASHBOARD'!$C$4="",ISNUMBER(SEARCH('WSF DASHBOARD'!$C$4,INDEX(MASTER_AREAS!$B:$B,881))))),880,""),""),IF('WSF DASHBOARD'!$B$4="Zone",IF(880&lt;=$D$4,IF(OR('WSF DASHBOARD'!$C$4="",ISNUMBER(SEARCH('WSF DASHBOARD'!$C$4,INDEX(MASTER_ZONES!$B:$B,881)))),880,""),""),""))</f>
        <v/>
      </c>
      <c r="F881">
        <f>IF('TRANSPORT DASHBOARD'!$B$4="Area",IF(880&lt;=$I$3,IF(AND(INDEX(MASTER_AREAS!$F:$F,881)&lt;&gt;"N",OR('TRANSPORT DASHBOARD'!$C$4="",ISNUMBER(SEARCH('TRANSPORT DASHBOARD'!$C$4,INDEX(MASTER_AREAS!$B:$B,881))))),880,""),""),IF('TRANSPORT DASHBOARD'!$B$4="Zone",IF(880&lt;=$I$4,IF(OR('TRANSPORT DASHBOARD'!$C$4="",ISNUMBER(SEARCH('TRANSPORT DASHBOARD'!$C$4,INDEX(MASTER_ZONES!$B:$B,881)))),880,""),""),""))</f>
        <v/>
      </c>
      <c r="K881">
        <f>IF('MIDWEEK DASHBOARD'!$B$4="Area",IF(880&lt;=$N$3,IF(AND(OR('MIDWEEK DASHBOARD'!$C$4="",ISNUMBER(SEARCH('MIDWEEK DASHBOARD'!$C$4,INDEX(MASTER_AREAS!$B:$B,881))))),880,""),""),IF('MIDWEEK DASHBOARD'!$B$4="Zone",IF(880&lt;=$N$4,IF(OR('MIDWEEK DASHBOARD'!$C$4="",ISNUMBER(SEARCH('MIDWEEK DASHBOARD'!$C$4,INDEX(MASTER_ZONES!$B:$B,881)))),880,""),""),""))</f>
        <v/>
      </c>
      <c r="P881">
        <f>IF('CHOP DASHBOARD'!$B$4="Area",IF(880&lt;=$S$3,IF(AND(OR('CHOP DASHBOARD'!$C$4="",ISNUMBER(SEARCH('CHOP DASHBOARD'!$C$4,INDEX(MASTER_AREAS!$B:$B,881))))),880,""),""),IF('CHOP DASHBOARD'!$B$4="Zone",IF(880&lt;=$S$4,IF(OR('CHOP DASHBOARD'!$C$4="",ISNUMBER(SEARCH('CHOP DASHBOARD'!$C$4,INDEX(MASTER_ZONES!$B:$B,881)))),880,""),""),""))</f>
        <v/>
      </c>
      <c r="U881">
        <f>IF('COMMUNITY CHURCH DASHBOARD'!$B$4="Area",IF(880&lt;=$X$3,IF(AND(OR('COMMUNITY CHURCH DASHBOARD'!$C$4="",ISNUMBER(SEARCH('COMMUNITY CHURCH DASHBOARD'!$C$4,INDEX(MASTER_AREAS!$B:$B,881))))),880,""),""),IF('COMMUNITY CHURCH DASHBOARD'!$B$4="Zone",IF(880&lt;=$X$4,IF(OR('COMMUNITY CHURCH DASHBOARD'!$C$4="",ISNUMBER(SEARCH('COMMUNITY CHURCH DASHBOARD'!$C$4,INDEX(MASTER_ZONES!$B:$B,881)))),880,""),""),""))</f>
        <v/>
      </c>
    </row>
    <row r="882">
      <c r="A882">
        <f>IF('WSF DASHBOARD'!$B$4="Area",IF(881&lt;=$D$3,IF(AND(OR('WSF DASHBOARD'!$C$4="",ISNUMBER(SEARCH('WSF DASHBOARD'!$C$4,INDEX(MASTER_AREAS!$B:$B,882))))),881,""),""),IF('WSF DASHBOARD'!$B$4="Zone",IF(881&lt;=$D$4,IF(OR('WSF DASHBOARD'!$C$4="",ISNUMBER(SEARCH('WSF DASHBOARD'!$C$4,INDEX(MASTER_ZONES!$B:$B,882)))),881,""),""),""))</f>
        <v/>
      </c>
      <c r="F882">
        <f>IF('TRANSPORT DASHBOARD'!$B$4="Area",IF(881&lt;=$I$3,IF(AND(INDEX(MASTER_AREAS!$F:$F,882)&lt;&gt;"N",OR('TRANSPORT DASHBOARD'!$C$4="",ISNUMBER(SEARCH('TRANSPORT DASHBOARD'!$C$4,INDEX(MASTER_AREAS!$B:$B,882))))),881,""),""),IF('TRANSPORT DASHBOARD'!$B$4="Zone",IF(881&lt;=$I$4,IF(OR('TRANSPORT DASHBOARD'!$C$4="",ISNUMBER(SEARCH('TRANSPORT DASHBOARD'!$C$4,INDEX(MASTER_ZONES!$B:$B,882)))),881,""),""),""))</f>
        <v/>
      </c>
      <c r="K882">
        <f>IF('MIDWEEK DASHBOARD'!$B$4="Area",IF(881&lt;=$N$3,IF(AND(OR('MIDWEEK DASHBOARD'!$C$4="",ISNUMBER(SEARCH('MIDWEEK DASHBOARD'!$C$4,INDEX(MASTER_AREAS!$B:$B,882))))),881,""),""),IF('MIDWEEK DASHBOARD'!$B$4="Zone",IF(881&lt;=$N$4,IF(OR('MIDWEEK DASHBOARD'!$C$4="",ISNUMBER(SEARCH('MIDWEEK DASHBOARD'!$C$4,INDEX(MASTER_ZONES!$B:$B,882)))),881,""),""),""))</f>
        <v/>
      </c>
      <c r="P882">
        <f>IF('CHOP DASHBOARD'!$B$4="Area",IF(881&lt;=$S$3,IF(AND(OR('CHOP DASHBOARD'!$C$4="",ISNUMBER(SEARCH('CHOP DASHBOARD'!$C$4,INDEX(MASTER_AREAS!$B:$B,882))))),881,""),""),IF('CHOP DASHBOARD'!$B$4="Zone",IF(881&lt;=$S$4,IF(OR('CHOP DASHBOARD'!$C$4="",ISNUMBER(SEARCH('CHOP DASHBOARD'!$C$4,INDEX(MASTER_ZONES!$B:$B,882)))),881,""),""),""))</f>
        <v/>
      </c>
      <c r="U882">
        <f>IF('COMMUNITY CHURCH DASHBOARD'!$B$4="Area",IF(881&lt;=$X$3,IF(AND(OR('COMMUNITY CHURCH DASHBOARD'!$C$4="",ISNUMBER(SEARCH('COMMUNITY CHURCH DASHBOARD'!$C$4,INDEX(MASTER_AREAS!$B:$B,882))))),881,""),""),IF('COMMUNITY CHURCH DASHBOARD'!$B$4="Zone",IF(881&lt;=$X$4,IF(OR('COMMUNITY CHURCH DASHBOARD'!$C$4="",ISNUMBER(SEARCH('COMMUNITY CHURCH DASHBOARD'!$C$4,INDEX(MASTER_ZONES!$B:$B,882)))),881,""),""),""))</f>
        <v/>
      </c>
    </row>
    <row r="883">
      <c r="A883">
        <f>IF('WSF DASHBOARD'!$B$4="Area",IF(882&lt;=$D$3,IF(AND(OR('WSF DASHBOARD'!$C$4="",ISNUMBER(SEARCH('WSF DASHBOARD'!$C$4,INDEX(MASTER_AREAS!$B:$B,883))))),882,""),""),IF('WSF DASHBOARD'!$B$4="Zone",IF(882&lt;=$D$4,IF(OR('WSF DASHBOARD'!$C$4="",ISNUMBER(SEARCH('WSF DASHBOARD'!$C$4,INDEX(MASTER_ZONES!$B:$B,883)))),882,""),""),""))</f>
        <v/>
      </c>
      <c r="F883">
        <f>IF('TRANSPORT DASHBOARD'!$B$4="Area",IF(882&lt;=$I$3,IF(AND(INDEX(MASTER_AREAS!$F:$F,883)&lt;&gt;"N",OR('TRANSPORT DASHBOARD'!$C$4="",ISNUMBER(SEARCH('TRANSPORT DASHBOARD'!$C$4,INDEX(MASTER_AREAS!$B:$B,883))))),882,""),""),IF('TRANSPORT DASHBOARD'!$B$4="Zone",IF(882&lt;=$I$4,IF(OR('TRANSPORT DASHBOARD'!$C$4="",ISNUMBER(SEARCH('TRANSPORT DASHBOARD'!$C$4,INDEX(MASTER_ZONES!$B:$B,883)))),882,""),""),""))</f>
        <v/>
      </c>
      <c r="K883">
        <f>IF('MIDWEEK DASHBOARD'!$B$4="Area",IF(882&lt;=$N$3,IF(AND(OR('MIDWEEK DASHBOARD'!$C$4="",ISNUMBER(SEARCH('MIDWEEK DASHBOARD'!$C$4,INDEX(MASTER_AREAS!$B:$B,883))))),882,""),""),IF('MIDWEEK DASHBOARD'!$B$4="Zone",IF(882&lt;=$N$4,IF(OR('MIDWEEK DASHBOARD'!$C$4="",ISNUMBER(SEARCH('MIDWEEK DASHBOARD'!$C$4,INDEX(MASTER_ZONES!$B:$B,883)))),882,""),""),""))</f>
        <v/>
      </c>
      <c r="P883">
        <f>IF('CHOP DASHBOARD'!$B$4="Area",IF(882&lt;=$S$3,IF(AND(OR('CHOP DASHBOARD'!$C$4="",ISNUMBER(SEARCH('CHOP DASHBOARD'!$C$4,INDEX(MASTER_AREAS!$B:$B,883))))),882,""),""),IF('CHOP DASHBOARD'!$B$4="Zone",IF(882&lt;=$S$4,IF(OR('CHOP DASHBOARD'!$C$4="",ISNUMBER(SEARCH('CHOP DASHBOARD'!$C$4,INDEX(MASTER_ZONES!$B:$B,883)))),882,""),""),""))</f>
        <v/>
      </c>
      <c r="U883">
        <f>IF('COMMUNITY CHURCH DASHBOARD'!$B$4="Area",IF(882&lt;=$X$3,IF(AND(OR('COMMUNITY CHURCH DASHBOARD'!$C$4="",ISNUMBER(SEARCH('COMMUNITY CHURCH DASHBOARD'!$C$4,INDEX(MASTER_AREAS!$B:$B,883))))),882,""),""),IF('COMMUNITY CHURCH DASHBOARD'!$B$4="Zone",IF(882&lt;=$X$4,IF(OR('COMMUNITY CHURCH DASHBOARD'!$C$4="",ISNUMBER(SEARCH('COMMUNITY CHURCH DASHBOARD'!$C$4,INDEX(MASTER_ZONES!$B:$B,883)))),882,""),""),""))</f>
        <v/>
      </c>
    </row>
    <row r="884">
      <c r="A884">
        <f>IF('WSF DASHBOARD'!$B$4="Area",IF(883&lt;=$D$3,IF(AND(OR('WSF DASHBOARD'!$C$4="",ISNUMBER(SEARCH('WSF DASHBOARD'!$C$4,INDEX(MASTER_AREAS!$B:$B,884))))),883,""),""),IF('WSF DASHBOARD'!$B$4="Zone",IF(883&lt;=$D$4,IF(OR('WSF DASHBOARD'!$C$4="",ISNUMBER(SEARCH('WSF DASHBOARD'!$C$4,INDEX(MASTER_ZONES!$B:$B,884)))),883,""),""),""))</f>
        <v/>
      </c>
      <c r="F884">
        <f>IF('TRANSPORT DASHBOARD'!$B$4="Area",IF(883&lt;=$I$3,IF(AND(INDEX(MASTER_AREAS!$F:$F,884)&lt;&gt;"N",OR('TRANSPORT DASHBOARD'!$C$4="",ISNUMBER(SEARCH('TRANSPORT DASHBOARD'!$C$4,INDEX(MASTER_AREAS!$B:$B,884))))),883,""),""),IF('TRANSPORT DASHBOARD'!$B$4="Zone",IF(883&lt;=$I$4,IF(OR('TRANSPORT DASHBOARD'!$C$4="",ISNUMBER(SEARCH('TRANSPORT DASHBOARD'!$C$4,INDEX(MASTER_ZONES!$B:$B,884)))),883,""),""),""))</f>
        <v/>
      </c>
      <c r="K884">
        <f>IF('MIDWEEK DASHBOARD'!$B$4="Area",IF(883&lt;=$N$3,IF(AND(OR('MIDWEEK DASHBOARD'!$C$4="",ISNUMBER(SEARCH('MIDWEEK DASHBOARD'!$C$4,INDEX(MASTER_AREAS!$B:$B,884))))),883,""),""),IF('MIDWEEK DASHBOARD'!$B$4="Zone",IF(883&lt;=$N$4,IF(OR('MIDWEEK DASHBOARD'!$C$4="",ISNUMBER(SEARCH('MIDWEEK DASHBOARD'!$C$4,INDEX(MASTER_ZONES!$B:$B,884)))),883,""),""),""))</f>
        <v/>
      </c>
      <c r="P884">
        <f>IF('CHOP DASHBOARD'!$B$4="Area",IF(883&lt;=$S$3,IF(AND(OR('CHOP DASHBOARD'!$C$4="",ISNUMBER(SEARCH('CHOP DASHBOARD'!$C$4,INDEX(MASTER_AREAS!$B:$B,884))))),883,""),""),IF('CHOP DASHBOARD'!$B$4="Zone",IF(883&lt;=$S$4,IF(OR('CHOP DASHBOARD'!$C$4="",ISNUMBER(SEARCH('CHOP DASHBOARD'!$C$4,INDEX(MASTER_ZONES!$B:$B,884)))),883,""),""),""))</f>
        <v/>
      </c>
      <c r="U884">
        <f>IF('COMMUNITY CHURCH DASHBOARD'!$B$4="Area",IF(883&lt;=$X$3,IF(AND(OR('COMMUNITY CHURCH DASHBOARD'!$C$4="",ISNUMBER(SEARCH('COMMUNITY CHURCH DASHBOARD'!$C$4,INDEX(MASTER_AREAS!$B:$B,884))))),883,""),""),IF('COMMUNITY CHURCH DASHBOARD'!$B$4="Zone",IF(883&lt;=$X$4,IF(OR('COMMUNITY CHURCH DASHBOARD'!$C$4="",ISNUMBER(SEARCH('COMMUNITY CHURCH DASHBOARD'!$C$4,INDEX(MASTER_ZONES!$B:$B,884)))),883,""),""),""))</f>
        <v/>
      </c>
    </row>
    <row r="885">
      <c r="A885">
        <f>IF('WSF DASHBOARD'!$B$4="Area",IF(884&lt;=$D$3,IF(AND(OR('WSF DASHBOARD'!$C$4="",ISNUMBER(SEARCH('WSF DASHBOARD'!$C$4,INDEX(MASTER_AREAS!$B:$B,885))))),884,""),""),IF('WSF DASHBOARD'!$B$4="Zone",IF(884&lt;=$D$4,IF(OR('WSF DASHBOARD'!$C$4="",ISNUMBER(SEARCH('WSF DASHBOARD'!$C$4,INDEX(MASTER_ZONES!$B:$B,885)))),884,""),""),""))</f>
        <v/>
      </c>
      <c r="F885">
        <f>IF('TRANSPORT DASHBOARD'!$B$4="Area",IF(884&lt;=$I$3,IF(AND(INDEX(MASTER_AREAS!$F:$F,885)&lt;&gt;"N",OR('TRANSPORT DASHBOARD'!$C$4="",ISNUMBER(SEARCH('TRANSPORT DASHBOARD'!$C$4,INDEX(MASTER_AREAS!$B:$B,885))))),884,""),""),IF('TRANSPORT DASHBOARD'!$B$4="Zone",IF(884&lt;=$I$4,IF(OR('TRANSPORT DASHBOARD'!$C$4="",ISNUMBER(SEARCH('TRANSPORT DASHBOARD'!$C$4,INDEX(MASTER_ZONES!$B:$B,885)))),884,""),""),""))</f>
        <v/>
      </c>
      <c r="K885">
        <f>IF('MIDWEEK DASHBOARD'!$B$4="Area",IF(884&lt;=$N$3,IF(AND(OR('MIDWEEK DASHBOARD'!$C$4="",ISNUMBER(SEARCH('MIDWEEK DASHBOARD'!$C$4,INDEX(MASTER_AREAS!$B:$B,885))))),884,""),""),IF('MIDWEEK DASHBOARD'!$B$4="Zone",IF(884&lt;=$N$4,IF(OR('MIDWEEK DASHBOARD'!$C$4="",ISNUMBER(SEARCH('MIDWEEK DASHBOARD'!$C$4,INDEX(MASTER_ZONES!$B:$B,885)))),884,""),""),""))</f>
        <v/>
      </c>
      <c r="P885">
        <f>IF('CHOP DASHBOARD'!$B$4="Area",IF(884&lt;=$S$3,IF(AND(OR('CHOP DASHBOARD'!$C$4="",ISNUMBER(SEARCH('CHOP DASHBOARD'!$C$4,INDEX(MASTER_AREAS!$B:$B,885))))),884,""),""),IF('CHOP DASHBOARD'!$B$4="Zone",IF(884&lt;=$S$4,IF(OR('CHOP DASHBOARD'!$C$4="",ISNUMBER(SEARCH('CHOP DASHBOARD'!$C$4,INDEX(MASTER_ZONES!$B:$B,885)))),884,""),""),""))</f>
        <v/>
      </c>
      <c r="U885">
        <f>IF('COMMUNITY CHURCH DASHBOARD'!$B$4="Area",IF(884&lt;=$X$3,IF(AND(OR('COMMUNITY CHURCH DASHBOARD'!$C$4="",ISNUMBER(SEARCH('COMMUNITY CHURCH DASHBOARD'!$C$4,INDEX(MASTER_AREAS!$B:$B,885))))),884,""),""),IF('COMMUNITY CHURCH DASHBOARD'!$B$4="Zone",IF(884&lt;=$X$4,IF(OR('COMMUNITY CHURCH DASHBOARD'!$C$4="",ISNUMBER(SEARCH('COMMUNITY CHURCH DASHBOARD'!$C$4,INDEX(MASTER_ZONES!$B:$B,885)))),884,""),""),""))</f>
        <v/>
      </c>
    </row>
    <row r="886">
      <c r="A886">
        <f>IF('WSF DASHBOARD'!$B$4="Area",IF(885&lt;=$D$3,IF(AND(OR('WSF DASHBOARD'!$C$4="",ISNUMBER(SEARCH('WSF DASHBOARD'!$C$4,INDEX(MASTER_AREAS!$B:$B,886))))),885,""),""),IF('WSF DASHBOARD'!$B$4="Zone",IF(885&lt;=$D$4,IF(OR('WSF DASHBOARD'!$C$4="",ISNUMBER(SEARCH('WSF DASHBOARD'!$C$4,INDEX(MASTER_ZONES!$B:$B,886)))),885,""),""),""))</f>
        <v/>
      </c>
      <c r="F886">
        <f>IF('TRANSPORT DASHBOARD'!$B$4="Area",IF(885&lt;=$I$3,IF(AND(INDEX(MASTER_AREAS!$F:$F,886)&lt;&gt;"N",OR('TRANSPORT DASHBOARD'!$C$4="",ISNUMBER(SEARCH('TRANSPORT DASHBOARD'!$C$4,INDEX(MASTER_AREAS!$B:$B,886))))),885,""),""),IF('TRANSPORT DASHBOARD'!$B$4="Zone",IF(885&lt;=$I$4,IF(OR('TRANSPORT DASHBOARD'!$C$4="",ISNUMBER(SEARCH('TRANSPORT DASHBOARD'!$C$4,INDEX(MASTER_ZONES!$B:$B,886)))),885,""),""),""))</f>
        <v/>
      </c>
      <c r="K886">
        <f>IF('MIDWEEK DASHBOARD'!$B$4="Area",IF(885&lt;=$N$3,IF(AND(OR('MIDWEEK DASHBOARD'!$C$4="",ISNUMBER(SEARCH('MIDWEEK DASHBOARD'!$C$4,INDEX(MASTER_AREAS!$B:$B,886))))),885,""),""),IF('MIDWEEK DASHBOARD'!$B$4="Zone",IF(885&lt;=$N$4,IF(OR('MIDWEEK DASHBOARD'!$C$4="",ISNUMBER(SEARCH('MIDWEEK DASHBOARD'!$C$4,INDEX(MASTER_ZONES!$B:$B,886)))),885,""),""),""))</f>
        <v/>
      </c>
      <c r="P886">
        <f>IF('CHOP DASHBOARD'!$B$4="Area",IF(885&lt;=$S$3,IF(AND(OR('CHOP DASHBOARD'!$C$4="",ISNUMBER(SEARCH('CHOP DASHBOARD'!$C$4,INDEX(MASTER_AREAS!$B:$B,886))))),885,""),""),IF('CHOP DASHBOARD'!$B$4="Zone",IF(885&lt;=$S$4,IF(OR('CHOP DASHBOARD'!$C$4="",ISNUMBER(SEARCH('CHOP DASHBOARD'!$C$4,INDEX(MASTER_ZONES!$B:$B,886)))),885,""),""),""))</f>
        <v/>
      </c>
      <c r="U886">
        <f>IF('COMMUNITY CHURCH DASHBOARD'!$B$4="Area",IF(885&lt;=$X$3,IF(AND(OR('COMMUNITY CHURCH DASHBOARD'!$C$4="",ISNUMBER(SEARCH('COMMUNITY CHURCH DASHBOARD'!$C$4,INDEX(MASTER_AREAS!$B:$B,886))))),885,""),""),IF('COMMUNITY CHURCH DASHBOARD'!$B$4="Zone",IF(885&lt;=$X$4,IF(OR('COMMUNITY CHURCH DASHBOARD'!$C$4="",ISNUMBER(SEARCH('COMMUNITY CHURCH DASHBOARD'!$C$4,INDEX(MASTER_ZONES!$B:$B,886)))),885,""),""),""))</f>
        <v/>
      </c>
    </row>
    <row r="887">
      <c r="A887">
        <f>IF('WSF DASHBOARD'!$B$4="Area",IF(886&lt;=$D$3,IF(AND(OR('WSF DASHBOARD'!$C$4="",ISNUMBER(SEARCH('WSF DASHBOARD'!$C$4,INDEX(MASTER_AREAS!$B:$B,887))))),886,""),""),IF('WSF DASHBOARD'!$B$4="Zone",IF(886&lt;=$D$4,IF(OR('WSF DASHBOARD'!$C$4="",ISNUMBER(SEARCH('WSF DASHBOARD'!$C$4,INDEX(MASTER_ZONES!$B:$B,887)))),886,""),""),""))</f>
        <v/>
      </c>
      <c r="F887">
        <f>IF('TRANSPORT DASHBOARD'!$B$4="Area",IF(886&lt;=$I$3,IF(AND(INDEX(MASTER_AREAS!$F:$F,887)&lt;&gt;"N",OR('TRANSPORT DASHBOARD'!$C$4="",ISNUMBER(SEARCH('TRANSPORT DASHBOARD'!$C$4,INDEX(MASTER_AREAS!$B:$B,887))))),886,""),""),IF('TRANSPORT DASHBOARD'!$B$4="Zone",IF(886&lt;=$I$4,IF(OR('TRANSPORT DASHBOARD'!$C$4="",ISNUMBER(SEARCH('TRANSPORT DASHBOARD'!$C$4,INDEX(MASTER_ZONES!$B:$B,887)))),886,""),""),""))</f>
        <v/>
      </c>
      <c r="K887">
        <f>IF('MIDWEEK DASHBOARD'!$B$4="Area",IF(886&lt;=$N$3,IF(AND(OR('MIDWEEK DASHBOARD'!$C$4="",ISNUMBER(SEARCH('MIDWEEK DASHBOARD'!$C$4,INDEX(MASTER_AREAS!$B:$B,887))))),886,""),""),IF('MIDWEEK DASHBOARD'!$B$4="Zone",IF(886&lt;=$N$4,IF(OR('MIDWEEK DASHBOARD'!$C$4="",ISNUMBER(SEARCH('MIDWEEK DASHBOARD'!$C$4,INDEX(MASTER_ZONES!$B:$B,887)))),886,""),""),""))</f>
        <v/>
      </c>
      <c r="P887">
        <f>IF('CHOP DASHBOARD'!$B$4="Area",IF(886&lt;=$S$3,IF(AND(OR('CHOP DASHBOARD'!$C$4="",ISNUMBER(SEARCH('CHOP DASHBOARD'!$C$4,INDEX(MASTER_AREAS!$B:$B,887))))),886,""),""),IF('CHOP DASHBOARD'!$B$4="Zone",IF(886&lt;=$S$4,IF(OR('CHOP DASHBOARD'!$C$4="",ISNUMBER(SEARCH('CHOP DASHBOARD'!$C$4,INDEX(MASTER_ZONES!$B:$B,887)))),886,""),""),""))</f>
        <v/>
      </c>
      <c r="U887">
        <f>IF('COMMUNITY CHURCH DASHBOARD'!$B$4="Area",IF(886&lt;=$X$3,IF(AND(OR('COMMUNITY CHURCH DASHBOARD'!$C$4="",ISNUMBER(SEARCH('COMMUNITY CHURCH DASHBOARD'!$C$4,INDEX(MASTER_AREAS!$B:$B,887))))),886,""),""),IF('COMMUNITY CHURCH DASHBOARD'!$B$4="Zone",IF(886&lt;=$X$4,IF(OR('COMMUNITY CHURCH DASHBOARD'!$C$4="",ISNUMBER(SEARCH('COMMUNITY CHURCH DASHBOARD'!$C$4,INDEX(MASTER_ZONES!$B:$B,887)))),886,""),""),""))</f>
        <v/>
      </c>
    </row>
    <row r="888">
      <c r="A888">
        <f>IF('WSF DASHBOARD'!$B$4="Area",IF(887&lt;=$D$3,IF(AND(OR('WSF DASHBOARD'!$C$4="",ISNUMBER(SEARCH('WSF DASHBOARD'!$C$4,INDEX(MASTER_AREAS!$B:$B,888))))),887,""),""),IF('WSF DASHBOARD'!$B$4="Zone",IF(887&lt;=$D$4,IF(OR('WSF DASHBOARD'!$C$4="",ISNUMBER(SEARCH('WSF DASHBOARD'!$C$4,INDEX(MASTER_ZONES!$B:$B,888)))),887,""),""),""))</f>
        <v/>
      </c>
      <c r="F888">
        <f>IF('TRANSPORT DASHBOARD'!$B$4="Area",IF(887&lt;=$I$3,IF(AND(INDEX(MASTER_AREAS!$F:$F,888)&lt;&gt;"N",OR('TRANSPORT DASHBOARD'!$C$4="",ISNUMBER(SEARCH('TRANSPORT DASHBOARD'!$C$4,INDEX(MASTER_AREAS!$B:$B,888))))),887,""),""),IF('TRANSPORT DASHBOARD'!$B$4="Zone",IF(887&lt;=$I$4,IF(OR('TRANSPORT DASHBOARD'!$C$4="",ISNUMBER(SEARCH('TRANSPORT DASHBOARD'!$C$4,INDEX(MASTER_ZONES!$B:$B,888)))),887,""),""),""))</f>
        <v/>
      </c>
      <c r="K888">
        <f>IF('MIDWEEK DASHBOARD'!$B$4="Area",IF(887&lt;=$N$3,IF(AND(OR('MIDWEEK DASHBOARD'!$C$4="",ISNUMBER(SEARCH('MIDWEEK DASHBOARD'!$C$4,INDEX(MASTER_AREAS!$B:$B,888))))),887,""),""),IF('MIDWEEK DASHBOARD'!$B$4="Zone",IF(887&lt;=$N$4,IF(OR('MIDWEEK DASHBOARD'!$C$4="",ISNUMBER(SEARCH('MIDWEEK DASHBOARD'!$C$4,INDEX(MASTER_ZONES!$B:$B,888)))),887,""),""),""))</f>
        <v/>
      </c>
      <c r="P888">
        <f>IF('CHOP DASHBOARD'!$B$4="Area",IF(887&lt;=$S$3,IF(AND(OR('CHOP DASHBOARD'!$C$4="",ISNUMBER(SEARCH('CHOP DASHBOARD'!$C$4,INDEX(MASTER_AREAS!$B:$B,888))))),887,""),""),IF('CHOP DASHBOARD'!$B$4="Zone",IF(887&lt;=$S$4,IF(OR('CHOP DASHBOARD'!$C$4="",ISNUMBER(SEARCH('CHOP DASHBOARD'!$C$4,INDEX(MASTER_ZONES!$B:$B,888)))),887,""),""),""))</f>
        <v/>
      </c>
      <c r="U888">
        <f>IF('COMMUNITY CHURCH DASHBOARD'!$B$4="Area",IF(887&lt;=$X$3,IF(AND(OR('COMMUNITY CHURCH DASHBOARD'!$C$4="",ISNUMBER(SEARCH('COMMUNITY CHURCH DASHBOARD'!$C$4,INDEX(MASTER_AREAS!$B:$B,888))))),887,""),""),IF('COMMUNITY CHURCH DASHBOARD'!$B$4="Zone",IF(887&lt;=$X$4,IF(OR('COMMUNITY CHURCH DASHBOARD'!$C$4="",ISNUMBER(SEARCH('COMMUNITY CHURCH DASHBOARD'!$C$4,INDEX(MASTER_ZONES!$B:$B,888)))),887,""),""),""))</f>
        <v/>
      </c>
    </row>
    <row r="889">
      <c r="A889">
        <f>IF('WSF DASHBOARD'!$B$4="Area",IF(888&lt;=$D$3,IF(AND(OR('WSF DASHBOARD'!$C$4="",ISNUMBER(SEARCH('WSF DASHBOARD'!$C$4,INDEX(MASTER_AREAS!$B:$B,889))))),888,""),""),IF('WSF DASHBOARD'!$B$4="Zone",IF(888&lt;=$D$4,IF(OR('WSF DASHBOARD'!$C$4="",ISNUMBER(SEARCH('WSF DASHBOARD'!$C$4,INDEX(MASTER_ZONES!$B:$B,889)))),888,""),""),""))</f>
        <v/>
      </c>
      <c r="F889">
        <f>IF('TRANSPORT DASHBOARD'!$B$4="Area",IF(888&lt;=$I$3,IF(AND(INDEX(MASTER_AREAS!$F:$F,889)&lt;&gt;"N",OR('TRANSPORT DASHBOARD'!$C$4="",ISNUMBER(SEARCH('TRANSPORT DASHBOARD'!$C$4,INDEX(MASTER_AREAS!$B:$B,889))))),888,""),""),IF('TRANSPORT DASHBOARD'!$B$4="Zone",IF(888&lt;=$I$4,IF(OR('TRANSPORT DASHBOARD'!$C$4="",ISNUMBER(SEARCH('TRANSPORT DASHBOARD'!$C$4,INDEX(MASTER_ZONES!$B:$B,889)))),888,""),""),""))</f>
        <v/>
      </c>
      <c r="K889">
        <f>IF('MIDWEEK DASHBOARD'!$B$4="Area",IF(888&lt;=$N$3,IF(AND(OR('MIDWEEK DASHBOARD'!$C$4="",ISNUMBER(SEARCH('MIDWEEK DASHBOARD'!$C$4,INDEX(MASTER_AREAS!$B:$B,889))))),888,""),""),IF('MIDWEEK DASHBOARD'!$B$4="Zone",IF(888&lt;=$N$4,IF(OR('MIDWEEK DASHBOARD'!$C$4="",ISNUMBER(SEARCH('MIDWEEK DASHBOARD'!$C$4,INDEX(MASTER_ZONES!$B:$B,889)))),888,""),""),""))</f>
        <v/>
      </c>
      <c r="P889">
        <f>IF('CHOP DASHBOARD'!$B$4="Area",IF(888&lt;=$S$3,IF(AND(OR('CHOP DASHBOARD'!$C$4="",ISNUMBER(SEARCH('CHOP DASHBOARD'!$C$4,INDEX(MASTER_AREAS!$B:$B,889))))),888,""),""),IF('CHOP DASHBOARD'!$B$4="Zone",IF(888&lt;=$S$4,IF(OR('CHOP DASHBOARD'!$C$4="",ISNUMBER(SEARCH('CHOP DASHBOARD'!$C$4,INDEX(MASTER_ZONES!$B:$B,889)))),888,""),""),""))</f>
        <v/>
      </c>
      <c r="U889">
        <f>IF('COMMUNITY CHURCH DASHBOARD'!$B$4="Area",IF(888&lt;=$X$3,IF(AND(OR('COMMUNITY CHURCH DASHBOARD'!$C$4="",ISNUMBER(SEARCH('COMMUNITY CHURCH DASHBOARD'!$C$4,INDEX(MASTER_AREAS!$B:$B,889))))),888,""),""),IF('COMMUNITY CHURCH DASHBOARD'!$B$4="Zone",IF(888&lt;=$X$4,IF(OR('COMMUNITY CHURCH DASHBOARD'!$C$4="",ISNUMBER(SEARCH('COMMUNITY CHURCH DASHBOARD'!$C$4,INDEX(MASTER_ZONES!$B:$B,889)))),888,""),""),""))</f>
        <v/>
      </c>
    </row>
    <row r="890">
      <c r="A890">
        <f>IF('WSF DASHBOARD'!$B$4="Area",IF(889&lt;=$D$3,IF(AND(OR('WSF DASHBOARD'!$C$4="",ISNUMBER(SEARCH('WSF DASHBOARD'!$C$4,INDEX(MASTER_AREAS!$B:$B,890))))),889,""),""),IF('WSF DASHBOARD'!$B$4="Zone",IF(889&lt;=$D$4,IF(OR('WSF DASHBOARD'!$C$4="",ISNUMBER(SEARCH('WSF DASHBOARD'!$C$4,INDEX(MASTER_ZONES!$B:$B,890)))),889,""),""),""))</f>
        <v/>
      </c>
      <c r="F890">
        <f>IF('TRANSPORT DASHBOARD'!$B$4="Area",IF(889&lt;=$I$3,IF(AND(INDEX(MASTER_AREAS!$F:$F,890)&lt;&gt;"N",OR('TRANSPORT DASHBOARD'!$C$4="",ISNUMBER(SEARCH('TRANSPORT DASHBOARD'!$C$4,INDEX(MASTER_AREAS!$B:$B,890))))),889,""),""),IF('TRANSPORT DASHBOARD'!$B$4="Zone",IF(889&lt;=$I$4,IF(OR('TRANSPORT DASHBOARD'!$C$4="",ISNUMBER(SEARCH('TRANSPORT DASHBOARD'!$C$4,INDEX(MASTER_ZONES!$B:$B,890)))),889,""),""),""))</f>
        <v/>
      </c>
      <c r="K890">
        <f>IF('MIDWEEK DASHBOARD'!$B$4="Area",IF(889&lt;=$N$3,IF(AND(OR('MIDWEEK DASHBOARD'!$C$4="",ISNUMBER(SEARCH('MIDWEEK DASHBOARD'!$C$4,INDEX(MASTER_AREAS!$B:$B,890))))),889,""),""),IF('MIDWEEK DASHBOARD'!$B$4="Zone",IF(889&lt;=$N$4,IF(OR('MIDWEEK DASHBOARD'!$C$4="",ISNUMBER(SEARCH('MIDWEEK DASHBOARD'!$C$4,INDEX(MASTER_ZONES!$B:$B,890)))),889,""),""),""))</f>
        <v/>
      </c>
      <c r="P890">
        <f>IF('CHOP DASHBOARD'!$B$4="Area",IF(889&lt;=$S$3,IF(AND(OR('CHOP DASHBOARD'!$C$4="",ISNUMBER(SEARCH('CHOP DASHBOARD'!$C$4,INDEX(MASTER_AREAS!$B:$B,890))))),889,""),""),IF('CHOP DASHBOARD'!$B$4="Zone",IF(889&lt;=$S$4,IF(OR('CHOP DASHBOARD'!$C$4="",ISNUMBER(SEARCH('CHOP DASHBOARD'!$C$4,INDEX(MASTER_ZONES!$B:$B,890)))),889,""),""),""))</f>
        <v/>
      </c>
      <c r="U890">
        <f>IF('COMMUNITY CHURCH DASHBOARD'!$B$4="Area",IF(889&lt;=$X$3,IF(AND(OR('COMMUNITY CHURCH DASHBOARD'!$C$4="",ISNUMBER(SEARCH('COMMUNITY CHURCH DASHBOARD'!$C$4,INDEX(MASTER_AREAS!$B:$B,890))))),889,""),""),IF('COMMUNITY CHURCH DASHBOARD'!$B$4="Zone",IF(889&lt;=$X$4,IF(OR('COMMUNITY CHURCH DASHBOARD'!$C$4="",ISNUMBER(SEARCH('COMMUNITY CHURCH DASHBOARD'!$C$4,INDEX(MASTER_ZONES!$B:$B,890)))),889,""),""),""))</f>
        <v/>
      </c>
    </row>
    <row r="891">
      <c r="A891">
        <f>IF('WSF DASHBOARD'!$B$4="Area",IF(890&lt;=$D$3,IF(AND(OR('WSF DASHBOARD'!$C$4="",ISNUMBER(SEARCH('WSF DASHBOARD'!$C$4,INDEX(MASTER_AREAS!$B:$B,891))))),890,""),""),IF('WSF DASHBOARD'!$B$4="Zone",IF(890&lt;=$D$4,IF(OR('WSF DASHBOARD'!$C$4="",ISNUMBER(SEARCH('WSF DASHBOARD'!$C$4,INDEX(MASTER_ZONES!$B:$B,891)))),890,""),""),""))</f>
        <v/>
      </c>
      <c r="F891">
        <f>IF('TRANSPORT DASHBOARD'!$B$4="Area",IF(890&lt;=$I$3,IF(AND(INDEX(MASTER_AREAS!$F:$F,891)&lt;&gt;"N",OR('TRANSPORT DASHBOARD'!$C$4="",ISNUMBER(SEARCH('TRANSPORT DASHBOARD'!$C$4,INDEX(MASTER_AREAS!$B:$B,891))))),890,""),""),IF('TRANSPORT DASHBOARD'!$B$4="Zone",IF(890&lt;=$I$4,IF(OR('TRANSPORT DASHBOARD'!$C$4="",ISNUMBER(SEARCH('TRANSPORT DASHBOARD'!$C$4,INDEX(MASTER_ZONES!$B:$B,891)))),890,""),""),""))</f>
        <v/>
      </c>
      <c r="K891">
        <f>IF('MIDWEEK DASHBOARD'!$B$4="Area",IF(890&lt;=$N$3,IF(AND(OR('MIDWEEK DASHBOARD'!$C$4="",ISNUMBER(SEARCH('MIDWEEK DASHBOARD'!$C$4,INDEX(MASTER_AREAS!$B:$B,891))))),890,""),""),IF('MIDWEEK DASHBOARD'!$B$4="Zone",IF(890&lt;=$N$4,IF(OR('MIDWEEK DASHBOARD'!$C$4="",ISNUMBER(SEARCH('MIDWEEK DASHBOARD'!$C$4,INDEX(MASTER_ZONES!$B:$B,891)))),890,""),""),""))</f>
        <v/>
      </c>
      <c r="P891">
        <f>IF('CHOP DASHBOARD'!$B$4="Area",IF(890&lt;=$S$3,IF(AND(OR('CHOP DASHBOARD'!$C$4="",ISNUMBER(SEARCH('CHOP DASHBOARD'!$C$4,INDEX(MASTER_AREAS!$B:$B,891))))),890,""),""),IF('CHOP DASHBOARD'!$B$4="Zone",IF(890&lt;=$S$4,IF(OR('CHOP DASHBOARD'!$C$4="",ISNUMBER(SEARCH('CHOP DASHBOARD'!$C$4,INDEX(MASTER_ZONES!$B:$B,891)))),890,""),""),""))</f>
        <v/>
      </c>
      <c r="U891">
        <f>IF('COMMUNITY CHURCH DASHBOARD'!$B$4="Area",IF(890&lt;=$X$3,IF(AND(OR('COMMUNITY CHURCH DASHBOARD'!$C$4="",ISNUMBER(SEARCH('COMMUNITY CHURCH DASHBOARD'!$C$4,INDEX(MASTER_AREAS!$B:$B,891))))),890,""),""),IF('COMMUNITY CHURCH DASHBOARD'!$B$4="Zone",IF(890&lt;=$X$4,IF(OR('COMMUNITY CHURCH DASHBOARD'!$C$4="",ISNUMBER(SEARCH('COMMUNITY CHURCH DASHBOARD'!$C$4,INDEX(MASTER_ZONES!$B:$B,891)))),890,""),""),""))</f>
        <v/>
      </c>
    </row>
    <row r="892">
      <c r="A892">
        <f>IF('WSF DASHBOARD'!$B$4="Area",IF(891&lt;=$D$3,IF(AND(OR('WSF DASHBOARD'!$C$4="",ISNUMBER(SEARCH('WSF DASHBOARD'!$C$4,INDEX(MASTER_AREAS!$B:$B,892))))),891,""),""),IF('WSF DASHBOARD'!$B$4="Zone",IF(891&lt;=$D$4,IF(OR('WSF DASHBOARD'!$C$4="",ISNUMBER(SEARCH('WSF DASHBOARD'!$C$4,INDEX(MASTER_ZONES!$B:$B,892)))),891,""),""),""))</f>
        <v/>
      </c>
      <c r="F892">
        <f>IF('TRANSPORT DASHBOARD'!$B$4="Area",IF(891&lt;=$I$3,IF(AND(INDEX(MASTER_AREAS!$F:$F,892)&lt;&gt;"N",OR('TRANSPORT DASHBOARD'!$C$4="",ISNUMBER(SEARCH('TRANSPORT DASHBOARD'!$C$4,INDEX(MASTER_AREAS!$B:$B,892))))),891,""),""),IF('TRANSPORT DASHBOARD'!$B$4="Zone",IF(891&lt;=$I$4,IF(OR('TRANSPORT DASHBOARD'!$C$4="",ISNUMBER(SEARCH('TRANSPORT DASHBOARD'!$C$4,INDEX(MASTER_ZONES!$B:$B,892)))),891,""),""),""))</f>
        <v/>
      </c>
      <c r="K892">
        <f>IF('MIDWEEK DASHBOARD'!$B$4="Area",IF(891&lt;=$N$3,IF(AND(OR('MIDWEEK DASHBOARD'!$C$4="",ISNUMBER(SEARCH('MIDWEEK DASHBOARD'!$C$4,INDEX(MASTER_AREAS!$B:$B,892))))),891,""),""),IF('MIDWEEK DASHBOARD'!$B$4="Zone",IF(891&lt;=$N$4,IF(OR('MIDWEEK DASHBOARD'!$C$4="",ISNUMBER(SEARCH('MIDWEEK DASHBOARD'!$C$4,INDEX(MASTER_ZONES!$B:$B,892)))),891,""),""),""))</f>
        <v/>
      </c>
      <c r="P892">
        <f>IF('CHOP DASHBOARD'!$B$4="Area",IF(891&lt;=$S$3,IF(AND(OR('CHOP DASHBOARD'!$C$4="",ISNUMBER(SEARCH('CHOP DASHBOARD'!$C$4,INDEX(MASTER_AREAS!$B:$B,892))))),891,""),""),IF('CHOP DASHBOARD'!$B$4="Zone",IF(891&lt;=$S$4,IF(OR('CHOP DASHBOARD'!$C$4="",ISNUMBER(SEARCH('CHOP DASHBOARD'!$C$4,INDEX(MASTER_ZONES!$B:$B,892)))),891,""),""),""))</f>
        <v/>
      </c>
      <c r="U892">
        <f>IF('COMMUNITY CHURCH DASHBOARD'!$B$4="Area",IF(891&lt;=$X$3,IF(AND(OR('COMMUNITY CHURCH DASHBOARD'!$C$4="",ISNUMBER(SEARCH('COMMUNITY CHURCH DASHBOARD'!$C$4,INDEX(MASTER_AREAS!$B:$B,892))))),891,""),""),IF('COMMUNITY CHURCH DASHBOARD'!$B$4="Zone",IF(891&lt;=$X$4,IF(OR('COMMUNITY CHURCH DASHBOARD'!$C$4="",ISNUMBER(SEARCH('COMMUNITY CHURCH DASHBOARD'!$C$4,INDEX(MASTER_ZONES!$B:$B,892)))),891,""),""),""))</f>
        <v/>
      </c>
    </row>
    <row r="893">
      <c r="A893">
        <f>IF('WSF DASHBOARD'!$B$4="Area",IF(892&lt;=$D$3,IF(AND(OR('WSF DASHBOARD'!$C$4="",ISNUMBER(SEARCH('WSF DASHBOARD'!$C$4,INDEX(MASTER_AREAS!$B:$B,893))))),892,""),""),IF('WSF DASHBOARD'!$B$4="Zone",IF(892&lt;=$D$4,IF(OR('WSF DASHBOARD'!$C$4="",ISNUMBER(SEARCH('WSF DASHBOARD'!$C$4,INDEX(MASTER_ZONES!$B:$B,893)))),892,""),""),""))</f>
        <v/>
      </c>
      <c r="F893">
        <f>IF('TRANSPORT DASHBOARD'!$B$4="Area",IF(892&lt;=$I$3,IF(AND(INDEX(MASTER_AREAS!$F:$F,893)&lt;&gt;"N",OR('TRANSPORT DASHBOARD'!$C$4="",ISNUMBER(SEARCH('TRANSPORT DASHBOARD'!$C$4,INDEX(MASTER_AREAS!$B:$B,893))))),892,""),""),IF('TRANSPORT DASHBOARD'!$B$4="Zone",IF(892&lt;=$I$4,IF(OR('TRANSPORT DASHBOARD'!$C$4="",ISNUMBER(SEARCH('TRANSPORT DASHBOARD'!$C$4,INDEX(MASTER_ZONES!$B:$B,893)))),892,""),""),""))</f>
        <v/>
      </c>
      <c r="K893">
        <f>IF('MIDWEEK DASHBOARD'!$B$4="Area",IF(892&lt;=$N$3,IF(AND(OR('MIDWEEK DASHBOARD'!$C$4="",ISNUMBER(SEARCH('MIDWEEK DASHBOARD'!$C$4,INDEX(MASTER_AREAS!$B:$B,893))))),892,""),""),IF('MIDWEEK DASHBOARD'!$B$4="Zone",IF(892&lt;=$N$4,IF(OR('MIDWEEK DASHBOARD'!$C$4="",ISNUMBER(SEARCH('MIDWEEK DASHBOARD'!$C$4,INDEX(MASTER_ZONES!$B:$B,893)))),892,""),""),""))</f>
        <v/>
      </c>
      <c r="P893">
        <f>IF('CHOP DASHBOARD'!$B$4="Area",IF(892&lt;=$S$3,IF(AND(OR('CHOP DASHBOARD'!$C$4="",ISNUMBER(SEARCH('CHOP DASHBOARD'!$C$4,INDEX(MASTER_AREAS!$B:$B,893))))),892,""),""),IF('CHOP DASHBOARD'!$B$4="Zone",IF(892&lt;=$S$4,IF(OR('CHOP DASHBOARD'!$C$4="",ISNUMBER(SEARCH('CHOP DASHBOARD'!$C$4,INDEX(MASTER_ZONES!$B:$B,893)))),892,""),""),""))</f>
        <v/>
      </c>
      <c r="U893">
        <f>IF('COMMUNITY CHURCH DASHBOARD'!$B$4="Area",IF(892&lt;=$X$3,IF(AND(OR('COMMUNITY CHURCH DASHBOARD'!$C$4="",ISNUMBER(SEARCH('COMMUNITY CHURCH DASHBOARD'!$C$4,INDEX(MASTER_AREAS!$B:$B,893))))),892,""),""),IF('COMMUNITY CHURCH DASHBOARD'!$B$4="Zone",IF(892&lt;=$X$4,IF(OR('COMMUNITY CHURCH DASHBOARD'!$C$4="",ISNUMBER(SEARCH('COMMUNITY CHURCH DASHBOARD'!$C$4,INDEX(MASTER_ZONES!$B:$B,893)))),892,""),""),""))</f>
        <v/>
      </c>
    </row>
    <row r="894">
      <c r="A894">
        <f>IF('WSF DASHBOARD'!$B$4="Area",IF(893&lt;=$D$3,IF(AND(OR('WSF DASHBOARD'!$C$4="",ISNUMBER(SEARCH('WSF DASHBOARD'!$C$4,INDEX(MASTER_AREAS!$B:$B,894))))),893,""),""),IF('WSF DASHBOARD'!$B$4="Zone",IF(893&lt;=$D$4,IF(OR('WSF DASHBOARD'!$C$4="",ISNUMBER(SEARCH('WSF DASHBOARD'!$C$4,INDEX(MASTER_ZONES!$B:$B,894)))),893,""),""),""))</f>
        <v/>
      </c>
      <c r="F894">
        <f>IF('TRANSPORT DASHBOARD'!$B$4="Area",IF(893&lt;=$I$3,IF(AND(INDEX(MASTER_AREAS!$F:$F,894)&lt;&gt;"N",OR('TRANSPORT DASHBOARD'!$C$4="",ISNUMBER(SEARCH('TRANSPORT DASHBOARD'!$C$4,INDEX(MASTER_AREAS!$B:$B,894))))),893,""),""),IF('TRANSPORT DASHBOARD'!$B$4="Zone",IF(893&lt;=$I$4,IF(OR('TRANSPORT DASHBOARD'!$C$4="",ISNUMBER(SEARCH('TRANSPORT DASHBOARD'!$C$4,INDEX(MASTER_ZONES!$B:$B,894)))),893,""),""),""))</f>
        <v/>
      </c>
      <c r="K894">
        <f>IF('MIDWEEK DASHBOARD'!$B$4="Area",IF(893&lt;=$N$3,IF(AND(OR('MIDWEEK DASHBOARD'!$C$4="",ISNUMBER(SEARCH('MIDWEEK DASHBOARD'!$C$4,INDEX(MASTER_AREAS!$B:$B,894))))),893,""),""),IF('MIDWEEK DASHBOARD'!$B$4="Zone",IF(893&lt;=$N$4,IF(OR('MIDWEEK DASHBOARD'!$C$4="",ISNUMBER(SEARCH('MIDWEEK DASHBOARD'!$C$4,INDEX(MASTER_ZONES!$B:$B,894)))),893,""),""),""))</f>
        <v/>
      </c>
      <c r="P894">
        <f>IF('CHOP DASHBOARD'!$B$4="Area",IF(893&lt;=$S$3,IF(AND(OR('CHOP DASHBOARD'!$C$4="",ISNUMBER(SEARCH('CHOP DASHBOARD'!$C$4,INDEX(MASTER_AREAS!$B:$B,894))))),893,""),""),IF('CHOP DASHBOARD'!$B$4="Zone",IF(893&lt;=$S$4,IF(OR('CHOP DASHBOARD'!$C$4="",ISNUMBER(SEARCH('CHOP DASHBOARD'!$C$4,INDEX(MASTER_ZONES!$B:$B,894)))),893,""),""),""))</f>
        <v/>
      </c>
      <c r="U894">
        <f>IF('COMMUNITY CHURCH DASHBOARD'!$B$4="Area",IF(893&lt;=$X$3,IF(AND(OR('COMMUNITY CHURCH DASHBOARD'!$C$4="",ISNUMBER(SEARCH('COMMUNITY CHURCH DASHBOARD'!$C$4,INDEX(MASTER_AREAS!$B:$B,894))))),893,""),""),IF('COMMUNITY CHURCH DASHBOARD'!$B$4="Zone",IF(893&lt;=$X$4,IF(OR('COMMUNITY CHURCH DASHBOARD'!$C$4="",ISNUMBER(SEARCH('COMMUNITY CHURCH DASHBOARD'!$C$4,INDEX(MASTER_ZONES!$B:$B,894)))),893,""),""),""))</f>
        <v/>
      </c>
    </row>
    <row r="895">
      <c r="A895">
        <f>IF('WSF DASHBOARD'!$B$4="Area",IF(894&lt;=$D$3,IF(AND(OR('WSF DASHBOARD'!$C$4="",ISNUMBER(SEARCH('WSF DASHBOARD'!$C$4,INDEX(MASTER_AREAS!$B:$B,895))))),894,""),""),IF('WSF DASHBOARD'!$B$4="Zone",IF(894&lt;=$D$4,IF(OR('WSF DASHBOARD'!$C$4="",ISNUMBER(SEARCH('WSF DASHBOARD'!$C$4,INDEX(MASTER_ZONES!$B:$B,895)))),894,""),""),""))</f>
        <v/>
      </c>
      <c r="F895">
        <f>IF('TRANSPORT DASHBOARD'!$B$4="Area",IF(894&lt;=$I$3,IF(AND(INDEX(MASTER_AREAS!$F:$F,895)&lt;&gt;"N",OR('TRANSPORT DASHBOARD'!$C$4="",ISNUMBER(SEARCH('TRANSPORT DASHBOARD'!$C$4,INDEX(MASTER_AREAS!$B:$B,895))))),894,""),""),IF('TRANSPORT DASHBOARD'!$B$4="Zone",IF(894&lt;=$I$4,IF(OR('TRANSPORT DASHBOARD'!$C$4="",ISNUMBER(SEARCH('TRANSPORT DASHBOARD'!$C$4,INDEX(MASTER_ZONES!$B:$B,895)))),894,""),""),""))</f>
        <v/>
      </c>
      <c r="K895">
        <f>IF('MIDWEEK DASHBOARD'!$B$4="Area",IF(894&lt;=$N$3,IF(AND(OR('MIDWEEK DASHBOARD'!$C$4="",ISNUMBER(SEARCH('MIDWEEK DASHBOARD'!$C$4,INDEX(MASTER_AREAS!$B:$B,895))))),894,""),""),IF('MIDWEEK DASHBOARD'!$B$4="Zone",IF(894&lt;=$N$4,IF(OR('MIDWEEK DASHBOARD'!$C$4="",ISNUMBER(SEARCH('MIDWEEK DASHBOARD'!$C$4,INDEX(MASTER_ZONES!$B:$B,895)))),894,""),""),""))</f>
        <v/>
      </c>
      <c r="P895">
        <f>IF('CHOP DASHBOARD'!$B$4="Area",IF(894&lt;=$S$3,IF(AND(OR('CHOP DASHBOARD'!$C$4="",ISNUMBER(SEARCH('CHOP DASHBOARD'!$C$4,INDEX(MASTER_AREAS!$B:$B,895))))),894,""),""),IF('CHOP DASHBOARD'!$B$4="Zone",IF(894&lt;=$S$4,IF(OR('CHOP DASHBOARD'!$C$4="",ISNUMBER(SEARCH('CHOP DASHBOARD'!$C$4,INDEX(MASTER_ZONES!$B:$B,895)))),894,""),""),""))</f>
        <v/>
      </c>
      <c r="U895">
        <f>IF('COMMUNITY CHURCH DASHBOARD'!$B$4="Area",IF(894&lt;=$X$3,IF(AND(OR('COMMUNITY CHURCH DASHBOARD'!$C$4="",ISNUMBER(SEARCH('COMMUNITY CHURCH DASHBOARD'!$C$4,INDEX(MASTER_AREAS!$B:$B,895))))),894,""),""),IF('COMMUNITY CHURCH DASHBOARD'!$B$4="Zone",IF(894&lt;=$X$4,IF(OR('COMMUNITY CHURCH DASHBOARD'!$C$4="",ISNUMBER(SEARCH('COMMUNITY CHURCH DASHBOARD'!$C$4,INDEX(MASTER_ZONES!$B:$B,895)))),894,""),""),""))</f>
        <v/>
      </c>
    </row>
    <row r="896">
      <c r="A896">
        <f>IF('WSF DASHBOARD'!$B$4="Area",IF(895&lt;=$D$3,IF(AND(OR('WSF DASHBOARD'!$C$4="",ISNUMBER(SEARCH('WSF DASHBOARD'!$C$4,INDEX(MASTER_AREAS!$B:$B,896))))),895,""),""),IF('WSF DASHBOARD'!$B$4="Zone",IF(895&lt;=$D$4,IF(OR('WSF DASHBOARD'!$C$4="",ISNUMBER(SEARCH('WSF DASHBOARD'!$C$4,INDEX(MASTER_ZONES!$B:$B,896)))),895,""),""),""))</f>
        <v/>
      </c>
      <c r="F896">
        <f>IF('TRANSPORT DASHBOARD'!$B$4="Area",IF(895&lt;=$I$3,IF(AND(INDEX(MASTER_AREAS!$F:$F,896)&lt;&gt;"N",OR('TRANSPORT DASHBOARD'!$C$4="",ISNUMBER(SEARCH('TRANSPORT DASHBOARD'!$C$4,INDEX(MASTER_AREAS!$B:$B,896))))),895,""),""),IF('TRANSPORT DASHBOARD'!$B$4="Zone",IF(895&lt;=$I$4,IF(OR('TRANSPORT DASHBOARD'!$C$4="",ISNUMBER(SEARCH('TRANSPORT DASHBOARD'!$C$4,INDEX(MASTER_ZONES!$B:$B,896)))),895,""),""),""))</f>
        <v/>
      </c>
      <c r="K896">
        <f>IF('MIDWEEK DASHBOARD'!$B$4="Area",IF(895&lt;=$N$3,IF(AND(OR('MIDWEEK DASHBOARD'!$C$4="",ISNUMBER(SEARCH('MIDWEEK DASHBOARD'!$C$4,INDEX(MASTER_AREAS!$B:$B,896))))),895,""),""),IF('MIDWEEK DASHBOARD'!$B$4="Zone",IF(895&lt;=$N$4,IF(OR('MIDWEEK DASHBOARD'!$C$4="",ISNUMBER(SEARCH('MIDWEEK DASHBOARD'!$C$4,INDEX(MASTER_ZONES!$B:$B,896)))),895,""),""),""))</f>
        <v/>
      </c>
      <c r="P896">
        <f>IF('CHOP DASHBOARD'!$B$4="Area",IF(895&lt;=$S$3,IF(AND(OR('CHOP DASHBOARD'!$C$4="",ISNUMBER(SEARCH('CHOP DASHBOARD'!$C$4,INDEX(MASTER_AREAS!$B:$B,896))))),895,""),""),IF('CHOP DASHBOARD'!$B$4="Zone",IF(895&lt;=$S$4,IF(OR('CHOP DASHBOARD'!$C$4="",ISNUMBER(SEARCH('CHOP DASHBOARD'!$C$4,INDEX(MASTER_ZONES!$B:$B,896)))),895,""),""),""))</f>
        <v/>
      </c>
      <c r="U896">
        <f>IF('COMMUNITY CHURCH DASHBOARD'!$B$4="Area",IF(895&lt;=$X$3,IF(AND(OR('COMMUNITY CHURCH DASHBOARD'!$C$4="",ISNUMBER(SEARCH('COMMUNITY CHURCH DASHBOARD'!$C$4,INDEX(MASTER_AREAS!$B:$B,896))))),895,""),""),IF('COMMUNITY CHURCH DASHBOARD'!$B$4="Zone",IF(895&lt;=$X$4,IF(OR('COMMUNITY CHURCH DASHBOARD'!$C$4="",ISNUMBER(SEARCH('COMMUNITY CHURCH DASHBOARD'!$C$4,INDEX(MASTER_ZONES!$B:$B,896)))),895,""),""),""))</f>
        <v/>
      </c>
    </row>
    <row r="897">
      <c r="A897">
        <f>IF('WSF DASHBOARD'!$B$4="Area",IF(896&lt;=$D$3,IF(AND(OR('WSF DASHBOARD'!$C$4="",ISNUMBER(SEARCH('WSF DASHBOARD'!$C$4,INDEX(MASTER_AREAS!$B:$B,897))))),896,""),""),IF('WSF DASHBOARD'!$B$4="Zone",IF(896&lt;=$D$4,IF(OR('WSF DASHBOARD'!$C$4="",ISNUMBER(SEARCH('WSF DASHBOARD'!$C$4,INDEX(MASTER_ZONES!$B:$B,897)))),896,""),""),""))</f>
        <v/>
      </c>
      <c r="F897">
        <f>IF('TRANSPORT DASHBOARD'!$B$4="Area",IF(896&lt;=$I$3,IF(AND(INDEX(MASTER_AREAS!$F:$F,897)&lt;&gt;"N",OR('TRANSPORT DASHBOARD'!$C$4="",ISNUMBER(SEARCH('TRANSPORT DASHBOARD'!$C$4,INDEX(MASTER_AREAS!$B:$B,897))))),896,""),""),IF('TRANSPORT DASHBOARD'!$B$4="Zone",IF(896&lt;=$I$4,IF(OR('TRANSPORT DASHBOARD'!$C$4="",ISNUMBER(SEARCH('TRANSPORT DASHBOARD'!$C$4,INDEX(MASTER_ZONES!$B:$B,897)))),896,""),""),""))</f>
        <v/>
      </c>
      <c r="K897">
        <f>IF('MIDWEEK DASHBOARD'!$B$4="Area",IF(896&lt;=$N$3,IF(AND(OR('MIDWEEK DASHBOARD'!$C$4="",ISNUMBER(SEARCH('MIDWEEK DASHBOARD'!$C$4,INDEX(MASTER_AREAS!$B:$B,897))))),896,""),""),IF('MIDWEEK DASHBOARD'!$B$4="Zone",IF(896&lt;=$N$4,IF(OR('MIDWEEK DASHBOARD'!$C$4="",ISNUMBER(SEARCH('MIDWEEK DASHBOARD'!$C$4,INDEX(MASTER_ZONES!$B:$B,897)))),896,""),""),""))</f>
        <v/>
      </c>
      <c r="P897">
        <f>IF('CHOP DASHBOARD'!$B$4="Area",IF(896&lt;=$S$3,IF(AND(OR('CHOP DASHBOARD'!$C$4="",ISNUMBER(SEARCH('CHOP DASHBOARD'!$C$4,INDEX(MASTER_AREAS!$B:$B,897))))),896,""),""),IF('CHOP DASHBOARD'!$B$4="Zone",IF(896&lt;=$S$4,IF(OR('CHOP DASHBOARD'!$C$4="",ISNUMBER(SEARCH('CHOP DASHBOARD'!$C$4,INDEX(MASTER_ZONES!$B:$B,897)))),896,""),""),""))</f>
        <v/>
      </c>
      <c r="U897">
        <f>IF('COMMUNITY CHURCH DASHBOARD'!$B$4="Area",IF(896&lt;=$X$3,IF(AND(OR('COMMUNITY CHURCH DASHBOARD'!$C$4="",ISNUMBER(SEARCH('COMMUNITY CHURCH DASHBOARD'!$C$4,INDEX(MASTER_AREAS!$B:$B,897))))),896,""),""),IF('COMMUNITY CHURCH DASHBOARD'!$B$4="Zone",IF(896&lt;=$X$4,IF(OR('COMMUNITY CHURCH DASHBOARD'!$C$4="",ISNUMBER(SEARCH('COMMUNITY CHURCH DASHBOARD'!$C$4,INDEX(MASTER_ZONES!$B:$B,897)))),896,""),""),""))</f>
        <v/>
      </c>
    </row>
    <row r="898">
      <c r="A898">
        <f>IF('WSF DASHBOARD'!$B$4="Area",IF(897&lt;=$D$3,IF(AND(OR('WSF DASHBOARD'!$C$4="",ISNUMBER(SEARCH('WSF DASHBOARD'!$C$4,INDEX(MASTER_AREAS!$B:$B,898))))),897,""),""),IF('WSF DASHBOARD'!$B$4="Zone",IF(897&lt;=$D$4,IF(OR('WSF DASHBOARD'!$C$4="",ISNUMBER(SEARCH('WSF DASHBOARD'!$C$4,INDEX(MASTER_ZONES!$B:$B,898)))),897,""),""),""))</f>
        <v/>
      </c>
      <c r="F898">
        <f>IF('TRANSPORT DASHBOARD'!$B$4="Area",IF(897&lt;=$I$3,IF(AND(INDEX(MASTER_AREAS!$F:$F,898)&lt;&gt;"N",OR('TRANSPORT DASHBOARD'!$C$4="",ISNUMBER(SEARCH('TRANSPORT DASHBOARD'!$C$4,INDEX(MASTER_AREAS!$B:$B,898))))),897,""),""),IF('TRANSPORT DASHBOARD'!$B$4="Zone",IF(897&lt;=$I$4,IF(OR('TRANSPORT DASHBOARD'!$C$4="",ISNUMBER(SEARCH('TRANSPORT DASHBOARD'!$C$4,INDEX(MASTER_ZONES!$B:$B,898)))),897,""),""),""))</f>
        <v/>
      </c>
      <c r="K898">
        <f>IF('MIDWEEK DASHBOARD'!$B$4="Area",IF(897&lt;=$N$3,IF(AND(OR('MIDWEEK DASHBOARD'!$C$4="",ISNUMBER(SEARCH('MIDWEEK DASHBOARD'!$C$4,INDEX(MASTER_AREAS!$B:$B,898))))),897,""),""),IF('MIDWEEK DASHBOARD'!$B$4="Zone",IF(897&lt;=$N$4,IF(OR('MIDWEEK DASHBOARD'!$C$4="",ISNUMBER(SEARCH('MIDWEEK DASHBOARD'!$C$4,INDEX(MASTER_ZONES!$B:$B,898)))),897,""),""),""))</f>
        <v/>
      </c>
      <c r="P898">
        <f>IF('CHOP DASHBOARD'!$B$4="Area",IF(897&lt;=$S$3,IF(AND(OR('CHOP DASHBOARD'!$C$4="",ISNUMBER(SEARCH('CHOP DASHBOARD'!$C$4,INDEX(MASTER_AREAS!$B:$B,898))))),897,""),""),IF('CHOP DASHBOARD'!$B$4="Zone",IF(897&lt;=$S$4,IF(OR('CHOP DASHBOARD'!$C$4="",ISNUMBER(SEARCH('CHOP DASHBOARD'!$C$4,INDEX(MASTER_ZONES!$B:$B,898)))),897,""),""),""))</f>
        <v/>
      </c>
      <c r="U898">
        <f>IF('COMMUNITY CHURCH DASHBOARD'!$B$4="Area",IF(897&lt;=$X$3,IF(AND(OR('COMMUNITY CHURCH DASHBOARD'!$C$4="",ISNUMBER(SEARCH('COMMUNITY CHURCH DASHBOARD'!$C$4,INDEX(MASTER_AREAS!$B:$B,898))))),897,""),""),IF('COMMUNITY CHURCH DASHBOARD'!$B$4="Zone",IF(897&lt;=$X$4,IF(OR('COMMUNITY CHURCH DASHBOARD'!$C$4="",ISNUMBER(SEARCH('COMMUNITY CHURCH DASHBOARD'!$C$4,INDEX(MASTER_ZONES!$B:$B,898)))),897,""),""),""))</f>
        <v/>
      </c>
    </row>
    <row r="899">
      <c r="A899">
        <f>IF('WSF DASHBOARD'!$B$4="Area",IF(898&lt;=$D$3,IF(AND(OR('WSF DASHBOARD'!$C$4="",ISNUMBER(SEARCH('WSF DASHBOARD'!$C$4,INDEX(MASTER_AREAS!$B:$B,899))))),898,""),""),IF('WSF DASHBOARD'!$B$4="Zone",IF(898&lt;=$D$4,IF(OR('WSF DASHBOARD'!$C$4="",ISNUMBER(SEARCH('WSF DASHBOARD'!$C$4,INDEX(MASTER_ZONES!$B:$B,899)))),898,""),""),""))</f>
        <v/>
      </c>
      <c r="F899">
        <f>IF('TRANSPORT DASHBOARD'!$B$4="Area",IF(898&lt;=$I$3,IF(AND(INDEX(MASTER_AREAS!$F:$F,899)&lt;&gt;"N",OR('TRANSPORT DASHBOARD'!$C$4="",ISNUMBER(SEARCH('TRANSPORT DASHBOARD'!$C$4,INDEX(MASTER_AREAS!$B:$B,899))))),898,""),""),IF('TRANSPORT DASHBOARD'!$B$4="Zone",IF(898&lt;=$I$4,IF(OR('TRANSPORT DASHBOARD'!$C$4="",ISNUMBER(SEARCH('TRANSPORT DASHBOARD'!$C$4,INDEX(MASTER_ZONES!$B:$B,899)))),898,""),""),""))</f>
        <v/>
      </c>
      <c r="K899">
        <f>IF('MIDWEEK DASHBOARD'!$B$4="Area",IF(898&lt;=$N$3,IF(AND(OR('MIDWEEK DASHBOARD'!$C$4="",ISNUMBER(SEARCH('MIDWEEK DASHBOARD'!$C$4,INDEX(MASTER_AREAS!$B:$B,899))))),898,""),""),IF('MIDWEEK DASHBOARD'!$B$4="Zone",IF(898&lt;=$N$4,IF(OR('MIDWEEK DASHBOARD'!$C$4="",ISNUMBER(SEARCH('MIDWEEK DASHBOARD'!$C$4,INDEX(MASTER_ZONES!$B:$B,899)))),898,""),""),""))</f>
        <v/>
      </c>
      <c r="P899">
        <f>IF('CHOP DASHBOARD'!$B$4="Area",IF(898&lt;=$S$3,IF(AND(OR('CHOP DASHBOARD'!$C$4="",ISNUMBER(SEARCH('CHOP DASHBOARD'!$C$4,INDEX(MASTER_AREAS!$B:$B,899))))),898,""),""),IF('CHOP DASHBOARD'!$B$4="Zone",IF(898&lt;=$S$4,IF(OR('CHOP DASHBOARD'!$C$4="",ISNUMBER(SEARCH('CHOP DASHBOARD'!$C$4,INDEX(MASTER_ZONES!$B:$B,899)))),898,""),""),""))</f>
        <v/>
      </c>
      <c r="U899">
        <f>IF('COMMUNITY CHURCH DASHBOARD'!$B$4="Area",IF(898&lt;=$X$3,IF(AND(OR('COMMUNITY CHURCH DASHBOARD'!$C$4="",ISNUMBER(SEARCH('COMMUNITY CHURCH DASHBOARD'!$C$4,INDEX(MASTER_AREAS!$B:$B,899))))),898,""),""),IF('COMMUNITY CHURCH DASHBOARD'!$B$4="Zone",IF(898&lt;=$X$4,IF(OR('COMMUNITY CHURCH DASHBOARD'!$C$4="",ISNUMBER(SEARCH('COMMUNITY CHURCH DASHBOARD'!$C$4,INDEX(MASTER_ZONES!$B:$B,899)))),898,""),""),""))</f>
        <v/>
      </c>
    </row>
    <row r="900">
      <c r="A900">
        <f>IF('WSF DASHBOARD'!$B$4="Area",IF(899&lt;=$D$3,IF(AND(OR('WSF DASHBOARD'!$C$4="",ISNUMBER(SEARCH('WSF DASHBOARD'!$C$4,INDEX(MASTER_AREAS!$B:$B,900))))),899,""),""),IF('WSF DASHBOARD'!$B$4="Zone",IF(899&lt;=$D$4,IF(OR('WSF DASHBOARD'!$C$4="",ISNUMBER(SEARCH('WSF DASHBOARD'!$C$4,INDEX(MASTER_ZONES!$B:$B,900)))),899,""),""),""))</f>
        <v/>
      </c>
      <c r="F900">
        <f>IF('TRANSPORT DASHBOARD'!$B$4="Area",IF(899&lt;=$I$3,IF(AND(INDEX(MASTER_AREAS!$F:$F,900)&lt;&gt;"N",OR('TRANSPORT DASHBOARD'!$C$4="",ISNUMBER(SEARCH('TRANSPORT DASHBOARD'!$C$4,INDEX(MASTER_AREAS!$B:$B,900))))),899,""),""),IF('TRANSPORT DASHBOARD'!$B$4="Zone",IF(899&lt;=$I$4,IF(OR('TRANSPORT DASHBOARD'!$C$4="",ISNUMBER(SEARCH('TRANSPORT DASHBOARD'!$C$4,INDEX(MASTER_ZONES!$B:$B,900)))),899,""),""),""))</f>
        <v/>
      </c>
      <c r="K900">
        <f>IF('MIDWEEK DASHBOARD'!$B$4="Area",IF(899&lt;=$N$3,IF(AND(OR('MIDWEEK DASHBOARD'!$C$4="",ISNUMBER(SEARCH('MIDWEEK DASHBOARD'!$C$4,INDEX(MASTER_AREAS!$B:$B,900))))),899,""),""),IF('MIDWEEK DASHBOARD'!$B$4="Zone",IF(899&lt;=$N$4,IF(OR('MIDWEEK DASHBOARD'!$C$4="",ISNUMBER(SEARCH('MIDWEEK DASHBOARD'!$C$4,INDEX(MASTER_ZONES!$B:$B,900)))),899,""),""),""))</f>
        <v/>
      </c>
      <c r="P900">
        <f>IF('CHOP DASHBOARD'!$B$4="Area",IF(899&lt;=$S$3,IF(AND(OR('CHOP DASHBOARD'!$C$4="",ISNUMBER(SEARCH('CHOP DASHBOARD'!$C$4,INDEX(MASTER_AREAS!$B:$B,900))))),899,""),""),IF('CHOP DASHBOARD'!$B$4="Zone",IF(899&lt;=$S$4,IF(OR('CHOP DASHBOARD'!$C$4="",ISNUMBER(SEARCH('CHOP DASHBOARD'!$C$4,INDEX(MASTER_ZONES!$B:$B,900)))),899,""),""),""))</f>
        <v/>
      </c>
      <c r="U900">
        <f>IF('COMMUNITY CHURCH DASHBOARD'!$B$4="Area",IF(899&lt;=$X$3,IF(AND(OR('COMMUNITY CHURCH DASHBOARD'!$C$4="",ISNUMBER(SEARCH('COMMUNITY CHURCH DASHBOARD'!$C$4,INDEX(MASTER_AREAS!$B:$B,900))))),899,""),""),IF('COMMUNITY CHURCH DASHBOARD'!$B$4="Zone",IF(899&lt;=$X$4,IF(OR('COMMUNITY CHURCH DASHBOARD'!$C$4="",ISNUMBER(SEARCH('COMMUNITY CHURCH DASHBOARD'!$C$4,INDEX(MASTER_ZONES!$B:$B,900)))),899,""),""),""))</f>
        <v/>
      </c>
    </row>
    <row r="901">
      <c r="A901">
        <f>IF('WSF DASHBOARD'!$B$4="Area",IF(900&lt;=$D$3,IF(AND(OR('WSF DASHBOARD'!$C$4="",ISNUMBER(SEARCH('WSF DASHBOARD'!$C$4,INDEX(MASTER_AREAS!$B:$B,901))))),900,""),""),IF('WSF DASHBOARD'!$B$4="Zone",IF(900&lt;=$D$4,IF(OR('WSF DASHBOARD'!$C$4="",ISNUMBER(SEARCH('WSF DASHBOARD'!$C$4,INDEX(MASTER_ZONES!$B:$B,901)))),900,""),""),""))</f>
        <v/>
      </c>
      <c r="F901">
        <f>IF('TRANSPORT DASHBOARD'!$B$4="Area",IF(900&lt;=$I$3,IF(AND(INDEX(MASTER_AREAS!$F:$F,901)&lt;&gt;"N",OR('TRANSPORT DASHBOARD'!$C$4="",ISNUMBER(SEARCH('TRANSPORT DASHBOARD'!$C$4,INDEX(MASTER_AREAS!$B:$B,901))))),900,""),""),IF('TRANSPORT DASHBOARD'!$B$4="Zone",IF(900&lt;=$I$4,IF(OR('TRANSPORT DASHBOARD'!$C$4="",ISNUMBER(SEARCH('TRANSPORT DASHBOARD'!$C$4,INDEX(MASTER_ZONES!$B:$B,901)))),900,""),""),""))</f>
        <v/>
      </c>
      <c r="K901">
        <f>IF('MIDWEEK DASHBOARD'!$B$4="Area",IF(900&lt;=$N$3,IF(AND(OR('MIDWEEK DASHBOARD'!$C$4="",ISNUMBER(SEARCH('MIDWEEK DASHBOARD'!$C$4,INDEX(MASTER_AREAS!$B:$B,901))))),900,""),""),IF('MIDWEEK DASHBOARD'!$B$4="Zone",IF(900&lt;=$N$4,IF(OR('MIDWEEK DASHBOARD'!$C$4="",ISNUMBER(SEARCH('MIDWEEK DASHBOARD'!$C$4,INDEX(MASTER_ZONES!$B:$B,901)))),900,""),""),""))</f>
        <v/>
      </c>
      <c r="P901">
        <f>IF('CHOP DASHBOARD'!$B$4="Area",IF(900&lt;=$S$3,IF(AND(OR('CHOP DASHBOARD'!$C$4="",ISNUMBER(SEARCH('CHOP DASHBOARD'!$C$4,INDEX(MASTER_AREAS!$B:$B,901))))),900,""),""),IF('CHOP DASHBOARD'!$B$4="Zone",IF(900&lt;=$S$4,IF(OR('CHOP DASHBOARD'!$C$4="",ISNUMBER(SEARCH('CHOP DASHBOARD'!$C$4,INDEX(MASTER_ZONES!$B:$B,901)))),900,""),""),""))</f>
        <v/>
      </c>
      <c r="U901">
        <f>IF('COMMUNITY CHURCH DASHBOARD'!$B$4="Area",IF(900&lt;=$X$3,IF(AND(OR('COMMUNITY CHURCH DASHBOARD'!$C$4="",ISNUMBER(SEARCH('COMMUNITY CHURCH DASHBOARD'!$C$4,INDEX(MASTER_AREAS!$B:$B,901))))),900,""),""),IF('COMMUNITY CHURCH DASHBOARD'!$B$4="Zone",IF(900&lt;=$X$4,IF(OR('COMMUNITY CHURCH DASHBOARD'!$C$4="",ISNUMBER(SEARCH('COMMUNITY CHURCH DASHBOARD'!$C$4,INDEX(MASTER_ZONES!$B:$B,901)))),900,""),""),""))</f>
        <v/>
      </c>
    </row>
    <row r="902">
      <c r="A902">
        <f>IF('WSF DASHBOARD'!$B$4="Area",IF(901&lt;=$D$3,IF(AND(OR('WSF DASHBOARD'!$C$4="",ISNUMBER(SEARCH('WSF DASHBOARD'!$C$4,INDEX(MASTER_AREAS!$B:$B,902))))),901,""),""),IF('WSF DASHBOARD'!$B$4="Zone",IF(901&lt;=$D$4,IF(OR('WSF DASHBOARD'!$C$4="",ISNUMBER(SEARCH('WSF DASHBOARD'!$C$4,INDEX(MASTER_ZONES!$B:$B,902)))),901,""),""),""))</f>
        <v/>
      </c>
      <c r="F902">
        <f>IF('TRANSPORT DASHBOARD'!$B$4="Area",IF(901&lt;=$I$3,IF(AND(INDEX(MASTER_AREAS!$F:$F,902)&lt;&gt;"N",OR('TRANSPORT DASHBOARD'!$C$4="",ISNUMBER(SEARCH('TRANSPORT DASHBOARD'!$C$4,INDEX(MASTER_AREAS!$B:$B,902))))),901,""),""),IF('TRANSPORT DASHBOARD'!$B$4="Zone",IF(901&lt;=$I$4,IF(OR('TRANSPORT DASHBOARD'!$C$4="",ISNUMBER(SEARCH('TRANSPORT DASHBOARD'!$C$4,INDEX(MASTER_ZONES!$B:$B,902)))),901,""),""),""))</f>
        <v/>
      </c>
      <c r="K902">
        <f>IF('MIDWEEK DASHBOARD'!$B$4="Area",IF(901&lt;=$N$3,IF(AND(OR('MIDWEEK DASHBOARD'!$C$4="",ISNUMBER(SEARCH('MIDWEEK DASHBOARD'!$C$4,INDEX(MASTER_AREAS!$B:$B,902))))),901,""),""),IF('MIDWEEK DASHBOARD'!$B$4="Zone",IF(901&lt;=$N$4,IF(OR('MIDWEEK DASHBOARD'!$C$4="",ISNUMBER(SEARCH('MIDWEEK DASHBOARD'!$C$4,INDEX(MASTER_ZONES!$B:$B,902)))),901,""),""),""))</f>
        <v/>
      </c>
      <c r="P902">
        <f>IF('CHOP DASHBOARD'!$B$4="Area",IF(901&lt;=$S$3,IF(AND(OR('CHOP DASHBOARD'!$C$4="",ISNUMBER(SEARCH('CHOP DASHBOARD'!$C$4,INDEX(MASTER_AREAS!$B:$B,902))))),901,""),""),IF('CHOP DASHBOARD'!$B$4="Zone",IF(901&lt;=$S$4,IF(OR('CHOP DASHBOARD'!$C$4="",ISNUMBER(SEARCH('CHOP DASHBOARD'!$C$4,INDEX(MASTER_ZONES!$B:$B,902)))),901,""),""),""))</f>
        <v/>
      </c>
      <c r="U902">
        <f>IF('COMMUNITY CHURCH DASHBOARD'!$B$4="Area",IF(901&lt;=$X$3,IF(AND(OR('COMMUNITY CHURCH DASHBOARD'!$C$4="",ISNUMBER(SEARCH('COMMUNITY CHURCH DASHBOARD'!$C$4,INDEX(MASTER_AREAS!$B:$B,902))))),901,""),""),IF('COMMUNITY CHURCH DASHBOARD'!$B$4="Zone",IF(901&lt;=$X$4,IF(OR('COMMUNITY CHURCH DASHBOARD'!$C$4="",ISNUMBER(SEARCH('COMMUNITY CHURCH DASHBOARD'!$C$4,INDEX(MASTER_ZONES!$B:$B,902)))),901,""),""),""))</f>
        <v/>
      </c>
    </row>
    <row r="903">
      <c r="A903">
        <f>IF('WSF DASHBOARD'!$B$4="Area",IF(902&lt;=$D$3,IF(AND(OR('WSF DASHBOARD'!$C$4="",ISNUMBER(SEARCH('WSF DASHBOARD'!$C$4,INDEX(MASTER_AREAS!$B:$B,903))))),902,""),""),IF('WSF DASHBOARD'!$B$4="Zone",IF(902&lt;=$D$4,IF(OR('WSF DASHBOARD'!$C$4="",ISNUMBER(SEARCH('WSF DASHBOARD'!$C$4,INDEX(MASTER_ZONES!$B:$B,903)))),902,""),""),""))</f>
        <v/>
      </c>
      <c r="F903">
        <f>IF('TRANSPORT DASHBOARD'!$B$4="Area",IF(902&lt;=$I$3,IF(AND(INDEX(MASTER_AREAS!$F:$F,903)&lt;&gt;"N",OR('TRANSPORT DASHBOARD'!$C$4="",ISNUMBER(SEARCH('TRANSPORT DASHBOARD'!$C$4,INDEX(MASTER_AREAS!$B:$B,903))))),902,""),""),IF('TRANSPORT DASHBOARD'!$B$4="Zone",IF(902&lt;=$I$4,IF(OR('TRANSPORT DASHBOARD'!$C$4="",ISNUMBER(SEARCH('TRANSPORT DASHBOARD'!$C$4,INDEX(MASTER_ZONES!$B:$B,903)))),902,""),""),""))</f>
        <v/>
      </c>
      <c r="K903">
        <f>IF('MIDWEEK DASHBOARD'!$B$4="Area",IF(902&lt;=$N$3,IF(AND(OR('MIDWEEK DASHBOARD'!$C$4="",ISNUMBER(SEARCH('MIDWEEK DASHBOARD'!$C$4,INDEX(MASTER_AREAS!$B:$B,903))))),902,""),""),IF('MIDWEEK DASHBOARD'!$B$4="Zone",IF(902&lt;=$N$4,IF(OR('MIDWEEK DASHBOARD'!$C$4="",ISNUMBER(SEARCH('MIDWEEK DASHBOARD'!$C$4,INDEX(MASTER_ZONES!$B:$B,903)))),902,""),""),""))</f>
        <v/>
      </c>
      <c r="P903">
        <f>IF('CHOP DASHBOARD'!$B$4="Area",IF(902&lt;=$S$3,IF(AND(OR('CHOP DASHBOARD'!$C$4="",ISNUMBER(SEARCH('CHOP DASHBOARD'!$C$4,INDEX(MASTER_AREAS!$B:$B,903))))),902,""),""),IF('CHOP DASHBOARD'!$B$4="Zone",IF(902&lt;=$S$4,IF(OR('CHOP DASHBOARD'!$C$4="",ISNUMBER(SEARCH('CHOP DASHBOARD'!$C$4,INDEX(MASTER_ZONES!$B:$B,903)))),902,""),""),""))</f>
        <v/>
      </c>
      <c r="U903">
        <f>IF('COMMUNITY CHURCH DASHBOARD'!$B$4="Area",IF(902&lt;=$X$3,IF(AND(OR('COMMUNITY CHURCH DASHBOARD'!$C$4="",ISNUMBER(SEARCH('COMMUNITY CHURCH DASHBOARD'!$C$4,INDEX(MASTER_AREAS!$B:$B,903))))),902,""),""),IF('COMMUNITY CHURCH DASHBOARD'!$B$4="Zone",IF(902&lt;=$X$4,IF(OR('COMMUNITY CHURCH DASHBOARD'!$C$4="",ISNUMBER(SEARCH('COMMUNITY CHURCH DASHBOARD'!$C$4,INDEX(MASTER_ZONES!$B:$B,903)))),902,""),""),""))</f>
        <v/>
      </c>
    </row>
    <row r="904">
      <c r="A904">
        <f>IF('WSF DASHBOARD'!$B$4="Area",IF(903&lt;=$D$3,IF(AND(OR('WSF DASHBOARD'!$C$4="",ISNUMBER(SEARCH('WSF DASHBOARD'!$C$4,INDEX(MASTER_AREAS!$B:$B,904))))),903,""),""),IF('WSF DASHBOARD'!$B$4="Zone",IF(903&lt;=$D$4,IF(OR('WSF DASHBOARD'!$C$4="",ISNUMBER(SEARCH('WSF DASHBOARD'!$C$4,INDEX(MASTER_ZONES!$B:$B,904)))),903,""),""),""))</f>
        <v/>
      </c>
      <c r="F904">
        <f>IF('TRANSPORT DASHBOARD'!$B$4="Area",IF(903&lt;=$I$3,IF(AND(INDEX(MASTER_AREAS!$F:$F,904)&lt;&gt;"N",OR('TRANSPORT DASHBOARD'!$C$4="",ISNUMBER(SEARCH('TRANSPORT DASHBOARD'!$C$4,INDEX(MASTER_AREAS!$B:$B,904))))),903,""),""),IF('TRANSPORT DASHBOARD'!$B$4="Zone",IF(903&lt;=$I$4,IF(OR('TRANSPORT DASHBOARD'!$C$4="",ISNUMBER(SEARCH('TRANSPORT DASHBOARD'!$C$4,INDEX(MASTER_ZONES!$B:$B,904)))),903,""),""),""))</f>
        <v/>
      </c>
      <c r="K904">
        <f>IF('MIDWEEK DASHBOARD'!$B$4="Area",IF(903&lt;=$N$3,IF(AND(OR('MIDWEEK DASHBOARD'!$C$4="",ISNUMBER(SEARCH('MIDWEEK DASHBOARD'!$C$4,INDEX(MASTER_AREAS!$B:$B,904))))),903,""),""),IF('MIDWEEK DASHBOARD'!$B$4="Zone",IF(903&lt;=$N$4,IF(OR('MIDWEEK DASHBOARD'!$C$4="",ISNUMBER(SEARCH('MIDWEEK DASHBOARD'!$C$4,INDEX(MASTER_ZONES!$B:$B,904)))),903,""),""),""))</f>
        <v/>
      </c>
      <c r="P904">
        <f>IF('CHOP DASHBOARD'!$B$4="Area",IF(903&lt;=$S$3,IF(AND(OR('CHOP DASHBOARD'!$C$4="",ISNUMBER(SEARCH('CHOP DASHBOARD'!$C$4,INDEX(MASTER_AREAS!$B:$B,904))))),903,""),""),IF('CHOP DASHBOARD'!$B$4="Zone",IF(903&lt;=$S$4,IF(OR('CHOP DASHBOARD'!$C$4="",ISNUMBER(SEARCH('CHOP DASHBOARD'!$C$4,INDEX(MASTER_ZONES!$B:$B,904)))),903,""),""),""))</f>
        <v/>
      </c>
      <c r="U904">
        <f>IF('COMMUNITY CHURCH DASHBOARD'!$B$4="Area",IF(903&lt;=$X$3,IF(AND(OR('COMMUNITY CHURCH DASHBOARD'!$C$4="",ISNUMBER(SEARCH('COMMUNITY CHURCH DASHBOARD'!$C$4,INDEX(MASTER_AREAS!$B:$B,904))))),903,""),""),IF('COMMUNITY CHURCH DASHBOARD'!$B$4="Zone",IF(903&lt;=$X$4,IF(OR('COMMUNITY CHURCH DASHBOARD'!$C$4="",ISNUMBER(SEARCH('COMMUNITY CHURCH DASHBOARD'!$C$4,INDEX(MASTER_ZONES!$B:$B,904)))),903,""),""),""))</f>
        <v/>
      </c>
    </row>
    <row r="905">
      <c r="A905">
        <f>IF('WSF DASHBOARD'!$B$4="Area",IF(904&lt;=$D$3,IF(AND(OR('WSF DASHBOARD'!$C$4="",ISNUMBER(SEARCH('WSF DASHBOARD'!$C$4,INDEX(MASTER_AREAS!$B:$B,905))))),904,""),""),IF('WSF DASHBOARD'!$B$4="Zone",IF(904&lt;=$D$4,IF(OR('WSF DASHBOARD'!$C$4="",ISNUMBER(SEARCH('WSF DASHBOARD'!$C$4,INDEX(MASTER_ZONES!$B:$B,905)))),904,""),""),""))</f>
        <v/>
      </c>
      <c r="F905">
        <f>IF('TRANSPORT DASHBOARD'!$B$4="Area",IF(904&lt;=$I$3,IF(AND(INDEX(MASTER_AREAS!$F:$F,905)&lt;&gt;"N",OR('TRANSPORT DASHBOARD'!$C$4="",ISNUMBER(SEARCH('TRANSPORT DASHBOARD'!$C$4,INDEX(MASTER_AREAS!$B:$B,905))))),904,""),""),IF('TRANSPORT DASHBOARD'!$B$4="Zone",IF(904&lt;=$I$4,IF(OR('TRANSPORT DASHBOARD'!$C$4="",ISNUMBER(SEARCH('TRANSPORT DASHBOARD'!$C$4,INDEX(MASTER_ZONES!$B:$B,905)))),904,""),""),""))</f>
        <v/>
      </c>
      <c r="K905">
        <f>IF('MIDWEEK DASHBOARD'!$B$4="Area",IF(904&lt;=$N$3,IF(AND(OR('MIDWEEK DASHBOARD'!$C$4="",ISNUMBER(SEARCH('MIDWEEK DASHBOARD'!$C$4,INDEX(MASTER_AREAS!$B:$B,905))))),904,""),""),IF('MIDWEEK DASHBOARD'!$B$4="Zone",IF(904&lt;=$N$4,IF(OR('MIDWEEK DASHBOARD'!$C$4="",ISNUMBER(SEARCH('MIDWEEK DASHBOARD'!$C$4,INDEX(MASTER_ZONES!$B:$B,905)))),904,""),""),""))</f>
        <v/>
      </c>
      <c r="P905">
        <f>IF('CHOP DASHBOARD'!$B$4="Area",IF(904&lt;=$S$3,IF(AND(OR('CHOP DASHBOARD'!$C$4="",ISNUMBER(SEARCH('CHOP DASHBOARD'!$C$4,INDEX(MASTER_AREAS!$B:$B,905))))),904,""),""),IF('CHOP DASHBOARD'!$B$4="Zone",IF(904&lt;=$S$4,IF(OR('CHOP DASHBOARD'!$C$4="",ISNUMBER(SEARCH('CHOP DASHBOARD'!$C$4,INDEX(MASTER_ZONES!$B:$B,905)))),904,""),""),""))</f>
        <v/>
      </c>
      <c r="U905">
        <f>IF('COMMUNITY CHURCH DASHBOARD'!$B$4="Area",IF(904&lt;=$X$3,IF(AND(OR('COMMUNITY CHURCH DASHBOARD'!$C$4="",ISNUMBER(SEARCH('COMMUNITY CHURCH DASHBOARD'!$C$4,INDEX(MASTER_AREAS!$B:$B,905))))),904,""),""),IF('COMMUNITY CHURCH DASHBOARD'!$B$4="Zone",IF(904&lt;=$X$4,IF(OR('COMMUNITY CHURCH DASHBOARD'!$C$4="",ISNUMBER(SEARCH('COMMUNITY CHURCH DASHBOARD'!$C$4,INDEX(MASTER_ZONES!$B:$B,905)))),904,""),""),""))</f>
        <v/>
      </c>
    </row>
    <row r="906">
      <c r="A906">
        <f>IF('WSF DASHBOARD'!$B$4="Area",IF(905&lt;=$D$3,IF(AND(OR('WSF DASHBOARD'!$C$4="",ISNUMBER(SEARCH('WSF DASHBOARD'!$C$4,INDEX(MASTER_AREAS!$B:$B,906))))),905,""),""),IF('WSF DASHBOARD'!$B$4="Zone",IF(905&lt;=$D$4,IF(OR('WSF DASHBOARD'!$C$4="",ISNUMBER(SEARCH('WSF DASHBOARD'!$C$4,INDEX(MASTER_ZONES!$B:$B,906)))),905,""),""),""))</f>
        <v/>
      </c>
      <c r="F906">
        <f>IF('TRANSPORT DASHBOARD'!$B$4="Area",IF(905&lt;=$I$3,IF(AND(INDEX(MASTER_AREAS!$F:$F,906)&lt;&gt;"N",OR('TRANSPORT DASHBOARD'!$C$4="",ISNUMBER(SEARCH('TRANSPORT DASHBOARD'!$C$4,INDEX(MASTER_AREAS!$B:$B,906))))),905,""),""),IF('TRANSPORT DASHBOARD'!$B$4="Zone",IF(905&lt;=$I$4,IF(OR('TRANSPORT DASHBOARD'!$C$4="",ISNUMBER(SEARCH('TRANSPORT DASHBOARD'!$C$4,INDEX(MASTER_ZONES!$B:$B,906)))),905,""),""),""))</f>
        <v/>
      </c>
      <c r="K906">
        <f>IF('MIDWEEK DASHBOARD'!$B$4="Area",IF(905&lt;=$N$3,IF(AND(OR('MIDWEEK DASHBOARD'!$C$4="",ISNUMBER(SEARCH('MIDWEEK DASHBOARD'!$C$4,INDEX(MASTER_AREAS!$B:$B,906))))),905,""),""),IF('MIDWEEK DASHBOARD'!$B$4="Zone",IF(905&lt;=$N$4,IF(OR('MIDWEEK DASHBOARD'!$C$4="",ISNUMBER(SEARCH('MIDWEEK DASHBOARD'!$C$4,INDEX(MASTER_ZONES!$B:$B,906)))),905,""),""),""))</f>
        <v/>
      </c>
      <c r="P906">
        <f>IF('CHOP DASHBOARD'!$B$4="Area",IF(905&lt;=$S$3,IF(AND(OR('CHOP DASHBOARD'!$C$4="",ISNUMBER(SEARCH('CHOP DASHBOARD'!$C$4,INDEX(MASTER_AREAS!$B:$B,906))))),905,""),""),IF('CHOP DASHBOARD'!$B$4="Zone",IF(905&lt;=$S$4,IF(OR('CHOP DASHBOARD'!$C$4="",ISNUMBER(SEARCH('CHOP DASHBOARD'!$C$4,INDEX(MASTER_ZONES!$B:$B,906)))),905,""),""),""))</f>
        <v/>
      </c>
      <c r="U906">
        <f>IF('COMMUNITY CHURCH DASHBOARD'!$B$4="Area",IF(905&lt;=$X$3,IF(AND(OR('COMMUNITY CHURCH DASHBOARD'!$C$4="",ISNUMBER(SEARCH('COMMUNITY CHURCH DASHBOARD'!$C$4,INDEX(MASTER_AREAS!$B:$B,906))))),905,""),""),IF('COMMUNITY CHURCH DASHBOARD'!$B$4="Zone",IF(905&lt;=$X$4,IF(OR('COMMUNITY CHURCH DASHBOARD'!$C$4="",ISNUMBER(SEARCH('COMMUNITY CHURCH DASHBOARD'!$C$4,INDEX(MASTER_ZONES!$B:$B,906)))),905,""),""),""))</f>
        <v/>
      </c>
    </row>
    <row r="907">
      <c r="A907">
        <f>IF('WSF DASHBOARD'!$B$4="Area",IF(906&lt;=$D$3,IF(AND(OR('WSF DASHBOARD'!$C$4="",ISNUMBER(SEARCH('WSF DASHBOARD'!$C$4,INDEX(MASTER_AREAS!$B:$B,907))))),906,""),""),IF('WSF DASHBOARD'!$B$4="Zone",IF(906&lt;=$D$4,IF(OR('WSF DASHBOARD'!$C$4="",ISNUMBER(SEARCH('WSF DASHBOARD'!$C$4,INDEX(MASTER_ZONES!$B:$B,907)))),906,""),""),""))</f>
        <v/>
      </c>
      <c r="F907">
        <f>IF('TRANSPORT DASHBOARD'!$B$4="Area",IF(906&lt;=$I$3,IF(AND(INDEX(MASTER_AREAS!$F:$F,907)&lt;&gt;"N",OR('TRANSPORT DASHBOARD'!$C$4="",ISNUMBER(SEARCH('TRANSPORT DASHBOARD'!$C$4,INDEX(MASTER_AREAS!$B:$B,907))))),906,""),""),IF('TRANSPORT DASHBOARD'!$B$4="Zone",IF(906&lt;=$I$4,IF(OR('TRANSPORT DASHBOARD'!$C$4="",ISNUMBER(SEARCH('TRANSPORT DASHBOARD'!$C$4,INDEX(MASTER_ZONES!$B:$B,907)))),906,""),""),""))</f>
        <v/>
      </c>
      <c r="K907">
        <f>IF('MIDWEEK DASHBOARD'!$B$4="Area",IF(906&lt;=$N$3,IF(AND(OR('MIDWEEK DASHBOARD'!$C$4="",ISNUMBER(SEARCH('MIDWEEK DASHBOARD'!$C$4,INDEX(MASTER_AREAS!$B:$B,907))))),906,""),""),IF('MIDWEEK DASHBOARD'!$B$4="Zone",IF(906&lt;=$N$4,IF(OR('MIDWEEK DASHBOARD'!$C$4="",ISNUMBER(SEARCH('MIDWEEK DASHBOARD'!$C$4,INDEX(MASTER_ZONES!$B:$B,907)))),906,""),""),""))</f>
        <v/>
      </c>
      <c r="P907">
        <f>IF('CHOP DASHBOARD'!$B$4="Area",IF(906&lt;=$S$3,IF(AND(OR('CHOP DASHBOARD'!$C$4="",ISNUMBER(SEARCH('CHOP DASHBOARD'!$C$4,INDEX(MASTER_AREAS!$B:$B,907))))),906,""),""),IF('CHOP DASHBOARD'!$B$4="Zone",IF(906&lt;=$S$4,IF(OR('CHOP DASHBOARD'!$C$4="",ISNUMBER(SEARCH('CHOP DASHBOARD'!$C$4,INDEX(MASTER_ZONES!$B:$B,907)))),906,""),""),""))</f>
        <v/>
      </c>
      <c r="U907">
        <f>IF('COMMUNITY CHURCH DASHBOARD'!$B$4="Area",IF(906&lt;=$X$3,IF(AND(OR('COMMUNITY CHURCH DASHBOARD'!$C$4="",ISNUMBER(SEARCH('COMMUNITY CHURCH DASHBOARD'!$C$4,INDEX(MASTER_AREAS!$B:$B,907))))),906,""),""),IF('COMMUNITY CHURCH DASHBOARD'!$B$4="Zone",IF(906&lt;=$X$4,IF(OR('COMMUNITY CHURCH DASHBOARD'!$C$4="",ISNUMBER(SEARCH('COMMUNITY CHURCH DASHBOARD'!$C$4,INDEX(MASTER_ZONES!$B:$B,907)))),906,""),""),""))</f>
        <v/>
      </c>
    </row>
    <row r="908">
      <c r="A908">
        <f>IF('WSF DASHBOARD'!$B$4="Area",IF(907&lt;=$D$3,IF(AND(OR('WSF DASHBOARD'!$C$4="",ISNUMBER(SEARCH('WSF DASHBOARD'!$C$4,INDEX(MASTER_AREAS!$B:$B,908))))),907,""),""),IF('WSF DASHBOARD'!$B$4="Zone",IF(907&lt;=$D$4,IF(OR('WSF DASHBOARD'!$C$4="",ISNUMBER(SEARCH('WSF DASHBOARD'!$C$4,INDEX(MASTER_ZONES!$B:$B,908)))),907,""),""),""))</f>
        <v/>
      </c>
      <c r="F908">
        <f>IF('TRANSPORT DASHBOARD'!$B$4="Area",IF(907&lt;=$I$3,IF(AND(INDEX(MASTER_AREAS!$F:$F,908)&lt;&gt;"N",OR('TRANSPORT DASHBOARD'!$C$4="",ISNUMBER(SEARCH('TRANSPORT DASHBOARD'!$C$4,INDEX(MASTER_AREAS!$B:$B,908))))),907,""),""),IF('TRANSPORT DASHBOARD'!$B$4="Zone",IF(907&lt;=$I$4,IF(OR('TRANSPORT DASHBOARD'!$C$4="",ISNUMBER(SEARCH('TRANSPORT DASHBOARD'!$C$4,INDEX(MASTER_ZONES!$B:$B,908)))),907,""),""),""))</f>
        <v/>
      </c>
      <c r="K908">
        <f>IF('MIDWEEK DASHBOARD'!$B$4="Area",IF(907&lt;=$N$3,IF(AND(OR('MIDWEEK DASHBOARD'!$C$4="",ISNUMBER(SEARCH('MIDWEEK DASHBOARD'!$C$4,INDEX(MASTER_AREAS!$B:$B,908))))),907,""),""),IF('MIDWEEK DASHBOARD'!$B$4="Zone",IF(907&lt;=$N$4,IF(OR('MIDWEEK DASHBOARD'!$C$4="",ISNUMBER(SEARCH('MIDWEEK DASHBOARD'!$C$4,INDEX(MASTER_ZONES!$B:$B,908)))),907,""),""),""))</f>
        <v/>
      </c>
      <c r="P908">
        <f>IF('CHOP DASHBOARD'!$B$4="Area",IF(907&lt;=$S$3,IF(AND(OR('CHOP DASHBOARD'!$C$4="",ISNUMBER(SEARCH('CHOP DASHBOARD'!$C$4,INDEX(MASTER_AREAS!$B:$B,908))))),907,""),""),IF('CHOP DASHBOARD'!$B$4="Zone",IF(907&lt;=$S$4,IF(OR('CHOP DASHBOARD'!$C$4="",ISNUMBER(SEARCH('CHOP DASHBOARD'!$C$4,INDEX(MASTER_ZONES!$B:$B,908)))),907,""),""),""))</f>
        <v/>
      </c>
      <c r="U908">
        <f>IF('COMMUNITY CHURCH DASHBOARD'!$B$4="Area",IF(907&lt;=$X$3,IF(AND(OR('COMMUNITY CHURCH DASHBOARD'!$C$4="",ISNUMBER(SEARCH('COMMUNITY CHURCH DASHBOARD'!$C$4,INDEX(MASTER_AREAS!$B:$B,908))))),907,""),""),IF('COMMUNITY CHURCH DASHBOARD'!$B$4="Zone",IF(907&lt;=$X$4,IF(OR('COMMUNITY CHURCH DASHBOARD'!$C$4="",ISNUMBER(SEARCH('COMMUNITY CHURCH DASHBOARD'!$C$4,INDEX(MASTER_ZONES!$B:$B,908)))),907,""),""),""))</f>
        <v/>
      </c>
    </row>
    <row r="909">
      <c r="A909">
        <f>IF('WSF DASHBOARD'!$B$4="Area",IF(908&lt;=$D$3,IF(AND(OR('WSF DASHBOARD'!$C$4="",ISNUMBER(SEARCH('WSF DASHBOARD'!$C$4,INDEX(MASTER_AREAS!$B:$B,909))))),908,""),""),IF('WSF DASHBOARD'!$B$4="Zone",IF(908&lt;=$D$4,IF(OR('WSF DASHBOARD'!$C$4="",ISNUMBER(SEARCH('WSF DASHBOARD'!$C$4,INDEX(MASTER_ZONES!$B:$B,909)))),908,""),""),""))</f>
        <v/>
      </c>
      <c r="F909">
        <f>IF('TRANSPORT DASHBOARD'!$B$4="Area",IF(908&lt;=$I$3,IF(AND(INDEX(MASTER_AREAS!$F:$F,909)&lt;&gt;"N",OR('TRANSPORT DASHBOARD'!$C$4="",ISNUMBER(SEARCH('TRANSPORT DASHBOARD'!$C$4,INDEX(MASTER_AREAS!$B:$B,909))))),908,""),""),IF('TRANSPORT DASHBOARD'!$B$4="Zone",IF(908&lt;=$I$4,IF(OR('TRANSPORT DASHBOARD'!$C$4="",ISNUMBER(SEARCH('TRANSPORT DASHBOARD'!$C$4,INDEX(MASTER_ZONES!$B:$B,909)))),908,""),""),""))</f>
        <v/>
      </c>
      <c r="K909">
        <f>IF('MIDWEEK DASHBOARD'!$B$4="Area",IF(908&lt;=$N$3,IF(AND(OR('MIDWEEK DASHBOARD'!$C$4="",ISNUMBER(SEARCH('MIDWEEK DASHBOARD'!$C$4,INDEX(MASTER_AREAS!$B:$B,909))))),908,""),""),IF('MIDWEEK DASHBOARD'!$B$4="Zone",IF(908&lt;=$N$4,IF(OR('MIDWEEK DASHBOARD'!$C$4="",ISNUMBER(SEARCH('MIDWEEK DASHBOARD'!$C$4,INDEX(MASTER_ZONES!$B:$B,909)))),908,""),""),""))</f>
        <v/>
      </c>
      <c r="P909">
        <f>IF('CHOP DASHBOARD'!$B$4="Area",IF(908&lt;=$S$3,IF(AND(OR('CHOP DASHBOARD'!$C$4="",ISNUMBER(SEARCH('CHOP DASHBOARD'!$C$4,INDEX(MASTER_AREAS!$B:$B,909))))),908,""),""),IF('CHOP DASHBOARD'!$B$4="Zone",IF(908&lt;=$S$4,IF(OR('CHOP DASHBOARD'!$C$4="",ISNUMBER(SEARCH('CHOP DASHBOARD'!$C$4,INDEX(MASTER_ZONES!$B:$B,909)))),908,""),""),""))</f>
        <v/>
      </c>
      <c r="U909">
        <f>IF('COMMUNITY CHURCH DASHBOARD'!$B$4="Area",IF(908&lt;=$X$3,IF(AND(OR('COMMUNITY CHURCH DASHBOARD'!$C$4="",ISNUMBER(SEARCH('COMMUNITY CHURCH DASHBOARD'!$C$4,INDEX(MASTER_AREAS!$B:$B,909))))),908,""),""),IF('COMMUNITY CHURCH DASHBOARD'!$B$4="Zone",IF(908&lt;=$X$4,IF(OR('COMMUNITY CHURCH DASHBOARD'!$C$4="",ISNUMBER(SEARCH('COMMUNITY CHURCH DASHBOARD'!$C$4,INDEX(MASTER_ZONES!$B:$B,909)))),908,""),""),""))</f>
        <v/>
      </c>
    </row>
    <row r="910">
      <c r="A910">
        <f>IF('WSF DASHBOARD'!$B$4="Area",IF(909&lt;=$D$3,IF(AND(OR('WSF DASHBOARD'!$C$4="",ISNUMBER(SEARCH('WSF DASHBOARD'!$C$4,INDEX(MASTER_AREAS!$B:$B,910))))),909,""),""),IF('WSF DASHBOARD'!$B$4="Zone",IF(909&lt;=$D$4,IF(OR('WSF DASHBOARD'!$C$4="",ISNUMBER(SEARCH('WSF DASHBOARD'!$C$4,INDEX(MASTER_ZONES!$B:$B,910)))),909,""),""),""))</f>
        <v/>
      </c>
      <c r="F910">
        <f>IF('TRANSPORT DASHBOARD'!$B$4="Area",IF(909&lt;=$I$3,IF(AND(INDEX(MASTER_AREAS!$F:$F,910)&lt;&gt;"N",OR('TRANSPORT DASHBOARD'!$C$4="",ISNUMBER(SEARCH('TRANSPORT DASHBOARD'!$C$4,INDEX(MASTER_AREAS!$B:$B,910))))),909,""),""),IF('TRANSPORT DASHBOARD'!$B$4="Zone",IF(909&lt;=$I$4,IF(OR('TRANSPORT DASHBOARD'!$C$4="",ISNUMBER(SEARCH('TRANSPORT DASHBOARD'!$C$4,INDEX(MASTER_ZONES!$B:$B,910)))),909,""),""),""))</f>
        <v/>
      </c>
      <c r="K910">
        <f>IF('MIDWEEK DASHBOARD'!$B$4="Area",IF(909&lt;=$N$3,IF(AND(OR('MIDWEEK DASHBOARD'!$C$4="",ISNUMBER(SEARCH('MIDWEEK DASHBOARD'!$C$4,INDEX(MASTER_AREAS!$B:$B,910))))),909,""),""),IF('MIDWEEK DASHBOARD'!$B$4="Zone",IF(909&lt;=$N$4,IF(OR('MIDWEEK DASHBOARD'!$C$4="",ISNUMBER(SEARCH('MIDWEEK DASHBOARD'!$C$4,INDEX(MASTER_ZONES!$B:$B,910)))),909,""),""),""))</f>
        <v/>
      </c>
      <c r="P910">
        <f>IF('CHOP DASHBOARD'!$B$4="Area",IF(909&lt;=$S$3,IF(AND(OR('CHOP DASHBOARD'!$C$4="",ISNUMBER(SEARCH('CHOP DASHBOARD'!$C$4,INDEX(MASTER_AREAS!$B:$B,910))))),909,""),""),IF('CHOP DASHBOARD'!$B$4="Zone",IF(909&lt;=$S$4,IF(OR('CHOP DASHBOARD'!$C$4="",ISNUMBER(SEARCH('CHOP DASHBOARD'!$C$4,INDEX(MASTER_ZONES!$B:$B,910)))),909,""),""),""))</f>
        <v/>
      </c>
      <c r="U910">
        <f>IF('COMMUNITY CHURCH DASHBOARD'!$B$4="Area",IF(909&lt;=$X$3,IF(AND(OR('COMMUNITY CHURCH DASHBOARD'!$C$4="",ISNUMBER(SEARCH('COMMUNITY CHURCH DASHBOARD'!$C$4,INDEX(MASTER_AREAS!$B:$B,910))))),909,""),""),IF('COMMUNITY CHURCH DASHBOARD'!$B$4="Zone",IF(909&lt;=$X$4,IF(OR('COMMUNITY CHURCH DASHBOARD'!$C$4="",ISNUMBER(SEARCH('COMMUNITY CHURCH DASHBOARD'!$C$4,INDEX(MASTER_ZONES!$B:$B,910)))),909,""),""),""))</f>
        <v/>
      </c>
    </row>
    <row r="911">
      <c r="A911">
        <f>IF('WSF DASHBOARD'!$B$4="Area",IF(910&lt;=$D$3,IF(AND(OR('WSF DASHBOARD'!$C$4="",ISNUMBER(SEARCH('WSF DASHBOARD'!$C$4,INDEX(MASTER_AREAS!$B:$B,911))))),910,""),""),IF('WSF DASHBOARD'!$B$4="Zone",IF(910&lt;=$D$4,IF(OR('WSF DASHBOARD'!$C$4="",ISNUMBER(SEARCH('WSF DASHBOARD'!$C$4,INDEX(MASTER_ZONES!$B:$B,911)))),910,""),""),""))</f>
        <v/>
      </c>
      <c r="F911">
        <f>IF('TRANSPORT DASHBOARD'!$B$4="Area",IF(910&lt;=$I$3,IF(AND(INDEX(MASTER_AREAS!$F:$F,911)&lt;&gt;"N",OR('TRANSPORT DASHBOARD'!$C$4="",ISNUMBER(SEARCH('TRANSPORT DASHBOARD'!$C$4,INDEX(MASTER_AREAS!$B:$B,911))))),910,""),""),IF('TRANSPORT DASHBOARD'!$B$4="Zone",IF(910&lt;=$I$4,IF(OR('TRANSPORT DASHBOARD'!$C$4="",ISNUMBER(SEARCH('TRANSPORT DASHBOARD'!$C$4,INDEX(MASTER_ZONES!$B:$B,911)))),910,""),""),""))</f>
        <v/>
      </c>
      <c r="K911">
        <f>IF('MIDWEEK DASHBOARD'!$B$4="Area",IF(910&lt;=$N$3,IF(AND(OR('MIDWEEK DASHBOARD'!$C$4="",ISNUMBER(SEARCH('MIDWEEK DASHBOARD'!$C$4,INDEX(MASTER_AREAS!$B:$B,911))))),910,""),""),IF('MIDWEEK DASHBOARD'!$B$4="Zone",IF(910&lt;=$N$4,IF(OR('MIDWEEK DASHBOARD'!$C$4="",ISNUMBER(SEARCH('MIDWEEK DASHBOARD'!$C$4,INDEX(MASTER_ZONES!$B:$B,911)))),910,""),""),""))</f>
        <v/>
      </c>
      <c r="P911">
        <f>IF('CHOP DASHBOARD'!$B$4="Area",IF(910&lt;=$S$3,IF(AND(OR('CHOP DASHBOARD'!$C$4="",ISNUMBER(SEARCH('CHOP DASHBOARD'!$C$4,INDEX(MASTER_AREAS!$B:$B,911))))),910,""),""),IF('CHOP DASHBOARD'!$B$4="Zone",IF(910&lt;=$S$4,IF(OR('CHOP DASHBOARD'!$C$4="",ISNUMBER(SEARCH('CHOP DASHBOARD'!$C$4,INDEX(MASTER_ZONES!$B:$B,911)))),910,""),""),""))</f>
        <v/>
      </c>
      <c r="U911">
        <f>IF('COMMUNITY CHURCH DASHBOARD'!$B$4="Area",IF(910&lt;=$X$3,IF(AND(OR('COMMUNITY CHURCH DASHBOARD'!$C$4="",ISNUMBER(SEARCH('COMMUNITY CHURCH DASHBOARD'!$C$4,INDEX(MASTER_AREAS!$B:$B,911))))),910,""),""),IF('COMMUNITY CHURCH DASHBOARD'!$B$4="Zone",IF(910&lt;=$X$4,IF(OR('COMMUNITY CHURCH DASHBOARD'!$C$4="",ISNUMBER(SEARCH('COMMUNITY CHURCH DASHBOARD'!$C$4,INDEX(MASTER_ZONES!$B:$B,911)))),910,""),""),""))</f>
        <v/>
      </c>
    </row>
    <row r="912">
      <c r="A912">
        <f>IF('WSF DASHBOARD'!$B$4="Area",IF(911&lt;=$D$3,IF(AND(OR('WSF DASHBOARD'!$C$4="",ISNUMBER(SEARCH('WSF DASHBOARD'!$C$4,INDEX(MASTER_AREAS!$B:$B,912))))),911,""),""),IF('WSF DASHBOARD'!$B$4="Zone",IF(911&lt;=$D$4,IF(OR('WSF DASHBOARD'!$C$4="",ISNUMBER(SEARCH('WSF DASHBOARD'!$C$4,INDEX(MASTER_ZONES!$B:$B,912)))),911,""),""),""))</f>
        <v/>
      </c>
      <c r="F912">
        <f>IF('TRANSPORT DASHBOARD'!$B$4="Area",IF(911&lt;=$I$3,IF(AND(INDEX(MASTER_AREAS!$F:$F,912)&lt;&gt;"N",OR('TRANSPORT DASHBOARD'!$C$4="",ISNUMBER(SEARCH('TRANSPORT DASHBOARD'!$C$4,INDEX(MASTER_AREAS!$B:$B,912))))),911,""),""),IF('TRANSPORT DASHBOARD'!$B$4="Zone",IF(911&lt;=$I$4,IF(OR('TRANSPORT DASHBOARD'!$C$4="",ISNUMBER(SEARCH('TRANSPORT DASHBOARD'!$C$4,INDEX(MASTER_ZONES!$B:$B,912)))),911,""),""),""))</f>
        <v/>
      </c>
      <c r="K912">
        <f>IF('MIDWEEK DASHBOARD'!$B$4="Area",IF(911&lt;=$N$3,IF(AND(OR('MIDWEEK DASHBOARD'!$C$4="",ISNUMBER(SEARCH('MIDWEEK DASHBOARD'!$C$4,INDEX(MASTER_AREAS!$B:$B,912))))),911,""),""),IF('MIDWEEK DASHBOARD'!$B$4="Zone",IF(911&lt;=$N$4,IF(OR('MIDWEEK DASHBOARD'!$C$4="",ISNUMBER(SEARCH('MIDWEEK DASHBOARD'!$C$4,INDEX(MASTER_ZONES!$B:$B,912)))),911,""),""),""))</f>
        <v/>
      </c>
      <c r="P912">
        <f>IF('CHOP DASHBOARD'!$B$4="Area",IF(911&lt;=$S$3,IF(AND(OR('CHOP DASHBOARD'!$C$4="",ISNUMBER(SEARCH('CHOP DASHBOARD'!$C$4,INDEX(MASTER_AREAS!$B:$B,912))))),911,""),""),IF('CHOP DASHBOARD'!$B$4="Zone",IF(911&lt;=$S$4,IF(OR('CHOP DASHBOARD'!$C$4="",ISNUMBER(SEARCH('CHOP DASHBOARD'!$C$4,INDEX(MASTER_ZONES!$B:$B,912)))),911,""),""),""))</f>
        <v/>
      </c>
      <c r="U912">
        <f>IF('COMMUNITY CHURCH DASHBOARD'!$B$4="Area",IF(911&lt;=$X$3,IF(AND(OR('COMMUNITY CHURCH DASHBOARD'!$C$4="",ISNUMBER(SEARCH('COMMUNITY CHURCH DASHBOARD'!$C$4,INDEX(MASTER_AREAS!$B:$B,912))))),911,""),""),IF('COMMUNITY CHURCH DASHBOARD'!$B$4="Zone",IF(911&lt;=$X$4,IF(OR('COMMUNITY CHURCH DASHBOARD'!$C$4="",ISNUMBER(SEARCH('COMMUNITY CHURCH DASHBOARD'!$C$4,INDEX(MASTER_ZONES!$B:$B,912)))),911,""),""),""))</f>
        <v/>
      </c>
    </row>
    <row r="913">
      <c r="A913">
        <f>IF('WSF DASHBOARD'!$B$4="Area",IF(912&lt;=$D$3,IF(AND(OR('WSF DASHBOARD'!$C$4="",ISNUMBER(SEARCH('WSF DASHBOARD'!$C$4,INDEX(MASTER_AREAS!$B:$B,913))))),912,""),""),IF('WSF DASHBOARD'!$B$4="Zone",IF(912&lt;=$D$4,IF(OR('WSF DASHBOARD'!$C$4="",ISNUMBER(SEARCH('WSF DASHBOARD'!$C$4,INDEX(MASTER_ZONES!$B:$B,913)))),912,""),""),""))</f>
        <v/>
      </c>
      <c r="F913">
        <f>IF('TRANSPORT DASHBOARD'!$B$4="Area",IF(912&lt;=$I$3,IF(AND(INDEX(MASTER_AREAS!$F:$F,913)&lt;&gt;"N",OR('TRANSPORT DASHBOARD'!$C$4="",ISNUMBER(SEARCH('TRANSPORT DASHBOARD'!$C$4,INDEX(MASTER_AREAS!$B:$B,913))))),912,""),""),IF('TRANSPORT DASHBOARD'!$B$4="Zone",IF(912&lt;=$I$4,IF(OR('TRANSPORT DASHBOARD'!$C$4="",ISNUMBER(SEARCH('TRANSPORT DASHBOARD'!$C$4,INDEX(MASTER_ZONES!$B:$B,913)))),912,""),""),""))</f>
        <v/>
      </c>
      <c r="K913">
        <f>IF('MIDWEEK DASHBOARD'!$B$4="Area",IF(912&lt;=$N$3,IF(AND(OR('MIDWEEK DASHBOARD'!$C$4="",ISNUMBER(SEARCH('MIDWEEK DASHBOARD'!$C$4,INDEX(MASTER_AREAS!$B:$B,913))))),912,""),""),IF('MIDWEEK DASHBOARD'!$B$4="Zone",IF(912&lt;=$N$4,IF(OR('MIDWEEK DASHBOARD'!$C$4="",ISNUMBER(SEARCH('MIDWEEK DASHBOARD'!$C$4,INDEX(MASTER_ZONES!$B:$B,913)))),912,""),""),""))</f>
        <v/>
      </c>
      <c r="P913">
        <f>IF('CHOP DASHBOARD'!$B$4="Area",IF(912&lt;=$S$3,IF(AND(OR('CHOP DASHBOARD'!$C$4="",ISNUMBER(SEARCH('CHOP DASHBOARD'!$C$4,INDEX(MASTER_AREAS!$B:$B,913))))),912,""),""),IF('CHOP DASHBOARD'!$B$4="Zone",IF(912&lt;=$S$4,IF(OR('CHOP DASHBOARD'!$C$4="",ISNUMBER(SEARCH('CHOP DASHBOARD'!$C$4,INDEX(MASTER_ZONES!$B:$B,913)))),912,""),""),""))</f>
        <v/>
      </c>
      <c r="U913">
        <f>IF('COMMUNITY CHURCH DASHBOARD'!$B$4="Area",IF(912&lt;=$X$3,IF(AND(OR('COMMUNITY CHURCH DASHBOARD'!$C$4="",ISNUMBER(SEARCH('COMMUNITY CHURCH DASHBOARD'!$C$4,INDEX(MASTER_AREAS!$B:$B,913))))),912,""),""),IF('COMMUNITY CHURCH DASHBOARD'!$B$4="Zone",IF(912&lt;=$X$4,IF(OR('COMMUNITY CHURCH DASHBOARD'!$C$4="",ISNUMBER(SEARCH('COMMUNITY CHURCH DASHBOARD'!$C$4,INDEX(MASTER_ZONES!$B:$B,913)))),912,""),""),""))</f>
        <v/>
      </c>
    </row>
    <row r="914">
      <c r="A914">
        <f>IF('WSF DASHBOARD'!$B$4="Area",IF(913&lt;=$D$3,IF(AND(OR('WSF DASHBOARD'!$C$4="",ISNUMBER(SEARCH('WSF DASHBOARD'!$C$4,INDEX(MASTER_AREAS!$B:$B,914))))),913,""),""),IF('WSF DASHBOARD'!$B$4="Zone",IF(913&lt;=$D$4,IF(OR('WSF DASHBOARD'!$C$4="",ISNUMBER(SEARCH('WSF DASHBOARD'!$C$4,INDEX(MASTER_ZONES!$B:$B,914)))),913,""),""),""))</f>
        <v/>
      </c>
      <c r="F914">
        <f>IF('TRANSPORT DASHBOARD'!$B$4="Area",IF(913&lt;=$I$3,IF(AND(INDEX(MASTER_AREAS!$F:$F,914)&lt;&gt;"N",OR('TRANSPORT DASHBOARD'!$C$4="",ISNUMBER(SEARCH('TRANSPORT DASHBOARD'!$C$4,INDEX(MASTER_AREAS!$B:$B,914))))),913,""),""),IF('TRANSPORT DASHBOARD'!$B$4="Zone",IF(913&lt;=$I$4,IF(OR('TRANSPORT DASHBOARD'!$C$4="",ISNUMBER(SEARCH('TRANSPORT DASHBOARD'!$C$4,INDEX(MASTER_ZONES!$B:$B,914)))),913,""),""),""))</f>
        <v/>
      </c>
      <c r="K914">
        <f>IF('MIDWEEK DASHBOARD'!$B$4="Area",IF(913&lt;=$N$3,IF(AND(OR('MIDWEEK DASHBOARD'!$C$4="",ISNUMBER(SEARCH('MIDWEEK DASHBOARD'!$C$4,INDEX(MASTER_AREAS!$B:$B,914))))),913,""),""),IF('MIDWEEK DASHBOARD'!$B$4="Zone",IF(913&lt;=$N$4,IF(OR('MIDWEEK DASHBOARD'!$C$4="",ISNUMBER(SEARCH('MIDWEEK DASHBOARD'!$C$4,INDEX(MASTER_ZONES!$B:$B,914)))),913,""),""),""))</f>
        <v/>
      </c>
      <c r="P914">
        <f>IF('CHOP DASHBOARD'!$B$4="Area",IF(913&lt;=$S$3,IF(AND(OR('CHOP DASHBOARD'!$C$4="",ISNUMBER(SEARCH('CHOP DASHBOARD'!$C$4,INDEX(MASTER_AREAS!$B:$B,914))))),913,""),""),IF('CHOP DASHBOARD'!$B$4="Zone",IF(913&lt;=$S$4,IF(OR('CHOP DASHBOARD'!$C$4="",ISNUMBER(SEARCH('CHOP DASHBOARD'!$C$4,INDEX(MASTER_ZONES!$B:$B,914)))),913,""),""),""))</f>
        <v/>
      </c>
      <c r="U914">
        <f>IF('COMMUNITY CHURCH DASHBOARD'!$B$4="Area",IF(913&lt;=$X$3,IF(AND(OR('COMMUNITY CHURCH DASHBOARD'!$C$4="",ISNUMBER(SEARCH('COMMUNITY CHURCH DASHBOARD'!$C$4,INDEX(MASTER_AREAS!$B:$B,914))))),913,""),""),IF('COMMUNITY CHURCH DASHBOARD'!$B$4="Zone",IF(913&lt;=$X$4,IF(OR('COMMUNITY CHURCH DASHBOARD'!$C$4="",ISNUMBER(SEARCH('COMMUNITY CHURCH DASHBOARD'!$C$4,INDEX(MASTER_ZONES!$B:$B,914)))),913,""),""),""))</f>
        <v/>
      </c>
    </row>
    <row r="915">
      <c r="A915">
        <f>IF('WSF DASHBOARD'!$B$4="Area",IF(914&lt;=$D$3,IF(AND(OR('WSF DASHBOARD'!$C$4="",ISNUMBER(SEARCH('WSF DASHBOARD'!$C$4,INDEX(MASTER_AREAS!$B:$B,915))))),914,""),""),IF('WSF DASHBOARD'!$B$4="Zone",IF(914&lt;=$D$4,IF(OR('WSF DASHBOARD'!$C$4="",ISNUMBER(SEARCH('WSF DASHBOARD'!$C$4,INDEX(MASTER_ZONES!$B:$B,915)))),914,""),""),""))</f>
        <v/>
      </c>
      <c r="F915">
        <f>IF('TRANSPORT DASHBOARD'!$B$4="Area",IF(914&lt;=$I$3,IF(AND(INDEX(MASTER_AREAS!$F:$F,915)&lt;&gt;"N",OR('TRANSPORT DASHBOARD'!$C$4="",ISNUMBER(SEARCH('TRANSPORT DASHBOARD'!$C$4,INDEX(MASTER_AREAS!$B:$B,915))))),914,""),""),IF('TRANSPORT DASHBOARD'!$B$4="Zone",IF(914&lt;=$I$4,IF(OR('TRANSPORT DASHBOARD'!$C$4="",ISNUMBER(SEARCH('TRANSPORT DASHBOARD'!$C$4,INDEX(MASTER_ZONES!$B:$B,915)))),914,""),""),""))</f>
        <v/>
      </c>
      <c r="K915">
        <f>IF('MIDWEEK DASHBOARD'!$B$4="Area",IF(914&lt;=$N$3,IF(AND(OR('MIDWEEK DASHBOARD'!$C$4="",ISNUMBER(SEARCH('MIDWEEK DASHBOARD'!$C$4,INDEX(MASTER_AREAS!$B:$B,915))))),914,""),""),IF('MIDWEEK DASHBOARD'!$B$4="Zone",IF(914&lt;=$N$4,IF(OR('MIDWEEK DASHBOARD'!$C$4="",ISNUMBER(SEARCH('MIDWEEK DASHBOARD'!$C$4,INDEX(MASTER_ZONES!$B:$B,915)))),914,""),""),""))</f>
        <v/>
      </c>
      <c r="P915">
        <f>IF('CHOP DASHBOARD'!$B$4="Area",IF(914&lt;=$S$3,IF(AND(OR('CHOP DASHBOARD'!$C$4="",ISNUMBER(SEARCH('CHOP DASHBOARD'!$C$4,INDEX(MASTER_AREAS!$B:$B,915))))),914,""),""),IF('CHOP DASHBOARD'!$B$4="Zone",IF(914&lt;=$S$4,IF(OR('CHOP DASHBOARD'!$C$4="",ISNUMBER(SEARCH('CHOP DASHBOARD'!$C$4,INDEX(MASTER_ZONES!$B:$B,915)))),914,""),""),""))</f>
        <v/>
      </c>
      <c r="U915">
        <f>IF('COMMUNITY CHURCH DASHBOARD'!$B$4="Area",IF(914&lt;=$X$3,IF(AND(OR('COMMUNITY CHURCH DASHBOARD'!$C$4="",ISNUMBER(SEARCH('COMMUNITY CHURCH DASHBOARD'!$C$4,INDEX(MASTER_AREAS!$B:$B,915))))),914,""),""),IF('COMMUNITY CHURCH DASHBOARD'!$B$4="Zone",IF(914&lt;=$X$4,IF(OR('COMMUNITY CHURCH DASHBOARD'!$C$4="",ISNUMBER(SEARCH('COMMUNITY CHURCH DASHBOARD'!$C$4,INDEX(MASTER_ZONES!$B:$B,915)))),914,""),""),""))</f>
        <v/>
      </c>
    </row>
    <row r="916">
      <c r="A916">
        <f>IF('WSF DASHBOARD'!$B$4="Area",IF(915&lt;=$D$3,IF(AND(OR('WSF DASHBOARD'!$C$4="",ISNUMBER(SEARCH('WSF DASHBOARD'!$C$4,INDEX(MASTER_AREAS!$B:$B,916))))),915,""),""),IF('WSF DASHBOARD'!$B$4="Zone",IF(915&lt;=$D$4,IF(OR('WSF DASHBOARD'!$C$4="",ISNUMBER(SEARCH('WSF DASHBOARD'!$C$4,INDEX(MASTER_ZONES!$B:$B,916)))),915,""),""),""))</f>
        <v/>
      </c>
      <c r="F916">
        <f>IF('TRANSPORT DASHBOARD'!$B$4="Area",IF(915&lt;=$I$3,IF(AND(INDEX(MASTER_AREAS!$F:$F,916)&lt;&gt;"N",OR('TRANSPORT DASHBOARD'!$C$4="",ISNUMBER(SEARCH('TRANSPORT DASHBOARD'!$C$4,INDEX(MASTER_AREAS!$B:$B,916))))),915,""),""),IF('TRANSPORT DASHBOARD'!$B$4="Zone",IF(915&lt;=$I$4,IF(OR('TRANSPORT DASHBOARD'!$C$4="",ISNUMBER(SEARCH('TRANSPORT DASHBOARD'!$C$4,INDEX(MASTER_ZONES!$B:$B,916)))),915,""),""),""))</f>
        <v/>
      </c>
      <c r="K916">
        <f>IF('MIDWEEK DASHBOARD'!$B$4="Area",IF(915&lt;=$N$3,IF(AND(OR('MIDWEEK DASHBOARD'!$C$4="",ISNUMBER(SEARCH('MIDWEEK DASHBOARD'!$C$4,INDEX(MASTER_AREAS!$B:$B,916))))),915,""),""),IF('MIDWEEK DASHBOARD'!$B$4="Zone",IF(915&lt;=$N$4,IF(OR('MIDWEEK DASHBOARD'!$C$4="",ISNUMBER(SEARCH('MIDWEEK DASHBOARD'!$C$4,INDEX(MASTER_ZONES!$B:$B,916)))),915,""),""),""))</f>
        <v/>
      </c>
      <c r="P916">
        <f>IF('CHOP DASHBOARD'!$B$4="Area",IF(915&lt;=$S$3,IF(AND(OR('CHOP DASHBOARD'!$C$4="",ISNUMBER(SEARCH('CHOP DASHBOARD'!$C$4,INDEX(MASTER_AREAS!$B:$B,916))))),915,""),""),IF('CHOP DASHBOARD'!$B$4="Zone",IF(915&lt;=$S$4,IF(OR('CHOP DASHBOARD'!$C$4="",ISNUMBER(SEARCH('CHOP DASHBOARD'!$C$4,INDEX(MASTER_ZONES!$B:$B,916)))),915,""),""),""))</f>
        <v/>
      </c>
      <c r="U916">
        <f>IF('COMMUNITY CHURCH DASHBOARD'!$B$4="Area",IF(915&lt;=$X$3,IF(AND(OR('COMMUNITY CHURCH DASHBOARD'!$C$4="",ISNUMBER(SEARCH('COMMUNITY CHURCH DASHBOARD'!$C$4,INDEX(MASTER_AREAS!$B:$B,916))))),915,""),""),IF('COMMUNITY CHURCH DASHBOARD'!$B$4="Zone",IF(915&lt;=$X$4,IF(OR('COMMUNITY CHURCH DASHBOARD'!$C$4="",ISNUMBER(SEARCH('COMMUNITY CHURCH DASHBOARD'!$C$4,INDEX(MASTER_ZONES!$B:$B,916)))),915,""),""),""))</f>
        <v/>
      </c>
    </row>
    <row r="917">
      <c r="A917">
        <f>IF('WSF DASHBOARD'!$B$4="Area",IF(916&lt;=$D$3,IF(AND(OR('WSF DASHBOARD'!$C$4="",ISNUMBER(SEARCH('WSF DASHBOARD'!$C$4,INDEX(MASTER_AREAS!$B:$B,917))))),916,""),""),IF('WSF DASHBOARD'!$B$4="Zone",IF(916&lt;=$D$4,IF(OR('WSF DASHBOARD'!$C$4="",ISNUMBER(SEARCH('WSF DASHBOARD'!$C$4,INDEX(MASTER_ZONES!$B:$B,917)))),916,""),""),""))</f>
        <v/>
      </c>
      <c r="F917">
        <f>IF('TRANSPORT DASHBOARD'!$B$4="Area",IF(916&lt;=$I$3,IF(AND(INDEX(MASTER_AREAS!$F:$F,917)&lt;&gt;"N",OR('TRANSPORT DASHBOARD'!$C$4="",ISNUMBER(SEARCH('TRANSPORT DASHBOARD'!$C$4,INDEX(MASTER_AREAS!$B:$B,917))))),916,""),""),IF('TRANSPORT DASHBOARD'!$B$4="Zone",IF(916&lt;=$I$4,IF(OR('TRANSPORT DASHBOARD'!$C$4="",ISNUMBER(SEARCH('TRANSPORT DASHBOARD'!$C$4,INDEX(MASTER_ZONES!$B:$B,917)))),916,""),""),""))</f>
        <v/>
      </c>
      <c r="K917">
        <f>IF('MIDWEEK DASHBOARD'!$B$4="Area",IF(916&lt;=$N$3,IF(AND(OR('MIDWEEK DASHBOARD'!$C$4="",ISNUMBER(SEARCH('MIDWEEK DASHBOARD'!$C$4,INDEX(MASTER_AREAS!$B:$B,917))))),916,""),""),IF('MIDWEEK DASHBOARD'!$B$4="Zone",IF(916&lt;=$N$4,IF(OR('MIDWEEK DASHBOARD'!$C$4="",ISNUMBER(SEARCH('MIDWEEK DASHBOARD'!$C$4,INDEX(MASTER_ZONES!$B:$B,917)))),916,""),""),""))</f>
        <v/>
      </c>
      <c r="P917">
        <f>IF('CHOP DASHBOARD'!$B$4="Area",IF(916&lt;=$S$3,IF(AND(OR('CHOP DASHBOARD'!$C$4="",ISNUMBER(SEARCH('CHOP DASHBOARD'!$C$4,INDEX(MASTER_AREAS!$B:$B,917))))),916,""),""),IF('CHOP DASHBOARD'!$B$4="Zone",IF(916&lt;=$S$4,IF(OR('CHOP DASHBOARD'!$C$4="",ISNUMBER(SEARCH('CHOP DASHBOARD'!$C$4,INDEX(MASTER_ZONES!$B:$B,917)))),916,""),""),""))</f>
        <v/>
      </c>
      <c r="U917">
        <f>IF('COMMUNITY CHURCH DASHBOARD'!$B$4="Area",IF(916&lt;=$X$3,IF(AND(OR('COMMUNITY CHURCH DASHBOARD'!$C$4="",ISNUMBER(SEARCH('COMMUNITY CHURCH DASHBOARD'!$C$4,INDEX(MASTER_AREAS!$B:$B,917))))),916,""),""),IF('COMMUNITY CHURCH DASHBOARD'!$B$4="Zone",IF(916&lt;=$X$4,IF(OR('COMMUNITY CHURCH DASHBOARD'!$C$4="",ISNUMBER(SEARCH('COMMUNITY CHURCH DASHBOARD'!$C$4,INDEX(MASTER_ZONES!$B:$B,917)))),916,""),""),""))</f>
        <v/>
      </c>
    </row>
    <row r="918">
      <c r="A918">
        <f>IF('WSF DASHBOARD'!$B$4="Area",IF(917&lt;=$D$3,IF(AND(OR('WSF DASHBOARD'!$C$4="",ISNUMBER(SEARCH('WSF DASHBOARD'!$C$4,INDEX(MASTER_AREAS!$B:$B,918))))),917,""),""),IF('WSF DASHBOARD'!$B$4="Zone",IF(917&lt;=$D$4,IF(OR('WSF DASHBOARD'!$C$4="",ISNUMBER(SEARCH('WSF DASHBOARD'!$C$4,INDEX(MASTER_ZONES!$B:$B,918)))),917,""),""),""))</f>
        <v/>
      </c>
      <c r="F918">
        <f>IF('TRANSPORT DASHBOARD'!$B$4="Area",IF(917&lt;=$I$3,IF(AND(INDEX(MASTER_AREAS!$F:$F,918)&lt;&gt;"N",OR('TRANSPORT DASHBOARD'!$C$4="",ISNUMBER(SEARCH('TRANSPORT DASHBOARD'!$C$4,INDEX(MASTER_AREAS!$B:$B,918))))),917,""),""),IF('TRANSPORT DASHBOARD'!$B$4="Zone",IF(917&lt;=$I$4,IF(OR('TRANSPORT DASHBOARD'!$C$4="",ISNUMBER(SEARCH('TRANSPORT DASHBOARD'!$C$4,INDEX(MASTER_ZONES!$B:$B,918)))),917,""),""),""))</f>
        <v/>
      </c>
      <c r="K918">
        <f>IF('MIDWEEK DASHBOARD'!$B$4="Area",IF(917&lt;=$N$3,IF(AND(OR('MIDWEEK DASHBOARD'!$C$4="",ISNUMBER(SEARCH('MIDWEEK DASHBOARD'!$C$4,INDEX(MASTER_AREAS!$B:$B,918))))),917,""),""),IF('MIDWEEK DASHBOARD'!$B$4="Zone",IF(917&lt;=$N$4,IF(OR('MIDWEEK DASHBOARD'!$C$4="",ISNUMBER(SEARCH('MIDWEEK DASHBOARD'!$C$4,INDEX(MASTER_ZONES!$B:$B,918)))),917,""),""),""))</f>
        <v/>
      </c>
      <c r="P918">
        <f>IF('CHOP DASHBOARD'!$B$4="Area",IF(917&lt;=$S$3,IF(AND(OR('CHOP DASHBOARD'!$C$4="",ISNUMBER(SEARCH('CHOP DASHBOARD'!$C$4,INDEX(MASTER_AREAS!$B:$B,918))))),917,""),""),IF('CHOP DASHBOARD'!$B$4="Zone",IF(917&lt;=$S$4,IF(OR('CHOP DASHBOARD'!$C$4="",ISNUMBER(SEARCH('CHOP DASHBOARD'!$C$4,INDEX(MASTER_ZONES!$B:$B,918)))),917,""),""),""))</f>
        <v/>
      </c>
      <c r="U918">
        <f>IF('COMMUNITY CHURCH DASHBOARD'!$B$4="Area",IF(917&lt;=$X$3,IF(AND(OR('COMMUNITY CHURCH DASHBOARD'!$C$4="",ISNUMBER(SEARCH('COMMUNITY CHURCH DASHBOARD'!$C$4,INDEX(MASTER_AREAS!$B:$B,918))))),917,""),""),IF('COMMUNITY CHURCH DASHBOARD'!$B$4="Zone",IF(917&lt;=$X$4,IF(OR('COMMUNITY CHURCH DASHBOARD'!$C$4="",ISNUMBER(SEARCH('COMMUNITY CHURCH DASHBOARD'!$C$4,INDEX(MASTER_ZONES!$B:$B,918)))),917,""),""),""))</f>
        <v/>
      </c>
    </row>
    <row r="919">
      <c r="A919">
        <f>IF('WSF DASHBOARD'!$B$4="Area",IF(918&lt;=$D$3,IF(AND(OR('WSF DASHBOARD'!$C$4="",ISNUMBER(SEARCH('WSF DASHBOARD'!$C$4,INDEX(MASTER_AREAS!$B:$B,919))))),918,""),""),IF('WSF DASHBOARD'!$B$4="Zone",IF(918&lt;=$D$4,IF(OR('WSF DASHBOARD'!$C$4="",ISNUMBER(SEARCH('WSF DASHBOARD'!$C$4,INDEX(MASTER_ZONES!$B:$B,919)))),918,""),""),""))</f>
        <v/>
      </c>
      <c r="F919">
        <f>IF('TRANSPORT DASHBOARD'!$B$4="Area",IF(918&lt;=$I$3,IF(AND(INDEX(MASTER_AREAS!$F:$F,919)&lt;&gt;"N",OR('TRANSPORT DASHBOARD'!$C$4="",ISNUMBER(SEARCH('TRANSPORT DASHBOARD'!$C$4,INDEX(MASTER_AREAS!$B:$B,919))))),918,""),""),IF('TRANSPORT DASHBOARD'!$B$4="Zone",IF(918&lt;=$I$4,IF(OR('TRANSPORT DASHBOARD'!$C$4="",ISNUMBER(SEARCH('TRANSPORT DASHBOARD'!$C$4,INDEX(MASTER_ZONES!$B:$B,919)))),918,""),""),""))</f>
        <v/>
      </c>
      <c r="K919">
        <f>IF('MIDWEEK DASHBOARD'!$B$4="Area",IF(918&lt;=$N$3,IF(AND(OR('MIDWEEK DASHBOARD'!$C$4="",ISNUMBER(SEARCH('MIDWEEK DASHBOARD'!$C$4,INDEX(MASTER_AREAS!$B:$B,919))))),918,""),""),IF('MIDWEEK DASHBOARD'!$B$4="Zone",IF(918&lt;=$N$4,IF(OR('MIDWEEK DASHBOARD'!$C$4="",ISNUMBER(SEARCH('MIDWEEK DASHBOARD'!$C$4,INDEX(MASTER_ZONES!$B:$B,919)))),918,""),""),""))</f>
        <v/>
      </c>
      <c r="P919">
        <f>IF('CHOP DASHBOARD'!$B$4="Area",IF(918&lt;=$S$3,IF(AND(OR('CHOP DASHBOARD'!$C$4="",ISNUMBER(SEARCH('CHOP DASHBOARD'!$C$4,INDEX(MASTER_AREAS!$B:$B,919))))),918,""),""),IF('CHOP DASHBOARD'!$B$4="Zone",IF(918&lt;=$S$4,IF(OR('CHOP DASHBOARD'!$C$4="",ISNUMBER(SEARCH('CHOP DASHBOARD'!$C$4,INDEX(MASTER_ZONES!$B:$B,919)))),918,""),""),""))</f>
        <v/>
      </c>
      <c r="U919">
        <f>IF('COMMUNITY CHURCH DASHBOARD'!$B$4="Area",IF(918&lt;=$X$3,IF(AND(OR('COMMUNITY CHURCH DASHBOARD'!$C$4="",ISNUMBER(SEARCH('COMMUNITY CHURCH DASHBOARD'!$C$4,INDEX(MASTER_AREAS!$B:$B,919))))),918,""),""),IF('COMMUNITY CHURCH DASHBOARD'!$B$4="Zone",IF(918&lt;=$X$4,IF(OR('COMMUNITY CHURCH DASHBOARD'!$C$4="",ISNUMBER(SEARCH('COMMUNITY CHURCH DASHBOARD'!$C$4,INDEX(MASTER_ZONES!$B:$B,919)))),918,""),""),""))</f>
        <v/>
      </c>
    </row>
    <row r="920">
      <c r="A920">
        <f>IF('WSF DASHBOARD'!$B$4="Area",IF(919&lt;=$D$3,IF(AND(OR('WSF DASHBOARD'!$C$4="",ISNUMBER(SEARCH('WSF DASHBOARD'!$C$4,INDEX(MASTER_AREAS!$B:$B,920))))),919,""),""),IF('WSF DASHBOARD'!$B$4="Zone",IF(919&lt;=$D$4,IF(OR('WSF DASHBOARD'!$C$4="",ISNUMBER(SEARCH('WSF DASHBOARD'!$C$4,INDEX(MASTER_ZONES!$B:$B,920)))),919,""),""),""))</f>
        <v/>
      </c>
      <c r="F920">
        <f>IF('TRANSPORT DASHBOARD'!$B$4="Area",IF(919&lt;=$I$3,IF(AND(INDEX(MASTER_AREAS!$F:$F,920)&lt;&gt;"N",OR('TRANSPORT DASHBOARD'!$C$4="",ISNUMBER(SEARCH('TRANSPORT DASHBOARD'!$C$4,INDEX(MASTER_AREAS!$B:$B,920))))),919,""),""),IF('TRANSPORT DASHBOARD'!$B$4="Zone",IF(919&lt;=$I$4,IF(OR('TRANSPORT DASHBOARD'!$C$4="",ISNUMBER(SEARCH('TRANSPORT DASHBOARD'!$C$4,INDEX(MASTER_ZONES!$B:$B,920)))),919,""),""),""))</f>
        <v/>
      </c>
      <c r="K920">
        <f>IF('MIDWEEK DASHBOARD'!$B$4="Area",IF(919&lt;=$N$3,IF(AND(OR('MIDWEEK DASHBOARD'!$C$4="",ISNUMBER(SEARCH('MIDWEEK DASHBOARD'!$C$4,INDEX(MASTER_AREAS!$B:$B,920))))),919,""),""),IF('MIDWEEK DASHBOARD'!$B$4="Zone",IF(919&lt;=$N$4,IF(OR('MIDWEEK DASHBOARD'!$C$4="",ISNUMBER(SEARCH('MIDWEEK DASHBOARD'!$C$4,INDEX(MASTER_ZONES!$B:$B,920)))),919,""),""),""))</f>
        <v/>
      </c>
      <c r="P920">
        <f>IF('CHOP DASHBOARD'!$B$4="Area",IF(919&lt;=$S$3,IF(AND(OR('CHOP DASHBOARD'!$C$4="",ISNUMBER(SEARCH('CHOP DASHBOARD'!$C$4,INDEX(MASTER_AREAS!$B:$B,920))))),919,""),""),IF('CHOP DASHBOARD'!$B$4="Zone",IF(919&lt;=$S$4,IF(OR('CHOP DASHBOARD'!$C$4="",ISNUMBER(SEARCH('CHOP DASHBOARD'!$C$4,INDEX(MASTER_ZONES!$B:$B,920)))),919,""),""),""))</f>
        <v/>
      </c>
      <c r="U920">
        <f>IF('COMMUNITY CHURCH DASHBOARD'!$B$4="Area",IF(919&lt;=$X$3,IF(AND(OR('COMMUNITY CHURCH DASHBOARD'!$C$4="",ISNUMBER(SEARCH('COMMUNITY CHURCH DASHBOARD'!$C$4,INDEX(MASTER_AREAS!$B:$B,920))))),919,""),""),IF('COMMUNITY CHURCH DASHBOARD'!$B$4="Zone",IF(919&lt;=$X$4,IF(OR('COMMUNITY CHURCH DASHBOARD'!$C$4="",ISNUMBER(SEARCH('COMMUNITY CHURCH DASHBOARD'!$C$4,INDEX(MASTER_ZONES!$B:$B,920)))),919,""),""),""))</f>
        <v/>
      </c>
    </row>
    <row r="921">
      <c r="A921">
        <f>IF('WSF DASHBOARD'!$B$4="Area",IF(920&lt;=$D$3,IF(AND(OR('WSF DASHBOARD'!$C$4="",ISNUMBER(SEARCH('WSF DASHBOARD'!$C$4,INDEX(MASTER_AREAS!$B:$B,921))))),920,""),""),IF('WSF DASHBOARD'!$B$4="Zone",IF(920&lt;=$D$4,IF(OR('WSF DASHBOARD'!$C$4="",ISNUMBER(SEARCH('WSF DASHBOARD'!$C$4,INDEX(MASTER_ZONES!$B:$B,921)))),920,""),""),""))</f>
        <v/>
      </c>
      <c r="F921">
        <f>IF('TRANSPORT DASHBOARD'!$B$4="Area",IF(920&lt;=$I$3,IF(AND(INDEX(MASTER_AREAS!$F:$F,921)&lt;&gt;"N",OR('TRANSPORT DASHBOARD'!$C$4="",ISNUMBER(SEARCH('TRANSPORT DASHBOARD'!$C$4,INDEX(MASTER_AREAS!$B:$B,921))))),920,""),""),IF('TRANSPORT DASHBOARD'!$B$4="Zone",IF(920&lt;=$I$4,IF(OR('TRANSPORT DASHBOARD'!$C$4="",ISNUMBER(SEARCH('TRANSPORT DASHBOARD'!$C$4,INDEX(MASTER_ZONES!$B:$B,921)))),920,""),""),""))</f>
        <v/>
      </c>
      <c r="K921">
        <f>IF('MIDWEEK DASHBOARD'!$B$4="Area",IF(920&lt;=$N$3,IF(AND(OR('MIDWEEK DASHBOARD'!$C$4="",ISNUMBER(SEARCH('MIDWEEK DASHBOARD'!$C$4,INDEX(MASTER_AREAS!$B:$B,921))))),920,""),""),IF('MIDWEEK DASHBOARD'!$B$4="Zone",IF(920&lt;=$N$4,IF(OR('MIDWEEK DASHBOARD'!$C$4="",ISNUMBER(SEARCH('MIDWEEK DASHBOARD'!$C$4,INDEX(MASTER_ZONES!$B:$B,921)))),920,""),""),""))</f>
        <v/>
      </c>
      <c r="P921">
        <f>IF('CHOP DASHBOARD'!$B$4="Area",IF(920&lt;=$S$3,IF(AND(OR('CHOP DASHBOARD'!$C$4="",ISNUMBER(SEARCH('CHOP DASHBOARD'!$C$4,INDEX(MASTER_AREAS!$B:$B,921))))),920,""),""),IF('CHOP DASHBOARD'!$B$4="Zone",IF(920&lt;=$S$4,IF(OR('CHOP DASHBOARD'!$C$4="",ISNUMBER(SEARCH('CHOP DASHBOARD'!$C$4,INDEX(MASTER_ZONES!$B:$B,921)))),920,""),""),""))</f>
        <v/>
      </c>
      <c r="U921">
        <f>IF('COMMUNITY CHURCH DASHBOARD'!$B$4="Area",IF(920&lt;=$X$3,IF(AND(OR('COMMUNITY CHURCH DASHBOARD'!$C$4="",ISNUMBER(SEARCH('COMMUNITY CHURCH DASHBOARD'!$C$4,INDEX(MASTER_AREAS!$B:$B,921))))),920,""),""),IF('COMMUNITY CHURCH DASHBOARD'!$B$4="Zone",IF(920&lt;=$X$4,IF(OR('COMMUNITY CHURCH DASHBOARD'!$C$4="",ISNUMBER(SEARCH('COMMUNITY CHURCH DASHBOARD'!$C$4,INDEX(MASTER_ZONES!$B:$B,921)))),920,""),""),""))</f>
        <v/>
      </c>
    </row>
    <row r="922">
      <c r="A922">
        <f>IF('WSF DASHBOARD'!$B$4="Area",IF(921&lt;=$D$3,IF(AND(OR('WSF DASHBOARD'!$C$4="",ISNUMBER(SEARCH('WSF DASHBOARD'!$C$4,INDEX(MASTER_AREAS!$B:$B,922))))),921,""),""),IF('WSF DASHBOARD'!$B$4="Zone",IF(921&lt;=$D$4,IF(OR('WSF DASHBOARD'!$C$4="",ISNUMBER(SEARCH('WSF DASHBOARD'!$C$4,INDEX(MASTER_ZONES!$B:$B,922)))),921,""),""),""))</f>
        <v/>
      </c>
      <c r="F922">
        <f>IF('TRANSPORT DASHBOARD'!$B$4="Area",IF(921&lt;=$I$3,IF(AND(INDEX(MASTER_AREAS!$F:$F,922)&lt;&gt;"N",OR('TRANSPORT DASHBOARD'!$C$4="",ISNUMBER(SEARCH('TRANSPORT DASHBOARD'!$C$4,INDEX(MASTER_AREAS!$B:$B,922))))),921,""),""),IF('TRANSPORT DASHBOARD'!$B$4="Zone",IF(921&lt;=$I$4,IF(OR('TRANSPORT DASHBOARD'!$C$4="",ISNUMBER(SEARCH('TRANSPORT DASHBOARD'!$C$4,INDEX(MASTER_ZONES!$B:$B,922)))),921,""),""),""))</f>
        <v/>
      </c>
      <c r="K922">
        <f>IF('MIDWEEK DASHBOARD'!$B$4="Area",IF(921&lt;=$N$3,IF(AND(OR('MIDWEEK DASHBOARD'!$C$4="",ISNUMBER(SEARCH('MIDWEEK DASHBOARD'!$C$4,INDEX(MASTER_AREAS!$B:$B,922))))),921,""),""),IF('MIDWEEK DASHBOARD'!$B$4="Zone",IF(921&lt;=$N$4,IF(OR('MIDWEEK DASHBOARD'!$C$4="",ISNUMBER(SEARCH('MIDWEEK DASHBOARD'!$C$4,INDEX(MASTER_ZONES!$B:$B,922)))),921,""),""),""))</f>
        <v/>
      </c>
      <c r="P922">
        <f>IF('CHOP DASHBOARD'!$B$4="Area",IF(921&lt;=$S$3,IF(AND(OR('CHOP DASHBOARD'!$C$4="",ISNUMBER(SEARCH('CHOP DASHBOARD'!$C$4,INDEX(MASTER_AREAS!$B:$B,922))))),921,""),""),IF('CHOP DASHBOARD'!$B$4="Zone",IF(921&lt;=$S$4,IF(OR('CHOP DASHBOARD'!$C$4="",ISNUMBER(SEARCH('CHOP DASHBOARD'!$C$4,INDEX(MASTER_ZONES!$B:$B,922)))),921,""),""),""))</f>
        <v/>
      </c>
      <c r="U922">
        <f>IF('COMMUNITY CHURCH DASHBOARD'!$B$4="Area",IF(921&lt;=$X$3,IF(AND(OR('COMMUNITY CHURCH DASHBOARD'!$C$4="",ISNUMBER(SEARCH('COMMUNITY CHURCH DASHBOARD'!$C$4,INDEX(MASTER_AREAS!$B:$B,922))))),921,""),""),IF('COMMUNITY CHURCH DASHBOARD'!$B$4="Zone",IF(921&lt;=$X$4,IF(OR('COMMUNITY CHURCH DASHBOARD'!$C$4="",ISNUMBER(SEARCH('COMMUNITY CHURCH DASHBOARD'!$C$4,INDEX(MASTER_ZONES!$B:$B,922)))),921,""),""),""))</f>
        <v/>
      </c>
    </row>
    <row r="923">
      <c r="A923">
        <f>IF('WSF DASHBOARD'!$B$4="Area",IF(922&lt;=$D$3,IF(AND(OR('WSF DASHBOARD'!$C$4="",ISNUMBER(SEARCH('WSF DASHBOARD'!$C$4,INDEX(MASTER_AREAS!$B:$B,923))))),922,""),""),IF('WSF DASHBOARD'!$B$4="Zone",IF(922&lt;=$D$4,IF(OR('WSF DASHBOARD'!$C$4="",ISNUMBER(SEARCH('WSF DASHBOARD'!$C$4,INDEX(MASTER_ZONES!$B:$B,923)))),922,""),""),""))</f>
        <v/>
      </c>
      <c r="F923">
        <f>IF('TRANSPORT DASHBOARD'!$B$4="Area",IF(922&lt;=$I$3,IF(AND(INDEX(MASTER_AREAS!$F:$F,923)&lt;&gt;"N",OR('TRANSPORT DASHBOARD'!$C$4="",ISNUMBER(SEARCH('TRANSPORT DASHBOARD'!$C$4,INDEX(MASTER_AREAS!$B:$B,923))))),922,""),""),IF('TRANSPORT DASHBOARD'!$B$4="Zone",IF(922&lt;=$I$4,IF(OR('TRANSPORT DASHBOARD'!$C$4="",ISNUMBER(SEARCH('TRANSPORT DASHBOARD'!$C$4,INDEX(MASTER_ZONES!$B:$B,923)))),922,""),""),""))</f>
        <v/>
      </c>
      <c r="K923">
        <f>IF('MIDWEEK DASHBOARD'!$B$4="Area",IF(922&lt;=$N$3,IF(AND(OR('MIDWEEK DASHBOARD'!$C$4="",ISNUMBER(SEARCH('MIDWEEK DASHBOARD'!$C$4,INDEX(MASTER_AREAS!$B:$B,923))))),922,""),""),IF('MIDWEEK DASHBOARD'!$B$4="Zone",IF(922&lt;=$N$4,IF(OR('MIDWEEK DASHBOARD'!$C$4="",ISNUMBER(SEARCH('MIDWEEK DASHBOARD'!$C$4,INDEX(MASTER_ZONES!$B:$B,923)))),922,""),""),""))</f>
        <v/>
      </c>
      <c r="P923">
        <f>IF('CHOP DASHBOARD'!$B$4="Area",IF(922&lt;=$S$3,IF(AND(OR('CHOP DASHBOARD'!$C$4="",ISNUMBER(SEARCH('CHOP DASHBOARD'!$C$4,INDEX(MASTER_AREAS!$B:$B,923))))),922,""),""),IF('CHOP DASHBOARD'!$B$4="Zone",IF(922&lt;=$S$4,IF(OR('CHOP DASHBOARD'!$C$4="",ISNUMBER(SEARCH('CHOP DASHBOARD'!$C$4,INDEX(MASTER_ZONES!$B:$B,923)))),922,""),""),""))</f>
        <v/>
      </c>
      <c r="U923">
        <f>IF('COMMUNITY CHURCH DASHBOARD'!$B$4="Area",IF(922&lt;=$X$3,IF(AND(OR('COMMUNITY CHURCH DASHBOARD'!$C$4="",ISNUMBER(SEARCH('COMMUNITY CHURCH DASHBOARD'!$C$4,INDEX(MASTER_AREAS!$B:$B,923))))),922,""),""),IF('COMMUNITY CHURCH DASHBOARD'!$B$4="Zone",IF(922&lt;=$X$4,IF(OR('COMMUNITY CHURCH DASHBOARD'!$C$4="",ISNUMBER(SEARCH('COMMUNITY CHURCH DASHBOARD'!$C$4,INDEX(MASTER_ZONES!$B:$B,923)))),922,""),""),""))</f>
        <v/>
      </c>
    </row>
    <row r="924">
      <c r="A924">
        <f>IF('WSF DASHBOARD'!$B$4="Area",IF(923&lt;=$D$3,IF(AND(OR('WSF DASHBOARD'!$C$4="",ISNUMBER(SEARCH('WSF DASHBOARD'!$C$4,INDEX(MASTER_AREAS!$B:$B,924))))),923,""),""),IF('WSF DASHBOARD'!$B$4="Zone",IF(923&lt;=$D$4,IF(OR('WSF DASHBOARD'!$C$4="",ISNUMBER(SEARCH('WSF DASHBOARD'!$C$4,INDEX(MASTER_ZONES!$B:$B,924)))),923,""),""),""))</f>
        <v/>
      </c>
      <c r="F924">
        <f>IF('TRANSPORT DASHBOARD'!$B$4="Area",IF(923&lt;=$I$3,IF(AND(INDEX(MASTER_AREAS!$F:$F,924)&lt;&gt;"N",OR('TRANSPORT DASHBOARD'!$C$4="",ISNUMBER(SEARCH('TRANSPORT DASHBOARD'!$C$4,INDEX(MASTER_AREAS!$B:$B,924))))),923,""),""),IF('TRANSPORT DASHBOARD'!$B$4="Zone",IF(923&lt;=$I$4,IF(OR('TRANSPORT DASHBOARD'!$C$4="",ISNUMBER(SEARCH('TRANSPORT DASHBOARD'!$C$4,INDEX(MASTER_ZONES!$B:$B,924)))),923,""),""),""))</f>
        <v/>
      </c>
      <c r="K924">
        <f>IF('MIDWEEK DASHBOARD'!$B$4="Area",IF(923&lt;=$N$3,IF(AND(OR('MIDWEEK DASHBOARD'!$C$4="",ISNUMBER(SEARCH('MIDWEEK DASHBOARD'!$C$4,INDEX(MASTER_AREAS!$B:$B,924))))),923,""),""),IF('MIDWEEK DASHBOARD'!$B$4="Zone",IF(923&lt;=$N$4,IF(OR('MIDWEEK DASHBOARD'!$C$4="",ISNUMBER(SEARCH('MIDWEEK DASHBOARD'!$C$4,INDEX(MASTER_ZONES!$B:$B,924)))),923,""),""),""))</f>
        <v/>
      </c>
      <c r="P924">
        <f>IF('CHOP DASHBOARD'!$B$4="Area",IF(923&lt;=$S$3,IF(AND(OR('CHOP DASHBOARD'!$C$4="",ISNUMBER(SEARCH('CHOP DASHBOARD'!$C$4,INDEX(MASTER_AREAS!$B:$B,924))))),923,""),""),IF('CHOP DASHBOARD'!$B$4="Zone",IF(923&lt;=$S$4,IF(OR('CHOP DASHBOARD'!$C$4="",ISNUMBER(SEARCH('CHOP DASHBOARD'!$C$4,INDEX(MASTER_ZONES!$B:$B,924)))),923,""),""),""))</f>
        <v/>
      </c>
      <c r="U924">
        <f>IF('COMMUNITY CHURCH DASHBOARD'!$B$4="Area",IF(923&lt;=$X$3,IF(AND(OR('COMMUNITY CHURCH DASHBOARD'!$C$4="",ISNUMBER(SEARCH('COMMUNITY CHURCH DASHBOARD'!$C$4,INDEX(MASTER_AREAS!$B:$B,924))))),923,""),""),IF('COMMUNITY CHURCH DASHBOARD'!$B$4="Zone",IF(923&lt;=$X$4,IF(OR('COMMUNITY CHURCH DASHBOARD'!$C$4="",ISNUMBER(SEARCH('COMMUNITY CHURCH DASHBOARD'!$C$4,INDEX(MASTER_ZONES!$B:$B,924)))),923,""),""),""))</f>
        <v/>
      </c>
    </row>
    <row r="925">
      <c r="A925">
        <f>IF('WSF DASHBOARD'!$B$4="Area",IF(924&lt;=$D$3,IF(AND(OR('WSF DASHBOARD'!$C$4="",ISNUMBER(SEARCH('WSF DASHBOARD'!$C$4,INDEX(MASTER_AREAS!$B:$B,925))))),924,""),""),IF('WSF DASHBOARD'!$B$4="Zone",IF(924&lt;=$D$4,IF(OR('WSF DASHBOARD'!$C$4="",ISNUMBER(SEARCH('WSF DASHBOARD'!$C$4,INDEX(MASTER_ZONES!$B:$B,925)))),924,""),""),""))</f>
        <v/>
      </c>
      <c r="F925">
        <f>IF('TRANSPORT DASHBOARD'!$B$4="Area",IF(924&lt;=$I$3,IF(AND(INDEX(MASTER_AREAS!$F:$F,925)&lt;&gt;"N",OR('TRANSPORT DASHBOARD'!$C$4="",ISNUMBER(SEARCH('TRANSPORT DASHBOARD'!$C$4,INDEX(MASTER_AREAS!$B:$B,925))))),924,""),""),IF('TRANSPORT DASHBOARD'!$B$4="Zone",IF(924&lt;=$I$4,IF(OR('TRANSPORT DASHBOARD'!$C$4="",ISNUMBER(SEARCH('TRANSPORT DASHBOARD'!$C$4,INDEX(MASTER_ZONES!$B:$B,925)))),924,""),""),""))</f>
        <v/>
      </c>
      <c r="K925">
        <f>IF('MIDWEEK DASHBOARD'!$B$4="Area",IF(924&lt;=$N$3,IF(AND(OR('MIDWEEK DASHBOARD'!$C$4="",ISNUMBER(SEARCH('MIDWEEK DASHBOARD'!$C$4,INDEX(MASTER_AREAS!$B:$B,925))))),924,""),""),IF('MIDWEEK DASHBOARD'!$B$4="Zone",IF(924&lt;=$N$4,IF(OR('MIDWEEK DASHBOARD'!$C$4="",ISNUMBER(SEARCH('MIDWEEK DASHBOARD'!$C$4,INDEX(MASTER_ZONES!$B:$B,925)))),924,""),""),""))</f>
        <v/>
      </c>
      <c r="P925">
        <f>IF('CHOP DASHBOARD'!$B$4="Area",IF(924&lt;=$S$3,IF(AND(OR('CHOP DASHBOARD'!$C$4="",ISNUMBER(SEARCH('CHOP DASHBOARD'!$C$4,INDEX(MASTER_AREAS!$B:$B,925))))),924,""),""),IF('CHOP DASHBOARD'!$B$4="Zone",IF(924&lt;=$S$4,IF(OR('CHOP DASHBOARD'!$C$4="",ISNUMBER(SEARCH('CHOP DASHBOARD'!$C$4,INDEX(MASTER_ZONES!$B:$B,925)))),924,""),""),""))</f>
        <v/>
      </c>
      <c r="U925">
        <f>IF('COMMUNITY CHURCH DASHBOARD'!$B$4="Area",IF(924&lt;=$X$3,IF(AND(OR('COMMUNITY CHURCH DASHBOARD'!$C$4="",ISNUMBER(SEARCH('COMMUNITY CHURCH DASHBOARD'!$C$4,INDEX(MASTER_AREAS!$B:$B,925))))),924,""),""),IF('COMMUNITY CHURCH DASHBOARD'!$B$4="Zone",IF(924&lt;=$X$4,IF(OR('COMMUNITY CHURCH DASHBOARD'!$C$4="",ISNUMBER(SEARCH('COMMUNITY CHURCH DASHBOARD'!$C$4,INDEX(MASTER_ZONES!$B:$B,925)))),924,""),""),""))</f>
        <v/>
      </c>
    </row>
    <row r="926">
      <c r="A926">
        <f>IF('WSF DASHBOARD'!$B$4="Area",IF(925&lt;=$D$3,IF(AND(OR('WSF DASHBOARD'!$C$4="",ISNUMBER(SEARCH('WSF DASHBOARD'!$C$4,INDEX(MASTER_AREAS!$B:$B,926))))),925,""),""),IF('WSF DASHBOARD'!$B$4="Zone",IF(925&lt;=$D$4,IF(OR('WSF DASHBOARD'!$C$4="",ISNUMBER(SEARCH('WSF DASHBOARD'!$C$4,INDEX(MASTER_ZONES!$B:$B,926)))),925,""),""),""))</f>
        <v/>
      </c>
      <c r="F926">
        <f>IF('TRANSPORT DASHBOARD'!$B$4="Area",IF(925&lt;=$I$3,IF(AND(INDEX(MASTER_AREAS!$F:$F,926)&lt;&gt;"N",OR('TRANSPORT DASHBOARD'!$C$4="",ISNUMBER(SEARCH('TRANSPORT DASHBOARD'!$C$4,INDEX(MASTER_AREAS!$B:$B,926))))),925,""),""),IF('TRANSPORT DASHBOARD'!$B$4="Zone",IF(925&lt;=$I$4,IF(OR('TRANSPORT DASHBOARD'!$C$4="",ISNUMBER(SEARCH('TRANSPORT DASHBOARD'!$C$4,INDEX(MASTER_ZONES!$B:$B,926)))),925,""),""),""))</f>
        <v/>
      </c>
      <c r="K926">
        <f>IF('MIDWEEK DASHBOARD'!$B$4="Area",IF(925&lt;=$N$3,IF(AND(OR('MIDWEEK DASHBOARD'!$C$4="",ISNUMBER(SEARCH('MIDWEEK DASHBOARD'!$C$4,INDEX(MASTER_AREAS!$B:$B,926))))),925,""),""),IF('MIDWEEK DASHBOARD'!$B$4="Zone",IF(925&lt;=$N$4,IF(OR('MIDWEEK DASHBOARD'!$C$4="",ISNUMBER(SEARCH('MIDWEEK DASHBOARD'!$C$4,INDEX(MASTER_ZONES!$B:$B,926)))),925,""),""),""))</f>
        <v/>
      </c>
      <c r="P926">
        <f>IF('CHOP DASHBOARD'!$B$4="Area",IF(925&lt;=$S$3,IF(AND(OR('CHOP DASHBOARD'!$C$4="",ISNUMBER(SEARCH('CHOP DASHBOARD'!$C$4,INDEX(MASTER_AREAS!$B:$B,926))))),925,""),""),IF('CHOP DASHBOARD'!$B$4="Zone",IF(925&lt;=$S$4,IF(OR('CHOP DASHBOARD'!$C$4="",ISNUMBER(SEARCH('CHOP DASHBOARD'!$C$4,INDEX(MASTER_ZONES!$B:$B,926)))),925,""),""),""))</f>
        <v/>
      </c>
      <c r="U926">
        <f>IF('COMMUNITY CHURCH DASHBOARD'!$B$4="Area",IF(925&lt;=$X$3,IF(AND(OR('COMMUNITY CHURCH DASHBOARD'!$C$4="",ISNUMBER(SEARCH('COMMUNITY CHURCH DASHBOARD'!$C$4,INDEX(MASTER_AREAS!$B:$B,926))))),925,""),""),IF('COMMUNITY CHURCH DASHBOARD'!$B$4="Zone",IF(925&lt;=$X$4,IF(OR('COMMUNITY CHURCH DASHBOARD'!$C$4="",ISNUMBER(SEARCH('COMMUNITY CHURCH DASHBOARD'!$C$4,INDEX(MASTER_ZONES!$B:$B,926)))),925,""),""),""))</f>
        <v/>
      </c>
    </row>
    <row r="927">
      <c r="A927">
        <f>IF('WSF DASHBOARD'!$B$4="Area",IF(926&lt;=$D$3,IF(AND(OR('WSF DASHBOARD'!$C$4="",ISNUMBER(SEARCH('WSF DASHBOARD'!$C$4,INDEX(MASTER_AREAS!$B:$B,927))))),926,""),""),IF('WSF DASHBOARD'!$B$4="Zone",IF(926&lt;=$D$4,IF(OR('WSF DASHBOARD'!$C$4="",ISNUMBER(SEARCH('WSF DASHBOARD'!$C$4,INDEX(MASTER_ZONES!$B:$B,927)))),926,""),""),""))</f>
        <v/>
      </c>
      <c r="F927">
        <f>IF('TRANSPORT DASHBOARD'!$B$4="Area",IF(926&lt;=$I$3,IF(AND(INDEX(MASTER_AREAS!$F:$F,927)&lt;&gt;"N",OR('TRANSPORT DASHBOARD'!$C$4="",ISNUMBER(SEARCH('TRANSPORT DASHBOARD'!$C$4,INDEX(MASTER_AREAS!$B:$B,927))))),926,""),""),IF('TRANSPORT DASHBOARD'!$B$4="Zone",IF(926&lt;=$I$4,IF(OR('TRANSPORT DASHBOARD'!$C$4="",ISNUMBER(SEARCH('TRANSPORT DASHBOARD'!$C$4,INDEX(MASTER_ZONES!$B:$B,927)))),926,""),""),""))</f>
        <v/>
      </c>
      <c r="K927">
        <f>IF('MIDWEEK DASHBOARD'!$B$4="Area",IF(926&lt;=$N$3,IF(AND(OR('MIDWEEK DASHBOARD'!$C$4="",ISNUMBER(SEARCH('MIDWEEK DASHBOARD'!$C$4,INDEX(MASTER_AREAS!$B:$B,927))))),926,""),""),IF('MIDWEEK DASHBOARD'!$B$4="Zone",IF(926&lt;=$N$4,IF(OR('MIDWEEK DASHBOARD'!$C$4="",ISNUMBER(SEARCH('MIDWEEK DASHBOARD'!$C$4,INDEX(MASTER_ZONES!$B:$B,927)))),926,""),""),""))</f>
        <v/>
      </c>
      <c r="P927">
        <f>IF('CHOP DASHBOARD'!$B$4="Area",IF(926&lt;=$S$3,IF(AND(OR('CHOP DASHBOARD'!$C$4="",ISNUMBER(SEARCH('CHOP DASHBOARD'!$C$4,INDEX(MASTER_AREAS!$B:$B,927))))),926,""),""),IF('CHOP DASHBOARD'!$B$4="Zone",IF(926&lt;=$S$4,IF(OR('CHOP DASHBOARD'!$C$4="",ISNUMBER(SEARCH('CHOP DASHBOARD'!$C$4,INDEX(MASTER_ZONES!$B:$B,927)))),926,""),""),""))</f>
        <v/>
      </c>
      <c r="U927">
        <f>IF('COMMUNITY CHURCH DASHBOARD'!$B$4="Area",IF(926&lt;=$X$3,IF(AND(OR('COMMUNITY CHURCH DASHBOARD'!$C$4="",ISNUMBER(SEARCH('COMMUNITY CHURCH DASHBOARD'!$C$4,INDEX(MASTER_AREAS!$B:$B,927))))),926,""),""),IF('COMMUNITY CHURCH DASHBOARD'!$B$4="Zone",IF(926&lt;=$X$4,IF(OR('COMMUNITY CHURCH DASHBOARD'!$C$4="",ISNUMBER(SEARCH('COMMUNITY CHURCH DASHBOARD'!$C$4,INDEX(MASTER_ZONES!$B:$B,927)))),926,""),""),""))</f>
        <v/>
      </c>
    </row>
    <row r="928">
      <c r="A928">
        <f>IF('WSF DASHBOARD'!$B$4="Area",IF(927&lt;=$D$3,IF(AND(OR('WSF DASHBOARD'!$C$4="",ISNUMBER(SEARCH('WSF DASHBOARD'!$C$4,INDEX(MASTER_AREAS!$B:$B,928))))),927,""),""),IF('WSF DASHBOARD'!$B$4="Zone",IF(927&lt;=$D$4,IF(OR('WSF DASHBOARD'!$C$4="",ISNUMBER(SEARCH('WSF DASHBOARD'!$C$4,INDEX(MASTER_ZONES!$B:$B,928)))),927,""),""),""))</f>
        <v/>
      </c>
      <c r="F928">
        <f>IF('TRANSPORT DASHBOARD'!$B$4="Area",IF(927&lt;=$I$3,IF(AND(INDEX(MASTER_AREAS!$F:$F,928)&lt;&gt;"N",OR('TRANSPORT DASHBOARD'!$C$4="",ISNUMBER(SEARCH('TRANSPORT DASHBOARD'!$C$4,INDEX(MASTER_AREAS!$B:$B,928))))),927,""),""),IF('TRANSPORT DASHBOARD'!$B$4="Zone",IF(927&lt;=$I$4,IF(OR('TRANSPORT DASHBOARD'!$C$4="",ISNUMBER(SEARCH('TRANSPORT DASHBOARD'!$C$4,INDEX(MASTER_ZONES!$B:$B,928)))),927,""),""),""))</f>
        <v/>
      </c>
      <c r="K928">
        <f>IF('MIDWEEK DASHBOARD'!$B$4="Area",IF(927&lt;=$N$3,IF(AND(OR('MIDWEEK DASHBOARD'!$C$4="",ISNUMBER(SEARCH('MIDWEEK DASHBOARD'!$C$4,INDEX(MASTER_AREAS!$B:$B,928))))),927,""),""),IF('MIDWEEK DASHBOARD'!$B$4="Zone",IF(927&lt;=$N$4,IF(OR('MIDWEEK DASHBOARD'!$C$4="",ISNUMBER(SEARCH('MIDWEEK DASHBOARD'!$C$4,INDEX(MASTER_ZONES!$B:$B,928)))),927,""),""),""))</f>
        <v/>
      </c>
      <c r="P928">
        <f>IF('CHOP DASHBOARD'!$B$4="Area",IF(927&lt;=$S$3,IF(AND(OR('CHOP DASHBOARD'!$C$4="",ISNUMBER(SEARCH('CHOP DASHBOARD'!$C$4,INDEX(MASTER_AREAS!$B:$B,928))))),927,""),""),IF('CHOP DASHBOARD'!$B$4="Zone",IF(927&lt;=$S$4,IF(OR('CHOP DASHBOARD'!$C$4="",ISNUMBER(SEARCH('CHOP DASHBOARD'!$C$4,INDEX(MASTER_ZONES!$B:$B,928)))),927,""),""),""))</f>
        <v/>
      </c>
      <c r="U928">
        <f>IF('COMMUNITY CHURCH DASHBOARD'!$B$4="Area",IF(927&lt;=$X$3,IF(AND(OR('COMMUNITY CHURCH DASHBOARD'!$C$4="",ISNUMBER(SEARCH('COMMUNITY CHURCH DASHBOARD'!$C$4,INDEX(MASTER_AREAS!$B:$B,928))))),927,""),""),IF('COMMUNITY CHURCH DASHBOARD'!$B$4="Zone",IF(927&lt;=$X$4,IF(OR('COMMUNITY CHURCH DASHBOARD'!$C$4="",ISNUMBER(SEARCH('COMMUNITY CHURCH DASHBOARD'!$C$4,INDEX(MASTER_ZONES!$B:$B,928)))),927,""),""),""))</f>
        <v/>
      </c>
    </row>
    <row r="929">
      <c r="A929">
        <f>IF('WSF DASHBOARD'!$B$4="Area",IF(928&lt;=$D$3,IF(AND(OR('WSF DASHBOARD'!$C$4="",ISNUMBER(SEARCH('WSF DASHBOARD'!$C$4,INDEX(MASTER_AREAS!$B:$B,929))))),928,""),""),IF('WSF DASHBOARD'!$B$4="Zone",IF(928&lt;=$D$4,IF(OR('WSF DASHBOARD'!$C$4="",ISNUMBER(SEARCH('WSF DASHBOARD'!$C$4,INDEX(MASTER_ZONES!$B:$B,929)))),928,""),""),""))</f>
        <v/>
      </c>
      <c r="F929">
        <f>IF('TRANSPORT DASHBOARD'!$B$4="Area",IF(928&lt;=$I$3,IF(AND(INDEX(MASTER_AREAS!$F:$F,929)&lt;&gt;"N",OR('TRANSPORT DASHBOARD'!$C$4="",ISNUMBER(SEARCH('TRANSPORT DASHBOARD'!$C$4,INDEX(MASTER_AREAS!$B:$B,929))))),928,""),""),IF('TRANSPORT DASHBOARD'!$B$4="Zone",IF(928&lt;=$I$4,IF(OR('TRANSPORT DASHBOARD'!$C$4="",ISNUMBER(SEARCH('TRANSPORT DASHBOARD'!$C$4,INDEX(MASTER_ZONES!$B:$B,929)))),928,""),""),""))</f>
        <v/>
      </c>
      <c r="K929">
        <f>IF('MIDWEEK DASHBOARD'!$B$4="Area",IF(928&lt;=$N$3,IF(AND(OR('MIDWEEK DASHBOARD'!$C$4="",ISNUMBER(SEARCH('MIDWEEK DASHBOARD'!$C$4,INDEX(MASTER_AREAS!$B:$B,929))))),928,""),""),IF('MIDWEEK DASHBOARD'!$B$4="Zone",IF(928&lt;=$N$4,IF(OR('MIDWEEK DASHBOARD'!$C$4="",ISNUMBER(SEARCH('MIDWEEK DASHBOARD'!$C$4,INDEX(MASTER_ZONES!$B:$B,929)))),928,""),""),""))</f>
        <v/>
      </c>
      <c r="P929">
        <f>IF('CHOP DASHBOARD'!$B$4="Area",IF(928&lt;=$S$3,IF(AND(OR('CHOP DASHBOARD'!$C$4="",ISNUMBER(SEARCH('CHOP DASHBOARD'!$C$4,INDEX(MASTER_AREAS!$B:$B,929))))),928,""),""),IF('CHOP DASHBOARD'!$B$4="Zone",IF(928&lt;=$S$4,IF(OR('CHOP DASHBOARD'!$C$4="",ISNUMBER(SEARCH('CHOP DASHBOARD'!$C$4,INDEX(MASTER_ZONES!$B:$B,929)))),928,""),""),""))</f>
        <v/>
      </c>
      <c r="U929">
        <f>IF('COMMUNITY CHURCH DASHBOARD'!$B$4="Area",IF(928&lt;=$X$3,IF(AND(OR('COMMUNITY CHURCH DASHBOARD'!$C$4="",ISNUMBER(SEARCH('COMMUNITY CHURCH DASHBOARD'!$C$4,INDEX(MASTER_AREAS!$B:$B,929))))),928,""),""),IF('COMMUNITY CHURCH DASHBOARD'!$B$4="Zone",IF(928&lt;=$X$4,IF(OR('COMMUNITY CHURCH DASHBOARD'!$C$4="",ISNUMBER(SEARCH('COMMUNITY CHURCH DASHBOARD'!$C$4,INDEX(MASTER_ZONES!$B:$B,929)))),928,""),""),""))</f>
        <v/>
      </c>
    </row>
    <row r="930">
      <c r="A930">
        <f>IF('WSF DASHBOARD'!$B$4="Area",IF(929&lt;=$D$3,IF(AND(OR('WSF DASHBOARD'!$C$4="",ISNUMBER(SEARCH('WSF DASHBOARD'!$C$4,INDEX(MASTER_AREAS!$B:$B,930))))),929,""),""),IF('WSF DASHBOARD'!$B$4="Zone",IF(929&lt;=$D$4,IF(OR('WSF DASHBOARD'!$C$4="",ISNUMBER(SEARCH('WSF DASHBOARD'!$C$4,INDEX(MASTER_ZONES!$B:$B,930)))),929,""),""),""))</f>
        <v/>
      </c>
      <c r="F930">
        <f>IF('TRANSPORT DASHBOARD'!$B$4="Area",IF(929&lt;=$I$3,IF(AND(INDEX(MASTER_AREAS!$F:$F,930)&lt;&gt;"N",OR('TRANSPORT DASHBOARD'!$C$4="",ISNUMBER(SEARCH('TRANSPORT DASHBOARD'!$C$4,INDEX(MASTER_AREAS!$B:$B,930))))),929,""),""),IF('TRANSPORT DASHBOARD'!$B$4="Zone",IF(929&lt;=$I$4,IF(OR('TRANSPORT DASHBOARD'!$C$4="",ISNUMBER(SEARCH('TRANSPORT DASHBOARD'!$C$4,INDEX(MASTER_ZONES!$B:$B,930)))),929,""),""),""))</f>
        <v/>
      </c>
      <c r="K930">
        <f>IF('MIDWEEK DASHBOARD'!$B$4="Area",IF(929&lt;=$N$3,IF(AND(OR('MIDWEEK DASHBOARD'!$C$4="",ISNUMBER(SEARCH('MIDWEEK DASHBOARD'!$C$4,INDEX(MASTER_AREAS!$B:$B,930))))),929,""),""),IF('MIDWEEK DASHBOARD'!$B$4="Zone",IF(929&lt;=$N$4,IF(OR('MIDWEEK DASHBOARD'!$C$4="",ISNUMBER(SEARCH('MIDWEEK DASHBOARD'!$C$4,INDEX(MASTER_ZONES!$B:$B,930)))),929,""),""),""))</f>
        <v/>
      </c>
      <c r="P930">
        <f>IF('CHOP DASHBOARD'!$B$4="Area",IF(929&lt;=$S$3,IF(AND(OR('CHOP DASHBOARD'!$C$4="",ISNUMBER(SEARCH('CHOP DASHBOARD'!$C$4,INDEX(MASTER_AREAS!$B:$B,930))))),929,""),""),IF('CHOP DASHBOARD'!$B$4="Zone",IF(929&lt;=$S$4,IF(OR('CHOP DASHBOARD'!$C$4="",ISNUMBER(SEARCH('CHOP DASHBOARD'!$C$4,INDEX(MASTER_ZONES!$B:$B,930)))),929,""),""),""))</f>
        <v/>
      </c>
      <c r="U930">
        <f>IF('COMMUNITY CHURCH DASHBOARD'!$B$4="Area",IF(929&lt;=$X$3,IF(AND(OR('COMMUNITY CHURCH DASHBOARD'!$C$4="",ISNUMBER(SEARCH('COMMUNITY CHURCH DASHBOARD'!$C$4,INDEX(MASTER_AREAS!$B:$B,930))))),929,""),""),IF('COMMUNITY CHURCH DASHBOARD'!$B$4="Zone",IF(929&lt;=$X$4,IF(OR('COMMUNITY CHURCH DASHBOARD'!$C$4="",ISNUMBER(SEARCH('COMMUNITY CHURCH DASHBOARD'!$C$4,INDEX(MASTER_ZONES!$B:$B,930)))),929,""),""),""))</f>
        <v/>
      </c>
    </row>
    <row r="931">
      <c r="A931">
        <f>IF('WSF DASHBOARD'!$B$4="Area",IF(930&lt;=$D$3,IF(AND(OR('WSF DASHBOARD'!$C$4="",ISNUMBER(SEARCH('WSF DASHBOARD'!$C$4,INDEX(MASTER_AREAS!$B:$B,931))))),930,""),""),IF('WSF DASHBOARD'!$B$4="Zone",IF(930&lt;=$D$4,IF(OR('WSF DASHBOARD'!$C$4="",ISNUMBER(SEARCH('WSF DASHBOARD'!$C$4,INDEX(MASTER_ZONES!$B:$B,931)))),930,""),""),""))</f>
        <v/>
      </c>
      <c r="F931">
        <f>IF('TRANSPORT DASHBOARD'!$B$4="Area",IF(930&lt;=$I$3,IF(AND(INDEX(MASTER_AREAS!$F:$F,931)&lt;&gt;"N",OR('TRANSPORT DASHBOARD'!$C$4="",ISNUMBER(SEARCH('TRANSPORT DASHBOARD'!$C$4,INDEX(MASTER_AREAS!$B:$B,931))))),930,""),""),IF('TRANSPORT DASHBOARD'!$B$4="Zone",IF(930&lt;=$I$4,IF(OR('TRANSPORT DASHBOARD'!$C$4="",ISNUMBER(SEARCH('TRANSPORT DASHBOARD'!$C$4,INDEX(MASTER_ZONES!$B:$B,931)))),930,""),""),""))</f>
        <v/>
      </c>
      <c r="K931">
        <f>IF('MIDWEEK DASHBOARD'!$B$4="Area",IF(930&lt;=$N$3,IF(AND(OR('MIDWEEK DASHBOARD'!$C$4="",ISNUMBER(SEARCH('MIDWEEK DASHBOARD'!$C$4,INDEX(MASTER_AREAS!$B:$B,931))))),930,""),""),IF('MIDWEEK DASHBOARD'!$B$4="Zone",IF(930&lt;=$N$4,IF(OR('MIDWEEK DASHBOARD'!$C$4="",ISNUMBER(SEARCH('MIDWEEK DASHBOARD'!$C$4,INDEX(MASTER_ZONES!$B:$B,931)))),930,""),""),""))</f>
        <v/>
      </c>
      <c r="P931">
        <f>IF('CHOP DASHBOARD'!$B$4="Area",IF(930&lt;=$S$3,IF(AND(OR('CHOP DASHBOARD'!$C$4="",ISNUMBER(SEARCH('CHOP DASHBOARD'!$C$4,INDEX(MASTER_AREAS!$B:$B,931))))),930,""),""),IF('CHOP DASHBOARD'!$B$4="Zone",IF(930&lt;=$S$4,IF(OR('CHOP DASHBOARD'!$C$4="",ISNUMBER(SEARCH('CHOP DASHBOARD'!$C$4,INDEX(MASTER_ZONES!$B:$B,931)))),930,""),""),""))</f>
        <v/>
      </c>
      <c r="U931">
        <f>IF('COMMUNITY CHURCH DASHBOARD'!$B$4="Area",IF(930&lt;=$X$3,IF(AND(OR('COMMUNITY CHURCH DASHBOARD'!$C$4="",ISNUMBER(SEARCH('COMMUNITY CHURCH DASHBOARD'!$C$4,INDEX(MASTER_AREAS!$B:$B,931))))),930,""),""),IF('COMMUNITY CHURCH DASHBOARD'!$B$4="Zone",IF(930&lt;=$X$4,IF(OR('COMMUNITY CHURCH DASHBOARD'!$C$4="",ISNUMBER(SEARCH('COMMUNITY CHURCH DASHBOARD'!$C$4,INDEX(MASTER_ZONES!$B:$B,931)))),930,""),""),""))</f>
        <v/>
      </c>
    </row>
    <row r="932">
      <c r="A932">
        <f>IF('WSF DASHBOARD'!$B$4="Area",IF(931&lt;=$D$3,IF(AND(OR('WSF DASHBOARD'!$C$4="",ISNUMBER(SEARCH('WSF DASHBOARD'!$C$4,INDEX(MASTER_AREAS!$B:$B,932))))),931,""),""),IF('WSF DASHBOARD'!$B$4="Zone",IF(931&lt;=$D$4,IF(OR('WSF DASHBOARD'!$C$4="",ISNUMBER(SEARCH('WSF DASHBOARD'!$C$4,INDEX(MASTER_ZONES!$B:$B,932)))),931,""),""),""))</f>
        <v/>
      </c>
      <c r="F932">
        <f>IF('TRANSPORT DASHBOARD'!$B$4="Area",IF(931&lt;=$I$3,IF(AND(INDEX(MASTER_AREAS!$F:$F,932)&lt;&gt;"N",OR('TRANSPORT DASHBOARD'!$C$4="",ISNUMBER(SEARCH('TRANSPORT DASHBOARD'!$C$4,INDEX(MASTER_AREAS!$B:$B,932))))),931,""),""),IF('TRANSPORT DASHBOARD'!$B$4="Zone",IF(931&lt;=$I$4,IF(OR('TRANSPORT DASHBOARD'!$C$4="",ISNUMBER(SEARCH('TRANSPORT DASHBOARD'!$C$4,INDEX(MASTER_ZONES!$B:$B,932)))),931,""),""),""))</f>
        <v/>
      </c>
      <c r="K932">
        <f>IF('MIDWEEK DASHBOARD'!$B$4="Area",IF(931&lt;=$N$3,IF(AND(OR('MIDWEEK DASHBOARD'!$C$4="",ISNUMBER(SEARCH('MIDWEEK DASHBOARD'!$C$4,INDEX(MASTER_AREAS!$B:$B,932))))),931,""),""),IF('MIDWEEK DASHBOARD'!$B$4="Zone",IF(931&lt;=$N$4,IF(OR('MIDWEEK DASHBOARD'!$C$4="",ISNUMBER(SEARCH('MIDWEEK DASHBOARD'!$C$4,INDEX(MASTER_ZONES!$B:$B,932)))),931,""),""),""))</f>
        <v/>
      </c>
      <c r="P932">
        <f>IF('CHOP DASHBOARD'!$B$4="Area",IF(931&lt;=$S$3,IF(AND(OR('CHOP DASHBOARD'!$C$4="",ISNUMBER(SEARCH('CHOP DASHBOARD'!$C$4,INDEX(MASTER_AREAS!$B:$B,932))))),931,""),""),IF('CHOP DASHBOARD'!$B$4="Zone",IF(931&lt;=$S$4,IF(OR('CHOP DASHBOARD'!$C$4="",ISNUMBER(SEARCH('CHOP DASHBOARD'!$C$4,INDEX(MASTER_ZONES!$B:$B,932)))),931,""),""),""))</f>
        <v/>
      </c>
      <c r="U932">
        <f>IF('COMMUNITY CHURCH DASHBOARD'!$B$4="Area",IF(931&lt;=$X$3,IF(AND(OR('COMMUNITY CHURCH DASHBOARD'!$C$4="",ISNUMBER(SEARCH('COMMUNITY CHURCH DASHBOARD'!$C$4,INDEX(MASTER_AREAS!$B:$B,932))))),931,""),""),IF('COMMUNITY CHURCH DASHBOARD'!$B$4="Zone",IF(931&lt;=$X$4,IF(OR('COMMUNITY CHURCH DASHBOARD'!$C$4="",ISNUMBER(SEARCH('COMMUNITY CHURCH DASHBOARD'!$C$4,INDEX(MASTER_ZONES!$B:$B,932)))),931,""),""),""))</f>
        <v/>
      </c>
    </row>
    <row r="933">
      <c r="A933">
        <f>IF('WSF DASHBOARD'!$B$4="Area",IF(932&lt;=$D$3,IF(AND(OR('WSF DASHBOARD'!$C$4="",ISNUMBER(SEARCH('WSF DASHBOARD'!$C$4,INDEX(MASTER_AREAS!$B:$B,933))))),932,""),""),IF('WSF DASHBOARD'!$B$4="Zone",IF(932&lt;=$D$4,IF(OR('WSF DASHBOARD'!$C$4="",ISNUMBER(SEARCH('WSF DASHBOARD'!$C$4,INDEX(MASTER_ZONES!$B:$B,933)))),932,""),""),""))</f>
        <v/>
      </c>
      <c r="F933">
        <f>IF('TRANSPORT DASHBOARD'!$B$4="Area",IF(932&lt;=$I$3,IF(AND(INDEX(MASTER_AREAS!$F:$F,933)&lt;&gt;"N",OR('TRANSPORT DASHBOARD'!$C$4="",ISNUMBER(SEARCH('TRANSPORT DASHBOARD'!$C$4,INDEX(MASTER_AREAS!$B:$B,933))))),932,""),""),IF('TRANSPORT DASHBOARD'!$B$4="Zone",IF(932&lt;=$I$4,IF(OR('TRANSPORT DASHBOARD'!$C$4="",ISNUMBER(SEARCH('TRANSPORT DASHBOARD'!$C$4,INDEX(MASTER_ZONES!$B:$B,933)))),932,""),""),""))</f>
        <v/>
      </c>
      <c r="K933">
        <f>IF('MIDWEEK DASHBOARD'!$B$4="Area",IF(932&lt;=$N$3,IF(AND(OR('MIDWEEK DASHBOARD'!$C$4="",ISNUMBER(SEARCH('MIDWEEK DASHBOARD'!$C$4,INDEX(MASTER_AREAS!$B:$B,933))))),932,""),""),IF('MIDWEEK DASHBOARD'!$B$4="Zone",IF(932&lt;=$N$4,IF(OR('MIDWEEK DASHBOARD'!$C$4="",ISNUMBER(SEARCH('MIDWEEK DASHBOARD'!$C$4,INDEX(MASTER_ZONES!$B:$B,933)))),932,""),""),""))</f>
        <v/>
      </c>
      <c r="P933">
        <f>IF('CHOP DASHBOARD'!$B$4="Area",IF(932&lt;=$S$3,IF(AND(OR('CHOP DASHBOARD'!$C$4="",ISNUMBER(SEARCH('CHOP DASHBOARD'!$C$4,INDEX(MASTER_AREAS!$B:$B,933))))),932,""),""),IF('CHOP DASHBOARD'!$B$4="Zone",IF(932&lt;=$S$4,IF(OR('CHOP DASHBOARD'!$C$4="",ISNUMBER(SEARCH('CHOP DASHBOARD'!$C$4,INDEX(MASTER_ZONES!$B:$B,933)))),932,""),""),""))</f>
        <v/>
      </c>
      <c r="U933">
        <f>IF('COMMUNITY CHURCH DASHBOARD'!$B$4="Area",IF(932&lt;=$X$3,IF(AND(OR('COMMUNITY CHURCH DASHBOARD'!$C$4="",ISNUMBER(SEARCH('COMMUNITY CHURCH DASHBOARD'!$C$4,INDEX(MASTER_AREAS!$B:$B,933))))),932,""),""),IF('COMMUNITY CHURCH DASHBOARD'!$B$4="Zone",IF(932&lt;=$X$4,IF(OR('COMMUNITY CHURCH DASHBOARD'!$C$4="",ISNUMBER(SEARCH('COMMUNITY CHURCH DASHBOARD'!$C$4,INDEX(MASTER_ZONES!$B:$B,933)))),932,""),""),""))</f>
        <v/>
      </c>
    </row>
    <row r="934">
      <c r="A934">
        <f>IF('WSF DASHBOARD'!$B$4="Area",IF(933&lt;=$D$3,IF(AND(OR('WSF DASHBOARD'!$C$4="",ISNUMBER(SEARCH('WSF DASHBOARD'!$C$4,INDEX(MASTER_AREAS!$B:$B,934))))),933,""),""),IF('WSF DASHBOARD'!$B$4="Zone",IF(933&lt;=$D$4,IF(OR('WSF DASHBOARD'!$C$4="",ISNUMBER(SEARCH('WSF DASHBOARD'!$C$4,INDEX(MASTER_ZONES!$B:$B,934)))),933,""),""),""))</f>
        <v/>
      </c>
      <c r="F934">
        <f>IF('TRANSPORT DASHBOARD'!$B$4="Area",IF(933&lt;=$I$3,IF(AND(INDEX(MASTER_AREAS!$F:$F,934)&lt;&gt;"N",OR('TRANSPORT DASHBOARD'!$C$4="",ISNUMBER(SEARCH('TRANSPORT DASHBOARD'!$C$4,INDEX(MASTER_AREAS!$B:$B,934))))),933,""),""),IF('TRANSPORT DASHBOARD'!$B$4="Zone",IF(933&lt;=$I$4,IF(OR('TRANSPORT DASHBOARD'!$C$4="",ISNUMBER(SEARCH('TRANSPORT DASHBOARD'!$C$4,INDEX(MASTER_ZONES!$B:$B,934)))),933,""),""),""))</f>
        <v/>
      </c>
      <c r="K934">
        <f>IF('MIDWEEK DASHBOARD'!$B$4="Area",IF(933&lt;=$N$3,IF(AND(OR('MIDWEEK DASHBOARD'!$C$4="",ISNUMBER(SEARCH('MIDWEEK DASHBOARD'!$C$4,INDEX(MASTER_AREAS!$B:$B,934))))),933,""),""),IF('MIDWEEK DASHBOARD'!$B$4="Zone",IF(933&lt;=$N$4,IF(OR('MIDWEEK DASHBOARD'!$C$4="",ISNUMBER(SEARCH('MIDWEEK DASHBOARD'!$C$4,INDEX(MASTER_ZONES!$B:$B,934)))),933,""),""),""))</f>
        <v/>
      </c>
      <c r="P934">
        <f>IF('CHOP DASHBOARD'!$B$4="Area",IF(933&lt;=$S$3,IF(AND(OR('CHOP DASHBOARD'!$C$4="",ISNUMBER(SEARCH('CHOP DASHBOARD'!$C$4,INDEX(MASTER_AREAS!$B:$B,934))))),933,""),""),IF('CHOP DASHBOARD'!$B$4="Zone",IF(933&lt;=$S$4,IF(OR('CHOP DASHBOARD'!$C$4="",ISNUMBER(SEARCH('CHOP DASHBOARD'!$C$4,INDEX(MASTER_ZONES!$B:$B,934)))),933,""),""),""))</f>
        <v/>
      </c>
      <c r="U934">
        <f>IF('COMMUNITY CHURCH DASHBOARD'!$B$4="Area",IF(933&lt;=$X$3,IF(AND(OR('COMMUNITY CHURCH DASHBOARD'!$C$4="",ISNUMBER(SEARCH('COMMUNITY CHURCH DASHBOARD'!$C$4,INDEX(MASTER_AREAS!$B:$B,934))))),933,""),""),IF('COMMUNITY CHURCH DASHBOARD'!$B$4="Zone",IF(933&lt;=$X$4,IF(OR('COMMUNITY CHURCH DASHBOARD'!$C$4="",ISNUMBER(SEARCH('COMMUNITY CHURCH DASHBOARD'!$C$4,INDEX(MASTER_ZONES!$B:$B,934)))),933,""),""),""))</f>
        <v/>
      </c>
    </row>
    <row r="935">
      <c r="A935">
        <f>IF('WSF DASHBOARD'!$B$4="Area",IF(934&lt;=$D$3,IF(AND(OR('WSF DASHBOARD'!$C$4="",ISNUMBER(SEARCH('WSF DASHBOARD'!$C$4,INDEX(MASTER_AREAS!$B:$B,935))))),934,""),""),IF('WSF DASHBOARD'!$B$4="Zone",IF(934&lt;=$D$4,IF(OR('WSF DASHBOARD'!$C$4="",ISNUMBER(SEARCH('WSF DASHBOARD'!$C$4,INDEX(MASTER_ZONES!$B:$B,935)))),934,""),""),""))</f>
        <v/>
      </c>
      <c r="F935">
        <f>IF('TRANSPORT DASHBOARD'!$B$4="Area",IF(934&lt;=$I$3,IF(AND(INDEX(MASTER_AREAS!$F:$F,935)&lt;&gt;"N",OR('TRANSPORT DASHBOARD'!$C$4="",ISNUMBER(SEARCH('TRANSPORT DASHBOARD'!$C$4,INDEX(MASTER_AREAS!$B:$B,935))))),934,""),""),IF('TRANSPORT DASHBOARD'!$B$4="Zone",IF(934&lt;=$I$4,IF(OR('TRANSPORT DASHBOARD'!$C$4="",ISNUMBER(SEARCH('TRANSPORT DASHBOARD'!$C$4,INDEX(MASTER_ZONES!$B:$B,935)))),934,""),""),""))</f>
        <v/>
      </c>
      <c r="K935">
        <f>IF('MIDWEEK DASHBOARD'!$B$4="Area",IF(934&lt;=$N$3,IF(AND(OR('MIDWEEK DASHBOARD'!$C$4="",ISNUMBER(SEARCH('MIDWEEK DASHBOARD'!$C$4,INDEX(MASTER_AREAS!$B:$B,935))))),934,""),""),IF('MIDWEEK DASHBOARD'!$B$4="Zone",IF(934&lt;=$N$4,IF(OR('MIDWEEK DASHBOARD'!$C$4="",ISNUMBER(SEARCH('MIDWEEK DASHBOARD'!$C$4,INDEX(MASTER_ZONES!$B:$B,935)))),934,""),""),""))</f>
        <v/>
      </c>
      <c r="P935">
        <f>IF('CHOP DASHBOARD'!$B$4="Area",IF(934&lt;=$S$3,IF(AND(OR('CHOP DASHBOARD'!$C$4="",ISNUMBER(SEARCH('CHOP DASHBOARD'!$C$4,INDEX(MASTER_AREAS!$B:$B,935))))),934,""),""),IF('CHOP DASHBOARD'!$B$4="Zone",IF(934&lt;=$S$4,IF(OR('CHOP DASHBOARD'!$C$4="",ISNUMBER(SEARCH('CHOP DASHBOARD'!$C$4,INDEX(MASTER_ZONES!$B:$B,935)))),934,""),""),""))</f>
        <v/>
      </c>
      <c r="U935">
        <f>IF('COMMUNITY CHURCH DASHBOARD'!$B$4="Area",IF(934&lt;=$X$3,IF(AND(OR('COMMUNITY CHURCH DASHBOARD'!$C$4="",ISNUMBER(SEARCH('COMMUNITY CHURCH DASHBOARD'!$C$4,INDEX(MASTER_AREAS!$B:$B,935))))),934,""),""),IF('COMMUNITY CHURCH DASHBOARD'!$B$4="Zone",IF(934&lt;=$X$4,IF(OR('COMMUNITY CHURCH DASHBOARD'!$C$4="",ISNUMBER(SEARCH('COMMUNITY CHURCH DASHBOARD'!$C$4,INDEX(MASTER_ZONES!$B:$B,935)))),934,""),""),""))</f>
        <v/>
      </c>
    </row>
    <row r="936">
      <c r="A936">
        <f>IF('WSF DASHBOARD'!$B$4="Area",IF(935&lt;=$D$3,IF(AND(OR('WSF DASHBOARD'!$C$4="",ISNUMBER(SEARCH('WSF DASHBOARD'!$C$4,INDEX(MASTER_AREAS!$B:$B,936))))),935,""),""),IF('WSF DASHBOARD'!$B$4="Zone",IF(935&lt;=$D$4,IF(OR('WSF DASHBOARD'!$C$4="",ISNUMBER(SEARCH('WSF DASHBOARD'!$C$4,INDEX(MASTER_ZONES!$B:$B,936)))),935,""),""),""))</f>
        <v/>
      </c>
      <c r="F936">
        <f>IF('TRANSPORT DASHBOARD'!$B$4="Area",IF(935&lt;=$I$3,IF(AND(INDEX(MASTER_AREAS!$F:$F,936)&lt;&gt;"N",OR('TRANSPORT DASHBOARD'!$C$4="",ISNUMBER(SEARCH('TRANSPORT DASHBOARD'!$C$4,INDEX(MASTER_AREAS!$B:$B,936))))),935,""),""),IF('TRANSPORT DASHBOARD'!$B$4="Zone",IF(935&lt;=$I$4,IF(OR('TRANSPORT DASHBOARD'!$C$4="",ISNUMBER(SEARCH('TRANSPORT DASHBOARD'!$C$4,INDEX(MASTER_ZONES!$B:$B,936)))),935,""),""),""))</f>
        <v/>
      </c>
      <c r="K936">
        <f>IF('MIDWEEK DASHBOARD'!$B$4="Area",IF(935&lt;=$N$3,IF(AND(OR('MIDWEEK DASHBOARD'!$C$4="",ISNUMBER(SEARCH('MIDWEEK DASHBOARD'!$C$4,INDEX(MASTER_AREAS!$B:$B,936))))),935,""),""),IF('MIDWEEK DASHBOARD'!$B$4="Zone",IF(935&lt;=$N$4,IF(OR('MIDWEEK DASHBOARD'!$C$4="",ISNUMBER(SEARCH('MIDWEEK DASHBOARD'!$C$4,INDEX(MASTER_ZONES!$B:$B,936)))),935,""),""),""))</f>
        <v/>
      </c>
      <c r="P936">
        <f>IF('CHOP DASHBOARD'!$B$4="Area",IF(935&lt;=$S$3,IF(AND(OR('CHOP DASHBOARD'!$C$4="",ISNUMBER(SEARCH('CHOP DASHBOARD'!$C$4,INDEX(MASTER_AREAS!$B:$B,936))))),935,""),""),IF('CHOP DASHBOARD'!$B$4="Zone",IF(935&lt;=$S$4,IF(OR('CHOP DASHBOARD'!$C$4="",ISNUMBER(SEARCH('CHOP DASHBOARD'!$C$4,INDEX(MASTER_ZONES!$B:$B,936)))),935,""),""),""))</f>
        <v/>
      </c>
      <c r="U936">
        <f>IF('COMMUNITY CHURCH DASHBOARD'!$B$4="Area",IF(935&lt;=$X$3,IF(AND(OR('COMMUNITY CHURCH DASHBOARD'!$C$4="",ISNUMBER(SEARCH('COMMUNITY CHURCH DASHBOARD'!$C$4,INDEX(MASTER_AREAS!$B:$B,936))))),935,""),""),IF('COMMUNITY CHURCH DASHBOARD'!$B$4="Zone",IF(935&lt;=$X$4,IF(OR('COMMUNITY CHURCH DASHBOARD'!$C$4="",ISNUMBER(SEARCH('COMMUNITY CHURCH DASHBOARD'!$C$4,INDEX(MASTER_ZONES!$B:$B,936)))),935,""),""),""))</f>
        <v/>
      </c>
    </row>
    <row r="937">
      <c r="A937">
        <f>IF('WSF DASHBOARD'!$B$4="Area",IF(936&lt;=$D$3,IF(AND(OR('WSF DASHBOARD'!$C$4="",ISNUMBER(SEARCH('WSF DASHBOARD'!$C$4,INDEX(MASTER_AREAS!$B:$B,937))))),936,""),""),IF('WSF DASHBOARD'!$B$4="Zone",IF(936&lt;=$D$4,IF(OR('WSF DASHBOARD'!$C$4="",ISNUMBER(SEARCH('WSF DASHBOARD'!$C$4,INDEX(MASTER_ZONES!$B:$B,937)))),936,""),""),""))</f>
        <v/>
      </c>
      <c r="F937">
        <f>IF('TRANSPORT DASHBOARD'!$B$4="Area",IF(936&lt;=$I$3,IF(AND(INDEX(MASTER_AREAS!$F:$F,937)&lt;&gt;"N",OR('TRANSPORT DASHBOARD'!$C$4="",ISNUMBER(SEARCH('TRANSPORT DASHBOARD'!$C$4,INDEX(MASTER_AREAS!$B:$B,937))))),936,""),""),IF('TRANSPORT DASHBOARD'!$B$4="Zone",IF(936&lt;=$I$4,IF(OR('TRANSPORT DASHBOARD'!$C$4="",ISNUMBER(SEARCH('TRANSPORT DASHBOARD'!$C$4,INDEX(MASTER_ZONES!$B:$B,937)))),936,""),""),""))</f>
        <v/>
      </c>
      <c r="K937">
        <f>IF('MIDWEEK DASHBOARD'!$B$4="Area",IF(936&lt;=$N$3,IF(AND(OR('MIDWEEK DASHBOARD'!$C$4="",ISNUMBER(SEARCH('MIDWEEK DASHBOARD'!$C$4,INDEX(MASTER_AREAS!$B:$B,937))))),936,""),""),IF('MIDWEEK DASHBOARD'!$B$4="Zone",IF(936&lt;=$N$4,IF(OR('MIDWEEK DASHBOARD'!$C$4="",ISNUMBER(SEARCH('MIDWEEK DASHBOARD'!$C$4,INDEX(MASTER_ZONES!$B:$B,937)))),936,""),""),""))</f>
        <v/>
      </c>
      <c r="P937">
        <f>IF('CHOP DASHBOARD'!$B$4="Area",IF(936&lt;=$S$3,IF(AND(OR('CHOP DASHBOARD'!$C$4="",ISNUMBER(SEARCH('CHOP DASHBOARD'!$C$4,INDEX(MASTER_AREAS!$B:$B,937))))),936,""),""),IF('CHOP DASHBOARD'!$B$4="Zone",IF(936&lt;=$S$4,IF(OR('CHOP DASHBOARD'!$C$4="",ISNUMBER(SEARCH('CHOP DASHBOARD'!$C$4,INDEX(MASTER_ZONES!$B:$B,937)))),936,""),""),""))</f>
        <v/>
      </c>
      <c r="U937">
        <f>IF('COMMUNITY CHURCH DASHBOARD'!$B$4="Area",IF(936&lt;=$X$3,IF(AND(OR('COMMUNITY CHURCH DASHBOARD'!$C$4="",ISNUMBER(SEARCH('COMMUNITY CHURCH DASHBOARD'!$C$4,INDEX(MASTER_AREAS!$B:$B,937))))),936,""),""),IF('COMMUNITY CHURCH DASHBOARD'!$B$4="Zone",IF(936&lt;=$X$4,IF(OR('COMMUNITY CHURCH DASHBOARD'!$C$4="",ISNUMBER(SEARCH('COMMUNITY CHURCH DASHBOARD'!$C$4,INDEX(MASTER_ZONES!$B:$B,937)))),936,""),""),""))</f>
        <v/>
      </c>
    </row>
    <row r="938">
      <c r="A938">
        <f>IF('WSF DASHBOARD'!$B$4="Area",IF(937&lt;=$D$3,IF(AND(OR('WSF DASHBOARD'!$C$4="",ISNUMBER(SEARCH('WSF DASHBOARD'!$C$4,INDEX(MASTER_AREAS!$B:$B,938))))),937,""),""),IF('WSF DASHBOARD'!$B$4="Zone",IF(937&lt;=$D$4,IF(OR('WSF DASHBOARD'!$C$4="",ISNUMBER(SEARCH('WSF DASHBOARD'!$C$4,INDEX(MASTER_ZONES!$B:$B,938)))),937,""),""),""))</f>
        <v/>
      </c>
      <c r="F938">
        <f>IF('TRANSPORT DASHBOARD'!$B$4="Area",IF(937&lt;=$I$3,IF(AND(INDEX(MASTER_AREAS!$F:$F,938)&lt;&gt;"N",OR('TRANSPORT DASHBOARD'!$C$4="",ISNUMBER(SEARCH('TRANSPORT DASHBOARD'!$C$4,INDEX(MASTER_AREAS!$B:$B,938))))),937,""),""),IF('TRANSPORT DASHBOARD'!$B$4="Zone",IF(937&lt;=$I$4,IF(OR('TRANSPORT DASHBOARD'!$C$4="",ISNUMBER(SEARCH('TRANSPORT DASHBOARD'!$C$4,INDEX(MASTER_ZONES!$B:$B,938)))),937,""),""),""))</f>
        <v/>
      </c>
      <c r="K938">
        <f>IF('MIDWEEK DASHBOARD'!$B$4="Area",IF(937&lt;=$N$3,IF(AND(OR('MIDWEEK DASHBOARD'!$C$4="",ISNUMBER(SEARCH('MIDWEEK DASHBOARD'!$C$4,INDEX(MASTER_AREAS!$B:$B,938))))),937,""),""),IF('MIDWEEK DASHBOARD'!$B$4="Zone",IF(937&lt;=$N$4,IF(OR('MIDWEEK DASHBOARD'!$C$4="",ISNUMBER(SEARCH('MIDWEEK DASHBOARD'!$C$4,INDEX(MASTER_ZONES!$B:$B,938)))),937,""),""),""))</f>
        <v/>
      </c>
      <c r="P938">
        <f>IF('CHOP DASHBOARD'!$B$4="Area",IF(937&lt;=$S$3,IF(AND(OR('CHOP DASHBOARD'!$C$4="",ISNUMBER(SEARCH('CHOP DASHBOARD'!$C$4,INDEX(MASTER_AREAS!$B:$B,938))))),937,""),""),IF('CHOP DASHBOARD'!$B$4="Zone",IF(937&lt;=$S$4,IF(OR('CHOP DASHBOARD'!$C$4="",ISNUMBER(SEARCH('CHOP DASHBOARD'!$C$4,INDEX(MASTER_ZONES!$B:$B,938)))),937,""),""),""))</f>
        <v/>
      </c>
      <c r="U938">
        <f>IF('COMMUNITY CHURCH DASHBOARD'!$B$4="Area",IF(937&lt;=$X$3,IF(AND(OR('COMMUNITY CHURCH DASHBOARD'!$C$4="",ISNUMBER(SEARCH('COMMUNITY CHURCH DASHBOARD'!$C$4,INDEX(MASTER_AREAS!$B:$B,938))))),937,""),""),IF('COMMUNITY CHURCH DASHBOARD'!$B$4="Zone",IF(937&lt;=$X$4,IF(OR('COMMUNITY CHURCH DASHBOARD'!$C$4="",ISNUMBER(SEARCH('COMMUNITY CHURCH DASHBOARD'!$C$4,INDEX(MASTER_ZONES!$B:$B,938)))),937,""),""),""))</f>
        <v/>
      </c>
    </row>
    <row r="939">
      <c r="A939">
        <f>IF('WSF DASHBOARD'!$B$4="Area",IF(938&lt;=$D$3,IF(AND(OR('WSF DASHBOARD'!$C$4="",ISNUMBER(SEARCH('WSF DASHBOARD'!$C$4,INDEX(MASTER_AREAS!$B:$B,939))))),938,""),""),IF('WSF DASHBOARD'!$B$4="Zone",IF(938&lt;=$D$4,IF(OR('WSF DASHBOARD'!$C$4="",ISNUMBER(SEARCH('WSF DASHBOARD'!$C$4,INDEX(MASTER_ZONES!$B:$B,939)))),938,""),""),""))</f>
        <v/>
      </c>
      <c r="F939">
        <f>IF('TRANSPORT DASHBOARD'!$B$4="Area",IF(938&lt;=$I$3,IF(AND(INDEX(MASTER_AREAS!$F:$F,939)&lt;&gt;"N",OR('TRANSPORT DASHBOARD'!$C$4="",ISNUMBER(SEARCH('TRANSPORT DASHBOARD'!$C$4,INDEX(MASTER_AREAS!$B:$B,939))))),938,""),""),IF('TRANSPORT DASHBOARD'!$B$4="Zone",IF(938&lt;=$I$4,IF(OR('TRANSPORT DASHBOARD'!$C$4="",ISNUMBER(SEARCH('TRANSPORT DASHBOARD'!$C$4,INDEX(MASTER_ZONES!$B:$B,939)))),938,""),""),""))</f>
        <v/>
      </c>
      <c r="K939">
        <f>IF('MIDWEEK DASHBOARD'!$B$4="Area",IF(938&lt;=$N$3,IF(AND(OR('MIDWEEK DASHBOARD'!$C$4="",ISNUMBER(SEARCH('MIDWEEK DASHBOARD'!$C$4,INDEX(MASTER_AREAS!$B:$B,939))))),938,""),""),IF('MIDWEEK DASHBOARD'!$B$4="Zone",IF(938&lt;=$N$4,IF(OR('MIDWEEK DASHBOARD'!$C$4="",ISNUMBER(SEARCH('MIDWEEK DASHBOARD'!$C$4,INDEX(MASTER_ZONES!$B:$B,939)))),938,""),""),""))</f>
        <v/>
      </c>
      <c r="P939">
        <f>IF('CHOP DASHBOARD'!$B$4="Area",IF(938&lt;=$S$3,IF(AND(OR('CHOP DASHBOARD'!$C$4="",ISNUMBER(SEARCH('CHOP DASHBOARD'!$C$4,INDEX(MASTER_AREAS!$B:$B,939))))),938,""),""),IF('CHOP DASHBOARD'!$B$4="Zone",IF(938&lt;=$S$4,IF(OR('CHOP DASHBOARD'!$C$4="",ISNUMBER(SEARCH('CHOP DASHBOARD'!$C$4,INDEX(MASTER_ZONES!$B:$B,939)))),938,""),""),""))</f>
        <v/>
      </c>
      <c r="U939">
        <f>IF('COMMUNITY CHURCH DASHBOARD'!$B$4="Area",IF(938&lt;=$X$3,IF(AND(OR('COMMUNITY CHURCH DASHBOARD'!$C$4="",ISNUMBER(SEARCH('COMMUNITY CHURCH DASHBOARD'!$C$4,INDEX(MASTER_AREAS!$B:$B,939))))),938,""),""),IF('COMMUNITY CHURCH DASHBOARD'!$B$4="Zone",IF(938&lt;=$X$4,IF(OR('COMMUNITY CHURCH DASHBOARD'!$C$4="",ISNUMBER(SEARCH('COMMUNITY CHURCH DASHBOARD'!$C$4,INDEX(MASTER_ZONES!$B:$B,939)))),938,""),""),""))</f>
        <v/>
      </c>
    </row>
    <row r="940">
      <c r="A940">
        <f>IF('WSF DASHBOARD'!$B$4="Area",IF(939&lt;=$D$3,IF(AND(OR('WSF DASHBOARD'!$C$4="",ISNUMBER(SEARCH('WSF DASHBOARD'!$C$4,INDEX(MASTER_AREAS!$B:$B,940))))),939,""),""),IF('WSF DASHBOARD'!$B$4="Zone",IF(939&lt;=$D$4,IF(OR('WSF DASHBOARD'!$C$4="",ISNUMBER(SEARCH('WSF DASHBOARD'!$C$4,INDEX(MASTER_ZONES!$B:$B,940)))),939,""),""),""))</f>
        <v/>
      </c>
      <c r="F940">
        <f>IF('TRANSPORT DASHBOARD'!$B$4="Area",IF(939&lt;=$I$3,IF(AND(INDEX(MASTER_AREAS!$F:$F,940)&lt;&gt;"N",OR('TRANSPORT DASHBOARD'!$C$4="",ISNUMBER(SEARCH('TRANSPORT DASHBOARD'!$C$4,INDEX(MASTER_AREAS!$B:$B,940))))),939,""),""),IF('TRANSPORT DASHBOARD'!$B$4="Zone",IF(939&lt;=$I$4,IF(OR('TRANSPORT DASHBOARD'!$C$4="",ISNUMBER(SEARCH('TRANSPORT DASHBOARD'!$C$4,INDEX(MASTER_ZONES!$B:$B,940)))),939,""),""),""))</f>
        <v/>
      </c>
      <c r="K940">
        <f>IF('MIDWEEK DASHBOARD'!$B$4="Area",IF(939&lt;=$N$3,IF(AND(OR('MIDWEEK DASHBOARD'!$C$4="",ISNUMBER(SEARCH('MIDWEEK DASHBOARD'!$C$4,INDEX(MASTER_AREAS!$B:$B,940))))),939,""),""),IF('MIDWEEK DASHBOARD'!$B$4="Zone",IF(939&lt;=$N$4,IF(OR('MIDWEEK DASHBOARD'!$C$4="",ISNUMBER(SEARCH('MIDWEEK DASHBOARD'!$C$4,INDEX(MASTER_ZONES!$B:$B,940)))),939,""),""),""))</f>
        <v/>
      </c>
      <c r="P940">
        <f>IF('CHOP DASHBOARD'!$B$4="Area",IF(939&lt;=$S$3,IF(AND(OR('CHOP DASHBOARD'!$C$4="",ISNUMBER(SEARCH('CHOP DASHBOARD'!$C$4,INDEX(MASTER_AREAS!$B:$B,940))))),939,""),""),IF('CHOP DASHBOARD'!$B$4="Zone",IF(939&lt;=$S$4,IF(OR('CHOP DASHBOARD'!$C$4="",ISNUMBER(SEARCH('CHOP DASHBOARD'!$C$4,INDEX(MASTER_ZONES!$B:$B,940)))),939,""),""),""))</f>
        <v/>
      </c>
      <c r="U940">
        <f>IF('COMMUNITY CHURCH DASHBOARD'!$B$4="Area",IF(939&lt;=$X$3,IF(AND(OR('COMMUNITY CHURCH DASHBOARD'!$C$4="",ISNUMBER(SEARCH('COMMUNITY CHURCH DASHBOARD'!$C$4,INDEX(MASTER_AREAS!$B:$B,940))))),939,""),""),IF('COMMUNITY CHURCH DASHBOARD'!$B$4="Zone",IF(939&lt;=$X$4,IF(OR('COMMUNITY CHURCH DASHBOARD'!$C$4="",ISNUMBER(SEARCH('COMMUNITY CHURCH DASHBOARD'!$C$4,INDEX(MASTER_ZONES!$B:$B,940)))),939,""),""),""))</f>
        <v/>
      </c>
    </row>
    <row r="941">
      <c r="A941">
        <f>IF('WSF DASHBOARD'!$B$4="Area",IF(940&lt;=$D$3,IF(AND(OR('WSF DASHBOARD'!$C$4="",ISNUMBER(SEARCH('WSF DASHBOARD'!$C$4,INDEX(MASTER_AREAS!$B:$B,941))))),940,""),""),IF('WSF DASHBOARD'!$B$4="Zone",IF(940&lt;=$D$4,IF(OR('WSF DASHBOARD'!$C$4="",ISNUMBER(SEARCH('WSF DASHBOARD'!$C$4,INDEX(MASTER_ZONES!$B:$B,941)))),940,""),""),""))</f>
        <v/>
      </c>
      <c r="F941">
        <f>IF('TRANSPORT DASHBOARD'!$B$4="Area",IF(940&lt;=$I$3,IF(AND(INDEX(MASTER_AREAS!$F:$F,941)&lt;&gt;"N",OR('TRANSPORT DASHBOARD'!$C$4="",ISNUMBER(SEARCH('TRANSPORT DASHBOARD'!$C$4,INDEX(MASTER_AREAS!$B:$B,941))))),940,""),""),IF('TRANSPORT DASHBOARD'!$B$4="Zone",IF(940&lt;=$I$4,IF(OR('TRANSPORT DASHBOARD'!$C$4="",ISNUMBER(SEARCH('TRANSPORT DASHBOARD'!$C$4,INDEX(MASTER_ZONES!$B:$B,941)))),940,""),""),""))</f>
        <v/>
      </c>
      <c r="K941">
        <f>IF('MIDWEEK DASHBOARD'!$B$4="Area",IF(940&lt;=$N$3,IF(AND(OR('MIDWEEK DASHBOARD'!$C$4="",ISNUMBER(SEARCH('MIDWEEK DASHBOARD'!$C$4,INDEX(MASTER_AREAS!$B:$B,941))))),940,""),""),IF('MIDWEEK DASHBOARD'!$B$4="Zone",IF(940&lt;=$N$4,IF(OR('MIDWEEK DASHBOARD'!$C$4="",ISNUMBER(SEARCH('MIDWEEK DASHBOARD'!$C$4,INDEX(MASTER_ZONES!$B:$B,941)))),940,""),""),""))</f>
        <v/>
      </c>
      <c r="P941">
        <f>IF('CHOP DASHBOARD'!$B$4="Area",IF(940&lt;=$S$3,IF(AND(OR('CHOP DASHBOARD'!$C$4="",ISNUMBER(SEARCH('CHOP DASHBOARD'!$C$4,INDEX(MASTER_AREAS!$B:$B,941))))),940,""),""),IF('CHOP DASHBOARD'!$B$4="Zone",IF(940&lt;=$S$4,IF(OR('CHOP DASHBOARD'!$C$4="",ISNUMBER(SEARCH('CHOP DASHBOARD'!$C$4,INDEX(MASTER_ZONES!$B:$B,941)))),940,""),""),""))</f>
        <v/>
      </c>
      <c r="U941">
        <f>IF('COMMUNITY CHURCH DASHBOARD'!$B$4="Area",IF(940&lt;=$X$3,IF(AND(OR('COMMUNITY CHURCH DASHBOARD'!$C$4="",ISNUMBER(SEARCH('COMMUNITY CHURCH DASHBOARD'!$C$4,INDEX(MASTER_AREAS!$B:$B,941))))),940,""),""),IF('COMMUNITY CHURCH DASHBOARD'!$B$4="Zone",IF(940&lt;=$X$4,IF(OR('COMMUNITY CHURCH DASHBOARD'!$C$4="",ISNUMBER(SEARCH('COMMUNITY CHURCH DASHBOARD'!$C$4,INDEX(MASTER_ZONES!$B:$B,941)))),940,""),""),""))</f>
        <v/>
      </c>
    </row>
    <row r="942">
      <c r="A942">
        <f>IF('WSF DASHBOARD'!$B$4="Area",IF(941&lt;=$D$3,IF(AND(OR('WSF DASHBOARD'!$C$4="",ISNUMBER(SEARCH('WSF DASHBOARD'!$C$4,INDEX(MASTER_AREAS!$B:$B,942))))),941,""),""),IF('WSF DASHBOARD'!$B$4="Zone",IF(941&lt;=$D$4,IF(OR('WSF DASHBOARD'!$C$4="",ISNUMBER(SEARCH('WSF DASHBOARD'!$C$4,INDEX(MASTER_ZONES!$B:$B,942)))),941,""),""),""))</f>
        <v/>
      </c>
      <c r="F942">
        <f>IF('TRANSPORT DASHBOARD'!$B$4="Area",IF(941&lt;=$I$3,IF(AND(INDEX(MASTER_AREAS!$F:$F,942)&lt;&gt;"N",OR('TRANSPORT DASHBOARD'!$C$4="",ISNUMBER(SEARCH('TRANSPORT DASHBOARD'!$C$4,INDEX(MASTER_AREAS!$B:$B,942))))),941,""),""),IF('TRANSPORT DASHBOARD'!$B$4="Zone",IF(941&lt;=$I$4,IF(OR('TRANSPORT DASHBOARD'!$C$4="",ISNUMBER(SEARCH('TRANSPORT DASHBOARD'!$C$4,INDEX(MASTER_ZONES!$B:$B,942)))),941,""),""),""))</f>
        <v/>
      </c>
      <c r="K942">
        <f>IF('MIDWEEK DASHBOARD'!$B$4="Area",IF(941&lt;=$N$3,IF(AND(OR('MIDWEEK DASHBOARD'!$C$4="",ISNUMBER(SEARCH('MIDWEEK DASHBOARD'!$C$4,INDEX(MASTER_AREAS!$B:$B,942))))),941,""),""),IF('MIDWEEK DASHBOARD'!$B$4="Zone",IF(941&lt;=$N$4,IF(OR('MIDWEEK DASHBOARD'!$C$4="",ISNUMBER(SEARCH('MIDWEEK DASHBOARD'!$C$4,INDEX(MASTER_ZONES!$B:$B,942)))),941,""),""),""))</f>
        <v/>
      </c>
      <c r="P942">
        <f>IF('CHOP DASHBOARD'!$B$4="Area",IF(941&lt;=$S$3,IF(AND(OR('CHOP DASHBOARD'!$C$4="",ISNUMBER(SEARCH('CHOP DASHBOARD'!$C$4,INDEX(MASTER_AREAS!$B:$B,942))))),941,""),""),IF('CHOP DASHBOARD'!$B$4="Zone",IF(941&lt;=$S$4,IF(OR('CHOP DASHBOARD'!$C$4="",ISNUMBER(SEARCH('CHOP DASHBOARD'!$C$4,INDEX(MASTER_ZONES!$B:$B,942)))),941,""),""),""))</f>
        <v/>
      </c>
      <c r="U942">
        <f>IF('COMMUNITY CHURCH DASHBOARD'!$B$4="Area",IF(941&lt;=$X$3,IF(AND(OR('COMMUNITY CHURCH DASHBOARD'!$C$4="",ISNUMBER(SEARCH('COMMUNITY CHURCH DASHBOARD'!$C$4,INDEX(MASTER_AREAS!$B:$B,942))))),941,""),""),IF('COMMUNITY CHURCH DASHBOARD'!$B$4="Zone",IF(941&lt;=$X$4,IF(OR('COMMUNITY CHURCH DASHBOARD'!$C$4="",ISNUMBER(SEARCH('COMMUNITY CHURCH DASHBOARD'!$C$4,INDEX(MASTER_ZONES!$B:$B,942)))),941,""),""),""))</f>
        <v/>
      </c>
    </row>
    <row r="943">
      <c r="A943">
        <f>IF('WSF DASHBOARD'!$B$4="Area",IF(942&lt;=$D$3,IF(AND(OR('WSF DASHBOARD'!$C$4="",ISNUMBER(SEARCH('WSF DASHBOARD'!$C$4,INDEX(MASTER_AREAS!$B:$B,943))))),942,""),""),IF('WSF DASHBOARD'!$B$4="Zone",IF(942&lt;=$D$4,IF(OR('WSF DASHBOARD'!$C$4="",ISNUMBER(SEARCH('WSF DASHBOARD'!$C$4,INDEX(MASTER_ZONES!$B:$B,943)))),942,""),""),""))</f>
        <v/>
      </c>
      <c r="F943">
        <f>IF('TRANSPORT DASHBOARD'!$B$4="Area",IF(942&lt;=$I$3,IF(AND(INDEX(MASTER_AREAS!$F:$F,943)&lt;&gt;"N",OR('TRANSPORT DASHBOARD'!$C$4="",ISNUMBER(SEARCH('TRANSPORT DASHBOARD'!$C$4,INDEX(MASTER_AREAS!$B:$B,943))))),942,""),""),IF('TRANSPORT DASHBOARD'!$B$4="Zone",IF(942&lt;=$I$4,IF(OR('TRANSPORT DASHBOARD'!$C$4="",ISNUMBER(SEARCH('TRANSPORT DASHBOARD'!$C$4,INDEX(MASTER_ZONES!$B:$B,943)))),942,""),""),""))</f>
        <v/>
      </c>
      <c r="K943">
        <f>IF('MIDWEEK DASHBOARD'!$B$4="Area",IF(942&lt;=$N$3,IF(AND(OR('MIDWEEK DASHBOARD'!$C$4="",ISNUMBER(SEARCH('MIDWEEK DASHBOARD'!$C$4,INDEX(MASTER_AREAS!$B:$B,943))))),942,""),""),IF('MIDWEEK DASHBOARD'!$B$4="Zone",IF(942&lt;=$N$4,IF(OR('MIDWEEK DASHBOARD'!$C$4="",ISNUMBER(SEARCH('MIDWEEK DASHBOARD'!$C$4,INDEX(MASTER_ZONES!$B:$B,943)))),942,""),""),""))</f>
        <v/>
      </c>
      <c r="P943">
        <f>IF('CHOP DASHBOARD'!$B$4="Area",IF(942&lt;=$S$3,IF(AND(OR('CHOP DASHBOARD'!$C$4="",ISNUMBER(SEARCH('CHOP DASHBOARD'!$C$4,INDEX(MASTER_AREAS!$B:$B,943))))),942,""),""),IF('CHOP DASHBOARD'!$B$4="Zone",IF(942&lt;=$S$4,IF(OR('CHOP DASHBOARD'!$C$4="",ISNUMBER(SEARCH('CHOP DASHBOARD'!$C$4,INDEX(MASTER_ZONES!$B:$B,943)))),942,""),""),""))</f>
        <v/>
      </c>
      <c r="U943">
        <f>IF('COMMUNITY CHURCH DASHBOARD'!$B$4="Area",IF(942&lt;=$X$3,IF(AND(OR('COMMUNITY CHURCH DASHBOARD'!$C$4="",ISNUMBER(SEARCH('COMMUNITY CHURCH DASHBOARD'!$C$4,INDEX(MASTER_AREAS!$B:$B,943))))),942,""),""),IF('COMMUNITY CHURCH DASHBOARD'!$B$4="Zone",IF(942&lt;=$X$4,IF(OR('COMMUNITY CHURCH DASHBOARD'!$C$4="",ISNUMBER(SEARCH('COMMUNITY CHURCH DASHBOARD'!$C$4,INDEX(MASTER_ZONES!$B:$B,943)))),942,""),""),""))</f>
        <v/>
      </c>
    </row>
    <row r="944">
      <c r="A944">
        <f>IF('WSF DASHBOARD'!$B$4="Area",IF(943&lt;=$D$3,IF(AND(OR('WSF DASHBOARD'!$C$4="",ISNUMBER(SEARCH('WSF DASHBOARD'!$C$4,INDEX(MASTER_AREAS!$B:$B,944))))),943,""),""),IF('WSF DASHBOARD'!$B$4="Zone",IF(943&lt;=$D$4,IF(OR('WSF DASHBOARD'!$C$4="",ISNUMBER(SEARCH('WSF DASHBOARD'!$C$4,INDEX(MASTER_ZONES!$B:$B,944)))),943,""),""),""))</f>
        <v/>
      </c>
      <c r="F944">
        <f>IF('TRANSPORT DASHBOARD'!$B$4="Area",IF(943&lt;=$I$3,IF(AND(INDEX(MASTER_AREAS!$F:$F,944)&lt;&gt;"N",OR('TRANSPORT DASHBOARD'!$C$4="",ISNUMBER(SEARCH('TRANSPORT DASHBOARD'!$C$4,INDEX(MASTER_AREAS!$B:$B,944))))),943,""),""),IF('TRANSPORT DASHBOARD'!$B$4="Zone",IF(943&lt;=$I$4,IF(OR('TRANSPORT DASHBOARD'!$C$4="",ISNUMBER(SEARCH('TRANSPORT DASHBOARD'!$C$4,INDEX(MASTER_ZONES!$B:$B,944)))),943,""),""),""))</f>
        <v/>
      </c>
      <c r="K944">
        <f>IF('MIDWEEK DASHBOARD'!$B$4="Area",IF(943&lt;=$N$3,IF(AND(OR('MIDWEEK DASHBOARD'!$C$4="",ISNUMBER(SEARCH('MIDWEEK DASHBOARD'!$C$4,INDEX(MASTER_AREAS!$B:$B,944))))),943,""),""),IF('MIDWEEK DASHBOARD'!$B$4="Zone",IF(943&lt;=$N$4,IF(OR('MIDWEEK DASHBOARD'!$C$4="",ISNUMBER(SEARCH('MIDWEEK DASHBOARD'!$C$4,INDEX(MASTER_ZONES!$B:$B,944)))),943,""),""),""))</f>
        <v/>
      </c>
      <c r="P944">
        <f>IF('CHOP DASHBOARD'!$B$4="Area",IF(943&lt;=$S$3,IF(AND(OR('CHOP DASHBOARD'!$C$4="",ISNUMBER(SEARCH('CHOP DASHBOARD'!$C$4,INDEX(MASTER_AREAS!$B:$B,944))))),943,""),""),IF('CHOP DASHBOARD'!$B$4="Zone",IF(943&lt;=$S$4,IF(OR('CHOP DASHBOARD'!$C$4="",ISNUMBER(SEARCH('CHOP DASHBOARD'!$C$4,INDEX(MASTER_ZONES!$B:$B,944)))),943,""),""),""))</f>
        <v/>
      </c>
      <c r="U944">
        <f>IF('COMMUNITY CHURCH DASHBOARD'!$B$4="Area",IF(943&lt;=$X$3,IF(AND(OR('COMMUNITY CHURCH DASHBOARD'!$C$4="",ISNUMBER(SEARCH('COMMUNITY CHURCH DASHBOARD'!$C$4,INDEX(MASTER_AREAS!$B:$B,944))))),943,""),""),IF('COMMUNITY CHURCH DASHBOARD'!$B$4="Zone",IF(943&lt;=$X$4,IF(OR('COMMUNITY CHURCH DASHBOARD'!$C$4="",ISNUMBER(SEARCH('COMMUNITY CHURCH DASHBOARD'!$C$4,INDEX(MASTER_ZONES!$B:$B,944)))),943,""),""),""))</f>
        <v/>
      </c>
    </row>
    <row r="945">
      <c r="A945">
        <f>IF('WSF DASHBOARD'!$B$4="Area",IF(944&lt;=$D$3,IF(AND(OR('WSF DASHBOARD'!$C$4="",ISNUMBER(SEARCH('WSF DASHBOARD'!$C$4,INDEX(MASTER_AREAS!$B:$B,945))))),944,""),""),IF('WSF DASHBOARD'!$B$4="Zone",IF(944&lt;=$D$4,IF(OR('WSF DASHBOARD'!$C$4="",ISNUMBER(SEARCH('WSF DASHBOARD'!$C$4,INDEX(MASTER_ZONES!$B:$B,945)))),944,""),""),""))</f>
        <v/>
      </c>
      <c r="F945">
        <f>IF('TRANSPORT DASHBOARD'!$B$4="Area",IF(944&lt;=$I$3,IF(AND(INDEX(MASTER_AREAS!$F:$F,945)&lt;&gt;"N",OR('TRANSPORT DASHBOARD'!$C$4="",ISNUMBER(SEARCH('TRANSPORT DASHBOARD'!$C$4,INDEX(MASTER_AREAS!$B:$B,945))))),944,""),""),IF('TRANSPORT DASHBOARD'!$B$4="Zone",IF(944&lt;=$I$4,IF(OR('TRANSPORT DASHBOARD'!$C$4="",ISNUMBER(SEARCH('TRANSPORT DASHBOARD'!$C$4,INDEX(MASTER_ZONES!$B:$B,945)))),944,""),""),""))</f>
        <v/>
      </c>
      <c r="K945">
        <f>IF('MIDWEEK DASHBOARD'!$B$4="Area",IF(944&lt;=$N$3,IF(AND(OR('MIDWEEK DASHBOARD'!$C$4="",ISNUMBER(SEARCH('MIDWEEK DASHBOARD'!$C$4,INDEX(MASTER_AREAS!$B:$B,945))))),944,""),""),IF('MIDWEEK DASHBOARD'!$B$4="Zone",IF(944&lt;=$N$4,IF(OR('MIDWEEK DASHBOARD'!$C$4="",ISNUMBER(SEARCH('MIDWEEK DASHBOARD'!$C$4,INDEX(MASTER_ZONES!$B:$B,945)))),944,""),""),""))</f>
        <v/>
      </c>
      <c r="P945">
        <f>IF('CHOP DASHBOARD'!$B$4="Area",IF(944&lt;=$S$3,IF(AND(OR('CHOP DASHBOARD'!$C$4="",ISNUMBER(SEARCH('CHOP DASHBOARD'!$C$4,INDEX(MASTER_AREAS!$B:$B,945))))),944,""),""),IF('CHOP DASHBOARD'!$B$4="Zone",IF(944&lt;=$S$4,IF(OR('CHOP DASHBOARD'!$C$4="",ISNUMBER(SEARCH('CHOP DASHBOARD'!$C$4,INDEX(MASTER_ZONES!$B:$B,945)))),944,""),""),""))</f>
        <v/>
      </c>
      <c r="U945">
        <f>IF('COMMUNITY CHURCH DASHBOARD'!$B$4="Area",IF(944&lt;=$X$3,IF(AND(OR('COMMUNITY CHURCH DASHBOARD'!$C$4="",ISNUMBER(SEARCH('COMMUNITY CHURCH DASHBOARD'!$C$4,INDEX(MASTER_AREAS!$B:$B,945))))),944,""),""),IF('COMMUNITY CHURCH DASHBOARD'!$B$4="Zone",IF(944&lt;=$X$4,IF(OR('COMMUNITY CHURCH DASHBOARD'!$C$4="",ISNUMBER(SEARCH('COMMUNITY CHURCH DASHBOARD'!$C$4,INDEX(MASTER_ZONES!$B:$B,945)))),944,""),""),""))</f>
        <v/>
      </c>
    </row>
    <row r="946">
      <c r="A946">
        <f>IF('WSF DASHBOARD'!$B$4="Area",IF(945&lt;=$D$3,IF(AND(OR('WSF DASHBOARD'!$C$4="",ISNUMBER(SEARCH('WSF DASHBOARD'!$C$4,INDEX(MASTER_AREAS!$B:$B,946))))),945,""),""),IF('WSF DASHBOARD'!$B$4="Zone",IF(945&lt;=$D$4,IF(OR('WSF DASHBOARD'!$C$4="",ISNUMBER(SEARCH('WSF DASHBOARD'!$C$4,INDEX(MASTER_ZONES!$B:$B,946)))),945,""),""),""))</f>
        <v/>
      </c>
      <c r="F946">
        <f>IF('TRANSPORT DASHBOARD'!$B$4="Area",IF(945&lt;=$I$3,IF(AND(INDEX(MASTER_AREAS!$F:$F,946)&lt;&gt;"N",OR('TRANSPORT DASHBOARD'!$C$4="",ISNUMBER(SEARCH('TRANSPORT DASHBOARD'!$C$4,INDEX(MASTER_AREAS!$B:$B,946))))),945,""),""),IF('TRANSPORT DASHBOARD'!$B$4="Zone",IF(945&lt;=$I$4,IF(OR('TRANSPORT DASHBOARD'!$C$4="",ISNUMBER(SEARCH('TRANSPORT DASHBOARD'!$C$4,INDEX(MASTER_ZONES!$B:$B,946)))),945,""),""),""))</f>
        <v/>
      </c>
      <c r="K946">
        <f>IF('MIDWEEK DASHBOARD'!$B$4="Area",IF(945&lt;=$N$3,IF(AND(OR('MIDWEEK DASHBOARD'!$C$4="",ISNUMBER(SEARCH('MIDWEEK DASHBOARD'!$C$4,INDEX(MASTER_AREAS!$B:$B,946))))),945,""),""),IF('MIDWEEK DASHBOARD'!$B$4="Zone",IF(945&lt;=$N$4,IF(OR('MIDWEEK DASHBOARD'!$C$4="",ISNUMBER(SEARCH('MIDWEEK DASHBOARD'!$C$4,INDEX(MASTER_ZONES!$B:$B,946)))),945,""),""),""))</f>
        <v/>
      </c>
      <c r="P946">
        <f>IF('CHOP DASHBOARD'!$B$4="Area",IF(945&lt;=$S$3,IF(AND(OR('CHOP DASHBOARD'!$C$4="",ISNUMBER(SEARCH('CHOP DASHBOARD'!$C$4,INDEX(MASTER_AREAS!$B:$B,946))))),945,""),""),IF('CHOP DASHBOARD'!$B$4="Zone",IF(945&lt;=$S$4,IF(OR('CHOP DASHBOARD'!$C$4="",ISNUMBER(SEARCH('CHOP DASHBOARD'!$C$4,INDEX(MASTER_ZONES!$B:$B,946)))),945,""),""),""))</f>
        <v/>
      </c>
      <c r="U946">
        <f>IF('COMMUNITY CHURCH DASHBOARD'!$B$4="Area",IF(945&lt;=$X$3,IF(AND(OR('COMMUNITY CHURCH DASHBOARD'!$C$4="",ISNUMBER(SEARCH('COMMUNITY CHURCH DASHBOARD'!$C$4,INDEX(MASTER_AREAS!$B:$B,946))))),945,""),""),IF('COMMUNITY CHURCH DASHBOARD'!$B$4="Zone",IF(945&lt;=$X$4,IF(OR('COMMUNITY CHURCH DASHBOARD'!$C$4="",ISNUMBER(SEARCH('COMMUNITY CHURCH DASHBOARD'!$C$4,INDEX(MASTER_ZONES!$B:$B,946)))),945,""),""),""))</f>
        <v/>
      </c>
    </row>
    <row r="947">
      <c r="A947">
        <f>IF('WSF DASHBOARD'!$B$4="Area",IF(946&lt;=$D$3,IF(AND(OR('WSF DASHBOARD'!$C$4="",ISNUMBER(SEARCH('WSF DASHBOARD'!$C$4,INDEX(MASTER_AREAS!$B:$B,947))))),946,""),""),IF('WSF DASHBOARD'!$B$4="Zone",IF(946&lt;=$D$4,IF(OR('WSF DASHBOARD'!$C$4="",ISNUMBER(SEARCH('WSF DASHBOARD'!$C$4,INDEX(MASTER_ZONES!$B:$B,947)))),946,""),""),""))</f>
        <v/>
      </c>
      <c r="F947">
        <f>IF('TRANSPORT DASHBOARD'!$B$4="Area",IF(946&lt;=$I$3,IF(AND(INDEX(MASTER_AREAS!$F:$F,947)&lt;&gt;"N",OR('TRANSPORT DASHBOARD'!$C$4="",ISNUMBER(SEARCH('TRANSPORT DASHBOARD'!$C$4,INDEX(MASTER_AREAS!$B:$B,947))))),946,""),""),IF('TRANSPORT DASHBOARD'!$B$4="Zone",IF(946&lt;=$I$4,IF(OR('TRANSPORT DASHBOARD'!$C$4="",ISNUMBER(SEARCH('TRANSPORT DASHBOARD'!$C$4,INDEX(MASTER_ZONES!$B:$B,947)))),946,""),""),""))</f>
        <v/>
      </c>
      <c r="K947">
        <f>IF('MIDWEEK DASHBOARD'!$B$4="Area",IF(946&lt;=$N$3,IF(AND(OR('MIDWEEK DASHBOARD'!$C$4="",ISNUMBER(SEARCH('MIDWEEK DASHBOARD'!$C$4,INDEX(MASTER_AREAS!$B:$B,947))))),946,""),""),IF('MIDWEEK DASHBOARD'!$B$4="Zone",IF(946&lt;=$N$4,IF(OR('MIDWEEK DASHBOARD'!$C$4="",ISNUMBER(SEARCH('MIDWEEK DASHBOARD'!$C$4,INDEX(MASTER_ZONES!$B:$B,947)))),946,""),""),""))</f>
        <v/>
      </c>
      <c r="P947">
        <f>IF('CHOP DASHBOARD'!$B$4="Area",IF(946&lt;=$S$3,IF(AND(OR('CHOP DASHBOARD'!$C$4="",ISNUMBER(SEARCH('CHOP DASHBOARD'!$C$4,INDEX(MASTER_AREAS!$B:$B,947))))),946,""),""),IF('CHOP DASHBOARD'!$B$4="Zone",IF(946&lt;=$S$4,IF(OR('CHOP DASHBOARD'!$C$4="",ISNUMBER(SEARCH('CHOP DASHBOARD'!$C$4,INDEX(MASTER_ZONES!$B:$B,947)))),946,""),""),""))</f>
        <v/>
      </c>
      <c r="U947">
        <f>IF('COMMUNITY CHURCH DASHBOARD'!$B$4="Area",IF(946&lt;=$X$3,IF(AND(OR('COMMUNITY CHURCH DASHBOARD'!$C$4="",ISNUMBER(SEARCH('COMMUNITY CHURCH DASHBOARD'!$C$4,INDEX(MASTER_AREAS!$B:$B,947))))),946,""),""),IF('COMMUNITY CHURCH DASHBOARD'!$B$4="Zone",IF(946&lt;=$X$4,IF(OR('COMMUNITY CHURCH DASHBOARD'!$C$4="",ISNUMBER(SEARCH('COMMUNITY CHURCH DASHBOARD'!$C$4,INDEX(MASTER_ZONES!$B:$B,947)))),946,""),""),""))</f>
        <v/>
      </c>
    </row>
    <row r="948">
      <c r="A948">
        <f>IF('WSF DASHBOARD'!$B$4="Area",IF(947&lt;=$D$3,IF(AND(OR('WSF DASHBOARD'!$C$4="",ISNUMBER(SEARCH('WSF DASHBOARD'!$C$4,INDEX(MASTER_AREAS!$B:$B,948))))),947,""),""),IF('WSF DASHBOARD'!$B$4="Zone",IF(947&lt;=$D$4,IF(OR('WSF DASHBOARD'!$C$4="",ISNUMBER(SEARCH('WSF DASHBOARD'!$C$4,INDEX(MASTER_ZONES!$B:$B,948)))),947,""),""),""))</f>
        <v/>
      </c>
      <c r="F948">
        <f>IF('TRANSPORT DASHBOARD'!$B$4="Area",IF(947&lt;=$I$3,IF(AND(INDEX(MASTER_AREAS!$F:$F,948)&lt;&gt;"N",OR('TRANSPORT DASHBOARD'!$C$4="",ISNUMBER(SEARCH('TRANSPORT DASHBOARD'!$C$4,INDEX(MASTER_AREAS!$B:$B,948))))),947,""),""),IF('TRANSPORT DASHBOARD'!$B$4="Zone",IF(947&lt;=$I$4,IF(OR('TRANSPORT DASHBOARD'!$C$4="",ISNUMBER(SEARCH('TRANSPORT DASHBOARD'!$C$4,INDEX(MASTER_ZONES!$B:$B,948)))),947,""),""),""))</f>
        <v/>
      </c>
      <c r="K948">
        <f>IF('MIDWEEK DASHBOARD'!$B$4="Area",IF(947&lt;=$N$3,IF(AND(OR('MIDWEEK DASHBOARD'!$C$4="",ISNUMBER(SEARCH('MIDWEEK DASHBOARD'!$C$4,INDEX(MASTER_AREAS!$B:$B,948))))),947,""),""),IF('MIDWEEK DASHBOARD'!$B$4="Zone",IF(947&lt;=$N$4,IF(OR('MIDWEEK DASHBOARD'!$C$4="",ISNUMBER(SEARCH('MIDWEEK DASHBOARD'!$C$4,INDEX(MASTER_ZONES!$B:$B,948)))),947,""),""),""))</f>
        <v/>
      </c>
      <c r="P948">
        <f>IF('CHOP DASHBOARD'!$B$4="Area",IF(947&lt;=$S$3,IF(AND(OR('CHOP DASHBOARD'!$C$4="",ISNUMBER(SEARCH('CHOP DASHBOARD'!$C$4,INDEX(MASTER_AREAS!$B:$B,948))))),947,""),""),IF('CHOP DASHBOARD'!$B$4="Zone",IF(947&lt;=$S$4,IF(OR('CHOP DASHBOARD'!$C$4="",ISNUMBER(SEARCH('CHOP DASHBOARD'!$C$4,INDEX(MASTER_ZONES!$B:$B,948)))),947,""),""),""))</f>
        <v/>
      </c>
      <c r="U948">
        <f>IF('COMMUNITY CHURCH DASHBOARD'!$B$4="Area",IF(947&lt;=$X$3,IF(AND(OR('COMMUNITY CHURCH DASHBOARD'!$C$4="",ISNUMBER(SEARCH('COMMUNITY CHURCH DASHBOARD'!$C$4,INDEX(MASTER_AREAS!$B:$B,948))))),947,""),""),IF('COMMUNITY CHURCH DASHBOARD'!$B$4="Zone",IF(947&lt;=$X$4,IF(OR('COMMUNITY CHURCH DASHBOARD'!$C$4="",ISNUMBER(SEARCH('COMMUNITY CHURCH DASHBOARD'!$C$4,INDEX(MASTER_ZONES!$B:$B,948)))),947,""),""),""))</f>
        <v/>
      </c>
    </row>
    <row r="949">
      <c r="A949">
        <f>IF('WSF DASHBOARD'!$B$4="Area",IF(948&lt;=$D$3,IF(AND(OR('WSF DASHBOARD'!$C$4="",ISNUMBER(SEARCH('WSF DASHBOARD'!$C$4,INDEX(MASTER_AREAS!$B:$B,949))))),948,""),""),IF('WSF DASHBOARD'!$B$4="Zone",IF(948&lt;=$D$4,IF(OR('WSF DASHBOARD'!$C$4="",ISNUMBER(SEARCH('WSF DASHBOARD'!$C$4,INDEX(MASTER_ZONES!$B:$B,949)))),948,""),""),""))</f>
        <v/>
      </c>
      <c r="F949">
        <f>IF('TRANSPORT DASHBOARD'!$B$4="Area",IF(948&lt;=$I$3,IF(AND(INDEX(MASTER_AREAS!$F:$F,949)&lt;&gt;"N",OR('TRANSPORT DASHBOARD'!$C$4="",ISNUMBER(SEARCH('TRANSPORT DASHBOARD'!$C$4,INDEX(MASTER_AREAS!$B:$B,949))))),948,""),""),IF('TRANSPORT DASHBOARD'!$B$4="Zone",IF(948&lt;=$I$4,IF(OR('TRANSPORT DASHBOARD'!$C$4="",ISNUMBER(SEARCH('TRANSPORT DASHBOARD'!$C$4,INDEX(MASTER_ZONES!$B:$B,949)))),948,""),""),""))</f>
        <v/>
      </c>
      <c r="K949">
        <f>IF('MIDWEEK DASHBOARD'!$B$4="Area",IF(948&lt;=$N$3,IF(AND(OR('MIDWEEK DASHBOARD'!$C$4="",ISNUMBER(SEARCH('MIDWEEK DASHBOARD'!$C$4,INDEX(MASTER_AREAS!$B:$B,949))))),948,""),""),IF('MIDWEEK DASHBOARD'!$B$4="Zone",IF(948&lt;=$N$4,IF(OR('MIDWEEK DASHBOARD'!$C$4="",ISNUMBER(SEARCH('MIDWEEK DASHBOARD'!$C$4,INDEX(MASTER_ZONES!$B:$B,949)))),948,""),""),""))</f>
        <v/>
      </c>
      <c r="P949">
        <f>IF('CHOP DASHBOARD'!$B$4="Area",IF(948&lt;=$S$3,IF(AND(OR('CHOP DASHBOARD'!$C$4="",ISNUMBER(SEARCH('CHOP DASHBOARD'!$C$4,INDEX(MASTER_AREAS!$B:$B,949))))),948,""),""),IF('CHOP DASHBOARD'!$B$4="Zone",IF(948&lt;=$S$4,IF(OR('CHOP DASHBOARD'!$C$4="",ISNUMBER(SEARCH('CHOP DASHBOARD'!$C$4,INDEX(MASTER_ZONES!$B:$B,949)))),948,""),""),""))</f>
        <v/>
      </c>
      <c r="U949">
        <f>IF('COMMUNITY CHURCH DASHBOARD'!$B$4="Area",IF(948&lt;=$X$3,IF(AND(OR('COMMUNITY CHURCH DASHBOARD'!$C$4="",ISNUMBER(SEARCH('COMMUNITY CHURCH DASHBOARD'!$C$4,INDEX(MASTER_AREAS!$B:$B,949))))),948,""),""),IF('COMMUNITY CHURCH DASHBOARD'!$B$4="Zone",IF(948&lt;=$X$4,IF(OR('COMMUNITY CHURCH DASHBOARD'!$C$4="",ISNUMBER(SEARCH('COMMUNITY CHURCH DASHBOARD'!$C$4,INDEX(MASTER_ZONES!$B:$B,949)))),948,""),""),""))</f>
        <v/>
      </c>
    </row>
    <row r="950">
      <c r="A950">
        <f>IF('WSF DASHBOARD'!$B$4="Area",IF(949&lt;=$D$3,IF(AND(OR('WSF DASHBOARD'!$C$4="",ISNUMBER(SEARCH('WSF DASHBOARD'!$C$4,INDEX(MASTER_AREAS!$B:$B,950))))),949,""),""),IF('WSF DASHBOARD'!$B$4="Zone",IF(949&lt;=$D$4,IF(OR('WSF DASHBOARD'!$C$4="",ISNUMBER(SEARCH('WSF DASHBOARD'!$C$4,INDEX(MASTER_ZONES!$B:$B,950)))),949,""),""),""))</f>
        <v/>
      </c>
      <c r="F950">
        <f>IF('TRANSPORT DASHBOARD'!$B$4="Area",IF(949&lt;=$I$3,IF(AND(INDEX(MASTER_AREAS!$F:$F,950)&lt;&gt;"N",OR('TRANSPORT DASHBOARD'!$C$4="",ISNUMBER(SEARCH('TRANSPORT DASHBOARD'!$C$4,INDEX(MASTER_AREAS!$B:$B,950))))),949,""),""),IF('TRANSPORT DASHBOARD'!$B$4="Zone",IF(949&lt;=$I$4,IF(OR('TRANSPORT DASHBOARD'!$C$4="",ISNUMBER(SEARCH('TRANSPORT DASHBOARD'!$C$4,INDEX(MASTER_ZONES!$B:$B,950)))),949,""),""),""))</f>
        <v/>
      </c>
      <c r="K950">
        <f>IF('MIDWEEK DASHBOARD'!$B$4="Area",IF(949&lt;=$N$3,IF(AND(OR('MIDWEEK DASHBOARD'!$C$4="",ISNUMBER(SEARCH('MIDWEEK DASHBOARD'!$C$4,INDEX(MASTER_AREAS!$B:$B,950))))),949,""),""),IF('MIDWEEK DASHBOARD'!$B$4="Zone",IF(949&lt;=$N$4,IF(OR('MIDWEEK DASHBOARD'!$C$4="",ISNUMBER(SEARCH('MIDWEEK DASHBOARD'!$C$4,INDEX(MASTER_ZONES!$B:$B,950)))),949,""),""),""))</f>
        <v/>
      </c>
      <c r="P950">
        <f>IF('CHOP DASHBOARD'!$B$4="Area",IF(949&lt;=$S$3,IF(AND(OR('CHOP DASHBOARD'!$C$4="",ISNUMBER(SEARCH('CHOP DASHBOARD'!$C$4,INDEX(MASTER_AREAS!$B:$B,950))))),949,""),""),IF('CHOP DASHBOARD'!$B$4="Zone",IF(949&lt;=$S$4,IF(OR('CHOP DASHBOARD'!$C$4="",ISNUMBER(SEARCH('CHOP DASHBOARD'!$C$4,INDEX(MASTER_ZONES!$B:$B,950)))),949,""),""),""))</f>
        <v/>
      </c>
      <c r="U950">
        <f>IF('COMMUNITY CHURCH DASHBOARD'!$B$4="Area",IF(949&lt;=$X$3,IF(AND(OR('COMMUNITY CHURCH DASHBOARD'!$C$4="",ISNUMBER(SEARCH('COMMUNITY CHURCH DASHBOARD'!$C$4,INDEX(MASTER_AREAS!$B:$B,950))))),949,""),""),IF('COMMUNITY CHURCH DASHBOARD'!$B$4="Zone",IF(949&lt;=$X$4,IF(OR('COMMUNITY CHURCH DASHBOARD'!$C$4="",ISNUMBER(SEARCH('COMMUNITY CHURCH DASHBOARD'!$C$4,INDEX(MASTER_ZONES!$B:$B,950)))),949,""),""),""))</f>
        <v/>
      </c>
    </row>
    <row r="951">
      <c r="A951">
        <f>IF('WSF DASHBOARD'!$B$4="Area",IF(950&lt;=$D$3,IF(AND(OR('WSF DASHBOARD'!$C$4="",ISNUMBER(SEARCH('WSF DASHBOARD'!$C$4,INDEX(MASTER_AREAS!$B:$B,951))))),950,""),""),IF('WSF DASHBOARD'!$B$4="Zone",IF(950&lt;=$D$4,IF(OR('WSF DASHBOARD'!$C$4="",ISNUMBER(SEARCH('WSF DASHBOARD'!$C$4,INDEX(MASTER_ZONES!$B:$B,951)))),950,""),""),""))</f>
        <v/>
      </c>
      <c r="F951">
        <f>IF('TRANSPORT DASHBOARD'!$B$4="Area",IF(950&lt;=$I$3,IF(AND(INDEX(MASTER_AREAS!$F:$F,951)&lt;&gt;"N",OR('TRANSPORT DASHBOARD'!$C$4="",ISNUMBER(SEARCH('TRANSPORT DASHBOARD'!$C$4,INDEX(MASTER_AREAS!$B:$B,951))))),950,""),""),IF('TRANSPORT DASHBOARD'!$B$4="Zone",IF(950&lt;=$I$4,IF(OR('TRANSPORT DASHBOARD'!$C$4="",ISNUMBER(SEARCH('TRANSPORT DASHBOARD'!$C$4,INDEX(MASTER_ZONES!$B:$B,951)))),950,""),""),""))</f>
        <v/>
      </c>
      <c r="K951">
        <f>IF('MIDWEEK DASHBOARD'!$B$4="Area",IF(950&lt;=$N$3,IF(AND(OR('MIDWEEK DASHBOARD'!$C$4="",ISNUMBER(SEARCH('MIDWEEK DASHBOARD'!$C$4,INDEX(MASTER_AREAS!$B:$B,951))))),950,""),""),IF('MIDWEEK DASHBOARD'!$B$4="Zone",IF(950&lt;=$N$4,IF(OR('MIDWEEK DASHBOARD'!$C$4="",ISNUMBER(SEARCH('MIDWEEK DASHBOARD'!$C$4,INDEX(MASTER_ZONES!$B:$B,951)))),950,""),""),""))</f>
        <v/>
      </c>
      <c r="P951">
        <f>IF('CHOP DASHBOARD'!$B$4="Area",IF(950&lt;=$S$3,IF(AND(OR('CHOP DASHBOARD'!$C$4="",ISNUMBER(SEARCH('CHOP DASHBOARD'!$C$4,INDEX(MASTER_AREAS!$B:$B,951))))),950,""),""),IF('CHOP DASHBOARD'!$B$4="Zone",IF(950&lt;=$S$4,IF(OR('CHOP DASHBOARD'!$C$4="",ISNUMBER(SEARCH('CHOP DASHBOARD'!$C$4,INDEX(MASTER_ZONES!$B:$B,951)))),950,""),""),""))</f>
        <v/>
      </c>
      <c r="U951">
        <f>IF('COMMUNITY CHURCH DASHBOARD'!$B$4="Area",IF(950&lt;=$X$3,IF(AND(OR('COMMUNITY CHURCH DASHBOARD'!$C$4="",ISNUMBER(SEARCH('COMMUNITY CHURCH DASHBOARD'!$C$4,INDEX(MASTER_AREAS!$B:$B,951))))),950,""),""),IF('COMMUNITY CHURCH DASHBOARD'!$B$4="Zone",IF(950&lt;=$X$4,IF(OR('COMMUNITY CHURCH DASHBOARD'!$C$4="",ISNUMBER(SEARCH('COMMUNITY CHURCH DASHBOARD'!$C$4,INDEX(MASTER_ZONES!$B:$B,951)))),950,""),""),""))</f>
        <v/>
      </c>
    </row>
    <row r="952">
      <c r="A952">
        <f>IF('WSF DASHBOARD'!$B$4="Area",IF(951&lt;=$D$3,IF(AND(OR('WSF DASHBOARD'!$C$4="",ISNUMBER(SEARCH('WSF DASHBOARD'!$C$4,INDEX(MASTER_AREAS!$B:$B,952))))),951,""),""),IF('WSF DASHBOARD'!$B$4="Zone",IF(951&lt;=$D$4,IF(OR('WSF DASHBOARD'!$C$4="",ISNUMBER(SEARCH('WSF DASHBOARD'!$C$4,INDEX(MASTER_ZONES!$B:$B,952)))),951,""),""),""))</f>
        <v/>
      </c>
      <c r="F952">
        <f>IF('TRANSPORT DASHBOARD'!$B$4="Area",IF(951&lt;=$I$3,IF(AND(INDEX(MASTER_AREAS!$F:$F,952)&lt;&gt;"N",OR('TRANSPORT DASHBOARD'!$C$4="",ISNUMBER(SEARCH('TRANSPORT DASHBOARD'!$C$4,INDEX(MASTER_AREAS!$B:$B,952))))),951,""),""),IF('TRANSPORT DASHBOARD'!$B$4="Zone",IF(951&lt;=$I$4,IF(OR('TRANSPORT DASHBOARD'!$C$4="",ISNUMBER(SEARCH('TRANSPORT DASHBOARD'!$C$4,INDEX(MASTER_ZONES!$B:$B,952)))),951,""),""),""))</f>
        <v/>
      </c>
      <c r="K952">
        <f>IF('MIDWEEK DASHBOARD'!$B$4="Area",IF(951&lt;=$N$3,IF(AND(OR('MIDWEEK DASHBOARD'!$C$4="",ISNUMBER(SEARCH('MIDWEEK DASHBOARD'!$C$4,INDEX(MASTER_AREAS!$B:$B,952))))),951,""),""),IF('MIDWEEK DASHBOARD'!$B$4="Zone",IF(951&lt;=$N$4,IF(OR('MIDWEEK DASHBOARD'!$C$4="",ISNUMBER(SEARCH('MIDWEEK DASHBOARD'!$C$4,INDEX(MASTER_ZONES!$B:$B,952)))),951,""),""),""))</f>
        <v/>
      </c>
      <c r="P952">
        <f>IF('CHOP DASHBOARD'!$B$4="Area",IF(951&lt;=$S$3,IF(AND(OR('CHOP DASHBOARD'!$C$4="",ISNUMBER(SEARCH('CHOP DASHBOARD'!$C$4,INDEX(MASTER_AREAS!$B:$B,952))))),951,""),""),IF('CHOP DASHBOARD'!$B$4="Zone",IF(951&lt;=$S$4,IF(OR('CHOP DASHBOARD'!$C$4="",ISNUMBER(SEARCH('CHOP DASHBOARD'!$C$4,INDEX(MASTER_ZONES!$B:$B,952)))),951,""),""),""))</f>
        <v/>
      </c>
      <c r="U952">
        <f>IF('COMMUNITY CHURCH DASHBOARD'!$B$4="Area",IF(951&lt;=$X$3,IF(AND(OR('COMMUNITY CHURCH DASHBOARD'!$C$4="",ISNUMBER(SEARCH('COMMUNITY CHURCH DASHBOARD'!$C$4,INDEX(MASTER_AREAS!$B:$B,952))))),951,""),""),IF('COMMUNITY CHURCH DASHBOARD'!$B$4="Zone",IF(951&lt;=$X$4,IF(OR('COMMUNITY CHURCH DASHBOARD'!$C$4="",ISNUMBER(SEARCH('COMMUNITY CHURCH DASHBOARD'!$C$4,INDEX(MASTER_ZONES!$B:$B,952)))),951,""),""),""))</f>
        <v/>
      </c>
    </row>
    <row r="953">
      <c r="A953">
        <f>IF('WSF DASHBOARD'!$B$4="Area",IF(952&lt;=$D$3,IF(AND(OR('WSF DASHBOARD'!$C$4="",ISNUMBER(SEARCH('WSF DASHBOARD'!$C$4,INDEX(MASTER_AREAS!$B:$B,953))))),952,""),""),IF('WSF DASHBOARD'!$B$4="Zone",IF(952&lt;=$D$4,IF(OR('WSF DASHBOARD'!$C$4="",ISNUMBER(SEARCH('WSF DASHBOARD'!$C$4,INDEX(MASTER_ZONES!$B:$B,953)))),952,""),""),""))</f>
        <v/>
      </c>
      <c r="F953">
        <f>IF('TRANSPORT DASHBOARD'!$B$4="Area",IF(952&lt;=$I$3,IF(AND(INDEX(MASTER_AREAS!$F:$F,953)&lt;&gt;"N",OR('TRANSPORT DASHBOARD'!$C$4="",ISNUMBER(SEARCH('TRANSPORT DASHBOARD'!$C$4,INDEX(MASTER_AREAS!$B:$B,953))))),952,""),""),IF('TRANSPORT DASHBOARD'!$B$4="Zone",IF(952&lt;=$I$4,IF(OR('TRANSPORT DASHBOARD'!$C$4="",ISNUMBER(SEARCH('TRANSPORT DASHBOARD'!$C$4,INDEX(MASTER_ZONES!$B:$B,953)))),952,""),""),""))</f>
        <v/>
      </c>
      <c r="K953">
        <f>IF('MIDWEEK DASHBOARD'!$B$4="Area",IF(952&lt;=$N$3,IF(AND(OR('MIDWEEK DASHBOARD'!$C$4="",ISNUMBER(SEARCH('MIDWEEK DASHBOARD'!$C$4,INDEX(MASTER_AREAS!$B:$B,953))))),952,""),""),IF('MIDWEEK DASHBOARD'!$B$4="Zone",IF(952&lt;=$N$4,IF(OR('MIDWEEK DASHBOARD'!$C$4="",ISNUMBER(SEARCH('MIDWEEK DASHBOARD'!$C$4,INDEX(MASTER_ZONES!$B:$B,953)))),952,""),""),""))</f>
        <v/>
      </c>
      <c r="P953">
        <f>IF('CHOP DASHBOARD'!$B$4="Area",IF(952&lt;=$S$3,IF(AND(OR('CHOP DASHBOARD'!$C$4="",ISNUMBER(SEARCH('CHOP DASHBOARD'!$C$4,INDEX(MASTER_AREAS!$B:$B,953))))),952,""),""),IF('CHOP DASHBOARD'!$B$4="Zone",IF(952&lt;=$S$4,IF(OR('CHOP DASHBOARD'!$C$4="",ISNUMBER(SEARCH('CHOP DASHBOARD'!$C$4,INDEX(MASTER_ZONES!$B:$B,953)))),952,""),""),""))</f>
        <v/>
      </c>
      <c r="U953">
        <f>IF('COMMUNITY CHURCH DASHBOARD'!$B$4="Area",IF(952&lt;=$X$3,IF(AND(OR('COMMUNITY CHURCH DASHBOARD'!$C$4="",ISNUMBER(SEARCH('COMMUNITY CHURCH DASHBOARD'!$C$4,INDEX(MASTER_AREAS!$B:$B,953))))),952,""),""),IF('COMMUNITY CHURCH DASHBOARD'!$B$4="Zone",IF(952&lt;=$X$4,IF(OR('COMMUNITY CHURCH DASHBOARD'!$C$4="",ISNUMBER(SEARCH('COMMUNITY CHURCH DASHBOARD'!$C$4,INDEX(MASTER_ZONES!$B:$B,953)))),952,""),""),""))</f>
        <v/>
      </c>
    </row>
    <row r="954">
      <c r="A954">
        <f>IF('WSF DASHBOARD'!$B$4="Area",IF(953&lt;=$D$3,IF(AND(OR('WSF DASHBOARD'!$C$4="",ISNUMBER(SEARCH('WSF DASHBOARD'!$C$4,INDEX(MASTER_AREAS!$B:$B,954))))),953,""),""),IF('WSF DASHBOARD'!$B$4="Zone",IF(953&lt;=$D$4,IF(OR('WSF DASHBOARD'!$C$4="",ISNUMBER(SEARCH('WSF DASHBOARD'!$C$4,INDEX(MASTER_ZONES!$B:$B,954)))),953,""),""),""))</f>
        <v/>
      </c>
      <c r="F954">
        <f>IF('TRANSPORT DASHBOARD'!$B$4="Area",IF(953&lt;=$I$3,IF(AND(INDEX(MASTER_AREAS!$F:$F,954)&lt;&gt;"N",OR('TRANSPORT DASHBOARD'!$C$4="",ISNUMBER(SEARCH('TRANSPORT DASHBOARD'!$C$4,INDEX(MASTER_AREAS!$B:$B,954))))),953,""),""),IF('TRANSPORT DASHBOARD'!$B$4="Zone",IF(953&lt;=$I$4,IF(OR('TRANSPORT DASHBOARD'!$C$4="",ISNUMBER(SEARCH('TRANSPORT DASHBOARD'!$C$4,INDEX(MASTER_ZONES!$B:$B,954)))),953,""),""),""))</f>
        <v/>
      </c>
      <c r="K954">
        <f>IF('MIDWEEK DASHBOARD'!$B$4="Area",IF(953&lt;=$N$3,IF(AND(OR('MIDWEEK DASHBOARD'!$C$4="",ISNUMBER(SEARCH('MIDWEEK DASHBOARD'!$C$4,INDEX(MASTER_AREAS!$B:$B,954))))),953,""),""),IF('MIDWEEK DASHBOARD'!$B$4="Zone",IF(953&lt;=$N$4,IF(OR('MIDWEEK DASHBOARD'!$C$4="",ISNUMBER(SEARCH('MIDWEEK DASHBOARD'!$C$4,INDEX(MASTER_ZONES!$B:$B,954)))),953,""),""),""))</f>
        <v/>
      </c>
      <c r="P954">
        <f>IF('CHOP DASHBOARD'!$B$4="Area",IF(953&lt;=$S$3,IF(AND(OR('CHOP DASHBOARD'!$C$4="",ISNUMBER(SEARCH('CHOP DASHBOARD'!$C$4,INDEX(MASTER_AREAS!$B:$B,954))))),953,""),""),IF('CHOP DASHBOARD'!$B$4="Zone",IF(953&lt;=$S$4,IF(OR('CHOP DASHBOARD'!$C$4="",ISNUMBER(SEARCH('CHOP DASHBOARD'!$C$4,INDEX(MASTER_ZONES!$B:$B,954)))),953,""),""),""))</f>
        <v/>
      </c>
      <c r="U954">
        <f>IF('COMMUNITY CHURCH DASHBOARD'!$B$4="Area",IF(953&lt;=$X$3,IF(AND(OR('COMMUNITY CHURCH DASHBOARD'!$C$4="",ISNUMBER(SEARCH('COMMUNITY CHURCH DASHBOARD'!$C$4,INDEX(MASTER_AREAS!$B:$B,954))))),953,""),""),IF('COMMUNITY CHURCH DASHBOARD'!$B$4="Zone",IF(953&lt;=$X$4,IF(OR('COMMUNITY CHURCH DASHBOARD'!$C$4="",ISNUMBER(SEARCH('COMMUNITY CHURCH DASHBOARD'!$C$4,INDEX(MASTER_ZONES!$B:$B,954)))),953,""),""),""))</f>
        <v/>
      </c>
    </row>
    <row r="955">
      <c r="A955">
        <f>IF('WSF DASHBOARD'!$B$4="Area",IF(954&lt;=$D$3,IF(AND(OR('WSF DASHBOARD'!$C$4="",ISNUMBER(SEARCH('WSF DASHBOARD'!$C$4,INDEX(MASTER_AREAS!$B:$B,955))))),954,""),""),IF('WSF DASHBOARD'!$B$4="Zone",IF(954&lt;=$D$4,IF(OR('WSF DASHBOARD'!$C$4="",ISNUMBER(SEARCH('WSF DASHBOARD'!$C$4,INDEX(MASTER_ZONES!$B:$B,955)))),954,""),""),""))</f>
        <v/>
      </c>
      <c r="F955">
        <f>IF('TRANSPORT DASHBOARD'!$B$4="Area",IF(954&lt;=$I$3,IF(AND(INDEX(MASTER_AREAS!$F:$F,955)&lt;&gt;"N",OR('TRANSPORT DASHBOARD'!$C$4="",ISNUMBER(SEARCH('TRANSPORT DASHBOARD'!$C$4,INDEX(MASTER_AREAS!$B:$B,955))))),954,""),""),IF('TRANSPORT DASHBOARD'!$B$4="Zone",IF(954&lt;=$I$4,IF(OR('TRANSPORT DASHBOARD'!$C$4="",ISNUMBER(SEARCH('TRANSPORT DASHBOARD'!$C$4,INDEX(MASTER_ZONES!$B:$B,955)))),954,""),""),""))</f>
        <v/>
      </c>
      <c r="K955">
        <f>IF('MIDWEEK DASHBOARD'!$B$4="Area",IF(954&lt;=$N$3,IF(AND(OR('MIDWEEK DASHBOARD'!$C$4="",ISNUMBER(SEARCH('MIDWEEK DASHBOARD'!$C$4,INDEX(MASTER_AREAS!$B:$B,955))))),954,""),""),IF('MIDWEEK DASHBOARD'!$B$4="Zone",IF(954&lt;=$N$4,IF(OR('MIDWEEK DASHBOARD'!$C$4="",ISNUMBER(SEARCH('MIDWEEK DASHBOARD'!$C$4,INDEX(MASTER_ZONES!$B:$B,955)))),954,""),""),""))</f>
        <v/>
      </c>
      <c r="P955">
        <f>IF('CHOP DASHBOARD'!$B$4="Area",IF(954&lt;=$S$3,IF(AND(OR('CHOP DASHBOARD'!$C$4="",ISNUMBER(SEARCH('CHOP DASHBOARD'!$C$4,INDEX(MASTER_AREAS!$B:$B,955))))),954,""),""),IF('CHOP DASHBOARD'!$B$4="Zone",IF(954&lt;=$S$4,IF(OR('CHOP DASHBOARD'!$C$4="",ISNUMBER(SEARCH('CHOP DASHBOARD'!$C$4,INDEX(MASTER_ZONES!$B:$B,955)))),954,""),""),""))</f>
        <v/>
      </c>
      <c r="U955">
        <f>IF('COMMUNITY CHURCH DASHBOARD'!$B$4="Area",IF(954&lt;=$X$3,IF(AND(OR('COMMUNITY CHURCH DASHBOARD'!$C$4="",ISNUMBER(SEARCH('COMMUNITY CHURCH DASHBOARD'!$C$4,INDEX(MASTER_AREAS!$B:$B,955))))),954,""),""),IF('COMMUNITY CHURCH DASHBOARD'!$B$4="Zone",IF(954&lt;=$X$4,IF(OR('COMMUNITY CHURCH DASHBOARD'!$C$4="",ISNUMBER(SEARCH('COMMUNITY CHURCH DASHBOARD'!$C$4,INDEX(MASTER_ZONES!$B:$B,955)))),954,""),""),""))</f>
        <v/>
      </c>
    </row>
    <row r="956">
      <c r="A956">
        <f>IF('WSF DASHBOARD'!$B$4="Area",IF(955&lt;=$D$3,IF(AND(OR('WSF DASHBOARD'!$C$4="",ISNUMBER(SEARCH('WSF DASHBOARD'!$C$4,INDEX(MASTER_AREAS!$B:$B,956))))),955,""),""),IF('WSF DASHBOARD'!$B$4="Zone",IF(955&lt;=$D$4,IF(OR('WSF DASHBOARD'!$C$4="",ISNUMBER(SEARCH('WSF DASHBOARD'!$C$4,INDEX(MASTER_ZONES!$B:$B,956)))),955,""),""),""))</f>
        <v/>
      </c>
      <c r="F956">
        <f>IF('TRANSPORT DASHBOARD'!$B$4="Area",IF(955&lt;=$I$3,IF(AND(INDEX(MASTER_AREAS!$F:$F,956)&lt;&gt;"N",OR('TRANSPORT DASHBOARD'!$C$4="",ISNUMBER(SEARCH('TRANSPORT DASHBOARD'!$C$4,INDEX(MASTER_AREAS!$B:$B,956))))),955,""),""),IF('TRANSPORT DASHBOARD'!$B$4="Zone",IF(955&lt;=$I$4,IF(OR('TRANSPORT DASHBOARD'!$C$4="",ISNUMBER(SEARCH('TRANSPORT DASHBOARD'!$C$4,INDEX(MASTER_ZONES!$B:$B,956)))),955,""),""),""))</f>
        <v/>
      </c>
      <c r="K956">
        <f>IF('MIDWEEK DASHBOARD'!$B$4="Area",IF(955&lt;=$N$3,IF(AND(OR('MIDWEEK DASHBOARD'!$C$4="",ISNUMBER(SEARCH('MIDWEEK DASHBOARD'!$C$4,INDEX(MASTER_AREAS!$B:$B,956))))),955,""),""),IF('MIDWEEK DASHBOARD'!$B$4="Zone",IF(955&lt;=$N$4,IF(OR('MIDWEEK DASHBOARD'!$C$4="",ISNUMBER(SEARCH('MIDWEEK DASHBOARD'!$C$4,INDEX(MASTER_ZONES!$B:$B,956)))),955,""),""),""))</f>
        <v/>
      </c>
      <c r="P956">
        <f>IF('CHOP DASHBOARD'!$B$4="Area",IF(955&lt;=$S$3,IF(AND(OR('CHOP DASHBOARD'!$C$4="",ISNUMBER(SEARCH('CHOP DASHBOARD'!$C$4,INDEX(MASTER_AREAS!$B:$B,956))))),955,""),""),IF('CHOP DASHBOARD'!$B$4="Zone",IF(955&lt;=$S$4,IF(OR('CHOP DASHBOARD'!$C$4="",ISNUMBER(SEARCH('CHOP DASHBOARD'!$C$4,INDEX(MASTER_ZONES!$B:$B,956)))),955,""),""),""))</f>
        <v/>
      </c>
      <c r="U956">
        <f>IF('COMMUNITY CHURCH DASHBOARD'!$B$4="Area",IF(955&lt;=$X$3,IF(AND(OR('COMMUNITY CHURCH DASHBOARD'!$C$4="",ISNUMBER(SEARCH('COMMUNITY CHURCH DASHBOARD'!$C$4,INDEX(MASTER_AREAS!$B:$B,956))))),955,""),""),IF('COMMUNITY CHURCH DASHBOARD'!$B$4="Zone",IF(955&lt;=$X$4,IF(OR('COMMUNITY CHURCH DASHBOARD'!$C$4="",ISNUMBER(SEARCH('COMMUNITY CHURCH DASHBOARD'!$C$4,INDEX(MASTER_ZONES!$B:$B,956)))),955,""),""),""))</f>
        <v/>
      </c>
    </row>
    <row r="957">
      <c r="A957">
        <f>IF('WSF DASHBOARD'!$B$4="Area",IF(956&lt;=$D$3,IF(AND(OR('WSF DASHBOARD'!$C$4="",ISNUMBER(SEARCH('WSF DASHBOARD'!$C$4,INDEX(MASTER_AREAS!$B:$B,957))))),956,""),""),IF('WSF DASHBOARD'!$B$4="Zone",IF(956&lt;=$D$4,IF(OR('WSF DASHBOARD'!$C$4="",ISNUMBER(SEARCH('WSF DASHBOARD'!$C$4,INDEX(MASTER_ZONES!$B:$B,957)))),956,""),""),""))</f>
        <v/>
      </c>
      <c r="F957">
        <f>IF('TRANSPORT DASHBOARD'!$B$4="Area",IF(956&lt;=$I$3,IF(AND(INDEX(MASTER_AREAS!$F:$F,957)&lt;&gt;"N",OR('TRANSPORT DASHBOARD'!$C$4="",ISNUMBER(SEARCH('TRANSPORT DASHBOARD'!$C$4,INDEX(MASTER_AREAS!$B:$B,957))))),956,""),""),IF('TRANSPORT DASHBOARD'!$B$4="Zone",IF(956&lt;=$I$4,IF(OR('TRANSPORT DASHBOARD'!$C$4="",ISNUMBER(SEARCH('TRANSPORT DASHBOARD'!$C$4,INDEX(MASTER_ZONES!$B:$B,957)))),956,""),""),""))</f>
        <v/>
      </c>
      <c r="K957">
        <f>IF('MIDWEEK DASHBOARD'!$B$4="Area",IF(956&lt;=$N$3,IF(AND(OR('MIDWEEK DASHBOARD'!$C$4="",ISNUMBER(SEARCH('MIDWEEK DASHBOARD'!$C$4,INDEX(MASTER_AREAS!$B:$B,957))))),956,""),""),IF('MIDWEEK DASHBOARD'!$B$4="Zone",IF(956&lt;=$N$4,IF(OR('MIDWEEK DASHBOARD'!$C$4="",ISNUMBER(SEARCH('MIDWEEK DASHBOARD'!$C$4,INDEX(MASTER_ZONES!$B:$B,957)))),956,""),""),""))</f>
        <v/>
      </c>
      <c r="P957">
        <f>IF('CHOP DASHBOARD'!$B$4="Area",IF(956&lt;=$S$3,IF(AND(OR('CHOP DASHBOARD'!$C$4="",ISNUMBER(SEARCH('CHOP DASHBOARD'!$C$4,INDEX(MASTER_AREAS!$B:$B,957))))),956,""),""),IF('CHOP DASHBOARD'!$B$4="Zone",IF(956&lt;=$S$4,IF(OR('CHOP DASHBOARD'!$C$4="",ISNUMBER(SEARCH('CHOP DASHBOARD'!$C$4,INDEX(MASTER_ZONES!$B:$B,957)))),956,""),""),""))</f>
        <v/>
      </c>
      <c r="U957">
        <f>IF('COMMUNITY CHURCH DASHBOARD'!$B$4="Area",IF(956&lt;=$X$3,IF(AND(OR('COMMUNITY CHURCH DASHBOARD'!$C$4="",ISNUMBER(SEARCH('COMMUNITY CHURCH DASHBOARD'!$C$4,INDEX(MASTER_AREAS!$B:$B,957))))),956,""),""),IF('COMMUNITY CHURCH DASHBOARD'!$B$4="Zone",IF(956&lt;=$X$4,IF(OR('COMMUNITY CHURCH DASHBOARD'!$C$4="",ISNUMBER(SEARCH('COMMUNITY CHURCH DASHBOARD'!$C$4,INDEX(MASTER_ZONES!$B:$B,957)))),956,""),""),""))</f>
        <v/>
      </c>
    </row>
    <row r="958">
      <c r="A958">
        <f>IF('WSF DASHBOARD'!$B$4="Area",IF(957&lt;=$D$3,IF(AND(OR('WSF DASHBOARD'!$C$4="",ISNUMBER(SEARCH('WSF DASHBOARD'!$C$4,INDEX(MASTER_AREAS!$B:$B,958))))),957,""),""),IF('WSF DASHBOARD'!$B$4="Zone",IF(957&lt;=$D$4,IF(OR('WSF DASHBOARD'!$C$4="",ISNUMBER(SEARCH('WSF DASHBOARD'!$C$4,INDEX(MASTER_ZONES!$B:$B,958)))),957,""),""),""))</f>
        <v/>
      </c>
      <c r="F958">
        <f>IF('TRANSPORT DASHBOARD'!$B$4="Area",IF(957&lt;=$I$3,IF(AND(INDEX(MASTER_AREAS!$F:$F,958)&lt;&gt;"N",OR('TRANSPORT DASHBOARD'!$C$4="",ISNUMBER(SEARCH('TRANSPORT DASHBOARD'!$C$4,INDEX(MASTER_AREAS!$B:$B,958))))),957,""),""),IF('TRANSPORT DASHBOARD'!$B$4="Zone",IF(957&lt;=$I$4,IF(OR('TRANSPORT DASHBOARD'!$C$4="",ISNUMBER(SEARCH('TRANSPORT DASHBOARD'!$C$4,INDEX(MASTER_ZONES!$B:$B,958)))),957,""),""),""))</f>
        <v/>
      </c>
      <c r="K958">
        <f>IF('MIDWEEK DASHBOARD'!$B$4="Area",IF(957&lt;=$N$3,IF(AND(OR('MIDWEEK DASHBOARD'!$C$4="",ISNUMBER(SEARCH('MIDWEEK DASHBOARD'!$C$4,INDEX(MASTER_AREAS!$B:$B,958))))),957,""),""),IF('MIDWEEK DASHBOARD'!$B$4="Zone",IF(957&lt;=$N$4,IF(OR('MIDWEEK DASHBOARD'!$C$4="",ISNUMBER(SEARCH('MIDWEEK DASHBOARD'!$C$4,INDEX(MASTER_ZONES!$B:$B,958)))),957,""),""),""))</f>
        <v/>
      </c>
      <c r="P958">
        <f>IF('CHOP DASHBOARD'!$B$4="Area",IF(957&lt;=$S$3,IF(AND(OR('CHOP DASHBOARD'!$C$4="",ISNUMBER(SEARCH('CHOP DASHBOARD'!$C$4,INDEX(MASTER_AREAS!$B:$B,958))))),957,""),""),IF('CHOP DASHBOARD'!$B$4="Zone",IF(957&lt;=$S$4,IF(OR('CHOP DASHBOARD'!$C$4="",ISNUMBER(SEARCH('CHOP DASHBOARD'!$C$4,INDEX(MASTER_ZONES!$B:$B,958)))),957,""),""),""))</f>
        <v/>
      </c>
      <c r="U958">
        <f>IF('COMMUNITY CHURCH DASHBOARD'!$B$4="Area",IF(957&lt;=$X$3,IF(AND(OR('COMMUNITY CHURCH DASHBOARD'!$C$4="",ISNUMBER(SEARCH('COMMUNITY CHURCH DASHBOARD'!$C$4,INDEX(MASTER_AREAS!$B:$B,958))))),957,""),""),IF('COMMUNITY CHURCH DASHBOARD'!$B$4="Zone",IF(957&lt;=$X$4,IF(OR('COMMUNITY CHURCH DASHBOARD'!$C$4="",ISNUMBER(SEARCH('COMMUNITY CHURCH DASHBOARD'!$C$4,INDEX(MASTER_ZONES!$B:$B,958)))),957,""),""),""))</f>
        <v/>
      </c>
    </row>
    <row r="959">
      <c r="A959">
        <f>IF('WSF DASHBOARD'!$B$4="Area",IF(958&lt;=$D$3,IF(AND(OR('WSF DASHBOARD'!$C$4="",ISNUMBER(SEARCH('WSF DASHBOARD'!$C$4,INDEX(MASTER_AREAS!$B:$B,959))))),958,""),""),IF('WSF DASHBOARD'!$B$4="Zone",IF(958&lt;=$D$4,IF(OR('WSF DASHBOARD'!$C$4="",ISNUMBER(SEARCH('WSF DASHBOARD'!$C$4,INDEX(MASTER_ZONES!$B:$B,959)))),958,""),""),""))</f>
        <v/>
      </c>
      <c r="F959">
        <f>IF('TRANSPORT DASHBOARD'!$B$4="Area",IF(958&lt;=$I$3,IF(AND(INDEX(MASTER_AREAS!$F:$F,959)&lt;&gt;"N",OR('TRANSPORT DASHBOARD'!$C$4="",ISNUMBER(SEARCH('TRANSPORT DASHBOARD'!$C$4,INDEX(MASTER_AREAS!$B:$B,959))))),958,""),""),IF('TRANSPORT DASHBOARD'!$B$4="Zone",IF(958&lt;=$I$4,IF(OR('TRANSPORT DASHBOARD'!$C$4="",ISNUMBER(SEARCH('TRANSPORT DASHBOARD'!$C$4,INDEX(MASTER_ZONES!$B:$B,959)))),958,""),""),""))</f>
        <v/>
      </c>
      <c r="K959">
        <f>IF('MIDWEEK DASHBOARD'!$B$4="Area",IF(958&lt;=$N$3,IF(AND(OR('MIDWEEK DASHBOARD'!$C$4="",ISNUMBER(SEARCH('MIDWEEK DASHBOARD'!$C$4,INDEX(MASTER_AREAS!$B:$B,959))))),958,""),""),IF('MIDWEEK DASHBOARD'!$B$4="Zone",IF(958&lt;=$N$4,IF(OR('MIDWEEK DASHBOARD'!$C$4="",ISNUMBER(SEARCH('MIDWEEK DASHBOARD'!$C$4,INDEX(MASTER_ZONES!$B:$B,959)))),958,""),""),""))</f>
        <v/>
      </c>
      <c r="P959">
        <f>IF('CHOP DASHBOARD'!$B$4="Area",IF(958&lt;=$S$3,IF(AND(OR('CHOP DASHBOARD'!$C$4="",ISNUMBER(SEARCH('CHOP DASHBOARD'!$C$4,INDEX(MASTER_AREAS!$B:$B,959))))),958,""),""),IF('CHOP DASHBOARD'!$B$4="Zone",IF(958&lt;=$S$4,IF(OR('CHOP DASHBOARD'!$C$4="",ISNUMBER(SEARCH('CHOP DASHBOARD'!$C$4,INDEX(MASTER_ZONES!$B:$B,959)))),958,""),""),""))</f>
        <v/>
      </c>
      <c r="U959">
        <f>IF('COMMUNITY CHURCH DASHBOARD'!$B$4="Area",IF(958&lt;=$X$3,IF(AND(OR('COMMUNITY CHURCH DASHBOARD'!$C$4="",ISNUMBER(SEARCH('COMMUNITY CHURCH DASHBOARD'!$C$4,INDEX(MASTER_AREAS!$B:$B,959))))),958,""),""),IF('COMMUNITY CHURCH DASHBOARD'!$B$4="Zone",IF(958&lt;=$X$4,IF(OR('COMMUNITY CHURCH DASHBOARD'!$C$4="",ISNUMBER(SEARCH('COMMUNITY CHURCH DASHBOARD'!$C$4,INDEX(MASTER_ZONES!$B:$B,959)))),958,""),""),""))</f>
        <v/>
      </c>
    </row>
    <row r="960">
      <c r="A960">
        <f>IF('WSF DASHBOARD'!$B$4="Area",IF(959&lt;=$D$3,IF(AND(OR('WSF DASHBOARD'!$C$4="",ISNUMBER(SEARCH('WSF DASHBOARD'!$C$4,INDEX(MASTER_AREAS!$B:$B,960))))),959,""),""),IF('WSF DASHBOARD'!$B$4="Zone",IF(959&lt;=$D$4,IF(OR('WSF DASHBOARD'!$C$4="",ISNUMBER(SEARCH('WSF DASHBOARD'!$C$4,INDEX(MASTER_ZONES!$B:$B,960)))),959,""),""),""))</f>
        <v/>
      </c>
      <c r="F960">
        <f>IF('TRANSPORT DASHBOARD'!$B$4="Area",IF(959&lt;=$I$3,IF(AND(INDEX(MASTER_AREAS!$F:$F,960)&lt;&gt;"N",OR('TRANSPORT DASHBOARD'!$C$4="",ISNUMBER(SEARCH('TRANSPORT DASHBOARD'!$C$4,INDEX(MASTER_AREAS!$B:$B,960))))),959,""),""),IF('TRANSPORT DASHBOARD'!$B$4="Zone",IF(959&lt;=$I$4,IF(OR('TRANSPORT DASHBOARD'!$C$4="",ISNUMBER(SEARCH('TRANSPORT DASHBOARD'!$C$4,INDEX(MASTER_ZONES!$B:$B,960)))),959,""),""),""))</f>
        <v/>
      </c>
      <c r="K960">
        <f>IF('MIDWEEK DASHBOARD'!$B$4="Area",IF(959&lt;=$N$3,IF(AND(OR('MIDWEEK DASHBOARD'!$C$4="",ISNUMBER(SEARCH('MIDWEEK DASHBOARD'!$C$4,INDEX(MASTER_AREAS!$B:$B,960))))),959,""),""),IF('MIDWEEK DASHBOARD'!$B$4="Zone",IF(959&lt;=$N$4,IF(OR('MIDWEEK DASHBOARD'!$C$4="",ISNUMBER(SEARCH('MIDWEEK DASHBOARD'!$C$4,INDEX(MASTER_ZONES!$B:$B,960)))),959,""),""),""))</f>
        <v/>
      </c>
      <c r="P960">
        <f>IF('CHOP DASHBOARD'!$B$4="Area",IF(959&lt;=$S$3,IF(AND(OR('CHOP DASHBOARD'!$C$4="",ISNUMBER(SEARCH('CHOP DASHBOARD'!$C$4,INDEX(MASTER_AREAS!$B:$B,960))))),959,""),""),IF('CHOP DASHBOARD'!$B$4="Zone",IF(959&lt;=$S$4,IF(OR('CHOP DASHBOARD'!$C$4="",ISNUMBER(SEARCH('CHOP DASHBOARD'!$C$4,INDEX(MASTER_ZONES!$B:$B,960)))),959,""),""),""))</f>
        <v/>
      </c>
      <c r="U960">
        <f>IF('COMMUNITY CHURCH DASHBOARD'!$B$4="Area",IF(959&lt;=$X$3,IF(AND(OR('COMMUNITY CHURCH DASHBOARD'!$C$4="",ISNUMBER(SEARCH('COMMUNITY CHURCH DASHBOARD'!$C$4,INDEX(MASTER_AREAS!$B:$B,960))))),959,""),""),IF('COMMUNITY CHURCH DASHBOARD'!$B$4="Zone",IF(959&lt;=$X$4,IF(OR('COMMUNITY CHURCH DASHBOARD'!$C$4="",ISNUMBER(SEARCH('COMMUNITY CHURCH DASHBOARD'!$C$4,INDEX(MASTER_ZONES!$B:$B,960)))),959,""),""),""))</f>
        <v/>
      </c>
    </row>
    <row r="961">
      <c r="A961">
        <f>IF('WSF DASHBOARD'!$B$4="Area",IF(960&lt;=$D$3,IF(AND(OR('WSF DASHBOARD'!$C$4="",ISNUMBER(SEARCH('WSF DASHBOARD'!$C$4,INDEX(MASTER_AREAS!$B:$B,961))))),960,""),""),IF('WSF DASHBOARD'!$B$4="Zone",IF(960&lt;=$D$4,IF(OR('WSF DASHBOARD'!$C$4="",ISNUMBER(SEARCH('WSF DASHBOARD'!$C$4,INDEX(MASTER_ZONES!$B:$B,961)))),960,""),""),""))</f>
        <v/>
      </c>
      <c r="F961">
        <f>IF('TRANSPORT DASHBOARD'!$B$4="Area",IF(960&lt;=$I$3,IF(AND(INDEX(MASTER_AREAS!$F:$F,961)&lt;&gt;"N",OR('TRANSPORT DASHBOARD'!$C$4="",ISNUMBER(SEARCH('TRANSPORT DASHBOARD'!$C$4,INDEX(MASTER_AREAS!$B:$B,961))))),960,""),""),IF('TRANSPORT DASHBOARD'!$B$4="Zone",IF(960&lt;=$I$4,IF(OR('TRANSPORT DASHBOARD'!$C$4="",ISNUMBER(SEARCH('TRANSPORT DASHBOARD'!$C$4,INDEX(MASTER_ZONES!$B:$B,961)))),960,""),""),""))</f>
        <v/>
      </c>
      <c r="K961">
        <f>IF('MIDWEEK DASHBOARD'!$B$4="Area",IF(960&lt;=$N$3,IF(AND(OR('MIDWEEK DASHBOARD'!$C$4="",ISNUMBER(SEARCH('MIDWEEK DASHBOARD'!$C$4,INDEX(MASTER_AREAS!$B:$B,961))))),960,""),""),IF('MIDWEEK DASHBOARD'!$B$4="Zone",IF(960&lt;=$N$4,IF(OR('MIDWEEK DASHBOARD'!$C$4="",ISNUMBER(SEARCH('MIDWEEK DASHBOARD'!$C$4,INDEX(MASTER_ZONES!$B:$B,961)))),960,""),""),""))</f>
        <v/>
      </c>
      <c r="P961">
        <f>IF('CHOP DASHBOARD'!$B$4="Area",IF(960&lt;=$S$3,IF(AND(OR('CHOP DASHBOARD'!$C$4="",ISNUMBER(SEARCH('CHOP DASHBOARD'!$C$4,INDEX(MASTER_AREAS!$B:$B,961))))),960,""),""),IF('CHOP DASHBOARD'!$B$4="Zone",IF(960&lt;=$S$4,IF(OR('CHOP DASHBOARD'!$C$4="",ISNUMBER(SEARCH('CHOP DASHBOARD'!$C$4,INDEX(MASTER_ZONES!$B:$B,961)))),960,""),""),""))</f>
        <v/>
      </c>
      <c r="U961">
        <f>IF('COMMUNITY CHURCH DASHBOARD'!$B$4="Area",IF(960&lt;=$X$3,IF(AND(OR('COMMUNITY CHURCH DASHBOARD'!$C$4="",ISNUMBER(SEARCH('COMMUNITY CHURCH DASHBOARD'!$C$4,INDEX(MASTER_AREAS!$B:$B,961))))),960,""),""),IF('COMMUNITY CHURCH DASHBOARD'!$B$4="Zone",IF(960&lt;=$X$4,IF(OR('COMMUNITY CHURCH DASHBOARD'!$C$4="",ISNUMBER(SEARCH('COMMUNITY CHURCH DASHBOARD'!$C$4,INDEX(MASTER_ZONES!$B:$B,961)))),960,""),""),""))</f>
        <v/>
      </c>
    </row>
    <row r="962">
      <c r="A962">
        <f>IF('WSF DASHBOARD'!$B$4="Area",IF(961&lt;=$D$3,IF(AND(OR('WSF DASHBOARD'!$C$4="",ISNUMBER(SEARCH('WSF DASHBOARD'!$C$4,INDEX(MASTER_AREAS!$B:$B,962))))),961,""),""),IF('WSF DASHBOARD'!$B$4="Zone",IF(961&lt;=$D$4,IF(OR('WSF DASHBOARD'!$C$4="",ISNUMBER(SEARCH('WSF DASHBOARD'!$C$4,INDEX(MASTER_ZONES!$B:$B,962)))),961,""),""),""))</f>
        <v/>
      </c>
      <c r="F962">
        <f>IF('TRANSPORT DASHBOARD'!$B$4="Area",IF(961&lt;=$I$3,IF(AND(INDEX(MASTER_AREAS!$F:$F,962)&lt;&gt;"N",OR('TRANSPORT DASHBOARD'!$C$4="",ISNUMBER(SEARCH('TRANSPORT DASHBOARD'!$C$4,INDEX(MASTER_AREAS!$B:$B,962))))),961,""),""),IF('TRANSPORT DASHBOARD'!$B$4="Zone",IF(961&lt;=$I$4,IF(OR('TRANSPORT DASHBOARD'!$C$4="",ISNUMBER(SEARCH('TRANSPORT DASHBOARD'!$C$4,INDEX(MASTER_ZONES!$B:$B,962)))),961,""),""),""))</f>
        <v/>
      </c>
      <c r="K962">
        <f>IF('MIDWEEK DASHBOARD'!$B$4="Area",IF(961&lt;=$N$3,IF(AND(OR('MIDWEEK DASHBOARD'!$C$4="",ISNUMBER(SEARCH('MIDWEEK DASHBOARD'!$C$4,INDEX(MASTER_AREAS!$B:$B,962))))),961,""),""),IF('MIDWEEK DASHBOARD'!$B$4="Zone",IF(961&lt;=$N$4,IF(OR('MIDWEEK DASHBOARD'!$C$4="",ISNUMBER(SEARCH('MIDWEEK DASHBOARD'!$C$4,INDEX(MASTER_ZONES!$B:$B,962)))),961,""),""),""))</f>
        <v/>
      </c>
      <c r="P962">
        <f>IF('CHOP DASHBOARD'!$B$4="Area",IF(961&lt;=$S$3,IF(AND(OR('CHOP DASHBOARD'!$C$4="",ISNUMBER(SEARCH('CHOP DASHBOARD'!$C$4,INDEX(MASTER_AREAS!$B:$B,962))))),961,""),""),IF('CHOP DASHBOARD'!$B$4="Zone",IF(961&lt;=$S$4,IF(OR('CHOP DASHBOARD'!$C$4="",ISNUMBER(SEARCH('CHOP DASHBOARD'!$C$4,INDEX(MASTER_ZONES!$B:$B,962)))),961,""),""),""))</f>
        <v/>
      </c>
      <c r="U962">
        <f>IF('COMMUNITY CHURCH DASHBOARD'!$B$4="Area",IF(961&lt;=$X$3,IF(AND(OR('COMMUNITY CHURCH DASHBOARD'!$C$4="",ISNUMBER(SEARCH('COMMUNITY CHURCH DASHBOARD'!$C$4,INDEX(MASTER_AREAS!$B:$B,962))))),961,""),""),IF('COMMUNITY CHURCH DASHBOARD'!$B$4="Zone",IF(961&lt;=$X$4,IF(OR('COMMUNITY CHURCH DASHBOARD'!$C$4="",ISNUMBER(SEARCH('COMMUNITY CHURCH DASHBOARD'!$C$4,INDEX(MASTER_ZONES!$B:$B,962)))),961,""),""),""))</f>
        <v/>
      </c>
    </row>
    <row r="963">
      <c r="A963">
        <f>IF('WSF DASHBOARD'!$B$4="Area",IF(962&lt;=$D$3,IF(AND(OR('WSF DASHBOARD'!$C$4="",ISNUMBER(SEARCH('WSF DASHBOARD'!$C$4,INDEX(MASTER_AREAS!$B:$B,963))))),962,""),""),IF('WSF DASHBOARD'!$B$4="Zone",IF(962&lt;=$D$4,IF(OR('WSF DASHBOARD'!$C$4="",ISNUMBER(SEARCH('WSF DASHBOARD'!$C$4,INDEX(MASTER_ZONES!$B:$B,963)))),962,""),""),""))</f>
        <v/>
      </c>
      <c r="F963">
        <f>IF('TRANSPORT DASHBOARD'!$B$4="Area",IF(962&lt;=$I$3,IF(AND(INDEX(MASTER_AREAS!$F:$F,963)&lt;&gt;"N",OR('TRANSPORT DASHBOARD'!$C$4="",ISNUMBER(SEARCH('TRANSPORT DASHBOARD'!$C$4,INDEX(MASTER_AREAS!$B:$B,963))))),962,""),""),IF('TRANSPORT DASHBOARD'!$B$4="Zone",IF(962&lt;=$I$4,IF(OR('TRANSPORT DASHBOARD'!$C$4="",ISNUMBER(SEARCH('TRANSPORT DASHBOARD'!$C$4,INDEX(MASTER_ZONES!$B:$B,963)))),962,""),""),""))</f>
        <v/>
      </c>
      <c r="K963">
        <f>IF('MIDWEEK DASHBOARD'!$B$4="Area",IF(962&lt;=$N$3,IF(AND(OR('MIDWEEK DASHBOARD'!$C$4="",ISNUMBER(SEARCH('MIDWEEK DASHBOARD'!$C$4,INDEX(MASTER_AREAS!$B:$B,963))))),962,""),""),IF('MIDWEEK DASHBOARD'!$B$4="Zone",IF(962&lt;=$N$4,IF(OR('MIDWEEK DASHBOARD'!$C$4="",ISNUMBER(SEARCH('MIDWEEK DASHBOARD'!$C$4,INDEX(MASTER_ZONES!$B:$B,963)))),962,""),""),""))</f>
        <v/>
      </c>
      <c r="P963">
        <f>IF('CHOP DASHBOARD'!$B$4="Area",IF(962&lt;=$S$3,IF(AND(OR('CHOP DASHBOARD'!$C$4="",ISNUMBER(SEARCH('CHOP DASHBOARD'!$C$4,INDEX(MASTER_AREAS!$B:$B,963))))),962,""),""),IF('CHOP DASHBOARD'!$B$4="Zone",IF(962&lt;=$S$4,IF(OR('CHOP DASHBOARD'!$C$4="",ISNUMBER(SEARCH('CHOP DASHBOARD'!$C$4,INDEX(MASTER_ZONES!$B:$B,963)))),962,""),""),""))</f>
        <v/>
      </c>
      <c r="U963">
        <f>IF('COMMUNITY CHURCH DASHBOARD'!$B$4="Area",IF(962&lt;=$X$3,IF(AND(OR('COMMUNITY CHURCH DASHBOARD'!$C$4="",ISNUMBER(SEARCH('COMMUNITY CHURCH DASHBOARD'!$C$4,INDEX(MASTER_AREAS!$B:$B,963))))),962,""),""),IF('COMMUNITY CHURCH DASHBOARD'!$B$4="Zone",IF(962&lt;=$X$4,IF(OR('COMMUNITY CHURCH DASHBOARD'!$C$4="",ISNUMBER(SEARCH('COMMUNITY CHURCH DASHBOARD'!$C$4,INDEX(MASTER_ZONES!$B:$B,963)))),962,""),""),""))</f>
        <v/>
      </c>
    </row>
    <row r="964">
      <c r="A964">
        <f>IF('WSF DASHBOARD'!$B$4="Area",IF(963&lt;=$D$3,IF(AND(OR('WSF DASHBOARD'!$C$4="",ISNUMBER(SEARCH('WSF DASHBOARD'!$C$4,INDEX(MASTER_AREAS!$B:$B,964))))),963,""),""),IF('WSF DASHBOARD'!$B$4="Zone",IF(963&lt;=$D$4,IF(OR('WSF DASHBOARD'!$C$4="",ISNUMBER(SEARCH('WSF DASHBOARD'!$C$4,INDEX(MASTER_ZONES!$B:$B,964)))),963,""),""),""))</f>
        <v/>
      </c>
      <c r="F964">
        <f>IF('TRANSPORT DASHBOARD'!$B$4="Area",IF(963&lt;=$I$3,IF(AND(INDEX(MASTER_AREAS!$F:$F,964)&lt;&gt;"N",OR('TRANSPORT DASHBOARD'!$C$4="",ISNUMBER(SEARCH('TRANSPORT DASHBOARD'!$C$4,INDEX(MASTER_AREAS!$B:$B,964))))),963,""),""),IF('TRANSPORT DASHBOARD'!$B$4="Zone",IF(963&lt;=$I$4,IF(OR('TRANSPORT DASHBOARD'!$C$4="",ISNUMBER(SEARCH('TRANSPORT DASHBOARD'!$C$4,INDEX(MASTER_ZONES!$B:$B,964)))),963,""),""),""))</f>
        <v/>
      </c>
      <c r="K964">
        <f>IF('MIDWEEK DASHBOARD'!$B$4="Area",IF(963&lt;=$N$3,IF(AND(OR('MIDWEEK DASHBOARD'!$C$4="",ISNUMBER(SEARCH('MIDWEEK DASHBOARD'!$C$4,INDEX(MASTER_AREAS!$B:$B,964))))),963,""),""),IF('MIDWEEK DASHBOARD'!$B$4="Zone",IF(963&lt;=$N$4,IF(OR('MIDWEEK DASHBOARD'!$C$4="",ISNUMBER(SEARCH('MIDWEEK DASHBOARD'!$C$4,INDEX(MASTER_ZONES!$B:$B,964)))),963,""),""),""))</f>
        <v/>
      </c>
      <c r="P964">
        <f>IF('CHOP DASHBOARD'!$B$4="Area",IF(963&lt;=$S$3,IF(AND(OR('CHOP DASHBOARD'!$C$4="",ISNUMBER(SEARCH('CHOP DASHBOARD'!$C$4,INDEX(MASTER_AREAS!$B:$B,964))))),963,""),""),IF('CHOP DASHBOARD'!$B$4="Zone",IF(963&lt;=$S$4,IF(OR('CHOP DASHBOARD'!$C$4="",ISNUMBER(SEARCH('CHOP DASHBOARD'!$C$4,INDEX(MASTER_ZONES!$B:$B,964)))),963,""),""),""))</f>
        <v/>
      </c>
      <c r="U964">
        <f>IF('COMMUNITY CHURCH DASHBOARD'!$B$4="Area",IF(963&lt;=$X$3,IF(AND(OR('COMMUNITY CHURCH DASHBOARD'!$C$4="",ISNUMBER(SEARCH('COMMUNITY CHURCH DASHBOARD'!$C$4,INDEX(MASTER_AREAS!$B:$B,964))))),963,""),""),IF('COMMUNITY CHURCH DASHBOARD'!$B$4="Zone",IF(963&lt;=$X$4,IF(OR('COMMUNITY CHURCH DASHBOARD'!$C$4="",ISNUMBER(SEARCH('COMMUNITY CHURCH DASHBOARD'!$C$4,INDEX(MASTER_ZONES!$B:$B,964)))),963,""),""),""))</f>
        <v/>
      </c>
    </row>
    <row r="965">
      <c r="A965">
        <f>IF('WSF DASHBOARD'!$B$4="Area",IF(964&lt;=$D$3,IF(AND(OR('WSF DASHBOARD'!$C$4="",ISNUMBER(SEARCH('WSF DASHBOARD'!$C$4,INDEX(MASTER_AREAS!$B:$B,965))))),964,""),""),IF('WSF DASHBOARD'!$B$4="Zone",IF(964&lt;=$D$4,IF(OR('WSF DASHBOARD'!$C$4="",ISNUMBER(SEARCH('WSF DASHBOARD'!$C$4,INDEX(MASTER_ZONES!$B:$B,965)))),964,""),""),""))</f>
        <v/>
      </c>
      <c r="F965">
        <f>IF('TRANSPORT DASHBOARD'!$B$4="Area",IF(964&lt;=$I$3,IF(AND(INDEX(MASTER_AREAS!$F:$F,965)&lt;&gt;"N",OR('TRANSPORT DASHBOARD'!$C$4="",ISNUMBER(SEARCH('TRANSPORT DASHBOARD'!$C$4,INDEX(MASTER_AREAS!$B:$B,965))))),964,""),""),IF('TRANSPORT DASHBOARD'!$B$4="Zone",IF(964&lt;=$I$4,IF(OR('TRANSPORT DASHBOARD'!$C$4="",ISNUMBER(SEARCH('TRANSPORT DASHBOARD'!$C$4,INDEX(MASTER_ZONES!$B:$B,965)))),964,""),""),""))</f>
        <v/>
      </c>
      <c r="K965">
        <f>IF('MIDWEEK DASHBOARD'!$B$4="Area",IF(964&lt;=$N$3,IF(AND(OR('MIDWEEK DASHBOARD'!$C$4="",ISNUMBER(SEARCH('MIDWEEK DASHBOARD'!$C$4,INDEX(MASTER_AREAS!$B:$B,965))))),964,""),""),IF('MIDWEEK DASHBOARD'!$B$4="Zone",IF(964&lt;=$N$4,IF(OR('MIDWEEK DASHBOARD'!$C$4="",ISNUMBER(SEARCH('MIDWEEK DASHBOARD'!$C$4,INDEX(MASTER_ZONES!$B:$B,965)))),964,""),""),""))</f>
        <v/>
      </c>
      <c r="P965">
        <f>IF('CHOP DASHBOARD'!$B$4="Area",IF(964&lt;=$S$3,IF(AND(OR('CHOP DASHBOARD'!$C$4="",ISNUMBER(SEARCH('CHOP DASHBOARD'!$C$4,INDEX(MASTER_AREAS!$B:$B,965))))),964,""),""),IF('CHOP DASHBOARD'!$B$4="Zone",IF(964&lt;=$S$4,IF(OR('CHOP DASHBOARD'!$C$4="",ISNUMBER(SEARCH('CHOP DASHBOARD'!$C$4,INDEX(MASTER_ZONES!$B:$B,965)))),964,""),""),""))</f>
        <v/>
      </c>
      <c r="U965">
        <f>IF('COMMUNITY CHURCH DASHBOARD'!$B$4="Area",IF(964&lt;=$X$3,IF(AND(OR('COMMUNITY CHURCH DASHBOARD'!$C$4="",ISNUMBER(SEARCH('COMMUNITY CHURCH DASHBOARD'!$C$4,INDEX(MASTER_AREAS!$B:$B,965))))),964,""),""),IF('COMMUNITY CHURCH DASHBOARD'!$B$4="Zone",IF(964&lt;=$X$4,IF(OR('COMMUNITY CHURCH DASHBOARD'!$C$4="",ISNUMBER(SEARCH('COMMUNITY CHURCH DASHBOARD'!$C$4,INDEX(MASTER_ZONES!$B:$B,965)))),964,""),""),""))</f>
        <v/>
      </c>
    </row>
    <row r="966">
      <c r="A966">
        <f>IF('WSF DASHBOARD'!$B$4="Area",IF(965&lt;=$D$3,IF(AND(OR('WSF DASHBOARD'!$C$4="",ISNUMBER(SEARCH('WSF DASHBOARD'!$C$4,INDEX(MASTER_AREAS!$B:$B,966))))),965,""),""),IF('WSF DASHBOARD'!$B$4="Zone",IF(965&lt;=$D$4,IF(OR('WSF DASHBOARD'!$C$4="",ISNUMBER(SEARCH('WSF DASHBOARD'!$C$4,INDEX(MASTER_ZONES!$B:$B,966)))),965,""),""),""))</f>
        <v/>
      </c>
      <c r="F966">
        <f>IF('TRANSPORT DASHBOARD'!$B$4="Area",IF(965&lt;=$I$3,IF(AND(INDEX(MASTER_AREAS!$F:$F,966)&lt;&gt;"N",OR('TRANSPORT DASHBOARD'!$C$4="",ISNUMBER(SEARCH('TRANSPORT DASHBOARD'!$C$4,INDEX(MASTER_AREAS!$B:$B,966))))),965,""),""),IF('TRANSPORT DASHBOARD'!$B$4="Zone",IF(965&lt;=$I$4,IF(OR('TRANSPORT DASHBOARD'!$C$4="",ISNUMBER(SEARCH('TRANSPORT DASHBOARD'!$C$4,INDEX(MASTER_ZONES!$B:$B,966)))),965,""),""),""))</f>
        <v/>
      </c>
      <c r="K966">
        <f>IF('MIDWEEK DASHBOARD'!$B$4="Area",IF(965&lt;=$N$3,IF(AND(OR('MIDWEEK DASHBOARD'!$C$4="",ISNUMBER(SEARCH('MIDWEEK DASHBOARD'!$C$4,INDEX(MASTER_AREAS!$B:$B,966))))),965,""),""),IF('MIDWEEK DASHBOARD'!$B$4="Zone",IF(965&lt;=$N$4,IF(OR('MIDWEEK DASHBOARD'!$C$4="",ISNUMBER(SEARCH('MIDWEEK DASHBOARD'!$C$4,INDEX(MASTER_ZONES!$B:$B,966)))),965,""),""),""))</f>
        <v/>
      </c>
      <c r="P966">
        <f>IF('CHOP DASHBOARD'!$B$4="Area",IF(965&lt;=$S$3,IF(AND(OR('CHOP DASHBOARD'!$C$4="",ISNUMBER(SEARCH('CHOP DASHBOARD'!$C$4,INDEX(MASTER_AREAS!$B:$B,966))))),965,""),""),IF('CHOP DASHBOARD'!$B$4="Zone",IF(965&lt;=$S$4,IF(OR('CHOP DASHBOARD'!$C$4="",ISNUMBER(SEARCH('CHOP DASHBOARD'!$C$4,INDEX(MASTER_ZONES!$B:$B,966)))),965,""),""),""))</f>
        <v/>
      </c>
      <c r="U966">
        <f>IF('COMMUNITY CHURCH DASHBOARD'!$B$4="Area",IF(965&lt;=$X$3,IF(AND(OR('COMMUNITY CHURCH DASHBOARD'!$C$4="",ISNUMBER(SEARCH('COMMUNITY CHURCH DASHBOARD'!$C$4,INDEX(MASTER_AREAS!$B:$B,966))))),965,""),""),IF('COMMUNITY CHURCH DASHBOARD'!$B$4="Zone",IF(965&lt;=$X$4,IF(OR('COMMUNITY CHURCH DASHBOARD'!$C$4="",ISNUMBER(SEARCH('COMMUNITY CHURCH DASHBOARD'!$C$4,INDEX(MASTER_ZONES!$B:$B,966)))),965,""),""),""))</f>
        <v/>
      </c>
    </row>
    <row r="967">
      <c r="A967">
        <f>IF('WSF DASHBOARD'!$B$4="Area",IF(966&lt;=$D$3,IF(AND(OR('WSF DASHBOARD'!$C$4="",ISNUMBER(SEARCH('WSF DASHBOARD'!$C$4,INDEX(MASTER_AREAS!$B:$B,967))))),966,""),""),IF('WSF DASHBOARD'!$B$4="Zone",IF(966&lt;=$D$4,IF(OR('WSF DASHBOARD'!$C$4="",ISNUMBER(SEARCH('WSF DASHBOARD'!$C$4,INDEX(MASTER_ZONES!$B:$B,967)))),966,""),""),""))</f>
        <v/>
      </c>
      <c r="F967">
        <f>IF('TRANSPORT DASHBOARD'!$B$4="Area",IF(966&lt;=$I$3,IF(AND(INDEX(MASTER_AREAS!$F:$F,967)&lt;&gt;"N",OR('TRANSPORT DASHBOARD'!$C$4="",ISNUMBER(SEARCH('TRANSPORT DASHBOARD'!$C$4,INDEX(MASTER_AREAS!$B:$B,967))))),966,""),""),IF('TRANSPORT DASHBOARD'!$B$4="Zone",IF(966&lt;=$I$4,IF(OR('TRANSPORT DASHBOARD'!$C$4="",ISNUMBER(SEARCH('TRANSPORT DASHBOARD'!$C$4,INDEX(MASTER_ZONES!$B:$B,967)))),966,""),""),""))</f>
        <v/>
      </c>
      <c r="K967">
        <f>IF('MIDWEEK DASHBOARD'!$B$4="Area",IF(966&lt;=$N$3,IF(AND(OR('MIDWEEK DASHBOARD'!$C$4="",ISNUMBER(SEARCH('MIDWEEK DASHBOARD'!$C$4,INDEX(MASTER_AREAS!$B:$B,967))))),966,""),""),IF('MIDWEEK DASHBOARD'!$B$4="Zone",IF(966&lt;=$N$4,IF(OR('MIDWEEK DASHBOARD'!$C$4="",ISNUMBER(SEARCH('MIDWEEK DASHBOARD'!$C$4,INDEX(MASTER_ZONES!$B:$B,967)))),966,""),""),""))</f>
        <v/>
      </c>
      <c r="P967">
        <f>IF('CHOP DASHBOARD'!$B$4="Area",IF(966&lt;=$S$3,IF(AND(OR('CHOP DASHBOARD'!$C$4="",ISNUMBER(SEARCH('CHOP DASHBOARD'!$C$4,INDEX(MASTER_AREAS!$B:$B,967))))),966,""),""),IF('CHOP DASHBOARD'!$B$4="Zone",IF(966&lt;=$S$4,IF(OR('CHOP DASHBOARD'!$C$4="",ISNUMBER(SEARCH('CHOP DASHBOARD'!$C$4,INDEX(MASTER_ZONES!$B:$B,967)))),966,""),""),""))</f>
        <v/>
      </c>
      <c r="U967">
        <f>IF('COMMUNITY CHURCH DASHBOARD'!$B$4="Area",IF(966&lt;=$X$3,IF(AND(OR('COMMUNITY CHURCH DASHBOARD'!$C$4="",ISNUMBER(SEARCH('COMMUNITY CHURCH DASHBOARD'!$C$4,INDEX(MASTER_AREAS!$B:$B,967))))),966,""),""),IF('COMMUNITY CHURCH DASHBOARD'!$B$4="Zone",IF(966&lt;=$X$4,IF(OR('COMMUNITY CHURCH DASHBOARD'!$C$4="",ISNUMBER(SEARCH('COMMUNITY CHURCH DASHBOARD'!$C$4,INDEX(MASTER_ZONES!$B:$B,967)))),966,""),""),""))</f>
        <v/>
      </c>
    </row>
    <row r="968">
      <c r="A968">
        <f>IF('WSF DASHBOARD'!$B$4="Area",IF(967&lt;=$D$3,IF(AND(OR('WSF DASHBOARD'!$C$4="",ISNUMBER(SEARCH('WSF DASHBOARD'!$C$4,INDEX(MASTER_AREAS!$B:$B,968))))),967,""),""),IF('WSF DASHBOARD'!$B$4="Zone",IF(967&lt;=$D$4,IF(OR('WSF DASHBOARD'!$C$4="",ISNUMBER(SEARCH('WSF DASHBOARD'!$C$4,INDEX(MASTER_ZONES!$B:$B,968)))),967,""),""),""))</f>
        <v/>
      </c>
      <c r="F968">
        <f>IF('TRANSPORT DASHBOARD'!$B$4="Area",IF(967&lt;=$I$3,IF(AND(INDEX(MASTER_AREAS!$F:$F,968)&lt;&gt;"N",OR('TRANSPORT DASHBOARD'!$C$4="",ISNUMBER(SEARCH('TRANSPORT DASHBOARD'!$C$4,INDEX(MASTER_AREAS!$B:$B,968))))),967,""),""),IF('TRANSPORT DASHBOARD'!$B$4="Zone",IF(967&lt;=$I$4,IF(OR('TRANSPORT DASHBOARD'!$C$4="",ISNUMBER(SEARCH('TRANSPORT DASHBOARD'!$C$4,INDEX(MASTER_ZONES!$B:$B,968)))),967,""),""),""))</f>
        <v/>
      </c>
      <c r="K968">
        <f>IF('MIDWEEK DASHBOARD'!$B$4="Area",IF(967&lt;=$N$3,IF(AND(OR('MIDWEEK DASHBOARD'!$C$4="",ISNUMBER(SEARCH('MIDWEEK DASHBOARD'!$C$4,INDEX(MASTER_AREAS!$B:$B,968))))),967,""),""),IF('MIDWEEK DASHBOARD'!$B$4="Zone",IF(967&lt;=$N$4,IF(OR('MIDWEEK DASHBOARD'!$C$4="",ISNUMBER(SEARCH('MIDWEEK DASHBOARD'!$C$4,INDEX(MASTER_ZONES!$B:$B,968)))),967,""),""),""))</f>
        <v/>
      </c>
      <c r="P968">
        <f>IF('CHOP DASHBOARD'!$B$4="Area",IF(967&lt;=$S$3,IF(AND(OR('CHOP DASHBOARD'!$C$4="",ISNUMBER(SEARCH('CHOP DASHBOARD'!$C$4,INDEX(MASTER_AREAS!$B:$B,968))))),967,""),""),IF('CHOP DASHBOARD'!$B$4="Zone",IF(967&lt;=$S$4,IF(OR('CHOP DASHBOARD'!$C$4="",ISNUMBER(SEARCH('CHOP DASHBOARD'!$C$4,INDEX(MASTER_ZONES!$B:$B,968)))),967,""),""),""))</f>
        <v/>
      </c>
      <c r="U968">
        <f>IF('COMMUNITY CHURCH DASHBOARD'!$B$4="Area",IF(967&lt;=$X$3,IF(AND(OR('COMMUNITY CHURCH DASHBOARD'!$C$4="",ISNUMBER(SEARCH('COMMUNITY CHURCH DASHBOARD'!$C$4,INDEX(MASTER_AREAS!$B:$B,968))))),967,""),""),IF('COMMUNITY CHURCH DASHBOARD'!$B$4="Zone",IF(967&lt;=$X$4,IF(OR('COMMUNITY CHURCH DASHBOARD'!$C$4="",ISNUMBER(SEARCH('COMMUNITY CHURCH DASHBOARD'!$C$4,INDEX(MASTER_ZONES!$B:$B,968)))),967,""),""),""))</f>
        <v/>
      </c>
    </row>
    <row r="969">
      <c r="A969">
        <f>IF('WSF DASHBOARD'!$B$4="Area",IF(968&lt;=$D$3,IF(AND(OR('WSF DASHBOARD'!$C$4="",ISNUMBER(SEARCH('WSF DASHBOARD'!$C$4,INDEX(MASTER_AREAS!$B:$B,969))))),968,""),""),IF('WSF DASHBOARD'!$B$4="Zone",IF(968&lt;=$D$4,IF(OR('WSF DASHBOARD'!$C$4="",ISNUMBER(SEARCH('WSF DASHBOARD'!$C$4,INDEX(MASTER_ZONES!$B:$B,969)))),968,""),""),""))</f>
        <v/>
      </c>
      <c r="F969">
        <f>IF('TRANSPORT DASHBOARD'!$B$4="Area",IF(968&lt;=$I$3,IF(AND(INDEX(MASTER_AREAS!$F:$F,969)&lt;&gt;"N",OR('TRANSPORT DASHBOARD'!$C$4="",ISNUMBER(SEARCH('TRANSPORT DASHBOARD'!$C$4,INDEX(MASTER_AREAS!$B:$B,969))))),968,""),""),IF('TRANSPORT DASHBOARD'!$B$4="Zone",IF(968&lt;=$I$4,IF(OR('TRANSPORT DASHBOARD'!$C$4="",ISNUMBER(SEARCH('TRANSPORT DASHBOARD'!$C$4,INDEX(MASTER_ZONES!$B:$B,969)))),968,""),""),""))</f>
        <v/>
      </c>
      <c r="K969">
        <f>IF('MIDWEEK DASHBOARD'!$B$4="Area",IF(968&lt;=$N$3,IF(AND(OR('MIDWEEK DASHBOARD'!$C$4="",ISNUMBER(SEARCH('MIDWEEK DASHBOARD'!$C$4,INDEX(MASTER_AREAS!$B:$B,969))))),968,""),""),IF('MIDWEEK DASHBOARD'!$B$4="Zone",IF(968&lt;=$N$4,IF(OR('MIDWEEK DASHBOARD'!$C$4="",ISNUMBER(SEARCH('MIDWEEK DASHBOARD'!$C$4,INDEX(MASTER_ZONES!$B:$B,969)))),968,""),""),""))</f>
        <v/>
      </c>
      <c r="P969">
        <f>IF('CHOP DASHBOARD'!$B$4="Area",IF(968&lt;=$S$3,IF(AND(OR('CHOP DASHBOARD'!$C$4="",ISNUMBER(SEARCH('CHOP DASHBOARD'!$C$4,INDEX(MASTER_AREAS!$B:$B,969))))),968,""),""),IF('CHOP DASHBOARD'!$B$4="Zone",IF(968&lt;=$S$4,IF(OR('CHOP DASHBOARD'!$C$4="",ISNUMBER(SEARCH('CHOP DASHBOARD'!$C$4,INDEX(MASTER_ZONES!$B:$B,969)))),968,""),""),""))</f>
        <v/>
      </c>
      <c r="U969">
        <f>IF('COMMUNITY CHURCH DASHBOARD'!$B$4="Area",IF(968&lt;=$X$3,IF(AND(OR('COMMUNITY CHURCH DASHBOARD'!$C$4="",ISNUMBER(SEARCH('COMMUNITY CHURCH DASHBOARD'!$C$4,INDEX(MASTER_AREAS!$B:$B,969))))),968,""),""),IF('COMMUNITY CHURCH DASHBOARD'!$B$4="Zone",IF(968&lt;=$X$4,IF(OR('COMMUNITY CHURCH DASHBOARD'!$C$4="",ISNUMBER(SEARCH('COMMUNITY CHURCH DASHBOARD'!$C$4,INDEX(MASTER_ZONES!$B:$B,969)))),968,""),""),""))</f>
        <v/>
      </c>
    </row>
    <row r="970">
      <c r="A970">
        <f>IF('WSF DASHBOARD'!$B$4="Area",IF(969&lt;=$D$3,IF(AND(OR('WSF DASHBOARD'!$C$4="",ISNUMBER(SEARCH('WSF DASHBOARD'!$C$4,INDEX(MASTER_AREAS!$B:$B,970))))),969,""),""),IF('WSF DASHBOARD'!$B$4="Zone",IF(969&lt;=$D$4,IF(OR('WSF DASHBOARD'!$C$4="",ISNUMBER(SEARCH('WSF DASHBOARD'!$C$4,INDEX(MASTER_ZONES!$B:$B,970)))),969,""),""),""))</f>
        <v/>
      </c>
      <c r="F970">
        <f>IF('TRANSPORT DASHBOARD'!$B$4="Area",IF(969&lt;=$I$3,IF(AND(INDEX(MASTER_AREAS!$F:$F,970)&lt;&gt;"N",OR('TRANSPORT DASHBOARD'!$C$4="",ISNUMBER(SEARCH('TRANSPORT DASHBOARD'!$C$4,INDEX(MASTER_AREAS!$B:$B,970))))),969,""),""),IF('TRANSPORT DASHBOARD'!$B$4="Zone",IF(969&lt;=$I$4,IF(OR('TRANSPORT DASHBOARD'!$C$4="",ISNUMBER(SEARCH('TRANSPORT DASHBOARD'!$C$4,INDEX(MASTER_ZONES!$B:$B,970)))),969,""),""),""))</f>
        <v/>
      </c>
      <c r="K970">
        <f>IF('MIDWEEK DASHBOARD'!$B$4="Area",IF(969&lt;=$N$3,IF(AND(OR('MIDWEEK DASHBOARD'!$C$4="",ISNUMBER(SEARCH('MIDWEEK DASHBOARD'!$C$4,INDEX(MASTER_AREAS!$B:$B,970))))),969,""),""),IF('MIDWEEK DASHBOARD'!$B$4="Zone",IF(969&lt;=$N$4,IF(OR('MIDWEEK DASHBOARD'!$C$4="",ISNUMBER(SEARCH('MIDWEEK DASHBOARD'!$C$4,INDEX(MASTER_ZONES!$B:$B,970)))),969,""),""),""))</f>
        <v/>
      </c>
      <c r="P970">
        <f>IF('CHOP DASHBOARD'!$B$4="Area",IF(969&lt;=$S$3,IF(AND(OR('CHOP DASHBOARD'!$C$4="",ISNUMBER(SEARCH('CHOP DASHBOARD'!$C$4,INDEX(MASTER_AREAS!$B:$B,970))))),969,""),""),IF('CHOP DASHBOARD'!$B$4="Zone",IF(969&lt;=$S$4,IF(OR('CHOP DASHBOARD'!$C$4="",ISNUMBER(SEARCH('CHOP DASHBOARD'!$C$4,INDEX(MASTER_ZONES!$B:$B,970)))),969,""),""),""))</f>
        <v/>
      </c>
      <c r="U970">
        <f>IF('COMMUNITY CHURCH DASHBOARD'!$B$4="Area",IF(969&lt;=$X$3,IF(AND(OR('COMMUNITY CHURCH DASHBOARD'!$C$4="",ISNUMBER(SEARCH('COMMUNITY CHURCH DASHBOARD'!$C$4,INDEX(MASTER_AREAS!$B:$B,970))))),969,""),""),IF('COMMUNITY CHURCH DASHBOARD'!$B$4="Zone",IF(969&lt;=$X$4,IF(OR('COMMUNITY CHURCH DASHBOARD'!$C$4="",ISNUMBER(SEARCH('COMMUNITY CHURCH DASHBOARD'!$C$4,INDEX(MASTER_ZONES!$B:$B,970)))),969,""),""),""))</f>
        <v/>
      </c>
    </row>
    <row r="971">
      <c r="A971">
        <f>IF('WSF DASHBOARD'!$B$4="Area",IF(970&lt;=$D$3,IF(AND(OR('WSF DASHBOARD'!$C$4="",ISNUMBER(SEARCH('WSF DASHBOARD'!$C$4,INDEX(MASTER_AREAS!$B:$B,971))))),970,""),""),IF('WSF DASHBOARD'!$B$4="Zone",IF(970&lt;=$D$4,IF(OR('WSF DASHBOARD'!$C$4="",ISNUMBER(SEARCH('WSF DASHBOARD'!$C$4,INDEX(MASTER_ZONES!$B:$B,971)))),970,""),""),""))</f>
        <v/>
      </c>
      <c r="F971">
        <f>IF('TRANSPORT DASHBOARD'!$B$4="Area",IF(970&lt;=$I$3,IF(AND(INDEX(MASTER_AREAS!$F:$F,971)&lt;&gt;"N",OR('TRANSPORT DASHBOARD'!$C$4="",ISNUMBER(SEARCH('TRANSPORT DASHBOARD'!$C$4,INDEX(MASTER_AREAS!$B:$B,971))))),970,""),""),IF('TRANSPORT DASHBOARD'!$B$4="Zone",IF(970&lt;=$I$4,IF(OR('TRANSPORT DASHBOARD'!$C$4="",ISNUMBER(SEARCH('TRANSPORT DASHBOARD'!$C$4,INDEX(MASTER_ZONES!$B:$B,971)))),970,""),""),""))</f>
        <v/>
      </c>
      <c r="K971">
        <f>IF('MIDWEEK DASHBOARD'!$B$4="Area",IF(970&lt;=$N$3,IF(AND(OR('MIDWEEK DASHBOARD'!$C$4="",ISNUMBER(SEARCH('MIDWEEK DASHBOARD'!$C$4,INDEX(MASTER_AREAS!$B:$B,971))))),970,""),""),IF('MIDWEEK DASHBOARD'!$B$4="Zone",IF(970&lt;=$N$4,IF(OR('MIDWEEK DASHBOARD'!$C$4="",ISNUMBER(SEARCH('MIDWEEK DASHBOARD'!$C$4,INDEX(MASTER_ZONES!$B:$B,971)))),970,""),""),""))</f>
        <v/>
      </c>
      <c r="P971">
        <f>IF('CHOP DASHBOARD'!$B$4="Area",IF(970&lt;=$S$3,IF(AND(OR('CHOP DASHBOARD'!$C$4="",ISNUMBER(SEARCH('CHOP DASHBOARD'!$C$4,INDEX(MASTER_AREAS!$B:$B,971))))),970,""),""),IF('CHOP DASHBOARD'!$B$4="Zone",IF(970&lt;=$S$4,IF(OR('CHOP DASHBOARD'!$C$4="",ISNUMBER(SEARCH('CHOP DASHBOARD'!$C$4,INDEX(MASTER_ZONES!$B:$B,971)))),970,""),""),""))</f>
        <v/>
      </c>
      <c r="U971">
        <f>IF('COMMUNITY CHURCH DASHBOARD'!$B$4="Area",IF(970&lt;=$X$3,IF(AND(OR('COMMUNITY CHURCH DASHBOARD'!$C$4="",ISNUMBER(SEARCH('COMMUNITY CHURCH DASHBOARD'!$C$4,INDEX(MASTER_AREAS!$B:$B,971))))),970,""),""),IF('COMMUNITY CHURCH DASHBOARD'!$B$4="Zone",IF(970&lt;=$X$4,IF(OR('COMMUNITY CHURCH DASHBOARD'!$C$4="",ISNUMBER(SEARCH('COMMUNITY CHURCH DASHBOARD'!$C$4,INDEX(MASTER_ZONES!$B:$B,971)))),970,""),""),""))</f>
        <v/>
      </c>
    </row>
    <row r="972">
      <c r="A972">
        <f>IF('WSF DASHBOARD'!$B$4="Area",IF(971&lt;=$D$3,IF(AND(OR('WSF DASHBOARD'!$C$4="",ISNUMBER(SEARCH('WSF DASHBOARD'!$C$4,INDEX(MASTER_AREAS!$B:$B,972))))),971,""),""),IF('WSF DASHBOARD'!$B$4="Zone",IF(971&lt;=$D$4,IF(OR('WSF DASHBOARD'!$C$4="",ISNUMBER(SEARCH('WSF DASHBOARD'!$C$4,INDEX(MASTER_ZONES!$B:$B,972)))),971,""),""),""))</f>
        <v/>
      </c>
      <c r="F972">
        <f>IF('TRANSPORT DASHBOARD'!$B$4="Area",IF(971&lt;=$I$3,IF(AND(INDEX(MASTER_AREAS!$F:$F,972)&lt;&gt;"N",OR('TRANSPORT DASHBOARD'!$C$4="",ISNUMBER(SEARCH('TRANSPORT DASHBOARD'!$C$4,INDEX(MASTER_AREAS!$B:$B,972))))),971,""),""),IF('TRANSPORT DASHBOARD'!$B$4="Zone",IF(971&lt;=$I$4,IF(OR('TRANSPORT DASHBOARD'!$C$4="",ISNUMBER(SEARCH('TRANSPORT DASHBOARD'!$C$4,INDEX(MASTER_ZONES!$B:$B,972)))),971,""),""),""))</f>
        <v/>
      </c>
      <c r="K972">
        <f>IF('MIDWEEK DASHBOARD'!$B$4="Area",IF(971&lt;=$N$3,IF(AND(OR('MIDWEEK DASHBOARD'!$C$4="",ISNUMBER(SEARCH('MIDWEEK DASHBOARD'!$C$4,INDEX(MASTER_AREAS!$B:$B,972))))),971,""),""),IF('MIDWEEK DASHBOARD'!$B$4="Zone",IF(971&lt;=$N$4,IF(OR('MIDWEEK DASHBOARD'!$C$4="",ISNUMBER(SEARCH('MIDWEEK DASHBOARD'!$C$4,INDEX(MASTER_ZONES!$B:$B,972)))),971,""),""),""))</f>
        <v/>
      </c>
      <c r="P972">
        <f>IF('CHOP DASHBOARD'!$B$4="Area",IF(971&lt;=$S$3,IF(AND(OR('CHOP DASHBOARD'!$C$4="",ISNUMBER(SEARCH('CHOP DASHBOARD'!$C$4,INDEX(MASTER_AREAS!$B:$B,972))))),971,""),""),IF('CHOP DASHBOARD'!$B$4="Zone",IF(971&lt;=$S$4,IF(OR('CHOP DASHBOARD'!$C$4="",ISNUMBER(SEARCH('CHOP DASHBOARD'!$C$4,INDEX(MASTER_ZONES!$B:$B,972)))),971,""),""),""))</f>
        <v/>
      </c>
      <c r="U972">
        <f>IF('COMMUNITY CHURCH DASHBOARD'!$B$4="Area",IF(971&lt;=$X$3,IF(AND(OR('COMMUNITY CHURCH DASHBOARD'!$C$4="",ISNUMBER(SEARCH('COMMUNITY CHURCH DASHBOARD'!$C$4,INDEX(MASTER_AREAS!$B:$B,972))))),971,""),""),IF('COMMUNITY CHURCH DASHBOARD'!$B$4="Zone",IF(971&lt;=$X$4,IF(OR('COMMUNITY CHURCH DASHBOARD'!$C$4="",ISNUMBER(SEARCH('COMMUNITY CHURCH DASHBOARD'!$C$4,INDEX(MASTER_ZONES!$B:$B,972)))),971,""),""),""))</f>
        <v/>
      </c>
    </row>
    <row r="973">
      <c r="A973">
        <f>IF('WSF DASHBOARD'!$B$4="Area",IF(972&lt;=$D$3,IF(AND(OR('WSF DASHBOARD'!$C$4="",ISNUMBER(SEARCH('WSF DASHBOARD'!$C$4,INDEX(MASTER_AREAS!$B:$B,973))))),972,""),""),IF('WSF DASHBOARD'!$B$4="Zone",IF(972&lt;=$D$4,IF(OR('WSF DASHBOARD'!$C$4="",ISNUMBER(SEARCH('WSF DASHBOARD'!$C$4,INDEX(MASTER_ZONES!$B:$B,973)))),972,""),""),""))</f>
        <v/>
      </c>
      <c r="F973">
        <f>IF('TRANSPORT DASHBOARD'!$B$4="Area",IF(972&lt;=$I$3,IF(AND(INDEX(MASTER_AREAS!$F:$F,973)&lt;&gt;"N",OR('TRANSPORT DASHBOARD'!$C$4="",ISNUMBER(SEARCH('TRANSPORT DASHBOARD'!$C$4,INDEX(MASTER_AREAS!$B:$B,973))))),972,""),""),IF('TRANSPORT DASHBOARD'!$B$4="Zone",IF(972&lt;=$I$4,IF(OR('TRANSPORT DASHBOARD'!$C$4="",ISNUMBER(SEARCH('TRANSPORT DASHBOARD'!$C$4,INDEX(MASTER_ZONES!$B:$B,973)))),972,""),""),""))</f>
        <v/>
      </c>
      <c r="K973">
        <f>IF('MIDWEEK DASHBOARD'!$B$4="Area",IF(972&lt;=$N$3,IF(AND(OR('MIDWEEK DASHBOARD'!$C$4="",ISNUMBER(SEARCH('MIDWEEK DASHBOARD'!$C$4,INDEX(MASTER_AREAS!$B:$B,973))))),972,""),""),IF('MIDWEEK DASHBOARD'!$B$4="Zone",IF(972&lt;=$N$4,IF(OR('MIDWEEK DASHBOARD'!$C$4="",ISNUMBER(SEARCH('MIDWEEK DASHBOARD'!$C$4,INDEX(MASTER_ZONES!$B:$B,973)))),972,""),""),""))</f>
        <v/>
      </c>
      <c r="P973">
        <f>IF('CHOP DASHBOARD'!$B$4="Area",IF(972&lt;=$S$3,IF(AND(OR('CHOP DASHBOARD'!$C$4="",ISNUMBER(SEARCH('CHOP DASHBOARD'!$C$4,INDEX(MASTER_AREAS!$B:$B,973))))),972,""),""),IF('CHOP DASHBOARD'!$B$4="Zone",IF(972&lt;=$S$4,IF(OR('CHOP DASHBOARD'!$C$4="",ISNUMBER(SEARCH('CHOP DASHBOARD'!$C$4,INDEX(MASTER_ZONES!$B:$B,973)))),972,""),""),""))</f>
        <v/>
      </c>
      <c r="U973">
        <f>IF('COMMUNITY CHURCH DASHBOARD'!$B$4="Area",IF(972&lt;=$X$3,IF(AND(OR('COMMUNITY CHURCH DASHBOARD'!$C$4="",ISNUMBER(SEARCH('COMMUNITY CHURCH DASHBOARD'!$C$4,INDEX(MASTER_AREAS!$B:$B,973))))),972,""),""),IF('COMMUNITY CHURCH DASHBOARD'!$B$4="Zone",IF(972&lt;=$X$4,IF(OR('COMMUNITY CHURCH DASHBOARD'!$C$4="",ISNUMBER(SEARCH('COMMUNITY CHURCH DASHBOARD'!$C$4,INDEX(MASTER_ZONES!$B:$B,973)))),972,""),""),""))</f>
        <v/>
      </c>
    </row>
    <row r="974">
      <c r="A974">
        <f>IF('WSF DASHBOARD'!$B$4="Area",IF(973&lt;=$D$3,IF(AND(OR('WSF DASHBOARD'!$C$4="",ISNUMBER(SEARCH('WSF DASHBOARD'!$C$4,INDEX(MASTER_AREAS!$B:$B,974))))),973,""),""),IF('WSF DASHBOARD'!$B$4="Zone",IF(973&lt;=$D$4,IF(OR('WSF DASHBOARD'!$C$4="",ISNUMBER(SEARCH('WSF DASHBOARD'!$C$4,INDEX(MASTER_ZONES!$B:$B,974)))),973,""),""),""))</f>
        <v/>
      </c>
      <c r="F974">
        <f>IF('TRANSPORT DASHBOARD'!$B$4="Area",IF(973&lt;=$I$3,IF(AND(INDEX(MASTER_AREAS!$F:$F,974)&lt;&gt;"N",OR('TRANSPORT DASHBOARD'!$C$4="",ISNUMBER(SEARCH('TRANSPORT DASHBOARD'!$C$4,INDEX(MASTER_AREAS!$B:$B,974))))),973,""),""),IF('TRANSPORT DASHBOARD'!$B$4="Zone",IF(973&lt;=$I$4,IF(OR('TRANSPORT DASHBOARD'!$C$4="",ISNUMBER(SEARCH('TRANSPORT DASHBOARD'!$C$4,INDEX(MASTER_ZONES!$B:$B,974)))),973,""),""),""))</f>
        <v/>
      </c>
      <c r="K974">
        <f>IF('MIDWEEK DASHBOARD'!$B$4="Area",IF(973&lt;=$N$3,IF(AND(OR('MIDWEEK DASHBOARD'!$C$4="",ISNUMBER(SEARCH('MIDWEEK DASHBOARD'!$C$4,INDEX(MASTER_AREAS!$B:$B,974))))),973,""),""),IF('MIDWEEK DASHBOARD'!$B$4="Zone",IF(973&lt;=$N$4,IF(OR('MIDWEEK DASHBOARD'!$C$4="",ISNUMBER(SEARCH('MIDWEEK DASHBOARD'!$C$4,INDEX(MASTER_ZONES!$B:$B,974)))),973,""),""),""))</f>
        <v/>
      </c>
      <c r="P974">
        <f>IF('CHOP DASHBOARD'!$B$4="Area",IF(973&lt;=$S$3,IF(AND(OR('CHOP DASHBOARD'!$C$4="",ISNUMBER(SEARCH('CHOP DASHBOARD'!$C$4,INDEX(MASTER_AREAS!$B:$B,974))))),973,""),""),IF('CHOP DASHBOARD'!$B$4="Zone",IF(973&lt;=$S$4,IF(OR('CHOP DASHBOARD'!$C$4="",ISNUMBER(SEARCH('CHOP DASHBOARD'!$C$4,INDEX(MASTER_ZONES!$B:$B,974)))),973,""),""),""))</f>
        <v/>
      </c>
      <c r="U974">
        <f>IF('COMMUNITY CHURCH DASHBOARD'!$B$4="Area",IF(973&lt;=$X$3,IF(AND(OR('COMMUNITY CHURCH DASHBOARD'!$C$4="",ISNUMBER(SEARCH('COMMUNITY CHURCH DASHBOARD'!$C$4,INDEX(MASTER_AREAS!$B:$B,974))))),973,""),""),IF('COMMUNITY CHURCH DASHBOARD'!$B$4="Zone",IF(973&lt;=$X$4,IF(OR('COMMUNITY CHURCH DASHBOARD'!$C$4="",ISNUMBER(SEARCH('COMMUNITY CHURCH DASHBOARD'!$C$4,INDEX(MASTER_ZONES!$B:$B,974)))),973,""),""),""))</f>
        <v/>
      </c>
    </row>
    <row r="975">
      <c r="A975">
        <f>IF('WSF DASHBOARD'!$B$4="Area",IF(974&lt;=$D$3,IF(AND(OR('WSF DASHBOARD'!$C$4="",ISNUMBER(SEARCH('WSF DASHBOARD'!$C$4,INDEX(MASTER_AREAS!$B:$B,975))))),974,""),""),IF('WSF DASHBOARD'!$B$4="Zone",IF(974&lt;=$D$4,IF(OR('WSF DASHBOARD'!$C$4="",ISNUMBER(SEARCH('WSF DASHBOARD'!$C$4,INDEX(MASTER_ZONES!$B:$B,975)))),974,""),""),""))</f>
        <v/>
      </c>
      <c r="F975">
        <f>IF('TRANSPORT DASHBOARD'!$B$4="Area",IF(974&lt;=$I$3,IF(AND(INDEX(MASTER_AREAS!$F:$F,975)&lt;&gt;"N",OR('TRANSPORT DASHBOARD'!$C$4="",ISNUMBER(SEARCH('TRANSPORT DASHBOARD'!$C$4,INDEX(MASTER_AREAS!$B:$B,975))))),974,""),""),IF('TRANSPORT DASHBOARD'!$B$4="Zone",IF(974&lt;=$I$4,IF(OR('TRANSPORT DASHBOARD'!$C$4="",ISNUMBER(SEARCH('TRANSPORT DASHBOARD'!$C$4,INDEX(MASTER_ZONES!$B:$B,975)))),974,""),""),""))</f>
        <v/>
      </c>
      <c r="K975">
        <f>IF('MIDWEEK DASHBOARD'!$B$4="Area",IF(974&lt;=$N$3,IF(AND(OR('MIDWEEK DASHBOARD'!$C$4="",ISNUMBER(SEARCH('MIDWEEK DASHBOARD'!$C$4,INDEX(MASTER_AREAS!$B:$B,975))))),974,""),""),IF('MIDWEEK DASHBOARD'!$B$4="Zone",IF(974&lt;=$N$4,IF(OR('MIDWEEK DASHBOARD'!$C$4="",ISNUMBER(SEARCH('MIDWEEK DASHBOARD'!$C$4,INDEX(MASTER_ZONES!$B:$B,975)))),974,""),""),""))</f>
        <v/>
      </c>
      <c r="P975">
        <f>IF('CHOP DASHBOARD'!$B$4="Area",IF(974&lt;=$S$3,IF(AND(OR('CHOP DASHBOARD'!$C$4="",ISNUMBER(SEARCH('CHOP DASHBOARD'!$C$4,INDEX(MASTER_AREAS!$B:$B,975))))),974,""),""),IF('CHOP DASHBOARD'!$B$4="Zone",IF(974&lt;=$S$4,IF(OR('CHOP DASHBOARD'!$C$4="",ISNUMBER(SEARCH('CHOP DASHBOARD'!$C$4,INDEX(MASTER_ZONES!$B:$B,975)))),974,""),""),""))</f>
        <v/>
      </c>
      <c r="U975">
        <f>IF('COMMUNITY CHURCH DASHBOARD'!$B$4="Area",IF(974&lt;=$X$3,IF(AND(OR('COMMUNITY CHURCH DASHBOARD'!$C$4="",ISNUMBER(SEARCH('COMMUNITY CHURCH DASHBOARD'!$C$4,INDEX(MASTER_AREAS!$B:$B,975))))),974,""),""),IF('COMMUNITY CHURCH DASHBOARD'!$B$4="Zone",IF(974&lt;=$X$4,IF(OR('COMMUNITY CHURCH DASHBOARD'!$C$4="",ISNUMBER(SEARCH('COMMUNITY CHURCH DASHBOARD'!$C$4,INDEX(MASTER_ZONES!$B:$B,975)))),974,""),""),""))</f>
        <v/>
      </c>
    </row>
    <row r="976">
      <c r="A976">
        <f>IF('WSF DASHBOARD'!$B$4="Area",IF(975&lt;=$D$3,IF(AND(OR('WSF DASHBOARD'!$C$4="",ISNUMBER(SEARCH('WSF DASHBOARD'!$C$4,INDEX(MASTER_AREAS!$B:$B,976))))),975,""),""),IF('WSF DASHBOARD'!$B$4="Zone",IF(975&lt;=$D$4,IF(OR('WSF DASHBOARD'!$C$4="",ISNUMBER(SEARCH('WSF DASHBOARD'!$C$4,INDEX(MASTER_ZONES!$B:$B,976)))),975,""),""),""))</f>
        <v/>
      </c>
      <c r="F976">
        <f>IF('TRANSPORT DASHBOARD'!$B$4="Area",IF(975&lt;=$I$3,IF(AND(INDEX(MASTER_AREAS!$F:$F,976)&lt;&gt;"N",OR('TRANSPORT DASHBOARD'!$C$4="",ISNUMBER(SEARCH('TRANSPORT DASHBOARD'!$C$4,INDEX(MASTER_AREAS!$B:$B,976))))),975,""),""),IF('TRANSPORT DASHBOARD'!$B$4="Zone",IF(975&lt;=$I$4,IF(OR('TRANSPORT DASHBOARD'!$C$4="",ISNUMBER(SEARCH('TRANSPORT DASHBOARD'!$C$4,INDEX(MASTER_ZONES!$B:$B,976)))),975,""),""),""))</f>
        <v/>
      </c>
      <c r="K976">
        <f>IF('MIDWEEK DASHBOARD'!$B$4="Area",IF(975&lt;=$N$3,IF(AND(OR('MIDWEEK DASHBOARD'!$C$4="",ISNUMBER(SEARCH('MIDWEEK DASHBOARD'!$C$4,INDEX(MASTER_AREAS!$B:$B,976))))),975,""),""),IF('MIDWEEK DASHBOARD'!$B$4="Zone",IF(975&lt;=$N$4,IF(OR('MIDWEEK DASHBOARD'!$C$4="",ISNUMBER(SEARCH('MIDWEEK DASHBOARD'!$C$4,INDEX(MASTER_ZONES!$B:$B,976)))),975,""),""),""))</f>
        <v/>
      </c>
      <c r="P976">
        <f>IF('CHOP DASHBOARD'!$B$4="Area",IF(975&lt;=$S$3,IF(AND(OR('CHOP DASHBOARD'!$C$4="",ISNUMBER(SEARCH('CHOP DASHBOARD'!$C$4,INDEX(MASTER_AREAS!$B:$B,976))))),975,""),""),IF('CHOP DASHBOARD'!$B$4="Zone",IF(975&lt;=$S$4,IF(OR('CHOP DASHBOARD'!$C$4="",ISNUMBER(SEARCH('CHOP DASHBOARD'!$C$4,INDEX(MASTER_ZONES!$B:$B,976)))),975,""),""),""))</f>
        <v/>
      </c>
      <c r="U976">
        <f>IF('COMMUNITY CHURCH DASHBOARD'!$B$4="Area",IF(975&lt;=$X$3,IF(AND(OR('COMMUNITY CHURCH DASHBOARD'!$C$4="",ISNUMBER(SEARCH('COMMUNITY CHURCH DASHBOARD'!$C$4,INDEX(MASTER_AREAS!$B:$B,976))))),975,""),""),IF('COMMUNITY CHURCH DASHBOARD'!$B$4="Zone",IF(975&lt;=$X$4,IF(OR('COMMUNITY CHURCH DASHBOARD'!$C$4="",ISNUMBER(SEARCH('COMMUNITY CHURCH DASHBOARD'!$C$4,INDEX(MASTER_ZONES!$B:$B,976)))),975,""),""),""))</f>
        <v/>
      </c>
    </row>
    <row r="977">
      <c r="A977">
        <f>IF('WSF DASHBOARD'!$B$4="Area",IF(976&lt;=$D$3,IF(AND(OR('WSF DASHBOARD'!$C$4="",ISNUMBER(SEARCH('WSF DASHBOARD'!$C$4,INDEX(MASTER_AREAS!$B:$B,977))))),976,""),""),IF('WSF DASHBOARD'!$B$4="Zone",IF(976&lt;=$D$4,IF(OR('WSF DASHBOARD'!$C$4="",ISNUMBER(SEARCH('WSF DASHBOARD'!$C$4,INDEX(MASTER_ZONES!$B:$B,977)))),976,""),""),""))</f>
        <v/>
      </c>
      <c r="F977">
        <f>IF('TRANSPORT DASHBOARD'!$B$4="Area",IF(976&lt;=$I$3,IF(AND(INDEX(MASTER_AREAS!$F:$F,977)&lt;&gt;"N",OR('TRANSPORT DASHBOARD'!$C$4="",ISNUMBER(SEARCH('TRANSPORT DASHBOARD'!$C$4,INDEX(MASTER_AREAS!$B:$B,977))))),976,""),""),IF('TRANSPORT DASHBOARD'!$B$4="Zone",IF(976&lt;=$I$4,IF(OR('TRANSPORT DASHBOARD'!$C$4="",ISNUMBER(SEARCH('TRANSPORT DASHBOARD'!$C$4,INDEX(MASTER_ZONES!$B:$B,977)))),976,""),""),""))</f>
        <v/>
      </c>
      <c r="K977">
        <f>IF('MIDWEEK DASHBOARD'!$B$4="Area",IF(976&lt;=$N$3,IF(AND(OR('MIDWEEK DASHBOARD'!$C$4="",ISNUMBER(SEARCH('MIDWEEK DASHBOARD'!$C$4,INDEX(MASTER_AREAS!$B:$B,977))))),976,""),""),IF('MIDWEEK DASHBOARD'!$B$4="Zone",IF(976&lt;=$N$4,IF(OR('MIDWEEK DASHBOARD'!$C$4="",ISNUMBER(SEARCH('MIDWEEK DASHBOARD'!$C$4,INDEX(MASTER_ZONES!$B:$B,977)))),976,""),""),""))</f>
        <v/>
      </c>
      <c r="P977">
        <f>IF('CHOP DASHBOARD'!$B$4="Area",IF(976&lt;=$S$3,IF(AND(OR('CHOP DASHBOARD'!$C$4="",ISNUMBER(SEARCH('CHOP DASHBOARD'!$C$4,INDEX(MASTER_AREAS!$B:$B,977))))),976,""),""),IF('CHOP DASHBOARD'!$B$4="Zone",IF(976&lt;=$S$4,IF(OR('CHOP DASHBOARD'!$C$4="",ISNUMBER(SEARCH('CHOP DASHBOARD'!$C$4,INDEX(MASTER_ZONES!$B:$B,977)))),976,""),""),""))</f>
        <v/>
      </c>
      <c r="U977">
        <f>IF('COMMUNITY CHURCH DASHBOARD'!$B$4="Area",IF(976&lt;=$X$3,IF(AND(OR('COMMUNITY CHURCH DASHBOARD'!$C$4="",ISNUMBER(SEARCH('COMMUNITY CHURCH DASHBOARD'!$C$4,INDEX(MASTER_AREAS!$B:$B,977))))),976,""),""),IF('COMMUNITY CHURCH DASHBOARD'!$B$4="Zone",IF(976&lt;=$X$4,IF(OR('COMMUNITY CHURCH DASHBOARD'!$C$4="",ISNUMBER(SEARCH('COMMUNITY CHURCH DASHBOARD'!$C$4,INDEX(MASTER_ZONES!$B:$B,977)))),976,""),""),""))</f>
        <v/>
      </c>
    </row>
    <row r="978">
      <c r="A978">
        <f>IF('WSF DASHBOARD'!$B$4="Area",IF(977&lt;=$D$3,IF(AND(OR('WSF DASHBOARD'!$C$4="",ISNUMBER(SEARCH('WSF DASHBOARD'!$C$4,INDEX(MASTER_AREAS!$B:$B,978))))),977,""),""),IF('WSF DASHBOARD'!$B$4="Zone",IF(977&lt;=$D$4,IF(OR('WSF DASHBOARD'!$C$4="",ISNUMBER(SEARCH('WSF DASHBOARD'!$C$4,INDEX(MASTER_ZONES!$B:$B,978)))),977,""),""),""))</f>
        <v/>
      </c>
      <c r="F978">
        <f>IF('TRANSPORT DASHBOARD'!$B$4="Area",IF(977&lt;=$I$3,IF(AND(INDEX(MASTER_AREAS!$F:$F,978)&lt;&gt;"N",OR('TRANSPORT DASHBOARD'!$C$4="",ISNUMBER(SEARCH('TRANSPORT DASHBOARD'!$C$4,INDEX(MASTER_AREAS!$B:$B,978))))),977,""),""),IF('TRANSPORT DASHBOARD'!$B$4="Zone",IF(977&lt;=$I$4,IF(OR('TRANSPORT DASHBOARD'!$C$4="",ISNUMBER(SEARCH('TRANSPORT DASHBOARD'!$C$4,INDEX(MASTER_ZONES!$B:$B,978)))),977,""),""),""))</f>
        <v/>
      </c>
      <c r="K978">
        <f>IF('MIDWEEK DASHBOARD'!$B$4="Area",IF(977&lt;=$N$3,IF(AND(OR('MIDWEEK DASHBOARD'!$C$4="",ISNUMBER(SEARCH('MIDWEEK DASHBOARD'!$C$4,INDEX(MASTER_AREAS!$B:$B,978))))),977,""),""),IF('MIDWEEK DASHBOARD'!$B$4="Zone",IF(977&lt;=$N$4,IF(OR('MIDWEEK DASHBOARD'!$C$4="",ISNUMBER(SEARCH('MIDWEEK DASHBOARD'!$C$4,INDEX(MASTER_ZONES!$B:$B,978)))),977,""),""),""))</f>
        <v/>
      </c>
      <c r="P978">
        <f>IF('CHOP DASHBOARD'!$B$4="Area",IF(977&lt;=$S$3,IF(AND(OR('CHOP DASHBOARD'!$C$4="",ISNUMBER(SEARCH('CHOP DASHBOARD'!$C$4,INDEX(MASTER_AREAS!$B:$B,978))))),977,""),""),IF('CHOP DASHBOARD'!$B$4="Zone",IF(977&lt;=$S$4,IF(OR('CHOP DASHBOARD'!$C$4="",ISNUMBER(SEARCH('CHOP DASHBOARD'!$C$4,INDEX(MASTER_ZONES!$B:$B,978)))),977,""),""),""))</f>
        <v/>
      </c>
      <c r="U978">
        <f>IF('COMMUNITY CHURCH DASHBOARD'!$B$4="Area",IF(977&lt;=$X$3,IF(AND(OR('COMMUNITY CHURCH DASHBOARD'!$C$4="",ISNUMBER(SEARCH('COMMUNITY CHURCH DASHBOARD'!$C$4,INDEX(MASTER_AREAS!$B:$B,978))))),977,""),""),IF('COMMUNITY CHURCH DASHBOARD'!$B$4="Zone",IF(977&lt;=$X$4,IF(OR('COMMUNITY CHURCH DASHBOARD'!$C$4="",ISNUMBER(SEARCH('COMMUNITY CHURCH DASHBOARD'!$C$4,INDEX(MASTER_ZONES!$B:$B,978)))),977,""),""),""))</f>
        <v/>
      </c>
    </row>
    <row r="979">
      <c r="A979">
        <f>IF('WSF DASHBOARD'!$B$4="Area",IF(978&lt;=$D$3,IF(AND(OR('WSF DASHBOARD'!$C$4="",ISNUMBER(SEARCH('WSF DASHBOARD'!$C$4,INDEX(MASTER_AREAS!$B:$B,979))))),978,""),""),IF('WSF DASHBOARD'!$B$4="Zone",IF(978&lt;=$D$4,IF(OR('WSF DASHBOARD'!$C$4="",ISNUMBER(SEARCH('WSF DASHBOARD'!$C$4,INDEX(MASTER_ZONES!$B:$B,979)))),978,""),""),""))</f>
        <v/>
      </c>
      <c r="F979">
        <f>IF('TRANSPORT DASHBOARD'!$B$4="Area",IF(978&lt;=$I$3,IF(AND(INDEX(MASTER_AREAS!$F:$F,979)&lt;&gt;"N",OR('TRANSPORT DASHBOARD'!$C$4="",ISNUMBER(SEARCH('TRANSPORT DASHBOARD'!$C$4,INDEX(MASTER_AREAS!$B:$B,979))))),978,""),""),IF('TRANSPORT DASHBOARD'!$B$4="Zone",IF(978&lt;=$I$4,IF(OR('TRANSPORT DASHBOARD'!$C$4="",ISNUMBER(SEARCH('TRANSPORT DASHBOARD'!$C$4,INDEX(MASTER_ZONES!$B:$B,979)))),978,""),""),""))</f>
        <v/>
      </c>
      <c r="K979">
        <f>IF('MIDWEEK DASHBOARD'!$B$4="Area",IF(978&lt;=$N$3,IF(AND(OR('MIDWEEK DASHBOARD'!$C$4="",ISNUMBER(SEARCH('MIDWEEK DASHBOARD'!$C$4,INDEX(MASTER_AREAS!$B:$B,979))))),978,""),""),IF('MIDWEEK DASHBOARD'!$B$4="Zone",IF(978&lt;=$N$4,IF(OR('MIDWEEK DASHBOARD'!$C$4="",ISNUMBER(SEARCH('MIDWEEK DASHBOARD'!$C$4,INDEX(MASTER_ZONES!$B:$B,979)))),978,""),""),""))</f>
        <v/>
      </c>
      <c r="P979">
        <f>IF('CHOP DASHBOARD'!$B$4="Area",IF(978&lt;=$S$3,IF(AND(OR('CHOP DASHBOARD'!$C$4="",ISNUMBER(SEARCH('CHOP DASHBOARD'!$C$4,INDEX(MASTER_AREAS!$B:$B,979))))),978,""),""),IF('CHOP DASHBOARD'!$B$4="Zone",IF(978&lt;=$S$4,IF(OR('CHOP DASHBOARD'!$C$4="",ISNUMBER(SEARCH('CHOP DASHBOARD'!$C$4,INDEX(MASTER_ZONES!$B:$B,979)))),978,""),""),""))</f>
        <v/>
      </c>
      <c r="U979">
        <f>IF('COMMUNITY CHURCH DASHBOARD'!$B$4="Area",IF(978&lt;=$X$3,IF(AND(OR('COMMUNITY CHURCH DASHBOARD'!$C$4="",ISNUMBER(SEARCH('COMMUNITY CHURCH DASHBOARD'!$C$4,INDEX(MASTER_AREAS!$B:$B,979))))),978,""),""),IF('COMMUNITY CHURCH DASHBOARD'!$B$4="Zone",IF(978&lt;=$X$4,IF(OR('COMMUNITY CHURCH DASHBOARD'!$C$4="",ISNUMBER(SEARCH('COMMUNITY CHURCH DASHBOARD'!$C$4,INDEX(MASTER_ZONES!$B:$B,979)))),978,""),""),""))</f>
        <v/>
      </c>
    </row>
    <row r="980">
      <c r="A980">
        <f>IF('WSF DASHBOARD'!$B$4="Area",IF(979&lt;=$D$3,IF(AND(OR('WSF DASHBOARD'!$C$4="",ISNUMBER(SEARCH('WSF DASHBOARD'!$C$4,INDEX(MASTER_AREAS!$B:$B,980))))),979,""),""),IF('WSF DASHBOARD'!$B$4="Zone",IF(979&lt;=$D$4,IF(OR('WSF DASHBOARD'!$C$4="",ISNUMBER(SEARCH('WSF DASHBOARD'!$C$4,INDEX(MASTER_ZONES!$B:$B,980)))),979,""),""),""))</f>
        <v/>
      </c>
      <c r="F980">
        <f>IF('TRANSPORT DASHBOARD'!$B$4="Area",IF(979&lt;=$I$3,IF(AND(INDEX(MASTER_AREAS!$F:$F,980)&lt;&gt;"N",OR('TRANSPORT DASHBOARD'!$C$4="",ISNUMBER(SEARCH('TRANSPORT DASHBOARD'!$C$4,INDEX(MASTER_AREAS!$B:$B,980))))),979,""),""),IF('TRANSPORT DASHBOARD'!$B$4="Zone",IF(979&lt;=$I$4,IF(OR('TRANSPORT DASHBOARD'!$C$4="",ISNUMBER(SEARCH('TRANSPORT DASHBOARD'!$C$4,INDEX(MASTER_ZONES!$B:$B,980)))),979,""),""),""))</f>
        <v/>
      </c>
      <c r="K980">
        <f>IF('MIDWEEK DASHBOARD'!$B$4="Area",IF(979&lt;=$N$3,IF(AND(OR('MIDWEEK DASHBOARD'!$C$4="",ISNUMBER(SEARCH('MIDWEEK DASHBOARD'!$C$4,INDEX(MASTER_AREAS!$B:$B,980))))),979,""),""),IF('MIDWEEK DASHBOARD'!$B$4="Zone",IF(979&lt;=$N$4,IF(OR('MIDWEEK DASHBOARD'!$C$4="",ISNUMBER(SEARCH('MIDWEEK DASHBOARD'!$C$4,INDEX(MASTER_ZONES!$B:$B,980)))),979,""),""),""))</f>
        <v/>
      </c>
      <c r="P980">
        <f>IF('CHOP DASHBOARD'!$B$4="Area",IF(979&lt;=$S$3,IF(AND(OR('CHOP DASHBOARD'!$C$4="",ISNUMBER(SEARCH('CHOP DASHBOARD'!$C$4,INDEX(MASTER_AREAS!$B:$B,980))))),979,""),""),IF('CHOP DASHBOARD'!$B$4="Zone",IF(979&lt;=$S$4,IF(OR('CHOP DASHBOARD'!$C$4="",ISNUMBER(SEARCH('CHOP DASHBOARD'!$C$4,INDEX(MASTER_ZONES!$B:$B,980)))),979,""),""),""))</f>
        <v/>
      </c>
      <c r="U980">
        <f>IF('COMMUNITY CHURCH DASHBOARD'!$B$4="Area",IF(979&lt;=$X$3,IF(AND(OR('COMMUNITY CHURCH DASHBOARD'!$C$4="",ISNUMBER(SEARCH('COMMUNITY CHURCH DASHBOARD'!$C$4,INDEX(MASTER_AREAS!$B:$B,980))))),979,""),""),IF('COMMUNITY CHURCH DASHBOARD'!$B$4="Zone",IF(979&lt;=$X$4,IF(OR('COMMUNITY CHURCH DASHBOARD'!$C$4="",ISNUMBER(SEARCH('COMMUNITY CHURCH DASHBOARD'!$C$4,INDEX(MASTER_ZONES!$B:$B,980)))),979,""),""),""))</f>
        <v/>
      </c>
    </row>
    <row r="981">
      <c r="A981">
        <f>IF('WSF DASHBOARD'!$B$4="Area",IF(980&lt;=$D$3,IF(AND(OR('WSF DASHBOARD'!$C$4="",ISNUMBER(SEARCH('WSF DASHBOARD'!$C$4,INDEX(MASTER_AREAS!$B:$B,981))))),980,""),""),IF('WSF DASHBOARD'!$B$4="Zone",IF(980&lt;=$D$4,IF(OR('WSF DASHBOARD'!$C$4="",ISNUMBER(SEARCH('WSF DASHBOARD'!$C$4,INDEX(MASTER_ZONES!$B:$B,981)))),980,""),""),""))</f>
        <v/>
      </c>
      <c r="F981">
        <f>IF('TRANSPORT DASHBOARD'!$B$4="Area",IF(980&lt;=$I$3,IF(AND(INDEX(MASTER_AREAS!$F:$F,981)&lt;&gt;"N",OR('TRANSPORT DASHBOARD'!$C$4="",ISNUMBER(SEARCH('TRANSPORT DASHBOARD'!$C$4,INDEX(MASTER_AREAS!$B:$B,981))))),980,""),""),IF('TRANSPORT DASHBOARD'!$B$4="Zone",IF(980&lt;=$I$4,IF(OR('TRANSPORT DASHBOARD'!$C$4="",ISNUMBER(SEARCH('TRANSPORT DASHBOARD'!$C$4,INDEX(MASTER_ZONES!$B:$B,981)))),980,""),""),""))</f>
        <v/>
      </c>
      <c r="K981">
        <f>IF('MIDWEEK DASHBOARD'!$B$4="Area",IF(980&lt;=$N$3,IF(AND(OR('MIDWEEK DASHBOARD'!$C$4="",ISNUMBER(SEARCH('MIDWEEK DASHBOARD'!$C$4,INDEX(MASTER_AREAS!$B:$B,981))))),980,""),""),IF('MIDWEEK DASHBOARD'!$B$4="Zone",IF(980&lt;=$N$4,IF(OR('MIDWEEK DASHBOARD'!$C$4="",ISNUMBER(SEARCH('MIDWEEK DASHBOARD'!$C$4,INDEX(MASTER_ZONES!$B:$B,981)))),980,""),""),""))</f>
        <v/>
      </c>
      <c r="P981">
        <f>IF('CHOP DASHBOARD'!$B$4="Area",IF(980&lt;=$S$3,IF(AND(OR('CHOP DASHBOARD'!$C$4="",ISNUMBER(SEARCH('CHOP DASHBOARD'!$C$4,INDEX(MASTER_AREAS!$B:$B,981))))),980,""),""),IF('CHOP DASHBOARD'!$B$4="Zone",IF(980&lt;=$S$4,IF(OR('CHOP DASHBOARD'!$C$4="",ISNUMBER(SEARCH('CHOP DASHBOARD'!$C$4,INDEX(MASTER_ZONES!$B:$B,981)))),980,""),""),""))</f>
        <v/>
      </c>
      <c r="U981">
        <f>IF('COMMUNITY CHURCH DASHBOARD'!$B$4="Area",IF(980&lt;=$X$3,IF(AND(OR('COMMUNITY CHURCH DASHBOARD'!$C$4="",ISNUMBER(SEARCH('COMMUNITY CHURCH DASHBOARD'!$C$4,INDEX(MASTER_AREAS!$B:$B,981))))),980,""),""),IF('COMMUNITY CHURCH DASHBOARD'!$B$4="Zone",IF(980&lt;=$X$4,IF(OR('COMMUNITY CHURCH DASHBOARD'!$C$4="",ISNUMBER(SEARCH('COMMUNITY CHURCH DASHBOARD'!$C$4,INDEX(MASTER_ZONES!$B:$B,981)))),980,""),""),""))</f>
        <v/>
      </c>
    </row>
    <row r="982">
      <c r="A982">
        <f>IF('WSF DASHBOARD'!$B$4="Area",IF(981&lt;=$D$3,IF(AND(OR('WSF DASHBOARD'!$C$4="",ISNUMBER(SEARCH('WSF DASHBOARD'!$C$4,INDEX(MASTER_AREAS!$B:$B,982))))),981,""),""),IF('WSF DASHBOARD'!$B$4="Zone",IF(981&lt;=$D$4,IF(OR('WSF DASHBOARD'!$C$4="",ISNUMBER(SEARCH('WSF DASHBOARD'!$C$4,INDEX(MASTER_ZONES!$B:$B,982)))),981,""),""),""))</f>
        <v/>
      </c>
      <c r="F982">
        <f>IF('TRANSPORT DASHBOARD'!$B$4="Area",IF(981&lt;=$I$3,IF(AND(INDEX(MASTER_AREAS!$F:$F,982)&lt;&gt;"N",OR('TRANSPORT DASHBOARD'!$C$4="",ISNUMBER(SEARCH('TRANSPORT DASHBOARD'!$C$4,INDEX(MASTER_AREAS!$B:$B,982))))),981,""),""),IF('TRANSPORT DASHBOARD'!$B$4="Zone",IF(981&lt;=$I$4,IF(OR('TRANSPORT DASHBOARD'!$C$4="",ISNUMBER(SEARCH('TRANSPORT DASHBOARD'!$C$4,INDEX(MASTER_ZONES!$B:$B,982)))),981,""),""),""))</f>
        <v/>
      </c>
      <c r="K982">
        <f>IF('MIDWEEK DASHBOARD'!$B$4="Area",IF(981&lt;=$N$3,IF(AND(OR('MIDWEEK DASHBOARD'!$C$4="",ISNUMBER(SEARCH('MIDWEEK DASHBOARD'!$C$4,INDEX(MASTER_AREAS!$B:$B,982))))),981,""),""),IF('MIDWEEK DASHBOARD'!$B$4="Zone",IF(981&lt;=$N$4,IF(OR('MIDWEEK DASHBOARD'!$C$4="",ISNUMBER(SEARCH('MIDWEEK DASHBOARD'!$C$4,INDEX(MASTER_ZONES!$B:$B,982)))),981,""),""),""))</f>
        <v/>
      </c>
      <c r="P982">
        <f>IF('CHOP DASHBOARD'!$B$4="Area",IF(981&lt;=$S$3,IF(AND(OR('CHOP DASHBOARD'!$C$4="",ISNUMBER(SEARCH('CHOP DASHBOARD'!$C$4,INDEX(MASTER_AREAS!$B:$B,982))))),981,""),""),IF('CHOP DASHBOARD'!$B$4="Zone",IF(981&lt;=$S$4,IF(OR('CHOP DASHBOARD'!$C$4="",ISNUMBER(SEARCH('CHOP DASHBOARD'!$C$4,INDEX(MASTER_ZONES!$B:$B,982)))),981,""),""),""))</f>
        <v/>
      </c>
      <c r="U982">
        <f>IF('COMMUNITY CHURCH DASHBOARD'!$B$4="Area",IF(981&lt;=$X$3,IF(AND(OR('COMMUNITY CHURCH DASHBOARD'!$C$4="",ISNUMBER(SEARCH('COMMUNITY CHURCH DASHBOARD'!$C$4,INDEX(MASTER_AREAS!$B:$B,982))))),981,""),""),IF('COMMUNITY CHURCH DASHBOARD'!$B$4="Zone",IF(981&lt;=$X$4,IF(OR('COMMUNITY CHURCH DASHBOARD'!$C$4="",ISNUMBER(SEARCH('COMMUNITY CHURCH DASHBOARD'!$C$4,INDEX(MASTER_ZONES!$B:$B,982)))),981,""),""),""))</f>
        <v/>
      </c>
    </row>
    <row r="983">
      <c r="A983">
        <f>IF('WSF DASHBOARD'!$B$4="Area",IF(982&lt;=$D$3,IF(AND(OR('WSF DASHBOARD'!$C$4="",ISNUMBER(SEARCH('WSF DASHBOARD'!$C$4,INDEX(MASTER_AREAS!$B:$B,983))))),982,""),""),IF('WSF DASHBOARD'!$B$4="Zone",IF(982&lt;=$D$4,IF(OR('WSF DASHBOARD'!$C$4="",ISNUMBER(SEARCH('WSF DASHBOARD'!$C$4,INDEX(MASTER_ZONES!$B:$B,983)))),982,""),""),""))</f>
        <v/>
      </c>
      <c r="F983">
        <f>IF('TRANSPORT DASHBOARD'!$B$4="Area",IF(982&lt;=$I$3,IF(AND(INDEX(MASTER_AREAS!$F:$F,983)&lt;&gt;"N",OR('TRANSPORT DASHBOARD'!$C$4="",ISNUMBER(SEARCH('TRANSPORT DASHBOARD'!$C$4,INDEX(MASTER_AREAS!$B:$B,983))))),982,""),""),IF('TRANSPORT DASHBOARD'!$B$4="Zone",IF(982&lt;=$I$4,IF(OR('TRANSPORT DASHBOARD'!$C$4="",ISNUMBER(SEARCH('TRANSPORT DASHBOARD'!$C$4,INDEX(MASTER_ZONES!$B:$B,983)))),982,""),""),""))</f>
        <v/>
      </c>
      <c r="K983">
        <f>IF('MIDWEEK DASHBOARD'!$B$4="Area",IF(982&lt;=$N$3,IF(AND(OR('MIDWEEK DASHBOARD'!$C$4="",ISNUMBER(SEARCH('MIDWEEK DASHBOARD'!$C$4,INDEX(MASTER_AREAS!$B:$B,983))))),982,""),""),IF('MIDWEEK DASHBOARD'!$B$4="Zone",IF(982&lt;=$N$4,IF(OR('MIDWEEK DASHBOARD'!$C$4="",ISNUMBER(SEARCH('MIDWEEK DASHBOARD'!$C$4,INDEX(MASTER_ZONES!$B:$B,983)))),982,""),""),""))</f>
        <v/>
      </c>
      <c r="P983">
        <f>IF('CHOP DASHBOARD'!$B$4="Area",IF(982&lt;=$S$3,IF(AND(OR('CHOP DASHBOARD'!$C$4="",ISNUMBER(SEARCH('CHOP DASHBOARD'!$C$4,INDEX(MASTER_AREAS!$B:$B,983))))),982,""),""),IF('CHOP DASHBOARD'!$B$4="Zone",IF(982&lt;=$S$4,IF(OR('CHOP DASHBOARD'!$C$4="",ISNUMBER(SEARCH('CHOP DASHBOARD'!$C$4,INDEX(MASTER_ZONES!$B:$B,983)))),982,""),""),""))</f>
        <v/>
      </c>
      <c r="U983">
        <f>IF('COMMUNITY CHURCH DASHBOARD'!$B$4="Area",IF(982&lt;=$X$3,IF(AND(OR('COMMUNITY CHURCH DASHBOARD'!$C$4="",ISNUMBER(SEARCH('COMMUNITY CHURCH DASHBOARD'!$C$4,INDEX(MASTER_AREAS!$B:$B,983))))),982,""),""),IF('COMMUNITY CHURCH DASHBOARD'!$B$4="Zone",IF(982&lt;=$X$4,IF(OR('COMMUNITY CHURCH DASHBOARD'!$C$4="",ISNUMBER(SEARCH('COMMUNITY CHURCH DASHBOARD'!$C$4,INDEX(MASTER_ZONES!$B:$B,983)))),982,""),""),""))</f>
        <v/>
      </c>
    </row>
    <row r="984">
      <c r="A984">
        <f>IF('WSF DASHBOARD'!$B$4="Area",IF(983&lt;=$D$3,IF(AND(OR('WSF DASHBOARD'!$C$4="",ISNUMBER(SEARCH('WSF DASHBOARD'!$C$4,INDEX(MASTER_AREAS!$B:$B,984))))),983,""),""),IF('WSF DASHBOARD'!$B$4="Zone",IF(983&lt;=$D$4,IF(OR('WSF DASHBOARD'!$C$4="",ISNUMBER(SEARCH('WSF DASHBOARD'!$C$4,INDEX(MASTER_ZONES!$B:$B,984)))),983,""),""),""))</f>
        <v/>
      </c>
      <c r="F984">
        <f>IF('TRANSPORT DASHBOARD'!$B$4="Area",IF(983&lt;=$I$3,IF(AND(INDEX(MASTER_AREAS!$F:$F,984)&lt;&gt;"N",OR('TRANSPORT DASHBOARD'!$C$4="",ISNUMBER(SEARCH('TRANSPORT DASHBOARD'!$C$4,INDEX(MASTER_AREAS!$B:$B,984))))),983,""),""),IF('TRANSPORT DASHBOARD'!$B$4="Zone",IF(983&lt;=$I$4,IF(OR('TRANSPORT DASHBOARD'!$C$4="",ISNUMBER(SEARCH('TRANSPORT DASHBOARD'!$C$4,INDEX(MASTER_ZONES!$B:$B,984)))),983,""),""),""))</f>
        <v/>
      </c>
      <c r="K984">
        <f>IF('MIDWEEK DASHBOARD'!$B$4="Area",IF(983&lt;=$N$3,IF(AND(OR('MIDWEEK DASHBOARD'!$C$4="",ISNUMBER(SEARCH('MIDWEEK DASHBOARD'!$C$4,INDEX(MASTER_AREAS!$B:$B,984))))),983,""),""),IF('MIDWEEK DASHBOARD'!$B$4="Zone",IF(983&lt;=$N$4,IF(OR('MIDWEEK DASHBOARD'!$C$4="",ISNUMBER(SEARCH('MIDWEEK DASHBOARD'!$C$4,INDEX(MASTER_ZONES!$B:$B,984)))),983,""),""),""))</f>
        <v/>
      </c>
      <c r="P984">
        <f>IF('CHOP DASHBOARD'!$B$4="Area",IF(983&lt;=$S$3,IF(AND(OR('CHOP DASHBOARD'!$C$4="",ISNUMBER(SEARCH('CHOP DASHBOARD'!$C$4,INDEX(MASTER_AREAS!$B:$B,984))))),983,""),""),IF('CHOP DASHBOARD'!$B$4="Zone",IF(983&lt;=$S$4,IF(OR('CHOP DASHBOARD'!$C$4="",ISNUMBER(SEARCH('CHOP DASHBOARD'!$C$4,INDEX(MASTER_ZONES!$B:$B,984)))),983,""),""),""))</f>
        <v/>
      </c>
      <c r="U984">
        <f>IF('COMMUNITY CHURCH DASHBOARD'!$B$4="Area",IF(983&lt;=$X$3,IF(AND(OR('COMMUNITY CHURCH DASHBOARD'!$C$4="",ISNUMBER(SEARCH('COMMUNITY CHURCH DASHBOARD'!$C$4,INDEX(MASTER_AREAS!$B:$B,984))))),983,""),""),IF('COMMUNITY CHURCH DASHBOARD'!$B$4="Zone",IF(983&lt;=$X$4,IF(OR('COMMUNITY CHURCH DASHBOARD'!$C$4="",ISNUMBER(SEARCH('COMMUNITY CHURCH DASHBOARD'!$C$4,INDEX(MASTER_ZONES!$B:$B,984)))),983,""),""),""))</f>
        <v/>
      </c>
    </row>
    <row r="985">
      <c r="A985">
        <f>IF('WSF DASHBOARD'!$B$4="Area",IF(984&lt;=$D$3,IF(AND(OR('WSF DASHBOARD'!$C$4="",ISNUMBER(SEARCH('WSF DASHBOARD'!$C$4,INDEX(MASTER_AREAS!$B:$B,985))))),984,""),""),IF('WSF DASHBOARD'!$B$4="Zone",IF(984&lt;=$D$4,IF(OR('WSF DASHBOARD'!$C$4="",ISNUMBER(SEARCH('WSF DASHBOARD'!$C$4,INDEX(MASTER_ZONES!$B:$B,985)))),984,""),""),""))</f>
        <v/>
      </c>
      <c r="F985">
        <f>IF('TRANSPORT DASHBOARD'!$B$4="Area",IF(984&lt;=$I$3,IF(AND(INDEX(MASTER_AREAS!$F:$F,985)&lt;&gt;"N",OR('TRANSPORT DASHBOARD'!$C$4="",ISNUMBER(SEARCH('TRANSPORT DASHBOARD'!$C$4,INDEX(MASTER_AREAS!$B:$B,985))))),984,""),""),IF('TRANSPORT DASHBOARD'!$B$4="Zone",IF(984&lt;=$I$4,IF(OR('TRANSPORT DASHBOARD'!$C$4="",ISNUMBER(SEARCH('TRANSPORT DASHBOARD'!$C$4,INDEX(MASTER_ZONES!$B:$B,985)))),984,""),""),""))</f>
        <v/>
      </c>
      <c r="K985">
        <f>IF('MIDWEEK DASHBOARD'!$B$4="Area",IF(984&lt;=$N$3,IF(AND(OR('MIDWEEK DASHBOARD'!$C$4="",ISNUMBER(SEARCH('MIDWEEK DASHBOARD'!$C$4,INDEX(MASTER_AREAS!$B:$B,985))))),984,""),""),IF('MIDWEEK DASHBOARD'!$B$4="Zone",IF(984&lt;=$N$4,IF(OR('MIDWEEK DASHBOARD'!$C$4="",ISNUMBER(SEARCH('MIDWEEK DASHBOARD'!$C$4,INDEX(MASTER_ZONES!$B:$B,985)))),984,""),""),""))</f>
        <v/>
      </c>
      <c r="P985">
        <f>IF('CHOP DASHBOARD'!$B$4="Area",IF(984&lt;=$S$3,IF(AND(OR('CHOP DASHBOARD'!$C$4="",ISNUMBER(SEARCH('CHOP DASHBOARD'!$C$4,INDEX(MASTER_AREAS!$B:$B,985))))),984,""),""),IF('CHOP DASHBOARD'!$B$4="Zone",IF(984&lt;=$S$4,IF(OR('CHOP DASHBOARD'!$C$4="",ISNUMBER(SEARCH('CHOP DASHBOARD'!$C$4,INDEX(MASTER_ZONES!$B:$B,985)))),984,""),""),""))</f>
        <v/>
      </c>
      <c r="U985">
        <f>IF('COMMUNITY CHURCH DASHBOARD'!$B$4="Area",IF(984&lt;=$X$3,IF(AND(OR('COMMUNITY CHURCH DASHBOARD'!$C$4="",ISNUMBER(SEARCH('COMMUNITY CHURCH DASHBOARD'!$C$4,INDEX(MASTER_AREAS!$B:$B,985))))),984,""),""),IF('COMMUNITY CHURCH DASHBOARD'!$B$4="Zone",IF(984&lt;=$X$4,IF(OR('COMMUNITY CHURCH DASHBOARD'!$C$4="",ISNUMBER(SEARCH('COMMUNITY CHURCH DASHBOARD'!$C$4,INDEX(MASTER_ZONES!$B:$B,985)))),984,""),""),""))</f>
        <v/>
      </c>
    </row>
    <row r="986">
      <c r="A986">
        <f>IF('WSF DASHBOARD'!$B$4="Area",IF(985&lt;=$D$3,IF(AND(OR('WSF DASHBOARD'!$C$4="",ISNUMBER(SEARCH('WSF DASHBOARD'!$C$4,INDEX(MASTER_AREAS!$B:$B,986))))),985,""),""),IF('WSF DASHBOARD'!$B$4="Zone",IF(985&lt;=$D$4,IF(OR('WSF DASHBOARD'!$C$4="",ISNUMBER(SEARCH('WSF DASHBOARD'!$C$4,INDEX(MASTER_ZONES!$B:$B,986)))),985,""),""),""))</f>
        <v/>
      </c>
      <c r="F986">
        <f>IF('TRANSPORT DASHBOARD'!$B$4="Area",IF(985&lt;=$I$3,IF(AND(INDEX(MASTER_AREAS!$F:$F,986)&lt;&gt;"N",OR('TRANSPORT DASHBOARD'!$C$4="",ISNUMBER(SEARCH('TRANSPORT DASHBOARD'!$C$4,INDEX(MASTER_AREAS!$B:$B,986))))),985,""),""),IF('TRANSPORT DASHBOARD'!$B$4="Zone",IF(985&lt;=$I$4,IF(OR('TRANSPORT DASHBOARD'!$C$4="",ISNUMBER(SEARCH('TRANSPORT DASHBOARD'!$C$4,INDEX(MASTER_ZONES!$B:$B,986)))),985,""),""),""))</f>
        <v/>
      </c>
      <c r="K986">
        <f>IF('MIDWEEK DASHBOARD'!$B$4="Area",IF(985&lt;=$N$3,IF(AND(OR('MIDWEEK DASHBOARD'!$C$4="",ISNUMBER(SEARCH('MIDWEEK DASHBOARD'!$C$4,INDEX(MASTER_AREAS!$B:$B,986))))),985,""),""),IF('MIDWEEK DASHBOARD'!$B$4="Zone",IF(985&lt;=$N$4,IF(OR('MIDWEEK DASHBOARD'!$C$4="",ISNUMBER(SEARCH('MIDWEEK DASHBOARD'!$C$4,INDEX(MASTER_ZONES!$B:$B,986)))),985,""),""),""))</f>
        <v/>
      </c>
      <c r="P986">
        <f>IF('CHOP DASHBOARD'!$B$4="Area",IF(985&lt;=$S$3,IF(AND(OR('CHOP DASHBOARD'!$C$4="",ISNUMBER(SEARCH('CHOP DASHBOARD'!$C$4,INDEX(MASTER_AREAS!$B:$B,986))))),985,""),""),IF('CHOP DASHBOARD'!$B$4="Zone",IF(985&lt;=$S$4,IF(OR('CHOP DASHBOARD'!$C$4="",ISNUMBER(SEARCH('CHOP DASHBOARD'!$C$4,INDEX(MASTER_ZONES!$B:$B,986)))),985,""),""),""))</f>
        <v/>
      </c>
      <c r="U986">
        <f>IF('COMMUNITY CHURCH DASHBOARD'!$B$4="Area",IF(985&lt;=$X$3,IF(AND(OR('COMMUNITY CHURCH DASHBOARD'!$C$4="",ISNUMBER(SEARCH('COMMUNITY CHURCH DASHBOARD'!$C$4,INDEX(MASTER_AREAS!$B:$B,986))))),985,""),""),IF('COMMUNITY CHURCH DASHBOARD'!$B$4="Zone",IF(985&lt;=$X$4,IF(OR('COMMUNITY CHURCH DASHBOARD'!$C$4="",ISNUMBER(SEARCH('COMMUNITY CHURCH DASHBOARD'!$C$4,INDEX(MASTER_ZONES!$B:$B,986)))),985,""),""),""))</f>
        <v/>
      </c>
    </row>
    <row r="987">
      <c r="A987">
        <f>IF('WSF DASHBOARD'!$B$4="Area",IF(986&lt;=$D$3,IF(AND(OR('WSF DASHBOARD'!$C$4="",ISNUMBER(SEARCH('WSF DASHBOARD'!$C$4,INDEX(MASTER_AREAS!$B:$B,987))))),986,""),""),IF('WSF DASHBOARD'!$B$4="Zone",IF(986&lt;=$D$4,IF(OR('WSF DASHBOARD'!$C$4="",ISNUMBER(SEARCH('WSF DASHBOARD'!$C$4,INDEX(MASTER_ZONES!$B:$B,987)))),986,""),""),""))</f>
        <v/>
      </c>
      <c r="F987">
        <f>IF('TRANSPORT DASHBOARD'!$B$4="Area",IF(986&lt;=$I$3,IF(AND(INDEX(MASTER_AREAS!$F:$F,987)&lt;&gt;"N",OR('TRANSPORT DASHBOARD'!$C$4="",ISNUMBER(SEARCH('TRANSPORT DASHBOARD'!$C$4,INDEX(MASTER_AREAS!$B:$B,987))))),986,""),""),IF('TRANSPORT DASHBOARD'!$B$4="Zone",IF(986&lt;=$I$4,IF(OR('TRANSPORT DASHBOARD'!$C$4="",ISNUMBER(SEARCH('TRANSPORT DASHBOARD'!$C$4,INDEX(MASTER_ZONES!$B:$B,987)))),986,""),""),""))</f>
        <v/>
      </c>
      <c r="K987">
        <f>IF('MIDWEEK DASHBOARD'!$B$4="Area",IF(986&lt;=$N$3,IF(AND(OR('MIDWEEK DASHBOARD'!$C$4="",ISNUMBER(SEARCH('MIDWEEK DASHBOARD'!$C$4,INDEX(MASTER_AREAS!$B:$B,987))))),986,""),""),IF('MIDWEEK DASHBOARD'!$B$4="Zone",IF(986&lt;=$N$4,IF(OR('MIDWEEK DASHBOARD'!$C$4="",ISNUMBER(SEARCH('MIDWEEK DASHBOARD'!$C$4,INDEX(MASTER_ZONES!$B:$B,987)))),986,""),""),""))</f>
        <v/>
      </c>
      <c r="P987">
        <f>IF('CHOP DASHBOARD'!$B$4="Area",IF(986&lt;=$S$3,IF(AND(OR('CHOP DASHBOARD'!$C$4="",ISNUMBER(SEARCH('CHOP DASHBOARD'!$C$4,INDEX(MASTER_AREAS!$B:$B,987))))),986,""),""),IF('CHOP DASHBOARD'!$B$4="Zone",IF(986&lt;=$S$4,IF(OR('CHOP DASHBOARD'!$C$4="",ISNUMBER(SEARCH('CHOP DASHBOARD'!$C$4,INDEX(MASTER_ZONES!$B:$B,987)))),986,""),""),""))</f>
        <v/>
      </c>
      <c r="U987">
        <f>IF('COMMUNITY CHURCH DASHBOARD'!$B$4="Area",IF(986&lt;=$X$3,IF(AND(OR('COMMUNITY CHURCH DASHBOARD'!$C$4="",ISNUMBER(SEARCH('COMMUNITY CHURCH DASHBOARD'!$C$4,INDEX(MASTER_AREAS!$B:$B,987))))),986,""),""),IF('COMMUNITY CHURCH DASHBOARD'!$B$4="Zone",IF(986&lt;=$X$4,IF(OR('COMMUNITY CHURCH DASHBOARD'!$C$4="",ISNUMBER(SEARCH('COMMUNITY CHURCH DASHBOARD'!$C$4,INDEX(MASTER_ZONES!$B:$B,987)))),986,""),""),""))</f>
        <v/>
      </c>
    </row>
    <row r="988">
      <c r="A988">
        <f>IF('WSF DASHBOARD'!$B$4="Area",IF(987&lt;=$D$3,IF(AND(OR('WSF DASHBOARD'!$C$4="",ISNUMBER(SEARCH('WSF DASHBOARD'!$C$4,INDEX(MASTER_AREAS!$B:$B,988))))),987,""),""),IF('WSF DASHBOARD'!$B$4="Zone",IF(987&lt;=$D$4,IF(OR('WSF DASHBOARD'!$C$4="",ISNUMBER(SEARCH('WSF DASHBOARD'!$C$4,INDEX(MASTER_ZONES!$B:$B,988)))),987,""),""),""))</f>
        <v/>
      </c>
      <c r="F988">
        <f>IF('TRANSPORT DASHBOARD'!$B$4="Area",IF(987&lt;=$I$3,IF(AND(INDEX(MASTER_AREAS!$F:$F,988)&lt;&gt;"N",OR('TRANSPORT DASHBOARD'!$C$4="",ISNUMBER(SEARCH('TRANSPORT DASHBOARD'!$C$4,INDEX(MASTER_AREAS!$B:$B,988))))),987,""),""),IF('TRANSPORT DASHBOARD'!$B$4="Zone",IF(987&lt;=$I$4,IF(OR('TRANSPORT DASHBOARD'!$C$4="",ISNUMBER(SEARCH('TRANSPORT DASHBOARD'!$C$4,INDEX(MASTER_ZONES!$B:$B,988)))),987,""),""),""))</f>
        <v/>
      </c>
      <c r="K988">
        <f>IF('MIDWEEK DASHBOARD'!$B$4="Area",IF(987&lt;=$N$3,IF(AND(OR('MIDWEEK DASHBOARD'!$C$4="",ISNUMBER(SEARCH('MIDWEEK DASHBOARD'!$C$4,INDEX(MASTER_AREAS!$B:$B,988))))),987,""),""),IF('MIDWEEK DASHBOARD'!$B$4="Zone",IF(987&lt;=$N$4,IF(OR('MIDWEEK DASHBOARD'!$C$4="",ISNUMBER(SEARCH('MIDWEEK DASHBOARD'!$C$4,INDEX(MASTER_ZONES!$B:$B,988)))),987,""),""),""))</f>
        <v/>
      </c>
      <c r="P988">
        <f>IF('CHOP DASHBOARD'!$B$4="Area",IF(987&lt;=$S$3,IF(AND(OR('CHOP DASHBOARD'!$C$4="",ISNUMBER(SEARCH('CHOP DASHBOARD'!$C$4,INDEX(MASTER_AREAS!$B:$B,988))))),987,""),""),IF('CHOP DASHBOARD'!$B$4="Zone",IF(987&lt;=$S$4,IF(OR('CHOP DASHBOARD'!$C$4="",ISNUMBER(SEARCH('CHOP DASHBOARD'!$C$4,INDEX(MASTER_ZONES!$B:$B,988)))),987,""),""),""))</f>
        <v/>
      </c>
      <c r="U988">
        <f>IF('COMMUNITY CHURCH DASHBOARD'!$B$4="Area",IF(987&lt;=$X$3,IF(AND(OR('COMMUNITY CHURCH DASHBOARD'!$C$4="",ISNUMBER(SEARCH('COMMUNITY CHURCH DASHBOARD'!$C$4,INDEX(MASTER_AREAS!$B:$B,988))))),987,""),""),IF('COMMUNITY CHURCH DASHBOARD'!$B$4="Zone",IF(987&lt;=$X$4,IF(OR('COMMUNITY CHURCH DASHBOARD'!$C$4="",ISNUMBER(SEARCH('COMMUNITY CHURCH DASHBOARD'!$C$4,INDEX(MASTER_ZONES!$B:$B,988)))),987,""),""),""))</f>
        <v/>
      </c>
    </row>
    <row r="989">
      <c r="A989">
        <f>IF('WSF DASHBOARD'!$B$4="Area",IF(988&lt;=$D$3,IF(AND(OR('WSF DASHBOARD'!$C$4="",ISNUMBER(SEARCH('WSF DASHBOARD'!$C$4,INDEX(MASTER_AREAS!$B:$B,989))))),988,""),""),IF('WSF DASHBOARD'!$B$4="Zone",IF(988&lt;=$D$4,IF(OR('WSF DASHBOARD'!$C$4="",ISNUMBER(SEARCH('WSF DASHBOARD'!$C$4,INDEX(MASTER_ZONES!$B:$B,989)))),988,""),""),""))</f>
        <v/>
      </c>
      <c r="F989">
        <f>IF('TRANSPORT DASHBOARD'!$B$4="Area",IF(988&lt;=$I$3,IF(AND(INDEX(MASTER_AREAS!$F:$F,989)&lt;&gt;"N",OR('TRANSPORT DASHBOARD'!$C$4="",ISNUMBER(SEARCH('TRANSPORT DASHBOARD'!$C$4,INDEX(MASTER_AREAS!$B:$B,989))))),988,""),""),IF('TRANSPORT DASHBOARD'!$B$4="Zone",IF(988&lt;=$I$4,IF(OR('TRANSPORT DASHBOARD'!$C$4="",ISNUMBER(SEARCH('TRANSPORT DASHBOARD'!$C$4,INDEX(MASTER_ZONES!$B:$B,989)))),988,""),""),""))</f>
        <v/>
      </c>
      <c r="K989">
        <f>IF('MIDWEEK DASHBOARD'!$B$4="Area",IF(988&lt;=$N$3,IF(AND(OR('MIDWEEK DASHBOARD'!$C$4="",ISNUMBER(SEARCH('MIDWEEK DASHBOARD'!$C$4,INDEX(MASTER_AREAS!$B:$B,989))))),988,""),""),IF('MIDWEEK DASHBOARD'!$B$4="Zone",IF(988&lt;=$N$4,IF(OR('MIDWEEK DASHBOARD'!$C$4="",ISNUMBER(SEARCH('MIDWEEK DASHBOARD'!$C$4,INDEX(MASTER_ZONES!$B:$B,989)))),988,""),""),""))</f>
        <v/>
      </c>
      <c r="P989">
        <f>IF('CHOP DASHBOARD'!$B$4="Area",IF(988&lt;=$S$3,IF(AND(OR('CHOP DASHBOARD'!$C$4="",ISNUMBER(SEARCH('CHOP DASHBOARD'!$C$4,INDEX(MASTER_AREAS!$B:$B,989))))),988,""),""),IF('CHOP DASHBOARD'!$B$4="Zone",IF(988&lt;=$S$4,IF(OR('CHOP DASHBOARD'!$C$4="",ISNUMBER(SEARCH('CHOP DASHBOARD'!$C$4,INDEX(MASTER_ZONES!$B:$B,989)))),988,""),""),""))</f>
        <v/>
      </c>
      <c r="U989">
        <f>IF('COMMUNITY CHURCH DASHBOARD'!$B$4="Area",IF(988&lt;=$X$3,IF(AND(OR('COMMUNITY CHURCH DASHBOARD'!$C$4="",ISNUMBER(SEARCH('COMMUNITY CHURCH DASHBOARD'!$C$4,INDEX(MASTER_AREAS!$B:$B,989))))),988,""),""),IF('COMMUNITY CHURCH DASHBOARD'!$B$4="Zone",IF(988&lt;=$X$4,IF(OR('COMMUNITY CHURCH DASHBOARD'!$C$4="",ISNUMBER(SEARCH('COMMUNITY CHURCH DASHBOARD'!$C$4,INDEX(MASTER_ZONES!$B:$B,989)))),988,""),""),""))</f>
        <v/>
      </c>
    </row>
    <row r="990">
      <c r="A990">
        <f>IF('WSF DASHBOARD'!$B$4="Area",IF(989&lt;=$D$3,IF(AND(OR('WSF DASHBOARD'!$C$4="",ISNUMBER(SEARCH('WSF DASHBOARD'!$C$4,INDEX(MASTER_AREAS!$B:$B,990))))),989,""),""),IF('WSF DASHBOARD'!$B$4="Zone",IF(989&lt;=$D$4,IF(OR('WSF DASHBOARD'!$C$4="",ISNUMBER(SEARCH('WSF DASHBOARD'!$C$4,INDEX(MASTER_ZONES!$B:$B,990)))),989,""),""),""))</f>
        <v/>
      </c>
      <c r="F990">
        <f>IF('TRANSPORT DASHBOARD'!$B$4="Area",IF(989&lt;=$I$3,IF(AND(INDEX(MASTER_AREAS!$F:$F,990)&lt;&gt;"N",OR('TRANSPORT DASHBOARD'!$C$4="",ISNUMBER(SEARCH('TRANSPORT DASHBOARD'!$C$4,INDEX(MASTER_AREAS!$B:$B,990))))),989,""),""),IF('TRANSPORT DASHBOARD'!$B$4="Zone",IF(989&lt;=$I$4,IF(OR('TRANSPORT DASHBOARD'!$C$4="",ISNUMBER(SEARCH('TRANSPORT DASHBOARD'!$C$4,INDEX(MASTER_ZONES!$B:$B,990)))),989,""),""),""))</f>
        <v/>
      </c>
      <c r="K990">
        <f>IF('MIDWEEK DASHBOARD'!$B$4="Area",IF(989&lt;=$N$3,IF(AND(OR('MIDWEEK DASHBOARD'!$C$4="",ISNUMBER(SEARCH('MIDWEEK DASHBOARD'!$C$4,INDEX(MASTER_AREAS!$B:$B,990))))),989,""),""),IF('MIDWEEK DASHBOARD'!$B$4="Zone",IF(989&lt;=$N$4,IF(OR('MIDWEEK DASHBOARD'!$C$4="",ISNUMBER(SEARCH('MIDWEEK DASHBOARD'!$C$4,INDEX(MASTER_ZONES!$B:$B,990)))),989,""),""),""))</f>
        <v/>
      </c>
      <c r="P990">
        <f>IF('CHOP DASHBOARD'!$B$4="Area",IF(989&lt;=$S$3,IF(AND(OR('CHOP DASHBOARD'!$C$4="",ISNUMBER(SEARCH('CHOP DASHBOARD'!$C$4,INDEX(MASTER_AREAS!$B:$B,990))))),989,""),""),IF('CHOP DASHBOARD'!$B$4="Zone",IF(989&lt;=$S$4,IF(OR('CHOP DASHBOARD'!$C$4="",ISNUMBER(SEARCH('CHOP DASHBOARD'!$C$4,INDEX(MASTER_ZONES!$B:$B,990)))),989,""),""),""))</f>
        <v/>
      </c>
      <c r="U990">
        <f>IF('COMMUNITY CHURCH DASHBOARD'!$B$4="Area",IF(989&lt;=$X$3,IF(AND(OR('COMMUNITY CHURCH DASHBOARD'!$C$4="",ISNUMBER(SEARCH('COMMUNITY CHURCH DASHBOARD'!$C$4,INDEX(MASTER_AREAS!$B:$B,990))))),989,""),""),IF('COMMUNITY CHURCH DASHBOARD'!$B$4="Zone",IF(989&lt;=$X$4,IF(OR('COMMUNITY CHURCH DASHBOARD'!$C$4="",ISNUMBER(SEARCH('COMMUNITY CHURCH DASHBOARD'!$C$4,INDEX(MASTER_ZONES!$B:$B,990)))),989,""),""),""))</f>
        <v/>
      </c>
    </row>
    <row r="991">
      <c r="A991">
        <f>IF('WSF DASHBOARD'!$B$4="Area",IF(990&lt;=$D$3,IF(AND(OR('WSF DASHBOARD'!$C$4="",ISNUMBER(SEARCH('WSF DASHBOARD'!$C$4,INDEX(MASTER_AREAS!$B:$B,991))))),990,""),""),IF('WSF DASHBOARD'!$B$4="Zone",IF(990&lt;=$D$4,IF(OR('WSF DASHBOARD'!$C$4="",ISNUMBER(SEARCH('WSF DASHBOARD'!$C$4,INDEX(MASTER_ZONES!$B:$B,991)))),990,""),""),""))</f>
        <v/>
      </c>
      <c r="F991">
        <f>IF('TRANSPORT DASHBOARD'!$B$4="Area",IF(990&lt;=$I$3,IF(AND(INDEX(MASTER_AREAS!$F:$F,991)&lt;&gt;"N",OR('TRANSPORT DASHBOARD'!$C$4="",ISNUMBER(SEARCH('TRANSPORT DASHBOARD'!$C$4,INDEX(MASTER_AREAS!$B:$B,991))))),990,""),""),IF('TRANSPORT DASHBOARD'!$B$4="Zone",IF(990&lt;=$I$4,IF(OR('TRANSPORT DASHBOARD'!$C$4="",ISNUMBER(SEARCH('TRANSPORT DASHBOARD'!$C$4,INDEX(MASTER_ZONES!$B:$B,991)))),990,""),""),""))</f>
        <v/>
      </c>
      <c r="K991">
        <f>IF('MIDWEEK DASHBOARD'!$B$4="Area",IF(990&lt;=$N$3,IF(AND(OR('MIDWEEK DASHBOARD'!$C$4="",ISNUMBER(SEARCH('MIDWEEK DASHBOARD'!$C$4,INDEX(MASTER_AREAS!$B:$B,991))))),990,""),""),IF('MIDWEEK DASHBOARD'!$B$4="Zone",IF(990&lt;=$N$4,IF(OR('MIDWEEK DASHBOARD'!$C$4="",ISNUMBER(SEARCH('MIDWEEK DASHBOARD'!$C$4,INDEX(MASTER_ZONES!$B:$B,991)))),990,""),""),""))</f>
        <v/>
      </c>
      <c r="P991">
        <f>IF('CHOP DASHBOARD'!$B$4="Area",IF(990&lt;=$S$3,IF(AND(OR('CHOP DASHBOARD'!$C$4="",ISNUMBER(SEARCH('CHOP DASHBOARD'!$C$4,INDEX(MASTER_AREAS!$B:$B,991))))),990,""),""),IF('CHOP DASHBOARD'!$B$4="Zone",IF(990&lt;=$S$4,IF(OR('CHOP DASHBOARD'!$C$4="",ISNUMBER(SEARCH('CHOP DASHBOARD'!$C$4,INDEX(MASTER_ZONES!$B:$B,991)))),990,""),""),""))</f>
        <v/>
      </c>
      <c r="U991">
        <f>IF('COMMUNITY CHURCH DASHBOARD'!$B$4="Area",IF(990&lt;=$X$3,IF(AND(OR('COMMUNITY CHURCH DASHBOARD'!$C$4="",ISNUMBER(SEARCH('COMMUNITY CHURCH DASHBOARD'!$C$4,INDEX(MASTER_AREAS!$B:$B,991))))),990,""),""),IF('COMMUNITY CHURCH DASHBOARD'!$B$4="Zone",IF(990&lt;=$X$4,IF(OR('COMMUNITY CHURCH DASHBOARD'!$C$4="",ISNUMBER(SEARCH('COMMUNITY CHURCH DASHBOARD'!$C$4,INDEX(MASTER_ZONES!$B:$B,991)))),990,""),""),""))</f>
        <v/>
      </c>
    </row>
    <row r="992">
      <c r="A992">
        <f>IF('WSF DASHBOARD'!$B$4="Area",IF(991&lt;=$D$3,IF(AND(OR('WSF DASHBOARD'!$C$4="",ISNUMBER(SEARCH('WSF DASHBOARD'!$C$4,INDEX(MASTER_AREAS!$B:$B,992))))),991,""),""),IF('WSF DASHBOARD'!$B$4="Zone",IF(991&lt;=$D$4,IF(OR('WSF DASHBOARD'!$C$4="",ISNUMBER(SEARCH('WSF DASHBOARD'!$C$4,INDEX(MASTER_ZONES!$B:$B,992)))),991,""),""),""))</f>
        <v/>
      </c>
      <c r="F992">
        <f>IF('TRANSPORT DASHBOARD'!$B$4="Area",IF(991&lt;=$I$3,IF(AND(INDEX(MASTER_AREAS!$F:$F,992)&lt;&gt;"N",OR('TRANSPORT DASHBOARD'!$C$4="",ISNUMBER(SEARCH('TRANSPORT DASHBOARD'!$C$4,INDEX(MASTER_AREAS!$B:$B,992))))),991,""),""),IF('TRANSPORT DASHBOARD'!$B$4="Zone",IF(991&lt;=$I$4,IF(OR('TRANSPORT DASHBOARD'!$C$4="",ISNUMBER(SEARCH('TRANSPORT DASHBOARD'!$C$4,INDEX(MASTER_ZONES!$B:$B,992)))),991,""),""),""))</f>
        <v/>
      </c>
      <c r="K992">
        <f>IF('MIDWEEK DASHBOARD'!$B$4="Area",IF(991&lt;=$N$3,IF(AND(OR('MIDWEEK DASHBOARD'!$C$4="",ISNUMBER(SEARCH('MIDWEEK DASHBOARD'!$C$4,INDEX(MASTER_AREAS!$B:$B,992))))),991,""),""),IF('MIDWEEK DASHBOARD'!$B$4="Zone",IF(991&lt;=$N$4,IF(OR('MIDWEEK DASHBOARD'!$C$4="",ISNUMBER(SEARCH('MIDWEEK DASHBOARD'!$C$4,INDEX(MASTER_ZONES!$B:$B,992)))),991,""),""),""))</f>
        <v/>
      </c>
      <c r="P992">
        <f>IF('CHOP DASHBOARD'!$B$4="Area",IF(991&lt;=$S$3,IF(AND(OR('CHOP DASHBOARD'!$C$4="",ISNUMBER(SEARCH('CHOP DASHBOARD'!$C$4,INDEX(MASTER_AREAS!$B:$B,992))))),991,""),""),IF('CHOP DASHBOARD'!$B$4="Zone",IF(991&lt;=$S$4,IF(OR('CHOP DASHBOARD'!$C$4="",ISNUMBER(SEARCH('CHOP DASHBOARD'!$C$4,INDEX(MASTER_ZONES!$B:$B,992)))),991,""),""),""))</f>
        <v/>
      </c>
      <c r="U992">
        <f>IF('COMMUNITY CHURCH DASHBOARD'!$B$4="Area",IF(991&lt;=$X$3,IF(AND(OR('COMMUNITY CHURCH DASHBOARD'!$C$4="",ISNUMBER(SEARCH('COMMUNITY CHURCH DASHBOARD'!$C$4,INDEX(MASTER_AREAS!$B:$B,992))))),991,""),""),IF('COMMUNITY CHURCH DASHBOARD'!$B$4="Zone",IF(991&lt;=$X$4,IF(OR('COMMUNITY CHURCH DASHBOARD'!$C$4="",ISNUMBER(SEARCH('COMMUNITY CHURCH DASHBOARD'!$C$4,INDEX(MASTER_ZONES!$B:$B,992)))),991,""),""),""))</f>
        <v/>
      </c>
    </row>
    <row r="993">
      <c r="A993">
        <f>IF('WSF DASHBOARD'!$B$4="Area",IF(992&lt;=$D$3,IF(AND(OR('WSF DASHBOARD'!$C$4="",ISNUMBER(SEARCH('WSF DASHBOARD'!$C$4,INDEX(MASTER_AREAS!$B:$B,993))))),992,""),""),IF('WSF DASHBOARD'!$B$4="Zone",IF(992&lt;=$D$4,IF(OR('WSF DASHBOARD'!$C$4="",ISNUMBER(SEARCH('WSF DASHBOARD'!$C$4,INDEX(MASTER_ZONES!$B:$B,993)))),992,""),""),""))</f>
        <v/>
      </c>
      <c r="F993">
        <f>IF('TRANSPORT DASHBOARD'!$B$4="Area",IF(992&lt;=$I$3,IF(AND(INDEX(MASTER_AREAS!$F:$F,993)&lt;&gt;"N",OR('TRANSPORT DASHBOARD'!$C$4="",ISNUMBER(SEARCH('TRANSPORT DASHBOARD'!$C$4,INDEX(MASTER_AREAS!$B:$B,993))))),992,""),""),IF('TRANSPORT DASHBOARD'!$B$4="Zone",IF(992&lt;=$I$4,IF(OR('TRANSPORT DASHBOARD'!$C$4="",ISNUMBER(SEARCH('TRANSPORT DASHBOARD'!$C$4,INDEX(MASTER_ZONES!$B:$B,993)))),992,""),""),""))</f>
        <v/>
      </c>
      <c r="K993">
        <f>IF('MIDWEEK DASHBOARD'!$B$4="Area",IF(992&lt;=$N$3,IF(AND(OR('MIDWEEK DASHBOARD'!$C$4="",ISNUMBER(SEARCH('MIDWEEK DASHBOARD'!$C$4,INDEX(MASTER_AREAS!$B:$B,993))))),992,""),""),IF('MIDWEEK DASHBOARD'!$B$4="Zone",IF(992&lt;=$N$4,IF(OR('MIDWEEK DASHBOARD'!$C$4="",ISNUMBER(SEARCH('MIDWEEK DASHBOARD'!$C$4,INDEX(MASTER_ZONES!$B:$B,993)))),992,""),""),""))</f>
        <v/>
      </c>
      <c r="P993">
        <f>IF('CHOP DASHBOARD'!$B$4="Area",IF(992&lt;=$S$3,IF(AND(OR('CHOP DASHBOARD'!$C$4="",ISNUMBER(SEARCH('CHOP DASHBOARD'!$C$4,INDEX(MASTER_AREAS!$B:$B,993))))),992,""),""),IF('CHOP DASHBOARD'!$B$4="Zone",IF(992&lt;=$S$4,IF(OR('CHOP DASHBOARD'!$C$4="",ISNUMBER(SEARCH('CHOP DASHBOARD'!$C$4,INDEX(MASTER_ZONES!$B:$B,993)))),992,""),""),""))</f>
        <v/>
      </c>
      <c r="U993">
        <f>IF('COMMUNITY CHURCH DASHBOARD'!$B$4="Area",IF(992&lt;=$X$3,IF(AND(OR('COMMUNITY CHURCH DASHBOARD'!$C$4="",ISNUMBER(SEARCH('COMMUNITY CHURCH DASHBOARD'!$C$4,INDEX(MASTER_AREAS!$B:$B,993))))),992,""),""),IF('COMMUNITY CHURCH DASHBOARD'!$B$4="Zone",IF(992&lt;=$X$4,IF(OR('COMMUNITY CHURCH DASHBOARD'!$C$4="",ISNUMBER(SEARCH('COMMUNITY CHURCH DASHBOARD'!$C$4,INDEX(MASTER_ZONES!$B:$B,993)))),992,""),""),""))</f>
        <v/>
      </c>
    </row>
    <row r="994">
      <c r="A994">
        <f>IF('WSF DASHBOARD'!$B$4="Area",IF(993&lt;=$D$3,IF(AND(OR('WSF DASHBOARD'!$C$4="",ISNUMBER(SEARCH('WSF DASHBOARD'!$C$4,INDEX(MASTER_AREAS!$B:$B,994))))),993,""),""),IF('WSF DASHBOARD'!$B$4="Zone",IF(993&lt;=$D$4,IF(OR('WSF DASHBOARD'!$C$4="",ISNUMBER(SEARCH('WSF DASHBOARD'!$C$4,INDEX(MASTER_ZONES!$B:$B,994)))),993,""),""),""))</f>
        <v/>
      </c>
      <c r="F994">
        <f>IF('TRANSPORT DASHBOARD'!$B$4="Area",IF(993&lt;=$I$3,IF(AND(INDEX(MASTER_AREAS!$F:$F,994)&lt;&gt;"N",OR('TRANSPORT DASHBOARD'!$C$4="",ISNUMBER(SEARCH('TRANSPORT DASHBOARD'!$C$4,INDEX(MASTER_AREAS!$B:$B,994))))),993,""),""),IF('TRANSPORT DASHBOARD'!$B$4="Zone",IF(993&lt;=$I$4,IF(OR('TRANSPORT DASHBOARD'!$C$4="",ISNUMBER(SEARCH('TRANSPORT DASHBOARD'!$C$4,INDEX(MASTER_ZONES!$B:$B,994)))),993,""),""),""))</f>
        <v/>
      </c>
      <c r="K994">
        <f>IF('MIDWEEK DASHBOARD'!$B$4="Area",IF(993&lt;=$N$3,IF(AND(OR('MIDWEEK DASHBOARD'!$C$4="",ISNUMBER(SEARCH('MIDWEEK DASHBOARD'!$C$4,INDEX(MASTER_AREAS!$B:$B,994))))),993,""),""),IF('MIDWEEK DASHBOARD'!$B$4="Zone",IF(993&lt;=$N$4,IF(OR('MIDWEEK DASHBOARD'!$C$4="",ISNUMBER(SEARCH('MIDWEEK DASHBOARD'!$C$4,INDEX(MASTER_ZONES!$B:$B,994)))),993,""),""),""))</f>
        <v/>
      </c>
      <c r="P994">
        <f>IF('CHOP DASHBOARD'!$B$4="Area",IF(993&lt;=$S$3,IF(AND(OR('CHOP DASHBOARD'!$C$4="",ISNUMBER(SEARCH('CHOP DASHBOARD'!$C$4,INDEX(MASTER_AREAS!$B:$B,994))))),993,""),""),IF('CHOP DASHBOARD'!$B$4="Zone",IF(993&lt;=$S$4,IF(OR('CHOP DASHBOARD'!$C$4="",ISNUMBER(SEARCH('CHOP DASHBOARD'!$C$4,INDEX(MASTER_ZONES!$B:$B,994)))),993,""),""),""))</f>
        <v/>
      </c>
      <c r="U994">
        <f>IF('COMMUNITY CHURCH DASHBOARD'!$B$4="Area",IF(993&lt;=$X$3,IF(AND(OR('COMMUNITY CHURCH DASHBOARD'!$C$4="",ISNUMBER(SEARCH('COMMUNITY CHURCH DASHBOARD'!$C$4,INDEX(MASTER_AREAS!$B:$B,994))))),993,""),""),IF('COMMUNITY CHURCH DASHBOARD'!$B$4="Zone",IF(993&lt;=$X$4,IF(OR('COMMUNITY CHURCH DASHBOARD'!$C$4="",ISNUMBER(SEARCH('COMMUNITY CHURCH DASHBOARD'!$C$4,INDEX(MASTER_ZONES!$B:$B,994)))),993,""),""),""))</f>
        <v/>
      </c>
    </row>
    <row r="995">
      <c r="A995">
        <f>IF('WSF DASHBOARD'!$B$4="Area",IF(994&lt;=$D$3,IF(AND(OR('WSF DASHBOARD'!$C$4="",ISNUMBER(SEARCH('WSF DASHBOARD'!$C$4,INDEX(MASTER_AREAS!$B:$B,995))))),994,""),""),IF('WSF DASHBOARD'!$B$4="Zone",IF(994&lt;=$D$4,IF(OR('WSF DASHBOARD'!$C$4="",ISNUMBER(SEARCH('WSF DASHBOARD'!$C$4,INDEX(MASTER_ZONES!$B:$B,995)))),994,""),""),""))</f>
        <v/>
      </c>
      <c r="F995">
        <f>IF('TRANSPORT DASHBOARD'!$B$4="Area",IF(994&lt;=$I$3,IF(AND(INDEX(MASTER_AREAS!$F:$F,995)&lt;&gt;"N",OR('TRANSPORT DASHBOARD'!$C$4="",ISNUMBER(SEARCH('TRANSPORT DASHBOARD'!$C$4,INDEX(MASTER_AREAS!$B:$B,995))))),994,""),""),IF('TRANSPORT DASHBOARD'!$B$4="Zone",IF(994&lt;=$I$4,IF(OR('TRANSPORT DASHBOARD'!$C$4="",ISNUMBER(SEARCH('TRANSPORT DASHBOARD'!$C$4,INDEX(MASTER_ZONES!$B:$B,995)))),994,""),""),""))</f>
        <v/>
      </c>
      <c r="K995">
        <f>IF('MIDWEEK DASHBOARD'!$B$4="Area",IF(994&lt;=$N$3,IF(AND(OR('MIDWEEK DASHBOARD'!$C$4="",ISNUMBER(SEARCH('MIDWEEK DASHBOARD'!$C$4,INDEX(MASTER_AREAS!$B:$B,995))))),994,""),""),IF('MIDWEEK DASHBOARD'!$B$4="Zone",IF(994&lt;=$N$4,IF(OR('MIDWEEK DASHBOARD'!$C$4="",ISNUMBER(SEARCH('MIDWEEK DASHBOARD'!$C$4,INDEX(MASTER_ZONES!$B:$B,995)))),994,""),""),""))</f>
        <v/>
      </c>
      <c r="P995">
        <f>IF('CHOP DASHBOARD'!$B$4="Area",IF(994&lt;=$S$3,IF(AND(OR('CHOP DASHBOARD'!$C$4="",ISNUMBER(SEARCH('CHOP DASHBOARD'!$C$4,INDEX(MASTER_AREAS!$B:$B,995))))),994,""),""),IF('CHOP DASHBOARD'!$B$4="Zone",IF(994&lt;=$S$4,IF(OR('CHOP DASHBOARD'!$C$4="",ISNUMBER(SEARCH('CHOP DASHBOARD'!$C$4,INDEX(MASTER_ZONES!$B:$B,995)))),994,""),""),""))</f>
        <v/>
      </c>
      <c r="U995">
        <f>IF('COMMUNITY CHURCH DASHBOARD'!$B$4="Area",IF(994&lt;=$X$3,IF(AND(OR('COMMUNITY CHURCH DASHBOARD'!$C$4="",ISNUMBER(SEARCH('COMMUNITY CHURCH DASHBOARD'!$C$4,INDEX(MASTER_AREAS!$B:$B,995))))),994,""),""),IF('COMMUNITY CHURCH DASHBOARD'!$B$4="Zone",IF(994&lt;=$X$4,IF(OR('COMMUNITY CHURCH DASHBOARD'!$C$4="",ISNUMBER(SEARCH('COMMUNITY CHURCH DASHBOARD'!$C$4,INDEX(MASTER_ZONES!$B:$B,995)))),994,""),""),""))</f>
        <v/>
      </c>
    </row>
    <row r="996">
      <c r="A996">
        <f>IF('WSF DASHBOARD'!$B$4="Area",IF(995&lt;=$D$3,IF(AND(OR('WSF DASHBOARD'!$C$4="",ISNUMBER(SEARCH('WSF DASHBOARD'!$C$4,INDEX(MASTER_AREAS!$B:$B,996))))),995,""),""),IF('WSF DASHBOARD'!$B$4="Zone",IF(995&lt;=$D$4,IF(OR('WSF DASHBOARD'!$C$4="",ISNUMBER(SEARCH('WSF DASHBOARD'!$C$4,INDEX(MASTER_ZONES!$B:$B,996)))),995,""),""),""))</f>
        <v/>
      </c>
      <c r="F996">
        <f>IF('TRANSPORT DASHBOARD'!$B$4="Area",IF(995&lt;=$I$3,IF(AND(INDEX(MASTER_AREAS!$F:$F,996)&lt;&gt;"N",OR('TRANSPORT DASHBOARD'!$C$4="",ISNUMBER(SEARCH('TRANSPORT DASHBOARD'!$C$4,INDEX(MASTER_AREAS!$B:$B,996))))),995,""),""),IF('TRANSPORT DASHBOARD'!$B$4="Zone",IF(995&lt;=$I$4,IF(OR('TRANSPORT DASHBOARD'!$C$4="",ISNUMBER(SEARCH('TRANSPORT DASHBOARD'!$C$4,INDEX(MASTER_ZONES!$B:$B,996)))),995,""),""),""))</f>
        <v/>
      </c>
      <c r="K996">
        <f>IF('MIDWEEK DASHBOARD'!$B$4="Area",IF(995&lt;=$N$3,IF(AND(OR('MIDWEEK DASHBOARD'!$C$4="",ISNUMBER(SEARCH('MIDWEEK DASHBOARD'!$C$4,INDEX(MASTER_AREAS!$B:$B,996))))),995,""),""),IF('MIDWEEK DASHBOARD'!$B$4="Zone",IF(995&lt;=$N$4,IF(OR('MIDWEEK DASHBOARD'!$C$4="",ISNUMBER(SEARCH('MIDWEEK DASHBOARD'!$C$4,INDEX(MASTER_ZONES!$B:$B,996)))),995,""),""),""))</f>
        <v/>
      </c>
      <c r="P996">
        <f>IF('CHOP DASHBOARD'!$B$4="Area",IF(995&lt;=$S$3,IF(AND(OR('CHOP DASHBOARD'!$C$4="",ISNUMBER(SEARCH('CHOP DASHBOARD'!$C$4,INDEX(MASTER_AREAS!$B:$B,996))))),995,""),""),IF('CHOP DASHBOARD'!$B$4="Zone",IF(995&lt;=$S$4,IF(OR('CHOP DASHBOARD'!$C$4="",ISNUMBER(SEARCH('CHOP DASHBOARD'!$C$4,INDEX(MASTER_ZONES!$B:$B,996)))),995,""),""),""))</f>
        <v/>
      </c>
      <c r="U996">
        <f>IF('COMMUNITY CHURCH DASHBOARD'!$B$4="Area",IF(995&lt;=$X$3,IF(AND(OR('COMMUNITY CHURCH DASHBOARD'!$C$4="",ISNUMBER(SEARCH('COMMUNITY CHURCH DASHBOARD'!$C$4,INDEX(MASTER_AREAS!$B:$B,996))))),995,""),""),IF('COMMUNITY CHURCH DASHBOARD'!$B$4="Zone",IF(995&lt;=$X$4,IF(OR('COMMUNITY CHURCH DASHBOARD'!$C$4="",ISNUMBER(SEARCH('COMMUNITY CHURCH DASHBOARD'!$C$4,INDEX(MASTER_ZONES!$B:$B,996)))),995,""),""),""))</f>
        <v/>
      </c>
    </row>
    <row r="997">
      <c r="A997">
        <f>IF('WSF DASHBOARD'!$B$4="Area",IF(996&lt;=$D$3,IF(AND(OR('WSF DASHBOARD'!$C$4="",ISNUMBER(SEARCH('WSF DASHBOARD'!$C$4,INDEX(MASTER_AREAS!$B:$B,997))))),996,""),""),IF('WSF DASHBOARD'!$B$4="Zone",IF(996&lt;=$D$4,IF(OR('WSF DASHBOARD'!$C$4="",ISNUMBER(SEARCH('WSF DASHBOARD'!$C$4,INDEX(MASTER_ZONES!$B:$B,997)))),996,""),""),""))</f>
        <v/>
      </c>
      <c r="F997">
        <f>IF('TRANSPORT DASHBOARD'!$B$4="Area",IF(996&lt;=$I$3,IF(AND(INDEX(MASTER_AREAS!$F:$F,997)&lt;&gt;"N",OR('TRANSPORT DASHBOARD'!$C$4="",ISNUMBER(SEARCH('TRANSPORT DASHBOARD'!$C$4,INDEX(MASTER_AREAS!$B:$B,997))))),996,""),""),IF('TRANSPORT DASHBOARD'!$B$4="Zone",IF(996&lt;=$I$4,IF(OR('TRANSPORT DASHBOARD'!$C$4="",ISNUMBER(SEARCH('TRANSPORT DASHBOARD'!$C$4,INDEX(MASTER_ZONES!$B:$B,997)))),996,""),""),""))</f>
        <v/>
      </c>
      <c r="K997">
        <f>IF('MIDWEEK DASHBOARD'!$B$4="Area",IF(996&lt;=$N$3,IF(AND(OR('MIDWEEK DASHBOARD'!$C$4="",ISNUMBER(SEARCH('MIDWEEK DASHBOARD'!$C$4,INDEX(MASTER_AREAS!$B:$B,997))))),996,""),""),IF('MIDWEEK DASHBOARD'!$B$4="Zone",IF(996&lt;=$N$4,IF(OR('MIDWEEK DASHBOARD'!$C$4="",ISNUMBER(SEARCH('MIDWEEK DASHBOARD'!$C$4,INDEX(MASTER_ZONES!$B:$B,997)))),996,""),""),""))</f>
        <v/>
      </c>
      <c r="P997">
        <f>IF('CHOP DASHBOARD'!$B$4="Area",IF(996&lt;=$S$3,IF(AND(OR('CHOP DASHBOARD'!$C$4="",ISNUMBER(SEARCH('CHOP DASHBOARD'!$C$4,INDEX(MASTER_AREAS!$B:$B,997))))),996,""),""),IF('CHOP DASHBOARD'!$B$4="Zone",IF(996&lt;=$S$4,IF(OR('CHOP DASHBOARD'!$C$4="",ISNUMBER(SEARCH('CHOP DASHBOARD'!$C$4,INDEX(MASTER_ZONES!$B:$B,997)))),996,""),""),""))</f>
        <v/>
      </c>
      <c r="U997">
        <f>IF('COMMUNITY CHURCH DASHBOARD'!$B$4="Area",IF(996&lt;=$X$3,IF(AND(OR('COMMUNITY CHURCH DASHBOARD'!$C$4="",ISNUMBER(SEARCH('COMMUNITY CHURCH DASHBOARD'!$C$4,INDEX(MASTER_AREAS!$B:$B,997))))),996,""),""),IF('COMMUNITY CHURCH DASHBOARD'!$B$4="Zone",IF(996&lt;=$X$4,IF(OR('COMMUNITY CHURCH DASHBOARD'!$C$4="",ISNUMBER(SEARCH('COMMUNITY CHURCH DASHBOARD'!$C$4,INDEX(MASTER_ZONES!$B:$B,997)))),996,""),""),""))</f>
        <v/>
      </c>
    </row>
    <row r="998">
      <c r="A998">
        <f>IF('WSF DASHBOARD'!$B$4="Area",IF(997&lt;=$D$3,IF(AND(OR('WSF DASHBOARD'!$C$4="",ISNUMBER(SEARCH('WSF DASHBOARD'!$C$4,INDEX(MASTER_AREAS!$B:$B,998))))),997,""),""),IF('WSF DASHBOARD'!$B$4="Zone",IF(997&lt;=$D$4,IF(OR('WSF DASHBOARD'!$C$4="",ISNUMBER(SEARCH('WSF DASHBOARD'!$C$4,INDEX(MASTER_ZONES!$B:$B,998)))),997,""),""),""))</f>
        <v/>
      </c>
      <c r="F998">
        <f>IF('TRANSPORT DASHBOARD'!$B$4="Area",IF(997&lt;=$I$3,IF(AND(INDEX(MASTER_AREAS!$F:$F,998)&lt;&gt;"N",OR('TRANSPORT DASHBOARD'!$C$4="",ISNUMBER(SEARCH('TRANSPORT DASHBOARD'!$C$4,INDEX(MASTER_AREAS!$B:$B,998))))),997,""),""),IF('TRANSPORT DASHBOARD'!$B$4="Zone",IF(997&lt;=$I$4,IF(OR('TRANSPORT DASHBOARD'!$C$4="",ISNUMBER(SEARCH('TRANSPORT DASHBOARD'!$C$4,INDEX(MASTER_ZONES!$B:$B,998)))),997,""),""),""))</f>
        <v/>
      </c>
      <c r="K998">
        <f>IF('MIDWEEK DASHBOARD'!$B$4="Area",IF(997&lt;=$N$3,IF(AND(OR('MIDWEEK DASHBOARD'!$C$4="",ISNUMBER(SEARCH('MIDWEEK DASHBOARD'!$C$4,INDEX(MASTER_AREAS!$B:$B,998))))),997,""),""),IF('MIDWEEK DASHBOARD'!$B$4="Zone",IF(997&lt;=$N$4,IF(OR('MIDWEEK DASHBOARD'!$C$4="",ISNUMBER(SEARCH('MIDWEEK DASHBOARD'!$C$4,INDEX(MASTER_ZONES!$B:$B,998)))),997,""),""),""))</f>
        <v/>
      </c>
      <c r="P998">
        <f>IF('CHOP DASHBOARD'!$B$4="Area",IF(997&lt;=$S$3,IF(AND(OR('CHOP DASHBOARD'!$C$4="",ISNUMBER(SEARCH('CHOP DASHBOARD'!$C$4,INDEX(MASTER_AREAS!$B:$B,998))))),997,""),""),IF('CHOP DASHBOARD'!$B$4="Zone",IF(997&lt;=$S$4,IF(OR('CHOP DASHBOARD'!$C$4="",ISNUMBER(SEARCH('CHOP DASHBOARD'!$C$4,INDEX(MASTER_ZONES!$B:$B,998)))),997,""),""),""))</f>
        <v/>
      </c>
      <c r="U998">
        <f>IF('COMMUNITY CHURCH DASHBOARD'!$B$4="Area",IF(997&lt;=$X$3,IF(AND(OR('COMMUNITY CHURCH DASHBOARD'!$C$4="",ISNUMBER(SEARCH('COMMUNITY CHURCH DASHBOARD'!$C$4,INDEX(MASTER_AREAS!$B:$B,998))))),997,""),""),IF('COMMUNITY CHURCH DASHBOARD'!$B$4="Zone",IF(997&lt;=$X$4,IF(OR('COMMUNITY CHURCH DASHBOARD'!$C$4="",ISNUMBER(SEARCH('COMMUNITY CHURCH DASHBOARD'!$C$4,INDEX(MASTER_ZONES!$B:$B,998)))),997,""),""),""))</f>
        <v/>
      </c>
    </row>
    <row r="999">
      <c r="A999">
        <f>IF('WSF DASHBOARD'!$B$4="Area",IF(998&lt;=$D$3,IF(AND(OR('WSF DASHBOARD'!$C$4="",ISNUMBER(SEARCH('WSF DASHBOARD'!$C$4,INDEX(MASTER_AREAS!$B:$B,999))))),998,""),""),IF('WSF DASHBOARD'!$B$4="Zone",IF(998&lt;=$D$4,IF(OR('WSF DASHBOARD'!$C$4="",ISNUMBER(SEARCH('WSF DASHBOARD'!$C$4,INDEX(MASTER_ZONES!$B:$B,999)))),998,""),""),""))</f>
        <v/>
      </c>
      <c r="F999">
        <f>IF('TRANSPORT DASHBOARD'!$B$4="Area",IF(998&lt;=$I$3,IF(AND(INDEX(MASTER_AREAS!$F:$F,999)&lt;&gt;"N",OR('TRANSPORT DASHBOARD'!$C$4="",ISNUMBER(SEARCH('TRANSPORT DASHBOARD'!$C$4,INDEX(MASTER_AREAS!$B:$B,999))))),998,""),""),IF('TRANSPORT DASHBOARD'!$B$4="Zone",IF(998&lt;=$I$4,IF(OR('TRANSPORT DASHBOARD'!$C$4="",ISNUMBER(SEARCH('TRANSPORT DASHBOARD'!$C$4,INDEX(MASTER_ZONES!$B:$B,999)))),998,""),""),""))</f>
        <v/>
      </c>
      <c r="K999">
        <f>IF('MIDWEEK DASHBOARD'!$B$4="Area",IF(998&lt;=$N$3,IF(AND(OR('MIDWEEK DASHBOARD'!$C$4="",ISNUMBER(SEARCH('MIDWEEK DASHBOARD'!$C$4,INDEX(MASTER_AREAS!$B:$B,999))))),998,""),""),IF('MIDWEEK DASHBOARD'!$B$4="Zone",IF(998&lt;=$N$4,IF(OR('MIDWEEK DASHBOARD'!$C$4="",ISNUMBER(SEARCH('MIDWEEK DASHBOARD'!$C$4,INDEX(MASTER_ZONES!$B:$B,999)))),998,""),""),""))</f>
        <v/>
      </c>
      <c r="P999">
        <f>IF('CHOP DASHBOARD'!$B$4="Area",IF(998&lt;=$S$3,IF(AND(OR('CHOP DASHBOARD'!$C$4="",ISNUMBER(SEARCH('CHOP DASHBOARD'!$C$4,INDEX(MASTER_AREAS!$B:$B,999))))),998,""),""),IF('CHOP DASHBOARD'!$B$4="Zone",IF(998&lt;=$S$4,IF(OR('CHOP DASHBOARD'!$C$4="",ISNUMBER(SEARCH('CHOP DASHBOARD'!$C$4,INDEX(MASTER_ZONES!$B:$B,999)))),998,""),""),""))</f>
        <v/>
      </c>
      <c r="U999">
        <f>IF('COMMUNITY CHURCH DASHBOARD'!$B$4="Area",IF(998&lt;=$X$3,IF(AND(OR('COMMUNITY CHURCH DASHBOARD'!$C$4="",ISNUMBER(SEARCH('COMMUNITY CHURCH DASHBOARD'!$C$4,INDEX(MASTER_AREAS!$B:$B,999))))),998,""),""),IF('COMMUNITY CHURCH DASHBOARD'!$B$4="Zone",IF(998&lt;=$X$4,IF(OR('COMMUNITY CHURCH DASHBOARD'!$C$4="",ISNUMBER(SEARCH('COMMUNITY CHURCH DASHBOARD'!$C$4,INDEX(MASTER_ZONES!$B:$B,999)))),998,""),""),""))</f>
        <v/>
      </c>
    </row>
    <row r="1000">
      <c r="A1000">
        <f>IF('WSF DASHBOARD'!$B$4="Area",IF(999&lt;=$D$3,IF(AND(OR('WSF DASHBOARD'!$C$4="",ISNUMBER(SEARCH('WSF DASHBOARD'!$C$4,INDEX(MASTER_AREAS!$B:$B,1000))))),999,""),""),IF('WSF DASHBOARD'!$B$4="Zone",IF(999&lt;=$D$4,IF(OR('WSF DASHBOARD'!$C$4="",ISNUMBER(SEARCH('WSF DASHBOARD'!$C$4,INDEX(MASTER_ZONES!$B:$B,1000)))),999,""),""),""))</f>
        <v/>
      </c>
      <c r="F1000">
        <f>IF('TRANSPORT DASHBOARD'!$B$4="Area",IF(999&lt;=$I$3,IF(AND(INDEX(MASTER_AREAS!$F:$F,1000)&lt;&gt;"N",OR('TRANSPORT DASHBOARD'!$C$4="",ISNUMBER(SEARCH('TRANSPORT DASHBOARD'!$C$4,INDEX(MASTER_AREAS!$B:$B,1000))))),999,""),""),IF('TRANSPORT DASHBOARD'!$B$4="Zone",IF(999&lt;=$I$4,IF(OR('TRANSPORT DASHBOARD'!$C$4="",ISNUMBER(SEARCH('TRANSPORT DASHBOARD'!$C$4,INDEX(MASTER_ZONES!$B:$B,1000)))),999,""),""),""))</f>
        <v/>
      </c>
      <c r="K1000">
        <f>IF('MIDWEEK DASHBOARD'!$B$4="Area",IF(999&lt;=$N$3,IF(AND(OR('MIDWEEK DASHBOARD'!$C$4="",ISNUMBER(SEARCH('MIDWEEK DASHBOARD'!$C$4,INDEX(MASTER_AREAS!$B:$B,1000))))),999,""),""),IF('MIDWEEK DASHBOARD'!$B$4="Zone",IF(999&lt;=$N$4,IF(OR('MIDWEEK DASHBOARD'!$C$4="",ISNUMBER(SEARCH('MIDWEEK DASHBOARD'!$C$4,INDEX(MASTER_ZONES!$B:$B,1000)))),999,""),""),""))</f>
        <v/>
      </c>
      <c r="P1000">
        <f>IF('CHOP DASHBOARD'!$B$4="Area",IF(999&lt;=$S$3,IF(AND(OR('CHOP DASHBOARD'!$C$4="",ISNUMBER(SEARCH('CHOP DASHBOARD'!$C$4,INDEX(MASTER_AREAS!$B:$B,1000))))),999,""),""),IF('CHOP DASHBOARD'!$B$4="Zone",IF(999&lt;=$S$4,IF(OR('CHOP DASHBOARD'!$C$4="",ISNUMBER(SEARCH('CHOP DASHBOARD'!$C$4,INDEX(MASTER_ZONES!$B:$B,1000)))),999,""),""),""))</f>
        <v/>
      </c>
      <c r="U1000">
        <f>IF('COMMUNITY CHURCH DASHBOARD'!$B$4="Area",IF(999&lt;=$X$3,IF(AND(OR('COMMUNITY CHURCH DASHBOARD'!$C$4="",ISNUMBER(SEARCH('COMMUNITY CHURCH DASHBOARD'!$C$4,INDEX(MASTER_AREAS!$B:$B,1000))))),999,""),""),IF('COMMUNITY CHURCH DASHBOARD'!$B$4="Zone",IF(999&lt;=$X$4,IF(OR('COMMUNITY CHURCH DASHBOARD'!$C$4="",ISNUMBER(SEARCH('COMMUNITY CHURCH DASHBOARD'!$C$4,INDEX(MASTER_ZONES!$B:$B,1000)))),999,""),""),""))</f>
        <v/>
      </c>
    </row>
    <row r="1001">
      <c r="A1001">
        <f>IF('WSF DASHBOARD'!$B$4="Area",IF(1000&lt;=$D$3,IF(AND(OR('WSF DASHBOARD'!$C$4="",ISNUMBER(SEARCH('WSF DASHBOARD'!$C$4,INDEX(MASTER_AREAS!$B:$B,1001))))),1000,""),""),IF('WSF DASHBOARD'!$B$4="Zone",IF(1000&lt;=$D$4,IF(OR('WSF DASHBOARD'!$C$4="",ISNUMBER(SEARCH('WSF DASHBOARD'!$C$4,INDEX(MASTER_ZONES!$B:$B,1001)))),1000,""),""),""))</f>
        <v/>
      </c>
      <c r="F1001">
        <f>IF('TRANSPORT DASHBOARD'!$B$4="Area",IF(1000&lt;=$I$3,IF(AND(INDEX(MASTER_AREAS!$F:$F,1001)&lt;&gt;"N",OR('TRANSPORT DASHBOARD'!$C$4="",ISNUMBER(SEARCH('TRANSPORT DASHBOARD'!$C$4,INDEX(MASTER_AREAS!$B:$B,1001))))),1000,""),""),IF('TRANSPORT DASHBOARD'!$B$4="Zone",IF(1000&lt;=$I$4,IF(OR('TRANSPORT DASHBOARD'!$C$4="",ISNUMBER(SEARCH('TRANSPORT DASHBOARD'!$C$4,INDEX(MASTER_ZONES!$B:$B,1001)))),1000,""),""),""))</f>
        <v/>
      </c>
      <c r="K1001">
        <f>IF('MIDWEEK DASHBOARD'!$B$4="Area",IF(1000&lt;=$N$3,IF(AND(OR('MIDWEEK DASHBOARD'!$C$4="",ISNUMBER(SEARCH('MIDWEEK DASHBOARD'!$C$4,INDEX(MASTER_AREAS!$B:$B,1001))))),1000,""),""),IF('MIDWEEK DASHBOARD'!$B$4="Zone",IF(1000&lt;=$N$4,IF(OR('MIDWEEK DASHBOARD'!$C$4="",ISNUMBER(SEARCH('MIDWEEK DASHBOARD'!$C$4,INDEX(MASTER_ZONES!$B:$B,1001)))),1000,""),""),""))</f>
        <v/>
      </c>
      <c r="P1001">
        <f>IF('CHOP DASHBOARD'!$B$4="Area",IF(1000&lt;=$S$3,IF(AND(OR('CHOP DASHBOARD'!$C$4="",ISNUMBER(SEARCH('CHOP DASHBOARD'!$C$4,INDEX(MASTER_AREAS!$B:$B,1001))))),1000,""),""),IF('CHOP DASHBOARD'!$B$4="Zone",IF(1000&lt;=$S$4,IF(OR('CHOP DASHBOARD'!$C$4="",ISNUMBER(SEARCH('CHOP DASHBOARD'!$C$4,INDEX(MASTER_ZONES!$B:$B,1001)))),1000,""),""),""))</f>
        <v/>
      </c>
      <c r="U1001">
        <f>IF('COMMUNITY CHURCH DASHBOARD'!$B$4="Area",IF(1000&lt;=$X$3,IF(AND(OR('COMMUNITY CHURCH DASHBOARD'!$C$4="",ISNUMBER(SEARCH('COMMUNITY CHURCH DASHBOARD'!$C$4,INDEX(MASTER_AREAS!$B:$B,1001))))),1000,""),""),IF('COMMUNITY CHURCH DASHBOARD'!$B$4="Zone",IF(1000&lt;=$X$4,IF(OR('COMMUNITY CHURCH DASHBOARD'!$C$4="",ISNUMBER(SEARCH('COMMUNITY CHURCH DASHBOARD'!$C$4,INDEX(MASTER_ZONES!$B:$B,1001)))),1000,""),""),""))</f>
        <v/>
      </c>
    </row>
    <row r="1002">
      <c r="A1002">
        <f>IF('WSF DASHBOARD'!$B$4="Area",IF(1001&lt;=$D$3,IF(AND(OR('WSF DASHBOARD'!$C$4="",ISNUMBER(SEARCH('WSF DASHBOARD'!$C$4,INDEX(MASTER_AREAS!$B:$B,1002))))),1001,""),""),IF('WSF DASHBOARD'!$B$4="Zone",IF(1001&lt;=$D$4,IF(OR('WSF DASHBOARD'!$C$4="",ISNUMBER(SEARCH('WSF DASHBOARD'!$C$4,INDEX(MASTER_ZONES!$B:$B,1002)))),1001,""),""),""))</f>
        <v/>
      </c>
      <c r="F1002">
        <f>IF('TRANSPORT DASHBOARD'!$B$4="Area",IF(1001&lt;=$I$3,IF(AND(INDEX(MASTER_AREAS!$F:$F,1002)&lt;&gt;"N",OR('TRANSPORT DASHBOARD'!$C$4="",ISNUMBER(SEARCH('TRANSPORT DASHBOARD'!$C$4,INDEX(MASTER_AREAS!$B:$B,1002))))),1001,""),""),IF('TRANSPORT DASHBOARD'!$B$4="Zone",IF(1001&lt;=$I$4,IF(OR('TRANSPORT DASHBOARD'!$C$4="",ISNUMBER(SEARCH('TRANSPORT DASHBOARD'!$C$4,INDEX(MASTER_ZONES!$B:$B,1002)))),1001,""),""),""))</f>
        <v/>
      </c>
      <c r="K1002">
        <f>IF('MIDWEEK DASHBOARD'!$B$4="Area",IF(1001&lt;=$N$3,IF(AND(OR('MIDWEEK DASHBOARD'!$C$4="",ISNUMBER(SEARCH('MIDWEEK DASHBOARD'!$C$4,INDEX(MASTER_AREAS!$B:$B,1002))))),1001,""),""),IF('MIDWEEK DASHBOARD'!$B$4="Zone",IF(1001&lt;=$N$4,IF(OR('MIDWEEK DASHBOARD'!$C$4="",ISNUMBER(SEARCH('MIDWEEK DASHBOARD'!$C$4,INDEX(MASTER_ZONES!$B:$B,1002)))),1001,""),""),""))</f>
        <v/>
      </c>
      <c r="P1002">
        <f>IF('CHOP DASHBOARD'!$B$4="Area",IF(1001&lt;=$S$3,IF(AND(OR('CHOP DASHBOARD'!$C$4="",ISNUMBER(SEARCH('CHOP DASHBOARD'!$C$4,INDEX(MASTER_AREAS!$B:$B,1002))))),1001,""),""),IF('CHOP DASHBOARD'!$B$4="Zone",IF(1001&lt;=$S$4,IF(OR('CHOP DASHBOARD'!$C$4="",ISNUMBER(SEARCH('CHOP DASHBOARD'!$C$4,INDEX(MASTER_ZONES!$B:$B,1002)))),1001,""),""),""))</f>
        <v/>
      </c>
      <c r="U1002">
        <f>IF('COMMUNITY CHURCH DASHBOARD'!$B$4="Area",IF(1001&lt;=$X$3,IF(AND(OR('COMMUNITY CHURCH DASHBOARD'!$C$4="",ISNUMBER(SEARCH('COMMUNITY CHURCH DASHBOARD'!$C$4,INDEX(MASTER_AREAS!$B:$B,1002))))),1001,""),""),IF('COMMUNITY CHURCH DASHBOARD'!$B$4="Zone",IF(1001&lt;=$X$4,IF(OR('COMMUNITY CHURCH DASHBOARD'!$C$4="",ISNUMBER(SEARCH('COMMUNITY CHURCH DASHBOARD'!$C$4,INDEX(MASTER_ZONES!$B:$B,1002)))),1001,""),""),""))</f>
        <v/>
      </c>
    </row>
    <row r="1003">
      <c r="A1003">
        <f>IF('WSF DASHBOARD'!$B$4="Area",IF(1002&lt;=$D$3,IF(AND(OR('WSF DASHBOARD'!$C$4="",ISNUMBER(SEARCH('WSF DASHBOARD'!$C$4,INDEX(MASTER_AREAS!$B:$B,1003))))),1002,""),""),IF('WSF DASHBOARD'!$B$4="Zone",IF(1002&lt;=$D$4,IF(OR('WSF DASHBOARD'!$C$4="",ISNUMBER(SEARCH('WSF DASHBOARD'!$C$4,INDEX(MASTER_ZONES!$B:$B,1003)))),1002,""),""),""))</f>
        <v/>
      </c>
      <c r="F1003">
        <f>IF('TRANSPORT DASHBOARD'!$B$4="Area",IF(1002&lt;=$I$3,IF(AND(INDEX(MASTER_AREAS!$F:$F,1003)&lt;&gt;"N",OR('TRANSPORT DASHBOARD'!$C$4="",ISNUMBER(SEARCH('TRANSPORT DASHBOARD'!$C$4,INDEX(MASTER_AREAS!$B:$B,1003))))),1002,""),""),IF('TRANSPORT DASHBOARD'!$B$4="Zone",IF(1002&lt;=$I$4,IF(OR('TRANSPORT DASHBOARD'!$C$4="",ISNUMBER(SEARCH('TRANSPORT DASHBOARD'!$C$4,INDEX(MASTER_ZONES!$B:$B,1003)))),1002,""),""),""))</f>
        <v/>
      </c>
      <c r="K1003">
        <f>IF('MIDWEEK DASHBOARD'!$B$4="Area",IF(1002&lt;=$N$3,IF(AND(OR('MIDWEEK DASHBOARD'!$C$4="",ISNUMBER(SEARCH('MIDWEEK DASHBOARD'!$C$4,INDEX(MASTER_AREAS!$B:$B,1003))))),1002,""),""),IF('MIDWEEK DASHBOARD'!$B$4="Zone",IF(1002&lt;=$N$4,IF(OR('MIDWEEK DASHBOARD'!$C$4="",ISNUMBER(SEARCH('MIDWEEK DASHBOARD'!$C$4,INDEX(MASTER_ZONES!$B:$B,1003)))),1002,""),""),""))</f>
        <v/>
      </c>
      <c r="P1003">
        <f>IF('CHOP DASHBOARD'!$B$4="Area",IF(1002&lt;=$S$3,IF(AND(OR('CHOP DASHBOARD'!$C$4="",ISNUMBER(SEARCH('CHOP DASHBOARD'!$C$4,INDEX(MASTER_AREAS!$B:$B,1003))))),1002,""),""),IF('CHOP DASHBOARD'!$B$4="Zone",IF(1002&lt;=$S$4,IF(OR('CHOP DASHBOARD'!$C$4="",ISNUMBER(SEARCH('CHOP DASHBOARD'!$C$4,INDEX(MASTER_ZONES!$B:$B,1003)))),1002,""),""),""))</f>
        <v/>
      </c>
      <c r="U1003">
        <f>IF('COMMUNITY CHURCH DASHBOARD'!$B$4="Area",IF(1002&lt;=$X$3,IF(AND(OR('COMMUNITY CHURCH DASHBOARD'!$C$4="",ISNUMBER(SEARCH('COMMUNITY CHURCH DASHBOARD'!$C$4,INDEX(MASTER_AREAS!$B:$B,1003))))),1002,""),""),IF('COMMUNITY CHURCH DASHBOARD'!$B$4="Zone",IF(1002&lt;=$X$4,IF(OR('COMMUNITY CHURCH DASHBOARD'!$C$4="",ISNUMBER(SEARCH('COMMUNITY CHURCH DASHBOARD'!$C$4,INDEX(MASTER_ZONES!$B:$B,1003)))),1002,""),""),""))</f>
        <v/>
      </c>
    </row>
    <row r="1004">
      <c r="A1004">
        <f>IF('WSF DASHBOARD'!$B$4="Area",IF(1003&lt;=$D$3,IF(AND(OR('WSF DASHBOARD'!$C$4="",ISNUMBER(SEARCH('WSF DASHBOARD'!$C$4,INDEX(MASTER_AREAS!$B:$B,1004))))),1003,""),""),IF('WSF DASHBOARD'!$B$4="Zone",IF(1003&lt;=$D$4,IF(OR('WSF DASHBOARD'!$C$4="",ISNUMBER(SEARCH('WSF DASHBOARD'!$C$4,INDEX(MASTER_ZONES!$B:$B,1004)))),1003,""),""),""))</f>
        <v/>
      </c>
      <c r="F1004">
        <f>IF('TRANSPORT DASHBOARD'!$B$4="Area",IF(1003&lt;=$I$3,IF(AND(INDEX(MASTER_AREAS!$F:$F,1004)&lt;&gt;"N",OR('TRANSPORT DASHBOARD'!$C$4="",ISNUMBER(SEARCH('TRANSPORT DASHBOARD'!$C$4,INDEX(MASTER_AREAS!$B:$B,1004))))),1003,""),""),IF('TRANSPORT DASHBOARD'!$B$4="Zone",IF(1003&lt;=$I$4,IF(OR('TRANSPORT DASHBOARD'!$C$4="",ISNUMBER(SEARCH('TRANSPORT DASHBOARD'!$C$4,INDEX(MASTER_ZONES!$B:$B,1004)))),1003,""),""),""))</f>
        <v/>
      </c>
      <c r="K1004">
        <f>IF('MIDWEEK DASHBOARD'!$B$4="Area",IF(1003&lt;=$N$3,IF(AND(OR('MIDWEEK DASHBOARD'!$C$4="",ISNUMBER(SEARCH('MIDWEEK DASHBOARD'!$C$4,INDEX(MASTER_AREAS!$B:$B,1004))))),1003,""),""),IF('MIDWEEK DASHBOARD'!$B$4="Zone",IF(1003&lt;=$N$4,IF(OR('MIDWEEK DASHBOARD'!$C$4="",ISNUMBER(SEARCH('MIDWEEK DASHBOARD'!$C$4,INDEX(MASTER_ZONES!$B:$B,1004)))),1003,""),""),""))</f>
        <v/>
      </c>
      <c r="P1004">
        <f>IF('CHOP DASHBOARD'!$B$4="Area",IF(1003&lt;=$S$3,IF(AND(OR('CHOP DASHBOARD'!$C$4="",ISNUMBER(SEARCH('CHOP DASHBOARD'!$C$4,INDEX(MASTER_AREAS!$B:$B,1004))))),1003,""),""),IF('CHOP DASHBOARD'!$B$4="Zone",IF(1003&lt;=$S$4,IF(OR('CHOP DASHBOARD'!$C$4="",ISNUMBER(SEARCH('CHOP DASHBOARD'!$C$4,INDEX(MASTER_ZONES!$B:$B,1004)))),1003,""),""),""))</f>
        <v/>
      </c>
      <c r="U1004">
        <f>IF('COMMUNITY CHURCH DASHBOARD'!$B$4="Area",IF(1003&lt;=$X$3,IF(AND(OR('COMMUNITY CHURCH DASHBOARD'!$C$4="",ISNUMBER(SEARCH('COMMUNITY CHURCH DASHBOARD'!$C$4,INDEX(MASTER_AREAS!$B:$B,1004))))),1003,""),""),IF('COMMUNITY CHURCH DASHBOARD'!$B$4="Zone",IF(1003&lt;=$X$4,IF(OR('COMMUNITY CHURCH DASHBOARD'!$C$4="",ISNUMBER(SEARCH('COMMUNITY CHURCH DASHBOARD'!$C$4,INDEX(MASTER_ZONES!$B:$B,1004)))),1003,""),""),""))</f>
        <v/>
      </c>
    </row>
    <row r="1005">
      <c r="A1005">
        <f>IF('WSF DASHBOARD'!$B$4="Area",IF(1004&lt;=$D$3,IF(AND(OR('WSF DASHBOARD'!$C$4="",ISNUMBER(SEARCH('WSF DASHBOARD'!$C$4,INDEX(MASTER_AREAS!$B:$B,1005))))),1004,""),""),IF('WSF DASHBOARD'!$B$4="Zone",IF(1004&lt;=$D$4,IF(OR('WSF DASHBOARD'!$C$4="",ISNUMBER(SEARCH('WSF DASHBOARD'!$C$4,INDEX(MASTER_ZONES!$B:$B,1005)))),1004,""),""),""))</f>
        <v/>
      </c>
      <c r="F1005">
        <f>IF('TRANSPORT DASHBOARD'!$B$4="Area",IF(1004&lt;=$I$3,IF(AND(INDEX(MASTER_AREAS!$F:$F,1005)&lt;&gt;"N",OR('TRANSPORT DASHBOARD'!$C$4="",ISNUMBER(SEARCH('TRANSPORT DASHBOARD'!$C$4,INDEX(MASTER_AREAS!$B:$B,1005))))),1004,""),""),IF('TRANSPORT DASHBOARD'!$B$4="Zone",IF(1004&lt;=$I$4,IF(OR('TRANSPORT DASHBOARD'!$C$4="",ISNUMBER(SEARCH('TRANSPORT DASHBOARD'!$C$4,INDEX(MASTER_ZONES!$B:$B,1005)))),1004,""),""),""))</f>
        <v/>
      </c>
      <c r="K1005">
        <f>IF('MIDWEEK DASHBOARD'!$B$4="Area",IF(1004&lt;=$N$3,IF(AND(OR('MIDWEEK DASHBOARD'!$C$4="",ISNUMBER(SEARCH('MIDWEEK DASHBOARD'!$C$4,INDEX(MASTER_AREAS!$B:$B,1005))))),1004,""),""),IF('MIDWEEK DASHBOARD'!$B$4="Zone",IF(1004&lt;=$N$4,IF(OR('MIDWEEK DASHBOARD'!$C$4="",ISNUMBER(SEARCH('MIDWEEK DASHBOARD'!$C$4,INDEX(MASTER_ZONES!$B:$B,1005)))),1004,""),""),""))</f>
        <v/>
      </c>
      <c r="P1005">
        <f>IF('CHOP DASHBOARD'!$B$4="Area",IF(1004&lt;=$S$3,IF(AND(OR('CHOP DASHBOARD'!$C$4="",ISNUMBER(SEARCH('CHOP DASHBOARD'!$C$4,INDEX(MASTER_AREAS!$B:$B,1005))))),1004,""),""),IF('CHOP DASHBOARD'!$B$4="Zone",IF(1004&lt;=$S$4,IF(OR('CHOP DASHBOARD'!$C$4="",ISNUMBER(SEARCH('CHOP DASHBOARD'!$C$4,INDEX(MASTER_ZONES!$B:$B,1005)))),1004,""),""),""))</f>
        <v/>
      </c>
      <c r="U1005">
        <f>IF('COMMUNITY CHURCH DASHBOARD'!$B$4="Area",IF(1004&lt;=$X$3,IF(AND(OR('COMMUNITY CHURCH DASHBOARD'!$C$4="",ISNUMBER(SEARCH('COMMUNITY CHURCH DASHBOARD'!$C$4,INDEX(MASTER_AREAS!$B:$B,1005))))),1004,""),""),IF('COMMUNITY CHURCH DASHBOARD'!$B$4="Zone",IF(1004&lt;=$X$4,IF(OR('COMMUNITY CHURCH DASHBOARD'!$C$4="",ISNUMBER(SEARCH('COMMUNITY CHURCH DASHBOARD'!$C$4,INDEX(MASTER_ZONES!$B:$B,1005)))),1004,""),""),""))</f>
        <v/>
      </c>
    </row>
    <row r="1006">
      <c r="A1006">
        <f>IF('WSF DASHBOARD'!$B$4="Area",IF(1005&lt;=$D$3,IF(AND(OR('WSF DASHBOARD'!$C$4="",ISNUMBER(SEARCH('WSF DASHBOARD'!$C$4,INDEX(MASTER_AREAS!$B:$B,1006))))),1005,""),""),IF('WSF DASHBOARD'!$B$4="Zone",IF(1005&lt;=$D$4,IF(OR('WSF DASHBOARD'!$C$4="",ISNUMBER(SEARCH('WSF DASHBOARD'!$C$4,INDEX(MASTER_ZONES!$B:$B,1006)))),1005,""),""),""))</f>
        <v/>
      </c>
      <c r="F1006">
        <f>IF('TRANSPORT DASHBOARD'!$B$4="Area",IF(1005&lt;=$I$3,IF(AND(INDEX(MASTER_AREAS!$F:$F,1006)&lt;&gt;"N",OR('TRANSPORT DASHBOARD'!$C$4="",ISNUMBER(SEARCH('TRANSPORT DASHBOARD'!$C$4,INDEX(MASTER_AREAS!$B:$B,1006))))),1005,""),""),IF('TRANSPORT DASHBOARD'!$B$4="Zone",IF(1005&lt;=$I$4,IF(OR('TRANSPORT DASHBOARD'!$C$4="",ISNUMBER(SEARCH('TRANSPORT DASHBOARD'!$C$4,INDEX(MASTER_ZONES!$B:$B,1006)))),1005,""),""),""))</f>
        <v/>
      </c>
      <c r="K1006">
        <f>IF('MIDWEEK DASHBOARD'!$B$4="Area",IF(1005&lt;=$N$3,IF(AND(OR('MIDWEEK DASHBOARD'!$C$4="",ISNUMBER(SEARCH('MIDWEEK DASHBOARD'!$C$4,INDEX(MASTER_AREAS!$B:$B,1006))))),1005,""),""),IF('MIDWEEK DASHBOARD'!$B$4="Zone",IF(1005&lt;=$N$4,IF(OR('MIDWEEK DASHBOARD'!$C$4="",ISNUMBER(SEARCH('MIDWEEK DASHBOARD'!$C$4,INDEX(MASTER_ZONES!$B:$B,1006)))),1005,""),""),""))</f>
        <v/>
      </c>
      <c r="P1006">
        <f>IF('CHOP DASHBOARD'!$B$4="Area",IF(1005&lt;=$S$3,IF(AND(OR('CHOP DASHBOARD'!$C$4="",ISNUMBER(SEARCH('CHOP DASHBOARD'!$C$4,INDEX(MASTER_AREAS!$B:$B,1006))))),1005,""),""),IF('CHOP DASHBOARD'!$B$4="Zone",IF(1005&lt;=$S$4,IF(OR('CHOP DASHBOARD'!$C$4="",ISNUMBER(SEARCH('CHOP DASHBOARD'!$C$4,INDEX(MASTER_ZONES!$B:$B,1006)))),1005,""),""),""))</f>
        <v/>
      </c>
      <c r="U1006">
        <f>IF('COMMUNITY CHURCH DASHBOARD'!$B$4="Area",IF(1005&lt;=$X$3,IF(AND(OR('COMMUNITY CHURCH DASHBOARD'!$C$4="",ISNUMBER(SEARCH('COMMUNITY CHURCH DASHBOARD'!$C$4,INDEX(MASTER_AREAS!$B:$B,1006))))),1005,""),""),IF('COMMUNITY CHURCH DASHBOARD'!$B$4="Zone",IF(1005&lt;=$X$4,IF(OR('COMMUNITY CHURCH DASHBOARD'!$C$4="",ISNUMBER(SEARCH('COMMUNITY CHURCH DASHBOARD'!$C$4,INDEX(MASTER_ZONES!$B:$B,1006)))),1005,""),""),""))</f>
        <v/>
      </c>
    </row>
    <row r="1007">
      <c r="A1007">
        <f>IF('WSF DASHBOARD'!$B$4="Area",IF(1006&lt;=$D$3,IF(AND(OR('WSF DASHBOARD'!$C$4="",ISNUMBER(SEARCH('WSF DASHBOARD'!$C$4,INDEX(MASTER_AREAS!$B:$B,1007))))),1006,""),""),IF('WSF DASHBOARD'!$B$4="Zone",IF(1006&lt;=$D$4,IF(OR('WSF DASHBOARD'!$C$4="",ISNUMBER(SEARCH('WSF DASHBOARD'!$C$4,INDEX(MASTER_ZONES!$B:$B,1007)))),1006,""),""),""))</f>
        <v/>
      </c>
      <c r="F1007">
        <f>IF('TRANSPORT DASHBOARD'!$B$4="Area",IF(1006&lt;=$I$3,IF(AND(INDEX(MASTER_AREAS!$F:$F,1007)&lt;&gt;"N",OR('TRANSPORT DASHBOARD'!$C$4="",ISNUMBER(SEARCH('TRANSPORT DASHBOARD'!$C$4,INDEX(MASTER_AREAS!$B:$B,1007))))),1006,""),""),IF('TRANSPORT DASHBOARD'!$B$4="Zone",IF(1006&lt;=$I$4,IF(OR('TRANSPORT DASHBOARD'!$C$4="",ISNUMBER(SEARCH('TRANSPORT DASHBOARD'!$C$4,INDEX(MASTER_ZONES!$B:$B,1007)))),1006,""),""),""))</f>
        <v/>
      </c>
      <c r="K1007">
        <f>IF('MIDWEEK DASHBOARD'!$B$4="Area",IF(1006&lt;=$N$3,IF(AND(OR('MIDWEEK DASHBOARD'!$C$4="",ISNUMBER(SEARCH('MIDWEEK DASHBOARD'!$C$4,INDEX(MASTER_AREAS!$B:$B,1007))))),1006,""),""),IF('MIDWEEK DASHBOARD'!$B$4="Zone",IF(1006&lt;=$N$4,IF(OR('MIDWEEK DASHBOARD'!$C$4="",ISNUMBER(SEARCH('MIDWEEK DASHBOARD'!$C$4,INDEX(MASTER_ZONES!$B:$B,1007)))),1006,""),""),""))</f>
        <v/>
      </c>
      <c r="P1007">
        <f>IF('CHOP DASHBOARD'!$B$4="Area",IF(1006&lt;=$S$3,IF(AND(OR('CHOP DASHBOARD'!$C$4="",ISNUMBER(SEARCH('CHOP DASHBOARD'!$C$4,INDEX(MASTER_AREAS!$B:$B,1007))))),1006,""),""),IF('CHOP DASHBOARD'!$B$4="Zone",IF(1006&lt;=$S$4,IF(OR('CHOP DASHBOARD'!$C$4="",ISNUMBER(SEARCH('CHOP DASHBOARD'!$C$4,INDEX(MASTER_ZONES!$B:$B,1007)))),1006,""),""),""))</f>
        <v/>
      </c>
      <c r="U1007">
        <f>IF('COMMUNITY CHURCH DASHBOARD'!$B$4="Area",IF(1006&lt;=$X$3,IF(AND(OR('COMMUNITY CHURCH DASHBOARD'!$C$4="",ISNUMBER(SEARCH('COMMUNITY CHURCH DASHBOARD'!$C$4,INDEX(MASTER_AREAS!$B:$B,1007))))),1006,""),""),IF('COMMUNITY CHURCH DASHBOARD'!$B$4="Zone",IF(1006&lt;=$X$4,IF(OR('COMMUNITY CHURCH DASHBOARD'!$C$4="",ISNUMBER(SEARCH('COMMUNITY CHURCH DASHBOARD'!$C$4,INDEX(MASTER_ZONES!$B:$B,1007)))),1006,""),""),""))</f>
        <v/>
      </c>
    </row>
    <row r="1008">
      <c r="A1008">
        <f>IF('WSF DASHBOARD'!$B$4="Area",IF(1007&lt;=$D$3,IF(AND(OR('WSF DASHBOARD'!$C$4="",ISNUMBER(SEARCH('WSF DASHBOARD'!$C$4,INDEX(MASTER_AREAS!$B:$B,1008))))),1007,""),""),IF('WSF DASHBOARD'!$B$4="Zone",IF(1007&lt;=$D$4,IF(OR('WSF DASHBOARD'!$C$4="",ISNUMBER(SEARCH('WSF DASHBOARD'!$C$4,INDEX(MASTER_ZONES!$B:$B,1008)))),1007,""),""),""))</f>
        <v/>
      </c>
      <c r="F1008">
        <f>IF('TRANSPORT DASHBOARD'!$B$4="Area",IF(1007&lt;=$I$3,IF(AND(INDEX(MASTER_AREAS!$F:$F,1008)&lt;&gt;"N",OR('TRANSPORT DASHBOARD'!$C$4="",ISNUMBER(SEARCH('TRANSPORT DASHBOARD'!$C$4,INDEX(MASTER_AREAS!$B:$B,1008))))),1007,""),""),IF('TRANSPORT DASHBOARD'!$B$4="Zone",IF(1007&lt;=$I$4,IF(OR('TRANSPORT DASHBOARD'!$C$4="",ISNUMBER(SEARCH('TRANSPORT DASHBOARD'!$C$4,INDEX(MASTER_ZONES!$B:$B,1008)))),1007,""),""),""))</f>
        <v/>
      </c>
      <c r="K1008">
        <f>IF('MIDWEEK DASHBOARD'!$B$4="Area",IF(1007&lt;=$N$3,IF(AND(OR('MIDWEEK DASHBOARD'!$C$4="",ISNUMBER(SEARCH('MIDWEEK DASHBOARD'!$C$4,INDEX(MASTER_AREAS!$B:$B,1008))))),1007,""),""),IF('MIDWEEK DASHBOARD'!$B$4="Zone",IF(1007&lt;=$N$4,IF(OR('MIDWEEK DASHBOARD'!$C$4="",ISNUMBER(SEARCH('MIDWEEK DASHBOARD'!$C$4,INDEX(MASTER_ZONES!$B:$B,1008)))),1007,""),""),""))</f>
        <v/>
      </c>
      <c r="P1008">
        <f>IF('CHOP DASHBOARD'!$B$4="Area",IF(1007&lt;=$S$3,IF(AND(OR('CHOP DASHBOARD'!$C$4="",ISNUMBER(SEARCH('CHOP DASHBOARD'!$C$4,INDEX(MASTER_AREAS!$B:$B,1008))))),1007,""),""),IF('CHOP DASHBOARD'!$B$4="Zone",IF(1007&lt;=$S$4,IF(OR('CHOP DASHBOARD'!$C$4="",ISNUMBER(SEARCH('CHOP DASHBOARD'!$C$4,INDEX(MASTER_ZONES!$B:$B,1008)))),1007,""),""),""))</f>
        <v/>
      </c>
      <c r="U1008">
        <f>IF('COMMUNITY CHURCH DASHBOARD'!$B$4="Area",IF(1007&lt;=$X$3,IF(AND(OR('COMMUNITY CHURCH DASHBOARD'!$C$4="",ISNUMBER(SEARCH('COMMUNITY CHURCH DASHBOARD'!$C$4,INDEX(MASTER_AREAS!$B:$B,1008))))),1007,""),""),IF('COMMUNITY CHURCH DASHBOARD'!$B$4="Zone",IF(1007&lt;=$X$4,IF(OR('COMMUNITY CHURCH DASHBOARD'!$C$4="",ISNUMBER(SEARCH('COMMUNITY CHURCH DASHBOARD'!$C$4,INDEX(MASTER_ZONES!$B:$B,1008)))),1007,""),""),""))</f>
        <v/>
      </c>
    </row>
    <row r="1009">
      <c r="A1009">
        <f>IF('WSF DASHBOARD'!$B$4="Area",IF(1008&lt;=$D$3,IF(AND(OR('WSF DASHBOARD'!$C$4="",ISNUMBER(SEARCH('WSF DASHBOARD'!$C$4,INDEX(MASTER_AREAS!$B:$B,1009))))),1008,""),""),IF('WSF DASHBOARD'!$B$4="Zone",IF(1008&lt;=$D$4,IF(OR('WSF DASHBOARD'!$C$4="",ISNUMBER(SEARCH('WSF DASHBOARD'!$C$4,INDEX(MASTER_ZONES!$B:$B,1009)))),1008,""),""),""))</f>
        <v/>
      </c>
      <c r="F1009">
        <f>IF('TRANSPORT DASHBOARD'!$B$4="Area",IF(1008&lt;=$I$3,IF(AND(INDEX(MASTER_AREAS!$F:$F,1009)&lt;&gt;"N",OR('TRANSPORT DASHBOARD'!$C$4="",ISNUMBER(SEARCH('TRANSPORT DASHBOARD'!$C$4,INDEX(MASTER_AREAS!$B:$B,1009))))),1008,""),""),IF('TRANSPORT DASHBOARD'!$B$4="Zone",IF(1008&lt;=$I$4,IF(OR('TRANSPORT DASHBOARD'!$C$4="",ISNUMBER(SEARCH('TRANSPORT DASHBOARD'!$C$4,INDEX(MASTER_ZONES!$B:$B,1009)))),1008,""),""),""))</f>
        <v/>
      </c>
      <c r="K1009">
        <f>IF('MIDWEEK DASHBOARD'!$B$4="Area",IF(1008&lt;=$N$3,IF(AND(OR('MIDWEEK DASHBOARD'!$C$4="",ISNUMBER(SEARCH('MIDWEEK DASHBOARD'!$C$4,INDEX(MASTER_AREAS!$B:$B,1009))))),1008,""),""),IF('MIDWEEK DASHBOARD'!$B$4="Zone",IF(1008&lt;=$N$4,IF(OR('MIDWEEK DASHBOARD'!$C$4="",ISNUMBER(SEARCH('MIDWEEK DASHBOARD'!$C$4,INDEX(MASTER_ZONES!$B:$B,1009)))),1008,""),""),""))</f>
        <v/>
      </c>
      <c r="P1009">
        <f>IF('CHOP DASHBOARD'!$B$4="Area",IF(1008&lt;=$S$3,IF(AND(OR('CHOP DASHBOARD'!$C$4="",ISNUMBER(SEARCH('CHOP DASHBOARD'!$C$4,INDEX(MASTER_AREAS!$B:$B,1009))))),1008,""),""),IF('CHOP DASHBOARD'!$B$4="Zone",IF(1008&lt;=$S$4,IF(OR('CHOP DASHBOARD'!$C$4="",ISNUMBER(SEARCH('CHOP DASHBOARD'!$C$4,INDEX(MASTER_ZONES!$B:$B,1009)))),1008,""),""),""))</f>
        <v/>
      </c>
      <c r="U1009">
        <f>IF('COMMUNITY CHURCH DASHBOARD'!$B$4="Area",IF(1008&lt;=$X$3,IF(AND(OR('COMMUNITY CHURCH DASHBOARD'!$C$4="",ISNUMBER(SEARCH('COMMUNITY CHURCH DASHBOARD'!$C$4,INDEX(MASTER_AREAS!$B:$B,1009))))),1008,""),""),IF('COMMUNITY CHURCH DASHBOARD'!$B$4="Zone",IF(1008&lt;=$X$4,IF(OR('COMMUNITY CHURCH DASHBOARD'!$C$4="",ISNUMBER(SEARCH('COMMUNITY CHURCH DASHBOARD'!$C$4,INDEX(MASTER_ZONES!$B:$B,1009)))),1008,""),""),""))</f>
        <v/>
      </c>
    </row>
    <row r="1010">
      <c r="A1010">
        <f>IF('WSF DASHBOARD'!$B$4="Area",IF(1009&lt;=$D$3,IF(AND(OR('WSF DASHBOARD'!$C$4="",ISNUMBER(SEARCH('WSF DASHBOARD'!$C$4,INDEX(MASTER_AREAS!$B:$B,1010))))),1009,""),""),IF('WSF DASHBOARD'!$B$4="Zone",IF(1009&lt;=$D$4,IF(OR('WSF DASHBOARD'!$C$4="",ISNUMBER(SEARCH('WSF DASHBOARD'!$C$4,INDEX(MASTER_ZONES!$B:$B,1010)))),1009,""),""),""))</f>
        <v/>
      </c>
      <c r="F1010">
        <f>IF('TRANSPORT DASHBOARD'!$B$4="Area",IF(1009&lt;=$I$3,IF(AND(INDEX(MASTER_AREAS!$F:$F,1010)&lt;&gt;"N",OR('TRANSPORT DASHBOARD'!$C$4="",ISNUMBER(SEARCH('TRANSPORT DASHBOARD'!$C$4,INDEX(MASTER_AREAS!$B:$B,1010))))),1009,""),""),IF('TRANSPORT DASHBOARD'!$B$4="Zone",IF(1009&lt;=$I$4,IF(OR('TRANSPORT DASHBOARD'!$C$4="",ISNUMBER(SEARCH('TRANSPORT DASHBOARD'!$C$4,INDEX(MASTER_ZONES!$B:$B,1010)))),1009,""),""),""))</f>
        <v/>
      </c>
      <c r="K1010">
        <f>IF('MIDWEEK DASHBOARD'!$B$4="Area",IF(1009&lt;=$N$3,IF(AND(OR('MIDWEEK DASHBOARD'!$C$4="",ISNUMBER(SEARCH('MIDWEEK DASHBOARD'!$C$4,INDEX(MASTER_AREAS!$B:$B,1010))))),1009,""),""),IF('MIDWEEK DASHBOARD'!$B$4="Zone",IF(1009&lt;=$N$4,IF(OR('MIDWEEK DASHBOARD'!$C$4="",ISNUMBER(SEARCH('MIDWEEK DASHBOARD'!$C$4,INDEX(MASTER_ZONES!$B:$B,1010)))),1009,""),""),""))</f>
        <v/>
      </c>
      <c r="P1010">
        <f>IF('CHOP DASHBOARD'!$B$4="Area",IF(1009&lt;=$S$3,IF(AND(OR('CHOP DASHBOARD'!$C$4="",ISNUMBER(SEARCH('CHOP DASHBOARD'!$C$4,INDEX(MASTER_AREAS!$B:$B,1010))))),1009,""),""),IF('CHOP DASHBOARD'!$B$4="Zone",IF(1009&lt;=$S$4,IF(OR('CHOP DASHBOARD'!$C$4="",ISNUMBER(SEARCH('CHOP DASHBOARD'!$C$4,INDEX(MASTER_ZONES!$B:$B,1010)))),1009,""),""),""))</f>
        <v/>
      </c>
      <c r="U1010">
        <f>IF('COMMUNITY CHURCH DASHBOARD'!$B$4="Area",IF(1009&lt;=$X$3,IF(AND(OR('COMMUNITY CHURCH DASHBOARD'!$C$4="",ISNUMBER(SEARCH('COMMUNITY CHURCH DASHBOARD'!$C$4,INDEX(MASTER_AREAS!$B:$B,1010))))),1009,""),""),IF('COMMUNITY CHURCH DASHBOARD'!$B$4="Zone",IF(1009&lt;=$X$4,IF(OR('COMMUNITY CHURCH DASHBOARD'!$C$4="",ISNUMBER(SEARCH('COMMUNITY CHURCH DASHBOARD'!$C$4,INDEX(MASTER_ZONES!$B:$B,1010)))),1009,""),""),""))</f>
        <v/>
      </c>
    </row>
    <row r="1011">
      <c r="A1011">
        <f>IF('WSF DASHBOARD'!$B$4="Area",IF(1010&lt;=$D$3,IF(AND(OR('WSF DASHBOARD'!$C$4="",ISNUMBER(SEARCH('WSF DASHBOARD'!$C$4,INDEX(MASTER_AREAS!$B:$B,1011))))),1010,""),""),IF('WSF DASHBOARD'!$B$4="Zone",IF(1010&lt;=$D$4,IF(OR('WSF DASHBOARD'!$C$4="",ISNUMBER(SEARCH('WSF DASHBOARD'!$C$4,INDEX(MASTER_ZONES!$B:$B,1011)))),1010,""),""),""))</f>
        <v/>
      </c>
      <c r="F1011">
        <f>IF('TRANSPORT DASHBOARD'!$B$4="Area",IF(1010&lt;=$I$3,IF(AND(INDEX(MASTER_AREAS!$F:$F,1011)&lt;&gt;"N",OR('TRANSPORT DASHBOARD'!$C$4="",ISNUMBER(SEARCH('TRANSPORT DASHBOARD'!$C$4,INDEX(MASTER_AREAS!$B:$B,1011))))),1010,""),""),IF('TRANSPORT DASHBOARD'!$B$4="Zone",IF(1010&lt;=$I$4,IF(OR('TRANSPORT DASHBOARD'!$C$4="",ISNUMBER(SEARCH('TRANSPORT DASHBOARD'!$C$4,INDEX(MASTER_ZONES!$B:$B,1011)))),1010,""),""),""))</f>
        <v/>
      </c>
      <c r="K1011">
        <f>IF('MIDWEEK DASHBOARD'!$B$4="Area",IF(1010&lt;=$N$3,IF(AND(OR('MIDWEEK DASHBOARD'!$C$4="",ISNUMBER(SEARCH('MIDWEEK DASHBOARD'!$C$4,INDEX(MASTER_AREAS!$B:$B,1011))))),1010,""),""),IF('MIDWEEK DASHBOARD'!$B$4="Zone",IF(1010&lt;=$N$4,IF(OR('MIDWEEK DASHBOARD'!$C$4="",ISNUMBER(SEARCH('MIDWEEK DASHBOARD'!$C$4,INDEX(MASTER_ZONES!$B:$B,1011)))),1010,""),""),""))</f>
        <v/>
      </c>
      <c r="P1011">
        <f>IF('CHOP DASHBOARD'!$B$4="Area",IF(1010&lt;=$S$3,IF(AND(OR('CHOP DASHBOARD'!$C$4="",ISNUMBER(SEARCH('CHOP DASHBOARD'!$C$4,INDEX(MASTER_AREAS!$B:$B,1011))))),1010,""),""),IF('CHOP DASHBOARD'!$B$4="Zone",IF(1010&lt;=$S$4,IF(OR('CHOP DASHBOARD'!$C$4="",ISNUMBER(SEARCH('CHOP DASHBOARD'!$C$4,INDEX(MASTER_ZONES!$B:$B,1011)))),1010,""),""),""))</f>
        <v/>
      </c>
      <c r="U1011">
        <f>IF('COMMUNITY CHURCH DASHBOARD'!$B$4="Area",IF(1010&lt;=$X$3,IF(AND(OR('COMMUNITY CHURCH DASHBOARD'!$C$4="",ISNUMBER(SEARCH('COMMUNITY CHURCH DASHBOARD'!$C$4,INDEX(MASTER_AREAS!$B:$B,1011))))),1010,""),""),IF('COMMUNITY CHURCH DASHBOARD'!$B$4="Zone",IF(1010&lt;=$X$4,IF(OR('COMMUNITY CHURCH DASHBOARD'!$C$4="",ISNUMBER(SEARCH('COMMUNITY CHURCH DASHBOARD'!$C$4,INDEX(MASTER_ZONES!$B:$B,1011)))),1010,""),""),""))</f>
        <v/>
      </c>
    </row>
    <row r="1012">
      <c r="A1012">
        <f>IF('WSF DASHBOARD'!$B$4="Area",IF(1011&lt;=$D$3,IF(AND(OR('WSF DASHBOARD'!$C$4="",ISNUMBER(SEARCH('WSF DASHBOARD'!$C$4,INDEX(MASTER_AREAS!$B:$B,1012))))),1011,""),""),IF('WSF DASHBOARD'!$B$4="Zone",IF(1011&lt;=$D$4,IF(OR('WSF DASHBOARD'!$C$4="",ISNUMBER(SEARCH('WSF DASHBOARD'!$C$4,INDEX(MASTER_ZONES!$B:$B,1012)))),1011,""),""),""))</f>
        <v/>
      </c>
      <c r="F1012">
        <f>IF('TRANSPORT DASHBOARD'!$B$4="Area",IF(1011&lt;=$I$3,IF(AND(INDEX(MASTER_AREAS!$F:$F,1012)&lt;&gt;"N",OR('TRANSPORT DASHBOARD'!$C$4="",ISNUMBER(SEARCH('TRANSPORT DASHBOARD'!$C$4,INDEX(MASTER_AREAS!$B:$B,1012))))),1011,""),""),IF('TRANSPORT DASHBOARD'!$B$4="Zone",IF(1011&lt;=$I$4,IF(OR('TRANSPORT DASHBOARD'!$C$4="",ISNUMBER(SEARCH('TRANSPORT DASHBOARD'!$C$4,INDEX(MASTER_ZONES!$B:$B,1012)))),1011,""),""),""))</f>
        <v/>
      </c>
      <c r="K1012">
        <f>IF('MIDWEEK DASHBOARD'!$B$4="Area",IF(1011&lt;=$N$3,IF(AND(OR('MIDWEEK DASHBOARD'!$C$4="",ISNUMBER(SEARCH('MIDWEEK DASHBOARD'!$C$4,INDEX(MASTER_AREAS!$B:$B,1012))))),1011,""),""),IF('MIDWEEK DASHBOARD'!$B$4="Zone",IF(1011&lt;=$N$4,IF(OR('MIDWEEK DASHBOARD'!$C$4="",ISNUMBER(SEARCH('MIDWEEK DASHBOARD'!$C$4,INDEX(MASTER_ZONES!$B:$B,1012)))),1011,""),""),""))</f>
        <v/>
      </c>
      <c r="P1012">
        <f>IF('CHOP DASHBOARD'!$B$4="Area",IF(1011&lt;=$S$3,IF(AND(OR('CHOP DASHBOARD'!$C$4="",ISNUMBER(SEARCH('CHOP DASHBOARD'!$C$4,INDEX(MASTER_AREAS!$B:$B,1012))))),1011,""),""),IF('CHOP DASHBOARD'!$B$4="Zone",IF(1011&lt;=$S$4,IF(OR('CHOP DASHBOARD'!$C$4="",ISNUMBER(SEARCH('CHOP DASHBOARD'!$C$4,INDEX(MASTER_ZONES!$B:$B,1012)))),1011,""),""),""))</f>
        <v/>
      </c>
      <c r="U1012">
        <f>IF('COMMUNITY CHURCH DASHBOARD'!$B$4="Area",IF(1011&lt;=$X$3,IF(AND(OR('COMMUNITY CHURCH DASHBOARD'!$C$4="",ISNUMBER(SEARCH('COMMUNITY CHURCH DASHBOARD'!$C$4,INDEX(MASTER_AREAS!$B:$B,1012))))),1011,""),""),IF('COMMUNITY CHURCH DASHBOARD'!$B$4="Zone",IF(1011&lt;=$X$4,IF(OR('COMMUNITY CHURCH DASHBOARD'!$C$4="",ISNUMBER(SEARCH('COMMUNITY CHURCH DASHBOARD'!$C$4,INDEX(MASTER_ZONES!$B:$B,1012)))),1011,""),""),""))</f>
        <v/>
      </c>
    </row>
    <row r="1013">
      <c r="A1013">
        <f>IF('WSF DASHBOARD'!$B$4="Area",IF(1012&lt;=$D$3,IF(AND(OR('WSF DASHBOARD'!$C$4="",ISNUMBER(SEARCH('WSF DASHBOARD'!$C$4,INDEX(MASTER_AREAS!$B:$B,1013))))),1012,""),""),IF('WSF DASHBOARD'!$B$4="Zone",IF(1012&lt;=$D$4,IF(OR('WSF DASHBOARD'!$C$4="",ISNUMBER(SEARCH('WSF DASHBOARD'!$C$4,INDEX(MASTER_ZONES!$B:$B,1013)))),1012,""),""),""))</f>
        <v/>
      </c>
      <c r="F1013">
        <f>IF('TRANSPORT DASHBOARD'!$B$4="Area",IF(1012&lt;=$I$3,IF(AND(INDEX(MASTER_AREAS!$F:$F,1013)&lt;&gt;"N",OR('TRANSPORT DASHBOARD'!$C$4="",ISNUMBER(SEARCH('TRANSPORT DASHBOARD'!$C$4,INDEX(MASTER_AREAS!$B:$B,1013))))),1012,""),""),IF('TRANSPORT DASHBOARD'!$B$4="Zone",IF(1012&lt;=$I$4,IF(OR('TRANSPORT DASHBOARD'!$C$4="",ISNUMBER(SEARCH('TRANSPORT DASHBOARD'!$C$4,INDEX(MASTER_ZONES!$B:$B,1013)))),1012,""),""),""))</f>
        <v/>
      </c>
      <c r="K1013">
        <f>IF('MIDWEEK DASHBOARD'!$B$4="Area",IF(1012&lt;=$N$3,IF(AND(OR('MIDWEEK DASHBOARD'!$C$4="",ISNUMBER(SEARCH('MIDWEEK DASHBOARD'!$C$4,INDEX(MASTER_AREAS!$B:$B,1013))))),1012,""),""),IF('MIDWEEK DASHBOARD'!$B$4="Zone",IF(1012&lt;=$N$4,IF(OR('MIDWEEK DASHBOARD'!$C$4="",ISNUMBER(SEARCH('MIDWEEK DASHBOARD'!$C$4,INDEX(MASTER_ZONES!$B:$B,1013)))),1012,""),""),""))</f>
        <v/>
      </c>
      <c r="P1013">
        <f>IF('CHOP DASHBOARD'!$B$4="Area",IF(1012&lt;=$S$3,IF(AND(OR('CHOP DASHBOARD'!$C$4="",ISNUMBER(SEARCH('CHOP DASHBOARD'!$C$4,INDEX(MASTER_AREAS!$B:$B,1013))))),1012,""),""),IF('CHOP DASHBOARD'!$B$4="Zone",IF(1012&lt;=$S$4,IF(OR('CHOP DASHBOARD'!$C$4="",ISNUMBER(SEARCH('CHOP DASHBOARD'!$C$4,INDEX(MASTER_ZONES!$B:$B,1013)))),1012,""),""),""))</f>
        <v/>
      </c>
      <c r="U1013">
        <f>IF('COMMUNITY CHURCH DASHBOARD'!$B$4="Area",IF(1012&lt;=$X$3,IF(AND(OR('COMMUNITY CHURCH DASHBOARD'!$C$4="",ISNUMBER(SEARCH('COMMUNITY CHURCH DASHBOARD'!$C$4,INDEX(MASTER_AREAS!$B:$B,1013))))),1012,""),""),IF('COMMUNITY CHURCH DASHBOARD'!$B$4="Zone",IF(1012&lt;=$X$4,IF(OR('COMMUNITY CHURCH DASHBOARD'!$C$4="",ISNUMBER(SEARCH('COMMUNITY CHURCH DASHBOARD'!$C$4,INDEX(MASTER_ZONES!$B:$B,1013)))),1012,""),""),""))</f>
        <v/>
      </c>
    </row>
    <row r="1014">
      <c r="A1014">
        <f>IF('WSF DASHBOARD'!$B$4="Area",IF(1013&lt;=$D$3,IF(AND(OR('WSF DASHBOARD'!$C$4="",ISNUMBER(SEARCH('WSF DASHBOARD'!$C$4,INDEX(MASTER_AREAS!$B:$B,1014))))),1013,""),""),IF('WSF DASHBOARD'!$B$4="Zone",IF(1013&lt;=$D$4,IF(OR('WSF DASHBOARD'!$C$4="",ISNUMBER(SEARCH('WSF DASHBOARD'!$C$4,INDEX(MASTER_ZONES!$B:$B,1014)))),1013,""),""),""))</f>
        <v/>
      </c>
      <c r="F1014">
        <f>IF('TRANSPORT DASHBOARD'!$B$4="Area",IF(1013&lt;=$I$3,IF(AND(INDEX(MASTER_AREAS!$F:$F,1014)&lt;&gt;"N",OR('TRANSPORT DASHBOARD'!$C$4="",ISNUMBER(SEARCH('TRANSPORT DASHBOARD'!$C$4,INDEX(MASTER_AREAS!$B:$B,1014))))),1013,""),""),IF('TRANSPORT DASHBOARD'!$B$4="Zone",IF(1013&lt;=$I$4,IF(OR('TRANSPORT DASHBOARD'!$C$4="",ISNUMBER(SEARCH('TRANSPORT DASHBOARD'!$C$4,INDEX(MASTER_ZONES!$B:$B,1014)))),1013,""),""),""))</f>
        <v/>
      </c>
      <c r="K1014">
        <f>IF('MIDWEEK DASHBOARD'!$B$4="Area",IF(1013&lt;=$N$3,IF(AND(OR('MIDWEEK DASHBOARD'!$C$4="",ISNUMBER(SEARCH('MIDWEEK DASHBOARD'!$C$4,INDEX(MASTER_AREAS!$B:$B,1014))))),1013,""),""),IF('MIDWEEK DASHBOARD'!$B$4="Zone",IF(1013&lt;=$N$4,IF(OR('MIDWEEK DASHBOARD'!$C$4="",ISNUMBER(SEARCH('MIDWEEK DASHBOARD'!$C$4,INDEX(MASTER_ZONES!$B:$B,1014)))),1013,""),""),""))</f>
        <v/>
      </c>
      <c r="P1014">
        <f>IF('CHOP DASHBOARD'!$B$4="Area",IF(1013&lt;=$S$3,IF(AND(OR('CHOP DASHBOARD'!$C$4="",ISNUMBER(SEARCH('CHOP DASHBOARD'!$C$4,INDEX(MASTER_AREAS!$B:$B,1014))))),1013,""),""),IF('CHOP DASHBOARD'!$B$4="Zone",IF(1013&lt;=$S$4,IF(OR('CHOP DASHBOARD'!$C$4="",ISNUMBER(SEARCH('CHOP DASHBOARD'!$C$4,INDEX(MASTER_ZONES!$B:$B,1014)))),1013,""),""),""))</f>
        <v/>
      </c>
      <c r="U1014">
        <f>IF('COMMUNITY CHURCH DASHBOARD'!$B$4="Area",IF(1013&lt;=$X$3,IF(AND(OR('COMMUNITY CHURCH DASHBOARD'!$C$4="",ISNUMBER(SEARCH('COMMUNITY CHURCH DASHBOARD'!$C$4,INDEX(MASTER_AREAS!$B:$B,1014))))),1013,""),""),IF('COMMUNITY CHURCH DASHBOARD'!$B$4="Zone",IF(1013&lt;=$X$4,IF(OR('COMMUNITY CHURCH DASHBOARD'!$C$4="",ISNUMBER(SEARCH('COMMUNITY CHURCH DASHBOARD'!$C$4,INDEX(MASTER_ZONES!$B:$B,1014)))),1013,""),""),""))</f>
        <v/>
      </c>
    </row>
    <row r="1015">
      <c r="A1015">
        <f>IF('WSF DASHBOARD'!$B$4="Area",IF(1014&lt;=$D$3,IF(AND(OR('WSF DASHBOARD'!$C$4="",ISNUMBER(SEARCH('WSF DASHBOARD'!$C$4,INDEX(MASTER_AREAS!$B:$B,1015))))),1014,""),""),IF('WSF DASHBOARD'!$B$4="Zone",IF(1014&lt;=$D$4,IF(OR('WSF DASHBOARD'!$C$4="",ISNUMBER(SEARCH('WSF DASHBOARD'!$C$4,INDEX(MASTER_ZONES!$B:$B,1015)))),1014,""),""),""))</f>
        <v/>
      </c>
      <c r="F1015">
        <f>IF('TRANSPORT DASHBOARD'!$B$4="Area",IF(1014&lt;=$I$3,IF(AND(INDEX(MASTER_AREAS!$F:$F,1015)&lt;&gt;"N",OR('TRANSPORT DASHBOARD'!$C$4="",ISNUMBER(SEARCH('TRANSPORT DASHBOARD'!$C$4,INDEX(MASTER_AREAS!$B:$B,1015))))),1014,""),""),IF('TRANSPORT DASHBOARD'!$B$4="Zone",IF(1014&lt;=$I$4,IF(OR('TRANSPORT DASHBOARD'!$C$4="",ISNUMBER(SEARCH('TRANSPORT DASHBOARD'!$C$4,INDEX(MASTER_ZONES!$B:$B,1015)))),1014,""),""),""))</f>
        <v/>
      </c>
      <c r="K1015">
        <f>IF('MIDWEEK DASHBOARD'!$B$4="Area",IF(1014&lt;=$N$3,IF(AND(OR('MIDWEEK DASHBOARD'!$C$4="",ISNUMBER(SEARCH('MIDWEEK DASHBOARD'!$C$4,INDEX(MASTER_AREAS!$B:$B,1015))))),1014,""),""),IF('MIDWEEK DASHBOARD'!$B$4="Zone",IF(1014&lt;=$N$4,IF(OR('MIDWEEK DASHBOARD'!$C$4="",ISNUMBER(SEARCH('MIDWEEK DASHBOARD'!$C$4,INDEX(MASTER_ZONES!$B:$B,1015)))),1014,""),""),""))</f>
        <v/>
      </c>
      <c r="P1015">
        <f>IF('CHOP DASHBOARD'!$B$4="Area",IF(1014&lt;=$S$3,IF(AND(OR('CHOP DASHBOARD'!$C$4="",ISNUMBER(SEARCH('CHOP DASHBOARD'!$C$4,INDEX(MASTER_AREAS!$B:$B,1015))))),1014,""),""),IF('CHOP DASHBOARD'!$B$4="Zone",IF(1014&lt;=$S$4,IF(OR('CHOP DASHBOARD'!$C$4="",ISNUMBER(SEARCH('CHOP DASHBOARD'!$C$4,INDEX(MASTER_ZONES!$B:$B,1015)))),1014,""),""),""))</f>
        <v/>
      </c>
      <c r="U1015">
        <f>IF('COMMUNITY CHURCH DASHBOARD'!$B$4="Area",IF(1014&lt;=$X$3,IF(AND(OR('COMMUNITY CHURCH DASHBOARD'!$C$4="",ISNUMBER(SEARCH('COMMUNITY CHURCH DASHBOARD'!$C$4,INDEX(MASTER_AREAS!$B:$B,1015))))),1014,""),""),IF('COMMUNITY CHURCH DASHBOARD'!$B$4="Zone",IF(1014&lt;=$X$4,IF(OR('COMMUNITY CHURCH DASHBOARD'!$C$4="",ISNUMBER(SEARCH('COMMUNITY CHURCH DASHBOARD'!$C$4,INDEX(MASTER_ZONES!$B:$B,1015)))),1014,""),""),""))</f>
        <v/>
      </c>
    </row>
    <row r="1016">
      <c r="A1016">
        <f>IF('WSF DASHBOARD'!$B$4="Area",IF(1015&lt;=$D$3,IF(AND(OR('WSF DASHBOARD'!$C$4="",ISNUMBER(SEARCH('WSF DASHBOARD'!$C$4,INDEX(MASTER_AREAS!$B:$B,1016))))),1015,""),""),IF('WSF DASHBOARD'!$B$4="Zone",IF(1015&lt;=$D$4,IF(OR('WSF DASHBOARD'!$C$4="",ISNUMBER(SEARCH('WSF DASHBOARD'!$C$4,INDEX(MASTER_ZONES!$B:$B,1016)))),1015,""),""),""))</f>
        <v/>
      </c>
      <c r="F1016">
        <f>IF('TRANSPORT DASHBOARD'!$B$4="Area",IF(1015&lt;=$I$3,IF(AND(INDEX(MASTER_AREAS!$F:$F,1016)&lt;&gt;"N",OR('TRANSPORT DASHBOARD'!$C$4="",ISNUMBER(SEARCH('TRANSPORT DASHBOARD'!$C$4,INDEX(MASTER_AREAS!$B:$B,1016))))),1015,""),""),IF('TRANSPORT DASHBOARD'!$B$4="Zone",IF(1015&lt;=$I$4,IF(OR('TRANSPORT DASHBOARD'!$C$4="",ISNUMBER(SEARCH('TRANSPORT DASHBOARD'!$C$4,INDEX(MASTER_ZONES!$B:$B,1016)))),1015,""),""),""))</f>
        <v/>
      </c>
      <c r="K1016">
        <f>IF('MIDWEEK DASHBOARD'!$B$4="Area",IF(1015&lt;=$N$3,IF(AND(OR('MIDWEEK DASHBOARD'!$C$4="",ISNUMBER(SEARCH('MIDWEEK DASHBOARD'!$C$4,INDEX(MASTER_AREAS!$B:$B,1016))))),1015,""),""),IF('MIDWEEK DASHBOARD'!$B$4="Zone",IF(1015&lt;=$N$4,IF(OR('MIDWEEK DASHBOARD'!$C$4="",ISNUMBER(SEARCH('MIDWEEK DASHBOARD'!$C$4,INDEX(MASTER_ZONES!$B:$B,1016)))),1015,""),""),""))</f>
        <v/>
      </c>
      <c r="P1016">
        <f>IF('CHOP DASHBOARD'!$B$4="Area",IF(1015&lt;=$S$3,IF(AND(OR('CHOP DASHBOARD'!$C$4="",ISNUMBER(SEARCH('CHOP DASHBOARD'!$C$4,INDEX(MASTER_AREAS!$B:$B,1016))))),1015,""),""),IF('CHOP DASHBOARD'!$B$4="Zone",IF(1015&lt;=$S$4,IF(OR('CHOP DASHBOARD'!$C$4="",ISNUMBER(SEARCH('CHOP DASHBOARD'!$C$4,INDEX(MASTER_ZONES!$B:$B,1016)))),1015,""),""),""))</f>
        <v/>
      </c>
      <c r="U1016">
        <f>IF('COMMUNITY CHURCH DASHBOARD'!$B$4="Area",IF(1015&lt;=$X$3,IF(AND(OR('COMMUNITY CHURCH DASHBOARD'!$C$4="",ISNUMBER(SEARCH('COMMUNITY CHURCH DASHBOARD'!$C$4,INDEX(MASTER_AREAS!$B:$B,1016))))),1015,""),""),IF('COMMUNITY CHURCH DASHBOARD'!$B$4="Zone",IF(1015&lt;=$X$4,IF(OR('COMMUNITY CHURCH DASHBOARD'!$C$4="",ISNUMBER(SEARCH('COMMUNITY CHURCH DASHBOARD'!$C$4,INDEX(MASTER_ZONES!$B:$B,1016)))),1015,""),""),""))</f>
        <v/>
      </c>
    </row>
    <row r="1017">
      <c r="A1017">
        <f>IF('WSF DASHBOARD'!$B$4="Area",IF(1016&lt;=$D$3,IF(AND(OR('WSF DASHBOARD'!$C$4="",ISNUMBER(SEARCH('WSF DASHBOARD'!$C$4,INDEX(MASTER_AREAS!$B:$B,1017))))),1016,""),""),IF('WSF DASHBOARD'!$B$4="Zone",IF(1016&lt;=$D$4,IF(OR('WSF DASHBOARD'!$C$4="",ISNUMBER(SEARCH('WSF DASHBOARD'!$C$4,INDEX(MASTER_ZONES!$B:$B,1017)))),1016,""),""),""))</f>
        <v/>
      </c>
      <c r="F1017">
        <f>IF('TRANSPORT DASHBOARD'!$B$4="Area",IF(1016&lt;=$I$3,IF(AND(INDEX(MASTER_AREAS!$F:$F,1017)&lt;&gt;"N",OR('TRANSPORT DASHBOARD'!$C$4="",ISNUMBER(SEARCH('TRANSPORT DASHBOARD'!$C$4,INDEX(MASTER_AREAS!$B:$B,1017))))),1016,""),""),IF('TRANSPORT DASHBOARD'!$B$4="Zone",IF(1016&lt;=$I$4,IF(OR('TRANSPORT DASHBOARD'!$C$4="",ISNUMBER(SEARCH('TRANSPORT DASHBOARD'!$C$4,INDEX(MASTER_ZONES!$B:$B,1017)))),1016,""),""),""))</f>
        <v/>
      </c>
      <c r="K1017">
        <f>IF('MIDWEEK DASHBOARD'!$B$4="Area",IF(1016&lt;=$N$3,IF(AND(OR('MIDWEEK DASHBOARD'!$C$4="",ISNUMBER(SEARCH('MIDWEEK DASHBOARD'!$C$4,INDEX(MASTER_AREAS!$B:$B,1017))))),1016,""),""),IF('MIDWEEK DASHBOARD'!$B$4="Zone",IF(1016&lt;=$N$4,IF(OR('MIDWEEK DASHBOARD'!$C$4="",ISNUMBER(SEARCH('MIDWEEK DASHBOARD'!$C$4,INDEX(MASTER_ZONES!$B:$B,1017)))),1016,""),""),""))</f>
        <v/>
      </c>
      <c r="P1017">
        <f>IF('CHOP DASHBOARD'!$B$4="Area",IF(1016&lt;=$S$3,IF(AND(OR('CHOP DASHBOARD'!$C$4="",ISNUMBER(SEARCH('CHOP DASHBOARD'!$C$4,INDEX(MASTER_AREAS!$B:$B,1017))))),1016,""),""),IF('CHOP DASHBOARD'!$B$4="Zone",IF(1016&lt;=$S$4,IF(OR('CHOP DASHBOARD'!$C$4="",ISNUMBER(SEARCH('CHOP DASHBOARD'!$C$4,INDEX(MASTER_ZONES!$B:$B,1017)))),1016,""),""),""))</f>
        <v/>
      </c>
      <c r="U1017">
        <f>IF('COMMUNITY CHURCH DASHBOARD'!$B$4="Area",IF(1016&lt;=$X$3,IF(AND(OR('COMMUNITY CHURCH DASHBOARD'!$C$4="",ISNUMBER(SEARCH('COMMUNITY CHURCH DASHBOARD'!$C$4,INDEX(MASTER_AREAS!$B:$B,1017))))),1016,""),""),IF('COMMUNITY CHURCH DASHBOARD'!$B$4="Zone",IF(1016&lt;=$X$4,IF(OR('COMMUNITY CHURCH DASHBOARD'!$C$4="",ISNUMBER(SEARCH('COMMUNITY CHURCH DASHBOARD'!$C$4,INDEX(MASTER_ZONES!$B:$B,1017)))),1016,""),""),""))</f>
        <v/>
      </c>
    </row>
    <row r="1018">
      <c r="A1018">
        <f>IF('WSF DASHBOARD'!$B$4="Area",IF(1017&lt;=$D$3,IF(AND(OR('WSF DASHBOARD'!$C$4="",ISNUMBER(SEARCH('WSF DASHBOARD'!$C$4,INDEX(MASTER_AREAS!$B:$B,1018))))),1017,""),""),IF('WSF DASHBOARD'!$B$4="Zone",IF(1017&lt;=$D$4,IF(OR('WSF DASHBOARD'!$C$4="",ISNUMBER(SEARCH('WSF DASHBOARD'!$C$4,INDEX(MASTER_ZONES!$B:$B,1018)))),1017,""),""),""))</f>
        <v/>
      </c>
      <c r="F1018">
        <f>IF('TRANSPORT DASHBOARD'!$B$4="Area",IF(1017&lt;=$I$3,IF(AND(INDEX(MASTER_AREAS!$F:$F,1018)&lt;&gt;"N",OR('TRANSPORT DASHBOARD'!$C$4="",ISNUMBER(SEARCH('TRANSPORT DASHBOARD'!$C$4,INDEX(MASTER_AREAS!$B:$B,1018))))),1017,""),""),IF('TRANSPORT DASHBOARD'!$B$4="Zone",IF(1017&lt;=$I$4,IF(OR('TRANSPORT DASHBOARD'!$C$4="",ISNUMBER(SEARCH('TRANSPORT DASHBOARD'!$C$4,INDEX(MASTER_ZONES!$B:$B,1018)))),1017,""),""),""))</f>
        <v/>
      </c>
      <c r="K1018">
        <f>IF('MIDWEEK DASHBOARD'!$B$4="Area",IF(1017&lt;=$N$3,IF(AND(OR('MIDWEEK DASHBOARD'!$C$4="",ISNUMBER(SEARCH('MIDWEEK DASHBOARD'!$C$4,INDEX(MASTER_AREAS!$B:$B,1018))))),1017,""),""),IF('MIDWEEK DASHBOARD'!$B$4="Zone",IF(1017&lt;=$N$4,IF(OR('MIDWEEK DASHBOARD'!$C$4="",ISNUMBER(SEARCH('MIDWEEK DASHBOARD'!$C$4,INDEX(MASTER_ZONES!$B:$B,1018)))),1017,""),""),""))</f>
        <v/>
      </c>
      <c r="P1018">
        <f>IF('CHOP DASHBOARD'!$B$4="Area",IF(1017&lt;=$S$3,IF(AND(OR('CHOP DASHBOARD'!$C$4="",ISNUMBER(SEARCH('CHOP DASHBOARD'!$C$4,INDEX(MASTER_AREAS!$B:$B,1018))))),1017,""),""),IF('CHOP DASHBOARD'!$B$4="Zone",IF(1017&lt;=$S$4,IF(OR('CHOP DASHBOARD'!$C$4="",ISNUMBER(SEARCH('CHOP DASHBOARD'!$C$4,INDEX(MASTER_ZONES!$B:$B,1018)))),1017,""),""),""))</f>
        <v/>
      </c>
      <c r="U1018">
        <f>IF('COMMUNITY CHURCH DASHBOARD'!$B$4="Area",IF(1017&lt;=$X$3,IF(AND(OR('COMMUNITY CHURCH DASHBOARD'!$C$4="",ISNUMBER(SEARCH('COMMUNITY CHURCH DASHBOARD'!$C$4,INDEX(MASTER_AREAS!$B:$B,1018))))),1017,""),""),IF('COMMUNITY CHURCH DASHBOARD'!$B$4="Zone",IF(1017&lt;=$X$4,IF(OR('COMMUNITY CHURCH DASHBOARD'!$C$4="",ISNUMBER(SEARCH('COMMUNITY CHURCH DASHBOARD'!$C$4,INDEX(MASTER_ZONES!$B:$B,1018)))),1017,""),""),""))</f>
        <v/>
      </c>
    </row>
    <row r="1019">
      <c r="A1019">
        <f>IF('WSF DASHBOARD'!$B$4="Area",IF(1018&lt;=$D$3,IF(AND(OR('WSF DASHBOARD'!$C$4="",ISNUMBER(SEARCH('WSF DASHBOARD'!$C$4,INDEX(MASTER_AREAS!$B:$B,1019))))),1018,""),""),IF('WSF DASHBOARD'!$B$4="Zone",IF(1018&lt;=$D$4,IF(OR('WSF DASHBOARD'!$C$4="",ISNUMBER(SEARCH('WSF DASHBOARD'!$C$4,INDEX(MASTER_ZONES!$B:$B,1019)))),1018,""),""),""))</f>
        <v/>
      </c>
      <c r="F1019">
        <f>IF('TRANSPORT DASHBOARD'!$B$4="Area",IF(1018&lt;=$I$3,IF(AND(INDEX(MASTER_AREAS!$F:$F,1019)&lt;&gt;"N",OR('TRANSPORT DASHBOARD'!$C$4="",ISNUMBER(SEARCH('TRANSPORT DASHBOARD'!$C$4,INDEX(MASTER_AREAS!$B:$B,1019))))),1018,""),""),IF('TRANSPORT DASHBOARD'!$B$4="Zone",IF(1018&lt;=$I$4,IF(OR('TRANSPORT DASHBOARD'!$C$4="",ISNUMBER(SEARCH('TRANSPORT DASHBOARD'!$C$4,INDEX(MASTER_ZONES!$B:$B,1019)))),1018,""),""),""))</f>
        <v/>
      </c>
      <c r="K1019">
        <f>IF('MIDWEEK DASHBOARD'!$B$4="Area",IF(1018&lt;=$N$3,IF(AND(OR('MIDWEEK DASHBOARD'!$C$4="",ISNUMBER(SEARCH('MIDWEEK DASHBOARD'!$C$4,INDEX(MASTER_AREAS!$B:$B,1019))))),1018,""),""),IF('MIDWEEK DASHBOARD'!$B$4="Zone",IF(1018&lt;=$N$4,IF(OR('MIDWEEK DASHBOARD'!$C$4="",ISNUMBER(SEARCH('MIDWEEK DASHBOARD'!$C$4,INDEX(MASTER_ZONES!$B:$B,1019)))),1018,""),""),""))</f>
        <v/>
      </c>
      <c r="P1019">
        <f>IF('CHOP DASHBOARD'!$B$4="Area",IF(1018&lt;=$S$3,IF(AND(OR('CHOP DASHBOARD'!$C$4="",ISNUMBER(SEARCH('CHOP DASHBOARD'!$C$4,INDEX(MASTER_AREAS!$B:$B,1019))))),1018,""),""),IF('CHOP DASHBOARD'!$B$4="Zone",IF(1018&lt;=$S$4,IF(OR('CHOP DASHBOARD'!$C$4="",ISNUMBER(SEARCH('CHOP DASHBOARD'!$C$4,INDEX(MASTER_ZONES!$B:$B,1019)))),1018,""),""),""))</f>
        <v/>
      </c>
      <c r="U1019">
        <f>IF('COMMUNITY CHURCH DASHBOARD'!$B$4="Area",IF(1018&lt;=$X$3,IF(AND(OR('COMMUNITY CHURCH DASHBOARD'!$C$4="",ISNUMBER(SEARCH('COMMUNITY CHURCH DASHBOARD'!$C$4,INDEX(MASTER_AREAS!$B:$B,1019))))),1018,""),""),IF('COMMUNITY CHURCH DASHBOARD'!$B$4="Zone",IF(1018&lt;=$X$4,IF(OR('COMMUNITY CHURCH DASHBOARD'!$C$4="",ISNUMBER(SEARCH('COMMUNITY CHURCH DASHBOARD'!$C$4,INDEX(MASTER_ZONES!$B:$B,1019)))),1018,""),""),""))</f>
        <v/>
      </c>
    </row>
    <row r="1020">
      <c r="A1020">
        <f>IF('WSF DASHBOARD'!$B$4="Area",IF(1019&lt;=$D$3,IF(AND(OR('WSF DASHBOARD'!$C$4="",ISNUMBER(SEARCH('WSF DASHBOARD'!$C$4,INDEX(MASTER_AREAS!$B:$B,1020))))),1019,""),""),IF('WSF DASHBOARD'!$B$4="Zone",IF(1019&lt;=$D$4,IF(OR('WSF DASHBOARD'!$C$4="",ISNUMBER(SEARCH('WSF DASHBOARD'!$C$4,INDEX(MASTER_ZONES!$B:$B,1020)))),1019,""),""),""))</f>
        <v/>
      </c>
      <c r="F1020">
        <f>IF('TRANSPORT DASHBOARD'!$B$4="Area",IF(1019&lt;=$I$3,IF(AND(INDEX(MASTER_AREAS!$F:$F,1020)&lt;&gt;"N",OR('TRANSPORT DASHBOARD'!$C$4="",ISNUMBER(SEARCH('TRANSPORT DASHBOARD'!$C$4,INDEX(MASTER_AREAS!$B:$B,1020))))),1019,""),""),IF('TRANSPORT DASHBOARD'!$B$4="Zone",IF(1019&lt;=$I$4,IF(OR('TRANSPORT DASHBOARD'!$C$4="",ISNUMBER(SEARCH('TRANSPORT DASHBOARD'!$C$4,INDEX(MASTER_ZONES!$B:$B,1020)))),1019,""),""),""))</f>
        <v/>
      </c>
      <c r="K1020">
        <f>IF('MIDWEEK DASHBOARD'!$B$4="Area",IF(1019&lt;=$N$3,IF(AND(OR('MIDWEEK DASHBOARD'!$C$4="",ISNUMBER(SEARCH('MIDWEEK DASHBOARD'!$C$4,INDEX(MASTER_AREAS!$B:$B,1020))))),1019,""),""),IF('MIDWEEK DASHBOARD'!$B$4="Zone",IF(1019&lt;=$N$4,IF(OR('MIDWEEK DASHBOARD'!$C$4="",ISNUMBER(SEARCH('MIDWEEK DASHBOARD'!$C$4,INDEX(MASTER_ZONES!$B:$B,1020)))),1019,""),""),""))</f>
        <v/>
      </c>
      <c r="P1020">
        <f>IF('CHOP DASHBOARD'!$B$4="Area",IF(1019&lt;=$S$3,IF(AND(OR('CHOP DASHBOARD'!$C$4="",ISNUMBER(SEARCH('CHOP DASHBOARD'!$C$4,INDEX(MASTER_AREAS!$B:$B,1020))))),1019,""),""),IF('CHOP DASHBOARD'!$B$4="Zone",IF(1019&lt;=$S$4,IF(OR('CHOP DASHBOARD'!$C$4="",ISNUMBER(SEARCH('CHOP DASHBOARD'!$C$4,INDEX(MASTER_ZONES!$B:$B,1020)))),1019,""),""),""))</f>
        <v/>
      </c>
      <c r="U1020">
        <f>IF('COMMUNITY CHURCH DASHBOARD'!$B$4="Area",IF(1019&lt;=$X$3,IF(AND(OR('COMMUNITY CHURCH DASHBOARD'!$C$4="",ISNUMBER(SEARCH('COMMUNITY CHURCH DASHBOARD'!$C$4,INDEX(MASTER_AREAS!$B:$B,1020))))),1019,""),""),IF('COMMUNITY CHURCH DASHBOARD'!$B$4="Zone",IF(1019&lt;=$X$4,IF(OR('COMMUNITY CHURCH DASHBOARD'!$C$4="",ISNUMBER(SEARCH('COMMUNITY CHURCH DASHBOARD'!$C$4,INDEX(MASTER_ZONES!$B:$B,1020)))),1019,""),""),""))</f>
        <v/>
      </c>
    </row>
    <row r="1021">
      <c r="A1021">
        <f>IF('WSF DASHBOARD'!$B$4="Area",IF(1020&lt;=$D$3,IF(AND(OR('WSF DASHBOARD'!$C$4="",ISNUMBER(SEARCH('WSF DASHBOARD'!$C$4,INDEX(MASTER_AREAS!$B:$B,1021))))),1020,""),""),IF('WSF DASHBOARD'!$B$4="Zone",IF(1020&lt;=$D$4,IF(OR('WSF DASHBOARD'!$C$4="",ISNUMBER(SEARCH('WSF DASHBOARD'!$C$4,INDEX(MASTER_ZONES!$B:$B,1021)))),1020,""),""),""))</f>
        <v/>
      </c>
      <c r="F1021">
        <f>IF('TRANSPORT DASHBOARD'!$B$4="Area",IF(1020&lt;=$I$3,IF(AND(INDEX(MASTER_AREAS!$F:$F,1021)&lt;&gt;"N",OR('TRANSPORT DASHBOARD'!$C$4="",ISNUMBER(SEARCH('TRANSPORT DASHBOARD'!$C$4,INDEX(MASTER_AREAS!$B:$B,1021))))),1020,""),""),IF('TRANSPORT DASHBOARD'!$B$4="Zone",IF(1020&lt;=$I$4,IF(OR('TRANSPORT DASHBOARD'!$C$4="",ISNUMBER(SEARCH('TRANSPORT DASHBOARD'!$C$4,INDEX(MASTER_ZONES!$B:$B,1021)))),1020,""),""),""))</f>
        <v/>
      </c>
      <c r="K1021">
        <f>IF('MIDWEEK DASHBOARD'!$B$4="Area",IF(1020&lt;=$N$3,IF(AND(OR('MIDWEEK DASHBOARD'!$C$4="",ISNUMBER(SEARCH('MIDWEEK DASHBOARD'!$C$4,INDEX(MASTER_AREAS!$B:$B,1021))))),1020,""),""),IF('MIDWEEK DASHBOARD'!$B$4="Zone",IF(1020&lt;=$N$4,IF(OR('MIDWEEK DASHBOARD'!$C$4="",ISNUMBER(SEARCH('MIDWEEK DASHBOARD'!$C$4,INDEX(MASTER_ZONES!$B:$B,1021)))),1020,""),""),""))</f>
        <v/>
      </c>
      <c r="P1021">
        <f>IF('CHOP DASHBOARD'!$B$4="Area",IF(1020&lt;=$S$3,IF(AND(OR('CHOP DASHBOARD'!$C$4="",ISNUMBER(SEARCH('CHOP DASHBOARD'!$C$4,INDEX(MASTER_AREAS!$B:$B,1021))))),1020,""),""),IF('CHOP DASHBOARD'!$B$4="Zone",IF(1020&lt;=$S$4,IF(OR('CHOP DASHBOARD'!$C$4="",ISNUMBER(SEARCH('CHOP DASHBOARD'!$C$4,INDEX(MASTER_ZONES!$B:$B,1021)))),1020,""),""),""))</f>
        <v/>
      </c>
      <c r="U1021">
        <f>IF('COMMUNITY CHURCH DASHBOARD'!$B$4="Area",IF(1020&lt;=$X$3,IF(AND(OR('COMMUNITY CHURCH DASHBOARD'!$C$4="",ISNUMBER(SEARCH('COMMUNITY CHURCH DASHBOARD'!$C$4,INDEX(MASTER_AREAS!$B:$B,1021))))),1020,""),""),IF('COMMUNITY CHURCH DASHBOARD'!$B$4="Zone",IF(1020&lt;=$X$4,IF(OR('COMMUNITY CHURCH DASHBOARD'!$C$4="",ISNUMBER(SEARCH('COMMUNITY CHURCH DASHBOARD'!$C$4,INDEX(MASTER_ZONES!$B:$B,1021)))),1020,""),""),""))</f>
        <v/>
      </c>
    </row>
    <row r="1022">
      <c r="A1022">
        <f>IF('WSF DASHBOARD'!$B$4="Area",IF(1021&lt;=$D$3,IF(AND(OR('WSF DASHBOARD'!$C$4="",ISNUMBER(SEARCH('WSF DASHBOARD'!$C$4,INDEX(MASTER_AREAS!$B:$B,1022))))),1021,""),""),IF('WSF DASHBOARD'!$B$4="Zone",IF(1021&lt;=$D$4,IF(OR('WSF DASHBOARD'!$C$4="",ISNUMBER(SEARCH('WSF DASHBOARD'!$C$4,INDEX(MASTER_ZONES!$B:$B,1022)))),1021,""),""),""))</f>
        <v/>
      </c>
      <c r="F1022">
        <f>IF('TRANSPORT DASHBOARD'!$B$4="Area",IF(1021&lt;=$I$3,IF(AND(INDEX(MASTER_AREAS!$F:$F,1022)&lt;&gt;"N",OR('TRANSPORT DASHBOARD'!$C$4="",ISNUMBER(SEARCH('TRANSPORT DASHBOARD'!$C$4,INDEX(MASTER_AREAS!$B:$B,1022))))),1021,""),""),IF('TRANSPORT DASHBOARD'!$B$4="Zone",IF(1021&lt;=$I$4,IF(OR('TRANSPORT DASHBOARD'!$C$4="",ISNUMBER(SEARCH('TRANSPORT DASHBOARD'!$C$4,INDEX(MASTER_ZONES!$B:$B,1022)))),1021,""),""),""))</f>
        <v/>
      </c>
      <c r="K1022">
        <f>IF('MIDWEEK DASHBOARD'!$B$4="Area",IF(1021&lt;=$N$3,IF(AND(OR('MIDWEEK DASHBOARD'!$C$4="",ISNUMBER(SEARCH('MIDWEEK DASHBOARD'!$C$4,INDEX(MASTER_AREAS!$B:$B,1022))))),1021,""),""),IF('MIDWEEK DASHBOARD'!$B$4="Zone",IF(1021&lt;=$N$4,IF(OR('MIDWEEK DASHBOARD'!$C$4="",ISNUMBER(SEARCH('MIDWEEK DASHBOARD'!$C$4,INDEX(MASTER_ZONES!$B:$B,1022)))),1021,""),""),""))</f>
        <v/>
      </c>
      <c r="P1022">
        <f>IF('CHOP DASHBOARD'!$B$4="Area",IF(1021&lt;=$S$3,IF(AND(OR('CHOP DASHBOARD'!$C$4="",ISNUMBER(SEARCH('CHOP DASHBOARD'!$C$4,INDEX(MASTER_AREAS!$B:$B,1022))))),1021,""),""),IF('CHOP DASHBOARD'!$B$4="Zone",IF(1021&lt;=$S$4,IF(OR('CHOP DASHBOARD'!$C$4="",ISNUMBER(SEARCH('CHOP DASHBOARD'!$C$4,INDEX(MASTER_ZONES!$B:$B,1022)))),1021,""),""),""))</f>
        <v/>
      </c>
      <c r="U1022">
        <f>IF('COMMUNITY CHURCH DASHBOARD'!$B$4="Area",IF(1021&lt;=$X$3,IF(AND(OR('COMMUNITY CHURCH DASHBOARD'!$C$4="",ISNUMBER(SEARCH('COMMUNITY CHURCH DASHBOARD'!$C$4,INDEX(MASTER_AREAS!$B:$B,1022))))),1021,""),""),IF('COMMUNITY CHURCH DASHBOARD'!$B$4="Zone",IF(1021&lt;=$X$4,IF(OR('COMMUNITY CHURCH DASHBOARD'!$C$4="",ISNUMBER(SEARCH('COMMUNITY CHURCH DASHBOARD'!$C$4,INDEX(MASTER_ZONES!$B:$B,1022)))),1021,""),""),""))</f>
        <v/>
      </c>
    </row>
    <row r="1023">
      <c r="A1023">
        <f>IF('WSF DASHBOARD'!$B$4="Area",IF(1022&lt;=$D$3,IF(AND(OR('WSF DASHBOARD'!$C$4="",ISNUMBER(SEARCH('WSF DASHBOARD'!$C$4,INDEX(MASTER_AREAS!$B:$B,1023))))),1022,""),""),IF('WSF DASHBOARD'!$B$4="Zone",IF(1022&lt;=$D$4,IF(OR('WSF DASHBOARD'!$C$4="",ISNUMBER(SEARCH('WSF DASHBOARD'!$C$4,INDEX(MASTER_ZONES!$B:$B,1023)))),1022,""),""),""))</f>
        <v/>
      </c>
      <c r="F1023">
        <f>IF('TRANSPORT DASHBOARD'!$B$4="Area",IF(1022&lt;=$I$3,IF(AND(INDEX(MASTER_AREAS!$F:$F,1023)&lt;&gt;"N",OR('TRANSPORT DASHBOARD'!$C$4="",ISNUMBER(SEARCH('TRANSPORT DASHBOARD'!$C$4,INDEX(MASTER_AREAS!$B:$B,1023))))),1022,""),""),IF('TRANSPORT DASHBOARD'!$B$4="Zone",IF(1022&lt;=$I$4,IF(OR('TRANSPORT DASHBOARD'!$C$4="",ISNUMBER(SEARCH('TRANSPORT DASHBOARD'!$C$4,INDEX(MASTER_ZONES!$B:$B,1023)))),1022,""),""),""))</f>
        <v/>
      </c>
      <c r="K1023">
        <f>IF('MIDWEEK DASHBOARD'!$B$4="Area",IF(1022&lt;=$N$3,IF(AND(OR('MIDWEEK DASHBOARD'!$C$4="",ISNUMBER(SEARCH('MIDWEEK DASHBOARD'!$C$4,INDEX(MASTER_AREAS!$B:$B,1023))))),1022,""),""),IF('MIDWEEK DASHBOARD'!$B$4="Zone",IF(1022&lt;=$N$4,IF(OR('MIDWEEK DASHBOARD'!$C$4="",ISNUMBER(SEARCH('MIDWEEK DASHBOARD'!$C$4,INDEX(MASTER_ZONES!$B:$B,1023)))),1022,""),""),""))</f>
        <v/>
      </c>
      <c r="P1023">
        <f>IF('CHOP DASHBOARD'!$B$4="Area",IF(1022&lt;=$S$3,IF(AND(OR('CHOP DASHBOARD'!$C$4="",ISNUMBER(SEARCH('CHOP DASHBOARD'!$C$4,INDEX(MASTER_AREAS!$B:$B,1023))))),1022,""),""),IF('CHOP DASHBOARD'!$B$4="Zone",IF(1022&lt;=$S$4,IF(OR('CHOP DASHBOARD'!$C$4="",ISNUMBER(SEARCH('CHOP DASHBOARD'!$C$4,INDEX(MASTER_ZONES!$B:$B,1023)))),1022,""),""),""))</f>
        <v/>
      </c>
      <c r="U1023">
        <f>IF('COMMUNITY CHURCH DASHBOARD'!$B$4="Area",IF(1022&lt;=$X$3,IF(AND(OR('COMMUNITY CHURCH DASHBOARD'!$C$4="",ISNUMBER(SEARCH('COMMUNITY CHURCH DASHBOARD'!$C$4,INDEX(MASTER_AREAS!$B:$B,1023))))),1022,""),""),IF('COMMUNITY CHURCH DASHBOARD'!$B$4="Zone",IF(1022&lt;=$X$4,IF(OR('COMMUNITY CHURCH DASHBOARD'!$C$4="",ISNUMBER(SEARCH('COMMUNITY CHURCH DASHBOARD'!$C$4,INDEX(MASTER_ZONES!$B:$B,1023)))),1022,""),""),""))</f>
        <v/>
      </c>
    </row>
    <row r="1024">
      <c r="A1024">
        <f>IF('WSF DASHBOARD'!$B$4="Area",IF(1023&lt;=$D$3,IF(AND(OR('WSF DASHBOARD'!$C$4="",ISNUMBER(SEARCH('WSF DASHBOARD'!$C$4,INDEX(MASTER_AREAS!$B:$B,1024))))),1023,""),""),IF('WSF DASHBOARD'!$B$4="Zone",IF(1023&lt;=$D$4,IF(OR('WSF DASHBOARD'!$C$4="",ISNUMBER(SEARCH('WSF DASHBOARD'!$C$4,INDEX(MASTER_ZONES!$B:$B,1024)))),1023,""),""),""))</f>
        <v/>
      </c>
      <c r="F1024">
        <f>IF('TRANSPORT DASHBOARD'!$B$4="Area",IF(1023&lt;=$I$3,IF(AND(INDEX(MASTER_AREAS!$F:$F,1024)&lt;&gt;"N",OR('TRANSPORT DASHBOARD'!$C$4="",ISNUMBER(SEARCH('TRANSPORT DASHBOARD'!$C$4,INDEX(MASTER_AREAS!$B:$B,1024))))),1023,""),""),IF('TRANSPORT DASHBOARD'!$B$4="Zone",IF(1023&lt;=$I$4,IF(OR('TRANSPORT DASHBOARD'!$C$4="",ISNUMBER(SEARCH('TRANSPORT DASHBOARD'!$C$4,INDEX(MASTER_ZONES!$B:$B,1024)))),1023,""),""),""))</f>
        <v/>
      </c>
      <c r="K1024">
        <f>IF('MIDWEEK DASHBOARD'!$B$4="Area",IF(1023&lt;=$N$3,IF(AND(OR('MIDWEEK DASHBOARD'!$C$4="",ISNUMBER(SEARCH('MIDWEEK DASHBOARD'!$C$4,INDEX(MASTER_AREAS!$B:$B,1024))))),1023,""),""),IF('MIDWEEK DASHBOARD'!$B$4="Zone",IF(1023&lt;=$N$4,IF(OR('MIDWEEK DASHBOARD'!$C$4="",ISNUMBER(SEARCH('MIDWEEK DASHBOARD'!$C$4,INDEX(MASTER_ZONES!$B:$B,1024)))),1023,""),""),""))</f>
        <v/>
      </c>
      <c r="P1024">
        <f>IF('CHOP DASHBOARD'!$B$4="Area",IF(1023&lt;=$S$3,IF(AND(OR('CHOP DASHBOARD'!$C$4="",ISNUMBER(SEARCH('CHOP DASHBOARD'!$C$4,INDEX(MASTER_AREAS!$B:$B,1024))))),1023,""),""),IF('CHOP DASHBOARD'!$B$4="Zone",IF(1023&lt;=$S$4,IF(OR('CHOP DASHBOARD'!$C$4="",ISNUMBER(SEARCH('CHOP DASHBOARD'!$C$4,INDEX(MASTER_ZONES!$B:$B,1024)))),1023,""),""),""))</f>
        <v/>
      </c>
      <c r="U1024">
        <f>IF('COMMUNITY CHURCH DASHBOARD'!$B$4="Area",IF(1023&lt;=$X$3,IF(AND(OR('COMMUNITY CHURCH DASHBOARD'!$C$4="",ISNUMBER(SEARCH('COMMUNITY CHURCH DASHBOARD'!$C$4,INDEX(MASTER_AREAS!$B:$B,1024))))),1023,""),""),IF('COMMUNITY CHURCH DASHBOARD'!$B$4="Zone",IF(1023&lt;=$X$4,IF(OR('COMMUNITY CHURCH DASHBOARD'!$C$4="",ISNUMBER(SEARCH('COMMUNITY CHURCH DASHBOARD'!$C$4,INDEX(MASTER_ZONES!$B:$B,1024)))),1023,""),""),""))</f>
        <v/>
      </c>
    </row>
    <row r="1025">
      <c r="A1025">
        <f>IF('WSF DASHBOARD'!$B$4="Area",IF(1024&lt;=$D$3,IF(AND(OR('WSF DASHBOARD'!$C$4="",ISNUMBER(SEARCH('WSF DASHBOARD'!$C$4,INDEX(MASTER_AREAS!$B:$B,1025))))),1024,""),""),IF('WSF DASHBOARD'!$B$4="Zone",IF(1024&lt;=$D$4,IF(OR('WSF DASHBOARD'!$C$4="",ISNUMBER(SEARCH('WSF DASHBOARD'!$C$4,INDEX(MASTER_ZONES!$B:$B,1025)))),1024,""),""),""))</f>
        <v/>
      </c>
      <c r="F1025">
        <f>IF('TRANSPORT DASHBOARD'!$B$4="Area",IF(1024&lt;=$I$3,IF(AND(INDEX(MASTER_AREAS!$F:$F,1025)&lt;&gt;"N",OR('TRANSPORT DASHBOARD'!$C$4="",ISNUMBER(SEARCH('TRANSPORT DASHBOARD'!$C$4,INDEX(MASTER_AREAS!$B:$B,1025))))),1024,""),""),IF('TRANSPORT DASHBOARD'!$B$4="Zone",IF(1024&lt;=$I$4,IF(OR('TRANSPORT DASHBOARD'!$C$4="",ISNUMBER(SEARCH('TRANSPORT DASHBOARD'!$C$4,INDEX(MASTER_ZONES!$B:$B,1025)))),1024,""),""),""))</f>
        <v/>
      </c>
      <c r="K1025">
        <f>IF('MIDWEEK DASHBOARD'!$B$4="Area",IF(1024&lt;=$N$3,IF(AND(OR('MIDWEEK DASHBOARD'!$C$4="",ISNUMBER(SEARCH('MIDWEEK DASHBOARD'!$C$4,INDEX(MASTER_AREAS!$B:$B,1025))))),1024,""),""),IF('MIDWEEK DASHBOARD'!$B$4="Zone",IF(1024&lt;=$N$4,IF(OR('MIDWEEK DASHBOARD'!$C$4="",ISNUMBER(SEARCH('MIDWEEK DASHBOARD'!$C$4,INDEX(MASTER_ZONES!$B:$B,1025)))),1024,""),""),""))</f>
        <v/>
      </c>
      <c r="P1025">
        <f>IF('CHOP DASHBOARD'!$B$4="Area",IF(1024&lt;=$S$3,IF(AND(OR('CHOP DASHBOARD'!$C$4="",ISNUMBER(SEARCH('CHOP DASHBOARD'!$C$4,INDEX(MASTER_AREAS!$B:$B,1025))))),1024,""),""),IF('CHOP DASHBOARD'!$B$4="Zone",IF(1024&lt;=$S$4,IF(OR('CHOP DASHBOARD'!$C$4="",ISNUMBER(SEARCH('CHOP DASHBOARD'!$C$4,INDEX(MASTER_ZONES!$B:$B,1025)))),1024,""),""),""))</f>
        <v/>
      </c>
      <c r="U1025">
        <f>IF('COMMUNITY CHURCH DASHBOARD'!$B$4="Area",IF(1024&lt;=$X$3,IF(AND(OR('COMMUNITY CHURCH DASHBOARD'!$C$4="",ISNUMBER(SEARCH('COMMUNITY CHURCH DASHBOARD'!$C$4,INDEX(MASTER_AREAS!$B:$B,1025))))),1024,""),""),IF('COMMUNITY CHURCH DASHBOARD'!$B$4="Zone",IF(1024&lt;=$X$4,IF(OR('COMMUNITY CHURCH DASHBOARD'!$C$4="",ISNUMBER(SEARCH('COMMUNITY CHURCH DASHBOARD'!$C$4,INDEX(MASTER_ZONES!$B:$B,1025)))),1024,""),""),""))</f>
        <v/>
      </c>
    </row>
    <row r="1026">
      <c r="A1026">
        <f>IF('WSF DASHBOARD'!$B$4="Area",IF(1025&lt;=$D$3,IF(AND(OR('WSF DASHBOARD'!$C$4="",ISNUMBER(SEARCH('WSF DASHBOARD'!$C$4,INDEX(MASTER_AREAS!$B:$B,1026))))),1025,""),""),IF('WSF DASHBOARD'!$B$4="Zone",IF(1025&lt;=$D$4,IF(OR('WSF DASHBOARD'!$C$4="",ISNUMBER(SEARCH('WSF DASHBOARD'!$C$4,INDEX(MASTER_ZONES!$B:$B,1026)))),1025,""),""),""))</f>
        <v/>
      </c>
      <c r="F1026">
        <f>IF('TRANSPORT DASHBOARD'!$B$4="Area",IF(1025&lt;=$I$3,IF(AND(INDEX(MASTER_AREAS!$F:$F,1026)&lt;&gt;"N",OR('TRANSPORT DASHBOARD'!$C$4="",ISNUMBER(SEARCH('TRANSPORT DASHBOARD'!$C$4,INDEX(MASTER_AREAS!$B:$B,1026))))),1025,""),""),IF('TRANSPORT DASHBOARD'!$B$4="Zone",IF(1025&lt;=$I$4,IF(OR('TRANSPORT DASHBOARD'!$C$4="",ISNUMBER(SEARCH('TRANSPORT DASHBOARD'!$C$4,INDEX(MASTER_ZONES!$B:$B,1026)))),1025,""),""),""))</f>
        <v/>
      </c>
      <c r="K1026">
        <f>IF('MIDWEEK DASHBOARD'!$B$4="Area",IF(1025&lt;=$N$3,IF(AND(OR('MIDWEEK DASHBOARD'!$C$4="",ISNUMBER(SEARCH('MIDWEEK DASHBOARD'!$C$4,INDEX(MASTER_AREAS!$B:$B,1026))))),1025,""),""),IF('MIDWEEK DASHBOARD'!$B$4="Zone",IF(1025&lt;=$N$4,IF(OR('MIDWEEK DASHBOARD'!$C$4="",ISNUMBER(SEARCH('MIDWEEK DASHBOARD'!$C$4,INDEX(MASTER_ZONES!$B:$B,1026)))),1025,""),""),""))</f>
        <v/>
      </c>
      <c r="P1026">
        <f>IF('CHOP DASHBOARD'!$B$4="Area",IF(1025&lt;=$S$3,IF(AND(OR('CHOP DASHBOARD'!$C$4="",ISNUMBER(SEARCH('CHOP DASHBOARD'!$C$4,INDEX(MASTER_AREAS!$B:$B,1026))))),1025,""),""),IF('CHOP DASHBOARD'!$B$4="Zone",IF(1025&lt;=$S$4,IF(OR('CHOP DASHBOARD'!$C$4="",ISNUMBER(SEARCH('CHOP DASHBOARD'!$C$4,INDEX(MASTER_ZONES!$B:$B,1026)))),1025,""),""),""))</f>
        <v/>
      </c>
      <c r="U1026">
        <f>IF('COMMUNITY CHURCH DASHBOARD'!$B$4="Area",IF(1025&lt;=$X$3,IF(AND(OR('COMMUNITY CHURCH DASHBOARD'!$C$4="",ISNUMBER(SEARCH('COMMUNITY CHURCH DASHBOARD'!$C$4,INDEX(MASTER_AREAS!$B:$B,1026))))),1025,""),""),IF('COMMUNITY CHURCH DASHBOARD'!$B$4="Zone",IF(1025&lt;=$X$4,IF(OR('COMMUNITY CHURCH DASHBOARD'!$C$4="",ISNUMBER(SEARCH('COMMUNITY CHURCH DASHBOARD'!$C$4,INDEX(MASTER_ZONES!$B:$B,1026)))),1025,""),""),""))</f>
        <v/>
      </c>
    </row>
    <row r="1027">
      <c r="A1027">
        <f>IF('WSF DASHBOARD'!$B$4="Area",IF(1026&lt;=$D$3,IF(AND(OR('WSF DASHBOARD'!$C$4="",ISNUMBER(SEARCH('WSF DASHBOARD'!$C$4,INDEX(MASTER_AREAS!$B:$B,1027))))),1026,""),""),IF('WSF DASHBOARD'!$B$4="Zone",IF(1026&lt;=$D$4,IF(OR('WSF DASHBOARD'!$C$4="",ISNUMBER(SEARCH('WSF DASHBOARD'!$C$4,INDEX(MASTER_ZONES!$B:$B,1027)))),1026,""),""),""))</f>
        <v/>
      </c>
      <c r="F1027">
        <f>IF('TRANSPORT DASHBOARD'!$B$4="Area",IF(1026&lt;=$I$3,IF(AND(INDEX(MASTER_AREAS!$F:$F,1027)&lt;&gt;"N",OR('TRANSPORT DASHBOARD'!$C$4="",ISNUMBER(SEARCH('TRANSPORT DASHBOARD'!$C$4,INDEX(MASTER_AREAS!$B:$B,1027))))),1026,""),""),IF('TRANSPORT DASHBOARD'!$B$4="Zone",IF(1026&lt;=$I$4,IF(OR('TRANSPORT DASHBOARD'!$C$4="",ISNUMBER(SEARCH('TRANSPORT DASHBOARD'!$C$4,INDEX(MASTER_ZONES!$B:$B,1027)))),1026,""),""),""))</f>
        <v/>
      </c>
      <c r="K1027">
        <f>IF('MIDWEEK DASHBOARD'!$B$4="Area",IF(1026&lt;=$N$3,IF(AND(OR('MIDWEEK DASHBOARD'!$C$4="",ISNUMBER(SEARCH('MIDWEEK DASHBOARD'!$C$4,INDEX(MASTER_AREAS!$B:$B,1027))))),1026,""),""),IF('MIDWEEK DASHBOARD'!$B$4="Zone",IF(1026&lt;=$N$4,IF(OR('MIDWEEK DASHBOARD'!$C$4="",ISNUMBER(SEARCH('MIDWEEK DASHBOARD'!$C$4,INDEX(MASTER_ZONES!$B:$B,1027)))),1026,""),""),""))</f>
        <v/>
      </c>
      <c r="P1027">
        <f>IF('CHOP DASHBOARD'!$B$4="Area",IF(1026&lt;=$S$3,IF(AND(OR('CHOP DASHBOARD'!$C$4="",ISNUMBER(SEARCH('CHOP DASHBOARD'!$C$4,INDEX(MASTER_AREAS!$B:$B,1027))))),1026,""),""),IF('CHOP DASHBOARD'!$B$4="Zone",IF(1026&lt;=$S$4,IF(OR('CHOP DASHBOARD'!$C$4="",ISNUMBER(SEARCH('CHOP DASHBOARD'!$C$4,INDEX(MASTER_ZONES!$B:$B,1027)))),1026,""),""),""))</f>
        <v/>
      </c>
      <c r="U1027">
        <f>IF('COMMUNITY CHURCH DASHBOARD'!$B$4="Area",IF(1026&lt;=$X$3,IF(AND(OR('COMMUNITY CHURCH DASHBOARD'!$C$4="",ISNUMBER(SEARCH('COMMUNITY CHURCH DASHBOARD'!$C$4,INDEX(MASTER_AREAS!$B:$B,1027))))),1026,""),""),IF('COMMUNITY CHURCH DASHBOARD'!$B$4="Zone",IF(1026&lt;=$X$4,IF(OR('COMMUNITY CHURCH DASHBOARD'!$C$4="",ISNUMBER(SEARCH('COMMUNITY CHURCH DASHBOARD'!$C$4,INDEX(MASTER_ZONES!$B:$B,1027)))),1026,""),""),""))</f>
        <v/>
      </c>
    </row>
    <row r="1028">
      <c r="A1028">
        <f>IF('WSF DASHBOARD'!$B$4="Area",IF(1027&lt;=$D$3,IF(AND(OR('WSF DASHBOARD'!$C$4="",ISNUMBER(SEARCH('WSF DASHBOARD'!$C$4,INDEX(MASTER_AREAS!$B:$B,1028))))),1027,""),""),IF('WSF DASHBOARD'!$B$4="Zone",IF(1027&lt;=$D$4,IF(OR('WSF DASHBOARD'!$C$4="",ISNUMBER(SEARCH('WSF DASHBOARD'!$C$4,INDEX(MASTER_ZONES!$B:$B,1028)))),1027,""),""),""))</f>
        <v/>
      </c>
      <c r="F1028">
        <f>IF('TRANSPORT DASHBOARD'!$B$4="Area",IF(1027&lt;=$I$3,IF(AND(INDEX(MASTER_AREAS!$F:$F,1028)&lt;&gt;"N",OR('TRANSPORT DASHBOARD'!$C$4="",ISNUMBER(SEARCH('TRANSPORT DASHBOARD'!$C$4,INDEX(MASTER_AREAS!$B:$B,1028))))),1027,""),""),IF('TRANSPORT DASHBOARD'!$B$4="Zone",IF(1027&lt;=$I$4,IF(OR('TRANSPORT DASHBOARD'!$C$4="",ISNUMBER(SEARCH('TRANSPORT DASHBOARD'!$C$4,INDEX(MASTER_ZONES!$B:$B,1028)))),1027,""),""),""))</f>
        <v/>
      </c>
      <c r="K1028">
        <f>IF('MIDWEEK DASHBOARD'!$B$4="Area",IF(1027&lt;=$N$3,IF(AND(OR('MIDWEEK DASHBOARD'!$C$4="",ISNUMBER(SEARCH('MIDWEEK DASHBOARD'!$C$4,INDEX(MASTER_AREAS!$B:$B,1028))))),1027,""),""),IF('MIDWEEK DASHBOARD'!$B$4="Zone",IF(1027&lt;=$N$4,IF(OR('MIDWEEK DASHBOARD'!$C$4="",ISNUMBER(SEARCH('MIDWEEK DASHBOARD'!$C$4,INDEX(MASTER_ZONES!$B:$B,1028)))),1027,""),""),""))</f>
        <v/>
      </c>
      <c r="P1028">
        <f>IF('CHOP DASHBOARD'!$B$4="Area",IF(1027&lt;=$S$3,IF(AND(OR('CHOP DASHBOARD'!$C$4="",ISNUMBER(SEARCH('CHOP DASHBOARD'!$C$4,INDEX(MASTER_AREAS!$B:$B,1028))))),1027,""),""),IF('CHOP DASHBOARD'!$B$4="Zone",IF(1027&lt;=$S$4,IF(OR('CHOP DASHBOARD'!$C$4="",ISNUMBER(SEARCH('CHOP DASHBOARD'!$C$4,INDEX(MASTER_ZONES!$B:$B,1028)))),1027,""),""),""))</f>
        <v/>
      </c>
      <c r="U1028">
        <f>IF('COMMUNITY CHURCH DASHBOARD'!$B$4="Area",IF(1027&lt;=$X$3,IF(AND(OR('COMMUNITY CHURCH DASHBOARD'!$C$4="",ISNUMBER(SEARCH('COMMUNITY CHURCH DASHBOARD'!$C$4,INDEX(MASTER_AREAS!$B:$B,1028))))),1027,""),""),IF('COMMUNITY CHURCH DASHBOARD'!$B$4="Zone",IF(1027&lt;=$X$4,IF(OR('COMMUNITY CHURCH DASHBOARD'!$C$4="",ISNUMBER(SEARCH('COMMUNITY CHURCH DASHBOARD'!$C$4,INDEX(MASTER_ZONES!$B:$B,1028)))),1027,""),""),""))</f>
        <v/>
      </c>
    </row>
    <row r="1029">
      <c r="A1029">
        <f>IF('WSF DASHBOARD'!$B$4="Area",IF(1028&lt;=$D$3,IF(AND(OR('WSF DASHBOARD'!$C$4="",ISNUMBER(SEARCH('WSF DASHBOARD'!$C$4,INDEX(MASTER_AREAS!$B:$B,1029))))),1028,""),""),IF('WSF DASHBOARD'!$B$4="Zone",IF(1028&lt;=$D$4,IF(OR('WSF DASHBOARD'!$C$4="",ISNUMBER(SEARCH('WSF DASHBOARD'!$C$4,INDEX(MASTER_ZONES!$B:$B,1029)))),1028,""),""),""))</f>
        <v/>
      </c>
      <c r="F1029">
        <f>IF('TRANSPORT DASHBOARD'!$B$4="Area",IF(1028&lt;=$I$3,IF(AND(INDEX(MASTER_AREAS!$F:$F,1029)&lt;&gt;"N",OR('TRANSPORT DASHBOARD'!$C$4="",ISNUMBER(SEARCH('TRANSPORT DASHBOARD'!$C$4,INDEX(MASTER_AREAS!$B:$B,1029))))),1028,""),""),IF('TRANSPORT DASHBOARD'!$B$4="Zone",IF(1028&lt;=$I$4,IF(OR('TRANSPORT DASHBOARD'!$C$4="",ISNUMBER(SEARCH('TRANSPORT DASHBOARD'!$C$4,INDEX(MASTER_ZONES!$B:$B,1029)))),1028,""),""),""))</f>
        <v/>
      </c>
      <c r="K1029">
        <f>IF('MIDWEEK DASHBOARD'!$B$4="Area",IF(1028&lt;=$N$3,IF(AND(OR('MIDWEEK DASHBOARD'!$C$4="",ISNUMBER(SEARCH('MIDWEEK DASHBOARD'!$C$4,INDEX(MASTER_AREAS!$B:$B,1029))))),1028,""),""),IF('MIDWEEK DASHBOARD'!$B$4="Zone",IF(1028&lt;=$N$4,IF(OR('MIDWEEK DASHBOARD'!$C$4="",ISNUMBER(SEARCH('MIDWEEK DASHBOARD'!$C$4,INDEX(MASTER_ZONES!$B:$B,1029)))),1028,""),""),""))</f>
        <v/>
      </c>
      <c r="P1029">
        <f>IF('CHOP DASHBOARD'!$B$4="Area",IF(1028&lt;=$S$3,IF(AND(OR('CHOP DASHBOARD'!$C$4="",ISNUMBER(SEARCH('CHOP DASHBOARD'!$C$4,INDEX(MASTER_AREAS!$B:$B,1029))))),1028,""),""),IF('CHOP DASHBOARD'!$B$4="Zone",IF(1028&lt;=$S$4,IF(OR('CHOP DASHBOARD'!$C$4="",ISNUMBER(SEARCH('CHOP DASHBOARD'!$C$4,INDEX(MASTER_ZONES!$B:$B,1029)))),1028,""),""),""))</f>
        <v/>
      </c>
      <c r="U1029">
        <f>IF('COMMUNITY CHURCH DASHBOARD'!$B$4="Area",IF(1028&lt;=$X$3,IF(AND(OR('COMMUNITY CHURCH DASHBOARD'!$C$4="",ISNUMBER(SEARCH('COMMUNITY CHURCH DASHBOARD'!$C$4,INDEX(MASTER_AREAS!$B:$B,1029))))),1028,""),""),IF('COMMUNITY CHURCH DASHBOARD'!$B$4="Zone",IF(1028&lt;=$X$4,IF(OR('COMMUNITY CHURCH DASHBOARD'!$C$4="",ISNUMBER(SEARCH('COMMUNITY CHURCH DASHBOARD'!$C$4,INDEX(MASTER_ZONES!$B:$B,1029)))),1028,""),""),""))</f>
        <v/>
      </c>
    </row>
    <row r="1030">
      <c r="A1030">
        <f>IF('WSF DASHBOARD'!$B$4="Area",IF(1029&lt;=$D$3,IF(AND(OR('WSF DASHBOARD'!$C$4="",ISNUMBER(SEARCH('WSF DASHBOARD'!$C$4,INDEX(MASTER_AREAS!$B:$B,1030))))),1029,""),""),IF('WSF DASHBOARD'!$B$4="Zone",IF(1029&lt;=$D$4,IF(OR('WSF DASHBOARD'!$C$4="",ISNUMBER(SEARCH('WSF DASHBOARD'!$C$4,INDEX(MASTER_ZONES!$B:$B,1030)))),1029,""),""),""))</f>
        <v/>
      </c>
      <c r="F1030">
        <f>IF('TRANSPORT DASHBOARD'!$B$4="Area",IF(1029&lt;=$I$3,IF(AND(INDEX(MASTER_AREAS!$F:$F,1030)&lt;&gt;"N",OR('TRANSPORT DASHBOARD'!$C$4="",ISNUMBER(SEARCH('TRANSPORT DASHBOARD'!$C$4,INDEX(MASTER_AREAS!$B:$B,1030))))),1029,""),""),IF('TRANSPORT DASHBOARD'!$B$4="Zone",IF(1029&lt;=$I$4,IF(OR('TRANSPORT DASHBOARD'!$C$4="",ISNUMBER(SEARCH('TRANSPORT DASHBOARD'!$C$4,INDEX(MASTER_ZONES!$B:$B,1030)))),1029,""),""),""))</f>
        <v/>
      </c>
      <c r="K1030">
        <f>IF('MIDWEEK DASHBOARD'!$B$4="Area",IF(1029&lt;=$N$3,IF(AND(OR('MIDWEEK DASHBOARD'!$C$4="",ISNUMBER(SEARCH('MIDWEEK DASHBOARD'!$C$4,INDEX(MASTER_AREAS!$B:$B,1030))))),1029,""),""),IF('MIDWEEK DASHBOARD'!$B$4="Zone",IF(1029&lt;=$N$4,IF(OR('MIDWEEK DASHBOARD'!$C$4="",ISNUMBER(SEARCH('MIDWEEK DASHBOARD'!$C$4,INDEX(MASTER_ZONES!$B:$B,1030)))),1029,""),""),""))</f>
        <v/>
      </c>
      <c r="P1030">
        <f>IF('CHOP DASHBOARD'!$B$4="Area",IF(1029&lt;=$S$3,IF(AND(OR('CHOP DASHBOARD'!$C$4="",ISNUMBER(SEARCH('CHOP DASHBOARD'!$C$4,INDEX(MASTER_AREAS!$B:$B,1030))))),1029,""),""),IF('CHOP DASHBOARD'!$B$4="Zone",IF(1029&lt;=$S$4,IF(OR('CHOP DASHBOARD'!$C$4="",ISNUMBER(SEARCH('CHOP DASHBOARD'!$C$4,INDEX(MASTER_ZONES!$B:$B,1030)))),1029,""),""),""))</f>
        <v/>
      </c>
      <c r="U1030">
        <f>IF('COMMUNITY CHURCH DASHBOARD'!$B$4="Area",IF(1029&lt;=$X$3,IF(AND(OR('COMMUNITY CHURCH DASHBOARD'!$C$4="",ISNUMBER(SEARCH('COMMUNITY CHURCH DASHBOARD'!$C$4,INDEX(MASTER_AREAS!$B:$B,1030))))),1029,""),""),IF('COMMUNITY CHURCH DASHBOARD'!$B$4="Zone",IF(1029&lt;=$X$4,IF(OR('COMMUNITY CHURCH DASHBOARD'!$C$4="",ISNUMBER(SEARCH('COMMUNITY CHURCH DASHBOARD'!$C$4,INDEX(MASTER_ZONES!$B:$B,1030)))),1029,""),""),""))</f>
        <v/>
      </c>
    </row>
    <row r="1031">
      <c r="A1031">
        <f>IF('WSF DASHBOARD'!$B$4="Area",IF(1030&lt;=$D$3,IF(AND(OR('WSF DASHBOARD'!$C$4="",ISNUMBER(SEARCH('WSF DASHBOARD'!$C$4,INDEX(MASTER_AREAS!$B:$B,1031))))),1030,""),""),IF('WSF DASHBOARD'!$B$4="Zone",IF(1030&lt;=$D$4,IF(OR('WSF DASHBOARD'!$C$4="",ISNUMBER(SEARCH('WSF DASHBOARD'!$C$4,INDEX(MASTER_ZONES!$B:$B,1031)))),1030,""),""),""))</f>
        <v/>
      </c>
      <c r="F1031">
        <f>IF('TRANSPORT DASHBOARD'!$B$4="Area",IF(1030&lt;=$I$3,IF(AND(INDEX(MASTER_AREAS!$F:$F,1031)&lt;&gt;"N",OR('TRANSPORT DASHBOARD'!$C$4="",ISNUMBER(SEARCH('TRANSPORT DASHBOARD'!$C$4,INDEX(MASTER_AREAS!$B:$B,1031))))),1030,""),""),IF('TRANSPORT DASHBOARD'!$B$4="Zone",IF(1030&lt;=$I$4,IF(OR('TRANSPORT DASHBOARD'!$C$4="",ISNUMBER(SEARCH('TRANSPORT DASHBOARD'!$C$4,INDEX(MASTER_ZONES!$B:$B,1031)))),1030,""),""),""))</f>
        <v/>
      </c>
      <c r="K1031">
        <f>IF('MIDWEEK DASHBOARD'!$B$4="Area",IF(1030&lt;=$N$3,IF(AND(OR('MIDWEEK DASHBOARD'!$C$4="",ISNUMBER(SEARCH('MIDWEEK DASHBOARD'!$C$4,INDEX(MASTER_AREAS!$B:$B,1031))))),1030,""),""),IF('MIDWEEK DASHBOARD'!$B$4="Zone",IF(1030&lt;=$N$4,IF(OR('MIDWEEK DASHBOARD'!$C$4="",ISNUMBER(SEARCH('MIDWEEK DASHBOARD'!$C$4,INDEX(MASTER_ZONES!$B:$B,1031)))),1030,""),""),""))</f>
        <v/>
      </c>
      <c r="P1031">
        <f>IF('CHOP DASHBOARD'!$B$4="Area",IF(1030&lt;=$S$3,IF(AND(OR('CHOP DASHBOARD'!$C$4="",ISNUMBER(SEARCH('CHOP DASHBOARD'!$C$4,INDEX(MASTER_AREAS!$B:$B,1031))))),1030,""),""),IF('CHOP DASHBOARD'!$B$4="Zone",IF(1030&lt;=$S$4,IF(OR('CHOP DASHBOARD'!$C$4="",ISNUMBER(SEARCH('CHOP DASHBOARD'!$C$4,INDEX(MASTER_ZONES!$B:$B,1031)))),1030,""),""),""))</f>
        <v/>
      </c>
      <c r="U1031">
        <f>IF('COMMUNITY CHURCH DASHBOARD'!$B$4="Area",IF(1030&lt;=$X$3,IF(AND(OR('COMMUNITY CHURCH DASHBOARD'!$C$4="",ISNUMBER(SEARCH('COMMUNITY CHURCH DASHBOARD'!$C$4,INDEX(MASTER_AREAS!$B:$B,1031))))),1030,""),""),IF('COMMUNITY CHURCH DASHBOARD'!$B$4="Zone",IF(1030&lt;=$X$4,IF(OR('COMMUNITY CHURCH DASHBOARD'!$C$4="",ISNUMBER(SEARCH('COMMUNITY CHURCH DASHBOARD'!$C$4,INDEX(MASTER_ZONES!$B:$B,1031)))),1030,""),""),""))</f>
        <v/>
      </c>
    </row>
    <row r="1032">
      <c r="A1032">
        <f>IF('WSF DASHBOARD'!$B$4="Area",IF(1031&lt;=$D$3,IF(AND(OR('WSF DASHBOARD'!$C$4="",ISNUMBER(SEARCH('WSF DASHBOARD'!$C$4,INDEX(MASTER_AREAS!$B:$B,1032))))),1031,""),""),IF('WSF DASHBOARD'!$B$4="Zone",IF(1031&lt;=$D$4,IF(OR('WSF DASHBOARD'!$C$4="",ISNUMBER(SEARCH('WSF DASHBOARD'!$C$4,INDEX(MASTER_ZONES!$B:$B,1032)))),1031,""),""),""))</f>
        <v/>
      </c>
      <c r="F1032">
        <f>IF('TRANSPORT DASHBOARD'!$B$4="Area",IF(1031&lt;=$I$3,IF(AND(INDEX(MASTER_AREAS!$F:$F,1032)&lt;&gt;"N",OR('TRANSPORT DASHBOARD'!$C$4="",ISNUMBER(SEARCH('TRANSPORT DASHBOARD'!$C$4,INDEX(MASTER_AREAS!$B:$B,1032))))),1031,""),""),IF('TRANSPORT DASHBOARD'!$B$4="Zone",IF(1031&lt;=$I$4,IF(OR('TRANSPORT DASHBOARD'!$C$4="",ISNUMBER(SEARCH('TRANSPORT DASHBOARD'!$C$4,INDEX(MASTER_ZONES!$B:$B,1032)))),1031,""),""),""))</f>
        <v/>
      </c>
      <c r="K1032">
        <f>IF('MIDWEEK DASHBOARD'!$B$4="Area",IF(1031&lt;=$N$3,IF(AND(OR('MIDWEEK DASHBOARD'!$C$4="",ISNUMBER(SEARCH('MIDWEEK DASHBOARD'!$C$4,INDEX(MASTER_AREAS!$B:$B,1032))))),1031,""),""),IF('MIDWEEK DASHBOARD'!$B$4="Zone",IF(1031&lt;=$N$4,IF(OR('MIDWEEK DASHBOARD'!$C$4="",ISNUMBER(SEARCH('MIDWEEK DASHBOARD'!$C$4,INDEX(MASTER_ZONES!$B:$B,1032)))),1031,""),""),""))</f>
        <v/>
      </c>
      <c r="P1032">
        <f>IF('CHOP DASHBOARD'!$B$4="Area",IF(1031&lt;=$S$3,IF(AND(OR('CHOP DASHBOARD'!$C$4="",ISNUMBER(SEARCH('CHOP DASHBOARD'!$C$4,INDEX(MASTER_AREAS!$B:$B,1032))))),1031,""),""),IF('CHOP DASHBOARD'!$B$4="Zone",IF(1031&lt;=$S$4,IF(OR('CHOP DASHBOARD'!$C$4="",ISNUMBER(SEARCH('CHOP DASHBOARD'!$C$4,INDEX(MASTER_ZONES!$B:$B,1032)))),1031,""),""),""))</f>
        <v/>
      </c>
      <c r="U1032">
        <f>IF('COMMUNITY CHURCH DASHBOARD'!$B$4="Area",IF(1031&lt;=$X$3,IF(AND(OR('COMMUNITY CHURCH DASHBOARD'!$C$4="",ISNUMBER(SEARCH('COMMUNITY CHURCH DASHBOARD'!$C$4,INDEX(MASTER_AREAS!$B:$B,1032))))),1031,""),""),IF('COMMUNITY CHURCH DASHBOARD'!$B$4="Zone",IF(1031&lt;=$X$4,IF(OR('COMMUNITY CHURCH DASHBOARD'!$C$4="",ISNUMBER(SEARCH('COMMUNITY CHURCH DASHBOARD'!$C$4,INDEX(MASTER_ZONES!$B:$B,1032)))),1031,""),""),""))</f>
        <v/>
      </c>
    </row>
    <row r="1033">
      <c r="A1033">
        <f>IF('WSF DASHBOARD'!$B$4="Area",IF(1032&lt;=$D$3,IF(AND(OR('WSF DASHBOARD'!$C$4="",ISNUMBER(SEARCH('WSF DASHBOARD'!$C$4,INDEX(MASTER_AREAS!$B:$B,1033))))),1032,""),""),IF('WSF DASHBOARD'!$B$4="Zone",IF(1032&lt;=$D$4,IF(OR('WSF DASHBOARD'!$C$4="",ISNUMBER(SEARCH('WSF DASHBOARD'!$C$4,INDEX(MASTER_ZONES!$B:$B,1033)))),1032,""),""),""))</f>
        <v/>
      </c>
      <c r="F1033">
        <f>IF('TRANSPORT DASHBOARD'!$B$4="Area",IF(1032&lt;=$I$3,IF(AND(INDEX(MASTER_AREAS!$F:$F,1033)&lt;&gt;"N",OR('TRANSPORT DASHBOARD'!$C$4="",ISNUMBER(SEARCH('TRANSPORT DASHBOARD'!$C$4,INDEX(MASTER_AREAS!$B:$B,1033))))),1032,""),""),IF('TRANSPORT DASHBOARD'!$B$4="Zone",IF(1032&lt;=$I$4,IF(OR('TRANSPORT DASHBOARD'!$C$4="",ISNUMBER(SEARCH('TRANSPORT DASHBOARD'!$C$4,INDEX(MASTER_ZONES!$B:$B,1033)))),1032,""),""),""))</f>
        <v/>
      </c>
      <c r="K1033">
        <f>IF('MIDWEEK DASHBOARD'!$B$4="Area",IF(1032&lt;=$N$3,IF(AND(OR('MIDWEEK DASHBOARD'!$C$4="",ISNUMBER(SEARCH('MIDWEEK DASHBOARD'!$C$4,INDEX(MASTER_AREAS!$B:$B,1033))))),1032,""),""),IF('MIDWEEK DASHBOARD'!$B$4="Zone",IF(1032&lt;=$N$4,IF(OR('MIDWEEK DASHBOARD'!$C$4="",ISNUMBER(SEARCH('MIDWEEK DASHBOARD'!$C$4,INDEX(MASTER_ZONES!$B:$B,1033)))),1032,""),""),""))</f>
        <v/>
      </c>
      <c r="P1033">
        <f>IF('CHOP DASHBOARD'!$B$4="Area",IF(1032&lt;=$S$3,IF(AND(OR('CHOP DASHBOARD'!$C$4="",ISNUMBER(SEARCH('CHOP DASHBOARD'!$C$4,INDEX(MASTER_AREAS!$B:$B,1033))))),1032,""),""),IF('CHOP DASHBOARD'!$B$4="Zone",IF(1032&lt;=$S$4,IF(OR('CHOP DASHBOARD'!$C$4="",ISNUMBER(SEARCH('CHOP DASHBOARD'!$C$4,INDEX(MASTER_ZONES!$B:$B,1033)))),1032,""),""),""))</f>
        <v/>
      </c>
      <c r="U1033">
        <f>IF('COMMUNITY CHURCH DASHBOARD'!$B$4="Area",IF(1032&lt;=$X$3,IF(AND(OR('COMMUNITY CHURCH DASHBOARD'!$C$4="",ISNUMBER(SEARCH('COMMUNITY CHURCH DASHBOARD'!$C$4,INDEX(MASTER_AREAS!$B:$B,1033))))),1032,""),""),IF('COMMUNITY CHURCH DASHBOARD'!$B$4="Zone",IF(1032&lt;=$X$4,IF(OR('COMMUNITY CHURCH DASHBOARD'!$C$4="",ISNUMBER(SEARCH('COMMUNITY CHURCH DASHBOARD'!$C$4,INDEX(MASTER_ZONES!$B:$B,1033)))),1032,""),""),""))</f>
        <v/>
      </c>
    </row>
    <row r="1034">
      <c r="A1034">
        <f>IF('WSF DASHBOARD'!$B$4="Area",IF(1033&lt;=$D$3,IF(AND(OR('WSF DASHBOARD'!$C$4="",ISNUMBER(SEARCH('WSF DASHBOARD'!$C$4,INDEX(MASTER_AREAS!$B:$B,1034))))),1033,""),""),IF('WSF DASHBOARD'!$B$4="Zone",IF(1033&lt;=$D$4,IF(OR('WSF DASHBOARD'!$C$4="",ISNUMBER(SEARCH('WSF DASHBOARD'!$C$4,INDEX(MASTER_ZONES!$B:$B,1034)))),1033,""),""),""))</f>
        <v/>
      </c>
      <c r="F1034">
        <f>IF('TRANSPORT DASHBOARD'!$B$4="Area",IF(1033&lt;=$I$3,IF(AND(INDEX(MASTER_AREAS!$F:$F,1034)&lt;&gt;"N",OR('TRANSPORT DASHBOARD'!$C$4="",ISNUMBER(SEARCH('TRANSPORT DASHBOARD'!$C$4,INDEX(MASTER_AREAS!$B:$B,1034))))),1033,""),""),IF('TRANSPORT DASHBOARD'!$B$4="Zone",IF(1033&lt;=$I$4,IF(OR('TRANSPORT DASHBOARD'!$C$4="",ISNUMBER(SEARCH('TRANSPORT DASHBOARD'!$C$4,INDEX(MASTER_ZONES!$B:$B,1034)))),1033,""),""),""))</f>
        <v/>
      </c>
      <c r="K1034">
        <f>IF('MIDWEEK DASHBOARD'!$B$4="Area",IF(1033&lt;=$N$3,IF(AND(OR('MIDWEEK DASHBOARD'!$C$4="",ISNUMBER(SEARCH('MIDWEEK DASHBOARD'!$C$4,INDEX(MASTER_AREAS!$B:$B,1034))))),1033,""),""),IF('MIDWEEK DASHBOARD'!$B$4="Zone",IF(1033&lt;=$N$4,IF(OR('MIDWEEK DASHBOARD'!$C$4="",ISNUMBER(SEARCH('MIDWEEK DASHBOARD'!$C$4,INDEX(MASTER_ZONES!$B:$B,1034)))),1033,""),""),""))</f>
        <v/>
      </c>
      <c r="P1034">
        <f>IF('CHOP DASHBOARD'!$B$4="Area",IF(1033&lt;=$S$3,IF(AND(OR('CHOP DASHBOARD'!$C$4="",ISNUMBER(SEARCH('CHOP DASHBOARD'!$C$4,INDEX(MASTER_AREAS!$B:$B,1034))))),1033,""),""),IF('CHOP DASHBOARD'!$B$4="Zone",IF(1033&lt;=$S$4,IF(OR('CHOP DASHBOARD'!$C$4="",ISNUMBER(SEARCH('CHOP DASHBOARD'!$C$4,INDEX(MASTER_ZONES!$B:$B,1034)))),1033,""),""),""))</f>
        <v/>
      </c>
      <c r="U1034">
        <f>IF('COMMUNITY CHURCH DASHBOARD'!$B$4="Area",IF(1033&lt;=$X$3,IF(AND(OR('COMMUNITY CHURCH DASHBOARD'!$C$4="",ISNUMBER(SEARCH('COMMUNITY CHURCH DASHBOARD'!$C$4,INDEX(MASTER_AREAS!$B:$B,1034))))),1033,""),""),IF('COMMUNITY CHURCH DASHBOARD'!$B$4="Zone",IF(1033&lt;=$X$4,IF(OR('COMMUNITY CHURCH DASHBOARD'!$C$4="",ISNUMBER(SEARCH('COMMUNITY CHURCH DASHBOARD'!$C$4,INDEX(MASTER_ZONES!$B:$B,1034)))),1033,""),""),""))</f>
        <v/>
      </c>
    </row>
    <row r="1035">
      <c r="A1035">
        <f>IF('WSF DASHBOARD'!$B$4="Area",IF(1034&lt;=$D$3,IF(AND(OR('WSF DASHBOARD'!$C$4="",ISNUMBER(SEARCH('WSF DASHBOARD'!$C$4,INDEX(MASTER_AREAS!$B:$B,1035))))),1034,""),""),IF('WSF DASHBOARD'!$B$4="Zone",IF(1034&lt;=$D$4,IF(OR('WSF DASHBOARD'!$C$4="",ISNUMBER(SEARCH('WSF DASHBOARD'!$C$4,INDEX(MASTER_ZONES!$B:$B,1035)))),1034,""),""),""))</f>
        <v/>
      </c>
      <c r="F1035">
        <f>IF('TRANSPORT DASHBOARD'!$B$4="Area",IF(1034&lt;=$I$3,IF(AND(INDEX(MASTER_AREAS!$F:$F,1035)&lt;&gt;"N",OR('TRANSPORT DASHBOARD'!$C$4="",ISNUMBER(SEARCH('TRANSPORT DASHBOARD'!$C$4,INDEX(MASTER_AREAS!$B:$B,1035))))),1034,""),""),IF('TRANSPORT DASHBOARD'!$B$4="Zone",IF(1034&lt;=$I$4,IF(OR('TRANSPORT DASHBOARD'!$C$4="",ISNUMBER(SEARCH('TRANSPORT DASHBOARD'!$C$4,INDEX(MASTER_ZONES!$B:$B,1035)))),1034,""),""),""))</f>
        <v/>
      </c>
      <c r="K1035">
        <f>IF('MIDWEEK DASHBOARD'!$B$4="Area",IF(1034&lt;=$N$3,IF(AND(OR('MIDWEEK DASHBOARD'!$C$4="",ISNUMBER(SEARCH('MIDWEEK DASHBOARD'!$C$4,INDEX(MASTER_AREAS!$B:$B,1035))))),1034,""),""),IF('MIDWEEK DASHBOARD'!$B$4="Zone",IF(1034&lt;=$N$4,IF(OR('MIDWEEK DASHBOARD'!$C$4="",ISNUMBER(SEARCH('MIDWEEK DASHBOARD'!$C$4,INDEX(MASTER_ZONES!$B:$B,1035)))),1034,""),""),""))</f>
        <v/>
      </c>
      <c r="P1035">
        <f>IF('CHOP DASHBOARD'!$B$4="Area",IF(1034&lt;=$S$3,IF(AND(OR('CHOP DASHBOARD'!$C$4="",ISNUMBER(SEARCH('CHOP DASHBOARD'!$C$4,INDEX(MASTER_AREAS!$B:$B,1035))))),1034,""),""),IF('CHOP DASHBOARD'!$B$4="Zone",IF(1034&lt;=$S$4,IF(OR('CHOP DASHBOARD'!$C$4="",ISNUMBER(SEARCH('CHOP DASHBOARD'!$C$4,INDEX(MASTER_ZONES!$B:$B,1035)))),1034,""),""),""))</f>
        <v/>
      </c>
      <c r="U1035">
        <f>IF('COMMUNITY CHURCH DASHBOARD'!$B$4="Area",IF(1034&lt;=$X$3,IF(AND(OR('COMMUNITY CHURCH DASHBOARD'!$C$4="",ISNUMBER(SEARCH('COMMUNITY CHURCH DASHBOARD'!$C$4,INDEX(MASTER_AREAS!$B:$B,1035))))),1034,""),""),IF('COMMUNITY CHURCH DASHBOARD'!$B$4="Zone",IF(1034&lt;=$X$4,IF(OR('COMMUNITY CHURCH DASHBOARD'!$C$4="",ISNUMBER(SEARCH('COMMUNITY CHURCH DASHBOARD'!$C$4,INDEX(MASTER_ZONES!$B:$B,1035)))),1034,""),""),""))</f>
        <v/>
      </c>
    </row>
    <row r="1036">
      <c r="A1036">
        <f>IF('WSF DASHBOARD'!$B$4="Area",IF(1035&lt;=$D$3,IF(AND(OR('WSF DASHBOARD'!$C$4="",ISNUMBER(SEARCH('WSF DASHBOARD'!$C$4,INDEX(MASTER_AREAS!$B:$B,1036))))),1035,""),""),IF('WSF DASHBOARD'!$B$4="Zone",IF(1035&lt;=$D$4,IF(OR('WSF DASHBOARD'!$C$4="",ISNUMBER(SEARCH('WSF DASHBOARD'!$C$4,INDEX(MASTER_ZONES!$B:$B,1036)))),1035,""),""),""))</f>
        <v/>
      </c>
      <c r="F1036">
        <f>IF('TRANSPORT DASHBOARD'!$B$4="Area",IF(1035&lt;=$I$3,IF(AND(INDEX(MASTER_AREAS!$F:$F,1036)&lt;&gt;"N",OR('TRANSPORT DASHBOARD'!$C$4="",ISNUMBER(SEARCH('TRANSPORT DASHBOARD'!$C$4,INDEX(MASTER_AREAS!$B:$B,1036))))),1035,""),""),IF('TRANSPORT DASHBOARD'!$B$4="Zone",IF(1035&lt;=$I$4,IF(OR('TRANSPORT DASHBOARD'!$C$4="",ISNUMBER(SEARCH('TRANSPORT DASHBOARD'!$C$4,INDEX(MASTER_ZONES!$B:$B,1036)))),1035,""),""),""))</f>
        <v/>
      </c>
      <c r="K1036">
        <f>IF('MIDWEEK DASHBOARD'!$B$4="Area",IF(1035&lt;=$N$3,IF(AND(OR('MIDWEEK DASHBOARD'!$C$4="",ISNUMBER(SEARCH('MIDWEEK DASHBOARD'!$C$4,INDEX(MASTER_AREAS!$B:$B,1036))))),1035,""),""),IF('MIDWEEK DASHBOARD'!$B$4="Zone",IF(1035&lt;=$N$4,IF(OR('MIDWEEK DASHBOARD'!$C$4="",ISNUMBER(SEARCH('MIDWEEK DASHBOARD'!$C$4,INDEX(MASTER_ZONES!$B:$B,1036)))),1035,""),""),""))</f>
        <v/>
      </c>
      <c r="P1036">
        <f>IF('CHOP DASHBOARD'!$B$4="Area",IF(1035&lt;=$S$3,IF(AND(OR('CHOP DASHBOARD'!$C$4="",ISNUMBER(SEARCH('CHOP DASHBOARD'!$C$4,INDEX(MASTER_AREAS!$B:$B,1036))))),1035,""),""),IF('CHOP DASHBOARD'!$B$4="Zone",IF(1035&lt;=$S$4,IF(OR('CHOP DASHBOARD'!$C$4="",ISNUMBER(SEARCH('CHOP DASHBOARD'!$C$4,INDEX(MASTER_ZONES!$B:$B,1036)))),1035,""),""),""))</f>
        <v/>
      </c>
      <c r="U1036">
        <f>IF('COMMUNITY CHURCH DASHBOARD'!$B$4="Area",IF(1035&lt;=$X$3,IF(AND(OR('COMMUNITY CHURCH DASHBOARD'!$C$4="",ISNUMBER(SEARCH('COMMUNITY CHURCH DASHBOARD'!$C$4,INDEX(MASTER_AREAS!$B:$B,1036))))),1035,""),""),IF('COMMUNITY CHURCH DASHBOARD'!$B$4="Zone",IF(1035&lt;=$X$4,IF(OR('COMMUNITY CHURCH DASHBOARD'!$C$4="",ISNUMBER(SEARCH('COMMUNITY CHURCH DASHBOARD'!$C$4,INDEX(MASTER_ZONES!$B:$B,1036)))),1035,""),""),""))</f>
        <v/>
      </c>
    </row>
    <row r="1037">
      <c r="A1037">
        <f>IF('WSF DASHBOARD'!$B$4="Area",IF(1036&lt;=$D$3,IF(AND(OR('WSF DASHBOARD'!$C$4="",ISNUMBER(SEARCH('WSF DASHBOARD'!$C$4,INDEX(MASTER_AREAS!$B:$B,1037))))),1036,""),""),IF('WSF DASHBOARD'!$B$4="Zone",IF(1036&lt;=$D$4,IF(OR('WSF DASHBOARD'!$C$4="",ISNUMBER(SEARCH('WSF DASHBOARD'!$C$4,INDEX(MASTER_ZONES!$B:$B,1037)))),1036,""),""),""))</f>
        <v/>
      </c>
      <c r="F1037">
        <f>IF('TRANSPORT DASHBOARD'!$B$4="Area",IF(1036&lt;=$I$3,IF(AND(INDEX(MASTER_AREAS!$F:$F,1037)&lt;&gt;"N",OR('TRANSPORT DASHBOARD'!$C$4="",ISNUMBER(SEARCH('TRANSPORT DASHBOARD'!$C$4,INDEX(MASTER_AREAS!$B:$B,1037))))),1036,""),""),IF('TRANSPORT DASHBOARD'!$B$4="Zone",IF(1036&lt;=$I$4,IF(OR('TRANSPORT DASHBOARD'!$C$4="",ISNUMBER(SEARCH('TRANSPORT DASHBOARD'!$C$4,INDEX(MASTER_ZONES!$B:$B,1037)))),1036,""),""),""))</f>
        <v/>
      </c>
      <c r="K1037">
        <f>IF('MIDWEEK DASHBOARD'!$B$4="Area",IF(1036&lt;=$N$3,IF(AND(OR('MIDWEEK DASHBOARD'!$C$4="",ISNUMBER(SEARCH('MIDWEEK DASHBOARD'!$C$4,INDEX(MASTER_AREAS!$B:$B,1037))))),1036,""),""),IF('MIDWEEK DASHBOARD'!$B$4="Zone",IF(1036&lt;=$N$4,IF(OR('MIDWEEK DASHBOARD'!$C$4="",ISNUMBER(SEARCH('MIDWEEK DASHBOARD'!$C$4,INDEX(MASTER_ZONES!$B:$B,1037)))),1036,""),""),""))</f>
        <v/>
      </c>
      <c r="P1037">
        <f>IF('CHOP DASHBOARD'!$B$4="Area",IF(1036&lt;=$S$3,IF(AND(OR('CHOP DASHBOARD'!$C$4="",ISNUMBER(SEARCH('CHOP DASHBOARD'!$C$4,INDEX(MASTER_AREAS!$B:$B,1037))))),1036,""),""),IF('CHOP DASHBOARD'!$B$4="Zone",IF(1036&lt;=$S$4,IF(OR('CHOP DASHBOARD'!$C$4="",ISNUMBER(SEARCH('CHOP DASHBOARD'!$C$4,INDEX(MASTER_ZONES!$B:$B,1037)))),1036,""),""),""))</f>
        <v/>
      </c>
      <c r="U1037">
        <f>IF('COMMUNITY CHURCH DASHBOARD'!$B$4="Area",IF(1036&lt;=$X$3,IF(AND(OR('COMMUNITY CHURCH DASHBOARD'!$C$4="",ISNUMBER(SEARCH('COMMUNITY CHURCH DASHBOARD'!$C$4,INDEX(MASTER_AREAS!$B:$B,1037))))),1036,""),""),IF('COMMUNITY CHURCH DASHBOARD'!$B$4="Zone",IF(1036&lt;=$X$4,IF(OR('COMMUNITY CHURCH DASHBOARD'!$C$4="",ISNUMBER(SEARCH('COMMUNITY CHURCH DASHBOARD'!$C$4,INDEX(MASTER_ZONES!$B:$B,1037)))),1036,""),""),""))</f>
        <v/>
      </c>
    </row>
    <row r="1038">
      <c r="A1038">
        <f>IF('WSF DASHBOARD'!$B$4="Area",IF(1037&lt;=$D$3,IF(AND(OR('WSF DASHBOARD'!$C$4="",ISNUMBER(SEARCH('WSF DASHBOARD'!$C$4,INDEX(MASTER_AREAS!$B:$B,1038))))),1037,""),""),IF('WSF DASHBOARD'!$B$4="Zone",IF(1037&lt;=$D$4,IF(OR('WSF DASHBOARD'!$C$4="",ISNUMBER(SEARCH('WSF DASHBOARD'!$C$4,INDEX(MASTER_ZONES!$B:$B,1038)))),1037,""),""),""))</f>
        <v/>
      </c>
      <c r="F1038">
        <f>IF('TRANSPORT DASHBOARD'!$B$4="Area",IF(1037&lt;=$I$3,IF(AND(INDEX(MASTER_AREAS!$F:$F,1038)&lt;&gt;"N",OR('TRANSPORT DASHBOARD'!$C$4="",ISNUMBER(SEARCH('TRANSPORT DASHBOARD'!$C$4,INDEX(MASTER_AREAS!$B:$B,1038))))),1037,""),""),IF('TRANSPORT DASHBOARD'!$B$4="Zone",IF(1037&lt;=$I$4,IF(OR('TRANSPORT DASHBOARD'!$C$4="",ISNUMBER(SEARCH('TRANSPORT DASHBOARD'!$C$4,INDEX(MASTER_ZONES!$B:$B,1038)))),1037,""),""),""))</f>
        <v/>
      </c>
      <c r="K1038">
        <f>IF('MIDWEEK DASHBOARD'!$B$4="Area",IF(1037&lt;=$N$3,IF(AND(OR('MIDWEEK DASHBOARD'!$C$4="",ISNUMBER(SEARCH('MIDWEEK DASHBOARD'!$C$4,INDEX(MASTER_AREAS!$B:$B,1038))))),1037,""),""),IF('MIDWEEK DASHBOARD'!$B$4="Zone",IF(1037&lt;=$N$4,IF(OR('MIDWEEK DASHBOARD'!$C$4="",ISNUMBER(SEARCH('MIDWEEK DASHBOARD'!$C$4,INDEX(MASTER_ZONES!$B:$B,1038)))),1037,""),""),""))</f>
        <v/>
      </c>
      <c r="P1038">
        <f>IF('CHOP DASHBOARD'!$B$4="Area",IF(1037&lt;=$S$3,IF(AND(OR('CHOP DASHBOARD'!$C$4="",ISNUMBER(SEARCH('CHOP DASHBOARD'!$C$4,INDEX(MASTER_AREAS!$B:$B,1038))))),1037,""),""),IF('CHOP DASHBOARD'!$B$4="Zone",IF(1037&lt;=$S$4,IF(OR('CHOP DASHBOARD'!$C$4="",ISNUMBER(SEARCH('CHOP DASHBOARD'!$C$4,INDEX(MASTER_ZONES!$B:$B,1038)))),1037,""),""),""))</f>
        <v/>
      </c>
      <c r="U1038">
        <f>IF('COMMUNITY CHURCH DASHBOARD'!$B$4="Area",IF(1037&lt;=$X$3,IF(AND(OR('COMMUNITY CHURCH DASHBOARD'!$C$4="",ISNUMBER(SEARCH('COMMUNITY CHURCH DASHBOARD'!$C$4,INDEX(MASTER_AREAS!$B:$B,1038))))),1037,""),""),IF('COMMUNITY CHURCH DASHBOARD'!$B$4="Zone",IF(1037&lt;=$X$4,IF(OR('COMMUNITY CHURCH DASHBOARD'!$C$4="",ISNUMBER(SEARCH('COMMUNITY CHURCH DASHBOARD'!$C$4,INDEX(MASTER_ZONES!$B:$B,1038)))),1037,""),""),""))</f>
        <v/>
      </c>
    </row>
    <row r="1039">
      <c r="A1039">
        <f>IF('WSF DASHBOARD'!$B$4="Area",IF(1038&lt;=$D$3,IF(AND(OR('WSF DASHBOARD'!$C$4="",ISNUMBER(SEARCH('WSF DASHBOARD'!$C$4,INDEX(MASTER_AREAS!$B:$B,1039))))),1038,""),""),IF('WSF DASHBOARD'!$B$4="Zone",IF(1038&lt;=$D$4,IF(OR('WSF DASHBOARD'!$C$4="",ISNUMBER(SEARCH('WSF DASHBOARD'!$C$4,INDEX(MASTER_ZONES!$B:$B,1039)))),1038,""),""),""))</f>
        <v/>
      </c>
      <c r="F1039">
        <f>IF('TRANSPORT DASHBOARD'!$B$4="Area",IF(1038&lt;=$I$3,IF(AND(INDEX(MASTER_AREAS!$F:$F,1039)&lt;&gt;"N",OR('TRANSPORT DASHBOARD'!$C$4="",ISNUMBER(SEARCH('TRANSPORT DASHBOARD'!$C$4,INDEX(MASTER_AREAS!$B:$B,1039))))),1038,""),""),IF('TRANSPORT DASHBOARD'!$B$4="Zone",IF(1038&lt;=$I$4,IF(OR('TRANSPORT DASHBOARD'!$C$4="",ISNUMBER(SEARCH('TRANSPORT DASHBOARD'!$C$4,INDEX(MASTER_ZONES!$B:$B,1039)))),1038,""),""),""))</f>
        <v/>
      </c>
      <c r="K1039">
        <f>IF('MIDWEEK DASHBOARD'!$B$4="Area",IF(1038&lt;=$N$3,IF(AND(OR('MIDWEEK DASHBOARD'!$C$4="",ISNUMBER(SEARCH('MIDWEEK DASHBOARD'!$C$4,INDEX(MASTER_AREAS!$B:$B,1039))))),1038,""),""),IF('MIDWEEK DASHBOARD'!$B$4="Zone",IF(1038&lt;=$N$4,IF(OR('MIDWEEK DASHBOARD'!$C$4="",ISNUMBER(SEARCH('MIDWEEK DASHBOARD'!$C$4,INDEX(MASTER_ZONES!$B:$B,1039)))),1038,""),""),""))</f>
        <v/>
      </c>
      <c r="P1039">
        <f>IF('CHOP DASHBOARD'!$B$4="Area",IF(1038&lt;=$S$3,IF(AND(OR('CHOP DASHBOARD'!$C$4="",ISNUMBER(SEARCH('CHOP DASHBOARD'!$C$4,INDEX(MASTER_AREAS!$B:$B,1039))))),1038,""),""),IF('CHOP DASHBOARD'!$B$4="Zone",IF(1038&lt;=$S$4,IF(OR('CHOP DASHBOARD'!$C$4="",ISNUMBER(SEARCH('CHOP DASHBOARD'!$C$4,INDEX(MASTER_ZONES!$B:$B,1039)))),1038,""),""),""))</f>
        <v/>
      </c>
      <c r="U1039">
        <f>IF('COMMUNITY CHURCH DASHBOARD'!$B$4="Area",IF(1038&lt;=$X$3,IF(AND(OR('COMMUNITY CHURCH DASHBOARD'!$C$4="",ISNUMBER(SEARCH('COMMUNITY CHURCH DASHBOARD'!$C$4,INDEX(MASTER_AREAS!$B:$B,1039))))),1038,""),""),IF('COMMUNITY CHURCH DASHBOARD'!$B$4="Zone",IF(1038&lt;=$X$4,IF(OR('COMMUNITY CHURCH DASHBOARD'!$C$4="",ISNUMBER(SEARCH('COMMUNITY CHURCH DASHBOARD'!$C$4,INDEX(MASTER_ZONES!$B:$B,1039)))),1038,""),""),""))</f>
        <v/>
      </c>
    </row>
    <row r="1040">
      <c r="A1040">
        <f>IF('WSF DASHBOARD'!$B$4="Area",IF(1039&lt;=$D$3,IF(AND(OR('WSF DASHBOARD'!$C$4="",ISNUMBER(SEARCH('WSF DASHBOARD'!$C$4,INDEX(MASTER_AREAS!$B:$B,1040))))),1039,""),""),IF('WSF DASHBOARD'!$B$4="Zone",IF(1039&lt;=$D$4,IF(OR('WSF DASHBOARD'!$C$4="",ISNUMBER(SEARCH('WSF DASHBOARD'!$C$4,INDEX(MASTER_ZONES!$B:$B,1040)))),1039,""),""),""))</f>
        <v/>
      </c>
      <c r="F1040">
        <f>IF('TRANSPORT DASHBOARD'!$B$4="Area",IF(1039&lt;=$I$3,IF(AND(INDEX(MASTER_AREAS!$F:$F,1040)&lt;&gt;"N",OR('TRANSPORT DASHBOARD'!$C$4="",ISNUMBER(SEARCH('TRANSPORT DASHBOARD'!$C$4,INDEX(MASTER_AREAS!$B:$B,1040))))),1039,""),""),IF('TRANSPORT DASHBOARD'!$B$4="Zone",IF(1039&lt;=$I$4,IF(OR('TRANSPORT DASHBOARD'!$C$4="",ISNUMBER(SEARCH('TRANSPORT DASHBOARD'!$C$4,INDEX(MASTER_ZONES!$B:$B,1040)))),1039,""),""),""))</f>
        <v/>
      </c>
      <c r="K1040">
        <f>IF('MIDWEEK DASHBOARD'!$B$4="Area",IF(1039&lt;=$N$3,IF(AND(OR('MIDWEEK DASHBOARD'!$C$4="",ISNUMBER(SEARCH('MIDWEEK DASHBOARD'!$C$4,INDEX(MASTER_AREAS!$B:$B,1040))))),1039,""),""),IF('MIDWEEK DASHBOARD'!$B$4="Zone",IF(1039&lt;=$N$4,IF(OR('MIDWEEK DASHBOARD'!$C$4="",ISNUMBER(SEARCH('MIDWEEK DASHBOARD'!$C$4,INDEX(MASTER_ZONES!$B:$B,1040)))),1039,""),""),""))</f>
        <v/>
      </c>
      <c r="P1040">
        <f>IF('CHOP DASHBOARD'!$B$4="Area",IF(1039&lt;=$S$3,IF(AND(OR('CHOP DASHBOARD'!$C$4="",ISNUMBER(SEARCH('CHOP DASHBOARD'!$C$4,INDEX(MASTER_AREAS!$B:$B,1040))))),1039,""),""),IF('CHOP DASHBOARD'!$B$4="Zone",IF(1039&lt;=$S$4,IF(OR('CHOP DASHBOARD'!$C$4="",ISNUMBER(SEARCH('CHOP DASHBOARD'!$C$4,INDEX(MASTER_ZONES!$B:$B,1040)))),1039,""),""),""))</f>
        <v/>
      </c>
      <c r="U1040">
        <f>IF('COMMUNITY CHURCH DASHBOARD'!$B$4="Area",IF(1039&lt;=$X$3,IF(AND(OR('COMMUNITY CHURCH DASHBOARD'!$C$4="",ISNUMBER(SEARCH('COMMUNITY CHURCH DASHBOARD'!$C$4,INDEX(MASTER_AREAS!$B:$B,1040))))),1039,""),""),IF('COMMUNITY CHURCH DASHBOARD'!$B$4="Zone",IF(1039&lt;=$X$4,IF(OR('COMMUNITY CHURCH DASHBOARD'!$C$4="",ISNUMBER(SEARCH('COMMUNITY CHURCH DASHBOARD'!$C$4,INDEX(MASTER_ZONES!$B:$B,1040)))),1039,""),""),""))</f>
        <v/>
      </c>
    </row>
    <row r="1041">
      <c r="A1041">
        <f>IF('WSF DASHBOARD'!$B$4="Area",IF(1040&lt;=$D$3,IF(AND(OR('WSF DASHBOARD'!$C$4="",ISNUMBER(SEARCH('WSF DASHBOARD'!$C$4,INDEX(MASTER_AREAS!$B:$B,1041))))),1040,""),""),IF('WSF DASHBOARD'!$B$4="Zone",IF(1040&lt;=$D$4,IF(OR('WSF DASHBOARD'!$C$4="",ISNUMBER(SEARCH('WSF DASHBOARD'!$C$4,INDEX(MASTER_ZONES!$B:$B,1041)))),1040,""),""),""))</f>
        <v/>
      </c>
      <c r="F1041">
        <f>IF('TRANSPORT DASHBOARD'!$B$4="Area",IF(1040&lt;=$I$3,IF(AND(INDEX(MASTER_AREAS!$F:$F,1041)&lt;&gt;"N",OR('TRANSPORT DASHBOARD'!$C$4="",ISNUMBER(SEARCH('TRANSPORT DASHBOARD'!$C$4,INDEX(MASTER_AREAS!$B:$B,1041))))),1040,""),""),IF('TRANSPORT DASHBOARD'!$B$4="Zone",IF(1040&lt;=$I$4,IF(OR('TRANSPORT DASHBOARD'!$C$4="",ISNUMBER(SEARCH('TRANSPORT DASHBOARD'!$C$4,INDEX(MASTER_ZONES!$B:$B,1041)))),1040,""),""),""))</f>
        <v/>
      </c>
      <c r="K1041">
        <f>IF('MIDWEEK DASHBOARD'!$B$4="Area",IF(1040&lt;=$N$3,IF(AND(OR('MIDWEEK DASHBOARD'!$C$4="",ISNUMBER(SEARCH('MIDWEEK DASHBOARD'!$C$4,INDEX(MASTER_AREAS!$B:$B,1041))))),1040,""),""),IF('MIDWEEK DASHBOARD'!$B$4="Zone",IF(1040&lt;=$N$4,IF(OR('MIDWEEK DASHBOARD'!$C$4="",ISNUMBER(SEARCH('MIDWEEK DASHBOARD'!$C$4,INDEX(MASTER_ZONES!$B:$B,1041)))),1040,""),""),""))</f>
        <v/>
      </c>
      <c r="P1041">
        <f>IF('CHOP DASHBOARD'!$B$4="Area",IF(1040&lt;=$S$3,IF(AND(OR('CHOP DASHBOARD'!$C$4="",ISNUMBER(SEARCH('CHOP DASHBOARD'!$C$4,INDEX(MASTER_AREAS!$B:$B,1041))))),1040,""),""),IF('CHOP DASHBOARD'!$B$4="Zone",IF(1040&lt;=$S$4,IF(OR('CHOP DASHBOARD'!$C$4="",ISNUMBER(SEARCH('CHOP DASHBOARD'!$C$4,INDEX(MASTER_ZONES!$B:$B,1041)))),1040,""),""),""))</f>
        <v/>
      </c>
      <c r="U1041">
        <f>IF('COMMUNITY CHURCH DASHBOARD'!$B$4="Area",IF(1040&lt;=$X$3,IF(AND(OR('COMMUNITY CHURCH DASHBOARD'!$C$4="",ISNUMBER(SEARCH('COMMUNITY CHURCH DASHBOARD'!$C$4,INDEX(MASTER_AREAS!$B:$B,1041))))),1040,""),""),IF('COMMUNITY CHURCH DASHBOARD'!$B$4="Zone",IF(1040&lt;=$X$4,IF(OR('COMMUNITY CHURCH DASHBOARD'!$C$4="",ISNUMBER(SEARCH('COMMUNITY CHURCH DASHBOARD'!$C$4,INDEX(MASTER_ZONES!$B:$B,1041)))),1040,""),""),""))</f>
        <v/>
      </c>
    </row>
    <row r="1042">
      <c r="A1042">
        <f>IF('WSF DASHBOARD'!$B$4="Area",IF(1041&lt;=$D$3,IF(AND(OR('WSF DASHBOARD'!$C$4="",ISNUMBER(SEARCH('WSF DASHBOARD'!$C$4,INDEX(MASTER_AREAS!$B:$B,1042))))),1041,""),""),IF('WSF DASHBOARD'!$B$4="Zone",IF(1041&lt;=$D$4,IF(OR('WSF DASHBOARD'!$C$4="",ISNUMBER(SEARCH('WSF DASHBOARD'!$C$4,INDEX(MASTER_ZONES!$B:$B,1042)))),1041,""),""),""))</f>
        <v/>
      </c>
      <c r="F1042">
        <f>IF('TRANSPORT DASHBOARD'!$B$4="Area",IF(1041&lt;=$I$3,IF(AND(INDEX(MASTER_AREAS!$F:$F,1042)&lt;&gt;"N",OR('TRANSPORT DASHBOARD'!$C$4="",ISNUMBER(SEARCH('TRANSPORT DASHBOARD'!$C$4,INDEX(MASTER_AREAS!$B:$B,1042))))),1041,""),""),IF('TRANSPORT DASHBOARD'!$B$4="Zone",IF(1041&lt;=$I$4,IF(OR('TRANSPORT DASHBOARD'!$C$4="",ISNUMBER(SEARCH('TRANSPORT DASHBOARD'!$C$4,INDEX(MASTER_ZONES!$B:$B,1042)))),1041,""),""),""))</f>
        <v/>
      </c>
      <c r="K1042">
        <f>IF('MIDWEEK DASHBOARD'!$B$4="Area",IF(1041&lt;=$N$3,IF(AND(OR('MIDWEEK DASHBOARD'!$C$4="",ISNUMBER(SEARCH('MIDWEEK DASHBOARD'!$C$4,INDEX(MASTER_AREAS!$B:$B,1042))))),1041,""),""),IF('MIDWEEK DASHBOARD'!$B$4="Zone",IF(1041&lt;=$N$4,IF(OR('MIDWEEK DASHBOARD'!$C$4="",ISNUMBER(SEARCH('MIDWEEK DASHBOARD'!$C$4,INDEX(MASTER_ZONES!$B:$B,1042)))),1041,""),""),""))</f>
        <v/>
      </c>
      <c r="P1042">
        <f>IF('CHOP DASHBOARD'!$B$4="Area",IF(1041&lt;=$S$3,IF(AND(OR('CHOP DASHBOARD'!$C$4="",ISNUMBER(SEARCH('CHOP DASHBOARD'!$C$4,INDEX(MASTER_AREAS!$B:$B,1042))))),1041,""),""),IF('CHOP DASHBOARD'!$B$4="Zone",IF(1041&lt;=$S$4,IF(OR('CHOP DASHBOARD'!$C$4="",ISNUMBER(SEARCH('CHOP DASHBOARD'!$C$4,INDEX(MASTER_ZONES!$B:$B,1042)))),1041,""),""),""))</f>
        <v/>
      </c>
      <c r="U1042">
        <f>IF('COMMUNITY CHURCH DASHBOARD'!$B$4="Area",IF(1041&lt;=$X$3,IF(AND(OR('COMMUNITY CHURCH DASHBOARD'!$C$4="",ISNUMBER(SEARCH('COMMUNITY CHURCH DASHBOARD'!$C$4,INDEX(MASTER_AREAS!$B:$B,1042))))),1041,""),""),IF('COMMUNITY CHURCH DASHBOARD'!$B$4="Zone",IF(1041&lt;=$X$4,IF(OR('COMMUNITY CHURCH DASHBOARD'!$C$4="",ISNUMBER(SEARCH('COMMUNITY CHURCH DASHBOARD'!$C$4,INDEX(MASTER_ZONES!$B:$B,1042)))),1041,""),""),""))</f>
        <v/>
      </c>
    </row>
    <row r="1043">
      <c r="A1043">
        <f>IF('WSF DASHBOARD'!$B$4="Area",IF(1042&lt;=$D$3,IF(AND(OR('WSF DASHBOARD'!$C$4="",ISNUMBER(SEARCH('WSF DASHBOARD'!$C$4,INDEX(MASTER_AREAS!$B:$B,1043))))),1042,""),""),IF('WSF DASHBOARD'!$B$4="Zone",IF(1042&lt;=$D$4,IF(OR('WSF DASHBOARD'!$C$4="",ISNUMBER(SEARCH('WSF DASHBOARD'!$C$4,INDEX(MASTER_ZONES!$B:$B,1043)))),1042,""),""),""))</f>
        <v/>
      </c>
      <c r="F1043">
        <f>IF('TRANSPORT DASHBOARD'!$B$4="Area",IF(1042&lt;=$I$3,IF(AND(INDEX(MASTER_AREAS!$F:$F,1043)&lt;&gt;"N",OR('TRANSPORT DASHBOARD'!$C$4="",ISNUMBER(SEARCH('TRANSPORT DASHBOARD'!$C$4,INDEX(MASTER_AREAS!$B:$B,1043))))),1042,""),""),IF('TRANSPORT DASHBOARD'!$B$4="Zone",IF(1042&lt;=$I$4,IF(OR('TRANSPORT DASHBOARD'!$C$4="",ISNUMBER(SEARCH('TRANSPORT DASHBOARD'!$C$4,INDEX(MASTER_ZONES!$B:$B,1043)))),1042,""),""),""))</f>
        <v/>
      </c>
      <c r="K1043">
        <f>IF('MIDWEEK DASHBOARD'!$B$4="Area",IF(1042&lt;=$N$3,IF(AND(OR('MIDWEEK DASHBOARD'!$C$4="",ISNUMBER(SEARCH('MIDWEEK DASHBOARD'!$C$4,INDEX(MASTER_AREAS!$B:$B,1043))))),1042,""),""),IF('MIDWEEK DASHBOARD'!$B$4="Zone",IF(1042&lt;=$N$4,IF(OR('MIDWEEK DASHBOARD'!$C$4="",ISNUMBER(SEARCH('MIDWEEK DASHBOARD'!$C$4,INDEX(MASTER_ZONES!$B:$B,1043)))),1042,""),""),""))</f>
        <v/>
      </c>
      <c r="P1043">
        <f>IF('CHOP DASHBOARD'!$B$4="Area",IF(1042&lt;=$S$3,IF(AND(OR('CHOP DASHBOARD'!$C$4="",ISNUMBER(SEARCH('CHOP DASHBOARD'!$C$4,INDEX(MASTER_AREAS!$B:$B,1043))))),1042,""),""),IF('CHOP DASHBOARD'!$B$4="Zone",IF(1042&lt;=$S$4,IF(OR('CHOP DASHBOARD'!$C$4="",ISNUMBER(SEARCH('CHOP DASHBOARD'!$C$4,INDEX(MASTER_ZONES!$B:$B,1043)))),1042,""),""),""))</f>
        <v/>
      </c>
      <c r="U1043">
        <f>IF('COMMUNITY CHURCH DASHBOARD'!$B$4="Area",IF(1042&lt;=$X$3,IF(AND(OR('COMMUNITY CHURCH DASHBOARD'!$C$4="",ISNUMBER(SEARCH('COMMUNITY CHURCH DASHBOARD'!$C$4,INDEX(MASTER_AREAS!$B:$B,1043))))),1042,""),""),IF('COMMUNITY CHURCH DASHBOARD'!$B$4="Zone",IF(1042&lt;=$X$4,IF(OR('COMMUNITY CHURCH DASHBOARD'!$C$4="",ISNUMBER(SEARCH('COMMUNITY CHURCH DASHBOARD'!$C$4,INDEX(MASTER_ZONES!$B:$B,1043)))),1042,""),""),""))</f>
        <v/>
      </c>
    </row>
    <row r="1044">
      <c r="A1044">
        <f>IF('WSF DASHBOARD'!$B$4="Area",IF(1043&lt;=$D$3,IF(AND(OR('WSF DASHBOARD'!$C$4="",ISNUMBER(SEARCH('WSF DASHBOARD'!$C$4,INDEX(MASTER_AREAS!$B:$B,1044))))),1043,""),""),IF('WSF DASHBOARD'!$B$4="Zone",IF(1043&lt;=$D$4,IF(OR('WSF DASHBOARD'!$C$4="",ISNUMBER(SEARCH('WSF DASHBOARD'!$C$4,INDEX(MASTER_ZONES!$B:$B,1044)))),1043,""),""),""))</f>
        <v/>
      </c>
      <c r="F1044">
        <f>IF('TRANSPORT DASHBOARD'!$B$4="Area",IF(1043&lt;=$I$3,IF(AND(INDEX(MASTER_AREAS!$F:$F,1044)&lt;&gt;"N",OR('TRANSPORT DASHBOARD'!$C$4="",ISNUMBER(SEARCH('TRANSPORT DASHBOARD'!$C$4,INDEX(MASTER_AREAS!$B:$B,1044))))),1043,""),""),IF('TRANSPORT DASHBOARD'!$B$4="Zone",IF(1043&lt;=$I$4,IF(OR('TRANSPORT DASHBOARD'!$C$4="",ISNUMBER(SEARCH('TRANSPORT DASHBOARD'!$C$4,INDEX(MASTER_ZONES!$B:$B,1044)))),1043,""),""),""))</f>
        <v/>
      </c>
      <c r="K1044">
        <f>IF('MIDWEEK DASHBOARD'!$B$4="Area",IF(1043&lt;=$N$3,IF(AND(OR('MIDWEEK DASHBOARD'!$C$4="",ISNUMBER(SEARCH('MIDWEEK DASHBOARD'!$C$4,INDEX(MASTER_AREAS!$B:$B,1044))))),1043,""),""),IF('MIDWEEK DASHBOARD'!$B$4="Zone",IF(1043&lt;=$N$4,IF(OR('MIDWEEK DASHBOARD'!$C$4="",ISNUMBER(SEARCH('MIDWEEK DASHBOARD'!$C$4,INDEX(MASTER_ZONES!$B:$B,1044)))),1043,""),""),""))</f>
        <v/>
      </c>
      <c r="P1044">
        <f>IF('CHOP DASHBOARD'!$B$4="Area",IF(1043&lt;=$S$3,IF(AND(OR('CHOP DASHBOARD'!$C$4="",ISNUMBER(SEARCH('CHOP DASHBOARD'!$C$4,INDEX(MASTER_AREAS!$B:$B,1044))))),1043,""),""),IF('CHOP DASHBOARD'!$B$4="Zone",IF(1043&lt;=$S$4,IF(OR('CHOP DASHBOARD'!$C$4="",ISNUMBER(SEARCH('CHOP DASHBOARD'!$C$4,INDEX(MASTER_ZONES!$B:$B,1044)))),1043,""),""),""))</f>
        <v/>
      </c>
      <c r="U1044">
        <f>IF('COMMUNITY CHURCH DASHBOARD'!$B$4="Area",IF(1043&lt;=$X$3,IF(AND(OR('COMMUNITY CHURCH DASHBOARD'!$C$4="",ISNUMBER(SEARCH('COMMUNITY CHURCH DASHBOARD'!$C$4,INDEX(MASTER_AREAS!$B:$B,1044))))),1043,""),""),IF('COMMUNITY CHURCH DASHBOARD'!$B$4="Zone",IF(1043&lt;=$X$4,IF(OR('COMMUNITY CHURCH DASHBOARD'!$C$4="",ISNUMBER(SEARCH('COMMUNITY CHURCH DASHBOARD'!$C$4,INDEX(MASTER_ZONES!$B:$B,1044)))),1043,""),""),""))</f>
        <v/>
      </c>
    </row>
    <row r="1045">
      <c r="A1045">
        <f>IF('WSF DASHBOARD'!$B$4="Area",IF(1044&lt;=$D$3,IF(AND(OR('WSF DASHBOARD'!$C$4="",ISNUMBER(SEARCH('WSF DASHBOARD'!$C$4,INDEX(MASTER_AREAS!$B:$B,1045))))),1044,""),""),IF('WSF DASHBOARD'!$B$4="Zone",IF(1044&lt;=$D$4,IF(OR('WSF DASHBOARD'!$C$4="",ISNUMBER(SEARCH('WSF DASHBOARD'!$C$4,INDEX(MASTER_ZONES!$B:$B,1045)))),1044,""),""),""))</f>
        <v/>
      </c>
      <c r="F1045">
        <f>IF('TRANSPORT DASHBOARD'!$B$4="Area",IF(1044&lt;=$I$3,IF(AND(INDEX(MASTER_AREAS!$F:$F,1045)&lt;&gt;"N",OR('TRANSPORT DASHBOARD'!$C$4="",ISNUMBER(SEARCH('TRANSPORT DASHBOARD'!$C$4,INDEX(MASTER_AREAS!$B:$B,1045))))),1044,""),""),IF('TRANSPORT DASHBOARD'!$B$4="Zone",IF(1044&lt;=$I$4,IF(OR('TRANSPORT DASHBOARD'!$C$4="",ISNUMBER(SEARCH('TRANSPORT DASHBOARD'!$C$4,INDEX(MASTER_ZONES!$B:$B,1045)))),1044,""),""),""))</f>
        <v/>
      </c>
      <c r="K1045">
        <f>IF('MIDWEEK DASHBOARD'!$B$4="Area",IF(1044&lt;=$N$3,IF(AND(OR('MIDWEEK DASHBOARD'!$C$4="",ISNUMBER(SEARCH('MIDWEEK DASHBOARD'!$C$4,INDEX(MASTER_AREAS!$B:$B,1045))))),1044,""),""),IF('MIDWEEK DASHBOARD'!$B$4="Zone",IF(1044&lt;=$N$4,IF(OR('MIDWEEK DASHBOARD'!$C$4="",ISNUMBER(SEARCH('MIDWEEK DASHBOARD'!$C$4,INDEX(MASTER_ZONES!$B:$B,1045)))),1044,""),""),""))</f>
        <v/>
      </c>
      <c r="P1045">
        <f>IF('CHOP DASHBOARD'!$B$4="Area",IF(1044&lt;=$S$3,IF(AND(OR('CHOP DASHBOARD'!$C$4="",ISNUMBER(SEARCH('CHOP DASHBOARD'!$C$4,INDEX(MASTER_AREAS!$B:$B,1045))))),1044,""),""),IF('CHOP DASHBOARD'!$B$4="Zone",IF(1044&lt;=$S$4,IF(OR('CHOP DASHBOARD'!$C$4="",ISNUMBER(SEARCH('CHOP DASHBOARD'!$C$4,INDEX(MASTER_ZONES!$B:$B,1045)))),1044,""),""),""))</f>
        <v/>
      </c>
      <c r="U1045">
        <f>IF('COMMUNITY CHURCH DASHBOARD'!$B$4="Area",IF(1044&lt;=$X$3,IF(AND(OR('COMMUNITY CHURCH DASHBOARD'!$C$4="",ISNUMBER(SEARCH('COMMUNITY CHURCH DASHBOARD'!$C$4,INDEX(MASTER_AREAS!$B:$B,1045))))),1044,""),""),IF('COMMUNITY CHURCH DASHBOARD'!$B$4="Zone",IF(1044&lt;=$X$4,IF(OR('COMMUNITY CHURCH DASHBOARD'!$C$4="",ISNUMBER(SEARCH('COMMUNITY CHURCH DASHBOARD'!$C$4,INDEX(MASTER_ZONES!$B:$B,1045)))),1044,""),""),""))</f>
        <v/>
      </c>
    </row>
    <row r="1046">
      <c r="A1046">
        <f>IF('WSF DASHBOARD'!$B$4="Area",IF(1045&lt;=$D$3,IF(AND(OR('WSF DASHBOARD'!$C$4="",ISNUMBER(SEARCH('WSF DASHBOARD'!$C$4,INDEX(MASTER_AREAS!$B:$B,1046))))),1045,""),""),IF('WSF DASHBOARD'!$B$4="Zone",IF(1045&lt;=$D$4,IF(OR('WSF DASHBOARD'!$C$4="",ISNUMBER(SEARCH('WSF DASHBOARD'!$C$4,INDEX(MASTER_ZONES!$B:$B,1046)))),1045,""),""),""))</f>
        <v/>
      </c>
      <c r="F1046">
        <f>IF('TRANSPORT DASHBOARD'!$B$4="Area",IF(1045&lt;=$I$3,IF(AND(INDEX(MASTER_AREAS!$F:$F,1046)&lt;&gt;"N",OR('TRANSPORT DASHBOARD'!$C$4="",ISNUMBER(SEARCH('TRANSPORT DASHBOARD'!$C$4,INDEX(MASTER_AREAS!$B:$B,1046))))),1045,""),""),IF('TRANSPORT DASHBOARD'!$B$4="Zone",IF(1045&lt;=$I$4,IF(OR('TRANSPORT DASHBOARD'!$C$4="",ISNUMBER(SEARCH('TRANSPORT DASHBOARD'!$C$4,INDEX(MASTER_ZONES!$B:$B,1046)))),1045,""),""),""))</f>
        <v/>
      </c>
      <c r="K1046">
        <f>IF('MIDWEEK DASHBOARD'!$B$4="Area",IF(1045&lt;=$N$3,IF(AND(OR('MIDWEEK DASHBOARD'!$C$4="",ISNUMBER(SEARCH('MIDWEEK DASHBOARD'!$C$4,INDEX(MASTER_AREAS!$B:$B,1046))))),1045,""),""),IF('MIDWEEK DASHBOARD'!$B$4="Zone",IF(1045&lt;=$N$4,IF(OR('MIDWEEK DASHBOARD'!$C$4="",ISNUMBER(SEARCH('MIDWEEK DASHBOARD'!$C$4,INDEX(MASTER_ZONES!$B:$B,1046)))),1045,""),""),""))</f>
        <v/>
      </c>
      <c r="P1046">
        <f>IF('CHOP DASHBOARD'!$B$4="Area",IF(1045&lt;=$S$3,IF(AND(OR('CHOP DASHBOARD'!$C$4="",ISNUMBER(SEARCH('CHOP DASHBOARD'!$C$4,INDEX(MASTER_AREAS!$B:$B,1046))))),1045,""),""),IF('CHOP DASHBOARD'!$B$4="Zone",IF(1045&lt;=$S$4,IF(OR('CHOP DASHBOARD'!$C$4="",ISNUMBER(SEARCH('CHOP DASHBOARD'!$C$4,INDEX(MASTER_ZONES!$B:$B,1046)))),1045,""),""),""))</f>
        <v/>
      </c>
      <c r="U1046">
        <f>IF('COMMUNITY CHURCH DASHBOARD'!$B$4="Area",IF(1045&lt;=$X$3,IF(AND(OR('COMMUNITY CHURCH DASHBOARD'!$C$4="",ISNUMBER(SEARCH('COMMUNITY CHURCH DASHBOARD'!$C$4,INDEX(MASTER_AREAS!$B:$B,1046))))),1045,""),""),IF('COMMUNITY CHURCH DASHBOARD'!$B$4="Zone",IF(1045&lt;=$X$4,IF(OR('COMMUNITY CHURCH DASHBOARD'!$C$4="",ISNUMBER(SEARCH('COMMUNITY CHURCH DASHBOARD'!$C$4,INDEX(MASTER_ZONES!$B:$B,1046)))),1045,""),""),""))</f>
        <v/>
      </c>
    </row>
    <row r="1047">
      <c r="A1047">
        <f>IF('WSF DASHBOARD'!$B$4="Area",IF(1046&lt;=$D$3,IF(AND(OR('WSF DASHBOARD'!$C$4="",ISNUMBER(SEARCH('WSF DASHBOARD'!$C$4,INDEX(MASTER_AREAS!$B:$B,1047))))),1046,""),""),IF('WSF DASHBOARD'!$B$4="Zone",IF(1046&lt;=$D$4,IF(OR('WSF DASHBOARD'!$C$4="",ISNUMBER(SEARCH('WSF DASHBOARD'!$C$4,INDEX(MASTER_ZONES!$B:$B,1047)))),1046,""),""),""))</f>
        <v/>
      </c>
      <c r="F1047">
        <f>IF('TRANSPORT DASHBOARD'!$B$4="Area",IF(1046&lt;=$I$3,IF(AND(INDEX(MASTER_AREAS!$F:$F,1047)&lt;&gt;"N",OR('TRANSPORT DASHBOARD'!$C$4="",ISNUMBER(SEARCH('TRANSPORT DASHBOARD'!$C$4,INDEX(MASTER_AREAS!$B:$B,1047))))),1046,""),""),IF('TRANSPORT DASHBOARD'!$B$4="Zone",IF(1046&lt;=$I$4,IF(OR('TRANSPORT DASHBOARD'!$C$4="",ISNUMBER(SEARCH('TRANSPORT DASHBOARD'!$C$4,INDEX(MASTER_ZONES!$B:$B,1047)))),1046,""),""),""))</f>
        <v/>
      </c>
      <c r="K1047">
        <f>IF('MIDWEEK DASHBOARD'!$B$4="Area",IF(1046&lt;=$N$3,IF(AND(OR('MIDWEEK DASHBOARD'!$C$4="",ISNUMBER(SEARCH('MIDWEEK DASHBOARD'!$C$4,INDEX(MASTER_AREAS!$B:$B,1047))))),1046,""),""),IF('MIDWEEK DASHBOARD'!$B$4="Zone",IF(1046&lt;=$N$4,IF(OR('MIDWEEK DASHBOARD'!$C$4="",ISNUMBER(SEARCH('MIDWEEK DASHBOARD'!$C$4,INDEX(MASTER_ZONES!$B:$B,1047)))),1046,""),""),""))</f>
        <v/>
      </c>
      <c r="P1047">
        <f>IF('CHOP DASHBOARD'!$B$4="Area",IF(1046&lt;=$S$3,IF(AND(OR('CHOP DASHBOARD'!$C$4="",ISNUMBER(SEARCH('CHOP DASHBOARD'!$C$4,INDEX(MASTER_AREAS!$B:$B,1047))))),1046,""),""),IF('CHOP DASHBOARD'!$B$4="Zone",IF(1046&lt;=$S$4,IF(OR('CHOP DASHBOARD'!$C$4="",ISNUMBER(SEARCH('CHOP DASHBOARD'!$C$4,INDEX(MASTER_ZONES!$B:$B,1047)))),1046,""),""),""))</f>
        <v/>
      </c>
      <c r="U1047">
        <f>IF('COMMUNITY CHURCH DASHBOARD'!$B$4="Area",IF(1046&lt;=$X$3,IF(AND(OR('COMMUNITY CHURCH DASHBOARD'!$C$4="",ISNUMBER(SEARCH('COMMUNITY CHURCH DASHBOARD'!$C$4,INDEX(MASTER_AREAS!$B:$B,1047))))),1046,""),""),IF('COMMUNITY CHURCH DASHBOARD'!$B$4="Zone",IF(1046&lt;=$X$4,IF(OR('COMMUNITY CHURCH DASHBOARD'!$C$4="",ISNUMBER(SEARCH('COMMUNITY CHURCH DASHBOARD'!$C$4,INDEX(MASTER_ZONES!$B:$B,1047)))),1046,""),""),""))</f>
        <v/>
      </c>
    </row>
    <row r="1048">
      <c r="A1048">
        <f>IF('WSF DASHBOARD'!$B$4="Area",IF(1047&lt;=$D$3,IF(AND(OR('WSF DASHBOARD'!$C$4="",ISNUMBER(SEARCH('WSF DASHBOARD'!$C$4,INDEX(MASTER_AREAS!$B:$B,1048))))),1047,""),""),IF('WSF DASHBOARD'!$B$4="Zone",IF(1047&lt;=$D$4,IF(OR('WSF DASHBOARD'!$C$4="",ISNUMBER(SEARCH('WSF DASHBOARD'!$C$4,INDEX(MASTER_ZONES!$B:$B,1048)))),1047,""),""),""))</f>
        <v/>
      </c>
      <c r="F1048">
        <f>IF('TRANSPORT DASHBOARD'!$B$4="Area",IF(1047&lt;=$I$3,IF(AND(INDEX(MASTER_AREAS!$F:$F,1048)&lt;&gt;"N",OR('TRANSPORT DASHBOARD'!$C$4="",ISNUMBER(SEARCH('TRANSPORT DASHBOARD'!$C$4,INDEX(MASTER_AREAS!$B:$B,1048))))),1047,""),""),IF('TRANSPORT DASHBOARD'!$B$4="Zone",IF(1047&lt;=$I$4,IF(OR('TRANSPORT DASHBOARD'!$C$4="",ISNUMBER(SEARCH('TRANSPORT DASHBOARD'!$C$4,INDEX(MASTER_ZONES!$B:$B,1048)))),1047,""),""),""))</f>
        <v/>
      </c>
      <c r="K1048">
        <f>IF('MIDWEEK DASHBOARD'!$B$4="Area",IF(1047&lt;=$N$3,IF(AND(OR('MIDWEEK DASHBOARD'!$C$4="",ISNUMBER(SEARCH('MIDWEEK DASHBOARD'!$C$4,INDEX(MASTER_AREAS!$B:$B,1048))))),1047,""),""),IF('MIDWEEK DASHBOARD'!$B$4="Zone",IF(1047&lt;=$N$4,IF(OR('MIDWEEK DASHBOARD'!$C$4="",ISNUMBER(SEARCH('MIDWEEK DASHBOARD'!$C$4,INDEX(MASTER_ZONES!$B:$B,1048)))),1047,""),""),""))</f>
        <v/>
      </c>
      <c r="P1048">
        <f>IF('CHOP DASHBOARD'!$B$4="Area",IF(1047&lt;=$S$3,IF(AND(OR('CHOP DASHBOARD'!$C$4="",ISNUMBER(SEARCH('CHOP DASHBOARD'!$C$4,INDEX(MASTER_AREAS!$B:$B,1048))))),1047,""),""),IF('CHOP DASHBOARD'!$B$4="Zone",IF(1047&lt;=$S$4,IF(OR('CHOP DASHBOARD'!$C$4="",ISNUMBER(SEARCH('CHOP DASHBOARD'!$C$4,INDEX(MASTER_ZONES!$B:$B,1048)))),1047,""),""),""))</f>
        <v/>
      </c>
      <c r="U1048">
        <f>IF('COMMUNITY CHURCH DASHBOARD'!$B$4="Area",IF(1047&lt;=$X$3,IF(AND(OR('COMMUNITY CHURCH DASHBOARD'!$C$4="",ISNUMBER(SEARCH('COMMUNITY CHURCH DASHBOARD'!$C$4,INDEX(MASTER_AREAS!$B:$B,1048))))),1047,""),""),IF('COMMUNITY CHURCH DASHBOARD'!$B$4="Zone",IF(1047&lt;=$X$4,IF(OR('COMMUNITY CHURCH DASHBOARD'!$C$4="",ISNUMBER(SEARCH('COMMUNITY CHURCH DASHBOARD'!$C$4,INDEX(MASTER_ZONES!$B:$B,1048)))),1047,""),""),""))</f>
        <v/>
      </c>
    </row>
    <row r="1049">
      <c r="A1049">
        <f>IF('WSF DASHBOARD'!$B$4="Area",IF(1048&lt;=$D$3,IF(AND(OR('WSF DASHBOARD'!$C$4="",ISNUMBER(SEARCH('WSF DASHBOARD'!$C$4,INDEX(MASTER_AREAS!$B:$B,1049))))),1048,""),""),IF('WSF DASHBOARD'!$B$4="Zone",IF(1048&lt;=$D$4,IF(OR('WSF DASHBOARD'!$C$4="",ISNUMBER(SEARCH('WSF DASHBOARD'!$C$4,INDEX(MASTER_ZONES!$B:$B,1049)))),1048,""),""),""))</f>
        <v/>
      </c>
      <c r="F1049">
        <f>IF('TRANSPORT DASHBOARD'!$B$4="Area",IF(1048&lt;=$I$3,IF(AND(INDEX(MASTER_AREAS!$F:$F,1049)&lt;&gt;"N",OR('TRANSPORT DASHBOARD'!$C$4="",ISNUMBER(SEARCH('TRANSPORT DASHBOARD'!$C$4,INDEX(MASTER_AREAS!$B:$B,1049))))),1048,""),""),IF('TRANSPORT DASHBOARD'!$B$4="Zone",IF(1048&lt;=$I$4,IF(OR('TRANSPORT DASHBOARD'!$C$4="",ISNUMBER(SEARCH('TRANSPORT DASHBOARD'!$C$4,INDEX(MASTER_ZONES!$B:$B,1049)))),1048,""),""),""))</f>
        <v/>
      </c>
      <c r="K1049">
        <f>IF('MIDWEEK DASHBOARD'!$B$4="Area",IF(1048&lt;=$N$3,IF(AND(OR('MIDWEEK DASHBOARD'!$C$4="",ISNUMBER(SEARCH('MIDWEEK DASHBOARD'!$C$4,INDEX(MASTER_AREAS!$B:$B,1049))))),1048,""),""),IF('MIDWEEK DASHBOARD'!$B$4="Zone",IF(1048&lt;=$N$4,IF(OR('MIDWEEK DASHBOARD'!$C$4="",ISNUMBER(SEARCH('MIDWEEK DASHBOARD'!$C$4,INDEX(MASTER_ZONES!$B:$B,1049)))),1048,""),""),""))</f>
        <v/>
      </c>
      <c r="P1049">
        <f>IF('CHOP DASHBOARD'!$B$4="Area",IF(1048&lt;=$S$3,IF(AND(OR('CHOP DASHBOARD'!$C$4="",ISNUMBER(SEARCH('CHOP DASHBOARD'!$C$4,INDEX(MASTER_AREAS!$B:$B,1049))))),1048,""),""),IF('CHOP DASHBOARD'!$B$4="Zone",IF(1048&lt;=$S$4,IF(OR('CHOP DASHBOARD'!$C$4="",ISNUMBER(SEARCH('CHOP DASHBOARD'!$C$4,INDEX(MASTER_ZONES!$B:$B,1049)))),1048,""),""),""))</f>
        <v/>
      </c>
      <c r="U1049">
        <f>IF('COMMUNITY CHURCH DASHBOARD'!$B$4="Area",IF(1048&lt;=$X$3,IF(AND(OR('COMMUNITY CHURCH DASHBOARD'!$C$4="",ISNUMBER(SEARCH('COMMUNITY CHURCH DASHBOARD'!$C$4,INDEX(MASTER_AREAS!$B:$B,1049))))),1048,""),""),IF('COMMUNITY CHURCH DASHBOARD'!$B$4="Zone",IF(1048&lt;=$X$4,IF(OR('COMMUNITY CHURCH DASHBOARD'!$C$4="",ISNUMBER(SEARCH('COMMUNITY CHURCH DASHBOARD'!$C$4,INDEX(MASTER_ZONES!$B:$B,1049)))),1048,""),""),""))</f>
        <v/>
      </c>
    </row>
    <row r="1050">
      <c r="A1050">
        <f>IF('WSF DASHBOARD'!$B$4="Area",IF(1049&lt;=$D$3,IF(AND(OR('WSF DASHBOARD'!$C$4="",ISNUMBER(SEARCH('WSF DASHBOARD'!$C$4,INDEX(MASTER_AREAS!$B:$B,1050))))),1049,""),""),IF('WSF DASHBOARD'!$B$4="Zone",IF(1049&lt;=$D$4,IF(OR('WSF DASHBOARD'!$C$4="",ISNUMBER(SEARCH('WSF DASHBOARD'!$C$4,INDEX(MASTER_ZONES!$B:$B,1050)))),1049,""),""),""))</f>
        <v/>
      </c>
      <c r="F1050">
        <f>IF('TRANSPORT DASHBOARD'!$B$4="Area",IF(1049&lt;=$I$3,IF(AND(INDEX(MASTER_AREAS!$F:$F,1050)&lt;&gt;"N",OR('TRANSPORT DASHBOARD'!$C$4="",ISNUMBER(SEARCH('TRANSPORT DASHBOARD'!$C$4,INDEX(MASTER_AREAS!$B:$B,1050))))),1049,""),""),IF('TRANSPORT DASHBOARD'!$B$4="Zone",IF(1049&lt;=$I$4,IF(OR('TRANSPORT DASHBOARD'!$C$4="",ISNUMBER(SEARCH('TRANSPORT DASHBOARD'!$C$4,INDEX(MASTER_ZONES!$B:$B,1050)))),1049,""),""),""))</f>
        <v/>
      </c>
      <c r="K1050">
        <f>IF('MIDWEEK DASHBOARD'!$B$4="Area",IF(1049&lt;=$N$3,IF(AND(OR('MIDWEEK DASHBOARD'!$C$4="",ISNUMBER(SEARCH('MIDWEEK DASHBOARD'!$C$4,INDEX(MASTER_AREAS!$B:$B,1050))))),1049,""),""),IF('MIDWEEK DASHBOARD'!$B$4="Zone",IF(1049&lt;=$N$4,IF(OR('MIDWEEK DASHBOARD'!$C$4="",ISNUMBER(SEARCH('MIDWEEK DASHBOARD'!$C$4,INDEX(MASTER_ZONES!$B:$B,1050)))),1049,""),""),""))</f>
        <v/>
      </c>
      <c r="P1050">
        <f>IF('CHOP DASHBOARD'!$B$4="Area",IF(1049&lt;=$S$3,IF(AND(OR('CHOP DASHBOARD'!$C$4="",ISNUMBER(SEARCH('CHOP DASHBOARD'!$C$4,INDEX(MASTER_AREAS!$B:$B,1050))))),1049,""),""),IF('CHOP DASHBOARD'!$B$4="Zone",IF(1049&lt;=$S$4,IF(OR('CHOP DASHBOARD'!$C$4="",ISNUMBER(SEARCH('CHOP DASHBOARD'!$C$4,INDEX(MASTER_ZONES!$B:$B,1050)))),1049,""),""),""))</f>
        <v/>
      </c>
      <c r="U1050">
        <f>IF('COMMUNITY CHURCH DASHBOARD'!$B$4="Area",IF(1049&lt;=$X$3,IF(AND(OR('COMMUNITY CHURCH DASHBOARD'!$C$4="",ISNUMBER(SEARCH('COMMUNITY CHURCH DASHBOARD'!$C$4,INDEX(MASTER_AREAS!$B:$B,1050))))),1049,""),""),IF('COMMUNITY CHURCH DASHBOARD'!$B$4="Zone",IF(1049&lt;=$X$4,IF(OR('COMMUNITY CHURCH DASHBOARD'!$C$4="",ISNUMBER(SEARCH('COMMUNITY CHURCH DASHBOARD'!$C$4,INDEX(MASTER_ZONES!$B:$B,1050)))),1049,""),""),""))</f>
        <v/>
      </c>
    </row>
    <row r="1051">
      <c r="A1051">
        <f>IF('WSF DASHBOARD'!$B$4="Area",IF(1050&lt;=$D$3,IF(AND(OR('WSF DASHBOARD'!$C$4="",ISNUMBER(SEARCH('WSF DASHBOARD'!$C$4,INDEX(MASTER_AREAS!$B:$B,1051))))),1050,""),""),IF('WSF DASHBOARD'!$B$4="Zone",IF(1050&lt;=$D$4,IF(OR('WSF DASHBOARD'!$C$4="",ISNUMBER(SEARCH('WSF DASHBOARD'!$C$4,INDEX(MASTER_ZONES!$B:$B,1051)))),1050,""),""),""))</f>
        <v/>
      </c>
      <c r="F1051">
        <f>IF('TRANSPORT DASHBOARD'!$B$4="Area",IF(1050&lt;=$I$3,IF(AND(INDEX(MASTER_AREAS!$F:$F,1051)&lt;&gt;"N",OR('TRANSPORT DASHBOARD'!$C$4="",ISNUMBER(SEARCH('TRANSPORT DASHBOARD'!$C$4,INDEX(MASTER_AREAS!$B:$B,1051))))),1050,""),""),IF('TRANSPORT DASHBOARD'!$B$4="Zone",IF(1050&lt;=$I$4,IF(OR('TRANSPORT DASHBOARD'!$C$4="",ISNUMBER(SEARCH('TRANSPORT DASHBOARD'!$C$4,INDEX(MASTER_ZONES!$B:$B,1051)))),1050,""),""),""))</f>
        <v/>
      </c>
      <c r="K1051">
        <f>IF('MIDWEEK DASHBOARD'!$B$4="Area",IF(1050&lt;=$N$3,IF(AND(OR('MIDWEEK DASHBOARD'!$C$4="",ISNUMBER(SEARCH('MIDWEEK DASHBOARD'!$C$4,INDEX(MASTER_AREAS!$B:$B,1051))))),1050,""),""),IF('MIDWEEK DASHBOARD'!$B$4="Zone",IF(1050&lt;=$N$4,IF(OR('MIDWEEK DASHBOARD'!$C$4="",ISNUMBER(SEARCH('MIDWEEK DASHBOARD'!$C$4,INDEX(MASTER_ZONES!$B:$B,1051)))),1050,""),""),""))</f>
        <v/>
      </c>
      <c r="P1051">
        <f>IF('CHOP DASHBOARD'!$B$4="Area",IF(1050&lt;=$S$3,IF(AND(OR('CHOP DASHBOARD'!$C$4="",ISNUMBER(SEARCH('CHOP DASHBOARD'!$C$4,INDEX(MASTER_AREAS!$B:$B,1051))))),1050,""),""),IF('CHOP DASHBOARD'!$B$4="Zone",IF(1050&lt;=$S$4,IF(OR('CHOP DASHBOARD'!$C$4="",ISNUMBER(SEARCH('CHOP DASHBOARD'!$C$4,INDEX(MASTER_ZONES!$B:$B,1051)))),1050,""),""),""))</f>
        <v/>
      </c>
      <c r="U1051">
        <f>IF('COMMUNITY CHURCH DASHBOARD'!$B$4="Area",IF(1050&lt;=$X$3,IF(AND(OR('COMMUNITY CHURCH DASHBOARD'!$C$4="",ISNUMBER(SEARCH('COMMUNITY CHURCH DASHBOARD'!$C$4,INDEX(MASTER_AREAS!$B:$B,1051))))),1050,""),""),IF('COMMUNITY CHURCH DASHBOARD'!$B$4="Zone",IF(1050&lt;=$X$4,IF(OR('COMMUNITY CHURCH DASHBOARD'!$C$4="",ISNUMBER(SEARCH('COMMUNITY CHURCH DASHBOARD'!$C$4,INDEX(MASTER_ZONES!$B:$B,1051)))),1050,""),""),""))</f>
        <v/>
      </c>
    </row>
    <row r="1052">
      <c r="A1052">
        <f>IF('WSF DASHBOARD'!$B$4="Area",IF(1051&lt;=$D$3,IF(AND(OR('WSF DASHBOARD'!$C$4="",ISNUMBER(SEARCH('WSF DASHBOARD'!$C$4,INDEX(MASTER_AREAS!$B:$B,1052))))),1051,""),""),IF('WSF DASHBOARD'!$B$4="Zone",IF(1051&lt;=$D$4,IF(OR('WSF DASHBOARD'!$C$4="",ISNUMBER(SEARCH('WSF DASHBOARD'!$C$4,INDEX(MASTER_ZONES!$B:$B,1052)))),1051,""),""),""))</f>
        <v/>
      </c>
      <c r="F1052">
        <f>IF('TRANSPORT DASHBOARD'!$B$4="Area",IF(1051&lt;=$I$3,IF(AND(INDEX(MASTER_AREAS!$F:$F,1052)&lt;&gt;"N",OR('TRANSPORT DASHBOARD'!$C$4="",ISNUMBER(SEARCH('TRANSPORT DASHBOARD'!$C$4,INDEX(MASTER_AREAS!$B:$B,1052))))),1051,""),""),IF('TRANSPORT DASHBOARD'!$B$4="Zone",IF(1051&lt;=$I$4,IF(OR('TRANSPORT DASHBOARD'!$C$4="",ISNUMBER(SEARCH('TRANSPORT DASHBOARD'!$C$4,INDEX(MASTER_ZONES!$B:$B,1052)))),1051,""),""),""))</f>
        <v/>
      </c>
      <c r="K1052">
        <f>IF('MIDWEEK DASHBOARD'!$B$4="Area",IF(1051&lt;=$N$3,IF(AND(OR('MIDWEEK DASHBOARD'!$C$4="",ISNUMBER(SEARCH('MIDWEEK DASHBOARD'!$C$4,INDEX(MASTER_AREAS!$B:$B,1052))))),1051,""),""),IF('MIDWEEK DASHBOARD'!$B$4="Zone",IF(1051&lt;=$N$4,IF(OR('MIDWEEK DASHBOARD'!$C$4="",ISNUMBER(SEARCH('MIDWEEK DASHBOARD'!$C$4,INDEX(MASTER_ZONES!$B:$B,1052)))),1051,""),""),""))</f>
        <v/>
      </c>
      <c r="P1052">
        <f>IF('CHOP DASHBOARD'!$B$4="Area",IF(1051&lt;=$S$3,IF(AND(OR('CHOP DASHBOARD'!$C$4="",ISNUMBER(SEARCH('CHOP DASHBOARD'!$C$4,INDEX(MASTER_AREAS!$B:$B,1052))))),1051,""),""),IF('CHOP DASHBOARD'!$B$4="Zone",IF(1051&lt;=$S$4,IF(OR('CHOP DASHBOARD'!$C$4="",ISNUMBER(SEARCH('CHOP DASHBOARD'!$C$4,INDEX(MASTER_ZONES!$B:$B,1052)))),1051,""),""),""))</f>
        <v/>
      </c>
      <c r="U1052">
        <f>IF('COMMUNITY CHURCH DASHBOARD'!$B$4="Area",IF(1051&lt;=$X$3,IF(AND(OR('COMMUNITY CHURCH DASHBOARD'!$C$4="",ISNUMBER(SEARCH('COMMUNITY CHURCH DASHBOARD'!$C$4,INDEX(MASTER_AREAS!$B:$B,1052))))),1051,""),""),IF('COMMUNITY CHURCH DASHBOARD'!$B$4="Zone",IF(1051&lt;=$X$4,IF(OR('COMMUNITY CHURCH DASHBOARD'!$C$4="",ISNUMBER(SEARCH('COMMUNITY CHURCH DASHBOARD'!$C$4,INDEX(MASTER_ZONES!$B:$B,1052)))),1051,""),""),""))</f>
        <v/>
      </c>
    </row>
    <row r="1053">
      <c r="A1053">
        <f>IF('WSF DASHBOARD'!$B$4="Area",IF(1052&lt;=$D$3,IF(AND(OR('WSF DASHBOARD'!$C$4="",ISNUMBER(SEARCH('WSF DASHBOARD'!$C$4,INDEX(MASTER_AREAS!$B:$B,1053))))),1052,""),""),IF('WSF DASHBOARD'!$B$4="Zone",IF(1052&lt;=$D$4,IF(OR('WSF DASHBOARD'!$C$4="",ISNUMBER(SEARCH('WSF DASHBOARD'!$C$4,INDEX(MASTER_ZONES!$B:$B,1053)))),1052,""),""),""))</f>
        <v/>
      </c>
      <c r="F1053">
        <f>IF('TRANSPORT DASHBOARD'!$B$4="Area",IF(1052&lt;=$I$3,IF(AND(INDEX(MASTER_AREAS!$F:$F,1053)&lt;&gt;"N",OR('TRANSPORT DASHBOARD'!$C$4="",ISNUMBER(SEARCH('TRANSPORT DASHBOARD'!$C$4,INDEX(MASTER_AREAS!$B:$B,1053))))),1052,""),""),IF('TRANSPORT DASHBOARD'!$B$4="Zone",IF(1052&lt;=$I$4,IF(OR('TRANSPORT DASHBOARD'!$C$4="",ISNUMBER(SEARCH('TRANSPORT DASHBOARD'!$C$4,INDEX(MASTER_ZONES!$B:$B,1053)))),1052,""),""),""))</f>
        <v/>
      </c>
      <c r="K1053">
        <f>IF('MIDWEEK DASHBOARD'!$B$4="Area",IF(1052&lt;=$N$3,IF(AND(OR('MIDWEEK DASHBOARD'!$C$4="",ISNUMBER(SEARCH('MIDWEEK DASHBOARD'!$C$4,INDEX(MASTER_AREAS!$B:$B,1053))))),1052,""),""),IF('MIDWEEK DASHBOARD'!$B$4="Zone",IF(1052&lt;=$N$4,IF(OR('MIDWEEK DASHBOARD'!$C$4="",ISNUMBER(SEARCH('MIDWEEK DASHBOARD'!$C$4,INDEX(MASTER_ZONES!$B:$B,1053)))),1052,""),""),""))</f>
        <v/>
      </c>
      <c r="P1053">
        <f>IF('CHOP DASHBOARD'!$B$4="Area",IF(1052&lt;=$S$3,IF(AND(OR('CHOP DASHBOARD'!$C$4="",ISNUMBER(SEARCH('CHOP DASHBOARD'!$C$4,INDEX(MASTER_AREAS!$B:$B,1053))))),1052,""),""),IF('CHOP DASHBOARD'!$B$4="Zone",IF(1052&lt;=$S$4,IF(OR('CHOP DASHBOARD'!$C$4="",ISNUMBER(SEARCH('CHOP DASHBOARD'!$C$4,INDEX(MASTER_ZONES!$B:$B,1053)))),1052,""),""),""))</f>
        <v/>
      </c>
      <c r="U1053">
        <f>IF('COMMUNITY CHURCH DASHBOARD'!$B$4="Area",IF(1052&lt;=$X$3,IF(AND(OR('COMMUNITY CHURCH DASHBOARD'!$C$4="",ISNUMBER(SEARCH('COMMUNITY CHURCH DASHBOARD'!$C$4,INDEX(MASTER_AREAS!$B:$B,1053))))),1052,""),""),IF('COMMUNITY CHURCH DASHBOARD'!$B$4="Zone",IF(1052&lt;=$X$4,IF(OR('COMMUNITY CHURCH DASHBOARD'!$C$4="",ISNUMBER(SEARCH('COMMUNITY CHURCH DASHBOARD'!$C$4,INDEX(MASTER_ZONES!$B:$B,1053)))),1052,""),""),""))</f>
        <v/>
      </c>
    </row>
    <row r="1054">
      <c r="A1054">
        <f>IF('WSF DASHBOARD'!$B$4="Area",IF(1053&lt;=$D$3,IF(AND(OR('WSF DASHBOARD'!$C$4="",ISNUMBER(SEARCH('WSF DASHBOARD'!$C$4,INDEX(MASTER_AREAS!$B:$B,1054))))),1053,""),""),IF('WSF DASHBOARD'!$B$4="Zone",IF(1053&lt;=$D$4,IF(OR('WSF DASHBOARD'!$C$4="",ISNUMBER(SEARCH('WSF DASHBOARD'!$C$4,INDEX(MASTER_ZONES!$B:$B,1054)))),1053,""),""),""))</f>
        <v/>
      </c>
      <c r="F1054">
        <f>IF('TRANSPORT DASHBOARD'!$B$4="Area",IF(1053&lt;=$I$3,IF(AND(INDEX(MASTER_AREAS!$F:$F,1054)&lt;&gt;"N",OR('TRANSPORT DASHBOARD'!$C$4="",ISNUMBER(SEARCH('TRANSPORT DASHBOARD'!$C$4,INDEX(MASTER_AREAS!$B:$B,1054))))),1053,""),""),IF('TRANSPORT DASHBOARD'!$B$4="Zone",IF(1053&lt;=$I$4,IF(OR('TRANSPORT DASHBOARD'!$C$4="",ISNUMBER(SEARCH('TRANSPORT DASHBOARD'!$C$4,INDEX(MASTER_ZONES!$B:$B,1054)))),1053,""),""),""))</f>
        <v/>
      </c>
      <c r="K1054">
        <f>IF('MIDWEEK DASHBOARD'!$B$4="Area",IF(1053&lt;=$N$3,IF(AND(OR('MIDWEEK DASHBOARD'!$C$4="",ISNUMBER(SEARCH('MIDWEEK DASHBOARD'!$C$4,INDEX(MASTER_AREAS!$B:$B,1054))))),1053,""),""),IF('MIDWEEK DASHBOARD'!$B$4="Zone",IF(1053&lt;=$N$4,IF(OR('MIDWEEK DASHBOARD'!$C$4="",ISNUMBER(SEARCH('MIDWEEK DASHBOARD'!$C$4,INDEX(MASTER_ZONES!$B:$B,1054)))),1053,""),""),""))</f>
        <v/>
      </c>
      <c r="P1054">
        <f>IF('CHOP DASHBOARD'!$B$4="Area",IF(1053&lt;=$S$3,IF(AND(OR('CHOP DASHBOARD'!$C$4="",ISNUMBER(SEARCH('CHOP DASHBOARD'!$C$4,INDEX(MASTER_AREAS!$B:$B,1054))))),1053,""),""),IF('CHOP DASHBOARD'!$B$4="Zone",IF(1053&lt;=$S$4,IF(OR('CHOP DASHBOARD'!$C$4="",ISNUMBER(SEARCH('CHOP DASHBOARD'!$C$4,INDEX(MASTER_ZONES!$B:$B,1054)))),1053,""),""),""))</f>
        <v/>
      </c>
      <c r="U1054">
        <f>IF('COMMUNITY CHURCH DASHBOARD'!$B$4="Area",IF(1053&lt;=$X$3,IF(AND(OR('COMMUNITY CHURCH DASHBOARD'!$C$4="",ISNUMBER(SEARCH('COMMUNITY CHURCH DASHBOARD'!$C$4,INDEX(MASTER_AREAS!$B:$B,1054))))),1053,""),""),IF('COMMUNITY CHURCH DASHBOARD'!$B$4="Zone",IF(1053&lt;=$X$4,IF(OR('COMMUNITY CHURCH DASHBOARD'!$C$4="",ISNUMBER(SEARCH('COMMUNITY CHURCH DASHBOARD'!$C$4,INDEX(MASTER_ZONES!$B:$B,1054)))),1053,""),""),""))</f>
        <v/>
      </c>
    </row>
    <row r="1055">
      <c r="A1055">
        <f>IF('WSF DASHBOARD'!$B$4="Area",IF(1054&lt;=$D$3,IF(AND(OR('WSF DASHBOARD'!$C$4="",ISNUMBER(SEARCH('WSF DASHBOARD'!$C$4,INDEX(MASTER_AREAS!$B:$B,1055))))),1054,""),""),IF('WSF DASHBOARD'!$B$4="Zone",IF(1054&lt;=$D$4,IF(OR('WSF DASHBOARD'!$C$4="",ISNUMBER(SEARCH('WSF DASHBOARD'!$C$4,INDEX(MASTER_ZONES!$B:$B,1055)))),1054,""),""),""))</f>
        <v/>
      </c>
      <c r="F1055">
        <f>IF('TRANSPORT DASHBOARD'!$B$4="Area",IF(1054&lt;=$I$3,IF(AND(INDEX(MASTER_AREAS!$F:$F,1055)&lt;&gt;"N",OR('TRANSPORT DASHBOARD'!$C$4="",ISNUMBER(SEARCH('TRANSPORT DASHBOARD'!$C$4,INDEX(MASTER_AREAS!$B:$B,1055))))),1054,""),""),IF('TRANSPORT DASHBOARD'!$B$4="Zone",IF(1054&lt;=$I$4,IF(OR('TRANSPORT DASHBOARD'!$C$4="",ISNUMBER(SEARCH('TRANSPORT DASHBOARD'!$C$4,INDEX(MASTER_ZONES!$B:$B,1055)))),1054,""),""),""))</f>
        <v/>
      </c>
      <c r="K1055">
        <f>IF('MIDWEEK DASHBOARD'!$B$4="Area",IF(1054&lt;=$N$3,IF(AND(OR('MIDWEEK DASHBOARD'!$C$4="",ISNUMBER(SEARCH('MIDWEEK DASHBOARD'!$C$4,INDEX(MASTER_AREAS!$B:$B,1055))))),1054,""),""),IF('MIDWEEK DASHBOARD'!$B$4="Zone",IF(1054&lt;=$N$4,IF(OR('MIDWEEK DASHBOARD'!$C$4="",ISNUMBER(SEARCH('MIDWEEK DASHBOARD'!$C$4,INDEX(MASTER_ZONES!$B:$B,1055)))),1054,""),""),""))</f>
        <v/>
      </c>
      <c r="P1055">
        <f>IF('CHOP DASHBOARD'!$B$4="Area",IF(1054&lt;=$S$3,IF(AND(OR('CHOP DASHBOARD'!$C$4="",ISNUMBER(SEARCH('CHOP DASHBOARD'!$C$4,INDEX(MASTER_AREAS!$B:$B,1055))))),1054,""),""),IF('CHOP DASHBOARD'!$B$4="Zone",IF(1054&lt;=$S$4,IF(OR('CHOP DASHBOARD'!$C$4="",ISNUMBER(SEARCH('CHOP DASHBOARD'!$C$4,INDEX(MASTER_ZONES!$B:$B,1055)))),1054,""),""),""))</f>
        <v/>
      </c>
      <c r="U1055">
        <f>IF('COMMUNITY CHURCH DASHBOARD'!$B$4="Area",IF(1054&lt;=$X$3,IF(AND(OR('COMMUNITY CHURCH DASHBOARD'!$C$4="",ISNUMBER(SEARCH('COMMUNITY CHURCH DASHBOARD'!$C$4,INDEX(MASTER_AREAS!$B:$B,1055))))),1054,""),""),IF('COMMUNITY CHURCH DASHBOARD'!$B$4="Zone",IF(1054&lt;=$X$4,IF(OR('COMMUNITY CHURCH DASHBOARD'!$C$4="",ISNUMBER(SEARCH('COMMUNITY CHURCH DASHBOARD'!$C$4,INDEX(MASTER_ZONES!$B:$B,1055)))),1054,""),""),""))</f>
        <v/>
      </c>
    </row>
    <row r="1056">
      <c r="A1056">
        <f>IF('WSF DASHBOARD'!$B$4="Area",IF(1055&lt;=$D$3,IF(AND(OR('WSF DASHBOARD'!$C$4="",ISNUMBER(SEARCH('WSF DASHBOARD'!$C$4,INDEX(MASTER_AREAS!$B:$B,1056))))),1055,""),""),IF('WSF DASHBOARD'!$B$4="Zone",IF(1055&lt;=$D$4,IF(OR('WSF DASHBOARD'!$C$4="",ISNUMBER(SEARCH('WSF DASHBOARD'!$C$4,INDEX(MASTER_ZONES!$B:$B,1056)))),1055,""),""),""))</f>
        <v/>
      </c>
      <c r="F1056">
        <f>IF('TRANSPORT DASHBOARD'!$B$4="Area",IF(1055&lt;=$I$3,IF(AND(INDEX(MASTER_AREAS!$F:$F,1056)&lt;&gt;"N",OR('TRANSPORT DASHBOARD'!$C$4="",ISNUMBER(SEARCH('TRANSPORT DASHBOARD'!$C$4,INDEX(MASTER_AREAS!$B:$B,1056))))),1055,""),""),IF('TRANSPORT DASHBOARD'!$B$4="Zone",IF(1055&lt;=$I$4,IF(OR('TRANSPORT DASHBOARD'!$C$4="",ISNUMBER(SEARCH('TRANSPORT DASHBOARD'!$C$4,INDEX(MASTER_ZONES!$B:$B,1056)))),1055,""),""),""))</f>
        <v/>
      </c>
      <c r="K1056">
        <f>IF('MIDWEEK DASHBOARD'!$B$4="Area",IF(1055&lt;=$N$3,IF(AND(OR('MIDWEEK DASHBOARD'!$C$4="",ISNUMBER(SEARCH('MIDWEEK DASHBOARD'!$C$4,INDEX(MASTER_AREAS!$B:$B,1056))))),1055,""),""),IF('MIDWEEK DASHBOARD'!$B$4="Zone",IF(1055&lt;=$N$4,IF(OR('MIDWEEK DASHBOARD'!$C$4="",ISNUMBER(SEARCH('MIDWEEK DASHBOARD'!$C$4,INDEX(MASTER_ZONES!$B:$B,1056)))),1055,""),""),""))</f>
        <v/>
      </c>
      <c r="P1056">
        <f>IF('CHOP DASHBOARD'!$B$4="Area",IF(1055&lt;=$S$3,IF(AND(OR('CHOP DASHBOARD'!$C$4="",ISNUMBER(SEARCH('CHOP DASHBOARD'!$C$4,INDEX(MASTER_AREAS!$B:$B,1056))))),1055,""),""),IF('CHOP DASHBOARD'!$B$4="Zone",IF(1055&lt;=$S$4,IF(OR('CHOP DASHBOARD'!$C$4="",ISNUMBER(SEARCH('CHOP DASHBOARD'!$C$4,INDEX(MASTER_ZONES!$B:$B,1056)))),1055,""),""),""))</f>
        <v/>
      </c>
      <c r="U1056">
        <f>IF('COMMUNITY CHURCH DASHBOARD'!$B$4="Area",IF(1055&lt;=$X$3,IF(AND(OR('COMMUNITY CHURCH DASHBOARD'!$C$4="",ISNUMBER(SEARCH('COMMUNITY CHURCH DASHBOARD'!$C$4,INDEX(MASTER_AREAS!$B:$B,1056))))),1055,""),""),IF('COMMUNITY CHURCH DASHBOARD'!$B$4="Zone",IF(1055&lt;=$X$4,IF(OR('COMMUNITY CHURCH DASHBOARD'!$C$4="",ISNUMBER(SEARCH('COMMUNITY CHURCH DASHBOARD'!$C$4,INDEX(MASTER_ZONES!$B:$B,1056)))),1055,""),""),""))</f>
        <v/>
      </c>
    </row>
    <row r="1057">
      <c r="A1057">
        <f>IF('WSF DASHBOARD'!$B$4="Area",IF(1056&lt;=$D$3,IF(AND(OR('WSF DASHBOARD'!$C$4="",ISNUMBER(SEARCH('WSF DASHBOARD'!$C$4,INDEX(MASTER_AREAS!$B:$B,1057))))),1056,""),""),IF('WSF DASHBOARD'!$B$4="Zone",IF(1056&lt;=$D$4,IF(OR('WSF DASHBOARD'!$C$4="",ISNUMBER(SEARCH('WSF DASHBOARD'!$C$4,INDEX(MASTER_ZONES!$B:$B,1057)))),1056,""),""),""))</f>
        <v/>
      </c>
      <c r="F1057">
        <f>IF('TRANSPORT DASHBOARD'!$B$4="Area",IF(1056&lt;=$I$3,IF(AND(INDEX(MASTER_AREAS!$F:$F,1057)&lt;&gt;"N",OR('TRANSPORT DASHBOARD'!$C$4="",ISNUMBER(SEARCH('TRANSPORT DASHBOARD'!$C$4,INDEX(MASTER_AREAS!$B:$B,1057))))),1056,""),""),IF('TRANSPORT DASHBOARD'!$B$4="Zone",IF(1056&lt;=$I$4,IF(OR('TRANSPORT DASHBOARD'!$C$4="",ISNUMBER(SEARCH('TRANSPORT DASHBOARD'!$C$4,INDEX(MASTER_ZONES!$B:$B,1057)))),1056,""),""),""))</f>
        <v/>
      </c>
      <c r="K1057">
        <f>IF('MIDWEEK DASHBOARD'!$B$4="Area",IF(1056&lt;=$N$3,IF(AND(OR('MIDWEEK DASHBOARD'!$C$4="",ISNUMBER(SEARCH('MIDWEEK DASHBOARD'!$C$4,INDEX(MASTER_AREAS!$B:$B,1057))))),1056,""),""),IF('MIDWEEK DASHBOARD'!$B$4="Zone",IF(1056&lt;=$N$4,IF(OR('MIDWEEK DASHBOARD'!$C$4="",ISNUMBER(SEARCH('MIDWEEK DASHBOARD'!$C$4,INDEX(MASTER_ZONES!$B:$B,1057)))),1056,""),""),""))</f>
        <v/>
      </c>
      <c r="P1057">
        <f>IF('CHOP DASHBOARD'!$B$4="Area",IF(1056&lt;=$S$3,IF(AND(OR('CHOP DASHBOARD'!$C$4="",ISNUMBER(SEARCH('CHOP DASHBOARD'!$C$4,INDEX(MASTER_AREAS!$B:$B,1057))))),1056,""),""),IF('CHOP DASHBOARD'!$B$4="Zone",IF(1056&lt;=$S$4,IF(OR('CHOP DASHBOARD'!$C$4="",ISNUMBER(SEARCH('CHOP DASHBOARD'!$C$4,INDEX(MASTER_ZONES!$B:$B,1057)))),1056,""),""),""))</f>
        <v/>
      </c>
      <c r="U1057">
        <f>IF('COMMUNITY CHURCH DASHBOARD'!$B$4="Area",IF(1056&lt;=$X$3,IF(AND(OR('COMMUNITY CHURCH DASHBOARD'!$C$4="",ISNUMBER(SEARCH('COMMUNITY CHURCH DASHBOARD'!$C$4,INDEX(MASTER_AREAS!$B:$B,1057))))),1056,""),""),IF('COMMUNITY CHURCH DASHBOARD'!$B$4="Zone",IF(1056&lt;=$X$4,IF(OR('COMMUNITY CHURCH DASHBOARD'!$C$4="",ISNUMBER(SEARCH('COMMUNITY CHURCH DASHBOARD'!$C$4,INDEX(MASTER_ZONES!$B:$B,1057)))),1056,""),""),""))</f>
        <v/>
      </c>
    </row>
    <row r="1058">
      <c r="A1058">
        <f>IF('WSF DASHBOARD'!$B$4="Area",IF(1057&lt;=$D$3,IF(AND(OR('WSF DASHBOARD'!$C$4="",ISNUMBER(SEARCH('WSF DASHBOARD'!$C$4,INDEX(MASTER_AREAS!$B:$B,1058))))),1057,""),""),IF('WSF DASHBOARD'!$B$4="Zone",IF(1057&lt;=$D$4,IF(OR('WSF DASHBOARD'!$C$4="",ISNUMBER(SEARCH('WSF DASHBOARD'!$C$4,INDEX(MASTER_ZONES!$B:$B,1058)))),1057,""),""),""))</f>
        <v/>
      </c>
      <c r="F1058">
        <f>IF('TRANSPORT DASHBOARD'!$B$4="Area",IF(1057&lt;=$I$3,IF(AND(INDEX(MASTER_AREAS!$F:$F,1058)&lt;&gt;"N",OR('TRANSPORT DASHBOARD'!$C$4="",ISNUMBER(SEARCH('TRANSPORT DASHBOARD'!$C$4,INDEX(MASTER_AREAS!$B:$B,1058))))),1057,""),""),IF('TRANSPORT DASHBOARD'!$B$4="Zone",IF(1057&lt;=$I$4,IF(OR('TRANSPORT DASHBOARD'!$C$4="",ISNUMBER(SEARCH('TRANSPORT DASHBOARD'!$C$4,INDEX(MASTER_ZONES!$B:$B,1058)))),1057,""),""),""))</f>
        <v/>
      </c>
      <c r="K1058">
        <f>IF('MIDWEEK DASHBOARD'!$B$4="Area",IF(1057&lt;=$N$3,IF(AND(OR('MIDWEEK DASHBOARD'!$C$4="",ISNUMBER(SEARCH('MIDWEEK DASHBOARD'!$C$4,INDEX(MASTER_AREAS!$B:$B,1058))))),1057,""),""),IF('MIDWEEK DASHBOARD'!$B$4="Zone",IF(1057&lt;=$N$4,IF(OR('MIDWEEK DASHBOARD'!$C$4="",ISNUMBER(SEARCH('MIDWEEK DASHBOARD'!$C$4,INDEX(MASTER_ZONES!$B:$B,1058)))),1057,""),""),""))</f>
        <v/>
      </c>
      <c r="P1058">
        <f>IF('CHOP DASHBOARD'!$B$4="Area",IF(1057&lt;=$S$3,IF(AND(OR('CHOP DASHBOARD'!$C$4="",ISNUMBER(SEARCH('CHOP DASHBOARD'!$C$4,INDEX(MASTER_AREAS!$B:$B,1058))))),1057,""),""),IF('CHOP DASHBOARD'!$B$4="Zone",IF(1057&lt;=$S$4,IF(OR('CHOP DASHBOARD'!$C$4="",ISNUMBER(SEARCH('CHOP DASHBOARD'!$C$4,INDEX(MASTER_ZONES!$B:$B,1058)))),1057,""),""),""))</f>
        <v/>
      </c>
      <c r="U1058">
        <f>IF('COMMUNITY CHURCH DASHBOARD'!$B$4="Area",IF(1057&lt;=$X$3,IF(AND(OR('COMMUNITY CHURCH DASHBOARD'!$C$4="",ISNUMBER(SEARCH('COMMUNITY CHURCH DASHBOARD'!$C$4,INDEX(MASTER_AREAS!$B:$B,1058))))),1057,""),""),IF('COMMUNITY CHURCH DASHBOARD'!$B$4="Zone",IF(1057&lt;=$X$4,IF(OR('COMMUNITY CHURCH DASHBOARD'!$C$4="",ISNUMBER(SEARCH('COMMUNITY CHURCH DASHBOARD'!$C$4,INDEX(MASTER_ZONES!$B:$B,1058)))),1057,""),""),""))</f>
        <v/>
      </c>
    </row>
    <row r="1059">
      <c r="A1059">
        <f>IF('WSF DASHBOARD'!$B$4="Area",IF(1058&lt;=$D$3,IF(AND(OR('WSF DASHBOARD'!$C$4="",ISNUMBER(SEARCH('WSF DASHBOARD'!$C$4,INDEX(MASTER_AREAS!$B:$B,1059))))),1058,""),""),IF('WSF DASHBOARD'!$B$4="Zone",IF(1058&lt;=$D$4,IF(OR('WSF DASHBOARD'!$C$4="",ISNUMBER(SEARCH('WSF DASHBOARD'!$C$4,INDEX(MASTER_ZONES!$B:$B,1059)))),1058,""),""),""))</f>
        <v/>
      </c>
      <c r="F1059">
        <f>IF('TRANSPORT DASHBOARD'!$B$4="Area",IF(1058&lt;=$I$3,IF(AND(INDEX(MASTER_AREAS!$F:$F,1059)&lt;&gt;"N",OR('TRANSPORT DASHBOARD'!$C$4="",ISNUMBER(SEARCH('TRANSPORT DASHBOARD'!$C$4,INDEX(MASTER_AREAS!$B:$B,1059))))),1058,""),""),IF('TRANSPORT DASHBOARD'!$B$4="Zone",IF(1058&lt;=$I$4,IF(OR('TRANSPORT DASHBOARD'!$C$4="",ISNUMBER(SEARCH('TRANSPORT DASHBOARD'!$C$4,INDEX(MASTER_ZONES!$B:$B,1059)))),1058,""),""),""))</f>
        <v/>
      </c>
      <c r="K1059">
        <f>IF('MIDWEEK DASHBOARD'!$B$4="Area",IF(1058&lt;=$N$3,IF(AND(OR('MIDWEEK DASHBOARD'!$C$4="",ISNUMBER(SEARCH('MIDWEEK DASHBOARD'!$C$4,INDEX(MASTER_AREAS!$B:$B,1059))))),1058,""),""),IF('MIDWEEK DASHBOARD'!$B$4="Zone",IF(1058&lt;=$N$4,IF(OR('MIDWEEK DASHBOARD'!$C$4="",ISNUMBER(SEARCH('MIDWEEK DASHBOARD'!$C$4,INDEX(MASTER_ZONES!$B:$B,1059)))),1058,""),""),""))</f>
        <v/>
      </c>
      <c r="P1059">
        <f>IF('CHOP DASHBOARD'!$B$4="Area",IF(1058&lt;=$S$3,IF(AND(OR('CHOP DASHBOARD'!$C$4="",ISNUMBER(SEARCH('CHOP DASHBOARD'!$C$4,INDEX(MASTER_AREAS!$B:$B,1059))))),1058,""),""),IF('CHOP DASHBOARD'!$B$4="Zone",IF(1058&lt;=$S$4,IF(OR('CHOP DASHBOARD'!$C$4="",ISNUMBER(SEARCH('CHOP DASHBOARD'!$C$4,INDEX(MASTER_ZONES!$B:$B,1059)))),1058,""),""),""))</f>
        <v/>
      </c>
      <c r="U1059">
        <f>IF('COMMUNITY CHURCH DASHBOARD'!$B$4="Area",IF(1058&lt;=$X$3,IF(AND(OR('COMMUNITY CHURCH DASHBOARD'!$C$4="",ISNUMBER(SEARCH('COMMUNITY CHURCH DASHBOARD'!$C$4,INDEX(MASTER_AREAS!$B:$B,1059))))),1058,""),""),IF('COMMUNITY CHURCH DASHBOARD'!$B$4="Zone",IF(1058&lt;=$X$4,IF(OR('COMMUNITY CHURCH DASHBOARD'!$C$4="",ISNUMBER(SEARCH('COMMUNITY CHURCH DASHBOARD'!$C$4,INDEX(MASTER_ZONES!$B:$B,1059)))),1058,""),""),""))</f>
        <v/>
      </c>
    </row>
    <row r="1060">
      <c r="A1060">
        <f>IF('WSF DASHBOARD'!$B$4="Area",IF(1059&lt;=$D$3,IF(AND(OR('WSF DASHBOARD'!$C$4="",ISNUMBER(SEARCH('WSF DASHBOARD'!$C$4,INDEX(MASTER_AREAS!$B:$B,1060))))),1059,""),""),IF('WSF DASHBOARD'!$B$4="Zone",IF(1059&lt;=$D$4,IF(OR('WSF DASHBOARD'!$C$4="",ISNUMBER(SEARCH('WSF DASHBOARD'!$C$4,INDEX(MASTER_ZONES!$B:$B,1060)))),1059,""),""),""))</f>
        <v/>
      </c>
      <c r="F1060">
        <f>IF('TRANSPORT DASHBOARD'!$B$4="Area",IF(1059&lt;=$I$3,IF(AND(INDEX(MASTER_AREAS!$F:$F,1060)&lt;&gt;"N",OR('TRANSPORT DASHBOARD'!$C$4="",ISNUMBER(SEARCH('TRANSPORT DASHBOARD'!$C$4,INDEX(MASTER_AREAS!$B:$B,1060))))),1059,""),""),IF('TRANSPORT DASHBOARD'!$B$4="Zone",IF(1059&lt;=$I$4,IF(OR('TRANSPORT DASHBOARD'!$C$4="",ISNUMBER(SEARCH('TRANSPORT DASHBOARD'!$C$4,INDEX(MASTER_ZONES!$B:$B,1060)))),1059,""),""),""))</f>
        <v/>
      </c>
      <c r="K1060">
        <f>IF('MIDWEEK DASHBOARD'!$B$4="Area",IF(1059&lt;=$N$3,IF(AND(OR('MIDWEEK DASHBOARD'!$C$4="",ISNUMBER(SEARCH('MIDWEEK DASHBOARD'!$C$4,INDEX(MASTER_AREAS!$B:$B,1060))))),1059,""),""),IF('MIDWEEK DASHBOARD'!$B$4="Zone",IF(1059&lt;=$N$4,IF(OR('MIDWEEK DASHBOARD'!$C$4="",ISNUMBER(SEARCH('MIDWEEK DASHBOARD'!$C$4,INDEX(MASTER_ZONES!$B:$B,1060)))),1059,""),""),""))</f>
        <v/>
      </c>
      <c r="P1060">
        <f>IF('CHOP DASHBOARD'!$B$4="Area",IF(1059&lt;=$S$3,IF(AND(OR('CHOP DASHBOARD'!$C$4="",ISNUMBER(SEARCH('CHOP DASHBOARD'!$C$4,INDEX(MASTER_AREAS!$B:$B,1060))))),1059,""),""),IF('CHOP DASHBOARD'!$B$4="Zone",IF(1059&lt;=$S$4,IF(OR('CHOP DASHBOARD'!$C$4="",ISNUMBER(SEARCH('CHOP DASHBOARD'!$C$4,INDEX(MASTER_ZONES!$B:$B,1060)))),1059,""),""),""))</f>
        <v/>
      </c>
      <c r="U1060">
        <f>IF('COMMUNITY CHURCH DASHBOARD'!$B$4="Area",IF(1059&lt;=$X$3,IF(AND(OR('COMMUNITY CHURCH DASHBOARD'!$C$4="",ISNUMBER(SEARCH('COMMUNITY CHURCH DASHBOARD'!$C$4,INDEX(MASTER_AREAS!$B:$B,1060))))),1059,""),""),IF('COMMUNITY CHURCH DASHBOARD'!$B$4="Zone",IF(1059&lt;=$X$4,IF(OR('COMMUNITY CHURCH DASHBOARD'!$C$4="",ISNUMBER(SEARCH('COMMUNITY CHURCH DASHBOARD'!$C$4,INDEX(MASTER_ZONES!$B:$B,1060)))),1059,""),""),""))</f>
        <v/>
      </c>
    </row>
    <row r="1061">
      <c r="A1061">
        <f>IF('WSF DASHBOARD'!$B$4="Area",IF(1060&lt;=$D$3,IF(AND(OR('WSF DASHBOARD'!$C$4="",ISNUMBER(SEARCH('WSF DASHBOARD'!$C$4,INDEX(MASTER_AREAS!$B:$B,1061))))),1060,""),""),IF('WSF DASHBOARD'!$B$4="Zone",IF(1060&lt;=$D$4,IF(OR('WSF DASHBOARD'!$C$4="",ISNUMBER(SEARCH('WSF DASHBOARD'!$C$4,INDEX(MASTER_ZONES!$B:$B,1061)))),1060,""),""),""))</f>
        <v/>
      </c>
      <c r="F1061">
        <f>IF('TRANSPORT DASHBOARD'!$B$4="Area",IF(1060&lt;=$I$3,IF(AND(INDEX(MASTER_AREAS!$F:$F,1061)&lt;&gt;"N",OR('TRANSPORT DASHBOARD'!$C$4="",ISNUMBER(SEARCH('TRANSPORT DASHBOARD'!$C$4,INDEX(MASTER_AREAS!$B:$B,1061))))),1060,""),""),IF('TRANSPORT DASHBOARD'!$B$4="Zone",IF(1060&lt;=$I$4,IF(OR('TRANSPORT DASHBOARD'!$C$4="",ISNUMBER(SEARCH('TRANSPORT DASHBOARD'!$C$4,INDEX(MASTER_ZONES!$B:$B,1061)))),1060,""),""),""))</f>
        <v/>
      </c>
      <c r="K1061">
        <f>IF('MIDWEEK DASHBOARD'!$B$4="Area",IF(1060&lt;=$N$3,IF(AND(OR('MIDWEEK DASHBOARD'!$C$4="",ISNUMBER(SEARCH('MIDWEEK DASHBOARD'!$C$4,INDEX(MASTER_AREAS!$B:$B,1061))))),1060,""),""),IF('MIDWEEK DASHBOARD'!$B$4="Zone",IF(1060&lt;=$N$4,IF(OR('MIDWEEK DASHBOARD'!$C$4="",ISNUMBER(SEARCH('MIDWEEK DASHBOARD'!$C$4,INDEX(MASTER_ZONES!$B:$B,1061)))),1060,""),""),""))</f>
        <v/>
      </c>
      <c r="P1061">
        <f>IF('CHOP DASHBOARD'!$B$4="Area",IF(1060&lt;=$S$3,IF(AND(OR('CHOP DASHBOARD'!$C$4="",ISNUMBER(SEARCH('CHOP DASHBOARD'!$C$4,INDEX(MASTER_AREAS!$B:$B,1061))))),1060,""),""),IF('CHOP DASHBOARD'!$B$4="Zone",IF(1060&lt;=$S$4,IF(OR('CHOP DASHBOARD'!$C$4="",ISNUMBER(SEARCH('CHOP DASHBOARD'!$C$4,INDEX(MASTER_ZONES!$B:$B,1061)))),1060,""),""),""))</f>
        <v/>
      </c>
      <c r="U1061">
        <f>IF('COMMUNITY CHURCH DASHBOARD'!$B$4="Area",IF(1060&lt;=$X$3,IF(AND(OR('COMMUNITY CHURCH DASHBOARD'!$C$4="",ISNUMBER(SEARCH('COMMUNITY CHURCH DASHBOARD'!$C$4,INDEX(MASTER_AREAS!$B:$B,1061))))),1060,""),""),IF('COMMUNITY CHURCH DASHBOARD'!$B$4="Zone",IF(1060&lt;=$X$4,IF(OR('COMMUNITY CHURCH DASHBOARD'!$C$4="",ISNUMBER(SEARCH('COMMUNITY CHURCH DASHBOARD'!$C$4,INDEX(MASTER_ZONES!$B:$B,1061)))),1060,""),""),""))</f>
        <v/>
      </c>
    </row>
    <row r="1062">
      <c r="A1062">
        <f>IF('WSF DASHBOARD'!$B$4="Area",IF(1061&lt;=$D$3,IF(AND(OR('WSF DASHBOARD'!$C$4="",ISNUMBER(SEARCH('WSF DASHBOARD'!$C$4,INDEX(MASTER_AREAS!$B:$B,1062))))),1061,""),""),IF('WSF DASHBOARD'!$B$4="Zone",IF(1061&lt;=$D$4,IF(OR('WSF DASHBOARD'!$C$4="",ISNUMBER(SEARCH('WSF DASHBOARD'!$C$4,INDEX(MASTER_ZONES!$B:$B,1062)))),1061,""),""),""))</f>
        <v/>
      </c>
      <c r="F1062">
        <f>IF('TRANSPORT DASHBOARD'!$B$4="Area",IF(1061&lt;=$I$3,IF(AND(INDEX(MASTER_AREAS!$F:$F,1062)&lt;&gt;"N",OR('TRANSPORT DASHBOARD'!$C$4="",ISNUMBER(SEARCH('TRANSPORT DASHBOARD'!$C$4,INDEX(MASTER_AREAS!$B:$B,1062))))),1061,""),""),IF('TRANSPORT DASHBOARD'!$B$4="Zone",IF(1061&lt;=$I$4,IF(OR('TRANSPORT DASHBOARD'!$C$4="",ISNUMBER(SEARCH('TRANSPORT DASHBOARD'!$C$4,INDEX(MASTER_ZONES!$B:$B,1062)))),1061,""),""),""))</f>
        <v/>
      </c>
      <c r="K1062">
        <f>IF('MIDWEEK DASHBOARD'!$B$4="Area",IF(1061&lt;=$N$3,IF(AND(OR('MIDWEEK DASHBOARD'!$C$4="",ISNUMBER(SEARCH('MIDWEEK DASHBOARD'!$C$4,INDEX(MASTER_AREAS!$B:$B,1062))))),1061,""),""),IF('MIDWEEK DASHBOARD'!$B$4="Zone",IF(1061&lt;=$N$4,IF(OR('MIDWEEK DASHBOARD'!$C$4="",ISNUMBER(SEARCH('MIDWEEK DASHBOARD'!$C$4,INDEX(MASTER_ZONES!$B:$B,1062)))),1061,""),""),""))</f>
        <v/>
      </c>
      <c r="P1062">
        <f>IF('CHOP DASHBOARD'!$B$4="Area",IF(1061&lt;=$S$3,IF(AND(OR('CHOP DASHBOARD'!$C$4="",ISNUMBER(SEARCH('CHOP DASHBOARD'!$C$4,INDEX(MASTER_AREAS!$B:$B,1062))))),1061,""),""),IF('CHOP DASHBOARD'!$B$4="Zone",IF(1061&lt;=$S$4,IF(OR('CHOP DASHBOARD'!$C$4="",ISNUMBER(SEARCH('CHOP DASHBOARD'!$C$4,INDEX(MASTER_ZONES!$B:$B,1062)))),1061,""),""),""))</f>
        <v/>
      </c>
      <c r="U1062">
        <f>IF('COMMUNITY CHURCH DASHBOARD'!$B$4="Area",IF(1061&lt;=$X$3,IF(AND(OR('COMMUNITY CHURCH DASHBOARD'!$C$4="",ISNUMBER(SEARCH('COMMUNITY CHURCH DASHBOARD'!$C$4,INDEX(MASTER_AREAS!$B:$B,1062))))),1061,""),""),IF('COMMUNITY CHURCH DASHBOARD'!$B$4="Zone",IF(1061&lt;=$X$4,IF(OR('COMMUNITY CHURCH DASHBOARD'!$C$4="",ISNUMBER(SEARCH('COMMUNITY CHURCH DASHBOARD'!$C$4,INDEX(MASTER_ZONES!$B:$B,1062)))),1061,""),""),""))</f>
        <v/>
      </c>
    </row>
    <row r="1063">
      <c r="A1063">
        <f>IF('WSF DASHBOARD'!$B$4="Area",IF(1062&lt;=$D$3,IF(AND(OR('WSF DASHBOARD'!$C$4="",ISNUMBER(SEARCH('WSF DASHBOARD'!$C$4,INDEX(MASTER_AREAS!$B:$B,1063))))),1062,""),""),IF('WSF DASHBOARD'!$B$4="Zone",IF(1062&lt;=$D$4,IF(OR('WSF DASHBOARD'!$C$4="",ISNUMBER(SEARCH('WSF DASHBOARD'!$C$4,INDEX(MASTER_ZONES!$B:$B,1063)))),1062,""),""),""))</f>
        <v/>
      </c>
      <c r="F1063">
        <f>IF('TRANSPORT DASHBOARD'!$B$4="Area",IF(1062&lt;=$I$3,IF(AND(INDEX(MASTER_AREAS!$F:$F,1063)&lt;&gt;"N",OR('TRANSPORT DASHBOARD'!$C$4="",ISNUMBER(SEARCH('TRANSPORT DASHBOARD'!$C$4,INDEX(MASTER_AREAS!$B:$B,1063))))),1062,""),""),IF('TRANSPORT DASHBOARD'!$B$4="Zone",IF(1062&lt;=$I$4,IF(OR('TRANSPORT DASHBOARD'!$C$4="",ISNUMBER(SEARCH('TRANSPORT DASHBOARD'!$C$4,INDEX(MASTER_ZONES!$B:$B,1063)))),1062,""),""),""))</f>
        <v/>
      </c>
      <c r="K1063">
        <f>IF('MIDWEEK DASHBOARD'!$B$4="Area",IF(1062&lt;=$N$3,IF(AND(OR('MIDWEEK DASHBOARD'!$C$4="",ISNUMBER(SEARCH('MIDWEEK DASHBOARD'!$C$4,INDEX(MASTER_AREAS!$B:$B,1063))))),1062,""),""),IF('MIDWEEK DASHBOARD'!$B$4="Zone",IF(1062&lt;=$N$4,IF(OR('MIDWEEK DASHBOARD'!$C$4="",ISNUMBER(SEARCH('MIDWEEK DASHBOARD'!$C$4,INDEX(MASTER_ZONES!$B:$B,1063)))),1062,""),""),""))</f>
        <v/>
      </c>
      <c r="P1063">
        <f>IF('CHOP DASHBOARD'!$B$4="Area",IF(1062&lt;=$S$3,IF(AND(OR('CHOP DASHBOARD'!$C$4="",ISNUMBER(SEARCH('CHOP DASHBOARD'!$C$4,INDEX(MASTER_AREAS!$B:$B,1063))))),1062,""),""),IF('CHOP DASHBOARD'!$B$4="Zone",IF(1062&lt;=$S$4,IF(OR('CHOP DASHBOARD'!$C$4="",ISNUMBER(SEARCH('CHOP DASHBOARD'!$C$4,INDEX(MASTER_ZONES!$B:$B,1063)))),1062,""),""),""))</f>
        <v/>
      </c>
      <c r="U1063">
        <f>IF('COMMUNITY CHURCH DASHBOARD'!$B$4="Area",IF(1062&lt;=$X$3,IF(AND(OR('COMMUNITY CHURCH DASHBOARD'!$C$4="",ISNUMBER(SEARCH('COMMUNITY CHURCH DASHBOARD'!$C$4,INDEX(MASTER_AREAS!$B:$B,1063))))),1062,""),""),IF('COMMUNITY CHURCH DASHBOARD'!$B$4="Zone",IF(1062&lt;=$X$4,IF(OR('COMMUNITY CHURCH DASHBOARD'!$C$4="",ISNUMBER(SEARCH('COMMUNITY CHURCH DASHBOARD'!$C$4,INDEX(MASTER_ZONES!$B:$B,1063)))),1062,""),""),""))</f>
        <v/>
      </c>
    </row>
    <row r="1064">
      <c r="A1064">
        <f>IF('WSF DASHBOARD'!$B$4="Area",IF(1063&lt;=$D$3,IF(AND(OR('WSF DASHBOARD'!$C$4="",ISNUMBER(SEARCH('WSF DASHBOARD'!$C$4,INDEX(MASTER_AREAS!$B:$B,1064))))),1063,""),""),IF('WSF DASHBOARD'!$B$4="Zone",IF(1063&lt;=$D$4,IF(OR('WSF DASHBOARD'!$C$4="",ISNUMBER(SEARCH('WSF DASHBOARD'!$C$4,INDEX(MASTER_ZONES!$B:$B,1064)))),1063,""),""),""))</f>
        <v/>
      </c>
      <c r="F1064">
        <f>IF('TRANSPORT DASHBOARD'!$B$4="Area",IF(1063&lt;=$I$3,IF(AND(INDEX(MASTER_AREAS!$F:$F,1064)&lt;&gt;"N",OR('TRANSPORT DASHBOARD'!$C$4="",ISNUMBER(SEARCH('TRANSPORT DASHBOARD'!$C$4,INDEX(MASTER_AREAS!$B:$B,1064))))),1063,""),""),IF('TRANSPORT DASHBOARD'!$B$4="Zone",IF(1063&lt;=$I$4,IF(OR('TRANSPORT DASHBOARD'!$C$4="",ISNUMBER(SEARCH('TRANSPORT DASHBOARD'!$C$4,INDEX(MASTER_ZONES!$B:$B,1064)))),1063,""),""),""))</f>
        <v/>
      </c>
      <c r="K1064">
        <f>IF('MIDWEEK DASHBOARD'!$B$4="Area",IF(1063&lt;=$N$3,IF(AND(OR('MIDWEEK DASHBOARD'!$C$4="",ISNUMBER(SEARCH('MIDWEEK DASHBOARD'!$C$4,INDEX(MASTER_AREAS!$B:$B,1064))))),1063,""),""),IF('MIDWEEK DASHBOARD'!$B$4="Zone",IF(1063&lt;=$N$4,IF(OR('MIDWEEK DASHBOARD'!$C$4="",ISNUMBER(SEARCH('MIDWEEK DASHBOARD'!$C$4,INDEX(MASTER_ZONES!$B:$B,1064)))),1063,""),""),""))</f>
        <v/>
      </c>
      <c r="P1064">
        <f>IF('CHOP DASHBOARD'!$B$4="Area",IF(1063&lt;=$S$3,IF(AND(OR('CHOP DASHBOARD'!$C$4="",ISNUMBER(SEARCH('CHOP DASHBOARD'!$C$4,INDEX(MASTER_AREAS!$B:$B,1064))))),1063,""),""),IF('CHOP DASHBOARD'!$B$4="Zone",IF(1063&lt;=$S$4,IF(OR('CHOP DASHBOARD'!$C$4="",ISNUMBER(SEARCH('CHOP DASHBOARD'!$C$4,INDEX(MASTER_ZONES!$B:$B,1064)))),1063,""),""),""))</f>
        <v/>
      </c>
      <c r="U1064">
        <f>IF('COMMUNITY CHURCH DASHBOARD'!$B$4="Area",IF(1063&lt;=$X$3,IF(AND(OR('COMMUNITY CHURCH DASHBOARD'!$C$4="",ISNUMBER(SEARCH('COMMUNITY CHURCH DASHBOARD'!$C$4,INDEX(MASTER_AREAS!$B:$B,1064))))),1063,""),""),IF('COMMUNITY CHURCH DASHBOARD'!$B$4="Zone",IF(1063&lt;=$X$4,IF(OR('COMMUNITY CHURCH DASHBOARD'!$C$4="",ISNUMBER(SEARCH('COMMUNITY CHURCH DASHBOARD'!$C$4,INDEX(MASTER_ZONES!$B:$B,1064)))),1063,""),""),""))</f>
        <v/>
      </c>
    </row>
    <row r="1065">
      <c r="A1065">
        <f>IF('WSF DASHBOARD'!$B$4="Area",IF(1064&lt;=$D$3,IF(AND(OR('WSF DASHBOARD'!$C$4="",ISNUMBER(SEARCH('WSF DASHBOARD'!$C$4,INDEX(MASTER_AREAS!$B:$B,1065))))),1064,""),""),IF('WSF DASHBOARD'!$B$4="Zone",IF(1064&lt;=$D$4,IF(OR('WSF DASHBOARD'!$C$4="",ISNUMBER(SEARCH('WSF DASHBOARD'!$C$4,INDEX(MASTER_ZONES!$B:$B,1065)))),1064,""),""),""))</f>
        <v/>
      </c>
      <c r="F1065">
        <f>IF('TRANSPORT DASHBOARD'!$B$4="Area",IF(1064&lt;=$I$3,IF(AND(INDEX(MASTER_AREAS!$F:$F,1065)&lt;&gt;"N",OR('TRANSPORT DASHBOARD'!$C$4="",ISNUMBER(SEARCH('TRANSPORT DASHBOARD'!$C$4,INDEX(MASTER_AREAS!$B:$B,1065))))),1064,""),""),IF('TRANSPORT DASHBOARD'!$B$4="Zone",IF(1064&lt;=$I$4,IF(OR('TRANSPORT DASHBOARD'!$C$4="",ISNUMBER(SEARCH('TRANSPORT DASHBOARD'!$C$4,INDEX(MASTER_ZONES!$B:$B,1065)))),1064,""),""),""))</f>
        <v/>
      </c>
      <c r="K1065">
        <f>IF('MIDWEEK DASHBOARD'!$B$4="Area",IF(1064&lt;=$N$3,IF(AND(OR('MIDWEEK DASHBOARD'!$C$4="",ISNUMBER(SEARCH('MIDWEEK DASHBOARD'!$C$4,INDEX(MASTER_AREAS!$B:$B,1065))))),1064,""),""),IF('MIDWEEK DASHBOARD'!$B$4="Zone",IF(1064&lt;=$N$4,IF(OR('MIDWEEK DASHBOARD'!$C$4="",ISNUMBER(SEARCH('MIDWEEK DASHBOARD'!$C$4,INDEX(MASTER_ZONES!$B:$B,1065)))),1064,""),""),""))</f>
        <v/>
      </c>
      <c r="P1065">
        <f>IF('CHOP DASHBOARD'!$B$4="Area",IF(1064&lt;=$S$3,IF(AND(OR('CHOP DASHBOARD'!$C$4="",ISNUMBER(SEARCH('CHOP DASHBOARD'!$C$4,INDEX(MASTER_AREAS!$B:$B,1065))))),1064,""),""),IF('CHOP DASHBOARD'!$B$4="Zone",IF(1064&lt;=$S$4,IF(OR('CHOP DASHBOARD'!$C$4="",ISNUMBER(SEARCH('CHOP DASHBOARD'!$C$4,INDEX(MASTER_ZONES!$B:$B,1065)))),1064,""),""),""))</f>
        <v/>
      </c>
      <c r="U1065">
        <f>IF('COMMUNITY CHURCH DASHBOARD'!$B$4="Area",IF(1064&lt;=$X$3,IF(AND(OR('COMMUNITY CHURCH DASHBOARD'!$C$4="",ISNUMBER(SEARCH('COMMUNITY CHURCH DASHBOARD'!$C$4,INDEX(MASTER_AREAS!$B:$B,1065))))),1064,""),""),IF('COMMUNITY CHURCH DASHBOARD'!$B$4="Zone",IF(1064&lt;=$X$4,IF(OR('COMMUNITY CHURCH DASHBOARD'!$C$4="",ISNUMBER(SEARCH('COMMUNITY CHURCH DASHBOARD'!$C$4,INDEX(MASTER_ZONES!$B:$B,1065)))),1064,""),""),""))</f>
        <v/>
      </c>
    </row>
    <row r="1066">
      <c r="A1066">
        <f>IF('WSF DASHBOARD'!$B$4="Area",IF(1065&lt;=$D$3,IF(AND(OR('WSF DASHBOARD'!$C$4="",ISNUMBER(SEARCH('WSF DASHBOARD'!$C$4,INDEX(MASTER_AREAS!$B:$B,1066))))),1065,""),""),IF('WSF DASHBOARD'!$B$4="Zone",IF(1065&lt;=$D$4,IF(OR('WSF DASHBOARD'!$C$4="",ISNUMBER(SEARCH('WSF DASHBOARD'!$C$4,INDEX(MASTER_ZONES!$B:$B,1066)))),1065,""),""),""))</f>
        <v/>
      </c>
      <c r="F1066">
        <f>IF('TRANSPORT DASHBOARD'!$B$4="Area",IF(1065&lt;=$I$3,IF(AND(INDEX(MASTER_AREAS!$F:$F,1066)&lt;&gt;"N",OR('TRANSPORT DASHBOARD'!$C$4="",ISNUMBER(SEARCH('TRANSPORT DASHBOARD'!$C$4,INDEX(MASTER_AREAS!$B:$B,1066))))),1065,""),""),IF('TRANSPORT DASHBOARD'!$B$4="Zone",IF(1065&lt;=$I$4,IF(OR('TRANSPORT DASHBOARD'!$C$4="",ISNUMBER(SEARCH('TRANSPORT DASHBOARD'!$C$4,INDEX(MASTER_ZONES!$B:$B,1066)))),1065,""),""),""))</f>
        <v/>
      </c>
      <c r="K1066">
        <f>IF('MIDWEEK DASHBOARD'!$B$4="Area",IF(1065&lt;=$N$3,IF(AND(OR('MIDWEEK DASHBOARD'!$C$4="",ISNUMBER(SEARCH('MIDWEEK DASHBOARD'!$C$4,INDEX(MASTER_AREAS!$B:$B,1066))))),1065,""),""),IF('MIDWEEK DASHBOARD'!$B$4="Zone",IF(1065&lt;=$N$4,IF(OR('MIDWEEK DASHBOARD'!$C$4="",ISNUMBER(SEARCH('MIDWEEK DASHBOARD'!$C$4,INDEX(MASTER_ZONES!$B:$B,1066)))),1065,""),""),""))</f>
        <v/>
      </c>
      <c r="P1066">
        <f>IF('CHOP DASHBOARD'!$B$4="Area",IF(1065&lt;=$S$3,IF(AND(OR('CHOP DASHBOARD'!$C$4="",ISNUMBER(SEARCH('CHOP DASHBOARD'!$C$4,INDEX(MASTER_AREAS!$B:$B,1066))))),1065,""),""),IF('CHOP DASHBOARD'!$B$4="Zone",IF(1065&lt;=$S$4,IF(OR('CHOP DASHBOARD'!$C$4="",ISNUMBER(SEARCH('CHOP DASHBOARD'!$C$4,INDEX(MASTER_ZONES!$B:$B,1066)))),1065,""),""),""))</f>
        <v/>
      </c>
      <c r="U1066">
        <f>IF('COMMUNITY CHURCH DASHBOARD'!$B$4="Area",IF(1065&lt;=$X$3,IF(AND(OR('COMMUNITY CHURCH DASHBOARD'!$C$4="",ISNUMBER(SEARCH('COMMUNITY CHURCH DASHBOARD'!$C$4,INDEX(MASTER_AREAS!$B:$B,1066))))),1065,""),""),IF('COMMUNITY CHURCH DASHBOARD'!$B$4="Zone",IF(1065&lt;=$X$4,IF(OR('COMMUNITY CHURCH DASHBOARD'!$C$4="",ISNUMBER(SEARCH('COMMUNITY CHURCH DASHBOARD'!$C$4,INDEX(MASTER_ZONES!$B:$B,1066)))),1065,""),""),""))</f>
        <v/>
      </c>
    </row>
    <row r="1067">
      <c r="A1067">
        <f>IF('WSF DASHBOARD'!$B$4="Area",IF(1066&lt;=$D$3,IF(AND(OR('WSF DASHBOARD'!$C$4="",ISNUMBER(SEARCH('WSF DASHBOARD'!$C$4,INDEX(MASTER_AREAS!$B:$B,1067))))),1066,""),""),IF('WSF DASHBOARD'!$B$4="Zone",IF(1066&lt;=$D$4,IF(OR('WSF DASHBOARD'!$C$4="",ISNUMBER(SEARCH('WSF DASHBOARD'!$C$4,INDEX(MASTER_ZONES!$B:$B,1067)))),1066,""),""),""))</f>
        <v/>
      </c>
      <c r="F1067">
        <f>IF('TRANSPORT DASHBOARD'!$B$4="Area",IF(1066&lt;=$I$3,IF(AND(INDEX(MASTER_AREAS!$F:$F,1067)&lt;&gt;"N",OR('TRANSPORT DASHBOARD'!$C$4="",ISNUMBER(SEARCH('TRANSPORT DASHBOARD'!$C$4,INDEX(MASTER_AREAS!$B:$B,1067))))),1066,""),""),IF('TRANSPORT DASHBOARD'!$B$4="Zone",IF(1066&lt;=$I$4,IF(OR('TRANSPORT DASHBOARD'!$C$4="",ISNUMBER(SEARCH('TRANSPORT DASHBOARD'!$C$4,INDEX(MASTER_ZONES!$B:$B,1067)))),1066,""),""),""))</f>
        <v/>
      </c>
      <c r="K1067">
        <f>IF('MIDWEEK DASHBOARD'!$B$4="Area",IF(1066&lt;=$N$3,IF(AND(OR('MIDWEEK DASHBOARD'!$C$4="",ISNUMBER(SEARCH('MIDWEEK DASHBOARD'!$C$4,INDEX(MASTER_AREAS!$B:$B,1067))))),1066,""),""),IF('MIDWEEK DASHBOARD'!$B$4="Zone",IF(1066&lt;=$N$4,IF(OR('MIDWEEK DASHBOARD'!$C$4="",ISNUMBER(SEARCH('MIDWEEK DASHBOARD'!$C$4,INDEX(MASTER_ZONES!$B:$B,1067)))),1066,""),""),""))</f>
        <v/>
      </c>
      <c r="P1067">
        <f>IF('CHOP DASHBOARD'!$B$4="Area",IF(1066&lt;=$S$3,IF(AND(OR('CHOP DASHBOARD'!$C$4="",ISNUMBER(SEARCH('CHOP DASHBOARD'!$C$4,INDEX(MASTER_AREAS!$B:$B,1067))))),1066,""),""),IF('CHOP DASHBOARD'!$B$4="Zone",IF(1066&lt;=$S$4,IF(OR('CHOP DASHBOARD'!$C$4="",ISNUMBER(SEARCH('CHOP DASHBOARD'!$C$4,INDEX(MASTER_ZONES!$B:$B,1067)))),1066,""),""),""))</f>
        <v/>
      </c>
      <c r="U1067">
        <f>IF('COMMUNITY CHURCH DASHBOARD'!$B$4="Area",IF(1066&lt;=$X$3,IF(AND(OR('COMMUNITY CHURCH DASHBOARD'!$C$4="",ISNUMBER(SEARCH('COMMUNITY CHURCH DASHBOARD'!$C$4,INDEX(MASTER_AREAS!$B:$B,1067))))),1066,""),""),IF('COMMUNITY CHURCH DASHBOARD'!$B$4="Zone",IF(1066&lt;=$X$4,IF(OR('COMMUNITY CHURCH DASHBOARD'!$C$4="",ISNUMBER(SEARCH('COMMUNITY CHURCH DASHBOARD'!$C$4,INDEX(MASTER_ZONES!$B:$B,1067)))),1066,""),""),""))</f>
        <v/>
      </c>
    </row>
    <row r="1068">
      <c r="A1068">
        <f>IF('WSF DASHBOARD'!$B$4="Area",IF(1067&lt;=$D$3,IF(AND(OR('WSF DASHBOARD'!$C$4="",ISNUMBER(SEARCH('WSF DASHBOARD'!$C$4,INDEX(MASTER_AREAS!$B:$B,1068))))),1067,""),""),IF('WSF DASHBOARD'!$B$4="Zone",IF(1067&lt;=$D$4,IF(OR('WSF DASHBOARD'!$C$4="",ISNUMBER(SEARCH('WSF DASHBOARD'!$C$4,INDEX(MASTER_ZONES!$B:$B,1068)))),1067,""),""),""))</f>
        <v/>
      </c>
      <c r="F1068">
        <f>IF('TRANSPORT DASHBOARD'!$B$4="Area",IF(1067&lt;=$I$3,IF(AND(INDEX(MASTER_AREAS!$F:$F,1068)&lt;&gt;"N",OR('TRANSPORT DASHBOARD'!$C$4="",ISNUMBER(SEARCH('TRANSPORT DASHBOARD'!$C$4,INDEX(MASTER_AREAS!$B:$B,1068))))),1067,""),""),IF('TRANSPORT DASHBOARD'!$B$4="Zone",IF(1067&lt;=$I$4,IF(OR('TRANSPORT DASHBOARD'!$C$4="",ISNUMBER(SEARCH('TRANSPORT DASHBOARD'!$C$4,INDEX(MASTER_ZONES!$B:$B,1068)))),1067,""),""),""))</f>
        <v/>
      </c>
      <c r="K1068">
        <f>IF('MIDWEEK DASHBOARD'!$B$4="Area",IF(1067&lt;=$N$3,IF(AND(OR('MIDWEEK DASHBOARD'!$C$4="",ISNUMBER(SEARCH('MIDWEEK DASHBOARD'!$C$4,INDEX(MASTER_AREAS!$B:$B,1068))))),1067,""),""),IF('MIDWEEK DASHBOARD'!$B$4="Zone",IF(1067&lt;=$N$4,IF(OR('MIDWEEK DASHBOARD'!$C$4="",ISNUMBER(SEARCH('MIDWEEK DASHBOARD'!$C$4,INDEX(MASTER_ZONES!$B:$B,1068)))),1067,""),""),""))</f>
        <v/>
      </c>
      <c r="P1068">
        <f>IF('CHOP DASHBOARD'!$B$4="Area",IF(1067&lt;=$S$3,IF(AND(OR('CHOP DASHBOARD'!$C$4="",ISNUMBER(SEARCH('CHOP DASHBOARD'!$C$4,INDEX(MASTER_AREAS!$B:$B,1068))))),1067,""),""),IF('CHOP DASHBOARD'!$B$4="Zone",IF(1067&lt;=$S$4,IF(OR('CHOP DASHBOARD'!$C$4="",ISNUMBER(SEARCH('CHOP DASHBOARD'!$C$4,INDEX(MASTER_ZONES!$B:$B,1068)))),1067,""),""),""))</f>
        <v/>
      </c>
      <c r="U1068">
        <f>IF('COMMUNITY CHURCH DASHBOARD'!$B$4="Area",IF(1067&lt;=$X$3,IF(AND(OR('COMMUNITY CHURCH DASHBOARD'!$C$4="",ISNUMBER(SEARCH('COMMUNITY CHURCH DASHBOARD'!$C$4,INDEX(MASTER_AREAS!$B:$B,1068))))),1067,""),""),IF('COMMUNITY CHURCH DASHBOARD'!$B$4="Zone",IF(1067&lt;=$X$4,IF(OR('COMMUNITY CHURCH DASHBOARD'!$C$4="",ISNUMBER(SEARCH('COMMUNITY CHURCH DASHBOARD'!$C$4,INDEX(MASTER_ZONES!$B:$B,1068)))),1067,""),""),""))</f>
        <v/>
      </c>
    </row>
    <row r="1069">
      <c r="A1069">
        <f>IF('WSF DASHBOARD'!$B$4="Area",IF(1068&lt;=$D$3,IF(AND(OR('WSF DASHBOARD'!$C$4="",ISNUMBER(SEARCH('WSF DASHBOARD'!$C$4,INDEX(MASTER_AREAS!$B:$B,1069))))),1068,""),""),IF('WSF DASHBOARD'!$B$4="Zone",IF(1068&lt;=$D$4,IF(OR('WSF DASHBOARD'!$C$4="",ISNUMBER(SEARCH('WSF DASHBOARD'!$C$4,INDEX(MASTER_ZONES!$B:$B,1069)))),1068,""),""),""))</f>
        <v/>
      </c>
      <c r="F1069">
        <f>IF('TRANSPORT DASHBOARD'!$B$4="Area",IF(1068&lt;=$I$3,IF(AND(INDEX(MASTER_AREAS!$F:$F,1069)&lt;&gt;"N",OR('TRANSPORT DASHBOARD'!$C$4="",ISNUMBER(SEARCH('TRANSPORT DASHBOARD'!$C$4,INDEX(MASTER_AREAS!$B:$B,1069))))),1068,""),""),IF('TRANSPORT DASHBOARD'!$B$4="Zone",IF(1068&lt;=$I$4,IF(OR('TRANSPORT DASHBOARD'!$C$4="",ISNUMBER(SEARCH('TRANSPORT DASHBOARD'!$C$4,INDEX(MASTER_ZONES!$B:$B,1069)))),1068,""),""),""))</f>
        <v/>
      </c>
      <c r="K1069">
        <f>IF('MIDWEEK DASHBOARD'!$B$4="Area",IF(1068&lt;=$N$3,IF(AND(OR('MIDWEEK DASHBOARD'!$C$4="",ISNUMBER(SEARCH('MIDWEEK DASHBOARD'!$C$4,INDEX(MASTER_AREAS!$B:$B,1069))))),1068,""),""),IF('MIDWEEK DASHBOARD'!$B$4="Zone",IF(1068&lt;=$N$4,IF(OR('MIDWEEK DASHBOARD'!$C$4="",ISNUMBER(SEARCH('MIDWEEK DASHBOARD'!$C$4,INDEX(MASTER_ZONES!$B:$B,1069)))),1068,""),""),""))</f>
        <v/>
      </c>
      <c r="P1069">
        <f>IF('CHOP DASHBOARD'!$B$4="Area",IF(1068&lt;=$S$3,IF(AND(OR('CHOP DASHBOARD'!$C$4="",ISNUMBER(SEARCH('CHOP DASHBOARD'!$C$4,INDEX(MASTER_AREAS!$B:$B,1069))))),1068,""),""),IF('CHOP DASHBOARD'!$B$4="Zone",IF(1068&lt;=$S$4,IF(OR('CHOP DASHBOARD'!$C$4="",ISNUMBER(SEARCH('CHOP DASHBOARD'!$C$4,INDEX(MASTER_ZONES!$B:$B,1069)))),1068,""),""),""))</f>
        <v/>
      </c>
      <c r="U1069">
        <f>IF('COMMUNITY CHURCH DASHBOARD'!$B$4="Area",IF(1068&lt;=$X$3,IF(AND(OR('COMMUNITY CHURCH DASHBOARD'!$C$4="",ISNUMBER(SEARCH('COMMUNITY CHURCH DASHBOARD'!$C$4,INDEX(MASTER_AREAS!$B:$B,1069))))),1068,""),""),IF('COMMUNITY CHURCH DASHBOARD'!$B$4="Zone",IF(1068&lt;=$X$4,IF(OR('COMMUNITY CHURCH DASHBOARD'!$C$4="",ISNUMBER(SEARCH('COMMUNITY CHURCH DASHBOARD'!$C$4,INDEX(MASTER_ZONES!$B:$B,1069)))),1068,""),""),""))</f>
        <v/>
      </c>
    </row>
    <row r="1070">
      <c r="A1070">
        <f>IF('WSF DASHBOARD'!$B$4="Area",IF(1069&lt;=$D$3,IF(AND(OR('WSF DASHBOARD'!$C$4="",ISNUMBER(SEARCH('WSF DASHBOARD'!$C$4,INDEX(MASTER_AREAS!$B:$B,1070))))),1069,""),""),IF('WSF DASHBOARD'!$B$4="Zone",IF(1069&lt;=$D$4,IF(OR('WSF DASHBOARD'!$C$4="",ISNUMBER(SEARCH('WSF DASHBOARD'!$C$4,INDEX(MASTER_ZONES!$B:$B,1070)))),1069,""),""),""))</f>
        <v/>
      </c>
      <c r="F1070">
        <f>IF('TRANSPORT DASHBOARD'!$B$4="Area",IF(1069&lt;=$I$3,IF(AND(INDEX(MASTER_AREAS!$F:$F,1070)&lt;&gt;"N",OR('TRANSPORT DASHBOARD'!$C$4="",ISNUMBER(SEARCH('TRANSPORT DASHBOARD'!$C$4,INDEX(MASTER_AREAS!$B:$B,1070))))),1069,""),""),IF('TRANSPORT DASHBOARD'!$B$4="Zone",IF(1069&lt;=$I$4,IF(OR('TRANSPORT DASHBOARD'!$C$4="",ISNUMBER(SEARCH('TRANSPORT DASHBOARD'!$C$4,INDEX(MASTER_ZONES!$B:$B,1070)))),1069,""),""),""))</f>
        <v/>
      </c>
      <c r="K1070">
        <f>IF('MIDWEEK DASHBOARD'!$B$4="Area",IF(1069&lt;=$N$3,IF(AND(OR('MIDWEEK DASHBOARD'!$C$4="",ISNUMBER(SEARCH('MIDWEEK DASHBOARD'!$C$4,INDEX(MASTER_AREAS!$B:$B,1070))))),1069,""),""),IF('MIDWEEK DASHBOARD'!$B$4="Zone",IF(1069&lt;=$N$4,IF(OR('MIDWEEK DASHBOARD'!$C$4="",ISNUMBER(SEARCH('MIDWEEK DASHBOARD'!$C$4,INDEX(MASTER_ZONES!$B:$B,1070)))),1069,""),""),""))</f>
        <v/>
      </c>
      <c r="P1070">
        <f>IF('CHOP DASHBOARD'!$B$4="Area",IF(1069&lt;=$S$3,IF(AND(OR('CHOP DASHBOARD'!$C$4="",ISNUMBER(SEARCH('CHOP DASHBOARD'!$C$4,INDEX(MASTER_AREAS!$B:$B,1070))))),1069,""),""),IF('CHOP DASHBOARD'!$B$4="Zone",IF(1069&lt;=$S$4,IF(OR('CHOP DASHBOARD'!$C$4="",ISNUMBER(SEARCH('CHOP DASHBOARD'!$C$4,INDEX(MASTER_ZONES!$B:$B,1070)))),1069,""),""),""))</f>
        <v/>
      </c>
      <c r="U1070">
        <f>IF('COMMUNITY CHURCH DASHBOARD'!$B$4="Area",IF(1069&lt;=$X$3,IF(AND(OR('COMMUNITY CHURCH DASHBOARD'!$C$4="",ISNUMBER(SEARCH('COMMUNITY CHURCH DASHBOARD'!$C$4,INDEX(MASTER_AREAS!$B:$B,1070))))),1069,""),""),IF('COMMUNITY CHURCH DASHBOARD'!$B$4="Zone",IF(1069&lt;=$X$4,IF(OR('COMMUNITY CHURCH DASHBOARD'!$C$4="",ISNUMBER(SEARCH('COMMUNITY CHURCH DASHBOARD'!$C$4,INDEX(MASTER_ZONES!$B:$B,1070)))),1069,""),""),""))</f>
        <v/>
      </c>
    </row>
    <row r="1071">
      <c r="A1071">
        <f>IF('WSF DASHBOARD'!$B$4="Area",IF(1070&lt;=$D$3,IF(AND(OR('WSF DASHBOARD'!$C$4="",ISNUMBER(SEARCH('WSF DASHBOARD'!$C$4,INDEX(MASTER_AREAS!$B:$B,1071))))),1070,""),""),IF('WSF DASHBOARD'!$B$4="Zone",IF(1070&lt;=$D$4,IF(OR('WSF DASHBOARD'!$C$4="",ISNUMBER(SEARCH('WSF DASHBOARD'!$C$4,INDEX(MASTER_ZONES!$B:$B,1071)))),1070,""),""),""))</f>
        <v/>
      </c>
      <c r="F1071">
        <f>IF('TRANSPORT DASHBOARD'!$B$4="Area",IF(1070&lt;=$I$3,IF(AND(INDEX(MASTER_AREAS!$F:$F,1071)&lt;&gt;"N",OR('TRANSPORT DASHBOARD'!$C$4="",ISNUMBER(SEARCH('TRANSPORT DASHBOARD'!$C$4,INDEX(MASTER_AREAS!$B:$B,1071))))),1070,""),""),IF('TRANSPORT DASHBOARD'!$B$4="Zone",IF(1070&lt;=$I$4,IF(OR('TRANSPORT DASHBOARD'!$C$4="",ISNUMBER(SEARCH('TRANSPORT DASHBOARD'!$C$4,INDEX(MASTER_ZONES!$B:$B,1071)))),1070,""),""),""))</f>
        <v/>
      </c>
      <c r="K1071">
        <f>IF('MIDWEEK DASHBOARD'!$B$4="Area",IF(1070&lt;=$N$3,IF(AND(OR('MIDWEEK DASHBOARD'!$C$4="",ISNUMBER(SEARCH('MIDWEEK DASHBOARD'!$C$4,INDEX(MASTER_AREAS!$B:$B,1071))))),1070,""),""),IF('MIDWEEK DASHBOARD'!$B$4="Zone",IF(1070&lt;=$N$4,IF(OR('MIDWEEK DASHBOARD'!$C$4="",ISNUMBER(SEARCH('MIDWEEK DASHBOARD'!$C$4,INDEX(MASTER_ZONES!$B:$B,1071)))),1070,""),""),""))</f>
        <v/>
      </c>
      <c r="P1071">
        <f>IF('CHOP DASHBOARD'!$B$4="Area",IF(1070&lt;=$S$3,IF(AND(OR('CHOP DASHBOARD'!$C$4="",ISNUMBER(SEARCH('CHOP DASHBOARD'!$C$4,INDEX(MASTER_AREAS!$B:$B,1071))))),1070,""),""),IF('CHOP DASHBOARD'!$B$4="Zone",IF(1070&lt;=$S$4,IF(OR('CHOP DASHBOARD'!$C$4="",ISNUMBER(SEARCH('CHOP DASHBOARD'!$C$4,INDEX(MASTER_ZONES!$B:$B,1071)))),1070,""),""),""))</f>
        <v/>
      </c>
      <c r="U1071">
        <f>IF('COMMUNITY CHURCH DASHBOARD'!$B$4="Area",IF(1070&lt;=$X$3,IF(AND(OR('COMMUNITY CHURCH DASHBOARD'!$C$4="",ISNUMBER(SEARCH('COMMUNITY CHURCH DASHBOARD'!$C$4,INDEX(MASTER_AREAS!$B:$B,1071))))),1070,""),""),IF('COMMUNITY CHURCH DASHBOARD'!$B$4="Zone",IF(1070&lt;=$X$4,IF(OR('COMMUNITY CHURCH DASHBOARD'!$C$4="",ISNUMBER(SEARCH('COMMUNITY CHURCH DASHBOARD'!$C$4,INDEX(MASTER_ZONES!$B:$B,1071)))),1070,""),""),""))</f>
        <v/>
      </c>
    </row>
    <row r="1072">
      <c r="A1072">
        <f>IF('WSF DASHBOARD'!$B$4="Area",IF(1071&lt;=$D$3,IF(AND(OR('WSF DASHBOARD'!$C$4="",ISNUMBER(SEARCH('WSF DASHBOARD'!$C$4,INDEX(MASTER_AREAS!$B:$B,1072))))),1071,""),""),IF('WSF DASHBOARD'!$B$4="Zone",IF(1071&lt;=$D$4,IF(OR('WSF DASHBOARD'!$C$4="",ISNUMBER(SEARCH('WSF DASHBOARD'!$C$4,INDEX(MASTER_ZONES!$B:$B,1072)))),1071,""),""),""))</f>
        <v/>
      </c>
      <c r="F1072">
        <f>IF('TRANSPORT DASHBOARD'!$B$4="Area",IF(1071&lt;=$I$3,IF(AND(INDEX(MASTER_AREAS!$F:$F,1072)&lt;&gt;"N",OR('TRANSPORT DASHBOARD'!$C$4="",ISNUMBER(SEARCH('TRANSPORT DASHBOARD'!$C$4,INDEX(MASTER_AREAS!$B:$B,1072))))),1071,""),""),IF('TRANSPORT DASHBOARD'!$B$4="Zone",IF(1071&lt;=$I$4,IF(OR('TRANSPORT DASHBOARD'!$C$4="",ISNUMBER(SEARCH('TRANSPORT DASHBOARD'!$C$4,INDEX(MASTER_ZONES!$B:$B,1072)))),1071,""),""),""))</f>
        <v/>
      </c>
      <c r="K1072">
        <f>IF('MIDWEEK DASHBOARD'!$B$4="Area",IF(1071&lt;=$N$3,IF(AND(OR('MIDWEEK DASHBOARD'!$C$4="",ISNUMBER(SEARCH('MIDWEEK DASHBOARD'!$C$4,INDEX(MASTER_AREAS!$B:$B,1072))))),1071,""),""),IF('MIDWEEK DASHBOARD'!$B$4="Zone",IF(1071&lt;=$N$4,IF(OR('MIDWEEK DASHBOARD'!$C$4="",ISNUMBER(SEARCH('MIDWEEK DASHBOARD'!$C$4,INDEX(MASTER_ZONES!$B:$B,1072)))),1071,""),""),""))</f>
        <v/>
      </c>
      <c r="P1072">
        <f>IF('CHOP DASHBOARD'!$B$4="Area",IF(1071&lt;=$S$3,IF(AND(OR('CHOP DASHBOARD'!$C$4="",ISNUMBER(SEARCH('CHOP DASHBOARD'!$C$4,INDEX(MASTER_AREAS!$B:$B,1072))))),1071,""),""),IF('CHOP DASHBOARD'!$B$4="Zone",IF(1071&lt;=$S$4,IF(OR('CHOP DASHBOARD'!$C$4="",ISNUMBER(SEARCH('CHOP DASHBOARD'!$C$4,INDEX(MASTER_ZONES!$B:$B,1072)))),1071,""),""),""))</f>
        <v/>
      </c>
      <c r="U1072">
        <f>IF('COMMUNITY CHURCH DASHBOARD'!$B$4="Area",IF(1071&lt;=$X$3,IF(AND(OR('COMMUNITY CHURCH DASHBOARD'!$C$4="",ISNUMBER(SEARCH('COMMUNITY CHURCH DASHBOARD'!$C$4,INDEX(MASTER_AREAS!$B:$B,1072))))),1071,""),""),IF('COMMUNITY CHURCH DASHBOARD'!$B$4="Zone",IF(1071&lt;=$X$4,IF(OR('COMMUNITY CHURCH DASHBOARD'!$C$4="",ISNUMBER(SEARCH('COMMUNITY CHURCH DASHBOARD'!$C$4,INDEX(MASTER_ZONES!$B:$B,1072)))),1071,""),""),""))</f>
        <v/>
      </c>
    </row>
    <row r="1073">
      <c r="A1073">
        <f>IF('WSF DASHBOARD'!$B$4="Area",IF(1072&lt;=$D$3,IF(AND(OR('WSF DASHBOARD'!$C$4="",ISNUMBER(SEARCH('WSF DASHBOARD'!$C$4,INDEX(MASTER_AREAS!$B:$B,1073))))),1072,""),""),IF('WSF DASHBOARD'!$B$4="Zone",IF(1072&lt;=$D$4,IF(OR('WSF DASHBOARD'!$C$4="",ISNUMBER(SEARCH('WSF DASHBOARD'!$C$4,INDEX(MASTER_ZONES!$B:$B,1073)))),1072,""),""),""))</f>
        <v/>
      </c>
      <c r="F1073">
        <f>IF('TRANSPORT DASHBOARD'!$B$4="Area",IF(1072&lt;=$I$3,IF(AND(INDEX(MASTER_AREAS!$F:$F,1073)&lt;&gt;"N",OR('TRANSPORT DASHBOARD'!$C$4="",ISNUMBER(SEARCH('TRANSPORT DASHBOARD'!$C$4,INDEX(MASTER_AREAS!$B:$B,1073))))),1072,""),""),IF('TRANSPORT DASHBOARD'!$B$4="Zone",IF(1072&lt;=$I$4,IF(OR('TRANSPORT DASHBOARD'!$C$4="",ISNUMBER(SEARCH('TRANSPORT DASHBOARD'!$C$4,INDEX(MASTER_ZONES!$B:$B,1073)))),1072,""),""),""))</f>
        <v/>
      </c>
      <c r="K1073">
        <f>IF('MIDWEEK DASHBOARD'!$B$4="Area",IF(1072&lt;=$N$3,IF(AND(OR('MIDWEEK DASHBOARD'!$C$4="",ISNUMBER(SEARCH('MIDWEEK DASHBOARD'!$C$4,INDEX(MASTER_AREAS!$B:$B,1073))))),1072,""),""),IF('MIDWEEK DASHBOARD'!$B$4="Zone",IF(1072&lt;=$N$4,IF(OR('MIDWEEK DASHBOARD'!$C$4="",ISNUMBER(SEARCH('MIDWEEK DASHBOARD'!$C$4,INDEX(MASTER_ZONES!$B:$B,1073)))),1072,""),""),""))</f>
        <v/>
      </c>
      <c r="P1073">
        <f>IF('CHOP DASHBOARD'!$B$4="Area",IF(1072&lt;=$S$3,IF(AND(OR('CHOP DASHBOARD'!$C$4="",ISNUMBER(SEARCH('CHOP DASHBOARD'!$C$4,INDEX(MASTER_AREAS!$B:$B,1073))))),1072,""),""),IF('CHOP DASHBOARD'!$B$4="Zone",IF(1072&lt;=$S$4,IF(OR('CHOP DASHBOARD'!$C$4="",ISNUMBER(SEARCH('CHOP DASHBOARD'!$C$4,INDEX(MASTER_ZONES!$B:$B,1073)))),1072,""),""),""))</f>
        <v/>
      </c>
      <c r="U1073">
        <f>IF('COMMUNITY CHURCH DASHBOARD'!$B$4="Area",IF(1072&lt;=$X$3,IF(AND(OR('COMMUNITY CHURCH DASHBOARD'!$C$4="",ISNUMBER(SEARCH('COMMUNITY CHURCH DASHBOARD'!$C$4,INDEX(MASTER_AREAS!$B:$B,1073))))),1072,""),""),IF('COMMUNITY CHURCH DASHBOARD'!$B$4="Zone",IF(1072&lt;=$X$4,IF(OR('COMMUNITY CHURCH DASHBOARD'!$C$4="",ISNUMBER(SEARCH('COMMUNITY CHURCH DASHBOARD'!$C$4,INDEX(MASTER_ZONES!$B:$B,1073)))),1072,""),""),""))</f>
        <v/>
      </c>
    </row>
    <row r="1074">
      <c r="A1074">
        <f>IF('WSF DASHBOARD'!$B$4="Area",IF(1073&lt;=$D$3,IF(AND(OR('WSF DASHBOARD'!$C$4="",ISNUMBER(SEARCH('WSF DASHBOARD'!$C$4,INDEX(MASTER_AREAS!$B:$B,1074))))),1073,""),""),IF('WSF DASHBOARD'!$B$4="Zone",IF(1073&lt;=$D$4,IF(OR('WSF DASHBOARD'!$C$4="",ISNUMBER(SEARCH('WSF DASHBOARD'!$C$4,INDEX(MASTER_ZONES!$B:$B,1074)))),1073,""),""),""))</f>
        <v/>
      </c>
      <c r="F1074">
        <f>IF('TRANSPORT DASHBOARD'!$B$4="Area",IF(1073&lt;=$I$3,IF(AND(INDEX(MASTER_AREAS!$F:$F,1074)&lt;&gt;"N",OR('TRANSPORT DASHBOARD'!$C$4="",ISNUMBER(SEARCH('TRANSPORT DASHBOARD'!$C$4,INDEX(MASTER_AREAS!$B:$B,1074))))),1073,""),""),IF('TRANSPORT DASHBOARD'!$B$4="Zone",IF(1073&lt;=$I$4,IF(OR('TRANSPORT DASHBOARD'!$C$4="",ISNUMBER(SEARCH('TRANSPORT DASHBOARD'!$C$4,INDEX(MASTER_ZONES!$B:$B,1074)))),1073,""),""),""))</f>
        <v/>
      </c>
      <c r="K1074">
        <f>IF('MIDWEEK DASHBOARD'!$B$4="Area",IF(1073&lt;=$N$3,IF(AND(OR('MIDWEEK DASHBOARD'!$C$4="",ISNUMBER(SEARCH('MIDWEEK DASHBOARD'!$C$4,INDEX(MASTER_AREAS!$B:$B,1074))))),1073,""),""),IF('MIDWEEK DASHBOARD'!$B$4="Zone",IF(1073&lt;=$N$4,IF(OR('MIDWEEK DASHBOARD'!$C$4="",ISNUMBER(SEARCH('MIDWEEK DASHBOARD'!$C$4,INDEX(MASTER_ZONES!$B:$B,1074)))),1073,""),""),""))</f>
        <v/>
      </c>
      <c r="P1074">
        <f>IF('CHOP DASHBOARD'!$B$4="Area",IF(1073&lt;=$S$3,IF(AND(OR('CHOP DASHBOARD'!$C$4="",ISNUMBER(SEARCH('CHOP DASHBOARD'!$C$4,INDEX(MASTER_AREAS!$B:$B,1074))))),1073,""),""),IF('CHOP DASHBOARD'!$B$4="Zone",IF(1073&lt;=$S$4,IF(OR('CHOP DASHBOARD'!$C$4="",ISNUMBER(SEARCH('CHOP DASHBOARD'!$C$4,INDEX(MASTER_ZONES!$B:$B,1074)))),1073,""),""),""))</f>
        <v/>
      </c>
      <c r="U1074">
        <f>IF('COMMUNITY CHURCH DASHBOARD'!$B$4="Area",IF(1073&lt;=$X$3,IF(AND(OR('COMMUNITY CHURCH DASHBOARD'!$C$4="",ISNUMBER(SEARCH('COMMUNITY CHURCH DASHBOARD'!$C$4,INDEX(MASTER_AREAS!$B:$B,1074))))),1073,""),""),IF('COMMUNITY CHURCH DASHBOARD'!$B$4="Zone",IF(1073&lt;=$X$4,IF(OR('COMMUNITY CHURCH DASHBOARD'!$C$4="",ISNUMBER(SEARCH('COMMUNITY CHURCH DASHBOARD'!$C$4,INDEX(MASTER_ZONES!$B:$B,1074)))),1073,""),""),""))</f>
        <v/>
      </c>
    </row>
    <row r="1075">
      <c r="A1075">
        <f>IF('WSF DASHBOARD'!$B$4="Area",IF(1074&lt;=$D$3,IF(AND(OR('WSF DASHBOARD'!$C$4="",ISNUMBER(SEARCH('WSF DASHBOARD'!$C$4,INDEX(MASTER_AREAS!$B:$B,1075))))),1074,""),""),IF('WSF DASHBOARD'!$B$4="Zone",IF(1074&lt;=$D$4,IF(OR('WSF DASHBOARD'!$C$4="",ISNUMBER(SEARCH('WSF DASHBOARD'!$C$4,INDEX(MASTER_ZONES!$B:$B,1075)))),1074,""),""),""))</f>
        <v/>
      </c>
      <c r="F1075">
        <f>IF('TRANSPORT DASHBOARD'!$B$4="Area",IF(1074&lt;=$I$3,IF(AND(INDEX(MASTER_AREAS!$F:$F,1075)&lt;&gt;"N",OR('TRANSPORT DASHBOARD'!$C$4="",ISNUMBER(SEARCH('TRANSPORT DASHBOARD'!$C$4,INDEX(MASTER_AREAS!$B:$B,1075))))),1074,""),""),IF('TRANSPORT DASHBOARD'!$B$4="Zone",IF(1074&lt;=$I$4,IF(OR('TRANSPORT DASHBOARD'!$C$4="",ISNUMBER(SEARCH('TRANSPORT DASHBOARD'!$C$4,INDEX(MASTER_ZONES!$B:$B,1075)))),1074,""),""),""))</f>
        <v/>
      </c>
      <c r="K1075">
        <f>IF('MIDWEEK DASHBOARD'!$B$4="Area",IF(1074&lt;=$N$3,IF(AND(OR('MIDWEEK DASHBOARD'!$C$4="",ISNUMBER(SEARCH('MIDWEEK DASHBOARD'!$C$4,INDEX(MASTER_AREAS!$B:$B,1075))))),1074,""),""),IF('MIDWEEK DASHBOARD'!$B$4="Zone",IF(1074&lt;=$N$4,IF(OR('MIDWEEK DASHBOARD'!$C$4="",ISNUMBER(SEARCH('MIDWEEK DASHBOARD'!$C$4,INDEX(MASTER_ZONES!$B:$B,1075)))),1074,""),""),""))</f>
        <v/>
      </c>
      <c r="P1075">
        <f>IF('CHOP DASHBOARD'!$B$4="Area",IF(1074&lt;=$S$3,IF(AND(OR('CHOP DASHBOARD'!$C$4="",ISNUMBER(SEARCH('CHOP DASHBOARD'!$C$4,INDEX(MASTER_AREAS!$B:$B,1075))))),1074,""),""),IF('CHOP DASHBOARD'!$B$4="Zone",IF(1074&lt;=$S$4,IF(OR('CHOP DASHBOARD'!$C$4="",ISNUMBER(SEARCH('CHOP DASHBOARD'!$C$4,INDEX(MASTER_ZONES!$B:$B,1075)))),1074,""),""),""))</f>
        <v/>
      </c>
      <c r="U1075">
        <f>IF('COMMUNITY CHURCH DASHBOARD'!$B$4="Area",IF(1074&lt;=$X$3,IF(AND(OR('COMMUNITY CHURCH DASHBOARD'!$C$4="",ISNUMBER(SEARCH('COMMUNITY CHURCH DASHBOARD'!$C$4,INDEX(MASTER_AREAS!$B:$B,1075))))),1074,""),""),IF('COMMUNITY CHURCH DASHBOARD'!$B$4="Zone",IF(1074&lt;=$X$4,IF(OR('COMMUNITY CHURCH DASHBOARD'!$C$4="",ISNUMBER(SEARCH('COMMUNITY CHURCH DASHBOARD'!$C$4,INDEX(MASTER_ZONES!$B:$B,1075)))),1074,""),""),""))</f>
        <v/>
      </c>
    </row>
    <row r="1076">
      <c r="A1076">
        <f>IF('WSF DASHBOARD'!$B$4="Area",IF(1075&lt;=$D$3,IF(AND(OR('WSF DASHBOARD'!$C$4="",ISNUMBER(SEARCH('WSF DASHBOARD'!$C$4,INDEX(MASTER_AREAS!$B:$B,1076))))),1075,""),""),IF('WSF DASHBOARD'!$B$4="Zone",IF(1075&lt;=$D$4,IF(OR('WSF DASHBOARD'!$C$4="",ISNUMBER(SEARCH('WSF DASHBOARD'!$C$4,INDEX(MASTER_ZONES!$B:$B,1076)))),1075,""),""),""))</f>
        <v/>
      </c>
      <c r="F1076">
        <f>IF('TRANSPORT DASHBOARD'!$B$4="Area",IF(1075&lt;=$I$3,IF(AND(INDEX(MASTER_AREAS!$F:$F,1076)&lt;&gt;"N",OR('TRANSPORT DASHBOARD'!$C$4="",ISNUMBER(SEARCH('TRANSPORT DASHBOARD'!$C$4,INDEX(MASTER_AREAS!$B:$B,1076))))),1075,""),""),IF('TRANSPORT DASHBOARD'!$B$4="Zone",IF(1075&lt;=$I$4,IF(OR('TRANSPORT DASHBOARD'!$C$4="",ISNUMBER(SEARCH('TRANSPORT DASHBOARD'!$C$4,INDEX(MASTER_ZONES!$B:$B,1076)))),1075,""),""),""))</f>
        <v/>
      </c>
      <c r="K1076">
        <f>IF('MIDWEEK DASHBOARD'!$B$4="Area",IF(1075&lt;=$N$3,IF(AND(OR('MIDWEEK DASHBOARD'!$C$4="",ISNUMBER(SEARCH('MIDWEEK DASHBOARD'!$C$4,INDEX(MASTER_AREAS!$B:$B,1076))))),1075,""),""),IF('MIDWEEK DASHBOARD'!$B$4="Zone",IF(1075&lt;=$N$4,IF(OR('MIDWEEK DASHBOARD'!$C$4="",ISNUMBER(SEARCH('MIDWEEK DASHBOARD'!$C$4,INDEX(MASTER_ZONES!$B:$B,1076)))),1075,""),""),""))</f>
        <v/>
      </c>
      <c r="P1076">
        <f>IF('CHOP DASHBOARD'!$B$4="Area",IF(1075&lt;=$S$3,IF(AND(OR('CHOP DASHBOARD'!$C$4="",ISNUMBER(SEARCH('CHOP DASHBOARD'!$C$4,INDEX(MASTER_AREAS!$B:$B,1076))))),1075,""),""),IF('CHOP DASHBOARD'!$B$4="Zone",IF(1075&lt;=$S$4,IF(OR('CHOP DASHBOARD'!$C$4="",ISNUMBER(SEARCH('CHOP DASHBOARD'!$C$4,INDEX(MASTER_ZONES!$B:$B,1076)))),1075,""),""),""))</f>
        <v/>
      </c>
      <c r="U1076">
        <f>IF('COMMUNITY CHURCH DASHBOARD'!$B$4="Area",IF(1075&lt;=$X$3,IF(AND(OR('COMMUNITY CHURCH DASHBOARD'!$C$4="",ISNUMBER(SEARCH('COMMUNITY CHURCH DASHBOARD'!$C$4,INDEX(MASTER_AREAS!$B:$B,1076))))),1075,""),""),IF('COMMUNITY CHURCH DASHBOARD'!$B$4="Zone",IF(1075&lt;=$X$4,IF(OR('COMMUNITY CHURCH DASHBOARD'!$C$4="",ISNUMBER(SEARCH('COMMUNITY CHURCH DASHBOARD'!$C$4,INDEX(MASTER_ZONES!$B:$B,1076)))),1075,""),""),""))</f>
        <v/>
      </c>
    </row>
    <row r="1077">
      <c r="A1077">
        <f>IF('WSF DASHBOARD'!$B$4="Area",IF(1076&lt;=$D$3,IF(AND(OR('WSF DASHBOARD'!$C$4="",ISNUMBER(SEARCH('WSF DASHBOARD'!$C$4,INDEX(MASTER_AREAS!$B:$B,1077))))),1076,""),""),IF('WSF DASHBOARD'!$B$4="Zone",IF(1076&lt;=$D$4,IF(OR('WSF DASHBOARD'!$C$4="",ISNUMBER(SEARCH('WSF DASHBOARD'!$C$4,INDEX(MASTER_ZONES!$B:$B,1077)))),1076,""),""),""))</f>
        <v/>
      </c>
      <c r="F1077">
        <f>IF('TRANSPORT DASHBOARD'!$B$4="Area",IF(1076&lt;=$I$3,IF(AND(INDEX(MASTER_AREAS!$F:$F,1077)&lt;&gt;"N",OR('TRANSPORT DASHBOARD'!$C$4="",ISNUMBER(SEARCH('TRANSPORT DASHBOARD'!$C$4,INDEX(MASTER_AREAS!$B:$B,1077))))),1076,""),""),IF('TRANSPORT DASHBOARD'!$B$4="Zone",IF(1076&lt;=$I$4,IF(OR('TRANSPORT DASHBOARD'!$C$4="",ISNUMBER(SEARCH('TRANSPORT DASHBOARD'!$C$4,INDEX(MASTER_ZONES!$B:$B,1077)))),1076,""),""),""))</f>
        <v/>
      </c>
      <c r="K1077">
        <f>IF('MIDWEEK DASHBOARD'!$B$4="Area",IF(1076&lt;=$N$3,IF(AND(OR('MIDWEEK DASHBOARD'!$C$4="",ISNUMBER(SEARCH('MIDWEEK DASHBOARD'!$C$4,INDEX(MASTER_AREAS!$B:$B,1077))))),1076,""),""),IF('MIDWEEK DASHBOARD'!$B$4="Zone",IF(1076&lt;=$N$4,IF(OR('MIDWEEK DASHBOARD'!$C$4="",ISNUMBER(SEARCH('MIDWEEK DASHBOARD'!$C$4,INDEX(MASTER_ZONES!$B:$B,1077)))),1076,""),""),""))</f>
        <v/>
      </c>
      <c r="P1077">
        <f>IF('CHOP DASHBOARD'!$B$4="Area",IF(1076&lt;=$S$3,IF(AND(OR('CHOP DASHBOARD'!$C$4="",ISNUMBER(SEARCH('CHOP DASHBOARD'!$C$4,INDEX(MASTER_AREAS!$B:$B,1077))))),1076,""),""),IF('CHOP DASHBOARD'!$B$4="Zone",IF(1076&lt;=$S$4,IF(OR('CHOP DASHBOARD'!$C$4="",ISNUMBER(SEARCH('CHOP DASHBOARD'!$C$4,INDEX(MASTER_ZONES!$B:$B,1077)))),1076,""),""),""))</f>
        <v/>
      </c>
      <c r="U1077">
        <f>IF('COMMUNITY CHURCH DASHBOARD'!$B$4="Area",IF(1076&lt;=$X$3,IF(AND(OR('COMMUNITY CHURCH DASHBOARD'!$C$4="",ISNUMBER(SEARCH('COMMUNITY CHURCH DASHBOARD'!$C$4,INDEX(MASTER_AREAS!$B:$B,1077))))),1076,""),""),IF('COMMUNITY CHURCH DASHBOARD'!$B$4="Zone",IF(1076&lt;=$X$4,IF(OR('COMMUNITY CHURCH DASHBOARD'!$C$4="",ISNUMBER(SEARCH('COMMUNITY CHURCH DASHBOARD'!$C$4,INDEX(MASTER_ZONES!$B:$B,1077)))),1076,""),""),""))</f>
        <v/>
      </c>
    </row>
    <row r="1078">
      <c r="A1078">
        <f>IF('WSF DASHBOARD'!$B$4="Area",IF(1077&lt;=$D$3,IF(AND(OR('WSF DASHBOARD'!$C$4="",ISNUMBER(SEARCH('WSF DASHBOARD'!$C$4,INDEX(MASTER_AREAS!$B:$B,1078))))),1077,""),""),IF('WSF DASHBOARD'!$B$4="Zone",IF(1077&lt;=$D$4,IF(OR('WSF DASHBOARD'!$C$4="",ISNUMBER(SEARCH('WSF DASHBOARD'!$C$4,INDEX(MASTER_ZONES!$B:$B,1078)))),1077,""),""),""))</f>
        <v/>
      </c>
      <c r="F1078">
        <f>IF('TRANSPORT DASHBOARD'!$B$4="Area",IF(1077&lt;=$I$3,IF(AND(INDEX(MASTER_AREAS!$F:$F,1078)&lt;&gt;"N",OR('TRANSPORT DASHBOARD'!$C$4="",ISNUMBER(SEARCH('TRANSPORT DASHBOARD'!$C$4,INDEX(MASTER_AREAS!$B:$B,1078))))),1077,""),""),IF('TRANSPORT DASHBOARD'!$B$4="Zone",IF(1077&lt;=$I$4,IF(OR('TRANSPORT DASHBOARD'!$C$4="",ISNUMBER(SEARCH('TRANSPORT DASHBOARD'!$C$4,INDEX(MASTER_ZONES!$B:$B,1078)))),1077,""),""),""))</f>
        <v/>
      </c>
      <c r="K1078">
        <f>IF('MIDWEEK DASHBOARD'!$B$4="Area",IF(1077&lt;=$N$3,IF(AND(OR('MIDWEEK DASHBOARD'!$C$4="",ISNUMBER(SEARCH('MIDWEEK DASHBOARD'!$C$4,INDEX(MASTER_AREAS!$B:$B,1078))))),1077,""),""),IF('MIDWEEK DASHBOARD'!$B$4="Zone",IF(1077&lt;=$N$4,IF(OR('MIDWEEK DASHBOARD'!$C$4="",ISNUMBER(SEARCH('MIDWEEK DASHBOARD'!$C$4,INDEX(MASTER_ZONES!$B:$B,1078)))),1077,""),""),""))</f>
        <v/>
      </c>
      <c r="P1078">
        <f>IF('CHOP DASHBOARD'!$B$4="Area",IF(1077&lt;=$S$3,IF(AND(OR('CHOP DASHBOARD'!$C$4="",ISNUMBER(SEARCH('CHOP DASHBOARD'!$C$4,INDEX(MASTER_AREAS!$B:$B,1078))))),1077,""),""),IF('CHOP DASHBOARD'!$B$4="Zone",IF(1077&lt;=$S$4,IF(OR('CHOP DASHBOARD'!$C$4="",ISNUMBER(SEARCH('CHOP DASHBOARD'!$C$4,INDEX(MASTER_ZONES!$B:$B,1078)))),1077,""),""),""))</f>
        <v/>
      </c>
      <c r="U1078">
        <f>IF('COMMUNITY CHURCH DASHBOARD'!$B$4="Area",IF(1077&lt;=$X$3,IF(AND(OR('COMMUNITY CHURCH DASHBOARD'!$C$4="",ISNUMBER(SEARCH('COMMUNITY CHURCH DASHBOARD'!$C$4,INDEX(MASTER_AREAS!$B:$B,1078))))),1077,""),""),IF('COMMUNITY CHURCH DASHBOARD'!$B$4="Zone",IF(1077&lt;=$X$4,IF(OR('COMMUNITY CHURCH DASHBOARD'!$C$4="",ISNUMBER(SEARCH('COMMUNITY CHURCH DASHBOARD'!$C$4,INDEX(MASTER_ZONES!$B:$B,1078)))),1077,""),""),""))</f>
        <v/>
      </c>
    </row>
    <row r="1079">
      <c r="A1079">
        <f>IF('WSF DASHBOARD'!$B$4="Area",IF(1078&lt;=$D$3,IF(AND(OR('WSF DASHBOARD'!$C$4="",ISNUMBER(SEARCH('WSF DASHBOARD'!$C$4,INDEX(MASTER_AREAS!$B:$B,1079))))),1078,""),""),IF('WSF DASHBOARD'!$B$4="Zone",IF(1078&lt;=$D$4,IF(OR('WSF DASHBOARD'!$C$4="",ISNUMBER(SEARCH('WSF DASHBOARD'!$C$4,INDEX(MASTER_ZONES!$B:$B,1079)))),1078,""),""),""))</f>
        <v/>
      </c>
      <c r="F1079">
        <f>IF('TRANSPORT DASHBOARD'!$B$4="Area",IF(1078&lt;=$I$3,IF(AND(INDEX(MASTER_AREAS!$F:$F,1079)&lt;&gt;"N",OR('TRANSPORT DASHBOARD'!$C$4="",ISNUMBER(SEARCH('TRANSPORT DASHBOARD'!$C$4,INDEX(MASTER_AREAS!$B:$B,1079))))),1078,""),""),IF('TRANSPORT DASHBOARD'!$B$4="Zone",IF(1078&lt;=$I$4,IF(OR('TRANSPORT DASHBOARD'!$C$4="",ISNUMBER(SEARCH('TRANSPORT DASHBOARD'!$C$4,INDEX(MASTER_ZONES!$B:$B,1079)))),1078,""),""),""))</f>
        <v/>
      </c>
      <c r="K1079">
        <f>IF('MIDWEEK DASHBOARD'!$B$4="Area",IF(1078&lt;=$N$3,IF(AND(OR('MIDWEEK DASHBOARD'!$C$4="",ISNUMBER(SEARCH('MIDWEEK DASHBOARD'!$C$4,INDEX(MASTER_AREAS!$B:$B,1079))))),1078,""),""),IF('MIDWEEK DASHBOARD'!$B$4="Zone",IF(1078&lt;=$N$4,IF(OR('MIDWEEK DASHBOARD'!$C$4="",ISNUMBER(SEARCH('MIDWEEK DASHBOARD'!$C$4,INDEX(MASTER_ZONES!$B:$B,1079)))),1078,""),""),""))</f>
        <v/>
      </c>
      <c r="P1079">
        <f>IF('CHOP DASHBOARD'!$B$4="Area",IF(1078&lt;=$S$3,IF(AND(OR('CHOP DASHBOARD'!$C$4="",ISNUMBER(SEARCH('CHOP DASHBOARD'!$C$4,INDEX(MASTER_AREAS!$B:$B,1079))))),1078,""),""),IF('CHOP DASHBOARD'!$B$4="Zone",IF(1078&lt;=$S$4,IF(OR('CHOP DASHBOARD'!$C$4="",ISNUMBER(SEARCH('CHOP DASHBOARD'!$C$4,INDEX(MASTER_ZONES!$B:$B,1079)))),1078,""),""),""))</f>
        <v/>
      </c>
      <c r="U1079">
        <f>IF('COMMUNITY CHURCH DASHBOARD'!$B$4="Area",IF(1078&lt;=$X$3,IF(AND(OR('COMMUNITY CHURCH DASHBOARD'!$C$4="",ISNUMBER(SEARCH('COMMUNITY CHURCH DASHBOARD'!$C$4,INDEX(MASTER_AREAS!$B:$B,1079))))),1078,""),""),IF('COMMUNITY CHURCH DASHBOARD'!$B$4="Zone",IF(1078&lt;=$X$4,IF(OR('COMMUNITY CHURCH DASHBOARD'!$C$4="",ISNUMBER(SEARCH('COMMUNITY CHURCH DASHBOARD'!$C$4,INDEX(MASTER_ZONES!$B:$B,1079)))),1078,""),""),""))</f>
        <v/>
      </c>
    </row>
    <row r="1080">
      <c r="A1080">
        <f>IF('WSF DASHBOARD'!$B$4="Area",IF(1079&lt;=$D$3,IF(AND(OR('WSF DASHBOARD'!$C$4="",ISNUMBER(SEARCH('WSF DASHBOARD'!$C$4,INDEX(MASTER_AREAS!$B:$B,1080))))),1079,""),""),IF('WSF DASHBOARD'!$B$4="Zone",IF(1079&lt;=$D$4,IF(OR('WSF DASHBOARD'!$C$4="",ISNUMBER(SEARCH('WSF DASHBOARD'!$C$4,INDEX(MASTER_ZONES!$B:$B,1080)))),1079,""),""),""))</f>
        <v/>
      </c>
      <c r="F1080">
        <f>IF('TRANSPORT DASHBOARD'!$B$4="Area",IF(1079&lt;=$I$3,IF(AND(INDEX(MASTER_AREAS!$F:$F,1080)&lt;&gt;"N",OR('TRANSPORT DASHBOARD'!$C$4="",ISNUMBER(SEARCH('TRANSPORT DASHBOARD'!$C$4,INDEX(MASTER_AREAS!$B:$B,1080))))),1079,""),""),IF('TRANSPORT DASHBOARD'!$B$4="Zone",IF(1079&lt;=$I$4,IF(OR('TRANSPORT DASHBOARD'!$C$4="",ISNUMBER(SEARCH('TRANSPORT DASHBOARD'!$C$4,INDEX(MASTER_ZONES!$B:$B,1080)))),1079,""),""),""))</f>
        <v/>
      </c>
      <c r="K1080">
        <f>IF('MIDWEEK DASHBOARD'!$B$4="Area",IF(1079&lt;=$N$3,IF(AND(OR('MIDWEEK DASHBOARD'!$C$4="",ISNUMBER(SEARCH('MIDWEEK DASHBOARD'!$C$4,INDEX(MASTER_AREAS!$B:$B,1080))))),1079,""),""),IF('MIDWEEK DASHBOARD'!$B$4="Zone",IF(1079&lt;=$N$4,IF(OR('MIDWEEK DASHBOARD'!$C$4="",ISNUMBER(SEARCH('MIDWEEK DASHBOARD'!$C$4,INDEX(MASTER_ZONES!$B:$B,1080)))),1079,""),""),""))</f>
        <v/>
      </c>
      <c r="P1080">
        <f>IF('CHOP DASHBOARD'!$B$4="Area",IF(1079&lt;=$S$3,IF(AND(OR('CHOP DASHBOARD'!$C$4="",ISNUMBER(SEARCH('CHOP DASHBOARD'!$C$4,INDEX(MASTER_AREAS!$B:$B,1080))))),1079,""),""),IF('CHOP DASHBOARD'!$B$4="Zone",IF(1079&lt;=$S$4,IF(OR('CHOP DASHBOARD'!$C$4="",ISNUMBER(SEARCH('CHOP DASHBOARD'!$C$4,INDEX(MASTER_ZONES!$B:$B,1080)))),1079,""),""),""))</f>
        <v/>
      </c>
      <c r="U1080">
        <f>IF('COMMUNITY CHURCH DASHBOARD'!$B$4="Area",IF(1079&lt;=$X$3,IF(AND(OR('COMMUNITY CHURCH DASHBOARD'!$C$4="",ISNUMBER(SEARCH('COMMUNITY CHURCH DASHBOARD'!$C$4,INDEX(MASTER_AREAS!$B:$B,1080))))),1079,""),""),IF('COMMUNITY CHURCH DASHBOARD'!$B$4="Zone",IF(1079&lt;=$X$4,IF(OR('COMMUNITY CHURCH DASHBOARD'!$C$4="",ISNUMBER(SEARCH('COMMUNITY CHURCH DASHBOARD'!$C$4,INDEX(MASTER_ZONES!$B:$B,1080)))),1079,""),""),""))</f>
        <v/>
      </c>
    </row>
    <row r="1081">
      <c r="A1081">
        <f>IF('WSF DASHBOARD'!$B$4="Area",IF(1080&lt;=$D$3,IF(AND(OR('WSF DASHBOARD'!$C$4="",ISNUMBER(SEARCH('WSF DASHBOARD'!$C$4,INDEX(MASTER_AREAS!$B:$B,1081))))),1080,""),""),IF('WSF DASHBOARD'!$B$4="Zone",IF(1080&lt;=$D$4,IF(OR('WSF DASHBOARD'!$C$4="",ISNUMBER(SEARCH('WSF DASHBOARD'!$C$4,INDEX(MASTER_ZONES!$B:$B,1081)))),1080,""),""),""))</f>
        <v/>
      </c>
      <c r="F1081">
        <f>IF('TRANSPORT DASHBOARD'!$B$4="Area",IF(1080&lt;=$I$3,IF(AND(INDEX(MASTER_AREAS!$F:$F,1081)&lt;&gt;"N",OR('TRANSPORT DASHBOARD'!$C$4="",ISNUMBER(SEARCH('TRANSPORT DASHBOARD'!$C$4,INDEX(MASTER_AREAS!$B:$B,1081))))),1080,""),""),IF('TRANSPORT DASHBOARD'!$B$4="Zone",IF(1080&lt;=$I$4,IF(OR('TRANSPORT DASHBOARD'!$C$4="",ISNUMBER(SEARCH('TRANSPORT DASHBOARD'!$C$4,INDEX(MASTER_ZONES!$B:$B,1081)))),1080,""),""),""))</f>
        <v/>
      </c>
      <c r="K1081">
        <f>IF('MIDWEEK DASHBOARD'!$B$4="Area",IF(1080&lt;=$N$3,IF(AND(OR('MIDWEEK DASHBOARD'!$C$4="",ISNUMBER(SEARCH('MIDWEEK DASHBOARD'!$C$4,INDEX(MASTER_AREAS!$B:$B,1081))))),1080,""),""),IF('MIDWEEK DASHBOARD'!$B$4="Zone",IF(1080&lt;=$N$4,IF(OR('MIDWEEK DASHBOARD'!$C$4="",ISNUMBER(SEARCH('MIDWEEK DASHBOARD'!$C$4,INDEX(MASTER_ZONES!$B:$B,1081)))),1080,""),""),""))</f>
        <v/>
      </c>
      <c r="P1081">
        <f>IF('CHOP DASHBOARD'!$B$4="Area",IF(1080&lt;=$S$3,IF(AND(OR('CHOP DASHBOARD'!$C$4="",ISNUMBER(SEARCH('CHOP DASHBOARD'!$C$4,INDEX(MASTER_AREAS!$B:$B,1081))))),1080,""),""),IF('CHOP DASHBOARD'!$B$4="Zone",IF(1080&lt;=$S$4,IF(OR('CHOP DASHBOARD'!$C$4="",ISNUMBER(SEARCH('CHOP DASHBOARD'!$C$4,INDEX(MASTER_ZONES!$B:$B,1081)))),1080,""),""),""))</f>
        <v/>
      </c>
      <c r="U1081">
        <f>IF('COMMUNITY CHURCH DASHBOARD'!$B$4="Area",IF(1080&lt;=$X$3,IF(AND(OR('COMMUNITY CHURCH DASHBOARD'!$C$4="",ISNUMBER(SEARCH('COMMUNITY CHURCH DASHBOARD'!$C$4,INDEX(MASTER_AREAS!$B:$B,1081))))),1080,""),""),IF('COMMUNITY CHURCH DASHBOARD'!$B$4="Zone",IF(1080&lt;=$X$4,IF(OR('COMMUNITY CHURCH DASHBOARD'!$C$4="",ISNUMBER(SEARCH('COMMUNITY CHURCH DASHBOARD'!$C$4,INDEX(MASTER_ZONES!$B:$B,1081)))),1080,""),""),""))</f>
        <v/>
      </c>
    </row>
    <row r="1082">
      <c r="A1082">
        <f>IF('WSF DASHBOARD'!$B$4="Area",IF(1081&lt;=$D$3,IF(AND(OR('WSF DASHBOARD'!$C$4="",ISNUMBER(SEARCH('WSF DASHBOARD'!$C$4,INDEX(MASTER_AREAS!$B:$B,1082))))),1081,""),""),IF('WSF DASHBOARD'!$B$4="Zone",IF(1081&lt;=$D$4,IF(OR('WSF DASHBOARD'!$C$4="",ISNUMBER(SEARCH('WSF DASHBOARD'!$C$4,INDEX(MASTER_ZONES!$B:$B,1082)))),1081,""),""),""))</f>
        <v/>
      </c>
      <c r="F1082">
        <f>IF('TRANSPORT DASHBOARD'!$B$4="Area",IF(1081&lt;=$I$3,IF(AND(INDEX(MASTER_AREAS!$F:$F,1082)&lt;&gt;"N",OR('TRANSPORT DASHBOARD'!$C$4="",ISNUMBER(SEARCH('TRANSPORT DASHBOARD'!$C$4,INDEX(MASTER_AREAS!$B:$B,1082))))),1081,""),""),IF('TRANSPORT DASHBOARD'!$B$4="Zone",IF(1081&lt;=$I$4,IF(OR('TRANSPORT DASHBOARD'!$C$4="",ISNUMBER(SEARCH('TRANSPORT DASHBOARD'!$C$4,INDEX(MASTER_ZONES!$B:$B,1082)))),1081,""),""),""))</f>
        <v/>
      </c>
      <c r="K1082">
        <f>IF('MIDWEEK DASHBOARD'!$B$4="Area",IF(1081&lt;=$N$3,IF(AND(OR('MIDWEEK DASHBOARD'!$C$4="",ISNUMBER(SEARCH('MIDWEEK DASHBOARD'!$C$4,INDEX(MASTER_AREAS!$B:$B,1082))))),1081,""),""),IF('MIDWEEK DASHBOARD'!$B$4="Zone",IF(1081&lt;=$N$4,IF(OR('MIDWEEK DASHBOARD'!$C$4="",ISNUMBER(SEARCH('MIDWEEK DASHBOARD'!$C$4,INDEX(MASTER_ZONES!$B:$B,1082)))),1081,""),""),""))</f>
        <v/>
      </c>
      <c r="P1082">
        <f>IF('CHOP DASHBOARD'!$B$4="Area",IF(1081&lt;=$S$3,IF(AND(OR('CHOP DASHBOARD'!$C$4="",ISNUMBER(SEARCH('CHOP DASHBOARD'!$C$4,INDEX(MASTER_AREAS!$B:$B,1082))))),1081,""),""),IF('CHOP DASHBOARD'!$B$4="Zone",IF(1081&lt;=$S$4,IF(OR('CHOP DASHBOARD'!$C$4="",ISNUMBER(SEARCH('CHOP DASHBOARD'!$C$4,INDEX(MASTER_ZONES!$B:$B,1082)))),1081,""),""),""))</f>
        <v/>
      </c>
      <c r="U1082">
        <f>IF('COMMUNITY CHURCH DASHBOARD'!$B$4="Area",IF(1081&lt;=$X$3,IF(AND(OR('COMMUNITY CHURCH DASHBOARD'!$C$4="",ISNUMBER(SEARCH('COMMUNITY CHURCH DASHBOARD'!$C$4,INDEX(MASTER_AREAS!$B:$B,1082))))),1081,""),""),IF('COMMUNITY CHURCH DASHBOARD'!$B$4="Zone",IF(1081&lt;=$X$4,IF(OR('COMMUNITY CHURCH DASHBOARD'!$C$4="",ISNUMBER(SEARCH('COMMUNITY CHURCH DASHBOARD'!$C$4,INDEX(MASTER_ZONES!$B:$B,1082)))),1081,""),""),""))</f>
        <v/>
      </c>
    </row>
    <row r="1083">
      <c r="A1083">
        <f>IF('WSF DASHBOARD'!$B$4="Area",IF(1082&lt;=$D$3,IF(AND(OR('WSF DASHBOARD'!$C$4="",ISNUMBER(SEARCH('WSF DASHBOARD'!$C$4,INDEX(MASTER_AREAS!$B:$B,1083))))),1082,""),""),IF('WSF DASHBOARD'!$B$4="Zone",IF(1082&lt;=$D$4,IF(OR('WSF DASHBOARD'!$C$4="",ISNUMBER(SEARCH('WSF DASHBOARD'!$C$4,INDEX(MASTER_ZONES!$B:$B,1083)))),1082,""),""),""))</f>
        <v/>
      </c>
      <c r="F1083">
        <f>IF('TRANSPORT DASHBOARD'!$B$4="Area",IF(1082&lt;=$I$3,IF(AND(INDEX(MASTER_AREAS!$F:$F,1083)&lt;&gt;"N",OR('TRANSPORT DASHBOARD'!$C$4="",ISNUMBER(SEARCH('TRANSPORT DASHBOARD'!$C$4,INDEX(MASTER_AREAS!$B:$B,1083))))),1082,""),""),IF('TRANSPORT DASHBOARD'!$B$4="Zone",IF(1082&lt;=$I$4,IF(OR('TRANSPORT DASHBOARD'!$C$4="",ISNUMBER(SEARCH('TRANSPORT DASHBOARD'!$C$4,INDEX(MASTER_ZONES!$B:$B,1083)))),1082,""),""),""))</f>
        <v/>
      </c>
      <c r="K1083">
        <f>IF('MIDWEEK DASHBOARD'!$B$4="Area",IF(1082&lt;=$N$3,IF(AND(OR('MIDWEEK DASHBOARD'!$C$4="",ISNUMBER(SEARCH('MIDWEEK DASHBOARD'!$C$4,INDEX(MASTER_AREAS!$B:$B,1083))))),1082,""),""),IF('MIDWEEK DASHBOARD'!$B$4="Zone",IF(1082&lt;=$N$4,IF(OR('MIDWEEK DASHBOARD'!$C$4="",ISNUMBER(SEARCH('MIDWEEK DASHBOARD'!$C$4,INDEX(MASTER_ZONES!$B:$B,1083)))),1082,""),""),""))</f>
        <v/>
      </c>
      <c r="P1083">
        <f>IF('CHOP DASHBOARD'!$B$4="Area",IF(1082&lt;=$S$3,IF(AND(OR('CHOP DASHBOARD'!$C$4="",ISNUMBER(SEARCH('CHOP DASHBOARD'!$C$4,INDEX(MASTER_AREAS!$B:$B,1083))))),1082,""),""),IF('CHOP DASHBOARD'!$B$4="Zone",IF(1082&lt;=$S$4,IF(OR('CHOP DASHBOARD'!$C$4="",ISNUMBER(SEARCH('CHOP DASHBOARD'!$C$4,INDEX(MASTER_ZONES!$B:$B,1083)))),1082,""),""),""))</f>
        <v/>
      </c>
      <c r="U1083">
        <f>IF('COMMUNITY CHURCH DASHBOARD'!$B$4="Area",IF(1082&lt;=$X$3,IF(AND(OR('COMMUNITY CHURCH DASHBOARD'!$C$4="",ISNUMBER(SEARCH('COMMUNITY CHURCH DASHBOARD'!$C$4,INDEX(MASTER_AREAS!$B:$B,1083))))),1082,""),""),IF('COMMUNITY CHURCH DASHBOARD'!$B$4="Zone",IF(1082&lt;=$X$4,IF(OR('COMMUNITY CHURCH DASHBOARD'!$C$4="",ISNUMBER(SEARCH('COMMUNITY CHURCH DASHBOARD'!$C$4,INDEX(MASTER_ZONES!$B:$B,1083)))),1082,""),""),""))</f>
        <v/>
      </c>
    </row>
    <row r="1084">
      <c r="A1084">
        <f>IF('WSF DASHBOARD'!$B$4="Area",IF(1083&lt;=$D$3,IF(AND(OR('WSF DASHBOARD'!$C$4="",ISNUMBER(SEARCH('WSF DASHBOARD'!$C$4,INDEX(MASTER_AREAS!$B:$B,1084))))),1083,""),""),IF('WSF DASHBOARD'!$B$4="Zone",IF(1083&lt;=$D$4,IF(OR('WSF DASHBOARD'!$C$4="",ISNUMBER(SEARCH('WSF DASHBOARD'!$C$4,INDEX(MASTER_ZONES!$B:$B,1084)))),1083,""),""),""))</f>
        <v/>
      </c>
      <c r="F1084">
        <f>IF('TRANSPORT DASHBOARD'!$B$4="Area",IF(1083&lt;=$I$3,IF(AND(INDEX(MASTER_AREAS!$F:$F,1084)&lt;&gt;"N",OR('TRANSPORT DASHBOARD'!$C$4="",ISNUMBER(SEARCH('TRANSPORT DASHBOARD'!$C$4,INDEX(MASTER_AREAS!$B:$B,1084))))),1083,""),""),IF('TRANSPORT DASHBOARD'!$B$4="Zone",IF(1083&lt;=$I$4,IF(OR('TRANSPORT DASHBOARD'!$C$4="",ISNUMBER(SEARCH('TRANSPORT DASHBOARD'!$C$4,INDEX(MASTER_ZONES!$B:$B,1084)))),1083,""),""),""))</f>
        <v/>
      </c>
      <c r="K1084">
        <f>IF('MIDWEEK DASHBOARD'!$B$4="Area",IF(1083&lt;=$N$3,IF(AND(OR('MIDWEEK DASHBOARD'!$C$4="",ISNUMBER(SEARCH('MIDWEEK DASHBOARD'!$C$4,INDEX(MASTER_AREAS!$B:$B,1084))))),1083,""),""),IF('MIDWEEK DASHBOARD'!$B$4="Zone",IF(1083&lt;=$N$4,IF(OR('MIDWEEK DASHBOARD'!$C$4="",ISNUMBER(SEARCH('MIDWEEK DASHBOARD'!$C$4,INDEX(MASTER_ZONES!$B:$B,1084)))),1083,""),""),""))</f>
        <v/>
      </c>
      <c r="P1084">
        <f>IF('CHOP DASHBOARD'!$B$4="Area",IF(1083&lt;=$S$3,IF(AND(OR('CHOP DASHBOARD'!$C$4="",ISNUMBER(SEARCH('CHOP DASHBOARD'!$C$4,INDEX(MASTER_AREAS!$B:$B,1084))))),1083,""),""),IF('CHOP DASHBOARD'!$B$4="Zone",IF(1083&lt;=$S$4,IF(OR('CHOP DASHBOARD'!$C$4="",ISNUMBER(SEARCH('CHOP DASHBOARD'!$C$4,INDEX(MASTER_ZONES!$B:$B,1084)))),1083,""),""),""))</f>
        <v/>
      </c>
      <c r="U1084">
        <f>IF('COMMUNITY CHURCH DASHBOARD'!$B$4="Area",IF(1083&lt;=$X$3,IF(AND(OR('COMMUNITY CHURCH DASHBOARD'!$C$4="",ISNUMBER(SEARCH('COMMUNITY CHURCH DASHBOARD'!$C$4,INDEX(MASTER_AREAS!$B:$B,1084))))),1083,""),""),IF('COMMUNITY CHURCH DASHBOARD'!$B$4="Zone",IF(1083&lt;=$X$4,IF(OR('COMMUNITY CHURCH DASHBOARD'!$C$4="",ISNUMBER(SEARCH('COMMUNITY CHURCH DASHBOARD'!$C$4,INDEX(MASTER_ZONES!$B:$B,1084)))),1083,""),""),""))</f>
        <v/>
      </c>
    </row>
    <row r="1085">
      <c r="A1085">
        <f>IF('WSF DASHBOARD'!$B$4="Area",IF(1084&lt;=$D$3,IF(AND(OR('WSF DASHBOARD'!$C$4="",ISNUMBER(SEARCH('WSF DASHBOARD'!$C$4,INDEX(MASTER_AREAS!$B:$B,1085))))),1084,""),""),IF('WSF DASHBOARD'!$B$4="Zone",IF(1084&lt;=$D$4,IF(OR('WSF DASHBOARD'!$C$4="",ISNUMBER(SEARCH('WSF DASHBOARD'!$C$4,INDEX(MASTER_ZONES!$B:$B,1085)))),1084,""),""),""))</f>
        <v/>
      </c>
      <c r="F1085">
        <f>IF('TRANSPORT DASHBOARD'!$B$4="Area",IF(1084&lt;=$I$3,IF(AND(INDEX(MASTER_AREAS!$F:$F,1085)&lt;&gt;"N",OR('TRANSPORT DASHBOARD'!$C$4="",ISNUMBER(SEARCH('TRANSPORT DASHBOARD'!$C$4,INDEX(MASTER_AREAS!$B:$B,1085))))),1084,""),""),IF('TRANSPORT DASHBOARD'!$B$4="Zone",IF(1084&lt;=$I$4,IF(OR('TRANSPORT DASHBOARD'!$C$4="",ISNUMBER(SEARCH('TRANSPORT DASHBOARD'!$C$4,INDEX(MASTER_ZONES!$B:$B,1085)))),1084,""),""),""))</f>
        <v/>
      </c>
      <c r="K1085">
        <f>IF('MIDWEEK DASHBOARD'!$B$4="Area",IF(1084&lt;=$N$3,IF(AND(OR('MIDWEEK DASHBOARD'!$C$4="",ISNUMBER(SEARCH('MIDWEEK DASHBOARD'!$C$4,INDEX(MASTER_AREAS!$B:$B,1085))))),1084,""),""),IF('MIDWEEK DASHBOARD'!$B$4="Zone",IF(1084&lt;=$N$4,IF(OR('MIDWEEK DASHBOARD'!$C$4="",ISNUMBER(SEARCH('MIDWEEK DASHBOARD'!$C$4,INDEX(MASTER_ZONES!$B:$B,1085)))),1084,""),""),""))</f>
        <v/>
      </c>
      <c r="P1085">
        <f>IF('CHOP DASHBOARD'!$B$4="Area",IF(1084&lt;=$S$3,IF(AND(OR('CHOP DASHBOARD'!$C$4="",ISNUMBER(SEARCH('CHOP DASHBOARD'!$C$4,INDEX(MASTER_AREAS!$B:$B,1085))))),1084,""),""),IF('CHOP DASHBOARD'!$B$4="Zone",IF(1084&lt;=$S$4,IF(OR('CHOP DASHBOARD'!$C$4="",ISNUMBER(SEARCH('CHOP DASHBOARD'!$C$4,INDEX(MASTER_ZONES!$B:$B,1085)))),1084,""),""),""))</f>
        <v/>
      </c>
      <c r="U1085">
        <f>IF('COMMUNITY CHURCH DASHBOARD'!$B$4="Area",IF(1084&lt;=$X$3,IF(AND(OR('COMMUNITY CHURCH DASHBOARD'!$C$4="",ISNUMBER(SEARCH('COMMUNITY CHURCH DASHBOARD'!$C$4,INDEX(MASTER_AREAS!$B:$B,1085))))),1084,""),""),IF('COMMUNITY CHURCH DASHBOARD'!$B$4="Zone",IF(1084&lt;=$X$4,IF(OR('COMMUNITY CHURCH DASHBOARD'!$C$4="",ISNUMBER(SEARCH('COMMUNITY CHURCH DASHBOARD'!$C$4,INDEX(MASTER_ZONES!$B:$B,1085)))),1084,""),""),""))</f>
        <v/>
      </c>
    </row>
    <row r="1086">
      <c r="A1086">
        <f>IF('WSF DASHBOARD'!$B$4="Area",IF(1085&lt;=$D$3,IF(AND(OR('WSF DASHBOARD'!$C$4="",ISNUMBER(SEARCH('WSF DASHBOARD'!$C$4,INDEX(MASTER_AREAS!$B:$B,1086))))),1085,""),""),IF('WSF DASHBOARD'!$B$4="Zone",IF(1085&lt;=$D$4,IF(OR('WSF DASHBOARD'!$C$4="",ISNUMBER(SEARCH('WSF DASHBOARD'!$C$4,INDEX(MASTER_ZONES!$B:$B,1086)))),1085,""),""),""))</f>
        <v/>
      </c>
      <c r="F1086">
        <f>IF('TRANSPORT DASHBOARD'!$B$4="Area",IF(1085&lt;=$I$3,IF(AND(INDEX(MASTER_AREAS!$F:$F,1086)&lt;&gt;"N",OR('TRANSPORT DASHBOARD'!$C$4="",ISNUMBER(SEARCH('TRANSPORT DASHBOARD'!$C$4,INDEX(MASTER_AREAS!$B:$B,1086))))),1085,""),""),IF('TRANSPORT DASHBOARD'!$B$4="Zone",IF(1085&lt;=$I$4,IF(OR('TRANSPORT DASHBOARD'!$C$4="",ISNUMBER(SEARCH('TRANSPORT DASHBOARD'!$C$4,INDEX(MASTER_ZONES!$B:$B,1086)))),1085,""),""),""))</f>
        <v/>
      </c>
      <c r="K1086">
        <f>IF('MIDWEEK DASHBOARD'!$B$4="Area",IF(1085&lt;=$N$3,IF(AND(OR('MIDWEEK DASHBOARD'!$C$4="",ISNUMBER(SEARCH('MIDWEEK DASHBOARD'!$C$4,INDEX(MASTER_AREAS!$B:$B,1086))))),1085,""),""),IF('MIDWEEK DASHBOARD'!$B$4="Zone",IF(1085&lt;=$N$4,IF(OR('MIDWEEK DASHBOARD'!$C$4="",ISNUMBER(SEARCH('MIDWEEK DASHBOARD'!$C$4,INDEX(MASTER_ZONES!$B:$B,1086)))),1085,""),""),""))</f>
        <v/>
      </c>
      <c r="P1086">
        <f>IF('CHOP DASHBOARD'!$B$4="Area",IF(1085&lt;=$S$3,IF(AND(OR('CHOP DASHBOARD'!$C$4="",ISNUMBER(SEARCH('CHOP DASHBOARD'!$C$4,INDEX(MASTER_AREAS!$B:$B,1086))))),1085,""),""),IF('CHOP DASHBOARD'!$B$4="Zone",IF(1085&lt;=$S$4,IF(OR('CHOP DASHBOARD'!$C$4="",ISNUMBER(SEARCH('CHOP DASHBOARD'!$C$4,INDEX(MASTER_ZONES!$B:$B,1086)))),1085,""),""),""))</f>
        <v/>
      </c>
      <c r="U1086">
        <f>IF('COMMUNITY CHURCH DASHBOARD'!$B$4="Area",IF(1085&lt;=$X$3,IF(AND(OR('COMMUNITY CHURCH DASHBOARD'!$C$4="",ISNUMBER(SEARCH('COMMUNITY CHURCH DASHBOARD'!$C$4,INDEX(MASTER_AREAS!$B:$B,1086))))),1085,""),""),IF('COMMUNITY CHURCH DASHBOARD'!$B$4="Zone",IF(1085&lt;=$X$4,IF(OR('COMMUNITY CHURCH DASHBOARD'!$C$4="",ISNUMBER(SEARCH('COMMUNITY CHURCH DASHBOARD'!$C$4,INDEX(MASTER_ZONES!$B:$B,1086)))),1085,""),""),""))</f>
        <v/>
      </c>
    </row>
    <row r="1087">
      <c r="A1087">
        <f>IF('WSF DASHBOARD'!$B$4="Area",IF(1086&lt;=$D$3,IF(AND(OR('WSF DASHBOARD'!$C$4="",ISNUMBER(SEARCH('WSF DASHBOARD'!$C$4,INDEX(MASTER_AREAS!$B:$B,1087))))),1086,""),""),IF('WSF DASHBOARD'!$B$4="Zone",IF(1086&lt;=$D$4,IF(OR('WSF DASHBOARD'!$C$4="",ISNUMBER(SEARCH('WSF DASHBOARD'!$C$4,INDEX(MASTER_ZONES!$B:$B,1087)))),1086,""),""),""))</f>
        <v/>
      </c>
      <c r="F1087">
        <f>IF('TRANSPORT DASHBOARD'!$B$4="Area",IF(1086&lt;=$I$3,IF(AND(INDEX(MASTER_AREAS!$F:$F,1087)&lt;&gt;"N",OR('TRANSPORT DASHBOARD'!$C$4="",ISNUMBER(SEARCH('TRANSPORT DASHBOARD'!$C$4,INDEX(MASTER_AREAS!$B:$B,1087))))),1086,""),""),IF('TRANSPORT DASHBOARD'!$B$4="Zone",IF(1086&lt;=$I$4,IF(OR('TRANSPORT DASHBOARD'!$C$4="",ISNUMBER(SEARCH('TRANSPORT DASHBOARD'!$C$4,INDEX(MASTER_ZONES!$B:$B,1087)))),1086,""),""),""))</f>
        <v/>
      </c>
      <c r="K1087">
        <f>IF('MIDWEEK DASHBOARD'!$B$4="Area",IF(1086&lt;=$N$3,IF(AND(OR('MIDWEEK DASHBOARD'!$C$4="",ISNUMBER(SEARCH('MIDWEEK DASHBOARD'!$C$4,INDEX(MASTER_AREAS!$B:$B,1087))))),1086,""),""),IF('MIDWEEK DASHBOARD'!$B$4="Zone",IF(1086&lt;=$N$4,IF(OR('MIDWEEK DASHBOARD'!$C$4="",ISNUMBER(SEARCH('MIDWEEK DASHBOARD'!$C$4,INDEX(MASTER_ZONES!$B:$B,1087)))),1086,""),""),""))</f>
        <v/>
      </c>
      <c r="P1087">
        <f>IF('CHOP DASHBOARD'!$B$4="Area",IF(1086&lt;=$S$3,IF(AND(OR('CHOP DASHBOARD'!$C$4="",ISNUMBER(SEARCH('CHOP DASHBOARD'!$C$4,INDEX(MASTER_AREAS!$B:$B,1087))))),1086,""),""),IF('CHOP DASHBOARD'!$B$4="Zone",IF(1086&lt;=$S$4,IF(OR('CHOP DASHBOARD'!$C$4="",ISNUMBER(SEARCH('CHOP DASHBOARD'!$C$4,INDEX(MASTER_ZONES!$B:$B,1087)))),1086,""),""),""))</f>
        <v/>
      </c>
      <c r="U1087">
        <f>IF('COMMUNITY CHURCH DASHBOARD'!$B$4="Area",IF(1086&lt;=$X$3,IF(AND(OR('COMMUNITY CHURCH DASHBOARD'!$C$4="",ISNUMBER(SEARCH('COMMUNITY CHURCH DASHBOARD'!$C$4,INDEX(MASTER_AREAS!$B:$B,1087))))),1086,""),""),IF('COMMUNITY CHURCH DASHBOARD'!$B$4="Zone",IF(1086&lt;=$X$4,IF(OR('COMMUNITY CHURCH DASHBOARD'!$C$4="",ISNUMBER(SEARCH('COMMUNITY CHURCH DASHBOARD'!$C$4,INDEX(MASTER_ZONES!$B:$B,1087)))),1086,""),""),""))</f>
        <v/>
      </c>
    </row>
    <row r="1088">
      <c r="A1088">
        <f>IF('WSF DASHBOARD'!$B$4="Area",IF(1087&lt;=$D$3,IF(AND(OR('WSF DASHBOARD'!$C$4="",ISNUMBER(SEARCH('WSF DASHBOARD'!$C$4,INDEX(MASTER_AREAS!$B:$B,1088))))),1087,""),""),IF('WSF DASHBOARD'!$B$4="Zone",IF(1087&lt;=$D$4,IF(OR('WSF DASHBOARD'!$C$4="",ISNUMBER(SEARCH('WSF DASHBOARD'!$C$4,INDEX(MASTER_ZONES!$B:$B,1088)))),1087,""),""),""))</f>
        <v/>
      </c>
      <c r="F1088">
        <f>IF('TRANSPORT DASHBOARD'!$B$4="Area",IF(1087&lt;=$I$3,IF(AND(INDEX(MASTER_AREAS!$F:$F,1088)&lt;&gt;"N",OR('TRANSPORT DASHBOARD'!$C$4="",ISNUMBER(SEARCH('TRANSPORT DASHBOARD'!$C$4,INDEX(MASTER_AREAS!$B:$B,1088))))),1087,""),""),IF('TRANSPORT DASHBOARD'!$B$4="Zone",IF(1087&lt;=$I$4,IF(OR('TRANSPORT DASHBOARD'!$C$4="",ISNUMBER(SEARCH('TRANSPORT DASHBOARD'!$C$4,INDEX(MASTER_ZONES!$B:$B,1088)))),1087,""),""),""))</f>
        <v/>
      </c>
      <c r="K1088">
        <f>IF('MIDWEEK DASHBOARD'!$B$4="Area",IF(1087&lt;=$N$3,IF(AND(OR('MIDWEEK DASHBOARD'!$C$4="",ISNUMBER(SEARCH('MIDWEEK DASHBOARD'!$C$4,INDEX(MASTER_AREAS!$B:$B,1088))))),1087,""),""),IF('MIDWEEK DASHBOARD'!$B$4="Zone",IF(1087&lt;=$N$4,IF(OR('MIDWEEK DASHBOARD'!$C$4="",ISNUMBER(SEARCH('MIDWEEK DASHBOARD'!$C$4,INDEX(MASTER_ZONES!$B:$B,1088)))),1087,""),""),""))</f>
        <v/>
      </c>
      <c r="P1088">
        <f>IF('CHOP DASHBOARD'!$B$4="Area",IF(1087&lt;=$S$3,IF(AND(OR('CHOP DASHBOARD'!$C$4="",ISNUMBER(SEARCH('CHOP DASHBOARD'!$C$4,INDEX(MASTER_AREAS!$B:$B,1088))))),1087,""),""),IF('CHOP DASHBOARD'!$B$4="Zone",IF(1087&lt;=$S$4,IF(OR('CHOP DASHBOARD'!$C$4="",ISNUMBER(SEARCH('CHOP DASHBOARD'!$C$4,INDEX(MASTER_ZONES!$B:$B,1088)))),1087,""),""),""))</f>
        <v/>
      </c>
      <c r="U1088">
        <f>IF('COMMUNITY CHURCH DASHBOARD'!$B$4="Area",IF(1087&lt;=$X$3,IF(AND(OR('COMMUNITY CHURCH DASHBOARD'!$C$4="",ISNUMBER(SEARCH('COMMUNITY CHURCH DASHBOARD'!$C$4,INDEX(MASTER_AREAS!$B:$B,1088))))),1087,""),""),IF('COMMUNITY CHURCH DASHBOARD'!$B$4="Zone",IF(1087&lt;=$X$4,IF(OR('COMMUNITY CHURCH DASHBOARD'!$C$4="",ISNUMBER(SEARCH('COMMUNITY CHURCH DASHBOARD'!$C$4,INDEX(MASTER_ZONES!$B:$B,1088)))),1087,""),""),""))</f>
        <v/>
      </c>
    </row>
    <row r="1089">
      <c r="A1089">
        <f>IF('WSF DASHBOARD'!$B$4="Area",IF(1088&lt;=$D$3,IF(AND(OR('WSF DASHBOARD'!$C$4="",ISNUMBER(SEARCH('WSF DASHBOARD'!$C$4,INDEX(MASTER_AREAS!$B:$B,1089))))),1088,""),""),IF('WSF DASHBOARD'!$B$4="Zone",IF(1088&lt;=$D$4,IF(OR('WSF DASHBOARD'!$C$4="",ISNUMBER(SEARCH('WSF DASHBOARD'!$C$4,INDEX(MASTER_ZONES!$B:$B,1089)))),1088,""),""),""))</f>
        <v/>
      </c>
      <c r="F1089">
        <f>IF('TRANSPORT DASHBOARD'!$B$4="Area",IF(1088&lt;=$I$3,IF(AND(INDEX(MASTER_AREAS!$F:$F,1089)&lt;&gt;"N",OR('TRANSPORT DASHBOARD'!$C$4="",ISNUMBER(SEARCH('TRANSPORT DASHBOARD'!$C$4,INDEX(MASTER_AREAS!$B:$B,1089))))),1088,""),""),IF('TRANSPORT DASHBOARD'!$B$4="Zone",IF(1088&lt;=$I$4,IF(OR('TRANSPORT DASHBOARD'!$C$4="",ISNUMBER(SEARCH('TRANSPORT DASHBOARD'!$C$4,INDEX(MASTER_ZONES!$B:$B,1089)))),1088,""),""),""))</f>
        <v/>
      </c>
      <c r="K1089">
        <f>IF('MIDWEEK DASHBOARD'!$B$4="Area",IF(1088&lt;=$N$3,IF(AND(OR('MIDWEEK DASHBOARD'!$C$4="",ISNUMBER(SEARCH('MIDWEEK DASHBOARD'!$C$4,INDEX(MASTER_AREAS!$B:$B,1089))))),1088,""),""),IF('MIDWEEK DASHBOARD'!$B$4="Zone",IF(1088&lt;=$N$4,IF(OR('MIDWEEK DASHBOARD'!$C$4="",ISNUMBER(SEARCH('MIDWEEK DASHBOARD'!$C$4,INDEX(MASTER_ZONES!$B:$B,1089)))),1088,""),""),""))</f>
        <v/>
      </c>
      <c r="P1089">
        <f>IF('CHOP DASHBOARD'!$B$4="Area",IF(1088&lt;=$S$3,IF(AND(OR('CHOP DASHBOARD'!$C$4="",ISNUMBER(SEARCH('CHOP DASHBOARD'!$C$4,INDEX(MASTER_AREAS!$B:$B,1089))))),1088,""),""),IF('CHOP DASHBOARD'!$B$4="Zone",IF(1088&lt;=$S$4,IF(OR('CHOP DASHBOARD'!$C$4="",ISNUMBER(SEARCH('CHOP DASHBOARD'!$C$4,INDEX(MASTER_ZONES!$B:$B,1089)))),1088,""),""),""))</f>
        <v/>
      </c>
      <c r="U1089">
        <f>IF('COMMUNITY CHURCH DASHBOARD'!$B$4="Area",IF(1088&lt;=$X$3,IF(AND(OR('COMMUNITY CHURCH DASHBOARD'!$C$4="",ISNUMBER(SEARCH('COMMUNITY CHURCH DASHBOARD'!$C$4,INDEX(MASTER_AREAS!$B:$B,1089))))),1088,""),""),IF('COMMUNITY CHURCH DASHBOARD'!$B$4="Zone",IF(1088&lt;=$X$4,IF(OR('COMMUNITY CHURCH DASHBOARD'!$C$4="",ISNUMBER(SEARCH('COMMUNITY CHURCH DASHBOARD'!$C$4,INDEX(MASTER_ZONES!$B:$B,1089)))),1088,""),""),""))</f>
        <v/>
      </c>
    </row>
    <row r="1090">
      <c r="A1090">
        <f>IF('WSF DASHBOARD'!$B$4="Area",IF(1089&lt;=$D$3,IF(AND(OR('WSF DASHBOARD'!$C$4="",ISNUMBER(SEARCH('WSF DASHBOARD'!$C$4,INDEX(MASTER_AREAS!$B:$B,1090))))),1089,""),""),IF('WSF DASHBOARD'!$B$4="Zone",IF(1089&lt;=$D$4,IF(OR('WSF DASHBOARD'!$C$4="",ISNUMBER(SEARCH('WSF DASHBOARD'!$C$4,INDEX(MASTER_ZONES!$B:$B,1090)))),1089,""),""),""))</f>
        <v/>
      </c>
      <c r="F1090">
        <f>IF('TRANSPORT DASHBOARD'!$B$4="Area",IF(1089&lt;=$I$3,IF(AND(INDEX(MASTER_AREAS!$F:$F,1090)&lt;&gt;"N",OR('TRANSPORT DASHBOARD'!$C$4="",ISNUMBER(SEARCH('TRANSPORT DASHBOARD'!$C$4,INDEX(MASTER_AREAS!$B:$B,1090))))),1089,""),""),IF('TRANSPORT DASHBOARD'!$B$4="Zone",IF(1089&lt;=$I$4,IF(OR('TRANSPORT DASHBOARD'!$C$4="",ISNUMBER(SEARCH('TRANSPORT DASHBOARD'!$C$4,INDEX(MASTER_ZONES!$B:$B,1090)))),1089,""),""),""))</f>
        <v/>
      </c>
      <c r="K1090">
        <f>IF('MIDWEEK DASHBOARD'!$B$4="Area",IF(1089&lt;=$N$3,IF(AND(OR('MIDWEEK DASHBOARD'!$C$4="",ISNUMBER(SEARCH('MIDWEEK DASHBOARD'!$C$4,INDEX(MASTER_AREAS!$B:$B,1090))))),1089,""),""),IF('MIDWEEK DASHBOARD'!$B$4="Zone",IF(1089&lt;=$N$4,IF(OR('MIDWEEK DASHBOARD'!$C$4="",ISNUMBER(SEARCH('MIDWEEK DASHBOARD'!$C$4,INDEX(MASTER_ZONES!$B:$B,1090)))),1089,""),""),""))</f>
        <v/>
      </c>
      <c r="P1090">
        <f>IF('CHOP DASHBOARD'!$B$4="Area",IF(1089&lt;=$S$3,IF(AND(OR('CHOP DASHBOARD'!$C$4="",ISNUMBER(SEARCH('CHOP DASHBOARD'!$C$4,INDEX(MASTER_AREAS!$B:$B,1090))))),1089,""),""),IF('CHOP DASHBOARD'!$B$4="Zone",IF(1089&lt;=$S$4,IF(OR('CHOP DASHBOARD'!$C$4="",ISNUMBER(SEARCH('CHOP DASHBOARD'!$C$4,INDEX(MASTER_ZONES!$B:$B,1090)))),1089,""),""),""))</f>
        <v/>
      </c>
      <c r="U1090">
        <f>IF('COMMUNITY CHURCH DASHBOARD'!$B$4="Area",IF(1089&lt;=$X$3,IF(AND(OR('COMMUNITY CHURCH DASHBOARD'!$C$4="",ISNUMBER(SEARCH('COMMUNITY CHURCH DASHBOARD'!$C$4,INDEX(MASTER_AREAS!$B:$B,1090))))),1089,""),""),IF('COMMUNITY CHURCH DASHBOARD'!$B$4="Zone",IF(1089&lt;=$X$4,IF(OR('COMMUNITY CHURCH DASHBOARD'!$C$4="",ISNUMBER(SEARCH('COMMUNITY CHURCH DASHBOARD'!$C$4,INDEX(MASTER_ZONES!$B:$B,1090)))),1089,""),""),""))</f>
        <v/>
      </c>
    </row>
    <row r="1091">
      <c r="A1091">
        <f>IF('WSF DASHBOARD'!$B$4="Area",IF(1090&lt;=$D$3,IF(AND(OR('WSF DASHBOARD'!$C$4="",ISNUMBER(SEARCH('WSF DASHBOARD'!$C$4,INDEX(MASTER_AREAS!$B:$B,1091))))),1090,""),""),IF('WSF DASHBOARD'!$B$4="Zone",IF(1090&lt;=$D$4,IF(OR('WSF DASHBOARD'!$C$4="",ISNUMBER(SEARCH('WSF DASHBOARD'!$C$4,INDEX(MASTER_ZONES!$B:$B,1091)))),1090,""),""),""))</f>
        <v/>
      </c>
      <c r="F1091">
        <f>IF('TRANSPORT DASHBOARD'!$B$4="Area",IF(1090&lt;=$I$3,IF(AND(INDEX(MASTER_AREAS!$F:$F,1091)&lt;&gt;"N",OR('TRANSPORT DASHBOARD'!$C$4="",ISNUMBER(SEARCH('TRANSPORT DASHBOARD'!$C$4,INDEX(MASTER_AREAS!$B:$B,1091))))),1090,""),""),IF('TRANSPORT DASHBOARD'!$B$4="Zone",IF(1090&lt;=$I$4,IF(OR('TRANSPORT DASHBOARD'!$C$4="",ISNUMBER(SEARCH('TRANSPORT DASHBOARD'!$C$4,INDEX(MASTER_ZONES!$B:$B,1091)))),1090,""),""),""))</f>
        <v/>
      </c>
      <c r="K1091">
        <f>IF('MIDWEEK DASHBOARD'!$B$4="Area",IF(1090&lt;=$N$3,IF(AND(OR('MIDWEEK DASHBOARD'!$C$4="",ISNUMBER(SEARCH('MIDWEEK DASHBOARD'!$C$4,INDEX(MASTER_AREAS!$B:$B,1091))))),1090,""),""),IF('MIDWEEK DASHBOARD'!$B$4="Zone",IF(1090&lt;=$N$4,IF(OR('MIDWEEK DASHBOARD'!$C$4="",ISNUMBER(SEARCH('MIDWEEK DASHBOARD'!$C$4,INDEX(MASTER_ZONES!$B:$B,1091)))),1090,""),""),""))</f>
        <v/>
      </c>
      <c r="P1091">
        <f>IF('CHOP DASHBOARD'!$B$4="Area",IF(1090&lt;=$S$3,IF(AND(OR('CHOP DASHBOARD'!$C$4="",ISNUMBER(SEARCH('CHOP DASHBOARD'!$C$4,INDEX(MASTER_AREAS!$B:$B,1091))))),1090,""),""),IF('CHOP DASHBOARD'!$B$4="Zone",IF(1090&lt;=$S$4,IF(OR('CHOP DASHBOARD'!$C$4="",ISNUMBER(SEARCH('CHOP DASHBOARD'!$C$4,INDEX(MASTER_ZONES!$B:$B,1091)))),1090,""),""),""))</f>
        <v/>
      </c>
      <c r="U1091">
        <f>IF('COMMUNITY CHURCH DASHBOARD'!$B$4="Area",IF(1090&lt;=$X$3,IF(AND(OR('COMMUNITY CHURCH DASHBOARD'!$C$4="",ISNUMBER(SEARCH('COMMUNITY CHURCH DASHBOARD'!$C$4,INDEX(MASTER_AREAS!$B:$B,1091))))),1090,""),""),IF('COMMUNITY CHURCH DASHBOARD'!$B$4="Zone",IF(1090&lt;=$X$4,IF(OR('COMMUNITY CHURCH DASHBOARD'!$C$4="",ISNUMBER(SEARCH('COMMUNITY CHURCH DASHBOARD'!$C$4,INDEX(MASTER_ZONES!$B:$B,1091)))),1090,""),""),""))</f>
        <v/>
      </c>
    </row>
    <row r="1092">
      <c r="A1092">
        <f>IF('WSF DASHBOARD'!$B$4="Area",IF(1091&lt;=$D$3,IF(AND(OR('WSF DASHBOARD'!$C$4="",ISNUMBER(SEARCH('WSF DASHBOARD'!$C$4,INDEX(MASTER_AREAS!$B:$B,1092))))),1091,""),""),IF('WSF DASHBOARD'!$B$4="Zone",IF(1091&lt;=$D$4,IF(OR('WSF DASHBOARD'!$C$4="",ISNUMBER(SEARCH('WSF DASHBOARD'!$C$4,INDEX(MASTER_ZONES!$B:$B,1092)))),1091,""),""),""))</f>
        <v/>
      </c>
      <c r="F1092">
        <f>IF('TRANSPORT DASHBOARD'!$B$4="Area",IF(1091&lt;=$I$3,IF(AND(INDEX(MASTER_AREAS!$F:$F,1092)&lt;&gt;"N",OR('TRANSPORT DASHBOARD'!$C$4="",ISNUMBER(SEARCH('TRANSPORT DASHBOARD'!$C$4,INDEX(MASTER_AREAS!$B:$B,1092))))),1091,""),""),IF('TRANSPORT DASHBOARD'!$B$4="Zone",IF(1091&lt;=$I$4,IF(OR('TRANSPORT DASHBOARD'!$C$4="",ISNUMBER(SEARCH('TRANSPORT DASHBOARD'!$C$4,INDEX(MASTER_ZONES!$B:$B,1092)))),1091,""),""),""))</f>
        <v/>
      </c>
      <c r="K1092">
        <f>IF('MIDWEEK DASHBOARD'!$B$4="Area",IF(1091&lt;=$N$3,IF(AND(OR('MIDWEEK DASHBOARD'!$C$4="",ISNUMBER(SEARCH('MIDWEEK DASHBOARD'!$C$4,INDEX(MASTER_AREAS!$B:$B,1092))))),1091,""),""),IF('MIDWEEK DASHBOARD'!$B$4="Zone",IF(1091&lt;=$N$4,IF(OR('MIDWEEK DASHBOARD'!$C$4="",ISNUMBER(SEARCH('MIDWEEK DASHBOARD'!$C$4,INDEX(MASTER_ZONES!$B:$B,1092)))),1091,""),""),""))</f>
        <v/>
      </c>
      <c r="P1092">
        <f>IF('CHOP DASHBOARD'!$B$4="Area",IF(1091&lt;=$S$3,IF(AND(OR('CHOP DASHBOARD'!$C$4="",ISNUMBER(SEARCH('CHOP DASHBOARD'!$C$4,INDEX(MASTER_AREAS!$B:$B,1092))))),1091,""),""),IF('CHOP DASHBOARD'!$B$4="Zone",IF(1091&lt;=$S$4,IF(OR('CHOP DASHBOARD'!$C$4="",ISNUMBER(SEARCH('CHOP DASHBOARD'!$C$4,INDEX(MASTER_ZONES!$B:$B,1092)))),1091,""),""),""))</f>
        <v/>
      </c>
      <c r="U1092">
        <f>IF('COMMUNITY CHURCH DASHBOARD'!$B$4="Area",IF(1091&lt;=$X$3,IF(AND(OR('COMMUNITY CHURCH DASHBOARD'!$C$4="",ISNUMBER(SEARCH('COMMUNITY CHURCH DASHBOARD'!$C$4,INDEX(MASTER_AREAS!$B:$B,1092))))),1091,""),""),IF('COMMUNITY CHURCH DASHBOARD'!$B$4="Zone",IF(1091&lt;=$X$4,IF(OR('COMMUNITY CHURCH DASHBOARD'!$C$4="",ISNUMBER(SEARCH('COMMUNITY CHURCH DASHBOARD'!$C$4,INDEX(MASTER_ZONES!$B:$B,1092)))),1091,""),""),""))</f>
        <v/>
      </c>
    </row>
    <row r="1093">
      <c r="A1093">
        <f>IF('WSF DASHBOARD'!$B$4="Area",IF(1092&lt;=$D$3,IF(AND(OR('WSF DASHBOARD'!$C$4="",ISNUMBER(SEARCH('WSF DASHBOARD'!$C$4,INDEX(MASTER_AREAS!$B:$B,1093))))),1092,""),""),IF('WSF DASHBOARD'!$B$4="Zone",IF(1092&lt;=$D$4,IF(OR('WSF DASHBOARD'!$C$4="",ISNUMBER(SEARCH('WSF DASHBOARD'!$C$4,INDEX(MASTER_ZONES!$B:$B,1093)))),1092,""),""),""))</f>
        <v/>
      </c>
      <c r="F1093">
        <f>IF('TRANSPORT DASHBOARD'!$B$4="Area",IF(1092&lt;=$I$3,IF(AND(INDEX(MASTER_AREAS!$F:$F,1093)&lt;&gt;"N",OR('TRANSPORT DASHBOARD'!$C$4="",ISNUMBER(SEARCH('TRANSPORT DASHBOARD'!$C$4,INDEX(MASTER_AREAS!$B:$B,1093))))),1092,""),""),IF('TRANSPORT DASHBOARD'!$B$4="Zone",IF(1092&lt;=$I$4,IF(OR('TRANSPORT DASHBOARD'!$C$4="",ISNUMBER(SEARCH('TRANSPORT DASHBOARD'!$C$4,INDEX(MASTER_ZONES!$B:$B,1093)))),1092,""),""),""))</f>
        <v/>
      </c>
      <c r="K1093">
        <f>IF('MIDWEEK DASHBOARD'!$B$4="Area",IF(1092&lt;=$N$3,IF(AND(OR('MIDWEEK DASHBOARD'!$C$4="",ISNUMBER(SEARCH('MIDWEEK DASHBOARD'!$C$4,INDEX(MASTER_AREAS!$B:$B,1093))))),1092,""),""),IF('MIDWEEK DASHBOARD'!$B$4="Zone",IF(1092&lt;=$N$4,IF(OR('MIDWEEK DASHBOARD'!$C$4="",ISNUMBER(SEARCH('MIDWEEK DASHBOARD'!$C$4,INDEX(MASTER_ZONES!$B:$B,1093)))),1092,""),""),""))</f>
        <v/>
      </c>
      <c r="P1093">
        <f>IF('CHOP DASHBOARD'!$B$4="Area",IF(1092&lt;=$S$3,IF(AND(OR('CHOP DASHBOARD'!$C$4="",ISNUMBER(SEARCH('CHOP DASHBOARD'!$C$4,INDEX(MASTER_AREAS!$B:$B,1093))))),1092,""),""),IF('CHOP DASHBOARD'!$B$4="Zone",IF(1092&lt;=$S$4,IF(OR('CHOP DASHBOARD'!$C$4="",ISNUMBER(SEARCH('CHOP DASHBOARD'!$C$4,INDEX(MASTER_ZONES!$B:$B,1093)))),1092,""),""),""))</f>
        <v/>
      </c>
      <c r="U1093">
        <f>IF('COMMUNITY CHURCH DASHBOARD'!$B$4="Area",IF(1092&lt;=$X$3,IF(AND(OR('COMMUNITY CHURCH DASHBOARD'!$C$4="",ISNUMBER(SEARCH('COMMUNITY CHURCH DASHBOARD'!$C$4,INDEX(MASTER_AREAS!$B:$B,1093))))),1092,""),""),IF('COMMUNITY CHURCH DASHBOARD'!$B$4="Zone",IF(1092&lt;=$X$4,IF(OR('COMMUNITY CHURCH DASHBOARD'!$C$4="",ISNUMBER(SEARCH('COMMUNITY CHURCH DASHBOARD'!$C$4,INDEX(MASTER_ZONES!$B:$B,1093)))),1092,""),""),""))</f>
        <v/>
      </c>
    </row>
    <row r="1094">
      <c r="A1094">
        <f>IF('WSF DASHBOARD'!$B$4="Area",IF(1093&lt;=$D$3,IF(AND(OR('WSF DASHBOARD'!$C$4="",ISNUMBER(SEARCH('WSF DASHBOARD'!$C$4,INDEX(MASTER_AREAS!$B:$B,1094))))),1093,""),""),IF('WSF DASHBOARD'!$B$4="Zone",IF(1093&lt;=$D$4,IF(OR('WSF DASHBOARD'!$C$4="",ISNUMBER(SEARCH('WSF DASHBOARD'!$C$4,INDEX(MASTER_ZONES!$B:$B,1094)))),1093,""),""),""))</f>
        <v/>
      </c>
      <c r="F1094">
        <f>IF('TRANSPORT DASHBOARD'!$B$4="Area",IF(1093&lt;=$I$3,IF(AND(INDEX(MASTER_AREAS!$F:$F,1094)&lt;&gt;"N",OR('TRANSPORT DASHBOARD'!$C$4="",ISNUMBER(SEARCH('TRANSPORT DASHBOARD'!$C$4,INDEX(MASTER_AREAS!$B:$B,1094))))),1093,""),""),IF('TRANSPORT DASHBOARD'!$B$4="Zone",IF(1093&lt;=$I$4,IF(OR('TRANSPORT DASHBOARD'!$C$4="",ISNUMBER(SEARCH('TRANSPORT DASHBOARD'!$C$4,INDEX(MASTER_ZONES!$B:$B,1094)))),1093,""),""),""))</f>
        <v/>
      </c>
      <c r="K1094">
        <f>IF('MIDWEEK DASHBOARD'!$B$4="Area",IF(1093&lt;=$N$3,IF(AND(OR('MIDWEEK DASHBOARD'!$C$4="",ISNUMBER(SEARCH('MIDWEEK DASHBOARD'!$C$4,INDEX(MASTER_AREAS!$B:$B,1094))))),1093,""),""),IF('MIDWEEK DASHBOARD'!$B$4="Zone",IF(1093&lt;=$N$4,IF(OR('MIDWEEK DASHBOARD'!$C$4="",ISNUMBER(SEARCH('MIDWEEK DASHBOARD'!$C$4,INDEX(MASTER_ZONES!$B:$B,1094)))),1093,""),""),""))</f>
        <v/>
      </c>
      <c r="P1094">
        <f>IF('CHOP DASHBOARD'!$B$4="Area",IF(1093&lt;=$S$3,IF(AND(OR('CHOP DASHBOARD'!$C$4="",ISNUMBER(SEARCH('CHOP DASHBOARD'!$C$4,INDEX(MASTER_AREAS!$B:$B,1094))))),1093,""),""),IF('CHOP DASHBOARD'!$B$4="Zone",IF(1093&lt;=$S$4,IF(OR('CHOP DASHBOARD'!$C$4="",ISNUMBER(SEARCH('CHOP DASHBOARD'!$C$4,INDEX(MASTER_ZONES!$B:$B,1094)))),1093,""),""),""))</f>
        <v/>
      </c>
      <c r="U1094">
        <f>IF('COMMUNITY CHURCH DASHBOARD'!$B$4="Area",IF(1093&lt;=$X$3,IF(AND(OR('COMMUNITY CHURCH DASHBOARD'!$C$4="",ISNUMBER(SEARCH('COMMUNITY CHURCH DASHBOARD'!$C$4,INDEX(MASTER_AREAS!$B:$B,1094))))),1093,""),""),IF('COMMUNITY CHURCH DASHBOARD'!$B$4="Zone",IF(1093&lt;=$X$4,IF(OR('COMMUNITY CHURCH DASHBOARD'!$C$4="",ISNUMBER(SEARCH('COMMUNITY CHURCH DASHBOARD'!$C$4,INDEX(MASTER_ZONES!$B:$B,1094)))),1093,""),""),""))</f>
        <v/>
      </c>
    </row>
    <row r="1095">
      <c r="A1095">
        <f>IF('WSF DASHBOARD'!$B$4="Area",IF(1094&lt;=$D$3,IF(AND(OR('WSF DASHBOARD'!$C$4="",ISNUMBER(SEARCH('WSF DASHBOARD'!$C$4,INDEX(MASTER_AREAS!$B:$B,1095))))),1094,""),""),IF('WSF DASHBOARD'!$B$4="Zone",IF(1094&lt;=$D$4,IF(OR('WSF DASHBOARD'!$C$4="",ISNUMBER(SEARCH('WSF DASHBOARD'!$C$4,INDEX(MASTER_ZONES!$B:$B,1095)))),1094,""),""),""))</f>
        <v/>
      </c>
      <c r="F1095">
        <f>IF('TRANSPORT DASHBOARD'!$B$4="Area",IF(1094&lt;=$I$3,IF(AND(INDEX(MASTER_AREAS!$F:$F,1095)&lt;&gt;"N",OR('TRANSPORT DASHBOARD'!$C$4="",ISNUMBER(SEARCH('TRANSPORT DASHBOARD'!$C$4,INDEX(MASTER_AREAS!$B:$B,1095))))),1094,""),""),IF('TRANSPORT DASHBOARD'!$B$4="Zone",IF(1094&lt;=$I$4,IF(OR('TRANSPORT DASHBOARD'!$C$4="",ISNUMBER(SEARCH('TRANSPORT DASHBOARD'!$C$4,INDEX(MASTER_ZONES!$B:$B,1095)))),1094,""),""),""))</f>
        <v/>
      </c>
      <c r="K1095">
        <f>IF('MIDWEEK DASHBOARD'!$B$4="Area",IF(1094&lt;=$N$3,IF(AND(OR('MIDWEEK DASHBOARD'!$C$4="",ISNUMBER(SEARCH('MIDWEEK DASHBOARD'!$C$4,INDEX(MASTER_AREAS!$B:$B,1095))))),1094,""),""),IF('MIDWEEK DASHBOARD'!$B$4="Zone",IF(1094&lt;=$N$4,IF(OR('MIDWEEK DASHBOARD'!$C$4="",ISNUMBER(SEARCH('MIDWEEK DASHBOARD'!$C$4,INDEX(MASTER_ZONES!$B:$B,1095)))),1094,""),""),""))</f>
        <v/>
      </c>
      <c r="P1095">
        <f>IF('CHOP DASHBOARD'!$B$4="Area",IF(1094&lt;=$S$3,IF(AND(OR('CHOP DASHBOARD'!$C$4="",ISNUMBER(SEARCH('CHOP DASHBOARD'!$C$4,INDEX(MASTER_AREAS!$B:$B,1095))))),1094,""),""),IF('CHOP DASHBOARD'!$B$4="Zone",IF(1094&lt;=$S$4,IF(OR('CHOP DASHBOARD'!$C$4="",ISNUMBER(SEARCH('CHOP DASHBOARD'!$C$4,INDEX(MASTER_ZONES!$B:$B,1095)))),1094,""),""),""))</f>
        <v/>
      </c>
      <c r="U1095">
        <f>IF('COMMUNITY CHURCH DASHBOARD'!$B$4="Area",IF(1094&lt;=$X$3,IF(AND(OR('COMMUNITY CHURCH DASHBOARD'!$C$4="",ISNUMBER(SEARCH('COMMUNITY CHURCH DASHBOARD'!$C$4,INDEX(MASTER_AREAS!$B:$B,1095))))),1094,""),""),IF('COMMUNITY CHURCH DASHBOARD'!$B$4="Zone",IF(1094&lt;=$X$4,IF(OR('COMMUNITY CHURCH DASHBOARD'!$C$4="",ISNUMBER(SEARCH('COMMUNITY CHURCH DASHBOARD'!$C$4,INDEX(MASTER_ZONES!$B:$B,1095)))),1094,""),""),""))</f>
        <v/>
      </c>
    </row>
    <row r="1096">
      <c r="A1096">
        <f>IF('WSF DASHBOARD'!$B$4="Area",IF(1095&lt;=$D$3,IF(AND(OR('WSF DASHBOARD'!$C$4="",ISNUMBER(SEARCH('WSF DASHBOARD'!$C$4,INDEX(MASTER_AREAS!$B:$B,1096))))),1095,""),""),IF('WSF DASHBOARD'!$B$4="Zone",IF(1095&lt;=$D$4,IF(OR('WSF DASHBOARD'!$C$4="",ISNUMBER(SEARCH('WSF DASHBOARD'!$C$4,INDEX(MASTER_ZONES!$B:$B,1096)))),1095,""),""),""))</f>
        <v/>
      </c>
      <c r="F1096">
        <f>IF('TRANSPORT DASHBOARD'!$B$4="Area",IF(1095&lt;=$I$3,IF(AND(INDEX(MASTER_AREAS!$F:$F,1096)&lt;&gt;"N",OR('TRANSPORT DASHBOARD'!$C$4="",ISNUMBER(SEARCH('TRANSPORT DASHBOARD'!$C$4,INDEX(MASTER_AREAS!$B:$B,1096))))),1095,""),""),IF('TRANSPORT DASHBOARD'!$B$4="Zone",IF(1095&lt;=$I$4,IF(OR('TRANSPORT DASHBOARD'!$C$4="",ISNUMBER(SEARCH('TRANSPORT DASHBOARD'!$C$4,INDEX(MASTER_ZONES!$B:$B,1096)))),1095,""),""),""))</f>
        <v/>
      </c>
      <c r="K1096">
        <f>IF('MIDWEEK DASHBOARD'!$B$4="Area",IF(1095&lt;=$N$3,IF(AND(OR('MIDWEEK DASHBOARD'!$C$4="",ISNUMBER(SEARCH('MIDWEEK DASHBOARD'!$C$4,INDEX(MASTER_AREAS!$B:$B,1096))))),1095,""),""),IF('MIDWEEK DASHBOARD'!$B$4="Zone",IF(1095&lt;=$N$4,IF(OR('MIDWEEK DASHBOARD'!$C$4="",ISNUMBER(SEARCH('MIDWEEK DASHBOARD'!$C$4,INDEX(MASTER_ZONES!$B:$B,1096)))),1095,""),""),""))</f>
        <v/>
      </c>
      <c r="P1096">
        <f>IF('CHOP DASHBOARD'!$B$4="Area",IF(1095&lt;=$S$3,IF(AND(OR('CHOP DASHBOARD'!$C$4="",ISNUMBER(SEARCH('CHOP DASHBOARD'!$C$4,INDEX(MASTER_AREAS!$B:$B,1096))))),1095,""),""),IF('CHOP DASHBOARD'!$B$4="Zone",IF(1095&lt;=$S$4,IF(OR('CHOP DASHBOARD'!$C$4="",ISNUMBER(SEARCH('CHOP DASHBOARD'!$C$4,INDEX(MASTER_ZONES!$B:$B,1096)))),1095,""),""),""))</f>
        <v/>
      </c>
      <c r="U1096">
        <f>IF('COMMUNITY CHURCH DASHBOARD'!$B$4="Area",IF(1095&lt;=$X$3,IF(AND(OR('COMMUNITY CHURCH DASHBOARD'!$C$4="",ISNUMBER(SEARCH('COMMUNITY CHURCH DASHBOARD'!$C$4,INDEX(MASTER_AREAS!$B:$B,1096))))),1095,""),""),IF('COMMUNITY CHURCH DASHBOARD'!$B$4="Zone",IF(1095&lt;=$X$4,IF(OR('COMMUNITY CHURCH DASHBOARD'!$C$4="",ISNUMBER(SEARCH('COMMUNITY CHURCH DASHBOARD'!$C$4,INDEX(MASTER_ZONES!$B:$B,1096)))),1095,""),""),""))</f>
        <v/>
      </c>
    </row>
    <row r="1097">
      <c r="A1097">
        <f>IF('WSF DASHBOARD'!$B$4="Area",IF(1096&lt;=$D$3,IF(AND(OR('WSF DASHBOARD'!$C$4="",ISNUMBER(SEARCH('WSF DASHBOARD'!$C$4,INDEX(MASTER_AREAS!$B:$B,1097))))),1096,""),""),IF('WSF DASHBOARD'!$B$4="Zone",IF(1096&lt;=$D$4,IF(OR('WSF DASHBOARD'!$C$4="",ISNUMBER(SEARCH('WSF DASHBOARD'!$C$4,INDEX(MASTER_ZONES!$B:$B,1097)))),1096,""),""),""))</f>
        <v/>
      </c>
      <c r="F1097">
        <f>IF('TRANSPORT DASHBOARD'!$B$4="Area",IF(1096&lt;=$I$3,IF(AND(INDEX(MASTER_AREAS!$F:$F,1097)&lt;&gt;"N",OR('TRANSPORT DASHBOARD'!$C$4="",ISNUMBER(SEARCH('TRANSPORT DASHBOARD'!$C$4,INDEX(MASTER_AREAS!$B:$B,1097))))),1096,""),""),IF('TRANSPORT DASHBOARD'!$B$4="Zone",IF(1096&lt;=$I$4,IF(OR('TRANSPORT DASHBOARD'!$C$4="",ISNUMBER(SEARCH('TRANSPORT DASHBOARD'!$C$4,INDEX(MASTER_ZONES!$B:$B,1097)))),1096,""),""),""))</f>
        <v/>
      </c>
      <c r="K1097">
        <f>IF('MIDWEEK DASHBOARD'!$B$4="Area",IF(1096&lt;=$N$3,IF(AND(OR('MIDWEEK DASHBOARD'!$C$4="",ISNUMBER(SEARCH('MIDWEEK DASHBOARD'!$C$4,INDEX(MASTER_AREAS!$B:$B,1097))))),1096,""),""),IF('MIDWEEK DASHBOARD'!$B$4="Zone",IF(1096&lt;=$N$4,IF(OR('MIDWEEK DASHBOARD'!$C$4="",ISNUMBER(SEARCH('MIDWEEK DASHBOARD'!$C$4,INDEX(MASTER_ZONES!$B:$B,1097)))),1096,""),""),""))</f>
        <v/>
      </c>
      <c r="P1097">
        <f>IF('CHOP DASHBOARD'!$B$4="Area",IF(1096&lt;=$S$3,IF(AND(OR('CHOP DASHBOARD'!$C$4="",ISNUMBER(SEARCH('CHOP DASHBOARD'!$C$4,INDEX(MASTER_AREAS!$B:$B,1097))))),1096,""),""),IF('CHOP DASHBOARD'!$B$4="Zone",IF(1096&lt;=$S$4,IF(OR('CHOP DASHBOARD'!$C$4="",ISNUMBER(SEARCH('CHOP DASHBOARD'!$C$4,INDEX(MASTER_ZONES!$B:$B,1097)))),1096,""),""),""))</f>
        <v/>
      </c>
      <c r="U1097">
        <f>IF('COMMUNITY CHURCH DASHBOARD'!$B$4="Area",IF(1096&lt;=$X$3,IF(AND(OR('COMMUNITY CHURCH DASHBOARD'!$C$4="",ISNUMBER(SEARCH('COMMUNITY CHURCH DASHBOARD'!$C$4,INDEX(MASTER_AREAS!$B:$B,1097))))),1096,""),""),IF('COMMUNITY CHURCH DASHBOARD'!$B$4="Zone",IF(1096&lt;=$X$4,IF(OR('COMMUNITY CHURCH DASHBOARD'!$C$4="",ISNUMBER(SEARCH('COMMUNITY CHURCH DASHBOARD'!$C$4,INDEX(MASTER_ZONES!$B:$B,1097)))),1096,""),""),""))</f>
        <v/>
      </c>
    </row>
    <row r="1098">
      <c r="A1098">
        <f>IF('WSF DASHBOARD'!$B$4="Area",IF(1097&lt;=$D$3,IF(AND(OR('WSF DASHBOARD'!$C$4="",ISNUMBER(SEARCH('WSF DASHBOARD'!$C$4,INDEX(MASTER_AREAS!$B:$B,1098))))),1097,""),""),IF('WSF DASHBOARD'!$B$4="Zone",IF(1097&lt;=$D$4,IF(OR('WSF DASHBOARD'!$C$4="",ISNUMBER(SEARCH('WSF DASHBOARD'!$C$4,INDEX(MASTER_ZONES!$B:$B,1098)))),1097,""),""),""))</f>
        <v/>
      </c>
      <c r="F1098">
        <f>IF('TRANSPORT DASHBOARD'!$B$4="Area",IF(1097&lt;=$I$3,IF(AND(INDEX(MASTER_AREAS!$F:$F,1098)&lt;&gt;"N",OR('TRANSPORT DASHBOARD'!$C$4="",ISNUMBER(SEARCH('TRANSPORT DASHBOARD'!$C$4,INDEX(MASTER_AREAS!$B:$B,1098))))),1097,""),""),IF('TRANSPORT DASHBOARD'!$B$4="Zone",IF(1097&lt;=$I$4,IF(OR('TRANSPORT DASHBOARD'!$C$4="",ISNUMBER(SEARCH('TRANSPORT DASHBOARD'!$C$4,INDEX(MASTER_ZONES!$B:$B,1098)))),1097,""),""),""))</f>
        <v/>
      </c>
      <c r="K1098">
        <f>IF('MIDWEEK DASHBOARD'!$B$4="Area",IF(1097&lt;=$N$3,IF(AND(OR('MIDWEEK DASHBOARD'!$C$4="",ISNUMBER(SEARCH('MIDWEEK DASHBOARD'!$C$4,INDEX(MASTER_AREAS!$B:$B,1098))))),1097,""),""),IF('MIDWEEK DASHBOARD'!$B$4="Zone",IF(1097&lt;=$N$4,IF(OR('MIDWEEK DASHBOARD'!$C$4="",ISNUMBER(SEARCH('MIDWEEK DASHBOARD'!$C$4,INDEX(MASTER_ZONES!$B:$B,1098)))),1097,""),""),""))</f>
        <v/>
      </c>
      <c r="P1098">
        <f>IF('CHOP DASHBOARD'!$B$4="Area",IF(1097&lt;=$S$3,IF(AND(OR('CHOP DASHBOARD'!$C$4="",ISNUMBER(SEARCH('CHOP DASHBOARD'!$C$4,INDEX(MASTER_AREAS!$B:$B,1098))))),1097,""),""),IF('CHOP DASHBOARD'!$B$4="Zone",IF(1097&lt;=$S$4,IF(OR('CHOP DASHBOARD'!$C$4="",ISNUMBER(SEARCH('CHOP DASHBOARD'!$C$4,INDEX(MASTER_ZONES!$B:$B,1098)))),1097,""),""),""))</f>
        <v/>
      </c>
      <c r="U1098">
        <f>IF('COMMUNITY CHURCH DASHBOARD'!$B$4="Area",IF(1097&lt;=$X$3,IF(AND(OR('COMMUNITY CHURCH DASHBOARD'!$C$4="",ISNUMBER(SEARCH('COMMUNITY CHURCH DASHBOARD'!$C$4,INDEX(MASTER_AREAS!$B:$B,1098))))),1097,""),""),IF('COMMUNITY CHURCH DASHBOARD'!$B$4="Zone",IF(1097&lt;=$X$4,IF(OR('COMMUNITY CHURCH DASHBOARD'!$C$4="",ISNUMBER(SEARCH('COMMUNITY CHURCH DASHBOARD'!$C$4,INDEX(MASTER_ZONES!$B:$B,1098)))),1097,""),""),""))</f>
        <v/>
      </c>
    </row>
    <row r="1099">
      <c r="A1099">
        <f>IF('WSF DASHBOARD'!$B$4="Area",IF(1098&lt;=$D$3,IF(AND(OR('WSF DASHBOARD'!$C$4="",ISNUMBER(SEARCH('WSF DASHBOARD'!$C$4,INDEX(MASTER_AREAS!$B:$B,1099))))),1098,""),""),IF('WSF DASHBOARD'!$B$4="Zone",IF(1098&lt;=$D$4,IF(OR('WSF DASHBOARD'!$C$4="",ISNUMBER(SEARCH('WSF DASHBOARD'!$C$4,INDEX(MASTER_ZONES!$B:$B,1099)))),1098,""),""),""))</f>
        <v/>
      </c>
      <c r="F1099">
        <f>IF('TRANSPORT DASHBOARD'!$B$4="Area",IF(1098&lt;=$I$3,IF(AND(INDEX(MASTER_AREAS!$F:$F,1099)&lt;&gt;"N",OR('TRANSPORT DASHBOARD'!$C$4="",ISNUMBER(SEARCH('TRANSPORT DASHBOARD'!$C$4,INDEX(MASTER_AREAS!$B:$B,1099))))),1098,""),""),IF('TRANSPORT DASHBOARD'!$B$4="Zone",IF(1098&lt;=$I$4,IF(OR('TRANSPORT DASHBOARD'!$C$4="",ISNUMBER(SEARCH('TRANSPORT DASHBOARD'!$C$4,INDEX(MASTER_ZONES!$B:$B,1099)))),1098,""),""),""))</f>
        <v/>
      </c>
      <c r="K1099">
        <f>IF('MIDWEEK DASHBOARD'!$B$4="Area",IF(1098&lt;=$N$3,IF(AND(OR('MIDWEEK DASHBOARD'!$C$4="",ISNUMBER(SEARCH('MIDWEEK DASHBOARD'!$C$4,INDEX(MASTER_AREAS!$B:$B,1099))))),1098,""),""),IF('MIDWEEK DASHBOARD'!$B$4="Zone",IF(1098&lt;=$N$4,IF(OR('MIDWEEK DASHBOARD'!$C$4="",ISNUMBER(SEARCH('MIDWEEK DASHBOARD'!$C$4,INDEX(MASTER_ZONES!$B:$B,1099)))),1098,""),""),""))</f>
        <v/>
      </c>
      <c r="P1099">
        <f>IF('CHOP DASHBOARD'!$B$4="Area",IF(1098&lt;=$S$3,IF(AND(OR('CHOP DASHBOARD'!$C$4="",ISNUMBER(SEARCH('CHOP DASHBOARD'!$C$4,INDEX(MASTER_AREAS!$B:$B,1099))))),1098,""),""),IF('CHOP DASHBOARD'!$B$4="Zone",IF(1098&lt;=$S$4,IF(OR('CHOP DASHBOARD'!$C$4="",ISNUMBER(SEARCH('CHOP DASHBOARD'!$C$4,INDEX(MASTER_ZONES!$B:$B,1099)))),1098,""),""),""))</f>
        <v/>
      </c>
      <c r="U1099">
        <f>IF('COMMUNITY CHURCH DASHBOARD'!$B$4="Area",IF(1098&lt;=$X$3,IF(AND(OR('COMMUNITY CHURCH DASHBOARD'!$C$4="",ISNUMBER(SEARCH('COMMUNITY CHURCH DASHBOARD'!$C$4,INDEX(MASTER_AREAS!$B:$B,1099))))),1098,""),""),IF('COMMUNITY CHURCH DASHBOARD'!$B$4="Zone",IF(1098&lt;=$X$4,IF(OR('COMMUNITY CHURCH DASHBOARD'!$C$4="",ISNUMBER(SEARCH('COMMUNITY CHURCH DASHBOARD'!$C$4,INDEX(MASTER_ZONES!$B:$B,1099)))),1098,""),""),""))</f>
        <v/>
      </c>
    </row>
    <row r="1100">
      <c r="A1100">
        <f>IF('WSF DASHBOARD'!$B$4="Area",IF(1099&lt;=$D$3,IF(AND(OR('WSF DASHBOARD'!$C$4="",ISNUMBER(SEARCH('WSF DASHBOARD'!$C$4,INDEX(MASTER_AREAS!$B:$B,1100))))),1099,""),""),IF('WSF DASHBOARD'!$B$4="Zone",IF(1099&lt;=$D$4,IF(OR('WSF DASHBOARD'!$C$4="",ISNUMBER(SEARCH('WSF DASHBOARD'!$C$4,INDEX(MASTER_ZONES!$B:$B,1100)))),1099,""),""),""))</f>
        <v/>
      </c>
      <c r="F1100">
        <f>IF('TRANSPORT DASHBOARD'!$B$4="Area",IF(1099&lt;=$I$3,IF(AND(INDEX(MASTER_AREAS!$F:$F,1100)&lt;&gt;"N",OR('TRANSPORT DASHBOARD'!$C$4="",ISNUMBER(SEARCH('TRANSPORT DASHBOARD'!$C$4,INDEX(MASTER_AREAS!$B:$B,1100))))),1099,""),""),IF('TRANSPORT DASHBOARD'!$B$4="Zone",IF(1099&lt;=$I$4,IF(OR('TRANSPORT DASHBOARD'!$C$4="",ISNUMBER(SEARCH('TRANSPORT DASHBOARD'!$C$4,INDEX(MASTER_ZONES!$B:$B,1100)))),1099,""),""),""))</f>
        <v/>
      </c>
      <c r="K1100">
        <f>IF('MIDWEEK DASHBOARD'!$B$4="Area",IF(1099&lt;=$N$3,IF(AND(OR('MIDWEEK DASHBOARD'!$C$4="",ISNUMBER(SEARCH('MIDWEEK DASHBOARD'!$C$4,INDEX(MASTER_AREAS!$B:$B,1100))))),1099,""),""),IF('MIDWEEK DASHBOARD'!$B$4="Zone",IF(1099&lt;=$N$4,IF(OR('MIDWEEK DASHBOARD'!$C$4="",ISNUMBER(SEARCH('MIDWEEK DASHBOARD'!$C$4,INDEX(MASTER_ZONES!$B:$B,1100)))),1099,""),""),""))</f>
        <v/>
      </c>
      <c r="P1100">
        <f>IF('CHOP DASHBOARD'!$B$4="Area",IF(1099&lt;=$S$3,IF(AND(OR('CHOP DASHBOARD'!$C$4="",ISNUMBER(SEARCH('CHOP DASHBOARD'!$C$4,INDEX(MASTER_AREAS!$B:$B,1100))))),1099,""),""),IF('CHOP DASHBOARD'!$B$4="Zone",IF(1099&lt;=$S$4,IF(OR('CHOP DASHBOARD'!$C$4="",ISNUMBER(SEARCH('CHOP DASHBOARD'!$C$4,INDEX(MASTER_ZONES!$B:$B,1100)))),1099,""),""),""))</f>
        <v/>
      </c>
      <c r="U1100">
        <f>IF('COMMUNITY CHURCH DASHBOARD'!$B$4="Area",IF(1099&lt;=$X$3,IF(AND(OR('COMMUNITY CHURCH DASHBOARD'!$C$4="",ISNUMBER(SEARCH('COMMUNITY CHURCH DASHBOARD'!$C$4,INDEX(MASTER_AREAS!$B:$B,1100))))),1099,""),""),IF('COMMUNITY CHURCH DASHBOARD'!$B$4="Zone",IF(1099&lt;=$X$4,IF(OR('COMMUNITY CHURCH DASHBOARD'!$C$4="",ISNUMBER(SEARCH('COMMUNITY CHURCH DASHBOARD'!$C$4,INDEX(MASTER_ZONES!$B:$B,1100)))),1099,""),""),""))</f>
        <v/>
      </c>
    </row>
    <row r="1101">
      <c r="A1101">
        <f>IF('WSF DASHBOARD'!$B$4="Area",IF(1100&lt;=$D$3,IF(AND(OR('WSF DASHBOARD'!$C$4="",ISNUMBER(SEARCH('WSF DASHBOARD'!$C$4,INDEX(MASTER_AREAS!$B:$B,1101))))),1100,""),""),IF('WSF DASHBOARD'!$B$4="Zone",IF(1100&lt;=$D$4,IF(OR('WSF DASHBOARD'!$C$4="",ISNUMBER(SEARCH('WSF DASHBOARD'!$C$4,INDEX(MASTER_ZONES!$B:$B,1101)))),1100,""),""),""))</f>
        <v/>
      </c>
      <c r="F1101">
        <f>IF('TRANSPORT DASHBOARD'!$B$4="Area",IF(1100&lt;=$I$3,IF(AND(INDEX(MASTER_AREAS!$F:$F,1101)&lt;&gt;"N",OR('TRANSPORT DASHBOARD'!$C$4="",ISNUMBER(SEARCH('TRANSPORT DASHBOARD'!$C$4,INDEX(MASTER_AREAS!$B:$B,1101))))),1100,""),""),IF('TRANSPORT DASHBOARD'!$B$4="Zone",IF(1100&lt;=$I$4,IF(OR('TRANSPORT DASHBOARD'!$C$4="",ISNUMBER(SEARCH('TRANSPORT DASHBOARD'!$C$4,INDEX(MASTER_ZONES!$B:$B,1101)))),1100,""),""),""))</f>
        <v/>
      </c>
      <c r="K1101">
        <f>IF('MIDWEEK DASHBOARD'!$B$4="Area",IF(1100&lt;=$N$3,IF(AND(OR('MIDWEEK DASHBOARD'!$C$4="",ISNUMBER(SEARCH('MIDWEEK DASHBOARD'!$C$4,INDEX(MASTER_AREAS!$B:$B,1101))))),1100,""),""),IF('MIDWEEK DASHBOARD'!$B$4="Zone",IF(1100&lt;=$N$4,IF(OR('MIDWEEK DASHBOARD'!$C$4="",ISNUMBER(SEARCH('MIDWEEK DASHBOARD'!$C$4,INDEX(MASTER_ZONES!$B:$B,1101)))),1100,""),""),""))</f>
        <v/>
      </c>
      <c r="P1101">
        <f>IF('CHOP DASHBOARD'!$B$4="Area",IF(1100&lt;=$S$3,IF(AND(OR('CHOP DASHBOARD'!$C$4="",ISNUMBER(SEARCH('CHOP DASHBOARD'!$C$4,INDEX(MASTER_AREAS!$B:$B,1101))))),1100,""),""),IF('CHOP DASHBOARD'!$B$4="Zone",IF(1100&lt;=$S$4,IF(OR('CHOP DASHBOARD'!$C$4="",ISNUMBER(SEARCH('CHOP DASHBOARD'!$C$4,INDEX(MASTER_ZONES!$B:$B,1101)))),1100,""),""),""))</f>
        <v/>
      </c>
      <c r="U1101">
        <f>IF('COMMUNITY CHURCH DASHBOARD'!$B$4="Area",IF(1100&lt;=$X$3,IF(AND(OR('COMMUNITY CHURCH DASHBOARD'!$C$4="",ISNUMBER(SEARCH('COMMUNITY CHURCH DASHBOARD'!$C$4,INDEX(MASTER_AREAS!$B:$B,1101))))),1100,""),""),IF('COMMUNITY CHURCH DASHBOARD'!$B$4="Zone",IF(1100&lt;=$X$4,IF(OR('COMMUNITY CHURCH DASHBOARD'!$C$4="",ISNUMBER(SEARCH('COMMUNITY CHURCH DASHBOARD'!$C$4,INDEX(MASTER_ZONES!$B:$B,1101)))),1100,""),""),""))</f>
        <v/>
      </c>
    </row>
    <row r="1102">
      <c r="A1102">
        <f>IF('WSF DASHBOARD'!$B$4="Area",IF(1101&lt;=$D$3,IF(AND(OR('WSF DASHBOARD'!$C$4="",ISNUMBER(SEARCH('WSF DASHBOARD'!$C$4,INDEX(MASTER_AREAS!$B:$B,1102))))),1101,""),""),IF('WSF DASHBOARD'!$B$4="Zone",IF(1101&lt;=$D$4,IF(OR('WSF DASHBOARD'!$C$4="",ISNUMBER(SEARCH('WSF DASHBOARD'!$C$4,INDEX(MASTER_ZONES!$B:$B,1102)))),1101,""),""),""))</f>
        <v/>
      </c>
      <c r="F1102">
        <f>IF('TRANSPORT DASHBOARD'!$B$4="Area",IF(1101&lt;=$I$3,IF(AND(INDEX(MASTER_AREAS!$F:$F,1102)&lt;&gt;"N",OR('TRANSPORT DASHBOARD'!$C$4="",ISNUMBER(SEARCH('TRANSPORT DASHBOARD'!$C$4,INDEX(MASTER_AREAS!$B:$B,1102))))),1101,""),""),IF('TRANSPORT DASHBOARD'!$B$4="Zone",IF(1101&lt;=$I$4,IF(OR('TRANSPORT DASHBOARD'!$C$4="",ISNUMBER(SEARCH('TRANSPORT DASHBOARD'!$C$4,INDEX(MASTER_ZONES!$B:$B,1102)))),1101,""),""),""))</f>
        <v/>
      </c>
      <c r="K1102">
        <f>IF('MIDWEEK DASHBOARD'!$B$4="Area",IF(1101&lt;=$N$3,IF(AND(OR('MIDWEEK DASHBOARD'!$C$4="",ISNUMBER(SEARCH('MIDWEEK DASHBOARD'!$C$4,INDEX(MASTER_AREAS!$B:$B,1102))))),1101,""),""),IF('MIDWEEK DASHBOARD'!$B$4="Zone",IF(1101&lt;=$N$4,IF(OR('MIDWEEK DASHBOARD'!$C$4="",ISNUMBER(SEARCH('MIDWEEK DASHBOARD'!$C$4,INDEX(MASTER_ZONES!$B:$B,1102)))),1101,""),""),""))</f>
        <v/>
      </c>
      <c r="P1102">
        <f>IF('CHOP DASHBOARD'!$B$4="Area",IF(1101&lt;=$S$3,IF(AND(OR('CHOP DASHBOARD'!$C$4="",ISNUMBER(SEARCH('CHOP DASHBOARD'!$C$4,INDEX(MASTER_AREAS!$B:$B,1102))))),1101,""),""),IF('CHOP DASHBOARD'!$B$4="Zone",IF(1101&lt;=$S$4,IF(OR('CHOP DASHBOARD'!$C$4="",ISNUMBER(SEARCH('CHOP DASHBOARD'!$C$4,INDEX(MASTER_ZONES!$B:$B,1102)))),1101,""),""),""))</f>
        <v/>
      </c>
      <c r="U1102">
        <f>IF('COMMUNITY CHURCH DASHBOARD'!$B$4="Area",IF(1101&lt;=$X$3,IF(AND(OR('COMMUNITY CHURCH DASHBOARD'!$C$4="",ISNUMBER(SEARCH('COMMUNITY CHURCH DASHBOARD'!$C$4,INDEX(MASTER_AREAS!$B:$B,1102))))),1101,""),""),IF('COMMUNITY CHURCH DASHBOARD'!$B$4="Zone",IF(1101&lt;=$X$4,IF(OR('COMMUNITY CHURCH DASHBOARD'!$C$4="",ISNUMBER(SEARCH('COMMUNITY CHURCH DASHBOARD'!$C$4,INDEX(MASTER_ZONES!$B:$B,1102)))),1101,""),""),""))</f>
        <v/>
      </c>
    </row>
    <row r="1103">
      <c r="A1103">
        <f>IF('WSF DASHBOARD'!$B$4="Area",IF(1102&lt;=$D$3,IF(AND(OR('WSF DASHBOARD'!$C$4="",ISNUMBER(SEARCH('WSF DASHBOARD'!$C$4,INDEX(MASTER_AREAS!$B:$B,1103))))),1102,""),""),IF('WSF DASHBOARD'!$B$4="Zone",IF(1102&lt;=$D$4,IF(OR('WSF DASHBOARD'!$C$4="",ISNUMBER(SEARCH('WSF DASHBOARD'!$C$4,INDEX(MASTER_ZONES!$B:$B,1103)))),1102,""),""),""))</f>
        <v/>
      </c>
      <c r="F1103">
        <f>IF('TRANSPORT DASHBOARD'!$B$4="Area",IF(1102&lt;=$I$3,IF(AND(INDEX(MASTER_AREAS!$F:$F,1103)&lt;&gt;"N",OR('TRANSPORT DASHBOARD'!$C$4="",ISNUMBER(SEARCH('TRANSPORT DASHBOARD'!$C$4,INDEX(MASTER_AREAS!$B:$B,1103))))),1102,""),""),IF('TRANSPORT DASHBOARD'!$B$4="Zone",IF(1102&lt;=$I$4,IF(OR('TRANSPORT DASHBOARD'!$C$4="",ISNUMBER(SEARCH('TRANSPORT DASHBOARD'!$C$4,INDEX(MASTER_ZONES!$B:$B,1103)))),1102,""),""),""))</f>
        <v/>
      </c>
      <c r="K1103">
        <f>IF('MIDWEEK DASHBOARD'!$B$4="Area",IF(1102&lt;=$N$3,IF(AND(OR('MIDWEEK DASHBOARD'!$C$4="",ISNUMBER(SEARCH('MIDWEEK DASHBOARD'!$C$4,INDEX(MASTER_AREAS!$B:$B,1103))))),1102,""),""),IF('MIDWEEK DASHBOARD'!$B$4="Zone",IF(1102&lt;=$N$4,IF(OR('MIDWEEK DASHBOARD'!$C$4="",ISNUMBER(SEARCH('MIDWEEK DASHBOARD'!$C$4,INDEX(MASTER_ZONES!$B:$B,1103)))),1102,""),""),""))</f>
        <v/>
      </c>
      <c r="P1103">
        <f>IF('CHOP DASHBOARD'!$B$4="Area",IF(1102&lt;=$S$3,IF(AND(OR('CHOP DASHBOARD'!$C$4="",ISNUMBER(SEARCH('CHOP DASHBOARD'!$C$4,INDEX(MASTER_AREAS!$B:$B,1103))))),1102,""),""),IF('CHOP DASHBOARD'!$B$4="Zone",IF(1102&lt;=$S$4,IF(OR('CHOP DASHBOARD'!$C$4="",ISNUMBER(SEARCH('CHOP DASHBOARD'!$C$4,INDEX(MASTER_ZONES!$B:$B,1103)))),1102,""),""),""))</f>
        <v/>
      </c>
      <c r="U1103">
        <f>IF('COMMUNITY CHURCH DASHBOARD'!$B$4="Area",IF(1102&lt;=$X$3,IF(AND(OR('COMMUNITY CHURCH DASHBOARD'!$C$4="",ISNUMBER(SEARCH('COMMUNITY CHURCH DASHBOARD'!$C$4,INDEX(MASTER_AREAS!$B:$B,1103))))),1102,""),""),IF('COMMUNITY CHURCH DASHBOARD'!$B$4="Zone",IF(1102&lt;=$X$4,IF(OR('COMMUNITY CHURCH DASHBOARD'!$C$4="",ISNUMBER(SEARCH('COMMUNITY CHURCH DASHBOARD'!$C$4,INDEX(MASTER_ZONES!$B:$B,1103)))),1102,""),""),""))</f>
        <v/>
      </c>
    </row>
    <row r="1104">
      <c r="A1104">
        <f>IF('WSF DASHBOARD'!$B$4="Area",IF(1103&lt;=$D$3,IF(AND(OR('WSF DASHBOARD'!$C$4="",ISNUMBER(SEARCH('WSF DASHBOARD'!$C$4,INDEX(MASTER_AREAS!$B:$B,1104))))),1103,""),""),IF('WSF DASHBOARD'!$B$4="Zone",IF(1103&lt;=$D$4,IF(OR('WSF DASHBOARD'!$C$4="",ISNUMBER(SEARCH('WSF DASHBOARD'!$C$4,INDEX(MASTER_ZONES!$B:$B,1104)))),1103,""),""),""))</f>
        <v/>
      </c>
      <c r="F1104">
        <f>IF('TRANSPORT DASHBOARD'!$B$4="Area",IF(1103&lt;=$I$3,IF(AND(INDEX(MASTER_AREAS!$F:$F,1104)&lt;&gt;"N",OR('TRANSPORT DASHBOARD'!$C$4="",ISNUMBER(SEARCH('TRANSPORT DASHBOARD'!$C$4,INDEX(MASTER_AREAS!$B:$B,1104))))),1103,""),""),IF('TRANSPORT DASHBOARD'!$B$4="Zone",IF(1103&lt;=$I$4,IF(OR('TRANSPORT DASHBOARD'!$C$4="",ISNUMBER(SEARCH('TRANSPORT DASHBOARD'!$C$4,INDEX(MASTER_ZONES!$B:$B,1104)))),1103,""),""),""))</f>
        <v/>
      </c>
      <c r="K1104">
        <f>IF('MIDWEEK DASHBOARD'!$B$4="Area",IF(1103&lt;=$N$3,IF(AND(OR('MIDWEEK DASHBOARD'!$C$4="",ISNUMBER(SEARCH('MIDWEEK DASHBOARD'!$C$4,INDEX(MASTER_AREAS!$B:$B,1104))))),1103,""),""),IF('MIDWEEK DASHBOARD'!$B$4="Zone",IF(1103&lt;=$N$4,IF(OR('MIDWEEK DASHBOARD'!$C$4="",ISNUMBER(SEARCH('MIDWEEK DASHBOARD'!$C$4,INDEX(MASTER_ZONES!$B:$B,1104)))),1103,""),""),""))</f>
        <v/>
      </c>
      <c r="P1104">
        <f>IF('CHOP DASHBOARD'!$B$4="Area",IF(1103&lt;=$S$3,IF(AND(OR('CHOP DASHBOARD'!$C$4="",ISNUMBER(SEARCH('CHOP DASHBOARD'!$C$4,INDEX(MASTER_AREAS!$B:$B,1104))))),1103,""),""),IF('CHOP DASHBOARD'!$B$4="Zone",IF(1103&lt;=$S$4,IF(OR('CHOP DASHBOARD'!$C$4="",ISNUMBER(SEARCH('CHOP DASHBOARD'!$C$4,INDEX(MASTER_ZONES!$B:$B,1104)))),1103,""),""),""))</f>
        <v/>
      </c>
      <c r="U1104">
        <f>IF('COMMUNITY CHURCH DASHBOARD'!$B$4="Area",IF(1103&lt;=$X$3,IF(AND(OR('COMMUNITY CHURCH DASHBOARD'!$C$4="",ISNUMBER(SEARCH('COMMUNITY CHURCH DASHBOARD'!$C$4,INDEX(MASTER_AREAS!$B:$B,1104))))),1103,""),""),IF('COMMUNITY CHURCH DASHBOARD'!$B$4="Zone",IF(1103&lt;=$X$4,IF(OR('COMMUNITY CHURCH DASHBOARD'!$C$4="",ISNUMBER(SEARCH('COMMUNITY CHURCH DASHBOARD'!$C$4,INDEX(MASTER_ZONES!$B:$B,1104)))),1103,""),""),""))</f>
        <v/>
      </c>
    </row>
    <row r="1105">
      <c r="A1105">
        <f>IF('WSF DASHBOARD'!$B$4="Area",IF(1104&lt;=$D$3,IF(AND(OR('WSF DASHBOARD'!$C$4="",ISNUMBER(SEARCH('WSF DASHBOARD'!$C$4,INDEX(MASTER_AREAS!$B:$B,1105))))),1104,""),""),IF('WSF DASHBOARD'!$B$4="Zone",IF(1104&lt;=$D$4,IF(OR('WSF DASHBOARD'!$C$4="",ISNUMBER(SEARCH('WSF DASHBOARD'!$C$4,INDEX(MASTER_ZONES!$B:$B,1105)))),1104,""),""),""))</f>
        <v/>
      </c>
      <c r="F1105">
        <f>IF('TRANSPORT DASHBOARD'!$B$4="Area",IF(1104&lt;=$I$3,IF(AND(INDEX(MASTER_AREAS!$F:$F,1105)&lt;&gt;"N",OR('TRANSPORT DASHBOARD'!$C$4="",ISNUMBER(SEARCH('TRANSPORT DASHBOARD'!$C$4,INDEX(MASTER_AREAS!$B:$B,1105))))),1104,""),""),IF('TRANSPORT DASHBOARD'!$B$4="Zone",IF(1104&lt;=$I$4,IF(OR('TRANSPORT DASHBOARD'!$C$4="",ISNUMBER(SEARCH('TRANSPORT DASHBOARD'!$C$4,INDEX(MASTER_ZONES!$B:$B,1105)))),1104,""),""),""))</f>
        <v/>
      </c>
      <c r="K1105">
        <f>IF('MIDWEEK DASHBOARD'!$B$4="Area",IF(1104&lt;=$N$3,IF(AND(OR('MIDWEEK DASHBOARD'!$C$4="",ISNUMBER(SEARCH('MIDWEEK DASHBOARD'!$C$4,INDEX(MASTER_AREAS!$B:$B,1105))))),1104,""),""),IF('MIDWEEK DASHBOARD'!$B$4="Zone",IF(1104&lt;=$N$4,IF(OR('MIDWEEK DASHBOARD'!$C$4="",ISNUMBER(SEARCH('MIDWEEK DASHBOARD'!$C$4,INDEX(MASTER_ZONES!$B:$B,1105)))),1104,""),""),""))</f>
        <v/>
      </c>
      <c r="P1105">
        <f>IF('CHOP DASHBOARD'!$B$4="Area",IF(1104&lt;=$S$3,IF(AND(OR('CHOP DASHBOARD'!$C$4="",ISNUMBER(SEARCH('CHOP DASHBOARD'!$C$4,INDEX(MASTER_AREAS!$B:$B,1105))))),1104,""),""),IF('CHOP DASHBOARD'!$B$4="Zone",IF(1104&lt;=$S$4,IF(OR('CHOP DASHBOARD'!$C$4="",ISNUMBER(SEARCH('CHOP DASHBOARD'!$C$4,INDEX(MASTER_ZONES!$B:$B,1105)))),1104,""),""),""))</f>
        <v/>
      </c>
      <c r="U1105">
        <f>IF('COMMUNITY CHURCH DASHBOARD'!$B$4="Area",IF(1104&lt;=$X$3,IF(AND(OR('COMMUNITY CHURCH DASHBOARD'!$C$4="",ISNUMBER(SEARCH('COMMUNITY CHURCH DASHBOARD'!$C$4,INDEX(MASTER_AREAS!$B:$B,1105))))),1104,""),""),IF('COMMUNITY CHURCH DASHBOARD'!$B$4="Zone",IF(1104&lt;=$X$4,IF(OR('COMMUNITY CHURCH DASHBOARD'!$C$4="",ISNUMBER(SEARCH('COMMUNITY CHURCH DASHBOARD'!$C$4,INDEX(MASTER_ZONES!$B:$B,1105)))),1104,""),""),""))</f>
        <v/>
      </c>
    </row>
    <row r="1106">
      <c r="A1106">
        <f>IF('WSF DASHBOARD'!$B$4="Area",IF(1105&lt;=$D$3,IF(AND(OR('WSF DASHBOARD'!$C$4="",ISNUMBER(SEARCH('WSF DASHBOARD'!$C$4,INDEX(MASTER_AREAS!$B:$B,1106))))),1105,""),""),IF('WSF DASHBOARD'!$B$4="Zone",IF(1105&lt;=$D$4,IF(OR('WSF DASHBOARD'!$C$4="",ISNUMBER(SEARCH('WSF DASHBOARD'!$C$4,INDEX(MASTER_ZONES!$B:$B,1106)))),1105,""),""),""))</f>
        <v/>
      </c>
      <c r="F1106">
        <f>IF('TRANSPORT DASHBOARD'!$B$4="Area",IF(1105&lt;=$I$3,IF(AND(INDEX(MASTER_AREAS!$F:$F,1106)&lt;&gt;"N",OR('TRANSPORT DASHBOARD'!$C$4="",ISNUMBER(SEARCH('TRANSPORT DASHBOARD'!$C$4,INDEX(MASTER_AREAS!$B:$B,1106))))),1105,""),""),IF('TRANSPORT DASHBOARD'!$B$4="Zone",IF(1105&lt;=$I$4,IF(OR('TRANSPORT DASHBOARD'!$C$4="",ISNUMBER(SEARCH('TRANSPORT DASHBOARD'!$C$4,INDEX(MASTER_ZONES!$B:$B,1106)))),1105,""),""),""))</f>
        <v/>
      </c>
      <c r="K1106">
        <f>IF('MIDWEEK DASHBOARD'!$B$4="Area",IF(1105&lt;=$N$3,IF(AND(OR('MIDWEEK DASHBOARD'!$C$4="",ISNUMBER(SEARCH('MIDWEEK DASHBOARD'!$C$4,INDEX(MASTER_AREAS!$B:$B,1106))))),1105,""),""),IF('MIDWEEK DASHBOARD'!$B$4="Zone",IF(1105&lt;=$N$4,IF(OR('MIDWEEK DASHBOARD'!$C$4="",ISNUMBER(SEARCH('MIDWEEK DASHBOARD'!$C$4,INDEX(MASTER_ZONES!$B:$B,1106)))),1105,""),""),""))</f>
        <v/>
      </c>
      <c r="P1106">
        <f>IF('CHOP DASHBOARD'!$B$4="Area",IF(1105&lt;=$S$3,IF(AND(OR('CHOP DASHBOARD'!$C$4="",ISNUMBER(SEARCH('CHOP DASHBOARD'!$C$4,INDEX(MASTER_AREAS!$B:$B,1106))))),1105,""),""),IF('CHOP DASHBOARD'!$B$4="Zone",IF(1105&lt;=$S$4,IF(OR('CHOP DASHBOARD'!$C$4="",ISNUMBER(SEARCH('CHOP DASHBOARD'!$C$4,INDEX(MASTER_ZONES!$B:$B,1106)))),1105,""),""),""))</f>
        <v/>
      </c>
      <c r="U1106">
        <f>IF('COMMUNITY CHURCH DASHBOARD'!$B$4="Area",IF(1105&lt;=$X$3,IF(AND(OR('COMMUNITY CHURCH DASHBOARD'!$C$4="",ISNUMBER(SEARCH('COMMUNITY CHURCH DASHBOARD'!$C$4,INDEX(MASTER_AREAS!$B:$B,1106))))),1105,""),""),IF('COMMUNITY CHURCH DASHBOARD'!$B$4="Zone",IF(1105&lt;=$X$4,IF(OR('COMMUNITY CHURCH DASHBOARD'!$C$4="",ISNUMBER(SEARCH('COMMUNITY CHURCH DASHBOARD'!$C$4,INDEX(MASTER_ZONES!$B:$B,1106)))),1105,""),""),""))</f>
        <v/>
      </c>
    </row>
    <row r="1107">
      <c r="A1107">
        <f>IF('WSF DASHBOARD'!$B$4="Area",IF(1106&lt;=$D$3,IF(AND(OR('WSF DASHBOARD'!$C$4="",ISNUMBER(SEARCH('WSF DASHBOARD'!$C$4,INDEX(MASTER_AREAS!$B:$B,1107))))),1106,""),""),IF('WSF DASHBOARD'!$B$4="Zone",IF(1106&lt;=$D$4,IF(OR('WSF DASHBOARD'!$C$4="",ISNUMBER(SEARCH('WSF DASHBOARD'!$C$4,INDEX(MASTER_ZONES!$B:$B,1107)))),1106,""),""),""))</f>
        <v/>
      </c>
      <c r="F1107">
        <f>IF('TRANSPORT DASHBOARD'!$B$4="Area",IF(1106&lt;=$I$3,IF(AND(INDEX(MASTER_AREAS!$F:$F,1107)&lt;&gt;"N",OR('TRANSPORT DASHBOARD'!$C$4="",ISNUMBER(SEARCH('TRANSPORT DASHBOARD'!$C$4,INDEX(MASTER_AREAS!$B:$B,1107))))),1106,""),""),IF('TRANSPORT DASHBOARD'!$B$4="Zone",IF(1106&lt;=$I$4,IF(OR('TRANSPORT DASHBOARD'!$C$4="",ISNUMBER(SEARCH('TRANSPORT DASHBOARD'!$C$4,INDEX(MASTER_ZONES!$B:$B,1107)))),1106,""),""),""))</f>
        <v/>
      </c>
      <c r="K1107">
        <f>IF('MIDWEEK DASHBOARD'!$B$4="Area",IF(1106&lt;=$N$3,IF(AND(OR('MIDWEEK DASHBOARD'!$C$4="",ISNUMBER(SEARCH('MIDWEEK DASHBOARD'!$C$4,INDEX(MASTER_AREAS!$B:$B,1107))))),1106,""),""),IF('MIDWEEK DASHBOARD'!$B$4="Zone",IF(1106&lt;=$N$4,IF(OR('MIDWEEK DASHBOARD'!$C$4="",ISNUMBER(SEARCH('MIDWEEK DASHBOARD'!$C$4,INDEX(MASTER_ZONES!$B:$B,1107)))),1106,""),""),""))</f>
        <v/>
      </c>
      <c r="P1107">
        <f>IF('CHOP DASHBOARD'!$B$4="Area",IF(1106&lt;=$S$3,IF(AND(OR('CHOP DASHBOARD'!$C$4="",ISNUMBER(SEARCH('CHOP DASHBOARD'!$C$4,INDEX(MASTER_AREAS!$B:$B,1107))))),1106,""),""),IF('CHOP DASHBOARD'!$B$4="Zone",IF(1106&lt;=$S$4,IF(OR('CHOP DASHBOARD'!$C$4="",ISNUMBER(SEARCH('CHOP DASHBOARD'!$C$4,INDEX(MASTER_ZONES!$B:$B,1107)))),1106,""),""),""))</f>
        <v/>
      </c>
      <c r="U1107">
        <f>IF('COMMUNITY CHURCH DASHBOARD'!$B$4="Area",IF(1106&lt;=$X$3,IF(AND(OR('COMMUNITY CHURCH DASHBOARD'!$C$4="",ISNUMBER(SEARCH('COMMUNITY CHURCH DASHBOARD'!$C$4,INDEX(MASTER_AREAS!$B:$B,1107))))),1106,""),""),IF('COMMUNITY CHURCH DASHBOARD'!$B$4="Zone",IF(1106&lt;=$X$4,IF(OR('COMMUNITY CHURCH DASHBOARD'!$C$4="",ISNUMBER(SEARCH('COMMUNITY CHURCH DASHBOARD'!$C$4,INDEX(MASTER_ZONES!$B:$B,1107)))),1106,""),""),""))</f>
        <v/>
      </c>
    </row>
    <row r="1108">
      <c r="A1108">
        <f>IF('WSF DASHBOARD'!$B$4="Area",IF(1107&lt;=$D$3,IF(AND(OR('WSF DASHBOARD'!$C$4="",ISNUMBER(SEARCH('WSF DASHBOARD'!$C$4,INDEX(MASTER_AREAS!$B:$B,1108))))),1107,""),""),IF('WSF DASHBOARD'!$B$4="Zone",IF(1107&lt;=$D$4,IF(OR('WSF DASHBOARD'!$C$4="",ISNUMBER(SEARCH('WSF DASHBOARD'!$C$4,INDEX(MASTER_ZONES!$B:$B,1108)))),1107,""),""),""))</f>
        <v/>
      </c>
      <c r="F1108">
        <f>IF('TRANSPORT DASHBOARD'!$B$4="Area",IF(1107&lt;=$I$3,IF(AND(INDEX(MASTER_AREAS!$F:$F,1108)&lt;&gt;"N",OR('TRANSPORT DASHBOARD'!$C$4="",ISNUMBER(SEARCH('TRANSPORT DASHBOARD'!$C$4,INDEX(MASTER_AREAS!$B:$B,1108))))),1107,""),""),IF('TRANSPORT DASHBOARD'!$B$4="Zone",IF(1107&lt;=$I$4,IF(OR('TRANSPORT DASHBOARD'!$C$4="",ISNUMBER(SEARCH('TRANSPORT DASHBOARD'!$C$4,INDEX(MASTER_ZONES!$B:$B,1108)))),1107,""),""),""))</f>
        <v/>
      </c>
      <c r="K1108">
        <f>IF('MIDWEEK DASHBOARD'!$B$4="Area",IF(1107&lt;=$N$3,IF(AND(OR('MIDWEEK DASHBOARD'!$C$4="",ISNUMBER(SEARCH('MIDWEEK DASHBOARD'!$C$4,INDEX(MASTER_AREAS!$B:$B,1108))))),1107,""),""),IF('MIDWEEK DASHBOARD'!$B$4="Zone",IF(1107&lt;=$N$4,IF(OR('MIDWEEK DASHBOARD'!$C$4="",ISNUMBER(SEARCH('MIDWEEK DASHBOARD'!$C$4,INDEX(MASTER_ZONES!$B:$B,1108)))),1107,""),""),""))</f>
        <v/>
      </c>
      <c r="P1108">
        <f>IF('CHOP DASHBOARD'!$B$4="Area",IF(1107&lt;=$S$3,IF(AND(OR('CHOP DASHBOARD'!$C$4="",ISNUMBER(SEARCH('CHOP DASHBOARD'!$C$4,INDEX(MASTER_AREAS!$B:$B,1108))))),1107,""),""),IF('CHOP DASHBOARD'!$B$4="Zone",IF(1107&lt;=$S$4,IF(OR('CHOP DASHBOARD'!$C$4="",ISNUMBER(SEARCH('CHOP DASHBOARD'!$C$4,INDEX(MASTER_ZONES!$B:$B,1108)))),1107,""),""),""))</f>
        <v/>
      </c>
      <c r="U1108">
        <f>IF('COMMUNITY CHURCH DASHBOARD'!$B$4="Area",IF(1107&lt;=$X$3,IF(AND(OR('COMMUNITY CHURCH DASHBOARD'!$C$4="",ISNUMBER(SEARCH('COMMUNITY CHURCH DASHBOARD'!$C$4,INDEX(MASTER_AREAS!$B:$B,1108))))),1107,""),""),IF('COMMUNITY CHURCH DASHBOARD'!$B$4="Zone",IF(1107&lt;=$X$4,IF(OR('COMMUNITY CHURCH DASHBOARD'!$C$4="",ISNUMBER(SEARCH('COMMUNITY CHURCH DASHBOARD'!$C$4,INDEX(MASTER_ZONES!$B:$B,1108)))),1107,""),""),""))</f>
        <v/>
      </c>
    </row>
    <row r="1109">
      <c r="A1109">
        <f>IF('WSF DASHBOARD'!$B$4="Area",IF(1108&lt;=$D$3,IF(AND(OR('WSF DASHBOARD'!$C$4="",ISNUMBER(SEARCH('WSF DASHBOARD'!$C$4,INDEX(MASTER_AREAS!$B:$B,1109))))),1108,""),""),IF('WSF DASHBOARD'!$B$4="Zone",IF(1108&lt;=$D$4,IF(OR('WSF DASHBOARD'!$C$4="",ISNUMBER(SEARCH('WSF DASHBOARD'!$C$4,INDEX(MASTER_ZONES!$B:$B,1109)))),1108,""),""),""))</f>
        <v/>
      </c>
      <c r="F1109">
        <f>IF('TRANSPORT DASHBOARD'!$B$4="Area",IF(1108&lt;=$I$3,IF(AND(INDEX(MASTER_AREAS!$F:$F,1109)&lt;&gt;"N",OR('TRANSPORT DASHBOARD'!$C$4="",ISNUMBER(SEARCH('TRANSPORT DASHBOARD'!$C$4,INDEX(MASTER_AREAS!$B:$B,1109))))),1108,""),""),IF('TRANSPORT DASHBOARD'!$B$4="Zone",IF(1108&lt;=$I$4,IF(OR('TRANSPORT DASHBOARD'!$C$4="",ISNUMBER(SEARCH('TRANSPORT DASHBOARD'!$C$4,INDEX(MASTER_ZONES!$B:$B,1109)))),1108,""),""),""))</f>
        <v/>
      </c>
      <c r="K1109">
        <f>IF('MIDWEEK DASHBOARD'!$B$4="Area",IF(1108&lt;=$N$3,IF(AND(OR('MIDWEEK DASHBOARD'!$C$4="",ISNUMBER(SEARCH('MIDWEEK DASHBOARD'!$C$4,INDEX(MASTER_AREAS!$B:$B,1109))))),1108,""),""),IF('MIDWEEK DASHBOARD'!$B$4="Zone",IF(1108&lt;=$N$4,IF(OR('MIDWEEK DASHBOARD'!$C$4="",ISNUMBER(SEARCH('MIDWEEK DASHBOARD'!$C$4,INDEX(MASTER_ZONES!$B:$B,1109)))),1108,""),""),""))</f>
        <v/>
      </c>
      <c r="P1109">
        <f>IF('CHOP DASHBOARD'!$B$4="Area",IF(1108&lt;=$S$3,IF(AND(OR('CHOP DASHBOARD'!$C$4="",ISNUMBER(SEARCH('CHOP DASHBOARD'!$C$4,INDEX(MASTER_AREAS!$B:$B,1109))))),1108,""),""),IF('CHOP DASHBOARD'!$B$4="Zone",IF(1108&lt;=$S$4,IF(OR('CHOP DASHBOARD'!$C$4="",ISNUMBER(SEARCH('CHOP DASHBOARD'!$C$4,INDEX(MASTER_ZONES!$B:$B,1109)))),1108,""),""),""))</f>
        <v/>
      </c>
      <c r="U1109">
        <f>IF('COMMUNITY CHURCH DASHBOARD'!$B$4="Area",IF(1108&lt;=$X$3,IF(AND(OR('COMMUNITY CHURCH DASHBOARD'!$C$4="",ISNUMBER(SEARCH('COMMUNITY CHURCH DASHBOARD'!$C$4,INDEX(MASTER_AREAS!$B:$B,1109))))),1108,""),""),IF('COMMUNITY CHURCH DASHBOARD'!$B$4="Zone",IF(1108&lt;=$X$4,IF(OR('COMMUNITY CHURCH DASHBOARD'!$C$4="",ISNUMBER(SEARCH('COMMUNITY CHURCH DASHBOARD'!$C$4,INDEX(MASTER_ZONES!$B:$B,1109)))),1108,""),""),""))</f>
        <v/>
      </c>
    </row>
    <row r="1110">
      <c r="A1110">
        <f>IF('WSF DASHBOARD'!$B$4="Area",IF(1109&lt;=$D$3,IF(AND(OR('WSF DASHBOARD'!$C$4="",ISNUMBER(SEARCH('WSF DASHBOARD'!$C$4,INDEX(MASTER_AREAS!$B:$B,1110))))),1109,""),""),IF('WSF DASHBOARD'!$B$4="Zone",IF(1109&lt;=$D$4,IF(OR('WSF DASHBOARD'!$C$4="",ISNUMBER(SEARCH('WSF DASHBOARD'!$C$4,INDEX(MASTER_ZONES!$B:$B,1110)))),1109,""),""),""))</f>
        <v/>
      </c>
      <c r="F1110">
        <f>IF('TRANSPORT DASHBOARD'!$B$4="Area",IF(1109&lt;=$I$3,IF(AND(INDEX(MASTER_AREAS!$F:$F,1110)&lt;&gt;"N",OR('TRANSPORT DASHBOARD'!$C$4="",ISNUMBER(SEARCH('TRANSPORT DASHBOARD'!$C$4,INDEX(MASTER_AREAS!$B:$B,1110))))),1109,""),""),IF('TRANSPORT DASHBOARD'!$B$4="Zone",IF(1109&lt;=$I$4,IF(OR('TRANSPORT DASHBOARD'!$C$4="",ISNUMBER(SEARCH('TRANSPORT DASHBOARD'!$C$4,INDEX(MASTER_ZONES!$B:$B,1110)))),1109,""),""),""))</f>
        <v/>
      </c>
      <c r="K1110">
        <f>IF('MIDWEEK DASHBOARD'!$B$4="Area",IF(1109&lt;=$N$3,IF(AND(OR('MIDWEEK DASHBOARD'!$C$4="",ISNUMBER(SEARCH('MIDWEEK DASHBOARD'!$C$4,INDEX(MASTER_AREAS!$B:$B,1110))))),1109,""),""),IF('MIDWEEK DASHBOARD'!$B$4="Zone",IF(1109&lt;=$N$4,IF(OR('MIDWEEK DASHBOARD'!$C$4="",ISNUMBER(SEARCH('MIDWEEK DASHBOARD'!$C$4,INDEX(MASTER_ZONES!$B:$B,1110)))),1109,""),""),""))</f>
        <v/>
      </c>
      <c r="P1110">
        <f>IF('CHOP DASHBOARD'!$B$4="Area",IF(1109&lt;=$S$3,IF(AND(OR('CHOP DASHBOARD'!$C$4="",ISNUMBER(SEARCH('CHOP DASHBOARD'!$C$4,INDEX(MASTER_AREAS!$B:$B,1110))))),1109,""),""),IF('CHOP DASHBOARD'!$B$4="Zone",IF(1109&lt;=$S$4,IF(OR('CHOP DASHBOARD'!$C$4="",ISNUMBER(SEARCH('CHOP DASHBOARD'!$C$4,INDEX(MASTER_ZONES!$B:$B,1110)))),1109,""),""),""))</f>
        <v/>
      </c>
      <c r="U1110">
        <f>IF('COMMUNITY CHURCH DASHBOARD'!$B$4="Area",IF(1109&lt;=$X$3,IF(AND(OR('COMMUNITY CHURCH DASHBOARD'!$C$4="",ISNUMBER(SEARCH('COMMUNITY CHURCH DASHBOARD'!$C$4,INDEX(MASTER_AREAS!$B:$B,1110))))),1109,""),""),IF('COMMUNITY CHURCH DASHBOARD'!$B$4="Zone",IF(1109&lt;=$X$4,IF(OR('COMMUNITY CHURCH DASHBOARD'!$C$4="",ISNUMBER(SEARCH('COMMUNITY CHURCH DASHBOARD'!$C$4,INDEX(MASTER_ZONES!$B:$B,1110)))),1109,""),""),""))</f>
        <v/>
      </c>
    </row>
    <row r="1111">
      <c r="A1111">
        <f>IF('WSF DASHBOARD'!$B$4="Area",IF(1110&lt;=$D$3,IF(AND(OR('WSF DASHBOARD'!$C$4="",ISNUMBER(SEARCH('WSF DASHBOARD'!$C$4,INDEX(MASTER_AREAS!$B:$B,1111))))),1110,""),""),IF('WSF DASHBOARD'!$B$4="Zone",IF(1110&lt;=$D$4,IF(OR('WSF DASHBOARD'!$C$4="",ISNUMBER(SEARCH('WSF DASHBOARD'!$C$4,INDEX(MASTER_ZONES!$B:$B,1111)))),1110,""),""),""))</f>
        <v/>
      </c>
      <c r="F1111">
        <f>IF('TRANSPORT DASHBOARD'!$B$4="Area",IF(1110&lt;=$I$3,IF(AND(INDEX(MASTER_AREAS!$F:$F,1111)&lt;&gt;"N",OR('TRANSPORT DASHBOARD'!$C$4="",ISNUMBER(SEARCH('TRANSPORT DASHBOARD'!$C$4,INDEX(MASTER_AREAS!$B:$B,1111))))),1110,""),""),IF('TRANSPORT DASHBOARD'!$B$4="Zone",IF(1110&lt;=$I$4,IF(OR('TRANSPORT DASHBOARD'!$C$4="",ISNUMBER(SEARCH('TRANSPORT DASHBOARD'!$C$4,INDEX(MASTER_ZONES!$B:$B,1111)))),1110,""),""),""))</f>
        <v/>
      </c>
      <c r="K1111">
        <f>IF('MIDWEEK DASHBOARD'!$B$4="Area",IF(1110&lt;=$N$3,IF(AND(OR('MIDWEEK DASHBOARD'!$C$4="",ISNUMBER(SEARCH('MIDWEEK DASHBOARD'!$C$4,INDEX(MASTER_AREAS!$B:$B,1111))))),1110,""),""),IF('MIDWEEK DASHBOARD'!$B$4="Zone",IF(1110&lt;=$N$4,IF(OR('MIDWEEK DASHBOARD'!$C$4="",ISNUMBER(SEARCH('MIDWEEK DASHBOARD'!$C$4,INDEX(MASTER_ZONES!$B:$B,1111)))),1110,""),""),""))</f>
        <v/>
      </c>
      <c r="P1111">
        <f>IF('CHOP DASHBOARD'!$B$4="Area",IF(1110&lt;=$S$3,IF(AND(OR('CHOP DASHBOARD'!$C$4="",ISNUMBER(SEARCH('CHOP DASHBOARD'!$C$4,INDEX(MASTER_AREAS!$B:$B,1111))))),1110,""),""),IF('CHOP DASHBOARD'!$B$4="Zone",IF(1110&lt;=$S$4,IF(OR('CHOP DASHBOARD'!$C$4="",ISNUMBER(SEARCH('CHOP DASHBOARD'!$C$4,INDEX(MASTER_ZONES!$B:$B,1111)))),1110,""),""),""))</f>
        <v/>
      </c>
      <c r="U1111">
        <f>IF('COMMUNITY CHURCH DASHBOARD'!$B$4="Area",IF(1110&lt;=$X$3,IF(AND(OR('COMMUNITY CHURCH DASHBOARD'!$C$4="",ISNUMBER(SEARCH('COMMUNITY CHURCH DASHBOARD'!$C$4,INDEX(MASTER_AREAS!$B:$B,1111))))),1110,""),""),IF('COMMUNITY CHURCH DASHBOARD'!$B$4="Zone",IF(1110&lt;=$X$4,IF(OR('COMMUNITY CHURCH DASHBOARD'!$C$4="",ISNUMBER(SEARCH('COMMUNITY CHURCH DASHBOARD'!$C$4,INDEX(MASTER_ZONES!$B:$B,1111)))),1110,""),""),""))</f>
        <v/>
      </c>
    </row>
    <row r="1112">
      <c r="A1112">
        <f>IF('WSF DASHBOARD'!$B$4="Area",IF(1111&lt;=$D$3,IF(AND(OR('WSF DASHBOARD'!$C$4="",ISNUMBER(SEARCH('WSF DASHBOARD'!$C$4,INDEX(MASTER_AREAS!$B:$B,1112))))),1111,""),""),IF('WSF DASHBOARD'!$B$4="Zone",IF(1111&lt;=$D$4,IF(OR('WSF DASHBOARD'!$C$4="",ISNUMBER(SEARCH('WSF DASHBOARD'!$C$4,INDEX(MASTER_ZONES!$B:$B,1112)))),1111,""),""),""))</f>
        <v/>
      </c>
      <c r="F1112">
        <f>IF('TRANSPORT DASHBOARD'!$B$4="Area",IF(1111&lt;=$I$3,IF(AND(INDEX(MASTER_AREAS!$F:$F,1112)&lt;&gt;"N",OR('TRANSPORT DASHBOARD'!$C$4="",ISNUMBER(SEARCH('TRANSPORT DASHBOARD'!$C$4,INDEX(MASTER_AREAS!$B:$B,1112))))),1111,""),""),IF('TRANSPORT DASHBOARD'!$B$4="Zone",IF(1111&lt;=$I$4,IF(OR('TRANSPORT DASHBOARD'!$C$4="",ISNUMBER(SEARCH('TRANSPORT DASHBOARD'!$C$4,INDEX(MASTER_ZONES!$B:$B,1112)))),1111,""),""),""))</f>
        <v/>
      </c>
      <c r="K1112">
        <f>IF('MIDWEEK DASHBOARD'!$B$4="Area",IF(1111&lt;=$N$3,IF(AND(OR('MIDWEEK DASHBOARD'!$C$4="",ISNUMBER(SEARCH('MIDWEEK DASHBOARD'!$C$4,INDEX(MASTER_AREAS!$B:$B,1112))))),1111,""),""),IF('MIDWEEK DASHBOARD'!$B$4="Zone",IF(1111&lt;=$N$4,IF(OR('MIDWEEK DASHBOARD'!$C$4="",ISNUMBER(SEARCH('MIDWEEK DASHBOARD'!$C$4,INDEX(MASTER_ZONES!$B:$B,1112)))),1111,""),""),""))</f>
        <v/>
      </c>
      <c r="P1112">
        <f>IF('CHOP DASHBOARD'!$B$4="Area",IF(1111&lt;=$S$3,IF(AND(OR('CHOP DASHBOARD'!$C$4="",ISNUMBER(SEARCH('CHOP DASHBOARD'!$C$4,INDEX(MASTER_AREAS!$B:$B,1112))))),1111,""),""),IF('CHOP DASHBOARD'!$B$4="Zone",IF(1111&lt;=$S$4,IF(OR('CHOP DASHBOARD'!$C$4="",ISNUMBER(SEARCH('CHOP DASHBOARD'!$C$4,INDEX(MASTER_ZONES!$B:$B,1112)))),1111,""),""),""))</f>
        <v/>
      </c>
      <c r="U1112">
        <f>IF('COMMUNITY CHURCH DASHBOARD'!$B$4="Area",IF(1111&lt;=$X$3,IF(AND(OR('COMMUNITY CHURCH DASHBOARD'!$C$4="",ISNUMBER(SEARCH('COMMUNITY CHURCH DASHBOARD'!$C$4,INDEX(MASTER_AREAS!$B:$B,1112))))),1111,""),""),IF('COMMUNITY CHURCH DASHBOARD'!$B$4="Zone",IF(1111&lt;=$X$4,IF(OR('COMMUNITY CHURCH DASHBOARD'!$C$4="",ISNUMBER(SEARCH('COMMUNITY CHURCH DASHBOARD'!$C$4,INDEX(MASTER_ZONES!$B:$B,1112)))),1111,""),""),""))</f>
        <v/>
      </c>
    </row>
    <row r="1113">
      <c r="A1113">
        <f>IF('WSF DASHBOARD'!$B$4="Area",IF(1112&lt;=$D$3,IF(AND(OR('WSF DASHBOARD'!$C$4="",ISNUMBER(SEARCH('WSF DASHBOARD'!$C$4,INDEX(MASTER_AREAS!$B:$B,1113))))),1112,""),""),IF('WSF DASHBOARD'!$B$4="Zone",IF(1112&lt;=$D$4,IF(OR('WSF DASHBOARD'!$C$4="",ISNUMBER(SEARCH('WSF DASHBOARD'!$C$4,INDEX(MASTER_ZONES!$B:$B,1113)))),1112,""),""),""))</f>
        <v/>
      </c>
      <c r="F1113">
        <f>IF('TRANSPORT DASHBOARD'!$B$4="Area",IF(1112&lt;=$I$3,IF(AND(INDEX(MASTER_AREAS!$F:$F,1113)&lt;&gt;"N",OR('TRANSPORT DASHBOARD'!$C$4="",ISNUMBER(SEARCH('TRANSPORT DASHBOARD'!$C$4,INDEX(MASTER_AREAS!$B:$B,1113))))),1112,""),""),IF('TRANSPORT DASHBOARD'!$B$4="Zone",IF(1112&lt;=$I$4,IF(OR('TRANSPORT DASHBOARD'!$C$4="",ISNUMBER(SEARCH('TRANSPORT DASHBOARD'!$C$4,INDEX(MASTER_ZONES!$B:$B,1113)))),1112,""),""),""))</f>
        <v/>
      </c>
      <c r="K1113">
        <f>IF('MIDWEEK DASHBOARD'!$B$4="Area",IF(1112&lt;=$N$3,IF(AND(OR('MIDWEEK DASHBOARD'!$C$4="",ISNUMBER(SEARCH('MIDWEEK DASHBOARD'!$C$4,INDEX(MASTER_AREAS!$B:$B,1113))))),1112,""),""),IF('MIDWEEK DASHBOARD'!$B$4="Zone",IF(1112&lt;=$N$4,IF(OR('MIDWEEK DASHBOARD'!$C$4="",ISNUMBER(SEARCH('MIDWEEK DASHBOARD'!$C$4,INDEX(MASTER_ZONES!$B:$B,1113)))),1112,""),""),""))</f>
        <v/>
      </c>
      <c r="P1113">
        <f>IF('CHOP DASHBOARD'!$B$4="Area",IF(1112&lt;=$S$3,IF(AND(OR('CHOP DASHBOARD'!$C$4="",ISNUMBER(SEARCH('CHOP DASHBOARD'!$C$4,INDEX(MASTER_AREAS!$B:$B,1113))))),1112,""),""),IF('CHOP DASHBOARD'!$B$4="Zone",IF(1112&lt;=$S$4,IF(OR('CHOP DASHBOARD'!$C$4="",ISNUMBER(SEARCH('CHOP DASHBOARD'!$C$4,INDEX(MASTER_ZONES!$B:$B,1113)))),1112,""),""),""))</f>
        <v/>
      </c>
      <c r="U1113">
        <f>IF('COMMUNITY CHURCH DASHBOARD'!$B$4="Area",IF(1112&lt;=$X$3,IF(AND(OR('COMMUNITY CHURCH DASHBOARD'!$C$4="",ISNUMBER(SEARCH('COMMUNITY CHURCH DASHBOARD'!$C$4,INDEX(MASTER_AREAS!$B:$B,1113))))),1112,""),""),IF('COMMUNITY CHURCH DASHBOARD'!$B$4="Zone",IF(1112&lt;=$X$4,IF(OR('COMMUNITY CHURCH DASHBOARD'!$C$4="",ISNUMBER(SEARCH('COMMUNITY CHURCH DASHBOARD'!$C$4,INDEX(MASTER_ZONES!$B:$B,1113)))),1112,""),""),""))</f>
        <v/>
      </c>
    </row>
    <row r="1114">
      <c r="A1114">
        <f>IF('WSF DASHBOARD'!$B$4="Area",IF(1113&lt;=$D$3,IF(AND(OR('WSF DASHBOARD'!$C$4="",ISNUMBER(SEARCH('WSF DASHBOARD'!$C$4,INDEX(MASTER_AREAS!$B:$B,1114))))),1113,""),""),IF('WSF DASHBOARD'!$B$4="Zone",IF(1113&lt;=$D$4,IF(OR('WSF DASHBOARD'!$C$4="",ISNUMBER(SEARCH('WSF DASHBOARD'!$C$4,INDEX(MASTER_ZONES!$B:$B,1114)))),1113,""),""),""))</f>
        <v/>
      </c>
      <c r="F1114">
        <f>IF('TRANSPORT DASHBOARD'!$B$4="Area",IF(1113&lt;=$I$3,IF(AND(INDEX(MASTER_AREAS!$F:$F,1114)&lt;&gt;"N",OR('TRANSPORT DASHBOARD'!$C$4="",ISNUMBER(SEARCH('TRANSPORT DASHBOARD'!$C$4,INDEX(MASTER_AREAS!$B:$B,1114))))),1113,""),""),IF('TRANSPORT DASHBOARD'!$B$4="Zone",IF(1113&lt;=$I$4,IF(OR('TRANSPORT DASHBOARD'!$C$4="",ISNUMBER(SEARCH('TRANSPORT DASHBOARD'!$C$4,INDEX(MASTER_ZONES!$B:$B,1114)))),1113,""),""),""))</f>
        <v/>
      </c>
      <c r="K1114">
        <f>IF('MIDWEEK DASHBOARD'!$B$4="Area",IF(1113&lt;=$N$3,IF(AND(OR('MIDWEEK DASHBOARD'!$C$4="",ISNUMBER(SEARCH('MIDWEEK DASHBOARD'!$C$4,INDEX(MASTER_AREAS!$B:$B,1114))))),1113,""),""),IF('MIDWEEK DASHBOARD'!$B$4="Zone",IF(1113&lt;=$N$4,IF(OR('MIDWEEK DASHBOARD'!$C$4="",ISNUMBER(SEARCH('MIDWEEK DASHBOARD'!$C$4,INDEX(MASTER_ZONES!$B:$B,1114)))),1113,""),""),""))</f>
        <v/>
      </c>
      <c r="P1114">
        <f>IF('CHOP DASHBOARD'!$B$4="Area",IF(1113&lt;=$S$3,IF(AND(OR('CHOP DASHBOARD'!$C$4="",ISNUMBER(SEARCH('CHOP DASHBOARD'!$C$4,INDEX(MASTER_AREAS!$B:$B,1114))))),1113,""),""),IF('CHOP DASHBOARD'!$B$4="Zone",IF(1113&lt;=$S$4,IF(OR('CHOP DASHBOARD'!$C$4="",ISNUMBER(SEARCH('CHOP DASHBOARD'!$C$4,INDEX(MASTER_ZONES!$B:$B,1114)))),1113,""),""),""))</f>
        <v/>
      </c>
      <c r="U1114">
        <f>IF('COMMUNITY CHURCH DASHBOARD'!$B$4="Area",IF(1113&lt;=$X$3,IF(AND(OR('COMMUNITY CHURCH DASHBOARD'!$C$4="",ISNUMBER(SEARCH('COMMUNITY CHURCH DASHBOARD'!$C$4,INDEX(MASTER_AREAS!$B:$B,1114))))),1113,""),""),IF('COMMUNITY CHURCH DASHBOARD'!$B$4="Zone",IF(1113&lt;=$X$4,IF(OR('COMMUNITY CHURCH DASHBOARD'!$C$4="",ISNUMBER(SEARCH('COMMUNITY CHURCH DASHBOARD'!$C$4,INDEX(MASTER_ZONES!$B:$B,1114)))),1113,""),""),""))</f>
        <v/>
      </c>
    </row>
    <row r="1115">
      <c r="A1115">
        <f>IF('WSF DASHBOARD'!$B$4="Area",IF(1114&lt;=$D$3,IF(AND(OR('WSF DASHBOARD'!$C$4="",ISNUMBER(SEARCH('WSF DASHBOARD'!$C$4,INDEX(MASTER_AREAS!$B:$B,1115))))),1114,""),""),IF('WSF DASHBOARD'!$B$4="Zone",IF(1114&lt;=$D$4,IF(OR('WSF DASHBOARD'!$C$4="",ISNUMBER(SEARCH('WSF DASHBOARD'!$C$4,INDEX(MASTER_ZONES!$B:$B,1115)))),1114,""),""),""))</f>
        <v/>
      </c>
      <c r="F1115">
        <f>IF('TRANSPORT DASHBOARD'!$B$4="Area",IF(1114&lt;=$I$3,IF(AND(INDEX(MASTER_AREAS!$F:$F,1115)&lt;&gt;"N",OR('TRANSPORT DASHBOARD'!$C$4="",ISNUMBER(SEARCH('TRANSPORT DASHBOARD'!$C$4,INDEX(MASTER_AREAS!$B:$B,1115))))),1114,""),""),IF('TRANSPORT DASHBOARD'!$B$4="Zone",IF(1114&lt;=$I$4,IF(OR('TRANSPORT DASHBOARD'!$C$4="",ISNUMBER(SEARCH('TRANSPORT DASHBOARD'!$C$4,INDEX(MASTER_ZONES!$B:$B,1115)))),1114,""),""),""))</f>
        <v/>
      </c>
      <c r="K1115">
        <f>IF('MIDWEEK DASHBOARD'!$B$4="Area",IF(1114&lt;=$N$3,IF(AND(OR('MIDWEEK DASHBOARD'!$C$4="",ISNUMBER(SEARCH('MIDWEEK DASHBOARD'!$C$4,INDEX(MASTER_AREAS!$B:$B,1115))))),1114,""),""),IF('MIDWEEK DASHBOARD'!$B$4="Zone",IF(1114&lt;=$N$4,IF(OR('MIDWEEK DASHBOARD'!$C$4="",ISNUMBER(SEARCH('MIDWEEK DASHBOARD'!$C$4,INDEX(MASTER_ZONES!$B:$B,1115)))),1114,""),""),""))</f>
        <v/>
      </c>
      <c r="P1115">
        <f>IF('CHOP DASHBOARD'!$B$4="Area",IF(1114&lt;=$S$3,IF(AND(OR('CHOP DASHBOARD'!$C$4="",ISNUMBER(SEARCH('CHOP DASHBOARD'!$C$4,INDEX(MASTER_AREAS!$B:$B,1115))))),1114,""),""),IF('CHOP DASHBOARD'!$B$4="Zone",IF(1114&lt;=$S$4,IF(OR('CHOP DASHBOARD'!$C$4="",ISNUMBER(SEARCH('CHOP DASHBOARD'!$C$4,INDEX(MASTER_ZONES!$B:$B,1115)))),1114,""),""),""))</f>
        <v/>
      </c>
      <c r="U1115">
        <f>IF('COMMUNITY CHURCH DASHBOARD'!$B$4="Area",IF(1114&lt;=$X$3,IF(AND(OR('COMMUNITY CHURCH DASHBOARD'!$C$4="",ISNUMBER(SEARCH('COMMUNITY CHURCH DASHBOARD'!$C$4,INDEX(MASTER_AREAS!$B:$B,1115))))),1114,""),""),IF('COMMUNITY CHURCH DASHBOARD'!$B$4="Zone",IF(1114&lt;=$X$4,IF(OR('COMMUNITY CHURCH DASHBOARD'!$C$4="",ISNUMBER(SEARCH('COMMUNITY CHURCH DASHBOARD'!$C$4,INDEX(MASTER_ZONES!$B:$B,1115)))),1114,""),""),""))</f>
        <v/>
      </c>
    </row>
    <row r="1116">
      <c r="A1116">
        <f>IF('WSF DASHBOARD'!$B$4="Area",IF(1115&lt;=$D$3,IF(AND(OR('WSF DASHBOARD'!$C$4="",ISNUMBER(SEARCH('WSF DASHBOARD'!$C$4,INDEX(MASTER_AREAS!$B:$B,1116))))),1115,""),""),IF('WSF DASHBOARD'!$B$4="Zone",IF(1115&lt;=$D$4,IF(OR('WSF DASHBOARD'!$C$4="",ISNUMBER(SEARCH('WSF DASHBOARD'!$C$4,INDEX(MASTER_ZONES!$B:$B,1116)))),1115,""),""),""))</f>
        <v/>
      </c>
      <c r="F1116">
        <f>IF('TRANSPORT DASHBOARD'!$B$4="Area",IF(1115&lt;=$I$3,IF(AND(INDEX(MASTER_AREAS!$F:$F,1116)&lt;&gt;"N",OR('TRANSPORT DASHBOARD'!$C$4="",ISNUMBER(SEARCH('TRANSPORT DASHBOARD'!$C$4,INDEX(MASTER_AREAS!$B:$B,1116))))),1115,""),""),IF('TRANSPORT DASHBOARD'!$B$4="Zone",IF(1115&lt;=$I$4,IF(OR('TRANSPORT DASHBOARD'!$C$4="",ISNUMBER(SEARCH('TRANSPORT DASHBOARD'!$C$4,INDEX(MASTER_ZONES!$B:$B,1116)))),1115,""),""),""))</f>
        <v/>
      </c>
      <c r="K1116">
        <f>IF('MIDWEEK DASHBOARD'!$B$4="Area",IF(1115&lt;=$N$3,IF(AND(OR('MIDWEEK DASHBOARD'!$C$4="",ISNUMBER(SEARCH('MIDWEEK DASHBOARD'!$C$4,INDEX(MASTER_AREAS!$B:$B,1116))))),1115,""),""),IF('MIDWEEK DASHBOARD'!$B$4="Zone",IF(1115&lt;=$N$4,IF(OR('MIDWEEK DASHBOARD'!$C$4="",ISNUMBER(SEARCH('MIDWEEK DASHBOARD'!$C$4,INDEX(MASTER_ZONES!$B:$B,1116)))),1115,""),""),""))</f>
        <v/>
      </c>
      <c r="P1116">
        <f>IF('CHOP DASHBOARD'!$B$4="Area",IF(1115&lt;=$S$3,IF(AND(OR('CHOP DASHBOARD'!$C$4="",ISNUMBER(SEARCH('CHOP DASHBOARD'!$C$4,INDEX(MASTER_AREAS!$B:$B,1116))))),1115,""),""),IF('CHOP DASHBOARD'!$B$4="Zone",IF(1115&lt;=$S$4,IF(OR('CHOP DASHBOARD'!$C$4="",ISNUMBER(SEARCH('CHOP DASHBOARD'!$C$4,INDEX(MASTER_ZONES!$B:$B,1116)))),1115,""),""),""))</f>
        <v/>
      </c>
      <c r="U1116">
        <f>IF('COMMUNITY CHURCH DASHBOARD'!$B$4="Area",IF(1115&lt;=$X$3,IF(AND(OR('COMMUNITY CHURCH DASHBOARD'!$C$4="",ISNUMBER(SEARCH('COMMUNITY CHURCH DASHBOARD'!$C$4,INDEX(MASTER_AREAS!$B:$B,1116))))),1115,""),""),IF('COMMUNITY CHURCH DASHBOARD'!$B$4="Zone",IF(1115&lt;=$X$4,IF(OR('COMMUNITY CHURCH DASHBOARD'!$C$4="",ISNUMBER(SEARCH('COMMUNITY CHURCH DASHBOARD'!$C$4,INDEX(MASTER_ZONES!$B:$B,1116)))),1115,""),""),""))</f>
        <v/>
      </c>
    </row>
    <row r="1117">
      <c r="A1117">
        <f>IF('WSF DASHBOARD'!$B$4="Area",IF(1116&lt;=$D$3,IF(AND(OR('WSF DASHBOARD'!$C$4="",ISNUMBER(SEARCH('WSF DASHBOARD'!$C$4,INDEX(MASTER_AREAS!$B:$B,1117))))),1116,""),""),IF('WSF DASHBOARD'!$B$4="Zone",IF(1116&lt;=$D$4,IF(OR('WSF DASHBOARD'!$C$4="",ISNUMBER(SEARCH('WSF DASHBOARD'!$C$4,INDEX(MASTER_ZONES!$B:$B,1117)))),1116,""),""),""))</f>
        <v/>
      </c>
      <c r="F1117">
        <f>IF('TRANSPORT DASHBOARD'!$B$4="Area",IF(1116&lt;=$I$3,IF(AND(INDEX(MASTER_AREAS!$F:$F,1117)&lt;&gt;"N",OR('TRANSPORT DASHBOARD'!$C$4="",ISNUMBER(SEARCH('TRANSPORT DASHBOARD'!$C$4,INDEX(MASTER_AREAS!$B:$B,1117))))),1116,""),""),IF('TRANSPORT DASHBOARD'!$B$4="Zone",IF(1116&lt;=$I$4,IF(OR('TRANSPORT DASHBOARD'!$C$4="",ISNUMBER(SEARCH('TRANSPORT DASHBOARD'!$C$4,INDEX(MASTER_ZONES!$B:$B,1117)))),1116,""),""),""))</f>
        <v/>
      </c>
      <c r="K1117">
        <f>IF('MIDWEEK DASHBOARD'!$B$4="Area",IF(1116&lt;=$N$3,IF(AND(OR('MIDWEEK DASHBOARD'!$C$4="",ISNUMBER(SEARCH('MIDWEEK DASHBOARD'!$C$4,INDEX(MASTER_AREAS!$B:$B,1117))))),1116,""),""),IF('MIDWEEK DASHBOARD'!$B$4="Zone",IF(1116&lt;=$N$4,IF(OR('MIDWEEK DASHBOARD'!$C$4="",ISNUMBER(SEARCH('MIDWEEK DASHBOARD'!$C$4,INDEX(MASTER_ZONES!$B:$B,1117)))),1116,""),""),""))</f>
        <v/>
      </c>
      <c r="P1117">
        <f>IF('CHOP DASHBOARD'!$B$4="Area",IF(1116&lt;=$S$3,IF(AND(OR('CHOP DASHBOARD'!$C$4="",ISNUMBER(SEARCH('CHOP DASHBOARD'!$C$4,INDEX(MASTER_AREAS!$B:$B,1117))))),1116,""),""),IF('CHOP DASHBOARD'!$B$4="Zone",IF(1116&lt;=$S$4,IF(OR('CHOP DASHBOARD'!$C$4="",ISNUMBER(SEARCH('CHOP DASHBOARD'!$C$4,INDEX(MASTER_ZONES!$B:$B,1117)))),1116,""),""),""))</f>
        <v/>
      </c>
      <c r="U1117">
        <f>IF('COMMUNITY CHURCH DASHBOARD'!$B$4="Area",IF(1116&lt;=$X$3,IF(AND(OR('COMMUNITY CHURCH DASHBOARD'!$C$4="",ISNUMBER(SEARCH('COMMUNITY CHURCH DASHBOARD'!$C$4,INDEX(MASTER_AREAS!$B:$B,1117))))),1116,""),""),IF('COMMUNITY CHURCH DASHBOARD'!$B$4="Zone",IF(1116&lt;=$X$4,IF(OR('COMMUNITY CHURCH DASHBOARD'!$C$4="",ISNUMBER(SEARCH('COMMUNITY CHURCH DASHBOARD'!$C$4,INDEX(MASTER_ZONES!$B:$B,1117)))),1116,""),""),""))</f>
        <v/>
      </c>
    </row>
    <row r="1118">
      <c r="A1118">
        <f>IF('WSF DASHBOARD'!$B$4="Area",IF(1117&lt;=$D$3,IF(AND(OR('WSF DASHBOARD'!$C$4="",ISNUMBER(SEARCH('WSF DASHBOARD'!$C$4,INDEX(MASTER_AREAS!$B:$B,1118))))),1117,""),""),IF('WSF DASHBOARD'!$B$4="Zone",IF(1117&lt;=$D$4,IF(OR('WSF DASHBOARD'!$C$4="",ISNUMBER(SEARCH('WSF DASHBOARD'!$C$4,INDEX(MASTER_ZONES!$B:$B,1118)))),1117,""),""),""))</f>
        <v/>
      </c>
      <c r="F1118">
        <f>IF('TRANSPORT DASHBOARD'!$B$4="Area",IF(1117&lt;=$I$3,IF(AND(INDEX(MASTER_AREAS!$F:$F,1118)&lt;&gt;"N",OR('TRANSPORT DASHBOARD'!$C$4="",ISNUMBER(SEARCH('TRANSPORT DASHBOARD'!$C$4,INDEX(MASTER_AREAS!$B:$B,1118))))),1117,""),""),IF('TRANSPORT DASHBOARD'!$B$4="Zone",IF(1117&lt;=$I$4,IF(OR('TRANSPORT DASHBOARD'!$C$4="",ISNUMBER(SEARCH('TRANSPORT DASHBOARD'!$C$4,INDEX(MASTER_ZONES!$B:$B,1118)))),1117,""),""),""))</f>
        <v/>
      </c>
      <c r="K1118">
        <f>IF('MIDWEEK DASHBOARD'!$B$4="Area",IF(1117&lt;=$N$3,IF(AND(OR('MIDWEEK DASHBOARD'!$C$4="",ISNUMBER(SEARCH('MIDWEEK DASHBOARD'!$C$4,INDEX(MASTER_AREAS!$B:$B,1118))))),1117,""),""),IF('MIDWEEK DASHBOARD'!$B$4="Zone",IF(1117&lt;=$N$4,IF(OR('MIDWEEK DASHBOARD'!$C$4="",ISNUMBER(SEARCH('MIDWEEK DASHBOARD'!$C$4,INDEX(MASTER_ZONES!$B:$B,1118)))),1117,""),""),""))</f>
        <v/>
      </c>
      <c r="P1118">
        <f>IF('CHOP DASHBOARD'!$B$4="Area",IF(1117&lt;=$S$3,IF(AND(OR('CHOP DASHBOARD'!$C$4="",ISNUMBER(SEARCH('CHOP DASHBOARD'!$C$4,INDEX(MASTER_AREAS!$B:$B,1118))))),1117,""),""),IF('CHOP DASHBOARD'!$B$4="Zone",IF(1117&lt;=$S$4,IF(OR('CHOP DASHBOARD'!$C$4="",ISNUMBER(SEARCH('CHOP DASHBOARD'!$C$4,INDEX(MASTER_ZONES!$B:$B,1118)))),1117,""),""),""))</f>
        <v/>
      </c>
      <c r="U1118">
        <f>IF('COMMUNITY CHURCH DASHBOARD'!$B$4="Area",IF(1117&lt;=$X$3,IF(AND(OR('COMMUNITY CHURCH DASHBOARD'!$C$4="",ISNUMBER(SEARCH('COMMUNITY CHURCH DASHBOARD'!$C$4,INDEX(MASTER_AREAS!$B:$B,1118))))),1117,""),""),IF('COMMUNITY CHURCH DASHBOARD'!$B$4="Zone",IF(1117&lt;=$X$4,IF(OR('COMMUNITY CHURCH DASHBOARD'!$C$4="",ISNUMBER(SEARCH('COMMUNITY CHURCH DASHBOARD'!$C$4,INDEX(MASTER_ZONES!$B:$B,1118)))),1117,""),""),""))</f>
        <v/>
      </c>
    </row>
    <row r="1119">
      <c r="A1119">
        <f>IF('WSF DASHBOARD'!$B$4="Area",IF(1118&lt;=$D$3,IF(AND(OR('WSF DASHBOARD'!$C$4="",ISNUMBER(SEARCH('WSF DASHBOARD'!$C$4,INDEX(MASTER_AREAS!$B:$B,1119))))),1118,""),""),IF('WSF DASHBOARD'!$B$4="Zone",IF(1118&lt;=$D$4,IF(OR('WSF DASHBOARD'!$C$4="",ISNUMBER(SEARCH('WSF DASHBOARD'!$C$4,INDEX(MASTER_ZONES!$B:$B,1119)))),1118,""),""),""))</f>
        <v/>
      </c>
      <c r="F1119">
        <f>IF('TRANSPORT DASHBOARD'!$B$4="Area",IF(1118&lt;=$I$3,IF(AND(INDEX(MASTER_AREAS!$F:$F,1119)&lt;&gt;"N",OR('TRANSPORT DASHBOARD'!$C$4="",ISNUMBER(SEARCH('TRANSPORT DASHBOARD'!$C$4,INDEX(MASTER_AREAS!$B:$B,1119))))),1118,""),""),IF('TRANSPORT DASHBOARD'!$B$4="Zone",IF(1118&lt;=$I$4,IF(OR('TRANSPORT DASHBOARD'!$C$4="",ISNUMBER(SEARCH('TRANSPORT DASHBOARD'!$C$4,INDEX(MASTER_ZONES!$B:$B,1119)))),1118,""),""),""))</f>
        <v/>
      </c>
      <c r="K1119">
        <f>IF('MIDWEEK DASHBOARD'!$B$4="Area",IF(1118&lt;=$N$3,IF(AND(OR('MIDWEEK DASHBOARD'!$C$4="",ISNUMBER(SEARCH('MIDWEEK DASHBOARD'!$C$4,INDEX(MASTER_AREAS!$B:$B,1119))))),1118,""),""),IF('MIDWEEK DASHBOARD'!$B$4="Zone",IF(1118&lt;=$N$4,IF(OR('MIDWEEK DASHBOARD'!$C$4="",ISNUMBER(SEARCH('MIDWEEK DASHBOARD'!$C$4,INDEX(MASTER_ZONES!$B:$B,1119)))),1118,""),""),""))</f>
        <v/>
      </c>
      <c r="P1119">
        <f>IF('CHOP DASHBOARD'!$B$4="Area",IF(1118&lt;=$S$3,IF(AND(OR('CHOP DASHBOARD'!$C$4="",ISNUMBER(SEARCH('CHOP DASHBOARD'!$C$4,INDEX(MASTER_AREAS!$B:$B,1119))))),1118,""),""),IF('CHOP DASHBOARD'!$B$4="Zone",IF(1118&lt;=$S$4,IF(OR('CHOP DASHBOARD'!$C$4="",ISNUMBER(SEARCH('CHOP DASHBOARD'!$C$4,INDEX(MASTER_ZONES!$B:$B,1119)))),1118,""),""),""))</f>
        <v/>
      </c>
      <c r="U1119">
        <f>IF('COMMUNITY CHURCH DASHBOARD'!$B$4="Area",IF(1118&lt;=$X$3,IF(AND(OR('COMMUNITY CHURCH DASHBOARD'!$C$4="",ISNUMBER(SEARCH('COMMUNITY CHURCH DASHBOARD'!$C$4,INDEX(MASTER_AREAS!$B:$B,1119))))),1118,""),""),IF('COMMUNITY CHURCH DASHBOARD'!$B$4="Zone",IF(1118&lt;=$X$4,IF(OR('COMMUNITY CHURCH DASHBOARD'!$C$4="",ISNUMBER(SEARCH('COMMUNITY CHURCH DASHBOARD'!$C$4,INDEX(MASTER_ZONES!$B:$B,1119)))),1118,""),""),""))</f>
        <v/>
      </c>
    </row>
    <row r="1120">
      <c r="A1120">
        <f>IF('WSF DASHBOARD'!$B$4="Area",IF(1119&lt;=$D$3,IF(AND(OR('WSF DASHBOARD'!$C$4="",ISNUMBER(SEARCH('WSF DASHBOARD'!$C$4,INDEX(MASTER_AREAS!$B:$B,1120))))),1119,""),""),IF('WSF DASHBOARD'!$B$4="Zone",IF(1119&lt;=$D$4,IF(OR('WSF DASHBOARD'!$C$4="",ISNUMBER(SEARCH('WSF DASHBOARD'!$C$4,INDEX(MASTER_ZONES!$B:$B,1120)))),1119,""),""),""))</f>
        <v/>
      </c>
      <c r="F1120">
        <f>IF('TRANSPORT DASHBOARD'!$B$4="Area",IF(1119&lt;=$I$3,IF(AND(INDEX(MASTER_AREAS!$F:$F,1120)&lt;&gt;"N",OR('TRANSPORT DASHBOARD'!$C$4="",ISNUMBER(SEARCH('TRANSPORT DASHBOARD'!$C$4,INDEX(MASTER_AREAS!$B:$B,1120))))),1119,""),""),IF('TRANSPORT DASHBOARD'!$B$4="Zone",IF(1119&lt;=$I$4,IF(OR('TRANSPORT DASHBOARD'!$C$4="",ISNUMBER(SEARCH('TRANSPORT DASHBOARD'!$C$4,INDEX(MASTER_ZONES!$B:$B,1120)))),1119,""),""),""))</f>
        <v/>
      </c>
      <c r="K1120">
        <f>IF('MIDWEEK DASHBOARD'!$B$4="Area",IF(1119&lt;=$N$3,IF(AND(OR('MIDWEEK DASHBOARD'!$C$4="",ISNUMBER(SEARCH('MIDWEEK DASHBOARD'!$C$4,INDEX(MASTER_AREAS!$B:$B,1120))))),1119,""),""),IF('MIDWEEK DASHBOARD'!$B$4="Zone",IF(1119&lt;=$N$4,IF(OR('MIDWEEK DASHBOARD'!$C$4="",ISNUMBER(SEARCH('MIDWEEK DASHBOARD'!$C$4,INDEX(MASTER_ZONES!$B:$B,1120)))),1119,""),""),""))</f>
        <v/>
      </c>
      <c r="P1120">
        <f>IF('CHOP DASHBOARD'!$B$4="Area",IF(1119&lt;=$S$3,IF(AND(OR('CHOP DASHBOARD'!$C$4="",ISNUMBER(SEARCH('CHOP DASHBOARD'!$C$4,INDEX(MASTER_AREAS!$B:$B,1120))))),1119,""),""),IF('CHOP DASHBOARD'!$B$4="Zone",IF(1119&lt;=$S$4,IF(OR('CHOP DASHBOARD'!$C$4="",ISNUMBER(SEARCH('CHOP DASHBOARD'!$C$4,INDEX(MASTER_ZONES!$B:$B,1120)))),1119,""),""),""))</f>
        <v/>
      </c>
      <c r="U1120">
        <f>IF('COMMUNITY CHURCH DASHBOARD'!$B$4="Area",IF(1119&lt;=$X$3,IF(AND(OR('COMMUNITY CHURCH DASHBOARD'!$C$4="",ISNUMBER(SEARCH('COMMUNITY CHURCH DASHBOARD'!$C$4,INDEX(MASTER_AREAS!$B:$B,1120))))),1119,""),""),IF('COMMUNITY CHURCH DASHBOARD'!$B$4="Zone",IF(1119&lt;=$X$4,IF(OR('COMMUNITY CHURCH DASHBOARD'!$C$4="",ISNUMBER(SEARCH('COMMUNITY CHURCH DASHBOARD'!$C$4,INDEX(MASTER_ZONES!$B:$B,1120)))),1119,""),""),""))</f>
        <v/>
      </c>
    </row>
    <row r="1121">
      <c r="A1121">
        <f>IF('WSF DASHBOARD'!$B$4="Area",IF(1120&lt;=$D$3,IF(AND(OR('WSF DASHBOARD'!$C$4="",ISNUMBER(SEARCH('WSF DASHBOARD'!$C$4,INDEX(MASTER_AREAS!$B:$B,1121))))),1120,""),""),IF('WSF DASHBOARD'!$B$4="Zone",IF(1120&lt;=$D$4,IF(OR('WSF DASHBOARD'!$C$4="",ISNUMBER(SEARCH('WSF DASHBOARD'!$C$4,INDEX(MASTER_ZONES!$B:$B,1121)))),1120,""),""),""))</f>
        <v/>
      </c>
      <c r="F1121">
        <f>IF('TRANSPORT DASHBOARD'!$B$4="Area",IF(1120&lt;=$I$3,IF(AND(INDEX(MASTER_AREAS!$F:$F,1121)&lt;&gt;"N",OR('TRANSPORT DASHBOARD'!$C$4="",ISNUMBER(SEARCH('TRANSPORT DASHBOARD'!$C$4,INDEX(MASTER_AREAS!$B:$B,1121))))),1120,""),""),IF('TRANSPORT DASHBOARD'!$B$4="Zone",IF(1120&lt;=$I$4,IF(OR('TRANSPORT DASHBOARD'!$C$4="",ISNUMBER(SEARCH('TRANSPORT DASHBOARD'!$C$4,INDEX(MASTER_ZONES!$B:$B,1121)))),1120,""),""),""))</f>
        <v/>
      </c>
      <c r="K1121">
        <f>IF('MIDWEEK DASHBOARD'!$B$4="Area",IF(1120&lt;=$N$3,IF(AND(OR('MIDWEEK DASHBOARD'!$C$4="",ISNUMBER(SEARCH('MIDWEEK DASHBOARD'!$C$4,INDEX(MASTER_AREAS!$B:$B,1121))))),1120,""),""),IF('MIDWEEK DASHBOARD'!$B$4="Zone",IF(1120&lt;=$N$4,IF(OR('MIDWEEK DASHBOARD'!$C$4="",ISNUMBER(SEARCH('MIDWEEK DASHBOARD'!$C$4,INDEX(MASTER_ZONES!$B:$B,1121)))),1120,""),""),""))</f>
        <v/>
      </c>
      <c r="P1121">
        <f>IF('CHOP DASHBOARD'!$B$4="Area",IF(1120&lt;=$S$3,IF(AND(OR('CHOP DASHBOARD'!$C$4="",ISNUMBER(SEARCH('CHOP DASHBOARD'!$C$4,INDEX(MASTER_AREAS!$B:$B,1121))))),1120,""),""),IF('CHOP DASHBOARD'!$B$4="Zone",IF(1120&lt;=$S$4,IF(OR('CHOP DASHBOARD'!$C$4="",ISNUMBER(SEARCH('CHOP DASHBOARD'!$C$4,INDEX(MASTER_ZONES!$B:$B,1121)))),1120,""),""),""))</f>
        <v/>
      </c>
      <c r="U1121">
        <f>IF('COMMUNITY CHURCH DASHBOARD'!$B$4="Area",IF(1120&lt;=$X$3,IF(AND(OR('COMMUNITY CHURCH DASHBOARD'!$C$4="",ISNUMBER(SEARCH('COMMUNITY CHURCH DASHBOARD'!$C$4,INDEX(MASTER_AREAS!$B:$B,1121))))),1120,""),""),IF('COMMUNITY CHURCH DASHBOARD'!$B$4="Zone",IF(1120&lt;=$X$4,IF(OR('COMMUNITY CHURCH DASHBOARD'!$C$4="",ISNUMBER(SEARCH('COMMUNITY CHURCH DASHBOARD'!$C$4,INDEX(MASTER_ZONES!$B:$B,1121)))),1120,""),""),""))</f>
        <v/>
      </c>
    </row>
    <row r="1122">
      <c r="A1122">
        <f>IF('WSF DASHBOARD'!$B$4="Area",IF(1121&lt;=$D$3,IF(AND(OR('WSF DASHBOARD'!$C$4="",ISNUMBER(SEARCH('WSF DASHBOARD'!$C$4,INDEX(MASTER_AREAS!$B:$B,1122))))),1121,""),""),IF('WSF DASHBOARD'!$B$4="Zone",IF(1121&lt;=$D$4,IF(OR('WSF DASHBOARD'!$C$4="",ISNUMBER(SEARCH('WSF DASHBOARD'!$C$4,INDEX(MASTER_ZONES!$B:$B,1122)))),1121,""),""),""))</f>
        <v/>
      </c>
      <c r="F1122">
        <f>IF('TRANSPORT DASHBOARD'!$B$4="Area",IF(1121&lt;=$I$3,IF(AND(INDEX(MASTER_AREAS!$F:$F,1122)&lt;&gt;"N",OR('TRANSPORT DASHBOARD'!$C$4="",ISNUMBER(SEARCH('TRANSPORT DASHBOARD'!$C$4,INDEX(MASTER_AREAS!$B:$B,1122))))),1121,""),""),IF('TRANSPORT DASHBOARD'!$B$4="Zone",IF(1121&lt;=$I$4,IF(OR('TRANSPORT DASHBOARD'!$C$4="",ISNUMBER(SEARCH('TRANSPORT DASHBOARD'!$C$4,INDEX(MASTER_ZONES!$B:$B,1122)))),1121,""),""),""))</f>
        <v/>
      </c>
      <c r="K1122">
        <f>IF('MIDWEEK DASHBOARD'!$B$4="Area",IF(1121&lt;=$N$3,IF(AND(OR('MIDWEEK DASHBOARD'!$C$4="",ISNUMBER(SEARCH('MIDWEEK DASHBOARD'!$C$4,INDEX(MASTER_AREAS!$B:$B,1122))))),1121,""),""),IF('MIDWEEK DASHBOARD'!$B$4="Zone",IF(1121&lt;=$N$4,IF(OR('MIDWEEK DASHBOARD'!$C$4="",ISNUMBER(SEARCH('MIDWEEK DASHBOARD'!$C$4,INDEX(MASTER_ZONES!$B:$B,1122)))),1121,""),""),""))</f>
        <v/>
      </c>
      <c r="P1122">
        <f>IF('CHOP DASHBOARD'!$B$4="Area",IF(1121&lt;=$S$3,IF(AND(OR('CHOP DASHBOARD'!$C$4="",ISNUMBER(SEARCH('CHOP DASHBOARD'!$C$4,INDEX(MASTER_AREAS!$B:$B,1122))))),1121,""),""),IF('CHOP DASHBOARD'!$B$4="Zone",IF(1121&lt;=$S$4,IF(OR('CHOP DASHBOARD'!$C$4="",ISNUMBER(SEARCH('CHOP DASHBOARD'!$C$4,INDEX(MASTER_ZONES!$B:$B,1122)))),1121,""),""),""))</f>
        <v/>
      </c>
      <c r="U1122">
        <f>IF('COMMUNITY CHURCH DASHBOARD'!$B$4="Area",IF(1121&lt;=$X$3,IF(AND(OR('COMMUNITY CHURCH DASHBOARD'!$C$4="",ISNUMBER(SEARCH('COMMUNITY CHURCH DASHBOARD'!$C$4,INDEX(MASTER_AREAS!$B:$B,1122))))),1121,""),""),IF('COMMUNITY CHURCH DASHBOARD'!$B$4="Zone",IF(1121&lt;=$X$4,IF(OR('COMMUNITY CHURCH DASHBOARD'!$C$4="",ISNUMBER(SEARCH('COMMUNITY CHURCH DASHBOARD'!$C$4,INDEX(MASTER_ZONES!$B:$B,1122)))),1121,""),""),""))</f>
        <v/>
      </c>
    </row>
    <row r="1123">
      <c r="A1123">
        <f>IF('WSF DASHBOARD'!$B$4="Area",IF(1122&lt;=$D$3,IF(AND(OR('WSF DASHBOARD'!$C$4="",ISNUMBER(SEARCH('WSF DASHBOARD'!$C$4,INDEX(MASTER_AREAS!$B:$B,1123))))),1122,""),""),IF('WSF DASHBOARD'!$B$4="Zone",IF(1122&lt;=$D$4,IF(OR('WSF DASHBOARD'!$C$4="",ISNUMBER(SEARCH('WSF DASHBOARD'!$C$4,INDEX(MASTER_ZONES!$B:$B,1123)))),1122,""),""),""))</f>
        <v/>
      </c>
      <c r="F1123">
        <f>IF('TRANSPORT DASHBOARD'!$B$4="Area",IF(1122&lt;=$I$3,IF(AND(INDEX(MASTER_AREAS!$F:$F,1123)&lt;&gt;"N",OR('TRANSPORT DASHBOARD'!$C$4="",ISNUMBER(SEARCH('TRANSPORT DASHBOARD'!$C$4,INDEX(MASTER_AREAS!$B:$B,1123))))),1122,""),""),IF('TRANSPORT DASHBOARD'!$B$4="Zone",IF(1122&lt;=$I$4,IF(OR('TRANSPORT DASHBOARD'!$C$4="",ISNUMBER(SEARCH('TRANSPORT DASHBOARD'!$C$4,INDEX(MASTER_ZONES!$B:$B,1123)))),1122,""),""),""))</f>
        <v/>
      </c>
      <c r="K1123">
        <f>IF('MIDWEEK DASHBOARD'!$B$4="Area",IF(1122&lt;=$N$3,IF(AND(OR('MIDWEEK DASHBOARD'!$C$4="",ISNUMBER(SEARCH('MIDWEEK DASHBOARD'!$C$4,INDEX(MASTER_AREAS!$B:$B,1123))))),1122,""),""),IF('MIDWEEK DASHBOARD'!$B$4="Zone",IF(1122&lt;=$N$4,IF(OR('MIDWEEK DASHBOARD'!$C$4="",ISNUMBER(SEARCH('MIDWEEK DASHBOARD'!$C$4,INDEX(MASTER_ZONES!$B:$B,1123)))),1122,""),""),""))</f>
        <v/>
      </c>
      <c r="P1123">
        <f>IF('CHOP DASHBOARD'!$B$4="Area",IF(1122&lt;=$S$3,IF(AND(OR('CHOP DASHBOARD'!$C$4="",ISNUMBER(SEARCH('CHOP DASHBOARD'!$C$4,INDEX(MASTER_AREAS!$B:$B,1123))))),1122,""),""),IF('CHOP DASHBOARD'!$B$4="Zone",IF(1122&lt;=$S$4,IF(OR('CHOP DASHBOARD'!$C$4="",ISNUMBER(SEARCH('CHOP DASHBOARD'!$C$4,INDEX(MASTER_ZONES!$B:$B,1123)))),1122,""),""),""))</f>
        <v/>
      </c>
      <c r="U1123">
        <f>IF('COMMUNITY CHURCH DASHBOARD'!$B$4="Area",IF(1122&lt;=$X$3,IF(AND(OR('COMMUNITY CHURCH DASHBOARD'!$C$4="",ISNUMBER(SEARCH('COMMUNITY CHURCH DASHBOARD'!$C$4,INDEX(MASTER_AREAS!$B:$B,1123))))),1122,""),""),IF('COMMUNITY CHURCH DASHBOARD'!$B$4="Zone",IF(1122&lt;=$X$4,IF(OR('COMMUNITY CHURCH DASHBOARD'!$C$4="",ISNUMBER(SEARCH('COMMUNITY CHURCH DASHBOARD'!$C$4,INDEX(MASTER_ZONES!$B:$B,1123)))),1122,""),""),""))</f>
        <v/>
      </c>
    </row>
    <row r="1124">
      <c r="A1124">
        <f>IF('WSF DASHBOARD'!$B$4="Area",IF(1123&lt;=$D$3,IF(AND(OR('WSF DASHBOARD'!$C$4="",ISNUMBER(SEARCH('WSF DASHBOARD'!$C$4,INDEX(MASTER_AREAS!$B:$B,1124))))),1123,""),""),IF('WSF DASHBOARD'!$B$4="Zone",IF(1123&lt;=$D$4,IF(OR('WSF DASHBOARD'!$C$4="",ISNUMBER(SEARCH('WSF DASHBOARD'!$C$4,INDEX(MASTER_ZONES!$B:$B,1124)))),1123,""),""),""))</f>
        <v/>
      </c>
      <c r="F1124">
        <f>IF('TRANSPORT DASHBOARD'!$B$4="Area",IF(1123&lt;=$I$3,IF(AND(INDEX(MASTER_AREAS!$F:$F,1124)&lt;&gt;"N",OR('TRANSPORT DASHBOARD'!$C$4="",ISNUMBER(SEARCH('TRANSPORT DASHBOARD'!$C$4,INDEX(MASTER_AREAS!$B:$B,1124))))),1123,""),""),IF('TRANSPORT DASHBOARD'!$B$4="Zone",IF(1123&lt;=$I$4,IF(OR('TRANSPORT DASHBOARD'!$C$4="",ISNUMBER(SEARCH('TRANSPORT DASHBOARD'!$C$4,INDEX(MASTER_ZONES!$B:$B,1124)))),1123,""),""),""))</f>
        <v/>
      </c>
      <c r="K1124">
        <f>IF('MIDWEEK DASHBOARD'!$B$4="Area",IF(1123&lt;=$N$3,IF(AND(OR('MIDWEEK DASHBOARD'!$C$4="",ISNUMBER(SEARCH('MIDWEEK DASHBOARD'!$C$4,INDEX(MASTER_AREAS!$B:$B,1124))))),1123,""),""),IF('MIDWEEK DASHBOARD'!$B$4="Zone",IF(1123&lt;=$N$4,IF(OR('MIDWEEK DASHBOARD'!$C$4="",ISNUMBER(SEARCH('MIDWEEK DASHBOARD'!$C$4,INDEX(MASTER_ZONES!$B:$B,1124)))),1123,""),""),""))</f>
        <v/>
      </c>
      <c r="P1124">
        <f>IF('CHOP DASHBOARD'!$B$4="Area",IF(1123&lt;=$S$3,IF(AND(OR('CHOP DASHBOARD'!$C$4="",ISNUMBER(SEARCH('CHOP DASHBOARD'!$C$4,INDEX(MASTER_AREAS!$B:$B,1124))))),1123,""),""),IF('CHOP DASHBOARD'!$B$4="Zone",IF(1123&lt;=$S$4,IF(OR('CHOP DASHBOARD'!$C$4="",ISNUMBER(SEARCH('CHOP DASHBOARD'!$C$4,INDEX(MASTER_ZONES!$B:$B,1124)))),1123,""),""),""))</f>
        <v/>
      </c>
      <c r="U1124">
        <f>IF('COMMUNITY CHURCH DASHBOARD'!$B$4="Area",IF(1123&lt;=$X$3,IF(AND(OR('COMMUNITY CHURCH DASHBOARD'!$C$4="",ISNUMBER(SEARCH('COMMUNITY CHURCH DASHBOARD'!$C$4,INDEX(MASTER_AREAS!$B:$B,1124))))),1123,""),""),IF('COMMUNITY CHURCH DASHBOARD'!$B$4="Zone",IF(1123&lt;=$X$4,IF(OR('COMMUNITY CHURCH DASHBOARD'!$C$4="",ISNUMBER(SEARCH('COMMUNITY CHURCH DASHBOARD'!$C$4,INDEX(MASTER_ZONES!$B:$B,1124)))),1123,""),""),""))</f>
        <v/>
      </c>
    </row>
    <row r="1125">
      <c r="A1125">
        <f>IF('WSF DASHBOARD'!$B$4="Area",IF(1124&lt;=$D$3,IF(AND(OR('WSF DASHBOARD'!$C$4="",ISNUMBER(SEARCH('WSF DASHBOARD'!$C$4,INDEX(MASTER_AREAS!$B:$B,1125))))),1124,""),""),IF('WSF DASHBOARD'!$B$4="Zone",IF(1124&lt;=$D$4,IF(OR('WSF DASHBOARD'!$C$4="",ISNUMBER(SEARCH('WSF DASHBOARD'!$C$4,INDEX(MASTER_ZONES!$B:$B,1125)))),1124,""),""),""))</f>
        <v/>
      </c>
      <c r="F1125">
        <f>IF('TRANSPORT DASHBOARD'!$B$4="Area",IF(1124&lt;=$I$3,IF(AND(INDEX(MASTER_AREAS!$F:$F,1125)&lt;&gt;"N",OR('TRANSPORT DASHBOARD'!$C$4="",ISNUMBER(SEARCH('TRANSPORT DASHBOARD'!$C$4,INDEX(MASTER_AREAS!$B:$B,1125))))),1124,""),""),IF('TRANSPORT DASHBOARD'!$B$4="Zone",IF(1124&lt;=$I$4,IF(OR('TRANSPORT DASHBOARD'!$C$4="",ISNUMBER(SEARCH('TRANSPORT DASHBOARD'!$C$4,INDEX(MASTER_ZONES!$B:$B,1125)))),1124,""),""),""))</f>
        <v/>
      </c>
      <c r="K1125">
        <f>IF('MIDWEEK DASHBOARD'!$B$4="Area",IF(1124&lt;=$N$3,IF(AND(OR('MIDWEEK DASHBOARD'!$C$4="",ISNUMBER(SEARCH('MIDWEEK DASHBOARD'!$C$4,INDEX(MASTER_AREAS!$B:$B,1125))))),1124,""),""),IF('MIDWEEK DASHBOARD'!$B$4="Zone",IF(1124&lt;=$N$4,IF(OR('MIDWEEK DASHBOARD'!$C$4="",ISNUMBER(SEARCH('MIDWEEK DASHBOARD'!$C$4,INDEX(MASTER_ZONES!$B:$B,1125)))),1124,""),""),""))</f>
        <v/>
      </c>
      <c r="P1125">
        <f>IF('CHOP DASHBOARD'!$B$4="Area",IF(1124&lt;=$S$3,IF(AND(OR('CHOP DASHBOARD'!$C$4="",ISNUMBER(SEARCH('CHOP DASHBOARD'!$C$4,INDEX(MASTER_AREAS!$B:$B,1125))))),1124,""),""),IF('CHOP DASHBOARD'!$B$4="Zone",IF(1124&lt;=$S$4,IF(OR('CHOP DASHBOARD'!$C$4="",ISNUMBER(SEARCH('CHOP DASHBOARD'!$C$4,INDEX(MASTER_ZONES!$B:$B,1125)))),1124,""),""),""))</f>
        <v/>
      </c>
      <c r="U1125">
        <f>IF('COMMUNITY CHURCH DASHBOARD'!$B$4="Area",IF(1124&lt;=$X$3,IF(AND(OR('COMMUNITY CHURCH DASHBOARD'!$C$4="",ISNUMBER(SEARCH('COMMUNITY CHURCH DASHBOARD'!$C$4,INDEX(MASTER_AREAS!$B:$B,1125))))),1124,""),""),IF('COMMUNITY CHURCH DASHBOARD'!$B$4="Zone",IF(1124&lt;=$X$4,IF(OR('COMMUNITY CHURCH DASHBOARD'!$C$4="",ISNUMBER(SEARCH('COMMUNITY CHURCH DASHBOARD'!$C$4,INDEX(MASTER_ZONES!$B:$B,1125)))),1124,""),""),""))</f>
        <v/>
      </c>
    </row>
    <row r="1126">
      <c r="A1126">
        <f>IF('WSF DASHBOARD'!$B$4="Area",IF(1125&lt;=$D$3,IF(AND(OR('WSF DASHBOARD'!$C$4="",ISNUMBER(SEARCH('WSF DASHBOARD'!$C$4,INDEX(MASTER_AREAS!$B:$B,1126))))),1125,""),""),IF('WSF DASHBOARD'!$B$4="Zone",IF(1125&lt;=$D$4,IF(OR('WSF DASHBOARD'!$C$4="",ISNUMBER(SEARCH('WSF DASHBOARD'!$C$4,INDEX(MASTER_ZONES!$B:$B,1126)))),1125,""),""),""))</f>
        <v/>
      </c>
      <c r="F1126">
        <f>IF('TRANSPORT DASHBOARD'!$B$4="Area",IF(1125&lt;=$I$3,IF(AND(INDEX(MASTER_AREAS!$F:$F,1126)&lt;&gt;"N",OR('TRANSPORT DASHBOARD'!$C$4="",ISNUMBER(SEARCH('TRANSPORT DASHBOARD'!$C$4,INDEX(MASTER_AREAS!$B:$B,1126))))),1125,""),""),IF('TRANSPORT DASHBOARD'!$B$4="Zone",IF(1125&lt;=$I$4,IF(OR('TRANSPORT DASHBOARD'!$C$4="",ISNUMBER(SEARCH('TRANSPORT DASHBOARD'!$C$4,INDEX(MASTER_ZONES!$B:$B,1126)))),1125,""),""),""))</f>
        <v/>
      </c>
      <c r="K1126">
        <f>IF('MIDWEEK DASHBOARD'!$B$4="Area",IF(1125&lt;=$N$3,IF(AND(OR('MIDWEEK DASHBOARD'!$C$4="",ISNUMBER(SEARCH('MIDWEEK DASHBOARD'!$C$4,INDEX(MASTER_AREAS!$B:$B,1126))))),1125,""),""),IF('MIDWEEK DASHBOARD'!$B$4="Zone",IF(1125&lt;=$N$4,IF(OR('MIDWEEK DASHBOARD'!$C$4="",ISNUMBER(SEARCH('MIDWEEK DASHBOARD'!$C$4,INDEX(MASTER_ZONES!$B:$B,1126)))),1125,""),""),""))</f>
        <v/>
      </c>
      <c r="P1126">
        <f>IF('CHOP DASHBOARD'!$B$4="Area",IF(1125&lt;=$S$3,IF(AND(OR('CHOP DASHBOARD'!$C$4="",ISNUMBER(SEARCH('CHOP DASHBOARD'!$C$4,INDEX(MASTER_AREAS!$B:$B,1126))))),1125,""),""),IF('CHOP DASHBOARD'!$B$4="Zone",IF(1125&lt;=$S$4,IF(OR('CHOP DASHBOARD'!$C$4="",ISNUMBER(SEARCH('CHOP DASHBOARD'!$C$4,INDEX(MASTER_ZONES!$B:$B,1126)))),1125,""),""),""))</f>
        <v/>
      </c>
      <c r="U1126">
        <f>IF('COMMUNITY CHURCH DASHBOARD'!$B$4="Area",IF(1125&lt;=$X$3,IF(AND(OR('COMMUNITY CHURCH DASHBOARD'!$C$4="",ISNUMBER(SEARCH('COMMUNITY CHURCH DASHBOARD'!$C$4,INDEX(MASTER_AREAS!$B:$B,1126))))),1125,""),""),IF('COMMUNITY CHURCH DASHBOARD'!$B$4="Zone",IF(1125&lt;=$X$4,IF(OR('COMMUNITY CHURCH DASHBOARD'!$C$4="",ISNUMBER(SEARCH('COMMUNITY CHURCH DASHBOARD'!$C$4,INDEX(MASTER_ZONES!$B:$B,1126)))),1125,""),""),""))</f>
        <v/>
      </c>
    </row>
    <row r="1127">
      <c r="A1127">
        <f>IF('WSF DASHBOARD'!$B$4="Area",IF(1126&lt;=$D$3,IF(AND(OR('WSF DASHBOARD'!$C$4="",ISNUMBER(SEARCH('WSF DASHBOARD'!$C$4,INDEX(MASTER_AREAS!$B:$B,1127))))),1126,""),""),IF('WSF DASHBOARD'!$B$4="Zone",IF(1126&lt;=$D$4,IF(OR('WSF DASHBOARD'!$C$4="",ISNUMBER(SEARCH('WSF DASHBOARD'!$C$4,INDEX(MASTER_ZONES!$B:$B,1127)))),1126,""),""),""))</f>
        <v/>
      </c>
      <c r="F1127">
        <f>IF('TRANSPORT DASHBOARD'!$B$4="Area",IF(1126&lt;=$I$3,IF(AND(INDEX(MASTER_AREAS!$F:$F,1127)&lt;&gt;"N",OR('TRANSPORT DASHBOARD'!$C$4="",ISNUMBER(SEARCH('TRANSPORT DASHBOARD'!$C$4,INDEX(MASTER_AREAS!$B:$B,1127))))),1126,""),""),IF('TRANSPORT DASHBOARD'!$B$4="Zone",IF(1126&lt;=$I$4,IF(OR('TRANSPORT DASHBOARD'!$C$4="",ISNUMBER(SEARCH('TRANSPORT DASHBOARD'!$C$4,INDEX(MASTER_ZONES!$B:$B,1127)))),1126,""),""),""))</f>
        <v/>
      </c>
      <c r="K1127">
        <f>IF('MIDWEEK DASHBOARD'!$B$4="Area",IF(1126&lt;=$N$3,IF(AND(OR('MIDWEEK DASHBOARD'!$C$4="",ISNUMBER(SEARCH('MIDWEEK DASHBOARD'!$C$4,INDEX(MASTER_AREAS!$B:$B,1127))))),1126,""),""),IF('MIDWEEK DASHBOARD'!$B$4="Zone",IF(1126&lt;=$N$4,IF(OR('MIDWEEK DASHBOARD'!$C$4="",ISNUMBER(SEARCH('MIDWEEK DASHBOARD'!$C$4,INDEX(MASTER_ZONES!$B:$B,1127)))),1126,""),""),""))</f>
        <v/>
      </c>
      <c r="P1127">
        <f>IF('CHOP DASHBOARD'!$B$4="Area",IF(1126&lt;=$S$3,IF(AND(OR('CHOP DASHBOARD'!$C$4="",ISNUMBER(SEARCH('CHOP DASHBOARD'!$C$4,INDEX(MASTER_AREAS!$B:$B,1127))))),1126,""),""),IF('CHOP DASHBOARD'!$B$4="Zone",IF(1126&lt;=$S$4,IF(OR('CHOP DASHBOARD'!$C$4="",ISNUMBER(SEARCH('CHOP DASHBOARD'!$C$4,INDEX(MASTER_ZONES!$B:$B,1127)))),1126,""),""),""))</f>
        <v/>
      </c>
      <c r="U1127">
        <f>IF('COMMUNITY CHURCH DASHBOARD'!$B$4="Area",IF(1126&lt;=$X$3,IF(AND(OR('COMMUNITY CHURCH DASHBOARD'!$C$4="",ISNUMBER(SEARCH('COMMUNITY CHURCH DASHBOARD'!$C$4,INDEX(MASTER_AREAS!$B:$B,1127))))),1126,""),""),IF('COMMUNITY CHURCH DASHBOARD'!$B$4="Zone",IF(1126&lt;=$X$4,IF(OR('COMMUNITY CHURCH DASHBOARD'!$C$4="",ISNUMBER(SEARCH('COMMUNITY CHURCH DASHBOARD'!$C$4,INDEX(MASTER_ZONES!$B:$B,1127)))),1126,""),""),""))</f>
        <v/>
      </c>
    </row>
    <row r="1128">
      <c r="A1128">
        <f>IF('WSF DASHBOARD'!$B$4="Area",IF(1127&lt;=$D$3,IF(AND(OR('WSF DASHBOARD'!$C$4="",ISNUMBER(SEARCH('WSF DASHBOARD'!$C$4,INDEX(MASTER_AREAS!$B:$B,1128))))),1127,""),""),IF('WSF DASHBOARD'!$B$4="Zone",IF(1127&lt;=$D$4,IF(OR('WSF DASHBOARD'!$C$4="",ISNUMBER(SEARCH('WSF DASHBOARD'!$C$4,INDEX(MASTER_ZONES!$B:$B,1128)))),1127,""),""),""))</f>
        <v/>
      </c>
      <c r="F1128">
        <f>IF('TRANSPORT DASHBOARD'!$B$4="Area",IF(1127&lt;=$I$3,IF(AND(INDEX(MASTER_AREAS!$F:$F,1128)&lt;&gt;"N",OR('TRANSPORT DASHBOARD'!$C$4="",ISNUMBER(SEARCH('TRANSPORT DASHBOARD'!$C$4,INDEX(MASTER_AREAS!$B:$B,1128))))),1127,""),""),IF('TRANSPORT DASHBOARD'!$B$4="Zone",IF(1127&lt;=$I$4,IF(OR('TRANSPORT DASHBOARD'!$C$4="",ISNUMBER(SEARCH('TRANSPORT DASHBOARD'!$C$4,INDEX(MASTER_ZONES!$B:$B,1128)))),1127,""),""),""))</f>
        <v/>
      </c>
      <c r="K1128">
        <f>IF('MIDWEEK DASHBOARD'!$B$4="Area",IF(1127&lt;=$N$3,IF(AND(OR('MIDWEEK DASHBOARD'!$C$4="",ISNUMBER(SEARCH('MIDWEEK DASHBOARD'!$C$4,INDEX(MASTER_AREAS!$B:$B,1128))))),1127,""),""),IF('MIDWEEK DASHBOARD'!$B$4="Zone",IF(1127&lt;=$N$4,IF(OR('MIDWEEK DASHBOARD'!$C$4="",ISNUMBER(SEARCH('MIDWEEK DASHBOARD'!$C$4,INDEX(MASTER_ZONES!$B:$B,1128)))),1127,""),""),""))</f>
        <v/>
      </c>
      <c r="P1128">
        <f>IF('CHOP DASHBOARD'!$B$4="Area",IF(1127&lt;=$S$3,IF(AND(OR('CHOP DASHBOARD'!$C$4="",ISNUMBER(SEARCH('CHOP DASHBOARD'!$C$4,INDEX(MASTER_AREAS!$B:$B,1128))))),1127,""),""),IF('CHOP DASHBOARD'!$B$4="Zone",IF(1127&lt;=$S$4,IF(OR('CHOP DASHBOARD'!$C$4="",ISNUMBER(SEARCH('CHOP DASHBOARD'!$C$4,INDEX(MASTER_ZONES!$B:$B,1128)))),1127,""),""),""))</f>
        <v/>
      </c>
      <c r="U1128">
        <f>IF('COMMUNITY CHURCH DASHBOARD'!$B$4="Area",IF(1127&lt;=$X$3,IF(AND(OR('COMMUNITY CHURCH DASHBOARD'!$C$4="",ISNUMBER(SEARCH('COMMUNITY CHURCH DASHBOARD'!$C$4,INDEX(MASTER_AREAS!$B:$B,1128))))),1127,""),""),IF('COMMUNITY CHURCH DASHBOARD'!$B$4="Zone",IF(1127&lt;=$X$4,IF(OR('COMMUNITY CHURCH DASHBOARD'!$C$4="",ISNUMBER(SEARCH('COMMUNITY CHURCH DASHBOARD'!$C$4,INDEX(MASTER_ZONES!$B:$B,1128)))),1127,""),""),""))</f>
        <v/>
      </c>
    </row>
    <row r="1129">
      <c r="A1129">
        <f>IF('WSF DASHBOARD'!$B$4="Area",IF(1128&lt;=$D$3,IF(AND(OR('WSF DASHBOARD'!$C$4="",ISNUMBER(SEARCH('WSF DASHBOARD'!$C$4,INDEX(MASTER_AREAS!$B:$B,1129))))),1128,""),""),IF('WSF DASHBOARD'!$B$4="Zone",IF(1128&lt;=$D$4,IF(OR('WSF DASHBOARD'!$C$4="",ISNUMBER(SEARCH('WSF DASHBOARD'!$C$4,INDEX(MASTER_ZONES!$B:$B,1129)))),1128,""),""),""))</f>
        <v/>
      </c>
      <c r="F1129">
        <f>IF('TRANSPORT DASHBOARD'!$B$4="Area",IF(1128&lt;=$I$3,IF(AND(INDEX(MASTER_AREAS!$F:$F,1129)&lt;&gt;"N",OR('TRANSPORT DASHBOARD'!$C$4="",ISNUMBER(SEARCH('TRANSPORT DASHBOARD'!$C$4,INDEX(MASTER_AREAS!$B:$B,1129))))),1128,""),""),IF('TRANSPORT DASHBOARD'!$B$4="Zone",IF(1128&lt;=$I$4,IF(OR('TRANSPORT DASHBOARD'!$C$4="",ISNUMBER(SEARCH('TRANSPORT DASHBOARD'!$C$4,INDEX(MASTER_ZONES!$B:$B,1129)))),1128,""),""),""))</f>
        <v/>
      </c>
      <c r="K1129">
        <f>IF('MIDWEEK DASHBOARD'!$B$4="Area",IF(1128&lt;=$N$3,IF(AND(OR('MIDWEEK DASHBOARD'!$C$4="",ISNUMBER(SEARCH('MIDWEEK DASHBOARD'!$C$4,INDEX(MASTER_AREAS!$B:$B,1129))))),1128,""),""),IF('MIDWEEK DASHBOARD'!$B$4="Zone",IF(1128&lt;=$N$4,IF(OR('MIDWEEK DASHBOARD'!$C$4="",ISNUMBER(SEARCH('MIDWEEK DASHBOARD'!$C$4,INDEX(MASTER_ZONES!$B:$B,1129)))),1128,""),""),""))</f>
        <v/>
      </c>
      <c r="P1129">
        <f>IF('CHOP DASHBOARD'!$B$4="Area",IF(1128&lt;=$S$3,IF(AND(OR('CHOP DASHBOARD'!$C$4="",ISNUMBER(SEARCH('CHOP DASHBOARD'!$C$4,INDEX(MASTER_AREAS!$B:$B,1129))))),1128,""),""),IF('CHOP DASHBOARD'!$B$4="Zone",IF(1128&lt;=$S$4,IF(OR('CHOP DASHBOARD'!$C$4="",ISNUMBER(SEARCH('CHOP DASHBOARD'!$C$4,INDEX(MASTER_ZONES!$B:$B,1129)))),1128,""),""),""))</f>
        <v/>
      </c>
      <c r="U1129">
        <f>IF('COMMUNITY CHURCH DASHBOARD'!$B$4="Area",IF(1128&lt;=$X$3,IF(AND(OR('COMMUNITY CHURCH DASHBOARD'!$C$4="",ISNUMBER(SEARCH('COMMUNITY CHURCH DASHBOARD'!$C$4,INDEX(MASTER_AREAS!$B:$B,1129))))),1128,""),""),IF('COMMUNITY CHURCH DASHBOARD'!$B$4="Zone",IF(1128&lt;=$X$4,IF(OR('COMMUNITY CHURCH DASHBOARD'!$C$4="",ISNUMBER(SEARCH('COMMUNITY CHURCH DASHBOARD'!$C$4,INDEX(MASTER_ZONES!$B:$B,1129)))),1128,""),""),""))</f>
        <v/>
      </c>
    </row>
    <row r="1130">
      <c r="A1130">
        <f>IF('WSF DASHBOARD'!$B$4="Area",IF(1129&lt;=$D$3,IF(AND(OR('WSF DASHBOARD'!$C$4="",ISNUMBER(SEARCH('WSF DASHBOARD'!$C$4,INDEX(MASTER_AREAS!$B:$B,1130))))),1129,""),""),IF('WSF DASHBOARD'!$B$4="Zone",IF(1129&lt;=$D$4,IF(OR('WSF DASHBOARD'!$C$4="",ISNUMBER(SEARCH('WSF DASHBOARD'!$C$4,INDEX(MASTER_ZONES!$B:$B,1130)))),1129,""),""),""))</f>
        <v/>
      </c>
      <c r="F1130">
        <f>IF('TRANSPORT DASHBOARD'!$B$4="Area",IF(1129&lt;=$I$3,IF(AND(INDEX(MASTER_AREAS!$F:$F,1130)&lt;&gt;"N",OR('TRANSPORT DASHBOARD'!$C$4="",ISNUMBER(SEARCH('TRANSPORT DASHBOARD'!$C$4,INDEX(MASTER_AREAS!$B:$B,1130))))),1129,""),""),IF('TRANSPORT DASHBOARD'!$B$4="Zone",IF(1129&lt;=$I$4,IF(OR('TRANSPORT DASHBOARD'!$C$4="",ISNUMBER(SEARCH('TRANSPORT DASHBOARD'!$C$4,INDEX(MASTER_ZONES!$B:$B,1130)))),1129,""),""),""))</f>
        <v/>
      </c>
      <c r="K1130">
        <f>IF('MIDWEEK DASHBOARD'!$B$4="Area",IF(1129&lt;=$N$3,IF(AND(OR('MIDWEEK DASHBOARD'!$C$4="",ISNUMBER(SEARCH('MIDWEEK DASHBOARD'!$C$4,INDEX(MASTER_AREAS!$B:$B,1130))))),1129,""),""),IF('MIDWEEK DASHBOARD'!$B$4="Zone",IF(1129&lt;=$N$4,IF(OR('MIDWEEK DASHBOARD'!$C$4="",ISNUMBER(SEARCH('MIDWEEK DASHBOARD'!$C$4,INDEX(MASTER_ZONES!$B:$B,1130)))),1129,""),""),""))</f>
        <v/>
      </c>
      <c r="P1130">
        <f>IF('CHOP DASHBOARD'!$B$4="Area",IF(1129&lt;=$S$3,IF(AND(OR('CHOP DASHBOARD'!$C$4="",ISNUMBER(SEARCH('CHOP DASHBOARD'!$C$4,INDEX(MASTER_AREAS!$B:$B,1130))))),1129,""),""),IF('CHOP DASHBOARD'!$B$4="Zone",IF(1129&lt;=$S$4,IF(OR('CHOP DASHBOARD'!$C$4="",ISNUMBER(SEARCH('CHOP DASHBOARD'!$C$4,INDEX(MASTER_ZONES!$B:$B,1130)))),1129,""),""),""))</f>
        <v/>
      </c>
      <c r="U1130">
        <f>IF('COMMUNITY CHURCH DASHBOARD'!$B$4="Area",IF(1129&lt;=$X$3,IF(AND(OR('COMMUNITY CHURCH DASHBOARD'!$C$4="",ISNUMBER(SEARCH('COMMUNITY CHURCH DASHBOARD'!$C$4,INDEX(MASTER_AREAS!$B:$B,1130))))),1129,""),""),IF('COMMUNITY CHURCH DASHBOARD'!$B$4="Zone",IF(1129&lt;=$X$4,IF(OR('COMMUNITY CHURCH DASHBOARD'!$C$4="",ISNUMBER(SEARCH('COMMUNITY CHURCH DASHBOARD'!$C$4,INDEX(MASTER_ZONES!$B:$B,1130)))),1129,""),""),""))</f>
        <v/>
      </c>
    </row>
    <row r="1131">
      <c r="A1131">
        <f>IF('WSF DASHBOARD'!$B$4="Area",IF(1130&lt;=$D$3,IF(AND(OR('WSF DASHBOARD'!$C$4="",ISNUMBER(SEARCH('WSF DASHBOARD'!$C$4,INDEX(MASTER_AREAS!$B:$B,1131))))),1130,""),""),IF('WSF DASHBOARD'!$B$4="Zone",IF(1130&lt;=$D$4,IF(OR('WSF DASHBOARD'!$C$4="",ISNUMBER(SEARCH('WSF DASHBOARD'!$C$4,INDEX(MASTER_ZONES!$B:$B,1131)))),1130,""),""),""))</f>
        <v/>
      </c>
      <c r="F1131">
        <f>IF('TRANSPORT DASHBOARD'!$B$4="Area",IF(1130&lt;=$I$3,IF(AND(INDEX(MASTER_AREAS!$F:$F,1131)&lt;&gt;"N",OR('TRANSPORT DASHBOARD'!$C$4="",ISNUMBER(SEARCH('TRANSPORT DASHBOARD'!$C$4,INDEX(MASTER_AREAS!$B:$B,1131))))),1130,""),""),IF('TRANSPORT DASHBOARD'!$B$4="Zone",IF(1130&lt;=$I$4,IF(OR('TRANSPORT DASHBOARD'!$C$4="",ISNUMBER(SEARCH('TRANSPORT DASHBOARD'!$C$4,INDEX(MASTER_ZONES!$B:$B,1131)))),1130,""),""),""))</f>
        <v/>
      </c>
      <c r="K1131">
        <f>IF('MIDWEEK DASHBOARD'!$B$4="Area",IF(1130&lt;=$N$3,IF(AND(OR('MIDWEEK DASHBOARD'!$C$4="",ISNUMBER(SEARCH('MIDWEEK DASHBOARD'!$C$4,INDEX(MASTER_AREAS!$B:$B,1131))))),1130,""),""),IF('MIDWEEK DASHBOARD'!$B$4="Zone",IF(1130&lt;=$N$4,IF(OR('MIDWEEK DASHBOARD'!$C$4="",ISNUMBER(SEARCH('MIDWEEK DASHBOARD'!$C$4,INDEX(MASTER_ZONES!$B:$B,1131)))),1130,""),""),""))</f>
        <v/>
      </c>
      <c r="P1131">
        <f>IF('CHOP DASHBOARD'!$B$4="Area",IF(1130&lt;=$S$3,IF(AND(OR('CHOP DASHBOARD'!$C$4="",ISNUMBER(SEARCH('CHOP DASHBOARD'!$C$4,INDEX(MASTER_AREAS!$B:$B,1131))))),1130,""),""),IF('CHOP DASHBOARD'!$B$4="Zone",IF(1130&lt;=$S$4,IF(OR('CHOP DASHBOARD'!$C$4="",ISNUMBER(SEARCH('CHOP DASHBOARD'!$C$4,INDEX(MASTER_ZONES!$B:$B,1131)))),1130,""),""),""))</f>
        <v/>
      </c>
      <c r="U1131">
        <f>IF('COMMUNITY CHURCH DASHBOARD'!$B$4="Area",IF(1130&lt;=$X$3,IF(AND(OR('COMMUNITY CHURCH DASHBOARD'!$C$4="",ISNUMBER(SEARCH('COMMUNITY CHURCH DASHBOARD'!$C$4,INDEX(MASTER_AREAS!$B:$B,1131))))),1130,""),""),IF('COMMUNITY CHURCH DASHBOARD'!$B$4="Zone",IF(1130&lt;=$X$4,IF(OR('COMMUNITY CHURCH DASHBOARD'!$C$4="",ISNUMBER(SEARCH('COMMUNITY CHURCH DASHBOARD'!$C$4,INDEX(MASTER_ZONES!$B:$B,1131)))),1130,""),""),""))</f>
        <v/>
      </c>
    </row>
    <row r="1132">
      <c r="A1132">
        <f>IF('WSF DASHBOARD'!$B$4="Area",IF(1131&lt;=$D$3,IF(AND(OR('WSF DASHBOARD'!$C$4="",ISNUMBER(SEARCH('WSF DASHBOARD'!$C$4,INDEX(MASTER_AREAS!$B:$B,1132))))),1131,""),""),IF('WSF DASHBOARD'!$B$4="Zone",IF(1131&lt;=$D$4,IF(OR('WSF DASHBOARD'!$C$4="",ISNUMBER(SEARCH('WSF DASHBOARD'!$C$4,INDEX(MASTER_ZONES!$B:$B,1132)))),1131,""),""),""))</f>
        <v/>
      </c>
      <c r="F1132">
        <f>IF('TRANSPORT DASHBOARD'!$B$4="Area",IF(1131&lt;=$I$3,IF(AND(INDEX(MASTER_AREAS!$F:$F,1132)&lt;&gt;"N",OR('TRANSPORT DASHBOARD'!$C$4="",ISNUMBER(SEARCH('TRANSPORT DASHBOARD'!$C$4,INDEX(MASTER_AREAS!$B:$B,1132))))),1131,""),""),IF('TRANSPORT DASHBOARD'!$B$4="Zone",IF(1131&lt;=$I$4,IF(OR('TRANSPORT DASHBOARD'!$C$4="",ISNUMBER(SEARCH('TRANSPORT DASHBOARD'!$C$4,INDEX(MASTER_ZONES!$B:$B,1132)))),1131,""),""),""))</f>
        <v/>
      </c>
      <c r="K1132">
        <f>IF('MIDWEEK DASHBOARD'!$B$4="Area",IF(1131&lt;=$N$3,IF(AND(OR('MIDWEEK DASHBOARD'!$C$4="",ISNUMBER(SEARCH('MIDWEEK DASHBOARD'!$C$4,INDEX(MASTER_AREAS!$B:$B,1132))))),1131,""),""),IF('MIDWEEK DASHBOARD'!$B$4="Zone",IF(1131&lt;=$N$4,IF(OR('MIDWEEK DASHBOARD'!$C$4="",ISNUMBER(SEARCH('MIDWEEK DASHBOARD'!$C$4,INDEX(MASTER_ZONES!$B:$B,1132)))),1131,""),""),""))</f>
        <v/>
      </c>
      <c r="P1132">
        <f>IF('CHOP DASHBOARD'!$B$4="Area",IF(1131&lt;=$S$3,IF(AND(OR('CHOP DASHBOARD'!$C$4="",ISNUMBER(SEARCH('CHOP DASHBOARD'!$C$4,INDEX(MASTER_AREAS!$B:$B,1132))))),1131,""),""),IF('CHOP DASHBOARD'!$B$4="Zone",IF(1131&lt;=$S$4,IF(OR('CHOP DASHBOARD'!$C$4="",ISNUMBER(SEARCH('CHOP DASHBOARD'!$C$4,INDEX(MASTER_ZONES!$B:$B,1132)))),1131,""),""),""))</f>
        <v/>
      </c>
      <c r="U1132">
        <f>IF('COMMUNITY CHURCH DASHBOARD'!$B$4="Area",IF(1131&lt;=$X$3,IF(AND(OR('COMMUNITY CHURCH DASHBOARD'!$C$4="",ISNUMBER(SEARCH('COMMUNITY CHURCH DASHBOARD'!$C$4,INDEX(MASTER_AREAS!$B:$B,1132))))),1131,""),""),IF('COMMUNITY CHURCH DASHBOARD'!$B$4="Zone",IF(1131&lt;=$X$4,IF(OR('COMMUNITY CHURCH DASHBOARD'!$C$4="",ISNUMBER(SEARCH('COMMUNITY CHURCH DASHBOARD'!$C$4,INDEX(MASTER_ZONES!$B:$B,1132)))),1131,""),""),""))</f>
        <v/>
      </c>
    </row>
    <row r="1133">
      <c r="A1133">
        <f>IF('WSF DASHBOARD'!$B$4="Area",IF(1132&lt;=$D$3,IF(AND(OR('WSF DASHBOARD'!$C$4="",ISNUMBER(SEARCH('WSF DASHBOARD'!$C$4,INDEX(MASTER_AREAS!$B:$B,1133))))),1132,""),""),IF('WSF DASHBOARD'!$B$4="Zone",IF(1132&lt;=$D$4,IF(OR('WSF DASHBOARD'!$C$4="",ISNUMBER(SEARCH('WSF DASHBOARD'!$C$4,INDEX(MASTER_ZONES!$B:$B,1133)))),1132,""),""),""))</f>
        <v/>
      </c>
      <c r="F1133">
        <f>IF('TRANSPORT DASHBOARD'!$B$4="Area",IF(1132&lt;=$I$3,IF(AND(INDEX(MASTER_AREAS!$F:$F,1133)&lt;&gt;"N",OR('TRANSPORT DASHBOARD'!$C$4="",ISNUMBER(SEARCH('TRANSPORT DASHBOARD'!$C$4,INDEX(MASTER_AREAS!$B:$B,1133))))),1132,""),""),IF('TRANSPORT DASHBOARD'!$B$4="Zone",IF(1132&lt;=$I$4,IF(OR('TRANSPORT DASHBOARD'!$C$4="",ISNUMBER(SEARCH('TRANSPORT DASHBOARD'!$C$4,INDEX(MASTER_ZONES!$B:$B,1133)))),1132,""),""),""))</f>
        <v/>
      </c>
      <c r="K1133">
        <f>IF('MIDWEEK DASHBOARD'!$B$4="Area",IF(1132&lt;=$N$3,IF(AND(OR('MIDWEEK DASHBOARD'!$C$4="",ISNUMBER(SEARCH('MIDWEEK DASHBOARD'!$C$4,INDEX(MASTER_AREAS!$B:$B,1133))))),1132,""),""),IF('MIDWEEK DASHBOARD'!$B$4="Zone",IF(1132&lt;=$N$4,IF(OR('MIDWEEK DASHBOARD'!$C$4="",ISNUMBER(SEARCH('MIDWEEK DASHBOARD'!$C$4,INDEX(MASTER_ZONES!$B:$B,1133)))),1132,""),""),""))</f>
        <v/>
      </c>
      <c r="P1133">
        <f>IF('CHOP DASHBOARD'!$B$4="Area",IF(1132&lt;=$S$3,IF(AND(OR('CHOP DASHBOARD'!$C$4="",ISNUMBER(SEARCH('CHOP DASHBOARD'!$C$4,INDEX(MASTER_AREAS!$B:$B,1133))))),1132,""),""),IF('CHOP DASHBOARD'!$B$4="Zone",IF(1132&lt;=$S$4,IF(OR('CHOP DASHBOARD'!$C$4="",ISNUMBER(SEARCH('CHOP DASHBOARD'!$C$4,INDEX(MASTER_ZONES!$B:$B,1133)))),1132,""),""),""))</f>
        <v/>
      </c>
      <c r="U1133">
        <f>IF('COMMUNITY CHURCH DASHBOARD'!$B$4="Area",IF(1132&lt;=$X$3,IF(AND(OR('COMMUNITY CHURCH DASHBOARD'!$C$4="",ISNUMBER(SEARCH('COMMUNITY CHURCH DASHBOARD'!$C$4,INDEX(MASTER_AREAS!$B:$B,1133))))),1132,""),""),IF('COMMUNITY CHURCH DASHBOARD'!$B$4="Zone",IF(1132&lt;=$X$4,IF(OR('COMMUNITY CHURCH DASHBOARD'!$C$4="",ISNUMBER(SEARCH('COMMUNITY CHURCH DASHBOARD'!$C$4,INDEX(MASTER_ZONES!$B:$B,1133)))),1132,""),""),""))</f>
        <v/>
      </c>
    </row>
    <row r="1134">
      <c r="A1134">
        <f>IF('WSF DASHBOARD'!$B$4="Area",IF(1133&lt;=$D$3,IF(AND(OR('WSF DASHBOARD'!$C$4="",ISNUMBER(SEARCH('WSF DASHBOARD'!$C$4,INDEX(MASTER_AREAS!$B:$B,1134))))),1133,""),""),IF('WSF DASHBOARD'!$B$4="Zone",IF(1133&lt;=$D$4,IF(OR('WSF DASHBOARD'!$C$4="",ISNUMBER(SEARCH('WSF DASHBOARD'!$C$4,INDEX(MASTER_ZONES!$B:$B,1134)))),1133,""),""),""))</f>
        <v/>
      </c>
      <c r="F1134">
        <f>IF('TRANSPORT DASHBOARD'!$B$4="Area",IF(1133&lt;=$I$3,IF(AND(INDEX(MASTER_AREAS!$F:$F,1134)&lt;&gt;"N",OR('TRANSPORT DASHBOARD'!$C$4="",ISNUMBER(SEARCH('TRANSPORT DASHBOARD'!$C$4,INDEX(MASTER_AREAS!$B:$B,1134))))),1133,""),""),IF('TRANSPORT DASHBOARD'!$B$4="Zone",IF(1133&lt;=$I$4,IF(OR('TRANSPORT DASHBOARD'!$C$4="",ISNUMBER(SEARCH('TRANSPORT DASHBOARD'!$C$4,INDEX(MASTER_ZONES!$B:$B,1134)))),1133,""),""),""))</f>
        <v/>
      </c>
      <c r="K1134">
        <f>IF('MIDWEEK DASHBOARD'!$B$4="Area",IF(1133&lt;=$N$3,IF(AND(OR('MIDWEEK DASHBOARD'!$C$4="",ISNUMBER(SEARCH('MIDWEEK DASHBOARD'!$C$4,INDEX(MASTER_AREAS!$B:$B,1134))))),1133,""),""),IF('MIDWEEK DASHBOARD'!$B$4="Zone",IF(1133&lt;=$N$4,IF(OR('MIDWEEK DASHBOARD'!$C$4="",ISNUMBER(SEARCH('MIDWEEK DASHBOARD'!$C$4,INDEX(MASTER_ZONES!$B:$B,1134)))),1133,""),""),""))</f>
        <v/>
      </c>
      <c r="P1134">
        <f>IF('CHOP DASHBOARD'!$B$4="Area",IF(1133&lt;=$S$3,IF(AND(OR('CHOP DASHBOARD'!$C$4="",ISNUMBER(SEARCH('CHOP DASHBOARD'!$C$4,INDEX(MASTER_AREAS!$B:$B,1134))))),1133,""),""),IF('CHOP DASHBOARD'!$B$4="Zone",IF(1133&lt;=$S$4,IF(OR('CHOP DASHBOARD'!$C$4="",ISNUMBER(SEARCH('CHOP DASHBOARD'!$C$4,INDEX(MASTER_ZONES!$B:$B,1134)))),1133,""),""),""))</f>
        <v/>
      </c>
      <c r="U1134">
        <f>IF('COMMUNITY CHURCH DASHBOARD'!$B$4="Area",IF(1133&lt;=$X$3,IF(AND(OR('COMMUNITY CHURCH DASHBOARD'!$C$4="",ISNUMBER(SEARCH('COMMUNITY CHURCH DASHBOARD'!$C$4,INDEX(MASTER_AREAS!$B:$B,1134))))),1133,""),""),IF('COMMUNITY CHURCH DASHBOARD'!$B$4="Zone",IF(1133&lt;=$X$4,IF(OR('COMMUNITY CHURCH DASHBOARD'!$C$4="",ISNUMBER(SEARCH('COMMUNITY CHURCH DASHBOARD'!$C$4,INDEX(MASTER_ZONES!$B:$B,1134)))),1133,""),""),""))</f>
        <v/>
      </c>
    </row>
    <row r="1135">
      <c r="A1135">
        <f>IF('WSF DASHBOARD'!$B$4="Area",IF(1134&lt;=$D$3,IF(AND(OR('WSF DASHBOARD'!$C$4="",ISNUMBER(SEARCH('WSF DASHBOARD'!$C$4,INDEX(MASTER_AREAS!$B:$B,1135))))),1134,""),""),IF('WSF DASHBOARD'!$B$4="Zone",IF(1134&lt;=$D$4,IF(OR('WSF DASHBOARD'!$C$4="",ISNUMBER(SEARCH('WSF DASHBOARD'!$C$4,INDEX(MASTER_ZONES!$B:$B,1135)))),1134,""),""),""))</f>
        <v/>
      </c>
      <c r="F1135">
        <f>IF('TRANSPORT DASHBOARD'!$B$4="Area",IF(1134&lt;=$I$3,IF(AND(INDEX(MASTER_AREAS!$F:$F,1135)&lt;&gt;"N",OR('TRANSPORT DASHBOARD'!$C$4="",ISNUMBER(SEARCH('TRANSPORT DASHBOARD'!$C$4,INDEX(MASTER_AREAS!$B:$B,1135))))),1134,""),""),IF('TRANSPORT DASHBOARD'!$B$4="Zone",IF(1134&lt;=$I$4,IF(OR('TRANSPORT DASHBOARD'!$C$4="",ISNUMBER(SEARCH('TRANSPORT DASHBOARD'!$C$4,INDEX(MASTER_ZONES!$B:$B,1135)))),1134,""),""),""))</f>
        <v/>
      </c>
      <c r="K1135">
        <f>IF('MIDWEEK DASHBOARD'!$B$4="Area",IF(1134&lt;=$N$3,IF(AND(OR('MIDWEEK DASHBOARD'!$C$4="",ISNUMBER(SEARCH('MIDWEEK DASHBOARD'!$C$4,INDEX(MASTER_AREAS!$B:$B,1135))))),1134,""),""),IF('MIDWEEK DASHBOARD'!$B$4="Zone",IF(1134&lt;=$N$4,IF(OR('MIDWEEK DASHBOARD'!$C$4="",ISNUMBER(SEARCH('MIDWEEK DASHBOARD'!$C$4,INDEX(MASTER_ZONES!$B:$B,1135)))),1134,""),""),""))</f>
        <v/>
      </c>
      <c r="P1135">
        <f>IF('CHOP DASHBOARD'!$B$4="Area",IF(1134&lt;=$S$3,IF(AND(OR('CHOP DASHBOARD'!$C$4="",ISNUMBER(SEARCH('CHOP DASHBOARD'!$C$4,INDEX(MASTER_AREAS!$B:$B,1135))))),1134,""),""),IF('CHOP DASHBOARD'!$B$4="Zone",IF(1134&lt;=$S$4,IF(OR('CHOP DASHBOARD'!$C$4="",ISNUMBER(SEARCH('CHOP DASHBOARD'!$C$4,INDEX(MASTER_ZONES!$B:$B,1135)))),1134,""),""),""))</f>
        <v/>
      </c>
      <c r="U1135">
        <f>IF('COMMUNITY CHURCH DASHBOARD'!$B$4="Area",IF(1134&lt;=$X$3,IF(AND(OR('COMMUNITY CHURCH DASHBOARD'!$C$4="",ISNUMBER(SEARCH('COMMUNITY CHURCH DASHBOARD'!$C$4,INDEX(MASTER_AREAS!$B:$B,1135))))),1134,""),""),IF('COMMUNITY CHURCH DASHBOARD'!$B$4="Zone",IF(1134&lt;=$X$4,IF(OR('COMMUNITY CHURCH DASHBOARD'!$C$4="",ISNUMBER(SEARCH('COMMUNITY CHURCH DASHBOARD'!$C$4,INDEX(MASTER_ZONES!$B:$B,1135)))),1134,""),""),""))</f>
        <v/>
      </c>
    </row>
    <row r="1136">
      <c r="A1136">
        <f>IF('WSF DASHBOARD'!$B$4="Area",IF(1135&lt;=$D$3,IF(AND(OR('WSF DASHBOARD'!$C$4="",ISNUMBER(SEARCH('WSF DASHBOARD'!$C$4,INDEX(MASTER_AREAS!$B:$B,1136))))),1135,""),""),IF('WSF DASHBOARD'!$B$4="Zone",IF(1135&lt;=$D$4,IF(OR('WSF DASHBOARD'!$C$4="",ISNUMBER(SEARCH('WSF DASHBOARD'!$C$4,INDEX(MASTER_ZONES!$B:$B,1136)))),1135,""),""),""))</f>
        <v/>
      </c>
      <c r="F1136">
        <f>IF('TRANSPORT DASHBOARD'!$B$4="Area",IF(1135&lt;=$I$3,IF(AND(INDEX(MASTER_AREAS!$F:$F,1136)&lt;&gt;"N",OR('TRANSPORT DASHBOARD'!$C$4="",ISNUMBER(SEARCH('TRANSPORT DASHBOARD'!$C$4,INDEX(MASTER_AREAS!$B:$B,1136))))),1135,""),""),IF('TRANSPORT DASHBOARD'!$B$4="Zone",IF(1135&lt;=$I$4,IF(OR('TRANSPORT DASHBOARD'!$C$4="",ISNUMBER(SEARCH('TRANSPORT DASHBOARD'!$C$4,INDEX(MASTER_ZONES!$B:$B,1136)))),1135,""),""),""))</f>
        <v/>
      </c>
      <c r="K1136">
        <f>IF('MIDWEEK DASHBOARD'!$B$4="Area",IF(1135&lt;=$N$3,IF(AND(OR('MIDWEEK DASHBOARD'!$C$4="",ISNUMBER(SEARCH('MIDWEEK DASHBOARD'!$C$4,INDEX(MASTER_AREAS!$B:$B,1136))))),1135,""),""),IF('MIDWEEK DASHBOARD'!$B$4="Zone",IF(1135&lt;=$N$4,IF(OR('MIDWEEK DASHBOARD'!$C$4="",ISNUMBER(SEARCH('MIDWEEK DASHBOARD'!$C$4,INDEX(MASTER_ZONES!$B:$B,1136)))),1135,""),""),""))</f>
        <v/>
      </c>
      <c r="P1136">
        <f>IF('CHOP DASHBOARD'!$B$4="Area",IF(1135&lt;=$S$3,IF(AND(OR('CHOP DASHBOARD'!$C$4="",ISNUMBER(SEARCH('CHOP DASHBOARD'!$C$4,INDEX(MASTER_AREAS!$B:$B,1136))))),1135,""),""),IF('CHOP DASHBOARD'!$B$4="Zone",IF(1135&lt;=$S$4,IF(OR('CHOP DASHBOARD'!$C$4="",ISNUMBER(SEARCH('CHOP DASHBOARD'!$C$4,INDEX(MASTER_ZONES!$B:$B,1136)))),1135,""),""),""))</f>
        <v/>
      </c>
      <c r="U1136">
        <f>IF('COMMUNITY CHURCH DASHBOARD'!$B$4="Area",IF(1135&lt;=$X$3,IF(AND(OR('COMMUNITY CHURCH DASHBOARD'!$C$4="",ISNUMBER(SEARCH('COMMUNITY CHURCH DASHBOARD'!$C$4,INDEX(MASTER_AREAS!$B:$B,1136))))),1135,""),""),IF('COMMUNITY CHURCH DASHBOARD'!$B$4="Zone",IF(1135&lt;=$X$4,IF(OR('COMMUNITY CHURCH DASHBOARD'!$C$4="",ISNUMBER(SEARCH('COMMUNITY CHURCH DASHBOARD'!$C$4,INDEX(MASTER_ZONES!$B:$B,1136)))),1135,""),""),""))</f>
        <v/>
      </c>
    </row>
    <row r="1137">
      <c r="A1137">
        <f>IF('WSF DASHBOARD'!$B$4="Area",IF(1136&lt;=$D$3,IF(AND(OR('WSF DASHBOARD'!$C$4="",ISNUMBER(SEARCH('WSF DASHBOARD'!$C$4,INDEX(MASTER_AREAS!$B:$B,1137))))),1136,""),""),IF('WSF DASHBOARD'!$B$4="Zone",IF(1136&lt;=$D$4,IF(OR('WSF DASHBOARD'!$C$4="",ISNUMBER(SEARCH('WSF DASHBOARD'!$C$4,INDEX(MASTER_ZONES!$B:$B,1137)))),1136,""),""),""))</f>
        <v/>
      </c>
      <c r="F1137">
        <f>IF('TRANSPORT DASHBOARD'!$B$4="Area",IF(1136&lt;=$I$3,IF(AND(INDEX(MASTER_AREAS!$F:$F,1137)&lt;&gt;"N",OR('TRANSPORT DASHBOARD'!$C$4="",ISNUMBER(SEARCH('TRANSPORT DASHBOARD'!$C$4,INDEX(MASTER_AREAS!$B:$B,1137))))),1136,""),""),IF('TRANSPORT DASHBOARD'!$B$4="Zone",IF(1136&lt;=$I$4,IF(OR('TRANSPORT DASHBOARD'!$C$4="",ISNUMBER(SEARCH('TRANSPORT DASHBOARD'!$C$4,INDEX(MASTER_ZONES!$B:$B,1137)))),1136,""),""),""))</f>
        <v/>
      </c>
      <c r="K1137">
        <f>IF('MIDWEEK DASHBOARD'!$B$4="Area",IF(1136&lt;=$N$3,IF(AND(OR('MIDWEEK DASHBOARD'!$C$4="",ISNUMBER(SEARCH('MIDWEEK DASHBOARD'!$C$4,INDEX(MASTER_AREAS!$B:$B,1137))))),1136,""),""),IF('MIDWEEK DASHBOARD'!$B$4="Zone",IF(1136&lt;=$N$4,IF(OR('MIDWEEK DASHBOARD'!$C$4="",ISNUMBER(SEARCH('MIDWEEK DASHBOARD'!$C$4,INDEX(MASTER_ZONES!$B:$B,1137)))),1136,""),""),""))</f>
        <v/>
      </c>
      <c r="P1137">
        <f>IF('CHOP DASHBOARD'!$B$4="Area",IF(1136&lt;=$S$3,IF(AND(OR('CHOP DASHBOARD'!$C$4="",ISNUMBER(SEARCH('CHOP DASHBOARD'!$C$4,INDEX(MASTER_AREAS!$B:$B,1137))))),1136,""),""),IF('CHOP DASHBOARD'!$B$4="Zone",IF(1136&lt;=$S$4,IF(OR('CHOP DASHBOARD'!$C$4="",ISNUMBER(SEARCH('CHOP DASHBOARD'!$C$4,INDEX(MASTER_ZONES!$B:$B,1137)))),1136,""),""),""))</f>
        <v/>
      </c>
      <c r="U1137">
        <f>IF('COMMUNITY CHURCH DASHBOARD'!$B$4="Area",IF(1136&lt;=$X$3,IF(AND(OR('COMMUNITY CHURCH DASHBOARD'!$C$4="",ISNUMBER(SEARCH('COMMUNITY CHURCH DASHBOARD'!$C$4,INDEX(MASTER_AREAS!$B:$B,1137))))),1136,""),""),IF('COMMUNITY CHURCH DASHBOARD'!$B$4="Zone",IF(1136&lt;=$X$4,IF(OR('COMMUNITY CHURCH DASHBOARD'!$C$4="",ISNUMBER(SEARCH('COMMUNITY CHURCH DASHBOARD'!$C$4,INDEX(MASTER_ZONES!$B:$B,1137)))),1136,""),""),""))</f>
        <v/>
      </c>
    </row>
    <row r="1138">
      <c r="A1138">
        <f>IF('WSF DASHBOARD'!$B$4="Area",IF(1137&lt;=$D$3,IF(AND(OR('WSF DASHBOARD'!$C$4="",ISNUMBER(SEARCH('WSF DASHBOARD'!$C$4,INDEX(MASTER_AREAS!$B:$B,1138))))),1137,""),""),IF('WSF DASHBOARD'!$B$4="Zone",IF(1137&lt;=$D$4,IF(OR('WSF DASHBOARD'!$C$4="",ISNUMBER(SEARCH('WSF DASHBOARD'!$C$4,INDEX(MASTER_ZONES!$B:$B,1138)))),1137,""),""),""))</f>
        <v/>
      </c>
      <c r="F1138">
        <f>IF('TRANSPORT DASHBOARD'!$B$4="Area",IF(1137&lt;=$I$3,IF(AND(INDEX(MASTER_AREAS!$F:$F,1138)&lt;&gt;"N",OR('TRANSPORT DASHBOARD'!$C$4="",ISNUMBER(SEARCH('TRANSPORT DASHBOARD'!$C$4,INDEX(MASTER_AREAS!$B:$B,1138))))),1137,""),""),IF('TRANSPORT DASHBOARD'!$B$4="Zone",IF(1137&lt;=$I$4,IF(OR('TRANSPORT DASHBOARD'!$C$4="",ISNUMBER(SEARCH('TRANSPORT DASHBOARD'!$C$4,INDEX(MASTER_ZONES!$B:$B,1138)))),1137,""),""),""))</f>
        <v/>
      </c>
      <c r="K1138">
        <f>IF('MIDWEEK DASHBOARD'!$B$4="Area",IF(1137&lt;=$N$3,IF(AND(OR('MIDWEEK DASHBOARD'!$C$4="",ISNUMBER(SEARCH('MIDWEEK DASHBOARD'!$C$4,INDEX(MASTER_AREAS!$B:$B,1138))))),1137,""),""),IF('MIDWEEK DASHBOARD'!$B$4="Zone",IF(1137&lt;=$N$4,IF(OR('MIDWEEK DASHBOARD'!$C$4="",ISNUMBER(SEARCH('MIDWEEK DASHBOARD'!$C$4,INDEX(MASTER_ZONES!$B:$B,1138)))),1137,""),""),""))</f>
        <v/>
      </c>
      <c r="P1138">
        <f>IF('CHOP DASHBOARD'!$B$4="Area",IF(1137&lt;=$S$3,IF(AND(OR('CHOP DASHBOARD'!$C$4="",ISNUMBER(SEARCH('CHOP DASHBOARD'!$C$4,INDEX(MASTER_AREAS!$B:$B,1138))))),1137,""),""),IF('CHOP DASHBOARD'!$B$4="Zone",IF(1137&lt;=$S$4,IF(OR('CHOP DASHBOARD'!$C$4="",ISNUMBER(SEARCH('CHOP DASHBOARD'!$C$4,INDEX(MASTER_ZONES!$B:$B,1138)))),1137,""),""),""))</f>
        <v/>
      </c>
      <c r="U1138">
        <f>IF('COMMUNITY CHURCH DASHBOARD'!$B$4="Area",IF(1137&lt;=$X$3,IF(AND(OR('COMMUNITY CHURCH DASHBOARD'!$C$4="",ISNUMBER(SEARCH('COMMUNITY CHURCH DASHBOARD'!$C$4,INDEX(MASTER_AREAS!$B:$B,1138))))),1137,""),""),IF('COMMUNITY CHURCH DASHBOARD'!$B$4="Zone",IF(1137&lt;=$X$4,IF(OR('COMMUNITY CHURCH DASHBOARD'!$C$4="",ISNUMBER(SEARCH('COMMUNITY CHURCH DASHBOARD'!$C$4,INDEX(MASTER_ZONES!$B:$B,1138)))),1137,""),""),""))</f>
        <v/>
      </c>
    </row>
    <row r="1139">
      <c r="A1139">
        <f>IF('WSF DASHBOARD'!$B$4="Area",IF(1138&lt;=$D$3,IF(AND(OR('WSF DASHBOARD'!$C$4="",ISNUMBER(SEARCH('WSF DASHBOARD'!$C$4,INDEX(MASTER_AREAS!$B:$B,1139))))),1138,""),""),IF('WSF DASHBOARD'!$B$4="Zone",IF(1138&lt;=$D$4,IF(OR('WSF DASHBOARD'!$C$4="",ISNUMBER(SEARCH('WSF DASHBOARD'!$C$4,INDEX(MASTER_ZONES!$B:$B,1139)))),1138,""),""),""))</f>
        <v/>
      </c>
      <c r="F1139">
        <f>IF('TRANSPORT DASHBOARD'!$B$4="Area",IF(1138&lt;=$I$3,IF(AND(INDEX(MASTER_AREAS!$F:$F,1139)&lt;&gt;"N",OR('TRANSPORT DASHBOARD'!$C$4="",ISNUMBER(SEARCH('TRANSPORT DASHBOARD'!$C$4,INDEX(MASTER_AREAS!$B:$B,1139))))),1138,""),""),IF('TRANSPORT DASHBOARD'!$B$4="Zone",IF(1138&lt;=$I$4,IF(OR('TRANSPORT DASHBOARD'!$C$4="",ISNUMBER(SEARCH('TRANSPORT DASHBOARD'!$C$4,INDEX(MASTER_ZONES!$B:$B,1139)))),1138,""),""),""))</f>
        <v/>
      </c>
      <c r="K1139">
        <f>IF('MIDWEEK DASHBOARD'!$B$4="Area",IF(1138&lt;=$N$3,IF(AND(OR('MIDWEEK DASHBOARD'!$C$4="",ISNUMBER(SEARCH('MIDWEEK DASHBOARD'!$C$4,INDEX(MASTER_AREAS!$B:$B,1139))))),1138,""),""),IF('MIDWEEK DASHBOARD'!$B$4="Zone",IF(1138&lt;=$N$4,IF(OR('MIDWEEK DASHBOARD'!$C$4="",ISNUMBER(SEARCH('MIDWEEK DASHBOARD'!$C$4,INDEX(MASTER_ZONES!$B:$B,1139)))),1138,""),""),""))</f>
        <v/>
      </c>
      <c r="P1139">
        <f>IF('CHOP DASHBOARD'!$B$4="Area",IF(1138&lt;=$S$3,IF(AND(OR('CHOP DASHBOARD'!$C$4="",ISNUMBER(SEARCH('CHOP DASHBOARD'!$C$4,INDEX(MASTER_AREAS!$B:$B,1139))))),1138,""),""),IF('CHOP DASHBOARD'!$B$4="Zone",IF(1138&lt;=$S$4,IF(OR('CHOP DASHBOARD'!$C$4="",ISNUMBER(SEARCH('CHOP DASHBOARD'!$C$4,INDEX(MASTER_ZONES!$B:$B,1139)))),1138,""),""),""))</f>
        <v/>
      </c>
      <c r="U1139">
        <f>IF('COMMUNITY CHURCH DASHBOARD'!$B$4="Area",IF(1138&lt;=$X$3,IF(AND(OR('COMMUNITY CHURCH DASHBOARD'!$C$4="",ISNUMBER(SEARCH('COMMUNITY CHURCH DASHBOARD'!$C$4,INDEX(MASTER_AREAS!$B:$B,1139))))),1138,""),""),IF('COMMUNITY CHURCH DASHBOARD'!$B$4="Zone",IF(1138&lt;=$X$4,IF(OR('COMMUNITY CHURCH DASHBOARD'!$C$4="",ISNUMBER(SEARCH('COMMUNITY CHURCH DASHBOARD'!$C$4,INDEX(MASTER_ZONES!$B:$B,1139)))),1138,""),""),""))</f>
        <v/>
      </c>
    </row>
    <row r="1140">
      <c r="A1140">
        <f>IF('WSF DASHBOARD'!$B$4="Area",IF(1139&lt;=$D$3,IF(AND(OR('WSF DASHBOARD'!$C$4="",ISNUMBER(SEARCH('WSF DASHBOARD'!$C$4,INDEX(MASTER_AREAS!$B:$B,1140))))),1139,""),""),IF('WSF DASHBOARD'!$B$4="Zone",IF(1139&lt;=$D$4,IF(OR('WSF DASHBOARD'!$C$4="",ISNUMBER(SEARCH('WSF DASHBOARD'!$C$4,INDEX(MASTER_ZONES!$B:$B,1140)))),1139,""),""),""))</f>
        <v/>
      </c>
      <c r="F1140">
        <f>IF('TRANSPORT DASHBOARD'!$B$4="Area",IF(1139&lt;=$I$3,IF(AND(INDEX(MASTER_AREAS!$F:$F,1140)&lt;&gt;"N",OR('TRANSPORT DASHBOARD'!$C$4="",ISNUMBER(SEARCH('TRANSPORT DASHBOARD'!$C$4,INDEX(MASTER_AREAS!$B:$B,1140))))),1139,""),""),IF('TRANSPORT DASHBOARD'!$B$4="Zone",IF(1139&lt;=$I$4,IF(OR('TRANSPORT DASHBOARD'!$C$4="",ISNUMBER(SEARCH('TRANSPORT DASHBOARD'!$C$4,INDEX(MASTER_ZONES!$B:$B,1140)))),1139,""),""),""))</f>
        <v/>
      </c>
      <c r="K1140">
        <f>IF('MIDWEEK DASHBOARD'!$B$4="Area",IF(1139&lt;=$N$3,IF(AND(OR('MIDWEEK DASHBOARD'!$C$4="",ISNUMBER(SEARCH('MIDWEEK DASHBOARD'!$C$4,INDEX(MASTER_AREAS!$B:$B,1140))))),1139,""),""),IF('MIDWEEK DASHBOARD'!$B$4="Zone",IF(1139&lt;=$N$4,IF(OR('MIDWEEK DASHBOARD'!$C$4="",ISNUMBER(SEARCH('MIDWEEK DASHBOARD'!$C$4,INDEX(MASTER_ZONES!$B:$B,1140)))),1139,""),""),""))</f>
        <v/>
      </c>
      <c r="P1140">
        <f>IF('CHOP DASHBOARD'!$B$4="Area",IF(1139&lt;=$S$3,IF(AND(OR('CHOP DASHBOARD'!$C$4="",ISNUMBER(SEARCH('CHOP DASHBOARD'!$C$4,INDEX(MASTER_AREAS!$B:$B,1140))))),1139,""),""),IF('CHOP DASHBOARD'!$B$4="Zone",IF(1139&lt;=$S$4,IF(OR('CHOP DASHBOARD'!$C$4="",ISNUMBER(SEARCH('CHOP DASHBOARD'!$C$4,INDEX(MASTER_ZONES!$B:$B,1140)))),1139,""),""),""))</f>
        <v/>
      </c>
      <c r="U1140">
        <f>IF('COMMUNITY CHURCH DASHBOARD'!$B$4="Area",IF(1139&lt;=$X$3,IF(AND(OR('COMMUNITY CHURCH DASHBOARD'!$C$4="",ISNUMBER(SEARCH('COMMUNITY CHURCH DASHBOARD'!$C$4,INDEX(MASTER_AREAS!$B:$B,1140))))),1139,""),""),IF('COMMUNITY CHURCH DASHBOARD'!$B$4="Zone",IF(1139&lt;=$X$4,IF(OR('COMMUNITY CHURCH DASHBOARD'!$C$4="",ISNUMBER(SEARCH('COMMUNITY CHURCH DASHBOARD'!$C$4,INDEX(MASTER_ZONES!$B:$B,1140)))),1139,""),""),""))</f>
        <v/>
      </c>
    </row>
    <row r="1141">
      <c r="A1141">
        <f>IF('WSF DASHBOARD'!$B$4="Area",IF(1140&lt;=$D$3,IF(AND(OR('WSF DASHBOARD'!$C$4="",ISNUMBER(SEARCH('WSF DASHBOARD'!$C$4,INDEX(MASTER_AREAS!$B:$B,1141))))),1140,""),""),IF('WSF DASHBOARD'!$B$4="Zone",IF(1140&lt;=$D$4,IF(OR('WSF DASHBOARD'!$C$4="",ISNUMBER(SEARCH('WSF DASHBOARD'!$C$4,INDEX(MASTER_ZONES!$B:$B,1141)))),1140,""),""),""))</f>
        <v/>
      </c>
      <c r="F1141">
        <f>IF('TRANSPORT DASHBOARD'!$B$4="Area",IF(1140&lt;=$I$3,IF(AND(INDEX(MASTER_AREAS!$F:$F,1141)&lt;&gt;"N",OR('TRANSPORT DASHBOARD'!$C$4="",ISNUMBER(SEARCH('TRANSPORT DASHBOARD'!$C$4,INDEX(MASTER_AREAS!$B:$B,1141))))),1140,""),""),IF('TRANSPORT DASHBOARD'!$B$4="Zone",IF(1140&lt;=$I$4,IF(OR('TRANSPORT DASHBOARD'!$C$4="",ISNUMBER(SEARCH('TRANSPORT DASHBOARD'!$C$4,INDEX(MASTER_ZONES!$B:$B,1141)))),1140,""),""),""))</f>
        <v/>
      </c>
      <c r="K1141">
        <f>IF('MIDWEEK DASHBOARD'!$B$4="Area",IF(1140&lt;=$N$3,IF(AND(OR('MIDWEEK DASHBOARD'!$C$4="",ISNUMBER(SEARCH('MIDWEEK DASHBOARD'!$C$4,INDEX(MASTER_AREAS!$B:$B,1141))))),1140,""),""),IF('MIDWEEK DASHBOARD'!$B$4="Zone",IF(1140&lt;=$N$4,IF(OR('MIDWEEK DASHBOARD'!$C$4="",ISNUMBER(SEARCH('MIDWEEK DASHBOARD'!$C$4,INDEX(MASTER_ZONES!$B:$B,1141)))),1140,""),""),""))</f>
        <v/>
      </c>
      <c r="P1141">
        <f>IF('CHOP DASHBOARD'!$B$4="Area",IF(1140&lt;=$S$3,IF(AND(OR('CHOP DASHBOARD'!$C$4="",ISNUMBER(SEARCH('CHOP DASHBOARD'!$C$4,INDEX(MASTER_AREAS!$B:$B,1141))))),1140,""),""),IF('CHOP DASHBOARD'!$B$4="Zone",IF(1140&lt;=$S$4,IF(OR('CHOP DASHBOARD'!$C$4="",ISNUMBER(SEARCH('CHOP DASHBOARD'!$C$4,INDEX(MASTER_ZONES!$B:$B,1141)))),1140,""),""),""))</f>
        <v/>
      </c>
      <c r="U1141">
        <f>IF('COMMUNITY CHURCH DASHBOARD'!$B$4="Area",IF(1140&lt;=$X$3,IF(AND(OR('COMMUNITY CHURCH DASHBOARD'!$C$4="",ISNUMBER(SEARCH('COMMUNITY CHURCH DASHBOARD'!$C$4,INDEX(MASTER_AREAS!$B:$B,1141))))),1140,""),""),IF('COMMUNITY CHURCH DASHBOARD'!$B$4="Zone",IF(1140&lt;=$X$4,IF(OR('COMMUNITY CHURCH DASHBOARD'!$C$4="",ISNUMBER(SEARCH('COMMUNITY CHURCH DASHBOARD'!$C$4,INDEX(MASTER_ZONES!$B:$B,1141)))),1140,""),""),""))</f>
        <v/>
      </c>
    </row>
    <row r="1142">
      <c r="A1142">
        <f>IF('WSF DASHBOARD'!$B$4="Area",IF(1141&lt;=$D$3,IF(AND(OR('WSF DASHBOARD'!$C$4="",ISNUMBER(SEARCH('WSF DASHBOARD'!$C$4,INDEX(MASTER_AREAS!$B:$B,1142))))),1141,""),""),IF('WSF DASHBOARD'!$B$4="Zone",IF(1141&lt;=$D$4,IF(OR('WSF DASHBOARD'!$C$4="",ISNUMBER(SEARCH('WSF DASHBOARD'!$C$4,INDEX(MASTER_ZONES!$B:$B,1142)))),1141,""),""),""))</f>
        <v/>
      </c>
      <c r="F1142">
        <f>IF('TRANSPORT DASHBOARD'!$B$4="Area",IF(1141&lt;=$I$3,IF(AND(INDEX(MASTER_AREAS!$F:$F,1142)&lt;&gt;"N",OR('TRANSPORT DASHBOARD'!$C$4="",ISNUMBER(SEARCH('TRANSPORT DASHBOARD'!$C$4,INDEX(MASTER_AREAS!$B:$B,1142))))),1141,""),""),IF('TRANSPORT DASHBOARD'!$B$4="Zone",IF(1141&lt;=$I$4,IF(OR('TRANSPORT DASHBOARD'!$C$4="",ISNUMBER(SEARCH('TRANSPORT DASHBOARD'!$C$4,INDEX(MASTER_ZONES!$B:$B,1142)))),1141,""),""),""))</f>
        <v/>
      </c>
      <c r="K1142">
        <f>IF('MIDWEEK DASHBOARD'!$B$4="Area",IF(1141&lt;=$N$3,IF(AND(OR('MIDWEEK DASHBOARD'!$C$4="",ISNUMBER(SEARCH('MIDWEEK DASHBOARD'!$C$4,INDEX(MASTER_AREAS!$B:$B,1142))))),1141,""),""),IF('MIDWEEK DASHBOARD'!$B$4="Zone",IF(1141&lt;=$N$4,IF(OR('MIDWEEK DASHBOARD'!$C$4="",ISNUMBER(SEARCH('MIDWEEK DASHBOARD'!$C$4,INDEX(MASTER_ZONES!$B:$B,1142)))),1141,""),""),""))</f>
        <v/>
      </c>
      <c r="P1142">
        <f>IF('CHOP DASHBOARD'!$B$4="Area",IF(1141&lt;=$S$3,IF(AND(OR('CHOP DASHBOARD'!$C$4="",ISNUMBER(SEARCH('CHOP DASHBOARD'!$C$4,INDEX(MASTER_AREAS!$B:$B,1142))))),1141,""),""),IF('CHOP DASHBOARD'!$B$4="Zone",IF(1141&lt;=$S$4,IF(OR('CHOP DASHBOARD'!$C$4="",ISNUMBER(SEARCH('CHOP DASHBOARD'!$C$4,INDEX(MASTER_ZONES!$B:$B,1142)))),1141,""),""),""))</f>
        <v/>
      </c>
      <c r="U1142">
        <f>IF('COMMUNITY CHURCH DASHBOARD'!$B$4="Area",IF(1141&lt;=$X$3,IF(AND(OR('COMMUNITY CHURCH DASHBOARD'!$C$4="",ISNUMBER(SEARCH('COMMUNITY CHURCH DASHBOARD'!$C$4,INDEX(MASTER_AREAS!$B:$B,1142))))),1141,""),""),IF('COMMUNITY CHURCH DASHBOARD'!$B$4="Zone",IF(1141&lt;=$X$4,IF(OR('COMMUNITY CHURCH DASHBOARD'!$C$4="",ISNUMBER(SEARCH('COMMUNITY CHURCH DASHBOARD'!$C$4,INDEX(MASTER_ZONES!$B:$B,1142)))),1141,""),""),""))</f>
        <v/>
      </c>
    </row>
    <row r="1143">
      <c r="A1143">
        <f>IF('WSF DASHBOARD'!$B$4="Area",IF(1142&lt;=$D$3,IF(AND(OR('WSF DASHBOARD'!$C$4="",ISNUMBER(SEARCH('WSF DASHBOARD'!$C$4,INDEX(MASTER_AREAS!$B:$B,1143))))),1142,""),""),IF('WSF DASHBOARD'!$B$4="Zone",IF(1142&lt;=$D$4,IF(OR('WSF DASHBOARD'!$C$4="",ISNUMBER(SEARCH('WSF DASHBOARD'!$C$4,INDEX(MASTER_ZONES!$B:$B,1143)))),1142,""),""),""))</f>
        <v/>
      </c>
      <c r="F1143">
        <f>IF('TRANSPORT DASHBOARD'!$B$4="Area",IF(1142&lt;=$I$3,IF(AND(INDEX(MASTER_AREAS!$F:$F,1143)&lt;&gt;"N",OR('TRANSPORT DASHBOARD'!$C$4="",ISNUMBER(SEARCH('TRANSPORT DASHBOARD'!$C$4,INDEX(MASTER_AREAS!$B:$B,1143))))),1142,""),""),IF('TRANSPORT DASHBOARD'!$B$4="Zone",IF(1142&lt;=$I$4,IF(OR('TRANSPORT DASHBOARD'!$C$4="",ISNUMBER(SEARCH('TRANSPORT DASHBOARD'!$C$4,INDEX(MASTER_ZONES!$B:$B,1143)))),1142,""),""),""))</f>
        <v/>
      </c>
      <c r="K1143">
        <f>IF('MIDWEEK DASHBOARD'!$B$4="Area",IF(1142&lt;=$N$3,IF(AND(OR('MIDWEEK DASHBOARD'!$C$4="",ISNUMBER(SEARCH('MIDWEEK DASHBOARD'!$C$4,INDEX(MASTER_AREAS!$B:$B,1143))))),1142,""),""),IF('MIDWEEK DASHBOARD'!$B$4="Zone",IF(1142&lt;=$N$4,IF(OR('MIDWEEK DASHBOARD'!$C$4="",ISNUMBER(SEARCH('MIDWEEK DASHBOARD'!$C$4,INDEX(MASTER_ZONES!$B:$B,1143)))),1142,""),""),""))</f>
        <v/>
      </c>
      <c r="P1143">
        <f>IF('CHOP DASHBOARD'!$B$4="Area",IF(1142&lt;=$S$3,IF(AND(OR('CHOP DASHBOARD'!$C$4="",ISNUMBER(SEARCH('CHOP DASHBOARD'!$C$4,INDEX(MASTER_AREAS!$B:$B,1143))))),1142,""),""),IF('CHOP DASHBOARD'!$B$4="Zone",IF(1142&lt;=$S$4,IF(OR('CHOP DASHBOARD'!$C$4="",ISNUMBER(SEARCH('CHOP DASHBOARD'!$C$4,INDEX(MASTER_ZONES!$B:$B,1143)))),1142,""),""),""))</f>
        <v/>
      </c>
      <c r="U1143">
        <f>IF('COMMUNITY CHURCH DASHBOARD'!$B$4="Area",IF(1142&lt;=$X$3,IF(AND(OR('COMMUNITY CHURCH DASHBOARD'!$C$4="",ISNUMBER(SEARCH('COMMUNITY CHURCH DASHBOARD'!$C$4,INDEX(MASTER_AREAS!$B:$B,1143))))),1142,""),""),IF('COMMUNITY CHURCH DASHBOARD'!$B$4="Zone",IF(1142&lt;=$X$4,IF(OR('COMMUNITY CHURCH DASHBOARD'!$C$4="",ISNUMBER(SEARCH('COMMUNITY CHURCH DASHBOARD'!$C$4,INDEX(MASTER_ZONES!$B:$B,1143)))),1142,""),""),""))</f>
        <v/>
      </c>
    </row>
    <row r="1144">
      <c r="A1144">
        <f>IF('WSF DASHBOARD'!$B$4="Area",IF(1143&lt;=$D$3,IF(AND(OR('WSF DASHBOARD'!$C$4="",ISNUMBER(SEARCH('WSF DASHBOARD'!$C$4,INDEX(MASTER_AREAS!$B:$B,1144))))),1143,""),""),IF('WSF DASHBOARD'!$B$4="Zone",IF(1143&lt;=$D$4,IF(OR('WSF DASHBOARD'!$C$4="",ISNUMBER(SEARCH('WSF DASHBOARD'!$C$4,INDEX(MASTER_ZONES!$B:$B,1144)))),1143,""),""),""))</f>
        <v/>
      </c>
      <c r="F1144">
        <f>IF('TRANSPORT DASHBOARD'!$B$4="Area",IF(1143&lt;=$I$3,IF(AND(INDEX(MASTER_AREAS!$F:$F,1144)&lt;&gt;"N",OR('TRANSPORT DASHBOARD'!$C$4="",ISNUMBER(SEARCH('TRANSPORT DASHBOARD'!$C$4,INDEX(MASTER_AREAS!$B:$B,1144))))),1143,""),""),IF('TRANSPORT DASHBOARD'!$B$4="Zone",IF(1143&lt;=$I$4,IF(OR('TRANSPORT DASHBOARD'!$C$4="",ISNUMBER(SEARCH('TRANSPORT DASHBOARD'!$C$4,INDEX(MASTER_ZONES!$B:$B,1144)))),1143,""),""),""))</f>
        <v/>
      </c>
      <c r="K1144">
        <f>IF('MIDWEEK DASHBOARD'!$B$4="Area",IF(1143&lt;=$N$3,IF(AND(OR('MIDWEEK DASHBOARD'!$C$4="",ISNUMBER(SEARCH('MIDWEEK DASHBOARD'!$C$4,INDEX(MASTER_AREAS!$B:$B,1144))))),1143,""),""),IF('MIDWEEK DASHBOARD'!$B$4="Zone",IF(1143&lt;=$N$4,IF(OR('MIDWEEK DASHBOARD'!$C$4="",ISNUMBER(SEARCH('MIDWEEK DASHBOARD'!$C$4,INDEX(MASTER_ZONES!$B:$B,1144)))),1143,""),""),""))</f>
        <v/>
      </c>
      <c r="P1144">
        <f>IF('CHOP DASHBOARD'!$B$4="Area",IF(1143&lt;=$S$3,IF(AND(OR('CHOP DASHBOARD'!$C$4="",ISNUMBER(SEARCH('CHOP DASHBOARD'!$C$4,INDEX(MASTER_AREAS!$B:$B,1144))))),1143,""),""),IF('CHOP DASHBOARD'!$B$4="Zone",IF(1143&lt;=$S$4,IF(OR('CHOP DASHBOARD'!$C$4="",ISNUMBER(SEARCH('CHOP DASHBOARD'!$C$4,INDEX(MASTER_ZONES!$B:$B,1144)))),1143,""),""),""))</f>
        <v/>
      </c>
      <c r="U1144">
        <f>IF('COMMUNITY CHURCH DASHBOARD'!$B$4="Area",IF(1143&lt;=$X$3,IF(AND(OR('COMMUNITY CHURCH DASHBOARD'!$C$4="",ISNUMBER(SEARCH('COMMUNITY CHURCH DASHBOARD'!$C$4,INDEX(MASTER_AREAS!$B:$B,1144))))),1143,""),""),IF('COMMUNITY CHURCH DASHBOARD'!$B$4="Zone",IF(1143&lt;=$X$4,IF(OR('COMMUNITY CHURCH DASHBOARD'!$C$4="",ISNUMBER(SEARCH('COMMUNITY CHURCH DASHBOARD'!$C$4,INDEX(MASTER_ZONES!$B:$B,1144)))),1143,""),""),""))</f>
        <v/>
      </c>
    </row>
    <row r="1145">
      <c r="A1145">
        <f>IF('WSF DASHBOARD'!$B$4="Area",IF(1144&lt;=$D$3,IF(AND(OR('WSF DASHBOARD'!$C$4="",ISNUMBER(SEARCH('WSF DASHBOARD'!$C$4,INDEX(MASTER_AREAS!$B:$B,1145))))),1144,""),""),IF('WSF DASHBOARD'!$B$4="Zone",IF(1144&lt;=$D$4,IF(OR('WSF DASHBOARD'!$C$4="",ISNUMBER(SEARCH('WSF DASHBOARD'!$C$4,INDEX(MASTER_ZONES!$B:$B,1145)))),1144,""),""),""))</f>
        <v/>
      </c>
      <c r="F1145">
        <f>IF('TRANSPORT DASHBOARD'!$B$4="Area",IF(1144&lt;=$I$3,IF(AND(INDEX(MASTER_AREAS!$F:$F,1145)&lt;&gt;"N",OR('TRANSPORT DASHBOARD'!$C$4="",ISNUMBER(SEARCH('TRANSPORT DASHBOARD'!$C$4,INDEX(MASTER_AREAS!$B:$B,1145))))),1144,""),""),IF('TRANSPORT DASHBOARD'!$B$4="Zone",IF(1144&lt;=$I$4,IF(OR('TRANSPORT DASHBOARD'!$C$4="",ISNUMBER(SEARCH('TRANSPORT DASHBOARD'!$C$4,INDEX(MASTER_ZONES!$B:$B,1145)))),1144,""),""),""))</f>
        <v/>
      </c>
      <c r="K1145">
        <f>IF('MIDWEEK DASHBOARD'!$B$4="Area",IF(1144&lt;=$N$3,IF(AND(OR('MIDWEEK DASHBOARD'!$C$4="",ISNUMBER(SEARCH('MIDWEEK DASHBOARD'!$C$4,INDEX(MASTER_AREAS!$B:$B,1145))))),1144,""),""),IF('MIDWEEK DASHBOARD'!$B$4="Zone",IF(1144&lt;=$N$4,IF(OR('MIDWEEK DASHBOARD'!$C$4="",ISNUMBER(SEARCH('MIDWEEK DASHBOARD'!$C$4,INDEX(MASTER_ZONES!$B:$B,1145)))),1144,""),""),""))</f>
        <v/>
      </c>
      <c r="P1145">
        <f>IF('CHOP DASHBOARD'!$B$4="Area",IF(1144&lt;=$S$3,IF(AND(OR('CHOP DASHBOARD'!$C$4="",ISNUMBER(SEARCH('CHOP DASHBOARD'!$C$4,INDEX(MASTER_AREAS!$B:$B,1145))))),1144,""),""),IF('CHOP DASHBOARD'!$B$4="Zone",IF(1144&lt;=$S$4,IF(OR('CHOP DASHBOARD'!$C$4="",ISNUMBER(SEARCH('CHOP DASHBOARD'!$C$4,INDEX(MASTER_ZONES!$B:$B,1145)))),1144,""),""),""))</f>
        <v/>
      </c>
      <c r="U1145">
        <f>IF('COMMUNITY CHURCH DASHBOARD'!$B$4="Area",IF(1144&lt;=$X$3,IF(AND(OR('COMMUNITY CHURCH DASHBOARD'!$C$4="",ISNUMBER(SEARCH('COMMUNITY CHURCH DASHBOARD'!$C$4,INDEX(MASTER_AREAS!$B:$B,1145))))),1144,""),""),IF('COMMUNITY CHURCH DASHBOARD'!$B$4="Zone",IF(1144&lt;=$X$4,IF(OR('COMMUNITY CHURCH DASHBOARD'!$C$4="",ISNUMBER(SEARCH('COMMUNITY CHURCH DASHBOARD'!$C$4,INDEX(MASTER_ZONES!$B:$B,1145)))),1144,""),""),""))</f>
        <v/>
      </c>
    </row>
    <row r="1146">
      <c r="A1146">
        <f>IF('WSF DASHBOARD'!$B$4="Area",IF(1145&lt;=$D$3,IF(AND(OR('WSF DASHBOARD'!$C$4="",ISNUMBER(SEARCH('WSF DASHBOARD'!$C$4,INDEX(MASTER_AREAS!$B:$B,1146))))),1145,""),""),IF('WSF DASHBOARD'!$B$4="Zone",IF(1145&lt;=$D$4,IF(OR('WSF DASHBOARD'!$C$4="",ISNUMBER(SEARCH('WSF DASHBOARD'!$C$4,INDEX(MASTER_ZONES!$B:$B,1146)))),1145,""),""),""))</f>
        <v/>
      </c>
      <c r="F1146">
        <f>IF('TRANSPORT DASHBOARD'!$B$4="Area",IF(1145&lt;=$I$3,IF(AND(INDEX(MASTER_AREAS!$F:$F,1146)&lt;&gt;"N",OR('TRANSPORT DASHBOARD'!$C$4="",ISNUMBER(SEARCH('TRANSPORT DASHBOARD'!$C$4,INDEX(MASTER_AREAS!$B:$B,1146))))),1145,""),""),IF('TRANSPORT DASHBOARD'!$B$4="Zone",IF(1145&lt;=$I$4,IF(OR('TRANSPORT DASHBOARD'!$C$4="",ISNUMBER(SEARCH('TRANSPORT DASHBOARD'!$C$4,INDEX(MASTER_ZONES!$B:$B,1146)))),1145,""),""),""))</f>
        <v/>
      </c>
      <c r="K1146">
        <f>IF('MIDWEEK DASHBOARD'!$B$4="Area",IF(1145&lt;=$N$3,IF(AND(OR('MIDWEEK DASHBOARD'!$C$4="",ISNUMBER(SEARCH('MIDWEEK DASHBOARD'!$C$4,INDEX(MASTER_AREAS!$B:$B,1146))))),1145,""),""),IF('MIDWEEK DASHBOARD'!$B$4="Zone",IF(1145&lt;=$N$4,IF(OR('MIDWEEK DASHBOARD'!$C$4="",ISNUMBER(SEARCH('MIDWEEK DASHBOARD'!$C$4,INDEX(MASTER_ZONES!$B:$B,1146)))),1145,""),""),""))</f>
        <v/>
      </c>
      <c r="P1146">
        <f>IF('CHOP DASHBOARD'!$B$4="Area",IF(1145&lt;=$S$3,IF(AND(OR('CHOP DASHBOARD'!$C$4="",ISNUMBER(SEARCH('CHOP DASHBOARD'!$C$4,INDEX(MASTER_AREAS!$B:$B,1146))))),1145,""),""),IF('CHOP DASHBOARD'!$B$4="Zone",IF(1145&lt;=$S$4,IF(OR('CHOP DASHBOARD'!$C$4="",ISNUMBER(SEARCH('CHOP DASHBOARD'!$C$4,INDEX(MASTER_ZONES!$B:$B,1146)))),1145,""),""),""))</f>
        <v/>
      </c>
      <c r="U1146">
        <f>IF('COMMUNITY CHURCH DASHBOARD'!$B$4="Area",IF(1145&lt;=$X$3,IF(AND(OR('COMMUNITY CHURCH DASHBOARD'!$C$4="",ISNUMBER(SEARCH('COMMUNITY CHURCH DASHBOARD'!$C$4,INDEX(MASTER_AREAS!$B:$B,1146))))),1145,""),""),IF('COMMUNITY CHURCH DASHBOARD'!$B$4="Zone",IF(1145&lt;=$X$4,IF(OR('COMMUNITY CHURCH DASHBOARD'!$C$4="",ISNUMBER(SEARCH('COMMUNITY CHURCH DASHBOARD'!$C$4,INDEX(MASTER_ZONES!$B:$B,1146)))),1145,""),""),""))</f>
        <v/>
      </c>
    </row>
    <row r="1147">
      <c r="A1147">
        <f>IF('WSF DASHBOARD'!$B$4="Area",IF(1146&lt;=$D$3,IF(AND(OR('WSF DASHBOARD'!$C$4="",ISNUMBER(SEARCH('WSF DASHBOARD'!$C$4,INDEX(MASTER_AREAS!$B:$B,1147))))),1146,""),""),IF('WSF DASHBOARD'!$B$4="Zone",IF(1146&lt;=$D$4,IF(OR('WSF DASHBOARD'!$C$4="",ISNUMBER(SEARCH('WSF DASHBOARD'!$C$4,INDEX(MASTER_ZONES!$B:$B,1147)))),1146,""),""),""))</f>
        <v/>
      </c>
      <c r="F1147">
        <f>IF('TRANSPORT DASHBOARD'!$B$4="Area",IF(1146&lt;=$I$3,IF(AND(INDEX(MASTER_AREAS!$F:$F,1147)&lt;&gt;"N",OR('TRANSPORT DASHBOARD'!$C$4="",ISNUMBER(SEARCH('TRANSPORT DASHBOARD'!$C$4,INDEX(MASTER_AREAS!$B:$B,1147))))),1146,""),""),IF('TRANSPORT DASHBOARD'!$B$4="Zone",IF(1146&lt;=$I$4,IF(OR('TRANSPORT DASHBOARD'!$C$4="",ISNUMBER(SEARCH('TRANSPORT DASHBOARD'!$C$4,INDEX(MASTER_ZONES!$B:$B,1147)))),1146,""),""),""))</f>
        <v/>
      </c>
      <c r="K1147">
        <f>IF('MIDWEEK DASHBOARD'!$B$4="Area",IF(1146&lt;=$N$3,IF(AND(OR('MIDWEEK DASHBOARD'!$C$4="",ISNUMBER(SEARCH('MIDWEEK DASHBOARD'!$C$4,INDEX(MASTER_AREAS!$B:$B,1147))))),1146,""),""),IF('MIDWEEK DASHBOARD'!$B$4="Zone",IF(1146&lt;=$N$4,IF(OR('MIDWEEK DASHBOARD'!$C$4="",ISNUMBER(SEARCH('MIDWEEK DASHBOARD'!$C$4,INDEX(MASTER_ZONES!$B:$B,1147)))),1146,""),""),""))</f>
        <v/>
      </c>
      <c r="P1147">
        <f>IF('CHOP DASHBOARD'!$B$4="Area",IF(1146&lt;=$S$3,IF(AND(OR('CHOP DASHBOARD'!$C$4="",ISNUMBER(SEARCH('CHOP DASHBOARD'!$C$4,INDEX(MASTER_AREAS!$B:$B,1147))))),1146,""),""),IF('CHOP DASHBOARD'!$B$4="Zone",IF(1146&lt;=$S$4,IF(OR('CHOP DASHBOARD'!$C$4="",ISNUMBER(SEARCH('CHOP DASHBOARD'!$C$4,INDEX(MASTER_ZONES!$B:$B,1147)))),1146,""),""),""))</f>
        <v/>
      </c>
      <c r="U1147">
        <f>IF('COMMUNITY CHURCH DASHBOARD'!$B$4="Area",IF(1146&lt;=$X$3,IF(AND(OR('COMMUNITY CHURCH DASHBOARD'!$C$4="",ISNUMBER(SEARCH('COMMUNITY CHURCH DASHBOARD'!$C$4,INDEX(MASTER_AREAS!$B:$B,1147))))),1146,""),""),IF('COMMUNITY CHURCH DASHBOARD'!$B$4="Zone",IF(1146&lt;=$X$4,IF(OR('COMMUNITY CHURCH DASHBOARD'!$C$4="",ISNUMBER(SEARCH('COMMUNITY CHURCH DASHBOARD'!$C$4,INDEX(MASTER_ZONES!$B:$B,1147)))),1146,""),""),""))</f>
        <v/>
      </c>
    </row>
    <row r="1148">
      <c r="A1148">
        <f>IF('WSF DASHBOARD'!$B$4="Area",IF(1147&lt;=$D$3,IF(AND(OR('WSF DASHBOARD'!$C$4="",ISNUMBER(SEARCH('WSF DASHBOARD'!$C$4,INDEX(MASTER_AREAS!$B:$B,1148))))),1147,""),""),IF('WSF DASHBOARD'!$B$4="Zone",IF(1147&lt;=$D$4,IF(OR('WSF DASHBOARD'!$C$4="",ISNUMBER(SEARCH('WSF DASHBOARD'!$C$4,INDEX(MASTER_ZONES!$B:$B,1148)))),1147,""),""),""))</f>
        <v/>
      </c>
      <c r="F1148">
        <f>IF('TRANSPORT DASHBOARD'!$B$4="Area",IF(1147&lt;=$I$3,IF(AND(INDEX(MASTER_AREAS!$F:$F,1148)&lt;&gt;"N",OR('TRANSPORT DASHBOARD'!$C$4="",ISNUMBER(SEARCH('TRANSPORT DASHBOARD'!$C$4,INDEX(MASTER_AREAS!$B:$B,1148))))),1147,""),""),IF('TRANSPORT DASHBOARD'!$B$4="Zone",IF(1147&lt;=$I$4,IF(OR('TRANSPORT DASHBOARD'!$C$4="",ISNUMBER(SEARCH('TRANSPORT DASHBOARD'!$C$4,INDEX(MASTER_ZONES!$B:$B,1148)))),1147,""),""),""))</f>
        <v/>
      </c>
      <c r="K1148">
        <f>IF('MIDWEEK DASHBOARD'!$B$4="Area",IF(1147&lt;=$N$3,IF(AND(OR('MIDWEEK DASHBOARD'!$C$4="",ISNUMBER(SEARCH('MIDWEEK DASHBOARD'!$C$4,INDEX(MASTER_AREAS!$B:$B,1148))))),1147,""),""),IF('MIDWEEK DASHBOARD'!$B$4="Zone",IF(1147&lt;=$N$4,IF(OR('MIDWEEK DASHBOARD'!$C$4="",ISNUMBER(SEARCH('MIDWEEK DASHBOARD'!$C$4,INDEX(MASTER_ZONES!$B:$B,1148)))),1147,""),""),""))</f>
        <v/>
      </c>
      <c r="P1148">
        <f>IF('CHOP DASHBOARD'!$B$4="Area",IF(1147&lt;=$S$3,IF(AND(OR('CHOP DASHBOARD'!$C$4="",ISNUMBER(SEARCH('CHOP DASHBOARD'!$C$4,INDEX(MASTER_AREAS!$B:$B,1148))))),1147,""),""),IF('CHOP DASHBOARD'!$B$4="Zone",IF(1147&lt;=$S$4,IF(OR('CHOP DASHBOARD'!$C$4="",ISNUMBER(SEARCH('CHOP DASHBOARD'!$C$4,INDEX(MASTER_ZONES!$B:$B,1148)))),1147,""),""),""))</f>
        <v/>
      </c>
      <c r="U1148">
        <f>IF('COMMUNITY CHURCH DASHBOARD'!$B$4="Area",IF(1147&lt;=$X$3,IF(AND(OR('COMMUNITY CHURCH DASHBOARD'!$C$4="",ISNUMBER(SEARCH('COMMUNITY CHURCH DASHBOARD'!$C$4,INDEX(MASTER_AREAS!$B:$B,1148))))),1147,""),""),IF('COMMUNITY CHURCH DASHBOARD'!$B$4="Zone",IF(1147&lt;=$X$4,IF(OR('COMMUNITY CHURCH DASHBOARD'!$C$4="",ISNUMBER(SEARCH('COMMUNITY CHURCH DASHBOARD'!$C$4,INDEX(MASTER_ZONES!$B:$B,1148)))),1147,""),""),""))</f>
        <v/>
      </c>
    </row>
    <row r="1149">
      <c r="A1149">
        <f>IF('WSF DASHBOARD'!$B$4="Area",IF(1148&lt;=$D$3,IF(AND(OR('WSF DASHBOARD'!$C$4="",ISNUMBER(SEARCH('WSF DASHBOARD'!$C$4,INDEX(MASTER_AREAS!$B:$B,1149))))),1148,""),""),IF('WSF DASHBOARD'!$B$4="Zone",IF(1148&lt;=$D$4,IF(OR('WSF DASHBOARD'!$C$4="",ISNUMBER(SEARCH('WSF DASHBOARD'!$C$4,INDEX(MASTER_ZONES!$B:$B,1149)))),1148,""),""),""))</f>
        <v/>
      </c>
      <c r="F1149">
        <f>IF('TRANSPORT DASHBOARD'!$B$4="Area",IF(1148&lt;=$I$3,IF(AND(INDEX(MASTER_AREAS!$F:$F,1149)&lt;&gt;"N",OR('TRANSPORT DASHBOARD'!$C$4="",ISNUMBER(SEARCH('TRANSPORT DASHBOARD'!$C$4,INDEX(MASTER_AREAS!$B:$B,1149))))),1148,""),""),IF('TRANSPORT DASHBOARD'!$B$4="Zone",IF(1148&lt;=$I$4,IF(OR('TRANSPORT DASHBOARD'!$C$4="",ISNUMBER(SEARCH('TRANSPORT DASHBOARD'!$C$4,INDEX(MASTER_ZONES!$B:$B,1149)))),1148,""),""),""))</f>
        <v/>
      </c>
      <c r="K1149">
        <f>IF('MIDWEEK DASHBOARD'!$B$4="Area",IF(1148&lt;=$N$3,IF(AND(OR('MIDWEEK DASHBOARD'!$C$4="",ISNUMBER(SEARCH('MIDWEEK DASHBOARD'!$C$4,INDEX(MASTER_AREAS!$B:$B,1149))))),1148,""),""),IF('MIDWEEK DASHBOARD'!$B$4="Zone",IF(1148&lt;=$N$4,IF(OR('MIDWEEK DASHBOARD'!$C$4="",ISNUMBER(SEARCH('MIDWEEK DASHBOARD'!$C$4,INDEX(MASTER_ZONES!$B:$B,1149)))),1148,""),""),""))</f>
        <v/>
      </c>
      <c r="P1149">
        <f>IF('CHOP DASHBOARD'!$B$4="Area",IF(1148&lt;=$S$3,IF(AND(OR('CHOP DASHBOARD'!$C$4="",ISNUMBER(SEARCH('CHOP DASHBOARD'!$C$4,INDEX(MASTER_AREAS!$B:$B,1149))))),1148,""),""),IF('CHOP DASHBOARD'!$B$4="Zone",IF(1148&lt;=$S$4,IF(OR('CHOP DASHBOARD'!$C$4="",ISNUMBER(SEARCH('CHOP DASHBOARD'!$C$4,INDEX(MASTER_ZONES!$B:$B,1149)))),1148,""),""),""))</f>
        <v/>
      </c>
      <c r="U1149">
        <f>IF('COMMUNITY CHURCH DASHBOARD'!$B$4="Area",IF(1148&lt;=$X$3,IF(AND(OR('COMMUNITY CHURCH DASHBOARD'!$C$4="",ISNUMBER(SEARCH('COMMUNITY CHURCH DASHBOARD'!$C$4,INDEX(MASTER_AREAS!$B:$B,1149))))),1148,""),""),IF('COMMUNITY CHURCH DASHBOARD'!$B$4="Zone",IF(1148&lt;=$X$4,IF(OR('COMMUNITY CHURCH DASHBOARD'!$C$4="",ISNUMBER(SEARCH('COMMUNITY CHURCH DASHBOARD'!$C$4,INDEX(MASTER_ZONES!$B:$B,1149)))),1148,""),""),""))</f>
        <v/>
      </c>
    </row>
    <row r="1150">
      <c r="A1150">
        <f>IF('WSF DASHBOARD'!$B$4="Area",IF(1149&lt;=$D$3,IF(AND(OR('WSF DASHBOARD'!$C$4="",ISNUMBER(SEARCH('WSF DASHBOARD'!$C$4,INDEX(MASTER_AREAS!$B:$B,1150))))),1149,""),""),IF('WSF DASHBOARD'!$B$4="Zone",IF(1149&lt;=$D$4,IF(OR('WSF DASHBOARD'!$C$4="",ISNUMBER(SEARCH('WSF DASHBOARD'!$C$4,INDEX(MASTER_ZONES!$B:$B,1150)))),1149,""),""),""))</f>
        <v/>
      </c>
      <c r="F1150">
        <f>IF('TRANSPORT DASHBOARD'!$B$4="Area",IF(1149&lt;=$I$3,IF(AND(INDEX(MASTER_AREAS!$F:$F,1150)&lt;&gt;"N",OR('TRANSPORT DASHBOARD'!$C$4="",ISNUMBER(SEARCH('TRANSPORT DASHBOARD'!$C$4,INDEX(MASTER_AREAS!$B:$B,1150))))),1149,""),""),IF('TRANSPORT DASHBOARD'!$B$4="Zone",IF(1149&lt;=$I$4,IF(OR('TRANSPORT DASHBOARD'!$C$4="",ISNUMBER(SEARCH('TRANSPORT DASHBOARD'!$C$4,INDEX(MASTER_ZONES!$B:$B,1150)))),1149,""),""),""))</f>
        <v/>
      </c>
      <c r="K1150">
        <f>IF('MIDWEEK DASHBOARD'!$B$4="Area",IF(1149&lt;=$N$3,IF(AND(OR('MIDWEEK DASHBOARD'!$C$4="",ISNUMBER(SEARCH('MIDWEEK DASHBOARD'!$C$4,INDEX(MASTER_AREAS!$B:$B,1150))))),1149,""),""),IF('MIDWEEK DASHBOARD'!$B$4="Zone",IF(1149&lt;=$N$4,IF(OR('MIDWEEK DASHBOARD'!$C$4="",ISNUMBER(SEARCH('MIDWEEK DASHBOARD'!$C$4,INDEX(MASTER_ZONES!$B:$B,1150)))),1149,""),""),""))</f>
        <v/>
      </c>
      <c r="P1150">
        <f>IF('CHOP DASHBOARD'!$B$4="Area",IF(1149&lt;=$S$3,IF(AND(OR('CHOP DASHBOARD'!$C$4="",ISNUMBER(SEARCH('CHOP DASHBOARD'!$C$4,INDEX(MASTER_AREAS!$B:$B,1150))))),1149,""),""),IF('CHOP DASHBOARD'!$B$4="Zone",IF(1149&lt;=$S$4,IF(OR('CHOP DASHBOARD'!$C$4="",ISNUMBER(SEARCH('CHOP DASHBOARD'!$C$4,INDEX(MASTER_ZONES!$B:$B,1150)))),1149,""),""),""))</f>
        <v/>
      </c>
      <c r="U1150">
        <f>IF('COMMUNITY CHURCH DASHBOARD'!$B$4="Area",IF(1149&lt;=$X$3,IF(AND(OR('COMMUNITY CHURCH DASHBOARD'!$C$4="",ISNUMBER(SEARCH('COMMUNITY CHURCH DASHBOARD'!$C$4,INDEX(MASTER_AREAS!$B:$B,1150))))),1149,""),""),IF('COMMUNITY CHURCH DASHBOARD'!$B$4="Zone",IF(1149&lt;=$X$4,IF(OR('COMMUNITY CHURCH DASHBOARD'!$C$4="",ISNUMBER(SEARCH('COMMUNITY CHURCH DASHBOARD'!$C$4,INDEX(MASTER_ZONES!$B:$B,1150)))),1149,""),""),""))</f>
        <v/>
      </c>
    </row>
    <row r="1151">
      <c r="A1151">
        <f>IF('WSF DASHBOARD'!$B$4="Area",IF(1150&lt;=$D$3,IF(AND(OR('WSF DASHBOARD'!$C$4="",ISNUMBER(SEARCH('WSF DASHBOARD'!$C$4,INDEX(MASTER_AREAS!$B:$B,1151))))),1150,""),""),IF('WSF DASHBOARD'!$B$4="Zone",IF(1150&lt;=$D$4,IF(OR('WSF DASHBOARD'!$C$4="",ISNUMBER(SEARCH('WSF DASHBOARD'!$C$4,INDEX(MASTER_ZONES!$B:$B,1151)))),1150,""),""),""))</f>
        <v/>
      </c>
      <c r="F1151">
        <f>IF('TRANSPORT DASHBOARD'!$B$4="Area",IF(1150&lt;=$I$3,IF(AND(INDEX(MASTER_AREAS!$F:$F,1151)&lt;&gt;"N",OR('TRANSPORT DASHBOARD'!$C$4="",ISNUMBER(SEARCH('TRANSPORT DASHBOARD'!$C$4,INDEX(MASTER_AREAS!$B:$B,1151))))),1150,""),""),IF('TRANSPORT DASHBOARD'!$B$4="Zone",IF(1150&lt;=$I$4,IF(OR('TRANSPORT DASHBOARD'!$C$4="",ISNUMBER(SEARCH('TRANSPORT DASHBOARD'!$C$4,INDEX(MASTER_ZONES!$B:$B,1151)))),1150,""),""),""))</f>
        <v/>
      </c>
      <c r="K1151">
        <f>IF('MIDWEEK DASHBOARD'!$B$4="Area",IF(1150&lt;=$N$3,IF(AND(OR('MIDWEEK DASHBOARD'!$C$4="",ISNUMBER(SEARCH('MIDWEEK DASHBOARD'!$C$4,INDEX(MASTER_AREAS!$B:$B,1151))))),1150,""),""),IF('MIDWEEK DASHBOARD'!$B$4="Zone",IF(1150&lt;=$N$4,IF(OR('MIDWEEK DASHBOARD'!$C$4="",ISNUMBER(SEARCH('MIDWEEK DASHBOARD'!$C$4,INDEX(MASTER_ZONES!$B:$B,1151)))),1150,""),""),""))</f>
        <v/>
      </c>
      <c r="P1151">
        <f>IF('CHOP DASHBOARD'!$B$4="Area",IF(1150&lt;=$S$3,IF(AND(OR('CHOP DASHBOARD'!$C$4="",ISNUMBER(SEARCH('CHOP DASHBOARD'!$C$4,INDEX(MASTER_AREAS!$B:$B,1151))))),1150,""),""),IF('CHOP DASHBOARD'!$B$4="Zone",IF(1150&lt;=$S$4,IF(OR('CHOP DASHBOARD'!$C$4="",ISNUMBER(SEARCH('CHOP DASHBOARD'!$C$4,INDEX(MASTER_ZONES!$B:$B,1151)))),1150,""),""),""))</f>
        <v/>
      </c>
      <c r="U1151">
        <f>IF('COMMUNITY CHURCH DASHBOARD'!$B$4="Area",IF(1150&lt;=$X$3,IF(AND(OR('COMMUNITY CHURCH DASHBOARD'!$C$4="",ISNUMBER(SEARCH('COMMUNITY CHURCH DASHBOARD'!$C$4,INDEX(MASTER_AREAS!$B:$B,1151))))),1150,""),""),IF('COMMUNITY CHURCH DASHBOARD'!$B$4="Zone",IF(1150&lt;=$X$4,IF(OR('COMMUNITY CHURCH DASHBOARD'!$C$4="",ISNUMBER(SEARCH('COMMUNITY CHURCH DASHBOARD'!$C$4,INDEX(MASTER_ZONES!$B:$B,1151)))),1150,""),""),""))</f>
        <v/>
      </c>
    </row>
    <row r="1152">
      <c r="A1152">
        <f>IF('WSF DASHBOARD'!$B$4="Area",IF(1151&lt;=$D$3,IF(AND(OR('WSF DASHBOARD'!$C$4="",ISNUMBER(SEARCH('WSF DASHBOARD'!$C$4,INDEX(MASTER_AREAS!$B:$B,1152))))),1151,""),""),IF('WSF DASHBOARD'!$B$4="Zone",IF(1151&lt;=$D$4,IF(OR('WSF DASHBOARD'!$C$4="",ISNUMBER(SEARCH('WSF DASHBOARD'!$C$4,INDEX(MASTER_ZONES!$B:$B,1152)))),1151,""),""),""))</f>
        <v/>
      </c>
      <c r="F1152">
        <f>IF('TRANSPORT DASHBOARD'!$B$4="Area",IF(1151&lt;=$I$3,IF(AND(INDEX(MASTER_AREAS!$F:$F,1152)&lt;&gt;"N",OR('TRANSPORT DASHBOARD'!$C$4="",ISNUMBER(SEARCH('TRANSPORT DASHBOARD'!$C$4,INDEX(MASTER_AREAS!$B:$B,1152))))),1151,""),""),IF('TRANSPORT DASHBOARD'!$B$4="Zone",IF(1151&lt;=$I$4,IF(OR('TRANSPORT DASHBOARD'!$C$4="",ISNUMBER(SEARCH('TRANSPORT DASHBOARD'!$C$4,INDEX(MASTER_ZONES!$B:$B,1152)))),1151,""),""),""))</f>
        <v/>
      </c>
      <c r="K1152">
        <f>IF('MIDWEEK DASHBOARD'!$B$4="Area",IF(1151&lt;=$N$3,IF(AND(OR('MIDWEEK DASHBOARD'!$C$4="",ISNUMBER(SEARCH('MIDWEEK DASHBOARD'!$C$4,INDEX(MASTER_AREAS!$B:$B,1152))))),1151,""),""),IF('MIDWEEK DASHBOARD'!$B$4="Zone",IF(1151&lt;=$N$4,IF(OR('MIDWEEK DASHBOARD'!$C$4="",ISNUMBER(SEARCH('MIDWEEK DASHBOARD'!$C$4,INDEX(MASTER_ZONES!$B:$B,1152)))),1151,""),""),""))</f>
        <v/>
      </c>
      <c r="P1152">
        <f>IF('CHOP DASHBOARD'!$B$4="Area",IF(1151&lt;=$S$3,IF(AND(OR('CHOP DASHBOARD'!$C$4="",ISNUMBER(SEARCH('CHOP DASHBOARD'!$C$4,INDEX(MASTER_AREAS!$B:$B,1152))))),1151,""),""),IF('CHOP DASHBOARD'!$B$4="Zone",IF(1151&lt;=$S$4,IF(OR('CHOP DASHBOARD'!$C$4="",ISNUMBER(SEARCH('CHOP DASHBOARD'!$C$4,INDEX(MASTER_ZONES!$B:$B,1152)))),1151,""),""),""))</f>
        <v/>
      </c>
      <c r="U1152">
        <f>IF('COMMUNITY CHURCH DASHBOARD'!$B$4="Area",IF(1151&lt;=$X$3,IF(AND(OR('COMMUNITY CHURCH DASHBOARD'!$C$4="",ISNUMBER(SEARCH('COMMUNITY CHURCH DASHBOARD'!$C$4,INDEX(MASTER_AREAS!$B:$B,1152))))),1151,""),""),IF('COMMUNITY CHURCH DASHBOARD'!$B$4="Zone",IF(1151&lt;=$X$4,IF(OR('COMMUNITY CHURCH DASHBOARD'!$C$4="",ISNUMBER(SEARCH('COMMUNITY CHURCH DASHBOARD'!$C$4,INDEX(MASTER_ZONES!$B:$B,1152)))),1151,""),""),""))</f>
        <v/>
      </c>
    </row>
    <row r="1153">
      <c r="A1153">
        <f>IF('WSF DASHBOARD'!$B$4="Area",IF(1152&lt;=$D$3,IF(AND(OR('WSF DASHBOARD'!$C$4="",ISNUMBER(SEARCH('WSF DASHBOARD'!$C$4,INDEX(MASTER_AREAS!$B:$B,1153))))),1152,""),""),IF('WSF DASHBOARD'!$B$4="Zone",IF(1152&lt;=$D$4,IF(OR('WSF DASHBOARD'!$C$4="",ISNUMBER(SEARCH('WSF DASHBOARD'!$C$4,INDEX(MASTER_ZONES!$B:$B,1153)))),1152,""),""),""))</f>
        <v/>
      </c>
      <c r="F1153">
        <f>IF('TRANSPORT DASHBOARD'!$B$4="Area",IF(1152&lt;=$I$3,IF(AND(INDEX(MASTER_AREAS!$F:$F,1153)&lt;&gt;"N",OR('TRANSPORT DASHBOARD'!$C$4="",ISNUMBER(SEARCH('TRANSPORT DASHBOARD'!$C$4,INDEX(MASTER_AREAS!$B:$B,1153))))),1152,""),""),IF('TRANSPORT DASHBOARD'!$B$4="Zone",IF(1152&lt;=$I$4,IF(OR('TRANSPORT DASHBOARD'!$C$4="",ISNUMBER(SEARCH('TRANSPORT DASHBOARD'!$C$4,INDEX(MASTER_ZONES!$B:$B,1153)))),1152,""),""),""))</f>
        <v/>
      </c>
      <c r="K1153">
        <f>IF('MIDWEEK DASHBOARD'!$B$4="Area",IF(1152&lt;=$N$3,IF(AND(OR('MIDWEEK DASHBOARD'!$C$4="",ISNUMBER(SEARCH('MIDWEEK DASHBOARD'!$C$4,INDEX(MASTER_AREAS!$B:$B,1153))))),1152,""),""),IF('MIDWEEK DASHBOARD'!$B$4="Zone",IF(1152&lt;=$N$4,IF(OR('MIDWEEK DASHBOARD'!$C$4="",ISNUMBER(SEARCH('MIDWEEK DASHBOARD'!$C$4,INDEX(MASTER_ZONES!$B:$B,1153)))),1152,""),""),""))</f>
        <v/>
      </c>
      <c r="P1153">
        <f>IF('CHOP DASHBOARD'!$B$4="Area",IF(1152&lt;=$S$3,IF(AND(OR('CHOP DASHBOARD'!$C$4="",ISNUMBER(SEARCH('CHOP DASHBOARD'!$C$4,INDEX(MASTER_AREAS!$B:$B,1153))))),1152,""),""),IF('CHOP DASHBOARD'!$B$4="Zone",IF(1152&lt;=$S$4,IF(OR('CHOP DASHBOARD'!$C$4="",ISNUMBER(SEARCH('CHOP DASHBOARD'!$C$4,INDEX(MASTER_ZONES!$B:$B,1153)))),1152,""),""),""))</f>
        <v/>
      </c>
      <c r="U1153">
        <f>IF('COMMUNITY CHURCH DASHBOARD'!$B$4="Area",IF(1152&lt;=$X$3,IF(AND(OR('COMMUNITY CHURCH DASHBOARD'!$C$4="",ISNUMBER(SEARCH('COMMUNITY CHURCH DASHBOARD'!$C$4,INDEX(MASTER_AREAS!$B:$B,1153))))),1152,""),""),IF('COMMUNITY CHURCH DASHBOARD'!$B$4="Zone",IF(1152&lt;=$X$4,IF(OR('COMMUNITY CHURCH DASHBOARD'!$C$4="",ISNUMBER(SEARCH('COMMUNITY CHURCH DASHBOARD'!$C$4,INDEX(MASTER_ZONES!$B:$B,1153)))),1152,""),""),""))</f>
        <v/>
      </c>
    </row>
    <row r="1154">
      <c r="A1154">
        <f>IF('WSF DASHBOARD'!$B$4="Area",IF(1153&lt;=$D$3,IF(AND(OR('WSF DASHBOARD'!$C$4="",ISNUMBER(SEARCH('WSF DASHBOARD'!$C$4,INDEX(MASTER_AREAS!$B:$B,1154))))),1153,""),""),IF('WSF DASHBOARD'!$B$4="Zone",IF(1153&lt;=$D$4,IF(OR('WSF DASHBOARD'!$C$4="",ISNUMBER(SEARCH('WSF DASHBOARD'!$C$4,INDEX(MASTER_ZONES!$B:$B,1154)))),1153,""),""),""))</f>
        <v/>
      </c>
      <c r="F1154">
        <f>IF('TRANSPORT DASHBOARD'!$B$4="Area",IF(1153&lt;=$I$3,IF(AND(INDEX(MASTER_AREAS!$F:$F,1154)&lt;&gt;"N",OR('TRANSPORT DASHBOARD'!$C$4="",ISNUMBER(SEARCH('TRANSPORT DASHBOARD'!$C$4,INDEX(MASTER_AREAS!$B:$B,1154))))),1153,""),""),IF('TRANSPORT DASHBOARD'!$B$4="Zone",IF(1153&lt;=$I$4,IF(OR('TRANSPORT DASHBOARD'!$C$4="",ISNUMBER(SEARCH('TRANSPORT DASHBOARD'!$C$4,INDEX(MASTER_ZONES!$B:$B,1154)))),1153,""),""),""))</f>
        <v/>
      </c>
      <c r="K1154">
        <f>IF('MIDWEEK DASHBOARD'!$B$4="Area",IF(1153&lt;=$N$3,IF(AND(OR('MIDWEEK DASHBOARD'!$C$4="",ISNUMBER(SEARCH('MIDWEEK DASHBOARD'!$C$4,INDEX(MASTER_AREAS!$B:$B,1154))))),1153,""),""),IF('MIDWEEK DASHBOARD'!$B$4="Zone",IF(1153&lt;=$N$4,IF(OR('MIDWEEK DASHBOARD'!$C$4="",ISNUMBER(SEARCH('MIDWEEK DASHBOARD'!$C$4,INDEX(MASTER_ZONES!$B:$B,1154)))),1153,""),""),""))</f>
        <v/>
      </c>
      <c r="P1154">
        <f>IF('CHOP DASHBOARD'!$B$4="Area",IF(1153&lt;=$S$3,IF(AND(OR('CHOP DASHBOARD'!$C$4="",ISNUMBER(SEARCH('CHOP DASHBOARD'!$C$4,INDEX(MASTER_AREAS!$B:$B,1154))))),1153,""),""),IF('CHOP DASHBOARD'!$B$4="Zone",IF(1153&lt;=$S$4,IF(OR('CHOP DASHBOARD'!$C$4="",ISNUMBER(SEARCH('CHOP DASHBOARD'!$C$4,INDEX(MASTER_ZONES!$B:$B,1154)))),1153,""),""),""))</f>
        <v/>
      </c>
      <c r="U1154">
        <f>IF('COMMUNITY CHURCH DASHBOARD'!$B$4="Area",IF(1153&lt;=$X$3,IF(AND(OR('COMMUNITY CHURCH DASHBOARD'!$C$4="",ISNUMBER(SEARCH('COMMUNITY CHURCH DASHBOARD'!$C$4,INDEX(MASTER_AREAS!$B:$B,1154))))),1153,""),""),IF('COMMUNITY CHURCH DASHBOARD'!$B$4="Zone",IF(1153&lt;=$X$4,IF(OR('COMMUNITY CHURCH DASHBOARD'!$C$4="",ISNUMBER(SEARCH('COMMUNITY CHURCH DASHBOARD'!$C$4,INDEX(MASTER_ZONES!$B:$B,1154)))),1153,""),""),""))</f>
        <v/>
      </c>
    </row>
    <row r="1155">
      <c r="A1155">
        <f>IF('WSF DASHBOARD'!$B$4="Area",IF(1154&lt;=$D$3,IF(AND(OR('WSF DASHBOARD'!$C$4="",ISNUMBER(SEARCH('WSF DASHBOARD'!$C$4,INDEX(MASTER_AREAS!$B:$B,1155))))),1154,""),""),IF('WSF DASHBOARD'!$B$4="Zone",IF(1154&lt;=$D$4,IF(OR('WSF DASHBOARD'!$C$4="",ISNUMBER(SEARCH('WSF DASHBOARD'!$C$4,INDEX(MASTER_ZONES!$B:$B,1155)))),1154,""),""),""))</f>
        <v/>
      </c>
      <c r="F1155">
        <f>IF('TRANSPORT DASHBOARD'!$B$4="Area",IF(1154&lt;=$I$3,IF(AND(INDEX(MASTER_AREAS!$F:$F,1155)&lt;&gt;"N",OR('TRANSPORT DASHBOARD'!$C$4="",ISNUMBER(SEARCH('TRANSPORT DASHBOARD'!$C$4,INDEX(MASTER_AREAS!$B:$B,1155))))),1154,""),""),IF('TRANSPORT DASHBOARD'!$B$4="Zone",IF(1154&lt;=$I$4,IF(OR('TRANSPORT DASHBOARD'!$C$4="",ISNUMBER(SEARCH('TRANSPORT DASHBOARD'!$C$4,INDEX(MASTER_ZONES!$B:$B,1155)))),1154,""),""),""))</f>
        <v/>
      </c>
      <c r="K1155">
        <f>IF('MIDWEEK DASHBOARD'!$B$4="Area",IF(1154&lt;=$N$3,IF(AND(OR('MIDWEEK DASHBOARD'!$C$4="",ISNUMBER(SEARCH('MIDWEEK DASHBOARD'!$C$4,INDEX(MASTER_AREAS!$B:$B,1155))))),1154,""),""),IF('MIDWEEK DASHBOARD'!$B$4="Zone",IF(1154&lt;=$N$4,IF(OR('MIDWEEK DASHBOARD'!$C$4="",ISNUMBER(SEARCH('MIDWEEK DASHBOARD'!$C$4,INDEX(MASTER_ZONES!$B:$B,1155)))),1154,""),""),""))</f>
        <v/>
      </c>
      <c r="P1155">
        <f>IF('CHOP DASHBOARD'!$B$4="Area",IF(1154&lt;=$S$3,IF(AND(OR('CHOP DASHBOARD'!$C$4="",ISNUMBER(SEARCH('CHOP DASHBOARD'!$C$4,INDEX(MASTER_AREAS!$B:$B,1155))))),1154,""),""),IF('CHOP DASHBOARD'!$B$4="Zone",IF(1154&lt;=$S$4,IF(OR('CHOP DASHBOARD'!$C$4="",ISNUMBER(SEARCH('CHOP DASHBOARD'!$C$4,INDEX(MASTER_ZONES!$B:$B,1155)))),1154,""),""),""))</f>
        <v/>
      </c>
      <c r="U1155">
        <f>IF('COMMUNITY CHURCH DASHBOARD'!$B$4="Area",IF(1154&lt;=$X$3,IF(AND(OR('COMMUNITY CHURCH DASHBOARD'!$C$4="",ISNUMBER(SEARCH('COMMUNITY CHURCH DASHBOARD'!$C$4,INDEX(MASTER_AREAS!$B:$B,1155))))),1154,""),""),IF('COMMUNITY CHURCH DASHBOARD'!$B$4="Zone",IF(1154&lt;=$X$4,IF(OR('COMMUNITY CHURCH DASHBOARD'!$C$4="",ISNUMBER(SEARCH('COMMUNITY CHURCH DASHBOARD'!$C$4,INDEX(MASTER_ZONES!$B:$B,1155)))),1154,""),""),""))</f>
        <v/>
      </c>
    </row>
    <row r="1156">
      <c r="A1156">
        <f>IF('WSF DASHBOARD'!$B$4="Area",IF(1155&lt;=$D$3,IF(AND(OR('WSF DASHBOARD'!$C$4="",ISNUMBER(SEARCH('WSF DASHBOARD'!$C$4,INDEX(MASTER_AREAS!$B:$B,1156))))),1155,""),""),IF('WSF DASHBOARD'!$B$4="Zone",IF(1155&lt;=$D$4,IF(OR('WSF DASHBOARD'!$C$4="",ISNUMBER(SEARCH('WSF DASHBOARD'!$C$4,INDEX(MASTER_ZONES!$B:$B,1156)))),1155,""),""),""))</f>
        <v/>
      </c>
      <c r="F1156">
        <f>IF('TRANSPORT DASHBOARD'!$B$4="Area",IF(1155&lt;=$I$3,IF(AND(INDEX(MASTER_AREAS!$F:$F,1156)&lt;&gt;"N",OR('TRANSPORT DASHBOARD'!$C$4="",ISNUMBER(SEARCH('TRANSPORT DASHBOARD'!$C$4,INDEX(MASTER_AREAS!$B:$B,1156))))),1155,""),""),IF('TRANSPORT DASHBOARD'!$B$4="Zone",IF(1155&lt;=$I$4,IF(OR('TRANSPORT DASHBOARD'!$C$4="",ISNUMBER(SEARCH('TRANSPORT DASHBOARD'!$C$4,INDEX(MASTER_ZONES!$B:$B,1156)))),1155,""),""),""))</f>
        <v/>
      </c>
      <c r="K1156">
        <f>IF('MIDWEEK DASHBOARD'!$B$4="Area",IF(1155&lt;=$N$3,IF(AND(OR('MIDWEEK DASHBOARD'!$C$4="",ISNUMBER(SEARCH('MIDWEEK DASHBOARD'!$C$4,INDEX(MASTER_AREAS!$B:$B,1156))))),1155,""),""),IF('MIDWEEK DASHBOARD'!$B$4="Zone",IF(1155&lt;=$N$4,IF(OR('MIDWEEK DASHBOARD'!$C$4="",ISNUMBER(SEARCH('MIDWEEK DASHBOARD'!$C$4,INDEX(MASTER_ZONES!$B:$B,1156)))),1155,""),""),""))</f>
        <v/>
      </c>
      <c r="P1156">
        <f>IF('CHOP DASHBOARD'!$B$4="Area",IF(1155&lt;=$S$3,IF(AND(OR('CHOP DASHBOARD'!$C$4="",ISNUMBER(SEARCH('CHOP DASHBOARD'!$C$4,INDEX(MASTER_AREAS!$B:$B,1156))))),1155,""),""),IF('CHOP DASHBOARD'!$B$4="Zone",IF(1155&lt;=$S$4,IF(OR('CHOP DASHBOARD'!$C$4="",ISNUMBER(SEARCH('CHOP DASHBOARD'!$C$4,INDEX(MASTER_ZONES!$B:$B,1156)))),1155,""),""),""))</f>
        <v/>
      </c>
      <c r="U1156">
        <f>IF('COMMUNITY CHURCH DASHBOARD'!$B$4="Area",IF(1155&lt;=$X$3,IF(AND(OR('COMMUNITY CHURCH DASHBOARD'!$C$4="",ISNUMBER(SEARCH('COMMUNITY CHURCH DASHBOARD'!$C$4,INDEX(MASTER_AREAS!$B:$B,1156))))),1155,""),""),IF('COMMUNITY CHURCH DASHBOARD'!$B$4="Zone",IF(1155&lt;=$X$4,IF(OR('COMMUNITY CHURCH DASHBOARD'!$C$4="",ISNUMBER(SEARCH('COMMUNITY CHURCH DASHBOARD'!$C$4,INDEX(MASTER_ZONES!$B:$B,1156)))),1155,""),""),""))</f>
        <v/>
      </c>
    </row>
    <row r="1157">
      <c r="A1157">
        <f>IF('WSF DASHBOARD'!$B$4="Area",IF(1156&lt;=$D$3,IF(AND(OR('WSF DASHBOARD'!$C$4="",ISNUMBER(SEARCH('WSF DASHBOARD'!$C$4,INDEX(MASTER_AREAS!$B:$B,1157))))),1156,""),""),IF('WSF DASHBOARD'!$B$4="Zone",IF(1156&lt;=$D$4,IF(OR('WSF DASHBOARD'!$C$4="",ISNUMBER(SEARCH('WSF DASHBOARD'!$C$4,INDEX(MASTER_ZONES!$B:$B,1157)))),1156,""),""),""))</f>
        <v/>
      </c>
      <c r="F1157">
        <f>IF('TRANSPORT DASHBOARD'!$B$4="Area",IF(1156&lt;=$I$3,IF(AND(INDEX(MASTER_AREAS!$F:$F,1157)&lt;&gt;"N",OR('TRANSPORT DASHBOARD'!$C$4="",ISNUMBER(SEARCH('TRANSPORT DASHBOARD'!$C$4,INDEX(MASTER_AREAS!$B:$B,1157))))),1156,""),""),IF('TRANSPORT DASHBOARD'!$B$4="Zone",IF(1156&lt;=$I$4,IF(OR('TRANSPORT DASHBOARD'!$C$4="",ISNUMBER(SEARCH('TRANSPORT DASHBOARD'!$C$4,INDEX(MASTER_ZONES!$B:$B,1157)))),1156,""),""),""))</f>
        <v/>
      </c>
      <c r="K1157">
        <f>IF('MIDWEEK DASHBOARD'!$B$4="Area",IF(1156&lt;=$N$3,IF(AND(OR('MIDWEEK DASHBOARD'!$C$4="",ISNUMBER(SEARCH('MIDWEEK DASHBOARD'!$C$4,INDEX(MASTER_AREAS!$B:$B,1157))))),1156,""),""),IF('MIDWEEK DASHBOARD'!$B$4="Zone",IF(1156&lt;=$N$4,IF(OR('MIDWEEK DASHBOARD'!$C$4="",ISNUMBER(SEARCH('MIDWEEK DASHBOARD'!$C$4,INDEX(MASTER_ZONES!$B:$B,1157)))),1156,""),""),""))</f>
        <v/>
      </c>
      <c r="P1157">
        <f>IF('CHOP DASHBOARD'!$B$4="Area",IF(1156&lt;=$S$3,IF(AND(OR('CHOP DASHBOARD'!$C$4="",ISNUMBER(SEARCH('CHOP DASHBOARD'!$C$4,INDEX(MASTER_AREAS!$B:$B,1157))))),1156,""),""),IF('CHOP DASHBOARD'!$B$4="Zone",IF(1156&lt;=$S$4,IF(OR('CHOP DASHBOARD'!$C$4="",ISNUMBER(SEARCH('CHOP DASHBOARD'!$C$4,INDEX(MASTER_ZONES!$B:$B,1157)))),1156,""),""),""))</f>
        <v/>
      </c>
      <c r="U1157">
        <f>IF('COMMUNITY CHURCH DASHBOARD'!$B$4="Area",IF(1156&lt;=$X$3,IF(AND(OR('COMMUNITY CHURCH DASHBOARD'!$C$4="",ISNUMBER(SEARCH('COMMUNITY CHURCH DASHBOARD'!$C$4,INDEX(MASTER_AREAS!$B:$B,1157))))),1156,""),""),IF('COMMUNITY CHURCH DASHBOARD'!$B$4="Zone",IF(1156&lt;=$X$4,IF(OR('COMMUNITY CHURCH DASHBOARD'!$C$4="",ISNUMBER(SEARCH('COMMUNITY CHURCH DASHBOARD'!$C$4,INDEX(MASTER_ZONES!$B:$B,1157)))),1156,""),""),""))</f>
        <v/>
      </c>
    </row>
    <row r="1158">
      <c r="A1158">
        <f>IF('WSF DASHBOARD'!$B$4="Area",IF(1157&lt;=$D$3,IF(AND(OR('WSF DASHBOARD'!$C$4="",ISNUMBER(SEARCH('WSF DASHBOARD'!$C$4,INDEX(MASTER_AREAS!$B:$B,1158))))),1157,""),""),IF('WSF DASHBOARD'!$B$4="Zone",IF(1157&lt;=$D$4,IF(OR('WSF DASHBOARD'!$C$4="",ISNUMBER(SEARCH('WSF DASHBOARD'!$C$4,INDEX(MASTER_ZONES!$B:$B,1158)))),1157,""),""),""))</f>
        <v/>
      </c>
      <c r="F1158">
        <f>IF('TRANSPORT DASHBOARD'!$B$4="Area",IF(1157&lt;=$I$3,IF(AND(INDEX(MASTER_AREAS!$F:$F,1158)&lt;&gt;"N",OR('TRANSPORT DASHBOARD'!$C$4="",ISNUMBER(SEARCH('TRANSPORT DASHBOARD'!$C$4,INDEX(MASTER_AREAS!$B:$B,1158))))),1157,""),""),IF('TRANSPORT DASHBOARD'!$B$4="Zone",IF(1157&lt;=$I$4,IF(OR('TRANSPORT DASHBOARD'!$C$4="",ISNUMBER(SEARCH('TRANSPORT DASHBOARD'!$C$4,INDEX(MASTER_ZONES!$B:$B,1158)))),1157,""),""),""))</f>
        <v/>
      </c>
      <c r="K1158">
        <f>IF('MIDWEEK DASHBOARD'!$B$4="Area",IF(1157&lt;=$N$3,IF(AND(OR('MIDWEEK DASHBOARD'!$C$4="",ISNUMBER(SEARCH('MIDWEEK DASHBOARD'!$C$4,INDEX(MASTER_AREAS!$B:$B,1158))))),1157,""),""),IF('MIDWEEK DASHBOARD'!$B$4="Zone",IF(1157&lt;=$N$4,IF(OR('MIDWEEK DASHBOARD'!$C$4="",ISNUMBER(SEARCH('MIDWEEK DASHBOARD'!$C$4,INDEX(MASTER_ZONES!$B:$B,1158)))),1157,""),""),""))</f>
        <v/>
      </c>
      <c r="P1158">
        <f>IF('CHOP DASHBOARD'!$B$4="Area",IF(1157&lt;=$S$3,IF(AND(OR('CHOP DASHBOARD'!$C$4="",ISNUMBER(SEARCH('CHOP DASHBOARD'!$C$4,INDEX(MASTER_AREAS!$B:$B,1158))))),1157,""),""),IF('CHOP DASHBOARD'!$B$4="Zone",IF(1157&lt;=$S$4,IF(OR('CHOP DASHBOARD'!$C$4="",ISNUMBER(SEARCH('CHOP DASHBOARD'!$C$4,INDEX(MASTER_ZONES!$B:$B,1158)))),1157,""),""),""))</f>
        <v/>
      </c>
      <c r="U1158">
        <f>IF('COMMUNITY CHURCH DASHBOARD'!$B$4="Area",IF(1157&lt;=$X$3,IF(AND(OR('COMMUNITY CHURCH DASHBOARD'!$C$4="",ISNUMBER(SEARCH('COMMUNITY CHURCH DASHBOARD'!$C$4,INDEX(MASTER_AREAS!$B:$B,1158))))),1157,""),""),IF('COMMUNITY CHURCH DASHBOARD'!$B$4="Zone",IF(1157&lt;=$X$4,IF(OR('COMMUNITY CHURCH DASHBOARD'!$C$4="",ISNUMBER(SEARCH('COMMUNITY CHURCH DASHBOARD'!$C$4,INDEX(MASTER_ZONES!$B:$B,1158)))),1157,""),""),""))</f>
        <v/>
      </c>
    </row>
    <row r="1159">
      <c r="A1159">
        <f>IF('WSF DASHBOARD'!$B$4="Area",IF(1158&lt;=$D$3,IF(AND(OR('WSF DASHBOARD'!$C$4="",ISNUMBER(SEARCH('WSF DASHBOARD'!$C$4,INDEX(MASTER_AREAS!$B:$B,1159))))),1158,""),""),IF('WSF DASHBOARD'!$B$4="Zone",IF(1158&lt;=$D$4,IF(OR('WSF DASHBOARD'!$C$4="",ISNUMBER(SEARCH('WSF DASHBOARD'!$C$4,INDEX(MASTER_ZONES!$B:$B,1159)))),1158,""),""),""))</f>
        <v/>
      </c>
      <c r="F1159">
        <f>IF('TRANSPORT DASHBOARD'!$B$4="Area",IF(1158&lt;=$I$3,IF(AND(INDEX(MASTER_AREAS!$F:$F,1159)&lt;&gt;"N",OR('TRANSPORT DASHBOARD'!$C$4="",ISNUMBER(SEARCH('TRANSPORT DASHBOARD'!$C$4,INDEX(MASTER_AREAS!$B:$B,1159))))),1158,""),""),IF('TRANSPORT DASHBOARD'!$B$4="Zone",IF(1158&lt;=$I$4,IF(OR('TRANSPORT DASHBOARD'!$C$4="",ISNUMBER(SEARCH('TRANSPORT DASHBOARD'!$C$4,INDEX(MASTER_ZONES!$B:$B,1159)))),1158,""),""),""))</f>
        <v/>
      </c>
      <c r="K1159">
        <f>IF('MIDWEEK DASHBOARD'!$B$4="Area",IF(1158&lt;=$N$3,IF(AND(OR('MIDWEEK DASHBOARD'!$C$4="",ISNUMBER(SEARCH('MIDWEEK DASHBOARD'!$C$4,INDEX(MASTER_AREAS!$B:$B,1159))))),1158,""),""),IF('MIDWEEK DASHBOARD'!$B$4="Zone",IF(1158&lt;=$N$4,IF(OR('MIDWEEK DASHBOARD'!$C$4="",ISNUMBER(SEARCH('MIDWEEK DASHBOARD'!$C$4,INDEX(MASTER_ZONES!$B:$B,1159)))),1158,""),""),""))</f>
        <v/>
      </c>
      <c r="P1159">
        <f>IF('CHOP DASHBOARD'!$B$4="Area",IF(1158&lt;=$S$3,IF(AND(OR('CHOP DASHBOARD'!$C$4="",ISNUMBER(SEARCH('CHOP DASHBOARD'!$C$4,INDEX(MASTER_AREAS!$B:$B,1159))))),1158,""),""),IF('CHOP DASHBOARD'!$B$4="Zone",IF(1158&lt;=$S$4,IF(OR('CHOP DASHBOARD'!$C$4="",ISNUMBER(SEARCH('CHOP DASHBOARD'!$C$4,INDEX(MASTER_ZONES!$B:$B,1159)))),1158,""),""),""))</f>
        <v/>
      </c>
      <c r="U1159">
        <f>IF('COMMUNITY CHURCH DASHBOARD'!$B$4="Area",IF(1158&lt;=$X$3,IF(AND(OR('COMMUNITY CHURCH DASHBOARD'!$C$4="",ISNUMBER(SEARCH('COMMUNITY CHURCH DASHBOARD'!$C$4,INDEX(MASTER_AREAS!$B:$B,1159))))),1158,""),""),IF('COMMUNITY CHURCH DASHBOARD'!$B$4="Zone",IF(1158&lt;=$X$4,IF(OR('COMMUNITY CHURCH DASHBOARD'!$C$4="",ISNUMBER(SEARCH('COMMUNITY CHURCH DASHBOARD'!$C$4,INDEX(MASTER_ZONES!$B:$B,1159)))),1158,""),""),""))</f>
        <v/>
      </c>
    </row>
    <row r="1160">
      <c r="A1160">
        <f>IF('WSF DASHBOARD'!$B$4="Area",IF(1159&lt;=$D$3,IF(AND(OR('WSF DASHBOARD'!$C$4="",ISNUMBER(SEARCH('WSF DASHBOARD'!$C$4,INDEX(MASTER_AREAS!$B:$B,1160))))),1159,""),""),IF('WSF DASHBOARD'!$B$4="Zone",IF(1159&lt;=$D$4,IF(OR('WSF DASHBOARD'!$C$4="",ISNUMBER(SEARCH('WSF DASHBOARD'!$C$4,INDEX(MASTER_ZONES!$B:$B,1160)))),1159,""),""),""))</f>
        <v/>
      </c>
      <c r="F1160">
        <f>IF('TRANSPORT DASHBOARD'!$B$4="Area",IF(1159&lt;=$I$3,IF(AND(INDEX(MASTER_AREAS!$F:$F,1160)&lt;&gt;"N",OR('TRANSPORT DASHBOARD'!$C$4="",ISNUMBER(SEARCH('TRANSPORT DASHBOARD'!$C$4,INDEX(MASTER_AREAS!$B:$B,1160))))),1159,""),""),IF('TRANSPORT DASHBOARD'!$B$4="Zone",IF(1159&lt;=$I$4,IF(OR('TRANSPORT DASHBOARD'!$C$4="",ISNUMBER(SEARCH('TRANSPORT DASHBOARD'!$C$4,INDEX(MASTER_ZONES!$B:$B,1160)))),1159,""),""),""))</f>
        <v/>
      </c>
      <c r="K1160">
        <f>IF('MIDWEEK DASHBOARD'!$B$4="Area",IF(1159&lt;=$N$3,IF(AND(OR('MIDWEEK DASHBOARD'!$C$4="",ISNUMBER(SEARCH('MIDWEEK DASHBOARD'!$C$4,INDEX(MASTER_AREAS!$B:$B,1160))))),1159,""),""),IF('MIDWEEK DASHBOARD'!$B$4="Zone",IF(1159&lt;=$N$4,IF(OR('MIDWEEK DASHBOARD'!$C$4="",ISNUMBER(SEARCH('MIDWEEK DASHBOARD'!$C$4,INDEX(MASTER_ZONES!$B:$B,1160)))),1159,""),""),""))</f>
        <v/>
      </c>
      <c r="P1160">
        <f>IF('CHOP DASHBOARD'!$B$4="Area",IF(1159&lt;=$S$3,IF(AND(OR('CHOP DASHBOARD'!$C$4="",ISNUMBER(SEARCH('CHOP DASHBOARD'!$C$4,INDEX(MASTER_AREAS!$B:$B,1160))))),1159,""),""),IF('CHOP DASHBOARD'!$B$4="Zone",IF(1159&lt;=$S$4,IF(OR('CHOP DASHBOARD'!$C$4="",ISNUMBER(SEARCH('CHOP DASHBOARD'!$C$4,INDEX(MASTER_ZONES!$B:$B,1160)))),1159,""),""),""))</f>
        <v/>
      </c>
      <c r="U1160">
        <f>IF('COMMUNITY CHURCH DASHBOARD'!$B$4="Area",IF(1159&lt;=$X$3,IF(AND(OR('COMMUNITY CHURCH DASHBOARD'!$C$4="",ISNUMBER(SEARCH('COMMUNITY CHURCH DASHBOARD'!$C$4,INDEX(MASTER_AREAS!$B:$B,1160))))),1159,""),""),IF('COMMUNITY CHURCH DASHBOARD'!$B$4="Zone",IF(1159&lt;=$X$4,IF(OR('COMMUNITY CHURCH DASHBOARD'!$C$4="",ISNUMBER(SEARCH('COMMUNITY CHURCH DASHBOARD'!$C$4,INDEX(MASTER_ZONES!$B:$B,1160)))),1159,""),""),""))</f>
        <v/>
      </c>
    </row>
    <row r="1161">
      <c r="A1161">
        <f>IF('WSF DASHBOARD'!$B$4="Area",IF(1160&lt;=$D$3,IF(AND(OR('WSF DASHBOARD'!$C$4="",ISNUMBER(SEARCH('WSF DASHBOARD'!$C$4,INDEX(MASTER_AREAS!$B:$B,1161))))),1160,""),""),IF('WSF DASHBOARD'!$B$4="Zone",IF(1160&lt;=$D$4,IF(OR('WSF DASHBOARD'!$C$4="",ISNUMBER(SEARCH('WSF DASHBOARD'!$C$4,INDEX(MASTER_ZONES!$B:$B,1161)))),1160,""),""),""))</f>
        <v/>
      </c>
      <c r="F1161">
        <f>IF('TRANSPORT DASHBOARD'!$B$4="Area",IF(1160&lt;=$I$3,IF(AND(INDEX(MASTER_AREAS!$F:$F,1161)&lt;&gt;"N",OR('TRANSPORT DASHBOARD'!$C$4="",ISNUMBER(SEARCH('TRANSPORT DASHBOARD'!$C$4,INDEX(MASTER_AREAS!$B:$B,1161))))),1160,""),""),IF('TRANSPORT DASHBOARD'!$B$4="Zone",IF(1160&lt;=$I$4,IF(OR('TRANSPORT DASHBOARD'!$C$4="",ISNUMBER(SEARCH('TRANSPORT DASHBOARD'!$C$4,INDEX(MASTER_ZONES!$B:$B,1161)))),1160,""),""),""))</f>
        <v/>
      </c>
      <c r="K1161">
        <f>IF('MIDWEEK DASHBOARD'!$B$4="Area",IF(1160&lt;=$N$3,IF(AND(OR('MIDWEEK DASHBOARD'!$C$4="",ISNUMBER(SEARCH('MIDWEEK DASHBOARD'!$C$4,INDEX(MASTER_AREAS!$B:$B,1161))))),1160,""),""),IF('MIDWEEK DASHBOARD'!$B$4="Zone",IF(1160&lt;=$N$4,IF(OR('MIDWEEK DASHBOARD'!$C$4="",ISNUMBER(SEARCH('MIDWEEK DASHBOARD'!$C$4,INDEX(MASTER_ZONES!$B:$B,1161)))),1160,""),""),""))</f>
        <v/>
      </c>
      <c r="P1161">
        <f>IF('CHOP DASHBOARD'!$B$4="Area",IF(1160&lt;=$S$3,IF(AND(OR('CHOP DASHBOARD'!$C$4="",ISNUMBER(SEARCH('CHOP DASHBOARD'!$C$4,INDEX(MASTER_AREAS!$B:$B,1161))))),1160,""),""),IF('CHOP DASHBOARD'!$B$4="Zone",IF(1160&lt;=$S$4,IF(OR('CHOP DASHBOARD'!$C$4="",ISNUMBER(SEARCH('CHOP DASHBOARD'!$C$4,INDEX(MASTER_ZONES!$B:$B,1161)))),1160,""),""),""))</f>
        <v/>
      </c>
      <c r="U1161">
        <f>IF('COMMUNITY CHURCH DASHBOARD'!$B$4="Area",IF(1160&lt;=$X$3,IF(AND(OR('COMMUNITY CHURCH DASHBOARD'!$C$4="",ISNUMBER(SEARCH('COMMUNITY CHURCH DASHBOARD'!$C$4,INDEX(MASTER_AREAS!$B:$B,1161))))),1160,""),""),IF('COMMUNITY CHURCH DASHBOARD'!$B$4="Zone",IF(1160&lt;=$X$4,IF(OR('COMMUNITY CHURCH DASHBOARD'!$C$4="",ISNUMBER(SEARCH('COMMUNITY CHURCH DASHBOARD'!$C$4,INDEX(MASTER_ZONES!$B:$B,1161)))),1160,""),""),""))</f>
        <v/>
      </c>
    </row>
    <row r="1162">
      <c r="A1162">
        <f>IF('WSF DASHBOARD'!$B$4="Area",IF(1161&lt;=$D$3,IF(AND(OR('WSF DASHBOARD'!$C$4="",ISNUMBER(SEARCH('WSF DASHBOARD'!$C$4,INDEX(MASTER_AREAS!$B:$B,1162))))),1161,""),""),IF('WSF DASHBOARD'!$B$4="Zone",IF(1161&lt;=$D$4,IF(OR('WSF DASHBOARD'!$C$4="",ISNUMBER(SEARCH('WSF DASHBOARD'!$C$4,INDEX(MASTER_ZONES!$B:$B,1162)))),1161,""),""),""))</f>
        <v/>
      </c>
      <c r="F1162">
        <f>IF('TRANSPORT DASHBOARD'!$B$4="Area",IF(1161&lt;=$I$3,IF(AND(INDEX(MASTER_AREAS!$F:$F,1162)&lt;&gt;"N",OR('TRANSPORT DASHBOARD'!$C$4="",ISNUMBER(SEARCH('TRANSPORT DASHBOARD'!$C$4,INDEX(MASTER_AREAS!$B:$B,1162))))),1161,""),""),IF('TRANSPORT DASHBOARD'!$B$4="Zone",IF(1161&lt;=$I$4,IF(OR('TRANSPORT DASHBOARD'!$C$4="",ISNUMBER(SEARCH('TRANSPORT DASHBOARD'!$C$4,INDEX(MASTER_ZONES!$B:$B,1162)))),1161,""),""),""))</f>
        <v/>
      </c>
      <c r="K1162">
        <f>IF('MIDWEEK DASHBOARD'!$B$4="Area",IF(1161&lt;=$N$3,IF(AND(OR('MIDWEEK DASHBOARD'!$C$4="",ISNUMBER(SEARCH('MIDWEEK DASHBOARD'!$C$4,INDEX(MASTER_AREAS!$B:$B,1162))))),1161,""),""),IF('MIDWEEK DASHBOARD'!$B$4="Zone",IF(1161&lt;=$N$4,IF(OR('MIDWEEK DASHBOARD'!$C$4="",ISNUMBER(SEARCH('MIDWEEK DASHBOARD'!$C$4,INDEX(MASTER_ZONES!$B:$B,1162)))),1161,""),""),""))</f>
        <v/>
      </c>
      <c r="P1162">
        <f>IF('CHOP DASHBOARD'!$B$4="Area",IF(1161&lt;=$S$3,IF(AND(OR('CHOP DASHBOARD'!$C$4="",ISNUMBER(SEARCH('CHOP DASHBOARD'!$C$4,INDEX(MASTER_AREAS!$B:$B,1162))))),1161,""),""),IF('CHOP DASHBOARD'!$B$4="Zone",IF(1161&lt;=$S$4,IF(OR('CHOP DASHBOARD'!$C$4="",ISNUMBER(SEARCH('CHOP DASHBOARD'!$C$4,INDEX(MASTER_ZONES!$B:$B,1162)))),1161,""),""),""))</f>
        <v/>
      </c>
      <c r="U1162">
        <f>IF('COMMUNITY CHURCH DASHBOARD'!$B$4="Area",IF(1161&lt;=$X$3,IF(AND(OR('COMMUNITY CHURCH DASHBOARD'!$C$4="",ISNUMBER(SEARCH('COMMUNITY CHURCH DASHBOARD'!$C$4,INDEX(MASTER_AREAS!$B:$B,1162))))),1161,""),""),IF('COMMUNITY CHURCH DASHBOARD'!$B$4="Zone",IF(1161&lt;=$X$4,IF(OR('COMMUNITY CHURCH DASHBOARD'!$C$4="",ISNUMBER(SEARCH('COMMUNITY CHURCH DASHBOARD'!$C$4,INDEX(MASTER_ZONES!$B:$B,1162)))),1161,""),""),""))</f>
        <v/>
      </c>
    </row>
    <row r="1163">
      <c r="A1163">
        <f>IF('WSF DASHBOARD'!$B$4="Area",IF(1162&lt;=$D$3,IF(AND(OR('WSF DASHBOARD'!$C$4="",ISNUMBER(SEARCH('WSF DASHBOARD'!$C$4,INDEX(MASTER_AREAS!$B:$B,1163))))),1162,""),""),IF('WSF DASHBOARD'!$B$4="Zone",IF(1162&lt;=$D$4,IF(OR('WSF DASHBOARD'!$C$4="",ISNUMBER(SEARCH('WSF DASHBOARD'!$C$4,INDEX(MASTER_ZONES!$B:$B,1163)))),1162,""),""),""))</f>
        <v/>
      </c>
      <c r="F1163">
        <f>IF('TRANSPORT DASHBOARD'!$B$4="Area",IF(1162&lt;=$I$3,IF(AND(INDEX(MASTER_AREAS!$F:$F,1163)&lt;&gt;"N",OR('TRANSPORT DASHBOARD'!$C$4="",ISNUMBER(SEARCH('TRANSPORT DASHBOARD'!$C$4,INDEX(MASTER_AREAS!$B:$B,1163))))),1162,""),""),IF('TRANSPORT DASHBOARD'!$B$4="Zone",IF(1162&lt;=$I$4,IF(OR('TRANSPORT DASHBOARD'!$C$4="",ISNUMBER(SEARCH('TRANSPORT DASHBOARD'!$C$4,INDEX(MASTER_ZONES!$B:$B,1163)))),1162,""),""),""))</f>
        <v/>
      </c>
      <c r="K1163">
        <f>IF('MIDWEEK DASHBOARD'!$B$4="Area",IF(1162&lt;=$N$3,IF(AND(OR('MIDWEEK DASHBOARD'!$C$4="",ISNUMBER(SEARCH('MIDWEEK DASHBOARD'!$C$4,INDEX(MASTER_AREAS!$B:$B,1163))))),1162,""),""),IF('MIDWEEK DASHBOARD'!$B$4="Zone",IF(1162&lt;=$N$4,IF(OR('MIDWEEK DASHBOARD'!$C$4="",ISNUMBER(SEARCH('MIDWEEK DASHBOARD'!$C$4,INDEX(MASTER_ZONES!$B:$B,1163)))),1162,""),""),""))</f>
        <v/>
      </c>
      <c r="P1163">
        <f>IF('CHOP DASHBOARD'!$B$4="Area",IF(1162&lt;=$S$3,IF(AND(OR('CHOP DASHBOARD'!$C$4="",ISNUMBER(SEARCH('CHOP DASHBOARD'!$C$4,INDEX(MASTER_AREAS!$B:$B,1163))))),1162,""),""),IF('CHOP DASHBOARD'!$B$4="Zone",IF(1162&lt;=$S$4,IF(OR('CHOP DASHBOARD'!$C$4="",ISNUMBER(SEARCH('CHOP DASHBOARD'!$C$4,INDEX(MASTER_ZONES!$B:$B,1163)))),1162,""),""),""))</f>
        <v/>
      </c>
      <c r="U1163">
        <f>IF('COMMUNITY CHURCH DASHBOARD'!$B$4="Area",IF(1162&lt;=$X$3,IF(AND(OR('COMMUNITY CHURCH DASHBOARD'!$C$4="",ISNUMBER(SEARCH('COMMUNITY CHURCH DASHBOARD'!$C$4,INDEX(MASTER_AREAS!$B:$B,1163))))),1162,""),""),IF('COMMUNITY CHURCH DASHBOARD'!$B$4="Zone",IF(1162&lt;=$X$4,IF(OR('COMMUNITY CHURCH DASHBOARD'!$C$4="",ISNUMBER(SEARCH('COMMUNITY CHURCH DASHBOARD'!$C$4,INDEX(MASTER_ZONES!$B:$B,1163)))),1162,""),""),""))</f>
        <v/>
      </c>
    </row>
    <row r="1164">
      <c r="A1164">
        <f>IF('WSF DASHBOARD'!$B$4="Area",IF(1163&lt;=$D$3,IF(AND(OR('WSF DASHBOARD'!$C$4="",ISNUMBER(SEARCH('WSF DASHBOARD'!$C$4,INDEX(MASTER_AREAS!$B:$B,1164))))),1163,""),""),IF('WSF DASHBOARD'!$B$4="Zone",IF(1163&lt;=$D$4,IF(OR('WSF DASHBOARD'!$C$4="",ISNUMBER(SEARCH('WSF DASHBOARD'!$C$4,INDEX(MASTER_ZONES!$B:$B,1164)))),1163,""),""),""))</f>
        <v/>
      </c>
      <c r="F1164">
        <f>IF('TRANSPORT DASHBOARD'!$B$4="Area",IF(1163&lt;=$I$3,IF(AND(INDEX(MASTER_AREAS!$F:$F,1164)&lt;&gt;"N",OR('TRANSPORT DASHBOARD'!$C$4="",ISNUMBER(SEARCH('TRANSPORT DASHBOARD'!$C$4,INDEX(MASTER_AREAS!$B:$B,1164))))),1163,""),""),IF('TRANSPORT DASHBOARD'!$B$4="Zone",IF(1163&lt;=$I$4,IF(OR('TRANSPORT DASHBOARD'!$C$4="",ISNUMBER(SEARCH('TRANSPORT DASHBOARD'!$C$4,INDEX(MASTER_ZONES!$B:$B,1164)))),1163,""),""),""))</f>
        <v/>
      </c>
      <c r="K1164">
        <f>IF('MIDWEEK DASHBOARD'!$B$4="Area",IF(1163&lt;=$N$3,IF(AND(OR('MIDWEEK DASHBOARD'!$C$4="",ISNUMBER(SEARCH('MIDWEEK DASHBOARD'!$C$4,INDEX(MASTER_AREAS!$B:$B,1164))))),1163,""),""),IF('MIDWEEK DASHBOARD'!$B$4="Zone",IF(1163&lt;=$N$4,IF(OR('MIDWEEK DASHBOARD'!$C$4="",ISNUMBER(SEARCH('MIDWEEK DASHBOARD'!$C$4,INDEX(MASTER_ZONES!$B:$B,1164)))),1163,""),""),""))</f>
        <v/>
      </c>
      <c r="P1164">
        <f>IF('CHOP DASHBOARD'!$B$4="Area",IF(1163&lt;=$S$3,IF(AND(OR('CHOP DASHBOARD'!$C$4="",ISNUMBER(SEARCH('CHOP DASHBOARD'!$C$4,INDEX(MASTER_AREAS!$B:$B,1164))))),1163,""),""),IF('CHOP DASHBOARD'!$B$4="Zone",IF(1163&lt;=$S$4,IF(OR('CHOP DASHBOARD'!$C$4="",ISNUMBER(SEARCH('CHOP DASHBOARD'!$C$4,INDEX(MASTER_ZONES!$B:$B,1164)))),1163,""),""),""))</f>
        <v/>
      </c>
      <c r="U1164">
        <f>IF('COMMUNITY CHURCH DASHBOARD'!$B$4="Area",IF(1163&lt;=$X$3,IF(AND(OR('COMMUNITY CHURCH DASHBOARD'!$C$4="",ISNUMBER(SEARCH('COMMUNITY CHURCH DASHBOARD'!$C$4,INDEX(MASTER_AREAS!$B:$B,1164))))),1163,""),""),IF('COMMUNITY CHURCH DASHBOARD'!$B$4="Zone",IF(1163&lt;=$X$4,IF(OR('COMMUNITY CHURCH DASHBOARD'!$C$4="",ISNUMBER(SEARCH('COMMUNITY CHURCH DASHBOARD'!$C$4,INDEX(MASTER_ZONES!$B:$B,1164)))),1163,""),""),""))</f>
        <v/>
      </c>
    </row>
    <row r="1165">
      <c r="A1165">
        <f>IF('WSF DASHBOARD'!$B$4="Area",IF(1164&lt;=$D$3,IF(AND(OR('WSF DASHBOARD'!$C$4="",ISNUMBER(SEARCH('WSF DASHBOARD'!$C$4,INDEX(MASTER_AREAS!$B:$B,1165))))),1164,""),""),IF('WSF DASHBOARD'!$B$4="Zone",IF(1164&lt;=$D$4,IF(OR('WSF DASHBOARD'!$C$4="",ISNUMBER(SEARCH('WSF DASHBOARD'!$C$4,INDEX(MASTER_ZONES!$B:$B,1165)))),1164,""),""),""))</f>
        <v/>
      </c>
      <c r="F1165">
        <f>IF('TRANSPORT DASHBOARD'!$B$4="Area",IF(1164&lt;=$I$3,IF(AND(INDEX(MASTER_AREAS!$F:$F,1165)&lt;&gt;"N",OR('TRANSPORT DASHBOARD'!$C$4="",ISNUMBER(SEARCH('TRANSPORT DASHBOARD'!$C$4,INDEX(MASTER_AREAS!$B:$B,1165))))),1164,""),""),IF('TRANSPORT DASHBOARD'!$B$4="Zone",IF(1164&lt;=$I$4,IF(OR('TRANSPORT DASHBOARD'!$C$4="",ISNUMBER(SEARCH('TRANSPORT DASHBOARD'!$C$4,INDEX(MASTER_ZONES!$B:$B,1165)))),1164,""),""),""))</f>
        <v/>
      </c>
      <c r="K1165">
        <f>IF('MIDWEEK DASHBOARD'!$B$4="Area",IF(1164&lt;=$N$3,IF(AND(OR('MIDWEEK DASHBOARD'!$C$4="",ISNUMBER(SEARCH('MIDWEEK DASHBOARD'!$C$4,INDEX(MASTER_AREAS!$B:$B,1165))))),1164,""),""),IF('MIDWEEK DASHBOARD'!$B$4="Zone",IF(1164&lt;=$N$4,IF(OR('MIDWEEK DASHBOARD'!$C$4="",ISNUMBER(SEARCH('MIDWEEK DASHBOARD'!$C$4,INDEX(MASTER_ZONES!$B:$B,1165)))),1164,""),""),""))</f>
        <v/>
      </c>
      <c r="P1165">
        <f>IF('CHOP DASHBOARD'!$B$4="Area",IF(1164&lt;=$S$3,IF(AND(OR('CHOP DASHBOARD'!$C$4="",ISNUMBER(SEARCH('CHOP DASHBOARD'!$C$4,INDEX(MASTER_AREAS!$B:$B,1165))))),1164,""),""),IF('CHOP DASHBOARD'!$B$4="Zone",IF(1164&lt;=$S$4,IF(OR('CHOP DASHBOARD'!$C$4="",ISNUMBER(SEARCH('CHOP DASHBOARD'!$C$4,INDEX(MASTER_ZONES!$B:$B,1165)))),1164,""),""),""))</f>
        <v/>
      </c>
      <c r="U1165">
        <f>IF('COMMUNITY CHURCH DASHBOARD'!$B$4="Area",IF(1164&lt;=$X$3,IF(AND(OR('COMMUNITY CHURCH DASHBOARD'!$C$4="",ISNUMBER(SEARCH('COMMUNITY CHURCH DASHBOARD'!$C$4,INDEX(MASTER_AREAS!$B:$B,1165))))),1164,""),""),IF('COMMUNITY CHURCH DASHBOARD'!$B$4="Zone",IF(1164&lt;=$X$4,IF(OR('COMMUNITY CHURCH DASHBOARD'!$C$4="",ISNUMBER(SEARCH('COMMUNITY CHURCH DASHBOARD'!$C$4,INDEX(MASTER_ZONES!$B:$B,1165)))),1164,""),""),""))</f>
        <v/>
      </c>
    </row>
    <row r="1166">
      <c r="A1166">
        <f>IF('WSF DASHBOARD'!$B$4="Area",IF(1165&lt;=$D$3,IF(AND(OR('WSF DASHBOARD'!$C$4="",ISNUMBER(SEARCH('WSF DASHBOARD'!$C$4,INDEX(MASTER_AREAS!$B:$B,1166))))),1165,""),""),IF('WSF DASHBOARD'!$B$4="Zone",IF(1165&lt;=$D$4,IF(OR('WSF DASHBOARD'!$C$4="",ISNUMBER(SEARCH('WSF DASHBOARD'!$C$4,INDEX(MASTER_ZONES!$B:$B,1166)))),1165,""),""),""))</f>
        <v/>
      </c>
      <c r="F1166">
        <f>IF('TRANSPORT DASHBOARD'!$B$4="Area",IF(1165&lt;=$I$3,IF(AND(INDEX(MASTER_AREAS!$F:$F,1166)&lt;&gt;"N",OR('TRANSPORT DASHBOARD'!$C$4="",ISNUMBER(SEARCH('TRANSPORT DASHBOARD'!$C$4,INDEX(MASTER_AREAS!$B:$B,1166))))),1165,""),""),IF('TRANSPORT DASHBOARD'!$B$4="Zone",IF(1165&lt;=$I$4,IF(OR('TRANSPORT DASHBOARD'!$C$4="",ISNUMBER(SEARCH('TRANSPORT DASHBOARD'!$C$4,INDEX(MASTER_ZONES!$B:$B,1166)))),1165,""),""),""))</f>
        <v/>
      </c>
      <c r="K1166">
        <f>IF('MIDWEEK DASHBOARD'!$B$4="Area",IF(1165&lt;=$N$3,IF(AND(OR('MIDWEEK DASHBOARD'!$C$4="",ISNUMBER(SEARCH('MIDWEEK DASHBOARD'!$C$4,INDEX(MASTER_AREAS!$B:$B,1166))))),1165,""),""),IF('MIDWEEK DASHBOARD'!$B$4="Zone",IF(1165&lt;=$N$4,IF(OR('MIDWEEK DASHBOARD'!$C$4="",ISNUMBER(SEARCH('MIDWEEK DASHBOARD'!$C$4,INDEX(MASTER_ZONES!$B:$B,1166)))),1165,""),""),""))</f>
        <v/>
      </c>
      <c r="P1166">
        <f>IF('CHOP DASHBOARD'!$B$4="Area",IF(1165&lt;=$S$3,IF(AND(OR('CHOP DASHBOARD'!$C$4="",ISNUMBER(SEARCH('CHOP DASHBOARD'!$C$4,INDEX(MASTER_AREAS!$B:$B,1166))))),1165,""),""),IF('CHOP DASHBOARD'!$B$4="Zone",IF(1165&lt;=$S$4,IF(OR('CHOP DASHBOARD'!$C$4="",ISNUMBER(SEARCH('CHOP DASHBOARD'!$C$4,INDEX(MASTER_ZONES!$B:$B,1166)))),1165,""),""),""))</f>
        <v/>
      </c>
      <c r="U1166">
        <f>IF('COMMUNITY CHURCH DASHBOARD'!$B$4="Area",IF(1165&lt;=$X$3,IF(AND(OR('COMMUNITY CHURCH DASHBOARD'!$C$4="",ISNUMBER(SEARCH('COMMUNITY CHURCH DASHBOARD'!$C$4,INDEX(MASTER_AREAS!$B:$B,1166))))),1165,""),""),IF('COMMUNITY CHURCH DASHBOARD'!$B$4="Zone",IF(1165&lt;=$X$4,IF(OR('COMMUNITY CHURCH DASHBOARD'!$C$4="",ISNUMBER(SEARCH('COMMUNITY CHURCH DASHBOARD'!$C$4,INDEX(MASTER_ZONES!$B:$B,1166)))),1165,""),""),""))</f>
        <v/>
      </c>
    </row>
    <row r="1167">
      <c r="A1167">
        <f>IF('WSF DASHBOARD'!$B$4="Area",IF(1166&lt;=$D$3,IF(AND(OR('WSF DASHBOARD'!$C$4="",ISNUMBER(SEARCH('WSF DASHBOARD'!$C$4,INDEX(MASTER_AREAS!$B:$B,1167))))),1166,""),""),IF('WSF DASHBOARD'!$B$4="Zone",IF(1166&lt;=$D$4,IF(OR('WSF DASHBOARD'!$C$4="",ISNUMBER(SEARCH('WSF DASHBOARD'!$C$4,INDEX(MASTER_ZONES!$B:$B,1167)))),1166,""),""),""))</f>
        <v/>
      </c>
      <c r="F1167">
        <f>IF('TRANSPORT DASHBOARD'!$B$4="Area",IF(1166&lt;=$I$3,IF(AND(INDEX(MASTER_AREAS!$F:$F,1167)&lt;&gt;"N",OR('TRANSPORT DASHBOARD'!$C$4="",ISNUMBER(SEARCH('TRANSPORT DASHBOARD'!$C$4,INDEX(MASTER_AREAS!$B:$B,1167))))),1166,""),""),IF('TRANSPORT DASHBOARD'!$B$4="Zone",IF(1166&lt;=$I$4,IF(OR('TRANSPORT DASHBOARD'!$C$4="",ISNUMBER(SEARCH('TRANSPORT DASHBOARD'!$C$4,INDEX(MASTER_ZONES!$B:$B,1167)))),1166,""),""),""))</f>
        <v/>
      </c>
      <c r="K1167">
        <f>IF('MIDWEEK DASHBOARD'!$B$4="Area",IF(1166&lt;=$N$3,IF(AND(OR('MIDWEEK DASHBOARD'!$C$4="",ISNUMBER(SEARCH('MIDWEEK DASHBOARD'!$C$4,INDEX(MASTER_AREAS!$B:$B,1167))))),1166,""),""),IF('MIDWEEK DASHBOARD'!$B$4="Zone",IF(1166&lt;=$N$4,IF(OR('MIDWEEK DASHBOARD'!$C$4="",ISNUMBER(SEARCH('MIDWEEK DASHBOARD'!$C$4,INDEX(MASTER_ZONES!$B:$B,1167)))),1166,""),""),""))</f>
        <v/>
      </c>
      <c r="P1167">
        <f>IF('CHOP DASHBOARD'!$B$4="Area",IF(1166&lt;=$S$3,IF(AND(OR('CHOP DASHBOARD'!$C$4="",ISNUMBER(SEARCH('CHOP DASHBOARD'!$C$4,INDEX(MASTER_AREAS!$B:$B,1167))))),1166,""),""),IF('CHOP DASHBOARD'!$B$4="Zone",IF(1166&lt;=$S$4,IF(OR('CHOP DASHBOARD'!$C$4="",ISNUMBER(SEARCH('CHOP DASHBOARD'!$C$4,INDEX(MASTER_ZONES!$B:$B,1167)))),1166,""),""),""))</f>
        <v/>
      </c>
      <c r="U1167">
        <f>IF('COMMUNITY CHURCH DASHBOARD'!$B$4="Area",IF(1166&lt;=$X$3,IF(AND(OR('COMMUNITY CHURCH DASHBOARD'!$C$4="",ISNUMBER(SEARCH('COMMUNITY CHURCH DASHBOARD'!$C$4,INDEX(MASTER_AREAS!$B:$B,1167))))),1166,""),""),IF('COMMUNITY CHURCH DASHBOARD'!$B$4="Zone",IF(1166&lt;=$X$4,IF(OR('COMMUNITY CHURCH DASHBOARD'!$C$4="",ISNUMBER(SEARCH('COMMUNITY CHURCH DASHBOARD'!$C$4,INDEX(MASTER_ZONES!$B:$B,1167)))),1166,""),""),""))</f>
        <v/>
      </c>
    </row>
    <row r="1168">
      <c r="A1168">
        <f>IF('WSF DASHBOARD'!$B$4="Area",IF(1167&lt;=$D$3,IF(AND(OR('WSF DASHBOARD'!$C$4="",ISNUMBER(SEARCH('WSF DASHBOARD'!$C$4,INDEX(MASTER_AREAS!$B:$B,1168))))),1167,""),""),IF('WSF DASHBOARD'!$B$4="Zone",IF(1167&lt;=$D$4,IF(OR('WSF DASHBOARD'!$C$4="",ISNUMBER(SEARCH('WSF DASHBOARD'!$C$4,INDEX(MASTER_ZONES!$B:$B,1168)))),1167,""),""),""))</f>
        <v/>
      </c>
      <c r="F1168">
        <f>IF('TRANSPORT DASHBOARD'!$B$4="Area",IF(1167&lt;=$I$3,IF(AND(INDEX(MASTER_AREAS!$F:$F,1168)&lt;&gt;"N",OR('TRANSPORT DASHBOARD'!$C$4="",ISNUMBER(SEARCH('TRANSPORT DASHBOARD'!$C$4,INDEX(MASTER_AREAS!$B:$B,1168))))),1167,""),""),IF('TRANSPORT DASHBOARD'!$B$4="Zone",IF(1167&lt;=$I$4,IF(OR('TRANSPORT DASHBOARD'!$C$4="",ISNUMBER(SEARCH('TRANSPORT DASHBOARD'!$C$4,INDEX(MASTER_ZONES!$B:$B,1168)))),1167,""),""),""))</f>
        <v/>
      </c>
      <c r="K1168">
        <f>IF('MIDWEEK DASHBOARD'!$B$4="Area",IF(1167&lt;=$N$3,IF(AND(OR('MIDWEEK DASHBOARD'!$C$4="",ISNUMBER(SEARCH('MIDWEEK DASHBOARD'!$C$4,INDEX(MASTER_AREAS!$B:$B,1168))))),1167,""),""),IF('MIDWEEK DASHBOARD'!$B$4="Zone",IF(1167&lt;=$N$4,IF(OR('MIDWEEK DASHBOARD'!$C$4="",ISNUMBER(SEARCH('MIDWEEK DASHBOARD'!$C$4,INDEX(MASTER_ZONES!$B:$B,1168)))),1167,""),""),""))</f>
        <v/>
      </c>
      <c r="P1168">
        <f>IF('CHOP DASHBOARD'!$B$4="Area",IF(1167&lt;=$S$3,IF(AND(OR('CHOP DASHBOARD'!$C$4="",ISNUMBER(SEARCH('CHOP DASHBOARD'!$C$4,INDEX(MASTER_AREAS!$B:$B,1168))))),1167,""),""),IF('CHOP DASHBOARD'!$B$4="Zone",IF(1167&lt;=$S$4,IF(OR('CHOP DASHBOARD'!$C$4="",ISNUMBER(SEARCH('CHOP DASHBOARD'!$C$4,INDEX(MASTER_ZONES!$B:$B,1168)))),1167,""),""),""))</f>
        <v/>
      </c>
      <c r="U1168">
        <f>IF('COMMUNITY CHURCH DASHBOARD'!$B$4="Area",IF(1167&lt;=$X$3,IF(AND(OR('COMMUNITY CHURCH DASHBOARD'!$C$4="",ISNUMBER(SEARCH('COMMUNITY CHURCH DASHBOARD'!$C$4,INDEX(MASTER_AREAS!$B:$B,1168))))),1167,""),""),IF('COMMUNITY CHURCH DASHBOARD'!$B$4="Zone",IF(1167&lt;=$X$4,IF(OR('COMMUNITY CHURCH DASHBOARD'!$C$4="",ISNUMBER(SEARCH('COMMUNITY CHURCH DASHBOARD'!$C$4,INDEX(MASTER_ZONES!$B:$B,1168)))),1167,""),""),""))</f>
        <v/>
      </c>
    </row>
    <row r="1169">
      <c r="A1169">
        <f>IF('WSF DASHBOARD'!$B$4="Area",IF(1168&lt;=$D$3,IF(AND(OR('WSF DASHBOARD'!$C$4="",ISNUMBER(SEARCH('WSF DASHBOARD'!$C$4,INDEX(MASTER_AREAS!$B:$B,1169))))),1168,""),""),IF('WSF DASHBOARD'!$B$4="Zone",IF(1168&lt;=$D$4,IF(OR('WSF DASHBOARD'!$C$4="",ISNUMBER(SEARCH('WSF DASHBOARD'!$C$4,INDEX(MASTER_ZONES!$B:$B,1169)))),1168,""),""),""))</f>
        <v/>
      </c>
      <c r="F1169">
        <f>IF('TRANSPORT DASHBOARD'!$B$4="Area",IF(1168&lt;=$I$3,IF(AND(INDEX(MASTER_AREAS!$F:$F,1169)&lt;&gt;"N",OR('TRANSPORT DASHBOARD'!$C$4="",ISNUMBER(SEARCH('TRANSPORT DASHBOARD'!$C$4,INDEX(MASTER_AREAS!$B:$B,1169))))),1168,""),""),IF('TRANSPORT DASHBOARD'!$B$4="Zone",IF(1168&lt;=$I$4,IF(OR('TRANSPORT DASHBOARD'!$C$4="",ISNUMBER(SEARCH('TRANSPORT DASHBOARD'!$C$4,INDEX(MASTER_ZONES!$B:$B,1169)))),1168,""),""),""))</f>
        <v/>
      </c>
      <c r="K1169">
        <f>IF('MIDWEEK DASHBOARD'!$B$4="Area",IF(1168&lt;=$N$3,IF(AND(OR('MIDWEEK DASHBOARD'!$C$4="",ISNUMBER(SEARCH('MIDWEEK DASHBOARD'!$C$4,INDEX(MASTER_AREAS!$B:$B,1169))))),1168,""),""),IF('MIDWEEK DASHBOARD'!$B$4="Zone",IF(1168&lt;=$N$4,IF(OR('MIDWEEK DASHBOARD'!$C$4="",ISNUMBER(SEARCH('MIDWEEK DASHBOARD'!$C$4,INDEX(MASTER_ZONES!$B:$B,1169)))),1168,""),""),""))</f>
        <v/>
      </c>
      <c r="P1169">
        <f>IF('CHOP DASHBOARD'!$B$4="Area",IF(1168&lt;=$S$3,IF(AND(OR('CHOP DASHBOARD'!$C$4="",ISNUMBER(SEARCH('CHOP DASHBOARD'!$C$4,INDEX(MASTER_AREAS!$B:$B,1169))))),1168,""),""),IF('CHOP DASHBOARD'!$B$4="Zone",IF(1168&lt;=$S$4,IF(OR('CHOP DASHBOARD'!$C$4="",ISNUMBER(SEARCH('CHOP DASHBOARD'!$C$4,INDEX(MASTER_ZONES!$B:$B,1169)))),1168,""),""),""))</f>
        <v/>
      </c>
      <c r="U1169">
        <f>IF('COMMUNITY CHURCH DASHBOARD'!$B$4="Area",IF(1168&lt;=$X$3,IF(AND(OR('COMMUNITY CHURCH DASHBOARD'!$C$4="",ISNUMBER(SEARCH('COMMUNITY CHURCH DASHBOARD'!$C$4,INDEX(MASTER_AREAS!$B:$B,1169))))),1168,""),""),IF('COMMUNITY CHURCH DASHBOARD'!$B$4="Zone",IF(1168&lt;=$X$4,IF(OR('COMMUNITY CHURCH DASHBOARD'!$C$4="",ISNUMBER(SEARCH('COMMUNITY CHURCH DASHBOARD'!$C$4,INDEX(MASTER_ZONES!$B:$B,1169)))),1168,""),""),""))</f>
        <v/>
      </c>
    </row>
    <row r="1170">
      <c r="A1170">
        <f>IF('WSF DASHBOARD'!$B$4="Area",IF(1169&lt;=$D$3,IF(AND(OR('WSF DASHBOARD'!$C$4="",ISNUMBER(SEARCH('WSF DASHBOARD'!$C$4,INDEX(MASTER_AREAS!$B:$B,1170))))),1169,""),""),IF('WSF DASHBOARD'!$B$4="Zone",IF(1169&lt;=$D$4,IF(OR('WSF DASHBOARD'!$C$4="",ISNUMBER(SEARCH('WSF DASHBOARD'!$C$4,INDEX(MASTER_ZONES!$B:$B,1170)))),1169,""),""),""))</f>
        <v/>
      </c>
      <c r="F1170">
        <f>IF('TRANSPORT DASHBOARD'!$B$4="Area",IF(1169&lt;=$I$3,IF(AND(INDEX(MASTER_AREAS!$F:$F,1170)&lt;&gt;"N",OR('TRANSPORT DASHBOARD'!$C$4="",ISNUMBER(SEARCH('TRANSPORT DASHBOARD'!$C$4,INDEX(MASTER_AREAS!$B:$B,1170))))),1169,""),""),IF('TRANSPORT DASHBOARD'!$B$4="Zone",IF(1169&lt;=$I$4,IF(OR('TRANSPORT DASHBOARD'!$C$4="",ISNUMBER(SEARCH('TRANSPORT DASHBOARD'!$C$4,INDEX(MASTER_ZONES!$B:$B,1170)))),1169,""),""),""))</f>
        <v/>
      </c>
      <c r="K1170">
        <f>IF('MIDWEEK DASHBOARD'!$B$4="Area",IF(1169&lt;=$N$3,IF(AND(OR('MIDWEEK DASHBOARD'!$C$4="",ISNUMBER(SEARCH('MIDWEEK DASHBOARD'!$C$4,INDEX(MASTER_AREAS!$B:$B,1170))))),1169,""),""),IF('MIDWEEK DASHBOARD'!$B$4="Zone",IF(1169&lt;=$N$4,IF(OR('MIDWEEK DASHBOARD'!$C$4="",ISNUMBER(SEARCH('MIDWEEK DASHBOARD'!$C$4,INDEX(MASTER_ZONES!$B:$B,1170)))),1169,""),""),""))</f>
        <v/>
      </c>
      <c r="P1170">
        <f>IF('CHOP DASHBOARD'!$B$4="Area",IF(1169&lt;=$S$3,IF(AND(OR('CHOP DASHBOARD'!$C$4="",ISNUMBER(SEARCH('CHOP DASHBOARD'!$C$4,INDEX(MASTER_AREAS!$B:$B,1170))))),1169,""),""),IF('CHOP DASHBOARD'!$B$4="Zone",IF(1169&lt;=$S$4,IF(OR('CHOP DASHBOARD'!$C$4="",ISNUMBER(SEARCH('CHOP DASHBOARD'!$C$4,INDEX(MASTER_ZONES!$B:$B,1170)))),1169,""),""),""))</f>
        <v/>
      </c>
      <c r="U1170">
        <f>IF('COMMUNITY CHURCH DASHBOARD'!$B$4="Area",IF(1169&lt;=$X$3,IF(AND(OR('COMMUNITY CHURCH DASHBOARD'!$C$4="",ISNUMBER(SEARCH('COMMUNITY CHURCH DASHBOARD'!$C$4,INDEX(MASTER_AREAS!$B:$B,1170))))),1169,""),""),IF('COMMUNITY CHURCH DASHBOARD'!$B$4="Zone",IF(1169&lt;=$X$4,IF(OR('COMMUNITY CHURCH DASHBOARD'!$C$4="",ISNUMBER(SEARCH('COMMUNITY CHURCH DASHBOARD'!$C$4,INDEX(MASTER_ZONES!$B:$B,1170)))),1169,""),""),""))</f>
        <v/>
      </c>
    </row>
    <row r="1171">
      <c r="A1171">
        <f>IF('WSF DASHBOARD'!$B$4="Area",IF(1170&lt;=$D$3,IF(AND(OR('WSF DASHBOARD'!$C$4="",ISNUMBER(SEARCH('WSF DASHBOARD'!$C$4,INDEX(MASTER_AREAS!$B:$B,1171))))),1170,""),""),IF('WSF DASHBOARD'!$B$4="Zone",IF(1170&lt;=$D$4,IF(OR('WSF DASHBOARD'!$C$4="",ISNUMBER(SEARCH('WSF DASHBOARD'!$C$4,INDEX(MASTER_ZONES!$B:$B,1171)))),1170,""),""),""))</f>
        <v/>
      </c>
      <c r="F1171">
        <f>IF('TRANSPORT DASHBOARD'!$B$4="Area",IF(1170&lt;=$I$3,IF(AND(INDEX(MASTER_AREAS!$F:$F,1171)&lt;&gt;"N",OR('TRANSPORT DASHBOARD'!$C$4="",ISNUMBER(SEARCH('TRANSPORT DASHBOARD'!$C$4,INDEX(MASTER_AREAS!$B:$B,1171))))),1170,""),""),IF('TRANSPORT DASHBOARD'!$B$4="Zone",IF(1170&lt;=$I$4,IF(OR('TRANSPORT DASHBOARD'!$C$4="",ISNUMBER(SEARCH('TRANSPORT DASHBOARD'!$C$4,INDEX(MASTER_ZONES!$B:$B,1171)))),1170,""),""),""))</f>
        <v/>
      </c>
      <c r="K1171">
        <f>IF('MIDWEEK DASHBOARD'!$B$4="Area",IF(1170&lt;=$N$3,IF(AND(OR('MIDWEEK DASHBOARD'!$C$4="",ISNUMBER(SEARCH('MIDWEEK DASHBOARD'!$C$4,INDEX(MASTER_AREAS!$B:$B,1171))))),1170,""),""),IF('MIDWEEK DASHBOARD'!$B$4="Zone",IF(1170&lt;=$N$4,IF(OR('MIDWEEK DASHBOARD'!$C$4="",ISNUMBER(SEARCH('MIDWEEK DASHBOARD'!$C$4,INDEX(MASTER_ZONES!$B:$B,1171)))),1170,""),""),""))</f>
        <v/>
      </c>
      <c r="P1171">
        <f>IF('CHOP DASHBOARD'!$B$4="Area",IF(1170&lt;=$S$3,IF(AND(OR('CHOP DASHBOARD'!$C$4="",ISNUMBER(SEARCH('CHOP DASHBOARD'!$C$4,INDEX(MASTER_AREAS!$B:$B,1171))))),1170,""),""),IF('CHOP DASHBOARD'!$B$4="Zone",IF(1170&lt;=$S$4,IF(OR('CHOP DASHBOARD'!$C$4="",ISNUMBER(SEARCH('CHOP DASHBOARD'!$C$4,INDEX(MASTER_ZONES!$B:$B,1171)))),1170,""),""),""))</f>
        <v/>
      </c>
      <c r="U1171">
        <f>IF('COMMUNITY CHURCH DASHBOARD'!$B$4="Area",IF(1170&lt;=$X$3,IF(AND(OR('COMMUNITY CHURCH DASHBOARD'!$C$4="",ISNUMBER(SEARCH('COMMUNITY CHURCH DASHBOARD'!$C$4,INDEX(MASTER_AREAS!$B:$B,1171))))),1170,""),""),IF('COMMUNITY CHURCH DASHBOARD'!$B$4="Zone",IF(1170&lt;=$X$4,IF(OR('COMMUNITY CHURCH DASHBOARD'!$C$4="",ISNUMBER(SEARCH('COMMUNITY CHURCH DASHBOARD'!$C$4,INDEX(MASTER_ZONES!$B:$B,1171)))),1170,""),""),""))</f>
        <v/>
      </c>
    </row>
    <row r="1172">
      <c r="A1172">
        <f>IF('WSF DASHBOARD'!$B$4="Area",IF(1171&lt;=$D$3,IF(AND(OR('WSF DASHBOARD'!$C$4="",ISNUMBER(SEARCH('WSF DASHBOARD'!$C$4,INDEX(MASTER_AREAS!$B:$B,1172))))),1171,""),""),IF('WSF DASHBOARD'!$B$4="Zone",IF(1171&lt;=$D$4,IF(OR('WSF DASHBOARD'!$C$4="",ISNUMBER(SEARCH('WSF DASHBOARD'!$C$4,INDEX(MASTER_ZONES!$B:$B,1172)))),1171,""),""),""))</f>
        <v/>
      </c>
      <c r="F1172">
        <f>IF('TRANSPORT DASHBOARD'!$B$4="Area",IF(1171&lt;=$I$3,IF(AND(INDEX(MASTER_AREAS!$F:$F,1172)&lt;&gt;"N",OR('TRANSPORT DASHBOARD'!$C$4="",ISNUMBER(SEARCH('TRANSPORT DASHBOARD'!$C$4,INDEX(MASTER_AREAS!$B:$B,1172))))),1171,""),""),IF('TRANSPORT DASHBOARD'!$B$4="Zone",IF(1171&lt;=$I$4,IF(OR('TRANSPORT DASHBOARD'!$C$4="",ISNUMBER(SEARCH('TRANSPORT DASHBOARD'!$C$4,INDEX(MASTER_ZONES!$B:$B,1172)))),1171,""),""),""))</f>
        <v/>
      </c>
      <c r="K1172">
        <f>IF('MIDWEEK DASHBOARD'!$B$4="Area",IF(1171&lt;=$N$3,IF(AND(OR('MIDWEEK DASHBOARD'!$C$4="",ISNUMBER(SEARCH('MIDWEEK DASHBOARD'!$C$4,INDEX(MASTER_AREAS!$B:$B,1172))))),1171,""),""),IF('MIDWEEK DASHBOARD'!$B$4="Zone",IF(1171&lt;=$N$4,IF(OR('MIDWEEK DASHBOARD'!$C$4="",ISNUMBER(SEARCH('MIDWEEK DASHBOARD'!$C$4,INDEX(MASTER_ZONES!$B:$B,1172)))),1171,""),""),""))</f>
        <v/>
      </c>
      <c r="P1172">
        <f>IF('CHOP DASHBOARD'!$B$4="Area",IF(1171&lt;=$S$3,IF(AND(OR('CHOP DASHBOARD'!$C$4="",ISNUMBER(SEARCH('CHOP DASHBOARD'!$C$4,INDEX(MASTER_AREAS!$B:$B,1172))))),1171,""),""),IF('CHOP DASHBOARD'!$B$4="Zone",IF(1171&lt;=$S$4,IF(OR('CHOP DASHBOARD'!$C$4="",ISNUMBER(SEARCH('CHOP DASHBOARD'!$C$4,INDEX(MASTER_ZONES!$B:$B,1172)))),1171,""),""),""))</f>
        <v/>
      </c>
      <c r="U1172">
        <f>IF('COMMUNITY CHURCH DASHBOARD'!$B$4="Area",IF(1171&lt;=$X$3,IF(AND(OR('COMMUNITY CHURCH DASHBOARD'!$C$4="",ISNUMBER(SEARCH('COMMUNITY CHURCH DASHBOARD'!$C$4,INDEX(MASTER_AREAS!$B:$B,1172))))),1171,""),""),IF('COMMUNITY CHURCH DASHBOARD'!$B$4="Zone",IF(1171&lt;=$X$4,IF(OR('COMMUNITY CHURCH DASHBOARD'!$C$4="",ISNUMBER(SEARCH('COMMUNITY CHURCH DASHBOARD'!$C$4,INDEX(MASTER_ZONES!$B:$B,1172)))),1171,""),""),""))</f>
        <v/>
      </c>
    </row>
    <row r="1173">
      <c r="A1173">
        <f>IF('WSF DASHBOARD'!$B$4="Area",IF(1172&lt;=$D$3,IF(AND(OR('WSF DASHBOARD'!$C$4="",ISNUMBER(SEARCH('WSF DASHBOARD'!$C$4,INDEX(MASTER_AREAS!$B:$B,1173))))),1172,""),""),IF('WSF DASHBOARD'!$B$4="Zone",IF(1172&lt;=$D$4,IF(OR('WSF DASHBOARD'!$C$4="",ISNUMBER(SEARCH('WSF DASHBOARD'!$C$4,INDEX(MASTER_ZONES!$B:$B,1173)))),1172,""),""),""))</f>
        <v/>
      </c>
      <c r="F1173">
        <f>IF('TRANSPORT DASHBOARD'!$B$4="Area",IF(1172&lt;=$I$3,IF(AND(INDEX(MASTER_AREAS!$F:$F,1173)&lt;&gt;"N",OR('TRANSPORT DASHBOARD'!$C$4="",ISNUMBER(SEARCH('TRANSPORT DASHBOARD'!$C$4,INDEX(MASTER_AREAS!$B:$B,1173))))),1172,""),""),IF('TRANSPORT DASHBOARD'!$B$4="Zone",IF(1172&lt;=$I$4,IF(OR('TRANSPORT DASHBOARD'!$C$4="",ISNUMBER(SEARCH('TRANSPORT DASHBOARD'!$C$4,INDEX(MASTER_ZONES!$B:$B,1173)))),1172,""),""),""))</f>
        <v/>
      </c>
      <c r="K1173">
        <f>IF('MIDWEEK DASHBOARD'!$B$4="Area",IF(1172&lt;=$N$3,IF(AND(OR('MIDWEEK DASHBOARD'!$C$4="",ISNUMBER(SEARCH('MIDWEEK DASHBOARD'!$C$4,INDEX(MASTER_AREAS!$B:$B,1173))))),1172,""),""),IF('MIDWEEK DASHBOARD'!$B$4="Zone",IF(1172&lt;=$N$4,IF(OR('MIDWEEK DASHBOARD'!$C$4="",ISNUMBER(SEARCH('MIDWEEK DASHBOARD'!$C$4,INDEX(MASTER_ZONES!$B:$B,1173)))),1172,""),""),""))</f>
        <v/>
      </c>
      <c r="P1173">
        <f>IF('CHOP DASHBOARD'!$B$4="Area",IF(1172&lt;=$S$3,IF(AND(OR('CHOP DASHBOARD'!$C$4="",ISNUMBER(SEARCH('CHOP DASHBOARD'!$C$4,INDEX(MASTER_AREAS!$B:$B,1173))))),1172,""),""),IF('CHOP DASHBOARD'!$B$4="Zone",IF(1172&lt;=$S$4,IF(OR('CHOP DASHBOARD'!$C$4="",ISNUMBER(SEARCH('CHOP DASHBOARD'!$C$4,INDEX(MASTER_ZONES!$B:$B,1173)))),1172,""),""),""))</f>
        <v/>
      </c>
      <c r="U1173">
        <f>IF('COMMUNITY CHURCH DASHBOARD'!$B$4="Area",IF(1172&lt;=$X$3,IF(AND(OR('COMMUNITY CHURCH DASHBOARD'!$C$4="",ISNUMBER(SEARCH('COMMUNITY CHURCH DASHBOARD'!$C$4,INDEX(MASTER_AREAS!$B:$B,1173))))),1172,""),""),IF('COMMUNITY CHURCH DASHBOARD'!$B$4="Zone",IF(1172&lt;=$X$4,IF(OR('COMMUNITY CHURCH DASHBOARD'!$C$4="",ISNUMBER(SEARCH('COMMUNITY CHURCH DASHBOARD'!$C$4,INDEX(MASTER_ZONES!$B:$B,1173)))),1172,""),""),""))</f>
        <v/>
      </c>
    </row>
    <row r="1174">
      <c r="A1174">
        <f>IF('WSF DASHBOARD'!$B$4="Area",IF(1173&lt;=$D$3,IF(AND(OR('WSF DASHBOARD'!$C$4="",ISNUMBER(SEARCH('WSF DASHBOARD'!$C$4,INDEX(MASTER_AREAS!$B:$B,1174))))),1173,""),""),IF('WSF DASHBOARD'!$B$4="Zone",IF(1173&lt;=$D$4,IF(OR('WSF DASHBOARD'!$C$4="",ISNUMBER(SEARCH('WSF DASHBOARD'!$C$4,INDEX(MASTER_ZONES!$B:$B,1174)))),1173,""),""),""))</f>
        <v/>
      </c>
      <c r="F1174">
        <f>IF('TRANSPORT DASHBOARD'!$B$4="Area",IF(1173&lt;=$I$3,IF(AND(INDEX(MASTER_AREAS!$F:$F,1174)&lt;&gt;"N",OR('TRANSPORT DASHBOARD'!$C$4="",ISNUMBER(SEARCH('TRANSPORT DASHBOARD'!$C$4,INDEX(MASTER_AREAS!$B:$B,1174))))),1173,""),""),IF('TRANSPORT DASHBOARD'!$B$4="Zone",IF(1173&lt;=$I$4,IF(OR('TRANSPORT DASHBOARD'!$C$4="",ISNUMBER(SEARCH('TRANSPORT DASHBOARD'!$C$4,INDEX(MASTER_ZONES!$B:$B,1174)))),1173,""),""),""))</f>
        <v/>
      </c>
      <c r="K1174">
        <f>IF('MIDWEEK DASHBOARD'!$B$4="Area",IF(1173&lt;=$N$3,IF(AND(OR('MIDWEEK DASHBOARD'!$C$4="",ISNUMBER(SEARCH('MIDWEEK DASHBOARD'!$C$4,INDEX(MASTER_AREAS!$B:$B,1174))))),1173,""),""),IF('MIDWEEK DASHBOARD'!$B$4="Zone",IF(1173&lt;=$N$4,IF(OR('MIDWEEK DASHBOARD'!$C$4="",ISNUMBER(SEARCH('MIDWEEK DASHBOARD'!$C$4,INDEX(MASTER_ZONES!$B:$B,1174)))),1173,""),""),""))</f>
        <v/>
      </c>
      <c r="P1174">
        <f>IF('CHOP DASHBOARD'!$B$4="Area",IF(1173&lt;=$S$3,IF(AND(OR('CHOP DASHBOARD'!$C$4="",ISNUMBER(SEARCH('CHOP DASHBOARD'!$C$4,INDEX(MASTER_AREAS!$B:$B,1174))))),1173,""),""),IF('CHOP DASHBOARD'!$B$4="Zone",IF(1173&lt;=$S$4,IF(OR('CHOP DASHBOARD'!$C$4="",ISNUMBER(SEARCH('CHOP DASHBOARD'!$C$4,INDEX(MASTER_ZONES!$B:$B,1174)))),1173,""),""),""))</f>
        <v/>
      </c>
      <c r="U1174">
        <f>IF('COMMUNITY CHURCH DASHBOARD'!$B$4="Area",IF(1173&lt;=$X$3,IF(AND(OR('COMMUNITY CHURCH DASHBOARD'!$C$4="",ISNUMBER(SEARCH('COMMUNITY CHURCH DASHBOARD'!$C$4,INDEX(MASTER_AREAS!$B:$B,1174))))),1173,""),""),IF('COMMUNITY CHURCH DASHBOARD'!$B$4="Zone",IF(1173&lt;=$X$4,IF(OR('COMMUNITY CHURCH DASHBOARD'!$C$4="",ISNUMBER(SEARCH('COMMUNITY CHURCH DASHBOARD'!$C$4,INDEX(MASTER_ZONES!$B:$B,1174)))),1173,""),""),""))</f>
        <v/>
      </c>
    </row>
    <row r="1175">
      <c r="A1175">
        <f>IF('WSF DASHBOARD'!$B$4="Area",IF(1174&lt;=$D$3,IF(AND(OR('WSF DASHBOARD'!$C$4="",ISNUMBER(SEARCH('WSF DASHBOARD'!$C$4,INDEX(MASTER_AREAS!$B:$B,1175))))),1174,""),""),IF('WSF DASHBOARD'!$B$4="Zone",IF(1174&lt;=$D$4,IF(OR('WSF DASHBOARD'!$C$4="",ISNUMBER(SEARCH('WSF DASHBOARD'!$C$4,INDEX(MASTER_ZONES!$B:$B,1175)))),1174,""),""),""))</f>
        <v/>
      </c>
      <c r="F1175">
        <f>IF('TRANSPORT DASHBOARD'!$B$4="Area",IF(1174&lt;=$I$3,IF(AND(INDEX(MASTER_AREAS!$F:$F,1175)&lt;&gt;"N",OR('TRANSPORT DASHBOARD'!$C$4="",ISNUMBER(SEARCH('TRANSPORT DASHBOARD'!$C$4,INDEX(MASTER_AREAS!$B:$B,1175))))),1174,""),""),IF('TRANSPORT DASHBOARD'!$B$4="Zone",IF(1174&lt;=$I$4,IF(OR('TRANSPORT DASHBOARD'!$C$4="",ISNUMBER(SEARCH('TRANSPORT DASHBOARD'!$C$4,INDEX(MASTER_ZONES!$B:$B,1175)))),1174,""),""),""))</f>
        <v/>
      </c>
      <c r="K1175">
        <f>IF('MIDWEEK DASHBOARD'!$B$4="Area",IF(1174&lt;=$N$3,IF(AND(OR('MIDWEEK DASHBOARD'!$C$4="",ISNUMBER(SEARCH('MIDWEEK DASHBOARD'!$C$4,INDEX(MASTER_AREAS!$B:$B,1175))))),1174,""),""),IF('MIDWEEK DASHBOARD'!$B$4="Zone",IF(1174&lt;=$N$4,IF(OR('MIDWEEK DASHBOARD'!$C$4="",ISNUMBER(SEARCH('MIDWEEK DASHBOARD'!$C$4,INDEX(MASTER_ZONES!$B:$B,1175)))),1174,""),""),""))</f>
        <v/>
      </c>
      <c r="P1175">
        <f>IF('CHOP DASHBOARD'!$B$4="Area",IF(1174&lt;=$S$3,IF(AND(OR('CHOP DASHBOARD'!$C$4="",ISNUMBER(SEARCH('CHOP DASHBOARD'!$C$4,INDEX(MASTER_AREAS!$B:$B,1175))))),1174,""),""),IF('CHOP DASHBOARD'!$B$4="Zone",IF(1174&lt;=$S$4,IF(OR('CHOP DASHBOARD'!$C$4="",ISNUMBER(SEARCH('CHOP DASHBOARD'!$C$4,INDEX(MASTER_ZONES!$B:$B,1175)))),1174,""),""),""))</f>
        <v/>
      </c>
      <c r="U1175">
        <f>IF('COMMUNITY CHURCH DASHBOARD'!$B$4="Area",IF(1174&lt;=$X$3,IF(AND(OR('COMMUNITY CHURCH DASHBOARD'!$C$4="",ISNUMBER(SEARCH('COMMUNITY CHURCH DASHBOARD'!$C$4,INDEX(MASTER_AREAS!$B:$B,1175))))),1174,""),""),IF('COMMUNITY CHURCH DASHBOARD'!$B$4="Zone",IF(1174&lt;=$X$4,IF(OR('COMMUNITY CHURCH DASHBOARD'!$C$4="",ISNUMBER(SEARCH('COMMUNITY CHURCH DASHBOARD'!$C$4,INDEX(MASTER_ZONES!$B:$B,1175)))),1174,""),""),""))</f>
        <v/>
      </c>
    </row>
    <row r="1176">
      <c r="A1176">
        <f>IF('WSF DASHBOARD'!$B$4="Area",IF(1175&lt;=$D$3,IF(AND(OR('WSF DASHBOARD'!$C$4="",ISNUMBER(SEARCH('WSF DASHBOARD'!$C$4,INDEX(MASTER_AREAS!$B:$B,1176))))),1175,""),""),IF('WSF DASHBOARD'!$B$4="Zone",IF(1175&lt;=$D$4,IF(OR('WSF DASHBOARD'!$C$4="",ISNUMBER(SEARCH('WSF DASHBOARD'!$C$4,INDEX(MASTER_ZONES!$B:$B,1176)))),1175,""),""),""))</f>
        <v/>
      </c>
      <c r="F1176">
        <f>IF('TRANSPORT DASHBOARD'!$B$4="Area",IF(1175&lt;=$I$3,IF(AND(INDEX(MASTER_AREAS!$F:$F,1176)&lt;&gt;"N",OR('TRANSPORT DASHBOARD'!$C$4="",ISNUMBER(SEARCH('TRANSPORT DASHBOARD'!$C$4,INDEX(MASTER_AREAS!$B:$B,1176))))),1175,""),""),IF('TRANSPORT DASHBOARD'!$B$4="Zone",IF(1175&lt;=$I$4,IF(OR('TRANSPORT DASHBOARD'!$C$4="",ISNUMBER(SEARCH('TRANSPORT DASHBOARD'!$C$4,INDEX(MASTER_ZONES!$B:$B,1176)))),1175,""),""),""))</f>
        <v/>
      </c>
      <c r="K1176">
        <f>IF('MIDWEEK DASHBOARD'!$B$4="Area",IF(1175&lt;=$N$3,IF(AND(OR('MIDWEEK DASHBOARD'!$C$4="",ISNUMBER(SEARCH('MIDWEEK DASHBOARD'!$C$4,INDEX(MASTER_AREAS!$B:$B,1176))))),1175,""),""),IF('MIDWEEK DASHBOARD'!$B$4="Zone",IF(1175&lt;=$N$4,IF(OR('MIDWEEK DASHBOARD'!$C$4="",ISNUMBER(SEARCH('MIDWEEK DASHBOARD'!$C$4,INDEX(MASTER_ZONES!$B:$B,1176)))),1175,""),""),""))</f>
        <v/>
      </c>
      <c r="P1176">
        <f>IF('CHOP DASHBOARD'!$B$4="Area",IF(1175&lt;=$S$3,IF(AND(OR('CHOP DASHBOARD'!$C$4="",ISNUMBER(SEARCH('CHOP DASHBOARD'!$C$4,INDEX(MASTER_AREAS!$B:$B,1176))))),1175,""),""),IF('CHOP DASHBOARD'!$B$4="Zone",IF(1175&lt;=$S$4,IF(OR('CHOP DASHBOARD'!$C$4="",ISNUMBER(SEARCH('CHOP DASHBOARD'!$C$4,INDEX(MASTER_ZONES!$B:$B,1176)))),1175,""),""),""))</f>
        <v/>
      </c>
      <c r="U1176">
        <f>IF('COMMUNITY CHURCH DASHBOARD'!$B$4="Area",IF(1175&lt;=$X$3,IF(AND(OR('COMMUNITY CHURCH DASHBOARD'!$C$4="",ISNUMBER(SEARCH('COMMUNITY CHURCH DASHBOARD'!$C$4,INDEX(MASTER_AREAS!$B:$B,1176))))),1175,""),""),IF('COMMUNITY CHURCH DASHBOARD'!$B$4="Zone",IF(1175&lt;=$X$4,IF(OR('COMMUNITY CHURCH DASHBOARD'!$C$4="",ISNUMBER(SEARCH('COMMUNITY CHURCH DASHBOARD'!$C$4,INDEX(MASTER_ZONES!$B:$B,1176)))),1175,""),""),""))</f>
        <v/>
      </c>
    </row>
    <row r="1177">
      <c r="A1177">
        <f>IF('WSF DASHBOARD'!$B$4="Area",IF(1176&lt;=$D$3,IF(AND(OR('WSF DASHBOARD'!$C$4="",ISNUMBER(SEARCH('WSF DASHBOARD'!$C$4,INDEX(MASTER_AREAS!$B:$B,1177))))),1176,""),""),IF('WSF DASHBOARD'!$B$4="Zone",IF(1176&lt;=$D$4,IF(OR('WSF DASHBOARD'!$C$4="",ISNUMBER(SEARCH('WSF DASHBOARD'!$C$4,INDEX(MASTER_ZONES!$B:$B,1177)))),1176,""),""),""))</f>
        <v/>
      </c>
      <c r="F1177">
        <f>IF('TRANSPORT DASHBOARD'!$B$4="Area",IF(1176&lt;=$I$3,IF(AND(INDEX(MASTER_AREAS!$F:$F,1177)&lt;&gt;"N",OR('TRANSPORT DASHBOARD'!$C$4="",ISNUMBER(SEARCH('TRANSPORT DASHBOARD'!$C$4,INDEX(MASTER_AREAS!$B:$B,1177))))),1176,""),""),IF('TRANSPORT DASHBOARD'!$B$4="Zone",IF(1176&lt;=$I$4,IF(OR('TRANSPORT DASHBOARD'!$C$4="",ISNUMBER(SEARCH('TRANSPORT DASHBOARD'!$C$4,INDEX(MASTER_ZONES!$B:$B,1177)))),1176,""),""),""))</f>
        <v/>
      </c>
      <c r="K1177">
        <f>IF('MIDWEEK DASHBOARD'!$B$4="Area",IF(1176&lt;=$N$3,IF(AND(OR('MIDWEEK DASHBOARD'!$C$4="",ISNUMBER(SEARCH('MIDWEEK DASHBOARD'!$C$4,INDEX(MASTER_AREAS!$B:$B,1177))))),1176,""),""),IF('MIDWEEK DASHBOARD'!$B$4="Zone",IF(1176&lt;=$N$4,IF(OR('MIDWEEK DASHBOARD'!$C$4="",ISNUMBER(SEARCH('MIDWEEK DASHBOARD'!$C$4,INDEX(MASTER_ZONES!$B:$B,1177)))),1176,""),""),""))</f>
        <v/>
      </c>
      <c r="P1177">
        <f>IF('CHOP DASHBOARD'!$B$4="Area",IF(1176&lt;=$S$3,IF(AND(OR('CHOP DASHBOARD'!$C$4="",ISNUMBER(SEARCH('CHOP DASHBOARD'!$C$4,INDEX(MASTER_AREAS!$B:$B,1177))))),1176,""),""),IF('CHOP DASHBOARD'!$B$4="Zone",IF(1176&lt;=$S$4,IF(OR('CHOP DASHBOARD'!$C$4="",ISNUMBER(SEARCH('CHOP DASHBOARD'!$C$4,INDEX(MASTER_ZONES!$B:$B,1177)))),1176,""),""),""))</f>
        <v/>
      </c>
      <c r="U1177">
        <f>IF('COMMUNITY CHURCH DASHBOARD'!$B$4="Area",IF(1176&lt;=$X$3,IF(AND(OR('COMMUNITY CHURCH DASHBOARD'!$C$4="",ISNUMBER(SEARCH('COMMUNITY CHURCH DASHBOARD'!$C$4,INDEX(MASTER_AREAS!$B:$B,1177))))),1176,""),""),IF('COMMUNITY CHURCH DASHBOARD'!$B$4="Zone",IF(1176&lt;=$X$4,IF(OR('COMMUNITY CHURCH DASHBOARD'!$C$4="",ISNUMBER(SEARCH('COMMUNITY CHURCH DASHBOARD'!$C$4,INDEX(MASTER_ZONES!$B:$B,1177)))),1176,""),""),""))</f>
        <v/>
      </c>
    </row>
    <row r="1178">
      <c r="A1178">
        <f>IF('WSF DASHBOARD'!$B$4="Area",IF(1177&lt;=$D$3,IF(AND(OR('WSF DASHBOARD'!$C$4="",ISNUMBER(SEARCH('WSF DASHBOARD'!$C$4,INDEX(MASTER_AREAS!$B:$B,1178))))),1177,""),""),IF('WSF DASHBOARD'!$B$4="Zone",IF(1177&lt;=$D$4,IF(OR('WSF DASHBOARD'!$C$4="",ISNUMBER(SEARCH('WSF DASHBOARD'!$C$4,INDEX(MASTER_ZONES!$B:$B,1178)))),1177,""),""),""))</f>
        <v/>
      </c>
      <c r="F1178">
        <f>IF('TRANSPORT DASHBOARD'!$B$4="Area",IF(1177&lt;=$I$3,IF(AND(INDEX(MASTER_AREAS!$F:$F,1178)&lt;&gt;"N",OR('TRANSPORT DASHBOARD'!$C$4="",ISNUMBER(SEARCH('TRANSPORT DASHBOARD'!$C$4,INDEX(MASTER_AREAS!$B:$B,1178))))),1177,""),""),IF('TRANSPORT DASHBOARD'!$B$4="Zone",IF(1177&lt;=$I$4,IF(OR('TRANSPORT DASHBOARD'!$C$4="",ISNUMBER(SEARCH('TRANSPORT DASHBOARD'!$C$4,INDEX(MASTER_ZONES!$B:$B,1178)))),1177,""),""),""))</f>
        <v/>
      </c>
      <c r="K1178">
        <f>IF('MIDWEEK DASHBOARD'!$B$4="Area",IF(1177&lt;=$N$3,IF(AND(OR('MIDWEEK DASHBOARD'!$C$4="",ISNUMBER(SEARCH('MIDWEEK DASHBOARD'!$C$4,INDEX(MASTER_AREAS!$B:$B,1178))))),1177,""),""),IF('MIDWEEK DASHBOARD'!$B$4="Zone",IF(1177&lt;=$N$4,IF(OR('MIDWEEK DASHBOARD'!$C$4="",ISNUMBER(SEARCH('MIDWEEK DASHBOARD'!$C$4,INDEX(MASTER_ZONES!$B:$B,1178)))),1177,""),""),""))</f>
        <v/>
      </c>
      <c r="P1178">
        <f>IF('CHOP DASHBOARD'!$B$4="Area",IF(1177&lt;=$S$3,IF(AND(OR('CHOP DASHBOARD'!$C$4="",ISNUMBER(SEARCH('CHOP DASHBOARD'!$C$4,INDEX(MASTER_AREAS!$B:$B,1178))))),1177,""),""),IF('CHOP DASHBOARD'!$B$4="Zone",IF(1177&lt;=$S$4,IF(OR('CHOP DASHBOARD'!$C$4="",ISNUMBER(SEARCH('CHOP DASHBOARD'!$C$4,INDEX(MASTER_ZONES!$B:$B,1178)))),1177,""),""),""))</f>
        <v/>
      </c>
      <c r="U1178">
        <f>IF('COMMUNITY CHURCH DASHBOARD'!$B$4="Area",IF(1177&lt;=$X$3,IF(AND(OR('COMMUNITY CHURCH DASHBOARD'!$C$4="",ISNUMBER(SEARCH('COMMUNITY CHURCH DASHBOARD'!$C$4,INDEX(MASTER_AREAS!$B:$B,1178))))),1177,""),""),IF('COMMUNITY CHURCH DASHBOARD'!$B$4="Zone",IF(1177&lt;=$X$4,IF(OR('COMMUNITY CHURCH DASHBOARD'!$C$4="",ISNUMBER(SEARCH('COMMUNITY CHURCH DASHBOARD'!$C$4,INDEX(MASTER_ZONES!$B:$B,1178)))),1177,""),""),""))</f>
        <v/>
      </c>
    </row>
    <row r="1179">
      <c r="A1179">
        <f>IF('WSF DASHBOARD'!$B$4="Area",IF(1178&lt;=$D$3,IF(AND(OR('WSF DASHBOARD'!$C$4="",ISNUMBER(SEARCH('WSF DASHBOARD'!$C$4,INDEX(MASTER_AREAS!$B:$B,1179))))),1178,""),""),IF('WSF DASHBOARD'!$B$4="Zone",IF(1178&lt;=$D$4,IF(OR('WSF DASHBOARD'!$C$4="",ISNUMBER(SEARCH('WSF DASHBOARD'!$C$4,INDEX(MASTER_ZONES!$B:$B,1179)))),1178,""),""),""))</f>
        <v/>
      </c>
      <c r="F1179">
        <f>IF('TRANSPORT DASHBOARD'!$B$4="Area",IF(1178&lt;=$I$3,IF(AND(INDEX(MASTER_AREAS!$F:$F,1179)&lt;&gt;"N",OR('TRANSPORT DASHBOARD'!$C$4="",ISNUMBER(SEARCH('TRANSPORT DASHBOARD'!$C$4,INDEX(MASTER_AREAS!$B:$B,1179))))),1178,""),""),IF('TRANSPORT DASHBOARD'!$B$4="Zone",IF(1178&lt;=$I$4,IF(OR('TRANSPORT DASHBOARD'!$C$4="",ISNUMBER(SEARCH('TRANSPORT DASHBOARD'!$C$4,INDEX(MASTER_ZONES!$B:$B,1179)))),1178,""),""),""))</f>
        <v/>
      </c>
      <c r="K1179">
        <f>IF('MIDWEEK DASHBOARD'!$B$4="Area",IF(1178&lt;=$N$3,IF(AND(OR('MIDWEEK DASHBOARD'!$C$4="",ISNUMBER(SEARCH('MIDWEEK DASHBOARD'!$C$4,INDEX(MASTER_AREAS!$B:$B,1179))))),1178,""),""),IF('MIDWEEK DASHBOARD'!$B$4="Zone",IF(1178&lt;=$N$4,IF(OR('MIDWEEK DASHBOARD'!$C$4="",ISNUMBER(SEARCH('MIDWEEK DASHBOARD'!$C$4,INDEX(MASTER_ZONES!$B:$B,1179)))),1178,""),""),""))</f>
        <v/>
      </c>
      <c r="P1179">
        <f>IF('CHOP DASHBOARD'!$B$4="Area",IF(1178&lt;=$S$3,IF(AND(OR('CHOP DASHBOARD'!$C$4="",ISNUMBER(SEARCH('CHOP DASHBOARD'!$C$4,INDEX(MASTER_AREAS!$B:$B,1179))))),1178,""),""),IF('CHOP DASHBOARD'!$B$4="Zone",IF(1178&lt;=$S$4,IF(OR('CHOP DASHBOARD'!$C$4="",ISNUMBER(SEARCH('CHOP DASHBOARD'!$C$4,INDEX(MASTER_ZONES!$B:$B,1179)))),1178,""),""),""))</f>
        <v/>
      </c>
      <c r="U1179">
        <f>IF('COMMUNITY CHURCH DASHBOARD'!$B$4="Area",IF(1178&lt;=$X$3,IF(AND(OR('COMMUNITY CHURCH DASHBOARD'!$C$4="",ISNUMBER(SEARCH('COMMUNITY CHURCH DASHBOARD'!$C$4,INDEX(MASTER_AREAS!$B:$B,1179))))),1178,""),""),IF('COMMUNITY CHURCH DASHBOARD'!$B$4="Zone",IF(1178&lt;=$X$4,IF(OR('COMMUNITY CHURCH DASHBOARD'!$C$4="",ISNUMBER(SEARCH('COMMUNITY CHURCH DASHBOARD'!$C$4,INDEX(MASTER_ZONES!$B:$B,1179)))),1178,""),""),""))</f>
        <v/>
      </c>
    </row>
    <row r="1180">
      <c r="A1180">
        <f>IF('WSF DASHBOARD'!$B$4="Area",IF(1179&lt;=$D$3,IF(AND(OR('WSF DASHBOARD'!$C$4="",ISNUMBER(SEARCH('WSF DASHBOARD'!$C$4,INDEX(MASTER_AREAS!$B:$B,1180))))),1179,""),""),IF('WSF DASHBOARD'!$B$4="Zone",IF(1179&lt;=$D$4,IF(OR('WSF DASHBOARD'!$C$4="",ISNUMBER(SEARCH('WSF DASHBOARD'!$C$4,INDEX(MASTER_ZONES!$B:$B,1180)))),1179,""),""),""))</f>
        <v/>
      </c>
      <c r="F1180">
        <f>IF('TRANSPORT DASHBOARD'!$B$4="Area",IF(1179&lt;=$I$3,IF(AND(INDEX(MASTER_AREAS!$F:$F,1180)&lt;&gt;"N",OR('TRANSPORT DASHBOARD'!$C$4="",ISNUMBER(SEARCH('TRANSPORT DASHBOARD'!$C$4,INDEX(MASTER_AREAS!$B:$B,1180))))),1179,""),""),IF('TRANSPORT DASHBOARD'!$B$4="Zone",IF(1179&lt;=$I$4,IF(OR('TRANSPORT DASHBOARD'!$C$4="",ISNUMBER(SEARCH('TRANSPORT DASHBOARD'!$C$4,INDEX(MASTER_ZONES!$B:$B,1180)))),1179,""),""),""))</f>
        <v/>
      </c>
      <c r="K1180">
        <f>IF('MIDWEEK DASHBOARD'!$B$4="Area",IF(1179&lt;=$N$3,IF(AND(OR('MIDWEEK DASHBOARD'!$C$4="",ISNUMBER(SEARCH('MIDWEEK DASHBOARD'!$C$4,INDEX(MASTER_AREAS!$B:$B,1180))))),1179,""),""),IF('MIDWEEK DASHBOARD'!$B$4="Zone",IF(1179&lt;=$N$4,IF(OR('MIDWEEK DASHBOARD'!$C$4="",ISNUMBER(SEARCH('MIDWEEK DASHBOARD'!$C$4,INDEX(MASTER_ZONES!$B:$B,1180)))),1179,""),""),""))</f>
        <v/>
      </c>
      <c r="P1180">
        <f>IF('CHOP DASHBOARD'!$B$4="Area",IF(1179&lt;=$S$3,IF(AND(OR('CHOP DASHBOARD'!$C$4="",ISNUMBER(SEARCH('CHOP DASHBOARD'!$C$4,INDEX(MASTER_AREAS!$B:$B,1180))))),1179,""),""),IF('CHOP DASHBOARD'!$B$4="Zone",IF(1179&lt;=$S$4,IF(OR('CHOP DASHBOARD'!$C$4="",ISNUMBER(SEARCH('CHOP DASHBOARD'!$C$4,INDEX(MASTER_ZONES!$B:$B,1180)))),1179,""),""),""))</f>
        <v/>
      </c>
      <c r="U1180">
        <f>IF('COMMUNITY CHURCH DASHBOARD'!$B$4="Area",IF(1179&lt;=$X$3,IF(AND(OR('COMMUNITY CHURCH DASHBOARD'!$C$4="",ISNUMBER(SEARCH('COMMUNITY CHURCH DASHBOARD'!$C$4,INDEX(MASTER_AREAS!$B:$B,1180))))),1179,""),""),IF('COMMUNITY CHURCH DASHBOARD'!$B$4="Zone",IF(1179&lt;=$X$4,IF(OR('COMMUNITY CHURCH DASHBOARD'!$C$4="",ISNUMBER(SEARCH('COMMUNITY CHURCH DASHBOARD'!$C$4,INDEX(MASTER_ZONES!$B:$B,1180)))),1179,""),""),""))</f>
        <v/>
      </c>
    </row>
    <row r="1181">
      <c r="A1181">
        <f>IF('WSF DASHBOARD'!$B$4="Area",IF(1180&lt;=$D$3,IF(AND(OR('WSF DASHBOARD'!$C$4="",ISNUMBER(SEARCH('WSF DASHBOARD'!$C$4,INDEX(MASTER_AREAS!$B:$B,1181))))),1180,""),""),IF('WSF DASHBOARD'!$B$4="Zone",IF(1180&lt;=$D$4,IF(OR('WSF DASHBOARD'!$C$4="",ISNUMBER(SEARCH('WSF DASHBOARD'!$C$4,INDEX(MASTER_ZONES!$B:$B,1181)))),1180,""),""),""))</f>
        <v/>
      </c>
      <c r="F1181">
        <f>IF('TRANSPORT DASHBOARD'!$B$4="Area",IF(1180&lt;=$I$3,IF(AND(INDEX(MASTER_AREAS!$F:$F,1181)&lt;&gt;"N",OR('TRANSPORT DASHBOARD'!$C$4="",ISNUMBER(SEARCH('TRANSPORT DASHBOARD'!$C$4,INDEX(MASTER_AREAS!$B:$B,1181))))),1180,""),""),IF('TRANSPORT DASHBOARD'!$B$4="Zone",IF(1180&lt;=$I$4,IF(OR('TRANSPORT DASHBOARD'!$C$4="",ISNUMBER(SEARCH('TRANSPORT DASHBOARD'!$C$4,INDEX(MASTER_ZONES!$B:$B,1181)))),1180,""),""),""))</f>
        <v/>
      </c>
      <c r="K1181">
        <f>IF('MIDWEEK DASHBOARD'!$B$4="Area",IF(1180&lt;=$N$3,IF(AND(OR('MIDWEEK DASHBOARD'!$C$4="",ISNUMBER(SEARCH('MIDWEEK DASHBOARD'!$C$4,INDEX(MASTER_AREAS!$B:$B,1181))))),1180,""),""),IF('MIDWEEK DASHBOARD'!$B$4="Zone",IF(1180&lt;=$N$4,IF(OR('MIDWEEK DASHBOARD'!$C$4="",ISNUMBER(SEARCH('MIDWEEK DASHBOARD'!$C$4,INDEX(MASTER_ZONES!$B:$B,1181)))),1180,""),""),""))</f>
        <v/>
      </c>
      <c r="P1181">
        <f>IF('CHOP DASHBOARD'!$B$4="Area",IF(1180&lt;=$S$3,IF(AND(OR('CHOP DASHBOARD'!$C$4="",ISNUMBER(SEARCH('CHOP DASHBOARD'!$C$4,INDEX(MASTER_AREAS!$B:$B,1181))))),1180,""),""),IF('CHOP DASHBOARD'!$B$4="Zone",IF(1180&lt;=$S$4,IF(OR('CHOP DASHBOARD'!$C$4="",ISNUMBER(SEARCH('CHOP DASHBOARD'!$C$4,INDEX(MASTER_ZONES!$B:$B,1181)))),1180,""),""),""))</f>
        <v/>
      </c>
      <c r="U1181">
        <f>IF('COMMUNITY CHURCH DASHBOARD'!$B$4="Area",IF(1180&lt;=$X$3,IF(AND(OR('COMMUNITY CHURCH DASHBOARD'!$C$4="",ISNUMBER(SEARCH('COMMUNITY CHURCH DASHBOARD'!$C$4,INDEX(MASTER_AREAS!$B:$B,1181))))),1180,""),""),IF('COMMUNITY CHURCH DASHBOARD'!$B$4="Zone",IF(1180&lt;=$X$4,IF(OR('COMMUNITY CHURCH DASHBOARD'!$C$4="",ISNUMBER(SEARCH('COMMUNITY CHURCH DASHBOARD'!$C$4,INDEX(MASTER_ZONES!$B:$B,1181)))),1180,""),""),""))</f>
        <v/>
      </c>
    </row>
    <row r="1182">
      <c r="A1182">
        <f>IF('WSF DASHBOARD'!$B$4="Area",IF(1181&lt;=$D$3,IF(AND(OR('WSF DASHBOARD'!$C$4="",ISNUMBER(SEARCH('WSF DASHBOARD'!$C$4,INDEX(MASTER_AREAS!$B:$B,1182))))),1181,""),""),IF('WSF DASHBOARD'!$B$4="Zone",IF(1181&lt;=$D$4,IF(OR('WSF DASHBOARD'!$C$4="",ISNUMBER(SEARCH('WSF DASHBOARD'!$C$4,INDEX(MASTER_ZONES!$B:$B,1182)))),1181,""),""),""))</f>
        <v/>
      </c>
      <c r="F1182">
        <f>IF('TRANSPORT DASHBOARD'!$B$4="Area",IF(1181&lt;=$I$3,IF(AND(INDEX(MASTER_AREAS!$F:$F,1182)&lt;&gt;"N",OR('TRANSPORT DASHBOARD'!$C$4="",ISNUMBER(SEARCH('TRANSPORT DASHBOARD'!$C$4,INDEX(MASTER_AREAS!$B:$B,1182))))),1181,""),""),IF('TRANSPORT DASHBOARD'!$B$4="Zone",IF(1181&lt;=$I$4,IF(OR('TRANSPORT DASHBOARD'!$C$4="",ISNUMBER(SEARCH('TRANSPORT DASHBOARD'!$C$4,INDEX(MASTER_ZONES!$B:$B,1182)))),1181,""),""),""))</f>
        <v/>
      </c>
      <c r="K1182">
        <f>IF('MIDWEEK DASHBOARD'!$B$4="Area",IF(1181&lt;=$N$3,IF(AND(OR('MIDWEEK DASHBOARD'!$C$4="",ISNUMBER(SEARCH('MIDWEEK DASHBOARD'!$C$4,INDEX(MASTER_AREAS!$B:$B,1182))))),1181,""),""),IF('MIDWEEK DASHBOARD'!$B$4="Zone",IF(1181&lt;=$N$4,IF(OR('MIDWEEK DASHBOARD'!$C$4="",ISNUMBER(SEARCH('MIDWEEK DASHBOARD'!$C$4,INDEX(MASTER_ZONES!$B:$B,1182)))),1181,""),""),""))</f>
        <v/>
      </c>
      <c r="P1182">
        <f>IF('CHOP DASHBOARD'!$B$4="Area",IF(1181&lt;=$S$3,IF(AND(OR('CHOP DASHBOARD'!$C$4="",ISNUMBER(SEARCH('CHOP DASHBOARD'!$C$4,INDEX(MASTER_AREAS!$B:$B,1182))))),1181,""),""),IF('CHOP DASHBOARD'!$B$4="Zone",IF(1181&lt;=$S$4,IF(OR('CHOP DASHBOARD'!$C$4="",ISNUMBER(SEARCH('CHOP DASHBOARD'!$C$4,INDEX(MASTER_ZONES!$B:$B,1182)))),1181,""),""),""))</f>
        <v/>
      </c>
      <c r="U1182">
        <f>IF('COMMUNITY CHURCH DASHBOARD'!$B$4="Area",IF(1181&lt;=$X$3,IF(AND(OR('COMMUNITY CHURCH DASHBOARD'!$C$4="",ISNUMBER(SEARCH('COMMUNITY CHURCH DASHBOARD'!$C$4,INDEX(MASTER_AREAS!$B:$B,1182))))),1181,""),""),IF('COMMUNITY CHURCH DASHBOARD'!$B$4="Zone",IF(1181&lt;=$X$4,IF(OR('COMMUNITY CHURCH DASHBOARD'!$C$4="",ISNUMBER(SEARCH('COMMUNITY CHURCH DASHBOARD'!$C$4,INDEX(MASTER_ZONES!$B:$B,1182)))),1181,""),""),""))</f>
        <v/>
      </c>
    </row>
    <row r="1183">
      <c r="A1183">
        <f>IF('WSF DASHBOARD'!$B$4="Area",IF(1182&lt;=$D$3,IF(AND(OR('WSF DASHBOARD'!$C$4="",ISNUMBER(SEARCH('WSF DASHBOARD'!$C$4,INDEX(MASTER_AREAS!$B:$B,1183))))),1182,""),""),IF('WSF DASHBOARD'!$B$4="Zone",IF(1182&lt;=$D$4,IF(OR('WSF DASHBOARD'!$C$4="",ISNUMBER(SEARCH('WSF DASHBOARD'!$C$4,INDEX(MASTER_ZONES!$B:$B,1183)))),1182,""),""),""))</f>
        <v/>
      </c>
      <c r="F1183">
        <f>IF('TRANSPORT DASHBOARD'!$B$4="Area",IF(1182&lt;=$I$3,IF(AND(INDEX(MASTER_AREAS!$F:$F,1183)&lt;&gt;"N",OR('TRANSPORT DASHBOARD'!$C$4="",ISNUMBER(SEARCH('TRANSPORT DASHBOARD'!$C$4,INDEX(MASTER_AREAS!$B:$B,1183))))),1182,""),""),IF('TRANSPORT DASHBOARD'!$B$4="Zone",IF(1182&lt;=$I$4,IF(OR('TRANSPORT DASHBOARD'!$C$4="",ISNUMBER(SEARCH('TRANSPORT DASHBOARD'!$C$4,INDEX(MASTER_ZONES!$B:$B,1183)))),1182,""),""),""))</f>
        <v/>
      </c>
      <c r="K1183">
        <f>IF('MIDWEEK DASHBOARD'!$B$4="Area",IF(1182&lt;=$N$3,IF(AND(OR('MIDWEEK DASHBOARD'!$C$4="",ISNUMBER(SEARCH('MIDWEEK DASHBOARD'!$C$4,INDEX(MASTER_AREAS!$B:$B,1183))))),1182,""),""),IF('MIDWEEK DASHBOARD'!$B$4="Zone",IF(1182&lt;=$N$4,IF(OR('MIDWEEK DASHBOARD'!$C$4="",ISNUMBER(SEARCH('MIDWEEK DASHBOARD'!$C$4,INDEX(MASTER_ZONES!$B:$B,1183)))),1182,""),""),""))</f>
        <v/>
      </c>
      <c r="P1183">
        <f>IF('CHOP DASHBOARD'!$B$4="Area",IF(1182&lt;=$S$3,IF(AND(OR('CHOP DASHBOARD'!$C$4="",ISNUMBER(SEARCH('CHOP DASHBOARD'!$C$4,INDEX(MASTER_AREAS!$B:$B,1183))))),1182,""),""),IF('CHOP DASHBOARD'!$B$4="Zone",IF(1182&lt;=$S$4,IF(OR('CHOP DASHBOARD'!$C$4="",ISNUMBER(SEARCH('CHOP DASHBOARD'!$C$4,INDEX(MASTER_ZONES!$B:$B,1183)))),1182,""),""),""))</f>
        <v/>
      </c>
      <c r="U1183">
        <f>IF('COMMUNITY CHURCH DASHBOARD'!$B$4="Area",IF(1182&lt;=$X$3,IF(AND(OR('COMMUNITY CHURCH DASHBOARD'!$C$4="",ISNUMBER(SEARCH('COMMUNITY CHURCH DASHBOARD'!$C$4,INDEX(MASTER_AREAS!$B:$B,1183))))),1182,""),""),IF('COMMUNITY CHURCH DASHBOARD'!$B$4="Zone",IF(1182&lt;=$X$4,IF(OR('COMMUNITY CHURCH DASHBOARD'!$C$4="",ISNUMBER(SEARCH('COMMUNITY CHURCH DASHBOARD'!$C$4,INDEX(MASTER_ZONES!$B:$B,1183)))),1182,""),""),""))</f>
        <v/>
      </c>
    </row>
    <row r="1184">
      <c r="A1184">
        <f>IF('WSF DASHBOARD'!$B$4="Area",IF(1183&lt;=$D$3,IF(AND(OR('WSF DASHBOARD'!$C$4="",ISNUMBER(SEARCH('WSF DASHBOARD'!$C$4,INDEX(MASTER_AREAS!$B:$B,1184))))),1183,""),""),IF('WSF DASHBOARD'!$B$4="Zone",IF(1183&lt;=$D$4,IF(OR('WSF DASHBOARD'!$C$4="",ISNUMBER(SEARCH('WSF DASHBOARD'!$C$4,INDEX(MASTER_ZONES!$B:$B,1184)))),1183,""),""),""))</f>
        <v/>
      </c>
      <c r="F1184">
        <f>IF('TRANSPORT DASHBOARD'!$B$4="Area",IF(1183&lt;=$I$3,IF(AND(INDEX(MASTER_AREAS!$F:$F,1184)&lt;&gt;"N",OR('TRANSPORT DASHBOARD'!$C$4="",ISNUMBER(SEARCH('TRANSPORT DASHBOARD'!$C$4,INDEX(MASTER_AREAS!$B:$B,1184))))),1183,""),""),IF('TRANSPORT DASHBOARD'!$B$4="Zone",IF(1183&lt;=$I$4,IF(OR('TRANSPORT DASHBOARD'!$C$4="",ISNUMBER(SEARCH('TRANSPORT DASHBOARD'!$C$4,INDEX(MASTER_ZONES!$B:$B,1184)))),1183,""),""),""))</f>
        <v/>
      </c>
      <c r="K1184">
        <f>IF('MIDWEEK DASHBOARD'!$B$4="Area",IF(1183&lt;=$N$3,IF(AND(OR('MIDWEEK DASHBOARD'!$C$4="",ISNUMBER(SEARCH('MIDWEEK DASHBOARD'!$C$4,INDEX(MASTER_AREAS!$B:$B,1184))))),1183,""),""),IF('MIDWEEK DASHBOARD'!$B$4="Zone",IF(1183&lt;=$N$4,IF(OR('MIDWEEK DASHBOARD'!$C$4="",ISNUMBER(SEARCH('MIDWEEK DASHBOARD'!$C$4,INDEX(MASTER_ZONES!$B:$B,1184)))),1183,""),""),""))</f>
        <v/>
      </c>
      <c r="P1184">
        <f>IF('CHOP DASHBOARD'!$B$4="Area",IF(1183&lt;=$S$3,IF(AND(OR('CHOP DASHBOARD'!$C$4="",ISNUMBER(SEARCH('CHOP DASHBOARD'!$C$4,INDEX(MASTER_AREAS!$B:$B,1184))))),1183,""),""),IF('CHOP DASHBOARD'!$B$4="Zone",IF(1183&lt;=$S$4,IF(OR('CHOP DASHBOARD'!$C$4="",ISNUMBER(SEARCH('CHOP DASHBOARD'!$C$4,INDEX(MASTER_ZONES!$B:$B,1184)))),1183,""),""),""))</f>
        <v/>
      </c>
      <c r="U1184">
        <f>IF('COMMUNITY CHURCH DASHBOARD'!$B$4="Area",IF(1183&lt;=$X$3,IF(AND(OR('COMMUNITY CHURCH DASHBOARD'!$C$4="",ISNUMBER(SEARCH('COMMUNITY CHURCH DASHBOARD'!$C$4,INDEX(MASTER_AREAS!$B:$B,1184))))),1183,""),""),IF('COMMUNITY CHURCH DASHBOARD'!$B$4="Zone",IF(1183&lt;=$X$4,IF(OR('COMMUNITY CHURCH DASHBOARD'!$C$4="",ISNUMBER(SEARCH('COMMUNITY CHURCH DASHBOARD'!$C$4,INDEX(MASTER_ZONES!$B:$B,1184)))),1183,""),""),""))</f>
        <v/>
      </c>
    </row>
    <row r="1185">
      <c r="A1185">
        <f>IF('WSF DASHBOARD'!$B$4="Area",IF(1184&lt;=$D$3,IF(AND(OR('WSF DASHBOARD'!$C$4="",ISNUMBER(SEARCH('WSF DASHBOARD'!$C$4,INDEX(MASTER_AREAS!$B:$B,1185))))),1184,""),""),IF('WSF DASHBOARD'!$B$4="Zone",IF(1184&lt;=$D$4,IF(OR('WSF DASHBOARD'!$C$4="",ISNUMBER(SEARCH('WSF DASHBOARD'!$C$4,INDEX(MASTER_ZONES!$B:$B,1185)))),1184,""),""),""))</f>
        <v/>
      </c>
      <c r="F1185">
        <f>IF('TRANSPORT DASHBOARD'!$B$4="Area",IF(1184&lt;=$I$3,IF(AND(INDEX(MASTER_AREAS!$F:$F,1185)&lt;&gt;"N",OR('TRANSPORT DASHBOARD'!$C$4="",ISNUMBER(SEARCH('TRANSPORT DASHBOARD'!$C$4,INDEX(MASTER_AREAS!$B:$B,1185))))),1184,""),""),IF('TRANSPORT DASHBOARD'!$B$4="Zone",IF(1184&lt;=$I$4,IF(OR('TRANSPORT DASHBOARD'!$C$4="",ISNUMBER(SEARCH('TRANSPORT DASHBOARD'!$C$4,INDEX(MASTER_ZONES!$B:$B,1185)))),1184,""),""),""))</f>
        <v/>
      </c>
      <c r="K1185">
        <f>IF('MIDWEEK DASHBOARD'!$B$4="Area",IF(1184&lt;=$N$3,IF(AND(OR('MIDWEEK DASHBOARD'!$C$4="",ISNUMBER(SEARCH('MIDWEEK DASHBOARD'!$C$4,INDEX(MASTER_AREAS!$B:$B,1185))))),1184,""),""),IF('MIDWEEK DASHBOARD'!$B$4="Zone",IF(1184&lt;=$N$4,IF(OR('MIDWEEK DASHBOARD'!$C$4="",ISNUMBER(SEARCH('MIDWEEK DASHBOARD'!$C$4,INDEX(MASTER_ZONES!$B:$B,1185)))),1184,""),""),""))</f>
        <v/>
      </c>
      <c r="P1185">
        <f>IF('CHOP DASHBOARD'!$B$4="Area",IF(1184&lt;=$S$3,IF(AND(OR('CHOP DASHBOARD'!$C$4="",ISNUMBER(SEARCH('CHOP DASHBOARD'!$C$4,INDEX(MASTER_AREAS!$B:$B,1185))))),1184,""),""),IF('CHOP DASHBOARD'!$B$4="Zone",IF(1184&lt;=$S$4,IF(OR('CHOP DASHBOARD'!$C$4="",ISNUMBER(SEARCH('CHOP DASHBOARD'!$C$4,INDEX(MASTER_ZONES!$B:$B,1185)))),1184,""),""),""))</f>
        <v/>
      </c>
      <c r="U1185">
        <f>IF('COMMUNITY CHURCH DASHBOARD'!$B$4="Area",IF(1184&lt;=$X$3,IF(AND(OR('COMMUNITY CHURCH DASHBOARD'!$C$4="",ISNUMBER(SEARCH('COMMUNITY CHURCH DASHBOARD'!$C$4,INDEX(MASTER_AREAS!$B:$B,1185))))),1184,""),""),IF('COMMUNITY CHURCH DASHBOARD'!$B$4="Zone",IF(1184&lt;=$X$4,IF(OR('COMMUNITY CHURCH DASHBOARD'!$C$4="",ISNUMBER(SEARCH('COMMUNITY CHURCH DASHBOARD'!$C$4,INDEX(MASTER_ZONES!$B:$B,1185)))),1184,""),""),""))</f>
        <v/>
      </c>
    </row>
    <row r="1186">
      <c r="A1186">
        <f>IF('WSF DASHBOARD'!$B$4="Area",IF(1185&lt;=$D$3,IF(AND(OR('WSF DASHBOARD'!$C$4="",ISNUMBER(SEARCH('WSF DASHBOARD'!$C$4,INDEX(MASTER_AREAS!$B:$B,1186))))),1185,""),""),IF('WSF DASHBOARD'!$B$4="Zone",IF(1185&lt;=$D$4,IF(OR('WSF DASHBOARD'!$C$4="",ISNUMBER(SEARCH('WSF DASHBOARD'!$C$4,INDEX(MASTER_ZONES!$B:$B,1186)))),1185,""),""),""))</f>
        <v/>
      </c>
      <c r="F1186">
        <f>IF('TRANSPORT DASHBOARD'!$B$4="Area",IF(1185&lt;=$I$3,IF(AND(INDEX(MASTER_AREAS!$F:$F,1186)&lt;&gt;"N",OR('TRANSPORT DASHBOARD'!$C$4="",ISNUMBER(SEARCH('TRANSPORT DASHBOARD'!$C$4,INDEX(MASTER_AREAS!$B:$B,1186))))),1185,""),""),IF('TRANSPORT DASHBOARD'!$B$4="Zone",IF(1185&lt;=$I$4,IF(OR('TRANSPORT DASHBOARD'!$C$4="",ISNUMBER(SEARCH('TRANSPORT DASHBOARD'!$C$4,INDEX(MASTER_ZONES!$B:$B,1186)))),1185,""),""),""))</f>
        <v/>
      </c>
      <c r="K1186">
        <f>IF('MIDWEEK DASHBOARD'!$B$4="Area",IF(1185&lt;=$N$3,IF(AND(OR('MIDWEEK DASHBOARD'!$C$4="",ISNUMBER(SEARCH('MIDWEEK DASHBOARD'!$C$4,INDEX(MASTER_AREAS!$B:$B,1186))))),1185,""),""),IF('MIDWEEK DASHBOARD'!$B$4="Zone",IF(1185&lt;=$N$4,IF(OR('MIDWEEK DASHBOARD'!$C$4="",ISNUMBER(SEARCH('MIDWEEK DASHBOARD'!$C$4,INDEX(MASTER_ZONES!$B:$B,1186)))),1185,""),""),""))</f>
        <v/>
      </c>
      <c r="P1186">
        <f>IF('CHOP DASHBOARD'!$B$4="Area",IF(1185&lt;=$S$3,IF(AND(OR('CHOP DASHBOARD'!$C$4="",ISNUMBER(SEARCH('CHOP DASHBOARD'!$C$4,INDEX(MASTER_AREAS!$B:$B,1186))))),1185,""),""),IF('CHOP DASHBOARD'!$B$4="Zone",IF(1185&lt;=$S$4,IF(OR('CHOP DASHBOARD'!$C$4="",ISNUMBER(SEARCH('CHOP DASHBOARD'!$C$4,INDEX(MASTER_ZONES!$B:$B,1186)))),1185,""),""),""))</f>
        <v/>
      </c>
      <c r="U1186">
        <f>IF('COMMUNITY CHURCH DASHBOARD'!$B$4="Area",IF(1185&lt;=$X$3,IF(AND(OR('COMMUNITY CHURCH DASHBOARD'!$C$4="",ISNUMBER(SEARCH('COMMUNITY CHURCH DASHBOARD'!$C$4,INDEX(MASTER_AREAS!$B:$B,1186))))),1185,""),""),IF('COMMUNITY CHURCH DASHBOARD'!$B$4="Zone",IF(1185&lt;=$X$4,IF(OR('COMMUNITY CHURCH DASHBOARD'!$C$4="",ISNUMBER(SEARCH('COMMUNITY CHURCH DASHBOARD'!$C$4,INDEX(MASTER_ZONES!$B:$B,1186)))),1185,""),""),""))</f>
        <v/>
      </c>
    </row>
    <row r="1187">
      <c r="A1187">
        <f>IF('WSF DASHBOARD'!$B$4="Area",IF(1186&lt;=$D$3,IF(AND(OR('WSF DASHBOARD'!$C$4="",ISNUMBER(SEARCH('WSF DASHBOARD'!$C$4,INDEX(MASTER_AREAS!$B:$B,1187))))),1186,""),""),IF('WSF DASHBOARD'!$B$4="Zone",IF(1186&lt;=$D$4,IF(OR('WSF DASHBOARD'!$C$4="",ISNUMBER(SEARCH('WSF DASHBOARD'!$C$4,INDEX(MASTER_ZONES!$B:$B,1187)))),1186,""),""),""))</f>
        <v/>
      </c>
      <c r="F1187">
        <f>IF('TRANSPORT DASHBOARD'!$B$4="Area",IF(1186&lt;=$I$3,IF(AND(INDEX(MASTER_AREAS!$F:$F,1187)&lt;&gt;"N",OR('TRANSPORT DASHBOARD'!$C$4="",ISNUMBER(SEARCH('TRANSPORT DASHBOARD'!$C$4,INDEX(MASTER_AREAS!$B:$B,1187))))),1186,""),""),IF('TRANSPORT DASHBOARD'!$B$4="Zone",IF(1186&lt;=$I$4,IF(OR('TRANSPORT DASHBOARD'!$C$4="",ISNUMBER(SEARCH('TRANSPORT DASHBOARD'!$C$4,INDEX(MASTER_ZONES!$B:$B,1187)))),1186,""),""),""))</f>
        <v/>
      </c>
      <c r="K1187">
        <f>IF('MIDWEEK DASHBOARD'!$B$4="Area",IF(1186&lt;=$N$3,IF(AND(OR('MIDWEEK DASHBOARD'!$C$4="",ISNUMBER(SEARCH('MIDWEEK DASHBOARD'!$C$4,INDEX(MASTER_AREAS!$B:$B,1187))))),1186,""),""),IF('MIDWEEK DASHBOARD'!$B$4="Zone",IF(1186&lt;=$N$4,IF(OR('MIDWEEK DASHBOARD'!$C$4="",ISNUMBER(SEARCH('MIDWEEK DASHBOARD'!$C$4,INDEX(MASTER_ZONES!$B:$B,1187)))),1186,""),""),""))</f>
        <v/>
      </c>
      <c r="P1187">
        <f>IF('CHOP DASHBOARD'!$B$4="Area",IF(1186&lt;=$S$3,IF(AND(OR('CHOP DASHBOARD'!$C$4="",ISNUMBER(SEARCH('CHOP DASHBOARD'!$C$4,INDEX(MASTER_AREAS!$B:$B,1187))))),1186,""),""),IF('CHOP DASHBOARD'!$B$4="Zone",IF(1186&lt;=$S$4,IF(OR('CHOP DASHBOARD'!$C$4="",ISNUMBER(SEARCH('CHOP DASHBOARD'!$C$4,INDEX(MASTER_ZONES!$B:$B,1187)))),1186,""),""),""))</f>
        <v/>
      </c>
      <c r="U1187">
        <f>IF('COMMUNITY CHURCH DASHBOARD'!$B$4="Area",IF(1186&lt;=$X$3,IF(AND(OR('COMMUNITY CHURCH DASHBOARD'!$C$4="",ISNUMBER(SEARCH('COMMUNITY CHURCH DASHBOARD'!$C$4,INDEX(MASTER_AREAS!$B:$B,1187))))),1186,""),""),IF('COMMUNITY CHURCH DASHBOARD'!$B$4="Zone",IF(1186&lt;=$X$4,IF(OR('COMMUNITY CHURCH DASHBOARD'!$C$4="",ISNUMBER(SEARCH('COMMUNITY CHURCH DASHBOARD'!$C$4,INDEX(MASTER_ZONES!$B:$B,1187)))),1186,""),""),""))</f>
        <v/>
      </c>
    </row>
    <row r="1188">
      <c r="A1188">
        <f>IF('WSF DASHBOARD'!$B$4="Area",IF(1187&lt;=$D$3,IF(AND(OR('WSF DASHBOARD'!$C$4="",ISNUMBER(SEARCH('WSF DASHBOARD'!$C$4,INDEX(MASTER_AREAS!$B:$B,1188))))),1187,""),""),IF('WSF DASHBOARD'!$B$4="Zone",IF(1187&lt;=$D$4,IF(OR('WSF DASHBOARD'!$C$4="",ISNUMBER(SEARCH('WSF DASHBOARD'!$C$4,INDEX(MASTER_ZONES!$B:$B,1188)))),1187,""),""),""))</f>
        <v/>
      </c>
      <c r="F1188">
        <f>IF('TRANSPORT DASHBOARD'!$B$4="Area",IF(1187&lt;=$I$3,IF(AND(INDEX(MASTER_AREAS!$F:$F,1188)&lt;&gt;"N",OR('TRANSPORT DASHBOARD'!$C$4="",ISNUMBER(SEARCH('TRANSPORT DASHBOARD'!$C$4,INDEX(MASTER_AREAS!$B:$B,1188))))),1187,""),""),IF('TRANSPORT DASHBOARD'!$B$4="Zone",IF(1187&lt;=$I$4,IF(OR('TRANSPORT DASHBOARD'!$C$4="",ISNUMBER(SEARCH('TRANSPORT DASHBOARD'!$C$4,INDEX(MASTER_ZONES!$B:$B,1188)))),1187,""),""),""))</f>
        <v/>
      </c>
      <c r="K1188">
        <f>IF('MIDWEEK DASHBOARD'!$B$4="Area",IF(1187&lt;=$N$3,IF(AND(OR('MIDWEEK DASHBOARD'!$C$4="",ISNUMBER(SEARCH('MIDWEEK DASHBOARD'!$C$4,INDEX(MASTER_AREAS!$B:$B,1188))))),1187,""),""),IF('MIDWEEK DASHBOARD'!$B$4="Zone",IF(1187&lt;=$N$4,IF(OR('MIDWEEK DASHBOARD'!$C$4="",ISNUMBER(SEARCH('MIDWEEK DASHBOARD'!$C$4,INDEX(MASTER_ZONES!$B:$B,1188)))),1187,""),""),""))</f>
        <v/>
      </c>
      <c r="P1188">
        <f>IF('CHOP DASHBOARD'!$B$4="Area",IF(1187&lt;=$S$3,IF(AND(OR('CHOP DASHBOARD'!$C$4="",ISNUMBER(SEARCH('CHOP DASHBOARD'!$C$4,INDEX(MASTER_AREAS!$B:$B,1188))))),1187,""),""),IF('CHOP DASHBOARD'!$B$4="Zone",IF(1187&lt;=$S$4,IF(OR('CHOP DASHBOARD'!$C$4="",ISNUMBER(SEARCH('CHOP DASHBOARD'!$C$4,INDEX(MASTER_ZONES!$B:$B,1188)))),1187,""),""),""))</f>
        <v/>
      </c>
      <c r="U1188">
        <f>IF('COMMUNITY CHURCH DASHBOARD'!$B$4="Area",IF(1187&lt;=$X$3,IF(AND(OR('COMMUNITY CHURCH DASHBOARD'!$C$4="",ISNUMBER(SEARCH('COMMUNITY CHURCH DASHBOARD'!$C$4,INDEX(MASTER_AREAS!$B:$B,1188))))),1187,""),""),IF('COMMUNITY CHURCH DASHBOARD'!$B$4="Zone",IF(1187&lt;=$X$4,IF(OR('COMMUNITY CHURCH DASHBOARD'!$C$4="",ISNUMBER(SEARCH('COMMUNITY CHURCH DASHBOARD'!$C$4,INDEX(MASTER_ZONES!$B:$B,1188)))),1187,""),""),""))</f>
        <v/>
      </c>
    </row>
    <row r="1189">
      <c r="A1189">
        <f>IF('WSF DASHBOARD'!$B$4="Area",IF(1188&lt;=$D$3,IF(AND(OR('WSF DASHBOARD'!$C$4="",ISNUMBER(SEARCH('WSF DASHBOARD'!$C$4,INDEX(MASTER_AREAS!$B:$B,1189))))),1188,""),""),IF('WSF DASHBOARD'!$B$4="Zone",IF(1188&lt;=$D$4,IF(OR('WSF DASHBOARD'!$C$4="",ISNUMBER(SEARCH('WSF DASHBOARD'!$C$4,INDEX(MASTER_ZONES!$B:$B,1189)))),1188,""),""),""))</f>
        <v/>
      </c>
      <c r="F1189">
        <f>IF('TRANSPORT DASHBOARD'!$B$4="Area",IF(1188&lt;=$I$3,IF(AND(INDEX(MASTER_AREAS!$F:$F,1189)&lt;&gt;"N",OR('TRANSPORT DASHBOARD'!$C$4="",ISNUMBER(SEARCH('TRANSPORT DASHBOARD'!$C$4,INDEX(MASTER_AREAS!$B:$B,1189))))),1188,""),""),IF('TRANSPORT DASHBOARD'!$B$4="Zone",IF(1188&lt;=$I$4,IF(OR('TRANSPORT DASHBOARD'!$C$4="",ISNUMBER(SEARCH('TRANSPORT DASHBOARD'!$C$4,INDEX(MASTER_ZONES!$B:$B,1189)))),1188,""),""),""))</f>
        <v/>
      </c>
      <c r="K1189">
        <f>IF('MIDWEEK DASHBOARD'!$B$4="Area",IF(1188&lt;=$N$3,IF(AND(OR('MIDWEEK DASHBOARD'!$C$4="",ISNUMBER(SEARCH('MIDWEEK DASHBOARD'!$C$4,INDEX(MASTER_AREAS!$B:$B,1189))))),1188,""),""),IF('MIDWEEK DASHBOARD'!$B$4="Zone",IF(1188&lt;=$N$4,IF(OR('MIDWEEK DASHBOARD'!$C$4="",ISNUMBER(SEARCH('MIDWEEK DASHBOARD'!$C$4,INDEX(MASTER_ZONES!$B:$B,1189)))),1188,""),""),""))</f>
        <v/>
      </c>
      <c r="P1189">
        <f>IF('CHOP DASHBOARD'!$B$4="Area",IF(1188&lt;=$S$3,IF(AND(OR('CHOP DASHBOARD'!$C$4="",ISNUMBER(SEARCH('CHOP DASHBOARD'!$C$4,INDEX(MASTER_AREAS!$B:$B,1189))))),1188,""),""),IF('CHOP DASHBOARD'!$B$4="Zone",IF(1188&lt;=$S$4,IF(OR('CHOP DASHBOARD'!$C$4="",ISNUMBER(SEARCH('CHOP DASHBOARD'!$C$4,INDEX(MASTER_ZONES!$B:$B,1189)))),1188,""),""),""))</f>
        <v/>
      </c>
      <c r="U1189">
        <f>IF('COMMUNITY CHURCH DASHBOARD'!$B$4="Area",IF(1188&lt;=$X$3,IF(AND(OR('COMMUNITY CHURCH DASHBOARD'!$C$4="",ISNUMBER(SEARCH('COMMUNITY CHURCH DASHBOARD'!$C$4,INDEX(MASTER_AREAS!$B:$B,1189))))),1188,""),""),IF('COMMUNITY CHURCH DASHBOARD'!$B$4="Zone",IF(1188&lt;=$X$4,IF(OR('COMMUNITY CHURCH DASHBOARD'!$C$4="",ISNUMBER(SEARCH('COMMUNITY CHURCH DASHBOARD'!$C$4,INDEX(MASTER_ZONES!$B:$B,1189)))),1188,""),""),""))</f>
        <v/>
      </c>
    </row>
    <row r="1190">
      <c r="A1190">
        <f>IF('WSF DASHBOARD'!$B$4="Area",IF(1189&lt;=$D$3,IF(AND(OR('WSF DASHBOARD'!$C$4="",ISNUMBER(SEARCH('WSF DASHBOARD'!$C$4,INDEX(MASTER_AREAS!$B:$B,1190))))),1189,""),""),IF('WSF DASHBOARD'!$B$4="Zone",IF(1189&lt;=$D$4,IF(OR('WSF DASHBOARD'!$C$4="",ISNUMBER(SEARCH('WSF DASHBOARD'!$C$4,INDEX(MASTER_ZONES!$B:$B,1190)))),1189,""),""),""))</f>
        <v/>
      </c>
      <c r="F1190">
        <f>IF('TRANSPORT DASHBOARD'!$B$4="Area",IF(1189&lt;=$I$3,IF(AND(INDEX(MASTER_AREAS!$F:$F,1190)&lt;&gt;"N",OR('TRANSPORT DASHBOARD'!$C$4="",ISNUMBER(SEARCH('TRANSPORT DASHBOARD'!$C$4,INDEX(MASTER_AREAS!$B:$B,1190))))),1189,""),""),IF('TRANSPORT DASHBOARD'!$B$4="Zone",IF(1189&lt;=$I$4,IF(OR('TRANSPORT DASHBOARD'!$C$4="",ISNUMBER(SEARCH('TRANSPORT DASHBOARD'!$C$4,INDEX(MASTER_ZONES!$B:$B,1190)))),1189,""),""),""))</f>
        <v/>
      </c>
      <c r="K1190">
        <f>IF('MIDWEEK DASHBOARD'!$B$4="Area",IF(1189&lt;=$N$3,IF(AND(OR('MIDWEEK DASHBOARD'!$C$4="",ISNUMBER(SEARCH('MIDWEEK DASHBOARD'!$C$4,INDEX(MASTER_AREAS!$B:$B,1190))))),1189,""),""),IF('MIDWEEK DASHBOARD'!$B$4="Zone",IF(1189&lt;=$N$4,IF(OR('MIDWEEK DASHBOARD'!$C$4="",ISNUMBER(SEARCH('MIDWEEK DASHBOARD'!$C$4,INDEX(MASTER_ZONES!$B:$B,1190)))),1189,""),""),""))</f>
        <v/>
      </c>
      <c r="P1190">
        <f>IF('CHOP DASHBOARD'!$B$4="Area",IF(1189&lt;=$S$3,IF(AND(OR('CHOP DASHBOARD'!$C$4="",ISNUMBER(SEARCH('CHOP DASHBOARD'!$C$4,INDEX(MASTER_AREAS!$B:$B,1190))))),1189,""),""),IF('CHOP DASHBOARD'!$B$4="Zone",IF(1189&lt;=$S$4,IF(OR('CHOP DASHBOARD'!$C$4="",ISNUMBER(SEARCH('CHOP DASHBOARD'!$C$4,INDEX(MASTER_ZONES!$B:$B,1190)))),1189,""),""),""))</f>
        <v/>
      </c>
      <c r="U1190">
        <f>IF('COMMUNITY CHURCH DASHBOARD'!$B$4="Area",IF(1189&lt;=$X$3,IF(AND(OR('COMMUNITY CHURCH DASHBOARD'!$C$4="",ISNUMBER(SEARCH('COMMUNITY CHURCH DASHBOARD'!$C$4,INDEX(MASTER_AREAS!$B:$B,1190))))),1189,""),""),IF('COMMUNITY CHURCH DASHBOARD'!$B$4="Zone",IF(1189&lt;=$X$4,IF(OR('COMMUNITY CHURCH DASHBOARD'!$C$4="",ISNUMBER(SEARCH('COMMUNITY CHURCH DASHBOARD'!$C$4,INDEX(MASTER_ZONES!$B:$B,1190)))),1189,""),""),""))</f>
        <v/>
      </c>
    </row>
    <row r="1191">
      <c r="A1191">
        <f>IF('WSF DASHBOARD'!$B$4="Area",IF(1190&lt;=$D$3,IF(AND(OR('WSF DASHBOARD'!$C$4="",ISNUMBER(SEARCH('WSF DASHBOARD'!$C$4,INDEX(MASTER_AREAS!$B:$B,1191))))),1190,""),""),IF('WSF DASHBOARD'!$B$4="Zone",IF(1190&lt;=$D$4,IF(OR('WSF DASHBOARD'!$C$4="",ISNUMBER(SEARCH('WSF DASHBOARD'!$C$4,INDEX(MASTER_ZONES!$B:$B,1191)))),1190,""),""),""))</f>
        <v/>
      </c>
      <c r="F1191">
        <f>IF('TRANSPORT DASHBOARD'!$B$4="Area",IF(1190&lt;=$I$3,IF(AND(INDEX(MASTER_AREAS!$F:$F,1191)&lt;&gt;"N",OR('TRANSPORT DASHBOARD'!$C$4="",ISNUMBER(SEARCH('TRANSPORT DASHBOARD'!$C$4,INDEX(MASTER_AREAS!$B:$B,1191))))),1190,""),""),IF('TRANSPORT DASHBOARD'!$B$4="Zone",IF(1190&lt;=$I$4,IF(OR('TRANSPORT DASHBOARD'!$C$4="",ISNUMBER(SEARCH('TRANSPORT DASHBOARD'!$C$4,INDEX(MASTER_ZONES!$B:$B,1191)))),1190,""),""),""))</f>
        <v/>
      </c>
      <c r="K1191">
        <f>IF('MIDWEEK DASHBOARD'!$B$4="Area",IF(1190&lt;=$N$3,IF(AND(OR('MIDWEEK DASHBOARD'!$C$4="",ISNUMBER(SEARCH('MIDWEEK DASHBOARD'!$C$4,INDEX(MASTER_AREAS!$B:$B,1191))))),1190,""),""),IF('MIDWEEK DASHBOARD'!$B$4="Zone",IF(1190&lt;=$N$4,IF(OR('MIDWEEK DASHBOARD'!$C$4="",ISNUMBER(SEARCH('MIDWEEK DASHBOARD'!$C$4,INDEX(MASTER_ZONES!$B:$B,1191)))),1190,""),""),""))</f>
        <v/>
      </c>
      <c r="P1191">
        <f>IF('CHOP DASHBOARD'!$B$4="Area",IF(1190&lt;=$S$3,IF(AND(OR('CHOP DASHBOARD'!$C$4="",ISNUMBER(SEARCH('CHOP DASHBOARD'!$C$4,INDEX(MASTER_AREAS!$B:$B,1191))))),1190,""),""),IF('CHOP DASHBOARD'!$B$4="Zone",IF(1190&lt;=$S$4,IF(OR('CHOP DASHBOARD'!$C$4="",ISNUMBER(SEARCH('CHOP DASHBOARD'!$C$4,INDEX(MASTER_ZONES!$B:$B,1191)))),1190,""),""),""))</f>
        <v/>
      </c>
      <c r="U1191">
        <f>IF('COMMUNITY CHURCH DASHBOARD'!$B$4="Area",IF(1190&lt;=$X$3,IF(AND(OR('COMMUNITY CHURCH DASHBOARD'!$C$4="",ISNUMBER(SEARCH('COMMUNITY CHURCH DASHBOARD'!$C$4,INDEX(MASTER_AREAS!$B:$B,1191))))),1190,""),""),IF('COMMUNITY CHURCH DASHBOARD'!$B$4="Zone",IF(1190&lt;=$X$4,IF(OR('COMMUNITY CHURCH DASHBOARD'!$C$4="",ISNUMBER(SEARCH('COMMUNITY CHURCH DASHBOARD'!$C$4,INDEX(MASTER_ZONES!$B:$B,1191)))),1190,""),""),""))</f>
        <v/>
      </c>
    </row>
    <row r="1192">
      <c r="A1192">
        <f>IF('WSF DASHBOARD'!$B$4="Area",IF(1191&lt;=$D$3,IF(AND(OR('WSF DASHBOARD'!$C$4="",ISNUMBER(SEARCH('WSF DASHBOARD'!$C$4,INDEX(MASTER_AREAS!$B:$B,1192))))),1191,""),""),IF('WSF DASHBOARD'!$B$4="Zone",IF(1191&lt;=$D$4,IF(OR('WSF DASHBOARD'!$C$4="",ISNUMBER(SEARCH('WSF DASHBOARD'!$C$4,INDEX(MASTER_ZONES!$B:$B,1192)))),1191,""),""),""))</f>
        <v/>
      </c>
      <c r="F1192">
        <f>IF('TRANSPORT DASHBOARD'!$B$4="Area",IF(1191&lt;=$I$3,IF(AND(INDEX(MASTER_AREAS!$F:$F,1192)&lt;&gt;"N",OR('TRANSPORT DASHBOARD'!$C$4="",ISNUMBER(SEARCH('TRANSPORT DASHBOARD'!$C$4,INDEX(MASTER_AREAS!$B:$B,1192))))),1191,""),""),IF('TRANSPORT DASHBOARD'!$B$4="Zone",IF(1191&lt;=$I$4,IF(OR('TRANSPORT DASHBOARD'!$C$4="",ISNUMBER(SEARCH('TRANSPORT DASHBOARD'!$C$4,INDEX(MASTER_ZONES!$B:$B,1192)))),1191,""),""),""))</f>
        <v/>
      </c>
      <c r="K1192">
        <f>IF('MIDWEEK DASHBOARD'!$B$4="Area",IF(1191&lt;=$N$3,IF(AND(OR('MIDWEEK DASHBOARD'!$C$4="",ISNUMBER(SEARCH('MIDWEEK DASHBOARD'!$C$4,INDEX(MASTER_AREAS!$B:$B,1192))))),1191,""),""),IF('MIDWEEK DASHBOARD'!$B$4="Zone",IF(1191&lt;=$N$4,IF(OR('MIDWEEK DASHBOARD'!$C$4="",ISNUMBER(SEARCH('MIDWEEK DASHBOARD'!$C$4,INDEX(MASTER_ZONES!$B:$B,1192)))),1191,""),""),""))</f>
        <v/>
      </c>
      <c r="P1192">
        <f>IF('CHOP DASHBOARD'!$B$4="Area",IF(1191&lt;=$S$3,IF(AND(OR('CHOP DASHBOARD'!$C$4="",ISNUMBER(SEARCH('CHOP DASHBOARD'!$C$4,INDEX(MASTER_AREAS!$B:$B,1192))))),1191,""),""),IF('CHOP DASHBOARD'!$B$4="Zone",IF(1191&lt;=$S$4,IF(OR('CHOP DASHBOARD'!$C$4="",ISNUMBER(SEARCH('CHOP DASHBOARD'!$C$4,INDEX(MASTER_ZONES!$B:$B,1192)))),1191,""),""),""))</f>
        <v/>
      </c>
      <c r="U1192">
        <f>IF('COMMUNITY CHURCH DASHBOARD'!$B$4="Area",IF(1191&lt;=$X$3,IF(AND(OR('COMMUNITY CHURCH DASHBOARD'!$C$4="",ISNUMBER(SEARCH('COMMUNITY CHURCH DASHBOARD'!$C$4,INDEX(MASTER_AREAS!$B:$B,1192))))),1191,""),""),IF('COMMUNITY CHURCH DASHBOARD'!$B$4="Zone",IF(1191&lt;=$X$4,IF(OR('COMMUNITY CHURCH DASHBOARD'!$C$4="",ISNUMBER(SEARCH('COMMUNITY CHURCH DASHBOARD'!$C$4,INDEX(MASTER_ZONES!$B:$B,1192)))),1191,""),""),""))</f>
        <v/>
      </c>
    </row>
    <row r="1193">
      <c r="A1193">
        <f>IF('WSF DASHBOARD'!$B$4="Area",IF(1192&lt;=$D$3,IF(AND(OR('WSF DASHBOARD'!$C$4="",ISNUMBER(SEARCH('WSF DASHBOARD'!$C$4,INDEX(MASTER_AREAS!$B:$B,1193))))),1192,""),""),IF('WSF DASHBOARD'!$B$4="Zone",IF(1192&lt;=$D$4,IF(OR('WSF DASHBOARD'!$C$4="",ISNUMBER(SEARCH('WSF DASHBOARD'!$C$4,INDEX(MASTER_ZONES!$B:$B,1193)))),1192,""),""),""))</f>
        <v/>
      </c>
      <c r="F1193">
        <f>IF('TRANSPORT DASHBOARD'!$B$4="Area",IF(1192&lt;=$I$3,IF(AND(INDEX(MASTER_AREAS!$F:$F,1193)&lt;&gt;"N",OR('TRANSPORT DASHBOARD'!$C$4="",ISNUMBER(SEARCH('TRANSPORT DASHBOARD'!$C$4,INDEX(MASTER_AREAS!$B:$B,1193))))),1192,""),""),IF('TRANSPORT DASHBOARD'!$B$4="Zone",IF(1192&lt;=$I$4,IF(OR('TRANSPORT DASHBOARD'!$C$4="",ISNUMBER(SEARCH('TRANSPORT DASHBOARD'!$C$4,INDEX(MASTER_ZONES!$B:$B,1193)))),1192,""),""),""))</f>
        <v/>
      </c>
      <c r="K1193">
        <f>IF('MIDWEEK DASHBOARD'!$B$4="Area",IF(1192&lt;=$N$3,IF(AND(OR('MIDWEEK DASHBOARD'!$C$4="",ISNUMBER(SEARCH('MIDWEEK DASHBOARD'!$C$4,INDEX(MASTER_AREAS!$B:$B,1193))))),1192,""),""),IF('MIDWEEK DASHBOARD'!$B$4="Zone",IF(1192&lt;=$N$4,IF(OR('MIDWEEK DASHBOARD'!$C$4="",ISNUMBER(SEARCH('MIDWEEK DASHBOARD'!$C$4,INDEX(MASTER_ZONES!$B:$B,1193)))),1192,""),""),""))</f>
        <v/>
      </c>
      <c r="P1193">
        <f>IF('CHOP DASHBOARD'!$B$4="Area",IF(1192&lt;=$S$3,IF(AND(OR('CHOP DASHBOARD'!$C$4="",ISNUMBER(SEARCH('CHOP DASHBOARD'!$C$4,INDEX(MASTER_AREAS!$B:$B,1193))))),1192,""),""),IF('CHOP DASHBOARD'!$B$4="Zone",IF(1192&lt;=$S$4,IF(OR('CHOP DASHBOARD'!$C$4="",ISNUMBER(SEARCH('CHOP DASHBOARD'!$C$4,INDEX(MASTER_ZONES!$B:$B,1193)))),1192,""),""),""))</f>
        <v/>
      </c>
      <c r="U1193">
        <f>IF('COMMUNITY CHURCH DASHBOARD'!$B$4="Area",IF(1192&lt;=$X$3,IF(AND(OR('COMMUNITY CHURCH DASHBOARD'!$C$4="",ISNUMBER(SEARCH('COMMUNITY CHURCH DASHBOARD'!$C$4,INDEX(MASTER_AREAS!$B:$B,1193))))),1192,""),""),IF('COMMUNITY CHURCH DASHBOARD'!$B$4="Zone",IF(1192&lt;=$X$4,IF(OR('COMMUNITY CHURCH DASHBOARD'!$C$4="",ISNUMBER(SEARCH('COMMUNITY CHURCH DASHBOARD'!$C$4,INDEX(MASTER_ZONES!$B:$B,1193)))),1192,""),""),""))</f>
        <v/>
      </c>
    </row>
    <row r="1194">
      <c r="A1194">
        <f>IF('WSF DASHBOARD'!$B$4="Area",IF(1193&lt;=$D$3,IF(AND(OR('WSF DASHBOARD'!$C$4="",ISNUMBER(SEARCH('WSF DASHBOARD'!$C$4,INDEX(MASTER_AREAS!$B:$B,1194))))),1193,""),""),IF('WSF DASHBOARD'!$B$4="Zone",IF(1193&lt;=$D$4,IF(OR('WSF DASHBOARD'!$C$4="",ISNUMBER(SEARCH('WSF DASHBOARD'!$C$4,INDEX(MASTER_ZONES!$B:$B,1194)))),1193,""),""),""))</f>
        <v/>
      </c>
      <c r="F1194">
        <f>IF('TRANSPORT DASHBOARD'!$B$4="Area",IF(1193&lt;=$I$3,IF(AND(INDEX(MASTER_AREAS!$F:$F,1194)&lt;&gt;"N",OR('TRANSPORT DASHBOARD'!$C$4="",ISNUMBER(SEARCH('TRANSPORT DASHBOARD'!$C$4,INDEX(MASTER_AREAS!$B:$B,1194))))),1193,""),""),IF('TRANSPORT DASHBOARD'!$B$4="Zone",IF(1193&lt;=$I$4,IF(OR('TRANSPORT DASHBOARD'!$C$4="",ISNUMBER(SEARCH('TRANSPORT DASHBOARD'!$C$4,INDEX(MASTER_ZONES!$B:$B,1194)))),1193,""),""),""))</f>
        <v/>
      </c>
      <c r="K1194">
        <f>IF('MIDWEEK DASHBOARD'!$B$4="Area",IF(1193&lt;=$N$3,IF(AND(OR('MIDWEEK DASHBOARD'!$C$4="",ISNUMBER(SEARCH('MIDWEEK DASHBOARD'!$C$4,INDEX(MASTER_AREAS!$B:$B,1194))))),1193,""),""),IF('MIDWEEK DASHBOARD'!$B$4="Zone",IF(1193&lt;=$N$4,IF(OR('MIDWEEK DASHBOARD'!$C$4="",ISNUMBER(SEARCH('MIDWEEK DASHBOARD'!$C$4,INDEX(MASTER_ZONES!$B:$B,1194)))),1193,""),""),""))</f>
        <v/>
      </c>
      <c r="P1194">
        <f>IF('CHOP DASHBOARD'!$B$4="Area",IF(1193&lt;=$S$3,IF(AND(OR('CHOP DASHBOARD'!$C$4="",ISNUMBER(SEARCH('CHOP DASHBOARD'!$C$4,INDEX(MASTER_AREAS!$B:$B,1194))))),1193,""),""),IF('CHOP DASHBOARD'!$B$4="Zone",IF(1193&lt;=$S$4,IF(OR('CHOP DASHBOARD'!$C$4="",ISNUMBER(SEARCH('CHOP DASHBOARD'!$C$4,INDEX(MASTER_ZONES!$B:$B,1194)))),1193,""),""),""))</f>
        <v/>
      </c>
      <c r="U1194">
        <f>IF('COMMUNITY CHURCH DASHBOARD'!$B$4="Area",IF(1193&lt;=$X$3,IF(AND(OR('COMMUNITY CHURCH DASHBOARD'!$C$4="",ISNUMBER(SEARCH('COMMUNITY CHURCH DASHBOARD'!$C$4,INDEX(MASTER_AREAS!$B:$B,1194))))),1193,""),""),IF('COMMUNITY CHURCH DASHBOARD'!$B$4="Zone",IF(1193&lt;=$X$4,IF(OR('COMMUNITY CHURCH DASHBOARD'!$C$4="",ISNUMBER(SEARCH('COMMUNITY CHURCH DASHBOARD'!$C$4,INDEX(MASTER_ZONES!$B:$B,1194)))),1193,""),""),""))</f>
        <v/>
      </c>
    </row>
    <row r="1195">
      <c r="A1195">
        <f>IF('WSF DASHBOARD'!$B$4="Area",IF(1194&lt;=$D$3,IF(AND(OR('WSF DASHBOARD'!$C$4="",ISNUMBER(SEARCH('WSF DASHBOARD'!$C$4,INDEX(MASTER_AREAS!$B:$B,1195))))),1194,""),""),IF('WSF DASHBOARD'!$B$4="Zone",IF(1194&lt;=$D$4,IF(OR('WSF DASHBOARD'!$C$4="",ISNUMBER(SEARCH('WSF DASHBOARD'!$C$4,INDEX(MASTER_ZONES!$B:$B,1195)))),1194,""),""),""))</f>
        <v/>
      </c>
      <c r="F1195">
        <f>IF('TRANSPORT DASHBOARD'!$B$4="Area",IF(1194&lt;=$I$3,IF(AND(INDEX(MASTER_AREAS!$F:$F,1195)&lt;&gt;"N",OR('TRANSPORT DASHBOARD'!$C$4="",ISNUMBER(SEARCH('TRANSPORT DASHBOARD'!$C$4,INDEX(MASTER_AREAS!$B:$B,1195))))),1194,""),""),IF('TRANSPORT DASHBOARD'!$B$4="Zone",IF(1194&lt;=$I$4,IF(OR('TRANSPORT DASHBOARD'!$C$4="",ISNUMBER(SEARCH('TRANSPORT DASHBOARD'!$C$4,INDEX(MASTER_ZONES!$B:$B,1195)))),1194,""),""),""))</f>
        <v/>
      </c>
      <c r="K1195">
        <f>IF('MIDWEEK DASHBOARD'!$B$4="Area",IF(1194&lt;=$N$3,IF(AND(OR('MIDWEEK DASHBOARD'!$C$4="",ISNUMBER(SEARCH('MIDWEEK DASHBOARD'!$C$4,INDEX(MASTER_AREAS!$B:$B,1195))))),1194,""),""),IF('MIDWEEK DASHBOARD'!$B$4="Zone",IF(1194&lt;=$N$4,IF(OR('MIDWEEK DASHBOARD'!$C$4="",ISNUMBER(SEARCH('MIDWEEK DASHBOARD'!$C$4,INDEX(MASTER_ZONES!$B:$B,1195)))),1194,""),""),""))</f>
        <v/>
      </c>
      <c r="P1195">
        <f>IF('CHOP DASHBOARD'!$B$4="Area",IF(1194&lt;=$S$3,IF(AND(OR('CHOP DASHBOARD'!$C$4="",ISNUMBER(SEARCH('CHOP DASHBOARD'!$C$4,INDEX(MASTER_AREAS!$B:$B,1195))))),1194,""),""),IF('CHOP DASHBOARD'!$B$4="Zone",IF(1194&lt;=$S$4,IF(OR('CHOP DASHBOARD'!$C$4="",ISNUMBER(SEARCH('CHOP DASHBOARD'!$C$4,INDEX(MASTER_ZONES!$B:$B,1195)))),1194,""),""),""))</f>
        <v/>
      </c>
      <c r="U1195">
        <f>IF('COMMUNITY CHURCH DASHBOARD'!$B$4="Area",IF(1194&lt;=$X$3,IF(AND(OR('COMMUNITY CHURCH DASHBOARD'!$C$4="",ISNUMBER(SEARCH('COMMUNITY CHURCH DASHBOARD'!$C$4,INDEX(MASTER_AREAS!$B:$B,1195))))),1194,""),""),IF('COMMUNITY CHURCH DASHBOARD'!$B$4="Zone",IF(1194&lt;=$X$4,IF(OR('COMMUNITY CHURCH DASHBOARD'!$C$4="",ISNUMBER(SEARCH('COMMUNITY CHURCH DASHBOARD'!$C$4,INDEX(MASTER_ZONES!$B:$B,1195)))),1194,""),""),""))</f>
        <v/>
      </c>
    </row>
    <row r="1196">
      <c r="A1196">
        <f>IF('WSF DASHBOARD'!$B$4="Area",IF(1195&lt;=$D$3,IF(AND(OR('WSF DASHBOARD'!$C$4="",ISNUMBER(SEARCH('WSF DASHBOARD'!$C$4,INDEX(MASTER_AREAS!$B:$B,1196))))),1195,""),""),IF('WSF DASHBOARD'!$B$4="Zone",IF(1195&lt;=$D$4,IF(OR('WSF DASHBOARD'!$C$4="",ISNUMBER(SEARCH('WSF DASHBOARD'!$C$4,INDEX(MASTER_ZONES!$B:$B,1196)))),1195,""),""),""))</f>
        <v/>
      </c>
      <c r="F1196">
        <f>IF('TRANSPORT DASHBOARD'!$B$4="Area",IF(1195&lt;=$I$3,IF(AND(INDEX(MASTER_AREAS!$F:$F,1196)&lt;&gt;"N",OR('TRANSPORT DASHBOARD'!$C$4="",ISNUMBER(SEARCH('TRANSPORT DASHBOARD'!$C$4,INDEX(MASTER_AREAS!$B:$B,1196))))),1195,""),""),IF('TRANSPORT DASHBOARD'!$B$4="Zone",IF(1195&lt;=$I$4,IF(OR('TRANSPORT DASHBOARD'!$C$4="",ISNUMBER(SEARCH('TRANSPORT DASHBOARD'!$C$4,INDEX(MASTER_ZONES!$B:$B,1196)))),1195,""),""),""))</f>
        <v/>
      </c>
      <c r="K1196">
        <f>IF('MIDWEEK DASHBOARD'!$B$4="Area",IF(1195&lt;=$N$3,IF(AND(OR('MIDWEEK DASHBOARD'!$C$4="",ISNUMBER(SEARCH('MIDWEEK DASHBOARD'!$C$4,INDEX(MASTER_AREAS!$B:$B,1196))))),1195,""),""),IF('MIDWEEK DASHBOARD'!$B$4="Zone",IF(1195&lt;=$N$4,IF(OR('MIDWEEK DASHBOARD'!$C$4="",ISNUMBER(SEARCH('MIDWEEK DASHBOARD'!$C$4,INDEX(MASTER_ZONES!$B:$B,1196)))),1195,""),""),""))</f>
        <v/>
      </c>
      <c r="P1196">
        <f>IF('CHOP DASHBOARD'!$B$4="Area",IF(1195&lt;=$S$3,IF(AND(OR('CHOP DASHBOARD'!$C$4="",ISNUMBER(SEARCH('CHOP DASHBOARD'!$C$4,INDEX(MASTER_AREAS!$B:$B,1196))))),1195,""),""),IF('CHOP DASHBOARD'!$B$4="Zone",IF(1195&lt;=$S$4,IF(OR('CHOP DASHBOARD'!$C$4="",ISNUMBER(SEARCH('CHOP DASHBOARD'!$C$4,INDEX(MASTER_ZONES!$B:$B,1196)))),1195,""),""),""))</f>
        <v/>
      </c>
      <c r="U1196">
        <f>IF('COMMUNITY CHURCH DASHBOARD'!$B$4="Area",IF(1195&lt;=$X$3,IF(AND(OR('COMMUNITY CHURCH DASHBOARD'!$C$4="",ISNUMBER(SEARCH('COMMUNITY CHURCH DASHBOARD'!$C$4,INDEX(MASTER_AREAS!$B:$B,1196))))),1195,""),""),IF('COMMUNITY CHURCH DASHBOARD'!$B$4="Zone",IF(1195&lt;=$X$4,IF(OR('COMMUNITY CHURCH DASHBOARD'!$C$4="",ISNUMBER(SEARCH('COMMUNITY CHURCH DASHBOARD'!$C$4,INDEX(MASTER_ZONES!$B:$B,1196)))),1195,""),""),""))</f>
        <v/>
      </c>
    </row>
    <row r="1197">
      <c r="A1197">
        <f>IF('WSF DASHBOARD'!$B$4="Area",IF(1196&lt;=$D$3,IF(AND(OR('WSF DASHBOARD'!$C$4="",ISNUMBER(SEARCH('WSF DASHBOARD'!$C$4,INDEX(MASTER_AREAS!$B:$B,1197))))),1196,""),""),IF('WSF DASHBOARD'!$B$4="Zone",IF(1196&lt;=$D$4,IF(OR('WSF DASHBOARD'!$C$4="",ISNUMBER(SEARCH('WSF DASHBOARD'!$C$4,INDEX(MASTER_ZONES!$B:$B,1197)))),1196,""),""),""))</f>
        <v/>
      </c>
      <c r="F1197">
        <f>IF('TRANSPORT DASHBOARD'!$B$4="Area",IF(1196&lt;=$I$3,IF(AND(INDEX(MASTER_AREAS!$F:$F,1197)&lt;&gt;"N",OR('TRANSPORT DASHBOARD'!$C$4="",ISNUMBER(SEARCH('TRANSPORT DASHBOARD'!$C$4,INDEX(MASTER_AREAS!$B:$B,1197))))),1196,""),""),IF('TRANSPORT DASHBOARD'!$B$4="Zone",IF(1196&lt;=$I$4,IF(OR('TRANSPORT DASHBOARD'!$C$4="",ISNUMBER(SEARCH('TRANSPORT DASHBOARD'!$C$4,INDEX(MASTER_ZONES!$B:$B,1197)))),1196,""),""),""))</f>
        <v/>
      </c>
      <c r="K1197">
        <f>IF('MIDWEEK DASHBOARD'!$B$4="Area",IF(1196&lt;=$N$3,IF(AND(OR('MIDWEEK DASHBOARD'!$C$4="",ISNUMBER(SEARCH('MIDWEEK DASHBOARD'!$C$4,INDEX(MASTER_AREAS!$B:$B,1197))))),1196,""),""),IF('MIDWEEK DASHBOARD'!$B$4="Zone",IF(1196&lt;=$N$4,IF(OR('MIDWEEK DASHBOARD'!$C$4="",ISNUMBER(SEARCH('MIDWEEK DASHBOARD'!$C$4,INDEX(MASTER_ZONES!$B:$B,1197)))),1196,""),""),""))</f>
        <v/>
      </c>
      <c r="P1197">
        <f>IF('CHOP DASHBOARD'!$B$4="Area",IF(1196&lt;=$S$3,IF(AND(OR('CHOP DASHBOARD'!$C$4="",ISNUMBER(SEARCH('CHOP DASHBOARD'!$C$4,INDEX(MASTER_AREAS!$B:$B,1197))))),1196,""),""),IF('CHOP DASHBOARD'!$B$4="Zone",IF(1196&lt;=$S$4,IF(OR('CHOP DASHBOARD'!$C$4="",ISNUMBER(SEARCH('CHOP DASHBOARD'!$C$4,INDEX(MASTER_ZONES!$B:$B,1197)))),1196,""),""),""))</f>
        <v/>
      </c>
      <c r="U1197">
        <f>IF('COMMUNITY CHURCH DASHBOARD'!$B$4="Area",IF(1196&lt;=$X$3,IF(AND(OR('COMMUNITY CHURCH DASHBOARD'!$C$4="",ISNUMBER(SEARCH('COMMUNITY CHURCH DASHBOARD'!$C$4,INDEX(MASTER_AREAS!$B:$B,1197))))),1196,""),""),IF('COMMUNITY CHURCH DASHBOARD'!$B$4="Zone",IF(1196&lt;=$X$4,IF(OR('COMMUNITY CHURCH DASHBOARD'!$C$4="",ISNUMBER(SEARCH('COMMUNITY CHURCH DASHBOARD'!$C$4,INDEX(MASTER_ZONES!$B:$B,1197)))),1196,""),""),""))</f>
        <v/>
      </c>
    </row>
    <row r="1198">
      <c r="A1198">
        <f>IF('WSF DASHBOARD'!$B$4="Area",IF(1197&lt;=$D$3,IF(AND(OR('WSF DASHBOARD'!$C$4="",ISNUMBER(SEARCH('WSF DASHBOARD'!$C$4,INDEX(MASTER_AREAS!$B:$B,1198))))),1197,""),""),IF('WSF DASHBOARD'!$B$4="Zone",IF(1197&lt;=$D$4,IF(OR('WSF DASHBOARD'!$C$4="",ISNUMBER(SEARCH('WSF DASHBOARD'!$C$4,INDEX(MASTER_ZONES!$B:$B,1198)))),1197,""),""),""))</f>
        <v/>
      </c>
      <c r="F1198">
        <f>IF('TRANSPORT DASHBOARD'!$B$4="Area",IF(1197&lt;=$I$3,IF(AND(INDEX(MASTER_AREAS!$F:$F,1198)&lt;&gt;"N",OR('TRANSPORT DASHBOARD'!$C$4="",ISNUMBER(SEARCH('TRANSPORT DASHBOARD'!$C$4,INDEX(MASTER_AREAS!$B:$B,1198))))),1197,""),""),IF('TRANSPORT DASHBOARD'!$B$4="Zone",IF(1197&lt;=$I$4,IF(OR('TRANSPORT DASHBOARD'!$C$4="",ISNUMBER(SEARCH('TRANSPORT DASHBOARD'!$C$4,INDEX(MASTER_ZONES!$B:$B,1198)))),1197,""),""),""))</f>
        <v/>
      </c>
      <c r="K1198">
        <f>IF('MIDWEEK DASHBOARD'!$B$4="Area",IF(1197&lt;=$N$3,IF(AND(OR('MIDWEEK DASHBOARD'!$C$4="",ISNUMBER(SEARCH('MIDWEEK DASHBOARD'!$C$4,INDEX(MASTER_AREAS!$B:$B,1198))))),1197,""),""),IF('MIDWEEK DASHBOARD'!$B$4="Zone",IF(1197&lt;=$N$4,IF(OR('MIDWEEK DASHBOARD'!$C$4="",ISNUMBER(SEARCH('MIDWEEK DASHBOARD'!$C$4,INDEX(MASTER_ZONES!$B:$B,1198)))),1197,""),""),""))</f>
        <v/>
      </c>
      <c r="P1198">
        <f>IF('CHOP DASHBOARD'!$B$4="Area",IF(1197&lt;=$S$3,IF(AND(OR('CHOP DASHBOARD'!$C$4="",ISNUMBER(SEARCH('CHOP DASHBOARD'!$C$4,INDEX(MASTER_AREAS!$B:$B,1198))))),1197,""),""),IF('CHOP DASHBOARD'!$B$4="Zone",IF(1197&lt;=$S$4,IF(OR('CHOP DASHBOARD'!$C$4="",ISNUMBER(SEARCH('CHOP DASHBOARD'!$C$4,INDEX(MASTER_ZONES!$B:$B,1198)))),1197,""),""),""))</f>
        <v/>
      </c>
      <c r="U1198">
        <f>IF('COMMUNITY CHURCH DASHBOARD'!$B$4="Area",IF(1197&lt;=$X$3,IF(AND(OR('COMMUNITY CHURCH DASHBOARD'!$C$4="",ISNUMBER(SEARCH('COMMUNITY CHURCH DASHBOARD'!$C$4,INDEX(MASTER_AREAS!$B:$B,1198))))),1197,""),""),IF('COMMUNITY CHURCH DASHBOARD'!$B$4="Zone",IF(1197&lt;=$X$4,IF(OR('COMMUNITY CHURCH DASHBOARD'!$C$4="",ISNUMBER(SEARCH('COMMUNITY CHURCH DASHBOARD'!$C$4,INDEX(MASTER_ZONES!$B:$B,1198)))),1197,""),""),""))</f>
        <v/>
      </c>
    </row>
    <row r="1199">
      <c r="A1199">
        <f>IF('WSF DASHBOARD'!$B$4="Area",IF(1198&lt;=$D$3,IF(AND(OR('WSF DASHBOARD'!$C$4="",ISNUMBER(SEARCH('WSF DASHBOARD'!$C$4,INDEX(MASTER_AREAS!$B:$B,1199))))),1198,""),""),IF('WSF DASHBOARD'!$B$4="Zone",IF(1198&lt;=$D$4,IF(OR('WSF DASHBOARD'!$C$4="",ISNUMBER(SEARCH('WSF DASHBOARD'!$C$4,INDEX(MASTER_ZONES!$B:$B,1199)))),1198,""),""),""))</f>
        <v/>
      </c>
      <c r="F1199">
        <f>IF('TRANSPORT DASHBOARD'!$B$4="Area",IF(1198&lt;=$I$3,IF(AND(INDEX(MASTER_AREAS!$F:$F,1199)&lt;&gt;"N",OR('TRANSPORT DASHBOARD'!$C$4="",ISNUMBER(SEARCH('TRANSPORT DASHBOARD'!$C$4,INDEX(MASTER_AREAS!$B:$B,1199))))),1198,""),""),IF('TRANSPORT DASHBOARD'!$B$4="Zone",IF(1198&lt;=$I$4,IF(OR('TRANSPORT DASHBOARD'!$C$4="",ISNUMBER(SEARCH('TRANSPORT DASHBOARD'!$C$4,INDEX(MASTER_ZONES!$B:$B,1199)))),1198,""),""),""))</f>
        <v/>
      </c>
      <c r="K1199">
        <f>IF('MIDWEEK DASHBOARD'!$B$4="Area",IF(1198&lt;=$N$3,IF(AND(OR('MIDWEEK DASHBOARD'!$C$4="",ISNUMBER(SEARCH('MIDWEEK DASHBOARD'!$C$4,INDEX(MASTER_AREAS!$B:$B,1199))))),1198,""),""),IF('MIDWEEK DASHBOARD'!$B$4="Zone",IF(1198&lt;=$N$4,IF(OR('MIDWEEK DASHBOARD'!$C$4="",ISNUMBER(SEARCH('MIDWEEK DASHBOARD'!$C$4,INDEX(MASTER_ZONES!$B:$B,1199)))),1198,""),""),""))</f>
        <v/>
      </c>
      <c r="P1199">
        <f>IF('CHOP DASHBOARD'!$B$4="Area",IF(1198&lt;=$S$3,IF(AND(OR('CHOP DASHBOARD'!$C$4="",ISNUMBER(SEARCH('CHOP DASHBOARD'!$C$4,INDEX(MASTER_AREAS!$B:$B,1199))))),1198,""),""),IF('CHOP DASHBOARD'!$B$4="Zone",IF(1198&lt;=$S$4,IF(OR('CHOP DASHBOARD'!$C$4="",ISNUMBER(SEARCH('CHOP DASHBOARD'!$C$4,INDEX(MASTER_ZONES!$B:$B,1199)))),1198,""),""),""))</f>
        <v/>
      </c>
      <c r="U1199">
        <f>IF('COMMUNITY CHURCH DASHBOARD'!$B$4="Area",IF(1198&lt;=$X$3,IF(AND(OR('COMMUNITY CHURCH DASHBOARD'!$C$4="",ISNUMBER(SEARCH('COMMUNITY CHURCH DASHBOARD'!$C$4,INDEX(MASTER_AREAS!$B:$B,1199))))),1198,""),""),IF('COMMUNITY CHURCH DASHBOARD'!$B$4="Zone",IF(1198&lt;=$X$4,IF(OR('COMMUNITY CHURCH DASHBOARD'!$C$4="",ISNUMBER(SEARCH('COMMUNITY CHURCH DASHBOARD'!$C$4,INDEX(MASTER_ZONES!$B:$B,1199)))),1198,""),""),""))</f>
        <v/>
      </c>
    </row>
    <row r="1200">
      <c r="A1200">
        <f>IF('WSF DASHBOARD'!$B$4="Area",IF(1199&lt;=$D$3,IF(AND(OR('WSF DASHBOARD'!$C$4="",ISNUMBER(SEARCH('WSF DASHBOARD'!$C$4,INDEX(MASTER_AREAS!$B:$B,1200))))),1199,""),""),IF('WSF DASHBOARD'!$B$4="Zone",IF(1199&lt;=$D$4,IF(OR('WSF DASHBOARD'!$C$4="",ISNUMBER(SEARCH('WSF DASHBOARD'!$C$4,INDEX(MASTER_ZONES!$B:$B,1200)))),1199,""),""),""))</f>
        <v/>
      </c>
      <c r="F1200">
        <f>IF('TRANSPORT DASHBOARD'!$B$4="Area",IF(1199&lt;=$I$3,IF(AND(INDEX(MASTER_AREAS!$F:$F,1200)&lt;&gt;"N",OR('TRANSPORT DASHBOARD'!$C$4="",ISNUMBER(SEARCH('TRANSPORT DASHBOARD'!$C$4,INDEX(MASTER_AREAS!$B:$B,1200))))),1199,""),""),IF('TRANSPORT DASHBOARD'!$B$4="Zone",IF(1199&lt;=$I$4,IF(OR('TRANSPORT DASHBOARD'!$C$4="",ISNUMBER(SEARCH('TRANSPORT DASHBOARD'!$C$4,INDEX(MASTER_ZONES!$B:$B,1200)))),1199,""),""),""))</f>
        <v/>
      </c>
      <c r="K1200">
        <f>IF('MIDWEEK DASHBOARD'!$B$4="Area",IF(1199&lt;=$N$3,IF(AND(OR('MIDWEEK DASHBOARD'!$C$4="",ISNUMBER(SEARCH('MIDWEEK DASHBOARD'!$C$4,INDEX(MASTER_AREAS!$B:$B,1200))))),1199,""),""),IF('MIDWEEK DASHBOARD'!$B$4="Zone",IF(1199&lt;=$N$4,IF(OR('MIDWEEK DASHBOARD'!$C$4="",ISNUMBER(SEARCH('MIDWEEK DASHBOARD'!$C$4,INDEX(MASTER_ZONES!$B:$B,1200)))),1199,""),""),""))</f>
        <v/>
      </c>
      <c r="P1200">
        <f>IF('CHOP DASHBOARD'!$B$4="Area",IF(1199&lt;=$S$3,IF(AND(OR('CHOP DASHBOARD'!$C$4="",ISNUMBER(SEARCH('CHOP DASHBOARD'!$C$4,INDEX(MASTER_AREAS!$B:$B,1200))))),1199,""),""),IF('CHOP DASHBOARD'!$B$4="Zone",IF(1199&lt;=$S$4,IF(OR('CHOP DASHBOARD'!$C$4="",ISNUMBER(SEARCH('CHOP DASHBOARD'!$C$4,INDEX(MASTER_ZONES!$B:$B,1200)))),1199,""),""),""))</f>
        <v/>
      </c>
      <c r="U1200">
        <f>IF('COMMUNITY CHURCH DASHBOARD'!$B$4="Area",IF(1199&lt;=$X$3,IF(AND(OR('COMMUNITY CHURCH DASHBOARD'!$C$4="",ISNUMBER(SEARCH('COMMUNITY CHURCH DASHBOARD'!$C$4,INDEX(MASTER_AREAS!$B:$B,1200))))),1199,""),""),IF('COMMUNITY CHURCH DASHBOARD'!$B$4="Zone",IF(1199&lt;=$X$4,IF(OR('COMMUNITY CHURCH DASHBOARD'!$C$4="",ISNUMBER(SEARCH('COMMUNITY CHURCH DASHBOARD'!$C$4,INDEX(MASTER_ZONES!$B:$B,1200)))),1199,""),""),""))</f>
        <v/>
      </c>
    </row>
    <row r="1201">
      <c r="A1201">
        <f>IF('WSF DASHBOARD'!$B$4="Area",IF(1200&lt;=$D$3,IF(AND(OR('WSF DASHBOARD'!$C$4="",ISNUMBER(SEARCH('WSF DASHBOARD'!$C$4,INDEX(MASTER_AREAS!$B:$B,1201))))),1200,""),""),IF('WSF DASHBOARD'!$B$4="Zone",IF(1200&lt;=$D$4,IF(OR('WSF DASHBOARD'!$C$4="",ISNUMBER(SEARCH('WSF DASHBOARD'!$C$4,INDEX(MASTER_ZONES!$B:$B,1201)))),1200,""),""),""))</f>
        <v/>
      </c>
      <c r="F1201">
        <f>IF('TRANSPORT DASHBOARD'!$B$4="Area",IF(1200&lt;=$I$3,IF(AND(INDEX(MASTER_AREAS!$F:$F,1201)&lt;&gt;"N",OR('TRANSPORT DASHBOARD'!$C$4="",ISNUMBER(SEARCH('TRANSPORT DASHBOARD'!$C$4,INDEX(MASTER_AREAS!$B:$B,1201))))),1200,""),""),IF('TRANSPORT DASHBOARD'!$B$4="Zone",IF(1200&lt;=$I$4,IF(OR('TRANSPORT DASHBOARD'!$C$4="",ISNUMBER(SEARCH('TRANSPORT DASHBOARD'!$C$4,INDEX(MASTER_ZONES!$B:$B,1201)))),1200,""),""),""))</f>
        <v/>
      </c>
      <c r="K1201">
        <f>IF('MIDWEEK DASHBOARD'!$B$4="Area",IF(1200&lt;=$N$3,IF(AND(OR('MIDWEEK DASHBOARD'!$C$4="",ISNUMBER(SEARCH('MIDWEEK DASHBOARD'!$C$4,INDEX(MASTER_AREAS!$B:$B,1201))))),1200,""),""),IF('MIDWEEK DASHBOARD'!$B$4="Zone",IF(1200&lt;=$N$4,IF(OR('MIDWEEK DASHBOARD'!$C$4="",ISNUMBER(SEARCH('MIDWEEK DASHBOARD'!$C$4,INDEX(MASTER_ZONES!$B:$B,1201)))),1200,""),""),""))</f>
        <v/>
      </c>
      <c r="P1201">
        <f>IF('CHOP DASHBOARD'!$B$4="Area",IF(1200&lt;=$S$3,IF(AND(OR('CHOP DASHBOARD'!$C$4="",ISNUMBER(SEARCH('CHOP DASHBOARD'!$C$4,INDEX(MASTER_AREAS!$B:$B,1201))))),1200,""),""),IF('CHOP DASHBOARD'!$B$4="Zone",IF(1200&lt;=$S$4,IF(OR('CHOP DASHBOARD'!$C$4="",ISNUMBER(SEARCH('CHOP DASHBOARD'!$C$4,INDEX(MASTER_ZONES!$B:$B,1201)))),1200,""),""),""))</f>
        <v/>
      </c>
      <c r="U1201">
        <f>IF('COMMUNITY CHURCH DASHBOARD'!$B$4="Area",IF(1200&lt;=$X$3,IF(AND(OR('COMMUNITY CHURCH DASHBOARD'!$C$4="",ISNUMBER(SEARCH('COMMUNITY CHURCH DASHBOARD'!$C$4,INDEX(MASTER_AREAS!$B:$B,1201))))),1200,""),""),IF('COMMUNITY CHURCH DASHBOARD'!$B$4="Zone",IF(1200&lt;=$X$4,IF(OR('COMMUNITY CHURCH DASHBOARD'!$C$4="",ISNUMBER(SEARCH('COMMUNITY CHURCH DASHBOARD'!$C$4,INDEX(MASTER_ZONES!$B:$B,1201)))),1200,""),""),""))</f>
        <v/>
      </c>
    </row>
    <row r="1202">
      <c r="A1202">
        <f>IF('WSF DASHBOARD'!$B$4="Area",IF(1201&lt;=$D$3,IF(AND(OR('WSF DASHBOARD'!$C$4="",ISNUMBER(SEARCH('WSF DASHBOARD'!$C$4,INDEX(MASTER_AREAS!$B:$B,1202))))),1201,""),""),IF('WSF DASHBOARD'!$B$4="Zone",IF(1201&lt;=$D$4,IF(OR('WSF DASHBOARD'!$C$4="",ISNUMBER(SEARCH('WSF DASHBOARD'!$C$4,INDEX(MASTER_ZONES!$B:$B,1202)))),1201,""),""),""))</f>
        <v/>
      </c>
      <c r="F1202">
        <f>IF('TRANSPORT DASHBOARD'!$B$4="Area",IF(1201&lt;=$I$3,IF(AND(INDEX(MASTER_AREAS!$F:$F,1202)&lt;&gt;"N",OR('TRANSPORT DASHBOARD'!$C$4="",ISNUMBER(SEARCH('TRANSPORT DASHBOARD'!$C$4,INDEX(MASTER_AREAS!$B:$B,1202))))),1201,""),""),IF('TRANSPORT DASHBOARD'!$B$4="Zone",IF(1201&lt;=$I$4,IF(OR('TRANSPORT DASHBOARD'!$C$4="",ISNUMBER(SEARCH('TRANSPORT DASHBOARD'!$C$4,INDEX(MASTER_ZONES!$B:$B,1202)))),1201,""),""),""))</f>
        <v/>
      </c>
      <c r="K1202">
        <f>IF('MIDWEEK DASHBOARD'!$B$4="Area",IF(1201&lt;=$N$3,IF(AND(OR('MIDWEEK DASHBOARD'!$C$4="",ISNUMBER(SEARCH('MIDWEEK DASHBOARD'!$C$4,INDEX(MASTER_AREAS!$B:$B,1202))))),1201,""),""),IF('MIDWEEK DASHBOARD'!$B$4="Zone",IF(1201&lt;=$N$4,IF(OR('MIDWEEK DASHBOARD'!$C$4="",ISNUMBER(SEARCH('MIDWEEK DASHBOARD'!$C$4,INDEX(MASTER_ZONES!$B:$B,1202)))),1201,""),""),""))</f>
        <v/>
      </c>
      <c r="P1202">
        <f>IF('CHOP DASHBOARD'!$B$4="Area",IF(1201&lt;=$S$3,IF(AND(OR('CHOP DASHBOARD'!$C$4="",ISNUMBER(SEARCH('CHOP DASHBOARD'!$C$4,INDEX(MASTER_AREAS!$B:$B,1202))))),1201,""),""),IF('CHOP DASHBOARD'!$B$4="Zone",IF(1201&lt;=$S$4,IF(OR('CHOP DASHBOARD'!$C$4="",ISNUMBER(SEARCH('CHOP DASHBOARD'!$C$4,INDEX(MASTER_ZONES!$B:$B,1202)))),1201,""),""),""))</f>
        <v/>
      </c>
      <c r="U1202">
        <f>IF('COMMUNITY CHURCH DASHBOARD'!$B$4="Area",IF(1201&lt;=$X$3,IF(AND(OR('COMMUNITY CHURCH DASHBOARD'!$C$4="",ISNUMBER(SEARCH('COMMUNITY CHURCH DASHBOARD'!$C$4,INDEX(MASTER_AREAS!$B:$B,1202))))),1201,""),""),IF('COMMUNITY CHURCH DASHBOARD'!$B$4="Zone",IF(1201&lt;=$X$4,IF(OR('COMMUNITY CHURCH DASHBOARD'!$C$4="",ISNUMBER(SEARCH('COMMUNITY CHURCH DASHBOARD'!$C$4,INDEX(MASTER_ZONES!$B:$B,1202)))),1201,""),""),""))</f>
        <v/>
      </c>
    </row>
    <row r="1203">
      <c r="A1203">
        <f>IF('WSF DASHBOARD'!$B$4="Area",IF(1202&lt;=$D$3,IF(AND(OR('WSF DASHBOARD'!$C$4="",ISNUMBER(SEARCH('WSF DASHBOARD'!$C$4,INDEX(MASTER_AREAS!$B:$B,1203))))),1202,""),""),IF('WSF DASHBOARD'!$B$4="Zone",IF(1202&lt;=$D$4,IF(OR('WSF DASHBOARD'!$C$4="",ISNUMBER(SEARCH('WSF DASHBOARD'!$C$4,INDEX(MASTER_ZONES!$B:$B,1203)))),1202,""),""),""))</f>
        <v/>
      </c>
      <c r="F1203">
        <f>IF('TRANSPORT DASHBOARD'!$B$4="Area",IF(1202&lt;=$I$3,IF(AND(INDEX(MASTER_AREAS!$F:$F,1203)&lt;&gt;"N",OR('TRANSPORT DASHBOARD'!$C$4="",ISNUMBER(SEARCH('TRANSPORT DASHBOARD'!$C$4,INDEX(MASTER_AREAS!$B:$B,1203))))),1202,""),""),IF('TRANSPORT DASHBOARD'!$B$4="Zone",IF(1202&lt;=$I$4,IF(OR('TRANSPORT DASHBOARD'!$C$4="",ISNUMBER(SEARCH('TRANSPORT DASHBOARD'!$C$4,INDEX(MASTER_ZONES!$B:$B,1203)))),1202,""),""),""))</f>
        <v/>
      </c>
      <c r="K1203">
        <f>IF('MIDWEEK DASHBOARD'!$B$4="Area",IF(1202&lt;=$N$3,IF(AND(OR('MIDWEEK DASHBOARD'!$C$4="",ISNUMBER(SEARCH('MIDWEEK DASHBOARD'!$C$4,INDEX(MASTER_AREAS!$B:$B,1203))))),1202,""),""),IF('MIDWEEK DASHBOARD'!$B$4="Zone",IF(1202&lt;=$N$4,IF(OR('MIDWEEK DASHBOARD'!$C$4="",ISNUMBER(SEARCH('MIDWEEK DASHBOARD'!$C$4,INDEX(MASTER_ZONES!$B:$B,1203)))),1202,""),""),""))</f>
        <v/>
      </c>
      <c r="P1203">
        <f>IF('CHOP DASHBOARD'!$B$4="Area",IF(1202&lt;=$S$3,IF(AND(OR('CHOP DASHBOARD'!$C$4="",ISNUMBER(SEARCH('CHOP DASHBOARD'!$C$4,INDEX(MASTER_AREAS!$B:$B,1203))))),1202,""),""),IF('CHOP DASHBOARD'!$B$4="Zone",IF(1202&lt;=$S$4,IF(OR('CHOP DASHBOARD'!$C$4="",ISNUMBER(SEARCH('CHOP DASHBOARD'!$C$4,INDEX(MASTER_ZONES!$B:$B,1203)))),1202,""),""),""))</f>
        <v/>
      </c>
      <c r="U1203">
        <f>IF('COMMUNITY CHURCH DASHBOARD'!$B$4="Area",IF(1202&lt;=$X$3,IF(AND(OR('COMMUNITY CHURCH DASHBOARD'!$C$4="",ISNUMBER(SEARCH('COMMUNITY CHURCH DASHBOARD'!$C$4,INDEX(MASTER_AREAS!$B:$B,1203))))),1202,""),""),IF('COMMUNITY CHURCH DASHBOARD'!$B$4="Zone",IF(1202&lt;=$X$4,IF(OR('COMMUNITY CHURCH DASHBOARD'!$C$4="",ISNUMBER(SEARCH('COMMUNITY CHURCH DASHBOARD'!$C$4,INDEX(MASTER_ZONES!$B:$B,1203)))),1202,""),""),""))</f>
        <v/>
      </c>
    </row>
    <row r="1204">
      <c r="A1204">
        <f>IF('WSF DASHBOARD'!$B$4="Area",IF(1203&lt;=$D$3,IF(AND(OR('WSF DASHBOARD'!$C$4="",ISNUMBER(SEARCH('WSF DASHBOARD'!$C$4,INDEX(MASTER_AREAS!$B:$B,1204))))),1203,""),""),IF('WSF DASHBOARD'!$B$4="Zone",IF(1203&lt;=$D$4,IF(OR('WSF DASHBOARD'!$C$4="",ISNUMBER(SEARCH('WSF DASHBOARD'!$C$4,INDEX(MASTER_ZONES!$B:$B,1204)))),1203,""),""),""))</f>
        <v/>
      </c>
      <c r="F1204">
        <f>IF('TRANSPORT DASHBOARD'!$B$4="Area",IF(1203&lt;=$I$3,IF(AND(INDEX(MASTER_AREAS!$F:$F,1204)&lt;&gt;"N",OR('TRANSPORT DASHBOARD'!$C$4="",ISNUMBER(SEARCH('TRANSPORT DASHBOARD'!$C$4,INDEX(MASTER_AREAS!$B:$B,1204))))),1203,""),""),IF('TRANSPORT DASHBOARD'!$B$4="Zone",IF(1203&lt;=$I$4,IF(OR('TRANSPORT DASHBOARD'!$C$4="",ISNUMBER(SEARCH('TRANSPORT DASHBOARD'!$C$4,INDEX(MASTER_ZONES!$B:$B,1204)))),1203,""),""),""))</f>
        <v/>
      </c>
      <c r="K1204">
        <f>IF('MIDWEEK DASHBOARD'!$B$4="Area",IF(1203&lt;=$N$3,IF(AND(OR('MIDWEEK DASHBOARD'!$C$4="",ISNUMBER(SEARCH('MIDWEEK DASHBOARD'!$C$4,INDEX(MASTER_AREAS!$B:$B,1204))))),1203,""),""),IF('MIDWEEK DASHBOARD'!$B$4="Zone",IF(1203&lt;=$N$4,IF(OR('MIDWEEK DASHBOARD'!$C$4="",ISNUMBER(SEARCH('MIDWEEK DASHBOARD'!$C$4,INDEX(MASTER_ZONES!$B:$B,1204)))),1203,""),""),""))</f>
        <v/>
      </c>
      <c r="P1204">
        <f>IF('CHOP DASHBOARD'!$B$4="Area",IF(1203&lt;=$S$3,IF(AND(OR('CHOP DASHBOARD'!$C$4="",ISNUMBER(SEARCH('CHOP DASHBOARD'!$C$4,INDEX(MASTER_AREAS!$B:$B,1204))))),1203,""),""),IF('CHOP DASHBOARD'!$B$4="Zone",IF(1203&lt;=$S$4,IF(OR('CHOP DASHBOARD'!$C$4="",ISNUMBER(SEARCH('CHOP DASHBOARD'!$C$4,INDEX(MASTER_ZONES!$B:$B,1204)))),1203,""),""),""))</f>
        <v/>
      </c>
      <c r="U1204">
        <f>IF('COMMUNITY CHURCH DASHBOARD'!$B$4="Area",IF(1203&lt;=$X$3,IF(AND(OR('COMMUNITY CHURCH DASHBOARD'!$C$4="",ISNUMBER(SEARCH('COMMUNITY CHURCH DASHBOARD'!$C$4,INDEX(MASTER_AREAS!$B:$B,1204))))),1203,""),""),IF('COMMUNITY CHURCH DASHBOARD'!$B$4="Zone",IF(1203&lt;=$X$4,IF(OR('COMMUNITY CHURCH DASHBOARD'!$C$4="",ISNUMBER(SEARCH('COMMUNITY CHURCH DASHBOARD'!$C$4,INDEX(MASTER_ZONES!$B:$B,1204)))),1203,""),""),""))</f>
        <v/>
      </c>
    </row>
    <row r="1205">
      <c r="A1205">
        <f>IF('WSF DASHBOARD'!$B$4="Area",IF(1204&lt;=$D$3,IF(AND(OR('WSF DASHBOARD'!$C$4="",ISNUMBER(SEARCH('WSF DASHBOARD'!$C$4,INDEX(MASTER_AREAS!$B:$B,1205))))),1204,""),""),IF('WSF DASHBOARD'!$B$4="Zone",IF(1204&lt;=$D$4,IF(OR('WSF DASHBOARD'!$C$4="",ISNUMBER(SEARCH('WSF DASHBOARD'!$C$4,INDEX(MASTER_ZONES!$B:$B,1205)))),1204,""),""),""))</f>
        <v/>
      </c>
      <c r="F1205">
        <f>IF('TRANSPORT DASHBOARD'!$B$4="Area",IF(1204&lt;=$I$3,IF(AND(INDEX(MASTER_AREAS!$F:$F,1205)&lt;&gt;"N",OR('TRANSPORT DASHBOARD'!$C$4="",ISNUMBER(SEARCH('TRANSPORT DASHBOARD'!$C$4,INDEX(MASTER_AREAS!$B:$B,1205))))),1204,""),""),IF('TRANSPORT DASHBOARD'!$B$4="Zone",IF(1204&lt;=$I$4,IF(OR('TRANSPORT DASHBOARD'!$C$4="",ISNUMBER(SEARCH('TRANSPORT DASHBOARD'!$C$4,INDEX(MASTER_ZONES!$B:$B,1205)))),1204,""),""),""))</f>
        <v/>
      </c>
      <c r="K1205">
        <f>IF('MIDWEEK DASHBOARD'!$B$4="Area",IF(1204&lt;=$N$3,IF(AND(OR('MIDWEEK DASHBOARD'!$C$4="",ISNUMBER(SEARCH('MIDWEEK DASHBOARD'!$C$4,INDEX(MASTER_AREAS!$B:$B,1205))))),1204,""),""),IF('MIDWEEK DASHBOARD'!$B$4="Zone",IF(1204&lt;=$N$4,IF(OR('MIDWEEK DASHBOARD'!$C$4="",ISNUMBER(SEARCH('MIDWEEK DASHBOARD'!$C$4,INDEX(MASTER_ZONES!$B:$B,1205)))),1204,""),""),""))</f>
        <v/>
      </c>
      <c r="P1205">
        <f>IF('CHOP DASHBOARD'!$B$4="Area",IF(1204&lt;=$S$3,IF(AND(OR('CHOP DASHBOARD'!$C$4="",ISNUMBER(SEARCH('CHOP DASHBOARD'!$C$4,INDEX(MASTER_AREAS!$B:$B,1205))))),1204,""),""),IF('CHOP DASHBOARD'!$B$4="Zone",IF(1204&lt;=$S$4,IF(OR('CHOP DASHBOARD'!$C$4="",ISNUMBER(SEARCH('CHOP DASHBOARD'!$C$4,INDEX(MASTER_ZONES!$B:$B,1205)))),1204,""),""),""))</f>
        <v/>
      </c>
      <c r="U1205">
        <f>IF('COMMUNITY CHURCH DASHBOARD'!$B$4="Area",IF(1204&lt;=$X$3,IF(AND(OR('COMMUNITY CHURCH DASHBOARD'!$C$4="",ISNUMBER(SEARCH('COMMUNITY CHURCH DASHBOARD'!$C$4,INDEX(MASTER_AREAS!$B:$B,1205))))),1204,""),""),IF('COMMUNITY CHURCH DASHBOARD'!$B$4="Zone",IF(1204&lt;=$X$4,IF(OR('COMMUNITY CHURCH DASHBOARD'!$C$4="",ISNUMBER(SEARCH('COMMUNITY CHURCH DASHBOARD'!$C$4,INDEX(MASTER_ZONES!$B:$B,1205)))),1204,""),""),""))</f>
        <v/>
      </c>
    </row>
    <row r="1206">
      <c r="A1206">
        <f>IF('WSF DASHBOARD'!$B$4="Area",IF(1205&lt;=$D$3,IF(AND(OR('WSF DASHBOARD'!$C$4="",ISNUMBER(SEARCH('WSF DASHBOARD'!$C$4,INDEX(MASTER_AREAS!$B:$B,1206))))),1205,""),""),IF('WSF DASHBOARD'!$B$4="Zone",IF(1205&lt;=$D$4,IF(OR('WSF DASHBOARD'!$C$4="",ISNUMBER(SEARCH('WSF DASHBOARD'!$C$4,INDEX(MASTER_ZONES!$B:$B,1206)))),1205,""),""),""))</f>
        <v/>
      </c>
      <c r="F1206">
        <f>IF('TRANSPORT DASHBOARD'!$B$4="Area",IF(1205&lt;=$I$3,IF(AND(INDEX(MASTER_AREAS!$F:$F,1206)&lt;&gt;"N",OR('TRANSPORT DASHBOARD'!$C$4="",ISNUMBER(SEARCH('TRANSPORT DASHBOARD'!$C$4,INDEX(MASTER_AREAS!$B:$B,1206))))),1205,""),""),IF('TRANSPORT DASHBOARD'!$B$4="Zone",IF(1205&lt;=$I$4,IF(OR('TRANSPORT DASHBOARD'!$C$4="",ISNUMBER(SEARCH('TRANSPORT DASHBOARD'!$C$4,INDEX(MASTER_ZONES!$B:$B,1206)))),1205,""),""),""))</f>
        <v/>
      </c>
      <c r="K1206">
        <f>IF('MIDWEEK DASHBOARD'!$B$4="Area",IF(1205&lt;=$N$3,IF(AND(OR('MIDWEEK DASHBOARD'!$C$4="",ISNUMBER(SEARCH('MIDWEEK DASHBOARD'!$C$4,INDEX(MASTER_AREAS!$B:$B,1206))))),1205,""),""),IF('MIDWEEK DASHBOARD'!$B$4="Zone",IF(1205&lt;=$N$4,IF(OR('MIDWEEK DASHBOARD'!$C$4="",ISNUMBER(SEARCH('MIDWEEK DASHBOARD'!$C$4,INDEX(MASTER_ZONES!$B:$B,1206)))),1205,""),""),""))</f>
        <v/>
      </c>
      <c r="P1206">
        <f>IF('CHOP DASHBOARD'!$B$4="Area",IF(1205&lt;=$S$3,IF(AND(OR('CHOP DASHBOARD'!$C$4="",ISNUMBER(SEARCH('CHOP DASHBOARD'!$C$4,INDEX(MASTER_AREAS!$B:$B,1206))))),1205,""),""),IF('CHOP DASHBOARD'!$B$4="Zone",IF(1205&lt;=$S$4,IF(OR('CHOP DASHBOARD'!$C$4="",ISNUMBER(SEARCH('CHOP DASHBOARD'!$C$4,INDEX(MASTER_ZONES!$B:$B,1206)))),1205,""),""),""))</f>
        <v/>
      </c>
      <c r="U1206">
        <f>IF('COMMUNITY CHURCH DASHBOARD'!$B$4="Area",IF(1205&lt;=$X$3,IF(AND(OR('COMMUNITY CHURCH DASHBOARD'!$C$4="",ISNUMBER(SEARCH('COMMUNITY CHURCH DASHBOARD'!$C$4,INDEX(MASTER_AREAS!$B:$B,1206))))),1205,""),""),IF('COMMUNITY CHURCH DASHBOARD'!$B$4="Zone",IF(1205&lt;=$X$4,IF(OR('COMMUNITY CHURCH DASHBOARD'!$C$4="",ISNUMBER(SEARCH('COMMUNITY CHURCH DASHBOARD'!$C$4,INDEX(MASTER_ZONES!$B:$B,1206)))),1205,""),""),""))</f>
        <v/>
      </c>
    </row>
    <row r="1207">
      <c r="A1207">
        <f>IF('WSF DASHBOARD'!$B$4="Area",IF(1206&lt;=$D$3,IF(AND(OR('WSF DASHBOARD'!$C$4="",ISNUMBER(SEARCH('WSF DASHBOARD'!$C$4,INDEX(MASTER_AREAS!$B:$B,1207))))),1206,""),""),IF('WSF DASHBOARD'!$B$4="Zone",IF(1206&lt;=$D$4,IF(OR('WSF DASHBOARD'!$C$4="",ISNUMBER(SEARCH('WSF DASHBOARD'!$C$4,INDEX(MASTER_ZONES!$B:$B,1207)))),1206,""),""),""))</f>
        <v/>
      </c>
      <c r="F1207">
        <f>IF('TRANSPORT DASHBOARD'!$B$4="Area",IF(1206&lt;=$I$3,IF(AND(INDEX(MASTER_AREAS!$F:$F,1207)&lt;&gt;"N",OR('TRANSPORT DASHBOARD'!$C$4="",ISNUMBER(SEARCH('TRANSPORT DASHBOARD'!$C$4,INDEX(MASTER_AREAS!$B:$B,1207))))),1206,""),""),IF('TRANSPORT DASHBOARD'!$B$4="Zone",IF(1206&lt;=$I$4,IF(OR('TRANSPORT DASHBOARD'!$C$4="",ISNUMBER(SEARCH('TRANSPORT DASHBOARD'!$C$4,INDEX(MASTER_ZONES!$B:$B,1207)))),1206,""),""),""))</f>
        <v/>
      </c>
      <c r="K1207">
        <f>IF('MIDWEEK DASHBOARD'!$B$4="Area",IF(1206&lt;=$N$3,IF(AND(OR('MIDWEEK DASHBOARD'!$C$4="",ISNUMBER(SEARCH('MIDWEEK DASHBOARD'!$C$4,INDEX(MASTER_AREAS!$B:$B,1207))))),1206,""),""),IF('MIDWEEK DASHBOARD'!$B$4="Zone",IF(1206&lt;=$N$4,IF(OR('MIDWEEK DASHBOARD'!$C$4="",ISNUMBER(SEARCH('MIDWEEK DASHBOARD'!$C$4,INDEX(MASTER_ZONES!$B:$B,1207)))),1206,""),""),""))</f>
        <v/>
      </c>
      <c r="P1207">
        <f>IF('CHOP DASHBOARD'!$B$4="Area",IF(1206&lt;=$S$3,IF(AND(OR('CHOP DASHBOARD'!$C$4="",ISNUMBER(SEARCH('CHOP DASHBOARD'!$C$4,INDEX(MASTER_AREAS!$B:$B,1207))))),1206,""),""),IF('CHOP DASHBOARD'!$B$4="Zone",IF(1206&lt;=$S$4,IF(OR('CHOP DASHBOARD'!$C$4="",ISNUMBER(SEARCH('CHOP DASHBOARD'!$C$4,INDEX(MASTER_ZONES!$B:$B,1207)))),1206,""),""),""))</f>
        <v/>
      </c>
      <c r="U1207">
        <f>IF('COMMUNITY CHURCH DASHBOARD'!$B$4="Area",IF(1206&lt;=$X$3,IF(AND(OR('COMMUNITY CHURCH DASHBOARD'!$C$4="",ISNUMBER(SEARCH('COMMUNITY CHURCH DASHBOARD'!$C$4,INDEX(MASTER_AREAS!$B:$B,1207))))),1206,""),""),IF('COMMUNITY CHURCH DASHBOARD'!$B$4="Zone",IF(1206&lt;=$X$4,IF(OR('COMMUNITY CHURCH DASHBOARD'!$C$4="",ISNUMBER(SEARCH('COMMUNITY CHURCH DASHBOARD'!$C$4,INDEX(MASTER_ZONES!$B:$B,1207)))),1206,""),""),""))</f>
        <v/>
      </c>
    </row>
    <row r="1208">
      <c r="A1208">
        <f>IF('WSF DASHBOARD'!$B$4="Area",IF(1207&lt;=$D$3,IF(AND(OR('WSF DASHBOARD'!$C$4="",ISNUMBER(SEARCH('WSF DASHBOARD'!$C$4,INDEX(MASTER_AREAS!$B:$B,1208))))),1207,""),""),IF('WSF DASHBOARD'!$B$4="Zone",IF(1207&lt;=$D$4,IF(OR('WSF DASHBOARD'!$C$4="",ISNUMBER(SEARCH('WSF DASHBOARD'!$C$4,INDEX(MASTER_ZONES!$B:$B,1208)))),1207,""),""),""))</f>
        <v/>
      </c>
      <c r="F1208">
        <f>IF('TRANSPORT DASHBOARD'!$B$4="Area",IF(1207&lt;=$I$3,IF(AND(INDEX(MASTER_AREAS!$F:$F,1208)&lt;&gt;"N",OR('TRANSPORT DASHBOARD'!$C$4="",ISNUMBER(SEARCH('TRANSPORT DASHBOARD'!$C$4,INDEX(MASTER_AREAS!$B:$B,1208))))),1207,""),""),IF('TRANSPORT DASHBOARD'!$B$4="Zone",IF(1207&lt;=$I$4,IF(OR('TRANSPORT DASHBOARD'!$C$4="",ISNUMBER(SEARCH('TRANSPORT DASHBOARD'!$C$4,INDEX(MASTER_ZONES!$B:$B,1208)))),1207,""),""),""))</f>
        <v/>
      </c>
      <c r="K1208">
        <f>IF('MIDWEEK DASHBOARD'!$B$4="Area",IF(1207&lt;=$N$3,IF(AND(OR('MIDWEEK DASHBOARD'!$C$4="",ISNUMBER(SEARCH('MIDWEEK DASHBOARD'!$C$4,INDEX(MASTER_AREAS!$B:$B,1208))))),1207,""),""),IF('MIDWEEK DASHBOARD'!$B$4="Zone",IF(1207&lt;=$N$4,IF(OR('MIDWEEK DASHBOARD'!$C$4="",ISNUMBER(SEARCH('MIDWEEK DASHBOARD'!$C$4,INDEX(MASTER_ZONES!$B:$B,1208)))),1207,""),""),""))</f>
        <v/>
      </c>
      <c r="P1208">
        <f>IF('CHOP DASHBOARD'!$B$4="Area",IF(1207&lt;=$S$3,IF(AND(OR('CHOP DASHBOARD'!$C$4="",ISNUMBER(SEARCH('CHOP DASHBOARD'!$C$4,INDEX(MASTER_AREAS!$B:$B,1208))))),1207,""),""),IF('CHOP DASHBOARD'!$B$4="Zone",IF(1207&lt;=$S$4,IF(OR('CHOP DASHBOARD'!$C$4="",ISNUMBER(SEARCH('CHOP DASHBOARD'!$C$4,INDEX(MASTER_ZONES!$B:$B,1208)))),1207,""),""),""))</f>
        <v/>
      </c>
      <c r="U1208">
        <f>IF('COMMUNITY CHURCH DASHBOARD'!$B$4="Area",IF(1207&lt;=$X$3,IF(AND(OR('COMMUNITY CHURCH DASHBOARD'!$C$4="",ISNUMBER(SEARCH('COMMUNITY CHURCH DASHBOARD'!$C$4,INDEX(MASTER_AREAS!$B:$B,1208))))),1207,""),""),IF('COMMUNITY CHURCH DASHBOARD'!$B$4="Zone",IF(1207&lt;=$X$4,IF(OR('COMMUNITY CHURCH DASHBOARD'!$C$4="",ISNUMBER(SEARCH('COMMUNITY CHURCH DASHBOARD'!$C$4,INDEX(MASTER_ZONES!$B:$B,1208)))),1207,""),""),""))</f>
        <v/>
      </c>
    </row>
    <row r="1209">
      <c r="A1209">
        <f>IF('WSF DASHBOARD'!$B$4="Area",IF(1208&lt;=$D$3,IF(AND(OR('WSF DASHBOARD'!$C$4="",ISNUMBER(SEARCH('WSF DASHBOARD'!$C$4,INDEX(MASTER_AREAS!$B:$B,1209))))),1208,""),""),IF('WSF DASHBOARD'!$B$4="Zone",IF(1208&lt;=$D$4,IF(OR('WSF DASHBOARD'!$C$4="",ISNUMBER(SEARCH('WSF DASHBOARD'!$C$4,INDEX(MASTER_ZONES!$B:$B,1209)))),1208,""),""),""))</f>
        <v/>
      </c>
      <c r="F1209">
        <f>IF('TRANSPORT DASHBOARD'!$B$4="Area",IF(1208&lt;=$I$3,IF(AND(INDEX(MASTER_AREAS!$F:$F,1209)&lt;&gt;"N",OR('TRANSPORT DASHBOARD'!$C$4="",ISNUMBER(SEARCH('TRANSPORT DASHBOARD'!$C$4,INDEX(MASTER_AREAS!$B:$B,1209))))),1208,""),""),IF('TRANSPORT DASHBOARD'!$B$4="Zone",IF(1208&lt;=$I$4,IF(OR('TRANSPORT DASHBOARD'!$C$4="",ISNUMBER(SEARCH('TRANSPORT DASHBOARD'!$C$4,INDEX(MASTER_ZONES!$B:$B,1209)))),1208,""),""),""))</f>
        <v/>
      </c>
      <c r="K1209">
        <f>IF('MIDWEEK DASHBOARD'!$B$4="Area",IF(1208&lt;=$N$3,IF(AND(OR('MIDWEEK DASHBOARD'!$C$4="",ISNUMBER(SEARCH('MIDWEEK DASHBOARD'!$C$4,INDEX(MASTER_AREAS!$B:$B,1209))))),1208,""),""),IF('MIDWEEK DASHBOARD'!$B$4="Zone",IF(1208&lt;=$N$4,IF(OR('MIDWEEK DASHBOARD'!$C$4="",ISNUMBER(SEARCH('MIDWEEK DASHBOARD'!$C$4,INDEX(MASTER_ZONES!$B:$B,1209)))),1208,""),""),""))</f>
        <v/>
      </c>
      <c r="P1209">
        <f>IF('CHOP DASHBOARD'!$B$4="Area",IF(1208&lt;=$S$3,IF(AND(OR('CHOP DASHBOARD'!$C$4="",ISNUMBER(SEARCH('CHOP DASHBOARD'!$C$4,INDEX(MASTER_AREAS!$B:$B,1209))))),1208,""),""),IF('CHOP DASHBOARD'!$B$4="Zone",IF(1208&lt;=$S$4,IF(OR('CHOP DASHBOARD'!$C$4="",ISNUMBER(SEARCH('CHOP DASHBOARD'!$C$4,INDEX(MASTER_ZONES!$B:$B,1209)))),1208,""),""),""))</f>
        <v/>
      </c>
      <c r="U1209">
        <f>IF('COMMUNITY CHURCH DASHBOARD'!$B$4="Area",IF(1208&lt;=$X$3,IF(AND(OR('COMMUNITY CHURCH DASHBOARD'!$C$4="",ISNUMBER(SEARCH('COMMUNITY CHURCH DASHBOARD'!$C$4,INDEX(MASTER_AREAS!$B:$B,1209))))),1208,""),""),IF('COMMUNITY CHURCH DASHBOARD'!$B$4="Zone",IF(1208&lt;=$X$4,IF(OR('COMMUNITY CHURCH DASHBOARD'!$C$4="",ISNUMBER(SEARCH('COMMUNITY CHURCH DASHBOARD'!$C$4,INDEX(MASTER_ZONES!$B:$B,1209)))),1208,""),""),""))</f>
        <v/>
      </c>
    </row>
    <row r="1210">
      <c r="A1210">
        <f>IF('WSF DASHBOARD'!$B$4="Area",IF(1209&lt;=$D$3,IF(AND(OR('WSF DASHBOARD'!$C$4="",ISNUMBER(SEARCH('WSF DASHBOARD'!$C$4,INDEX(MASTER_AREAS!$B:$B,1210))))),1209,""),""),IF('WSF DASHBOARD'!$B$4="Zone",IF(1209&lt;=$D$4,IF(OR('WSF DASHBOARD'!$C$4="",ISNUMBER(SEARCH('WSF DASHBOARD'!$C$4,INDEX(MASTER_ZONES!$B:$B,1210)))),1209,""),""),""))</f>
        <v/>
      </c>
      <c r="F1210">
        <f>IF('TRANSPORT DASHBOARD'!$B$4="Area",IF(1209&lt;=$I$3,IF(AND(INDEX(MASTER_AREAS!$F:$F,1210)&lt;&gt;"N",OR('TRANSPORT DASHBOARD'!$C$4="",ISNUMBER(SEARCH('TRANSPORT DASHBOARD'!$C$4,INDEX(MASTER_AREAS!$B:$B,1210))))),1209,""),""),IF('TRANSPORT DASHBOARD'!$B$4="Zone",IF(1209&lt;=$I$4,IF(OR('TRANSPORT DASHBOARD'!$C$4="",ISNUMBER(SEARCH('TRANSPORT DASHBOARD'!$C$4,INDEX(MASTER_ZONES!$B:$B,1210)))),1209,""),""),""))</f>
        <v/>
      </c>
      <c r="K1210">
        <f>IF('MIDWEEK DASHBOARD'!$B$4="Area",IF(1209&lt;=$N$3,IF(AND(OR('MIDWEEK DASHBOARD'!$C$4="",ISNUMBER(SEARCH('MIDWEEK DASHBOARD'!$C$4,INDEX(MASTER_AREAS!$B:$B,1210))))),1209,""),""),IF('MIDWEEK DASHBOARD'!$B$4="Zone",IF(1209&lt;=$N$4,IF(OR('MIDWEEK DASHBOARD'!$C$4="",ISNUMBER(SEARCH('MIDWEEK DASHBOARD'!$C$4,INDEX(MASTER_ZONES!$B:$B,1210)))),1209,""),""),""))</f>
        <v/>
      </c>
      <c r="P1210">
        <f>IF('CHOP DASHBOARD'!$B$4="Area",IF(1209&lt;=$S$3,IF(AND(OR('CHOP DASHBOARD'!$C$4="",ISNUMBER(SEARCH('CHOP DASHBOARD'!$C$4,INDEX(MASTER_AREAS!$B:$B,1210))))),1209,""),""),IF('CHOP DASHBOARD'!$B$4="Zone",IF(1209&lt;=$S$4,IF(OR('CHOP DASHBOARD'!$C$4="",ISNUMBER(SEARCH('CHOP DASHBOARD'!$C$4,INDEX(MASTER_ZONES!$B:$B,1210)))),1209,""),""),""))</f>
        <v/>
      </c>
      <c r="U1210">
        <f>IF('COMMUNITY CHURCH DASHBOARD'!$B$4="Area",IF(1209&lt;=$X$3,IF(AND(OR('COMMUNITY CHURCH DASHBOARD'!$C$4="",ISNUMBER(SEARCH('COMMUNITY CHURCH DASHBOARD'!$C$4,INDEX(MASTER_AREAS!$B:$B,1210))))),1209,""),""),IF('COMMUNITY CHURCH DASHBOARD'!$B$4="Zone",IF(1209&lt;=$X$4,IF(OR('COMMUNITY CHURCH DASHBOARD'!$C$4="",ISNUMBER(SEARCH('COMMUNITY CHURCH DASHBOARD'!$C$4,INDEX(MASTER_ZONES!$B:$B,1210)))),1209,""),""),""))</f>
        <v/>
      </c>
    </row>
    <row r="1211">
      <c r="A1211">
        <f>IF('WSF DASHBOARD'!$B$4="Area",IF(1210&lt;=$D$3,IF(AND(OR('WSF DASHBOARD'!$C$4="",ISNUMBER(SEARCH('WSF DASHBOARD'!$C$4,INDEX(MASTER_AREAS!$B:$B,1211))))),1210,""),""),IF('WSF DASHBOARD'!$B$4="Zone",IF(1210&lt;=$D$4,IF(OR('WSF DASHBOARD'!$C$4="",ISNUMBER(SEARCH('WSF DASHBOARD'!$C$4,INDEX(MASTER_ZONES!$B:$B,1211)))),1210,""),""),""))</f>
        <v/>
      </c>
      <c r="F1211">
        <f>IF('TRANSPORT DASHBOARD'!$B$4="Area",IF(1210&lt;=$I$3,IF(AND(INDEX(MASTER_AREAS!$F:$F,1211)&lt;&gt;"N",OR('TRANSPORT DASHBOARD'!$C$4="",ISNUMBER(SEARCH('TRANSPORT DASHBOARD'!$C$4,INDEX(MASTER_AREAS!$B:$B,1211))))),1210,""),""),IF('TRANSPORT DASHBOARD'!$B$4="Zone",IF(1210&lt;=$I$4,IF(OR('TRANSPORT DASHBOARD'!$C$4="",ISNUMBER(SEARCH('TRANSPORT DASHBOARD'!$C$4,INDEX(MASTER_ZONES!$B:$B,1211)))),1210,""),""),""))</f>
        <v/>
      </c>
      <c r="K1211">
        <f>IF('MIDWEEK DASHBOARD'!$B$4="Area",IF(1210&lt;=$N$3,IF(AND(OR('MIDWEEK DASHBOARD'!$C$4="",ISNUMBER(SEARCH('MIDWEEK DASHBOARD'!$C$4,INDEX(MASTER_AREAS!$B:$B,1211))))),1210,""),""),IF('MIDWEEK DASHBOARD'!$B$4="Zone",IF(1210&lt;=$N$4,IF(OR('MIDWEEK DASHBOARD'!$C$4="",ISNUMBER(SEARCH('MIDWEEK DASHBOARD'!$C$4,INDEX(MASTER_ZONES!$B:$B,1211)))),1210,""),""),""))</f>
        <v/>
      </c>
      <c r="P1211">
        <f>IF('CHOP DASHBOARD'!$B$4="Area",IF(1210&lt;=$S$3,IF(AND(OR('CHOP DASHBOARD'!$C$4="",ISNUMBER(SEARCH('CHOP DASHBOARD'!$C$4,INDEX(MASTER_AREAS!$B:$B,1211))))),1210,""),""),IF('CHOP DASHBOARD'!$B$4="Zone",IF(1210&lt;=$S$4,IF(OR('CHOP DASHBOARD'!$C$4="",ISNUMBER(SEARCH('CHOP DASHBOARD'!$C$4,INDEX(MASTER_ZONES!$B:$B,1211)))),1210,""),""),""))</f>
        <v/>
      </c>
      <c r="U1211">
        <f>IF('COMMUNITY CHURCH DASHBOARD'!$B$4="Area",IF(1210&lt;=$X$3,IF(AND(OR('COMMUNITY CHURCH DASHBOARD'!$C$4="",ISNUMBER(SEARCH('COMMUNITY CHURCH DASHBOARD'!$C$4,INDEX(MASTER_AREAS!$B:$B,1211))))),1210,""),""),IF('COMMUNITY CHURCH DASHBOARD'!$B$4="Zone",IF(1210&lt;=$X$4,IF(OR('COMMUNITY CHURCH DASHBOARD'!$C$4="",ISNUMBER(SEARCH('COMMUNITY CHURCH DASHBOARD'!$C$4,INDEX(MASTER_ZONES!$B:$B,1211)))),1210,""),""),""))</f>
        <v/>
      </c>
    </row>
    <row r="1212">
      <c r="A1212">
        <f>IF('WSF DASHBOARD'!$B$4="Area",IF(1211&lt;=$D$3,IF(AND(OR('WSF DASHBOARD'!$C$4="",ISNUMBER(SEARCH('WSF DASHBOARD'!$C$4,INDEX(MASTER_AREAS!$B:$B,1212))))),1211,""),""),IF('WSF DASHBOARD'!$B$4="Zone",IF(1211&lt;=$D$4,IF(OR('WSF DASHBOARD'!$C$4="",ISNUMBER(SEARCH('WSF DASHBOARD'!$C$4,INDEX(MASTER_ZONES!$B:$B,1212)))),1211,""),""),""))</f>
        <v/>
      </c>
      <c r="F1212">
        <f>IF('TRANSPORT DASHBOARD'!$B$4="Area",IF(1211&lt;=$I$3,IF(AND(INDEX(MASTER_AREAS!$F:$F,1212)&lt;&gt;"N",OR('TRANSPORT DASHBOARD'!$C$4="",ISNUMBER(SEARCH('TRANSPORT DASHBOARD'!$C$4,INDEX(MASTER_AREAS!$B:$B,1212))))),1211,""),""),IF('TRANSPORT DASHBOARD'!$B$4="Zone",IF(1211&lt;=$I$4,IF(OR('TRANSPORT DASHBOARD'!$C$4="",ISNUMBER(SEARCH('TRANSPORT DASHBOARD'!$C$4,INDEX(MASTER_ZONES!$B:$B,1212)))),1211,""),""),""))</f>
        <v/>
      </c>
      <c r="K1212">
        <f>IF('MIDWEEK DASHBOARD'!$B$4="Area",IF(1211&lt;=$N$3,IF(AND(OR('MIDWEEK DASHBOARD'!$C$4="",ISNUMBER(SEARCH('MIDWEEK DASHBOARD'!$C$4,INDEX(MASTER_AREAS!$B:$B,1212))))),1211,""),""),IF('MIDWEEK DASHBOARD'!$B$4="Zone",IF(1211&lt;=$N$4,IF(OR('MIDWEEK DASHBOARD'!$C$4="",ISNUMBER(SEARCH('MIDWEEK DASHBOARD'!$C$4,INDEX(MASTER_ZONES!$B:$B,1212)))),1211,""),""),""))</f>
        <v/>
      </c>
      <c r="P1212">
        <f>IF('CHOP DASHBOARD'!$B$4="Area",IF(1211&lt;=$S$3,IF(AND(OR('CHOP DASHBOARD'!$C$4="",ISNUMBER(SEARCH('CHOP DASHBOARD'!$C$4,INDEX(MASTER_AREAS!$B:$B,1212))))),1211,""),""),IF('CHOP DASHBOARD'!$B$4="Zone",IF(1211&lt;=$S$4,IF(OR('CHOP DASHBOARD'!$C$4="",ISNUMBER(SEARCH('CHOP DASHBOARD'!$C$4,INDEX(MASTER_ZONES!$B:$B,1212)))),1211,""),""),""))</f>
        <v/>
      </c>
      <c r="U1212">
        <f>IF('COMMUNITY CHURCH DASHBOARD'!$B$4="Area",IF(1211&lt;=$X$3,IF(AND(OR('COMMUNITY CHURCH DASHBOARD'!$C$4="",ISNUMBER(SEARCH('COMMUNITY CHURCH DASHBOARD'!$C$4,INDEX(MASTER_AREAS!$B:$B,1212))))),1211,""),""),IF('COMMUNITY CHURCH DASHBOARD'!$B$4="Zone",IF(1211&lt;=$X$4,IF(OR('COMMUNITY CHURCH DASHBOARD'!$C$4="",ISNUMBER(SEARCH('COMMUNITY CHURCH DASHBOARD'!$C$4,INDEX(MASTER_ZONES!$B:$B,1212)))),1211,""),""),""))</f>
        <v/>
      </c>
    </row>
    <row r="1213">
      <c r="A1213">
        <f>IF('WSF DASHBOARD'!$B$4="Area",IF(1212&lt;=$D$3,IF(AND(OR('WSF DASHBOARD'!$C$4="",ISNUMBER(SEARCH('WSF DASHBOARD'!$C$4,INDEX(MASTER_AREAS!$B:$B,1213))))),1212,""),""),IF('WSF DASHBOARD'!$B$4="Zone",IF(1212&lt;=$D$4,IF(OR('WSF DASHBOARD'!$C$4="",ISNUMBER(SEARCH('WSF DASHBOARD'!$C$4,INDEX(MASTER_ZONES!$B:$B,1213)))),1212,""),""),""))</f>
        <v/>
      </c>
      <c r="F1213">
        <f>IF('TRANSPORT DASHBOARD'!$B$4="Area",IF(1212&lt;=$I$3,IF(AND(INDEX(MASTER_AREAS!$F:$F,1213)&lt;&gt;"N",OR('TRANSPORT DASHBOARD'!$C$4="",ISNUMBER(SEARCH('TRANSPORT DASHBOARD'!$C$4,INDEX(MASTER_AREAS!$B:$B,1213))))),1212,""),""),IF('TRANSPORT DASHBOARD'!$B$4="Zone",IF(1212&lt;=$I$4,IF(OR('TRANSPORT DASHBOARD'!$C$4="",ISNUMBER(SEARCH('TRANSPORT DASHBOARD'!$C$4,INDEX(MASTER_ZONES!$B:$B,1213)))),1212,""),""),""))</f>
        <v/>
      </c>
      <c r="K1213">
        <f>IF('MIDWEEK DASHBOARD'!$B$4="Area",IF(1212&lt;=$N$3,IF(AND(OR('MIDWEEK DASHBOARD'!$C$4="",ISNUMBER(SEARCH('MIDWEEK DASHBOARD'!$C$4,INDEX(MASTER_AREAS!$B:$B,1213))))),1212,""),""),IF('MIDWEEK DASHBOARD'!$B$4="Zone",IF(1212&lt;=$N$4,IF(OR('MIDWEEK DASHBOARD'!$C$4="",ISNUMBER(SEARCH('MIDWEEK DASHBOARD'!$C$4,INDEX(MASTER_ZONES!$B:$B,1213)))),1212,""),""),""))</f>
        <v/>
      </c>
      <c r="P1213">
        <f>IF('CHOP DASHBOARD'!$B$4="Area",IF(1212&lt;=$S$3,IF(AND(OR('CHOP DASHBOARD'!$C$4="",ISNUMBER(SEARCH('CHOP DASHBOARD'!$C$4,INDEX(MASTER_AREAS!$B:$B,1213))))),1212,""),""),IF('CHOP DASHBOARD'!$B$4="Zone",IF(1212&lt;=$S$4,IF(OR('CHOP DASHBOARD'!$C$4="",ISNUMBER(SEARCH('CHOP DASHBOARD'!$C$4,INDEX(MASTER_ZONES!$B:$B,1213)))),1212,""),""),""))</f>
        <v/>
      </c>
      <c r="U1213">
        <f>IF('COMMUNITY CHURCH DASHBOARD'!$B$4="Area",IF(1212&lt;=$X$3,IF(AND(OR('COMMUNITY CHURCH DASHBOARD'!$C$4="",ISNUMBER(SEARCH('COMMUNITY CHURCH DASHBOARD'!$C$4,INDEX(MASTER_AREAS!$B:$B,1213))))),1212,""),""),IF('COMMUNITY CHURCH DASHBOARD'!$B$4="Zone",IF(1212&lt;=$X$4,IF(OR('COMMUNITY CHURCH DASHBOARD'!$C$4="",ISNUMBER(SEARCH('COMMUNITY CHURCH DASHBOARD'!$C$4,INDEX(MASTER_ZONES!$B:$B,1213)))),1212,""),""),""))</f>
        <v/>
      </c>
    </row>
    <row r="1214">
      <c r="A1214">
        <f>IF('WSF DASHBOARD'!$B$4="Area",IF(1213&lt;=$D$3,IF(AND(OR('WSF DASHBOARD'!$C$4="",ISNUMBER(SEARCH('WSF DASHBOARD'!$C$4,INDEX(MASTER_AREAS!$B:$B,1214))))),1213,""),""),IF('WSF DASHBOARD'!$B$4="Zone",IF(1213&lt;=$D$4,IF(OR('WSF DASHBOARD'!$C$4="",ISNUMBER(SEARCH('WSF DASHBOARD'!$C$4,INDEX(MASTER_ZONES!$B:$B,1214)))),1213,""),""),""))</f>
        <v/>
      </c>
      <c r="F1214">
        <f>IF('TRANSPORT DASHBOARD'!$B$4="Area",IF(1213&lt;=$I$3,IF(AND(INDEX(MASTER_AREAS!$F:$F,1214)&lt;&gt;"N",OR('TRANSPORT DASHBOARD'!$C$4="",ISNUMBER(SEARCH('TRANSPORT DASHBOARD'!$C$4,INDEX(MASTER_AREAS!$B:$B,1214))))),1213,""),""),IF('TRANSPORT DASHBOARD'!$B$4="Zone",IF(1213&lt;=$I$4,IF(OR('TRANSPORT DASHBOARD'!$C$4="",ISNUMBER(SEARCH('TRANSPORT DASHBOARD'!$C$4,INDEX(MASTER_ZONES!$B:$B,1214)))),1213,""),""),""))</f>
        <v/>
      </c>
      <c r="K1214">
        <f>IF('MIDWEEK DASHBOARD'!$B$4="Area",IF(1213&lt;=$N$3,IF(AND(OR('MIDWEEK DASHBOARD'!$C$4="",ISNUMBER(SEARCH('MIDWEEK DASHBOARD'!$C$4,INDEX(MASTER_AREAS!$B:$B,1214))))),1213,""),""),IF('MIDWEEK DASHBOARD'!$B$4="Zone",IF(1213&lt;=$N$4,IF(OR('MIDWEEK DASHBOARD'!$C$4="",ISNUMBER(SEARCH('MIDWEEK DASHBOARD'!$C$4,INDEX(MASTER_ZONES!$B:$B,1214)))),1213,""),""),""))</f>
        <v/>
      </c>
      <c r="P1214">
        <f>IF('CHOP DASHBOARD'!$B$4="Area",IF(1213&lt;=$S$3,IF(AND(OR('CHOP DASHBOARD'!$C$4="",ISNUMBER(SEARCH('CHOP DASHBOARD'!$C$4,INDEX(MASTER_AREAS!$B:$B,1214))))),1213,""),""),IF('CHOP DASHBOARD'!$B$4="Zone",IF(1213&lt;=$S$4,IF(OR('CHOP DASHBOARD'!$C$4="",ISNUMBER(SEARCH('CHOP DASHBOARD'!$C$4,INDEX(MASTER_ZONES!$B:$B,1214)))),1213,""),""),""))</f>
        <v/>
      </c>
      <c r="U1214">
        <f>IF('COMMUNITY CHURCH DASHBOARD'!$B$4="Area",IF(1213&lt;=$X$3,IF(AND(OR('COMMUNITY CHURCH DASHBOARD'!$C$4="",ISNUMBER(SEARCH('COMMUNITY CHURCH DASHBOARD'!$C$4,INDEX(MASTER_AREAS!$B:$B,1214))))),1213,""),""),IF('COMMUNITY CHURCH DASHBOARD'!$B$4="Zone",IF(1213&lt;=$X$4,IF(OR('COMMUNITY CHURCH DASHBOARD'!$C$4="",ISNUMBER(SEARCH('COMMUNITY CHURCH DASHBOARD'!$C$4,INDEX(MASTER_ZONES!$B:$B,1214)))),1213,""),""),""))</f>
        <v/>
      </c>
    </row>
    <row r="1215">
      <c r="A1215">
        <f>IF('WSF DASHBOARD'!$B$4="Area",IF(1214&lt;=$D$3,IF(AND(OR('WSF DASHBOARD'!$C$4="",ISNUMBER(SEARCH('WSF DASHBOARD'!$C$4,INDEX(MASTER_AREAS!$B:$B,1215))))),1214,""),""),IF('WSF DASHBOARD'!$B$4="Zone",IF(1214&lt;=$D$4,IF(OR('WSF DASHBOARD'!$C$4="",ISNUMBER(SEARCH('WSF DASHBOARD'!$C$4,INDEX(MASTER_ZONES!$B:$B,1215)))),1214,""),""),""))</f>
        <v/>
      </c>
      <c r="F1215">
        <f>IF('TRANSPORT DASHBOARD'!$B$4="Area",IF(1214&lt;=$I$3,IF(AND(INDEX(MASTER_AREAS!$F:$F,1215)&lt;&gt;"N",OR('TRANSPORT DASHBOARD'!$C$4="",ISNUMBER(SEARCH('TRANSPORT DASHBOARD'!$C$4,INDEX(MASTER_AREAS!$B:$B,1215))))),1214,""),""),IF('TRANSPORT DASHBOARD'!$B$4="Zone",IF(1214&lt;=$I$4,IF(OR('TRANSPORT DASHBOARD'!$C$4="",ISNUMBER(SEARCH('TRANSPORT DASHBOARD'!$C$4,INDEX(MASTER_ZONES!$B:$B,1215)))),1214,""),""),""))</f>
        <v/>
      </c>
      <c r="K1215">
        <f>IF('MIDWEEK DASHBOARD'!$B$4="Area",IF(1214&lt;=$N$3,IF(AND(OR('MIDWEEK DASHBOARD'!$C$4="",ISNUMBER(SEARCH('MIDWEEK DASHBOARD'!$C$4,INDEX(MASTER_AREAS!$B:$B,1215))))),1214,""),""),IF('MIDWEEK DASHBOARD'!$B$4="Zone",IF(1214&lt;=$N$4,IF(OR('MIDWEEK DASHBOARD'!$C$4="",ISNUMBER(SEARCH('MIDWEEK DASHBOARD'!$C$4,INDEX(MASTER_ZONES!$B:$B,1215)))),1214,""),""),""))</f>
        <v/>
      </c>
      <c r="P1215">
        <f>IF('CHOP DASHBOARD'!$B$4="Area",IF(1214&lt;=$S$3,IF(AND(OR('CHOP DASHBOARD'!$C$4="",ISNUMBER(SEARCH('CHOP DASHBOARD'!$C$4,INDEX(MASTER_AREAS!$B:$B,1215))))),1214,""),""),IF('CHOP DASHBOARD'!$B$4="Zone",IF(1214&lt;=$S$4,IF(OR('CHOP DASHBOARD'!$C$4="",ISNUMBER(SEARCH('CHOP DASHBOARD'!$C$4,INDEX(MASTER_ZONES!$B:$B,1215)))),1214,""),""),""))</f>
        <v/>
      </c>
      <c r="U1215">
        <f>IF('COMMUNITY CHURCH DASHBOARD'!$B$4="Area",IF(1214&lt;=$X$3,IF(AND(OR('COMMUNITY CHURCH DASHBOARD'!$C$4="",ISNUMBER(SEARCH('COMMUNITY CHURCH DASHBOARD'!$C$4,INDEX(MASTER_AREAS!$B:$B,1215))))),1214,""),""),IF('COMMUNITY CHURCH DASHBOARD'!$B$4="Zone",IF(1214&lt;=$X$4,IF(OR('COMMUNITY CHURCH DASHBOARD'!$C$4="",ISNUMBER(SEARCH('COMMUNITY CHURCH DASHBOARD'!$C$4,INDEX(MASTER_ZONES!$B:$B,1215)))),1214,""),""),""))</f>
        <v/>
      </c>
    </row>
    <row r="1216">
      <c r="A1216">
        <f>IF('WSF DASHBOARD'!$B$4="Area",IF(1215&lt;=$D$3,IF(AND(OR('WSF DASHBOARD'!$C$4="",ISNUMBER(SEARCH('WSF DASHBOARD'!$C$4,INDEX(MASTER_AREAS!$B:$B,1216))))),1215,""),""),IF('WSF DASHBOARD'!$B$4="Zone",IF(1215&lt;=$D$4,IF(OR('WSF DASHBOARD'!$C$4="",ISNUMBER(SEARCH('WSF DASHBOARD'!$C$4,INDEX(MASTER_ZONES!$B:$B,1216)))),1215,""),""),""))</f>
        <v/>
      </c>
      <c r="F1216">
        <f>IF('TRANSPORT DASHBOARD'!$B$4="Area",IF(1215&lt;=$I$3,IF(AND(INDEX(MASTER_AREAS!$F:$F,1216)&lt;&gt;"N",OR('TRANSPORT DASHBOARD'!$C$4="",ISNUMBER(SEARCH('TRANSPORT DASHBOARD'!$C$4,INDEX(MASTER_AREAS!$B:$B,1216))))),1215,""),""),IF('TRANSPORT DASHBOARD'!$B$4="Zone",IF(1215&lt;=$I$4,IF(OR('TRANSPORT DASHBOARD'!$C$4="",ISNUMBER(SEARCH('TRANSPORT DASHBOARD'!$C$4,INDEX(MASTER_ZONES!$B:$B,1216)))),1215,""),""),""))</f>
        <v/>
      </c>
      <c r="K1216">
        <f>IF('MIDWEEK DASHBOARD'!$B$4="Area",IF(1215&lt;=$N$3,IF(AND(OR('MIDWEEK DASHBOARD'!$C$4="",ISNUMBER(SEARCH('MIDWEEK DASHBOARD'!$C$4,INDEX(MASTER_AREAS!$B:$B,1216))))),1215,""),""),IF('MIDWEEK DASHBOARD'!$B$4="Zone",IF(1215&lt;=$N$4,IF(OR('MIDWEEK DASHBOARD'!$C$4="",ISNUMBER(SEARCH('MIDWEEK DASHBOARD'!$C$4,INDEX(MASTER_ZONES!$B:$B,1216)))),1215,""),""),""))</f>
        <v/>
      </c>
      <c r="P1216">
        <f>IF('CHOP DASHBOARD'!$B$4="Area",IF(1215&lt;=$S$3,IF(AND(OR('CHOP DASHBOARD'!$C$4="",ISNUMBER(SEARCH('CHOP DASHBOARD'!$C$4,INDEX(MASTER_AREAS!$B:$B,1216))))),1215,""),""),IF('CHOP DASHBOARD'!$B$4="Zone",IF(1215&lt;=$S$4,IF(OR('CHOP DASHBOARD'!$C$4="",ISNUMBER(SEARCH('CHOP DASHBOARD'!$C$4,INDEX(MASTER_ZONES!$B:$B,1216)))),1215,""),""),""))</f>
        <v/>
      </c>
      <c r="U1216">
        <f>IF('COMMUNITY CHURCH DASHBOARD'!$B$4="Area",IF(1215&lt;=$X$3,IF(AND(OR('COMMUNITY CHURCH DASHBOARD'!$C$4="",ISNUMBER(SEARCH('COMMUNITY CHURCH DASHBOARD'!$C$4,INDEX(MASTER_AREAS!$B:$B,1216))))),1215,""),""),IF('COMMUNITY CHURCH DASHBOARD'!$B$4="Zone",IF(1215&lt;=$X$4,IF(OR('COMMUNITY CHURCH DASHBOARD'!$C$4="",ISNUMBER(SEARCH('COMMUNITY CHURCH DASHBOARD'!$C$4,INDEX(MASTER_ZONES!$B:$B,1216)))),1215,""),""),""))</f>
        <v/>
      </c>
    </row>
    <row r="1217">
      <c r="A1217">
        <f>IF('WSF DASHBOARD'!$B$4="Area",IF(1216&lt;=$D$3,IF(AND(OR('WSF DASHBOARD'!$C$4="",ISNUMBER(SEARCH('WSF DASHBOARD'!$C$4,INDEX(MASTER_AREAS!$B:$B,1217))))),1216,""),""),IF('WSF DASHBOARD'!$B$4="Zone",IF(1216&lt;=$D$4,IF(OR('WSF DASHBOARD'!$C$4="",ISNUMBER(SEARCH('WSF DASHBOARD'!$C$4,INDEX(MASTER_ZONES!$B:$B,1217)))),1216,""),""),""))</f>
        <v/>
      </c>
      <c r="F1217">
        <f>IF('TRANSPORT DASHBOARD'!$B$4="Area",IF(1216&lt;=$I$3,IF(AND(INDEX(MASTER_AREAS!$F:$F,1217)&lt;&gt;"N",OR('TRANSPORT DASHBOARD'!$C$4="",ISNUMBER(SEARCH('TRANSPORT DASHBOARD'!$C$4,INDEX(MASTER_AREAS!$B:$B,1217))))),1216,""),""),IF('TRANSPORT DASHBOARD'!$B$4="Zone",IF(1216&lt;=$I$4,IF(OR('TRANSPORT DASHBOARD'!$C$4="",ISNUMBER(SEARCH('TRANSPORT DASHBOARD'!$C$4,INDEX(MASTER_ZONES!$B:$B,1217)))),1216,""),""),""))</f>
        <v/>
      </c>
      <c r="K1217">
        <f>IF('MIDWEEK DASHBOARD'!$B$4="Area",IF(1216&lt;=$N$3,IF(AND(OR('MIDWEEK DASHBOARD'!$C$4="",ISNUMBER(SEARCH('MIDWEEK DASHBOARD'!$C$4,INDEX(MASTER_AREAS!$B:$B,1217))))),1216,""),""),IF('MIDWEEK DASHBOARD'!$B$4="Zone",IF(1216&lt;=$N$4,IF(OR('MIDWEEK DASHBOARD'!$C$4="",ISNUMBER(SEARCH('MIDWEEK DASHBOARD'!$C$4,INDEX(MASTER_ZONES!$B:$B,1217)))),1216,""),""),""))</f>
        <v/>
      </c>
      <c r="P1217">
        <f>IF('CHOP DASHBOARD'!$B$4="Area",IF(1216&lt;=$S$3,IF(AND(OR('CHOP DASHBOARD'!$C$4="",ISNUMBER(SEARCH('CHOP DASHBOARD'!$C$4,INDEX(MASTER_AREAS!$B:$B,1217))))),1216,""),""),IF('CHOP DASHBOARD'!$B$4="Zone",IF(1216&lt;=$S$4,IF(OR('CHOP DASHBOARD'!$C$4="",ISNUMBER(SEARCH('CHOP DASHBOARD'!$C$4,INDEX(MASTER_ZONES!$B:$B,1217)))),1216,""),""),""))</f>
        <v/>
      </c>
      <c r="U1217">
        <f>IF('COMMUNITY CHURCH DASHBOARD'!$B$4="Area",IF(1216&lt;=$X$3,IF(AND(OR('COMMUNITY CHURCH DASHBOARD'!$C$4="",ISNUMBER(SEARCH('COMMUNITY CHURCH DASHBOARD'!$C$4,INDEX(MASTER_AREAS!$B:$B,1217))))),1216,""),""),IF('COMMUNITY CHURCH DASHBOARD'!$B$4="Zone",IF(1216&lt;=$X$4,IF(OR('COMMUNITY CHURCH DASHBOARD'!$C$4="",ISNUMBER(SEARCH('COMMUNITY CHURCH DASHBOARD'!$C$4,INDEX(MASTER_ZONES!$B:$B,1217)))),1216,""),""),""))</f>
        <v/>
      </c>
    </row>
    <row r="1218">
      <c r="A1218">
        <f>IF('WSF DASHBOARD'!$B$4="Area",IF(1217&lt;=$D$3,IF(AND(OR('WSF DASHBOARD'!$C$4="",ISNUMBER(SEARCH('WSF DASHBOARD'!$C$4,INDEX(MASTER_AREAS!$B:$B,1218))))),1217,""),""),IF('WSF DASHBOARD'!$B$4="Zone",IF(1217&lt;=$D$4,IF(OR('WSF DASHBOARD'!$C$4="",ISNUMBER(SEARCH('WSF DASHBOARD'!$C$4,INDEX(MASTER_ZONES!$B:$B,1218)))),1217,""),""),""))</f>
        <v/>
      </c>
      <c r="F1218">
        <f>IF('TRANSPORT DASHBOARD'!$B$4="Area",IF(1217&lt;=$I$3,IF(AND(INDEX(MASTER_AREAS!$F:$F,1218)&lt;&gt;"N",OR('TRANSPORT DASHBOARD'!$C$4="",ISNUMBER(SEARCH('TRANSPORT DASHBOARD'!$C$4,INDEX(MASTER_AREAS!$B:$B,1218))))),1217,""),""),IF('TRANSPORT DASHBOARD'!$B$4="Zone",IF(1217&lt;=$I$4,IF(OR('TRANSPORT DASHBOARD'!$C$4="",ISNUMBER(SEARCH('TRANSPORT DASHBOARD'!$C$4,INDEX(MASTER_ZONES!$B:$B,1218)))),1217,""),""),""))</f>
        <v/>
      </c>
      <c r="K1218">
        <f>IF('MIDWEEK DASHBOARD'!$B$4="Area",IF(1217&lt;=$N$3,IF(AND(OR('MIDWEEK DASHBOARD'!$C$4="",ISNUMBER(SEARCH('MIDWEEK DASHBOARD'!$C$4,INDEX(MASTER_AREAS!$B:$B,1218))))),1217,""),""),IF('MIDWEEK DASHBOARD'!$B$4="Zone",IF(1217&lt;=$N$4,IF(OR('MIDWEEK DASHBOARD'!$C$4="",ISNUMBER(SEARCH('MIDWEEK DASHBOARD'!$C$4,INDEX(MASTER_ZONES!$B:$B,1218)))),1217,""),""),""))</f>
        <v/>
      </c>
      <c r="P1218">
        <f>IF('CHOP DASHBOARD'!$B$4="Area",IF(1217&lt;=$S$3,IF(AND(OR('CHOP DASHBOARD'!$C$4="",ISNUMBER(SEARCH('CHOP DASHBOARD'!$C$4,INDEX(MASTER_AREAS!$B:$B,1218))))),1217,""),""),IF('CHOP DASHBOARD'!$B$4="Zone",IF(1217&lt;=$S$4,IF(OR('CHOP DASHBOARD'!$C$4="",ISNUMBER(SEARCH('CHOP DASHBOARD'!$C$4,INDEX(MASTER_ZONES!$B:$B,1218)))),1217,""),""),""))</f>
        <v/>
      </c>
      <c r="U1218">
        <f>IF('COMMUNITY CHURCH DASHBOARD'!$B$4="Area",IF(1217&lt;=$X$3,IF(AND(OR('COMMUNITY CHURCH DASHBOARD'!$C$4="",ISNUMBER(SEARCH('COMMUNITY CHURCH DASHBOARD'!$C$4,INDEX(MASTER_AREAS!$B:$B,1218))))),1217,""),""),IF('COMMUNITY CHURCH DASHBOARD'!$B$4="Zone",IF(1217&lt;=$X$4,IF(OR('COMMUNITY CHURCH DASHBOARD'!$C$4="",ISNUMBER(SEARCH('COMMUNITY CHURCH DASHBOARD'!$C$4,INDEX(MASTER_ZONES!$B:$B,1218)))),1217,""),""),""))</f>
        <v/>
      </c>
    </row>
    <row r="1219">
      <c r="A1219">
        <f>IF('WSF DASHBOARD'!$B$4="Area",IF(1218&lt;=$D$3,IF(AND(OR('WSF DASHBOARD'!$C$4="",ISNUMBER(SEARCH('WSF DASHBOARD'!$C$4,INDEX(MASTER_AREAS!$B:$B,1219))))),1218,""),""),IF('WSF DASHBOARD'!$B$4="Zone",IF(1218&lt;=$D$4,IF(OR('WSF DASHBOARD'!$C$4="",ISNUMBER(SEARCH('WSF DASHBOARD'!$C$4,INDEX(MASTER_ZONES!$B:$B,1219)))),1218,""),""),""))</f>
        <v/>
      </c>
      <c r="F1219">
        <f>IF('TRANSPORT DASHBOARD'!$B$4="Area",IF(1218&lt;=$I$3,IF(AND(INDEX(MASTER_AREAS!$F:$F,1219)&lt;&gt;"N",OR('TRANSPORT DASHBOARD'!$C$4="",ISNUMBER(SEARCH('TRANSPORT DASHBOARD'!$C$4,INDEX(MASTER_AREAS!$B:$B,1219))))),1218,""),""),IF('TRANSPORT DASHBOARD'!$B$4="Zone",IF(1218&lt;=$I$4,IF(OR('TRANSPORT DASHBOARD'!$C$4="",ISNUMBER(SEARCH('TRANSPORT DASHBOARD'!$C$4,INDEX(MASTER_ZONES!$B:$B,1219)))),1218,""),""),""))</f>
        <v/>
      </c>
      <c r="K1219">
        <f>IF('MIDWEEK DASHBOARD'!$B$4="Area",IF(1218&lt;=$N$3,IF(AND(OR('MIDWEEK DASHBOARD'!$C$4="",ISNUMBER(SEARCH('MIDWEEK DASHBOARD'!$C$4,INDEX(MASTER_AREAS!$B:$B,1219))))),1218,""),""),IF('MIDWEEK DASHBOARD'!$B$4="Zone",IF(1218&lt;=$N$4,IF(OR('MIDWEEK DASHBOARD'!$C$4="",ISNUMBER(SEARCH('MIDWEEK DASHBOARD'!$C$4,INDEX(MASTER_ZONES!$B:$B,1219)))),1218,""),""),""))</f>
        <v/>
      </c>
      <c r="P1219">
        <f>IF('CHOP DASHBOARD'!$B$4="Area",IF(1218&lt;=$S$3,IF(AND(OR('CHOP DASHBOARD'!$C$4="",ISNUMBER(SEARCH('CHOP DASHBOARD'!$C$4,INDEX(MASTER_AREAS!$B:$B,1219))))),1218,""),""),IF('CHOP DASHBOARD'!$B$4="Zone",IF(1218&lt;=$S$4,IF(OR('CHOP DASHBOARD'!$C$4="",ISNUMBER(SEARCH('CHOP DASHBOARD'!$C$4,INDEX(MASTER_ZONES!$B:$B,1219)))),1218,""),""),""))</f>
        <v/>
      </c>
      <c r="U1219">
        <f>IF('COMMUNITY CHURCH DASHBOARD'!$B$4="Area",IF(1218&lt;=$X$3,IF(AND(OR('COMMUNITY CHURCH DASHBOARD'!$C$4="",ISNUMBER(SEARCH('COMMUNITY CHURCH DASHBOARD'!$C$4,INDEX(MASTER_AREAS!$B:$B,1219))))),1218,""),""),IF('COMMUNITY CHURCH DASHBOARD'!$B$4="Zone",IF(1218&lt;=$X$4,IF(OR('COMMUNITY CHURCH DASHBOARD'!$C$4="",ISNUMBER(SEARCH('COMMUNITY CHURCH DASHBOARD'!$C$4,INDEX(MASTER_ZONES!$B:$B,1219)))),1218,""),""),""))</f>
        <v/>
      </c>
    </row>
    <row r="1220">
      <c r="A1220">
        <f>IF('WSF DASHBOARD'!$B$4="Area",IF(1219&lt;=$D$3,IF(AND(OR('WSF DASHBOARD'!$C$4="",ISNUMBER(SEARCH('WSF DASHBOARD'!$C$4,INDEX(MASTER_AREAS!$B:$B,1220))))),1219,""),""),IF('WSF DASHBOARD'!$B$4="Zone",IF(1219&lt;=$D$4,IF(OR('WSF DASHBOARD'!$C$4="",ISNUMBER(SEARCH('WSF DASHBOARD'!$C$4,INDEX(MASTER_ZONES!$B:$B,1220)))),1219,""),""),""))</f>
        <v/>
      </c>
      <c r="F1220">
        <f>IF('TRANSPORT DASHBOARD'!$B$4="Area",IF(1219&lt;=$I$3,IF(AND(INDEX(MASTER_AREAS!$F:$F,1220)&lt;&gt;"N",OR('TRANSPORT DASHBOARD'!$C$4="",ISNUMBER(SEARCH('TRANSPORT DASHBOARD'!$C$4,INDEX(MASTER_AREAS!$B:$B,1220))))),1219,""),""),IF('TRANSPORT DASHBOARD'!$B$4="Zone",IF(1219&lt;=$I$4,IF(OR('TRANSPORT DASHBOARD'!$C$4="",ISNUMBER(SEARCH('TRANSPORT DASHBOARD'!$C$4,INDEX(MASTER_ZONES!$B:$B,1220)))),1219,""),""),""))</f>
        <v/>
      </c>
      <c r="K1220">
        <f>IF('MIDWEEK DASHBOARD'!$B$4="Area",IF(1219&lt;=$N$3,IF(AND(OR('MIDWEEK DASHBOARD'!$C$4="",ISNUMBER(SEARCH('MIDWEEK DASHBOARD'!$C$4,INDEX(MASTER_AREAS!$B:$B,1220))))),1219,""),""),IF('MIDWEEK DASHBOARD'!$B$4="Zone",IF(1219&lt;=$N$4,IF(OR('MIDWEEK DASHBOARD'!$C$4="",ISNUMBER(SEARCH('MIDWEEK DASHBOARD'!$C$4,INDEX(MASTER_ZONES!$B:$B,1220)))),1219,""),""),""))</f>
        <v/>
      </c>
      <c r="P1220">
        <f>IF('CHOP DASHBOARD'!$B$4="Area",IF(1219&lt;=$S$3,IF(AND(OR('CHOP DASHBOARD'!$C$4="",ISNUMBER(SEARCH('CHOP DASHBOARD'!$C$4,INDEX(MASTER_AREAS!$B:$B,1220))))),1219,""),""),IF('CHOP DASHBOARD'!$B$4="Zone",IF(1219&lt;=$S$4,IF(OR('CHOP DASHBOARD'!$C$4="",ISNUMBER(SEARCH('CHOP DASHBOARD'!$C$4,INDEX(MASTER_ZONES!$B:$B,1220)))),1219,""),""),""))</f>
        <v/>
      </c>
      <c r="U1220">
        <f>IF('COMMUNITY CHURCH DASHBOARD'!$B$4="Area",IF(1219&lt;=$X$3,IF(AND(OR('COMMUNITY CHURCH DASHBOARD'!$C$4="",ISNUMBER(SEARCH('COMMUNITY CHURCH DASHBOARD'!$C$4,INDEX(MASTER_AREAS!$B:$B,1220))))),1219,""),""),IF('COMMUNITY CHURCH DASHBOARD'!$B$4="Zone",IF(1219&lt;=$X$4,IF(OR('COMMUNITY CHURCH DASHBOARD'!$C$4="",ISNUMBER(SEARCH('COMMUNITY CHURCH DASHBOARD'!$C$4,INDEX(MASTER_ZONES!$B:$B,1220)))),1219,""),""),""))</f>
        <v/>
      </c>
    </row>
    <row r="1221">
      <c r="A1221">
        <f>IF('WSF DASHBOARD'!$B$4="Area",IF(1220&lt;=$D$3,IF(AND(OR('WSF DASHBOARD'!$C$4="",ISNUMBER(SEARCH('WSF DASHBOARD'!$C$4,INDEX(MASTER_AREAS!$B:$B,1221))))),1220,""),""),IF('WSF DASHBOARD'!$B$4="Zone",IF(1220&lt;=$D$4,IF(OR('WSF DASHBOARD'!$C$4="",ISNUMBER(SEARCH('WSF DASHBOARD'!$C$4,INDEX(MASTER_ZONES!$B:$B,1221)))),1220,""),""),""))</f>
        <v/>
      </c>
      <c r="F1221">
        <f>IF('TRANSPORT DASHBOARD'!$B$4="Area",IF(1220&lt;=$I$3,IF(AND(INDEX(MASTER_AREAS!$F:$F,1221)&lt;&gt;"N",OR('TRANSPORT DASHBOARD'!$C$4="",ISNUMBER(SEARCH('TRANSPORT DASHBOARD'!$C$4,INDEX(MASTER_AREAS!$B:$B,1221))))),1220,""),""),IF('TRANSPORT DASHBOARD'!$B$4="Zone",IF(1220&lt;=$I$4,IF(OR('TRANSPORT DASHBOARD'!$C$4="",ISNUMBER(SEARCH('TRANSPORT DASHBOARD'!$C$4,INDEX(MASTER_ZONES!$B:$B,1221)))),1220,""),""),""))</f>
        <v/>
      </c>
      <c r="K1221">
        <f>IF('MIDWEEK DASHBOARD'!$B$4="Area",IF(1220&lt;=$N$3,IF(AND(OR('MIDWEEK DASHBOARD'!$C$4="",ISNUMBER(SEARCH('MIDWEEK DASHBOARD'!$C$4,INDEX(MASTER_AREAS!$B:$B,1221))))),1220,""),""),IF('MIDWEEK DASHBOARD'!$B$4="Zone",IF(1220&lt;=$N$4,IF(OR('MIDWEEK DASHBOARD'!$C$4="",ISNUMBER(SEARCH('MIDWEEK DASHBOARD'!$C$4,INDEX(MASTER_ZONES!$B:$B,1221)))),1220,""),""),""))</f>
        <v/>
      </c>
      <c r="P1221">
        <f>IF('CHOP DASHBOARD'!$B$4="Area",IF(1220&lt;=$S$3,IF(AND(OR('CHOP DASHBOARD'!$C$4="",ISNUMBER(SEARCH('CHOP DASHBOARD'!$C$4,INDEX(MASTER_AREAS!$B:$B,1221))))),1220,""),""),IF('CHOP DASHBOARD'!$B$4="Zone",IF(1220&lt;=$S$4,IF(OR('CHOP DASHBOARD'!$C$4="",ISNUMBER(SEARCH('CHOP DASHBOARD'!$C$4,INDEX(MASTER_ZONES!$B:$B,1221)))),1220,""),""),""))</f>
        <v/>
      </c>
      <c r="U1221">
        <f>IF('COMMUNITY CHURCH DASHBOARD'!$B$4="Area",IF(1220&lt;=$X$3,IF(AND(OR('COMMUNITY CHURCH DASHBOARD'!$C$4="",ISNUMBER(SEARCH('COMMUNITY CHURCH DASHBOARD'!$C$4,INDEX(MASTER_AREAS!$B:$B,1221))))),1220,""),""),IF('COMMUNITY CHURCH DASHBOARD'!$B$4="Zone",IF(1220&lt;=$X$4,IF(OR('COMMUNITY CHURCH DASHBOARD'!$C$4="",ISNUMBER(SEARCH('COMMUNITY CHURCH DASHBOARD'!$C$4,INDEX(MASTER_ZONES!$B:$B,1221)))),1220,""),""),""))</f>
        <v/>
      </c>
    </row>
    <row r="1222">
      <c r="A1222">
        <f>IF('WSF DASHBOARD'!$B$4="Area",IF(1221&lt;=$D$3,IF(AND(OR('WSF DASHBOARD'!$C$4="",ISNUMBER(SEARCH('WSF DASHBOARD'!$C$4,INDEX(MASTER_AREAS!$B:$B,1222))))),1221,""),""),IF('WSF DASHBOARD'!$B$4="Zone",IF(1221&lt;=$D$4,IF(OR('WSF DASHBOARD'!$C$4="",ISNUMBER(SEARCH('WSF DASHBOARD'!$C$4,INDEX(MASTER_ZONES!$B:$B,1222)))),1221,""),""),""))</f>
        <v/>
      </c>
      <c r="F1222">
        <f>IF('TRANSPORT DASHBOARD'!$B$4="Area",IF(1221&lt;=$I$3,IF(AND(INDEX(MASTER_AREAS!$F:$F,1222)&lt;&gt;"N",OR('TRANSPORT DASHBOARD'!$C$4="",ISNUMBER(SEARCH('TRANSPORT DASHBOARD'!$C$4,INDEX(MASTER_AREAS!$B:$B,1222))))),1221,""),""),IF('TRANSPORT DASHBOARD'!$B$4="Zone",IF(1221&lt;=$I$4,IF(OR('TRANSPORT DASHBOARD'!$C$4="",ISNUMBER(SEARCH('TRANSPORT DASHBOARD'!$C$4,INDEX(MASTER_ZONES!$B:$B,1222)))),1221,""),""),""))</f>
        <v/>
      </c>
      <c r="K1222">
        <f>IF('MIDWEEK DASHBOARD'!$B$4="Area",IF(1221&lt;=$N$3,IF(AND(OR('MIDWEEK DASHBOARD'!$C$4="",ISNUMBER(SEARCH('MIDWEEK DASHBOARD'!$C$4,INDEX(MASTER_AREAS!$B:$B,1222))))),1221,""),""),IF('MIDWEEK DASHBOARD'!$B$4="Zone",IF(1221&lt;=$N$4,IF(OR('MIDWEEK DASHBOARD'!$C$4="",ISNUMBER(SEARCH('MIDWEEK DASHBOARD'!$C$4,INDEX(MASTER_ZONES!$B:$B,1222)))),1221,""),""),""))</f>
        <v/>
      </c>
      <c r="P1222">
        <f>IF('CHOP DASHBOARD'!$B$4="Area",IF(1221&lt;=$S$3,IF(AND(OR('CHOP DASHBOARD'!$C$4="",ISNUMBER(SEARCH('CHOP DASHBOARD'!$C$4,INDEX(MASTER_AREAS!$B:$B,1222))))),1221,""),""),IF('CHOP DASHBOARD'!$B$4="Zone",IF(1221&lt;=$S$4,IF(OR('CHOP DASHBOARD'!$C$4="",ISNUMBER(SEARCH('CHOP DASHBOARD'!$C$4,INDEX(MASTER_ZONES!$B:$B,1222)))),1221,""),""),""))</f>
        <v/>
      </c>
      <c r="U1222">
        <f>IF('COMMUNITY CHURCH DASHBOARD'!$B$4="Area",IF(1221&lt;=$X$3,IF(AND(OR('COMMUNITY CHURCH DASHBOARD'!$C$4="",ISNUMBER(SEARCH('COMMUNITY CHURCH DASHBOARD'!$C$4,INDEX(MASTER_AREAS!$B:$B,1222))))),1221,""),""),IF('COMMUNITY CHURCH DASHBOARD'!$B$4="Zone",IF(1221&lt;=$X$4,IF(OR('COMMUNITY CHURCH DASHBOARD'!$C$4="",ISNUMBER(SEARCH('COMMUNITY CHURCH DASHBOARD'!$C$4,INDEX(MASTER_ZONES!$B:$B,1222)))),1221,""),""),""))</f>
        <v/>
      </c>
    </row>
    <row r="1223">
      <c r="A1223">
        <f>IF('WSF DASHBOARD'!$B$4="Area",IF(1222&lt;=$D$3,IF(AND(OR('WSF DASHBOARD'!$C$4="",ISNUMBER(SEARCH('WSF DASHBOARD'!$C$4,INDEX(MASTER_AREAS!$B:$B,1223))))),1222,""),""),IF('WSF DASHBOARD'!$B$4="Zone",IF(1222&lt;=$D$4,IF(OR('WSF DASHBOARD'!$C$4="",ISNUMBER(SEARCH('WSF DASHBOARD'!$C$4,INDEX(MASTER_ZONES!$B:$B,1223)))),1222,""),""),""))</f>
        <v/>
      </c>
      <c r="F1223">
        <f>IF('TRANSPORT DASHBOARD'!$B$4="Area",IF(1222&lt;=$I$3,IF(AND(INDEX(MASTER_AREAS!$F:$F,1223)&lt;&gt;"N",OR('TRANSPORT DASHBOARD'!$C$4="",ISNUMBER(SEARCH('TRANSPORT DASHBOARD'!$C$4,INDEX(MASTER_AREAS!$B:$B,1223))))),1222,""),""),IF('TRANSPORT DASHBOARD'!$B$4="Zone",IF(1222&lt;=$I$4,IF(OR('TRANSPORT DASHBOARD'!$C$4="",ISNUMBER(SEARCH('TRANSPORT DASHBOARD'!$C$4,INDEX(MASTER_ZONES!$B:$B,1223)))),1222,""),""),""))</f>
        <v/>
      </c>
      <c r="K1223">
        <f>IF('MIDWEEK DASHBOARD'!$B$4="Area",IF(1222&lt;=$N$3,IF(AND(OR('MIDWEEK DASHBOARD'!$C$4="",ISNUMBER(SEARCH('MIDWEEK DASHBOARD'!$C$4,INDEX(MASTER_AREAS!$B:$B,1223))))),1222,""),""),IF('MIDWEEK DASHBOARD'!$B$4="Zone",IF(1222&lt;=$N$4,IF(OR('MIDWEEK DASHBOARD'!$C$4="",ISNUMBER(SEARCH('MIDWEEK DASHBOARD'!$C$4,INDEX(MASTER_ZONES!$B:$B,1223)))),1222,""),""),""))</f>
        <v/>
      </c>
      <c r="P1223">
        <f>IF('CHOP DASHBOARD'!$B$4="Area",IF(1222&lt;=$S$3,IF(AND(OR('CHOP DASHBOARD'!$C$4="",ISNUMBER(SEARCH('CHOP DASHBOARD'!$C$4,INDEX(MASTER_AREAS!$B:$B,1223))))),1222,""),""),IF('CHOP DASHBOARD'!$B$4="Zone",IF(1222&lt;=$S$4,IF(OR('CHOP DASHBOARD'!$C$4="",ISNUMBER(SEARCH('CHOP DASHBOARD'!$C$4,INDEX(MASTER_ZONES!$B:$B,1223)))),1222,""),""),""))</f>
        <v/>
      </c>
      <c r="U1223">
        <f>IF('COMMUNITY CHURCH DASHBOARD'!$B$4="Area",IF(1222&lt;=$X$3,IF(AND(OR('COMMUNITY CHURCH DASHBOARD'!$C$4="",ISNUMBER(SEARCH('COMMUNITY CHURCH DASHBOARD'!$C$4,INDEX(MASTER_AREAS!$B:$B,1223))))),1222,""),""),IF('COMMUNITY CHURCH DASHBOARD'!$B$4="Zone",IF(1222&lt;=$X$4,IF(OR('COMMUNITY CHURCH DASHBOARD'!$C$4="",ISNUMBER(SEARCH('COMMUNITY CHURCH DASHBOARD'!$C$4,INDEX(MASTER_ZONES!$B:$B,1223)))),1222,""),""),""))</f>
        <v/>
      </c>
    </row>
    <row r="1224">
      <c r="A1224">
        <f>IF('WSF DASHBOARD'!$B$4="Area",IF(1223&lt;=$D$3,IF(AND(OR('WSF DASHBOARD'!$C$4="",ISNUMBER(SEARCH('WSF DASHBOARD'!$C$4,INDEX(MASTER_AREAS!$B:$B,1224))))),1223,""),""),IF('WSF DASHBOARD'!$B$4="Zone",IF(1223&lt;=$D$4,IF(OR('WSF DASHBOARD'!$C$4="",ISNUMBER(SEARCH('WSF DASHBOARD'!$C$4,INDEX(MASTER_ZONES!$B:$B,1224)))),1223,""),""),""))</f>
        <v/>
      </c>
      <c r="F1224">
        <f>IF('TRANSPORT DASHBOARD'!$B$4="Area",IF(1223&lt;=$I$3,IF(AND(INDEX(MASTER_AREAS!$F:$F,1224)&lt;&gt;"N",OR('TRANSPORT DASHBOARD'!$C$4="",ISNUMBER(SEARCH('TRANSPORT DASHBOARD'!$C$4,INDEX(MASTER_AREAS!$B:$B,1224))))),1223,""),""),IF('TRANSPORT DASHBOARD'!$B$4="Zone",IF(1223&lt;=$I$4,IF(OR('TRANSPORT DASHBOARD'!$C$4="",ISNUMBER(SEARCH('TRANSPORT DASHBOARD'!$C$4,INDEX(MASTER_ZONES!$B:$B,1224)))),1223,""),""),""))</f>
        <v/>
      </c>
      <c r="K1224">
        <f>IF('MIDWEEK DASHBOARD'!$B$4="Area",IF(1223&lt;=$N$3,IF(AND(OR('MIDWEEK DASHBOARD'!$C$4="",ISNUMBER(SEARCH('MIDWEEK DASHBOARD'!$C$4,INDEX(MASTER_AREAS!$B:$B,1224))))),1223,""),""),IF('MIDWEEK DASHBOARD'!$B$4="Zone",IF(1223&lt;=$N$4,IF(OR('MIDWEEK DASHBOARD'!$C$4="",ISNUMBER(SEARCH('MIDWEEK DASHBOARD'!$C$4,INDEX(MASTER_ZONES!$B:$B,1224)))),1223,""),""),""))</f>
        <v/>
      </c>
      <c r="P1224">
        <f>IF('CHOP DASHBOARD'!$B$4="Area",IF(1223&lt;=$S$3,IF(AND(OR('CHOP DASHBOARD'!$C$4="",ISNUMBER(SEARCH('CHOP DASHBOARD'!$C$4,INDEX(MASTER_AREAS!$B:$B,1224))))),1223,""),""),IF('CHOP DASHBOARD'!$B$4="Zone",IF(1223&lt;=$S$4,IF(OR('CHOP DASHBOARD'!$C$4="",ISNUMBER(SEARCH('CHOP DASHBOARD'!$C$4,INDEX(MASTER_ZONES!$B:$B,1224)))),1223,""),""),""))</f>
        <v/>
      </c>
      <c r="U1224">
        <f>IF('COMMUNITY CHURCH DASHBOARD'!$B$4="Area",IF(1223&lt;=$X$3,IF(AND(OR('COMMUNITY CHURCH DASHBOARD'!$C$4="",ISNUMBER(SEARCH('COMMUNITY CHURCH DASHBOARD'!$C$4,INDEX(MASTER_AREAS!$B:$B,1224))))),1223,""),""),IF('COMMUNITY CHURCH DASHBOARD'!$B$4="Zone",IF(1223&lt;=$X$4,IF(OR('COMMUNITY CHURCH DASHBOARD'!$C$4="",ISNUMBER(SEARCH('COMMUNITY CHURCH DASHBOARD'!$C$4,INDEX(MASTER_ZONES!$B:$B,1224)))),1223,""),""),""))</f>
        <v/>
      </c>
    </row>
    <row r="1225">
      <c r="A1225">
        <f>IF('WSF DASHBOARD'!$B$4="Area",IF(1224&lt;=$D$3,IF(AND(OR('WSF DASHBOARD'!$C$4="",ISNUMBER(SEARCH('WSF DASHBOARD'!$C$4,INDEX(MASTER_AREAS!$B:$B,1225))))),1224,""),""),IF('WSF DASHBOARD'!$B$4="Zone",IF(1224&lt;=$D$4,IF(OR('WSF DASHBOARD'!$C$4="",ISNUMBER(SEARCH('WSF DASHBOARD'!$C$4,INDEX(MASTER_ZONES!$B:$B,1225)))),1224,""),""),""))</f>
        <v/>
      </c>
      <c r="F1225">
        <f>IF('TRANSPORT DASHBOARD'!$B$4="Area",IF(1224&lt;=$I$3,IF(AND(INDEX(MASTER_AREAS!$F:$F,1225)&lt;&gt;"N",OR('TRANSPORT DASHBOARD'!$C$4="",ISNUMBER(SEARCH('TRANSPORT DASHBOARD'!$C$4,INDEX(MASTER_AREAS!$B:$B,1225))))),1224,""),""),IF('TRANSPORT DASHBOARD'!$B$4="Zone",IF(1224&lt;=$I$4,IF(OR('TRANSPORT DASHBOARD'!$C$4="",ISNUMBER(SEARCH('TRANSPORT DASHBOARD'!$C$4,INDEX(MASTER_ZONES!$B:$B,1225)))),1224,""),""),""))</f>
        <v/>
      </c>
      <c r="K1225">
        <f>IF('MIDWEEK DASHBOARD'!$B$4="Area",IF(1224&lt;=$N$3,IF(AND(OR('MIDWEEK DASHBOARD'!$C$4="",ISNUMBER(SEARCH('MIDWEEK DASHBOARD'!$C$4,INDEX(MASTER_AREAS!$B:$B,1225))))),1224,""),""),IF('MIDWEEK DASHBOARD'!$B$4="Zone",IF(1224&lt;=$N$4,IF(OR('MIDWEEK DASHBOARD'!$C$4="",ISNUMBER(SEARCH('MIDWEEK DASHBOARD'!$C$4,INDEX(MASTER_ZONES!$B:$B,1225)))),1224,""),""),""))</f>
        <v/>
      </c>
      <c r="P1225">
        <f>IF('CHOP DASHBOARD'!$B$4="Area",IF(1224&lt;=$S$3,IF(AND(OR('CHOP DASHBOARD'!$C$4="",ISNUMBER(SEARCH('CHOP DASHBOARD'!$C$4,INDEX(MASTER_AREAS!$B:$B,1225))))),1224,""),""),IF('CHOP DASHBOARD'!$B$4="Zone",IF(1224&lt;=$S$4,IF(OR('CHOP DASHBOARD'!$C$4="",ISNUMBER(SEARCH('CHOP DASHBOARD'!$C$4,INDEX(MASTER_ZONES!$B:$B,1225)))),1224,""),""),""))</f>
        <v/>
      </c>
      <c r="U1225">
        <f>IF('COMMUNITY CHURCH DASHBOARD'!$B$4="Area",IF(1224&lt;=$X$3,IF(AND(OR('COMMUNITY CHURCH DASHBOARD'!$C$4="",ISNUMBER(SEARCH('COMMUNITY CHURCH DASHBOARD'!$C$4,INDEX(MASTER_AREAS!$B:$B,1225))))),1224,""),""),IF('COMMUNITY CHURCH DASHBOARD'!$B$4="Zone",IF(1224&lt;=$X$4,IF(OR('COMMUNITY CHURCH DASHBOARD'!$C$4="",ISNUMBER(SEARCH('COMMUNITY CHURCH DASHBOARD'!$C$4,INDEX(MASTER_ZONES!$B:$B,1225)))),1224,""),""),""))</f>
        <v/>
      </c>
    </row>
    <row r="1226">
      <c r="A1226">
        <f>IF('WSF DASHBOARD'!$B$4="Area",IF(1225&lt;=$D$3,IF(AND(OR('WSF DASHBOARD'!$C$4="",ISNUMBER(SEARCH('WSF DASHBOARD'!$C$4,INDEX(MASTER_AREAS!$B:$B,1226))))),1225,""),""),IF('WSF DASHBOARD'!$B$4="Zone",IF(1225&lt;=$D$4,IF(OR('WSF DASHBOARD'!$C$4="",ISNUMBER(SEARCH('WSF DASHBOARD'!$C$4,INDEX(MASTER_ZONES!$B:$B,1226)))),1225,""),""),""))</f>
        <v/>
      </c>
      <c r="F1226">
        <f>IF('TRANSPORT DASHBOARD'!$B$4="Area",IF(1225&lt;=$I$3,IF(AND(INDEX(MASTER_AREAS!$F:$F,1226)&lt;&gt;"N",OR('TRANSPORT DASHBOARD'!$C$4="",ISNUMBER(SEARCH('TRANSPORT DASHBOARD'!$C$4,INDEX(MASTER_AREAS!$B:$B,1226))))),1225,""),""),IF('TRANSPORT DASHBOARD'!$B$4="Zone",IF(1225&lt;=$I$4,IF(OR('TRANSPORT DASHBOARD'!$C$4="",ISNUMBER(SEARCH('TRANSPORT DASHBOARD'!$C$4,INDEX(MASTER_ZONES!$B:$B,1226)))),1225,""),""),""))</f>
        <v/>
      </c>
      <c r="K1226">
        <f>IF('MIDWEEK DASHBOARD'!$B$4="Area",IF(1225&lt;=$N$3,IF(AND(OR('MIDWEEK DASHBOARD'!$C$4="",ISNUMBER(SEARCH('MIDWEEK DASHBOARD'!$C$4,INDEX(MASTER_AREAS!$B:$B,1226))))),1225,""),""),IF('MIDWEEK DASHBOARD'!$B$4="Zone",IF(1225&lt;=$N$4,IF(OR('MIDWEEK DASHBOARD'!$C$4="",ISNUMBER(SEARCH('MIDWEEK DASHBOARD'!$C$4,INDEX(MASTER_ZONES!$B:$B,1226)))),1225,""),""),""))</f>
        <v/>
      </c>
      <c r="P1226">
        <f>IF('CHOP DASHBOARD'!$B$4="Area",IF(1225&lt;=$S$3,IF(AND(OR('CHOP DASHBOARD'!$C$4="",ISNUMBER(SEARCH('CHOP DASHBOARD'!$C$4,INDEX(MASTER_AREAS!$B:$B,1226))))),1225,""),""),IF('CHOP DASHBOARD'!$B$4="Zone",IF(1225&lt;=$S$4,IF(OR('CHOP DASHBOARD'!$C$4="",ISNUMBER(SEARCH('CHOP DASHBOARD'!$C$4,INDEX(MASTER_ZONES!$B:$B,1226)))),1225,""),""),""))</f>
        <v/>
      </c>
      <c r="U1226">
        <f>IF('COMMUNITY CHURCH DASHBOARD'!$B$4="Area",IF(1225&lt;=$X$3,IF(AND(OR('COMMUNITY CHURCH DASHBOARD'!$C$4="",ISNUMBER(SEARCH('COMMUNITY CHURCH DASHBOARD'!$C$4,INDEX(MASTER_AREAS!$B:$B,1226))))),1225,""),""),IF('COMMUNITY CHURCH DASHBOARD'!$B$4="Zone",IF(1225&lt;=$X$4,IF(OR('COMMUNITY CHURCH DASHBOARD'!$C$4="",ISNUMBER(SEARCH('COMMUNITY CHURCH DASHBOARD'!$C$4,INDEX(MASTER_ZONES!$B:$B,1226)))),1225,""),""),""))</f>
        <v/>
      </c>
    </row>
    <row r="1227">
      <c r="A1227">
        <f>IF('WSF DASHBOARD'!$B$4="Area",IF(1226&lt;=$D$3,IF(AND(OR('WSF DASHBOARD'!$C$4="",ISNUMBER(SEARCH('WSF DASHBOARD'!$C$4,INDEX(MASTER_AREAS!$B:$B,1227))))),1226,""),""),IF('WSF DASHBOARD'!$B$4="Zone",IF(1226&lt;=$D$4,IF(OR('WSF DASHBOARD'!$C$4="",ISNUMBER(SEARCH('WSF DASHBOARD'!$C$4,INDEX(MASTER_ZONES!$B:$B,1227)))),1226,""),""),""))</f>
        <v/>
      </c>
      <c r="F1227">
        <f>IF('TRANSPORT DASHBOARD'!$B$4="Area",IF(1226&lt;=$I$3,IF(AND(INDEX(MASTER_AREAS!$F:$F,1227)&lt;&gt;"N",OR('TRANSPORT DASHBOARD'!$C$4="",ISNUMBER(SEARCH('TRANSPORT DASHBOARD'!$C$4,INDEX(MASTER_AREAS!$B:$B,1227))))),1226,""),""),IF('TRANSPORT DASHBOARD'!$B$4="Zone",IF(1226&lt;=$I$4,IF(OR('TRANSPORT DASHBOARD'!$C$4="",ISNUMBER(SEARCH('TRANSPORT DASHBOARD'!$C$4,INDEX(MASTER_ZONES!$B:$B,1227)))),1226,""),""),""))</f>
        <v/>
      </c>
      <c r="K1227">
        <f>IF('MIDWEEK DASHBOARD'!$B$4="Area",IF(1226&lt;=$N$3,IF(AND(OR('MIDWEEK DASHBOARD'!$C$4="",ISNUMBER(SEARCH('MIDWEEK DASHBOARD'!$C$4,INDEX(MASTER_AREAS!$B:$B,1227))))),1226,""),""),IF('MIDWEEK DASHBOARD'!$B$4="Zone",IF(1226&lt;=$N$4,IF(OR('MIDWEEK DASHBOARD'!$C$4="",ISNUMBER(SEARCH('MIDWEEK DASHBOARD'!$C$4,INDEX(MASTER_ZONES!$B:$B,1227)))),1226,""),""),""))</f>
        <v/>
      </c>
      <c r="P1227">
        <f>IF('CHOP DASHBOARD'!$B$4="Area",IF(1226&lt;=$S$3,IF(AND(OR('CHOP DASHBOARD'!$C$4="",ISNUMBER(SEARCH('CHOP DASHBOARD'!$C$4,INDEX(MASTER_AREAS!$B:$B,1227))))),1226,""),""),IF('CHOP DASHBOARD'!$B$4="Zone",IF(1226&lt;=$S$4,IF(OR('CHOP DASHBOARD'!$C$4="",ISNUMBER(SEARCH('CHOP DASHBOARD'!$C$4,INDEX(MASTER_ZONES!$B:$B,1227)))),1226,""),""),""))</f>
        <v/>
      </c>
      <c r="U1227">
        <f>IF('COMMUNITY CHURCH DASHBOARD'!$B$4="Area",IF(1226&lt;=$X$3,IF(AND(OR('COMMUNITY CHURCH DASHBOARD'!$C$4="",ISNUMBER(SEARCH('COMMUNITY CHURCH DASHBOARD'!$C$4,INDEX(MASTER_AREAS!$B:$B,1227))))),1226,""),""),IF('COMMUNITY CHURCH DASHBOARD'!$B$4="Zone",IF(1226&lt;=$X$4,IF(OR('COMMUNITY CHURCH DASHBOARD'!$C$4="",ISNUMBER(SEARCH('COMMUNITY CHURCH DASHBOARD'!$C$4,INDEX(MASTER_ZONES!$B:$B,1227)))),1226,""),""),""))</f>
        <v/>
      </c>
    </row>
    <row r="1228">
      <c r="A1228">
        <f>IF('WSF DASHBOARD'!$B$4="Area",IF(1227&lt;=$D$3,IF(AND(OR('WSF DASHBOARD'!$C$4="",ISNUMBER(SEARCH('WSF DASHBOARD'!$C$4,INDEX(MASTER_AREAS!$B:$B,1228))))),1227,""),""),IF('WSF DASHBOARD'!$B$4="Zone",IF(1227&lt;=$D$4,IF(OR('WSF DASHBOARD'!$C$4="",ISNUMBER(SEARCH('WSF DASHBOARD'!$C$4,INDEX(MASTER_ZONES!$B:$B,1228)))),1227,""),""),""))</f>
        <v/>
      </c>
      <c r="F1228">
        <f>IF('TRANSPORT DASHBOARD'!$B$4="Area",IF(1227&lt;=$I$3,IF(AND(INDEX(MASTER_AREAS!$F:$F,1228)&lt;&gt;"N",OR('TRANSPORT DASHBOARD'!$C$4="",ISNUMBER(SEARCH('TRANSPORT DASHBOARD'!$C$4,INDEX(MASTER_AREAS!$B:$B,1228))))),1227,""),""),IF('TRANSPORT DASHBOARD'!$B$4="Zone",IF(1227&lt;=$I$4,IF(OR('TRANSPORT DASHBOARD'!$C$4="",ISNUMBER(SEARCH('TRANSPORT DASHBOARD'!$C$4,INDEX(MASTER_ZONES!$B:$B,1228)))),1227,""),""),""))</f>
        <v/>
      </c>
      <c r="K1228">
        <f>IF('MIDWEEK DASHBOARD'!$B$4="Area",IF(1227&lt;=$N$3,IF(AND(OR('MIDWEEK DASHBOARD'!$C$4="",ISNUMBER(SEARCH('MIDWEEK DASHBOARD'!$C$4,INDEX(MASTER_AREAS!$B:$B,1228))))),1227,""),""),IF('MIDWEEK DASHBOARD'!$B$4="Zone",IF(1227&lt;=$N$4,IF(OR('MIDWEEK DASHBOARD'!$C$4="",ISNUMBER(SEARCH('MIDWEEK DASHBOARD'!$C$4,INDEX(MASTER_ZONES!$B:$B,1228)))),1227,""),""),""))</f>
        <v/>
      </c>
      <c r="P1228">
        <f>IF('CHOP DASHBOARD'!$B$4="Area",IF(1227&lt;=$S$3,IF(AND(OR('CHOP DASHBOARD'!$C$4="",ISNUMBER(SEARCH('CHOP DASHBOARD'!$C$4,INDEX(MASTER_AREAS!$B:$B,1228))))),1227,""),""),IF('CHOP DASHBOARD'!$B$4="Zone",IF(1227&lt;=$S$4,IF(OR('CHOP DASHBOARD'!$C$4="",ISNUMBER(SEARCH('CHOP DASHBOARD'!$C$4,INDEX(MASTER_ZONES!$B:$B,1228)))),1227,""),""),""))</f>
        <v/>
      </c>
      <c r="U1228">
        <f>IF('COMMUNITY CHURCH DASHBOARD'!$B$4="Area",IF(1227&lt;=$X$3,IF(AND(OR('COMMUNITY CHURCH DASHBOARD'!$C$4="",ISNUMBER(SEARCH('COMMUNITY CHURCH DASHBOARD'!$C$4,INDEX(MASTER_AREAS!$B:$B,1228))))),1227,""),""),IF('COMMUNITY CHURCH DASHBOARD'!$B$4="Zone",IF(1227&lt;=$X$4,IF(OR('COMMUNITY CHURCH DASHBOARD'!$C$4="",ISNUMBER(SEARCH('COMMUNITY CHURCH DASHBOARD'!$C$4,INDEX(MASTER_ZONES!$B:$B,1228)))),1227,""),""),""))</f>
        <v/>
      </c>
    </row>
    <row r="1229">
      <c r="A1229">
        <f>IF('WSF DASHBOARD'!$B$4="Area",IF(1228&lt;=$D$3,IF(AND(OR('WSF DASHBOARD'!$C$4="",ISNUMBER(SEARCH('WSF DASHBOARD'!$C$4,INDEX(MASTER_AREAS!$B:$B,1229))))),1228,""),""),IF('WSF DASHBOARD'!$B$4="Zone",IF(1228&lt;=$D$4,IF(OR('WSF DASHBOARD'!$C$4="",ISNUMBER(SEARCH('WSF DASHBOARD'!$C$4,INDEX(MASTER_ZONES!$B:$B,1229)))),1228,""),""),""))</f>
        <v/>
      </c>
      <c r="F1229">
        <f>IF('TRANSPORT DASHBOARD'!$B$4="Area",IF(1228&lt;=$I$3,IF(AND(INDEX(MASTER_AREAS!$F:$F,1229)&lt;&gt;"N",OR('TRANSPORT DASHBOARD'!$C$4="",ISNUMBER(SEARCH('TRANSPORT DASHBOARD'!$C$4,INDEX(MASTER_AREAS!$B:$B,1229))))),1228,""),""),IF('TRANSPORT DASHBOARD'!$B$4="Zone",IF(1228&lt;=$I$4,IF(OR('TRANSPORT DASHBOARD'!$C$4="",ISNUMBER(SEARCH('TRANSPORT DASHBOARD'!$C$4,INDEX(MASTER_ZONES!$B:$B,1229)))),1228,""),""),""))</f>
        <v/>
      </c>
      <c r="K1229">
        <f>IF('MIDWEEK DASHBOARD'!$B$4="Area",IF(1228&lt;=$N$3,IF(AND(OR('MIDWEEK DASHBOARD'!$C$4="",ISNUMBER(SEARCH('MIDWEEK DASHBOARD'!$C$4,INDEX(MASTER_AREAS!$B:$B,1229))))),1228,""),""),IF('MIDWEEK DASHBOARD'!$B$4="Zone",IF(1228&lt;=$N$4,IF(OR('MIDWEEK DASHBOARD'!$C$4="",ISNUMBER(SEARCH('MIDWEEK DASHBOARD'!$C$4,INDEX(MASTER_ZONES!$B:$B,1229)))),1228,""),""),""))</f>
        <v/>
      </c>
      <c r="P1229">
        <f>IF('CHOP DASHBOARD'!$B$4="Area",IF(1228&lt;=$S$3,IF(AND(OR('CHOP DASHBOARD'!$C$4="",ISNUMBER(SEARCH('CHOP DASHBOARD'!$C$4,INDEX(MASTER_AREAS!$B:$B,1229))))),1228,""),""),IF('CHOP DASHBOARD'!$B$4="Zone",IF(1228&lt;=$S$4,IF(OR('CHOP DASHBOARD'!$C$4="",ISNUMBER(SEARCH('CHOP DASHBOARD'!$C$4,INDEX(MASTER_ZONES!$B:$B,1229)))),1228,""),""),""))</f>
        <v/>
      </c>
      <c r="U1229">
        <f>IF('COMMUNITY CHURCH DASHBOARD'!$B$4="Area",IF(1228&lt;=$X$3,IF(AND(OR('COMMUNITY CHURCH DASHBOARD'!$C$4="",ISNUMBER(SEARCH('COMMUNITY CHURCH DASHBOARD'!$C$4,INDEX(MASTER_AREAS!$B:$B,1229))))),1228,""),""),IF('COMMUNITY CHURCH DASHBOARD'!$B$4="Zone",IF(1228&lt;=$X$4,IF(OR('COMMUNITY CHURCH DASHBOARD'!$C$4="",ISNUMBER(SEARCH('COMMUNITY CHURCH DASHBOARD'!$C$4,INDEX(MASTER_ZONES!$B:$B,1229)))),1228,""),""),""))</f>
        <v/>
      </c>
    </row>
    <row r="1230">
      <c r="A1230">
        <f>IF('WSF DASHBOARD'!$B$4="Area",IF(1229&lt;=$D$3,IF(AND(OR('WSF DASHBOARD'!$C$4="",ISNUMBER(SEARCH('WSF DASHBOARD'!$C$4,INDEX(MASTER_AREAS!$B:$B,1230))))),1229,""),""),IF('WSF DASHBOARD'!$B$4="Zone",IF(1229&lt;=$D$4,IF(OR('WSF DASHBOARD'!$C$4="",ISNUMBER(SEARCH('WSF DASHBOARD'!$C$4,INDEX(MASTER_ZONES!$B:$B,1230)))),1229,""),""),""))</f>
        <v/>
      </c>
      <c r="F1230">
        <f>IF('TRANSPORT DASHBOARD'!$B$4="Area",IF(1229&lt;=$I$3,IF(AND(INDEX(MASTER_AREAS!$F:$F,1230)&lt;&gt;"N",OR('TRANSPORT DASHBOARD'!$C$4="",ISNUMBER(SEARCH('TRANSPORT DASHBOARD'!$C$4,INDEX(MASTER_AREAS!$B:$B,1230))))),1229,""),""),IF('TRANSPORT DASHBOARD'!$B$4="Zone",IF(1229&lt;=$I$4,IF(OR('TRANSPORT DASHBOARD'!$C$4="",ISNUMBER(SEARCH('TRANSPORT DASHBOARD'!$C$4,INDEX(MASTER_ZONES!$B:$B,1230)))),1229,""),""),""))</f>
        <v/>
      </c>
      <c r="K1230">
        <f>IF('MIDWEEK DASHBOARD'!$B$4="Area",IF(1229&lt;=$N$3,IF(AND(OR('MIDWEEK DASHBOARD'!$C$4="",ISNUMBER(SEARCH('MIDWEEK DASHBOARD'!$C$4,INDEX(MASTER_AREAS!$B:$B,1230))))),1229,""),""),IF('MIDWEEK DASHBOARD'!$B$4="Zone",IF(1229&lt;=$N$4,IF(OR('MIDWEEK DASHBOARD'!$C$4="",ISNUMBER(SEARCH('MIDWEEK DASHBOARD'!$C$4,INDEX(MASTER_ZONES!$B:$B,1230)))),1229,""),""),""))</f>
        <v/>
      </c>
      <c r="P1230">
        <f>IF('CHOP DASHBOARD'!$B$4="Area",IF(1229&lt;=$S$3,IF(AND(OR('CHOP DASHBOARD'!$C$4="",ISNUMBER(SEARCH('CHOP DASHBOARD'!$C$4,INDEX(MASTER_AREAS!$B:$B,1230))))),1229,""),""),IF('CHOP DASHBOARD'!$B$4="Zone",IF(1229&lt;=$S$4,IF(OR('CHOP DASHBOARD'!$C$4="",ISNUMBER(SEARCH('CHOP DASHBOARD'!$C$4,INDEX(MASTER_ZONES!$B:$B,1230)))),1229,""),""),""))</f>
        <v/>
      </c>
      <c r="U1230">
        <f>IF('COMMUNITY CHURCH DASHBOARD'!$B$4="Area",IF(1229&lt;=$X$3,IF(AND(OR('COMMUNITY CHURCH DASHBOARD'!$C$4="",ISNUMBER(SEARCH('COMMUNITY CHURCH DASHBOARD'!$C$4,INDEX(MASTER_AREAS!$B:$B,1230))))),1229,""),""),IF('COMMUNITY CHURCH DASHBOARD'!$B$4="Zone",IF(1229&lt;=$X$4,IF(OR('COMMUNITY CHURCH DASHBOARD'!$C$4="",ISNUMBER(SEARCH('COMMUNITY CHURCH DASHBOARD'!$C$4,INDEX(MASTER_ZONES!$B:$B,1230)))),1229,""),""),""))</f>
        <v/>
      </c>
    </row>
    <row r="1231">
      <c r="A1231">
        <f>IF('WSF DASHBOARD'!$B$4="Area",IF(1230&lt;=$D$3,IF(AND(OR('WSF DASHBOARD'!$C$4="",ISNUMBER(SEARCH('WSF DASHBOARD'!$C$4,INDEX(MASTER_AREAS!$B:$B,1231))))),1230,""),""),IF('WSF DASHBOARD'!$B$4="Zone",IF(1230&lt;=$D$4,IF(OR('WSF DASHBOARD'!$C$4="",ISNUMBER(SEARCH('WSF DASHBOARD'!$C$4,INDEX(MASTER_ZONES!$B:$B,1231)))),1230,""),""),""))</f>
        <v/>
      </c>
      <c r="F1231">
        <f>IF('TRANSPORT DASHBOARD'!$B$4="Area",IF(1230&lt;=$I$3,IF(AND(INDEX(MASTER_AREAS!$F:$F,1231)&lt;&gt;"N",OR('TRANSPORT DASHBOARD'!$C$4="",ISNUMBER(SEARCH('TRANSPORT DASHBOARD'!$C$4,INDEX(MASTER_AREAS!$B:$B,1231))))),1230,""),""),IF('TRANSPORT DASHBOARD'!$B$4="Zone",IF(1230&lt;=$I$4,IF(OR('TRANSPORT DASHBOARD'!$C$4="",ISNUMBER(SEARCH('TRANSPORT DASHBOARD'!$C$4,INDEX(MASTER_ZONES!$B:$B,1231)))),1230,""),""),""))</f>
        <v/>
      </c>
      <c r="K1231">
        <f>IF('MIDWEEK DASHBOARD'!$B$4="Area",IF(1230&lt;=$N$3,IF(AND(OR('MIDWEEK DASHBOARD'!$C$4="",ISNUMBER(SEARCH('MIDWEEK DASHBOARD'!$C$4,INDEX(MASTER_AREAS!$B:$B,1231))))),1230,""),""),IF('MIDWEEK DASHBOARD'!$B$4="Zone",IF(1230&lt;=$N$4,IF(OR('MIDWEEK DASHBOARD'!$C$4="",ISNUMBER(SEARCH('MIDWEEK DASHBOARD'!$C$4,INDEX(MASTER_ZONES!$B:$B,1231)))),1230,""),""),""))</f>
        <v/>
      </c>
      <c r="P1231">
        <f>IF('CHOP DASHBOARD'!$B$4="Area",IF(1230&lt;=$S$3,IF(AND(OR('CHOP DASHBOARD'!$C$4="",ISNUMBER(SEARCH('CHOP DASHBOARD'!$C$4,INDEX(MASTER_AREAS!$B:$B,1231))))),1230,""),""),IF('CHOP DASHBOARD'!$B$4="Zone",IF(1230&lt;=$S$4,IF(OR('CHOP DASHBOARD'!$C$4="",ISNUMBER(SEARCH('CHOP DASHBOARD'!$C$4,INDEX(MASTER_ZONES!$B:$B,1231)))),1230,""),""),""))</f>
        <v/>
      </c>
      <c r="U1231">
        <f>IF('COMMUNITY CHURCH DASHBOARD'!$B$4="Area",IF(1230&lt;=$X$3,IF(AND(OR('COMMUNITY CHURCH DASHBOARD'!$C$4="",ISNUMBER(SEARCH('COMMUNITY CHURCH DASHBOARD'!$C$4,INDEX(MASTER_AREAS!$B:$B,1231))))),1230,""),""),IF('COMMUNITY CHURCH DASHBOARD'!$B$4="Zone",IF(1230&lt;=$X$4,IF(OR('COMMUNITY CHURCH DASHBOARD'!$C$4="",ISNUMBER(SEARCH('COMMUNITY CHURCH DASHBOARD'!$C$4,INDEX(MASTER_ZONES!$B:$B,1231)))),1230,""),""),""))</f>
        <v/>
      </c>
    </row>
    <row r="1232">
      <c r="A1232">
        <f>IF('WSF DASHBOARD'!$B$4="Area",IF(1231&lt;=$D$3,IF(AND(OR('WSF DASHBOARD'!$C$4="",ISNUMBER(SEARCH('WSF DASHBOARD'!$C$4,INDEX(MASTER_AREAS!$B:$B,1232))))),1231,""),""),IF('WSF DASHBOARD'!$B$4="Zone",IF(1231&lt;=$D$4,IF(OR('WSF DASHBOARD'!$C$4="",ISNUMBER(SEARCH('WSF DASHBOARD'!$C$4,INDEX(MASTER_ZONES!$B:$B,1232)))),1231,""),""),""))</f>
        <v/>
      </c>
      <c r="F1232">
        <f>IF('TRANSPORT DASHBOARD'!$B$4="Area",IF(1231&lt;=$I$3,IF(AND(INDEX(MASTER_AREAS!$F:$F,1232)&lt;&gt;"N",OR('TRANSPORT DASHBOARD'!$C$4="",ISNUMBER(SEARCH('TRANSPORT DASHBOARD'!$C$4,INDEX(MASTER_AREAS!$B:$B,1232))))),1231,""),""),IF('TRANSPORT DASHBOARD'!$B$4="Zone",IF(1231&lt;=$I$4,IF(OR('TRANSPORT DASHBOARD'!$C$4="",ISNUMBER(SEARCH('TRANSPORT DASHBOARD'!$C$4,INDEX(MASTER_ZONES!$B:$B,1232)))),1231,""),""),""))</f>
        <v/>
      </c>
      <c r="K1232">
        <f>IF('MIDWEEK DASHBOARD'!$B$4="Area",IF(1231&lt;=$N$3,IF(AND(OR('MIDWEEK DASHBOARD'!$C$4="",ISNUMBER(SEARCH('MIDWEEK DASHBOARD'!$C$4,INDEX(MASTER_AREAS!$B:$B,1232))))),1231,""),""),IF('MIDWEEK DASHBOARD'!$B$4="Zone",IF(1231&lt;=$N$4,IF(OR('MIDWEEK DASHBOARD'!$C$4="",ISNUMBER(SEARCH('MIDWEEK DASHBOARD'!$C$4,INDEX(MASTER_ZONES!$B:$B,1232)))),1231,""),""),""))</f>
        <v/>
      </c>
      <c r="P1232">
        <f>IF('CHOP DASHBOARD'!$B$4="Area",IF(1231&lt;=$S$3,IF(AND(OR('CHOP DASHBOARD'!$C$4="",ISNUMBER(SEARCH('CHOP DASHBOARD'!$C$4,INDEX(MASTER_AREAS!$B:$B,1232))))),1231,""),""),IF('CHOP DASHBOARD'!$B$4="Zone",IF(1231&lt;=$S$4,IF(OR('CHOP DASHBOARD'!$C$4="",ISNUMBER(SEARCH('CHOP DASHBOARD'!$C$4,INDEX(MASTER_ZONES!$B:$B,1232)))),1231,""),""),""))</f>
        <v/>
      </c>
      <c r="U1232">
        <f>IF('COMMUNITY CHURCH DASHBOARD'!$B$4="Area",IF(1231&lt;=$X$3,IF(AND(OR('COMMUNITY CHURCH DASHBOARD'!$C$4="",ISNUMBER(SEARCH('COMMUNITY CHURCH DASHBOARD'!$C$4,INDEX(MASTER_AREAS!$B:$B,1232))))),1231,""),""),IF('COMMUNITY CHURCH DASHBOARD'!$B$4="Zone",IF(1231&lt;=$X$4,IF(OR('COMMUNITY CHURCH DASHBOARD'!$C$4="",ISNUMBER(SEARCH('COMMUNITY CHURCH DASHBOARD'!$C$4,INDEX(MASTER_ZONES!$B:$B,1232)))),1231,""),""),""))</f>
        <v/>
      </c>
    </row>
    <row r="1233">
      <c r="A1233">
        <f>IF('WSF DASHBOARD'!$B$4="Area",IF(1232&lt;=$D$3,IF(AND(OR('WSF DASHBOARD'!$C$4="",ISNUMBER(SEARCH('WSF DASHBOARD'!$C$4,INDEX(MASTER_AREAS!$B:$B,1233))))),1232,""),""),IF('WSF DASHBOARD'!$B$4="Zone",IF(1232&lt;=$D$4,IF(OR('WSF DASHBOARD'!$C$4="",ISNUMBER(SEARCH('WSF DASHBOARD'!$C$4,INDEX(MASTER_ZONES!$B:$B,1233)))),1232,""),""),""))</f>
        <v/>
      </c>
      <c r="F1233">
        <f>IF('TRANSPORT DASHBOARD'!$B$4="Area",IF(1232&lt;=$I$3,IF(AND(INDEX(MASTER_AREAS!$F:$F,1233)&lt;&gt;"N",OR('TRANSPORT DASHBOARD'!$C$4="",ISNUMBER(SEARCH('TRANSPORT DASHBOARD'!$C$4,INDEX(MASTER_AREAS!$B:$B,1233))))),1232,""),""),IF('TRANSPORT DASHBOARD'!$B$4="Zone",IF(1232&lt;=$I$4,IF(OR('TRANSPORT DASHBOARD'!$C$4="",ISNUMBER(SEARCH('TRANSPORT DASHBOARD'!$C$4,INDEX(MASTER_ZONES!$B:$B,1233)))),1232,""),""),""))</f>
        <v/>
      </c>
      <c r="K1233">
        <f>IF('MIDWEEK DASHBOARD'!$B$4="Area",IF(1232&lt;=$N$3,IF(AND(OR('MIDWEEK DASHBOARD'!$C$4="",ISNUMBER(SEARCH('MIDWEEK DASHBOARD'!$C$4,INDEX(MASTER_AREAS!$B:$B,1233))))),1232,""),""),IF('MIDWEEK DASHBOARD'!$B$4="Zone",IF(1232&lt;=$N$4,IF(OR('MIDWEEK DASHBOARD'!$C$4="",ISNUMBER(SEARCH('MIDWEEK DASHBOARD'!$C$4,INDEX(MASTER_ZONES!$B:$B,1233)))),1232,""),""),""))</f>
        <v/>
      </c>
      <c r="P1233">
        <f>IF('CHOP DASHBOARD'!$B$4="Area",IF(1232&lt;=$S$3,IF(AND(OR('CHOP DASHBOARD'!$C$4="",ISNUMBER(SEARCH('CHOP DASHBOARD'!$C$4,INDEX(MASTER_AREAS!$B:$B,1233))))),1232,""),""),IF('CHOP DASHBOARD'!$B$4="Zone",IF(1232&lt;=$S$4,IF(OR('CHOP DASHBOARD'!$C$4="",ISNUMBER(SEARCH('CHOP DASHBOARD'!$C$4,INDEX(MASTER_ZONES!$B:$B,1233)))),1232,""),""),""))</f>
        <v/>
      </c>
      <c r="U1233">
        <f>IF('COMMUNITY CHURCH DASHBOARD'!$B$4="Area",IF(1232&lt;=$X$3,IF(AND(OR('COMMUNITY CHURCH DASHBOARD'!$C$4="",ISNUMBER(SEARCH('COMMUNITY CHURCH DASHBOARD'!$C$4,INDEX(MASTER_AREAS!$B:$B,1233))))),1232,""),""),IF('COMMUNITY CHURCH DASHBOARD'!$B$4="Zone",IF(1232&lt;=$X$4,IF(OR('COMMUNITY CHURCH DASHBOARD'!$C$4="",ISNUMBER(SEARCH('COMMUNITY CHURCH DASHBOARD'!$C$4,INDEX(MASTER_ZONES!$B:$B,1233)))),1232,""),""),""))</f>
        <v/>
      </c>
    </row>
    <row r="1234">
      <c r="A1234">
        <f>IF('WSF DASHBOARD'!$B$4="Area",IF(1233&lt;=$D$3,IF(AND(OR('WSF DASHBOARD'!$C$4="",ISNUMBER(SEARCH('WSF DASHBOARD'!$C$4,INDEX(MASTER_AREAS!$B:$B,1234))))),1233,""),""),IF('WSF DASHBOARD'!$B$4="Zone",IF(1233&lt;=$D$4,IF(OR('WSF DASHBOARD'!$C$4="",ISNUMBER(SEARCH('WSF DASHBOARD'!$C$4,INDEX(MASTER_ZONES!$B:$B,1234)))),1233,""),""),""))</f>
        <v/>
      </c>
      <c r="F1234">
        <f>IF('TRANSPORT DASHBOARD'!$B$4="Area",IF(1233&lt;=$I$3,IF(AND(INDEX(MASTER_AREAS!$F:$F,1234)&lt;&gt;"N",OR('TRANSPORT DASHBOARD'!$C$4="",ISNUMBER(SEARCH('TRANSPORT DASHBOARD'!$C$4,INDEX(MASTER_AREAS!$B:$B,1234))))),1233,""),""),IF('TRANSPORT DASHBOARD'!$B$4="Zone",IF(1233&lt;=$I$4,IF(OR('TRANSPORT DASHBOARD'!$C$4="",ISNUMBER(SEARCH('TRANSPORT DASHBOARD'!$C$4,INDEX(MASTER_ZONES!$B:$B,1234)))),1233,""),""),""))</f>
        <v/>
      </c>
      <c r="K1234">
        <f>IF('MIDWEEK DASHBOARD'!$B$4="Area",IF(1233&lt;=$N$3,IF(AND(OR('MIDWEEK DASHBOARD'!$C$4="",ISNUMBER(SEARCH('MIDWEEK DASHBOARD'!$C$4,INDEX(MASTER_AREAS!$B:$B,1234))))),1233,""),""),IF('MIDWEEK DASHBOARD'!$B$4="Zone",IF(1233&lt;=$N$4,IF(OR('MIDWEEK DASHBOARD'!$C$4="",ISNUMBER(SEARCH('MIDWEEK DASHBOARD'!$C$4,INDEX(MASTER_ZONES!$B:$B,1234)))),1233,""),""),""))</f>
        <v/>
      </c>
      <c r="P1234">
        <f>IF('CHOP DASHBOARD'!$B$4="Area",IF(1233&lt;=$S$3,IF(AND(OR('CHOP DASHBOARD'!$C$4="",ISNUMBER(SEARCH('CHOP DASHBOARD'!$C$4,INDEX(MASTER_AREAS!$B:$B,1234))))),1233,""),""),IF('CHOP DASHBOARD'!$B$4="Zone",IF(1233&lt;=$S$4,IF(OR('CHOP DASHBOARD'!$C$4="",ISNUMBER(SEARCH('CHOP DASHBOARD'!$C$4,INDEX(MASTER_ZONES!$B:$B,1234)))),1233,""),""),""))</f>
        <v/>
      </c>
      <c r="U1234">
        <f>IF('COMMUNITY CHURCH DASHBOARD'!$B$4="Area",IF(1233&lt;=$X$3,IF(AND(OR('COMMUNITY CHURCH DASHBOARD'!$C$4="",ISNUMBER(SEARCH('COMMUNITY CHURCH DASHBOARD'!$C$4,INDEX(MASTER_AREAS!$B:$B,1234))))),1233,""),""),IF('COMMUNITY CHURCH DASHBOARD'!$B$4="Zone",IF(1233&lt;=$X$4,IF(OR('COMMUNITY CHURCH DASHBOARD'!$C$4="",ISNUMBER(SEARCH('COMMUNITY CHURCH DASHBOARD'!$C$4,INDEX(MASTER_ZONES!$B:$B,1234)))),1233,""),""),""))</f>
        <v/>
      </c>
    </row>
    <row r="1235">
      <c r="A1235">
        <f>IF('WSF DASHBOARD'!$B$4="Area",IF(1234&lt;=$D$3,IF(AND(OR('WSF DASHBOARD'!$C$4="",ISNUMBER(SEARCH('WSF DASHBOARD'!$C$4,INDEX(MASTER_AREAS!$B:$B,1235))))),1234,""),""),IF('WSF DASHBOARD'!$B$4="Zone",IF(1234&lt;=$D$4,IF(OR('WSF DASHBOARD'!$C$4="",ISNUMBER(SEARCH('WSF DASHBOARD'!$C$4,INDEX(MASTER_ZONES!$B:$B,1235)))),1234,""),""),""))</f>
        <v/>
      </c>
      <c r="F1235">
        <f>IF('TRANSPORT DASHBOARD'!$B$4="Area",IF(1234&lt;=$I$3,IF(AND(INDEX(MASTER_AREAS!$F:$F,1235)&lt;&gt;"N",OR('TRANSPORT DASHBOARD'!$C$4="",ISNUMBER(SEARCH('TRANSPORT DASHBOARD'!$C$4,INDEX(MASTER_AREAS!$B:$B,1235))))),1234,""),""),IF('TRANSPORT DASHBOARD'!$B$4="Zone",IF(1234&lt;=$I$4,IF(OR('TRANSPORT DASHBOARD'!$C$4="",ISNUMBER(SEARCH('TRANSPORT DASHBOARD'!$C$4,INDEX(MASTER_ZONES!$B:$B,1235)))),1234,""),""),""))</f>
        <v/>
      </c>
      <c r="K1235">
        <f>IF('MIDWEEK DASHBOARD'!$B$4="Area",IF(1234&lt;=$N$3,IF(AND(OR('MIDWEEK DASHBOARD'!$C$4="",ISNUMBER(SEARCH('MIDWEEK DASHBOARD'!$C$4,INDEX(MASTER_AREAS!$B:$B,1235))))),1234,""),""),IF('MIDWEEK DASHBOARD'!$B$4="Zone",IF(1234&lt;=$N$4,IF(OR('MIDWEEK DASHBOARD'!$C$4="",ISNUMBER(SEARCH('MIDWEEK DASHBOARD'!$C$4,INDEX(MASTER_ZONES!$B:$B,1235)))),1234,""),""),""))</f>
        <v/>
      </c>
      <c r="P1235">
        <f>IF('CHOP DASHBOARD'!$B$4="Area",IF(1234&lt;=$S$3,IF(AND(OR('CHOP DASHBOARD'!$C$4="",ISNUMBER(SEARCH('CHOP DASHBOARD'!$C$4,INDEX(MASTER_AREAS!$B:$B,1235))))),1234,""),""),IF('CHOP DASHBOARD'!$B$4="Zone",IF(1234&lt;=$S$4,IF(OR('CHOP DASHBOARD'!$C$4="",ISNUMBER(SEARCH('CHOP DASHBOARD'!$C$4,INDEX(MASTER_ZONES!$B:$B,1235)))),1234,""),""),""))</f>
        <v/>
      </c>
      <c r="U1235">
        <f>IF('COMMUNITY CHURCH DASHBOARD'!$B$4="Area",IF(1234&lt;=$X$3,IF(AND(OR('COMMUNITY CHURCH DASHBOARD'!$C$4="",ISNUMBER(SEARCH('COMMUNITY CHURCH DASHBOARD'!$C$4,INDEX(MASTER_AREAS!$B:$B,1235))))),1234,""),""),IF('COMMUNITY CHURCH DASHBOARD'!$B$4="Zone",IF(1234&lt;=$X$4,IF(OR('COMMUNITY CHURCH DASHBOARD'!$C$4="",ISNUMBER(SEARCH('COMMUNITY CHURCH DASHBOARD'!$C$4,INDEX(MASTER_ZONES!$B:$B,1235)))),1234,""),""),""))</f>
        <v/>
      </c>
    </row>
    <row r="1236">
      <c r="A1236">
        <f>IF('WSF DASHBOARD'!$B$4="Area",IF(1235&lt;=$D$3,IF(AND(OR('WSF DASHBOARD'!$C$4="",ISNUMBER(SEARCH('WSF DASHBOARD'!$C$4,INDEX(MASTER_AREAS!$B:$B,1236))))),1235,""),""),IF('WSF DASHBOARD'!$B$4="Zone",IF(1235&lt;=$D$4,IF(OR('WSF DASHBOARD'!$C$4="",ISNUMBER(SEARCH('WSF DASHBOARD'!$C$4,INDEX(MASTER_ZONES!$B:$B,1236)))),1235,""),""),""))</f>
        <v/>
      </c>
      <c r="F1236">
        <f>IF('TRANSPORT DASHBOARD'!$B$4="Area",IF(1235&lt;=$I$3,IF(AND(INDEX(MASTER_AREAS!$F:$F,1236)&lt;&gt;"N",OR('TRANSPORT DASHBOARD'!$C$4="",ISNUMBER(SEARCH('TRANSPORT DASHBOARD'!$C$4,INDEX(MASTER_AREAS!$B:$B,1236))))),1235,""),""),IF('TRANSPORT DASHBOARD'!$B$4="Zone",IF(1235&lt;=$I$4,IF(OR('TRANSPORT DASHBOARD'!$C$4="",ISNUMBER(SEARCH('TRANSPORT DASHBOARD'!$C$4,INDEX(MASTER_ZONES!$B:$B,1236)))),1235,""),""),""))</f>
        <v/>
      </c>
      <c r="K1236">
        <f>IF('MIDWEEK DASHBOARD'!$B$4="Area",IF(1235&lt;=$N$3,IF(AND(OR('MIDWEEK DASHBOARD'!$C$4="",ISNUMBER(SEARCH('MIDWEEK DASHBOARD'!$C$4,INDEX(MASTER_AREAS!$B:$B,1236))))),1235,""),""),IF('MIDWEEK DASHBOARD'!$B$4="Zone",IF(1235&lt;=$N$4,IF(OR('MIDWEEK DASHBOARD'!$C$4="",ISNUMBER(SEARCH('MIDWEEK DASHBOARD'!$C$4,INDEX(MASTER_ZONES!$B:$B,1236)))),1235,""),""),""))</f>
        <v/>
      </c>
      <c r="P1236">
        <f>IF('CHOP DASHBOARD'!$B$4="Area",IF(1235&lt;=$S$3,IF(AND(OR('CHOP DASHBOARD'!$C$4="",ISNUMBER(SEARCH('CHOP DASHBOARD'!$C$4,INDEX(MASTER_AREAS!$B:$B,1236))))),1235,""),""),IF('CHOP DASHBOARD'!$B$4="Zone",IF(1235&lt;=$S$4,IF(OR('CHOP DASHBOARD'!$C$4="",ISNUMBER(SEARCH('CHOP DASHBOARD'!$C$4,INDEX(MASTER_ZONES!$B:$B,1236)))),1235,""),""),""))</f>
        <v/>
      </c>
      <c r="U1236">
        <f>IF('COMMUNITY CHURCH DASHBOARD'!$B$4="Area",IF(1235&lt;=$X$3,IF(AND(OR('COMMUNITY CHURCH DASHBOARD'!$C$4="",ISNUMBER(SEARCH('COMMUNITY CHURCH DASHBOARD'!$C$4,INDEX(MASTER_AREAS!$B:$B,1236))))),1235,""),""),IF('COMMUNITY CHURCH DASHBOARD'!$B$4="Zone",IF(1235&lt;=$X$4,IF(OR('COMMUNITY CHURCH DASHBOARD'!$C$4="",ISNUMBER(SEARCH('COMMUNITY CHURCH DASHBOARD'!$C$4,INDEX(MASTER_ZONES!$B:$B,1236)))),1235,""),""),""))</f>
        <v/>
      </c>
    </row>
    <row r="1237">
      <c r="A1237">
        <f>IF('WSF DASHBOARD'!$B$4="Area",IF(1236&lt;=$D$3,IF(AND(OR('WSF DASHBOARD'!$C$4="",ISNUMBER(SEARCH('WSF DASHBOARD'!$C$4,INDEX(MASTER_AREAS!$B:$B,1237))))),1236,""),""),IF('WSF DASHBOARD'!$B$4="Zone",IF(1236&lt;=$D$4,IF(OR('WSF DASHBOARD'!$C$4="",ISNUMBER(SEARCH('WSF DASHBOARD'!$C$4,INDEX(MASTER_ZONES!$B:$B,1237)))),1236,""),""),""))</f>
        <v/>
      </c>
      <c r="F1237">
        <f>IF('TRANSPORT DASHBOARD'!$B$4="Area",IF(1236&lt;=$I$3,IF(AND(INDEX(MASTER_AREAS!$F:$F,1237)&lt;&gt;"N",OR('TRANSPORT DASHBOARD'!$C$4="",ISNUMBER(SEARCH('TRANSPORT DASHBOARD'!$C$4,INDEX(MASTER_AREAS!$B:$B,1237))))),1236,""),""),IF('TRANSPORT DASHBOARD'!$B$4="Zone",IF(1236&lt;=$I$4,IF(OR('TRANSPORT DASHBOARD'!$C$4="",ISNUMBER(SEARCH('TRANSPORT DASHBOARD'!$C$4,INDEX(MASTER_ZONES!$B:$B,1237)))),1236,""),""),""))</f>
        <v/>
      </c>
      <c r="K1237">
        <f>IF('MIDWEEK DASHBOARD'!$B$4="Area",IF(1236&lt;=$N$3,IF(AND(OR('MIDWEEK DASHBOARD'!$C$4="",ISNUMBER(SEARCH('MIDWEEK DASHBOARD'!$C$4,INDEX(MASTER_AREAS!$B:$B,1237))))),1236,""),""),IF('MIDWEEK DASHBOARD'!$B$4="Zone",IF(1236&lt;=$N$4,IF(OR('MIDWEEK DASHBOARD'!$C$4="",ISNUMBER(SEARCH('MIDWEEK DASHBOARD'!$C$4,INDEX(MASTER_ZONES!$B:$B,1237)))),1236,""),""),""))</f>
        <v/>
      </c>
      <c r="P1237">
        <f>IF('CHOP DASHBOARD'!$B$4="Area",IF(1236&lt;=$S$3,IF(AND(OR('CHOP DASHBOARD'!$C$4="",ISNUMBER(SEARCH('CHOP DASHBOARD'!$C$4,INDEX(MASTER_AREAS!$B:$B,1237))))),1236,""),""),IF('CHOP DASHBOARD'!$B$4="Zone",IF(1236&lt;=$S$4,IF(OR('CHOP DASHBOARD'!$C$4="",ISNUMBER(SEARCH('CHOP DASHBOARD'!$C$4,INDEX(MASTER_ZONES!$B:$B,1237)))),1236,""),""),""))</f>
        <v/>
      </c>
      <c r="U1237">
        <f>IF('COMMUNITY CHURCH DASHBOARD'!$B$4="Area",IF(1236&lt;=$X$3,IF(AND(OR('COMMUNITY CHURCH DASHBOARD'!$C$4="",ISNUMBER(SEARCH('COMMUNITY CHURCH DASHBOARD'!$C$4,INDEX(MASTER_AREAS!$B:$B,1237))))),1236,""),""),IF('COMMUNITY CHURCH DASHBOARD'!$B$4="Zone",IF(1236&lt;=$X$4,IF(OR('COMMUNITY CHURCH DASHBOARD'!$C$4="",ISNUMBER(SEARCH('COMMUNITY CHURCH DASHBOARD'!$C$4,INDEX(MASTER_ZONES!$B:$B,1237)))),1236,""),""),""))</f>
        <v/>
      </c>
    </row>
    <row r="1238">
      <c r="A1238">
        <f>IF('WSF DASHBOARD'!$B$4="Area",IF(1237&lt;=$D$3,IF(AND(OR('WSF DASHBOARD'!$C$4="",ISNUMBER(SEARCH('WSF DASHBOARD'!$C$4,INDEX(MASTER_AREAS!$B:$B,1238))))),1237,""),""),IF('WSF DASHBOARD'!$B$4="Zone",IF(1237&lt;=$D$4,IF(OR('WSF DASHBOARD'!$C$4="",ISNUMBER(SEARCH('WSF DASHBOARD'!$C$4,INDEX(MASTER_ZONES!$B:$B,1238)))),1237,""),""),""))</f>
        <v/>
      </c>
      <c r="F1238">
        <f>IF('TRANSPORT DASHBOARD'!$B$4="Area",IF(1237&lt;=$I$3,IF(AND(INDEX(MASTER_AREAS!$F:$F,1238)&lt;&gt;"N",OR('TRANSPORT DASHBOARD'!$C$4="",ISNUMBER(SEARCH('TRANSPORT DASHBOARD'!$C$4,INDEX(MASTER_AREAS!$B:$B,1238))))),1237,""),""),IF('TRANSPORT DASHBOARD'!$B$4="Zone",IF(1237&lt;=$I$4,IF(OR('TRANSPORT DASHBOARD'!$C$4="",ISNUMBER(SEARCH('TRANSPORT DASHBOARD'!$C$4,INDEX(MASTER_ZONES!$B:$B,1238)))),1237,""),""),""))</f>
        <v/>
      </c>
      <c r="K1238">
        <f>IF('MIDWEEK DASHBOARD'!$B$4="Area",IF(1237&lt;=$N$3,IF(AND(OR('MIDWEEK DASHBOARD'!$C$4="",ISNUMBER(SEARCH('MIDWEEK DASHBOARD'!$C$4,INDEX(MASTER_AREAS!$B:$B,1238))))),1237,""),""),IF('MIDWEEK DASHBOARD'!$B$4="Zone",IF(1237&lt;=$N$4,IF(OR('MIDWEEK DASHBOARD'!$C$4="",ISNUMBER(SEARCH('MIDWEEK DASHBOARD'!$C$4,INDEX(MASTER_ZONES!$B:$B,1238)))),1237,""),""),""))</f>
        <v/>
      </c>
      <c r="P1238">
        <f>IF('CHOP DASHBOARD'!$B$4="Area",IF(1237&lt;=$S$3,IF(AND(OR('CHOP DASHBOARD'!$C$4="",ISNUMBER(SEARCH('CHOP DASHBOARD'!$C$4,INDEX(MASTER_AREAS!$B:$B,1238))))),1237,""),""),IF('CHOP DASHBOARD'!$B$4="Zone",IF(1237&lt;=$S$4,IF(OR('CHOP DASHBOARD'!$C$4="",ISNUMBER(SEARCH('CHOP DASHBOARD'!$C$4,INDEX(MASTER_ZONES!$B:$B,1238)))),1237,""),""),""))</f>
        <v/>
      </c>
      <c r="U1238">
        <f>IF('COMMUNITY CHURCH DASHBOARD'!$B$4="Area",IF(1237&lt;=$X$3,IF(AND(OR('COMMUNITY CHURCH DASHBOARD'!$C$4="",ISNUMBER(SEARCH('COMMUNITY CHURCH DASHBOARD'!$C$4,INDEX(MASTER_AREAS!$B:$B,1238))))),1237,""),""),IF('COMMUNITY CHURCH DASHBOARD'!$B$4="Zone",IF(1237&lt;=$X$4,IF(OR('COMMUNITY CHURCH DASHBOARD'!$C$4="",ISNUMBER(SEARCH('COMMUNITY CHURCH DASHBOARD'!$C$4,INDEX(MASTER_ZONES!$B:$B,1238)))),1237,""),""),""))</f>
        <v/>
      </c>
    </row>
    <row r="1239">
      <c r="A1239">
        <f>IF('WSF DASHBOARD'!$B$4="Area",IF(1238&lt;=$D$3,IF(AND(OR('WSF DASHBOARD'!$C$4="",ISNUMBER(SEARCH('WSF DASHBOARD'!$C$4,INDEX(MASTER_AREAS!$B:$B,1239))))),1238,""),""),IF('WSF DASHBOARD'!$B$4="Zone",IF(1238&lt;=$D$4,IF(OR('WSF DASHBOARD'!$C$4="",ISNUMBER(SEARCH('WSF DASHBOARD'!$C$4,INDEX(MASTER_ZONES!$B:$B,1239)))),1238,""),""),""))</f>
        <v/>
      </c>
      <c r="F1239">
        <f>IF('TRANSPORT DASHBOARD'!$B$4="Area",IF(1238&lt;=$I$3,IF(AND(INDEX(MASTER_AREAS!$F:$F,1239)&lt;&gt;"N",OR('TRANSPORT DASHBOARD'!$C$4="",ISNUMBER(SEARCH('TRANSPORT DASHBOARD'!$C$4,INDEX(MASTER_AREAS!$B:$B,1239))))),1238,""),""),IF('TRANSPORT DASHBOARD'!$B$4="Zone",IF(1238&lt;=$I$4,IF(OR('TRANSPORT DASHBOARD'!$C$4="",ISNUMBER(SEARCH('TRANSPORT DASHBOARD'!$C$4,INDEX(MASTER_ZONES!$B:$B,1239)))),1238,""),""),""))</f>
        <v/>
      </c>
      <c r="K1239">
        <f>IF('MIDWEEK DASHBOARD'!$B$4="Area",IF(1238&lt;=$N$3,IF(AND(OR('MIDWEEK DASHBOARD'!$C$4="",ISNUMBER(SEARCH('MIDWEEK DASHBOARD'!$C$4,INDEX(MASTER_AREAS!$B:$B,1239))))),1238,""),""),IF('MIDWEEK DASHBOARD'!$B$4="Zone",IF(1238&lt;=$N$4,IF(OR('MIDWEEK DASHBOARD'!$C$4="",ISNUMBER(SEARCH('MIDWEEK DASHBOARD'!$C$4,INDEX(MASTER_ZONES!$B:$B,1239)))),1238,""),""),""))</f>
        <v/>
      </c>
      <c r="P1239">
        <f>IF('CHOP DASHBOARD'!$B$4="Area",IF(1238&lt;=$S$3,IF(AND(OR('CHOP DASHBOARD'!$C$4="",ISNUMBER(SEARCH('CHOP DASHBOARD'!$C$4,INDEX(MASTER_AREAS!$B:$B,1239))))),1238,""),""),IF('CHOP DASHBOARD'!$B$4="Zone",IF(1238&lt;=$S$4,IF(OR('CHOP DASHBOARD'!$C$4="",ISNUMBER(SEARCH('CHOP DASHBOARD'!$C$4,INDEX(MASTER_ZONES!$B:$B,1239)))),1238,""),""),""))</f>
        <v/>
      </c>
      <c r="U1239">
        <f>IF('COMMUNITY CHURCH DASHBOARD'!$B$4="Area",IF(1238&lt;=$X$3,IF(AND(OR('COMMUNITY CHURCH DASHBOARD'!$C$4="",ISNUMBER(SEARCH('COMMUNITY CHURCH DASHBOARD'!$C$4,INDEX(MASTER_AREAS!$B:$B,1239))))),1238,""),""),IF('COMMUNITY CHURCH DASHBOARD'!$B$4="Zone",IF(1238&lt;=$X$4,IF(OR('COMMUNITY CHURCH DASHBOARD'!$C$4="",ISNUMBER(SEARCH('COMMUNITY CHURCH DASHBOARD'!$C$4,INDEX(MASTER_ZONES!$B:$B,1239)))),1238,""),""),""))</f>
        <v/>
      </c>
    </row>
    <row r="1240">
      <c r="A1240">
        <f>IF('WSF DASHBOARD'!$B$4="Area",IF(1239&lt;=$D$3,IF(AND(OR('WSF DASHBOARD'!$C$4="",ISNUMBER(SEARCH('WSF DASHBOARD'!$C$4,INDEX(MASTER_AREAS!$B:$B,1240))))),1239,""),""),IF('WSF DASHBOARD'!$B$4="Zone",IF(1239&lt;=$D$4,IF(OR('WSF DASHBOARD'!$C$4="",ISNUMBER(SEARCH('WSF DASHBOARD'!$C$4,INDEX(MASTER_ZONES!$B:$B,1240)))),1239,""),""),""))</f>
        <v/>
      </c>
      <c r="F1240">
        <f>IF('TRANSPORT DASHBOARD'!$B$4="Area",IF(1239&lt;=$I$3,IF(AND(INDEX(MASTER_AREAS!$F:$F,1240)&lt;&gt;"N",OR('TRANSPORT DASHBOARD'!$C$4="",ISNUMBER(SEARCH('TRANSPORT DASHBOARD'!$C$4,INDEX(MASTER_AREAS!$B:$B,1240))))),1239,""),""),IF('TRANSPORT DASHBOARD'!$B$4="Zone",IF(1239&lt;=$I$4,IF(OR('TRANSPORT DASHBOARD'!$C$4="",ISNUMBER(SEARCH('TRANSPORT DASHBOARD'!$C$4,INDEX(MASTER_ZONES!$B:$B,1240)))),1239,""),""),""))</f>
        <v/>
      </c>
      <c r="K1240">
        <f>IF('MIDWEEK DASHBOARD'!$B$4="Area",IF(1239&lt;=$N$3,IF(AND(OR('MIDWEEK DASHBOARD'!$C$4="",ISNUMBER(SEARCH('MIDWEEK DASHBOARD'!$C$4,INDEX(MASTER_AREAS!$B:$B,1240))))),1239,""),""),IF('MIDWEEK DASHBOARD'!$B$4="Zone",IF(1239&lt;=$N$4,IF(OR('MIDWEEK DASHBOARD'!$C$4="",ISNUMBER(SEARCH('MIDWEEK DASHBOARD'!$C$4,INDEX(MASTER_ZONES!$B:$B,1240)))),1239,""),""),""))</f>
        <v/>
      </c>
      <c r="P1240">
        <f>IF('CHOP DASHBOARD'!$B$4="Area",IF(1239&lt;=$S$3,IF(AND(OR('CHOP DASHBOARD'!$C$4="",ISNUMBER(SEARCH('CHOP DASHBOARD'!$C$4,INDEX(MASTER_AREAS!$B:$B,1240))))),1239,""),""),IF('CHOP DASHBOARD'!$B$4="Zone",IF(1239&lt;=$S$4,IF(OR('CHOP DASHBOARD'!$C$4="",ISNUMBER(SEARCH('CHOP DASHBOARD'!$C$4,INDEX(MASTER_ZONES!$B:$B,1240)))),1239,""),""),""))</f>
        <v/>
      </c>
      <c r="U1240">
        <f>IF('COMMUNITY CHURCH DASHBOARD'!$B$4="Area",IF(1239&lt;=$X$3,IF(AND(OR('COMMUNITY CHURCH DASHBOARD'!$C$4="",ISNUMBER(SEARCH('COMMUNITY CHURCH DASHBOARD'!$C$4,INDEX(MASTER_AREAS!$B:$B,1240))))),1239,""),""),IF('COMMUNITY CHURCH DASHBOARD'!$B$4="Zone",IF(1239&lt;=$X$4,IF(OR('COMMUNITY CHURCH DASHBOARD'!$C$4="",ISNUMBER(SEARCH('COMMUNITY CHURCH DASHBOARD'!$C$4,INDEX(MASTER_ZONES!$B:$B,1240)))),1239,""),""),""))</f>
        <v/>
      </c>
    </row>
    <row r="1241">
      <c r="A1241">
        <f>IF('WSF DASHBOARD'!$B$4="Area",IF(1240&lt;=$D$3,IF(AND(OR('WSF DASHBOARD'!$C$4="",ISNUMBER(SEARCH('WSF DASHBOARD'!$C$4,INDEX(MASTER_AREAS!$B:$B,1241))))),1240,""),""),IF('WSF DASHBOARD'!$B$4="Zone",IF(1240&lt;=$D$4,IF(OR('WSF DASHBOARD'!$C$4="",ISNUMBER(SEARCH('WSF DASHBOARD'!$C$4,INDEX(MASTER_ZONES!$B:$B,1241)))),1240,""),""),""))</f>
        <v/>
      </c>
      <c r="F1241">
        <f>IF('TRANSPORT DASHBOARD'!$B$4="Area",IF(1240&lt;=$I$3,IF(AND(INDEX(MASTER_AREAS!$F:$F,1241)&lt;&gt;"N",OR('TRANSPORT DASHBOARD'!$C$4="",ISNUMBER(SEARCH('TRANSPORT DASHBOARD'!$C$4,INDEX(MASTER_AREAS!$B:$B,1241))))),1240,""),""),IF('TRANSPORT DASHBOARD'!$B$4="Zone",IF(1240&lt;=$I$4,IF(OR('TRANSPORT DASHBOARD'!$C$4="",ISNUMBER(SEARCH('TRANSPORT DASHBOARD'!$C$4,INDEX(MASTER_ZONES!$B:$B,1241)))),1240,""),""),""))</f>
        <v/>
      </c>
      <c r="K1241">
        <f>IF('MIDWEEK DASHBOARD'!$B$4="Area",IF(1240&lt;=$N$3,IF(AND(OR('MIDWEEK DASHBOARD'!$C$4="",ISNUMBER(SEARCH('MIDWEEK DASHBOARD'!$C$4,INDEX(MASTER_AREAS!$B:$B,1241))))),1240,""),""),IF('MIDWEEK DASHBOARD'!$B$4="Zone",IF(1240&lt;=$N$4,IF(OR('MIDWEEK DASHBOARD'!$C$4="",ISNUMBER(SEARCH('MIDWEEK DASHBOARD'!$C$4,INDEX(MASTER_ZONES!$B:$B,1241)))),1240,""),""),""))</f>
        <v/>
      </c>
      <c r="P1241">
        <f>IF('CHOP DASHBOARD'!$B$4="Area",IF(1240&lt;=$S$3,IF(AND(OR('CHOP DASHBOARD'!$C$4="",ISNUMBER(SEARCH('CHOP DASHBOARD'!$C$4,INDEX(MASTER_AREAS!$B:$B,1241))))),1240,""),""),IF('CHOP DASHBOARD'!$B$4="Zone",IF(1240&lt;=$S$4,IF(OR('CHOP DASHBOARD'!$C$4="",ISNUMBER(SEARCH('CHOP DASHBOARD'!$C$4,INDEX(MASTER_ZONES!$B:$B,1241)))),1240,""),""),""))</f>
        <v/>
      </c>
      <c r="U1241">
        <f>IF('COMMUNITY CHURCH DASHBOARD'!$B$4="Area",IF(1240&lt;=$X$3,IF(AND(OR('COMMUNITY CHURCH DASHBOARD'!$C$4="",ISNUMBER(SEARCH('COMMUNITY CHURCH DASHBOARD'!$C$4,INDEX(MASTER_AREAS!$B:$B,1241))))),1240,""),""),IF('COMMUNITY CHURCH DASHBOARD'!$B$4="Zone",IF(1240&lt;=$X$4,IF(OR('COMMUNITY CHURCH DASHBOARD'!$C$4="",ISNUMBER(SEARCH('COMMUNITY CHURCH DASHBOARD'!$C$4,INDEX(MASTER_ZONES!$B:$B,1241)))),1240,""),""),""))</f>
        <v/>
      </c>
    </row>
    <row r="1242">
      <c r="A1242">
        <f>IF('WSF DASHBOARD'!$B$4="Area",IF(1241&lt;=$D$3,IF(AND(OR('WSF DASHBOARD'!$C$4="",ISNUMBER(SEARCH('WSF DASHBOARD'!$C$4,INDEX(MASTER_AREAS!$B:$B,1242))))),1241,""),""),IF('WSF DASHBOARD'!$B$4="Zone",IF(1241&lt;=$D$4,IF(OR('WSF DASHBOARD'!$C$4="",ISNUMBER(SEARCH('WSF DASHBOARD'!$C$4,INDEX(MASTER_ZONES!$B:$B,1242)))),1241,""),""),""))</f>
        <v/>
      </c>
      <c r="F1242">
        <f>IF('TRANSPORT DASHBOARD'!$B$4="Area",IF(1241&lt;=$I$3,IF(AND(INDEX(MASTER_AREAS!$F:$F,1242)&lt;&gt;"N",OR('TRANSPORT DASHBOARD'!$C$4="",ISNUMBER(SEARCH('TRANSPORT DASHBOARD'!$C$4,INDEX(MASTER_AREAS!$B:$B,1242))))),1241,""),""),IF('TRANSPORT DASHBOARD'!$B$4="Zone",IF(1241&lt;=$I$4,IF(OR('TRANSPORT DASHBOARD'!$C$4="",ISNUMBER(SEARCH('TRANSPORT DASHBOARD'!$C$4,INDEX(MASTER_ZONES!$B:$B,1242)))),1241,""),""),""))</f>
        <v/>
      </c>
      <c r="K1242">
        <f>IF('MIDWEEK DASHBOARD'!$B$4="Area",IF(1241&lt;=$N$3,IF(AND(OR('MIDWEEK DASHBOARD'!$C$4="",ISNUMBER(SEARCH('MIDWEEK DASHBOARD'!$C$4,INDEX(MASTER_AREAS!$B:$B,1242))))),1241,""),""),IF('MIDWEEK DASHBOARD'!$B$4="Zone",IF(1241&lt;=$N$4,IF(OR('MIDWEEK DASHBOARD'!$C$4="",ISNUMBER(SEARCH('MIDWEEK DASHBOARD'!$C$4,INDEX(MASTER_ZONES!$B:$B,1242)))),1241,""),""),""))</f>
        <v/>
      </c>
      <c r="P1242">
        <f>IF('CHOP DASHBOARD'!$B$4="Area",IF(1241&lt;=$S$3,IF(AND(OR('CHOP DASHBOARD'!$C$4="",ISNUMBER(SEARCH('CHOP DASHBOARD'!$C$4,INDEX(MASTER_AREAS!$B:$B,1242))))),1241,""),""),IF('CHOP DASHBOARD'!$B$4="Zone",IF(1241&lt;=$S$4,IF(OR('CHOP DASHBOARD'!$C$4="",ISNUMBER(SEARCH('CHOP DASHBOARD'!$C$4,INDEX(MASTER_ZONES!$B:$B,1242)))),1241,""),""),""))</f>
        <v/>
      </c>
      <c r="U1242">
        <f>IF('COMMUNITY CHURCH DASHBOARD'!$B$4="Area",IF(1241&lt;=$X$3,IF(AND(OR('COMMUNITY CHURCH DASHBOARD'!$C$4="",ISNUMBER(SEARCH('COMMUNITY CHURCH DASHBOARD'!$C$4,INDEX(MASTER_AREAS!$B:$B,1242))))),1241,""),""),IF('COMMUNITY CHURCH DASHBOARD'!$B$4="Zone",IF(1241&lt;=$X$4,IF(OR('COMMUNITY CHURCH DASHBOARD'!$C$4="",ISNUMBER(SEARCH('COMMUNITY CHURCH DASHBOARD'!$C$4,INDEX(MASTER_ZONES!$B:$B,1242)))),1241,""),""),""))</f>
        <v/>
      </c>
    </row>
    <row r="1243">
      <c r="A1243">
        <f>IF('WSF DASHBOARD'!$B$4="Area",IF(1242&lt;=$D$3,IF(AND(OR('WSF DASHBOARD'!$C$4="",ISNUMBER(SEARCH('WSF DASHBOARD'!$C$4,INDEX(MASTER_AREAS!$B:$B,1243))))),1242,""),""),IF('WSF DASHBOARD'!$B$4="Zone",IF(1242&lt;=$D$4,IF(OR('WSF DASHBOARD'!$C$4="",ISNUMBER(SEARCH('WSF DASHBOARD'!$C$4,INDEX(MASTER_ZONES!$B:$B,1243)))),1242,""),""),""))</f>
        <v/>
      </c>
      <c r="F1243">
        <f>IF('TRANSPORT DASHBOARD'!$B$4="Area",IF(1242&lt;=$I$3,IF(AND(INDEX(MASTER_AREAS!$F:$F,1243)&lt;&gt;"N",OR('TRANSPORT DASHBOARD'!$C$4="",ISNUMBER(SEARCH('TRANSPORT DASHBOARD'!$C$4,INDEX(MASTER_AREAS!$B:$B,1243))))),1242,""),""),IF('TRANSPORT DASHBOARD'!$B$4="Zone",IF(1242&lt;=$I$4,IF(OR('TRANSPORT DASHBOARD'!$C$4="",ISNUMBER(SEARCH('TRANSPORT DASHBOARD'!$C$4,INDEX(MASTER_ZONES!$B:$B,1243)))),1242,""),""),""))</f>
        <v/>
      </c>
      <c r="K1243">
        <f>IF('MIDWEEK DASHBOARD'!$B$4="Area",IF(1242&lt;=$N$3,IF(AND(OR('MIDWEEK DASHBOARD'!$C$4="",ISNUMBER(SEARCH('MIDWEEK DASHBOARD'!$C$4,INDEX(MASTER_AREAS!$B:$B,1243))))),1242,""),""),IF('MIDWEEK DASHBOARD'!$B$4="Zone",IF(1242&lt;=$N$4,IF(OR('MIDWEEK DASHBOARD'!$C$4="",ISNUMBER(SEARCH('MIDWEEK DASHBOARD'!$C$4,INDEX(MASTER_ZONES!$B:$B,1243)))),1242,""),""),""))</f>
        <v/>
      </c>
      <c r="P1243">
        <f>IF('CHOP DASHBOARD'!$B$4="Area",IF(1242&lt;=$S$3,IF(AND(OR('CHOP DASHBOARD'!$C$4="",ISNUMBER(SEARCH('CHOP DASHBOARD'!$C$4,INDEX(MASTER_AREAS!$B:$B,1243))))),1242,""),""),IF('CHOP DASHBOARD'!$B$4="Zone",IF(1242&lt;=$S$4,IF(OR('CHOP DASHBOARD'!$C$4="",ISNUMBER(SEARCH('CHOP DASHBOARD'!$C$4,INDEX(MASTER_ZONES!$B:$B,1243)))),1242,""),""),""))</f>
        <v/>
      </c>
      <c r="U1243">
        <f>IF('COMMUNITY CHURCH DASHBOARD'!$B$4="Area",IF(1242&lt;=$X$3,IF(AND(OR('COMMUNITY CHURCH DASHBOARD'!$C$4="",ISNUMBER(SEARCH('COMMUNITY CHURCH DASHBOARD'!$C$4,INDEX(MASTER_AREAS!$B:$B,1243))))),1242,""),""),IF('COMMUNITY CHURCH DASHBOARD'!$B$4="Zone",IF(1242&lt;=$X$4,IF(OR('COMMUNITY CHURCH DASHBOARD'!$C$4="",ISNUMBER(SEARCH('COMMUNITY CHURCH DASHBOARD'!$C$4,INDEX(MASTER_ZONES!$B:$B,1243)))),1242,""),""),""))</f>
        <v/>
      </c>
    </row>
    <row r="1244">
      <c r="A1244">
        <f>IF('WSF DASHBOARD'!$B$4="Area",IF(1243&lt;=$D$3,IF(AND(OR('WSF DASHBOARD'!$C$4="",ISNUMBER(SEARCH('WSF DASHBOARD'!$C$4,INDEX(MASTER_AREAS!$B:$B,1244))))),1243,""),""),IF('WSF DASHBOARD'!$B$4="Zone",IF(1243&lt;=$D$4,IF(OR('WSF DASHBOARD'!$C$4="",ISNUMBER(SEARCH('WSF DASHBOARD'!$C$4,INDEX(MASTER_ZONES!$B:$B,1244)))),1243,""),""),""))</f>
        <v/>
      </c>
      <c r="F1244">
        <f>IF('TRANSPORT DASHBOARD'!$B$4="Area",IF(1243&lt;=$I$3,IF(AND(INDEX(MASTER_AREAS!$F:$F,1244)&lt;&gt;"N",OR('TRANSPORT DASHBOARD'!$C$4="",ISNUMBER(SEARCH('TRANSPORT DASHBOARD'!$C$4,INDEX(MASTER_AREAS!$B:$B,1244))))),1243,""),""),IF('TRANSPORT DASHBOARD'!$B$4="Zone",IF(1243&lt;=$I$4,IF(OR('TRANSPORT DASHBOARD'!$C$4="",ISNUMBER(SEARCH('TRANSPORT DASHBOARD'!$C$4,INDEX(MASTER_ZONES!$B:$B,1244)))),1243,""),""),""))</f>
        <v/>
      </c>
      <c r="K1244">
        <f>IF('MIDWEEK DASHBOARD'!$B$4="Area",IF(1243&lt;=$N$3,IF(AND(OR('MIDWEEK DASHBOARD'!$C$4="",ISNUMBER(SEARCH('MIDWEEK DASHBOARD'!$C$4,INDEX(MASTER_AREAS!$B:$B,1244))))),1243,""),""),IF('MIDWEEK DASHBOARD'!$B$4="Zone",IF(1243&lt;=$N$4,IF(OR('MIDWEEK DASHBOARD'!$C$4="",ISNUMBER(SEARCH('MIDWEEK DASHBOARD'!$C$4,INDEX(MASTER_ZONES!$B:$B,1244)))),1243,""),""),""))</f>
        <v/>
      </c>
      <c r="P1244">
        <f>IF('CHOP DASHBOARD'!$B$4="Area",IF(1243&lt;=$S$3,IF(AND(OR('CHOP DASHBOARD'!$C$4="",ISNUMBER(SEARCH('CHOP DASHBOARD'!$C$4,INDEX(MASTER_AREAS!$B:$B,1244))))),1243,""),""),IF('CHOP DASHBOARD'!$B$4="Zone",IF(1243&lt;=$S$4,IF(OR('CHOP DASHBOARD'!$C$4="",ISNUMBER(SEARCH('CHOP DASHBOARD'!$C$4,INDEX(MASTER_ZONES!$B:$B,1244)))),1243,""),""),""))</f>
        <v/>
      </c>
      <c r="U1244">
        <f>IF('COMMUNITY CHURCH DASHBOARD'!$B$4="Area",IF(1243&lt;=$X$3,IF(AND(OR('COMMUNITY CHURCH DASHBOARD'!$C$4="",ISNUMBER(SEARCH('COMMUNITY CHURCH DASHBOARD'!$C$4,INDEX(MASTER_AREAS!$B:$B,1244))))),1243,""),""),IF('COMMUNITY CHURCH DASHBOARD'!$B$4="Zone",IF(1243&lt;=$X$4,IF(OR('COMMUNITY CHURCH DASHBOARD'!$C$4="",ISNUMBER(SEARCH('COMMUNITY CHURCH DASHBOARD'!$C$4,INDEX(MASTER_ZONES!$B:$B,1244)))),1243,""),""),""))</f>
        <v/>
      </c>
    </row>
    <row r="1245">
      <c r="A1245">
        <f>IF('WSF DASHBOARD'!$B$4="Area",IF(1244&lt;=$D$3,IF(AND(OR('WSF DASHBOARD'!$C$4="",ISNUMBER(SEARCH('WSF DASHBOARD'!$C$4,INDEX(MASTER_AREAS!$B:$B,1245))))),1244,""),""),IF('WSF DASHBOARD'!$B$4="Zone",IF(1244&lt;=$D$4,IF(OR('WSF DASHBOARD'!$C$4="",ISNUMBER(SEARCH('WSF DASHBOARD'!$C$4,INDEX(MASTER_ZONES!$B:$B,1245)))),1244,""),""),""))</f>
        <v/>
      </c>
      <c r="F1245">
        <f>IF('TRANSPORT DASHBOARD'!$B$4="Area",IF(1244&lt;=$I$3,IF(AND(INDEX(MASTER_AREAS!$F:$F,1245)&lt;&gt;"N",OR('TRANSPORT DASHBOARD'!$C$4="",ISNUMBER(SEARCH('TRANSPORT DASHBOARD'!$C$4,INDEX(MASTER_AREAS!$B:$B,1245))))),1244,""),""),IF('TRANSPORT DASHBOARD'!$B$4="Zone",IF(1244&lt;=$I$4,IF(OR('TRANSPORT DASHBOARD'!$C$4="",ISNUMBER(SEARCH('TRANSPORT DASHBOARD'!$C$4,INDEX(MASTER_ZONES!$B:$B,1245)))),1244,""),""),""))</f>
        <v/>
      </c>
      <c r="K1245">
        <f>IF('MIDWEEK DASHBOARD'!$B$4="Area",IF(1244&lt;=$N$3,IF(AND(OR('MIDWEEK DASHBOARD'!$C$4="",ISNUMBER(SEARCH('MIDWEEK DASHBOARD'!$C$4,INDEX(MASTER_AREAS!$B:$B,1245))))),1244,""),""),IF('MIDWEEK DASHBOARD'!$B$4="Zone",IF(1244&lt;=$N$4,IF(OR('MIDWEEK DASHBOARD'!$C$4="",ISNUMBER(SEARCH('MIDWEEK DASHBOARD'!$C$4,INDEX(MASTER_ZONES!$B:$B,1245)))),1244,""),""),""))</f>
        <v/>
      </c>
      <c r="P1245">
        <f>IF('CHOP DASHBOARD'!$B$4="Area",IF(1244&lt;=$S$3,IF(AND(OR('CHOP DASHBOARD'!$C$4="",ISNUMBER(SEARCH('CHOP DASHBOARD'!$C$4,INDEX(MASTER_AREAS!$B:$B,1245))))),1244,""),""),IF('CHOP DASHBOARD'!$B$4="Zone",IF(1244&lt;=$S$4,IF(OR('CHOP DASHBOARD'!$C$4="",ISNUMBER(SEARCH('CHOP DASHBOARD'!$C$4,INDEX(MASTER_ZONES!$B:$B,1245)))),1244,""),""),""))</f>
        <v/>
      </c>
      <c r="U1245">
        <f>IF('COMMUNITY CHURCH DASHBOARD'!$B$4="Area",IF(1244&lt;=$X$3,IF(AND(OR('COMMUNITY CHURCH DASHBOARD'!$C$4="",ISNUMBER(SEARCH('COMMUNITY CHURCH DASHBOARD'!$C$4,INDEX(MASTER_AREAS!$B:$B,1245))))),1244,""),""),IF('COMMUNITY CHURCH DASHBOARD'!$B$4="Zone",IF(1244&lt;=$X$4,IF(OR('COMMUNITY CHURCH DASHBOARD'!$C$4="",ISNUMBER(SEARCH('COMMUNITY CHURCH DASHBOARD'!$C$4,INDEX(MASTER_ZONES!$B:$B,1245)))),1244,""),""),""))</f>
        <v/>
      </c>
    </row>
    <row r="1246">
      <c r="A1246">
        <f>IF('WSF DASHBOARD'!$B$4="Area",IF(1245&lt;=$D$3,IF(AND(OR('WSF DASHBOARD'!$C$4="",ISNUMBER(SEARCH('WSF DASHBOARD'!$C$4,INDEX(MASTER_AREAS!$B:$B,1246))))),1245,""),""),IF('WSF DASHBOARD'!$B$4="Zone",IF(1245&lt;=$D$4,IF(OR('WSF DASHBOARD'!$C$4="",ISNUMBER(SEARCH('WSF DASHBOARD'!$C$4,INDEX(MASTER_ZONES!$B:$B,1246)))),1245,""),""),""))</f>
        <v/>
      </c>
      <c r="F1246">
        <f>IF('TRANSPORT DASHBOARD'!$B$4="Area",IF(1245&lt;=$I$3,IF(AND(INDEX(MASTER_AREAS!$F:$F,1246)&lt;&gt;"N",OR('TRANSPORT DASHBOARD'!$C$4="",ISNUMBER(SEARCH('TRANSPORT DASHBOARD'!$C$4,INDEX(MASTER_AREAS!$B:$B,1246))))),1245,""),""),IF('TRANSPORT DASHBOARD'!$B$4="Zone",IF(1245&lt;=$I$4,IF(OR('TRANSPORT DASHBOARD'!$C$4="",ISNUMBER(SEARCH('TRANSPORT DASHBOARD'!$C$4,INDEX(MASTER_ZONES!$B:$B,1246)))),1245,""),""),""))</f>
        <v/>
      </c>
      <c r="K1246">
        <f>IF('MIDWEEK DASHBOARD'!$B$4="Area",IF(1245&lt;=$N$3,IF(AND(OR('MIDWEEK DASHBOARD'!$C$4="",ISNUMBER(SEARCH('MIDWEEK DASHBOARD'!$C$4,INDEX(MASTER_AREAS!$B:$B,1246))))),1245,""),""),IF('MIDWEEK DASHBOARD'!$B$4="Zone",IF(1245&lt;=$N$4,IF(OR('MIDWEEK DASHBOARD'!$C$4="",ISNUMBER(SEARCH('MIDWEEK DASHBOARD'!$C$4,INDEX(MASTER_ZONES!$B:$B,1246)))),1245,""),""),""))</f>
        <v/>
      </c>
      <c r="P1246">
        <f>IF('CHOP DASHBOARD'!$B$4="Area",IF(1245&lt;=$S$3,IF(AND(OR('CHOP DASHBOARD'!$C$4="",ISNUMBER(SEARCH('CHOP DASHBOARD'!$C$4,INDEX(MASTER_AREAS!$B:$B,1246))))),1245,""),""),IF('CHOP DASHBOARD'!$B$4="Zone",IF(1245&lt;=$S$4,IF(OR('CHOP DASHBOARD'!$C$4="",ISNUMBER(SEARCH('CHOP DASHBOARD'!$C$4,INDEX(MASTER_ZONES!$B:$B,1246)))),1245,""),""),""))</f>
        <v/>
      </c>
      <c r="U1246">
        <f>IF('COMMUNITY CHURCH DASHBOARD'!$B$4="Area",IF(1245&lt;=$X$3,IF(AND(OR('COMMUNITY CHURCH DASHBOARD'!$C$4="",ISNUMBER(SEARCH('COMMUNITY CHURCH DASHBOARD'!$C$4,INDEX(MASTER_AREAS!$B:$B,1246))))),1245,""),""),IF('COMMUNITY CHURCH DASHBOARD'!$B$4="Zone",IF(1245&lt;=$X$4,IF(OR('COMMUNITY CHURCH DASHBOARD'!$C$4="",ISNUMBER(SEARCH('COMMUNITY CHURCH DASHBOARD'!$C$4,INDEX(MASTER_ZONES!$B:$B,1246)))),1245,""),""),""))</f>
        <v/>
      </c>
    </row>
    <row r="1247">
      <c r="A1247">
        <f>IF('WSF DASHBOARD'!$B$4="Area",IF(1246&lt;=$D$3,IF(AND(OR('WSF DASHBOARD'!$C$4="",ISNUMBER(SEARCH('WSF DASHBOARD'!$C$4,INDEX(MASTER_AREAS!$B:$B,1247))))),1246,""),""),IF('WSF DASHBOARD'!$B$4="Zone",IF(1246&lt;=$D$4,IF(OR('WSF DASHBOARD'!$C$4="",ISNUMBER(SEARCH('WSF DASHBOARD'!$C$4,INDEX(MASTER_ZONES!$B:$B,1247)))),1246,""),""),""))</f>
        <v/>
      </c>
      <c r="F1247">
        <f>IF('TRANSPORT DASHBOARD'!$B$4="Area",IF(1246&lt;=$I$3,IF(AND(INDEX(MASTER_AREAS!$F:$F,1247)&lt;&gt;"N",OR('TRANSPORT DASHBOARD'!$C$4="",ISNUMBER(SEARCH('TRANSPORT DASHBOARD'!$C$4,INDEX(MASTER_AREAS!$B:$B,1247))))),1246,""),""),IF('TRANSPORT DASHBOARD'!$B$4="Zone",IF(1246&lt;=$I$4,IF(OR('TRANSPORT DASHBOARD'!$C$4="",ISNUMBER(SEARCH('TRANSPORT DASHBOARD'!$C$4,INDEX(MASTER_ZONES!$B:$B,1247)))),1246,""),""),""))</f>
        <v/>
      </c>
      <c r="K1247">
        <f>IF('MIDWEEK DASHBOARD'!$B$4="Area",IF(1246&lt;=$N$3,IF(AND(OR('MIDWEEK DASHBOARD'!$C$4="",ISNUMBER(SEARCH('MIDWEEK DASHBOARD'!$C$4,INDEX(MASTER_AREAS!$B:$B,1247))))),1246,""),""),IF('MIDWEEK DASHBOARD'!$B$4="Zone",IF(1246&lt;=$N$4,IF(OR('MIDWEEK DASHBOARD'!$C$4="",ISNUMBER(SEARCH('MIDWEEK DASHBOARD'!$C$4,INDEX(MASTER_ZONES!$B:$B,1247)))),1246,""),""),""))</f>
        <v/>
      </c>
      <c r="P1247">
        <f>IF('CHOP DASHBOARD'!$B$4="Area",IF(1246&lt;=$S$3,IF(AND(OR('CHOP DASHBOARD'!$C$4="",ISNUMBER(SEARCH('CHOP DASHBOARD'!$C$4,INDEX(MASTER_AREAS!$B:$B,1247))))),1246,""),""),IF('CHOP DASHBOARD'!$B$4="Zone",IF(1246&lt;=$S$4,IF(OR('CHOP DASHBOARD'!$C$4="",ISNUMBER(SEARCH('CHOP DASHBOARD'!$C$4,INDEX(MASTER_ZONES!$B:$B,1247)))),1246,""),""),""))</f>
        <v/>
      </c>
      <c r="U1247">
        <f>IF('COMMUNITY CHURCH DASHBOARD'!$B$4="Area",IF(1246&lt;=$X$3,IF(AND(OR('COMMUNITY CHURCH DASHBOARD'!$C$4="",ISNUMBER(SEARCH('COMMUNITY CHURCH DASHBOARD'!$C$4,INDEX(MASTER_AREAS!$B:$B,1247))))),1246,""),""),IF('COMMUNITY CHURCH DASHBOARD'!$B$4="Zone",IF(1246&lt;=$X$4,IF(OR('COMMUNITY CHURCH DASHBOARD'!$C$4="",ISNUMBER(SEARCH('COMMUNITY CHURCH DASHBOARD'!$C$4,INDEX(MASTER_ZONES!$B:$B,1247)))),1246,""),""),""))</f>
        <v/>
      </c>
    </row>
    <row r="1248">
      <c r="A1248">
        <f>IF('WSF DASHBOARD'!$B$4="Area",IF(1247&lt;=$D$3,IF(AND(OR('WSF DASHBOARD'!$C$4="",ISNUMBER(SEARCH('WSF DASHBOARD'!$C$4,INDEX(MASTER_AREAS!$B:$B,1248))))),1247,""),""),IF('WSF DASHBOARD'!$B$4="Zone",IF(1247&lt;=$D$4,IF(OR('WSF DASHBOARD'!$C$4="",ISNUMBER(SEARCH('WSF DASHBOARD'!$C$4,INDEX(MASTER_ZONES!$B:$B,1248)))),1247,""),""),""))</f>
        <v/>
      </c>
      <c r="F1248">
        <f>IF('TRANSPORT DASHBOARD'!$B$4="Area",IF(1247&lt;=$I$3,IF(AND(INDEX(MASTER_AREAS!$F:$F,1248)&lt;&gt;"N",OR('TRANSPORT DASHBOARD'!$C$4="",ISNUMBER(SEARCH('TRANSPORT DASHBOARD'!$C$4,INDEX(MASTER_AREAS!$B:$B,1248))))),1247,""),""),IF('TRANSPORT DASHBOARD'!$B$4="Zone",IF(1247&lt;=$I$4,IF(OR('TRANSPORT DASHBOARD'!$C$4="",ISNUMBER(SEARCH('TRANSPORT DASHBOARD'!$C$4,INDEX(MASTER_ZONES!$B:$B,1248)))),1247,""),""),""))</f>
        <v/>
      </c>
      <c r="K1248">
        <f>IF('MIDWEEK DASHBOARD'!$B$4="Area",IF(1247&lt;=$N$3,IF(AND(OR('MIDWEEK DASHBOARD'!$C$4="",ISNUMBER(SEARCH('MIDWEEK DASHBOARD'!$C$4,INDEX(MASTER_AREAS!$B:$B,1248))))),1247,""),""),IF('MIDWEEK DASHBOARD'!$B$4="Zone",IF(1247&lt;=$N$4,IF(OR('MIDWEEK DASHBOARD'!$C$4="",ISNUMBER(SEARCH('MIDWEEK DASHBOARD'!$C$4,INDEX(MASTER_ZONES!$B:$B,1248)))),1247,""),""),""))</f>
        <v/>
      </c>
      <c r="P1248">
        <f>IF('CHOP DASHBOARD'!$B$4="Area",IF(1247&lt;=$S$3,IF(AND(OR('CHOP DASHBOARD'!$C$4="",ISNUMBER(SEARCH('CHOP DASHBOARD'!$C$4,INDEX(MASTER_AREAS!$B:$B,1248))))),1247,""),""),IF('CHOP DASHBOARD'!$B$4="Zone",IF(1247&lt;=$S$4,IF(OR('CHOP DASHBOARD'!$C$4="",ISNUMBER(SEARCH('CHOP DASHBOARD'!$C$4,INDEX(MASTER_ZONES!$B:$B,1248)))),1247,""),""),""))</f>
        <v/>
      </c>
      <c r="U1248">
        <f>IF('COMMUNITY CHURCH DASHBOARD'!$B$4="Area",IF(1247&lt;=$X$3,IF(AND(OR('COMMUNITY CHURCH DASHBOARD'!$C$4="",ISNUMBER(SEARCH('COMMUNITY CHURCH DASHBOARD'!$C$4,INDEX(MASTER_AREAS!$B:$B,1248))))),1247,""),""),IF('COMMUNITY CHURCH DASHBOARD'!$B$4="Zone",IF(1247&lt;=$X$4,IF(OR('COMMUNITY CHURCH DASHBOARD'!$C$4="",ISNUMBER(SEARCH('COMMUNITY CHURCH DASHBOARD'!$C$4,INDEX(MASTER_ZONES!$B:$B,1248)))),1247,""),""),""))</f>
        <v/>
      </c>
    </row>
    <row r="1249">
      <c r="A1249">
        <f>IF('WSF DASHBOARD'!$B$4="Area",IF(1248&lt;=$D$3,IF(AND(OR('WSF DASHBOARD'!$C$4="",ISNUMBER(SEARCH('WSF DASHBOARD'!$C$4,INDEX(MASTER_AREAS!$B:$B,1249))))),1248,""),""),IF('WSF DASHBOARD'!$B$4="Zone",IF(1248&lt;=$D$4,IF(OR('WSF DASHBOARD'!$C$4="",ISNUMBER(SEARCH('WSF DASHBOARD'!$C$4,INDEX(MASTER_ZONES!$B:$B,1249)))),1248,""),""),""))</f>
        <v/>
      </c>
      <c r="F1249">
        <f>IF('TRANSPORT DASHBOARD'!$B$4="Area",IF(1248&lt;=$I$3,IF(AND(INDEX(MASTER_AREAS!$F:$F,1249)&lt;&gt;"N",OR('TRANSPORT DASHBOARD'!$C$4="",ISNUMBER(SEARCH('TRANSPORT DASHBOARD'!$C$4,INDEX(MASTER_AREAS!$B:$B,1249))))),1248,""),""),IF('TRANSPORT DASHBOARD'!$B$4="Zone",IF(1248&lt;=$I$4,IF(OR('TRANSPORT DASHBOARD'!$C$4="",ISNUMBER(SEARCH('TRANSPORT DASHBOARD'!$C$4,INDEX(MASTER_ZONES!$B:$B,1249)))),1248,""),""),""))</f>
        <v/>
      </c>
      <c r="K1249">
        <f>IF('MIDWEEK DASHBOARD'!$B$4="Area",IF(1248&lt;=$N$3,IF(AND(OR('MIDWEEK DASHBOARD'!$C$4="",ISNUMBER(SEARCH('MIDWEEK DASHBOARD'!$C$4,INDEX(MASTER_AREAS!$B:$B,1249))))),1248,""),""),IF('MIDWEEK DASHBOARD'!$B$4="Zone",IF(1248&lt;=$N$4,IF(OR('MIDWEEK DASHBOARD'!$C$4="",ISNUMBER(SEARCH('MIDWEEK DASHBOARD'!$C$4,INDEX(MASTER_ZONES!$B:$B,1249)))),1248,""),""),""))</f>
        <v/>
      </c>
      <c r="P1249">
        <f>IF('CHOP DASHBOARD'!$B$4="Area",IF(1248&lt;=$S$3,IF(AND(OR('CHOP DASHBOARD'!$C$4="",ISNUMBER(SEARCH('CHOP DASHBOARD'!$C$4,INDEX(MASTER_AREAS!$B:$B,1249))))),1248,""),""),IF('CHOP DASHBOARD'!$B$4="Zone",IF(1248&lt;=$S$4,IF(OR('CHOP DASHBOARD'!$C$4="",ISNUMBER(SEARCH('CHOP DASHBOARD'!$C$4,INDEX(MASTER_ZONES!$B:$B,1249)))),1248,""),""),""))</f>
        <v/>
      </c>
      <c r="U1249">
        <f>IF('COMMUNITY CHURCH DASHBOARD'!$B$4="Area",IF(1248&lt;=$X$3,IF(AND(OR('COMMUNITY CHURCH DASHBOARD'!$C$4="",ISNUMBER(SEARCH('COMMUNITY CHURCH DASHBOARD'!$C$4,INDEX(MASTER_AREAS!$B:$B,1249))))),1248,""),""),IF('COMMUNITY CHURCH DASHBOARD'!$B$4="Zone",IF(1248&lt;=$X$4,IF(OR('COMMUNITY CHURCH DASHBOARD'!$C$4="",ISNUMBER(SEARCH('COMMUNITY CHURCH DASHBOARD'!$C$4,INDEX(MASTER_ZONES!$B:$B,1249)))),1248,""),""),""))</f>
        <v/>
      </c>
    </row>
    <row r="1250">
      <c r="A1250">
        <f>IF('WSF DASHBOARD'!$B$4="Area",IF(1249&lt;=$D$3,IF(AND(OR('WSF DASHBOARD'!$C$4="",ISNUMBER(SEARCH('WSF DASHBOARD'!$C$4,INDEX(MASTER_AREAS!$B:$B,1250))))),1249,""),""),IF('WSF DASHBOARD'!$B$4="Zone",IF(1249&lt;=$D$4,IF(OR('WSF DASHBOARD'!$C$4="",ISNUMBER(SEARCH('WSF DASHBOARD'!$C$4,INDEX(MASTER_ZONES!$B:$B,1250)))),1249,""),""),""))</f>
        <v/>
      </c>
      <c r="F1250">
        <f>IF('TRANSPORT DASHBOARD'!$B$4="Area",IF(1249&lt;=$I$3,IF(AND(INDEX(MASTER_AREAS!$F:$F,1250)&lt;&gt;"N",OR('TRANSPORT DASHBOARD'!$C$4="",ISNUMBER(SEARCH('TRANSPORT DASHBOARD'!$C$4,INDEX(MASTER_AREAS!$B:$B,1250))))),1249,""),""),IF('TRANSPORT DASHBOARD'!$B$4="Zone",IF(1249&lt;=$I$4,IF(OR('TRANSPORT DASHBOARD'!$C$4="",ISNUMBER(SEARCH('TRANSPORT DASHBOARD'!$C$4,INDEX(MASTER_ZONES!$B:$B,1250)))),1249,""),""),""))</f>
        <v/>
      </c>
      <c r="K1250">
        <f>IF('MIDWEEK DASHBOARD'!$B$4="Area",IF(1249&lt;=$N$3,IF(AND(OR('MIDWEEK DASHBOARD'!$C$4="",ISNUMBER(SEARCH('MIDWEEK DASHBOARD'!$C$4,INDEX(MASTER_AREAS!$B:$B,1250))))),1249,""),""),IF('MIDWEEK DASHBOARD'!$B$4="Zone",IF(1249&lt;=$N$4,IF(OR('MIDWEEK DASHBOARD'!$C$4="",ISNUMBER(SEARCH('MIDWEEK DASHBOARD'!$C$4,INDEX(MASTER_ZONES!$B:$B,1250)))),1249,""),""),""))</f>
        <v/>
      </c>
      <c r="P1250">
        <f>IF('CHOP DASHBOARD'!$B$4="Area",IF(1249&lt;=$S$3,IF(AND(OR('CHOP DASHBOARD'!$C$4="",ISNUMBER(SEARCH('CHOP DASHBOARD'!$C$4,INDEX(MASTER_AREAS!$B:$B,1250))))),1249,""),""),IF('CHOP DASHBOARD'!$B$4="Zone",IF(1249&lt;=$S$4,IF(OR('CHOP DASHBOARD'!$C$4="",ISNUMBER(SEARCH('CHOP DASHBOARD'!$C$4,INDEX(MASTER_ZONES!$B:$B,1250)))),1249,""),""),""))</f>
        <v/>
      </c>
      <c r="U1250">
        <f>IF('COMMUNITY CHURCH DASHBOARD'!$B$4="Area",IF(1249&lt;=$X$3,IF(AND(OR('COMMUNITY CHURCH DASHBOARD'!$C$4="",ISNUMBER(SEARCH('COMMUNITY CHURCH DASHBOARD'!$C$4,INDEX(MASTER_AREAS!$B:$B,1250))))),1249,""),""),IF('COMMUNITY CHURCH DASHBOARD'!$B$4="Zone",IF(1249&lt;=$X$4,IF(OR('COMMUNITY CHURCH DASHBOARD'!$C$4="",ISNUMBER(SEARCH('COMMUNITY CHURCH DASHBOARD'!$C$4,INDEX(MASTER_ZONES!$B:$B,1250)))),1249,""),""),""))</f>
        <v/>
      </c>
    </row>
    <row r="1251">
      <c r="A1251">
        <f>IF('WSF DASHBOARD'!$B$4="Area",IF(1250&lt;=$D$3,IF(AND(OR('WSF DASHBOARD'!$C$4="",ISNUMBER(SEARCH('WSF DASHBOARD'!$C$4,INDEX(MASTER_AREAS!$B:$B,1251))))),1250,""),""),IF('WSF DASHBOARD'!$B$4="Zone",IF(1250&lt;=$D$4,IF(OR('WSF DASHBOARD'!$C$4="",ISNUMBER(SEARCH('WSF DASHBOARD'!$C$4,INDEX(MASTER_ZONES!$B:$B,1251)))),1250,""),""),""))</f>
        <v/>
      </c>
      <c r="F1251">
        <f>IF('TRANSPORT DASHBOARD'!$B$4="Area",IF(1250&lt;=$I$3,IF(AND(INDEX(MASTER_AREAS!$F:$F,1251)&lt;&gt;"N",OR('TRANSPORT DASHBOARD'!$C$4="",ISNUMBER(SEARCH('TRANSPORT DASHBOARD'!$C$4,INDEX(MASTER_AREAS!$B:$B,1251))))),1250,""),""),IF('TRANSPORT DASHBOARD'!$B$4="Zone",IF(1250&lt;=$I$4,IF(OR('TRANSPORT DASHBOARD'!$C$4="",ISNUMBER(SEARCH('TRANSPORT DASHBOARD'!$C$4,INDEX(MASTER_ZONES!$B:$B,1251)))),1250,""),""),""))</f>
        <v/>
      </c>
      <c r="K1251">
        <f>IF('MIDWEEK DASHBOARD'!$B$4="Area",IF(1250&lt;=$N$3,IF(AND(OR('MIDWEEK DASHBOARD'!$C$4="",ISNUMBER(SEARCH('MIDWEEK DASHBOARD'!$C$4,INDEX(MASTER_AREAS!$B:$B,1251))))),1250,""),""),IF('MIDWEEK DASHBOARD'!$B$4="Zone",IF(1250&lt;=$N$4,IF(OR('MIDWEEK DASHBOARD'!$C$4="",ISNUMBER(SEARCH('MIDWEEK DASHBOARD'!$C$4,INDEX(MASTER_ZONES!$B:$B,1251)))),1250,""),""),""))</f>
        <v/>
      </c>
      <c r="P1251">
        <f>IF('CHOP DASHBOARD'!$B$4="Area",IF(1250&lt;=$S$3,IF(AND(OR('CHOP DASHBOARD'!$C$4="",ISNUMBER(SEARCH('CHOP DASHBOARD'!$C$4,INDEX(MASTER_AREAS!$B:$B,1251))))),1250,""),""),IF('CHOP DASHBOARD'!$B$4="Zone",IF(1250&lt;=$S$4,IF(OR('CHOP DASHBOARD'!$C$4="",ISNUMBER(SEARCH('CHOP DASHBOARD'!$C$4,INDEX(MASTER_ZONES!$B:$B,1251)))),1250,""),""),""))</f>
        <v/>
      </c>
      <c r="U1251">
        <f>IF('COMMUNITY CHURCH DASHBOARD'!$B$4="Area",IF(1250&lt;=$X$3,IF(AND(OR('COMMUNITY CHURCH DASHBOARD'!$C$4="",ISNUMBER(SEARCH('COMMUNITY CHURCH DASHBOARD'!$C$4,INDEX(MASTER_AREAS!$B:$B,1251))))),1250,""),""),IF('COMMUNITY CHURCH DASHBOARD'!$B$4="Zone",IF(1250&lt;=$X$4,IF(OR('COMMUNITY CHURCH DASHBOARD'!$C$4="",ISNUMBER(SEARCH('COMMUNITY CHURCH DASHBOARD'!$C$4,INDEX(MASTER_ZONES!$B:$B,1251)))),1250,""),""),""))</f>
        <v/>
      </c>
    </row>
    <row r="1252">
      <c r="A1252">
        <f>IF('WSF DASHBOARD'!$B$4="Area",IF(1251&lt;=$D$3,IF(AND(OR('WSF DASHBOARD'!$C$4="",ISNUMBER(SEARCH('WSF DASHBOARD'!$C$4,INDEX(MASTER_AREAS!$B:$B,1252))))),1251,""),""),IF('WSF DASHBOARD'!$B$4="Zone",IF(1251&lt;=$D$4,IF(OR('WSF DASHBOARD'!$C$4="",ISNUMBER(SEARCH('WSF DASHBOARD'!$C$4,INDEX(MASTER_ZONES!$B:$B,1252)))),1251,""),""),""))</f>
        <v/>
      </c>
      <c r="F1252">
        <f>IF('TRANSPORT DASHBOARD'!$B$4="Area",IF(1251&lt;=$I$3,IF(AND(INDEX(MASTER_AREAS!$F:$F,1252)&lt;&gt;"N",OR('TRANSPORT DASHBOARD'!$C$4="",ISNUMBER(SEARCH('TRANSPORT DASHBOARD'!$C$4,INDEX(MASTER_AREAS!$B:$B,1252))))),1251,""),""),IF('TRANSPORT DASHBOARD'!$B$4="Zone",IF(1251&lt;=$I$4,IF(OR('TRANSPORT DASHBOARD'!$C$4="",ISNUMBER(SEARCH('TRANSPORT DASHBOARD'!$C$4,INDEX(MASTER_ZONES!$B:$B,1252)))),1251,""),""),""))</f>
        <v/>
      </c>
      <c r="K1252">
        <f>IF('MIDWEEK DASHBOARD'!$B$4="Area",IF(1251&lt;=$N$3,IF(AND(OR('MIDWEEK DASHBOARD'!$C$4="",ISNUMBER(SEARCH('MIDWEEK DASHBOARD'!$C$4,INDEX(MASTER_AREAS!$B:$B,1252))))),1251,""),""),IF('MIDWEEK DASHBOARD'!$B$4="Zone",IF(1251&lt;=$N$4,IF(OR('MIDWEEK DASHBOARD'!$C$4="",ISNUMBER(SEARCH('MIDWEEK DASHBOARD'!$C$4,INDEX(MASTER_ZONES!$B:$B,1252)))),1251,""),""),""))</f>
        <v/>
      </c>
      <c r="P1252">
        <f>IF('CHOP DASHBOARD'!$B$4="Area",IF(1251&lt;=$S$3,IF(AND(OR('CHOP DASHBOARD'!$C$4="",ISNUMBER(SEARCH('CHOP DASHBOARD'!$C$4,INDEX(MASTER_AREAS!$B:$B,1252))))),1251,""),""),IF('CHOP DASHBOARD'!$B$4="Zone",IF(1251&lt;=$S$4,IF(OR('CHOP DASHBOARD'!$C$4="",ISNUMBER(SEARCH('CHOP DASHBOARD'!$C$4,INDEX(MASTER_ZONES!$B:$B,1252)))),1251,""),""),""))</f>
        <v/>
      </c>
      <c r="U1252">
        <f>IF('COMMUNITY CHURCH DASHBOARD'!$B$4="Area",IF(1251&lt;=$X$3,IF(AND(OR('COMMUNITY CHURCH DASHBOARD'!$C$4="",ISNUMBER(SEARCH('COMMUNITY CHURCH DASHBOARD'!$C$4,INDEX(MASTER_AREAS!$B:$B,1252))))),1251,""),""),IF('COMMUNITY CHURCH DASHBOARD'!$B$4="Zone",IF(1251&lt;=$X$4,IF(OR('COMMUNITY CHURCH DASHBOARD'!$C$4="",ISNUMBER(SEARCH('COMMUNITY CHURCH DASHBOARD'!$C$4,INDEX(MASTER_ZONES!$B:$B,1252)))),1251,""),""),""))</f>
        <v/>
      </c>
    </row>
    <row r="1253">
      <c r="A1253">
        <f>IF('WSF DASHBOARD'!$B$4="Area",IF(1252&lt;=$D$3,IF(AND(OR('WSF DASHBOARD'!$C$4="",ISNUMBER(SEARCH('WSF DASHBOARD'!$C$4,INDEX(MASTER_AREAS!$B:$B,1253))))),1252,""),""),IF('WSF DASHBOARD'!$B$4="Zone",IF(1252&lt;=$D$4,IF(OR('WSF DASHBOARD'!$C$4="",ISNUMBER(SEARCH('WSF DASHBOARD'!$C$4,INDEX(MASTER_ZONES!$B:$B,1253)))),1252,""),""),""))</f>
        <v/>
      </c>
      <c r="F1253">
        <f>IF('TRANSPORT DASHBOARD'!$B$4="Area",IF(1252&lt;=$I$3,IF(AND(INDEX(MASTER_AREAS!$F:$F,1253)&lt;&gt;"N",OR('TRANSPORT DASHBOARD'!$C$4="",ISNUMBER(SEARCH('TRANSPORT DASHBOARD'!$C$4,INDEX(MASTER_AREAS!$B:$B,1253))))),1252,""),""),IF('TRANSPORT DASHBOARD'!$B$4="Zone",IF(1252&lt;=$I$4,IF(OR('TRANSPORT DASHBOARD'!$C$4="",ISNUMBER(SEARCH('TRANSPORT DASHBOARD'!$C$4,INDEX(MASTER_ZONES!$B:$B,1253)))),1252,""),""),""))</f>
        <v/>
      </c>
      <c r="K1253">
        <f>IF('MIDWEEK DASHBOARD'!$B$4="Area",IF(1252&lt;=$N$3,IF(AND(OR('MIDWEEK DASHBOARD'!$C$4="",ISNUMBER(SEARCH('MIDWEEK DASHBOARD'!$C$4,INDEX(MASTER_AREAS!$B:$B,1253))))),1252,""),""),IF('MIDWEEK DASHBOARD'!$B$4="Zone",IF(1252&lt;=$N$4,IF(OR('MIDWEEK DASHBOARD'!$C$4="",ISNUMBER(SEARCH('MIDWEEK DASHBOARD'!$C$4,INDEX(MASTER_ZONES!$B:$B,1253)))),1252,""),""),""))</f>
        <v/>
      </c>
      <c r="P1253">
        <f>IF('CHOP DASHBOARD'!$B$4="Area",IF(1252&lt;=$S$3,IF(AND(OR('CHOP DASHBOARD'!$C$4="",ISNUMBER(SEARCH('CHOP DASHBOARD'!$C$4,INDEX(MASTER_AREAS!$B:$B,1253))))),1252,""),""),IF('CHOP DASHBOARD'!$B$4="Zone",IF(1252&lt;=$S$4,IF(OR('CHOP DASHBOARD'!$C$4="",ISNUMBER(SEARCH('CHOP DASHBOARD'!$C$4,INDEX(MASTER_ZONES!$B:$B,1253)))),1252,""),""),""))</f>
        <v/>
      </c>
      <c r="U1253">
        <f>IF('COMMUNITY CHURCH DASHBOARD'!$B$4="Area",IF(1252&lt;=$X$3,IF(AND(OR('COMMUNITY CHURCH DASHBOARD'!$C$4="",ISNUMBER(SEARCH('COMMUNITY CHURCH DASHBOARD'!$C$4,INDEX(MASTER_AREAS!$B:$B,1253))))),1252,""),""),IF('COMMUNITY CHURCH DASHBOARD'!$B$4="Zone",IF(1252&lt;=$X$4,IF(OR('COMMUNITY CHURCH DASHBOARD'!$C$4="",ISNUMBER(SEARCH('COMMUNITY CHURCH DASHBOARD'!$C$4,INDEX(MASTER_ZONES!$B:$B,1253)))),1252,""),""),""))</f>
        <v/>
      </c>
    </row>
    <row r="1254">
      <c r="A1254">
        <f>IF('WSF DASHBOARD'!$B$4="Area",IF(1253&lt;=$D$3,IF(AND(OR('WSF DASHBOARD'!$C$4="",ISNUMBER(SEARCH('WSF DASHBOARD'!$C$4,INDEX(MASTER_AREAS!$B:$B,1254))))),1253,""),""),IF('WSF DASHBOARD'!$B$4="Zone",IF(1253&lt;=$D$4,IF(OR('WSF DASHBOARD'!$C$4="",ISNUMBER(SEARCH('WSF DASHBOARD'!$C$4,INDEX(MASTER_ZONES!$B:$B,1254)))),1253,""),""),""))</f>
        <v/>
      </c>
      <c r="F1254">
        <f>IF('TRANSPORT DASHBOARD'!$B$4="Area",IF(1253&lt;=$I$3,IF(AND(INDEX(MASTER_AREAS!$F:$F,1254)&lt;&gt;"N",OR('TRANSPORT DASHBOARD'!$C$4="",ISNUMBER(SEARCH('TRANSPORT DASHBOARD'!$C$4,INDEX(MASTER_AREAS!$B:$B,1254))))),1253,""),""),IF('TRANSPORT DASHBOARD'!$B$4="Zone",IF(1253&lt;=$I$4,IF(OR('TRANSPORT DASHBOARD'!$C$4="",ISNUMBER(SEARCH('TRANSPORT DASHBOARD'!$C$4,INDEX(MASTER_ZONES!$B:$B,1254)))),1253,""),""),""))</f>
        <v/>
      </c>
      <c r="K1254">
        <f>IF('MIDWEEK DASHBOARD'!$B$4="Area",IF(1253&lt;=$N$3,IF(AND(OR('MIDWEEK DASHBOARD'!$C$4="",ISNUMBER(SEARCH('MIDWEEK DASHBOARD'!$C$4,INDEX(MASTER_AREAS!$B:$B,1254))))),1253,""),""),IF('MIDWEEK DASHBOARD'!$B$4="Zone",IF(1253&lt;=$N$4,IF(OR('MIDWEEK DASHBOARD'!$C$4="",ISNUMBER(SEARCH('MIDWEEK DASHBOARD'!$C$4,INDEX(MASTER_ZONES!$B:$B,1254)))),1253,""),""),""))</f>
        <v/>
      </c>
      <c r="P1254">
        <f>IF('CHOP DASHBOARD'!$B$4="Area",IF(1253&lt;=$S$3,IF(AND(OR('CHOP DASHBOARD'!$C$4="",ISNUMBER(SEARCH('CHOP DASHBOARD'!$C$4,INDEX(MASTER_AREAS!$B:$B,1254))))),1253,""),""),IF('CHOP DASHBOARD'!$B$4="Zone",IF(1253&lt;=$S$4,IF(OR('CHOP DASHBOARD'!$C$4="",ISNUMBER(SEARCH('CHOP DASHBOARD'!$C$4,INDEX(MASTER_ZONES!$B:$B,1254)))),1253,""),""),""))</f>
        <v/>
      </c>
      <c r="U1254">
        <f>IF('COMMUNITY CHURCH DASHBOARD'!$B$4="Area",IF(1253&lt;=$X$3,IF(AND(OR('COMMUNITY CHURCH DASHBOARD'!$C$4="",ISNUMBER(SEARCH('COMMUNITY CHURCH DASHBOARD'!$C$4,INDEX(MASTER_AREAS!$B:$B,1254))))),1253,""),""),IF('COMMUNITY CHURCH DASHBOARD'!$B$4="Zone",IF(1253&lt;=$X$4,IF(OR('COMMUNITY CHURCH DASHBOARD'!$C$4="",ISNUMBER(SEARCH('COMMUNITY CHURCH DASHBOARD'!$C$4,INDEX(MASTER_ZONES!$B:$B,1254)))),1253,""),""),""))</f>
        <v/>
      </c>
    </row>
    <row r="1255">
      <c r="A1255">
        <f>IF('WSF DASHBOARD'!$B$4="Area",IF(1254&lt;=$D$3,IF(AND(OR('WSF DASHBOARD'!$C$4="",ISNUMBER(SEARCH('WSF DASHBOARD'!$C$4,INDEX(MASTER_AREAS!$B:$B,1255))))),1254,""),""),IF('WSF DASHBOARD'!$B$4="Zone",IF(1254&lt;=$D$4,IF(OR('WSF DASHBOARD'!$C$4="",ISNUMBER(SEARCH('WSF DASHBOARD'!$C$4,INDEX(MASTER_ZONES!$B:$B,1255)))),1254,""),""),""))</f>
        <v/>
      </c>
      <c r="F1255">
        <f>IF('TRANSPORT DASHBOARD'!$B$4="Area",IF(1254&lt;=$I$3,IF(AND(INDEX(MASTER_AREAS!$F:$F,1255)&lt;&gt;"N",OR('TRANSPORT DASHBOARD'!$C$4="",ISNUMBER(SEARCH('TRANSPORT DASHBOARD'!$C$4,INDEX(MASTER_AREAS!$B:$B,1255))))),1254,""),""),IF('TRANSPORT DASHBOARD'!$B$4="Zone",IF(1254&lt;=$I$4,IF(OR('TRANSPORT DASHBOARD'!$C$4="",ISNUMBER(SEARCH('TRANSPORT DASHBOARD'!$C$4,INDEX(MASTER_ZONES!$B:$B,1255)))),1254,""),""),""))</f>
        <v/>
      </c>
      <c r="K1255">
        <f>IF('MIDWEEK DASHBOARD'!$B$4="Area",IF(1254&lt;=$N$3,IF(AND(OR('MIDWEEK DASHBOARD'!$C$4="",ISNUMBER(SEARCH('MIDWEEK DASHBOARD'!$C$4,INDEX(MASTER_AREAS!$B:$B,1255))))),1254,""),""),IF('MIDWEEK DASHBOARD'!$B$4="Zone",IF(1254&lt;=$N$4,IF(OR('MIDWEEK DASHBOARD'!$C$4="",ISNUMBER(SEARCH('MIDWEEK DASHBOARD'!$C$4,INDEX(MASTER_ZONES!$B:$B,1255)))),1254,""),""),""))</f>
        <v/>
      </c>
      <c r="P1255">
        <f>IF('CHOP DASHBOARD'!$B$4="Area",IF(1254&lt;=$S$3,IF(AND(OR('CHOP DASHBOARD'!$C$4="",ISNUMBER(SEARCH('CHOP DASHBOARD'!$C$4,INDEX(MASTER_AREAS!$B:$B,1255))))),1254,""),""),IF('CHOP DASHBOARD'!$B$4="Zone",IF(1254&lt;=$S$4,IF(OR('CHOP DASHBOARD'!$C$4="",ISNUMBER(SEARCH('CHOP DASHBOARD'!$C$4,INDEX(MASTER_ZONES!$B:$B,1255)))),1254,""),""),""))</f>
        <v/>
      </c>
      <c r="U1255">
        <f>IF('COMMUNITY CHURCH DASHBOARD'!$B$4="Area",IF(1254&lt;=$X$3,IF(AND(OR('COMMUNITY CHURCH DASHBOARD'!$C$4="",ISNUMBER(SEARCH('COMMUNITY CHURCH DASHBOARD'!$C$4,INDEX(MASTER_AREAS!$B:$B,1255))))),1254,""),""),IF('COMMUNITY CHURCH DASHBOARD'!$B$4="Zone",IF(1254&lt;=$X$4,IF(OR('COMMUNITY CHURCH DASHBOARD'!$C$4="",ISNUMBER(SEARCH('COMMUNITY CHURCH DASHBOARD'!$C$4,INDEX(MASTER_ZONES!$B:$B,1255)))),1254,""),""),""))</f>
        <v/>
      </c>
    </row>
    <row r="1256">
      <c r="A1256">
        <f>IF('WSF DASHBOARD'!$B$4="Area",IF(1255&lt;=$D$3,IF(AND(OR('WSF DASHBOARD'!$C$4="",ISNUMBER(SEARCH('WSF DASHBOARD'!$C$4,INDEX(MASTER_AREAS!$B:$B,1256))))),1255,""),""),IF('WSF DASHBOARD'!$B$4="Zone",IF(1255&lt;=$D$4,IF(OR('WSF DASHBOARD'!$C$4="",ISNUMBER(SEARCH('WSF DASHBOARD'!$C$4,INDEX(MASTER_ZONES!$B:$B,1256)))),1255,""),""),""))</f>
        <v/>
      </c>
      <c r="F1256">
        <f>IF('TRANSPORT DASHBOARD'!$B$4="Area",IF(1255&lt;=$I$3,IF(AND(INDEX(MASTER_AREAS!$F:$F,1256)&lt;&gt;"N",OR('TRANSPORT DASHBOARD'!$C$4="",ISNUMBER(SEARCH('TRANSPORT DASHBOARD'!$C$4,INDEX(MASTER_AREAS!$B:$B,1256))))),1255,""),""),IF('TRANSPORT DASHBOARD'!$B$4="Zone",IF(1255&lt;=$I$4,IF(OR('TRANSPORT DASHBOARD'!$C$4="",ISNUMBER(SEARCH('TRANSPORT DASHBOARD'!$C$4,INDEX(MASTER_ZONES!$B:$B,1256)))),1255,""),""),""))</f>
        <v/>
      </c>
      <c r="K1256">
        <f>IF('MIDWEEK DASHBOARD'!$B$4="Area",IF(1255&lt;=$N$3,IF(AND(OR('MIDWEEK DASHBOARD'!$C$4="",ISNUMBER(SEARCH('MIDWEEK DASHBOARD'!$C$4,INDEX(MASTER_AREAS!$B:$B,1256))))),1255,""),""),IF('MIDWEEK DASHBOARD'!$B$4="Zone",IF(1255&lt;=$N$4,IF(OR('MIDWEEK DASHBOARD'!$C$4="",ISNUMBER(SEARCH('MIDWEEK DASHBOARD'!$C$4,INDEX(MASTER_ZONES!$B:$B,1256)))),1255,""),""),""))</f>
        <v/>
      </c>
      <c r="P1256">
        <f>IF('CHOP DASHBOARD'!$B$4="Area",IF(1255&lt;=$S$3,IF(AND(OR('CHOP DASHBOARD'!$C$4="",ISNUMBER(SEARCH('CHOP DASHBOARD'!$C$4,INDEX(MASTER_AREAS!$B:$B,1256))))),1255,""),""),IF('CHOP DASHBOARD'!$B$4="Zone",IF(1255&lt;=$S$4,IF(OR('CHOP DASHBOARD'!$C$4="",ISNUMBER(SEARCH('CHOP DASHBOARD'!$C$4,INDEX(MASTER_ZONES!$B:$B,1256)))),1255,""),""),""))</f>
        <v/>
      </c>
      <c r="U1256">
        <f>IF('COMMUNITY CHURCH DASHBOARD'!$B$4="Area",IF(1255&lt;=$X$3,IF(AND(OR('COMMUNITY CHURCH DASHBOARD'!$C$4="",ISNUMBER(SEARCH('COMMUNITY CHURCH DASHBOARD'!$C$4,INDEX(MASTER_AREAS!$B:$B,1256))))),1255,""),""),IF('COMMUNITY CHURCH DASHBOARD'!$B$4="Zone",IF(1255&lt;=$X$4,IF(OR('COMMUNITY CHURCH DASHBOARD'!$C$4="",ISNUMBER(SEARCH('COMMUNITY CHURCH DASHBOARD'!$C$4,INDEX(MASTER_ZONES!$B:$B,1256)))),1255,""),""),""))</f>
        <v/>
      </c>
    </row>
    <row r="1257">
      <c r="A1257">
        <f>IF('WSF DASHBOARD'!$B$4="Area",IF(1256&lt;=$D$3,IF(AND(OR('WSF DASHBOARD'!$C$4="",ISNUMBER(SEARCH('WSF DASHBOARD'!$C$4,INDEX(MASTER_AREAS!$B:$B,1257))))),1256,""),""),IF('WSF DASHBOARD'!$B$4="Zone",IF(1256&lt;=$D$4,IF(OR('WSF DASHBOARD'!$C$4="",ISNUMBER(SEARCH('WSF DASHBOARD'!$C$4,INDEX(MASTER_ZONES!$B:$B,1257)))),1256,""),""),""))</f>
        <v/>
      </c>
      <c r="F1257">
        <f>IF('TRANSPORT DASHBOARD'!$B$4="Area",IF(1256&lt;=$I$3,IF(AND(INDEX(MASTER_AREAS!$F:$F,1257)&lt;&gt;"N",OR('TRANSPORT DASHBOARD'!$C$4="",ISNUMBER(SEARCH('TRANSPORT DASHBOARD'!$C$4,INDEX(MASTER_AREAS!$B:$B,1257))))),1256,""),""),IF('TRANSPORT DASHBOARD'!$B$4="Zone",IF(1256&lt;=$I$4,IF(OR('TRANSPORT DASHBOARD'!$C$4="",ISNUMBER(SEARCH('TRANSPORT DASHBOARD'!$C$4,INDEX(MASTER_ZONES!$B:$B,1257)))),1256,""),""),""))</f>
        <v/>
      </c>
      <c r="K1257">
        <f>IF('MIDWEEK DASHBOARD'!$B$4="Area",IF(1256&lt;=$N$3,IF(AND(OR('MIDWEEK DASHBOARD'!$C$4="",ISNUMBER(SEARCH('MIDWEEK DASHBOARD'!$C$4,INDEX(MASTER_AREAS!$B:$B,1257))))),1256,""),""),IF('MIDWEEK DASHBOARD'!$B$4="Zone",IF(1256&lt;=$N$4,IF(OR('MIDWEEK DASHBOARD'!$C$4="",ISNUMBER(SEARCH('MIDWEEK DASHBOARD'!$C$4,INDEX(MASTER_ZONES!$B:$B,1257)))),1256,""),""),""))</f>
        <v/>
      </c>
      <c r="P1257">
        <f>IF('CHOP DASHBOARD'!$B$4="Area",IF(1256&lt;=$S$3,IF(AND(OR('CHOP DASHBOARD'!$C$4="",ISNUMBER(SEARCH('CHOP DASHBOARD'!$C$4,INDEX(MASTER_AREAS!$B:$B,1257))))),1256,""),""),IF('CHOP DASHBOARD'!$B$4="Zone",IF(1256&lt;=$S$4,IF(OR('CHOP DASHBOARD'!$C$4="",ISNUMBER(SEARCH('CHOP DASHBOARD'!$C$4,INDEX(MASTER_ZONES!$B:$B,1257)))),1256,""),""),""))</f>
        <v/>
      </c>
      <c r="U1257">
        <f>IF('COMMUNITY CHURCH DASHBOARD'!$B$4="Area",IF(1256&lt;=$X$3,IF(AND(OR('COMMUNITY CHURCH DASHBOARD'!$C$4="",ISNUMBER(SEARCH('COMMUNITY CHURCH DASHBOARD'!$C$4,INDEX(MASTER_AREAS!$B:$B,1257))))),1256,""),""),IF('COMMUNITY CHURCH DASHBOARD'!$B$4="Zone",IF(1256&lt;=$X$4,IF(OR('COMMUNITY CHURCH DASHBOARD'!$C$4="",ISNUMBER(SEARCH('COMMUNITY CHURCH DASHBOARD'!$C$4,INDEX(MASTER_ZONES!$B:$B,1257)))),1256,""),""),""))</f>
        <v/>
      </c>
    </row>
    <row r="1258">
      <c r="A1258">
        <f>IF('WSF DASHBOARD'!$B$4="Area",IF(1257&lt;=$D$3,IF(AND(OR('WSF DASHBOARD'!$C$4="",ISNUMBER(SEARCH('WSF DASHBOARD'!$C$4,INDEX(MASTER_AREAS!$B:$B,1258))))),1257,""),""),IF('WSF DASHBOARD'!$B$4="Zone",IF(1257&lt;=$D$4,IF(OR('WSF DASHBOARD'!$C$4="",ISNUMBER(SEARCH('WSF DASHBOARD'!$C$4,INDEX(MASTER_ZONES!$B:$B,1258)))),1257,""),""),""))</f>
        <v/>
      </c>
      <c r="F1258">
        <f>IF('TRANSPORT DASHBOARD'!$B$4="Area",IF(1257&lt;=$I$3,IF(AND(INDEX(MASTER_AREAS!$F:$F,1258)&lt;&gt;"N",OR('TRANSPORT DASHBOARD'!$C$4="",ISNUMBER(SEARCH('TRANSPORT DASHBOARD'!$C$4,INDEX(MASTER_AREAS!$B:$B,1258))))),1257,""),""),IF('TRANSPORT DASHBOARD'!$B$4="Zone",IF(1257&lt;=$I$4,IF(OR('TRANSPORT DASHBOARD'!$C$4="",ISNUMBER(SEARCH('TRANSPORT DASHBOARD'!$C$4,INDEX(MASTER_ZONES!$B:$B,1258)))),1257,""),""),""))</f>
        <v/>
      </c>
      <c r="K1258">
        <f>IF('MIDWEEK DASHBOARD'!$B$4="Area",IF(1257&lt;=$N$3,IF(AND(OR('MIDWEEK DASHBOARD'!$C$4="",ISNUMBER(SEARCH('MIDWEEK DASHBOARD'!$C$4,INDEX(MASTER_AREAS!$B:$B,1258))))),1257,""),""),IF('MIDWEEK DASHBOARD'!$B$4="Zone",IF(1257&lt;=$N$4,IF(OR('MIDWEEK DASHBOARD'!$C$4="",ISNUMBER(SEARCH('MIDWEEK DASHBOARD'!$C$4,INDEX(MASTER_ZONES!$B:$B,1258)))),1257,""),""),""))</f>
        <v/>
      </c>
      <c r="P1258">
        <f>IF('CHOP DASHBOARD'!$B$4="Area",IF(1257&lt;=$S$3,IF(AND(OR('CHOP DASHBOARD'!$C$4="",ISNUMBER(SEARCH('CHOP DASHBOARD'!$C$4,INDEX(MASTER_AREAS!$B:$B,1258))))),1257,""),""),IF('CHOP DASHBOARD'!$B$4="Zone",IF(1257&lt;=$S$4,IF(OR('CHOP DASHBOARD'!$C$4="",ISNUMBER(SEARCH('CHOP DASHBOARD'!$C$4,INDEX(MASTER_ZONES!$B:$B,1258)))),1257,""),""),""))</f>
        <v/>
      </c>
      <c r="U1258">
        <f>IF('COMMUNITY CHURCH DASHBOARD'!$B$4="Area",IF(1257&lt;=$X$3,IF(AND(OR('COMMUNITY CHURCH DASHBOARD'!$C$4="",ISNUMBER(SEARCH('COMMUNITY CHURCH DASHBOARD'!$C$4,INDEX(MASTER_AREAS!$B:$B,1258))))),1257,""),""),IF('COMMUNITY CHURCH DASHBOARD'!$B$4="Zone",IF(1257&lt;=$X$4,IF(OR('COMMUNITY CHURCH DASHBOARD'!$C$4="",ISNUMBER(SEARCH('COMMUNITY CHURCH DASHBOARD'!$C$4,INDEX(MASTER_ZONES!$B:$B,1258)))),1257,""),""),""))</f>
        <v/>
      </c>
    </row>
    <row r="1259">
      <c r="A1259">
        <f>IF('WSF DASHBOARD'!$B$4="Area",IF(1258&lt;=$D$3,IF(AND(OR('WSF DASHBOARD'!$C$4="",ISNUMBER(SEARCH('WSF DASHBOARD'!$C$4,INDEX(MASTER_AREAS!$B:$B,1259))))),1258,""),""),IF('WSF DASHBOARD'!$B$4="Zone",IF(1258&lt;=$D$4,IF(OR('WSF DASHBOARD'!$C$4="",ISNUMBER(SEARCH('WSF DASHBOARD'!$C$4,INDEX(MASTER_ZONES!$B:$B,1259)))),1258,""),""),""))</f>
        <v/>
      </c>
      <c r="F1259">
        <f>IF('TRANSPORT DASHBOARD'!$B$4="Area",IF(1258&lt;=$I$3,IF(AND(INDEX(MASTER_AREAS!$F:$F,1259)&lt;&gt;"N",OR('TRANSPORT DASHBOARD'!$C$4="",ISNUMBER(SEARCH('TRANSPORT DASHBOARD'!$C$4,INDEX(MASTER_AREAS!$B:$B,1259))))),1258,""),""),IF('TRANSPORT DASHBOARD'!$B$4="Zone",IF(1258&lt;=$I$4,IF(OR('TRANSPORT DASHBOARD'!$C$4="",ISNUMBER(SEARCH('TRANSPORT DASHBOARD'!$C$4,INDEX(MASTER_ZONES!$B:$B,1259)))),1258,""),""),""))</f>
        <v/>
      </c>
      <c r="K1259">
        <f>IF('MIDWEEK DASHBOARD'!$B$4="Area",IF(1258&lt;=$N$3,IF(AND(OR('MIDWEEK DASHBOARD'!$C$4="",ISNUMBER(SEARCH('MIDWEEK DASHBOARD'!$C$4,INDEX(MASTER_AREAS!$B:$B,1259))))),1258,""),""),IF('MIDWEEK DASHBOARD'!$B$4="Zone",IF(1258&lt;=$N$4,IF(OR('MIDWEEK DASHBOARD'!$C$4="",ISNUMBER(SEARCH('MIDWEEK DASHBOARD'!$C$4,INDEX(MASTER_ZONES!$B:$B,1259)))),1258,""),""),""))</f>
        <v/>
      </c>
      <c r="P1259">
        <f>IF('CHOP DASHBOARD'!$B$4="Area",IF(1258&lt;=$S$3,IF(AND(OR('CHOP DASHBOARD'!$C$4="",ISNUMBER(SEARCH('CHOP DASHBOARD'!$C$4,INDEX(MASTER_AREAS!$B:$B,1259))))),1258,""),""),IF('CHOP DASHBOARD'!$B$4="Zone",IF(1258&lt;=$S$4,IF(OR('CHOP DASHBOARD'!$C$4="",ISNUMBER(SEARCH('CHOP DASHBOARD'!$C$4,INDEX(MASTER_ZONES!$B:$B,1259)))),1258,""),""),""))</f>
        <v/>
      </c>
      <c r="U1259">
        <f>IF('COMMUNITY CHURCH DASHBOARD'!$B$4="Area",IF(1258&lt;=$X$3,IF(AND(OR('COMMUNITY CHURCH DASHBOARD'!$C$4="",ISNUMBER(SEARCH('COMMUNITY CHURCH DASHBOARD'!$C$4,INDEX(MASTER_AREAS!$B:$B,1259))))),1258,""),""),IF('COMMUNITY CHURCH DASHBOARD'!$B$4="Zone",IF(1258&lt;=$X$4,IF(OR('COMMUNITY CHURCH DASHBOARD'!$C$4="",ISNUMBER(SEARCH('COMMUNITY CHURCH DASHBOARD'!$C$4,INDEX(MASTER_ZONES!$B:$B,1259)))),1258,""),""),""))</f>
        <v/>
      </c>
    </row>
    <row r="1260">
      <c r="A1260">
        <f>IF('WSF DASHBOARD'!$B$4="Area",IF(1259&lt;=$D$3,IF(AND(OR('WSF DASHBOARD'!$C$4="",ISNUMBER(SEARCH('WSF DASHBOARD'!$C$4,INDEX(MASTER_AREAS!$B:$B,1260))))),1259,""),""),IF('WSF DASHBOARD'!$B$4="Zone",IF(1259&lt;=$D$4,IF(OR('WSF DASHBOARD'!$C$4="",ISNUMBER(SEARCH('WSF DASHBOARD'!$C$4,INDEX(MASTER_ZONES!$B:$B,1260)))),1259,""),""),""))</f>
        <v/>
      </c>
      <c r="F1260">
        <f>IF('TRANSPORT DASHBOARD'!$B$4="Area",IF(1259&lt;=$I$3,IF(AND(INDEX(MASTER_AREAS!$F:$F,1260)&lt;&gt;"N",OR('TRANSPORT DASHBOARD'!$C$4="",ISNUMBER(SEARCH('TRANSPORT DASHBOARD'!$C$4,INDEX(MASTER_AREAS!$B:$B,1260))))),1259,""),""),IF('TRANSPORT DASHBOARD'!$B$4="Zone",IF(1259&lt;=$I$4,IF(OR('TRANSPORT DASHBOARD'!$C$4="",ISNUMBER(SEARCH('TRANSPORT DASHBOARD'!$C$4,INDEX(MASTER_ZONES!$B:$B,1260)))),1259,""),""),""))</f>
        <v/>
      </c>
      <c r="K1260">
        <f>IF('MIDWEEK DASHBOARD'!$B$4="Area",IF(1259&lt;=$N$3,IF(AND(OR('MIDWEEK DASHBOARD'!$C$4="",ISNUMBER(SEARCH('MIDWEEK DASHBOARD'!$C$4,INDEX(MASTER_AREAS!$B:$B,1260))))),1259,""),""),IF('MIDWEEK DASHBOARD'!$B$4="Zone",IF(1259&lt;=$N$4,IF(OR('MIDWEEK DASHBOARD'!$C$4="",ISNUMBER(SEARCH('MIDWEEK DASHBOARD'!$C$4,INDEX(MASTER_ZONES!$B:$B,1260)))),1259,""),""),""))</f>
        <v/>
      </c>
      <c r="P1260">
        <f>IF('CHOP DASHBOARD'!$B$4="Area",IF(1259&lt;=$S$3,IF(AND(OR('CHOP DASHBOARD'!$C$4="",ISNUMBER(SEARCH('CHOP DASHBOARD'!$C$4,INDEX(MASTER_AREAS!$B:$B,1260))))),1259,""),""),IF('CHOP DASHBOARD'!$B$4="Zone",IF(1259&lt;=$S$4,IF(OR('CHOP DASHBOARD'!$C$4="",ISNUMBER(SEARCH('CHOP DASHBOARD'!$C$4,INDEX(MASTER_ZONES!$B:$B,1260)))),1259,""),""),""))</f>
        <v/>
      </c>
      <c r="U1260">
        <f>IF('COMMUNITY CHURCH DASHBOARD'!$B$4="Area",IF(1259&lt;=$X$3,IF(AND(OR('COMMUNITY CHURCH DASHBOARD'!$C$4="",ISNUMBER(SEARCH('COMMUNITY CHURCH DASHBOARD'!$C$4,INDEX(MASTER_AREAS!$B:$B,1260))))),1259,""),""),IF('COMMUNITY CHURCH DASHBOARD'!$B$4="Zone",IF(1259&lt;=$X$4,IF(OR('COMMUNITY CHURCH DASHBOARD'!$C$4="",ISNUMBER(SEARCH('COMMUNITY CHURCH DASHBOARD'!$C$4,INDEX(MASTER_ZONES!$B:$B,1260)))),1259,""),""),""))</f>
        <v/>
      </c>
    </row>
    <row r="1261">
      <c r="A1261">
        <f>IF('WSF DASHBOARD'!$B$4="Area",IF(1260&lt;=$D$3,IF(AND(OR('WSF DASHBOARD'!$C$4="",ISNUMBER(SEARCH('WSF DASHBOARD'!$C$4,INDEX(MASTER_AREAS!$B:$B,1261))))),1260,""),""),IF('WSF DASHBOARD'!$B$4="Zone",IF(1260&lt;=$D$4,IF(OR('WSF DASHBOARD'!$C$4="",ISNUMBER(SEARCH('WSF DASHBOARD'!$C$4,INDEX(MASTER_ZONES!$B:$B,1261)))),1260,""),""),""))</f>
        <v/>
      </c>
      <c r="F1261">
        <f>IF('TRANSPORT DASHBOARD'!$B$4="Area",IF(1260&lt;=$I$3,IF(AND(INDEX(MASTER_AREAS!$F:$F,1261)&lt;&gt;"N",OR('TRANSPORT DASHBOARD'!$C$4="",ISNUMBER(SEARCH('TRANSPORT DASHBOARD'!$C$4,INDEX(MASTER_AREAS!$B:$B,1261))))),1260,""),""),IF('TRANSPORT DASHBOARD'!$B$4="Zone",IF(1260&lt;=$I$4,IF(OR('TRANSPORT DASHBOARD'!$C$4="",ISNUMBER(SEARCH('TRANSPORT DASHBOARD'!$C$4,INDEX(MASTER_ZONES!$B:$B,1261)))),1260,""),""),""))</f>
        <v/>
      </c>
      <c r="K1261">
        <f>IF('MIDWEEK DASHBOARD'!$B$4="Area",IF(1260&lt;=$N$3,IF(AND(OR('MIDWEEK DASHBOARD'!$C$4="",ISNUMBER(SEARCH('MIDWEEK DASHBOARD'!$C$4,INDEX(MASTER_AREAS!$B:$B,1261))))),1260,""),""),IF('MIDWEEK DASHBOARD'!$B$4="Zone",IF(1260&lt;=$N$4,IF(OR('MIDWEEK DASHBOARD'!$C$4="",ISNUMBER(SEARCH('MIDWEEK DASHBOARD'!$C$4,INDEX(MASTER_ZONES!$B:$B,1261)))),1260,""),""),""))</f>
        <v/>
      </c>
      <c r="P1261">
        <f>IF('CHOP DASHBOARD'!$B$4="Area",IF(1260&lt;=$S$3,IF(AND(OR('CHOP DASHBOARD'!$C$4="",ISNUMBER(SEARCH('CHOP DASHBOARD'!$C$4,INDEX(MASTER_AREAS!$B:$B,1261))))),1260,""),""),IF('CHOP DASHBOARD'!$B$4="Zone",IF(1260&lt;=$S$4,IF(OR('CHOP DASHBOARD'!$C$4="",ISNUMBER(SEARCH('CHOP DASHBOARD'!$C$4,INDEX(MASTER_ZONES!$B:$B,1261)))),1260,""),""),""))</f>
        <v/>
      </c>
      <c r="U1261">
        <f>IF('COMMUNITY CHURCH DASHBOARD'!$B$4="Area",IF(1260&lt;=$X$3,IF(AND(OR('COMMUNITY CHURCH DASHBOARD'!$C$4="",ISNUMBER(SEARCH('COMMUNITY CHURCH DASHBOARD'!$C$4,INDEX(MASTER_AREAS!$B:$B,1261))))),1260,""),""),IF('COMMUNITY CHURCH DASHBOARD'!$B$4="Zone",IF(1260&lt;=$X$4,IF(OR('COMMUNITY CHURCH DASHBOARD'!$C$4="",ISNUMBER(SEARCH('COMMUNITY CHURCH DASHBOARD'!$C$4,INDEX(MASTER_ZONES!$B:$B,1261)))),1260,""),""),""))</f>
        <v/>
      </c>
    </row>
    <row r="1262">
      <c r="A1262">
        <f>IF('WSF DASHBOARD'!$B$4="Area",IF(1261&lt;=$D$3,IF(AND(OR('WSF DASHBOARD'!$C$4="",ISNUMBER(SEARCH('WSF DASHBOARD'!$C$4,INDEX(MASTER_AREAS!$B:$B,1262))))),1261,""),""),IF('WSF DASHBOARD'!$B$4="Zone",IF(1261&lt;=$D$4,IF(OR('WSF DASHBOARD'!$C$4="",ISNUMBER(SEARCH('WSF DASHBOARD'!$C$4,INDEX(MASTER_ZONES!$B:$B,1262)))),1261,""),""),""))</f>
        <v/>
      </c>
      <c r="F1262">
        <f>IF('TRANSPORT DASHBOARD'!$B$4="Area",IF(1261&lt;=$I$3,IF(AND(INDEX(MASTER_AREAS!$F:$F,1262)&lt;&gt;"N",OR('TRANSPORT DASHBOARD'!$C$4="",ISNUMBER(SEARCH('TRANSPORT DASHBOARD'!$C$4,INDEX(MASTER_AREAS!$B:$B,1262))))),1261,""),""),IF('TRANSPORT DASHBOARD'!$B$4="Zone",IF(1261&lt;=$I$4,IF(OR('TRANSPORT DASHBOARD'!$C$4="",ISNUMBER(SEARCH('TRANSPORT DASHBOARD'!$C$4,INDEX(MASTER_ZONES!$B:$B,1262)))),1261,""),""),""))</f>
        <v/>
      </c>
      <c r="K1262">
        <f>IF('MIDWEEK DASHBOARD'!$B$4="Area",IF(1261&lt;=$N$3,IF(AND(OR('MIDWEEK DASHBOARD'!$C$4="",ISNUMBER(SEARCH('MIDWEEK DASHBOARD'!$C$4,INDEX(MASTER_AREAS!$B:$B,1262))))),1261,""),""),IF('MIDWEEK DASHBOARD'!$B$4="Zone",IF(1261&lt;=$N$4,IF(OR('MIDWEEK DASHBOARD'!$C$4="",ISNUMBER(SEARCH('MIDWEEK DASHBOARD'!$C$4,INDEX(MASTER_ZONES!$B:$B,1262)))),1261,""),""),""))</f>
        <v/>
      </c>
      <c r="P1262">
        <f>IF('CHOP DASHBOARD'!$B$4="Area",IF(1261&lt;=$S$3,IF(AND(OR('CHOP DASHBOARD'!$C$4="",ISNUMBER(SEARCH('CHOP DASHBOARD'!$C$4,INDEX(MASTER_AREAS!$B:$B,1262))))),1261,""),""),IF('CHOP DASHBOARD'!$B$4="Zone",IF(1261&lt;=$S$4,IF(OR('CHOP DASHBOARD'!$C$4="",ISNUMBER(SEARCH('CHOP DASHBOARD'!$C$4,INDEX(MASTER_ZONES!$B:$B,1262)))),1261,""),""),""))</f>
        <v/>
      </c>
      <c r="U1262">
        <f>IF('COMMUNITY CHURCH DASHBOARD'!$B$4="Area",IF(1261&lt;=$X$3,IF(AND(OR('COMMUNITY CHURCH DASHBOARD'!$C$4="",ISNUMBER(SEARCH('COMMUNITY CHURCH DASHBOARD'!$C$4,INDEX(MASTER_AREAS!$B:$B,1262))))),1261,""),""),IF('COMMUNITY CHURCH DASHBOARD'!$B$4="Zone",IF(1261&lt;=$X$4,IF(OR('COMMUNITY CHURCH DASHBOARD'!$C$4="",ISNUMBER(SEARCH('COMMUNITY CHURCH DASHBOARD'!$C$4,INDEX(MASTER_ZONES!$B:$B,1262)))),1261,""),""),""))</f>
        <v/>
      </c>
    </row>
    <row r="1263">
      <c r="A1263">
        <f>IF('WSF DASHBOARD'!$B$4="Area",IF(1262&lt;=$D$3,IF(AND(OR('WSF DASHBOARD'!$C$4="",ISNUMBER(SEARCH('WSF DASHBOARD'!$C$4,INDEX(MASTER_AREAS!$B:$B,1263))))),1262,""),""),IF('WSF DASHBOARD'!$B$4="Zone",IF(1262&lt;=$D$4,IF(OR('WSF DASHBOARD'!$C$4="",ISNUMBER(SEARCH('WSF DASHBOARD'!$C$4,INDEX(MASTER_ZONES!$B:$B,1263)))),1262,""),""),""))</f>
        <v/>
      </c>
      <c r="F1263">
        <f>IF('TRANSPORT DASHBOARD'!$B$4="Area",IF(1262&lt;=$I$3,IF(AND(INDEX(MASTER_AREAS!$F:$F,1263)&lt;&gt;"N",OR('TRANSPORT DASHBOARD'!$C$4="",ISNUMBER(SEARCH('TRANSPORT DASHBOARD'!$C$4,INDEX(MASTER_AREAS!$B:$B,1263))))),1262,""),""),IF('TRANSPORT DASHBOARD'!$B$4="Zone",IF(1262&lt;=$I$4,IF(OR('TRANSPORT DASHBOARD'!$C$4="",ISNUMBER(SEARCH('TRANSPORT DASHBOARD'!$C$4,INDEX(MASTER_ZONES!$B:$B,1263)))),1262,""),""),""))</f>
        <v/>
      </c>
      <c r="K1263">
        <f>IF('MIDWEEK DASHBOARD'!$B$4="Area",IF(1262&lt;=$N$3,IF(AND(OR('MIDWEEK DASHBOARD'!$C$4="",ISNUMBER(SEARCH('MIDWEEK DASHBOARD'!$C$4,INDEX(MASTER_AREAS!$B:$B,1263))))),1262,""),""),IF('MIDWEEK DASHBOARD'!$B$4="Zone",IF(1262&lt;=$N$4,IF(OR('MIDWEEK DASHBOARD'!$C$4="",ISNUMBER(SEARCH('MIDWEEK DASHBOARD'!$C$4,INDEX(MASTER_ZONES!$B:$B,1263)))),1262,""),""),""))</f>
        <v/>
      </c>
      <c r="P1263">
        <f>IF('CHOP DASHBOARD'!$B$4="Area",IF(1262&lt;=$S$3,IF(AND(OR('CHOP DASHBOARD'!$C$4="",ISNUMBER(SEARCH('CHOP DASHBOARD'!$C$4,INDEX(MASTER_AREAS!$B:$B,1263))))),1262,""),""),IF('CHOP DASHBOARD'!$B$4="Zone",IF(1262&lt;=$S$4,IF(OR('CHOP DASHBOARD'!$C$4="",ISNUMBER(SEARCH('CHOP DASHBOARD'!$C$4,INDEX(MASTER_ZONES!$B:$B,1263)))),1262,""),""),""))</f>
        <v/>
      </c>
      <c r="U1263">
        <f>IF('COMMUNITY CHURCH DASHBOARD'!$B$4="Area",IF(1262&lt;=$X$3,IF(AND(OR('COMMUNITY CHURCH DASHBOARD'!$C$4="",ISNUMBER(SEARCH('COMMUNITY CHURCH DASHBOARD'!$C$4,INDEX(MASTER_AREAS!$B:$B,1263))))),1262,""),""),IF('COMMUNITY CHURCH DASHBOARD'!$B$4="Zone",IF(1262&lt;=$X$4,IF(OR('COMMUNITY CHURCH DASHBOARD'!$C$4="",ISNUMBER(SEARCH('COMMUNITY CHURCH DASHBOARD'!$C$4,INDEX(MASTER_ZONES!$B:$B,1263)))),1262,""),""),""))</f>
        <v/>
      </c>
    </row>
    <row r="1264">
      <c r="A1264">
        <f>IF('WSF DASHBOARD'!$B$4="Area",IF(1263&lt;=$D$3,IF(AND(OR('WSF DASHBOARD'!$C$4="",ISNUMBER(SEARCH('WSF DASHBOARD'!$C$4,INDEX(MASTER_AREAS!$B:$B,1264))))),1263,""),""),IF('WSF DASHBOARD'!$B$4="Zone",IF(1263&lt;=$D$4,IF(OR('WSF DASHBOARD'!$C$4="",ISNUMBER(SEARCH('WSF DASHBOARD'!$C$4,INDEX(MASTER_ZONES!$B:$B,1264)))),1263,""),""),""))</f>
        <v/>
      </c>
      <c r="F1264">
        <f>IF('TRANSPORT DASHBOARD'!$B$4="Area",IF(1263&lt;=$I$3,IF(AND(INDEX(MASTER_AREAS!$F:$F,1264)&lt;&gt;"N",OR('TRANSPORT DASHBOARD'!$C$4="",ISNUMBER(SEARCH('TRANSPORT DASHBOARD'!$C$4,INDEX(MASTER_AREAS!$B:$B,1264))))),1263,""),""),IF('TRANSPORT DASHBOARD'!$B$4="Zone",IF(1263&lt;=$I$4,IF(OR('TRANSPORT DASHBOARD'!$C$4="",ISNUMBER(SEARCH('TRANSPORT DASHBOARD'!$C$4,INDEX(MASTER_ZONES!$B:$B,1264)))),1263,""),""),""))</f>
        <v/>
      </c>
      <c r="K1264">
        <f>IF('MIDWEEK DASHBOARD'!$B$4="Area",IF(1263&lt;=$N$3,IF(AND(OR('MIDWEEK DASHBOARD'!$C$4="",ISNUMBER(SEARCH('MIDWEEK DASHBOARD'!$C$4,INDEX(MASTER_AREAS!$B:$B,1264))))),1263,""),""),IF('MIDWEEK DASHBOARD'!$B$4="Zone",IF(1263&lt;=$N$4,IF(OR('MIDWEEK DASHBOARD'!$C$4="",ISNUMBER(SEARCH('MIDWEEK DASHBOARD'!$C$4,INDEX(MASTER_ZONES!$B:$B,1264)))),1263,""),""),""))</f>
        <v/>
      </c>
      <c r="P1264">
        <f>IF('CHOP DASHBOARD'!$B$4="Area",IF(1263&lt;=$S$3,IF(AND(OR('CHOP DASHBOARD'!$C$4="",ISNUMBER(SEARCH('CHOP DASHBOARD'!$C$4,INDEX(MASTER_AREAS!$B:$B,1264))))),1263,""),""),IF('CHOP DASHBOARD'!$B$4="Zone",IF(1263&lt;=$S$4,IF(OR('CHOP DASHBOARD'!$C$4="",ISNUMBER(SEARCH('CHOP DASHBOARD'!$C$4,INDEX(MASTER_ZONES!$B:$B,1264)))),1263,""),""),""))</f>
        <v/>
      </c>
      <c r="U1264">
        <f>IF('COMMUNITY CHURCH DASHBOARD'!$B$4="Area",IF(1263&lt;=$X$3,IF(AND(OR('COMMUNITY CHURCH DASHBOARD'!$C$4="",ISNUMBER(SEARCH('COMMUNITY CHURCH DASHBOARD'!$C$4,INDEX(MASTER_AREAS!$B:$B,1264))))),1263,""),""),IF('COMMUNITY CHURCH DASHBOARD'!$B$4="Zone",IF(1263&lt;=$X$4,IF(OR('COMMUNITY CHURCH DASHBOARD'!$C$4="",ISNUMBER(SEARCH('COMMUNITY CHURCH DASHBOARD'!$C$4,INDEX(MASTER_ZONES!$B:$B,1264)))),1263,""),""),""))</f>
        <v/>
      </c>
    </row>
    <row r="1265">
      <c r="A1265">
        <f>IF('WSF DASHBOARD'!$B$4="Area",IF(1264&lt;=$D$3,IF(AND(OR('WSF DASHBOARD'!$C$4="",ISNUMBER(SEARCH('WSF DASHBOARD'!$C$4,INDEX(MASTER_AREAS!$B:$B,1265))))),1264,""),""),IF('WSF DASHBOARD'!$B$4="Zone",IF(1264&lt;=$D$4,IF(OR('WSF DASHBOARD'!$C$4="",ISNUMBER(SEARCH('WSF DASHBOARD'!$C$4,INDEX(MASTER_ZONES!$B:$B,1265)))),1264,""),""),""))</f>
        <v/>
      </c>
      <c r="F1265">
        <f>IF('TRANSPORT DASHBOARD'!$B$4="Area",IF(1264&lt;=$I$3,IF(AND(INDEX(MASTER_AREAS!$F:$F,1265)&lt;&gt;"N",OR('TRANSPORT DASHBOARD'!$C$4="",ISNUMBER(SEARCH('TRANSPORT DASHBOARD'!$C$4,INDEX(MASTER_AREAS!$B:$B,1265))))),1264,""),""),IF('TRANSPORT DASHBOARD'!$B$4="Zone",IF(1264&lt;=$I$4,IF(OR('TRANSPORT DASHBOARD'!$C$4="",ISNUMBER(SEARCH('TRANSPORT DASHBOARD'!$C$4,INDEX(MASTER_ZONES!$B:$B,1265)))),1264,""),""),""))</f>
        <v/>
      </c>
      <c r="K1265">
        <f>IF('MIDWEEK DASHBOARD'!$B$4="Area",IF(1264&lt;=$N$3,IF(AND(OR('MIDWEEK DASHBOARD'!$C$4="",ISNUMBER(SEARCH('MIDWEEK DASHBOARD'!$C$4,INDEX(MASTER_AREAS!$B:$B,1265))))),1264,""),""),IF('MIDWEEK DASHBOARD'!$B$4="Zone",IF(1264&lt;=$N$4,IF(OR('MIDWEEK DASHBOARD'!$C$4="",ISNUMBER(SEARCH('MIDWEEK DASHBOARD'!$C$4,INDEX(MASTER_ZONES!$B:$B,1265)))),1264,""),""),""))</f>
        <v/>
      </c>
      <c r="P1265">
        <f>IF('CHOP DASHBOARD'!$B$4="Area",IF(1264&lt;=$S$3,IF(AND(OR('CHOP DASHBOARD'!$C$4="",ISNUMBER(SEARCH('CHOP DASHBOARD'!$C$4,INDEX(MASTER_AREAS!$B:$B,1265))))),1264,""),""),IF('CHOP DASHBOARD'!$B$4="Zone",IF(1264&lt;=$S$4,IF(OR('CHOP DASHBOARD'!$C$4="",ISNUMBER(SEARCH('CHOP DASHBOARD'!$C$4,INDEX(MASTER_ZONES!$B:$B,1265)))),1264,""),""),""))</f>
        <v/>
      </c>
      <c r="U1265">
        <f>IF('COMMUNITY CHURCH DASHBOARD'!$B$4="Area",IF(1264&lt;=$X$3,IF(AND(OR('COMMUNITY CHURCH DASHBOARD'!$C$4="",ISNUMBER(SEARCH('COMMUNITY CHURCH DASHBOARD'!$C$4,INDEX(MASTER_AREAS!$B:$B,1265))))),1264,""),""),IF('COMMUNITY CHURCH DASHBOARD'!$B$4="Zone",IF(1264&lt;=$X$4,IF(OR('COMMUNITY CHURCH DASHBOARD'!$C$4="",ISNUMBER(SEARCH('COMMUNITY CHURCH DASHBOARD'!$C$4,INDEX(MASTER_ZONES!$B:$B,1265)))),1264,""),""),""))</f>
        <v/>
      </c>
    </row>
    <row r="1266">
      <c r="A1266">
        <f>IF('WSF DASHBOARD'!$B$4="Area",IF(1265&lt;=$D$3,IF(AND(OR('WSF DASHBOARD'!$C$4="",ISNUMBER(SEARCH('WSF DASHBOARD'!$C$4,INDEX(MASTER_AREAS!$B:$B,1266))))),1265,""),""),IF('WSF DASHBOARD'!$B$4="Zone",IF(1265&lt;=$D$4,IF(OR('WSF DASHBOARD'!$C$4="",ISNUMBER(SEARCH('WSF DASHBOARD'!$C$4,INDEX(MASTER_ZONES!$B:$B,1266)))),1265,""),""),""))</f>
        <v/>
      </c>
      <c r="F1266">
        <f>IF('TRANSPORT DASHBOARD'!$B$4="Area",IF(1265&lt;=$I$3,IF(AND(INDEX(MASTER_AREAS!$F:$F,1266)&lt;&gt;"N",OR('TRANSPORT DASHBOARD'!$C$4="",ISNUMBER(SEARCH('TRANSPORT DASHBOARD'!$C$4,INDEX(MASTER_AREAS!$B:$B,1266))))),1265,""),""),IF('TRANSPORT DASHBOARD'!$B$4="Zone",IF(1265&lt;=$I$4,IF(OR('TRANSPORT DASHBOARD'!$C$4="",ISNUMBER(SEARCH('TRANSPORT DASHBOARD'!$C$4,INDEX(MASTER_ZONES!$B:$B,1266)))),1265,""),""),""))</f>
        <v/>
      </c>
      <c r="K1266">
        <f>IF('MIDWEEK DASHBOARD'!$B$4="Area",IF(1265&lt;=$N$3,IF(AND(OR('MIDWEEK DASHBOARD'!$C$4="",ISNUMBER(SEARCH('MIDWEEK DASHBOARD'!$C$4,INDEX(MASTER_AREAS!$B:$B,1266))))),1265,""),""),IF('MIDWEEK DASHBOARD'!$B$4="Zone",IF(1265&lt;=$N$4,IF(OR('MIDWEEK DASHBOARD'!$C$4="",ISNUMBER(SEARCH('MIDWEEK DASHBOARD'!$C$4,INDEX(MASTER_ZONES!$B:$B,1266)))),1265,""),""),""))</f>
        <v/>
      </c>
      <c r="P1266">
        <f>IF('CHOP DASHBOARD'!$B$4="Area",IF(1265&lt;=$S$3,IF(AND(OR('CHOP DASHBOARD'!$C$4="",ISNUMBER(SEARCH('CHOP DASHBOARD'!$C$4,INDEX(MASTER_AREAS!$B:$B,1266))))),1265,""),""),IF('CHOP DASHBOARD'!$B$4="Zone",IF(1265&lt;=$S$4,IF(OR('CHOP DASHBOARD'!$C$4="",ISNUMBER(SEARCH('CHOP DASHBOARD'!$C$4,INDEX(MASTER_ZONES!$B:$B,1266)))),1265,""),""),""))</f>
        <v/>
      </c>
      <c r="U1266">
        <f>IF('COMMUNITY CHURCH DASHBOARD'!$B$4="Area",IF(1265&lt;=$X$3,IF(AND(OR('COMMUNITY CHURCH DASHBOARD'!$C$4="",ISNUMBER(SEARCH('COMMUNITY CHURCH DASHBOARD'!$C$4,INDEX(MASTER_AREAS!$B:$B,1266))))),1265,""),""),IF('COMMUNITY CHURCH DASHBOARD'!$B$4="Zone",IF(1265&lt;=$X$4,IF(OR('COMMUNITY CHURCH DASHBOARD'!$C$4="",ISNUMBER(SEARCH('COMMUNITY CHURCH DASHBOARD'!$C$4,INDEX(MASTER_ZONES!$B:$B,1266)))),1265,""),""),""))</f>
        <v/>
      </c>
    </row>
    <row r="1267">
      <c r="A1267">
        <f>IF('WSF DASHBOARD'!$B$4="Area",IF(1266&lt;=$D$3,IF(AND(OR('WSF DASHBOARD'!$C$4="",ISNUMBER(SEARCH('WSF DASHBOARD'!$C$4,INDEX(MASTER_AREAS!$B:$B,1267))))),1266,""),""),IF('WSF DASHBOARD'!$B$4="Zone",IF(1266&lt;=$D$4,IF(OR('WSF DASHBOARD'!$C$4="",ISNUMBER(SEARCH('WSF DASHBOARD'!$C$4,INDEX(MASTER_ZONES!$B:$B,1267)))),1266,""),""),""))</f>
        <v/>
      </c>
      <c r="F1267">
        <f>IF('TRANSPORT DASHBOARD'!$B$4="Area",IF(1266&lt;=$I$3,IF(AND(INDEX(MASTER_AREAS!$F:$F,1267)&lt;&gt;"N",OR('TRANSPORT DASHBOARD'!$C$4="",ISNUMBER(SEARCH('TRANSPORT DASHBOARD'!$C$4,INDEX(MASTER_AREAS!$B:$B,1267))))),1266,""),""),IF('TRANSPORT DASHBOARD'!$B$4="Zone",IF(1266&lt;=$I$4,IF(OR('TRANSPORT DASHBOARD'!$C$4="",ISNUMBER(SEARCH('TRANSPORT DASHBOARD'!$C$4,INDEX(MASTER_ZONES!$B:$B,1267)))),1266,""),""),""))</f>
        <v/>
      </c>
      <c r="K1267">
        <f>IF('MIDWEEK DASHBOARD'!$B$4="Area",IF(1266&lt;=$N$3,IF(AND(OR('MIDWEEK DASHBOARD'!$C$4="",ISNUMBER(SEARCH('MIDWEEK DASHBOARD'!$C$4,INDEX(MASTER_AREAS!$B:$B,1267))))),1266,""),""),IF('MIDWEEK DASHBOARD'!$B$4="Zone",IF(1266&lt;=$N$4,IF(OR('MIDWEEK DASHBOARD'!$C$4="",ISNUMBER(SEARCH('MIDWEEK DASHBOARD'!$C$4,INDEX(MASTER_ZONES!$B:$B,1267)))),1266,""),""),""))</f>
        <v/>
      </c>
      <c r="P1267">
        <f>IF('CHOP DASHBOARD'!$B$4="Area",IF(1266&lt;=$S$3,IF(AND(OR('CHOP DASHBOARD'!$C$4="",ISNUMBER(SEARCH('CHOP DASHBOARD'!$C$4,INDEX(MASTER_AREAS!$B:$B,1267))))),1266,""),""),IF('CHOP DASHBOARD'!$B$4="Zone",IF(1266&lt;=$S$4,IF(OR('CHOP DASHBOARD'!$C$4="",ISNUMBER(SEARCH('CHOP DASHBOARD'!$C$4,INDEX(MASTER_ZONES!$B:$B,1267)))),1266,""),""),""))</f>
        <v/>
      </c>
      <c r="U1267">
        <f>IF('COMMUNITY CHURCH DASHBOARD'!$B$4="Area",IF(1266&lt;=$X$3,IF(AND(OR('COMMUNITY CHURCH DASHBOARD'!$C$4="",ISNUMBER(SEARCH('COMMUNITY CHURCH DASHBOARD'!$C$4,INDEX(MASTER_AREAS!$B:$B,1267))))),1266,""),""),IF('COMMUNITY CHURCH DASHBOARD'!$B$4="Zone",IF(1266&lt;=$X$4,IF(OR('COMMUNITY CHURCH DASHBOARD'!$C$4="",ISNUMBER(SEARCH('COMMUNITY CHURCH DASHBOARD'!$C$4,INDEX(MASTER_ZONES!$B:$B,1267)))),1266,""),""),""))</f>
        <v/>
      </c>
    </row>
    <row r="1268">
      <c r="A1268">
        <f>IF('WSF DASHBOARD'!$B$4="Area",IF(1267&lt;=$D$3,IF(AND(OR('WSF DASHBOARD'!$C$4="",ISNUMBER(SEARCH('WSF DASHBOARD'!$C$4,INDEX(MASTER_AREAS!$B:$B,1268))))),1267,""),""),IF('WSF DASHBOARD'!$B$4="Zone",IF(1267&lt;=$D$4,IF(OR('WSF DASHBOARD'!$C$4="",ISNUMBER(SEARCH('WSF DASHBOARD'!$C$4,INDEX(MASTER_ZONES!$B:$B,1268)))),1267,""),""),""))</f>
        <v/>
      </c>
      <c r="F1268">
        <f>IF('TRANSPORT DASHBOARD'!$B$4="Area",IF(1267&lt;=$I$3,IF(AND(INDEX(MASTER_AREAS!$F:$F,1268)&lt;&gt;"N",OR('TRANSPORT DASHBOARD'!$C$4="",ISNUMBER(SEARCH('TRANSPORT DASHBOARD'!$C$4,INDEX(MASTER_AREAS!$B:$B,1268))))),1267,""),""),IF('TRANSPORT DASHBOARD'!$B$4="Zone",IF(1267&lt;=$I$4,IF(OR('TRANSPORT DASHBOARD'!$C$4="",ISNUMBER(SEARCH('TRANSPORT DASHBOARD'!$C$4,INDEX(MASTER_ZONES!$B:$B,1268)))),1267,""),""),""))</f>
        <v/>
      </c>
      <c r="K1268">
        <f>IF('MIDWEEK DASHBOARD'!$B$4="Area",IF(1267&lt;=$N$3,IF(AND(OR('MIDWEEK DASHBOARD'!$C$4="",ISNUMBER(SEARCH('MIDWEEK DASHBOARD'!$C$4,INDEX(MASTER_AREAS!$B:$B,1268))))),1267,""),""),IF('MIDWEEK DASHBOARD'!$B$4="Zone",IF(1267&lt;=$N$4,IF(OR('MIDWEEK DASHBOARD'!$C$4="",ISNUMBER(SEARCH('MIDWEEK DASHBOARD'!$C$4,INDEX(MASTER_ZONES!$B:$B,1268)))),1267,""),""),""))</f>
        <v/>
      </c>
      <c r="P1268">
        <f>IF('CHOP DASHBOARD'!$B$4="Area",IF(1267&lt;=$S$3,IF(AND(OR('CHOP DASHBOARD'!$C$4="",ISNUMBER(SEARCH('CHOP DASHBOARD'!$C$4,INDEX(MASTER_AREAS!$B:$B,1268))))),1267,""),""),IF('CHOP DASHBOARD'!$B$4="Zone",IF(1267&lt;=$S$4,IF(OR('CHOP DASHBOARD'!$C$4="",ISNUMBER(SEARCH('CHOP DASHBOARD'!$C$4,INDEX(MASTER_ZONES!$B:$B,1268)))),1267,""),""),""))</f>
        <v/>
      </c>
      <c r="U1268">
        <f>IF('COMMUNITY CHURCH DASHBOARD'!$B$4="Area",IF(1267&lt;=$X$3,IF(AND(OR('COMMUNITY CHURCH DASHBOARD'!$C$4="",ISNUMBER(SEARCH('COMMUNITY CHURCH DASHBOARD'!$C$4,INDEX(MASTER_AREAS!$B:$B,1268))))),1267,""),""),IF('COMMUNITY CHURCH DASHBOARD'!$B$4="Zone",IF(1267&lt;=$X$4,IF(OR('COMMUNITY CHURCH DASHBOARD'!$C$4="",ISNUMBER(SEARCH('COMMUNITY CHURCH DASHBOARD'!$C$4,INDEX(MASTER_ZONES!$B:$B,1268)))),1267,""),""),""))</f>
        <v/>
      </c>
    </row>
    <row r="1269">
      <c r="A1269">
        <f>IF('WSF DASHBOARD'!$B$4="Area",IF(1268&lt;=$D$3,IF(AND(OR('WSF DASHBOARD'!$C$4="",ISNUMBER(SEARCH('WSF DASHBOARD'!$C$4,INDEX(MASTER_AREAS!$B:$B,1269))))),1268,""),""),IF('WSF DASHBOARD'!$B$4="Zone",IF(1268&lt;=$D$4,IF(OR('WSF DASHBOARD'!$C$4="",ISNUMBER(SEARCH('WSF DASHBOARD'!$C$4,INDEX(MASTER_ZONES!$B:$B,1269)))),1268,""),""),""))</f>
        <v/>
      </c>
      <c r="F1269">
        <f>IF('TRANSPORT DASHBOARD'!$B$4="Area",IF(1268&lt;=$I$3,IF(AND(INDEX(MASTER_AREAS!$F:$F,1269)&lt;&gt;"N",OR('TRANSPORT DASHBOARD'!$C$4="",ISNUMBER(SEARCH('TRANSPORT DASHBOARD'!$C$4,INDEX(MASTER_AREAS!$B:$B,1269))))),1268,""),""),IF('TRANSPORT DASHBOARD'!$B$4="Zone",IF(1268&lt;=$I$4,IF(OR('TRANSPORT DASHBOARD'!$C$4="",ISNUMBER(SEARCH('TRANSPORT DASHBOARD'!$C$4,INDEX(MASTER_ZONES!$B:$B,1269)))),1268,""),""),""))</f>
        <v/>
      </c>
      <c r="K1269">
        <f>IF('MIDWEEK DASHBOARD'!$B$4="Area",IF(1268&lt;=$N$3,IF(AND(OR('MIDWEEK DASHBOARD'!$C$4="",ISNUMBER(SEARCH('MIDWEEK DASHBOARD'!$C$4,INDEX(MASTER_AREAS!$B:$B,1269))))),1268,""),""),IF('MIDWEEK DASHBOARD'!$B$4="Zone",IF(1268&lt;=$N$4,IF(OR('MIDWEEK DASHBOARD'!$C$4="",ISNUMBER(SEARCH('MIDWEEK DASHBOARD'!$C$4,INDEX(MASTER_ZONES!$B:$B,1269)))),1268,""),""),""))</f>
        <v/>
      </c>
      <c r="P1269">
        <f>IF('CHOP DASHBOARD'!$B$4="Area",IF(1268&lt;=$S$3,IF(AND(OR('CHOP DASHBOARD'!$C$4="",ISNUMBER(SEARCH('CHOP DASHBOARD'!$C$4,INDEX(MASTER_AREAS!$B:$B,1269))))),1268,""),""),IF('CHOP DASHBOARD'!$B$4="Zone",IF(1268&lt;=$S$4,IF(OR('CHOP DASHBOARD'!$C$4="",ISNUMBER(SEARCH('CHOP DASHBOARD'!$C$4,INDEX(MASTER_ZONES!$B:$B,1269)))),1268,""),""),""))</f>
        <v/>
      </c>
      <c r="U1269">
        <f>IF('COMMUNITY CHURCH DASHBOARD'!$B$4="Area",IF(1268&lt;=$X$3,IF(AND(OR('COMMUNITY CHURCH DASHBOARD'!$C$4="",ISNUMBER(SEARCH('COMMUNITY CHURCH DASHBOARD'!$C$4,INDEX(MASTER_AREAS!$B:$B,1269))))),1268,""),""),IF('COMMUNITY CHURCH DASHBOARD'!$B$4="Zone",IF(1268&lt;=$X$4,IF(OR('COMMUNITY CHURCH DASHBOARD'!$C$4="",ISNUMBER(SEARCH('COMMUNITY CHURCH DASHBOARD'!$C$4,INDEX(MASTER_ZONES!$B:$B,1269)))),1268,""),""),""))</f>
        <v/>
      </c>
    </row>
    <row r="1270">
      <c r="A1270">
        <f>IF('WSF DASHBOARD'!$B$4="Area",IF(1269&lt;=$D$3,IF(AND(OR('WSF DASHBOARD'!$C$4="",ISNUMBER(SEARCH('WSF DASHBOARD'!$C$4,INDEX(MASTER_AREAS!$B:$B,1270))))),1269,""),""),IF('WSF DASHBOARD'!$B$4="Zone",IF(1269&lt;=$D$4,IF(OR('WSF DASHBOARD'!$C$4="",ISNUMBER(SEARCH('WSF DASHBOARD'!$C$4,INDEX(MASTER_ZONES!$B:$B,1270)))),1269,""),""),""))</f>
        <v/>
      </c>
      <c r="F1270">
        <f>IF('TRANSPORT DASHBOARD'!$B$4="Area",IF(1269&lt;=$I$3,IF(AND(INDEX(MASTER_AREAS!$F:$F,1270)&lt;&gt;"N",OR('TRANSPORT DASHBOARD'!$C$4="",ISNUMBER(SEARCH('TRANSPORT DASHBOARD'!$C$4,INDEX(MASTER_AREAS!$B:$B,1270))))),1269,""),""),IF('TRANSPORT DASHBOARD'!$B$4="Zone",IF(1269&lt;=$I$4,IF(OR('TRANSPORT DASHBOARD'!$C$4="",ISNUMBER(SEARCH('TRANSPORT DASHBOARD'!$C$4,INDEX(MASTER_ZONES!$B:$B,1270)))),1269,""),""),""))</f>
        <v/>
      </c>
      <c r="K1270">
        <f>IF('MIDWEEK DASHBOARD'!$B$4="Area",IF(1269&lt;=$N$3,IF(AND(OR('MIDWEEK DASHBOARD'!$C$4="",ISNUMBER(SEARCH('MIDWEEK DASHBOARD'!$C$4,INDEX(MASTER_AREAS!$B:$B,1270))))),1269,""),""),IF('MIDWEEK DASHBOARD'!$B$4="Zone",IF(1269&lt;=$N$4,IF(OR('MIDWEEK DASHBOARD'!$C$4="",ISNUMBER(SEARCH('MIDWEEK DASHBOARD'!$C$4,INDEX(MASTER_ZONES!$B:$B,1270)))),1269,""),""),""))</f>
        <v/>
      </c>
      <c r="P1270">
        <f>IF('CHOP DASHBOARD'!$B$4="Area",IF(1269&lt;=$S$3,IF(AND(OR('CHOP DASHBOARD'!$C$4="",ISNUMBER(SEARCH('CHOP DASHBOARD'!$C$4,INDEX(MASTER_AREAS!$B:$B,1270))))),1269,""),""),IF('CHOP DASHBOARD'!$B$4="Zone",IF(1269&lt;=$S$4,IF(OR('CHOP DASHBOARD'!$C$4="",ISNUMBER(SEARCH('CHOP DASHBOARD'!$C$4,INDEX(MASTER_ZONES!$B:$B,1270)))),1269,""),""),""))</f>
        <v/>
      </c>
      <c r="U1270">
        <f>IF('COMMUNITY CHURCH DASHBOARD'!$B$4="Area",IF(1269&lt;=$X$3,IF(AND(OR('COMMUNITY CHURCH DASHBOARD'!$C$4="",ISNUMBER(SEARCH('COMMUNITY CHURCH DASHBOARD'!$C$4,INDEX(MASTER_AREAS!$B:$B,1270))))),1269,""),""),IF('COMMUNITY CHURCH DASHBOARD'!$B$4="Zone",IF(1269&lt;=$X$4,IF(OR('COMMUNITY CHURCH DASHBOARD'!$C$4="",ISNUMBER(SEARCH('COMMUNITY CHURCH DASHBOARD'!$C$4,INDEX(MASTER_ZONES!$B:$B,1270)))),1269,""),""),""))</f>
        <v/>
      </c>
    </row>
    <row r="1271">
      <c r="A1271">
        <f>IF('WSF DASHBOARD'!$B$4="Area",IF(1270&lt;=$D$3,IF(AND(OR('WSF DASHBOARD'!$C$4="",ISNUMBER(SEARCH('WSF DASHBOARD'!$C$4,INDEX(MASTER_AREAS!$B:$B,1271))))),1270,""),""),IF('WSF DASHBOARD'!$B$4="Zone",IF(1270&lt;=$D$4,IF(OR('WSF DASHBOARD'!$C$4="",ISNUMBER(SEARCH('WSF DASHBOARD'!$C$4,INDEX(MASTER_ZONES!$B:$B,1271)))),1270,""),""),""))</f>
        <v/>
      </c>
      <c r="F1271">
        <f>IF('TRANSPORT DASHBOARD'!$B$4="Area",IF(1270&lt;=$I$3,IF(AND(INDEX(MASTER_AREAS!$F:$F,1271)&lt;&gt;"N",OR('TRANSPORT DASHBOARD'!$C$4="",ISNUMBER(SEARCH('TRANSPORT DASHBOARD'!$C$4,INDEX(MASTER_AREAS!$B:$B,1271))))),1270,""),""),IF('TRANSPORT DASHBOARD'!$B$4="Zone",IF(1270&lt;=$I$4,IF(OR('TRANSPORT DASHBOARD'!$C$4="",ISNUMBER(SEARCH('TRANSPORT DASHBOARD'!$C$4,INDEX(MASTER_ZONES!$B:$B,1271)))),1270,""),""),""))</f>
        <v/>
      </c>
      <c r="K1271">
        <f>IF('MIDWEEK DASHBOARD'!$B$4="Area",IF(1270&lt;=$N$3,IF(AND(OR('MIDWEEK DASHBOARD'!$C$4="",ISNUMBER(SEARCH('MIDWEEK DASHBOARD'!$C$4,INDEX(MASTER_AREAS!$B:$B,1271))))),1270,""),""),IF('MIDWEEK DASHBOARD'!$B$4="Zone",IF(1270&lt;=$N$4,IF(OR('MIDWEEK DASHBOARD'!$C$4="",ISNUMBER(SEARCH('MIDWEEK DASHBOARD'!$C$4,INDEX(MASTER_ZONES!$B:$B,1271)))),1270,""),""),""))</f>
        <v/>
      </c>
      <c r="P1271">
        <f>IF('CHOP DASHBOARD'!$B$4="Area",IF(1270&lt;=$S$3,IF(AND(OR('CHOP DASHBOARD'!$C$4="",ISNUMBER(SEARCH('CHOP DASHBOARD'!$C$4,INDEX(MASTER_AREAS!$B:$B,1271))))),1270,""),""),IF('CHOP DASHBOARD'!$B$4="Zone",IF(1270&lt;=$S$4,IF(OR('CHOP DASHBOARD'!$C$4="",ISNUMBER(SEARCH('CHOP DASHBOARD'!$C$4,INDEX(MASTER_ZONES!$B:$B,1271)))),1270,""),""),""))</f>
        <v/>
      </c>
      <c r="U1271">
        <f>IF('COMMUNITY CHURCH DASHBOARD'!$B$4="Area",IF(1270&lt;=$X$3,IF(AND(OR('COMMUNITY CHURCH DASHBOARD'!$C$4="",ISNUMBER(SEARCH('COMMUNITY CHURCH DASHBOARD'!$C$4,INDEX(MASTER_AREAS!$B:$B,1271))))),1270,""),""),IF('COMMUNITY CHURCH DASHBOARD'!$B$4="Zone",IF(1270&lt;=$X$4,IF(OR('COMMUNITY CHURCH DASHBOARD'!$C$4="",ISNUMBER(SEARCH('COMMUNITY CHURCH DASHBOARD'!$C$4,INDEX(MASTER_ZONES!$B:$B,1271)))),1270,""),""),""))</f>
        <v/>
      </c>
    </row>
    <row r="1272">
      <c r="A1272">
        <f>IF('WSF DASHBOARD'!$B$4="Area",IF(1271&lt;=$D$3,IF(AND(OR('WSF DASHBOARD'!$C$4="",ISNUMBER(SEARCH('WSF DASHBOARD'!$C$4,INDEX(MASTER_AREAS!$B:$B,1272))))),1271,""),""),IF('WSF DASHBOARD'!$B$4="Zone",IF(1271&lt;=$D$4,IF(OR('WSF DASHBOARD'!$C$4="",ISNUMBER(SEARCH('WSF DASHBOARD'!$C$4,INDEX(MASTER_ZONES!$B:$B,1272)))),1271,""),""),""))</f>
        <v/>
      </c>
      <c r="F1272">
        <f>IF('TRANSPORT DASHBOARD'!$B$4="Area",IF(1271&lt;=$I$3,IF(AND(INDEX(MASTER_AREAS!$F:$F,1272)&lt;&gt;"N",OR('TRANSPORT DASHBOARD'!$C$4="",ISNUMBER(SEARCH('TRANSPORT DASHBOARD'!$C$4,INDEX(MASTER_AREAS!$B:$B,1272))))),1271,""),""),IF('TRANSPORT DASHBOARD'!$B$4="Zone",IF(1271&lt;=$I$4,IF(OR('TRANSPORT DASHBOARD'!$C$4="",ISNUMBER(SEARCH('TRANSPORT DASHBOARD'!$C$4,INDEX(MASTER_ZONES!$B:$B,1272)))),1271,""),""),""))</f>
        <v/>
      </c>
      <c r="K1272">
        <f>IF('MIDWEEK DASHBOARD'!$B$4="Area",IF(1271&lt;=$N$3,IF(AND(OR('MIDWEEK DASHBOARD'!$C$4="",ISNUMBER(SEARCH('MIDWEEK DASHBOARD'!$C$4,INDEX(MASTER_AREAS!$B:$B,1272))))),1271,""),""),IF('MIDWEEK DASHBOARD'!$B$4="Zone",IF(1271&lt;=$N$4,IF(OR('MIDWEEK DASHBOARD'!$C$4="",ISNUMBER(SEARCH('MIDWEEK DASHBOARD'!$C$4,INDEX(MASTER_ZONES!$B:$B,1272)))),1271,""),""),""))</f>
        <v/>
      </c>
      <c r="P1272">
        <f>IF('CHOP DASHBOARD'!$B$4="Area",IF(1271&lt;=$S$3,IF(AND(OR('CHOP DASHBOARD'!$C$4="",ISNUMBER(SEARCH('CHOP DASHBOARD'!$C$4,INDEX(MASTER_AREAS!$B:$B,1272))))),1271,""),""),IF('CHOP DASHBOARD'!$B$4="Zone",IF(1271&lt;=$S$4,IF(OR('CHOP DASHBOARD'!$C$4="",ISNUMBER(SEARCH('CHOP DASHBOARD'!$C$4,INDEX(MASTER_ZONES!$B:$B,1272)))),1271,""),""),""))</f>
        <v/>
      </c>
      <c r="U1272">
        <f>IF('COMMUNITY CHURCH DASHBOARD'!$B$4="Area",IF(1271&lt;=$X$3,IF(AND(OR('COMMUNITY CHURCH DASHBOARD'!$C$4="",ISNUMBER(SEARCH('COMMUNITY CHURCH DASHBOARD'!$C$4,INDEX(MASTER_AREAS!$B:$B,1272))))),1271,""),""),IF('COMMUNITY CHURCH DASHBOARD'!$B$4="Zone",IF(1271&lt;=$X$4,IF(OR('COMMUNITY CHURCH DASHBOARD'!$C$4="",ISNUMBER(SEARCH('COMMUNITY CHURCH DASHBOARD'!$C$4,INDEX(MASTER_ZONES!$B:$B,1272)))),1271,""),""),""))</f>
        <v/>
      </c>
    </row>
    <row r="1273">
      <c r="A1273">
        <f>IF('WSF DASHBOARD'!$B$4="Area",IF(1272&lt;=$D$3,IF(AND(OR('WSF DASHBOARD'!$C$4="",ISNUMBER(SEARCH('WSF DASHBOARD'!$C$4,INDEX(MASTER_AREAS!$B:$B,1273))))),1272,""),""),IF('WSF DASHBOARD'!$B$4="Zone",IF(1272&lt;=$D$4,IF(OR('WSF DASHBOARD'!$C$4="",ISNUMBER(SEARCH('WSF DASHBOARD'!$C$4,INDEX(MASTER_ZONES!$B:$B,1273)))),1272,""),""),""))</f>
        <v/>
      </c>
      <c r="F1273">
        <f>IF('TRANSPORT DASHBOARD'!$B$4="Area",IF(1272&lt;=$I$3,IF(AND(INDEX(MASTER_AREAS!$F:$F,1273)&lt;&gt;"N",OR('TRANSPORT DASHBOARD'!$C$4="",ISNUMBER(SEARCH('TRANSPORT DASHBOARD'!$C$4,INDEX(MASTER_AREAS!$B:$B,1273))))),1272,""),""),IF('TRANSPORT DASHBOARD'!$B$4="Zone",IF(1272&lt;=$I$4,IF(OR('TRANSPORT DASHBOARD'!$C$4="",ISNUMBER(SEARCH('TRANSPORT DASHBOARD'!$C$4,INDEX(MASTER_ZONES!$B:$B,1273)))),1272,""),""),""))</f>
        <v/>
      </c>
      <c r="K1273">
        <f>IF('MIDWEEK DASHBOARD'!$B$4="Area",IF(1272&lt;=$N$3,IF(AND(OR('MIDWEEK DASHBOARD'!$C$4="",ISNUMBER(SEARCH('MIDWEEK DASHBOARD'!$C$4,INDEX(MASTER_AREAS!$B:$B,1273))))),1272,""),""),IF('MIDWEEK DASHBOARD'!$B$4="Zone",IF(1272&lt;=$N$4,IF(OR('MIDWEEK DASHBOARD'!$C$4="",ISNUMBER(SEARCH('MIDWEEK DASHBOARD'!$C$4,INDEX(MASTER_ZONES!$B:$B,1273)))),1272,""),""),""))</f>
        <v/>
      </c>
      <c r="P1273">
        <f>IF('CHOP DASHBOARD'!$B$4="Area",IF(1272&lt;=$S$3,IF(AND(OR('CHOP DASHBOARD'!$C$4="",ISNUMBER(SEARCH('CHOP DASHBOARD'!$C$4,INDEX(MASTER_AREAS!$B:$B,1273))))),1272,""),""),IF('CHOP DASHBOARD'!$B$4="Zone",IF(1272&lt;=$S$4,IF(OR('CHOP DASHBOARD'!$C$4="",ISNUMBER(SEARCH('CHOP DASHBOARD'!$C$4,INDEX(MASTER_ZONES!$B:$B,1273)))),1272,""),""),""))</f>
        <v/>
      </c>
      <c r="U1273">
        <f>IF('COMMUNITY CHURCH DASHBOARD'!$B$4="Area",IF(1272&lt;=$X$3,IF(AND(OR('COMMUNITY CHURCH DASHBOARD'!$C$4="",ISNUMBER(SEARCH('COMMUNITY CHURCH DASHBOARD'!$C$4,INDEX(MASTER_AREAS!$B:$B,1273))))),1272,""),""),IF('COMMUNITY CHURCH DASHBOARD'!$B$4="Zone",IF(1272&lt;=$X$4,IF(OR('COMMUNITY CHURCH DASHBOARD'!$C$4="",ISNUMBER(SEARCH('COMMUNITY CHURCH DASHBOARD'!$C$4,INDEX(MASTER_ZONES!$B:$B,1273)))),1272,""),""),""))</f>
        <v/>
      </c>
    </row>
    <row r="1274">
      <c r="A1274">
        <f>IF('WSF DASHBOARD'!$B$4="Area",IF(1273&lt;=$D$3,IF(AND(OR('WSF DASHBOARD'!$C$4="",ISNUMBER(SEARCH('WSF DASHBOARD'!$C$4,INDEX(MASTER_AREAS!$B:$B,1274))))),1273,""),""),IF('WSF DASHBOARD'!$B$4="Zone",IF(1273&lt;=$D$4,IF(OR('WSF DASHBOARD'!$C$4="",ISNUMBER(SEARCH('WSF DASHBOARD'!$C$4,INDEX(MASTER_ZONES!$B:$B,1274)))),1273,""),""),""))</f>
        <v/>
      </c>
      <c r="F1274">
        <f>IF('TRANSPORT DASHBOARD'!$B$4="Area",IF(1273&lt;=$I$3,IF(AND(INDEX(MASTER_AREAS!$F:$F,1274)&lt;&gt;"N",OR('TRANSPORT DASHBOARD'!$C$4="",ISNUMBER(SEARCH('TRANSPORT DASHBOARD'!$C$4,INDEX(MASTER_AREAS!$B:$B,1274))))),1273,""),""),IF('TRANSPORT DASHBOARD'!$B$4="Zone",IF(1273&lt;=$I$4,IF(OR('TRANSPORT DASHBOARD'!$C$4="",ISNUMBER(SEARCH('TRANSPORT DASHBOARD'!$C$4,INDEX(MASTER_ZONES!$B:$B,1274)))),1273,""),""),""))</f>
        <v/>
      </c>
      <c r="K1274">
        <f>IF('MIDWEEK DASHBOARD'!$B$4="Area",IF(1273&lt;=$N$3,IF(AND(OR('MIDWEEK DASHBOARD'!$C$4="",ISNUMBER(SEARCH('MIDWEEK DASHBOARD'!$C$4,INDEX(MASTER_AREAS!$B:$B,1274))))),1273,""),""),IF('MIDWEEK DASHBOARD'!$B$4="Zone",IF(1273&lt;=$N$4,IF(OR('MIDWEEK DASHBOARD'!$C$4="",ISNUMBER(SEARCH('MIDWEEK DASHBOARD'!$C$4,INDEX(MASTER_ZONES!$B:$B,1274)))),1273,""),""),""))</f>
        <v/>
      </c>
      <c r="P1274">
        <f>IF('CHOP DASHBOARD'!$B$4="Area",IF(1273&lt;=$S$3,IF(AND(OR('CHOP DASHBOARD'!$C$4="",ISNUMBER(SEARCH('CHOP DASHBOARD'!$C$4,INDEX(MASTER_AREAS!$B:$B,1274))))),1273,""),""),IF('CHOP DASHBOARD'!$B$4="Zone",IF(1273&lt;=$S$4,IF(OR('CHOP DASHBOARD'!$C$4="",ISNUMBER(SEARCH('CHOP DASHBOARD'!$C$4,INDEX(MASTER_ZONES!$B:$B,1274)))),1273,""),""),""))</f>
        <v/>
      </c>
      <c r="U1274">
        <f>IF('COMMUNITY CHURCH DASHBOARD'!$B$4="Area",IF(1273&lt;=$X$3,IF(AND(OR('COMMUNITY CHURCH DASHBOARD'!$C$4="",ISNUMBER(SEARCH('COMMUNITY CHURCH DASHBOARD'!$C$4,INDEX(MASTER_AREAS!$B:$B,1274))))),1273,""),""),IF('COMMUNITY CHURCH DASHBOARD'!$B$4="Zone",IF(1273&lt;=$X$4,IF(OR('COMMUNITY CHURCH DASHBOARD'!$C$4="",ISNUMBER(SEARCH('COMMUNITY CHURCH DASHBOARD'!$C$4,INDEX(MASTER_ZONES!$B:$B,1274)))),1273,""),""),""))</f>
        <v/>
      </c>
    </row>
    <row r="1275">
      <c r="A1275">
        <f>IF('WSF DASHBOARD'!$B$4="Area",IF(1274&lt;=$D$3,IF(AND(OR('WSF DASHBOARD'!$C$4="",ISNUMBER(SEARCH('WSF DASHBOARD'!$C$4,INDEX(MASTER_AREAS!$B:$B,1275))))),1274,""),""),IF('WSF DASHBOARD'!$B$4="Zone",IF(1274&lt;=$D$4,IF(OR('WSF DASHBOARD'!$C$4="",ISNUMBER(SEARCH('WSF DASHBOARD'!$C$4,INDEX(MASTER_ZONES!$B:$B,1275)))),1274,""),""),""))</f>
        <v/>
      </c>
      <c r="F1275">
        <f>IF('TRANSPORT DASHBOARD'!$B$4="Area",IF(1274&lt;=$I$3,IF(AND(INDEX(MASTER_AREAS!$F:$F,1275)&lt;&gt;"N",OR('TRANSPORT DASHBOARD'!$C$4="",ISNUMBER(SEARCH('TRANSPORT DASHBOARD'!$C$4,INDEX(MASTER_AREAS!$B:$B,1275))))),1274,""),""),IF('TRANSPORT DASHBOARD'!$B$4="Zone",IF(1274&lt;=$I$4,IF(OR('TRANSPORT DASHBOARD'!$C$4="",ISNUMBER(SEARCH('TRANSPORT DASHBOARD'!$C$4,INDEX(MASTER_ZONES!$B:$B,1275)))),1274,""),""),""))</f>
        <v/>
      </c>
      <c r="K1275">
        <f>IF('MIDWEEK DASHBOARD'!$B$4="Area",IF(1274&lt;=$N$3,IF(AND(OR('MIDWEEK DASHBOARD'!$C$4="",ISNUMBER(SEARCH('MIDWEEK DASHBOARD'!$C$4,INDEX(MASTER_AREAS!$B:$B,1275))))),1274,""),""),IF('MIDWEEK DASHBOARD'!$B$4="Zone",IF(1274&lt;=$N$4,IF(OR('MIDWEEK DASHBOARD'!$C$4="",ISNUMBER(SEARCH('MIDWEEK DASHBOARD'!$C$4,INDEX(MASTER_ZONES!$B:$B,1275)))),1274,""),""),""))</f>
        <v/>
      </c>
      <c r="P1275">
        <f>IF('CHOP DASHBOARD'!$B$4="Area",IF(1274&lt;=$S$3,IF(AND(OR('CHOP DASHBOARD'!$C$4="",ISNUMBER(SEARCH('CHOP DASHBOARD'!$C$4,INDEX(MASTER_AREAS!$B:$B,1275))))),1274,""),""),IF('CHOP DASHBOARD'!$B$4="Zone",IF(1274&lt;=$S$4,IF(OR('CHOP DASHBOARD'!$C$4="",ISNUMBER(SEARCH('CHOP DASHBOARD'!$C$4,INDEX(MASTER_ZONES!$B:$B,1275)))),1274,""),""),""))</f>
        <v/>
      </c>
      <c r="U1275">
        <f>IF('COMMUNITY CHURCH DASHBOARD'!$B$4="Area",IF(1274&lt;=$X$3,IF(AND(OR('COMMUNITY CHURCH DASHBOARD'!$C$4="",ISNUMBER(SEARCH('COMMUNITY CHURCH DASHBOARD'!$C$4,INDEX(MASTER_AREAS!$B:$B,1275))))),1274,""),""),IF('COMMUNITY CHURCH DASHBOARD'!$B$4="Zone",IF(1274&lt;=$X$4,IF(OR('COMMUNITY CHURCH DASHBOARD'!$C$4="",ISNUMBER(SEARCH('COMMUNITY CHURCH DASHBOARD'!$C$4,INDEX(MASTER_ZONES!$B:$B,1275)))),1274,""),""),""))</f>
        <v/>
      </c>
    </row>
    <row r="1276">
      <c r="A1276">
        <f>IF('WSF DASHBOARD'!$B$4="Area",IF(1275&lt;=$D$3,IF(AND(OR('WSF DASHBOARD'!$C$4="",ISNUMBER(SEARCH('WSF DASHBOARD'!$C$4,INDEX(MASTER_AREAS!$B:$B,1276))))),1275,""),""),IF('WSF DASHBOARD'!$B$4="Zone",IF(1275&lt;=$D$4,IF(OR('WSF DASHBOARD'!$C$4="",ISNUMBER(SEARCH('WSF DASHBOARD'!$C$4,INDEX(MASTER_ZONES!$B:$B,1276)))),1275,""),""),""))</f>
        <v/>
      </c>
      <c r="F1276">
        <f>IF('TRANSPORT DASHBOARD'!$B$4="Area",IF(1275&lt;=$I$3,IF(AND(INDEX(MASTER_AREAS!$F:$F,1276)&lt;&gt;"N",OR('TRANSPORT DASHBOARD'!$C$4="",ISNUMBER(SEARCH('TRANSPORT DASHBOARD'!$C$4,INDEX(MASTER_AREAS!$B:$B,1276))))),1275,""),""),IF('TRANSPORT DASHBOARD'!$B$4="Zone",IF(1275&lt;=$I$4,IF(OR('TRANSPORT DASHBOARD'!$C$4="",ISNUMBER(SEARCH('TRANSPORT DASHBOARD'!$C$4,INDEX(MASTER_ZONES!$B:$B,1276)))),1275,""),""),""))</f>
        <v/>
      </c>
      <c r="K1276">
        <f>IF('MIDWEEK DASHBOARD'!$B$4="Area",IF(1275&lt;=$N$3,IF(AND(OR('MIDWEEK DASHBOARD'!$C$4="",ISNUMBER(SEARCH('MIDWEEK DASHBOARD'!$C$4,INDEX(MASTER_AREAS!$B:$B,1276))))),1275,""),""),IF('MIDWEEK DASHBOARD'!$B$4="Zone",IF(1275&lt;=$N$4,IF(OR('MIDWEEK DASHBOARD'!$C$4="",ISNUMBER(SEARCH('MIDWEEK DASHBOARD'!$C$4,INDEX(MASTER_ZONES!$B:$B,1276)))),1275,""),""),""))</f>
        <v/>
      </c>
      <c r="P1276">
        <f>IF('CHOP DASHBOARD'!$B$4="Area",IF(1275&lt;=$S$3,IF(AND(OR('CHOP DASHBOARD'!$C$4="",ISNUMBER(SEARCH('CHOP DASHBOARD'!$C$4,INDEX(MASTER_AREAS!$B:$B,1276))))),1275,""),""),IF('CHOP DASHBOARD'!$B$4="Zone",IF(1275&lt;=$S$4,IF(OR('CHOP DASHBOARD'!$C$4="",ISNUMBER(SEARCH('CHOP DASHBOARD'!$C$4,INDEX(MASTER_ZONES!$B:$B,1276)))),1275,""),""),""))</f>
        <v/>
      </c>
      <c r="U1276">
        <f>IF('COMMUNITY CHURCH DASHBOARD'!$B$4="Area",IF(1275&lt;=$X$3,IF(AND(OR('COMMUNITY CHURCH DASHBOARD'!$C$4="",ISNUMBER(SEARCH('COMMUNITY CHURCH DASHBOARD'!$C$4,INDEX(MASTER_AREAS!$B:$B,1276))))),1275,""),""),IF('COMMUNITY CHURCH DASHBOARD'!$B$4="Zone",IF(1275&lt;=$X$4,IF(OR('COMMUNITY CHURCH DASHBOARD'!$C$4="",ISNUMBER(SEARCH('COMMUNITY CHURCH DASHBOARD'!$C$4,INDEX(MASTER_ZONES!$B:$B,1276)))),1275,""),""),""))</f>
        <v/>
      </c>
    </row>
    <row r="1277">
      <c r="A1277">
        <f>IF('WSF DASHBOARD'!$B$4="Area",IF(1276&lt;=$D$3,IF(AND(OR('WSF DASHBOARD'!$C$4="",ISNUMBER(SEARCH('WSF DASHBOARD'!$C$4,INDEX(MASTER_AREAS!$B:$B,1277))))),1276,""),""),IF('WSF DASHBOARD'!$B$4="Zone",IF(1276&lt;=$D$4,IF(OR('WSF DASHBOARD'!$C$4="",ISNUMBER(SEARCH('WSF DASHBOARD'!$C$4,INDEX(MASTER_ZONES!$B:$B,1277)))),1276,""),""),""))</f>
        <v/>
      </c>
      <c r="F1277">
        <f>IF('TRANSPORT DASHBOARD'!$B$4="Area",IF(1276&lt;=$I$3,IF(AND(INDEX(MASTER_AREAS!$F:$F,1277)&lt;&gt;"N",OR('TRANSPORT DASHBOARD'!$C$4="",ISNUMBER(SEARCH('TRANSPORT DASHBOARD'!$C$4,INDEX(MASTER_AREAS!$B:$B,1277))))),1276,""),""),IF('TRANSPORT DASHBOARD'!$B$4="Zone",IF(1276&lt;=$I$4,IF(OR('TRANSPORT DASHBOARD'!$C$4="",ISNUMBER(SEARCH('TRANSPORT DASHBOARD'!$C$4,INDEX(MASTER_ZONES!$B:$B,1277)))),1276,""),""),""))</f>
        <v/>
      </c>
      <c r="K1277">
        <f>IF('MIDWEEK DASHBOARD'!$B$4="Area",IF(1276&lt;=$N$3,IF(AND(OR('MIDWEEK DASHBOARD'!$C$4="",ISNUMBER(SEARCH('MIDWEEK DASHBOARD'!$C$4,INDEX(MASTER_AREAS!$B:$B,1277))))),1276,""),""),IF('MIDWEEK DASHBOARD'!$B$4="Zone",IF(1276&lt;=$N$4,IF(OR('MIDWEEK DASHBOARD'!$C$4="",ISNUMBER(SEARCH('MIDWEEK DASHBOARD'!$C$4,INDEX(MASTER_ZONES!$B:$B,1277)))),1276,""),""),""))</f>
        <v/>
      </c>
      <c r="P1277">
        <f>IF('CHOP DASHBOARD'!$B$4="Area",IF(1276&lt;=$S$3,IF(AND(OR('CHOP DASHBOARD'!$C$4="",ISNUMBER(SEARCH('CHOP DASHBOARD'!$C$4,INDEX(MASTER_AREAS!$B:$B,1277))))),1276,""),""),IF('CHOP DASHBOARD'!$B$4="Zone",IF(1276&lt;=$S$4,IF(OR('CHOP DASHBOARD'!$C$4="",ISNUMBER(SEARCH('CHOP DASHBOARD'!$C$4,INDEX(MASTER_ZONES!$B:$B,1277)))),1276,""),""),""))</f>
        <v/>
      </c>
      <c r="U1277">
        <f>IF('COMMUNITY CHURCH DASHBOARD'!$B$4="Area",IF(1276&lt;=$X$3,IF(AND(OR('COMMUNITY CHURCH DASHBOARD'!$C$4="",ISNUMBER(SEARCH('COMMUNITY CHURCH DASHBOARD'!$C$4,INDEX(MASTER_AREAS!$B:$B,1277))))),1276,""),""),IF('COMMUNITY CHURCH DASHBOARD'!$B$4="Zone",IF(1276&lt;=$X$4,IF(OR('COMMUNITY CHURCH DASHBOARD'!$C$4="",ISNUMBER(SEARCH('COMMUNITY CHURCH DASHBOARD'!$C$4,INDEX(MASTER_ZONES!$B:$B,1277)))),1276,""),""),""))</f>
        <v/>
      </c>
    </row>
    <row r="1278">
      <c r="A1278">
        <f>IF('WSF DASHBOARD'!$B$4="Area",IF(1277&lt;=$D$3,IF(AND(OR('WSF DASHBOARD'!$C$4="",ISNUMBER(SEARCH('WSF DASHBOARD'!$C$4,INDEX(MASTER_AREAS!$B:$B,1278))))),1277,""),""),IF('WSF DASHBOARD'!$B$4="Zone",IF(1277&lt;=$D$4,IF(OR('WSF DASHBOARD'!$C$4="",ISNUMBER(SEARCH('WSF DASHBOARD'!$C$4,INDEX(MASTER_ZONES!$B:$B,1278)))),1277,""),""),""))</f>
        <v/>
      </c>
      <c r="F1278">
        <f>IF('TRANSPORT DASHBOARD'!$B$4="Area",IF(1277&lt;=$I$3,IF(AND(INDEX(MASTER_AREAS!$F:$F,1278)&lt;&gt;"N",OR('TRANSPORT DASHBOARD'!$C$4="",ISNUMBER(SEARCH('TRANSPORT DASHBOARD'!$C$4,INDEX(MASTER_AREAS!$B:$B,1278))))),1277,""),""),IF('TRANSPORT DASHBOARD'!$B$4="Zone",IF(1277&lt;=$I$4,IF(OR('TRANSPORT DASHBOARD'!$C$4="",ISNUMBER(SEARCH('TRANSPORT DASHBOARD'!$C$4,INDEX(MASTER_ZONES!$B:$B,1278)))),1277,""),""),""))</f>
        <v/>
      </c>
      <c r="K1278">
        <f>IF('MIDWEEK DASHBOARD'!$B$4="Area",IF(1277&lt;=$N$3,IF(AND(OR('MIDWEEK DASHBOARD'!$C$4="",ISNUMBER(SEARCH('MIDWEEK DASHBOARD'!$C$4,INDEX(MASTER_AREAS!$B:$B,1278))))),1277,""),""),IF('MIDWEEK DASHBOARD'!$B$4="Zone",IF(1277&lt;=$N$4,IF(OR('MIDWEEK DASHBOARD'!$C$4="",ISNUMBER(SEARCH('MIDWEEK DASHBOARD'!$C$4,INDEX(MASTER_ZONES!$B:$B,1278)))),1277,""),""),""))</f>
        <v/>
      </c>
      <c r="P1278">
        <f>IF('CHOP DASHBOARD'!$B$4="Area",IF(1277&lt;=$S$3,IF(AND(OR('CHOP DASHBOARD'!$C$4="",ISNUMBER(SEARCH('CHOP DASHBOARD'!$C$4,INDEX(MASTER_AREAS!$B:$B,1278))))),1277,""),""),IF('CHOP DASHBOARD'!$B$4="Zone",IF(1277&lt;=$S$4,IF(OR('CHOP DASHBOARD'!$C$4="",ISNUMBER(SEARCH('CHOP DASHBOARD'!$C$4,INDEX(MASTER_ZONES!$B:$B,1278)))),1277,""),""),""))</f>
        <v/>
      </c>
      <c r="U1278">
        <f>IF('COMMUNITY CHURCH DASHBOARD'!$B$4="Area",IF(1277&lt;=$X$3,IF(AND(OR('COMMUNITY CHURCH DASHBOARD'!$C$4="",ISNUMBER(SEARCH('COMMUNITY CHURCH DASHBOARD'!$C$4,INDEX(MASTER_AREAS!$B:$B,1278))))),1277,""),""),IF('COMMUNITY CHURCH DASHBOARD'!$B$4="Zone",IF(1277&lt;=$X$4,IF(OR('COMMUNITY CHURCH DASHBOARD'!$C$4="",ISNUMBER(SEARCH('COMMUNITY CHURCH DASHBOARD'!$C$4,INDEX(MASTER_ZONES!$B:$B,1278)))),1277,""),""),""))</f>
        <v/>
      </c>
    </row>
    <row r="1279">
      <c r="A1279">
        <f>IF('WSF DASHBOARD'!$B$4="Area",IF(1278&lt;=$D$3,IF(AND(OR('WSF DASHBOARD'!$C$4="",ISNUMBER(SEARCH('WSF DASHBOARD'!$C$4,INDEX(MASTER_AREAS!$B:$B,1279))))),1278,""),""),IF('WSF DASHBOARD'!$B$4="Zone",IF(1278&lt;=$D$4,IF(OR('WSF DASHBOARD'!$C$4="",ISNUMBER(SEARCH('WSF DASHBOARD'!$C$4,INDEX(MASTER_ZONES!$B:$B,1279)))),1278,""),""),""))</f>
        <v/>
      </c>
      <c r="F1279">
        <f>IF('TRANSPORT DASHBOARD'!$B$4="Area",IF(1278&lt;=$I$3,IF(AND(INDEX(MASTER_AREAS!$F:$F,1279)&lt;&gt;"N",OR('TRANSPORT DASHBOARD'!$C$4="",ISNUMBER(SEARCH('TRANSPORT DASHBOARD'!$C$4,INDEX(MASTER_AREAS!$B:$B,1279))))),1278,""),""),IF('TRANSPORT DASHBOARD'!$B$4="Zone",IF(1278&lt;=$I$4,IF(OR('TRANSPORT DASHBOARD'!$C$4="",ISNUMBER(SEARCH('TRANSPORT DASHBOARD'!$C$4,INDEX(MASTER_ZONES!$B:$B,1279)))),1278,""),""),""))</f>
        <v/>
      </c>
      <c r="K1279">
        <f>IF('MIDWEEK DASHBOARD'!$B$4="Area",IF(1278&lt;=$N$3,IF(AND(OR('MIDWEEK DASHBOARD'!$C$4="",ISNUMBER(SEARCH('MIDWEEK DASHBOARD'!$C$4,INDEX(MASTER_AREAS!$B:$B,1279))))),1278,""),""),IF('MIDWEEK DASHBOARD'!$B$4="Zone",IF(1278&lt;=$N$4,IF(OR('MIDWEEK DASHBOARD'!$C$4="",ISNUMBER(SEARCH('MIDWEEK DASHBOARD'!$C$4,INDEX(MASTER_ZONES!$B:$B,1279)))),1278,""),""),""))</f>
        <v/>
      </c>
      <c r="P1279">
        <f>IF('CHOP DASHBOARD'!$B$4="Area",IF(1278&lt;=$S$3,IF(AND(OR('CHOP DASHBOARD'!$C$4="",ISNUMBER(SEARCH('CHOP DASHBOARD'!$C$4,INDEX(MASTER_AREAS!$B:$B,1279))))),1278,""),""),IF('CHOP DASHBOARD'!$B$4="Zone",IF(1278&lt;=$S$4,IF(OR('CHOP DASHBOARD'!$C$4="",ISNUMBER(SEARCH('CHOP DASHBOARD'!$C$4,INDEX(MASTER_ZONES!$B:$B,1279)))),1278,""),""),""))</f>
        <v/>
      </c>
      <c r="U1279">
        <f>IF('COMMUNITY CHURCH DASHBOARD'!$B$4="Area",IF(1278&lt;=$X$3,IF(AND(OR('COMMUNITY CHURCH DASHBOARD'!$C$4="",ISNUMBER(SEARCH('COMMUNITY CHURCH DASHBOARD'!$C$4,INDEX(MASTER_AREAS!$B:$B,1279))))),1278,""),""),IF('COMMUNITY CHURCH DASHBOARD'!$B$4="Zone",IF(1278&lt;=$X$4,IF(OR('COMMUNITY CHURCH DASHBOARD'!$C$4="",ISNUMBER(SEARCH('COMMUNITY CHURCH DASHBOARD'!$C$4,INDEX(MASTER_ZONES!$B:$B,1279)))),1278,""),""),""))</f>
        <v/>
      </c>
    </row>
    <row r="1280">
      <c r="A1280">
        <f>IF('WSF DASHBOARD'!$B$4="Area",IF(1279&lt;=$D$3,IF(AND(OR('WSF DASHBOARD'!$C$4="",ISNUMBER(SEARCH('WSF DASHBOARD'!$C$4,INDEX(MASTER_AREAS!$B:$B,1280))))),1279,""),""),IF('WSF DASHBOARD'!$B$4="Zone",IF(1279&lt;=$D$4,IF(OR('WSF DASHBOARD'!$C$4="",ISNUMBER(SEARCH('WSF DASHBOARD'!$C$4,INDEX(MASTER_ZONES!$B:$B,1280)))),1279,""),""),""))</f>
        <v/>
      </c>
      <c r="F1280">
        <f>IF('TRANSPORT DASHBOARD'!$B$4="Area",IF(1279&lt;=$I$3,IF(AND(INDEX(MASTER_AREAS!$F:$F,1280)&lt;&gt;"N",OR('TRANSPORT DASHBOARD'!$C$4="",ISNUMBER(SEARCH('TRANSPORT DASHBOARD'!$C$4,INDEX(MASTER_AREAS!$B:$B,1280))))),1279,""),""),IF('TRANSPORT DASHBOARD'!$B$4="Zone",IF(1279&lt;=$I$4,IF(OR('TRANSPORT DASHBOARD'!$C$4="",ISNUMBER(SEARCH('TRANSPORT DASHBOARD'!$C$4,INDEX(MASTER_ZONES!$B:$B,1280)))),1279,""),""),""))</f>
        <v/>
      </c>
      <c r="K1280">
        <f>IF('MIDWEEK DASHBOARD'!$B$4="Area",IF(1279&lt;=$N$3,IF(AND(OR('MIDWEEK DASHBOARD'!$C$4="",ISNUMBER(SEARCH('MIDWEEK DASHBOARD'!$C$4,INDEX(MASTER_AREAS!$B:$B,1280))))),1279,""),""),IF('MIDWEEK DASHBOARD'!$B$4="Zone",IF(1279&lt;=$N$4,IF(OR('MIDWEEK DASHBOARD'!$C$4="",ISNUMBER(SEARCH('MIDWEEK DASHBOARD'!$C$4,INDEX(MASTER_ZONES!$B:$B,1280)))),1279,""),""),""))</f>
        <v/>
      </c>
      <c r="P1280">
        <f>IF('CHOP DASHBOARD'!$B$4="Area",IF(1279&lt;=$S$3,IF(AND(OR('CHOP DASHBOARD'!$C$4="",ISNUMBER(SEARCH('CHOP DASHBOARD'!$C$4,INDEX(MASTER_AREAS!$B:$B,1280))))),1279,""),""),IF('CHOP DASHBOARD'!$B$4="Zone",IF(1279&lt;=$S$4,IF(OR('CHOP DASHBOARD'!$C$4="",ISNUMBER(SEARCH('CHOP DASHBOARD'!$C$4,INDEX(MASTER_ZONES!$B:$B,1280)))),1279,""),""),""))</f>
        <v/>
      </c>
      <c r="U1280">
        <f>IF('COMMUNITY CHURCH DASHBOARD'!$B$4="Area",IF(1279&lt;=$X$3,IF(AND(OR('COMMUNITY CHURCH DASHBOARD'!$C$4="",ISNUMBER(SEARCH('COMMUNITY CHURCH DASHBOARD'!$C$4,INDEX(MASTER_AREAS!$B:$B,1280))))),1279,""),""),IF('COMMUNITY CHURCH DASHBOARD'!$B$4="Zone",IF(1279&lt;=$X$4,IF(OR('COMMUNITY CHURCH DASHBOARD'!$C$4="",ISNUMBER(SEARCH('COMMUNITY CHURCH DASHBOARD'!$C$4,INDEX(MASTER_ZONES!$B:$B,1280)))),1279,""),""),""))</f>
        <v/>
      </c>
    </row>
    <row r="1281">
      <c r="A1281">
        <f>IF('WSF DASHBOARD'!$B$4="Area",IF(1280&lt;=$D$3,IF(AND(OR('WSF DASHBOARD'!$C$4="",ISNUMBER(SEARCH('WSF DASHBOARD'!$C$4,INDEX(MASTER_AREAS!$B:$B,1281))))),1280,""),""),IF('WSF DASHBOARD'!$B$4="Zone",IF(1280&lt;=$D$4,IF(OR('WSF DASHBOARD'!$C$4="",ISNUMBER(SEARCH('WSF DASHBOARD'!$C$4,INDEX(MASTER_ZONES!$B:$B,1281)))),1280,""),""),""))</f>
        <v/>
      </c>
      <c r="F1281">
        <f>IF('TRANSPORT DASHBOARD'!$B$4="Area",IF(1280&lt;=$I$3,IF(AND(INDEX(MASTER_AREAS!$F:$F,1281)&lt;&gt;"N",OR('TRANSPORT DASHBOARD'!$C$4="",ISNUMBER(SEARCH('TRANSPORT DASHBOARD'!$C$4,INDEX(MASTER_AREAS!$B:$B,1281))))),1280,""),""),IF('TRANSPORT DASHBOARD'!$B$4="Zone",IF(1280&lt;=$I$4,IF(OR('TRANSPORT DASHBOARD'!$C$4="",ISNUMBER(SEARCH('TRANSPORT DASHBOARD'!$C$4,INDEX(MASTER_ZONES!$B:$B,1281)))),1280,""),""),""))</f>
        <v/>
      </c>
      <c r="K1281">
        <f>IF('MIDWEEK DASHBOARD'!$B$4="Area",IF(1280&lt;=$N$3,IF(AND(OR('MIDWEEK DASHBOARD'!$C$4="",ISNUMBER(SEARCH('MIDWEEK DASHBOARD'!$C$4,INDEX(MASTER_AREAS!$B:$B,1281))))),1280,""),""),IF('MIDWEEK DASHBOARD'!$B$4="Zone",IF(1280&lt;=$N$4,IF(OR('MIDWEEK DASHBOARD'!$C$4="",ISNUMBER(SEARCH('MIDWEEK DASHBOARD'!$C$4,INDEX(MASTER_ZONES!$B:$B,1281)))),1280,""),""),""))</f>
        <v/>
      </c>
      <c r="P1281">
        <f>IF('CHOP DASHBOARD'!$B$4="Area",IF(1280&lt;=$S$3,IF(AND(OR('CHOP DASHBOARD'!$C$4="",ISNUMBER(SEARCH('CHOP DASHBOARD'!$C$4,INDEX(MASTER_AREAS!$B:$B,1281))))),1280,""),""),IF('CHOP DASHBOARD'!$B$4="Zone",IF(1280&lt;=$S$4,IF(OR('CHOP DASHBOARD'!$C$4="",ISNUMBER(SEARCH('CHOP DASHBOARD'!$C$4,INDEX(MASTER_ZONES!$B:$B,1281)))),1280,""),""),""))</f>
        <v/>
      </c>
      <c r="U1281">
        <f>IF('COMMUNITY CHURCH DASHBOARD'!$B$4="Area",IF(1280&lt;=$X$3,IF(AND(OR('COMMUNITY CHURCH DASHBOARD'!$C$4="",ISNUMBER(SEARCH('COMMUNITY CHURCH DASHBOARD'!$C$4,INDEX(MASTER_AREAS!$B:$B,1281))))),1280,""),""),IF('COMMUNITY CHURCH DASHBOARD'!$B$4="Zone",IF(1280&lt;=$X$4,IF(OR('COMMUNITY CHURCH DASHBOARD'!$C$4="",ISNUMBER(SEARCH('COMMUNITY CHURCH DASHBOARD'!$C$4,INDEX(MASTER_ZONES!$B:$B,1281)))),1280,""),""),""))</f>
        <v/>
      </c>
    </row>
    <row r="1282">
      <c r="A1282">
        <f>IF('WSF DASHBOARD'!$B$4="Area",IF(1281&lt;=$D$3,IF(AND(OR('WSF DASHBOARD'!$C$4="",ISNUMBER(SEARCH('WSF DASHBOARD'!$C$4,INDEX(MASTER_AREAS!$B:$B,1282))))),1281,""),""),IF('WSF DASHBOARD'!$B$4="Zone",IF(1281&lt;=$D$4,IF(OR('WSF DASHBOARD'!$C$4="",ISNUMBER(SEARCH('WSF DASHBOARD'!$C$4,INDEX(MASTER_ZONES!$B:$B,1282)))),1281,""),""),""))</f>
        <v/>
      </c>
      <c r="F1282">
        <f>IF('TRANSPORT DASHBOARD'!$B$4="Area",IF(1281&lt;=$I$3,IF(AND(INDEX(MASTER_AREAS!$F:$F,1282)&lt;&gt;"N",OR('TRANSPORT DASHBOARD'!$C$4="",ISNUMBER(SEARCH('TRANSPORT DASHBOARD'!$C$4,INDEX(MASTER_AREAS!$B:$B,1282))))),1281,""),""),IF('TRANSPORT DASHBOARD'!$B$4="Zone",IF(1281&lt;=$I$4,IF(OR('TRANSPORT DASHBOARD'!$C$4="",ISNUMBER(SEARCH('TRANSPORT DASHBOARD'!$C$4,INDEX(MASTER_ZONES!$B:$B,1282)))),1281,""),""),""))</f>
        <v/>
      </c>
      <c r="K1282">
        <f>IF('MIDWEEK DASHBOARD'!$B$4="Area",IF(1281&lt;=$N$3,IF(AND(OR('MIDWEEK DASHBOARD'!$C$4="",ISNUMBER(SEARCH('MIDWEEK DASHBOARD'!$C$4,INDEX(MASTER_AREAS!$B:$B,1282))))),1281,""),""),IF('MIDWEEK DASHBOARD'!$B$4="Zone",IF(1281&lt;=$N$4,IF(OR('MIDWEEK DASHBOARD'!$C$4="",ISNUMBER(SEARCH('MIDWEEK DASHBOARD'!$C$4,INDEX(MASTER_ZONES!$B:$B,1282)))),1281,""),""),""))</f>
        <v/>
      </c>
      <c r="P1282">
        <f>IF('CHOP DASHBOARD'!$B$4="Area",IF(1281&lt;=$S$3,IF(AND(OR('CHOP DASHBOARD'!$C$4="",ISNUMBER(SEARCH('CHOP DASHBOARD'!$C$4,INDEX(MASTER_AREAS!$B:$B,1282))))),1281,""),""),IF('CHOP DASHBOARD'!$B$4="Zone",IF(1281&lt;=$S$4,IF(OR('CHOP DASHBOARD'!$C$4="",ISNUMBER(SEARCH('CHOP DASHBOARD'!$C$4,INDEX(MASTER_ZONES!$B:$B,1282)))),1281,""),""),""))</f>
        <v/>
      </c>
      <c r="U1282">
        <f>IF('COMMUNITY CHURCH DASHBOARD'!$B$4="Area",IF(1281&lt;=$X$3,IF(AND(OR('COMMUNITY CHURCH DASHBOARD'!$C$4="",ISNUMBER(SEARCH('COMMUNITY CHURCH DASHBOARD'!$C$4,INDEX(MASTER_AREAS!$B:$B,1282))))),1281,""),""),IF('COMMUNITY CHURCH DASHBOARD'!$B$4="Zone",IF(1281&lt;=$X$4,IF(OR('COMMUNITY CHURCH DASHBOARD'!$C$4="",ISNUMBER(SEARCH('COMMUNITY CHURCH DASHBOARD'!$C$4,INDEX(MASTER_ZONES!$B:$B,1282)))),1281,""),""),""))</f>
        <v/>
      </c>
    </row>
    <row r="1283">
      <c r="A1283">
        <f>IF('WSF DASHBOARD'!$B$4="Area",IF(1282&lt;=$D$3,IF(AND(OR('WSF DASHBOARD'!$C$4="",ISNUMBER(SEARCH('WSF DASHBOARD'!$C$4,INDEX(MASTER_AREAS!$B:$B,1283))))),1282,""),""),IF('WSF DASHBOARD'!$B$4="Zone",IF(1282&lt;=$D$4,IF(OR('WSF DASHBOARD'!$C$4="",ISNUMBER(SEARCH('WSF DASHBOARD'!$C$4,INDEX(MASTER_ZONES!$B:$B,1283)))),1282,""),""),""))</f>
        <v/>
      </c>
      <c r="F1283">
        <f>IF('TRANSPORT DASHBOARD'!$B$4="Area",IF(1282&lt;=$I$3,IF(AND(INDEX(MASTER_AREAS!$F:$F,1283)&lt;&gt;"N",OR('TRANSPORT DASHBOARD'!$C$4="",ISNUMBER(SEARCH('TRANSPORT DASHBOARD'!$C$4,INDEX(MASTER_AREAS!$B:$B,1283))))),1282,""),""),IF('TRANSPORT DASHBOARD'!$B$4="Zone",IF(1282&lt;=$I$4,IF(OR('TRANSPORT DASHBOARD'!$C$4="",ISNUMBER(SEARCH('TRANSPORT DASHBOARD'!$C$4,INDEX(MASTER_ZONES!$B:$B,1283)))),1282,""),""),""))</f>
        <v/>
      </c>
      <c r="K1283">
        <f>IF('MIDWEEK DASHBOARD'!$B$4="Area",IF(1282&lt;=$N$3,IF(AND(OR('MIDWEEK DASHBOARD'!$C$4="",ISNUMBER(SEARCH('MIDWEEK DASHBOARD'!$C$4,INDEX(MASTER_AREAS!$B:$B,1283))))),1282,""),""),IF('MIDWEEK DASHBOARD'!$B$4="Zone",IF(1282&lt;=$N$4,IF(OR('MIDWEEK DASHBOARD'!$C$4="",ISNUMBER(SEARCH('MIDWEEK DASHBOARD'!$C$4,INDEX(MASTER_ZONES!$B:$B,1283)))),1282,""),""),""))</f>
        <v/>
      </c>
      <c r="P1283">
        <f>IF('CHOP DASHBOARD'!$B$4="Area",IF(1282&lt;=$S$3,IF(AND(OR('CHOP DASHBOARD'!$C$4="",ISNUMBER(SEARCH('CHOP DASHBOARD'!$C$4,INDEX(MASTER_AREAS!$B:$B,1283))))),1282,""),""),IF('CHOP DASHBOARD'!$B$4="Zone",IF(1282&lt;=$S$4,IF(OR('CHOP DASHBOARD'!$C$4="",ISNUMBER(SEARCH('CHOP DASHBOARD'!$C$4,INDEX(MASTER_ZONES!$B:$B,1283)))),1282,""),""),""))</f>
        <v/>
      </c>
      <c r="U1283">
        <f>IF('COMMUNITY CHURCH DASHBOARD'!$B$4="Area",IF(1282&lt;=$X$3,IF(AND(OR('COMMUNITY CHURCH DASHBOARD'!$C$4="",ISNUMBER(SEARCH('COMMUNITY CHURCH DASHBOARD'!$C$4,INDEX(MASTER_AREAS!$B:$B,1283))))),1282,""),""),IF('COMMUNITY CHURCH DASHBOARD'!$B$4="Zone",IF(1282&lt;=$X$4,IF(OR('COMMUNITY CHURCH DASHBOARD'!$C$4="",ISNUMBER(SEARCH('COMMUNITY CHURCH DASHBOARD'!$C$4,INDEX(MASTER_ZONES!$B:$B,1283)))),1282,""),""),""))</f>
        <v/>
      </c>
    </row>
    <row r="1284">
      <c r="A1284">
        <f>IF('WSF DASHBOARD'!$B$4="Area",IF(1283&lt;=$D$3,IF(AND(OR('WSF DASHBOARD'!$C$4="",ISNUMBER(SEARCH('WSF DASHBOARD'!$C$4,INDEX(MASTER_AREAS!$B:$B,1284))))),1283,""),""),IF('WSF DASHBOARD'!$B$4="Zone",IF(1283&lt;=$D$4,IF(OR('WSF DASHBOARD'!$C$4="",ISNUMBER(SEARCH('WSF DASHBOARD'!$C$4,INDEX(MASTER_ZONES!$B:$B,1284)))),1283,""),""),""))</f>
        <v/>
      </c>
      <c r="F1284">
        <f>IF('TRANSPORT DASHBOARD'!$B$4="Area",IF(1283&lt;=$I$3,IF(AND(INDEX(MASTER_AREAS!$F:$F,1284)&lt;&gt;"N",OR('TRANSPORT DASHBOARD'!$C$4="",ISNUMBER(SEARCH('TRANSPORT DASHBOARD'!$C$4,INDEX(MASTER_AREAS!$B:$B,1284))))),1283,""),""),IF('TRANSPORT DASHBOARD'!$B$4="Zone",IF(1283&lt;=$I$4,IF(OR('TRANSPORT DASHBOARD'!$C$4="",ISNUMBER(SEARCH('TRANSPORT DASHBOARD'!$C$4,INDEX(MASTER_ZONES!$B:$B,1284)))),1283,""),""),""))</f>
        <v/>
      </c>
      <c r="K1284">
        <f>IF('MIDWEEK DASHBOARD'!$B$4="Area",IF(1283&lt;=$N$3,IF(AND(OR('MIDWEEK DASHBOARD'!$C$4="",ISNUMBER(SEARCH('MIDWEEK DASHBOARD'!$C$4,INDEX(MASTER_AREAS!$B:$B,1284))))),1283,""),""),IF('MIDWEEK DASHBOARD'!$B$4="Zone",IF(1283&lt;=$N$4,IF(OR('MIDWEEK DASHBOARD'!$C$4="",ISNUMBER(SEARCH('MIDWEEK DASHBOARD'!$C$4,INDEX(MASTER_ZONES!$B:$B,1284)))),1283,""),""),""))</f>
        <v/>
      </c>
      <c r="P1284">
        <f>IF('CHOP DASHBOARD'!$B$4="Area",IF(1283&lt;=$S$3,IF(AND(OR('CHOP DASHBOARD'!$C$4="",ISNUMBER(SEARCH('CHOP DASHBOARD'!$C$4,INDEX(MASTER_AREAS!$B:$B,1284))))),1283,""),""),IF('CHOP DASHBOARD'!$B$4="Zone",IF(1283&lt;=$S$4,IF(OR('CHOP DASHBOARD'!$C$4="",ISNUMBER(SEARCH('CHOP DASHBOARD'!$C$4,INDEX(MASTER_ZONES!$B:$B,1284)))),1283,""),""),""))</f>
        <v/>
      </c>
      <c r="U1284">
        <f>IF('COMMUNITY CHURCH DASHBOARD'!$B$4="Area",IF(1283&lt;=$X$3,IF(AND(OR('COMMUNITY CHURCH DASHBOARD'!$C$4="",ISNUMBER(SEARCH('COMMUNITY CHURCH DASHBOARD'!$C$4,INDEX(MASTER_AREAS!$B:$B,1284))))),1283,""),""),IF('COMMUNITY CHURCH DASHBOARD'!$B$4="Zone",IF(1283&lt;=$X$4,IF(OR('COMMUNITY CHURCH DASHBOARD'!$C$4="",ISNUMBER(SEARCH('COMMUNITY CHURCH DASHBOARD'!$C$4,INDEX(MASTER_ZONES!$B:$B,1284)))),1283,""),""),""))</f>
        <v/>
      </c>
    </row>
    <row r="1285">
      <c r="A1285">
        <f>IF('WSF DASHBOARD'!$B$4="Area",IF(1284&lt;=$D$3,IF(AND(OR('WSF DASHBOARD'!$C$4="",ISNUMBER(SEARCH('WSF DASHBOARD'!$C$4,INDEX(MASTER_AREAS!$B:$B,1285))))),1284,""),""),IF('WSF DASHBOARD'!$B$4="Zone",IF(1284&lt;=$D$4,IF(OR('WSF DASHBOARD'!$C$4="",ISNUMBER(SEARCH('WSF DASHBOARD'!$C$4,INDEX(MASTER_ZONES!$B:$B,1285)))),1284,""),""),""))</f>
        <v/>
      </c>
      <c r="F1285">
        <f>IF('TRANSPORT DASHBOARD'!$B$4="Area",IF(1284&lt;=$I$3,IF(AND(INDEX(MASTER_AREAS!$F:$F,1285)&lt;&gt;"N",OR('TRANSPORT DASHBOARD'!$C$4="",ISNUMBER(SEARCH('TRANSPORT DASHBOARD'!$C$4,INDEX(MASTER_AREAS!$B:$B,1285))))),1284,""),""),IF('TRANSPORT DASHBOARD'!$B$4="Zone",IF(1284&lt;=$I$4,IF(OR('TRANSPORT DASHBOARD'!$C$4="",ISNUMBER(SEARCH('TRANSPORT DASHBOARD'!$C$4,INDEX(MASTER_ZONES!$B:$B,1285)))),1284,""),""),""))</f>
        <v/>
      </c>
      <c r="K1285">
        <f>IF('MIDWEEK DASHBOARD'!$B$4="Area",IF(1284&lt;=$N$3,IF(AND(OR('MIDWEEK DASHBOARD'!$C$4="",ISNUMBER(SEARCH('MIDWEEK DASHBOARD'!$C$4,INDEX(MASTER_AREAS!$B:$B,1285))))),1284,""),""),IF('MIDWEEK DASHBOARD'!$B$4="Zone",IF(1284&lt;=$N$4,IF(OR('MIDWEEK DASHBOARD'!$C$4="",ISNUMBER(SEARCH('MIDWEEK DASHBOARD'!$C$4,INDEX(MASTER_ZONES!$B:$B,1285)))),1284,""),""),""))</f>
        <v/>
      </c>
      <c r="P1285">
        <f>IF('CHOP DASHBOARD'!$B$4="Area",IF(1284&lt;=$S$3,IF(AND(OR('CHOP DASHBOARD'!$C$4="",ISNUMBER(SEARCH('CHOP DASHBOARD'!$C$4,INDEX(MASTER_AREAS!$B:$B,1285))))),1284,""),""),IF('CHOP DASHBOARD'!$B$4="Zone",IF(1284&lt;=$S$4,IF(OR('CHOP DASHBOARD'!$C$4="",ISNUMBER(SEARCH('CHOP DASHBOARD'!$C$4,INDEX(MASTER_ZONES!$B:$B,1285)))),1284,""),""),""))</f>
        <v/>
      </c>
      <c r="U1285">
        <f>IF('COMMUNITY CHURCH DASHBOARD'!$B$4="Area",IF(1284&lt;=$X$3,IF(AND(OR('COMMUNITY CHURCH DASHBOARD'!$C$4="",ISNUMBER(SEARCH('COMMUNITY CHURCH DASHBOARD'!$C$4,INDEX(MASTER_AREAS!$B:$B,1285))))),1284,""),""),IF('COMMUNITY CHURCH DASHBOARD'!$B$4="Zone",IF(1284&lt;=$X$4,IF(OR('COMMUNITY CHURCH DASHBOARD'!$C$4="",ISNUMBER(SEARCH('COMMUNITY CHURCH DASHBOARD'!$C$4,INDEX(MASTER_ZONES!$B:$B,1285)))),1284,""),""),""))</f>
        <v/>
      </c>
    </row>
    <row r="1286">
      <c r="A1286">
        <f>IF('WSF DASHBOARD'!$B$4="Area",IF(1285&lt;=$D$3,IF(AND(OR('WSF DASHBOARD'!$C$4="",ISNUMBER(SEARCH('WSF DASHBOARD'!$C$4,INDEX(MASTER_AREAS!$B:$B,1286))))),1285,""),""),IF('WSF DASHBOARD'!$B$4="Zone",IF(1285&lt;=$D$4,IF(OR('WSF DASHBOARD'!$C$4="",ISNUMBER(SEARCH('WSF DASHBOARD'!$C$4,INDEX(MASTER_ZONES!$B:$B,1286)))),1285,""),""),""))</f>
        <v/>
      </c>
      <c r="F1286">
        <f>IF('TRANSPORT DASHBOARD'!$B$4="Area",IF(1285&lt;=$I$3,IF(AND(INDEX(MASTER_AREAS!$F:$F,1286)&lt;&gt;"N",OR('TRANSPORT DASHBOARD'!$C$4="",ISNUMBER(SEARCH('TRANSPORT DASHBOARD'!$C$4,INDEX(MASTER_AREAS!$B:$B,1286))))),1285,""),""),IF('TRANSPORT DASHBOARD'!$B$4="Zone",IF(1285&lt;=$I$4,IF(OR('TRANSPORT DASHBOARD'!$C$4="",ISNUMBER(SEARCH('TRANSPORT DASHBOARD'!$C$4,INDEX(MASTER_ZONES!$B:$B,1286)))),1285,""),""),""))</f>
        <v/>
      </c>
      <c r="K1286">
        <f>IF('MIDWEEK DASHBOARD'!$B$4="Area",IF(1285&lt;=$N$3,IF(AND(OR('MIDWEEK DASHBOARD'!$C$4="",ISNUMBER(SEARCH('MIDWEEK DASHBOARD'!$C$4,INDEX(MASTER_AREAS!$B:$B,1286))))),1285,""),""),IF('MIDWEEK DASHBOARD'!$B$4="Zone",IF(1285&lt;=$N$4,IF(OR('MIDWEEK DASHBOARD'!$C$4="",ISNUMBER(SEARCH('MIDWEEK DASHBOARD'!$C$4,INDEX(MASTER_ZONES!$B:$B,1286)))),1285,""),""),""))</f>
        <v/>
      </c>
      <c r="P1286">
        <f>IF('CHOP DASHBOARD'!$B$4="Area",IF(1285&lt;=$S$3,IF(AND(OR('CHOP DASHBOARD'!$C$4="",ISNUMBER(SEARCH('CHOP DASHBOARD'!$C$4,INDEX(MASTER_AREAS!$B:$B,1286))))),1285,""),""),IF('CHOP DASHBOARD'!$B$4="Zone",IF(1285&lt;=$S$4,IF(OR('CHOP DASHBOARD'!$C$4="",ISNUMBER(SEARCH('CHOP DASHBOARD'!$C$4,INDEX(MASTER_ZONES!$B:$B,1286)))),1285,""),""),""))</f>
        <v/>
      </c>
      <c r="U1286">
        <f>IF('COMMUNITY CHURCH DASHBOARD'!$B$4="Area",IF(1285&lt;=$X$3,IF(AND(OR('COMMUNITY CHURCH DASHBOARD'!$C$4="",ISNUMBER(SEARCH('COMMUNITY CHURCH DASHBOARD'!$C$4,INDEX(MASTER_AREAS!$B:$B,1286))))),1285,""),""),IF('COMMUNITY CHURCH DASHBOARD'!$B$4="Zone",IF(1285&lt;=$X$4,IF(OR('COMMUNITY CHURCH DASHBOARD'!$C$4="",ISNUMBER(SEARCH('COMMUNITY CHURCH DASHBOARD'!$C$4,INDEX(MASTER_ZONES!$B:$B,1286)))),1285,""),""),""))</f>
        <v/>
      </c>
    </row>
    <row r="1287">
      <c r="A1287">
        <f>IF('WSF DASHBOARD'!$B$4="Area",IF(1286&lt;=$D$3,IF(AND(OR('WSF DASHBOARD'!$C$4="",ISNUMBER(SEARCH('WSF DASHBOARD'!$C$4,INDEX(MASTER_AREAS!$B:$B,1287))))),1286,""),""),IF('WSF DASHBOARD'!$B$4="Zone",IF(1286&lt;=$D$4,IF(OR('WSF DASHBOARD'!$C$4="",ISNUMBER(SEARCH('WSF DASHBOARD'!$C$4,INDEX(MASTER_ZONES!$B:$B,1287)))),1286,""),""),""))</f>
        <v/>
      </c>
      <c r="F1287">
        <f>IF('TRANSPORT DASHBOARD'!$B$4="Area",IF(1286&lt;=$I$3,IF(AND(INDEX(MASTER_AREAS!$F:$F,1287)&lt;&gt;"N",OR('TRANSPORT DASHBOARD'!$C$4="",ISNUMBER(SEARCH('TRANSPORT DASHBOARD'!$C$4,INDEX(MASTER_AREAS!$B:$B,1287))))),1286,""),""),IF('TRANSPORT DASHBOARD'!$B$4="Zone",IF(1286&lt;=$I$4,IF(OR('TRANSPORT DASHBOARD'!$C$4="",ISNUMBER(SEARCH('TRANSPORT DASHBOARD'!$C$4,INDEX(MASTER_ZONES!$B:$B,1287)))),1286,""),""),""))</f>
        <v/>
      </c>
      <c r="K1287">
        <f>IF('MIDWEEK DASHBOARD'!$B$4="Area",IF(1286&lt;=$N$3,IF(AND(OR('MIDWEEK DASHBOARD'!$C$4="",ISNUMBER(SEARCH('MIDWEEK DASHBOARD'!$C$4,INDEX(MASTER_AREAS!$B:$B,1287))))),1286,""),""),IF('MIDWEEK DASHBOARD'!$B$4="Zone",IF(1286&lt;=$N$4,IF(OR('MIDWEEK DASHBOARD'!$C$4="",ISNUMBER(SEARCH('MIDWEEK DASHBOARD'!$C$4,INDEX(MASTER_ZONES!$B:$B,1287)))),1286,""),""),""))</f>
        <v/>
      </c>
      <c r="P1287">
        <f>IF('CHOP DASHBOARD'!$B$4="Area",IF(1286&lt;=$S$3,IF(AND(OR('CHOP DASHBOARD'!$C$4="",ISNUMBER(SEARCH('CHOP DASHBOARD'!$C$4,INDEX(MASTER_AREAS!$B:$B,1287))))),1286,""),""),IF('CHOP DASHBOARD'!$B$4="Zone",IF(1286&lt;=$S$4,IF(OR('CHOP DASHBOARD'!$C$4="",ISNUMBER(SEARCH('CHOP DASHBOARD'!$C$4,INDEX(MASTER_ZONES!$B:$B,1287)))),1286,""),""),""))</f>
        <v/>
      </c>
      <c r="U1287">
        <f>IF('COMMUNITY CHURCH DASHBOARD'!$B$4="Area",IF(1286&lt;=$X$3,IF(AND(OR('COMMUNITY CHURCH DASHBOARD'!$C$4="",ISNUMBER(SEARCH('COMMUNITY CHURCH DASHBOARD'!$C$4,INDEX(MASTER_AREAS!$B:$B,1287))))),1286,""),""),IF('COMMUNITY CHURCH DASHBOARD'!$B$4="Zone",IF(1286&lt;=$X$4,IF(OR('COMMUNITY CHURCH DASHBOARD'!$C$4="",ISNUMBER(SEARCH('COMMUNITY CHURCH DASHBOARD'!$C$4,INDEX(MASTER_ZONES!$B:$B,1287)))),1286,""),""),""))</f>
        <v/>
      </c>
    </row>
    <row r="1288">
      <c r="A1288">
        <f>IF('WSF DASHBOARD'!$B$4="Area",IF(1287&lt;=$D$3,IF(AND(OR('WSF DASHBOARD'!$C$4="",ISNUMBER(SEARCH('WSF DASHBOARD'!$C$4,INDEX(MASTER_AREAS!$B:$B,1288))))),1287,""),""),IF('WSF DASHBOARD'!$B$4="Zone",IF(1287&lt;=$D$4,IF(OR('WSF DASHBOARD'!$C$4="",ISNUMBER(SEARCH('WSF DASHBOARD'!$C$4,INDEX(MASTER_ZONES!$B:$B,1288)))),1287,""),""),""))</f>
        <v/>
      </c>
      <c r="F1288">
        <f>IF('TRANSPORT DASHBOARD'!$B$4="Area",IF(1287&lt;=$I$3,IF(AND(INDEX(MASTER_AREAS!$F:$F,1288)&lt;&gt;"N",OR('TRANSPORT DASHBOARD'!$C$4="",ISNUMBER(SEARCH('TRANSPORT DASHBOARD'!$C$4,INDEX(MASTER_AREAS!$B:$B,1288))))),1287,""),""),IF('TRANSPORT DASHBOARD'!$B$4="Zone",IF(1287&lt;=$I$4,IF(OR('TRANSPORT DASHBOARD'!$C$4="",ISNUMBER(SEARCH('TRANSPORT DASHBOARD'!$C$4,INDEX(MASTER_ZONES!$B:$B,1288)))),1287,""),""),""))</f>
        <v/>
      </c>
      <c r="K1288">
        <f>IF('MIDWEEK DASHBOARD'!$B$4="Area",IF(1287&lt;=$N$3,IF(AND(OR('MIDWEEK DASHBOARD'!$C$4="",ISNUMBER(SEARCH('MIDWEEK DASHBOARD'!$C$4,INDEX(MASTER_AREAS!$B:$B,1288))))),1287,""),""),IF('MIDWEEK DASHBOARD'!$B$4="Zone",IF(1287&lt;=$N$4,IF(OR('MIDWEEK DASHBOARD'!$C$4="",ISNUMBER(SEARCH('MIDWEEK DASHBOARD'!$C$4,INDEX(MASTER_ZONES!$B:$B,1288)))),1287,""),""),""))</f>
        <v/>
      </c>
      <c r="P1288">
        <f>IF('CHOP DASHBOARD'!$B$4="Area",IF(1287&lt;=$S$3,IF(AND(OR('CHOP DASHBOARD'!$C$4="",ISNUMBER(SEARCH('CHOP DASHBOARD'!$C$4,INDEX(MASTER_AREAS!$B:$B,1288))))),1287,""),""),IF('CHOP DASHBOARD'!$B$4="Zone",IF(1287&lt;=$S$4,IF(OR('CHOP DASHBOARD'!$C$4="",ISNUMBER(SEARCH('CHOP DASHBOARD'!$C$4,INDEX(MASTER_ZONES!$B:$B,1288)))),1287,""),""),""))</f>
        <v/>
      </c>
      <c r="U1288">
        <f>IF('COMMUNITY CHURCH DASHBOARD'!$B$4="Area",IF(1287&lt;=$X$3,IF(AND(OR('COMMUNITY CHURCH DASHBOARD'!$C$4="",ISNUMBER(SEARCH('COMMUNITY CHURCH DASHBOARD'!$C$4,INDEX(MASTER_AREAS!$B:$B,1288))))),1287,""),""),IF('COMMUNITY CHURCH DASHBOARD'!$B$4="Zone",IF(1287&lt;=$X$4,IF(OR('COMMUNITY CHURCH DASHBOARD'!$C$4="",ISNUMBER(SEARCH('COMMUNITY CHURCH DASHBOARD'!$C$4,INDEX(MASTER_ZONES!$B:$B,1288)))),1287,""),""),""))</f>
        <v/>
      </c>
    </row>
    <row r="1289">
      <c r="A1289">
        <f>IF('WSF DASHBOARD'!$B$4="Area",IF(1288&lt;=$D$3,IF(AND(OR('WSF DASHBOARD'!$C$4="",ISNUMBER(SEARCH('WSF DASHBOARD'!$C$4,INDEX(MASTER_AREAS!$B:$B,1289))))),1288,""),""),IF('WSF DASHBOARD'!$B$4="Zone",IF(1288&lt;=$D$4,IF(OR('WSF DASHBOARD'!$C$4="",ISNUMBER(SEARCH('WSF DASHBOARD'!$C$4,INDEX(MASTER_ZONES!$B:$B,1289)))),1288,""),""),""))</f>
        <v/>
      </c>
      <c r="F1289">
        <f>IF('TRANSPORT DASHBOARD'!$B$4="Area",IF(1288&lt;=$I$3,IF(AND(INDEX(MASTER_AREAS!$F:$F,1289)&lt;&gt;"N",OR('TRANSPORT DASHBOARD'!$C$4="",ISNUMBER(SEARCH('TRANSPORT DASHBOARD'!$C$4,INDEX(MASTER_AREAS!$B:$B,1289))))),1288,""),""),IF('TRANSPORT DASHBOARD'!$B$4="Zone",IF(1288&lt;=$I$4,IF(OR('TRANSPORT DASHBOARD'!$C$4="",ISNUMBER(SEARCH('TRANSPORT DASHBOARD'!$C$4,INDEX(MASTER_ZONES!$B:$B,1289)))),1288,""),""),""))</f>
        <v/>
      </c>
      <c r="K1289">
        <f>IF('MIDWEEK DASHBOARD'!$B$4="Area",IF(1288&lt;=$N$3,IF(AND(OR('MIDWEEK DASHBOARD'!$C$4="",ISNUMBER(SEARCH('MIDWEEK DASHBOARD'!$C$4,INDEX(MASTER_AREAS!$B:$B,1289))))),1288,""),""),IF('MIDWEEK DASHBOARD'!$B$4="Zone",IF(1288&lt;=$N$4,IF(OR('MIDWEEK DASHBOARD'!$C$4="",ISNUMBER(SEARCH('MIDWEEK DASHBOARD'!$C$4,INDEX(MASTER_ZONES!$B:$B,1289)))),1288,""),""),""))</f>
        <v/>
      </c>
      <c r="P1289">
        <f>IF('CHOP DASHBOARD'!$B$4="Area",IF(1288&lt;=$S$3,IF(AND(OR('CHOP DASHBOARD'!$C$4="",ISNUMBER(SEARCH('CHOP DASHBOARD'!$C$4,INDEX(MASTER_AREAS!$B:$B,1289))))),1288,""),""),IF('CHOP DASHBOARD'!$B$4="Zone",IF(1288&lt;=$S$4,IF(OR('CHOP DASHBOARD'!$C$4="",ISNUMBER(SEARCH('CHOP DASHBOARD'!$C$4,INDEX(MASTER_ZONES!$B:$B,1289)))),1288,""),""),""))</f>
        <v/>
      </c>
      <c r="U1289">
        <f>IF('COMMUNITY CHURCH DASHBOARD'!$B$4="Area",IF(1288&lt;=$X$3,IF(AND(OR('COMMUNITY CHURCH DASHBOARD'!$C$4="",ISNUMBER(SEARCH('COMMUNITY CHURCH DASHBOARD'!$C$4,INDEX(MASTER_AREAS!$B:$B,1289))))),1288,""),""),IF('COMMUNITY CHURCH DASHBOARD'!$B$4="Zone",IF(1288&lt;=$X$4,IF(OR('COMMUNITY CHURCH DASHBOARD'!$C$4="",ISNUMBER(SEARCH('COMMUNITY CHURCH DASHBOARD'!$C$4,INDEX(MASTER_ZONES!$B:$B,1289)))),1288,""),""),""))</f>
        <v/>
      </c>
    </row>
    <row r="1290">
      <c r="A1290">
        <f>IF('WSF DASHBOARD'!$B$4="Area",IF(1289&lt;=$D$3,IF(AND(OR('WSF DASHBOARD'!$C$4="",ISNUMBER(SEARCH('WSF DASHBOARD'!$C$4,INDEX(MASTER_AREAS!$B:$B,1290))))),1289,""),""),IF('WSF DASHBOARD'!$B$4="Zone",IF(1289&lt;=$D$4,IF(OR('WSF DASHBOARD'!$C$4="",ISNUMBER(SEARCH('WSF DASHBOARD'!$C$4,INDEX(MASTER_ZONES!$B:$B,1290)))),1289,""),""),""))</f>
        <v/>
      </c>
      <c r="F1290">
        <f>IF('TRANSPORT DASHBOARD'!$B$4="Area",IF(1289&lt;=$I$3,IF(AND(INDEX(MASTER_AREAS!$F:$F,1290)&lt;&gt;"N",OR('TRANSPORT DASHBOARD'!$C$4="",ISNUMBER(SEARCH('TRANSPORT DASHBOARD'!$C$4,INDEX(MASTER_AREAS!$B:$B,1290))))),1289,""),""),IF('TRANSPORT DASHBOARD'!$B$4="Zone",IF(1289&lt;=$I$4,IF(OR('TRANSPORT DASHBOARD'!$C$4="",ISNUMBER(SEARCH('TRANSPORT DASHBOARD'!$C$4,INDEX(MASTER_ZONES!$B:$B,1290)))),1289,""),""),""))</f>
        <v/>
      </c>
      <c r="K1290">
        <f>IF('MIDWEEK DASHBOARD'!$B$4="Area",IF(1289&lt;=$N$3,IF(AND(OR('MIDWEEK DASHBOARD'!$C$4="",ISNUMBER(SEARCH('MIDWEEK DASHBOARD'!$C$4,INDEX(MASTER_AREAS!$B:$B,1290))))),1289,""),""),IF('MIDWEEK DASHBOARD'!$B$4="Zone",IF(1289&lt;=$N$4,IF(OR('MIDWEEK DASHBOARD'!$C$4="",ISNUMBER(SEARCH('MIDWEEK DASHBOARD'!$C$4,INDEX(MASTER_ZONES!$B:$B,1290)))),1289,""),""),""))</f>
        <v/>
      </c>
      <c r="P1290">
        <f>IF('CHOP DASHBOARD'!$B$4="Area",IF(1289&lt;=$S$3,IF(AND(OR('CHOP DASHBOARD'!$C$4="",ISNUMBER(SEARCH('CHOP DASHBOARD'!$C$4,INDEX(MASTER_AREAS!$B:$B,1290))))),1289,""),""),IF('CHOP DASHBOARD'!$B$4="Zone",IF(1289&lt;=$S$4,IF(OR('CHOP DASHBOARD'!$C$4="",ISNUMBER(SEARCH('CHOP DASHBOARD'!$C$4,INDEX(MASTER_ZONES!$B:$B,1290)))),1289,""),""),""))</f>
        <v/>
      </c>
      <c r="U1290">
        <f>IF('COMMUNITY CHURCH DASHBOARD'!$B$4="Area",IF(1289&lt;=$X$3,IF(AND(OR('COMMUNITY CHURCH DASHBOARD'!$C$4="",ISNUMBER(SEARCH('COMMUNITY CHURCH DASHBOARD'!$C$4,INDEX(MASTER_AREAS!$B:$B,1290))))),1289,""),""),IF('COMMUNITY CHURCH DASHBOARD'!$B$4="Zone",IF(1289&lt;=$X$4,IF(OR('COMMUNITY CHURCH DASHBOARD'!$C$4="",ISNUMBER(SEARCH('COMMUNITY CHURCH DASHBOARD'!$C$4,INDEX(MASTER_ZONES!$B:$B,1290)))),1289,""),""),""))</f>
        <v/>
      </c>
    </row>
    <row r="1291">
      <c r="A1291">
        <f>IF('WSF DASHBOARD'!$B$4="Area",IF(1290&lt;=$D$3,IF(AND(OR('WSF DASHBOARD'!$C$4="",ISNUMBER(SEARCH('WSF DASHBOARD'!$C$4,INDEX(MASTER_AREAS!$B:$B,1291))))),1290,""),""),IF('WSF DASHBOARD'!$B$4="Zone",IF(1290&lt;=$D$4,IF(OR('WSF DASHBOARD'!$C$4="",ISNUMBER(SEARCH('WSF DASHBOARD'!$C$4,INDEX(MASTER_ZONES!$B:$B,1291)))),1290,""),""),""))</f>
        <v/>
      </c>
      <c r="F1291">
        <f>IF('TRANSPORT DASHBOARD'!$B$4="Area",IF(1290&lt;=$I$3,IF(AND(INDEX(MASTER_AREAS!$F:$F,1291)&lt;&gt;"N",OR('TRANSPORT DASHBOARD'!$C$4="",ISNUMBER(SEARCH('TRANSPORT DASHBOARD'!$C$4,INDEX(MASTER_AREAS!$B:$B,1291))))),1290,""),""),IF('TRANSPORT DASHBOARD'!$B$4="Zone",IF(1290&lt;=$I$4,IF(OR('TRANSPORT DASHBOARD'!$C$4="",ISNUMBER(SEARCH('TRANSPORT DASHBOARD'!$C$4,INDEX(MASTER_ZONES!$B:$B,1291)))),1290,""),""),""))</f>
        <v/>
      </c>
      <c r="K1291">
        <f>IF('MIDWEEK DASHBOARD'!$B$4="Area",IF(1290&lt;=$N$3,IF(AND(OR('MIDWEEK DASHBOARD'!$C$4="",ISNUMBER(SEARCH('MIDWEEK DASHBOARD'!$C$4,INDEX(MASTER_AREAS!$B:$B,1291))))),1290,""),""),IF('MIDWEEK DASHBOARD'!$B$4="Zone",IF(1290&lt;=$N$4,IF(OR('MIDWEEK DASHBOARD'!$C$4="",ISNUMBER(SEARCH('MIDWEEK DASHBOARD'!$C$4,INDEX(MASTER_ZONES!$B:$B,1291)))),1290,""),""),""))</f>
        <v/>
      </c>
      <c r="P1291">
        <f>IF('CHOP DASHBOARD'!$B$4="Area",IF(1290&lt;=$S$3,IF(AND(OR('CHOP DASHBOARD'!$C$4="",ISNUMBER(SEARCH('CHOP DASHBOARD'!$C$4,INDEX(MASTER_AREAS!$B:$B,1291))))),1290,""),""),IF('CHOP DASHBOARD'!$B$4="Zone",IF(1290&lt;=$S$4,IF(OR('CHOP DASHBOARD'!$C$4="",ISNUMBER(SEARCH('CHOP DASHBOARD'!$C$4,INDEX(MASTER_ZONES!$B:$B,1291)))),1290,""),""),""))</f>
        <v/>
      </c>
      <c r="U1291">
        <f>IF('COMMUNITY CHURCH DASHBOARD'!$B$4="Area",IF(1290&lt;=$X$3,IF(AND(OR('COMMUNITY CHURCH DASHBOARD'!$C$4="",ISNUMBER(SEARCH('COMMUNITY CHURCH DASHBOARD'!$C$4,INDEX(MASTER_AREAS!$B:$B,1291))))),1290,""),""),IF('COMMUNITY CHURCH DASHBOARD'!$B$4="Zone",IF(1290&lt;=$X$4,IF(OR('COMMUNITY CHURCH DASHBOARD'!$C$4="",ISNUMBER(SEARCH('COMMUNITY CHURCH DASHBOARD'!$C$4,INDEX(MASTER_ZONES!$B:$B,1291)))),1290,""),""),""))</f>
        <v/>
      </c>
    </row>
    <row r="1292">
      <c r="A1292">
        <f>IF('WSF DASHBOARD'!$B$4="Area",IF(1291&lt;=$D$3,IF(AND(OR('WSF DASHBOARD'!$C$4="",ISNUMBER(SEARCH('WSF DASHBOARD'!$C$4,INDEX(MASTER_AREAS!$B:$B,1292))))),1291,""),""),IF('WSF DASHBOARD'!$B$4="Zone",IF(1291&lt;=$D$4,IF(OR('WSF DASHBOARD'!$C$4="",ISNUMBER(SEARCH('WSF DASHBOARD'!$C$4,INDEX(MASTER_ZONES!$B:$B,1292)))),1291,""),""),""))</f>
        <v/>
      </c>
      <c r="F1292">
        <f>IF('TRANSPORT DASHBOARD'!$B$4="Area",IF(1291&lt;=$I$3,IF(AND(INDEX(MASTER_AREAS!$F:$F,1292)&lt;&gt;"N",OR('TRANSPORT DASHBOARD'!$C$4="",ISNUMBER(SEARCH('TRANSPORT DASHBOARD'!$C$4,INDEX(MASTER_AREAS!$B:$B,1292))))),1291,""),""),IF('TRANSPORT DASHBOARD'!$B$4="Zone",IF(1291&lt;=$I$4,IF(OR('TRANSPORT DASHBOARD'!$C$4="",ISNUMBER(SEARCH('TRANSPORT DASHBOARD'!$C$4,INDEX(MASTER_ZONES!$B:$B,1292)))),1291,""),""),""))</f>
        <v/>
      </c>
      <c r="K1292">
        <f>IF('MIDWEEK DASHBOARD'!$B$4="Area",IF(1291&lt;=$N$3,IF(AND(OR('MIDWEEK DASHBOARD'!$C$4="",ISNUMBER(SEARCH('MIDWEEK DASHBOARD'!$C$4,INDEX(MASTER_AREAS!$B:$B,1292))))),1291,""),""),IF('MIDWEEK DASHBOARD'!$B$4="Zone",IF(1291&lt;=$N$4,IF(OR('MIDWEEK DASHBOARD'!$C$4="",ISNUMBER(SEARCH('MIDWEEK DASHBOARD'!$C$4,INDEX(MASTER_ZONES!$B:$B,1292)))),1291,""),""),""))</f>
        <v/>
      </c>
      <c r="P1292">
        <f>IF('CHOP DASHBOARD'!$B$4="Area",IF(1291&lt;=$S$3,IF(AND(OR('CHOP DASHBOARD'!$C$4="",ISNUMBER(SEARCH('CHOP DASHBOARD'!$C$4,INDEX(MASTER_AREAS!$B:$B,1292))))),1291,""),""),IF('CHOP DASHBOARD'!$B$4="Zone",IF(1291&lt;=$S$4,IF(OR('CHOP DASHBOARD'!$C$4="",ISNUMBER(SEARCH('CHOP DASHBOARD'!$C$4,INDEX(MASTER_ZONES!$B:$B,1292)))),1291,""),""),""))</f>
        <v/>
      </c>
      <c r="U1292">
        <f>IF('COMMUNITY CHURCH DASHBOARD'!$B$4="Area",IF(1291&lt;=$X$3,IF(AND(OR('COMMUNITY CHURCH DASHBOARD'!$C$4="",ISNUMBER(SEARCH('COMMUNITY CHURCH DASHBOARD'!$C$4,INDEX(MASTER_AREAS!$B:$B,1292))))),1291,""),""),IF('COMMUNITY CHURCH DASHBOARD'!$B$4="Zone",IF(1291&lt;=$X$4,IF(OR('COMMUNITY CHURCH DASHBOARD'!$C$4="",ISNUMBER(SEARCH('COMMUNITY CHURCH DASHBOARD'!$C$4,INDEX(MASTER_ZONES!$B:$B,1292)))),1291,""),""),""))</f>
        <v/>
      </c>
    </row>
    <row r="1293">
      <c r="A1293">
        <f>IF('WSF DASHBOARD'!$B$4="Area",IF(1292&lt;=$D$3,IF(AND(OR('WSF DASHBOARD'!$C$4="",ISNUMBER(SEARCH('WSF DASHBOARD'!$C$4,INDEX(MASTER_AREAS!$B:$B,1293))))),1292,""),""),IF('WSF DASHBOARD'!$B$4="Zone",IF(1292&lt;=$D$4,IF(OR('WSF DASHBOARD'!$C$4="",ISNUMBER(SEARCH('WSF DASHBOARD'!$C$4,INDEX(MASTER_ZONES!$B:$B,1293)))),1292,""),""),""))</f>
        <v/>
      </c>
      <c r="F1293">
        <f>IF('TRANSPORT DASHBOARD'!$B$4="Area",IF(1292&lt;=$I$3,IF(AND(INDEX(MASTER_AREAS!$F:$F,1293)&lt;&gt;"N",OR('TRANSPORT DASHBOARD'!$C$4="",ISNUMBER(SEARCH('TRANSPORT DASHBOARD'!$C$4,INDEX(MASTER_AREAS!$B:$B,1293))))),1292,""),""),IF('TRANSPORT DASHBOARD'!$B$4="Zone",IF(1292&lt;=$I$4,IF(OR('TRANSPORT DASHBOARD'!$C$4="",ISNUMBER(SEARCH('TRANSPORT DASHBOARD'!$C$4,INDEX(MASTER_ZONES!$B:$B,1293)))),1292,""),""),""))</f>
        <v/>
      </c>
      <c r="K1293">
        <f>IF('MIDWEEK DASHBOARD'!$B$4="Area",IF(1292&lt;=$N$3,IF(AND(OR('MIDWEEK DASHBOARD'!$C$4="",ISNUMBER(SEARCH('MIDWEEK DASHBOARD'!$C$4,INDEX(MASTER_AREAS!$B:$B,1293))))),1292,""),""),IF('MIDWEEK DASHBOARD'!$B$4="Zone",IF(1292&lt;=$N$4,IF(OR('MIDWEEK DASHBOARD'!$C$4="",ISNUMBER(SEARCH('MIDWEEK DASHBOARD'!$C$4,INDEX(MASTER_ZONES!$B:$B,1293)))),1292,""),""),""))</f>
        <v/>
      </c>
      <c r="P1293">
        <f>IF('CHOP DASHBOARD'!$B$4="Area",IF(1292&lt;=$S$3,IF(AND(OR('CHOP DASHBOARD'!$C$4="",ISNUMBER(SEARCH('CHOP DASHBOARD'!$C$4,INDEX(MASTER_AREAS!$B:$B,1293))))),1292,""),""),IF('CHOP DASHBOARD'!$B$4="Zone",IF(1292&lt;=$S$4,IF(OR('CHOP DASHBOARD'!$C$4="",ISNUMBER(SEARCH('CHOP DASHBOARD'!$C$4,INDEX(MASTER_ZONES!$B:$B,1293)))),1292,""),""),""))</f>
        <v/>
      </c>
      <c r="U1293">
        <f>IF('COMMUNITY CHURCH DASHBOARD'!$B$4="Area",IF(1292&lt;=$X$3,IF(AND(OR('COMMUNITY CHURCH DASHBOARD'!$C$4="",ISNUMBER(SEARCH('COMMUNITY CHURCH DASHBOARD'!$C$4,INDEX(MASTER_AREAS!$B:$B,1293))))),1292,""),""),IF('COMMUNITY CHURCH DASHBOARD'!$B$4="Zone",IF(1292&lt;=$X$4,IF(OR('COMMUNITY CHURCH DASHBOARD'!$C$4="",ISNUMBER(SEARCH('COMMUNITY CHURCH DASHBOARD'!$C$4,INDEX(MASTER_ZONES!$B:$B,1293)))),1292,""),""),""))</f>
        <v/>
      </c>
    </row>
    <row r="1294">
      <c r="A1294">
        <f>IF('WSF DASHBOARD'!$B$4="Area",IF(1293&lt;=$D$3,IF(AND(OR('WSF DASHBOARD'!$C$4="",ISNUMBER(SEARCH('WSF DASHBOARD'!$C$4,INDEX(MASTER_AREAS!$B:$B,1294))))),1293,""),""),IF('WSF DASHBOARD'!$B$4="Zone",IF(1293&lt;=$D$4,IF(OR('WSF DASHBOARD'!$C$4="",ISNUMBER(SEARCH('WSF DASHBOARD'!$C$4,INDEX(MASTER_ZONES!$B:$B,1294)))),1293,""),""),""))</f>
        <v/>
      </c>
      <c r="F1294">
        <f>IF('TRANSPORT DASHBOARD'!$B$4="Area",IF(1293&lt;=$I$3,IF(AND(INDEX(MASTER_AREAS!$F:$F,1294)&lt;&gt;"N",OR('TRANSPORT DASHBOARD'!$C$4="",ISNUMBER(SEARCH('TRANSPORT DASHBOARD'!$C$4,INDEX(MASTER_AREAS!$B:$B,1294))))),1293,""),""),IF('TRANSPORT DASHBOARD'!$B$4="Zone",IF(1293&lt;=$I$4,IF(OR('TRANSPORT DASHBOARD'!$C$4="",ISNUMBER(SEARCH('TRANSPORT DASHBOARD'!$C$4,INDEX(MASTER_ZONES!$B:$B,1294)))),1293,""),""),""))</f>
        <v/>
      </c>
      <c r="K1294">
        <f>IF('MIDWEEK DASHBOARD'!$B$4="Area",IF(1293&lt;=$N$3,IF(AND(OR('MIDWEEK DASHBOARD'!$C$4="",ISNUMBER(SEARCH('MIDWEEK DASHBOARD'!$C$4,INDEX(MASTER_AREAS!$B:$B,1294))))),1293,""),""),IF('MIDWEEK DASHBOARD'!$B$4="Zone",IF(1293&lt;=$N$4,IF(OR('MIDWEEK DASHBOARD'!$C$4="",ISNUMBER(SEARCH('MIDWEEK DASHBOARD'!$C$4,INDEX(MASTER_ZONES!$B:$B,1294)))),1293,""),""),""))</f>
        <v/>
      </c>
      <c r="P1294">
        <f>IF('CHOP DASHBOARD'!$B$4="Area",IF(1293&lt;=$S$3,IF(AND(OR('CHOP DASHBOARD'!$C$4="",ISNUMBER(SEARCH('CHOP DASHBOARD'!$C$4,INDEX(MASTER_AREAS!$B:$B,1294))))),1293,""),""),IF('CHOP DASHBOARD'!$B$4="Zone",IF(1293&lt;=$S$4,IF(OR('CHOP DASHBOARD'!$C$4="",ISNUMBER(SEARCH('CHOP DASHBOARD'!$C$4,INDEX(MASTER_ZONES!$B:$B,1294)))),1293,""),""),""))</f>
        <v/>
      </c>
      <c r="U1294">
        <f>IF('COMMUNITY CHURCH DASHBOARD'!$B$4="Area",IF(1293&lt;=$X$3,IF(AND(OR('COMMUNITY CHURCH DASHBOARD'!$C$4="",ISNUMBER(SEARCH('COMMUNITY CHURCH DASHBOARD'!$C$4,INDEX(MASTER_AREAS!$B:$B,1294))))),1293,""),""),IF('COMMUNITY CHURCH DASHBOARD'!$B$4="Zone",IF(1293&lt;=$X$4,IF(OR('COMMUNITY CHURCH DASHBOARD'!$C$4="",ISNUMBER(SEARCH('COMMUNITY CHURCH DASHBOARD'!$C$4,INDEX(MASTER_ZONES!$B:$B,1294)))),1293,""),""),""))</f>
        <v/>
      </c>
    </row>
    <row r="1295">
      <c r="A1295">
        <f>IF('WSF DASHBOARD'!$B$4="Area",IF(1294&lt;=$D$3,IF(AND(OR('WSF DASHBOARD'!$C$4="",ISNUMBER(SEARCH('WSF DASHBOARD'!$C$4,INDEX(MASTER_AREAS!$B:$B,1295))))),1294,""),""),IF('WSF DASHBOARD'!$B$4="Zone",IF(1294&lt;=$D$4,IF(OR('WSF DASHBOARD'!$C$4="",ISNUMBER(SEARCH('WSF DASHBOARD'!$C$4,INDEX(MASTER_ZONES!$B:$B,1295)))),1294,""),""),""))</f>
        <v/>
      </c>
      <c r="F1295">
        <f>IF('TRANSPORT DASHBOARD'!$B$4="Area",IF(1294&lt;=$I$3,IF(AND(INDEX(MASTER_AREAS!$F:$F,1295)&lt;&gt;"N",OR('TRANSPORT DASHBOARD'!$C$4="",ISNUMBER(SEARCH('TRANSPORT DASHBOARD'!$C$4,INDEX(MASTER_AREAS!$B:$B,1295))))),1294,""),""),IF('TRANSPORT DASHBOARD'!$B$4="Zone",IF(1294&lt;=$I$4,IF(OR('TRANSPORT DASHBOARD'!$C$4="",ISNUMBER(SEARCH('TRANSPORT DASHBOARD'!$C$4,INDEX(MASTER_ZONES!$B:$B,1295)))),1294,""),""),""))</f>
        <v/>
      </c>
      <c r="K1295">
        <f>IF('MIDWEEK DASHBOARD'!$B$4="Area",IF(1294&lt;=$N$3,IF(AND(OR('MIDWEEK DASHBOARD'!$C$4="",ISNUMBER(SEARCH('MIDWEEK DASHBOARD'!$C$4,INDEX(MASTER_AREAS!$B:$B,1295))))),1294,""),""),IF('MIDWEEK DASHBOARD'!$B$4="Zone",IF(1294&lt;=$N$4,IF(OR('MIDWEEK DASHBOARD'!$C$4="",ISNUMBER(SEARCH('MIDWEEK DASHBOARD'!$C$4,INDEX(MASTER_ZONES!$B:$B,1295)))),1294,""),""),""))</f>
        <v/>
      </c>
      <c r="P1295">
        <f>IF('CHOP DASHBOARD'!$B$4="Area",IF(1294&lt;=$S$3,IF(AND(OR('CHOP DASHBOARD'!$C$4="",ISNUMBER(SEARCH('CHOP DASHBOARD'!$C$4,INDEX(MASTER_AREAS!$B:$B,1295))))),1294,""),""),IF('CHOP DASHBOARD'!$B$4="Zone",IF(1294&lt;=$S$4,IF(OR('CHOP DASHBOARD'!$C$4="",ISNUMBER(SEARCH('CHOP DASHBOARD'!$C$4,INDEX(MASTER_ZONES!$B:$B,1295)))),1294,""),""),""))</f>
        <v/>
      </c>
      <c r="U1295">
        <f>IF('COMMUNITY CHURCH DASHBOARD'!$B$4="Area",IF(1294&lt;=$X$3,IF(AND(OR('COMMUNITY CHURCH DASHBOARD'!$C$4="",ISNUMBER(SEARCH('COMMUNITY CHURCH DASHBOARD'!$C$4,INDEX(MASTER_AREAS!$B:$B,1295))))),1294,""),""),IF('COMMUNITY CHURCH DASHBOARD'!$B$4="Zone",IF(1294&lt;=$X$4,IF(OR('COMMUNITY CHURCH DASHBOARD'!$C$4="",ISNUMBER(SEARCH('COMMUNITY CHURCH DASHBOARD'!$C$4,INDEX(MASTER_ZONES!$B:$B,1295)))),1294,""),""),""))</f>
        <v/>
      </c>
    </row>
    <row r="1296">
      <c r="A1296">
        <f>IF('WSF DASHBOARD'!$B$4="Area",IF(1295&lt;=$D$3,IF(AND(OR('WSF DASHBOARD'!$C$4="",ISNUMBER(SEARCH('WSF DASHBOARD'!$C$4,INDEX(MASTER_AREAS!$B:$B,1296))))),1295,""),""),IF('WSF DASHBOARD'!$B$4="Zone",IF(1295&lt;=$D$4,IF(OR('WSF DASHBOARD'!$C$4="",ISNUMBER(SEARCH('WSF DASHBOARD'!$C$4,INDEX(MASTER_ZONES!$B:$B,1296)))),1295,""),""),""))</f>
        <v/>
      </c>
      <c r="F1296">
        <f>IF('TRANSPORT DASHBOARD'!$B$4="Area",IF(1295&lt;=$I$3,IF(AND(INDEX(MASTER_AREAS!$F:$F,1296)&lt;&gt;"N",OR('TRANSPORT DASHBOARD'!$C$4="",ISNUMBER(SEARCH('TRANSPORT DASHBOARD'!$C$4,INDEX(MASTER_AREAS!$B:$B,1296))))),1295,""),""),IF('TRANSPORT DASHBOARD'!$B$4="Zone",IF(1295&lt;=$I$4,IF(OR('TRANSPORT DASHBOARD'!$C$4="",ISNUMBER(SEARCH('TRANSPORT DASHBOARD'!$C$4,INDEX(MASTER_ZONES!$B:$B,1296)))),1295,""),""),""))</f>
        <v/>
      </c>
      <c r="K1296">
        <f>IF('MIDWEEK DASHBOARD'!$B$4="Area",IF(1295&lt;=$N$3,IF(AND(OR('MIDWEEK DASHBOARD'!$C$4="",ISNUMBER(SEARCH('MIDWEEK DASHBOARD'!$C$4,INDEX(MASTER_AREAS!$B:$B,1296))))),1295,""),""),IF('MIDWEEK DASHBOARD'!$B$4="Zone",IF(1295&lt;=$N$4,IF(OR('MIDWEEK DASHBOARD'!$C$4="",ISNUMBER(SEARCH('MIDWEEK DASHBOARD'!$C$4,INDEX(MASTER_ZONES!$B:$B,1296)))),1295,""),""),""))</f>
        <v/>
      </c>
      <c r="P1296">
        <f>IF('CHOP DASHBOARD'!$B$4="Area",IF(1295&lt;=$S$3,IF(AND(OR('CHOP DASHBOARD'!$C$4="",ISNUMBER(SEARCH('CHOP DASHBOARD'!$C$4,INDEX(MASTER_AREAS!$B:$B,1296))))),1295,""),""),IF('CHOP DASHBOARD'!$B$4="Zone",IF(1295&lt;=$S$4,IF(OR('CHOP DASHBOARD'!$C$4="",ISNUMBER(SEARCH('CHOP DASHBOARD'!$C$4,INDEX(MASTER_ZONES!$B:$B,1296)))),1295,""),""),""))</f>
        <v/>
      </c>
      <c r="U1296">
        <f>IF('COMMUNITY CHURCH DASHBOARD'!$B$4="Area",IF(1295&lt;=$X$3,IF(AND(OR('COMMUNITY CHURCH DASHBOARD'!$C$4="",ISNUMBER(SEARCH('COMMUNITY CHURCH DASHBOARD'!$C$4,INDEX(MASTER_AREAS!$B:$B,1296))))),1295,""),""),IF('COMMUNITY CHURCH DASHBOARD'!$B$4="Zone",IF(1295&lt;=$X$4,IF(OR('COMMUNITY CHURCH DASHBOARD'!$C$4="",ISNUMBER(SEARCH('COMMUNITY CHURCH DASHBOARD'!$C$4,INDEX(MASTER_ZONES!$B:$B,1296)))),1295,""),""),""))</f>
        <v/>
      </c>
    </row>
    <row r="1297">
      <c r="A1297">
        <f>IF('WSF DASHBOARD'!$B$4="Area",IF(1296&lt;=$D$3,IF(AND(OR('WSF DASHBOARD'!$C$4="",ISNUMBER(SEARCH('WSF DASHBOARD'!$C$4,INDEX(MASTER_AREAS!$B:$B,1297))))),1296,""),""),IF('WSF DASHBOARD'!$B$4="Zone",IF(1296&lt;=$D$4,IF(OR('WSF DASHBOARD'!$C$4="",ISNUMBER(SEARCH('WSF DASHBOARD'!$C$4,INDEX(MASTER_ZONES!$B:$B,1297)))),1296,""),""),""))</f>
        <v/>
      </c>
      <c r="F1297">
        <f>IF('TRANSPORT DASHBOARD'!$B$4="Area",IF(1296&lt;=$I$3,IF(AND(INDEX(MASTER_AREAS!$F:$F,1297)&lt;&gt;"N",OR('TRANSPORT DASHBOARD'!$C$4="",ISNUMBER(SEARCH('TRANSPORT DASHBOARD'!$C$4,INDEX(MASTER_AREAS!$B:$B,1297))))),1296,""),""),IF('TRANSPORT DASHBOARD'!$B$4="Zone",IF(1296&lt;=$I$4,IF(OR('TRANSPORT DASHBOARD'!$C$4="",ISNUMBER(SEARCH('TRANSPORT DASHBOARD'!$C$4,INDEX(MASTER_ZONES!$B:$B,1297)))),1296,""),""),""))</f>
        <v/>
      </c>
      <c r="K1297">
        <f>IF('MIDWEEK DASHBOARD'!$B$4="Area",IF(1296&lt;=$N$3,IF(AND(OR('MIDWEEK DASHBOARD'!$C$4="",ISNUMBER(SEARCH('MIDWEEK DASHBOARD'!$C$4,INDEX(MASTER_AREAS!$B:$B,1297))))),1296,""),""),IF('MIDWEEK DASHBOARD'!$B$4="Zone",IF(1296&lt;=$N$4,IF(OR('MIDWEEK DASHBOARD'!$C$4="",ISNUMBER(SEARCH('MIDWEEK DASHBOARD'!$C$4,INDEX(MASTER_ZONES!$B:$B,1297)))),1296,""),""),""))</f>
        <v/>
      </c>
      <c r="P1297">
        <f>IF('CHOP DASHBOARD'!$B$4="Area",IF(1296&lt;=$S$3,IF(AND(OR('CHOP DASHBOARD'!$C$4="",ISNUMBER(SEARCH('CHOP DASHBOARD'!$C$4,INDEX(MASTER_AREAS!$B:$B,1297))))),1296,""),""),IF('CHOP DASHBOARD'!$B$4="Zone",IF(1296&lt;=$S$4,IF(OR('CHOP DASHBOARD'!$C$4="",ISNUMBER(SEARCH('CHOP DASHBOARD'!$C$4,INDEX(MASTER_ZONES!$B:$B,1297)))),1296,""),""),""))</f>
        <v/>
      </c>
      <c r="U1297">
        <f>IF('COMMUNITY CHURCH DASHBOARD'!$B$4="Area",IF(1296&lt;=$X$3,IF(AND(OR('COMMUNITY CHURCH DASHBOARD'!$C$4="",ISNUMBER(SEARCH('COMMUNITY CHURCH DASHBOARD'!$C$4,INDEX(MASTER_AREAS!$B:$B,1297))))),1296,""),""),IF('COMMUNITY CHURCH DASHBOARD'!$B$4="Zone",IF(1296&lt;=$X$4,IF(OR('COMMUNITY CHURCH DASHBOARD'!$C$4="",ISNUMBER(SEARCH('COMMUNITY CHURCH DASHBOARD'!$C$4,INDEX(MASTER_ZONES!$B:$B,1297)))),1296,""),""),""))</f>
        <v/>
      </c>
    </row>
    <row r="1298">
      <c r="A1298">
        <f>IF('WSF DASHBOARD'!$B$4="Area",IF(1297&lt;=$D$3,IF(AND(OR('WSF DASHBOARD'!$C$4="",ISNUMBER(SEARCH('WSF DASHBOARD'!$C$4,INDEX(MASTER_AREAS!$B:$B,1298))))),1297,""),""),IF('WSF DASHBOARD'!$B$4="Zone",IF(1297&lt;=$D$4,IF(OR('WSF DASHBOARD'!$C$4="",ISNUMBER(SEARCH('WSF DASHBOARD'!$C$4,INDEX(MASTER_ZONES!$B:$B,1298)))),1297,""),""),""))</f>
        <v/>
      </c>
      <c r="F1298">
        <f>IF('TRANSPORT DASHBOARD'!$B$4="Area",IF(1297&lt;=$I$3,IF(AND(INDEX(MASTER_AREAS!$F:$F,1298)&lt;&gt;"N",OR('TRANSPORT DASHBOARD'!$C$4="",ISNUMBER(SEARCH('TRANSPORT DASHBOARD'!$C$4,INDEX(MASTER_AREAS!$B:$B,1298))))),1297,""),""),IF('TRANSPORT DASHBOARD'!$B$4="Zone",IF(1297&lt;=$I$4,IF(OR('TRANSPORT DASHBOARD'!$C$4="",ISNUMBER(SEARCH('TRANSPORT DASHBOARD'!$C$4,INDEX(MASTER_ZONES!$B:$B,1298)))),1297,""),""),""))</f>
        <v/>
      </c>
      <c r="K1298">
        <f>IF('MIDWEEK DASHBOARD'!$B$4="Area",IF(1297&lt;=$N$3,IF(AND(OR('MIDWEEK DASHBOARD'!$C$4="",ISNUMBER(SEARCH('MIDWEEK DASHBOARD'!$C$4,INDEX(MASTER_AREAS!$B:$B,1298))))),1297,""),""),IF('MIDWEEK DASHBOARD'!$B$4="Zone",IF(1297&lt;=$N$4,IF(OR('MIDWEEK DASHBOARD'!$C$4="",ISNUMBER(SEARCH('MIDWEEK DASHBOARD'!$C$4,INDEX(MASTER_ZONES!$B:$B,1298)))),1297,""),""),""))</f>
        <v/>
      </c>
      <c r="P1298">
        <f>IF('CHOP DASHBOARD'!$B$4="Area",IF(1297&lt;=$S$3,IF(AND(OR('CHOP DASHBOARD'!$C$4="",ISNUMBER(SEARCH('CHOP DASHBOARD'!$C$4,INDEX(MASTER_AREAS!$B:$B,1298))))),1297,""),""),IF('CHOP DASHBOARD'!$B$4="Zone",IF(1297&lt;=$S$4,IF(OR('CHOP DASHBOARD'!$C$4="",ISNUMBER(SEARCH('CHOP DASHBOARD'!$C$4,INDEX(MASTER_ZONES!$B:$B,1298)))),1297,""),""),""))</f>
        <v/>
      </c>
      <c r="U1298">
        <f>IF('COMMUNITY CHURCH DASHBOARD'!$B$4="Area",IF(1297&lt;=$X$3,IF(AND(OR('COMMUNITY CHURCH DASHBOARD'!$C$4="",ISNUMBER(SEARCH('COMMUNITY CHURCH DASHBOARD'!$C$4,INDEX(MASTER_AREAS!$B:$B,1298))))),1297,""),""),IF('COMMUNITY CHURCH DASHBOARD'!$B$4="Zone",IF(1297&lt;=$X$4,IF(OR('COMMUNITY CHURCH DASHBOARD'!$C$4="",ISNUMBER(SEARCH('COMMUNITY CHURCH DASHBOARD'!$C$4,INDEX(MASTER_ZONES!$B:$B,1298)))),1297,""),""),""))</f>
        <v/>
      </c>
    </row>
    <row r="1299">
      <c r="A1299">
        <f>IF('WSF DASHBOARD'!$B$4="Area",IF(1298&lt;=$D$3,IF(AND(OR('WSF DASHBOARD'!$C$4="",ISNUMBER(SEARCH('WSF DASHBOARD'!$C$4,INDEX(MASTER_AREAS!$B:$B,1299))))),1298,""),""),IF('WSF DASHBOARD'!$B$4="Zone",IF(1298&lt;=$D$4,IF(OR('WSF DASHBOARD'!$C$4="",ISNUMBER(SEARCH('WSF DASHBOARD'!$C$4,INDEX(MASTER_ZONES!$B:$B,1299)))),1298,""),""),""))</f>
        <v/>
      </c>
      <c r="F1299">
        <f>IF('TRANSPORT DASHBOARD'!$B$4="Area",IF(1298&lt;=$I$3,IF(AND(INDEX(MASTER_AREAS!$F:$F,1299)&lt;&gt;"N",OR('TRANSPORT DASHBOARD'!$C$4="",ISNUMBER(SEARCH('TRANSPORT DASHBOARD'!$C$4,INDEX(MASTER_AREAS!$B:$B,1299))))),1298,""),""),IF('TRANSPORT DASHBOARD'!$B$4="Zone",IF(1298&lt;=$I$4,IF(OR('TRANSPORT DASHBOARD'!$C$4="",ISNUMBER(SEARCH('TRANSPORT DASHBOARD'!$C$4,INDEX(MASTER_ZONES!$B:$B,1299)))),1298,""),""),""))</f>
        <v/>
      </c>
      <c r="K1299">
        <f>IF('MIDWEEK DASHBOARD'!$B$4="Area",IF(1298&lt;=$N$3,IF(AND(OR('MIDWEEK DASHBOARD'!$C$4="",ISNUMBER(SEARCH('MIDWEEK DASHBOARD'!$C$4,INDEX(MASTER_AREAS!$B:$B,1299))))),1298,""),""),IF('MIDWEEK DASHBOARD'!$B$4="Zone",IF(1298&lt;=$N$4,IF(OR('MIDWEEK DASHBOARD'!$C$4="",ISNUMBER(SEARCH('MIDWEEK DASHBOARD'!$C$4,INDEX(MASTER_ZONES!$B:$B,1299)))),1298,""),""),""))</f>
        <v/>
      </c>
      <c r="P1299">
        <f>IF('CHOP DASHBOARD'!$B$4="Area",IF(1298&lt;=$S$3,IF(AND(OR('CHOP DASHBOARD'!$C$4="",ISNUMBER(SEARCH('CHOP DASHBOARD'!$C$4,INDEX(MASTER_AREAS!$B:$B,1299))))),1298,""),""),IF('CHOP DASHBOARD'!$B$4="Zone",IF(1298&lt;=$S$4,IF(OR('CHOP DASHBOARD'!$C$4="",ISNUMBER(SEARCH('CHOP DASHBOARD'!$C$4,INDEX(MASTER_ZONES!$B:$B,1299)))),1298,""),""),""))</f>
        <v/>
      </c>
      <c r="U1299">
        <f>IF('COMMUNITY CHURCH DASHBOARD'!$B$4="Area",IF(1298&lt;=$X$3,IF(AND(OR('COMMUNITY CHURCH DASHBOARD'!$C$4="",ISNUMBER(SEARCH('COMMUNITY CHURCH DASHBOARD'!$C$4,INDEX(MASTER_AREAS!$B:$B,1299))))),1298,""),""),IF('COMMUNITY CHURCH DASHBOARD'!$B$4="Zone",IF(1298&lt;=$X$4,IF(OR('COMMUNITY CHURCH DASHBOARD'!$C$4="",ISNUMBER(SEARCH('COMMUNITY CHURCH DASHBOARD'!$C$4,INDEX(MASTER_ZONES!$B:$B,1299)))),1298,""),""),""))</f>
        <v/>
      </c>
    </row>
    <row r="1300">
      <c r="A1300">
        <f>IF('WSF DASHBOARD'!$B$4="Area",IF(1299&lt;=$D$3,IF(AND(OR('WSF DASHBOARD'!$C$4="",ISNUMBER(SEARCH('WSF DASHBOARD'!$C$4,INDEX(MASTER_AREAS!$B:$B,1300))))),1299,""),""),IF('WSF DASHBOARD'!$B$4="Zone",IF(1299&lt;=$D$4,IF(OR('WSF DASHBOARD'!$C$4="",ISNUMBER(SEARCH('WSF DASHBOARD'!$C$4,INDEX(MASTER_ZONES!$B:$B,1300)))),1299,""),""),""))</f>
        <v/>
      </c>
      <c r="F1300">
        <f>IF('TRANSPORT DASHBOARD'!$B$4="Area",IF(1299&lt;=$I$3,IF(AND(INDEX(MASTER_AREAS!$F:$F,1300)&lt;&gt;"N",OR('TRANSPORT DASHBOARD'!$C$4="",ISNUMBER(SEARCH('TRANSPORT DASHBOARD'!$C$4,INDEX(MASTER_AREAS!$B:$B,1300))))),1299,""),""),IF('TRANSPORT DASHBOARD'!$B$4="Zone",IF(1299&lt;=$I$4,IF(OR('TRANSPORT DASHBOARD'!$C$4="",ISNUMBER(SEARCH('TRANSPORT DASHBOARD'!$C$4,INDEX(MASTER_ZONES!$B:$B,1300)))),1299,""),""),""))</f>
        <v/>
      </c>
      <c r="K1300">
        <f>IF('MIDWEEK DASHBOARD'!$B$4="Area",IF(1299&lt;=$N$3,IF(AND(OR('MIDWEEK DASHBOARD'!$C$4="",ISNUMBER(SEARCH('MIDWEEK DASHBOARD'!$C$4,INDEX(MASTER_AREAS!$B:$B,1300))))),1299,""),""),IF('MIDWEEK DASHBOARD'!$B$4="Zone",IF(1299&lt;=$N$4,IF(OR('MIDWEEK DASHBOARD'!$C$4="",ISNUMBER(SEARCH('MIDWEEK DASHBOARD'!$C$4,INDEX(MASTER_ZONES!$B:$B,1300)))),1299,""),""),""))</f>
        <v/>
      </c>
      <c r="P1300">
        <f>IF('CHOP DASHBOARD'!$B$4="Area",IF(1299&lt;=$S$3,IF(AND(OR('CHOP DASHBOARD'!$C$4="",ISNUMBER(SEARCH('CHOP DASHBOARD'!$C$4,INDEX(MASTER_AREAS!$B:$B,1300))))),1299,""),""),IF('CHOP DASHBOARD'!$B$4="Zone",IF(1299&lt;=$S$4,IF(OR('CHOP DASHBOARD'!$C$4="",ISNUMBER(SEARCH('CHOP DASHBOARD'!$C$4,INDEX(MASTER_ZONES!$B:$B,1300)))),1299,""),""),""))</f>
        <v/>
      </c>
      <c r="U1300">
        <f>IF('COMMUNITY CHURCH DASHBOARD'!$B$4="Area",IF(1299&lt;=$X$3,IF(AND(OR('COMMUNITY CHURCH DASHBOARD'!$C$4="",ISNUMBER(SEARCH('COMMUNITY CHURCH DASHBOARD'!$C$4,INDEX(MASTER_AREAS!$B:$B,1300))))),1299,""),""),IF('COMMUNITY CHURCH DASHBOARD'!$B$4="Zone",IF(1299&lt;=$X$4,IF(OR('COMMUNITY CHURCH DASHBOARD'!$C$4="",ISNUMBER(SEARCH('COMMUNITY CHURCH DASHBOARD'!$C$4,INDEX(MASTER_ZONES!$B:$B,1300)))),1299,""),""),""))</f>
        <v/>
      </c>
    </row>
    <row r="1301">
      <c r="A1301">
        <f>IF('WSF DASHBOARD'!$B$4="Area",IF(1300&lt;=$D$3,IF(AND(OR('WSF DASHBOARD'!$C$4="",ISNUMBER(SEARCH('WSF DASHBOARD'!$C$4,INDEX(MASTER_AREAS!$B:$B,1301))))),1300,""),""),IF('WSF DASHBOARD'!$B$4="Zone",IF(1300&lt;=$D$4,IF(OR('WSF DASHBOARD'!$C$4="",ISNUMBER(SEARCH('WSF DASHBOARD'!$C$4,INDEX(MASTER_ZONES!$B:$B,1301)))),1300,""),""),""))</f>
        <v/>
      </c>
      <c r="F1301">
        <f>IF('TRANSPORT DASHBOARD'!$B$4="Area",IF(1300&lt;=$I$3,IF(AND(INDEX(MASTER_AREAS!$F:$F,1301)&lt;&gt;"N",OR('TRANSPORT DASHBOARD'!$C$4="",ISNUMBER(SEARCH('TRANSPORT DASHBOARD'!$C$4,INDEX(MASTER_AREAS!$B:$B,1301))))),1300,""),""),IF('TRANSPORT DASHBOARD'!$B$4="Zone",IF(1300&lt;=$I$4,IF(OR('TRANSPORT DASHBOARD'!$C$4="",ISNUMBER(SEARCH('TRANSPORT DASHBOARD'!$C$4,INDEX(MASTER_ZONES!$B:$B,1301)))),1300,""),""),""))</f>
        <v/>
      </c>
      <c r="K1301">
        <f>IF('MIDWEEK DASHBOARD'!$B$4="Area",IF(1300&lt;=$N$3,IF(AND(OR('MIDWEEK DASHBOARD'!$C$4="",ISNUMBER(SEARCH('MIDWEEK DASHBOARD'!$C$4,INDEX(MASTER_AREAS!$B:$B,1301))))),1300,""),""),IF('MIDWEEK DASHBOARD'!$B$4="Zone",IF(1300&lt;=$N$4,IF(OR('MIDWEEK DASHBOARD'!$C$4="",ISNUMBER(SEARCH('MIDWEEK DASHBOARD'!$C$4,INDEX(MASTER_ZONES!$B:$B,1301)))),1300,""),""),""))</f>
        <v/>
      </c>
      <c r="P1301">
        <f>IF('CHOP DASHBOARD'!$B$4="Area",IF(1300&lt;=$S$3,IF(AND(OR('CHOP DASHBOARD'!$C$4="",ISNUMBER(SEARCH('CHOP DASHBOARD'!$C$4,INDEX(MASTER_AREAS!$B:$B,1301))))),1300,""),""),IF('CHOP DASHBOARD'!$B$4="Zone",IF(1300&lt;=$S$4,IF(OR('CHOP DASHBOARD'!$C$4="",ISNUMBER(SEARCH('CHOP DASHBOARD'!$C$4,INDEX(MASTER_ZONES!$B:$B,1301)))),1300,""),""),""))</f>
        <v/>
      </c>
      <c r="U1301">
        <f>IF('COMMUNITY CHURCH DASHBOARD'!$B$4="Area",IF(1300&lt;=$X$3,IF(AND(OR('COMMUNITY CHURCH DASHBOARD'!$C$4="",ISNUMBER(SEARCH('COMMUNITY CHURCH DASHBOARD'!$C$4,INDEX(MASTER_AREAS!$B:$B,1301))))),1300,""),""),IF('COMMUNITY CHURCH DASHBOARD'!$B$4="Zone",IF(1300&lt;=$X$4,IF(OR('COMMUNITY CHURCH DASHBOARD'!$C$4="",ISNUMBER(SEARCH('COMMUNITY CHURCH DASHBOARD'!$C$4,INDEX(MASTER_ZONES!$B:$B,1301)))),1300,""),""),""))</f>
        <v/>
      </c>
    </row>
    <row r="1302">
      <c r="A1302">
        <f>IF('WSF DASHBOARD'!$B$4="Area",IF(1301&lt;=$D$3,IF(AND(OR('WSF DASHBOARD'!$C$4="",ISNUMBER(SEARCH('WSF DASHBOARD'!$C$4,INDEX(MASTER_AREAS!$B:$B,1302))))),1301,""),""),IF('WSF DASHBOARD'!$B$4="Zone",IF(1301&lt;=$D$4,IF(OR('WSF DASHBOARD'!$C$4="",ISNUMBER(SEARCH('WSF DASHBOARD'!$C$4,INDEX(MASTER_ZONES!$B:$B,1302)))),1301,""),""),""))</f>
        <v/>
      </c>
      <c r="F1302">
        <f>IF('TRANSPORT DASHBOARD'!$B$4="Area",IF(1301&lt;=$I$3,IF(AND(INDEX(MASTER_AREAS!$F:$F,1302)&lt;&gt;"N",OR('TRANSPORT DASHBOARD'!$C$4="",ISNUMBER(SEARCH('TRANSPORT DASHBOARD'!$C$4,INDEX(MASTER_AREAS!$B:$B,1302))))),1301,""),""),IF('TRANSPORT DASHBOARD'!$B$4="Zone",IF(1301&lt;=$I$4,IF(OR('TRANSPORT DASHBOARD'!$C$4="",ISNUMBER(SEARCH('TRANSPORT DASHBOARD'!$C$4,INDEX(MASTER_ZONES!$B:$B,1302)))),1301,""),""),""))</f>
        <v/>
      </c>
      <c r="K1302">
        <f>IF('MIDWEEK DASHBOARD'!$B$4="Area",IF(1301&lt;=$N$3,IF(AND(OR('MIDWEEK DASHBOARD'!$C$4="",ISNUMBER(SEARCH('MIDWEEK DASHBOARD'!$C$4,INDEX(MASTER_AREAS!$B:$B,1302))))),1301,""),""),IF('MIDWEEK DASHBOARD'!$B$4="Zone",IF(1301&lt;=$N$4,IF(OR('MIDWEEK DASHBOARD'!$C$4="",ISNUMBER(SEARCH('MIDWEEK DASHBOARD'!$C$4,INDEX(MASTER_ZONES!$B:$B,1302)))),1301,""),""),""))</f>
        <v/>
      </c>
      <c r="P1302">
        <f>IF('CHOP DASHBOARD'!$B$4="Area",IF(1301&lt;=$S$3,IF(AND(OR('CHOP DASHBOARD'!$C$4="",ISNUMBER(SEARCH('CHOP DASHBOARD'!$C$4,INDEX(MASTER_AREAS!$B:$B,1302))))),1301,""),""),IF('CHOP DASHBOARD'!$B$4="Zone",IF(1301&lt;=$S$4,IF(OR('CHOP DASHBOARD'!$C$4="",ISNUMBER(SEARCH('CHOP DASHBOARD'!$C$4,INDEX(MASTER_ZONES!$B:$B,1302)))),1301,""),""),""))</f>
        <v/>
      </c>
      <c r="U1302">
        <f>IF('COMMUNITY CHURCH DASHBOARD'!$B$4="Area",IF(1301&lt;=$X$3,IF(AND(OR('COMMUNITY CHURCH DASHBOARD'!$C$4="",ISNUMBER(SEARCH('COMMUNITY CHURCH DASHBOARD'!$C$4,INDEX(MASTER_AREAS!$B:$B,1302))))),1301,""),""),IF('COMMUNITY CHURCH DASHBOARD'!$B$4="Zone",IF(1301&lt;=$X$4,IF(OR('COMMUNITY CHURCH DASHBOARD'!$C$4="",ISNUMBER(SEARCH('COMMUNITY CHURCH DASHBOARD'!$C$4,INDEX(MASTER_ZONES!$B:$B,1302)))),1301,""),""),""))</f>
        <v/>
      </c>
    </row>
    <row r="1303">
      <c r="A1303">
        <f>IF('WSF DASHBOARD'!$B$4="Area",IF(1302&lt;=$D$3,IF(AND(OR('WSF DASHBOARD'!$C$4="",ISNUMBER(SEARCH('WSF DASHBOARD'!$C$4,INDEX(MASTER_AREAS!$B:$B,1303))))),1302,""),""),IF('WSF DASHBOARD'!$B$4="Zone",IF(1302&lt;=$D$4,IF(OR('WSF DASHBOARD'!$C$4="",ISNUMBER(SEARCH('WSF DASHBOARD'!$C$4,INDEX(MASTER_ZONES!$B:$B,1303)))),1302,""),""),""))</f>
        <v/>
      </c>
      <c r="F1303">
        <f>IF('TRANSPORT DASHBOARD'!$B$4="Area",IF(1302&lt;=$I$3,IF(AND(INDEX(MASTER_AREAS!$F:$F,1303)&lt;&gt;"N",OR('TRANSPORT DASHBOARD'!$C$4="",ISNUMBER(SEARCH('TRANSPORT DASHBOARD'!$C$4,INDEX(MASTER_AREAS!$B:$B,1303))))),1302,""),""),IF('TRANSPORT DASHBOARD'!$B$4="Zone",IF(1302&lt;=$I$4,IF(OR('TRANSPORT DASHBOARD'!$C$4="",ISNUMBER(SEARCH('TRANSPORT DASHBOARD'!$C$4,INDEX(MASTER_ZONES!$B:$B,1303)))),1302,""),""),""))</f>
        <v/>
      </c>
      <c r="K1303">
        <f>IF('MIDWEEK DASHBOARD'!$B$4="Area",IF(1302&lt;=$N$3,IF(AND(OR('MIDWEEK DASHBOARD'!$C$4="",ISNUMBER(SEARCH('MIDWEEK DASHBOARD'!$C$4,INDEX(MASTER_AREAS!$B:$B,1303))))),1302,""),""),IF('MIDWEEK DASHBOARD'!$B$4="Zone",IF(1302&lt;=$N$4,IF(OR('MIDWEEK DASHBOARD'!$C$4="",ISNUMBER(SEARCH('MIDWEEK DASHBOARD'!$C$4,INDEX(MASTER_ZONES!$B:$B,1303)))),1302,""),""),""))</f>
        <v/>
      </c>
      <c r="P1303">
        <f>IF('CHOP DASHBOARD'!$B$4="Area",IF(1302&lt;=$S$3,IF(AND(OR('CHOP DASHBOARD'!$C$4="",ISNUMBER(SEARCH('CHOP DASHBOARD'!$C$4,INDEX(MASTER_AREAS!$B:$B,1303))))),1302,""),""),IF('CHOP DASHBOARD'!$B$4="Zone",IF(1302&lt;=$S$4,IF(OR('CHOP DASHBOARD'!$C$4="",ISNUMBER(SEARCH('CHOP DASHBOARD'!$C$4,INDEX(MASTER_ZONES!$B:$B,1303)))),1302,""),""),""))</f>
        <v/>
      </c>
      <c r="U1303">
        <f>IF('COMMUNITY CHURCH DASHBOARD'!$B$4="Area",IF(1302&lt;=$X$3,IF(AND(OR('COMMUNITY CHURCH DASHBOARD'!$C$4="",ISNUMBER(SEARCH('COMMUNITY CHURCH DASHBOARD'!$C$4,INDEX(MASTER_AREAS!$B:$B,1303))))),1302,""),""),IF('COMMUNITY CHURCH DASHBOARD'!$B$4="Zone",IF(1302&lt;=$X$4,IF(OR('COMMUNITY CHURCH DASHBOARD'!$C$4="",ISNUMBER(SEARCH('COMMUNITY CHURCH DASHBOARD'!$C$4,INDEX(MASTER_ZONES!$B:$B,1303)))),1302,""),""),""))</f>
        <v/>
      </c>
    </row>
    <row r="1304">
      <c r="A1304">
        <f>IF('WSF DASHBOARD'!$B$4="Area",IF(1303&lt;=$D$3,IF(AND(OR('WSF DASHBOARD'!$C$4="",ISNUMBER(SEARCH('WSF DASHBOARD'!$C$4,INDEX(MASTER_AREAS!$B:$B,1304))))),1303,""),""),IF('WSF DASHBOARD'!$B$4="Zone",IF(1303&lt;=$D$4,IF(OR('WSF DASHBOARD'!$C$4="",ISNUMBER(SEARCH('WSF DASHBOARD'!$C$4,INDEX(MASTER_ZONES!$B:$B,1304)))),1303,""),""),""))</f>
        <v/>
      </c>
      <c r="F1304">
        <f>IF('TRANSPORT DASHBOARD'!$B$4="Area",IF(1303&lt;=$I$3,IF(AND(INDEX(MASTER_AREAS!$F:$F,1304)&lt;&gt;"N",OR('TRANSPORT DASHBOARD'!$C$4="",ISNUMBER(SEARCH('TRANSPORT DASHBOARD'!$C$4,INDEX(MASTER_AREAS!$B:$B,1304))))),1303,""),""),IF('TRANSPORT DASHBOARD'!$B$4="Zone",IF(1303&lt;=$I$4,IF(OR('TRANSPORT DASHBOARD'!$C$4="",ISNUMBER(SEARCH('TRANSPORT DASHBOARD'!$C$4,INDEX(MASTER_ZONES!$B:$B,1304)))),1303,""),""),""))</f>
        <v/>
      </c>
      <c r="K1304">
        <f>IF('MIDWEEK DASHBOARD'!$B$4="Area",IF(1303&lt;=$N$3,IF(AND(OR('MIDWEEK DASHBOARD'!$C$4="",ISNUMBER(SEARCH('MIDWEEK DASHBOARD'!$C$4,INDEX(MASTER_AREAS!$B:$B,1304))))),1303,""),""),IF('MIDWEEK DASHBOARD'!$B$4="Zone",IF(1303&lt;=$N$4,IF(OR('MIDWEEK DASHBOARD'!$C$4="",ISNUMBER(SEARCH('MIDWEEK DASHBOARD'!$C$4,INDEX(MASTER_ZONES!$B:$B,1304)))),1303,""),""),""))</f>
        <v/>
      </c>
      <c r="P1304">
        <f>IF('CHOP DASHBOARD'!$B$4="Area",IF(1303&lt;=$S$3,IF(AND(OR('CHOP DASHBOARD'!$C$4="",ISNUMBER(SEARCH('CHOP DASHBOARD'!$C$4,INDEX(MASTER_AREAS!$B:$B,1304))))),1303,""),""),IF('CHOP DASHBOARD'!$B$4="Zone",IF(1303&lt;=$S$4,IF(OR('CHOP DASHBOARD'!$C$4="",ISNUMBER(SEARCH('CHOP DASHBOARD'!$C$4,INDEX(MASTER_ZONES!$B:$B,1304)))),1303,""),""),""))</f>
        <v/>
      </c>
      <c r="U1304">
        <f>IF('COMMUNITY CHURCH DASHBOARD'!$B$4="Area",IF(1303&lt;=$X$3,IF(AND(OR('COMMUNITY CHURCH DASHBOARD'!$C$4="",ISNUMBER(SEARCH('COMMUNITY CHURCH DASHBOARD'!$C$4,INDEX(MASTER_AREAS!$B:$B,1304))))),1303,""),""),IF('COMMUNITY CHURCH DASHBOARD'!$B$4="Zone",IF(1303&lt;=$X$4,IF(OR('COMMUNITY CHURCH DASHBOARD'!$C$4="",ISNUMBER(SEARCH('COMMUNITY CHURCH DASHBOARD'!$C$4,INDEX(MASTER_ZONES!$B:$B,1304)))),1303,""),""),""))</f>
        <v/>
      </c>
    </row>
    <row r="1305">
      <c r="A1305">
        <f>IF('WSF DASHBOARD'!$B$4="Area",IF(1304&lt;=$D$3,IF(AND(OR('WSF DASHBOARD'!$C$4="",ISNUMBER(SEARCH('WSF DASHBOARD'!$C$4,INDEX(MASTER_AREAS!$B:$B,1305))))),1304,""),""),IF('WSF DASHBOARD'!$B$4="Zone",IF(1304&lt;=$D$4,IF(OR('WSF DASHBOARD'!$C$4="",ISNUMBER(SEARCH('WSF DASHBOARD'!$C$4,INDEX(MASTER_ZONES!$B:$B,1305)))),1304,""),""),""))</f>
        <v/>
      </c>
      <c r="F1305">
        <f>IF('TRANSPORT DASHBOARD'!$B$4="Area",IF(1304&lt;=$I$3,IF(AND(INDEX(MASTER_AREAS!$F:$F,1305)&lt;&gt;"N",OR('TRANSPORT DASHBOARD'!$C$4="",ISNUMBER(SEARCH('TRANSPORT DASHBOARD'!$C$4,INDEX(MASTER_AREAS!$B:$B,1305))))),1304,""),""),IF('TRANSPORT DASHBOARD'!$B$4="Zone",IF(1304&lt;=$I$4,IF(OR('TRANSPORT DASHBOARD'!$C$4="",ISNUMBER(SEARCH('TRANSPORT DASHBOARD'!$C$4,INDEX(MASTER_ZONES!$B:$B,1305)))),1304,""),""),""))</f>
        <v/>
      </c>
      <c r="K1305">
        <f>IF('MIDWEEK DASHBOARD'!$B$4="Area",IF(1304&lt;=$N$3,IF(AND(OR('MIDWEEK DASHBOARD'!$C$4="",ISNUMBER(SEARCH('MIDWEEK DASHBOARD'!$C$4,INDEX(MASTER_AREAS!$B:$B,1305))))),1304,""),""),IF('MIDWEEK DASHBOARD'!$B$4="Zone",IF(1304&lt;=$N$4,IF(OR('MIDWEEK DASHBOARD'!$C$4="",ISNUMBER(SEARCH('MIDWEEK DASHBOARD'!$C$4,INDEX(MASTER_ZONES!$B:$B,1305)))),1304,""),""),""))</f>
        <v/>
      </c>
      <c r="P1305">
        <f>IF('CHOP DASHBOARD'!$B$4="Area",IF(1304&lt;=$S$3,IF(AND(OR('CHOP DASHBOARD'!$C$4="",ISNUMBER(SEARCH('CHOP DASHBOARD'!$C$4,INDEX(MASTER_AREAS!$B:$B,1305))))),1304,""),""),IF('CHOP DASHBOARD'!$B$4="Zone",IF(1304&lt;=$S$4,IF(OR('CHOP DASHBOARD'!$C$4="",ISNUMBER(SEARCH('CHOP DASHBOARD'!$C$4,INDEX(MASTER_ZONES!$B:$B,1305)))),1304,""),""),""))</f>
        <v/>
      </c>
      <c r="U1305">
        <f>IF('COMMUNITY CHURCH DASHBOARD'!$B$4="Area",IF(1304&lt;=$X$3,IF(AND(OR('COMMUNITY CHURCH DASHBOARD'!$C$4="",ISNUMBER(SEARCH('COMMUNITY CHURCH DASHBOARD'!$C$4,INDEX(MASTER_AREAS!$B:$B,1305))))),1304,""),""),IF('COMMUNITY CHURCH DASHBOARD'!$B$4="Zone",IF(1304&lt;=$X$4,IF(OR('COMMUNITY CHURCH DASHBOARD'!$C$4="",ISNUMBER(SEARCH('COMMUNITY CHURCH DASHBOARD'!$C$4,INDEX(MASTER_ZONES!$B:$B,1305)))),1304,""),""),""))</f>
        <v/>
      </c>
    </row>
    <row r="1306">
      <c r="A1306">
        <f>IF('WSF DASHBOARD'!$B$4="Area",IF(1305&lt;=$D$3,IF(AND(OR('WSF DASHBOARD'!$C$4="",ISNUMBER(SEARCH('WSF DASHBOARD'!$C$4,INDEX(MASTER_AREAS!$B:$B,1306))))),1305,""),""),IF('WSF DASHBOARD'!$B$4="Zone",IF(1305&lt;=$D$4,IF(OR('WSF DASHBOARD'!$C$4="",ISNUMBER(SEARCH('WSF DASHBOARD'!$C$4,INDEX(MASTER_ZONES!$B:$B,1306)))),1305,""),""),""))</f>
        <v/>
      </c>
      <c r="F1306">
        <f>IF('TRANSPORT DASHBOARD'!$B$4="Area",IF(1305&lt;=$I$3,IF(AND(INDEX(MASTER_AREAS!$F:$F,1306)&lt;&gt;"N",OR('TRANSPORT DASHBOARD'!$C$4="",ISNUMBER(SEARCH('TRANSPORT DASHBOARD'!$C$4,INDEX(MASTER_AREAS!$B:$B,1306))))),1305,""),""),IF('TRANSPORT DASHBOARD'!$B$4="Zone",IF(1305&lt;=$I$4,IF(OR('TRANSPORT DASHBOARD'!$C$4="",ISNUMBER(SEARCH('TRANSPORT DASHBOARD'!$C$4,INDEX(MASTER_ZONES!$B:$B,1306)))),1305,""),""),""))</f>
        <v/>
      </c>
      <c r="K1306">
        <f>IF('MIDWEEK DASHBOARD'!$B$4="Area",IF(1305&lt;=$N$3,IF(AND(OR('MIDWEEK DASHBOARD'!$C$4="",ISNUMBER(SEARCH('MIDWEEK DASHBOARD'!$C$4,INDEX(MASTER_AREAS!$B:$B,1306))))),1305,""),""),IF('MIDWEEK DASHBOARD'!$B$4="Zone",IF(1305&lt;=$N$4,IF(OR('MIDWEEK DASHBOARD'!$C$4="",ISNUMBER(SEARCH('MIDWEEK DASHBOARD'!$C$4,INDEX(MASTER_ZONES!$B:$B,1306)))),1305,""),""),""))</f>
        <v/>
      </c>
      <c r="P1306">
        <f>IF('CHOP DASHBOARD'!$B$4="Area",IF(1305&lt;=$S$3,IF(AND(OR('CHOP DASHBOARD'!$C$4="",ISNUMBER(SEARCH('CHOP DASHBOARD'!$C$4,INDEX(MASTER_AREAS!$B:$B,1306))))),1305,""),""),IF('CHOP DASHBOARD'!$B$4="Zone",IF(1305&lt;=$S$4,IF(OR('CHOP DASHBOARD'!$C$4="",ISNUMBER(SEARCH('CHOP DASHBOARD'!$C$4,INDEX(MASTER_ZONES!$B:$B,1306)))),1305,""),""),""))</f>
        <v/>
      </c>
      <c r="U1306">
        <f>IF('COMMUNITY CHURCH DASHBOARD'!$B$4="Area",IF(1305&lt;=$X$3,IF(AND(OR('COMMUNITY CHURCH DASHBOARD'!$C$4="",ISNUMBER(SEARCH('COMMUNITY CHURCH DASHBOARD'!$C$4,INDEX(MASTER_AREAS!$B:$B,1306))))),1305,""),""),IF('COMMUNITY CHURCH DASHBOARD'!$B$4="Zone",IF(1305&lt;=$X$4,IF(OR('COMMUNITY CHURCH DASHBOARD'!$C$4="",ISNUMBER(SEARCH('COMMUNITY CHURCH DASHBOARD'!$C$4,INDEX(MASTER_ZONES!$B:$B,1306)))),1305,""),""),""))</f>
        <v/>
      </c>
    </row>
    <row r="1307">
      <c r="A1307">
        <f>IF('WSF DASHBOARD'!$B$4="Area",IF(1306&lt;=$D$3,IF(AND(OR('WSF DASHBOARD'!$C$4="",ISNUMBER(SEARCH('WSF DASHBOARD'!$C$4,INDEX(MASTER_AREAS!$B:$B,1307))))),1306,""),""),IF('WSF DASHBOARD'!$B$4="Zone",IF(1306&lt;=$D$4,IF(OR('WSF DASHBOARD'!$C$4="",ISNUMBER(SEARCH('WSF DASHBOARD'!$C$4,INDEX(MASTER_ZONES!$B:$B,1307)))),1306,""),""),""))</f>
        <v/>
      </c>
      <c r="F1307">
        <f>IF('TRANSPORT DASHBOARD'!$B$4="Area",IF(1306&lt;=$I$3,IF(AND(INDEX(MASTER_AREAS!$F:$F,1307)&lt;&gt;"N",OR('TRANSPORT DASHBOARD'!$C$4="",ISNUMBER(SEARCH('TRANSPORT DASHBOARD'!$C$4,INDEX(MASTER_AREAS!$B:$B,1307))))),1306,""),""),IF('TRANSPORT DASHBOARD'!$B$4="Zone",IF(1306&lt;=$I$4,IF(OR('TRANSPORT DASHBOARD'!$C$4="",ISNUMBER(SEARCH('TRANSPORT DASHBOARD'!$C$4,INDEX(MASTER_ZONES!$B:$B,1307)))),1306,""),""),""))</f>
        <v/>
      </c>
      <c r="K1307">
        <f>IF('MIDWEEK DASHBOARD'!$B$4="Area",IF(1306&lt;=$N$3,IF(AND(OR('MIDWEEK DASHBOARD'!$C$4="",ISNUMBER(SEARCH('MIDWEEK DASHBOARD'!$C$4,INDEX(MASTER_AREAS!$B:$B,1307))))),1306,""),""),IF('MIDWEEK DASHBOARD'!$B$4="Zone",IF(1306&lt;=$N$4,IF(OR('MIDWEEK DASHBOARD'!$C$4="",ISNUMBER(SEARCH('MIDWEEK DASHBOARD'!$C$4,INDEX(MASTER_ZONES!$B:$B,1307)))),1306,""),""),""))</f>
        <v/>
      </c>
      <c r="P1307">
        <f>IF('CHOP DASHBOARD'!$B$4="Area",IF(1306&lt;=$S$3,IF(AND(OR('CHOP DASHBOARD'!$C$4="",ISNUMBER(SEARCH('CHOP DASHBOARD'!$C$4,INDEX(MASTER_AREAS!$B:$B,1307))))),1306,""),""),IF('CHOP DASHBOARD'!$B$4="Zone",IF(1306&lt;=$S$4,IF(OR('CHOP DASHBOARD'!$C$4="",ISNUMBER(SEARCH('CHOP DASHBOARD'!$C$4,INDEX(MASTER_ZONES!$B:$B,1307)))),1306,""),""),""))</f>
        <v/>
      </c>
      <c r="U1307">
        <f>IF('COMMUNITY CHURCH DASHBOARD'!$B$4="Area",IF(1306&lt;=$X$3,IF(AND(OR('COMMUNITY CHURCH DASHBOARD'!$C$4="",ISNUMBER(SEARCH('COMMUNITY CHURCH DASHBOARD'!$C$4,INDEX(MASTER_AREAS!$B:$B,1307))))),1306,""),""),IF('COMMUNITY CHURCH DASHBOARD'!$B$4="Zone",IF(1306&lt;=$X$4,IF(OR('COMMUNITY CHURCH DASHBOARD'!$C$4="",ISNUMBER(SEARCH('COMMUNITY CHURCH DASHBOARD'!$C$4,INDEX(MASTER_ZONES!$B:$B,1307)))),1306,""),""),""))</f>
        <v/>
      </c>
    </row>
    <row r="1308">
      <c r="A1308">
        <f>IF('WSF DASHBOARD'!$B$4="Area",IF(1307&lt;=$D$3,IF(AND(OR('WSF DASHBOARD'!$C$4="",ISNUMBER(SEARCH('WSF DASHBOARD'!$C$4,INDEX(MASTER_AREAS!$B:$B,1308))))),1307,""),""),IF('WSF DASHBOARD'!$B$4="Zone",IF(1307&lt;=$D$4,IF(OR('WSF DASHBOARD'!$C$4="",ISNUMBER(SEARCH('WSF DASHBOARD'!$C$4,INDEX(MASTER_ZONES!$B:$B,1308)))),1307,""),""),""))</f>
        <v/>
      </c>
      <c r="F1308">
        <f>IF('TRANSPORT DASHBOARD'!$B$4="Area",IF(1307&lt;=$I$3,IF(AND(INDEX(MASTER_AREAS!$F:$F,1308)&lt;&gt;"N",OR('TRANSPORT DASHBOARD'!$C$4="",ISNUMBER(SEARCH('TRANSPORT DASHBOARD'!$C$4,INDEX(MASTER_AREAS!$B:$B,1308))))),1307,""),""),IF('TRANSPORT DASHBOARD'!$B$4="Zone",IF(1307&lt;=$I$4,IF(OR('TRANSPORT DASHBOARD'!$C$4="",ISNUMBER(SEARCH('TRANSPORT DASHBOARD'!$C$4,INDEX(MASTER_ZONES!$B:$B,1308)))),1307,""),""),""))</f>
        <v/>
      </c>
      <c r="K1308">
        <f>IF('MIDWEEK DASHBOARD'!$B$4="Area",IF(1307&lt;=$N$3,IF(AND(OR('MIDWEEK DASHBOARD'!$C$4="",ISNUMBER(SEARCH('MIDWEEK DASHBOARD'!$C$4,INDEX(MASTER_AREAS!$B:$B,1308))))),1307,""),""),IF('MIDWEEK DASHBOARD'!$B$4="Zone",IF(1307&lt;=$N$4,IF(OR('MIDWEEK DASHBOARD'!$C$4="",ISNUMBER(SEARCH('MIDWEEK DASHBOARD'!$C$4,INDEX(MASTER_ZONES!$B:$B,1308)))),1307,""),""),""))</f>
        <v/>
      </c>
      <c r="P1308">
        <f>IF('CHOP DASHBOARD'!$B$4="Area",IF(1307&lt;=$S$3,IF(AND(OR('CHOP DASHBOARD'!$C$4="",ISNUMBER(SEARCH('CHOP DASHBOARD'!$C$4,INDEX(MASTER_AREAS!$B:$B,1308))))),1307,""),""),IF('CHOP DASHBOARD'!$B$4="Zone",IF(1307&lt;=$S$4,IF(OR('CHOP DASHBOARD'!$C$4="",ISNUMBER(SEARCH('CHOP DASHBOARD'!$C$4,INDEX(MASTER_ZONES!$B:$B,1308)))),1307,""),""),""))</f>
        <v/>
      </c>
      <c r="U1308">
        <f>IF('COMMUNITY CHURCH DASHBOARD'!$B$4="Area",IF(1307&lt;=$X$3,IF(AND(OR('COMMUNITY CHURCH DASHBOARD'!$C$4="",ISNUMBER(SEARCH('COMMUNITY CHURCH DASHBOARD'!$C$4,INDEX(MASTER_AREAS!$B:$B,1308))))),1307,""),""),IF('COMMUNITY CHURCH DASHBOARD'!$B$4="Zone",IF(1307&lt;=$X$4,IF(OR('COMMUNITY CHURCH DASHBOARD'!$C$4="",ISNUMBER(SEARCH('COMMUNITY CHURCH DASHBOARD'!$C$4,INDEX(MASTER_ZONES!$B:$B,1308)))),1307,""),""),""))</f>
        <v/>
      </c>
    </row>
    <row r="1309">
      <c r="A1309">
        <f>IF('WSF DASHBOARD'!$B$4="Area",IF(1308&lt;=$D$3,IF(AND(OR('WSF DASHBOARD'!$C$4="",ISNUMBER(SEARCH('WSF DASHBOARD'!$C$4,INDEX(MASTER_AREAS!$B:$B,1309))))),1308,""),""),IF('WSF DASHBOARD'!$B$4="Zone",IF(1308&lt;=$D$4,IF(OR('WSF DASHBOARD'!$C$4="",ISNUMBER(SEARCH('WSF DASHBOARD'!$C$4,INDEX(MASTER_ZONES!$B:$B,1309)))),1308,""),""),""))</f>
        <v/>
      </c>
      <c r="F1309">
        <f>IF('TRANSPORT DASHBOARD'!$B$4="Area",IF(1308&lt;=$I$3,IF(AND(INDEX(MASTER_AREAS!$F:$F,1309)&lt;&gt;"N",OR('TRANSPORT DASHBOARD'!$C$4="",ISNUMBER(SEARCH('TRANSPORT DASHBOARD'!$C$4,INDEX(MASTER_AREAS!$B:$B,1309))))),1308,""),""),IF('TRANSPORT DASHBOARD'!$B$4="Zone",IF(1308&lt;=$I$4,IF(OR('TRANSPORT DASHBOARD'!$C$4="",ISNUMBER(SEARCH('TRANSPORT DASHBOARD'!$C$4,INDEX(MASTER_ZONES!$B:$B,1309)))),1308,""),""),""))</f>
        <v/>
      </c>
      <c r="K1309">
        <f>IF('MIDWEEK DASHBOARD'!$B$4="Area",IF(1308&lt;=$N$3,IF(AND(OR('MIDWEEK DASHBOARD'!$C$4="",ISNUMBER(SEARCH('MIDWEEK DASHBOARD'!$C$4,INDEX(MASTER_AREAS!$B:$B,1309))))),1308,""),""),IF('MIDWEEK DASHBOARD'!$B$4="Zone",IF(1308&lt;=$N$4,IF(OR('MIDWEEK DASHBOARD'!$C$4="",ISNUMBER(SEARCH('MIDWEEK DASHBOARD'!$C$4,INDEX(MASTER_ZONES!$B:$B,1309)))),1308,""),""),""))</f>
        <v/>
      </c>
      <c r="P1309">
        <f>IF('CHOP DASHBOARD'!$B$4="Area",IF(1308&lt;=$S$3,IF(AND(OR('CHOP DASHBOARD'!$C$4="",ISNUMBER(SEARCH('CHOP DASHBOARD'!$C$4,INDEX(MASTER_AREAS!$B:$B,1309))))),1308,""),""),IF('CHOP DASHBOARD'!$B$4="Zone",IF(1308&lt;=$S$4,IF(OR('CHOP DASHBOARD'!$C$4="",ISNUMBER(SEARCH('CHOP DASHBOARD'!$C$4,INDEX(MASTER_ZONES!$B:$B,1309)))),1308,""),""),""))</f>
        <v/>
      </c>
      <c r="U1309">
        <f>IF('COMMUNITY CHURCH DASHBOARD'!$B$4="Area",IF(1308&lt;=$X$3,IF(AND(OR('COMMUNITY CHURCH DASHBOARD'!$C$4="",ISNUMBER(SEARCH('COMMUNITY CHURCH DASHBOARD'!$C$4,INDEX(MASTER_AREAS!$B:$B,1309))))),1308,""),""),IF('COMMUNITY CHURCH DASHBOARD'!$B$4="Zone",IF(1308&lt;=$X$4,IF(OR('COMMUNITY CHURCH DASHBOARD'!$C$4="",ISNUMBER(SEARCH('COMMUNITY CHURCH DASHBOARD'!$C$4,INDEX(MASTER_ZONES!$B:$B,1309)))),1308,""),""),""))</f>
        <v/>
      </c>
    </row>
    <row r="1310">
      <c r="A1310">
        <f>IF('WSF DASHBOARD'!$B$4="Area",IF(1309&lt;=$D$3,IF(AND(OR('WSF DASHBOARD'!$C$4="",ISNUMBER(SEARCH('WSF DASHBOARD'!$C$4,INDEX(MASTER_AREAS!$B:$B,1310))))),1309,""),""),IF('WSF DASHBOARD'!$B$4="Zone",IF(1309&lt;=$D$4,IF(OR('WSF DASHBOARD'!$C$4="",ISNUMBER(SEARCH('WSF DASHBOARD'!$C$4,INDEX(MASTER_ZONES!$B:$B,1310)))),1309,""),""),""))</f>
        <v/>
      </c>
      <c r="F1310">
        <f>IF('TRANSPORT DASHBOARD'!$B$4="Area",IF(1309&lt;=$I$3,IF(AND(INDEX(MASTER_AREAS!$F:$F,1310)&lt;&gt;"N",OR('TRANSPORT DASHBOARD'!$C$4="",ISNUMBER(SEARCH('TRANSPORT DASHBOARD'!$C$4,INDEX(MASTER_AREAS!$B:$B,1310))))),1309,""),""),IF('TRANSPORT DASHBOARD'!$B$4="Zone",IF(1309&lt;=$I$4,IF(OR('TRANSPORT DASHBOARD'!$C$4="",ISNUMBER(SEARCH('TRANSPORT DASHBOARD'!$C$4,INDEX(MASTER_ZONES!$B:$B,1310)))),1309,""),""),""))</f>
        <v/>
      </c>
      <c r="K1310">
        <f>IF('MIDWEEK DASHBOARD'!$B$4="Area",IF(1309&lt;=$N$3,IF(AND(OR('MIDWEEK DASHBOARD'!$C$4="",ISNUMBER(SEARCH('MIDWEEK DASHBOARD'!$C$4,INDEX(MASTER_AREAS!$B:$B,1310))))),1309,""),""),IF('MIDWEEK DASHBOARD'!$B$4="Zone",IF(1309&lt;=$N$4,IF(OR('MIDWEEK DASHBOARD'!$C$4="",ISNUMBER(SEARCH('MIDWEEK DASHBOARD'!$C$4,INDEX(MASTER_ZONES!$B:$B,1310)))),1309,""),""),""))</f>
        <v/>
      </c>
      <c r="P1310">
        <f>IF('CHOP DASHBOARD'!$B$4="Area",IF(1309&lt;=$S$3,IF(AND(OR('CHOP DASHBOARD'!$C$4="",ISNUMBER(SEARCH('CHOP DASHBOARD'!$C$4,INDEX(MASTER_AREAS!$B:$B,1310))))),1309,""),""),IF('CHOP DASHBOARD'!$B$4="Zone",IF(1309&lt;=$S$4,IF(OR('CHOP DASHBOARD'!$C$4="",ISNUMBER(SEARCH('CHOP DASHBOARD'!$C$4,INDEX(MASTER_ZONES!$B:$B,1310)))),1309,""),""),""))</f>
        <v/>
      </c>
      <c r="U1310">
        <f>IF('COMMUNITY CHURCH DASHBOARD'!$B$4="Area",IF(1309&lt;=$X$3,IF(AND(OR('COMMUNITY CHURCH DASHBOARD'!$C$4="",ISNUMBER(SEARCH('COMMUNITY CHURCH DASHBOARD'!$C$4,INDEX(MASTER_AREAS!$B:$B,1310))))),1309,""),""),IF('COMMUNITY CHURCH DASHBOARD'!$B$4="Zone",IF(1309&lt;=$X$4,IF(OR('COMMUNITY CHURCH DASHBOARD'!$C$4="",ISNUMBER(SEARCH('COMMUNITY CHURCH DASHBOARD'!$C$4,INDEX(MASTER_ZONES!$B:$B,1310)))),1309,""),""),""))</f>
        <v/>
      </c>
    </row>
    <row r="1311">
      <c r="A1311">
        <f>IF('WSF DASHBOARD'!$B$4="Area",IF(1310&lt;=$D$3,IF(AND(OR('WSF DASHBOARD'!$C$4="",ISNUMBER(SEARCH('WSF DASHBOARD'!$C$4,INDEX(MASTER_AREAS!$B:$B,1311))))),1310,""),""),IF('WSF DASHBOARD'!$B$4="Zone",IF(1310&lt;=$D$4,IF(OR('WSF DASHBOARD'!$C$4="",ISNUMBER(SEARCH('WSF DASHBOARD'!$C$4,INDEX(MASTER_ZONES!$B:$B,1311)))),1310,""),""),""))</f>
        <v/>
      </c>
      <c r="F1311">
        <f>IF('TRANSPORT DASHBOARD'!$B$4="Area",IF(1310&lt;=$I$3,IF(AND(INDEX(MASTER_AREAS!$F:$F,1311)&lt;&gt;"N",OR('TRANSPORT DASHBOARD'!$C$4="",ISNUMBER(SEARCH('TRANSPORT DASHBOARD'!$C$4,INDEX(MASTER_AREAS!$B:$B,1311))))),1310,""),""),IF('TRANSPORT DASHBOARD'!$B$4="Zone",IF(1310&lt;=$I$4,IF(OR('TRANSPORT DASHBOARD'!$C$4="",ISNUMBER(SEARCH('TRANSPORT DASHBOARD'!$C$4,INDEX(MASTER_ZONES!$B:$B,1311)))),1310,""),""),""))</f>
        <v/>
      </c>
      <c r="K1311">
        <f>IF('MIDWEEK DASHBOARD'!$B$4="Area",IF(1310&lt;=$N$3,IF(AND(OR('MIDWEEK DASHBOARD'!$C$4="",ISNUMBER(SEARCH('MIDWEEK DASHBOARD'!$C$4,INDEX(MASTER_AREAS!$B:$B,1311))))),1310,""),""),IF('MIDWEEK DASHBOARD'!$B$4="Zone",IF(1310&lt;=$N$4,IF(OR('MIDWEEK DASHBOARD'!$C$4="",ISNUMBER(SEARCH('MIDWEEK DASHBOARD'!$C$4,INDEX(MASTER_ZONES!$B:$B,1311)))),1310,""),""),""))</f>
        <v/>
      </c>
      <c r="P1311">
        <f>IF('CHOP DASHBOARD'!$B$4="Area",IF(1310&lt;=$S$3,IF(AND(OR('CHOP DASHBOARD'!$C$4="",ISNUMBER(SEARCH('CHOP DASHBOARD'!$C$4,INDEX(MASTER_AREAS!$B:$B,1311))))),1310,""),""),IF('CHOP DASHBOARD'!$B$4="Zone",IF(1310&lt;=$S$4,IF(OR('CHOP DASHBOARD'!$C$4="",ISNUMBER(SEARCH('CHOP DASHBOARD'!$C$4,INDEX(MASTER_ZONES!$B:$B,1311)))),1310,""),""),""))</f>
        <v/>
      </c>
      <c r="U1311">
        <f>IF('COMMUNITY CHURCH DASHBOARD'!$B$4="Area",IF(1310&lt;=$X$3,IF(AND(OR('COMMUNITY CHURCH DASHBOARD'!$C$4="",ISNUMBER(SEARCH('COMMUNITY CHURCH DASHBOARD'!$C$4,INDEX(MASTER_AREAS!$B:$B,1311))))),1310,""),""),IF('COMMUNITY CHURCH DASHBOARD'!$B$4="Zone",IF(1310&lt;=$X$4,IF(OR('COMMUNITY CHURCH DASHBOARD'!$C$4="",ISNUMBER(SEARCH('COMMUNITY CHURCH DASHBOARD'!$C$4,INDEX(MASTER_ZONES!$B:$B,1311)))),1310,""),""),""))</f>
        <v/>
      </c>
    </row>
    <row r="1312">
      <c r="A1312">
        <f>IF('WSF DASHBOARD'!$B$4="Area",IF(1311&lt;=$D$3,IF(AND(OR('WSF DASHBOARD'!$C$4="",ISNUMBER(SEARCH('WSF DASHBOARD'!$C$4,INDEX(MASTER_AREAS!$B:$B,1312))))),1311,""),""),IF('WSF DASHBOARD'!$B$4="Zone",IF(1311&lt;=$D$4,IF(OR('WSF DASHBOARD'!$C$4="",ISNUMBER(SEARCH('WSF DASHBOARD'!$C$4,INDEX(MASTER_ZONES!$B:$B,1312)))),1311,""),""),""))</f>
        <v/>
      </c>
      <c r="F1312">
        <f>IF('TRANSPORT DASHBOARD'!$B$4="Area",IF(1311&lt;=$I$3,IF(AND(INDEX(MASTER_AREAS!$F:$F,1312)&lt;&gt;"N",OR('TRANSPORT DASHBOARD'!$C$4="",ISNUMBER(SEARCH('TRANSPORT DASHBOARD'!$C$4,INDEX(MASTER_AREAS!$B:$B,1312))))),1311,""),""),IF('TRANSPORT DASHBOARD'!$B$4="Zone",IF(1311&lt;=$I$4,IF(OR('TRANSPORT DASHBOARD'!$C$4="",ISNUMBER(SEARCH('TRANSPORT DASHBOARD'!$C$4,INDEX(MASTER_ZONES!$B:$B,1312)))),1311,""),""),""))</f>
        <v/>
      </c>
      <c r="K1312">
        <f>IF('MIDWEEK DASHBOARD'!$B$4="Area",IF(1311&lt;=$N$3,IF(AND(OR('MIDWEEK DASHBOARD'!$C$4="",ISNUMBER(SEARCH('MIDWEEK DASHBOARD'!$C$4,INDEX(MASTER_AREAS!$B:$B,1312))))),1311,""),""),IF('MIDWEEK DASHBOARD'!$B$4="Zone",IF(1311&lt;=$N$4,IF(OR('MIDWEEK DASHBOARD'!$C$4="",ISNUMBER(SEARCH('MIDWEEK DASHBOARD'!$C$4,INDEX(MASTER_ZONES!$B:$B,1312)))),1311,""),""),""))</f>
        <v/>
      </c>
      <c r="P1312">
        <f>IF('CHOP DASHBOARD'!$B$4="Area",IF(1311&lt;=$S$3,IF(AND(OR('CHOP DASHBOARD'!$C$4="",ISNUMBER(SEARCH('CHOP DASHBOARD'!$C$4,INDEX(MASTER_AREAS!$B:$B,1312))))),1311,""),""),IF('CHOP DASHBOARD'!$B$4="Zone",IF(1311&lt;=$S$4,IF(OR('CHOP DASHBOARD'!$C$4="",ISNUMBER(SEARCH('CHOP DASHBOARD'!$C$4,INDEX(MASTER_ZONES!$B:$B,1312)))),1311,""),""),""))</f>
        <v/>
      </c>
      <c r="U1312">
        <f>IF('COMMUNITY CHURCH DASHBOARD'!$B$4="Area",IF(1311&lt;=$X$3,IF(AND(OR('COMMUNITY CHURCH DASHBOARD'!$C$4="",ISNUMBER(SEARCH('COMMUNITY CHURCH DASHBOARD'!$C$4,INDEX(MASTER_AREAS!$B:$B,1312))))),1311,""),""),IF('COMMUNITY CHURCH DASHBOARD'!$B$4="Zone",IF(1311&lt;=$X$4,IF(OR('COMMUNITY CHURCH DASHBOARD'!$C$4="",ISNUMBER(SEARCH('COMMUNITY CHURCH DASHBOARD'!$C$4,INDEX(MASTER_ZONES!$B:$B,1312)))),1311,""),""),""))</f>
        <v/>
      </c>
    </row>
    <row r="1313">
      <c r="A1313">
        <f>IF('WSF DASHBOARD'!$B$4="Area",IF(1312&lt;=$D$3,IF(AND(OR('WSF DASHBOARD'!$C$4="",ISNUMBER(SEARCH('WSF DASHBOARD'!$C$4,INDEX(MASTER_AREAS!$B:$B,1313))))),1312,""),""),IF('WSF DASHBOARD'!$B$4="Zone",IF(1312&lt;=$D$4,IF(OR('WSF DASHBOARD'!$C$4="",ISNUMBER(SEARCH('WSF DASHBOARD'!$C$4,INDEX(MASTER_ZONES!$B:$B,1313)))),1312,""),""),""))</f>
        <v/>
      </c>
      <c r="F1313">
        <f>IF('TRANSPORT DASHBOARD'!$B$4="Area",IF(1312&lt;=$I$3,IF(AND(INDEX(MASTER_AREAS!$F:$F,1313)&lt;&gt;"N",OR('TRANSPORT DASHBOARD'!$C$4="",ISNUMBER(SEARCH('TRANSPORT DASHBOARD'!$C$4,INDEX(MASTER_AREAS!$B:$B,1313))))),1312,""),""),IF('TRANSPORT DASHBOARD'!$B$4="Zone",IF(1312&lt;=$I$4,IF(OR('TRANSPORT DASHBOARD'!$C$4="",ISNUMBER(SEARCH('TRANSPORT DASHBOARD'!$C$4,INDEX(MASTER_ZONES!$B:$B,1313)))),1312,""),""),""))</f>
        <v/>
      </c>
      <c r="K1313">
        <f>IF('MIDWEEK DASHBOARD'!$B$4="Area",IF(1312&lt;=$N$3,IF(AND(OR('MIDWEEK DASHBOARD'!$C$4="",ISNUMBER(SEARCH('MIDWEEK DASHBOARD'!$C$4,INDEX(MASTER_AREAS!$B:$B,1313))))),1312,""),""),IF('MIDWEEK DASHBOARD'!$B$4="Zone",IF(1312&lt;=$N$4,IF(OR('MIDWEEK DASHBOARD'!$C$4="",ISNUMBER(SEARCH('MIDWEEK DASHBOARD'!$C$4,INDEX(MASTER_ZONES!$B:$B,1313)))),1312,""),""),""))</f>
        <v/>
      </c>
      <c r="P1313">
        <f>IF('CHOP DASHBOARD'!$B$4="Area",IF(1312&lt;=$S$3,IF(AND(OR('CHOP DASHBOARD'!$C$4="",ISNUMBER(SEARCH('CHOP DASHBOARD'!$C$4,INDEX(MASTER_AREAS!$B:$B,1313))))),1312,""),""),IF('CHOP DASHBOARD'!$B$4="Zone",IF(1312&lt;=$S$4,IF(OR('CHOP DASHBOARD'!$C$4="",ISNUMBER(SEARCH('CHOP DASHBOARD'!$C$4,INDEX(MASTER_ZONES!$B:$B,1313)))),1312,""),""),""))</f>
        <v/>
      </c>
      <c r="U1313">
        <f>IF('COMMUNITY CHURCH DASHBOARD'!$B$4="Area",IF(1312&lt;=$X$3,IF(AND(OR('COMMUNITY CHURCH DASHBOARD'!$C$4="",ISNUMBER(SEARCH('COMMUNITY CHURCH DASHBOARD'!$C$4,INDEX(MASTER_AREAS!$B:$B,1313))))),1312,""),""),IF('COMMUNITY CHURCH DASHBOARD'!$B$4="Zone",IF(1312&lt;=$X$4,IF(OR('COMMUNITY CHURCH DASHBOARD'!$C$4="",ISNUMBER(SEARCH('COMMUNITY CHURCH DASHBOARD'!$C$4,INDEX(MASTER_ZONES!$B:$B,1313)))),1312,""),""),""))</f>
        <v/>
      </c>
    </row>
    <row r="1314">
      <c r="A1314">
        <f>IF('WSF DASHBOARD'!$B$4="Area",IF(1313&lt;=$D$3,IF(AND(OR('WSF DASHBOARD'!$C$4="",ISNUMBER(SEARCH('WSF DASHBOARD'!$C$4,INDEX(MASTER_AREAS!$B:$B,1314))))),1313,""),""),IF('WSF DASHBOARD'!$B$4="Zone",IF(1313&lt;=$D$4,IF(OR('WSF DASHBOARD'!$C$4="",ISNUMBER(SEARCH('WSF DASHBOARD'!$C$4,INDEX(MASTER_ZONES!$B:$B,1314)))),1313,""),""),""))</f>
        <v/>
      </c>
      <c r="F1314">
        <f>IF('TRANSPORT DASHBOARD'!$B$4="Area",IF(1313&lt;=$I$3,IF(AND(INDEX(MASTER_AREAS!$F:$F,1314)&lt;&gt;"N",OR('TRANSPORT DASHBOARD'!$C$4="",ISNUMBER(SEARCH('TRANSPORT DASHBOARD'!$C$4,INDEX(MASTER_AREAS!$B:$B,1314))))),1313,""),""),IF('TRANSPORT DASHBOARD'!$B$4="Zone",IF(1313&lt;=$I$4,IF(OR('TRANSPORT DASHBOARD'!$C$4="",ISNUMBER(SEARCH('TRANSPORT DASHBOARD'!$C$4,INDEX(MASTER_ZONES!$B:$B,1314)))),1313,""),""),""))</f>
        <v/>
      </c>
      <c r="K1314">
        <f>IF('MIDWEEK DASHBOARD'!$B$4="Area",IF(1313&lt;=$N$3,IF(AND(OR('MIDWEEK DASHBOARD'!$C$4="",ISNUMBER(SEARCH('MIDWEEK DASHBOARD'!$C$4,INDEX(MASTER_AREAS!$B:$B,1314))))),1313,""),""),IF('MIDWEEK DASHBOARD'!$B$4="Zone",IF(1313&lt;=$N$4,IF(OR('MIDWEEK DASHBOARD'!$C$4="",ISNUMBER(SEARCH('MIDWEEK DASHBOARD'!$C$4,INDEX(MASTER_ZONES!$B:$B,1314)))),1313,""),""),""))</f>
        <v/>
      </c>
      <c r="P1314">
        <f>IF('CHOP DASHBOARD'!$B$4="Area",IF(1313&lt;=$S$3,IF(AND(OR('CHOP DASHBOARD'!$C$4="",ISNUMBER(SEARCH('CHOP DASHBOARD'!$C$4,INDEX(MASTER_AREAS!$B:$B,1314))))),1313,""),""),IF('CHOP DASHBOARD'!$B$4="Zone",IF(1313&lt;=$S$4,IF(OR('CHOP DASHBOARD'!$C$4="",ISNUMBER(SEARCH('CHOP DASHBOARD'!$C$4,INDEX(MASTER_ZONES!$B:$B,1314)))),1313,""),""),""))</f>
        <v/>
      </c>
      <c r="U1314">
        <f>IF('COMMUNITY CHURCH DASHBOARD'!$B$4="Area",IF(1313&lt;=$X$3,IF(AND(OR('COMMUNITY CHURCH DASHBOARD'!$C$4="",ISNUMBER(SEARCH('COMMUNITY CHURCH DASHBOARD'!$C$4,INDEX(MASTER_AREAS!$B:$B,1314))))),1313,""),""),IF('COMMUNITY CHURCH DASHBOARD'!$B$4="Zone",IF(1313&lt;=$X$4,IF(OR('COMMUNITY CHURCH DASHBOARD'!$C$4="",ISNUMBER(SEARCH('COMMUNITY CHURCH DASHBOARD'!$C$4,INDEX(MASTER_ZONES!$B:$B,1314)))),1313,""),""),""))</f>
        <v/>
      </c>
    </row>
    <row r="1315">
      <c r="A1315">
        <f>IF('WSF DASHBOARD'!$B$4="Area",IF(1314&lt;=$D$3,IF(AND(OR('WSF DASHBOARD'!$C$4="",ISNUMBER(SEARCH('WSF DASHBOARD'!$C$4,INDEX(MASTER_AREAS!$B:$B,1315))))),1314,""),""),IF('WSF DASHBOARD'!$B$4="Zone",IF(1314&lt;=$D$4,IF(OR('WSF DASHBOARD'!$C$4="",ISNUMBER(SEARCH('WSF DASHBOARD'!$C$4,INDEX(MASTER_ZONES!$B:$B,1315)))),1314,""),""),""))</f>
        <v/>
      </c>
      <c r="F1315">
        <f>IF('TRANSPORT DASHBOARD'!$B$4="Area",IF(1314&lt;=$I$3,IF(AND(INDEX(MASTER_AREAS!$F:$F,1315)&lt;&gt;"N",OR('TRANSPORT DASHBOARD'!$C$4="",ISNUMBER(SEARCH('TRANSPORT DASHBOARD'!$C$4,INDEX(MASTER_AREAS!$B:$B,1315))))),1314,""),""),IF('TRANSPORT DASHBOARD'!$B$4="Zone",IF(1314&lt;=$I$4,IF(OR('TRANSPORT DASHBOARD'!$C$4="",ISNUMBER(SEARCH('TRANSPORT DASHBOARD'!$C$4,INDEX(MASTER_ZONES!$B:$B,1315)))),1314,""),""),""))</f>
        <v/>
      </c>
      <c r="K1315">
        <f>IF('MIDWEEK DASHBOARD'!$B$4="Area",IF(1314&lt;=$N$3,IF(AND(OR('MIDWEEK DASHBOARD'!$C$4="",ISNUMBER(SEARCH('MIDWEEK DASHBOARD'!$C$4,INDEX(MASTER_AREAS!$B:$B,1315))))),1314,""),""),IF('MIDWEEK DASHBOARD'!$B$4="Zone",IF(1314&lt;=$N$4,IF(OR('MIDWEEK DASHBOARD'!$C$4="",ISNUMBER(SEARCH('MIDWEEK DASHBOARD'!$C$4,INDEX(MASTER_ZONES!$B:$B,1315)))),1314,""),""),""))</f>
        <v/>
      </c>
      <c r="P1315">
        <f>IF('CHOP DASHBOARD'!$B$4="Area",IF(1314&lt;=$S$3,IF(AND(OR('CHOP DASHBOARD'!$C$4="",ISNUMBER(SEARCH('CHOP DASHBOARD'!$C$4,INDEX(MASTER_AREAS!$B:$B,1315))))),1314,""),""),IF('CHOP DASHBOARD'!$B$4="Zone",IF(1314&lt;=$S$4,IF(OR('CHOP DASHBOARD'!$C$4="",ISNUMBER(SEARCH('CHOP DASHBOARD'!$C$4,INDEX(MASTER_ZONES!$B:$B,1315)))),1314,""),""),""))</f>
        <v/>
      </c>
      <c r="U1315">
        <f>IF('COMMUNITY CHURCH DASHBOARD'!$B$4="Area",IF(1314&lt;=$X$3,IF(AND(OR('COMMUNITY CHURCH DASHBOARD'!$C$4="",ISNUMBER(SEARCH('COMMUNITY CHURCH DASHBOARD'!$C$4,INDEX(MASTER_AREAS!$B:$B,1315))))),1314,""),""),IF('COMMUNITY CHURCH DASHBOARD'!$B$4="Zone",IF(1314&lt;=$X$4,IF(OR('COMMUNITY CHURCH DASHBOARD'!$C$4="",ISNUMBER(SEARCH('COMMUNITY CHURCH DASHBOARD'!$C$4,INDEX(MASTER_ZONES!$B:$B,1315)))),1314,""),""),""))</f>
        <v/>
      </c>
    </row>
    <row r="1316">
      <c r="A1316">
        <f>IF('WSF DASHBOARD'!$B$4="Area",IF(1315&lt;=$D$3,IF(AND(OR('WSF DASHBOARD'!$C$4="",ISNUMBER(SEARCH('WSF DASHBOARD'!$C$4,INDEX(MASTER_AREAS!$B:$B,1316))))),1315,""),""),IF('WSF DASHBOARD'!$B$4="Zone",IF(1315&lt;=$D$4,IF(OR('WSF DASHBOARD'!$C$4="",ISNUMBER(SEARCH('WSF DASHBOARD'!$C$4,INDEX(MASTER_ZONES!$B:$B,1316)))),1315,""),""),""))</f>
        <v/>
      </c>
      <c r="F1316">
        <f>IF('TRANSPORT DASHBOARD'!$B$4="Area",IF(1315&lt;=$I$3,IF(AND(INDEX(MASTER_AREAS!$F:$F,1316)&lt;&gt;"N",OR('TRANSPORT DASHBOARD'!$C$4="",ISNUMBER(SEARCH('TRANSPORT DASHBOARD'!$C$4,INDEX(MASTER_AREAS!$B:$B,1316))))),1315,""),""),IF('TRANSPORT DASHBOARD'!$B$4="Zone",IF(1315&lt;=$I$4,IF(OR('TRANSPORT DASHBOARD'!$C$4="",ISNUMBER(SEARCH('TRANSPORT DASHBOARD'!$C$4,INDEX(MASTER_ZONES!$B:$B,1316)))),1315,""),""),""))</f>
        <v/>
      </c>
      <c r="K1316">
        <f>IF('MIDWEEK DASHBOARD'!$B$4="Area",IF(1315&lt;=$N$3,IF(AND(OR('MIDWEEK DASHBOARD'!$C$4="",ISNUMBER(SEARCH('MIDWEEK DASHBOARD'!$C$4,INDEX(MASTER_AREAS!$B:$B,1316))))),1315,""),""),IF('MIDWEEK DASHBOARD'!$B$4="Zone",IF(1315&lt;=$N$4,IF(OR('MIDWEEK DASHBOARD'!$C$4="",ISNUMBER(SEARCH('MIDWEEK DASHBOARD'!$C$4,INDEX(MASTER_ZONES!$B:$B,1316)))),1315,""),""),""))</f>
        <v/>
      </c>
      <c r="P1316">
        <f>IF('CHOP DASHBOARD'!$B$4="Area",IF(1315&lt;=$S$3,IF(AND(OR('CHOP DASHBOARD'!$C$4="",ISNUMBER(SEARCH('CHOP DASHBOARD'!$C$4,INDEX(MASTER_AREAS!$B:$B,1316))))),1315,""),""),IF('CHOP DASHBOARD'!$B$4="Zone",IF(1315&lt;=$S$4,IF(OR('CHOP DASHBOARD'!$C$4="",ISNUMBER(SEARCH('CHOP DASHBOARD'!$C$4,INDEX(MASTER_ZONES!$B:$B,1316)))),1315,""),""),""))</f>
        <v/>
      </c>
      <c r="U1316">
        <f>IF('COMMUNITY CHURCH DASHBOARD'!$B$4="Area",IF(1315&lt;=$X$3,IF(AND(OR('COMMUNITY CHURCH DASHBOARD'!$C$4="",ISNUMBER(SEARCH('COMMUNITY CHURCH DASHBOARD'!$C$4,INDEX(MASTER_AREAS!$B:$B,1316))))),1315,""),""),IF('COMMUNITY CHURCH DASHBOARD'!$B$4="Zone",IF(1315&lt;=$X$4,IF(OR('COMMUNITY CHURCH DASHBOARD'!$C$4="",ISNUMBER(SEARCH('COMMUNITY CHURCH DASHBOARD'!$C$4,INDEX(MASTER_ZONES!$B:$B,1316)))),1315,""),""),""))</f>
        <v/>
      </c>
    </row>
    <row r="1317">
      <c r="A1317">
        <f>IF('WSF DASHBOARD'!$B$4="Area",IF(1316&lt;=$D$3,IF(AND(OR('WSF DASHBOARD'!$C$4="",ISNUMBER(SEARCH('WSF DASHBOARD'!$C$4,INDEX(MASTER_AREAS!$B:$B,1317))))),1316,""),""),IF('WSF DASHBOARD'!$B$4="Zone",IF(1316&lt;=$D$4,IF(OR('WSF DASHBOARD'!$C$4="",ISNUMBER(SEARCH('WSF DASHBOARD'!$C$4,INDEX(MASTER_ZONES!$B:$B,1317)))),1316,""),""),""))</f>
        <v/>
      </c>
      <c r="F1317">
        <f>IF('TRANSPORT DASHBOARD'!$B$4="Area",IF(1316&lt;=$I$3,IF(AND(INDEX(MASTER_AREAS!$F:$F,1317)&lt;&gt;"N",OR('TRANSPORT DASHBOARD'!$C$4="",ISNUMBER(SEARCH('TRANSPORT DASHBOARD'!$C$4,INDEX(MASTER_AREAS!$B:$B,1317))))),1316,""),""),IF('TRANSPORT DASHBOARD'!$B$4="Zone",IF(1316&lt;=$I$4,IF(OR('TRANSPORT DASHBOARD'!$C$4="",ISNUMBER(SEARCH('TRANSPORT DASHBOARD'!$C$4,INDEX(MASTER_ZONES!$B:$B,1317)))),1316,""),""),""))</f>
        <v/>
      </c>
      <c r="K1317">
        <f>IF('MIDWEEK DASHBOARD'!$B$4="Area",IF(1316&lt;=$N$3,IF(AND(OR('MIDWEEK DASHBOARD'!$C$4="",ISNUMBER(SEARCH('MIDWEEK DASHBOARD'!$C$4,INDEX(MASTER_AREAS!$B:$B,1317))))),1316,""),""),IF('MIDWEEK DASHBOARD'!$B$4="Zone",IF(1316&lt;=$N$4,IF(OR('MIDWEEK DASHBOARD'!$C$4="",ISNUMBER(SEARCH('MIDWEEK DASHBOARD'!$C$4,INDEX(MASTER_ZONES!$B:$B,1317)))),1316,""),""),""))</f>
        <v/>
      </c>
      <c r="P1317">
        <f>IF('CHOP DASHBOARD'!$B$4="Area",IF(1316&lt;=$S$3,IF(AND(OR('CHOP DASHBOARD'!$C$4="",ISNUMBER(SEARCH('CHOP DASHBOARD'!$C$4,INDEX(MASTER_AREAS!$B:$B,1317))))),1316,""),""),IF('CHOP DASHBOARD'!$B$4="Zone",IF(1316&lt;=$S$4,IF(OR('CHOP DASHBOARD'!$C$4="",ISNUMBER(SEARCH('CHOP DASHBOARD'!$C$4,INDEX(MASTER_ZONES!$B:$B,1317)))),1316,""),""),""))</f>
        <v/>
      </c>
      <c r="U1317">
        <f>IF('COMMUNITY CHURCH DASHBOARD'!$B$4="Area",IF(1316&lt;=$X$3,IF(AND(OR('COMMUNITY CHURCH DASHBOARD'!$C$4="",ISNUMBER(SEARCH('COMMUNITY CHURCH DASHBOARD'!$C$4,INDEX(MASTER_AREAS!$B:$B,1317))))),1316,""),""),IF('COMMUNITY CHURCH DASHBOARD'!$B$4="Zone",IF(1316&lt;=$X$4,IF(OR('COMMUNITY CHURCH DASHBOARD'!$C$4="",ISNUMBER(SEARCH('COMMUNITY CHURCH DASHBOARD'!$C$4,INDEX(MASTER_ZONES!$B:$B,1317)))),1316,""),""),""))</f>
        <v/>
      </c>
    </row>
    <row r="1318">
      <c r="A1318">
        <f>IF('WSF DASHBOARD'!$B$4="Area",IF(1317&lt;=$D$3,IF(AND(OR('WSF DASHBOARD'!$C$4="",ISNUMBER(SEARCH('WSF DASHBOARD'!$C$4,INDEX(MASTER_AREAS!$B:$B,1318))))),1317,""),""),IF('WSF DASHBOARD'!$B$4="Zone",IF(1317&lt;=$D$4,IF(OR('WSF DASHBOARD'!$C$4="",ISNUMBER(SEARCH('WSF DASHBOARD'!$C$4,INDEX(MASTER_ZONES!$B:$B,1318)))),1317,""),""),""))</f>
        <v/>
      </c>
      <c r="F1318">
        <f>IF('TRANSPORT DASHBOARD'!$B$4="Area",IF(1317&lt;=$I$3,IF(AND(INDEX(MASTER_AREAS!$F:$F,1318)&lt;&gt;"N",OR('TRANSPORT DASHBOARD'!$C$4="",ISNUMBER(SEARCH('TRANSPORT DASHBOARD'!$C$4,INDEX(MASTER_AREAS!$B:$B,1318))))),1317,""),""),IF('TRANSPORT DASHBOARD'!$B$4="Zone",IF(1317&lt;=$I$4,IF(OR('TRANSPORT DASHBOARD'!$C$4="",ISNUMBER(SEARCH('TRANSPORT DASHBOARD'!$C$4,INDEX(MASTER_ZONES!$B:$B,1318)))),1317,""),""),""))</f>
        <v/>
      </c>
      <c r="K1318">
        <f>IF('MIDWEEK DASHBOARD'!$B$4="Area",IF(1317&lt;=$N$3,IF(AND(OR('MIDWEEK DASHBOARD'!$C$4="",ISNUMBER(SEARCH('MIDWEEK DASHBOARD'!$C$4,INDEX(MASTER_AREAS!$B:$B,1318))))),1317,""),""),IF('MIDWEEK DASHBOARD'!$B$4="Zone",IF(1317&lt;=$N$4,IF(OR('MIDWEEK DASHBOARD'!$C$4="",ISNUMBER(SEARCH('MIDWEEK DASHBOARD'!$C$4,INDEX(MASTER_ZONES!$B:$B,1318)))),1317,""),""),""))</f>
        <v/>
      </c>
      <c r="P1318">
        <f>IF('CHOP DASHBOARD'!$B$4="Area",IF(1317&lt;=$S$3,IF(AND(OR('CHOP DASHBOARD'!$C$4="",ISNUMBER(SEARCH('CHOP DASHBOARD'!$C$4,INDEX(MASTER_AREAS!$B:$B,1318))))),1317,""),""),IF('CHOP DASHBOARD'!$B$4="Zone",IF(1317&lt;=$S$4,IF(OR('CHOP DASHBOARD'!$C$4="",ISNUMBER(SEARCH('CHOP DASHBOARD'!$C$4,INDEX(MASTER_ZONES!$B:$B,1318)))),1317,""),""),""))</f>
        <v/>
      </c>
      <c r="U1318">
        <f>IF('COMMUNITY CHURCH DASHBOARD'!$B$4="Area",IF(1317&lt;=$X$3,IF(AND(OR('COMMUNITY CHURCH DASHBOARD'!$C$4="",ISNUMBER(SEARCH('COMMUNITY CHURCH DASHBOARD'!$C$4,INDEX(MASTER_AREAS!$B:$B,1318))))),1317,""),""),IF('COMMUNITY CHURCH DASHBOARD'!$B$4="Zone",IF(1317&lt;=$X$4,IF(OR('COMMUNITY CHURCH DASHBOARD'!$C$4="",ISNUMBER(SEARCH('COMMUNITY CHURCH DASHBOARD'!$C$4,INDEX(MASTER_ZONES!$B:$B,1318)))),1317,""),""),""))</f>
        <v/>
      </c>
    </row>
    <row r="1319">
      <c r="A1319">
        <f>IF('WSF DASHBOARD'!$B$4="Area",IF(1318&lt;=$D$3,IF(AND(OR('WSF DASHBOARD'!$C$4="",ISNUMBER(SEARCH('WSF DASHBOARD'!$C$4,INDEX(MASTER_AREAS!$B:$B,1319))))),1318,""),""),IF('WSF DASHBOARD'!$B$4="Zone",IF(1318&lt;=$D$4,IF(OR('WSF DASHBOARD'!$C$4="",ISNUMBER(SEARCH('WSF DASHBOARD'!$C$4,INDEX(MASTER_ZONES!$B:$B,1319)))),1318,""),""),""))</f>
        <v/>
      </c>
      <c r="F1319">
        <f>IF('TRANSPORT DASHBOARD'!$B$4="Area",IF(1318&lt;=$I$3,IF(AND(INDEX(MASTER_AREAS!$F:$F,1319)&lt;&gt;"N",OR('TRANSPORT DASHBOARD'!$C$4="",ISNUMBER(SEARCH('TRANSPORT DASHBOARD'!$C$4,INDEX(MASTER_AREAS!$B:$B,1319))))),1318,""),""),IF('TRANSPORT DASHBOARD'!$B$4="Zone",IF(1318&lt;=$I$4,IF(OR('TRANSPORT DASHBOARD'!$C$4="",ISNUMBER(SEARCH('TRANSPORT DASHBOARD'!$C$4,INDEX(MASTER_ZONES!$B:$B,1319)))),1318,""),""),""))</f>
        <v/>
      </c>
      <c r="K1319">
        <f>IF('MIDWEEK DASHBOARD'!$B$4="Area",IF(1318&lt;=$N$3,IF(AND(OR('MIDWEEK DASHBOARD'!$C$4="",ISNUMBER(SEARCH('MIDWEEK DASHBOARD'!$C$4,INDEX(MASTER_AREAS!$B:$B,1319))))),1318,""),""),IF('MIDWEEK DASHBOARD'!$B$4="Zone",IF(1318&lt;=$N$4,IF(OR('MIDWEEK DASHBOARD'!$C$4="",ISNUMBER(SEARCH('MIDWEEK DASHBOARD'!$C$4,INDEX(MASTER_ZONES!$B:$B,1319)))),1318,""),""),""))</f>
        <v/>
      </c>
      <c r="P1319">
        <f>IF('CHOP DASHBOARD'!$B$4="Area",IF(1318&lt;=$S$3,IF(AND(OR('CHOP DASHBOARD'!$C$4="",ISNUMBER(SEARCH('CHOP DASHBOARD'!$C$4,INDEX(MASTER_AREAS!$B:$B,1319))))),1318,""),""),IF('CHOP DASHBOARD'!$B$4="Zone",IF(1318&lt;=$S$4,IF(OR('CHOP DASHBOARD'!$C$4="",ISNUMBER(SEARCH('CHOP DASHBOARD'!$C$4,INDEX(MASTER_ZONES!$B:$B,1319)))),1318,""),""),""))</f>
        <v/>
      </c>
      <c r="U1319">
        <f>IF('COMMUNITY CHURCH DASHBOARD'!$B$4="Area",IF(1318&lt;=$X$3,IF(AND(OR('COMMUNITY CHURCH DASHBOARD'!$C$4="",ISNUMBER(SEARCH('COMMUNITY CHURCH DASHBOARD'!$C$4,INDEX(MASTER_AREAS!$B:$B,1319))))),1318,""),""),IF('COMMUNITY CHURCH DASHBOARD'!$B$4="Zone",IF(1318&lt;=$X$4,IF(OR('COMMUNITY CHURCH DASHBOARD'!$C$4="",ISNUMBER(SEARCH('COMMUNITY CHURCH DASHBOARD'!$C$4,INDEX(MASTER_ZONES!$B:$B,1319)))),1318,""),""),""))</f>
        <v/>
      </c>
    </row>
    <row r="1320">
      <c r="A1320">
        <f>IF('WSF DASHBOARD'!$B$4="Area",IF(1319&lt;=$D$3,IF(AND(OR('WSF DASHBOARD'!$C$4="",ISNUMBER(SEARCH('WSF DASHBOARD'!$C$4,INDEX(MASTER_AREAS!$B:$B,1320))))),1319,""),""),IF('WSF DASHBOARD'!$B$4="Zone",IF(1319&lt;=$D$4,IF(OR('WSF DASHBOARD'!$C$4="",ISNUMBER(SEARCH('WSF DASHBOARD'!$C$4,INDEX(MASTER_ZONES!$B:$B,1320)))),1319,""),""),""))</f>
        <v/>
      </c>
      <c r="F1320">
        <f>IF('TRANSPORT DASHBOARD'!$B$4="Area",IF(1319&lt;=$I$3,IF(AND(INDEX(MASTER_AREAS!$F:$F,1320)&lt;&gt;"N",OR('TRANSPORT DASHBOARD'!$C$4="",ISNUMBER(SEARCH('TRANSPORT DASHBOARD'!$C$4,INDEX(MASTER_AREAS!$B:$B,1320))))),1319,""),""),IF('TRANSPORT DASHBOARD'!$B$4="Zone",IF(1319&lt;=$I$4,IF(OR('TRANSPORT DASHBOARD'!$C$4="",ISNUMBER(SEARCH('TRANSPORT DASHBOARD'!$C$4,INDEX(MASTER_ZONES!$B:$B,1320)))),1319,""),""),""))</f>
        <v/>
      </c>
      <c r="K1320">
        <f>IF('MIDWEEK DASHBOARD'!$B$4="Area",IF(1319&lt;=$N$3,IF(AND(OR('MIDWEEK DASHBOARD'!$C$4="",ISNUMBER(SEARCH('MIDWEEK DASHBOARD'!$C$4,INDEX(MASTER_AREAS!$B:$B,1320))))),1319,""),""),IF('MIDWEEK DASHBOARD'!$B$4="Zone",IF(1319&lt;=$N$4,IF(OR('MIDWEEK DASHBOARD'!$C$4="",ISNUMBER(SEARCH('MIDWEEK DASHBOARD'!$C$4,INDEX(MASTER_ZONES!$B:$B,1320)))),1319,""),""),""))</f>
        <v/>
      </c>
      <c r="P1320">
        <f>IF('CHOP DASHBOARD'!$B$4="Area",IF(1319&lt;=$S$3,IF(AND(OR('CHOP DASHBOARD'!$C$4="",ISNUMBER(SEARCH('CHOP DASHBOARD'!$C$4,INDEX(MASTER_AREAS!$B:$B,1320))))),1319,""),""),IF('CHOP DASHBOARD'!$B$4="Zone",IF(1319&lt;=$S$4,IF(OR('CHOP DASHBOARD'!$C$4="",ISNUMBER(SEARCH('CHOP DASHBOARD'!$C$4,INDEX(MASTER_ZONES!$B:$B,1320)))),1319,""),""),""))</f>
        <v/>
      </c>
      <c r="U1320">
        <f>IF('COMMUNITY CHURCH DASHBOARD'!$B$4="Area",IF(1319&lt;=$X$3,IF(AND(OR('COMMUNITY CHURCH DASHBOARD'!$C$4="",ISNUMBER(SEARCH('COMMUNITY CHURCH DASHBOARD'!$C$4,INDEX(MASTER_AREAS!$B:$B,1320))))),1319,""),""),IF('COMMUNITY CHURCH DASHBOARD'!$B$4="Zone",IF(1319&lt;=$X$4,IF(OR('COMMUNITY CHURCH DASHBOARD'!$C$4="",ISNUMBER(SEARCH('COMMUNITY CHURCH DASHBOARD'!$C$4,INDEX(MASTER_ZONES!$B:$B,1320)))),1319,""),""),""))</f>
        <v/>
      </c>
    </row>
    <row r="1321">
      <c r="A1321">
        <f>IF('WSF DASHBOARD'!$B$4="Area",IF(1320&lt;=$D$3,IF(AND(OR('WSF DASHBOARD'!$C$4="",ISNUMBER(SEARCH('WSF DASHBOARD'!$C$4,INDEX(MASTER_AREAS!$B:$B,1321))))),1320,""),""),IF('WSF DASHBOARD'!$B$4="Zone",IF(1320&lt;=$D$4,IF(OR('WSF DASHBOARD'!$C$4="",ISNUMBER(SEARCH('WSF DASHBOARD'!$C$4,INDEX(MASTER_ZONES!$B:$B,1321)))),1320,""),""),""))</f>
        <v/>
      </c>
      <c r="F1321">
        <f>IF('TRANSPORT DASHBOARD'!$B$4="Area",IF(1320&lt;=$I$3,IF(AND(INDEX(MASTER_AREAS!$F:$F,1321)&lt;&gt;"N",OR('TRANSPORT DASHBOARD'!$C$4="",ISNUMBER(SEARCH('TRANSPORT DASHBOARD'!$C$4,INDEX(MASTER_AREAS!$B:$B,1321))))),1320,""),""),IF('TRANSPORT DASHBOARD'!$B$4="Zone",IF(1320&lt;=$I$4,IF(OR('TRANSPORT DASHBOARD'!$C$4="",ISNUMBER(SEARCH('TRANSPORT DASHBOARD'!$C$4,INDEX(MASTER_ZONES!$B:$B,1321)))),1320,""),""),""))</f>
        <v/>
      </c>
      <c r="K1321">
        <f>IF('MIDWEEK DASHBOARD'!$B$4="Area",IF(1320&lt;=$N$3,IF(AND(OR('MIDWEEK DASHBOARD'!$C$4="",ISNUMBER(SEARCH('MIDWEEK DASHBOARD'!$C$4,INDEX(MASTER_AREAS!$B:$B,1321))))),1320,""),""),IF('MIDWEEK DASHBOARD'!$B$4="Zone",IF(1320&lt;=$N$4,IF(OR('MIDWEEK DASHBOARD'!$C$4="",ISNUMBER(SEARCH('MIDWEEK DASHBOARD'!$C$4,INDEX(MASTER_ZONES!$B:$B,1321)))),1320,""),""),""))</f>
        <v/>
      </c>
      <c r="P1321">
        <f>IF('CHOP DASHBOARD'!$B$4="Area",IF(1320&lt;=$S$3,IF(AND(OR('CHOP DASHBOARD'!$C$4="",ISNUMBER(SEARCH('CHOP DASHBOARD'!$C$4,INDEX(MASTER_AREAS!$B:$B,1321))))),1320,""),""),IF('CHOP DASHBOARD'!$B$4="Zone",IF(1320&lt;=$S$4,IF(OR('CHOP DASHBOARD'!$C$4="",ISNUMBER(SEARCH('CHOP DASHBOARD'!$C$4,INDEX(MASTER_ZONES!$B:$B,1321)))),1320,""),""),""))</f>
        <v/>
      </c>
      <c r="U1321">
        <f>IF('COMMUNITY CHURCH DASHBOARD'!$B$4="Area",IF(1320&lt;=$X$3,IF(AND(OR('COMMUNITY CHURCH DASHBOARD'!$C$4="",ISNUMBER(SEARCH('COMMUNITY CHURCH DASHBOARD'!$C$4,INDEX(MASTER_AREAS!$B:$B,1321))))),1320,""),""),IF('COMMUNITY CHURCH DASHBOARD'!$B$4="Zone",IF(1320&lt;=$X$4,IF(OR('COMMUNITY CHURCH DASHBOARD'!$C$4="",ISNUMBER(SEARCH('COMMUNITY CHURCH DASHBOARD'!$C$4,INDEX(MASTER_ZONES!$B:$B,1321)))),1320,""),""),""))</f>
        <v/>
      </c>
    </row>
    <row r="1322">
      <c r="A1322">
        <f>IF('WSF DASHBOARD'!$B$4="Area",IF(1321&lt;=$D$3,IF(AND(OR('WSF DASHBOARD'!$C$4="",ISNUMBER(SEARCH('WSF DASHBOARD'!$C$4,INDEX(MASTER_AREAS!$B:$B,1322))))),1321,""),""),IF('WSF DASHBOARD'!$B$4="Zone",IF(1321&lt;=$D$4,IF(OR('WSF DASHBOARD'!$C$4="",ISNUMBER(SEARCH('WSF DASHBOARD'!$C$4,INDEX(MASTER_ZONES!$B:$B,1322)))),1321,""),""),""))</f>
        <v/>
      </c>
      <c r="F1322">
        <f>IF('TRANSPORT DASHBOARD'!$B$4="Area",IF(1321&lt;=$I$3,IF(AND(INDEX(MASTER_AREAS!$F:$F,1322)&lt;&gt;"N",OR('TRANSPORT DASHBOARD'!$C$4="",ISNUMBER(SEARCH('TRANSPORT DASHBOARD'!$C$4,INDEX(MASTER_AREAS!$B:$B,1322))))),1321,""),""),IF('TRANSPORT DASHBOARD'!$B$4="Zone",IF(1321&lt;=$I$4,IF(OR('TRANSPORT DASHBOARD'!$C$4="",ISNUMBER(SEARCH('TRANSPORT DASHBOARD'!$C$4,INDEX(MASTER_ZONES!$B:$B,1322)))),1321,""),""),""))</f>
        <v/>
      </c>
      <c r="K1322">
        <f>IF('MIDWEEK DASHBOARD'!$B$4="Area",IF(1321&lt;=$N$3,IF(AND(OR('MIDWEEK DASHBOARD'!$C$4="",ISNUMBER(SEARCH('MIDWEEK DASHBOARD'!$C$4,INDEX(MASTER_AREAS!$B:$B,1322))))),1321,""),""),IF('MIDWEEK DASHBOARD'!$B$4="Zone",IF(1321&lt;=$N$4,IF(OR('MIDWEEK DASHBOARD'!$C$4="",ISNUMBER(SEARCH('MIDWEEK DASHBOARD'!$C$4,INDEX(MASTER_ZONES!$B:$B,1322)))),1321,""),""),""))</f>
        <v/>
      </c>
      <c r="P1322">
        <f>IF('CHOP DASHBOARD'!$B$4="Area",IF(1321&lt;=$S$3,IF(AND(OR('CHOP DASHBOARD'!$C$4="",ISNUMBER(SEARCH('CHOP DASHBOARD'!$C$4,INDEX(MASTER_AREAS!$B:$B,1322))))),1321,""),""),IF('CHOP DASHBOARD'!$B$4="Zone",IF(1321&lt;=$S$4,IF(OR('CHOP DASHBOARD'!$C$4="",ISNUMBER(SEARCH('CHOP DASHBOARD'!$C$4,INDEX(MASTER_ZONES!$B:$B,1322)))),1321,""),""),""))</f>
        <v/>
      </c>
      <c r="U1322">
        <f>IF('COMMUNITY CHURCH DASHBOARD'!$B$4="Area",IF(1321&lt;=$X$3,IF(AND(OR('COMMUNITY CHURCH DASHBOARD'!$C$4="",ISNUMBER(SEARCH('COMMUNITY CHURCH DASHBOARD'!$C$4,INDEX(MASTER_AREAS!$B:$B,1322))))),1321,""),""),IF('COMMUNITY CHURCH DASHBOARD'!$B$4="Zone",IF(1321&lt;=$X$4,IF(OR('COMMUNITY CHURCH DASHBOARD'!$C$4="",ISNUMBER(SEARCH('COMMUNITY CHURCH DASHBOARD'!$C$4,INDEX(MASTER_ZONES!$B:$B,1322)))),1321,""),""),""))</f>
        <v/>
      </c>
    </row>
    <row r="1323">
      <c r="A1323">
        <f>IF('WSF DASHBOARD'!$B$4="Area",IF(1322&lt;=$D$3,IF(AND(OR('WSF DASHBOARD'!$C$4="",ISNUMBER(SEARCH('WSF DASHBOARD'!$C$4,INDEX(MASTER_AREAS!$B:$B,1323))))),1322,""),""),IF('WSF DASHBOARD'!$B$4="Zone",IF(1322&lt;=$D$4,IF(OR('WSF DASHBOARD'!$C$4="",ISNUMBER(SEARCH('WSF DASHBOARD'!$C$4,INDEX(MASTER_ZONES!$B:$B,1323)))),1322,""),""),""))</f>
        <v/>
      </c>
      <c r="F1323">
        <f>IF('TRANSPORT DASHBOARD'!$B$4="Area",IF(1322&lt;=$I$3,IF(AND(INDEX(MASTER_AREAS!$F:$F,1323)&lt;&gt;"N",OR('TRANSPORT DASHBOARD'!$C$4="",ISNUMBER(SEARCH('TRANSPORT DASHBOARD'!$C$4,INDEX(MASTER_AREAS!$B:$B,1323))))),1322,""),""),IF('TRANSPORT DASHBOARD'!$B$4="Zone",IF(1322&lt;=$I$4,IF(OR('TRANSPORT DASHBOARD'!$C$4="",ISNUMBER(SEARCH('TRANSPORT DASHBOARD'!$C$4,INDEX(MASTER_ZONES!$B:$B,1323)))),1322,""),""),""))</f>
        <v/>
      </c>
      <c r="K1323">
        <f>IF('MIDWEEK DASHBOARD'!$B$4="Area",IF(1322&lt;=$N$3,IF(AND(OR('MIDWEEK DASHBOARD'!$C$4="",ISNUMBER(SEARCH('MIDWEEK DASHBOARD'!$C$4,INDEX(MASTER_AREAS!$B:$B,1323))))),1322,""),""),IF('MIDWEEK DASHBOARD'!$B$4="Zone",IF(1322&lt;=$N$4,IF(OR('MIDWEEK DASHBOARD'!$C$4="",ISNUMBER(SEARCH('MIDWEEK DASHBOARD'!$C$4,INDEX(MASTER_ZONES!$B:$B,1323)))),1322,""),""),""))</f>
        <v/>
      </c>
      <c r="P1323">
        <f>IF('CHOP DASHBOARD'!$B$4="Area",IF(1322&lt;=$S$3,IF(AND(OR('CHOP DASHBOARD'!$C$4="",ISNUMBER(SEARCH('CHOP DASHBOARD'!$C$4,INDEX(MASTER_AREAS!$B:$B,1323))))),1322,""),""),IF('CHOP DASHBOARD'!$B$4="Zone",IF(1322&lt;=$S$4,IF(OR('CHOP DASHBOARD'!$C$4="",ISNUMBER(SEARCH('CHOP DASHBOARD'!$C$4,INDEX(MASTER_ZONES!$B:$B,1323)))),1322,""),""),""))</f>
        <v/>
      </c>
      <c r="U1323">
        <f>IF('COMMUNITY CHURCH DASHBOARD'!$B$4="Area",IF(1322&lt;=$X$3,IF(AND(OR('COMMUNITY CHURCH DASHBOARD'!$C$4="",ISNUMBER(SEARCH('COMMUNITY CHURCH DASHBOARD'!$C$4,INDEX(MASTER_AREAS!$B:$B,1323))))),1322,""),""),IF('COMMUNITY CHURCH DASHBOARD'!$B$4="Zone",IF(1322&lt;=$X$4,IF(OR('COMMUNITY CHURCH DASHBOARD'!$C$4="",ISNUMBER(SEARCH('COMMUNITY CHURCH DASHBOARD'!$C$4,INDEX(MASTER_ZONES!$B:$B,1323)))),1322,""),""),""))</f>
        <v/>
      </c>
    </row>
    <row r="1324">
      <c r="A1324">
        <f>IF('WSF DASHBOARD'!$B$4="Area",IF(1323&lt;=$D$3,IF(AND(OR('WSF DASHBOARD'!$C$4="",ISNUMBER(SEARCH('WSF DASHBOARD'!$C$4,INDEX(MASTER_AREAS!$B:$B,1324))))),1323,""),""),IF('WSF DASHBOARD'!$B$4="Zone",IF(1323&lt;=$D$4,IF(OR('WSF DASHBOARD'!$C$4="",ISNUMBER(SEARCH('WSF DASHBOARD'!$C$4,INDEX(MASTER_ZONES!$B:$B,1324)))),1323,""),""),""))</f>
        <v/>
      </c>
      <c r="F1324">
        <f>IF('TRANSPORT DASHBOARD'!$B$4="Area",IF(1323&lt;=$I$3,IF(AND(INDEX(MASTER_AREAS!$F:$F,1324)&lt;&gt;"N",OR('TRANSPORT DASHBOARD'!$C$4="",ISNUMBER(SEARCH('TRANSPORT DASHBOARD'!$C$4,INDEX(MASTER_AREAS!$B:$B,1324))))),1323,""),""),IF('TRANSPORT DASHBOARD'!$B$4="Zone",IF(1323&lt;=$I$4,IF(OR('TRANSPORT DASHBOARD'!$C$4="",ISNUMBER(SEARCH('TRANSPORT DASHBOARD'!$C$4,INDEX(MASTER_ZONES!$B:$B,1324)))),1323,""),""),""))</f>
        <v/>
      </c>
      <c r="K1324">
        <f>IF('MIDWEEK DASHBOARD'!$B$4="Area",IF(1323&lt;=$N$3,IF(AND(OR('MIDWEEK DASHBOARD'!$C$4="",ISNUMBER(SEARCH('MIDWEEK DASHBOARD'!$C$4,INDEX(MASTER_AREAS!$B:$B,1324))))),1323,""),""),IF('MIDWEEK DASHBOARD'!$B$4="Zone",IF(1323&lt;=$N$4,IF(OR('MIDWEEK DASHBOARD'!$C$4="",ISNUMBER(SEARCH('MIDWEEK DASHBOARD'!$C$4,INDEX(MASTER_ZONES!$B:$B,1324)))),1323,""),""),""))</f>
        <v/>
      </c>
      <c r="P1324">
        <f>IF('CHOP DASHBOARD'!$B$4="Area",IF(1323&lt;=$S$3,IF(AND(OR('CHOP DASHBOARD'!$C$4="",ISNUMBER(SEARCH('CHOP DASHBOARD'!$C$4,INDEX(MASTER_AREAS!$B:$B,1324))))),1323,""),""),IF('CHOP DASHBOARD'!$B$4="Zone",IF(1323&lt;=$S$4,IF(OR('CHOP DASHBOARD'!$C$4="",ISNUMBER(SEARCH('CHOP DASHBOARD'!$C$4,INDEX(MASTER_ZONES!$B:$B,1324)))),1323,""),""),""))</f>
        <v/>
      </c>
      <c r="U1324">
        <f>IF('COMMUNITY CHURCH DASHBOARD'!$B$4="Area",IF(1323&lt;=$X$3,IF(AND(OR('COMMUNITY CHURCH DASHBOARD'!$C$4="",ISNUMBER(SEARCH('COMMUNITY CHURCH DASHBOARD'!$C$4,INDEX(MASTER_AREAS!$B:$B,1324))))),1323,""),""),IF('COMMUNITY CHURCH DASHBOARD'!$B$4="Zone",IF(1323&lt;=$X$4,IF(OR('COMMUNITY CHURCH DASHBOARD'!$C$4="",ISNUMBER(SEARCH('COMMUNITY CHURCH DASHBOARD'!$C$4,INDEX(MASTER_ZONES!$B:$B,1324)))),1323,""),""),""))</f>
        <v/>
      </c>
    </row>
    <row r="1325">
      <c r="A1325">
        <f>IF('WSF DASHBOARD'!$B$4="Area",IF(1324&lt;=$D$3,IF(AND(OR('WSF DASHBOARD'!$C$4="",ISNUMBER(SEARCH('WSF DASHBOARD'!$C$4,INDEX(MASTER_AREAS!$B:$B,1325))))),1324,""),""),IF('WSF DASHBOARD'!$B$4="Zone",IF(1324&lt;=$D$4,IF(OR('WSF DASHBOARD'!$C$4="",ISNUMBER(SEARCH('WSF DASHBOARD'!$C$4,INDEX(MASTER_ZONES!$B:$B,1325)))),1324,""),""),""))</f>
        <v/>
      </c>
      <c r="F1325">
        <f>IF('TRANSPORT DASHBOARD'!$B$4="Area",IF(1324&lt;=$I$3,IF(AND(INDEX(MASTER_AREAS!$F:$F,1325)&lt;&gt;"N",OR('TRANSPORT DASHBOARD'!$C$4="",ISNUMBER(SEARCH('TRANSPORT DASHBOARD'!$C$4,INDEX(MASTER_AREAS!$B:$B,1325))))),1324,""),""),IF('TRANSPORT DASHBOARD'!$B$4="Zone",IF(1324&lt;=$I$4,IF(OR('TRANSPORT DASHBOARD'!$C$4="",ISNUMBER(SEARCH('TRANSPORT DASHBOARD'!$C$4,INDEX(MASTER_ZONES!$B:$B,1325)))),1324,""),""),""))</f>
        <v/>
      </c>
      <c r="K1325">
        <f>IF('MIDWEEK DASHBOARD'!$B$4="Area",IF(1324&lt;=$N$3,IF(AND(OR('MIDWEEK DASHBOARD'!$C$4="",ISNUMBER(SEARCH('MIDWEEK DASHBOARD'!$C$4,INDEX(MASTER_AREAS!$B:$B,1325))))),1324,""),""),IF('MIDWEEK DASHBOARD'!$B$4="Zone",IF(1324&lt;=$N$4,IF(OR('MIDWEEK DASHBOARD'!$C$4="",ISNUMBER(SEARCH('MIDWEEK DASHBOARD'!$C$4,INDEX(MASTER_ZONES!$B:$B,1325)))),1324,""),""),""))</f>
        <v/>
      </c>
      <c r="P1325">
        <f>IF('CHOP DASHBOARD'!$B$4="Area",IF(1324&lt;=$S$3,IF(AND(OR('CHOP DASHBOARD'!$C$4="",ISNUMBER(SEARCH('CHOP DASHBOARD'!$C$4,INDEX(MASTER_AREAS!$B:$B,1325))))),1324,""),""),IF('CHOP DASHBOARD'!$B$4="Zone",IF(1324&lt;=$S$4,IF(OR('CHOP DASHBOARD'!$C$4="",ISNUMBER(SEARCH('CHOP DASHBOARD'!$C$4,INDEX(MASTER_ZONES!$B:$B,1325)))),1324,""),""),""))</f>
        <v/>
      </c>
      <c r="U1325">
        <f>IF('COMMUNITY CHURCH DASHBOARD'!$B$4="Area",IF(1324&lt;=$X$3,IF(AND(OR('COMMUNITY CHURCH DASHBOARD'!$C$4="",ISNUMBER(SEARCH('COMMUNITY CHURCH DASHBOARD'!$C$4,INDEX(MASTER_AREAS!$B:$B,1325))))),1324,""),""),IF('COMMUNITY CHURCH DASHBOARD'!$B$4="Zone",IF(1324&lt;=$X$4,IF(OR('COMMUNITY CHURCH DASHBOARD'!$C$4="",ISNUMBER(SEARCH('COMMUNITY CHURCH DASHBOARD'!$C$4,INDEX(MASTER_ZONES!$B:$B,1325)))),1324,""),""),""))</f>
        <v/>
      </c>
    </row>
    <row r="1326">
      <c r="A1326">
        <f>IF('WSF DASHBOARD'!$B$4="Area",IF(1325&lt;=$D$3,IF(AND(OR('WSF DASHBOARD'!$C$4="",ISNUMBER(SEARCH('WSF DASHBOARD'!$C$4,INDEX(MASTER_AREAS!$B:$B,1326))))),1325,""),""),IF('WSF DASHBOARD'!$B$4="Zone",IF(1325&lt;=$D$4,IF(OR('WSF DASHBOARD'!$C$4="",ISNUMBER(SEARCH('WSF DASHBOARD'!$C$4,INDEX(MASTER_ZONES!$B:$B,1326)))),1325,""),""),""))</f>
        <v/>
      </c>
      <c r="F1326">
        <f>IF('TRANSPORT DASHBOARD'!$B$4="Area",IF(1325&lt;=$I$3,IF(AND(INDEX(MASTER_AREAS!$F:$F,1326)&lt;&gt;"N",OR('TRANSPORT DASHBOARD'!$C$4="",ISNUMBER(SEARCH('TRANSPORT DASHBOARD'!$C$4,INDEX(MASTER_AREAS!$B:$B,1326))))),1325,""),""),IF('TRANSPORT DASHBOARD'!$B$4="Zone",IF(1325&lt;=$I$4,IF(OR('TRANSPORT DASHBOARD'!$C$4="",ISNUMBER(SEARCH('TRANSPORT DASHBOARD'!$C$4,INDEX(MASTER_ZONES!$B:$B,1326)))),1325,""),""),""))</f>
        <v/>
      </c>
      <c r="K1326">
        <f>IF('MIDWEEK DASHBOARD'!$B$4="Area",IF(1325&lt;=$N$3,IF(AND(OR('MIDWEEK DASHBOARD'!$C$4="",ISNUMBER(SEARCH('MIDWEEK DASHBOARD'!$C$4,INDEX(MASTER_AREAS!$B:$B,1326))))),1325,""),""),IF('MIDWEEK DASHBOARD'!$B$4="Zone",IF(1325&lt;=$N$4,IF(OR('MIDWEEK DASHBOARD'!$C$4="",ISNUMBER(SEARCH('MIDWEEK DASHBOARD'!$C$4,INDEX(MASTER_ZONES!$B:$B,1326)))),1325,""),""),""))</f>
        <v/>
      </c>
      <c r="P1326">
        <f>IF('CHOP DASHBOARD'!$B$4="Area",IF(1325&lt;=$S$3,IF(AND(OR('CHOP DASHBOARD'!$C$4="",ISNUMBER(SEARCH('CHOP DASHBOARD'!$C$4,INDEX(MASTER_AREAS!$B:$B,1326))))),1325,""),""),IF('CHOP DASHBOARD'!$B$4="Zone",IF(1325&lt;=$S$4,IF(OR('CHOP DASHBOARD'!$C$4="",ISNUMBER(SEARCH('CHOP DASHBOARD'!$C$4,INDEX(MASTER_ZONES!$B:$B,1326)))),1325,""),""),""))</f>
        <v/>
      </c>
      <c r="U1326">
        <f>IF('COMMUNITY CHURCH DASHBOARD'!$B$4="Area",IF(1325&lt;=$X$3,IF(AND(OR('COMMUNITY CHURCH DASHBOARD'!$C$4="",ISNUMBER(SEARCH('COMMUNITY CHURCH DASHBOARD'!$C$4,INDEX(MASTER_AREAS!$B:$B,1326))))),1325,""),""),IF('COMMUNITY CHURCH DASHBOARD'!$B$4="Zone",IF(1325&lt;=$X$4,IF(OR('COMMUNITY CHURCH DASHBOARD'!$C$4="",ISNUMBER(SEARCH('COMMUNITY CHURCH DASHBOARD'!$C$4,INDEX(MASTER_ZONES!$B:$B,1326)))),1325,""),""),""))</f>
        <v/>
      </c>
    </row>
    <row r="1327">
      <c r="A1327">
        <f>IF('WSF DASHBOARD'!$B$4="Area",IF(1326&lt;=$D$3,IF(AND(OR('WSF DASHBOARD'!$C$4="",ISNUMBER(SEARCH('WSF DASHBOARD'!$C$4,INDEX(MASTER_AREAS!$B:$B,1327))))),1326,""),""),IF('WSF DASHBOARD'!$B$4="Zone",IF(1326&lt;=$D$4,IF(OR('WSF DASHBOARD'!$C$4="",ISNUMBER(SEARCH('WSF DASHBOARD'!$C$4,INDEX(MASTER_ZONES!$B:$B,1327)))),1326,""),""),""))</f>
        <v/>
      </c>
      <c r="F1327">
        <f>IF('TRANSPORT DASHBOARD'!$B$4="Area",IF(1326&lt;=$I$3,IF(AND(INDEX(MASTER_AREAS!$F:$F,1327)&lt;&gt;"N",OR('TRANSPORT DASHBOARD'!$C$4="",ISNUMBER(SEARCH('TRANSPORT DASHBOARD'!$C$4,INDEX(MASTER_AREAS!$B:$B,1327))))),1326,""),""),IF('TRANSPORT DASHBOARD'!$B$4="Zone",IF(1326&lt;=$I$4,IF(OR('TRANSPORT DASHBOARD'!$C$4="",ISNUMBER(SEARCH('TRANSPORT DASHBOARD'!$C$4,INDEX(MASTER_ZONES!$B:$B,1327)))),1326,""),""),""))</f>
        <v/>
      </c>
      <c r="K1327">
        <f>IF('MIDWEEK DASHBOARD'!$B$4="Area",IF(1326&lt;=$N$3,IF(AND(OR('MIDWEEK DASHBOARD'!$C$4="",ISNUMBER(SEARCH('MIDWEEK DASHBOARD'!$C$4,INDEX(MASTER_AREAS!$B:$B,1327))))),1326,""),""),IF('MIDWEEK DASHBOARD'!$B$4="Zone",IF(1326&lt;=$N$4,IF(OR('MIDWEEK DASHBOARD'!$C$4="",ISNUMBER(SEARCH('MIDWEEK DASHBOARD'!$C$4,INDEX(MASTER_ZONES!$B:$B,1327)))),1326,""),""),""))</f>
        <v/>
      </c>
      <c r="P1327">
        <f>IF('CHOP DASHBOARD'!$B$4="Area",IF(1326&lt;=$S$3,IF(AND(OR('CHOP DASHBOARD'!$C$4="",ISNUMBER(SEARCH('CHOP DASHBOARD'!$C$4,INDEX(MASTER_AREAS!$B:$B,1327))))),1326,""),""),IF('CHOP DASHBOARD'!$B$4="Zone",IF(1326&lt;=$S$4,IF(OR('CHOP DASHBOARD'!$C$4="",ISNUMBER(SEARCH('CHOP DASHBOARD'!$C$4,INDEX(MASTER_ZONES!$B:$B,1327)))),1326,""),""),""))</f>
        <v/>
      </c>
      <c r="U1327">
        <f>IF('COMMUNITY CHURCH DASHBOARD'!$B$4="Area",IF(1326&lt;=$X$3,IF(AND(OR('COMMUNITY CHURCH DASHBOARD'!$C$4="",ISNUMBER(SEARCH('COMMUNITY CHURCH DASHBOARD'!$C$4,INDEX(MASTER_AREAS!$B:$B,1327))))),1326,""),""),IF('COMMUNITY CHURCH DASHBOARD'!$B$4="Zone",IF(1326&lt;=$X$4,IF(OR('COMMUNITY CHURCH DASHBOARD'!$C$4="",ISNUMBER(SEARCH('COMMUNITY CHURCH DASHBOARD'!$C$4,INDEX(MASTER_ZONES!$B:$B,1327)))),1326,""),""),""))</f>
        <v/>
      </c>
    </row>
    <row r="1328">
      <c r="A1328">
        <f>IF('WSF DASHBOARD'!$B$4="Area",IF(1327&lt;=$D$3,IF(AND(OR('WSF DASHBOARD'!$C$4="",ISNUMBER(SEARCH('WSF DASHBOARD'!$C$4,INDEX(MASTER_AREAS!$B:$B,1328))))),1327,""),""),IF('WSF DASHBOARD'!$B$4="Zone",IF(1327&lt;=$D$4,IF(OR('WSF DASHBOARD'!$C$4="",ISNUMBER(SEARCH('WSF DASHBOARD'!$C$4,INDEX(MASTER_ZONES!$B:$B,1328)))),1327,""),""),""))</f>
        <v/>
      </c>
      <c r="F1328">
        <f>IF('TRANSPORT DASHBOARD'!$B$4="Area",IF(1327&lt;=$I$3,IF(AND(INDEX(MASTER_AREAS!$F:$F,1328)&lt;&gt;"N",OR('TRANSPORT DASHBOARD'!$C$4="",ISNUMBER(SEARCH('TRANSPORT DASHBOARD'!$C$4,INDEX(MASTER_AREAS!$B:$B,1328))))),1327,""),""),IF('TRANSPORT DASHBOARD'!$B$4="Zone",IF(1327&lt;=$I$4,IF(OR('TRANSPORT DASHBOARD'!$C$4="",ISNUMBER(SEARCH('TRANSPORT DASHBOARD'!$C$4,INDEX(MASTER_ZONES!$B:$B,1328)))),1327,""),""),""))</f>
        <v/>
      </c>
      <c r="K1328">
        <f>IF('MIDWEEK DASHBOARD'!$B$4="Area",IF(1327&lt;=$N$3,IF(AND(OR('MIDWEEK DASHBOARD'!$C$4="",ISNUMBER(SEARCH('MIDWEEK DASHBOARD'!$C$4,INDEX(MASTER_AREAS!$B:$B,1328))))),1327,""),""),IF('MIDWEEK DASHBOARD'!$B$4="Zone",IF(1327&lt;=$N$4,IF(OR('MIDWEEK DASHBOARD'!$C$4="",ISNUMBER(SEARCH('MIDWEEK DASHBOARD'!$C$4,INDEX(MASTER_ZONES!$B:$B,1328)))),1327,""),""),""))</f>
        <v/>
      </c>
      <c r="P1328">
        <f>IF('CHOP DASHBOARD'!$B$4="Area",IF(1327&lt;=$S$3,IF(AND(OR('CHOP DASHBOARD'!$C$4="",ISNUMBER(SEARCH('CHOP DASHBOARD'!$C$4,INDEX(MASTER_AREAS!$B:$B,1328))))),1327,""),""),IF('CHOP DASHBOARD'!$B$4="Zone",IF(1327&lt;=$S$4,IF(OR('CHOP DASHBOARD'!$C$4="",ISNUMBER(SEARCH('CHOP DASHBOARD'!$C$4,INDEX(MASTER_ZONES!$B:$B,1328)))),1327,""),""),""))</f>
        <v/>
      </c>
      <c r="U1328">
        <f>IF('COMMUNITY CHURCH DASHBOARD'!$B$4="Area",IF(1327&lt;=$X$3,IF(AND(OR('COMMUNITY CHURCH DASHBOARD'!$C$4="",ISNUMBER(SEARCH('COMMUNITY CHURCH DASHBOARD'!$C$4,INDEX(MASTER_AREAS!$B:$B,1328))))),1327,""),""),IF('COMMUNITY CHURCH DASHBOARD'!$B$4="Zone",IF(1327&lt;=$X$4,IF(OR('COMMUNITY CHURCH DASHBOARD'!$C$4="",ISNUMBER(SEARCH('COMMUNITY CHURCH DASHBOARD'!$C$4,INDEX(MASTER_ZONES!$B:$B,1328)))),1327,""),""),""))</f>
        <v/>
      </c>
    </row>
    <row r="1329">
      <c r="A1329">
        <f>IF('WSF DASHBOARD'!$B$4="Area",IF(1328&lt;=$D$3,IF(AND(OR('WSF DASHBOARD'!$C$4="",ISNUMBER(SEARCH('WSF DASHBOARD'!$C$4,INDEX(MASTER_AREAS!$B:$B,1329))))),1328,""),""),IF('WSF DASHBOARD'!$B$4="Zone",IF(1328&lt;=$D$4,IF(OR('WSF DASHBOARD'!$C$4="",ISNUMBER(SEARCH('WSF DASHBOARD'!$C$4,INDEX(MASTER_ZONES!$B:$B,1329)))),1328,""),""),""))</f>
        <v/>
      </c>
      <c r="F1329">
        <f>IF('TRANSPORT DASHBOARD'!$B$4="Area",IF(1328&lt;=$I$3,IF(AND(INDEX(MASTER_AREAS!$F:$F,1329)&lt;&gt;"N",OR('TRANSPORT DASHBOARD'!$C$4="",ISNUMBER(SEARCH('TRANSPORT DASHBOARD'!$C$4,INDEX(MASTER_AREAS!$B:$B,1329))))),1328,""),""),IF('TRANSPORT DASHBOARD'!$B$4="Zone",IF(1328&lt;=$I$4,IF(OR('TRANSPORT DASHBOARD'!$C$4="",ISNUMBER(SEARCH('TRANSPORT DASHBOARD'!$C$4,INDEX(MASTER_ZONES!$B:$B,1329)))),1328,""),""),""))</f>
        <v/>
      </c>
      <c r="K1329">
        <f>IF('MIDWEEK DASHBOARD'!$B$4="Area",IF(1328&lt;=$N$3,IF(AND(OR('MIDWEEK DASHBOARD'!$C$4="",ISNUMBER(SEARCH('MIDWEEK DASHBOARD'!$C$4,INDEX(MASTER_AREAS!$B:$B,1329))))),1328,""),""),IF('MIDWEEK DASHBOARD'!$B$4="Zone",IF(1328&lt;=$N$4,IF(OR('MIDWEEK DASHBOARD'!$C$4="",ISNUMBER(SEARCH('MIDWEEK DASHBOARD'!$C$4,INDEX(MASTER_ZONES!$B:$B,1329)))),1328,""),""),""))</f>
        <v/>
      </c>
      <c r="P1329">
        <f>IF('CHOP DASHBOARD'!$B$4="Area",IF(1328&lt;=$S$3,IF(AND(OR('CHOP DASHBOARD'!$C$4="",ISNUMBER(SEARCH('CHOP DASHBOARD'!$C$4,INDEX(MASTER_AREAS!$B:$B,1329))))),1328,""),""),IF('CHOP DASHBOARD'!$B$4="Zone",IF(1328&lt;=$S$4,IF(OR('CHOP DASHBOARD'!$C$4="",ISNUMBER(SEARCH('CHOP DASHBOARD'!$C$4,INDEX(MASTER_ZONES!$B:$B,1329)))),1328,""),""),""))</f>
        <v/>
      </c>
      <c r="U1329">
        <f>IF('COMMUNITY CHURCH DASHBOARD'!$B$4="Area",IF(1328&lt;=$X$3,IF(AND(OR('COMMUNITY CHURCH DASHBOARD'!$C$4="",ISNUMBER(SEARCH('COMMUNITY CHURCH DASHBOARD'!$C$4,INDEX(MASTER_AREAS!$B:$B,1329))))),1328,""),""),IF('COMMUNITY CHURCH DASHBOARD'!$B$4="Zone",IF(1328&lt;=$X$4,IF(OR('COMMUNITY CHURCH DASHBOARD'!$C$4="",ISNUMBER(SEARCH('COMMUNITY CHURCH DASHBOARD'!$C$4,INDEX(MASTER_ZONES!$B:$B,1329)))),1328,""),""),""))</f>
        <v/>
      </c>
    </row>
    <row r="1330">
      <c r="A1330">
        <f>IF('WSF DASHBOARD'!$B$4="Area",IF(1329&lt;=$D$3,IF(AND(OR('WSF DASHBOARD'!$C$4="",ISNUMBER(SEARCH('WSF DASHBOARD'!$C$4,INDEX(MASTER_AREAS!$B:$B,1330))))),1329,""),""),IF('WSF DASHBOARD'!$B$4="Zone",IF(1329&lt;=$D$4,IF(OR('WSF DASHBOARD'!$C$4="",ISNUMBER(SEARCH('WSF DASHBOARD'!$C$4,INDEX(MASTER_ZONES!$B:$B,1330)))),1329,""),""),""))</f>
        <v/>
      </c>
      <c r="F1330">
        <f>IF('TRANSPORT DASHBOARD'!$B$4="Area",IF(1329&lt;=$I$3,IF(AND(INDEX(MASTER_AREAS!$F:$F,1330)&lt;&gt;"N",OR('TRANSPORT DASHBOARD'!$C$4="",ISNUMBER(SEARCH('TRANSPORT DASHBOARD'!$C$4,INDEX(MASTER_AREAS!$B:$B,1330))))),1329,""),""),IF('TRANSPORT DASHBOARD'!$B$4="Zone",IF(1329&lt;=$I$4,IF(OR('TRANSPORT DASHBOARD'!$C$4="",ISNUMBER(SEARCH('TRANSPORT DASHBOARD'!$C$4,INDEX(MASTER_ZONES!$B:$B,1330)))),1329,""),""),""))</f>
        <v/>
      </c>
      <c r="K1330">
        <f>IF('MIDWEEK DASHBOARD'!$B$4="Area",IF(1329&lt;=$N$3,IF(AND(OR('MIDWEEK DASHBOARD'!$C$4="",ISNUMBER(SEARCH('MIDWEEK DASHBOARD'!$C$4,INDEX(MASTER_AREAS!$B:$B,1330))))),1329,""),""),IF('MIDWEEK DASHBOARD'!$B$4="Zone",IF(1329&lt;=$N$4,IF(OR('MIDWEEK DASHBOARD'!$C$4="",ISNUMBER(SEARCH('MIDWEEK DASHBOARD'!$C$4,INDEX(MASTER_ZONES!$B:$B,1330)))),1329,""),""),""))</f>
        <v/>
      </c>
      <c r="P1330">
        <f>IF('CHOP DASHBOARD'!$B$4="Area",IF(1329&lt;=$S$3,IF(AND(OR('CHOP DASHBOARD'!$C$4="",ISNUMBER(SEARCH('CHOP DASHBOARD'!$C$4,INDEX(MASTER_AREAS!$B:$B,1330))))),1329,""),""),IF('CHOP DASHBOARD'!$B$4="Zone",IF(1329&lt;=$S$4,IF(OR('CHOP DASHBOARD'!$C$4="",ISNUMBER(SEARCH('CHOP DASHBOARD'!$C$4,INDEX(MASTER_ZONES!$B:$B,1330)))),1329,""),""),""))</f>
        <v/>
      </c>
      <c r="U1330">
        <f>IF('COMMUNITY CHURCH DASHBOARD'!$B$4="Area",IF(1329&lt;=$X$3,IF(AND(OR('COMMUNITY CHURCH DASHBOARD'!$C$4="",ISNUMBER(SEARCH('COMMUNITY CHURCH DASHBOARD'!$C$4,INDEX(MASTER_AREAS!$B:$B,1330))))),1329,""),""),IF('COMMUNITY CHURCH DASHBOARD'!$B$4="Zone",IF(1329&lt;=$X$4,IF(OR('COMMUNITY CHURCH DASHBOARD'!$C$4="",ISNUMBER(SEARCH('COMMUNITY CHURCH DASHBOARD'!$C$4,INDEX(MASTER_ZONES!$B:$B,1330)))),1329,""),""),""))</f>
        <v/>
      </c>
    </row>
    <row r="1331">
      <c r="A1331">
        <f>IF('WSF DASHBOARD'!$B$4="Area",IF(1330&lt;=$D$3,IF(AND(OR('WSF DASHBOARD'!$C$4="",ISNUMBER(SEARCH('WSF DASHBOARD'!$C$4,INDEX(MASTER_AREAS!$B:$B,1331))))),1330,""),""),IF('WSF DASHBOARD'!$B$4="Zone",IF(1330&lt;=$D$4,IF(OR('WSF DASHBOARD'!$C$4="",ISNUMBER(SEARCH('WSF DASHBOARD'!$C$4,INDEX(MASTER_ZONES!$B:$B,1331)))),1330,""),""),""))</f>
        <v/>
      </c>
      <c r="F1331">
        <f>IF('TRANSPORT DASHBOARD'!$B$4="Area",IF(1330&lt;=$I$3,IF(AND(INDEX(MASTER_AREAS!$F:$F,1331)&lt;&gt;"N",OR('TRANSPORT DASHBOARD'!$C$4="",ISNUMBER(SEARCH('TRANSPORT DASHBOARD'!$C$4,INDEX(MASTER_AREAS!$B:$B,1331))))),1330,""),""),IF('TRANSPORT DASHBOARD'!$B$4="Zone",IF(1330&lt;=$I$4,IF(OR('TRANSPORT DASHBOARD'!$C$4="",ISNUMBER(SEARCH('TRANSPORT DASHBOARD'!$C$4,INDEX(MASTER_ZONES!$B:$B,1331)))),1330,""),""),""))</f>
        <v/>
      </c>
      <c r="K1331">
        <f>IF('MIDWEEK DASHBOARD'!$B$4="Area",IF(1330&lt;=$N$3,IF(AND(OR('MIDWEEK DASHBOARD'!$C$4="",ISNUMBER(SEARCH('MIDWEEK DASHBOARD'!$C$4,INDEX(MASTER_AREAS!$B:$B,1331))))),1330,""),""),IF('MIDWEEK DASHBOARD'!$B$4="Zone",IF(1330&lt;=$N$4,IF(OR('MIDWEEK DASHBOARD'!$C$4="",ISNUMBER(SEARCH('MIDWEEK DASHBOARD'!$C$4,INDEX(MASTER_ZONES!$B:$B,1331)))),1330,""),""),""))</f>
        <v/>
      </c>
      <c r="P1331">
        <f>IF('CHOP DASHBOARD'!$B$4="Area",IF(1330&lt;=$S$3,IF(AND(OR('CHOP DASHBOARD'!$C$4="",ISNUMBER(SEARCH('CHOP DASHBOARD'!$C$4,INDEX(MASTER_AREAS!$B:$B,1331))))),1330,""),""),IF('CHOP DASHBOARD'!$B$4="Zone",IF(1330&lt;=$S$4,IF(OR('CHOP DASHBOARD'!$C$4="",ISNUMBER(SEARCH('CHOP DASHBOARD'!$C$4,INDEX(MASTER_ZONES!$B:$B,1331)))),1330,""),""),""))</f>
        <v/>
      </c>
      <c r="U1331">
        <f>IF('COMMUNITY CHURCH DASHBOARD'!$B$4="Area",IF(1330&lt;=$X$3,IF(AND(OR('COMMUNITY CHURCH DASHBOARD'!$C$4="",ISNUMBER(SEARCH('COMMUNITY CHURCH DASHBOARD'!$C$4,INDEX(MASTER_AREAS!$B:$B,1331))))),1330,""),""),IF('COMMUNITY CHURCH DASHBOARD'!$B$4="Zone",IF(1330&lt;=$X$4,IF(OR('COMMUNITY CHURCH DASHBOARD'!$C$4="",ISNUMBER(SEARCH('COMMUNITY CHURCH DASHBOARD'!$C$4,INDEX(MASTER_ZONES!$B:$B,1331)))),1330,""),""),""))</f>
        <v/>
      </c>
    </row>
    <row r="1332">
      <c r="A1332">
        <f>IF('WSF DASHBOARD'!$B$4="Area",IF(1331&lt;=$D$3,IF(AND(OR('WSF DASHBOARD'!$C$4="",ISNUMBER(SEARCH('WSF DASHBOARD'!$C$4,INDEX(MASTER_AREAS!$B:$B,1332))))),1331,""),""),IF('WSF DASHBOARD'!$B$4="Zone",IF(1331&lt;=$D$4,IF(OR('WSF DASHBOARD'!$C$4="",ISNUMBER(SEARCH('WSF DASHBOARD'!$C$4,INDEX(MASTER_ZONES!$B:$B,1332)))),1331,""),""),""))</f>
        <v/>
      </c>
      <c r="F1332">
        <f>IF('TRANSPORT DASHBOARD'!$B$4="Area",IF(1331&lt;=$I$3,IF(AND(INDEX(MASTER_AREAS!$F:$F,1332)&lt;&gt;"N",OR('TRANSPORT DASHBOARD'!$C$4="",ISNUMBER(SEARCH('TRANSPORT DASHBOARD'!$C$4,INDEX(MASTER_AREAS!$B:$B,1332))))),1331,""),""),IF('TRANSPORT DASHBOARD'!$B$4="Zone",IF(1331&lt;=$I$4,IF(OR('TRANSPORT DASHBOARD'!$C$4="",ISNUMBER(SEARCH('TRANSPORT DASHBOARD'!$C$4,INDEX(MASTER_ZONES!$B:$B,1332)))),1331,""),""),""))</f>
        <v/>
      </c>
      <c r="K1332">
        <f>IF('MIDWEEK DASHBOARD'!$B$4="Area",IF(1331&lt;=$N$3,IF(AND(OR('MIDWEEK DASHBOARD'!$C$4="",ISNUMBER(SEARCH('MIDWEEK DASHBOARD'!$C$4,INDEX(MASTER_AREAS!$B:$B,1332))))),1331,""),""),IF('MIDWEEK DASHBOARD'!$B$4="Zone",IF(1331&lt;=$N$4,IF(OR('MIDWEEK DASHBOARD'!$C$4="",ISNUMBER(SEARCH('MIDWEEK DASHBOARD'!$C$4,INDEX(MASTER_ZONES!$B:$B,1332)))),1331,""),""),""))</f>
        <v/>
      </c>
      <c r="P1332">
        <f>IF('CHOP DASHBOARD'!$B$4="Area",IF(1331&lt;=$S$3,IF(AND(OR('CHOP DASHBOARD'!$C$4="",ISNUMBER(SEARCH('CHOP DASHBOARD'!$C$4,INDEX(MASTER_AREAS!$B:$B,1332))))),1331,""),""),IF('CHOP DASHBOARD'!$B$4="Zone",IF(1331&lt;=$S$4,IF(OR('CHOP DASHBOARD'!$C$4="",ISNUMBER(SEARCH('CHOP DASHBOARD'!$C$4,INDEX(MASTER_ZONES!$B:$B,1332)))),1331,""),""),""))</f>
        <v/>
      </c>
      <c r="U1332">
        <f>IF('COMMUNITY CHURCH DASHBOARD'!$B$4="Area",IF(1331&lt;=$X$3,IF(AND(OR('COMMUNITY CHURCH DASHBOARD'!$C$4="",ISNUMBER(SEARCH('COMMUNITY CHURCH DASHBOARD'!$C$4,INDEX(MASTER_AREAS!$B:$B,1332))))),1331,""),""),IF('COMMUNITY CHURCH DASHBOARD'!$B$4="Zone",IF(1331&lt;=$X$4,IF(OR('COMMUNITY CHURCH DASHBOARD'!$C$4="",ISNUMBER(SEARCH('COMMUNITY CHURCH DASHBOARD'!$C$4,INDEX(MASTER_ZONES!$B:$B,1332)))),1331,""),""),""))</f>
        <v/>
      </c>
    </row>
    <row r="1333">
      <c r="A1333">
        <f>IF('WSF DASHBOARD'!$B$4="Area",IF(1332&lt;=$D$3,IF(AND(OR('WSF DASHBOARD'!$C$4="",ISNUMBER(SEARCH('WSF DASHBOARD'!$C$4,INDEX(MASTER_AREAS!$B:$B,1333))))),1332,""),""),IF('WSF DASHBOARD'!$B$4="Zone",IF(1332&lt;=$D$4,IF(OR('WSF DASHBOARD'!$C$4="",ISNUMBER(SEARCH('WSF DASHBOARD'!$C$4,INDEX(MASTER_ZONES!$B:$B,1333)))),1332,""),""),""))</f>
        <v/>
      </c>
      <c r="F1333">
        <f>IF('TRANSPORT DASHBOARD'!$B$4="Area",IF(1332&lt;=$I$3,IF(AND(INDEX(MASTER_AREAS!$F:$F,1333)&lt;&gt;"N",OR('TRANSPORT DASHBOARD'!$C$4="",ISNUMBER(SEARCH('TRANSPORT DASHBOARD'!$C$4,INDEX(MASTER_AREAS!$B:$B,1333))))),1332,""),""),IF('TRANSPORT DASHBOARD'!$B$4="Zone",IF(1332&lt;=$I$4,IF(OR('TRANSPORT DASHBOARD'!$C$4="",ISNUMBER(SEARCH('TRANSPORT DASHBOARD'!$C$4,INDEX(MASTER_ZONES!$B:$B,1333)))),1332,""),""),""))</f>
        <v/>
      </c>
      <c r="K1333">
        <f>IF('MIDWEEK DASHBOARD'!$B$4="Area",IF(1332&lt;=$N$3,IF(AND(OR('MIDWEEK DASHBOARD'!$C$4="",ISNUMBER(SEARCH('MIDWEEK DASHBOARD'!$C$4,INDEX(MASTER_AREAS!$B:$B,1333))))),1332,""),""),IF('MIDWEEK DASHBOARD'!$B$4="Zone",IF(1332&lt;=$N$4,IF(OR('MIDWEEK DASHBOARD'!$C$4="",ISNUMBER(SEARCH('MIDWEEK DASHBOARD'!$C$4,INDEX(MASTER_ZONES!$B:$B,1333)))),1332,""),""),""))</f>
        <v/>
      </c>
      <c r="P1333">
        <f>IF('CHOP DASHBOARD'!$B$4="Area",IF(1332&lt;=$S$3,IF(AND(OR('CHOP DASHBOARD'!$C$4="",ISNUMBER(SEARCH('CHOP DASHBOARD'!$C$4,INDEX(MASTER_AREAS!$B:$B,1333))))),1332,""),""),IF('CHOP DASHBOARD'!$B$4="Zone",IF(1332&lt;=$S$4,IF(OR('CHOP DASHBOARD'!$C$4="",ISNUMBER(SEARCH('CHOP DASHBOARD'!$C$4,INDEX(MASTER_ZONES!$B:$B,1333)))),1332,""),""),""))</f>
        <v/>
      </c>
      <c r="U1333">
        <f>IF('COMMUNITY CHURCH DASHBOARD'!$B$4="Area",IF(1332&lt;=$X$3,IF(AND(OR('COMMUNITY CHURCH DASHBOARD'!$C$4="",ISNUMBER(SEARCH('COMMUNITY CHURCH DASHBOARD'!$C$4,INDEX(MASTER_AREAS!$B:$B,1333))))),1332,""),""),IF('COMMUNITY CHURCH DASHBOARD'!$B$4="Zone",IF(1332&lt;=$X$4,IF(OR('COMMUNITY CHURCH DASHBOARD'!$C$4="",ISNUMBER(SEARCH('COMMUNITY CHURCH DASHBOARD'!$C$4,INDEX(MASTER_ZONES!$B:$B,1333)))),1332,""),""),""))</f>
        <v/>
      </c>
    </row>
    <row r="1334">
      <c r="A1334">
        <f>IF('WSF DASHBOARD'!$B$4="Area",IF(1333&lt;=$D$3,IF(AND(OR('WSF DASHBOARD'!$C$4="",ISNUMBER(SEARCH('WSF DASHBOARD'!$C$4,INDEX(MASTER_AREAS!$B:$B,1334))))),1333,""),""),IF('WSF DASHBOARD'!$B$4="Zone",IF(1333&lt;=$D$4,IF(OR('WSF DASHBOARD'!$C$4="",ISNUMBER(SEARCH('WSF DASHBOARD'!$C$4,INDEX(MASTER_ZONES!$B:$B,1334)))),1333,""),""),""))</f>
        <v/>
      </c>
      <c r="F1334">
        <f>IF('TRANSPORT DASHBOARD'!$B$4="Area",IF(1333&lt;=$I$3,IF(AND(INDEX(MASTER_AREAS!$F:$F,1334)&lt;&gt;"N",OR('TRANSPORT DASHBOARD'!$C$4="",ISNUMBER(SEARCH('TRANSPORT DASHBOARD'!$C$4,INDEX(MASTER_AREAS!$B:$B,1334))))),1333,""),""),IF('TRANSPORT DASHBOARD'!$B$4="Zone",IF(1333&lt;=$I$4,IF(OR('TRANSPORT DASHBOARD'!$C$4="",ISNUMBER(SEARCH('TRANSPORT DASHBOARD'!$C$4,INDEX(MASTER_ZONES!$B:$B,1334)))),1333,""),""),""))</f>
        <v/>
      </c>
      <c r="K1334">
        <f>IF('MIDWEEK DASHBOARD'!$B$4="Area",IF(1333&lt;=$N$3,IF(AND(OR('MIDWEEK DASHBOARD'!$C$4="",ISNUMBER(SEARCH('MIDWEEK DASHBOARD'!$C$4,INDEX(MASTER_AREAS!$B:$B,1334))))),1333,""),""),IF('MIDWEEK DASHBOARD'!$B$4="Zone",IF(1333&lt;=$N$4,IF(OR('MIDWEEK DASHBOARD'!$C$4="",ISNUMBER(SEARCH('MIDWEEK DASHBOARD'!$C$4,INDEX(MASTER_ZONES!$B:$B,1334)))),1333,""),""),""))</f>
        <v/>
      </c>
      <c r="P1334">
        <f>IF('CHOP DASHBOARD'!$B$4="Area",IF(1333&lt;=$S$3,IF(AND(OR('CHOP DASHBOARD'!$C$4="",ISNUMBER(SEARCH('CHOP DASHBOARD'!$C$4,INDEX(MASTER_AREAS!$B:$B,1334))))),1333,""),""),IF('CHOP DASHBOARD'!$B$4="Zone",IF(1333&lt;=$S$4,IF(OR('CHOP DASHBOARD'!$C$4="",ISNUMBER(SEARCH('CHOP DASHBOARD'!$C$4,INDEX(MASTER_ZONES!$B:$B,1334)))),1333,""),""),""))</f>
        <v/>
      </c>
      <c r="U1334">
        <f>IF('COMMUNITY CHURCH DASHBOARD'!$B$4="Area",IF(1333&lt;=$X$3,IF(AND(OR('COMMUNITY CHURCH DASHBOARD'!$C$4="",ISNUMBER(SEARCH('COMMUNITY CHURCH DASHBOARD'!$C$4,INDEX(MASTER_AREAS!$B:$B,1334))))),1333,""),""),IF('COMMUNITY CHURCH DASHBOARD'!$B$4="Zone",IF(1333&lt;=$X$4,IF(OR('COMMUNITY CHURCH DASHBOARD'!$C$4="",ISNUMBER(SEARCH('COMMUNITY CHURCH DASHBOARD'!$C$4,INDEX(MASTER_ZONES!$B:$B,1334)))),1333,""),""),""))</f>
        <v/>
      </c>
    </row>
    <row r="1335">
      <c r="A1335">
        <f>IF('WSF DASHBOARD'!$B$4="Area",IF(1334&lt;=$D$3,IF(AND(OR('WSF DASHBOARD'!$C$4="",ISNUMBER(SEARCH('WSF DASHBOARD'!$C$4,INDEX(MASTER_AREAS!$B:$B,1335))))),1334,""),""),IF('WSF DASHBOARD'!$B$4="Zone",IF(1334&lt;=$D$4,IF(OR('WSF DASHBOARD'!$C$4="",ISNUMBER(SEARCH('WSF DASHBOARD'!$C$4,INDEX(MASTER_ZONES!$B:$B,1335)))),1334,""),""),""))</f>
        <v/>
      </c>
      <c r="F1335">
        <f>IF('TRANSPORT DASHBOARD'!$B$4="Area",IF(1334&lt;=$I$3,IF(AND(INDEX(MASTER_AREAS!$F:$F,1335)&lt;&gt;"N",OR('TRANSPORT DASHBOARD'!$C$4="",ISNUMBER(SEARCH('TRANSPORT DASHBOARD'!$C$4,INDEX(MASTER_AREAS!$B:$B,1335))))),1334,""),""),IF('TRANSPORT DASHBOARD'!$B$4="Zone",IF(1334&lt;=$I$4,IF(OR('TRANSPORT DASHBOARD'!$C$4="",ISNUMBER(SEARCH('TRANSPORT DASHBOARD'!$C$4,INDEX(MASTER_ZONES!$B:$B,1335)))),1334,""),""),""))</f>
        <v/>
      </c>
      <c r="K1335">
        <f>IF('MIDWEEK DASHBOARD'!$B$4="Area",IF(1334&lt;=$N$3,IF(AND(OR('MIDWEEK DASHBOARD'!$C$4="",ISNUMBER(SEARCH('MIDWEEK DASHBOARD'!$C$4,INDEX(MASTER_AREAS!$B:$B,1335))))),1334,""),""),IF('MIDWEEK DASHBOARD'!$B$4="Zone",IF(1334&lt;=$N$4,IF(OR('MIDWEEK DASHBOARD'!$C$4="",ISNUMBER(SEARCH('MIDWEEK DASHBOARD'!$C$4,INDEX(MASTER_ZONES!$B:$B,1335)))),1334,""),""),""))</f>
        <v/>
      </c>
      <c r="P1335">
        <f>IF('CHOP DASHBOARD'!$B$4="Area",IF(1334&lt;=$S$3,IF(AND(OR('CHOP DASHBOARD'!$C$4="",ISNUMBER(SEARCH('CHOP DASHBOARD'!$C$4,INDEX(MASTER_AREAS!$B:$B,1335))))),1334,""),""),IF('CHOP DASHBOARD'!$B$4="Zone",IF(1334&lt;=$S$4,IF(OR('CHOP DASHBOARD'!$C$4="",ISNUMBER(SEARCH('CHOP DASHBOARD'!$C$4,INDEX(MASTER_ZONES!$B:$B,1335)))),1334,""),""),""))</f>
        <v/>
      </c>
      <c r="U1335">
        <f>IF('COMMUNITY CHURCH DASHBOARD'!$B$4="Area",IF(1334&lt;=$X$3,IF(AND(OR('COMMUNITY CHURCH DASHBOARD'!$C$4="",ISNUMBER(SEARCH('COMMUNITY CHURCH DASHBOARD'!$C$4,INDEX(MASTER_AREAS!$B:$B,1335))))),1334,""),""),IF('COMMUNITY CHURCH DASHBOARD'!$B$4="Zone",IF(1334&lt;=$X$4,IF(OR('COMMUNITY CHURCH DASHBOARD'!$C$4="",ISNUMBER(SEARCH('COMMUNITY CHURCH DASHBOARD'!$C$4,INDEX(MASTER_ZONES!$B:$B,1335)))),1334,""),""),""))</f>
        <v/>
      </c>
    </row>
    <row r="1336">
      <c r="A1336">
        <f>IF('WSF DASHBOARD'!$B$4="Area",IF(1335&lt;=$D$3,IF(AND(OR('WSF DASHBOARD'!$C$4="",ISNUMBER(SEARCH('WSF DASHBOARD'!$C$4,INDEX(MASTER_AREAS!$B:$B,1336))))),1335,""),""),IF('WSF DASHBOARD'!$B$4="Zone",IF(1335&lt;=$D$4,IF(OR('WSF DASHBOARD'!$C$4="",ISNUMBER(SEARCH('WSF DASHBOARD'!$C$4,INDEX(MASTER_ZONES!$B:$B,1336)))),1335,""),""),""))</f>
        <v/>
      </c>
      <c r="F1336">
        <f>IF('TRANSPORT DASHBOARD'!$B$4="Area",IF(1335&lt;=$I$3,IF(AND(INDEX(MASTER_AREAS!$F:$F,1336)&lt;&gt;"N",OR('TRANSPORT DASHBOARD'!$C$4="",ISNUMBER(SEARCH('TRANSPORT DASHBOARD'!$C$4,INDEX(MASTER_AREAS!$B:$B,1336))))),1335,""),""),IF('TRANSPORT DASHBOARD'!$B$4="Zone",IF(1335&lt;=$I$4,IF(OR('TRANSPORT DASHBOARD'!$C$4="",ISNUMBER(SEARCH('TRANSPORT DASHBOARD'!$C$4,INDEX(MASTER_ZONES!$B:$B,1336)))),1335,""),""),""))</f>
        <v/>
      </c>
      <c r="K1336">
        <f>IF('MIDWEEK DASHBOARD'!$B$4="Area",IF(1335&lt;=$N$3,IF(AND(OR('MIDWEEK DASHBOARD'!$C$4="",ISNUMBER(SEARCH('MIDWEEK DASHBOARD'!$C$4,INDEX(MASTER_AREAS!$B:$B,1336))))),1335,""),""),IF('MIDWEEK DASHBOARD'!$B$4="Zone",IF(1335&lt;=$N$4,IF(OR('MIDWEEK DASHBOARD'!$C$4="",ISNUMBER(SEARCH('MIDWEEK DASHBOARD'!$C$4,INDEX(MASTER_ZONES!$B:$B,1336)))),1335,""),""),""))</f>
        <v/>
      </c>
      <c r="P1336">
        <f>IF('CHOP DASHBOARD'!$B$4="Area",IF(1335&lt;=$S$3,IF(AND(OR('CHOP DASHBOARD'!$C$4="",ISNUMBER(SEARCH('CHOP DASHBOARD'!$C$4,INDEX(MASTER_AREAS!$B:$B,1336))))),1335,""),""),IF('CHOP DASHBOARD'!$B$4="Zone",IF(1335&lt;=$S$4,IF(OR('CHOP DASHBOARD'!$C$4="",ISNUMBER(SEARCH('CHOP DASHBOARD'!$C$4,INDEX(MASTER_ZONES!$B:$B,1336)))),1335,""),""),""))</f>
        <v/>
      </c>
      <c r="U1336">
        <f>IF('COMMUNITY CHURCH DASHBOARD'!$B$4="Area",IF(1335&lt;=$X$3,IF(AND(OR('COMMUNITY CHURCH DASHBOARD'!$C$4="",ISNUMBER(SEARCH('COMMUNITY CHURCH DASHBOARD'!$C$4,INDEX(MASTER_AREAS!$B:$B,1336))))),1335,""),""),IF('COMMUNITY CHURCH DASHBOARD'!$B$4="Zone",IF(1335&lt;=$X$4,IF(OR('COMMUNITY CHURCH DASHBOARD'!$C$4="",ISNUMBER(SEARCH('COMMUNITY CHURCH DASHBOARD'!$C$4,INDEX(MASTER_ZONES!$B:$B,1336)))),1335,""),""),""))</f>
        <v/>
      </c>
    </row>
    <row r="1337">
      <c r="A1337">
        <f>IF('WSF DASHBOARD'!$B$4="Area",IF(1336&lt;=$D$3,IF(AND(OR('WSF DASHBOARD'!$C$4="",ISNUMBER(SEARCH('WSF DASHBOARD'!$C$4,INDEX(MASTER_AREAS!$B:$B,1337))))),1336,""),""),IF('WSF DASHBOARD'!$B$4="Zone",IF(1336&lt;=$D$4,IF(OR('WSF DASHBOARD'!$C$4="",ISNUMBER(SEARCH('WSF DASHBOARD'!$C$4,INDEX(MASTER_ZONES!$B:$B,1337)))),1336,""),""),""))</f>
        <v/>
      </c>
      <c r="F1337">
        <f>IF('TRANSPORT DASHBOARD'!$B$4="Area",IF(1336&lt;=$I$3,IF(AND(INDEX(MASTER_AREAS!$F:$F,1337)&lt;&gt;"N",OR('TRANSPORT DASHBOARD'!$C$4="",ISNUMBER(SEARCH('TRANSPORT DASHBOARD'!$C$4,INDEX(MASTER_AREAS!$B:$B,1337))))),1336,""),""),IF('TRANSPORT DASHBOARD'!$B$4="Zone",IF(1336&lt;=$I$4,IF(OR('TRANSPORT DASHBOARD'!$C$4="",ISNUMBER(SEARCH('TRANSPORT DASHBOARD'!$C$4,INDEX(MASTER_ZONES!$B:$B,1337)))),1336,""),""),""))</f>
        <v/>
      </c>
      <c r="K1337">
        <f>IF('MIDWEEK DASHBOARD'!$B$4="Area",IF(1336&lt;=$N$3,IF(AND(OR('MIDWEEK DASHBOARD'!$C$4="",ISNUMBER(SEARCH('MIDWEEK DASHBOARD'!$C$4,INDEX(MASTER_AREAS!$B:$B,1337))))),1336,""),""),IF('MIDWEEK DASHBOARD'!$B$4="Zone",IF(1336&lt;=$N$4,IF(OR('MIDWEEK DASHBOARD'!$C$4="",ISNUMBER(SEARCH('MIDWEEK DASHBOARD'!$C$4,INDEX(MASTER_ZONES!$B:$B,1337)))),1336,""),""),""))</f>
        <v/>
      </c>
      <c r="P1337">
        <f>IF('CHOP DASHBOARD'!$B$4="Area",IF(1336&lt;=$S$3,IF(AND(OR('CHOP DASHBOARD'!$C$4="",ISNUMBER(SEARCH('CHOP DASHBOARD'!$C$4,INDEX(MASTER_AREAS!$B:$B,1337))))),1336,""),""),IF('CHOP DASHBOARD'!$B$4="Zone",IF(1336&lt;=$S$4,IF(OR('CHOP DASHBOARD'!$C$4="",ISNUMBER(SEARCH('CHOP DASHBOARD'!$C$4,INDEX(MASTER_ZONES!$B:$B,1337)))),1336,""),""),""))</f>
        <v/>
      </c>
      <c r="U1337">
        <f>IF('COMMUNITY CHURCH DASHBOARD'!$B$4="Area",IF(1336&lt;=$X$3,IF(AND(OR('COMMUNITY CHURCH DASHBOARD'!$C$4="",ISNUMBER(SEARCH('COMMUNITY CHURCH DASHBOARD'!$C$4,INDEX(MASTER_AREAS!$B:$B,1337))))),1336,""),""),IF('COMMUNITY CHURCH DASHBOARD'!$B$4="Zone",IF(1336&lt;=$X$4,IF(OR('COMMUNITY CHURCH DASHBOARD'!$C$4="",ISNUMBER(SEARCH('COMMUNITY CHURCH DASHBOARD'!$C$4,INDEX(MASTER_ZONES!$B:$B,1337)))),1336,""),""),""))</f>
        <v/>
      </c>
    </row>
    <row r="1338">
      <c r="A1338">
        <f>IF('WSF DASHBOARD'!$B$4="Area",IF(1337&lt;=$D$3,IF(AND(OR('WSF DASHBOARD'!$C$4="",ISNUMBER(SEARCH('WSF DASHBOARD'!$C$4,INDEX(MASTER_AREAS!$B:$B,1338))))),1337,""),""),IF('WSF DASHBOARD'!$B$4="Zone",IF(1337&lt;=$D$4,IF(OR('WSF DASHBOARD'!$C$4="",ISNUMBER(SEARCH('WSF DASHBOARD'!$C$4,INDEX(MASTER_ZONES!$B:$B,1338)))),1337,""),""),""))</f>
        <v/>
      </c>
      <c r="F1338">
        <f>IF('TRANSPORT DASHBOARD'!$B$4="Area",IF(1337&lt;=$I$3,IF(AND(INDEX(MASTER_AREAS!$F:$F,1338)&lt;&gt;"N",OR('TRANSPORT DASHBOARD'!$C$4="",ISNUMBER(SEARCH('TRANSPORT DASHBOARD'!$C$4,INDEX(MASTER_AREAS!$B:$B,1338))))),1337,""),""),IF('TRANSPORT DASHBOARD'!$B$4="Zone",IF(1337&lt;=$I$4,IF(OR('TRANSPORT DASHBOARD'!$C$4="",ISNUMBER(SEARCH('TRANSPORT DASHBOARD'!$C$4,INDEX(MASTER_ZONES!$B:$B,1338)))),1337,""),""),""))</f>
        <v/>
      </c>
      <c r="K1338">
        <f>IF('MIDWEEK DASHBOARD'!$B$4="Area",IF(1337&lt;=$N$3,IF(AND(OR('MIDWEEK DASHBOARD'!$C$4="",ISNUMBER(SEARCH('MIDWEEK DASHBOARD'!$C$4,INDEX(MASTER_AREAS!$B:$B,1338))))),1337,""),""),IF('MIDWEEK DASHBOARD'!$B$4="Zone",IF(1337&lt;=$N$4,IF(OR('MIDWEEK DASHBOARD'!$C$4="",ISNUMBER(SEARCH('MIDWEEK DASHBOARD'!$C$4,INDEX(MASTER_ZONES!$B:$B,1338)))),1337,""),""),""))</f>
        <v/>
      </c>
      <c r="P1338">
        <f>IF('CHOP DASHBOARD'!$B$4="Area",IF(1337&lt;=$S$3,IF(AND(OR('CHOP DASHBOARD'!$C$4="",ISNUMBER(SEARCH('CHOP DASHBOARD'!$C$4,INDEX(MASTER_AREAS!$B:$B,1338))))),1337,""),""),IF('CHOP DASHBOARD'!$B$4="Zone",IF(1337&lt;=$S$4,IF(OR('CHOP DASHBOARD'!$C$4="",ISNUMBER(SEARCH('CHOP DASHBOARD'!$C$4,INDEX(MASTER_ZONES!$B:$B,1338)))),1337,""),""),""))</f>
        <v/>
      </c>
      <c r="U1338">
        <f>IF('COMMUNITY CHURCH DASHBOARD'!$B$4="Area",IF(1337&lt;=$X$3,IF(AND(OR('COMMUNITY CHURCH DASHBOARD'!$C$4="",ISNUMBER(SEARCH('COMMUNITY CHURCH DASHBOARD'!$C$4,INDEX(MASTER_AREAS!$B:$B,1338))))),1337,""),""),IF('COMMUNITY CHURCH DASHBOARD'!$B$4="Zone",IF(1337&lt;=$X$4,IF(OR('COMMUNITY CHURCH DASHBOARD'!$C$4="",ISNUMBER(SEARCH('COMMUNITY CHURCH DASHBOARD'!$C$4,INDEX(MASTER_ZONES!$B:$B,1338)))),1337,""),""),""))</f>
        <v/>
      </c>
    </row>
    <row r="1339">
      <c r="A1339">
        <f>IF('WSF DASHBOARD'!$B$4="Area",IF(1338&lt;=$D$3,IF(AND(OR('WSF DASHBOARD'!$C$4="",ISNUMBER(SEARCH('WSF DASHBOARD'!$C$4,INDEX(MASTER_AREAS!$B:$B,1339))))),1338,""),""),IF('WSF DASHBOARD'!$B$4="Zone",IF(1338&lt;=$D$4,IF(OR('WSF DASHBOARD'!$C$4="",ISNUMBER(SEARCH('WSF DASHBOARD'!$C$4,INDEX(MASTER_ZONES!$B:$B,1339)))),1338,""),""),""))</f>
        <v/>
      </c>
      <c r="F1339">
        <f>IF('TRANSPORT DASHBOARD'!$B$4="Area",IF(1338&lt;=$I$3,IF(AND(INDEX(MASTER_AREAS!$F:$F,1339)&lt;&gt;"N",OR('TRANSPORT DASHBOARD'!$C$4="",ISNUMBER(SEARCH('TRANSPORT DASHBOARD'!$C$4,INDEX(MASTER_AREAS!$B:$B,1339))))),1338,""),""),IF('TRANSPORT DASHBOARD'!$B$4="Zone",IF(1338&lt;=$I$4,IF(OR('TRANSPORT DASHBOARD'!$C$4="",ISNUMBER(SEARCH('TRANSPORT DASHBOARD'!$C$4,INDEX(MASTER_ZONES!$B:$B,1339)))),1338,""),""),""))</f>
        <v/>
      </c>
      <c r="K1339">
        <f>IF('MIDWEEK DASHBOARD'!$B$4="Area",IF(1338&lt;=$N$3,IF(AND(OR('MIDWEEK DASHBOARD'!$C$4="",ISNUMBER(SEARCH('MIDWEEK DASHBOARD'!$C$4,INDEX(MASTER_AREAS!$B:$B,1339))))),1338,""),""),IF('MIDWEEK DASHBOARD'!$B$4="Zone",IF(1338&lt;=$N$4,IF(OR('MIDWEEK DASHBOARD'!$C$4="",ISNUMBER(SEARCH('MIDWEEK DASHBOARD'!$C$4,INDEX(MASTER_ZONES!$B:$B,1339)))),1338,""),""),""))</f>
        <v/>
      </c>
      <c r="P1339">
        <f>IF('CHOP DASHBOARD'!$B$4="Area",IF(1338&lt;=$S$3,IF(AND(OR('CHOP DASHBOARD'!$C$4="",ISNUMBER(SEARCH('CHOP DASHBOARD'!$C$4,INDEX(MASTER_AREAS!$B:$B,1339))))),1338,""),""),IF('CHOP DASHBOARD'!$B$4="Zone",IF(1338&lt;=$S$4,IF(OR('CHOP DASHBOARD'!$C$4="",ISNUMBER(SEARCH('CHOP DASHBOARD'!$C$4,INDEX(MASTER_ZONES!$B:$B,1339)))),1338,""),""),""))</f>
        <v/>
      </c>
      <c r="U1339">
        <f>IF('COMMUNITY CHURCH DASHBOARD'!$B$4="Area",IF(1338&lt;=$X$3,IF(AND(OR('COMMUNITY CHURCH DASHBOARD'!$C$4="",ISNUMBER(SEARCH('COMMUNITY CHURCH DASHBOARD'!$C$4,INDEX(MASTER_AREAS!$B:$B,1339))))),1338,""),""),IF('COMMUNITY CHURCH DASHBOARD'!$B$4="Zone",IF(1338&lt;=$X$4,IF(OR('COMMUNITY CHURCH DASHBOARD'!$C$4="",ISNUMBER(SEARCH('COMMUNITY CHURCH DASHBOARD'!$C$4,INDEX(MASTER_ZONES!$B:$B,1339)))),1338,""),""),""))</f>
        <v/>
      </c>
    </row>
    <row r="1340">
      <c r="A1340">
        <f>IF('WSF DASHBOARD'!$B$4="Area",IF(1339&lt;=$D$3,IF(AND(OR('WSF DASHBOARD'!$C$4="",ISNUMBER(SEARCH('WSF DASHBOARD'!$C$4,INDEX(MASTER_AREAS!$B:$B,1340))))),1339,""),""),IF('WSF DASHBOARD'!$B$4="Zone",IF(1339&lt;=$D$4,IF(OR('WSF DASHBOARD'!$C$4="",ISNUMBER(SEARCH('WSF DASHBOARD'!$C$4,INDEX(MASTER_ZONES!$B:$B,1340)))),1339,""),""),""))</f>
        <v/>
      </c>
      <c r="F1340">
        <f>IF('TRANSPORT DASHBOARD'!$B$4="Area",IF(1339&lt;=$I$3,IF(AND(INDEX(MASTER_AREAS!$F:$F,1340)&lt;&gt;"N",OR('TRANSPORT DASHBOARD'!$C$4="",ISNUMBER(SEARCH('TRANSPORT DASHBOARD'!$C$4,INDEX(MASTER_AREAS!$B:$B,1340))))),1339,""),""),IF('TRANSPORT DASHBOARD'!$B$4="Zone",IF(1339&lt;=$I$4,IF(OR('TRANSPORT DASHBOARD'!$C$4="",ISNUMBER(SEARCH('TRANSPORT DASHBOARD'!$C$4,INDEX(MASTER_ZONES!$B:$B,1340)))),1339,""),""),""))</f>
        <v/>
      </c>
      <c r="K1340">
        <f>IF('MIDWEEK DASHBOARD'!$B$4="Area",IF(1339&lt;=$N$3,IF(AND(OR('MIDWEEK DASHBOARD'!$C$4="",ISNUMBER(SEARCH('MIDWEEK DASHBOARD'!$C$4,INDEX(MASTER_AREAS!$B:$B,1340))))),1339,""),""),IF('MIDWEEK DASHBOARD'!$B$4="Zone",IF(1339&lt;=$N$4,IF(OR('MIDWEEK DASHBOARD'!$C$4="",ISNUMBER(SEARCH('MIDWEEK DASHBOARD'!$C$4,INDEX(MASTER_ZONES!$B:$B,1340)))),1339,""),""),""))</f>
        <v/>
      </c>
      <c r="P1340">
        <f>IF('CHOP DASHBOARD'!$B$4="Area",IF(1339&lt;=$S$3,IF(AND(OR('CHOP DASHBOARD'!$C$4="",ISNUMBER(SEARCH('CHOP DASHBOARD'!$C$4,INDEX(MASTER_AREAS!$B:$B,1340))))),1339,""),""),IF('CHOP DASHBOARD'!$B$4="Zone",IF(1339&lt;=$S$4,IF(OR('CHOP DASHBOARD'!$C$4="",ISNUMBER(SEARCH('CHOP DASHBOARD'!$C$4,INDEX(MASTER_ZONES!$B:$B,1340)))),1339,""),""),""))</f>
        <v/>
      </c>
      <c r="U1340">
        <f>IF('COMMUNITY CHURCH DASHBOARD'!$B$4="Area",IF(1339&lt;=$X$3,IF(AND(OR('COMMUNITY CHURCH DASHBOARD'!$C$4="",ISNUMBER(SEARCH('COMMUNITY CHURCH DASHBOARD'!$C$4,INDEX(MASTER_AREAS!$B:$B,1340))))),1339,""),""),IF('COMMUNITY CHURCH DASHBOARD'!$B$4="Zone",IF(1339&lt;=$X$4,IF(OR('COMMUNITY CHURCH DASHBOARD'!$C$4="",ISNUMBER(SEARCH('COMMUNITY CHURCH DASHBOARD'!$C$4,INDEX(MASTER_ZONES!$B:$B,1340)))),1339,""),""),""))</f>
        <v/>
      </c>
    </row>
    <row r="1341">
      <c r="A1341">
        <f>IF('WSF DASHBOARD'!$B$4="Area",IF(1340&lt;=$D$3,IF(AND(OR('WSF DASHBOARD'!$C$4="",ISNUMBER(SEARCH('WSF DASHBOARD'!$C$4,INDEX(MASTER_AREAS!$B:$B,1341))))),1340,""),""),IF('WSF DASHBOARD'!$B$4="Zone",IF(1340&lt;=$D$4,IF(OR('WSF DASHBOARD'!$C$4="",ISNUMBER(SEARCH('WSF DASHBOARD'!$C$4,INDEX(MASTER_ZONES!$B:$B,1341)))),1340,""),""),""))</f>
        <v/>
      </c>
      <c r="F1341">
        <f>IF('TRANSPORT DASHBOARD'!$B$4="Area",IF(1340&lt;=$I$3,IF(AND(INDEX(MASTER_AREAS!$F:$F,1341)&lt;&gt;"N",OR('TRANSPORT DASHBOARD'!$C$4="",ISNUMBER(SEARCH('TRANSPORT DASHBOARD'!$C$4,INDEX(MASTER_AREAS!$B:$B,1341))))),1340,""),""),IF('TRANSPORT DASHBOARD'!$B$4="Zone",IF(1340&lt;=$I$4,IF(OR('TRANSPORT DASHBOARD'!$C$4="",ISNUMBER(SEARCH('TRANSPORT DASHBOARD'!$C$4,INDEX(MASTER_ZONES!$B:$B,1341)))),1340,""),""),""))</f>
        <v/>
      </c>
      <c r="K1341">
        <f>IF('MIDWEEK DASHBOARD'!$B$4="Area",IF(1340&lt;=$N$3,IF(AND(OR('MIDWEEK DASHBOARD'!$C$4="",ISNUMBER(SEARCH('MIDWEEK DASHBOARD'!$C$4,INDEX(MASTER_AREAS!$B:$B,1341))))),1340,""),""),IF('MIDWEEK DASHBOARD'!$B$4="Zone",IF(1340&lt;=$N$4,IF(OR('MIDWEEK DASHBOARD'!$C$4="",ISNUMBER(SEARCH('MIDWEEK DASHBOARD'!$C$4,INDEX(MASTER_ZONES!$B:$B,1341)))),1340,""),""),""))</f>
        <v/>
      </c>
      <c r="P1341">
        <f>IF('CHOP DASHBOARD'!$B$4="Area",IF(1340&lt;=$S$3,IF(AND(OR('CHOP DASHBOARD'!$C$4="",ISNUMBER(SEARCH('CHOP DASHBOARD'!$C$4,INDEX(MASTER_AREAS!$B:$B,1341))))),1340,""),""),IF('CHOP DASHBOARD'!$B$4="Zone",IF(1340&lt;=$S$4,IF(OR('CHOP DASHBOARD'!$C$4="",ISNUMBER(SEARCH('CHOP DASHBOARD'!$C$4,INDEX(MASTER_ZONES!$B:$B,1341)))),1340,""),""),""))</f>
        <v/>
      </c>
      <c r="U1341">
        <f>IF('COMMUNITY CHURCH DASHBOARD'!$B$4="Area",IF(1340&lt;=$X$3,IF(AND(OR('COMMUNITY CHURCH DASHBOARD'!$C$4="",ISNUMBER(SEARCH('COMMUNITY CHURCH DASHBOARD'!$C$4,INDEX(MASTER_AREAS!$B:$B,1341))))),1340,""),""),IF('COMMUNITY CHURCH DASHBOARD'!$B$4="Zone",IF(1340&lt;=$X$4,IF(OR('COMMUNITY CHURCH DASHBOARD'!$C$4="",ISNUMBER(SEARCH('COMMUNITY CHURCH DASHBOARD'!$C$4,INDEX(MASTER_ZONES!$B:$B,1341)))),1340,""),""),""))</f>
        <v/>
      </c>
    </row>
    <row r="1342">
      <c r="A1342">
        <f>IF('WSF DASHBOARD'!$B$4="Area",IF(1341&lt;=$D$3,IF(AND(OR('WSF DASHBOARD'!$C$4="",ISNUMBER(SEARCH('WSF DASHBOARD'!$C$4,INDEX(MASTER_AREAS!$B:$B,1342))))),1341,""),""),IF('WSF DASHBOARD'!$B$4="Zone",IF(1341&lt;=$D$4,IF(OR('WSF DASHBOARD'!$C$4="",ISNUMBER(SEARCH('WSF DASHBOARD'!$C$4,INDEX(MASTER_ZONES!$B:$B,1342)))),1341,""),""),""))</f>
        <v/>
      </c>
      <c r="F1342">
        <f>IF('TRANSPORT DASHBOARD'!$B$4="Area",IF(1341&lt;=$I$3,IF(AND(INDEX(MASTER_AREAS!$F:$F,1342)&lt;&gt;"N",OR('TRANSPORT DASHBOARD'!$C$4="",ISNUMBER(SEARCH('TRANSPORT DASHBOARD'!$C$4,INDEX(MASTER_AREAS!$B:$B,1342))))),1341,""),""),IF('TRANSPORT DASHBOARD'!$B$4="Zone",IF(1341&lt;=$I$4,IF(OR('TRANSPORT DASHBOARD'!$C$4="",ISNUMBER(SEARCH('TRANSPORT DASHBOARD'!$C$4,INDEX(MASTER_ZONES!$B:$B,1342)))),1341,""),""),""))</f>
        <v/>
      </c>
      <c r="K1342">
        <f>IF('MIDWEEK DASHBOARD'!$B$4="Area",IF(1341&lt;=$N$3,IF(AND(OR('MIDWEEK DASHBOARD'!$C$4="",ISNUMBER(SEARCH('MIDWEEK DASHBOARD'!$C$4,INDEX(MASTER_AREAS!$B:$B,1342))))),1341,""),""),IF('MIDWEEK DASHBOARD'!$B$4="Zone",IF(1341&lt;=$N$4,IF(OR('MIDWEEK DASHBOARD'!$C$4="",ISNUMBER(SEARCH('MIDWEEK DASHBOARD'!$C$4,INDEX(MASTER_ZONES!$B:$B,1342)))),1341,""),""),""))</f>
        <v/>
      </c>
      <c r="P1342">
        <f>IF('CHOP DASHBOARD'!$B$4="Area",IF(1341&lt;=$S$3,IF(AND(OR('CHOP DASHBOARD'!$C$4="",ISNUMBER(SEARCH('CHOP DASHBOARD'!$C$4,INDEX(MASTER_AREAS!$B:$B,1342))))),1341,""),""),IF('CHOP DASHBOARD'!$B$4="Zone",IF(1341&lt;=$S$4,IF(OR('CHOP DASHBOARD'!$C$4="",ISNUMBER(SEARCH('CHOP DASHBOARD'!$C$4,INDEX(MASTER_ZONES!$B:$B,1342)))),1341,""),""),""))</f>
        <v/>
      </c>
      <c r="U1342">
        <f>IF('COMMUNITY CHURCH DASHBOARD'!$B$4="Area",IF(1341&lt;=$X$3,IF(AND(OR('COMMUNITY CHURCH DASHBOARD'!$C$4="",ISNUMBER(SEARCH('COMMUNITY CHURCH DASHBOARD'!$C$4,INDEX(MASTER_AREAS!$B:$B,1342))))),1341,""),""),IF('COMMUNITY CHURCH DASHBOARD'!$B$4="Zone",IF(1341&lt;=$X$4,IF(OR('COMMUNITY CHURCH DASHBOARD'!$C$4="",ISNUMBER(SEARCH('COMMUNITY CHURCH DASHBOARD'!$C$4,INDEX(MASTER_ZONES!$B:$B,1342)))),1341,""),""),""))</f>
        <v/>
      </c>
    </row>
    <row r="1343">
      <c r="A1343">
        <f>IF('WSF DASHBOARD'!$B$4="Area",IF(1342&lt;=$D$3,IF(AND(OR('WSF DASHBOARD'!$C$4="",ISNUMBER(SEARCH('WSF DASHBOARD'!$C$4,INDEX(MASTER_AREAS!$B:$B,1343))))),1342,""),""),IF('WSF DASHBOARD'!$B$4="Zone",IF(1342&lt;=$D$4,IF(OR('WSF DASHBOARD'!$C$4="",ISNUMBER(SEARCH('WSF DASHBOARD'!$C$4,INDEX(MASTER_ZONES!$B:$B,1343)))),1342,""),""),""))</f>
        <v/>
      </c>
      <c r="F1343">
        <f>IF('TRANSPORT DASHBOARD'!$B$4="Area",IF(1342&lt;=$I$3,IF(AND(INDEX(MASTER_AREAS!$F:$F,1343)&lt;&gt;"N",OR('TRANSPORT DASHBOARD'!$C$4="",ISNUMBER(SEARCH('TRANSPORT DASHBOARD'!$C$4,INDEX(MASTER_AREAS!$B:$B,1343))))),1342,""),""),IF('TRANSPORT DASHBOARD'!$B$4="Zone",IF(1342&lt;=$I$4,IF(OR('TRANSPORT DASHBOARD'!$C$4="",ISNUMBER(SEARCH('TRANSPORT DASHBOARD'!$C$4,INDEX(MASTER_ZONES!$B:$B,1343)))),1342,""),""),""))</f>
        <v/>
      </c>
      <c r="K1343">
        <f>IF('MIDWEEK DASHBOARD'!$B$4="Area",IF(1342&lt;=$N$3,IF(AND(OR('MIDWEEK DASHBOARD'!$C$4="",ISNUMBER(SEARCH('MIDWEEK DASHBOARD'!$C$4,INDEX(MASTER_AREAS!$B:$B,1343))))),1342,""),""),IF('MIDWEEK DASHBOARD'!$B$4="Zone",IF(1342&lt;=$N$4,IF(OR('MIDWEEK DASHBOARD'!$C$4="",ISNUMBER(SEARCH('MIDWEEK DASHBOARD'!$C$4,INDEX(MASTER_ZONES!$B:$B,1343)))),1342,""),""),""))</f>
        <v/>
      </c>
      <c r="P1343">
        <f>IF('CHOP DASHBOARD'!$B$4="Area",IF(1342&lt;=$S$3,IF(AND(OR('CHOP DASHBOARD'!$C$4="",ISNUMBER(SEARCH('CHOP DASHBOARD'!$C$4,INDEX(MASTER_AREAS!$B:$B,1343))))),1342,""),""),IF('CHOP DASHBOARD'!$B$4="Zone",IF(1342&lt;=$S$4,IF(OR('CHOP DASHBOARD'!$C$4="",ISNUMBER(SEARCH('CHOP DASHBOARD'!$C$4,INDEX(MASTER_ZONES!$B:$B,1343)))),1342,""),""),""))</f>
        <v/>
      </c>
      <c r="U1343">
        <f>IF('COMMUNITY CHURCH DASHBOARD'!$B$4="Area",IF(1342&lt;=$X$3,IF(AND(OR('COMMUNITY CHURCH DASHBOARD'!$C$4="",ISNUMBER(SEARCH('COMMUNITY CHURCH DASHBOARD'!$C$4,INDEX(MASTER_AREAS!$B:$B,1343))))),1342,""),""),IF('COMMUNITY CHURCH DASHBOARD'!$B$4="Zone",IF(1342&lt;=$X$4,IF(OR('COMMUNITY CHURCH DASHBOARD'!$C$4="",ISNUMBER(SEARCH('COMMUNITY CHURCH DASHBOARD'!$C$4,INDEX(MASTER_ZONES!$B:$B,1343)))),1342,""),""),""))</f>
        <v/>
      </c>
    </row>
    <row r="1344">
      <c r="A1344">
        <f>IF('WSF DASHBOARD'!$B$4="Area",IF(1343&lt;=$D$3,IF(AND(OR('WSF DASHBOARD'!$C$4="",ISNUMBER(SEARCH('WSF DASHBOARD'!$C$4,INDEX(MASTER_AREAS!$B:$B,1344))))),1343,""),""),IF('WSF DASHBOARD'!$B$4="Zone",IF(1343&lt;=$D$4,IF(OR('WSF DASHBOARD'!$C$4="",ISNUMBER(SEARCH('WSF DASHBOARD'!$C$4,INDEX(MASTER_ZONES!$B:$B,1344)))),1343,""),""),""))</f>
        <v/>
      </c>
      <c r="F1344">
        <f>IF('TRANSPORT DASHBOARD'!$B$4="Area",IF(1343&lt;=$I$3,IF(AND(INDEX(MASTER_AREAS!$F:$F,1344)&lt;&gt;"N",OR('TRANSPORT DASHBOARD'!$C$4="",ISNUMBER(SEARCH('TRANSPORT DASHBOARD'!$C$4,INDEX(MASTER_AREAS!$B:$B,1344))))),1343,""),""),IF('TRANSPORT DASHBOARD'!$B$4="Zone",IF(1343&lt;=$I$4,IF(OR('TRANSPORT DASHBOARD'!$C$4="",ISNUMBER(SEARCH('TRANSPORT DASHBOARD'!$C$4,INDEX(MASTER_ZONES!$B:$B,1344)))),1343,""),""),""))</f>
        <v/>
      </c>
      <c r="K1344">
        <f>IF('MIDWEEK DASHBOARD'!$B$4="Area",IF(1343&lt;=$N$3,IF(AND(OR('MIDWEEK DASHBOARD'!$C$4="",ISNUMBER(SEARCH('MIDWEEK DASHBOARD'!$C$4,INDEX(MASTER_AREAS!$B:$B,1344))))),1343,""),""),IF('MIDWEEK DASHBOARD'!$B$4="Zone",IF(1343&lt;=$N$4,IF(OR('MIDWEEK DASHBOARD'!$C$4="",ISNUMBER(SEARCH('MIDWEEK DASHBOARD'!$C$4,INDEX(MASTER_ZONES!$B:$B,1344)))),1343,""),""),""))</f>
        <v/>
      </c>
      <c r="P1344">
        <f>IF('CHOP DASHBOARD'!$B$4="Area",IF(1343&lt;=$S$3,IF(AND(OR('CHOP DASHBOARD'!$C$4="",ISNUMBER(SEARCH('CHOP DASHBOARD'!$C$4,INDEX(MASTER_AREAS!$B:$B,1344))))),1343,""),""),IF('CHOP DASHBOARD'!$B$4="Zone",IF(1343&lt;=$S$4,IF(OR('CHOP DASHBOARD'!$C$4="",ISNUMBER(SEARCH('CHOP DASHBOARD'!$C$4,INDEX(MASTER_ZONES!$B:$B,1344)))),1343,""),""),""))</f>
        <v/>
      </c>
      <c r="U1344">
        <f>IF('COMMUNITY CHURCH DASHBOARD'!$B$4="Area",IF(1343&lt;=$X$3,IF(AND(OR('COMMUNITY CHURCH DASHBOARD'!$C$4="",ISNUMBER(SEARCH('COMMUNITY CHURCH DASHBOARD'!$C$4,INDEX(MASTER_AREAS!$B:$B,1344))))),1343,""),""),IF('COMMUNITY CHURCH DASHBOARD'!$B$4="Zone",IF(1343&lt;=$X$4,IF(OR('COMMUNITY CHURCH DASHBOARD'!$C$4="",ISNUMBER(SEARCH('COMMUNITY CHURCH DASHBOARD'!$C$4,INDEX(MASTER_ZONES!$B:$B,1344)))),1343,""),""),""))</f>
        <v/>
      </c>
    </row>
    <row r="1345">
      <c r="A1345">
        <f>IF('WSF DASHBOARD'!$B$4="Area",IF(1344&lt;=$D$3,IF(AND(OR('WSF DASHBOARD'!$C$4="",ISNUMBER(SEARCH('WSF DASHBOARD'!$C$4,INDEX(MASTER_AREAS!$B:$B,1345))))),1344,""),""),IF('WSF DASHBOARD'!$B$4="Zone",IF(1344&lt;=$D$4,IF(OR('WSF DASHBOARD'!$C$4="",ISNUMBER(SEARCH('WSF DASHBOARD'!$C$4,INDEX(MASTER_ZONES!$B:$B,1345)))),1344,""),""),""))</f>
        <v/>
      </c>
      <c r="F1345">
        <f>IF('TRANSPORT DASHBOARD'!$B$4="Area",IF(1344&lt;=$I$3,IF(AND(INDEX(MASTER_AREAS!$F:$F,1345)&lt;&gt;"N",OR('TRANSPORT DASHBOARD'!$C$4="",ISNUMBER(SEARCH('TRANSPORT DASHBOARD'!$C$4,INDEX(MASTER_AREAS!$B:$B,1345))))),1344,""),""),IF('TRANSPORT DASHBOARD'!$B$4="Zone",IF(1344&lt;=$I$4,IF(OR('TRANSPORT DASHBOARD'!$C$4="",ISNUMBER(SEARCH('TRANSPORT DASHBOARD'!$C$4,INDEX(MASTER_ZONES!$B:$B,1345)))),1344,""),""),""))</f>
        <v/>
      </c>
      <c r="K1345">
        <f>IF('MIDWEEK DASHBOARD'!$B$4="Area",IF(1344&lt;=$N$3,IF(AND(OR('MIDWEEK DASHBOARD'!$C$4="",ISNUMBER(SEARCH('MIDWEEK DASHBOARD'!$C$4,INDEX(MASTER_AREAS!$B:$B,1345))))),1344,""),""),IF('MIDWEEK DASHBOARD'!$B$4="Zone",IF(1344&lt;=$N$4,IF(OR('MIDWEEK DASHBOARD'!$C$4="",ISNUMBER(SEARCH('MIDWEEK DASHBOARD'!$C$4,INDEX(MASTER_ZONES!$B:$B,1345)))),1344,""),""),""))</f>
        <v/>
      </c>
      <c r="P1345">
        <f>IF('CHOP DASHBOARD'!$B$4="Area",IF(1344&lt;=$S$3,IF(AND(OR('CHOP DASHBOARD'!$C$4="",ISNUMBER(SEARCH('CHOP DASHBOARD'!$C$4,INDEX(MASTER_AREAS!$B:$B,1345))))),1344,""),""),IF('CHOP DASHBOARD'!$B$4="Zone",IF(1344&lt;=$S$4,IF(OR('CHOP DASHBOARD'!$C$4="",ISNUMBER(SEARCH('CHOP DASHBOARD'!$C$4,INDEX(MASTER_ZONES!$B:$B,1345)))),1344,""),""),""))</f>
        <v/>
      </c>
      <c r="U1345">
        <f>IF('COMMUNITY CHURCH DASHBOARD'!$B$4="Area",IF(1344&lt;=$X$3,IF(AND(OR('COMMUNITY CHURCH DASHBOARD'!$C$4="",ISNUMBER(SEARCH('COMMUNITY CHURCH DASHBOARD'!$C$4,INDEX(MASTER_AREAS!$B:$B,1345))))),1344,""),""),IF('COMMUNITY CHURCH DASHBOARD'!$B$4="Zone",IF(1344&lt;=$X$4,IF(OR('COMMUNITY CHURCH DASHBOARD'!$C$4="",ISNUMBER(SEARCH('COMMUNITY CHURCH DASHBOARD'!$C$4,INDEX(MASTER_ZONES!$B:$B,1345)))),1344,""),""),""))</f>
        <v/>
      </c>
    </row>
    <row r="1346">
      <c r="A1346">
        <f>IF('WSF DASHBOARD'!$B$4="Area",IF(1345&lt;=$D$3,IF(AND(OR('WSF DASHBOARD'!$C$4="",ISNUMBER(SEARCH('WSF DASHBOARD'!$C$4,INDEX(MASTER_AREAS!$B:$B,1346))))),1345,""),""),IF('WSF DASHBOARD'!$B$4="Zone",IF(1345&lt;=$D$4,IF(OR('WSF DASHBOARD'!$C$4="",ISNUMBER(SEARCH('WSF DASHBOARD'!$C$4,INDEX(MASTER_ZONES!$B:$B,1346)))),1345,""),""),""))</f>
        <v/>
      </c>
      <c r="F1346">
        <f>IF('TRANSPORT DASHBOARD'!$B$4="Area",IF(1345&lt;=$I$3,IF(AND(INDEX(MASTER_AREAS!$F:$F,1346)&lt;&gt;"N",OR('TRANSPORT DASHBOARD'!$C$4="",ISNUMBER(SEARCH('TRANSPORT DASHBOARD'!$C$4,INDEX(MASTER_AREAS!$B:$B,1346))))),1345,""),""),IF('TRANSPORT DASHBOARD'!$B$4="Zone",IF(1345&lt;=$I$4,IF(OR('TRANSPORT DASHBOARD'!$C$4="",ISNUMBER(SEARCH('TRANSPORT DASHBOARD'!$C$4,INDEX(MASTER_ZONES!$B:$B,1346)))),1345,""),""),""))</f>
        <v/>
      </c>
      <c r="K1346">
        <f>IF('MIDWEEK DASHBOARD'!$B$4="Area",IF(1345&lt;=$N$3,IF(AND(OR('MIDWEEK DASHBOARD'!$C$4="",ISNUMBER(SEARCH('MIDWEEK DASHBOARD'!$C$4,INDEX(MASTER_AREAS!$B:$B,1346))))),1345,""),""),IF('MIDWEEK DASHBOARD'!$B$4="Zone",IF(1345&lt;=$N$4,IF(OR('MIDWEEK DASHBOARD'!$C$4="",ISNUMBER(SEARCH('MIDWEEK DASHBOARD'!$C$4,INDEX(MASTER_ZONES!$B:$B,1346)))),1345,""),""),""))</f>
        <v/>
      </c>
      <c r="P1346">
        <f>IF('CHOP DASHBOARD'!$B$4="Area",IF(1345&lt;=$S$3,IF(AND(OR('CHOP DASHBOARD'!$C$4="",ISNUMBER(SEARCH('CHOP DASHBOARD'!$C$4,INDEX(MASTER_AREAS!$B:$B,1346))))),1345,""),""),IF('CHOP DASHBOARD'!$B$4="Zone",IF(1345&lt;=$S$4,IF(OR('CHOP DASHBOARD'!$C$4="",ISNUMBER(SEARCH('CHOP DASHBOARD'!$C$4,INDEX(MASTER_ZONES!$B:$B,1346)))),1345,""),""),""))</f>
        <v/>
      </c>
      <c r="U1346">
        <f>IF('COMMUNITY CHURCH DASHBOARD'!$B$4="Area",IF(1345&lt;=$X$3,IF(AND(OR('COMMUNITY CHURCH DASHBOARD'!$C$4="",ISNUMBER(SEARCH('COMMUNITY CHURCH DASHBOARD'!$C$4,INDEX(MASTER_AREAS!$B:$B,1346))))),1345,""),""),IF('COMMUNITY CHURCH DASHBOARD'!$B$4="Zone",IF(1345&lt;=$X$4,IF(OR('COMMUNITY CHURCH DASHBOARD'!$C$4="",ISNUMBER(SEARCH('COMMUNITY CHURCH DASHBOARD'!$C$4,INDEX(MASTER_ZONES!$B:$B,1346)))),1345,""),""),""))</f>
        <v/>
      </c>
    </row>
    <row r="1347">
      <c r="A1347">
        <f>IF('WSF DASHBOARD'!$B$4="Area",IF(1346&lt;=$D$3,IF(AND(OR('WSF DASHBOARD'!$C$4="",ISNUMBER(SEARCH('WSF DASHBOARD'!$C$4,INDEX(MASTER_AREAS!$B:$B,1347))))),1346,""),""),IF('WSF DASHBOARD'!$B$4="Zone",IF(1346&lt;=$D$4,IF(OR('WSF DASHBOARD'!$C$4="",ISNUMBER(SEARCH('WSF DASHBOARD'!$C$4,INDEX(MASTER_ZONES!$B:$B,1347)))),1346,""),""),""))</f>
        <v/>
      </c>
      <c r="F1347">
        <f>IF('TRANSPORT DASHBOARD'!$B$4="Area",IF(1346&lt;=$I$3,IF(AND(INDEX(MASTER_AREAS!$F:$F,1347)&lt;&gt;"N",OR('TRANSPORT DASHBOARD'!$C$4="",ISNUMBER(SEARCH('TRANSPORT DASHBOARD'!$C$4,INDEX(MASTER_AREAS!$B:$B,1347))))),1346,""),""),IF('TRANSPORT DASHBOARD'!$B$4="Zone",IF(1346&lt;=$I$4,IF(OR('TRANSPORT DASHBOARD'!$C$4="",ISNUMBER(SEARCH('TRANSPORT DASHBOARD'!$C$4,INDEX(MASTER_ZONES!$B:$B,1347)))),1346,""),""),""))</f>
        <v/>
      </c>
      <c r="K1347">
        <f>IF('MIDWEEK DASHBOARD'!$B$4="Area",IF(1346&lt;=$N$3,IF(AND(OR('MIDWEEK DASHBOARD'!$C$4="",ISNUMBER(SEARCH('MIDWEEK DASHBOARD'!$C$4,INDEX(MASTER_AREAS!$B:$B,1347))))),1346,""),""),IF('MIDWEEK DASHBOARD'!$B$4="Zone",IF(1346&lt;=$N$4,IF(OR('MIDWEEK DASHBOARD'!$C$4="",ISNUMBER(SEARCH('MIDWEEK DASHBOARD'!$C$4,INDEX(MASTER_ZONES!$B:$B,1347)))),1346,""),""),""))</f>
        <v/>
      </c>
      <c r="P1347">
        <f>IF('CHOP DASHBOARD'!$B$4="Area",IF(1346&lt;=$S$3,IF(AND(OR('CHOP DASHBOARD'!$C$4="",ISNUMBER(SEARCH('CHOP DASHBOARD'!$C$4,INDEX(MASTER_AREAS!$B:$B,1347))))),1346,""),""),IF('CHOP DASHBOARD'!$B$4="Zone",IF(1346&lt;=$S$4,IF(OR('CHOP DASHBOARD'!$C$4="",ISNUMBER(SEARCH('CHOP DASHBOARD'!$C$4,INDEX(MASTER_ZONES!$B:$B,1347)))),1346,""),""),""))</f>
        <v/>
      </c>
      <c r="U1347">
        <f>IF('COMMUNITY CHURCH DASHBOARD'!$B$4="Area",IF(1346&lt;=$X$3,IF(AND(OR('COMMUNITY CHURCH DASHBOARD'!$C$4="",ISNUMBER(SEARCH('COMMUNITY CHURCH DASHBOARD'!$C$4,INDEX(MASTER_AREAS!$B:$B,1347))))),1346,""),""),IF('COMMUNITY CHURCH DASHBOARD'!$B$4="Zone",IF(1346&lt;=$X$4,IF(OR('COMMUNITY CHURCH DASHBOARD'!$C$4="",ISNUMBER(SEARCH('COMMUNITY CHURCH DASHBOARD'!$C$4,INDEX(MASTER_ZONES!$B:$B,1347)))),1346,""),""),""))</f>
        <v/>
      </c>
    </row>
    <row r="1348">
      <c r="A1348">
        <f>IF('WSF DASHBOARD'!$B$4="Area",IF(1347&lt;=$D$3,IF(AND(OR('WSF DASHBOARD'!$C$4="",ISNUMBER(SEARCH('WSF DASHBOARD'!$C$4,INDEX(MASTER_AREAS!$B:$B,1348))))),1347,""),""),IF('WSF DASHBOARD'!$B$4="Zone",IF(1347&lt;=$D$4,IF(OR('WSF DASHBOARD'!$C$4="",ISNUMBER(SEARCH('WSF DASHBOARD'!$C$4,INDEX(MASTER_ZONES!$B:$B,1348)))),1347,""),""),""))</f>
        <v/>
      </c>
      <c r="F1348">
        <f>IF('TRANSPORT DASHBOARD'!$B$4="Area",IF(1347&lt;=$I$3,IF(AND(INDEX(MASTER_AREAS!$F:$F,1348)&lt;&gt;"N",OR('TRANSPORT DASHBOARD'!$C$4="",ISNUMBER(SEARCH('TRANSPORT DASHBOARD'!$C$4,INDEX(MASTER_AREAS!$B:$B,1348))))),1347,""),""),IF('TRANSPORT DASHBOARD'!$B$4="Zone",IF(1347&lt;=$I$4,IF(OR('TRANSPORT DASHBOARD'!$C$4="",ISNUMBER(SEARCH('TRANSPORT DASHBOARD'!$C$4,INDEX(MASTER_ZONES!$B:$B,1348)))),1347,""),""),""))</f>
        <v/>
      </c>
      <c r="K1348">
        <f>IF('MIDWEEK DASHBOARD'!$B$4="Area",IF(1347&lt;=$N$3,IF(AND(OR('MIDWEEK DASHBOARD'!$C$4="",ISNUMBER(SEARCH('MIDWEEK DASHBOARD'!$C$4,INDEX(MASTER_AREAS!$B:$B,1348))))),1347,""),""),IF('MIDWEEK DASHBOARD'!$B$4="Zone",IF(1347&lt;=$N$4,IF(OR('MIDWEEK DASHBOARD'!$C$4="",ISNUMBER(SEARCH('MIDWEEK DASHBOARD'!$C$4,INDEX(MASTER_ZONES!$B:$B,1348)))),1347,""),""),""))</f>
        <v/>
      </c>
      <c r="P1348">
        <f>IF('CHOP DASHBOARD'!$B$4="Area",IF(1347&lt;=$S$3,IF(AND(OR('CHOP DASHBOARD'!$C$4="",ISNUMBER(SEARCH('CHOP DASHBOARD'!$C$4,INDEX(MASTER_AREAS!$B:$B,1348))))),1347,""),""),IF('CHOP DASHBOARD'!$B$4="Zone",IF(1347&lt;=$S$4,IF(OR('CHOP DASHBOARD'!$C$4="",ISNUMBER(SEARCH('CHOP DASHBOARD'!$C$4,INDEX(MASTER_ZONES!$B:$B,1348)))),1347,""),""),""))</f>
        <v/>
      </c>
      <c r="U1348">
        <f>IF('COMMUNITY CHURCH DASHBOARD'!$B$4="Area",IF(1347&lt;=$X$3,IF(AND(OR('COMMUNITY CHURCH DASHBOARD'!$C$4="",ISNUMBER(SEARCH('COMMUNITY CHURCH DASHBOARD'!$C$4,INDEX(MASTER_AREAS!$B:$B,1348))))),1347,""),""),IF('COMMUNITY CHURCH DASHBOARD'!$B$4="Zone",IF(1347&lt;=$X$4,IF(OR('COMMUNITY CHURCH DASHBOARD'!$C$4="",ISNUMBER(SEARCH('COMMUNITY CHURCH DASHBOARD'!$C$4,INDEX(MASTER_ZONES!$B:$B,1348)))),1347,""),""),""))</f>
        <v/>
      </c>
    </row>
    <row r="1349">
      <c r="A1349">
        <f>IF('WSF DASHBOARD'!$B$4="Area",IF(1348&lt;=$D$3,IF(AND(OR('WSF DASHBOARD'!$C$4="",ISNUMBER(SEARCH('WSF DASHBOARD'!$C$4,INDEX(MASTER_AREAS!$B:$B,1349))))),1348,""),""),IF('WSF DASHBOARD'!$B$4="Zone",IF(1348&lt;=$D$4,IF(OR('WSF DASHBOARD'!$C$4="",ISNUMBER(SEARCH('WSF DASHBOARD'!$C$4,INDEX(MASTER_ZONES!$B:$B,1349)))),1348,""),""),""))</f>
        <v/>
      </c>
      <c r="F1349">
        <f>IF('TRANSPORT DASHBOARD'!$B$4="Area",IF(1348&lt;=$I$3,IF(AND(INDEX(MASTER_AREAS!$F:$F,1349)&lt;&gt;"N",OR('TRANSPORT DASHBOARD'!$C$4="",ISNUMBER(SEARCH('TRANSPORT DASHBOARD'!$C$4,INDEX(MASTER_AREAS!$B:$B,1349))))),1348,""),""),IF('TRANSPORT DASHBOARD'!$B$4="Zone",IF(1348&lt;=$I$4,IF(OR('TRANSPORT DASHBOARD'!$C$4="",ISNUMBER(SEARCH('TRANSPORT DASHBOARD'!$C$4,INDEX(MASTER_ZONES!$B:$B,1349)))),1348,""),""),""))</f>
        <v/>
      </c>
      <c r="K1349">
        <f>IF('MIDWEEK DASHBOARD'!$B$4="Area",IF(1348&lt;=$N$3,IF(AND(OR('MIDWEEK DASHBOARD'!$C$4="",ISNUMBER(SEARCH('MIDWEEK DASHBOARD'!$C$4,INDEX(MASTER_AREAS!$B:$B,1349))))),1348,""),""),IF('MIDWEEK DASHBOARD'!$B$4="Zone",IF(1348&lt;=$N$4,IF(OR('MIDWEEK DASHBOARD'!$C$4="",ISNUMBER(SEARCH('MIDWEEK DASHBOARD'!$C$4,INDEX(MASTER_ZONES!$B:$B,1349)))),1348,""),""),""))</f>
        <v/>
      </c>
      <c r="P1349">
        <f>IF('CHOP DASHBOARD'!$B$4="Area",IF(1348&lt;=$S$3,IF(AND(OR('CHOP DASHBOARD'!$C$4="",ISNUMBER(SEARCH('CHOP DASHBOARD'!$C$4,INDEX(MASTER_AREAS!$B:$B,1349))))),1348,""),""),IF('CHOP DASHBOARD'!$B$4="Zone",IF(1348&lt;=$S$4,IF(OR('CHOP DASHBOARD'!$C$4="",ISNUMBER(SEARCH('CHOP DASHBOARD'!$C$4,INDEX(MASTER_ZONES!$B:$B,1349)))),1348,""),""),""))</f>
        <v/>
      </c>
      <c r="U1349">
        <f>IF('COMMUNITY CHURCH DASHBOARD'!$B$4="Area",IF(1348&lt;=$X$3,IF(AND(OR('COMMUNITY CHURCH DASHBOARD'!$C$4="",ISNUMBER(SEARCH('COMMUNITY CHURCH DASHBOARD'!$C$4,INDEX(MASTER_AREAS!$B:$B,1349))))),1348,""),""),IF('COMMUNITY CHURCH DASHBOARD'!$B$4="Zone",IF(1348&lt;=$X$4,IF(OR('COMMUNITY CHURCH DASHBOARD'!$C$4="",ISNUMBER(SEARCH('COMMUNITY CHURCH DASHBOARD'!$C$4,INDEX(MASTER_ZONES!$B:$B,1349)))),1348,""),""),""))</f>
        <v/>
      </c>
    </row>
    <row r="1350">
      <c r="A1350">
        <f>IF('WSF DASHBOARD'!$B$4="Area",IF(1349&lt;=$D$3,IF(AND(OR('WSF DASHBOARD'!$C$4="",ISNUMBER(SEARCH('WSF DASHBOARD'!$C$4,INDEX(MASTER_AREAS!$B:$B,1350))))),1349,""),""),IF('WSF DASHBOARD'!$B$4="Zone",IF(1349&lt;=$D$4,IF(OR('WSF DASHBOARD'!$C$4="",ISNUMBER(SEARCH('WSF DASHBOARD'!$C$4,INDEX(MASTER_ZONES!$B:$B,1350)))),1349,""),""),""))</f>
        <v/>
      </c>
      <c r="F1350">
        <f>IF('TRANSPORT DASHBOARD'!$B$4="Area",IF(1349&lt;=$I$3,IF(AND(INDEX(MASTER_AREAS!$F:$F,1350)&lt;&gt;"N",OR('TRANSPORT DASHBOARD'!$C$4="",ISNUMBER(SEARCH('TRANSPORT DASHBOARD'!$C$4,INDEX(MASTER_AREAS!$B:$B,1350))))),1349,""),""),IF('TRANSPORT DASHBOARD'!$B$4="Zone",IF(1349&lt;=$I$4,IF(OR('TRANSPORT DASHBOARD'!$C$4="",ISNUMBER(SEARCH('TRANSPORT DASHBOARD'!$C$4,INDEX(MASTER_ZONES!$B:$B,1350)))),1349,""),""),""))</f>
        <v/>
      </c>
      <c r="K1350">
        <f>IF('MIDWEEK DASHBOARD'!$B$4="Area",IF(1349&lt;=$N$3,IF(AND(OR('MIDWEEK DASHBOARD'!$C$4="",ISNUMBER(SEARCH('MIDWEEK DASHBOARD'!$C$4,INDEX(MASTER_AREAS!$B:$B,1350))))),1349,""),""),IF('MIDWEEK DASHBOARD'!$B$4="Zone",IF(1349&lt;=$N$4,IF(OR('MIDWEEK DASHBOARD'!$C$4="",ISNUMBER(SEARCH('MIDWEEK DASHBOARD'!$C$4,INDEX(MASTER_ZONES!$B:$B,1350)))),1349,""),""),""))</f>
        <v/>
      </c>
      <c r="P1350">
        <f>IF('CHOP DASHBOARD'!$B$4="Area",IF(1349&lt;=$S$3,IF(AND(OR('CHOP DASHBOARD'!$C$4="",ISNUMBER(SEARCH('CHOP DASHBOARD'!$C$4,INDEX(MASTER_AREAS!$B:$B,1350))))),1349,""),""),IF('CHOP DASHBOARD'!$B$4="Zone",IF(1349&lt;=$S$4,IF(OR('CHOP DASHBOARD'!$C$4="",ISNUMBER(SEARCH('CHOP DASHBOARD'!$C$4,INDEX(MASTER_ZONES!$B:$B,1350)))),1349,""),""),""))</f>
        <v/>
      </c>
      <c r="U1350">
        <f>IF('COMMUNITY CHURCH DASHBOARD'!$B$4="Area",IF(1349&lt;=$X$3,IF(AND(OR('COMMUNITY CHURCH DASHBOARD'!$C$4="",ISNUMBER(SEARCH('COMMUNITY CHURCH DASHBOARD'!$C$4,INDEX(MASTER_AREAS!$B:$B,1350))))),1349,""),""),IF('COMMUNITY CHURCH DASHBOARD'!$B$4="Zone",IF(1349&lt;=$X$4,IF(OR('COMMUNITY CHURCH DASHBOARD'!$C$4="",ISNUMBER(SEARCH('COMMUNITY CHURCH DASHBOARD'!$C$4,INDEX(MASTER_ZONES!$B:$B,1350)))),1349,""),""),""))</f>
        <v/>
      </c>
    </row>
    <row r="1351">
      <c r="A1351">
        <f>IF('WSF DASHBOARD'!$B$4="Area",IF(1350&lt;=$D$3,IF(AND(OR('WSF DASHBOARD'!$C$4="",ISNUMBER(SEARCH('WSF DASHBOARD'!$C$4,INDEX(MASTER_AREAS!$B:$B,1351))))),1350,""),""),IF('WSF DASHBOARD'!$B$4="Zone",IF(1350&lt;=$D$4,IF(OR('WSF DASHBOARD'!$C$4="",ISNUMBER(SEARCH('WSF DASHBOARD'!$C$4,INDEX(MASTER_ZONES!$B:$B,1351)))),1350,""),""),""))</f>
        <v/>
      </c>
      <c r="F1351">
        <f>IF('TRANSPORT DASHBOARD'!$B$4="Area",IF(1350&lt;=$I$3,IF(AND(INDEX(MASTER_AREAS!$F:$F,1351)&lt;&gt;"N",OR('TRANSPORT DASHBOARD'!$C$4="",ISNUMBER(SEARCH('TRANSPORT DASHBOARD'!$C$4,INDEX(MASTER_AREAS!$B:$B,1351))))),1350,""),""),IF('TRANSPORT DASHBOARD'!$B$4="Zone",IF(1350&lt;=$I$4,IF(OR('TRANSPORT DASHBOARD'!$C$4="",ISNUMBER(SEARCH('TRANSPORT DASHBOARD'!$C$4,INDEX(MASTER_ZONES!$B:$B,1351)))),1350,""),""),""))</f>
        <v/>
      </c>
      <c r="K1351">
        <f>IF('MIDWEEK DASHBOARD'!$B$4="Area",IF(1350&lt;=$N$3,IF(AND(OR('MIDWEEK DASHBOARD'!$C$4="",ISNUMBER(SEARCH('MIDWEEK DASHBOARD'!$C$4,INDEX(MASTER_AREAS!$B:$B,1351))))),1350,""),""),IF('MIDWEEK DASHBOARD'!$B$4="Zone",IF(1350&lt;=$N$4,IF(OR('MIDWEEK DASHBOARD'!$C$4="",ISNUMBER(SEARCH('MIDWEEK DASHBOARD'!$C$4,INDEX(MASTER_ZONES!$B:$B,1351)))),1350,""),""),""))</f>
        <v/>
      </c>
      <c r="P1351">
        <f>IF('CHOP DASHBOARD'!$B$4="Area",IF(1350&lt;=$S$3,IF(AND(OR('CHOP DASHBOARD'!$C$4="",ISNUMBER(SEARCH('CHOP DASHBOARD'!$C$4,INDEX(MASTER_AREAS!$B:$B,1351))))),1350,""),""),IF('CHOP DASHBOARD'!$B$4="Zone",IF(1350&lt;=$S$4,IF(OR('CHOP DASHBOARD'!$C$4="",ISNUMBER(SEARCH('CHOP DASHBOARD'!$C$4,INDEX(MASTER_ZONES!$B:$B,1351)))),1350,""),""),""))</f>
        <v/>
      </c>
      <c r="U1351">
        <f>IF('COMMUNITY CHURCH DASHBOARD'!$B$4="Area",IF(1350&lt;=$X$3,IF(AND(OR('COMMUNITY CHURCH DASHBOARD'!$C$4="",ISNUMBER(SEARCH('COMMUNITY CHURCH DASHBOARD'!$C$4,INDEX(MASTER_AREAS!$B:$B,1351))))),1350,""),""),IF('COMMUNITY CHURCH DASHBOARD'!$B$4="Zone",IF(1350&lt;=$X$4,IF(OR('COMMUNITY CHURCH DASHBOARD'!$C$4="",ISNUMBER(SEARCH('COMMUNITY CHURCH DASHBOARD'!$C$4,INDEX(MASTER_ZONES!$B:$B,1351)))),1350,""),""),""))</f>
        <v/>
      </c>
    </row>
    <row r="1352">
      <c r="A1352">
        <f>IF('WSF DASHBOARD'!$B$4="Area",IF(1351&lt;=$D$3,IF(AND(OR('WSF DASHBOARD'!$C$4="",ISNUMBER(SEARCH('WSF DASHBOARD'!$C$4,INDEX(MASTER_AREAS!$B:$B,1352))))),1351,""),""),IF('WSF DASHBOARD'!$B$4="Zone",IF(1351&lt;=$D$4,IF(OR('WSF DASHBOARD'!$C$4="",ISNUMBER(SEARCH('WSF DASHBOARD'!$C$4,INDEX(MASTER_ZONES!$B:$B,1352)))),1351,""),""),""))</f>
        <v/>
      </c>
      <c r="F1352">
        <f>IF('TRANSPORT DASHBOARD'!$B$4="Area",IF(1351&lt;=$I$3,IF(AND(INDEX(MASTER_AREAS!$F:$F,1352)&lt;&gt;"N",OR('TRANSPORT DASHBOARD'!$C$4="",ISNUMBER(SEARCH('TRANSPORT DASHBOARD'!$C$4,INDEX(MASTER_AREAS!$B:$B,1352))))),1351,""),""),IF('TRANSPORT DASHBOARD'!$B$4="Zone",IF(1351&lt;=$I$4,IF(OR('TRANSPORT DASHBOARD'!$C$4="",ISNUMBER(SEARCH('TRANSPORT DASHBOARD'!$C$4,INDEX(MASTER_ZONES!$B:$B,1352)))),1351,""),""),""))</f>
        <v/>
      </c>
      <c r="K1352">
        <f>IF('MIDWEEK DASHBOARD'!$B$4="Area",IF(1351&lt;=$N$3,IF(AND(OR('MIDWEEK DASHBOARD'!$C$4="",ISNUMBER(SEARCH('MIDWEEK DASHBOARD'!$C$4,INDEX(MASTER_AREAS!$B:$B,1352))))),1351,""),""),IF('MIDWEEK DASHBOARD'!$B$4="Zone",IF(1351&lt;=$N$4,IF(OR('MIDWEEK DASHBOARD'!$C$4="",ISNUMBER(SEARCH('MIDWEEK DASHBOARD'!$C$4,INDEX(MASTER_ZONES!$B:$B,1352)))),1351,""),""),""))</f>
        <v/>
      </c>
      <c r="P1352">
        <f>IF('CHOP DASHBOARD'!$B$4="Area",IF(1351&lt;=$S$3,IF(AND(OR('CHOP DASHBOARD'!$C$4="",ISNUMBER(SEARCH('CHOP DASHBOARD'!$C$4,INDEX(MASTER_AREAS!$B:$B,1352))))),1351,""),""),IF('CHOP DASHBOARD'!$B$4="Zone",IF(1351&lt;=$S$4,IF(OR('CHOP DASHBOARD'!$C$4="",ISNUMBER(SEARCH('CHOP DASHBOARD'!$C$4,INDEX(MASTER_ZONES!$B:$B,1352)))),1351,""),""),""))</f>
        <v/>
      </c>
      <c r="U1352">
        <f>IF('COMMUNITY CHURCH DASHBOARD'!$B$4="Area",IF(1351&lt;=$X$3,IF(AND(OR('COMMUNITY CHURCH DASHBOARD'!$C$4="",ISNUMBER(SEARCH('COMMUNITY CHURCH DASHBOARD'!$C$4,INDEX(MASTER_AREAS!$B:$B,1352))))),1351,""),""),IF('COMMUNITY CHURCH DASHBOARD'!$B$4="Zone",IF(1351&lt;=$X$4,IF(OR('COMMUNITY CHURCH DASHBOARD'!$C$4="",ISNUMBER(SEARCH('COMMUNITY CHURCH DASHBOARD'!$C$4,INDEX(MASTER_ZONES!$B:$B,1352)))),1351,""),""),""))</f>
        <v/>
      </c>
    </row>
    <row r="1353">
      <c r="A1353">
        <f>IF('WSF DASHBOARD'!$B$4="Area",IF(1352&lt;=$D$3,IF(AND(OR('WSF DASHBOARD'!$C$4="",ISNUMBER(SEARCH('WSF DASHBOARD'!$C$4,INDEX(MASTER_AREAS!$B:$B,1353))))),1352,""),""),IF('WSF DASHBOARD'!$B$4="Zone",IF(1352&lt;=$D$4,IF(OR('WSF DASHBOARD'!$C$4="",ISNUMBER(SEARCH('WSF DASHBOARD'!$C$4,INDEX(MASTER_ZONES!$B:$B,1353)))),1352,""),""),""))</f>
        <v/>
      </c>
      <c r="F1353">
        <f>IF('TRANSPORT DASHBOARD'!$B$4="Area",IF(1352&lt;=$I$3,IF(AND(INDEX(MASTER_AREAS!$F:$F,1353)&lt;&gt;"N",OR('TRANSPORT DASHBOARD'!$C$4="",ISNUMBER(SEARCH('TRANSPORT DASHBOARD'!$C$4,INDEX(MASTER_AREAS!$B:$B,1353))))),1352,""),""),IF('TRANSPORT DASHBOARD'!$B$4="Zone",IF(1352&lt;=$I$4,IF(OR('TRANSPORT DASHBOARD'!$C$4="",ISNUMBER(SEARCH('TRANSPORT DASHBOARD'!$C$4,INDEX(MASTER_ZONES!$B:$B,1353)))),1352,""),""),""))</f>
        <v/>
      </c>
      <c r="K1353">
        <f>IF('MIDWEEK DASHBOARD'!$B$4="Area",IF(1352&lt;=$N$3,IF(AND(OR('MIDWEEK DASHBOARD'!$C$4="",ISNUMBER(SEARCH('MIDWEEK DASHBOARD'!$C$4,INDEX(MASTER_AREAS!$B:$B,1353))))),1352,""),""),IF('MIDWEEK DASHBOARD'!$B$4="Zone",IF(1352&lt;=$N$4,IF(OR('MIDWEEK DASHBOARD'!$C$4="",ISNUMBER(SEARCH('MIDWEEK DASHBOARD'!$C$4,INDEX(MASTER_ZONES!$B:$B,1353)))),1352,""),""),""))</f>
        <v/>
      </c>
      <c r="P1353">
        <f>IF('CHOP DASHBOARD'!$B$4="Area",IF(1352&lt;=$S$3,IF(AND(OR('CHOP DASHBOARD'!$C$4="",ISNUMBER(SEARCH('CHOP DASHBOARD'!$C$4,INDEX(MASTER_AREAS!$B:$B,1353))))),1352,""),""),IF('CHOP DASHBOARD'!$B$4="Zone",IF(1352&lt;=$S$4,IF(OR('CHOP DASHBOARD'!$C$4="",ISNUMBER(SEARCH('CHOP DASHBOARD'!$C$4,INDEX(MASTER_ZONES!$B:$B,1353)))),1352,""),""),""))</f>
        <v/>
      </c>
      <c r="U1353">
        <f>IF('COMMUNITY CHURCH DASHBOARD'!$B$4="Area",IF(1352&lt;=$X$3,IF(AND(OR('COMMUNITY CHURCH DASHBOARD'!$C$4="",ISNUMBER(SEARCH('COMMUNITY CHURCH DASHBOARD'!$C$4,INDEX(MASTER_AREAS!$B:$B,1353))))),1352,""),""),IF('COMMUNITY CHURCH DASHBOARD'!$B$4="Zone",IF(1352&lt;=$X$4,IF(OR('COMMUNITY CHURCH DASHBOARD'!$C$4="",ISNUMBER(SEARCH('COMMUNITY CHURCH DASHBOARD'!$C$4,INDEX(MASTER_ZONES!$B:$B,1353)))),1352,""),""),""))</f>
        <v/>
      </c>
    </row>
    <row r="1354">
      <c r="A1354">
        <f>IF('WSF DASHBOARD'!$B$4="Area",IF(1353&lt;=$D$3,IF(AND(OR('WSF DASHBOARD'!$C$4="",ISNUMBER(SEARCH('WSF DASHBOARD'!$C$4,INDEX(MASTER_AREAS!$B:$B,1354))))),1353,""),""),IF('WSF DASHBOARD'!$B$4="Zone",IF(1353&lt;=$D$4,IF(OR('WSF DASHBOARD'!$C$4="",ISNUMBER(SEARCH('WSF DASHBOARD'!$C$4,INDEX(MASTER_ZONES!$B:$B,1354)))),1353,""),""),""))</f>
        <v/>
      </c>
      <c r="F1354">
        <f>IF('TRANSPORT DASHBOARD'!$B$4="Area",IF(1353&lt;=$I$3,IF(AND(INDEX(MASTER_AREAS!$F:$F,1354)&lt;&gt;"N",OR('TRANSPORT DASHBOARD'!$C$4="",ISNUMBER(SEARCH('TRANSPORT DASHBOARD'!$C$4,INDEX(MASTER_AREAS!$B:$B,1354))))),1353,""),""),IF('TRANSPORT DASHBOARD'!$B$4="Zone",IF(1353&lt;=$I$4,IF(OR('TRANSPORT DASHBOARD'!$C$4="",ISNUMBER(SEARCH('TRANSPORT DASHBOARD'!$C$4,INDEX(MASTER_ZONES!$B:$B,1354)))),1353,""),""),""))</f>
        <v/>
      </c>
      <c r="K1354">
        <f>IF('MIDWEEK DASHBOARD'!$B$4="Area",IF(1353&lt;=$N$3,IF(AND(OR('MIDWEEK DASHBOARD'!$C$4="",ISNUMBER(SEARCH('MIDWEEK DASHBOARD'!$C$4,INDEX(MASTER_AREAS!$B:$B,1354))))),1353,""),""),IF('MIDWEEK DASHBOARD'!$B$4="Zone",IF(1353&lt;=$N$4,IF(OR('MIDWEEK DASHBOARD'!$C$4="",ISNUMBER(SEARCH('MIDWEEK DASHBOARD'!$C$4,INDEX(MASTER_ZONES!$B:$B,1354)))),1353,""),""),""))</f>
        <v/>
      </c>
      <c r="P1354">
        <f>IF('CHOP DASHBOARD'!$B$4="Area",IF(1353&lt;=$S$3,IF(AND(OR('CHOP DASHBOARD'!$C$4="",ISNUMBER(SEARCH('CHOP DASHBOARD'!$C$4,INDEX(MASTER_AREAS!$B:$B,1354))))),1353,""),""),IF('CHOP DASHBOARD'!$B$4="Zone",IF(1353&lt;=$S$4,IF(OR('CHOP DASHBOARD'!$C$4="",ISNUMBER(SEARCH('CHOP DASHBOARD'!$C$4,INDEX(MASTER_ZONES!$B:$B,1354)))),1353,""),""),""))</f>
        <v/>
      </c>
      <c r="U1354">
        <f>IF('COMMUNITY CHURCH DASHBOARD'!$B$4="Area",IF(1353&lt;=$X$3,IF(AND(OR('COMMUNITY CHURCH DASHBOARD'!$C$4="",ISNUMBER(SEARCH('COMMUNITY CHURCH DASHBOARD'!$C$4,INDEX(MASTER_AREAS!$B:$B,1354))))),1353,""),""),IF('COMMUNITY CHURCH DASHBOARD'!$B$4="Zone",IF(1353&lt;=$X$4,IF(OR('COMMUNITY CHURCH DASHBOARD'!$C$4="",ISNUMBER(SEARCH('COMMUNITY CHURCH DASHBOARD'!$C$4,INDEX(MASTER_ZONES!$B:$B,1354)))),1353,""),""),""))</f>
        <v/>
      </c>
    </row>
    <row r="1355">
      <c r="A1355">
        <f>IF('WSF DASHBOARD'!$B$4="Area",IF(1354&lt;=$D$3,IF(AND(OR('WSF DASHBOARD'!$C$4="",ISNUMBER(SEARCH('WSF DASHBOARD'!$C$4,INDEX(MASTER_AREAS!$B:$B,1355))))),1354,""),""),IF('WSF DASHBOARD'!$B$4="Zone",IF(1354&lt;=$D$4,IF(OR('WSF DASHBOARD'!$C$4="",ISNUMBER(SEARCH('WSF DASHBOARD'!$C$4,INDEX(MASTER_ZONES!$B:$B,1355)))),1354,""),""),""))</f>
        <v/>
      </c>
      <c r="F1355">
        <f>IF('TRANSPORT DASHBOARD'!$B$4="Area",IF(1354&lt;=$I$3,IF(AND(INDEX(MASTER_AREAS!$F:$F,1355)&lt;&gt;"N",OR('TRANSPORT DASHBOARD'!$C$4="",ISNUMBER(SEARCH('TRANSPORT DASHBOARD'!$C$4,INDEX(MASTER_AREAS!$B:$B,1355))))),1354,""),""),IF('TRANSPORT DASHBOARD'!$B$4="Zone",IF(1354&lt;=$I$4,IF(OR('TRANSPORT DASHBOARD'!$C$4="",ISNUMBER(SEARCH('TRANSPORT DASHBOARD'!$C$4,INDEX(MASTER_ZONES!$B:$B,1355)))),1354,""),""),""))</f>
        <v/>
      </c>
      <c r="K1355">
        <f>IF('MIDWEEK DASHBOARD'!$B$4="Area",IF(1354&lt;=$N$3,IF(AND(OR('MIDWEEK DASHBOARD'!$C$4="",ISNUMBER(SEARCH('MIDWEEK DASHBOARD'!$C$4,INDEX(MASTER_AREAS!$B:$B,1355))))),1354,""),""),IF('MIDWEEK DASHBOARD'!$B$4="Zone",IF(1354&lt;=$N$4,IF(OR('MIDWEEK DASHBOARD'!$C$4="",ISNUMBER(SEARCH('MIDWEEK DASHBOARD'!$C$4,INDEX(MASTER_ZONES!$B:$B,1355)))),1354,""),""),""))</f>
        <v/>
      </c>
      <c r="P1355">
        <f>IF('CHOP DASHBOARD'!$B$4="Area",IF(1354&lt;=$S$3,IF(AND(OR('CHOP DASHBOARD'!$C$4="",ISNUMBER(SEARCH('CHOP DASHBOARD'!$C$4,INDEX(MASTER_AREAS!$B:$B,1355))))),1354,""),""),IF('CHOP DASHBOARD'!$B$4="Zone",IF(1354&lt;=$S$4,IF(OR('CHOP DASHBOARD'!$C$4="",ISNUMBER(SEARCH('CHOP DASHBOARD'!$C$4,INDEX(MASTER_ZONES!$B:$B,1355)))),1354,""),""),""))</f>
        <v/>
      </c>
      <c r="U1355">
        <f>IF('COMMUNITY CHURCH DASHBOARD'!$B$4="Area",IF(1354&lt;=$X$3,IF(AND(OR('COMMUNITY CHURCH DASHBOARD'!$C$4="",ISNUMBER(SEARCH('COMMUNITY CHURCH DASHBOARD'!$C$4,INDEX(MASTER_AREAS!$B:$B,1355))))),1354,""),""),IF('COMMUNITY CHURCH DASHBOARD'!$B$4="Zone",IF(1354&lt;=$X$4,IF(OR('COMMUNITY CHURCH DASHBOARD'!$C$4="",ISNUMBER(SEARCH('COMMUNITY CHURCH DASHBOARD'!$C$4,INDEX(MASTER_ZONES!$B:$B,1355)))),1354,""),""),""))</f>
        <v/>
      </c>
    </row>
    <row r="1356">
      <c r="A1356">
        <f>IF('WSF DASHBOARD'!$B$4="Area",IF(1355&lt;=$D$3,IF(AND(OR('WSF DASHBOARD'!$C$4="",ISNUMBER(SEARCH('WSF DASHBOARD'!$C$4,INDEX(MASTER_AREAS!$B:$B,1356))))),1355,""),""),IF('WSF DASHBOARD'!$B$4="Zone",IF(1355&lt;=$D$4,IF(OR('WSF DASHBOARD'!$C$4="",ISNUMBER(SEARCH('WSF DASHBOARD'!$C$4,INDEX(MASTER_ZONES!$B:$B,1356)))),1355,""),""),""))</f>
        <v/>
      </c>
      <c r="F1356">
        <f>IF('TRANSPORT DASHBOARD'!$B$4="Area",IF(1355&lt;=$I$3,IF(AND(INDEX(MASTER_AREAS!$F:$F,1356)&lt;&gt;"N",OR('TRANSPORT DASHBOARD'!$C$4="",ISNUMBER(SEARCH('TRANSPORT DASHBOARD'!$C$4,INDEX(MASTER_AREAS!$B:$B,1356))))),1355,""),""),IF('TRANSPORT DASHBOARD'!$B$4="Zone",IF(1355&lt;=$I$4,IF(OR('TRANSPORT DASHBOARD'!$C$4="",ISNUMBER(SEARCH('TRANSPORT DASHBOARD'!$C$4,INDEX(MASTER_ZONES!$B:$B,1356)))),1355,""),""),""))</f>
        <v/>
      </c>
      <c r="K1356">
        <f>IF('MIDWEEK DASHBOARD'!$B$4="Area",IF(1355&lt;=$N$3,IF(AND(OR('MIDWEEK DASHBOARD'!$C$4="",ISNUMBER(SEARCH('MIDWEEK DASHBOARD'!$C$4,INDEX(MASTER_AREAS!$B:$B,1356))))),1355,""),""),IF('MIDWEEK DASHBOARD'!$B$4="Zone",IF(1355&lt;=$N$4,IF(OR('MIDWEEK DASHBOARD'!$C$4="",ISNUMBER(SEARCH('MIDWEEK DASHBOARD'!$C$4,INDEX(MASTER_ZONES!$B:$B,1356)))),1355,""),""),""))</f>
        <v/>
      </c>
      <c r="P1356">
        <f>IF('CHOP DASHBOARD'!$B$4="Area",IF(1355&lt;=$S$3,IF(AND(OR('CHOP DASHBOARD'!$C$4="",ISNUMBER(SEARCH('CHOP DASHBOARD'!$C$4,INDEX(MASTER_AREAS!$B:$B,1356))))),1355,""),""),IF('CHOP DASHBOARD'!$B$4="Zone",IF(1355&lt;=$S$4,IF(OR('CHOP DASHBOARD'!$C$4="",ISNUMBER(SEARCH('CHOP DASHBOARD'!$C$4,INDEX(MASTER_ZONES!$B:$B,1356)))),1355,""),""),""))</f>
        <v/>
      </c>
      <c r="U1356">
        <f>IF('COMMUNITY CHURCH DASHBOARD'!$B$4="Area",IF(1355&lt;=$X$3,IF(AND(OR('COMMUNITY CHURCH DASHBOARD'!$C$4="",ISNUMBER(SEARCH('COMMUNITY CHURCH DASHBOARD'!$C$4,INDEX(MASTER_AREAS!$B:$B,1356))))),1355,""),""),IF('COMMUNITY CHURCH DASHBOARD'!$B$4="Zone",IF(1355&lt;=$X$4,IF(OR('COMMUNITY CHURCH DASHBOARD'!$C$4="",ISNUMBER(SEARCH('COMMUNITY CHURCH DASHBOARD'!$C$4,INDEX(MASTER_ZONES!$B:$B,1356)))),1355,""),""),""))</f>
        <v/>
      </c>
    </row>
    <row r="1357">
      <c r="A1357">
        <f>IF('WSF DASHBOARD'!$B$4="Area",IF(1356&lt;=$D$3,IF(AND(OR('WSF DASHBOARD'!$C$4="",ISNUMBER(SEARCH('WSF DASHBOARD'!$C$4,INDEX(MASTER_AREAS!$B:$B,1357))))),1356,""),""),IF('WSF DASHBOARD'!$B$4="Zone",IF(1356&lt;=$D$4,IF(OR('WSF DASHBOARD'!$C$4="",ISNUMBER(SEARCH('WSF DASHBOARD'!$C$4,INDEX(MASTER_ZONES!$B:$B,1357)))),1356,""),""),""))</f>
        <v/>
      </c>
      <c r="F1357">
        <f>IF('TRANSPORT DASHBOARD'!$B$4="Area",IF(1356&lt;=$I$3,IF(AND(INDEX(MASTER_AREAS!$F:$F,1357)&lt;&gt;"N",OR('TRANSPORT DASHBOARD'!$C$4="",ISNUMBER(SEARCH('TRANSPORT DASHBOARD'!$C$4,INDEX(MASTER_AREAS!$B:$B,1357))))),1356,""),""),IF('TRANSPORT DASHBOARD'!$B$4="Zone",IF(1356&lt;=$I$4,IF(OR('TRANSPORT DASHBOARD'!$C$4="",ISNUMBER(SEARCH('TRANSPORT DASHBOARD'!$C$4,INDEX(MASTER_ZONES!$B:$B,1357)))),1356,""),""),""))</f>
        <v/>
      </c>
      <c r="K1357">
        <f>IF('MIDWEEK DASHBOARD'!$B$4="Area",IF(1356&lt;=$N$3,IF(AND(OR('MIDWEEK DASHBOARD'!$C$4="",ISNUMBER(SEARCH('MIDWEEK DASHBOARD'!$C$4,INDEX(MASTER_AREAS!$B:$B,1357))))),1356,""),""),IF('MIDWEEK DASHBOARD'!$B$4="Zone",IF(1356&lt;=$N$4,IF(OR('MIDWEEK DASHBOARD'!$C$4="",ISNUMBER(SEARCH('MIDWEEK DASHBOARD'!$C$4,INDEX(MASTER_ZONES!$B:$B,1357)))),1356,""),""),""))</f>
        <v/>
      </c>
      <c r="P1357">
        <f>IF('CHOP DASHBOARD'!$B$4="Area",IF(1356&lt;=$S$3,IF(AND(OR('CHOP DASHBOARD'!$C$4="",ISNUMBER(SEARCH('CHOP DASHBOARD'!$C$4,INDEX(MASTER_AREAS!$B:$B,1357))))),1356,""),""),IF('CHOP DASHBOARD'!$B$4="Zone",IF(1356&lt;=$S$4,IF(OR('CHOP DASHBOARD'!$C$4="",ISNUMBER(SEARCH('CHOP DASHBOARD'!$C$4,INDEX(MASTER_ZONES!$B:$B,1357)))),1356,""),""),""))</f>
        <v/>
      </c>
      <c r="U1357">
        <f>IF('COMMUNITY CHURCH DASHBOARD'!$B$4="Area",IF(1356&lt;=$X$3,IF(AND(OR('COMMUNITY CHURCH DASHBOARD'!$C$4="",ISNUMBER(SEARCH('COMMUNITY CHURCH DASHBOARD'!$C$4,INDEX(MASTER_AREAS!$B:$B,1357))))),1356,""),""),IF('COMMUNITY CHURCH DASHBOARD'!$B$4="Zone",IF(1356&lt;=$X$4,IF(OR('COMMUNITY CHURCH DASHBOARD'!$C$4="",ISNUMBER(SEARCH('COMMUNITY CHURCH DASHBOARD'!$C$4,INDEX(MASTER_ZONES!$B:$B,1357)))),1356,""),""),""))</f>
        <v/>
      </c>
    </row>
    <row r="1358">
      <c r="A1358">
        <f>IF('WSF DASHBOARD'!$B$4="Area",IF(1357&lt;=$D$3,IF(AND(OR('WSF DASHBOARD'!$C$4="",ISNUMBER(SEARCH('WSF DASHBOARD'!$C$4,INDEX(MASTER_AREAS!$B:$B,1358))))),1357,""),""),IF('WSF DASHBOARD'!$B$4="Zone",IF(1357&lt;=$D$4,IF(OR('WSF DASHBOARD'!$C$4="",ISNUMBER(SEARCH('WSF DASHBOARD'!$C$4,INDEX(MASTER_ZONES!$B:$B,1358)))),1357,""),""),""))</f>
        <v/>
      </c>
      <c r="F1358">
        <f>IF('TRANSPORT DASHBOARD'!$B$4="Area",IF(1357&lt;=$I$3,IF(AND(INDEX(MASTER_AREAS!$F:$F,1358)&lt;&gt;"N",OR('TRANSPORT DASHBOARD'!$C$4="",ISNUMBER(SEARCH('TRANSPORT DASHBOARD'!$C$4,INDEX(MASTER_AREAS!$B:$B,1358))))),1357,""),""),IF('TRANSPORT DASHBOARD'!$B$4="Zone",IF(1357&lt;=$I$4,IF(OR('TRANSPORT DASHBOARD'!$C$4="",ISNUMBER(SEARCH('TRANSPORT DASHBOARD'!$C$4,INDEX(MASTER_ZONES!$B:$B,1358)))),1357,""),""),""))</f>
        <v/>
      </c>
      <c r="K1358">
        <f>IF('MIDWEEK DASHBOARD'!$B$4="Area",IF(1357&lt;=$N$3,IF(AND(OR('MIDWEEK DASHBOARD'!$C$4="",ISNUMBER(SEARCH('MIDWEEK DASHBOARD'!$C$4,INDEX(MASTER_AREAS!$B:$B,1358))))),1357,""),""),IF('MIDWEEK DASHBOARD'!$B$4="Zone",IF(1357&lt;=$N$4,IF(OR('MIDWEEK DASHBOARD'!$C$4="",ISNUMBER(SEARCH('MIDWEEK DASHBOARD'!$C$4,INDEX(MASTER_ZONES!$B:$B,1358)))),1357,""),""),""))</f>
        <v/>
      </c>
      <c r="P1358">
        <f>IF('CHOP DASHBOARD'!$B$4="Area",IF(1357&lt;=$S$3,IF(AND(OR('CHOP DASHBOARD'!$C$4="",ISNUMBER(SEARCH('CHOP DASHBOARD'!$C$4,INDEX(MASTER_AREAS!$B:$B,1358))))),1357,""),""),IF('CHOP DASHBOARD'!$B$4="Zone",IF(1357&lt;=$S$4,IF(OR('CHOP DASHBOARD'!$C$4="",ISNUMBER(SEARCH('CHOP DASHBOARD'!$C$4,INDEX(MASTER_ZONES!$B:$B,1358)))),1357,""),""),""))</f>
        <v/>
      </c>
      <c r="U1358">
        <f>IF('COMMUNITY CHURCH DASHBOARD'!$B$4="Area",IF(1357&lt;=$X$3,IF(AND(OR('COMMUNITY CHURCH DASHBOARD'!$C$4="",ISNUMBER(SEARCH('COMMUNITY CHURCH DASHBOARD'!$C$4,INDEX(MASTER_AREAS!$B:$B,1358))))),1357,""),""),IF('COMMUNITY CHURCH DASHBOARD'!$B$4="Zone",IF(1357&lt;=$X$4,IF(OR('COMMUNITY CHURCH DASHBOARD'!$C$4="",ISNUMBER(SEARCH('COMMUNITY CHURCH DASHBOARD'!$C$4,INDEX(MASTER_ZONES!$B:$B,1358)))),1357,""),""),""))</f>
        <v/>
      </c>
    </row>
    <row r="1359">
      <c r="A1359">
        <f>IF('WSF DASHBOARD'!$B$4="Area",IF(1358&lt;=$D$3,IF(AND(OR('WSF DASHBOARD'!$C$4="",ISNUMBER(SEARCH('WSF DASHBOARD'!$C$4,INDEX(MASTER_AREAS!$B:$B,1359))))),1358,""),""),IF('WSF DASHBOARD'!$B$4="Zone",IF(1358&lt;=$D$4,IF(OR('WSF DASHBOARD'!$C$4="",ISNUMBER(SEARCH('WSF DASHBOARD'!$C$4,INDEX(MASTER_ZONES!$B:$B,1359)))),1358,""),""),""))</f>
        <v/>
      </c>
      <c r="F1359">
        <f>IF('TRANSPORT DASHBOARD'!$B$4="Area",IF(1358&lt;=$I$3,IF(AND(INDEX(MASTER_AREAS!$F:$F,1359)&lt;&gt;"N",OR('TRANSPORT DASHBOARD'!$C$4="",ISNUMBER(SEARCH('TRANSPORT DASHBOARD'!$C$4,INDEX(MASTER_AREAS!$B:$B,1359))))),1358,""),""),IF('TRANSPORT DASHBOARD'!$B$4="Zone",IF(1358&lt;=$I$4,IF(OR('TRANSPORT DASHBOARD'!$C$4="",ISNUMBER(SEARCH('TRANSPORT DASHBOARD'!$C$4,INDEX(MASTER_ZONES!$B:$B,1359)))),1358,""),""),""))</f>
        <v/>
      </c>
      <c r="K1359">
        <f>IF('MIDWEEK DASHBOARD'!$B$4="Area",IF(1358&lt;=$N$3,IF(AND(OR('MIDWEEK DASHBOARD'!$C$4="",ISNUMBER(SEARCH('MIDWEEK DASHBOARD'!$C$4,INDEX(MASTER_AREAS!$B:$B,1359))))),1358,""),""),IF('MIDWEEK DASHBOARD'!$B$4="Zone",IF(1358&lt;=$N$4,IF(OR('MIDWEEK DASHBOARD'!$C$4="",ISNUMBER(SEARCH('MIDWEEK DASHBOARD'!$C$4,INDEX(MASTER_ZONES!$B:$B,1359)))),1358,""),""),""))</f>
        <v/>
      </c>
      <c r="P1359">
        <f>IF('CHOP DASHBOARD'!$B$4="Area",IF(1358&lt;=$S$3,IF(AND(OR('CHOP DASHBOARD'!$C$4="",ISNUMBER(SEARCH('CHOP DASHBOARD'!$C$4,INDEX(MASTER_AREAS!$B:$B,1359))))),1358,""),""),IF('CHOP DASHBOARD'!$B$4="Zone",IF(1358&lt;=$S$4,IF(OR('CHOP DASHBOARD'!$C$4="",ISNUMBER(SEARCH('CHOP DASHBOARD'!$C$4,INDEX(MASTER_ZONES!$B:$B,1359)))),1358,""),""),""))</f>
        <v/>
      </c>
      <c r="U1359">
        <f>IF('COMMUNITY CHURCH DASHBOARD'!$B$4="Area",IF(1358&lt;=$X$3,IF(AND(OR('COMMUNITY CHURCH DASHBOARD'!$C$4="",ISNUMBER(SEARCH('COMMUNITY CHURCH DASHBOARD'!$C$4,INDEX(MASTER_AREAS!$B:$B,1359))))),1358,""),""),IF('COMMUNITY CHURCH DASHBOARD'!$B$4="Zone",IF(1358&lt;=$X$4,IF(OR('COMMUNITY CHURCH DASHBOARD'!$C$4="",ISNUMBER(SEARCH('COMMUNITY CHURCH DASHBOARD'!$C$4,INDEX(MASTER_ZONES!$B:$B,1359)))),1358,""),""),""))</f>
        <v/>
      </c>
    </row>
    <row r="1360">
      <c r="A1360">
        <f>IF('WSF DASHBOARD'!$B$4="Area",IF(1359&lt;=$D$3,IF(AND(OR('WSF DASHBOARD'!$C$4="",ISNUMBER(SEARCH('WSF DASHBOARD'!$C$4,INDEX(MASTER_AREAS!$B:$B,1360))))),1359,""),""),IF('WSF DASHBOARD'!$B$4="Zone",IF(1359&lt;=$D$4,IF(OR('WSF DASHBOARD'!$C$4="",ISNUMBER(SEARCH('WSF DASHBOARD'!$C$4,INDEX(MASTER_ZONES!$B:$B,1360)))),1359,""),""),""))</f>
        <v/>
      </c>
      <c r="F1360">
        <f>IF('TRANSPORT DASHBOARD'!$B$4="Area",IF(1359&lt;=$I$3,IF(AND(INDEX(MASTER_AREAS!$F:$F,1360)&lt;&gt;"N",OR('TRANSPORT DASHBOARD'!$C$4="",ISNUMBER(SEARCH('TRANSPORT DASHBOARD'!$C$4,INDEX(MASTER_AREAS!$B:$B,1360))))),1359,""),""),IF('TRANSPORT DASHBOARD'!$B$4="Zone",IF(1359&lt;=$I$4,IF(OR('TRANSPORT DASHBOARD'!$C$4="",ISNUMBER(SEARCH('TRANSPORT DASHBOARD'!$C$4,INDEX(MASTER_ZONES!$B:$B,1360)))),1359,""),""),""))</f>
        <v/>
      </c>
      <c r="K1360">
        <f>IF('MIDWEEK DASHBOARD'!$B$4="Area",IF(1359&lt;=$N$3,IF(AND(OR('MIDWEEK DASHBOARD'!$C$4="",ISNUMBER(SEARCH('MIDWEEK DASHBOARD'!$C$4,INDEX(MASTER_AREAS!$B:$B,1360))))),1359,""),""),IF('MIDWEEK DASHBOARD'!$B$4="Zone",IF(1359&lt;=$N$4,IF(OR('MIDWEEK DASHBOARD'!$C$4="",ISNUMBER(SEARCH('MIDWEEK DASHBOARD'!$C$4,INDEX(MASTER_ZONES!$B:$B,1360)))),1359,""),""),""))</f>
        <v/>
      </c>
      <c r="P1360">
        <f>IF('CHOP DASHBOARD'!$B$4="Area",IF(1359&lt;=$S$3,IF(AND(OR('CHOP DASHBOARD'!$C$4="",ISNUMBER(SEARCH('CHOP DASHBOARD'!$C$4,INDEX(MASTER_AREAS!$B:$B,1360))))),1359,""),""),IF('CHOP DASHBOARD'!$B$4="Zone",IF(1359&lt;=$S$4,IF(OR('CHOP DASHBOARD'!$C$4="",ISNUMBER(SEARCH('CHOP DASHBOARD'!$C$4,INDEX(MASTER_ZONES!$B:$B,1360)))),1359,""),""),""))</f>
        <v/>
      </c>
      <c r="U1360">
        <f>IF('COMMUNITY CHURCH DASHBOARD'!$B$4="Area",IF(1359&lt;=$X$3,IF(AND(OR('COMMUNITY CHURCH DASHBOARD'!$C$4="",ISNUMBER(SEARCH('COMMUNITY CHURCH DASHBOARD'!$C$4,INDEX(MASTER_AREAS!$B:$B,1360))))),1359,""),""),IF('COMMUNITY CHURCH DASHBOARD'!$B$4="Zone",IF(1359&lt;=$X$4,IF(OR('COMMUNITY CHURCH DASHBOARD'!$C$4="",ISNUMBER(SEARCH('COMMUNITY CHURCH DASHBOARD'!$C$4,INDEX(MASTER_ZONES!$B:$B,1360)))),1359,""),""),""))</f>
        <v/>
      </c>
    </row>
    <row r="1361">
      <c r="A1361">
        <f>IF('WSF DASHBOARD'!$B$4="Area",IF(1360&lt;=$D$3,IF(AND(OR('WSF DASHBOARD'!$C$4="",ISNUMBER(SEARCH('WSF DASHBOARD'!$C$4,INDEX(MASTER_AREAS!$B:$B,1361))))),1360,""),""),IF('WSF DASHBOARD'!$B$4="Zone",IF(1360&lt;=$D$4,IF(OR('WSF DASHBOARD'!$C$4="",ISNUMBER(SEARCH('WSF DASHBOARD'!$C$4,INDEX(MASTER_ZONES!$B:$B,1361)))),1360,""),""),""))</f>
        <v/>
      </c>
      <c r="F1361">
        <f>IF('TRANSPORT DASHBOARD'!$B$4="Area",IF(1360&lt;=$I$3,IF(AND(INDEX(MASTER_AREAS!$F:$F,1361)&lt;&gt;"N",OR('TRANSPORT DASHBOARD'!$C$4="",ISNUMBER(SEARCH('TRANSPORT DASHBOARD'!$C$4,INDEX(MASTER_AREAS!$B:$B,1361))))),1360,""),""),IF('TRANSPORT DASHBOARD'!$B$4="Zone",IF(1360&lt;=$I$4,IF(OR('TRANSPORT DASHBOARD'!$C$4="",ISNUMBER(SEARCH('TRANSPORT DASHBOARD'!$C$4,INDEX(MASTER_ZONES!$B:$B,1361)))),1360,""),""),""))</f>
        <v/>
      </c>
      <c r="K1361">
        <f>IF('MIDWEEK DASHBOARD'!$B$4="Area",IF(1360&lt;=$N$3,IF(AND(OR('MIDWEEK DASHBOARD'!$C$4="",ISNUMBER(SEARCH('MIDWEEK DASHBOARD'!$C$4,INDEX(MASTER_AREAS!$B:$B,1361))))),1360,""),""),IF('MIDWEEK DASHBOARD'!$B$4="Zone",IF(1360&lt;=$N$4,IF(OR('MIDWEEK DASHBOARD'!$C$4="",ISNUMBER(SEARCH('MIDWEEK DASHBOARD'!$C$4,INDEX(MASTER_ZONES!$B:$B,1361)))),1360,""),""),""))</f>
        <v/>
      </c>
      <c r="P1361">
        <f>IF('CHOP DASHBOARD'!$B$4="Area",IF(1360&lt;=$S$3,IF(AND(OR('CHOP DASHBOARD'!$C$4="",ISNUMBER(SEARCH('CHOP DASHBOARD'!$C$4,INDEX(MASTER_AREAS!$B:$B,1361))))),1360,""),""),IF('CHOP DASHBOARD'!$B$4="Zone",IF(1360&lt;=$S$4,IF(OR('CHOP DASHBOARD'!$C$4="",ISNUMBER(SEARCH('CHOP DASHBOARD'!$C$4,INDEX(MASTER_ZONES!$B:$B,1361)))),1360,""),""),""))</f>
        <v/>
      </c>
      <c r="U1361">
        <f>IF('COMMUNITY CHURCH DASHBOARD'!$B$4="Area",IF(1360&lt;=$X$3,IF(AND(OR('COMMUNITY CHURCH DASHBOARD'!$C$4="",ISNUMBER(SEARCH('COMMUNITY CHURCH DASHBOARD'!$C$4,INDEX(MASTER_AREAS!$B:$B,1361))))),1360,""),""),IF('COMMUNITY CHURCH DASHBOARD'!$B$4="Zone",IF(1360&lt;=$X$4,IF(OR('COMMUNITY CHURCH DASHBOARD'!$C$4="",ISNUMBER(SEARCH('COMMUNITY CHURCH DASHBOARD'!$C$4,INDEX(MASTER_ZONES!$B:$B,1361)))),1360,""),""),""))</f>
        <v/>
      </c>
    </row>
    <row r="1362">
      <c r="A1362">
        <f>IF('WSF DASHBOARD'!$B$4="Area",IF(1361&lt;=$D$3,IF(AND(OR('WSF DASHBOARD'!$C$4="",ISNUMBER(SEARCH('WSF DASHBOARD'!$C$4,INDEX(MASTER_AREAS!$B:$B,1362))))),1361,""),""),IF('WSF DASHBOARD'!$B$4="Zone",IF(1361&lt;=$D$4,IF(OR('WSF DASHBOARD'!$C$4="",ISNUMBER(SEARCH('WSF DASHBOARD'!$C$4,INDEX(MASTER_ZONES!$B:$B,1362)))),1361,""),""),""))</f>
        <v/>
      </c>
      <c r="F1362">
        <f>IF('TRANSPORT DASHBOARD'!$B$4="Area",IF(1361&lt;=$I$3,IF(AND(INDEX(MASTER_AREAS!$F:$F,1362)&lt;&gt;"N",OR('TRANSPORT DASHBOARD'!$C$4="",ISNUMBER(SEARCH('TRANSPORT DASHBOARD'!$C$4,INDEX(MASTER_AREAS!$B:$B,1362))))),1361,""),""),IF('TRANSPORT DASHBOARD'!$B$4="Zone",IF(1361&lt;=$I$4,IF(OR('TRANSPORT DASHBOARD'!$C$4="",ISNUMBER(SEARCH('TRANSPORT DASHBOARD'!$C$4,INDEX(MASTER_ZONES!$B:$B,1362)))),1361,""),""),""))</f>
        <v/>
      </c>
      <c r="K1362">
        <f>IF('MIDWEEK DASHBOARD'!$B$4="Area",IF(1361&lt;=$N$3,IF(AND(OR('MIDWEEK DASHBOARD'!$C$4="",ISNUMBER(SEARCH('MIDWEEK DASHBOARD'!$C$4,INDEX(MASTER_AREAS!$B:$B,1362))))),1361,""),""),IF('MIDWEEK DASHBOARD'!$B$4="Zone",IF(1361&lt;=$N$4,IF(OR('MIDWEEK DASHBOARD'!$C$4="",ISNUMBER(SEARCH('MIDWEEK DASHBOARD'!$C$4,INDEX(MASTER_ZONES!$B:$B,1362)))),1361,""),""),""))</f>
        <v/>
      </c>
      <c r="P1362">
        <f>IF('CHOP DASHBOARD'!$B$4="Area",IF(1361&lt;=$S$3,IF(AND(OR('CHOP DASHBOARD'!$C$4="",ISNUMBER(SEARCH('CHOP DASHBOARD'!$C$4,INDEX(MASTER_AREAS!$B:$B,1362))))),1361,""),""),IF('CHOP DASHBOARD'!$B$4="Zone",IF(1361&lt;=$S$4,IF(OR('CHOP DASHBOARD'!$C$4="",ISNUMBER(SEARCH('CHOP DASHBOARD'!$C$4,INDEX(MASTER_ZONES!$B:$B,1362)))),1361,""),""),""))</f>
        <v/>
      </c>
      <c r="U1362">
        <f>IF('COMMUNITY CHURCH DASHBOARD'!$B$4="Area",IF(1361&lt;=$X$3,IF(AND(OR('COMMUNITY CHURCH DASHBOARD'!$C$4="",ISNUMBER(SEARCH('COMMUNITY CHURCH DASHBOARD'!$C$4,INDEX(MASTER_AREAS!$B:$B,1362))))),1361,""),""),IF('COMMUNITY CHURCH DASHBOARD'!$B$4="Zone",IF(1361&lt;=$X$4,IF(OR('COMMUNITY CHURCH DASHBOARD'!$C$4="",ISNUMBER(SEARCH('COMMUNITY CHURCH DASHBOARD'!$C$4,INDEX(MASTER_ZONES!$B:$B,1362)))),1361,""),""),""))</f>
        <v/>
      </c>
    </row>
    <row r="1363">
      <c r="A1363">
        <f>IF('WSF DASHBOARD'!$B$4="Area",IF(1362&lt;=$D$3,IF(AND(OR('WSF DASHBOARD'!$C$4="",ISNUMBER(SEARCH('WSF DASHBOARD'!$C$4,INDEX(MASTER_AREAS!$B:$B,1363))))),1362,""),""),IF('WSF DASHBOARD'!$B$4="Zone",IF(1362&lt;=$D$4,IF(OR('WSF DASHBOARD'!$C$4="",ISNUMBER(SEARCH('WSF DASHBOARD'!$C$4,INDEX(MASTER_ZONES!$B:$B,1363)))),1362,""),""),""))</f>
        <v/>
      </c>
      <c r="F1363">
        <f>IF('TRANSPORT DASHBOARD'!$B$4="Area",IF(1362&lt;=$I$3,IF(AND(INDEX(MASTER_AREAS!$F:$F,1363)&lt;&gt;"N",OR('TRANSPORT DASHBOARD'!$C$4="",ISNUMBER(SEARCH('TRANSPORT DASHBOARD'!$C$4,INDEX(MASTER_AREAS!$B:$B,1363))))),1362,""),""),IF('TRANSPORT DASHBOARD'!$B$4="Zone",IF(1362&lt;=$I$4,IF(OR('TRANSPORT DASHBOARD'!$C$4="",ISNUMBER(SEARCH('TRANSPORT DASHBOARD'!$C$4,INDEX(MASTER_ZONES!$B:$B,1363)))),1362,""),""),""))</f>
        <v/>
      </c>
      <c r="K1363">
        <f>IF('MIDWEEK DASHBOARD'!$B$4="Area",IF(1362&lt;=$N$3,IF(AND(OR('MIDWEEK DASHBOARD'!$C$4="",ISNUMBER(SEARCH('MIDWEEK DASHBOARD'!$C$4,INDEX(MASTER_AREAS!$B:$B,1363))))),1362,""),""),IF('MIDWEEK DASHBOARD'!$B$4="Zone",IF(1362&lt;=$N$4,IF(OR('MIDWEEK DASHBOARD'!$C$4="",ISNUMBER(SEARCH('MIDWEEK DASHBOARD'!$C$4,INDEX(MASTER_ZONES!$B:$B,1363)))),1362,""),""),""))</f>
        <v/>
      </c>
      <c r="P1363">
        <f>IF('CHOP DASHBOARD'!$B$4="Area",IF(1362&lt;=$S$3,IF(AND(OR('CHOP DASHBOARD'!$C$4="",ISNUMBER(SEARCH('CHOP DASHBOARD'!$C$4,INDEX(MASTER_AREAS!$B:$B,1363))))),1362,""),""),IF('CHOP DASHBOARD'!$B$4="Zone",IF(1362&lt;=$S$4,IF(OR('CHOP DASHBOARD'!$C$4="",ISNUMBER(SEARCH('CHOP DASHBOARD'!$C$4,INDEX(MASTER_ZONES!$B:$B,1363)))),1362,""),""),""))</f>
        <v/>
      </c>
      <c r="U1363">
        <f>IF('COMMUNITY CHURCH DASHBOARD'!$B$4="Area",IF(1362&lt;=$X$3,IF(AND(OR('COMMUNITY CHURCH DASHBOARD'!$C$4="",ISNUMBER(SEARCH('COMMUNITY CHURCH DASHBOARD'!$C$4,INDEX(MASTER_AREAS!$B:$B,1363))))),1362,""),""),IF('COMMUNITY CHURCH DASHBOARD'!$B$4="Zone",IF(1362&lt;=$X$4,IF(OR('COMMUNITY CHURCH DASHBOARD'!$C$4="",ISNUMBER(SEARCH('COMMUNITY CHURCH DASHBOARD'!$C$4,INDEX(MASTER_ZONES!$B:$B,1363)))),1362,""),""),""))</f>
        <v/>
      </c>
    </row>
    <row r="1364">
      <c r="A1364">
        <f>IF('WSF DASHBOARD'!$B$4="Area",IF(1363&lt;=$D$3,IF(AND(OR('WSF DASHBOARD'!$C$4="",ISNUMBER(SEARCH('WSF DASHBOARD'!$C$4,INDEX(MASTER_AREAS!$B:$B,1364))))),1363,""),""),IF('WSF DASHBOARD'!$B$4="Zone",IF(1363&lt;=$D$4,IF(OR('WSF DASHBOARD'!$C$4="",ISNUMBER(SEARCH('WSF DASHBOARD'!$C$4,INDEX(MASTER_ZONES!$B:$B,1364)))),1363,""),""),""))</f>
        <v/>
      </c>
      <c r="F1364">
        <f>IF('TRANSPORT DASHBOARD'!$B$4="Area",IF(1363&lt;=$I$3,IF(AND(INDEX(MASTER_AREAS!$F:$F,1364)&lt;&gt;"N",OR('TRANSPORT DASHBOARD'!$C$4="",ISNUMBER(SEARCH('TRANSPORT DASHBOARD'!$C$4,INDEX(MASTER_AREAS!$B:$B,1364))))),1363,""),""),IF('TRANSPORT DASHBOARD'!$B$4="Zone",IF(1363&lt;=$I$4,IF(OR('TRANSPORT DASHBOARD'!$C$4="",ISNUMBER(SEARCH('TRANSPORT DASHBOARD'!$C$4,INDEX(MASTER_ZONES!$B:$B,1364)))),1363,""),""),""))</f>
        <v/>
      </c>
      <c r="K1364">
        <f>IF('MIDWEEK DASHBOARD'!$B$4="Area",IF(1363&lt;=$N$3,IF(AND(OR('MIDWEEK DASHBOARD'!$C$4="",ISNUMBER(SEARCH('MIDWEEK DASHBOARD'!$C$4,INDEX(MASTER_AREAS!$B:$B,1364))))),1363,""),""),IF('MIDWEEK DASHBOARD'!$B$4="Zone",IF(1363&lt;=$N$4,IF(OR('MIDWEEK DASHBOARD'!$C$4="",ISNUMBER(SEARCH('MIDWEEK DASHBOARD'!$C$4,INDEX(MASTER_ZONES!$B:$B,1364)))),1363,""),""),""))</f>
        <v/>
      </c>
      <c r="P1364">
        <f>IF('CHOP DASHBOARD'!$B$4="Area",IF(1363&lt;=$S$3,IF(AND(OR('CHOP DASHBOARD'!$C$4="",ISNUMBER(SEARCH('CHOP DASHBOARD'!$C$4,INDEX(MASTER_AREAS!$B:$B,1364))))),1363,""),""),IF('CHOP DASHBOARD'!$B$4="Zone",IF(1363&lt;=$S$4,IF(OR('CHOP DASHBOARD'!$C$4="",ISNUMBER(SEARCH('CHOP DASHBOARD'!$C$4,INDEX(MASTER_ZONES!$B:$B,1364)))),1363,""),""),""))</f>
        <v/>
      </c>
      <c r="U1364">
        <f>IF('COMMUNITY CHURCH DASHBOARD'!$B$4="Area",IF(1363&lt;=$X$3,IF(AND(OR('COMMUNITY CHURCH DASHBOARD'!$C$4="",ISNUMBER(SEARCH('COMMUNITY CHURCH DASHBOARD'!$C$4,INDEX(MASTER_AREAS!$B:$B,1364))))),1363,""),""),IF('COMMUNITY CHURCH DASHBOARD'!$B$4="Zone",IF(1363&lt;=$X$4,IF(OR('COMMUNITY CHURCH DASHBOARD'!$C$4="",ISNUMBER(SEARCH('COMMUNITY CHURCH DASHBOARD'!$C$4,INDEX(MASTER_ZONES!$B:$B,1364)))),1363,""),""),""))</f>
        <v/>
      </c>
    </row>
    <row r="1365">
      <c r="A1365">
        <f>IF('WSF DASHBOARD'!$B$4="Area",IF(1364&lt;=$D$3,IF(AND(OR('WSF DASHBOARD'!$C$4="",ISNUMBER(SEARCH('WSF DASHBOARD'!$C$4,INDEX(MASTER_AREAS!$B:$B,1365))))),1364,""),""),IF('WSF DASHBOARD'!$B$4="Zone",IF(1364&lt;=$D$4,IF(OR('WSF DASHBOARD'!$C$4="",ISNUMBER(SEARCH('WSF DASHBOARD'!$C$4,INDEX(MASTER_ZONES!$B:$B,1365)))),1364,""),""),""))</f>
        <v/>
      </c>
      <c r="F1365">
        <f>IF('TRANSPORT DASHBOARD'!$B$4="Area",IF(1364&lt;=$I$3,IF(AND(INDEX(MASTER_AREAS!$F:$F,1365)&lt;&gt;"N",OR('TRANSPORT DASHBOARD'!$C$4="",ISNUMBER(SEARCH('TRANSPORT DASHBOARD'!$C$4,INDEX(MASTER_AREAS!$B:$B,1365))))),1364,""),""),IF('TRANSPORT DASHBOARD'!$B$4="Zone",IF(1364&lt;=$I$4,IF(OR('TRANSPORT DASHBOARD'!$C$4="",ISNUMBER(SEARCH('TRANSPORT DASHBOARD'!$C$4,INDEX(MASTER_ZONES!$B:$B,1365)))),1364,""),""),""))</f>
        <v/>
      </c>
      <c r="K1365">
        <f>IF('MIDWEEK DASHBOARD'!$B$4="Area",IF(1364&lt;=$N$3,IF(AND(OR('MIDWEEK DASHBOARD'!$C$4="",ISNUMBER(SEARCH('MIDWEEK DASHBOARD'!$C$4,INDEX(MASTER_AREAS!$B:$B,1365))))),1364,""),""),IF('MIDWEEK DASHBOARD'!$B$4="Zone",IF(1364&lt;=$N$4,IF(OR('MIDWEEK DASHBOARD'!$C$4="",ISNUMBER(SEARCH('MIDWEEK DASHBOARD'!$C$4,INDEX(MASTER_ZONES!$B:$B,1365)))),1364,""),""),""))</f>
        <v/>
      </c>
      <c r="P1365">
        <f>IF('CHOP DASHBOARD'!$B$4="Area",IF(1364&lt;=$S$3,IF(AND(OR('CHOP DASHBOARD'!$C$4="",ISNUMBER(SEARCH('CHOP DASHBOARD'!$C$4,INDEX(MASTER_AREAS!$B:$B,1365))))),1364,""),""),IF('CHOP DASHBOARD'!$B$4="Zone",IF(1364&lt;=$S$4,IF(OR('CHOP DASHBOARD'!$C$4="",ISNUMBER(SEARCH('CHOP DASHBOARD'!$C$4,INDEX(MASTER_ZONES!$B:$B,1365)))),1364,""),""),""))</f>
        <v/>
      </c>
      <c r="U1365">
        <f>IF('COMMUNITY CHURCH DASHBOARD'!$B$4="Area",IF(1364&lt;=$X$3,IF(AND(OR('COMMUNITY CHURCH DASHBOARD'!$C$4="",ISNUMBER(SEARCH('COMMUNITY CHURCH DASHBOARD'!$C$4,INDEX(MASTER_AREAS!$B:$B,1365))))),1364,""),""),IF('COMMUNITY CHURCH DASHBOARD'!$B$4="Zone",IF(1364&lt;=$X$4,IF(OR('COMMUNITY CHURCH DASHBOARD'!$C$4="",ISNUMBER(SEARCH('COMMUNITY CHURCH DASHBOARD'!$C$4,INDEX(MASTER_ZONES!$B:$B,1365)))),1364,""),""),""))</f>
        <v/>
      </c>
    </row>
    <row r="1366">
      <c r="A1366">
        <f>IF('WSF DASHBOARD'!$B$4="Area",IF(1365&lt;=$D$3,IF(AND(OR('WSF DASHBOARD'!$C$4="",ISNUMBER(SEARCH('WSF DASHBOARD'!$C$4,INDEX(MASTER_AREAS!$B:$B,1366))))),1365,""),""),IF('WSF DASHBOARD'!$B$4="Zone",IF(1365&lt;=$D$4,IF(OR('WSF DASHBOARD'!$C$4="",ISNUMBER(SEARCH('WSF DASHBOARD'!$C$4,INDEX(MASTER_ZONES!$B:$B,1366)))),1365,""),""),""))</f>
        <v/>
      </c>
      <c r="F1366">
        <f>IF('TRANSPORT DASHBOARD'!$B$4="Area",IF(1365&lt;=$I$3,IF(AND(INDEX(MASTER_AREAS!$F:$F,1366)&lt;&gt;"N",OR('TRANSPORT DASHBOARD'!$C$4="",ISNUMBER(SEARCH('TRANSPORT DASHBOARD'!$C$4,INDEX(MASTER_AREAS!$B:$B,1366))))),1365,""),""),IF('TRANSPORT DASHBOARD'!$B$4="Zone",IF(1365&lt;=$I$4,IF(OR('TRANSPORT DASHBOARD'!$C$4="",ISNUMBER(SEARCH('TRANSPORT DASHBOARD'!$C$4,INDEX(MASTER_ZONES!$B:$B,1366)))),1365,""),""),""))</f>
        <v/>
      </c>
      <c r="K1366">
        <f>IF('MIDWEEK DASHBOARD'!$B$4="Area",IF(1365&lt;=$N$3,IF(AND(OR('MIDWEEK DASHBOARD'!$C$4="",ISNUMBER(SEARCH('MIDWEEK DASHBOARD'!$C$4,INDEX(MASTER_AREAS!$B:$B,1366))))),1365,""),""),IF('MIDWEEK DASHBOARD'!$B$4="Zone",IF(1365&lt;=$N$4,IF(OR('MIDWEEK DASHBOARD'!$C$4="",ISNUMBER(SEARCH('MIDWEEK DASHBOARD'!$C$4,INDEX(MASTER_ZONES!$B:$B,1366)))),1365,""),""),""))</f>
        <v/>
      </c>
      <c r="P1366">
        <f>IF('CHOP DASHBOARD'!$B$4="Area",IF(1365&lt;=$S$3,IF(AND(OR('CHOP DASHBOARD'!$C$4="",ISNUMBER(SEARCH('CHOP DASHBOARD'!$C$4,INDEX(MASTER_AREAS!$B:$B,1366))))),1365,""),""),IF('CHOP DASHBOARD'!$B$4="Zone",IF(1365&lt;=$S$4,IF(OR('CHOP DASHBOARD'!$C$4="",ISNUMBER(SEARCH('CHOP DASHBOARD'!$C$4,INDEX(MASTER_ZONES!$B:$B,1366)))),1365,""),""),""))</f>
        <v/>
      </c>
      <c r="U1366">
        <f>IF('COMMUNITY CHURCH DASHBOARD'!$B$4="Area",IF(1365&lt;=$X$3,IF(AND(OR('COMMUNITY CHURCH DASHBOARD'!$C$4="",ISNUMBER(SEARCH('COMMUNITY CHURCH DASHBOARD'!$C$4,INDEX(MASTER_AREAS!$B:$B,1366))))),1365,""),""),IF('COMMUNITY CHURCH DASHBOARD'!$B$4="Zone",IF(1365&lt;=$X$4,IF(OR('COMMUNITY CHURCH DASHBOARD'!$C$4="",ISNUMBER(SEARCH('COMMUNITY CHURCH DASHBOARD'!$C$4,INDEX(MASTER_ZONES!$B:$B,1366)))),1365,""),""),""))</f>
        <v/>
      </c>
    </row>
    <row r="1367">
      <c r="A1367">
        <f>IF('WSF DASHBOARD'!$B$4="Area",IF(1366&lt;=$D$3,IF(AND(OR('WSF DASHBOARD'!$C$4="",ISNUMBER(SEARCH('WSF DASHBOARD'!$C$4,INDEX(MASTER_AREAS!$B:$B,1367))))),1366,""),""),IF('WSF DASHBOARD'!$B$4="Zone",IF(1366&lt;=$D$4,IF(OR('WSF DASHBOARD'!$C$4="",ISNUMBER(SEARCH('WSF DASHBOARD'!$C$4,INDEX(MASTER_ZONES!$B:$B,1367)))),1366,""),""),""))</f>
        <v/>
      </c>
      <c r="F1367">
        <f>IF('TRANSPORT DASHBOARD'!$B$4="Area",IF(1366&lt;=$I$3,IF(AND(INDEX(MASTER_AREAS!$F:$F,1367)&lt;&gt;"N",OR('TRANSPORT DASHBOARD'!$C$4="",ISNUMBER(SEARCH('TRANSPORT DASHBOARD'!$C$4,INDEX(MASTER_AREAS!$B:$B,1367))))),1366,""),""),IF('TRANSPORT DASHBOARD'!$B$4="Zone",IF(1366&lt;=$I$4,IF(OR('TRANSPORT DASHBOARD'!$C$4="",ISNUMBER(SEARCH('TRANSPORT DASHBOARD'!$C$4,INDEX(MASTER_ZONES!$B:$B,1367)))),1366,""),""),""))</f>
        <v/>
      </c>
      <c r="K1367">
        <f>IF('MIDWEEK DASHBOARD'!$B$4="Area",IF(1366&lt;=$N$3,IF(AND(OR('MIDWEEK DASHBOARD'!$C$4="",ISNUMBER(SEARCH('MIDWEEK DASHBOARD'!$C$4,INDEX(MASTER_AREAS!$B:$B,1367))))),1366,""),""),IF('MIDWEEK DASHBOARD'!$B$4="Zone",IF(1366&lt;=$N$4,IF(OR('MIDWEEK DASHBOARD'!$C$4="",ISNUMBER(SEARCH('MIDWEEK DASHBOARD'!$C$4,INDEX(MASTER_ZONES!$B:$B,1367)))),1366,""),""),""))</f>
        <v/>
      </c>
      <c r="P1367">
        <f>IF('CHOP DASHBOARD'!$B$4="Area",IF(1366&lt;=$S$3,IF(AND(OR('CHOP DASHBOARD'!$C$4="",ISNUMBER(SEARCH('CHOP DASHBOARD'!$C$4,INDEX(MASTER_AREAS!$B:$B,1367))))),1366,""),""),IF('CHOP DASHBOARD'!$B$4="Zone",IF(1366&lt;=$S$4,IF(OR('CHOP DASHBOARD'!$C$4="",ISNUMBER(SEARCH('CHOP DASHBOARD'!$C$4,INDEX(MASTER_ZONES!$B:$B,1367)))),1366,""),""),""))</f>
        <v/>
      </c>
      <c r="U1367">
        <f>IF('COMMUNITY CHURCH DASHBOARD'!$B$4="Area",IF(1366&lt;=$X$3,IF(AND(OR('COMMUNITY CHURCH DASHBOARD'!$C$4="",ISNUMBER(SEARCH('COMMUNITY CHURCH DASHBOARD'!$C$4,INDEX(MASTER_AREAS!$B:$B,1367))))),1366,""),""),IF('COMMUNITY CHURCH DASHBOARD'!$B$4="Zone",IF(1366&lt;=$X$4,IF(OR('COMMUNITY CHURCH DASHBOARD'!$C$4="",ISNUMBER(SEARCH('COMMUNITY CHURCH DASHBOARD'!$C$4,INDEX(MASTER_ZONES!$B:$B,1367)))),1366,""),""),""))</f>
        <v/>
      </c>
    </row>
    <row r="1368">
      <c r="A1368">
        <f>IF('WSF DASHBOARD'!$B$4="Area",IF(1367&lt;=$D$3,IF(AND(OR('WSF DASHBOARD'!$C$4="",ISNUMBER(SEARCH('WSF DASHBOARD'!$C$4,INDEX(MASTER_AREAS!$B:$B,1368))))),1367,""),""),IF('WSF DASHBOARD'!$B$4="Zone",IF(1367&lt;=$D$4,IF(OR('WSF DASHBOARD'!$C$4="",ISNUMBER(SEARCH('WSF DASHBOARD'!$C$4,INDEX(MASTER_ZONES!$B:$B,1368)))),1367,""),""),""))</f>
        <v/>
      </c>
      <c r="F1368">
        <f>IF('TRANSPORT DASHBOARD'!$B$4="Area",IF(1367&lt;=$I$3,IF(AND(INDEX(MASTER_AREAS!$F:$F,1368)&lt;&gt;"N",OR('TRANSPORT DASHBOARD'!$C$4="",ISNUMBER(SEARCH('TRANSPORT DASHBOARD'!$C$4,INDEX(MASTER_AREAS!$B:$B,1368))))),1367,""),""),IF('TRANSPORT DASHBOARD'!$B$4="Zone",IF(1367&lt;=$I$4,IF(OR('TRANSPORT DASHBOARD'!$C$4="",ISNUMBER(SEARCH('TRANSPORT DASHBOARD'!$C$4,INDEX(MASTER_ZONES!$B:$B,1368)))),1367,""),""),""))</f>
        <v/>
      </c>
      <c r="K1368">
        <f>IF('MIDWEEK DASHBOARD'!$B$4="Area",IF(1367&lt;=$N$3,IF(AND(OR('MIDWEEK DASHBOARD'!$C$4="",ISNUMBER(SEARCH('MIDWEEK DASHBOARD'!$C$4,INDEX(MASTER_AREAS!$B:$B,1368))))),1367,""),""),IF('MIDWEEK DASHBOARD'!$B$4="Zone",IF(1367&lt;=$N$4,IF(OR('MIDWEEK DASHBOARD'!$C$4="",ISNUMBER(SEARCH('MIDWEEK DASHBOARD'!$C$4,INDEX(MASTER_ZONES!$B:$B,1368)))),1367,""),""),""))</f>
        <v/>
      </c>
      <c r="P1368">
        <f>IF('CHOP DASHBOARD'!$B$4="Area",IF(1367&lt;=$S$3,IF(AND(OR('CHOP DASHBOARD'!$C$4="",ISNUMBER(SEARCH('CHOP DASHBOARD'!$C$4,INDEX(MASTER_AREAS!$B:$B,1368))))),1367,""),""),IF('CHOP DASHBOARD'!$B$4="Zone",IF(1367&lt;=$S$4,IF(OR('CHOP DASHBOARD'!$C$4="",ISNUMBER(SEARCH('CHOP DASHBOARD'!$C$4,INDEX(MASTER_ZONES!$B:$B,1368)))),1367,""),""),""))</f>
        <v/>
      </c>
      <c r="U1368">
        <f>IF('COMMUNITY CHURCH DASHBOARD'!$B$4="Area",IF(1367&lt;=$X$3,IF(AND(OR('COMMUNITY CHURCH DASHBOARD'!$C$4="",ISNUMBER(SEARCH('COMMUNITY CHURCH DASHBOARD'!$C$4,INDEX(MASTER_AREAS!$B:$B,1368))))),1367,""),""),IF('COMMUNITY CHURCH DASHBOARD'!$B$4="Zone",IF(1367&lt;=$X$4,IF(OR('COMMUNITY CHURCH DASHBOARD'!$C$4="",ISNUMBER(SEARCH('COMMUNITY CHURCH DASHBOARD'!$C$4,INDEX(MASTER_ZONES!$B:$B,1368)))),1367,""),""),""))</f>
        <v/>
      </c>
    </row>
    <row r="1369">
      <c r="A1369">
        <f>IF('WSF DASHBOARD'!$B$4="Area",IF(1368&lt;=$D$3,IF(AND(OR('WSF DASHBOARD'!$C$4="",ISNUMBER(SEARCH('WSF DASHBOARD'!$C$4,INDEX(MASTER_AREAS!$B:$B,1369))))),1368,""),""),IF('WSF DASHBOARD'!$B$4="Zone",IF(1368&lt;=$D$4,IF(OR('WSF DASHBOARD'!$C$4="",ISNUMBER(SEARCH('WSF DASHBOARD'!$C$4,INDEX(MASTER_ZONES!$B:$B,1369)))),1368,""),""),""))</f>
        <v/>
      </c>
      <c r="F1369">
        <f>IF('TRANSPORT DASHBOARD'!$B$4="Area",IF(1368&lt;=$I$3,IF(AND(INDEX(MASTER_AREAS!$F:$F,1369)&lt;&gt;"N",OR('TRANSPORT DASHBOARD'!$C$4="",ISNUMBER(SEARCH('TRANSPORT DASHBOARD'!$C$4,INDEX(MASTER_AREAS!$B:$B,1369))))),1368,""),""),IF('TRANSPORT DASHBOARD'!$B$4="Zone",IF(1368&lt;=$I$4,IF(OR('TRANSPORT DASHBOARD'!$C$4="",ISNUMBER(SEARCH('TRANSPORT DASHBOARD'!$C$4,INDEX(MASTER_ZONES!$B:$B,1369)))),1368,""),""),""))</f>
        <v/>
      </c>
      <c r="K1369">
        <f>IF('MIDWEEK DASHBOARD'!$B$4="Area",IF(1368&lt;=$N$3,IF(AND(OR('MIDWEEK DASHBOARD'!$C$4="",ISNUMBER(SEARCH('MIDWEEK DASHBOARD'!$C$4,INDEX(MASTER_AREAS!$B:$B,1369))))),1368,""),""),IF('MIDWEEK DASHBOARD'!$B$4="Zone",IF(1368&lt;=$N$4,IF(OR('MIDWEEK DASHBOARD'!$C$4="",ISNUMBER(SEARCH('MIDWEEK DASHBOARD'!$C$4,INDEX(MASTER_ZONES!$B:$B,1369)))),1368,""),""),""))</f>
        <v/>
      </c>
      <c r="P1369">
        <f>IF('CHOP DASHBOARD'!$B$4="Area",IF(1368&lt;=$S$3,IF(AND(OR('CHOP DASHBOARD'!$C$4="",ISNUMBER(SEARCH('CHOP DASHBOARD'!$C$4,INDEX(MASTER_AREAS!$B:$B,1369))))),1368,""),""),IF('CHOP DASHBOARD'!$B$4="Zone",IF(1368&lt;=$S$4,IF(OR('CHOP DASHBOARD'!$C$4="",ISNUMBER(SEARCH('CHOP DASHBOARD'!$C$4,INDEX(MASTER_ZONES!$B:$B,1369)))),1368,""),""),""))</f>
        <v/>
      </c>
      <c r="U1369">
        <f>IF('COMMUNITY CHURCH DASHBOARD'!$B$4="Area",IF(1368&lt;=$X$3,IF(AND(OR('COMMUNITY CHURCH DASHBOARD'!$C$4="",ISNUMBER(SEARCH('COMMUNITY CHURCH DASHBOARD'!$C$4,INDEX(MASTER_AREAS!$B:$B,1369))))),1368,""),""),IF('COMMUNITY CHURCH DASHBOARD'!$B$4="Zone",IF(1368&lt;=$X$4,IF(OR('COMMUNITY CHURCH DASHBOARD'!$C$4="",ISNUMBER(SEARCH('COMMUNITY CHURCH DASHBOARD'!$C$4,INDEX(MASTER_ZONES!$B:$B,1369)))),1368,""),""),""))</f>
        <v/>
      </c>
    </row>
    <row r="1370">
      <c r="A1370">
        <f>IF('WSF DASHBOARD'!$B$4="Area",IF(1369&lt;=$D$3,IF(AND(OR('WSF DASHBOARD'!$C$4="",ISNUMBER(SEARCH('WSF DASHBOARD'!$C$4,INDEX(MASTER_AREAS!$B:$B,1370))))),1369,""),""),IF('WSF DASHBOARD'!$B$4="Zone",IF(1369&lt;=$D$4,IF(OR('WSF DASHBOARD'!$C$4="",ISNUMBER(SEARCH('WSF DASHBOARD'!$C$4,INDEX(MASTER_ZONES!$B:$B,1370)))),1369,""),""),""))</f>
        <v/>
      </c>
      <c r="F1370">
        <f>IF('TRANSPORT DASHBOARD'!$B$4="Area",IF(1369&lt;=$I$3,IF(AND(INDEX(MASTER_AREAS!$F:$F,1370)&lt;&gt;"N",OR('TRANSPORT DASHBOARD'!$C$4="",ISNUMBER(SEARCH('TRANSPORT DASHBOARD'!$C$4,INDEX(MASTER_AREAS!$B:$B,1370))))),1369,""),""),IF('TRANSPORT DASHBOARD'!$B$4="Zone",IF(1369&lt;=$I$4,IF(OR('TRANSPORT DASHBOARD'!$C$4="",ISNUMBER(SEARCH('TRANSPORT DASHBOARD'!$C$4,INDEX(MASTER_ZONES!$B:$B,1370)))),1369,""),""),""))</f>
        <v/>
      </c>
      <c r="K1370">
        <f>IF('MIDWEEK DASHBOARD'!$B$4="Area",IF(1369&lt;=$N$3,IF(AND(OR('MIDWEEK DASHBOARD'!$C$4="",ISNUMBER(SEARCH('MIDWEEK DASHBOARD'!$C$4,INDEX(MASTER_AREAS!$B:$B,1370))))),1369,""),""),IF('MIDWEEK DASHBOARD'!$B$4="Zone",IF(1369&lt;=$N$4,IF(OR('MIDWEEK DASHBOARD'!$C$4="",ISNUMBER(SEARCH('MIDWEEK DASHBOARD'!$C$4,INDEX(MASTER_ZONES!$B:$B,1370)))),1369,""),""),""))</f>
        <v/>
      </c>
      <c r="P1370">
        <f>IF('CHOP DASHBOARD'!$B$4="Area",IF(1369&lt;=$S$3,IF(AND(OR('CHOP DASHBOARD'!$C$4="",ISNUMBER(SEARCH('CHOP DASHBOARD'!$C$4,INDEX(MASTER_AREAS!$B:$B,1370))))),1369,""),""),IF('CHOP DASHBOARD'!$B$4="Zone",IF(1369&lt;=$S$4,IF(OR('CHOP DASHBOARD'!$C$4="",ISNUMBER(SEARCH('CHOP DASHBOARD'!$C$4,INDEX(MASTER_ZONES!$B:$B,1370)))),1369,""),""),""))</f>
        <v/>
      </c>
      <c r="U1370">
        <f>IF('COMMUNITY CHURCH DASHBOARD'!$B$4="Area",IF(1369&lt;=$X$3,IF(AND(OR('COMMUNITY CHURCH DASHBOARD'!$C$4="",ISNUMBER(SEARCH('COMMUNITY CHURCH DASHBOARD'!$C$4,INDEX(MASTER_AREAS!$B:$B,1370))))),1369,""),""),IF('COMMUNITY CHURCH DASHBOARD'!$B$4="Zone",IF(1369&lt;=$X$4,IF(OR('COMMUNITY CHURCH DASHBOARD'!$C$4="",ISNUMBER(SEARCH('COMMUNITY CHURCH DASHBOARD'!$C$4,INDEX(MASTER_ZONES!$B:$B,1370)))),1369,""),""),""))</f>
        <v/>
      </c>
    </row>
    <row r="1371">
      <c r="A1371">
        <f>IF('WSF DASHBOARD'!$B$4="Area",IF(1370&lt;=$D$3,IF(AND(OR('WSF DASHBOARD'!$C$4="",ISNUMBER(SEARCH('WSF DASHBOARD'!$C$4,INDEX(MASTER_AREAS!$B:$B,1371))))),1370,""),""),IF('WSF DASHBOARD'!$B$4="Zone",IF(1370&lt;=$D$4,IF(OR('WSF DASHBOARD'!$C$4="",ISNUMBER(SEARCH('WSF DASHBOARD'!$C$4,INDEX(MASTER_ZONES!$B:$B,1371)))),1370,""),""),""))</f>
        <v/>
      </c>
      <c r="F1371">
        <f>IF('TRANSPORT DASHBOARD'!$B$4="Area",IF(1370&lt;=$I$3,IF(AND(INDEX(MASTER_AREAS!$F:$F,1371)&lt;&gt;"N",OR('TRANSPORT DASHBOARD'!$C$4="",ISNUMBER(SEARCH('TRANSPORT DASHBOARD'!$C$4,INDEX(MASTER_AREAS!$B:$B,1371))))),1370,""),""),IF('TRANSPORT DASHBOARD'!$B$4="Zone",IF(1370&lt;=$I$4,IF(OR('TRANSPORT DASHBOARD'!$C$4="",ISNUMBER(SEARCH('TRANSPORT DASHBOARD'!$C$4,INDEX(MASTER_ZONES!$B:$B,1371)))),1370,""),""),""))</f>
        <v/>
      </c>
      <c r="K1371">
        <f>IF('MIDWEEK DASHBOARD'!$B$4="Area",IF(1370&lt;=$N$3,IF(AND(OR('MIDWEEK DASHBOARD'!$C$4="",ISNUMBER(SEARCH('MIDWEEK DASHBOARD'!$C$4,INDEX(MASTER_AREAS!$B:$B,1371))))),1370,""),""),IF('MIDWEEK DASHBOARD'!$B$4="Zone",IF(1370&lt;=$N$4,IF(OR('MIDWEEK DASHBOARD'!$C$4="",ISNUMBER(SEARCH('MIDWEEK DASHBOARD'!$C$4,INDEX(MASTER_ZONES!$B:$B,1371)))),1370,""),""),""))</f>
        <v/>
      </c>
      <c r="P1371">
        <f>IF('CHOP DASHBOARD'!$B$4="Area",IF(1370&lt;=$S$3,IF(AND(OR('CHOP DASHBOARD'!$C$4="",ISNUMBER(SEARCH('CHOP DASHBOARD'!$C$4,INDEX(MASTER_AREAS!$B:$B,1371))))),1370,""),""),IF('CHOP DASHBOARD'!$B$4="Zone",IF(1370&lt;=$S$4,IF(OR('CHOP DASHBOARD'!$C$4="",ISNUMBER(SEARCH('CHOP DASHBOARD'!$C$4,INDEX(MASTER_ZONES!$B:$B,1371)))),1370,""),""),""))</f>
        <v/>
      </c>
      <c r="U1371">
        <f>IF('COMMUNITY CHURCH DASHBOARD'!$B$4="Area",IF(1370&lt;=$X$3,IF(AND(OR('COMMUNITY CHURCH DASHBOARD'!$C$4="",ISNUMBER(SEARCH('COMMUNITY CHURCH DASHBOARD'!$C$4,INDEX(MASTER_AREAS!$B:$B,1371))))),1370,""),""),IF('COMMUNITY CHURCH DASHBOARD'!$B$4="Zone",IF(1370&lt;=$X$4,IF(OR('COMMUNITY CHURCH DASHBOARD'!$C$4="",ISNUMBER(SEARCH('COMMUNITY CHURCH DASHBOARD'!$C$4,INDEX(MASTER_ZONES!$B:$B,1371)))),1370,""),""),""))</f>
        <v/>
      </c>
    </row>
    <row r="1372">
      <c r="A1372">
        <f>IF('WSF DASHBOARD'!$B$4="Area",IF(1371&lt;=$D$3,IF(AND(OR('WSF DASHBOARD'!$C$4="",ISNUMBER(SEARCH('WSF DASHBOARD'!$C$4,INDEX(MASTER_AREAS!$B:$B,1372))))),1371,""),""),IF('WSF DASHBOARD'!$B$4="Zone",IF(1371&lt;=$D$4,IF(OR('WSF DASHBOARD'!$C$4="",ISNUMBER(SEARCH('WSF DASHBOARD'!$C$4,INDEX(MASTER_ZONES!$B:$B,1372)))),1371,""),""),""))</f>
        <v/>
      </c>
      <c r="F1372">
        <f>IF('TRANSPORT DASHBOARD'!$B$4="Area",IF(1371&lt;=$I$3,IF(AND(INDEX(MASTER_AREAS!$F:$F,1372)&lt;&gt;"N",OR('TRANSPORT DASHBOARD'!$C$4="",ISNUMBER(SEARCH('TRANSPORT DASHBOARD'!$C$4,INDEX(MASTER_AREAS!$B:$B,1372))))),1371,""),""),IF('TRANSPORT DASHBOARD'!$B$4="Zone",IF(1371&lt;=$I$4,IF(OR('TRANSPORT DASHBOARD'!$C$4="",ISNUMBER(SEARCH('TRANSPORT DASHBOARD'!$C$4,INDEX(MASTER_ZONES!$B:$B,1372)))),1371,""),""),""))</f>
        <v/>
      </c>
      <c r="K1372">
        <f>IF('MIDWEEK DASHBOARD'!$B$4="Area",IF(1371&lt;=$N$3,IF(AND(OR('MIDWEEK DASHBOARD'!$C$4="",ISNUMBER(SEARCH('MIDWEEK DASHBOARD'!$C$4,INDEX(MASTER_AREAS!$B:$B,1372))))),1371,""),""),IF('MIDWEEK DASHBOARD'!$B$4="Zone",IF(1371&lt;=$N$4,IF(OR('MIDWEEK DASHBOARD'!$C$4="",ISNUMBER(SEARCH('MIDWEEK DASHBOARD'!$C$4,INDEX(MASTER_ZONES!$B:$B,1372)))),1371,""),""),""))</f>
        <v/>
      </c>
      <c r="P1372">
        <f>IF('CHOP DASHBOARD'!$B$4="Area",IF(1371&lt;=$S$3,IF(AND(OR('CHOP DASHBOARD'!$C$4="",ISNUMBER(SEARCH('CHOP DASHBOARD'!$C$4,INDEX(MASTER_AREAS!$B:$B,1372))))),1371,""),""),IF('CHOP DASHBOARD'!$B$4="Zone",IF(1371&lt;=$S$4,IF(OR('CHOP DASHBOARD'!$C$4="",ISNUMBER(SEARCH('CHOP DASHBOARD'!$C$4,INDEX(MASTER_ZONES!$B:$B,1372)))),1371,""),""),""))</f>
        <v/>
      </c>
      <c r="U1372">
        <f>IF('COMMUNITY CHURCH DASHBOARD'!$B$4="Area",IF(1371&lt;=$X$3,IF(AND(OR('COMMUNITY CHURCH DASHBOARD'!$C$4="",ISNUMBER(SEARCH('COMMUNITY CHURCH DASHBOARD'!$C$4,INDEX(MASTER_AREAS!$B:$B,1372))))),1371,""),""),IF('COMMUNITY CHURCH DASHBOARD'!$B$4="Zone",IF(1371&lt;=$X$4,IF(OR('COMMUNITY CHURCH DASHBOARD'!$C$4="",ISNUMBER(SEARCH('COMMUNITY CHURCH DASHBOARD'!$C$4,INDEX(MASTER_ZONES!$B:$B,1372)))),1371,""),""),""))</f>
        <v/>
      </c>
    </row>
    <row r="1373">
      <c r="A1373">
        <f>IF('WSF DASHBOARD'!$B$4="Area",IF(1372&lt;=$D$3,IF(AND(OR('WSF DASHBOARD'!$C$4="",ISNUMBER(SEARCH('WSF DASHBOARD'!$C$4,INDEX(MASTER_AREAS!$B:$B,1373))))),1372,""),""),IF('WSF DASHBOARD'!$B$4="Zone",IF(1372&lt;=$D$4,IF(OR('WSF DASHBOARD'!$C$4="",ISNUMBER(SEARCH('WSF DASHBOARD'!$C$4,INDEX(MASTER_ZONES!$B:$B,1373)))),1372,""),""),""))</f>
        <v/>
      </c>
      <c r="F1373">
        <f>IF('TRANSPORT DASHBOARD'!$B$4="Area",IF(1372&lt;=$I$3,IF(AND(INDEX(MASTER_AREAS!$F:$F,1373)&lt;&gt;"N",OR('TRANSPORT DASHBOARD'!$C$4="",ISNUMBER(SEARCH('TRANSPORT DASHBOARD'!$C$4,INDEX(MASTER_AREAS!$B:$B,1373))))),1372,""),""),IF('TRANSPORT DASHBOARD'!$B$4="Zone",IF(1372&lt;=$I$4,IF(OR('TRANSPORT DASHBOARD'!$C$4="",ISNUMBER(SEARCH('TRANSPORT DASHBOARD'!$C$4,INDEX(MASTER_ZONES!$B:$B,1373)))),1372,""),""),""))</f>
        <v/>
      </c>
      <c r="K1373">
        <f>IF('MIDWEEK DASHBOARD'!$B$4="Area",IF(1372&lt;=$N$3,IF(AND(OR('MIDWEEK DASHBOARD'!$C$4="",ISNUMBER(SEARCH('MIDWEEK DASHBOARD'!$C$4,INDEX(MASTER_AREAS!$B:$B,1373))))),1372,""),""),IF('MIDWEEK DASHBOARD'!$B$4="Zone",IF(1372&lt;=$N$4,IF(OR('MIDWEEK DASHBOARD'!$C$4="",ISNUMBER(SEARCH('MIDWEEK DASHBOARD'!$C$4,INDEX(MASTER_ZONES!$B:$B,1373)))),1372,""),""),""))</f>
        <v/>
      </c>
      <c r="P1373">
        <f>IF('CHOP DASHBOARD'!$B$4="Area",IF(1372&lt;=$S$3,IF(AND(OR('CHOP DASHBOARD'!$C$4="",ISNUMBER(SEARCH('CHOP DASHBOARD'!$C$4,INDEX(MASTER_AREAS!$B:$B,1373))))),1372,""),""),IF('CHOP DASHBOARD'!$B$4="Zone",IF(1372&lt;=$S$4,IF(OR('CHOP DASHBOARD'!$C$4="",ISNUMBER(SEARCH('CHOP DASHBOARD'!$C$4,INDEX(MASTER_ZONES!$B:$B,1373)))),1372,""),""),""))</f>
        <v/>
      </c>
      <c r="U1373">
        <f>IF('COMMUNITY CHURCH DASHBOARD'!$B$4="Area",IF(1372&lt;=$X$3,IF(AND(OR('COMMUNITY CHURCH DASHBOARD'!$C$4="",ISNUMBER(SEARCH('COMMUNITY CHURCH DASHBOARD'!$C$4,INDEX(MASTER_AREAS!$B:$B,1373))))),1372,""),""),IF('COMMUNITY CHURCH DASHBOARD'!$B$4="Zone",IF(1372&lt;=$X$4,IF(OR('COMMUNITY CHURCH DASHBOARD'!$C$4="",ISNUMBER(SEARCH('COMMUNITY CHURCH DASHBOARD'!$C$4,INDEX(MASTER_ZONES!$B:$B,1373)))),1372,""),""),""))</f>
        <v/>
      </c>
    </row>
    <row r="1374">
      <c r="A1374">
        <f>IF('WSF DASHBOARD'!$B$4="Area",IF(1373&lt;=$D$3,IF(AND(OR('WSF DASHBOARD'!$C$4="",ISNUMBER(SEARCH('WSF DASHBOARD'!$C$4,INDEX(MASTER_AREAS!$B:$B,1374))))),1373,""),""),IF('WSF DASHBOARD'!$B$4="Zone",IF(1373&lt;=$D$4,IF(OR('WSF DASHBOARD'!$C$4="",ISNUMBER(SEARCH('WSF DASHBOARD'!$C$4,INDEX(MASTER_ZONES!$B:$B,1374)))),1373,""),""),""))</f>
        <v/>
      </c>
      <c r="F1374">
        <f>IF('TRANSPORT DASHBOARD'!$B$4="Area",IF(1373&lt;=$I$3,IF(AND(INDEX(MASTER_AREAS!$F:$F,1374)&lt;&gt;"N",OR('TRANSPORT DASHBOARD'!$C$4="",ISNUMBER(SEARCH('TRANSPORT DASHBOARD'!$C$4,INDEX(MASTER_AREAS!$B:$B,1374))))),1373,""),""),IF('TRANSPORT DASHBOARD'!$B$4="Zone",IF(1373&lt;=$I$4,IF(OR('TRANSPORT DASHBOARD'!$C$4="",ISNUMBER(SEARCH('TRANSPORT DASHBOARD'!$C$4,INDEX(MASTER_ZONES!$B:$B,1374)))),1373,""),""),""))</f>
        <v/>
      </c>
      <c r="K1374">
        <f>IF('MIDWEEK DASHBOARD'!$B$4="Area",IF(1373&lt;=$N$3,IF(AND(OR('MIDWEEK DASHBOARD'!$C$4="",ISNUMBER(SEARCH('MIDWEEK DASHBOARD'!$C$4,INDEX(MASTER_AREAS!$B:$B,1374))))),1373,""),""),IF('MIDWEEK DASHBOARD'!$B$4="Zone",IF(1373&lt;=$N$4,IF(OR('MIDWEEK DASHBOARD'!$C$4="",ISNUMBER(SEARCH('MIDWEEK DASHBOARD'!$C$4,INDEX(MASTER_ZONES!$B:$B,1374)))),1373,""),""),""))</f>
        <v/>
      </c>
      <c r="P1374">
        <f>IF('CHOP DASHBOARD'!$B$4="Area",IF(1373&lt;=$S$3,IF(AND(OR('CHOP DASHBOARD'!$C$4="",ISNUMBER(SEARCH('CHOP DASHBOARD'!$C$4,INDEX(MASTER_AREAS!$B:$B,1374))))),1373,""),""),IF('CHOP DASHBOARD'!$B$4="Zone",IF(1373&lt;=$S$4,IF(OR('CHOP DASHBOARD'!$C$4="",ISNUMBER(SEARCH('CHOP DASHBOARD'!$C$4,INDEX(MASTER_ZONES!$B:$B,1374)))),1373,""),""),""))</f>
        <v/>
      </c>
      <c r="U1374">
        <f>IF('COMMUNITY CHURCH DASHBOARD'!$B$4="Area",IF(1373&lt;=$X$3,IF(AND(OR('COMMUNITY CHURCH DASHBOARD'!$C$4="",ISNUMBER(SEARCH('COMMUNITY CHURCH DASHBOARD'!$C$4,INDEX(MASTER_AREAS!$B:$B,1374))))),1373,""),""),IF('COMMUNITY CHURCH DASHBOARD'!$B$4="Zone",IF(1373&lt;=$X$4,IF(OR('COMMUNITY CHURCH DASHBOARD'!$C$4="",ISNUMBER(SEARCH('COMMUNITY CHURCH DASHBOARD'!$C$4,INDEX(MASTER_ZONES!$B:$B,1374)))),1373,""),""),""))</f>
        <v/>
      </c>
    </row>
    <row r="1375">
      <c r="A1375">
        <f>IF('WSF DASHBOARD'!$B$4="Area",IF(1374&lt;=$D$3,IF(AND(OR('WSF DASHBOARD'!$C$4="",ISNUMBER(SEARCH('WSF DASHBOARD'!$C$4,INDEX(MASTER_AREAS!$B:$B,1375))))),1374,""),""),IF('WSF DASHBOARD'!$B$4="Zone",IF(1374&lt;=$D$4,IF(OR('WSF DASHBOARD'!$C$4="",ISNUMBER(SEARCH('WSF DASHBOARD'!$C$4,INDEX(MASTER_ZONES!$B:$B,1375)))),1374,""),""),""))</f>
        <v/>
      </c>
      <c r="F1375">
        <f>IF('TRANSPORT DASHBOARD'!$B$4="Area",IF(1374&lt;=$I$3,IF(AND(INDEX(MASTER_AREAS!$F:$F,1375)&lt;&gt;"N",OR('TRANSPORT DASHBOARD'!$C$4="",ISNUMBER(SEARCH('TRANSPORT DASHBOARD'!$C$4,INDEX(MASTER_AREAS!$B:$B,1375))))),1374,""),""),IF('TRANSPORT DASHBOARD'!$B$4="Zone",IF(1374&lt;=$I$4,IF(OR('TRANSPORT DASHBOARD'!$C$4="",ISNUMBER(SEARCH('TRANSPORT DASHBOARD'!$C$4,INDEX(MASTER_ZONES!$B:$B,1375)))),1374,""),""),""))</f>
        <v/>
      </c>
      <c r="K1375">
        <f>IF('MIDWEEK DASHBOARD'!$B$4="Area",IF(1374&lt;=$N$3,IF(AND(OR('MIDWEEK DASHBOARD'!$C$4="",ISNUMBER(SEARCH('MIDWEEK DASHBOARD'!$C$4,INDEX(MASTER_AREAS!$B:$B,1375))))),1374,""),""),IF('MIDWEEK DASHBOARD'!$B$4="Zone",IF(1374&lt;=$N$4,IF(OR('MIDWEEK DASHBOARD'!$C$4="",ISNUMBER(SEARCH('MIDWEEK DASHBOARD'!$C$4,INDEX(MASTER_ZONES!$B:$B,1375)))),1374,""),""),""))</f>
        <v/>
      </c>
      <c r="P1375">
        <f>IF('CHOP DASHBOARD'!$B$4="Area",IF(1374&lt;=$S$3,IF(AND(OR('CHOP DASHBOARD'!$C$4="",ISNUMBER(SEARCH('CHOP DASHBOARD'!$C$4,INDEX(MASTER_AREAS!$B:$B,1375))))),1374,""),""),IF('CHOP DASHBOARD'!$B$4="Zone",IF(1374&lt;=$S$4,IF(OR('CHOP DASHBOARD'!$C$4="",ISNUMBER(SEARCH('CHOP DASHBOARD'!$C$4,INDEX(MASTER_ZONES!$B:$B,1375)))),1374,""),""),""))</f>
        <v/>
      </c>
      <c r="U1375">
        <f>IF('COMMUNITY CHURCH DASHBOARD'!$B$4="Area",IF(1374&lt;=$X$3,IF(AND(OR('COMMUNITY CHURCH DASHBOARD'!$C$4="",ISNUMBER(SEARCH('COMMUNITY CHURCH DASHBOARD'!$C$4,INDEX(MASTER_AREAS!$B:$B,1375))))),1374,""),""),IF('COMMUNITY CHURCH DASHBOARD'!$B$4="Zone",IF(1374&lt;=$X$4,IF(OR('COMMUNITY CHURCH DASHBOARD'!$C$4="",ISNUMBER(SEARCH('COMMUNITY CHURCH DASHBOARD'!$C$4,INDEX(MASTER_ZONES!$B:$B,1375)))),1374,""),""),""))</f>
        <v/>
      </c>
    </row>
    <row r="1376">
      <c r="A1376">
        <f>IF('WSF DASHBOARD'!$B$4="Area",IF(1375&lt;=$D$3,IF(AND(OR('WSF DASHBOARD'!$C$4="",ISNUMBER(SEARCH('WSF DASHBOARD'!$C$4,INDEX(MASTER_AREAS!$B:$B,1376))))),1375,""),""),IF('WSF DASHBOARD'!$B$4="Zone",IF(1375&lt;=$D$4,IF(OR('WSF DASHBOARD'!$C$4="",ISNUMBER(SEARCH('WSF DASHBOARD'!$C$4,INDEX(MASTER_ZONES!$B:$B,1376)))),1375,""),""),""))</f>
        <v/>
      </c>
      <c r="F1376">
        <f>IF('TRANSPORT DASHBOARD'!$B$4="Area",IF(1375&lt;=$I$3,IF(AND(INDEX(MASTER_AREAS!$F:$F,1376)&lt;&gt;"N",OR('TRANSPORT DASHBOARD'!$C$4="",ISNUMBER(SEARCH('TRANSPORT DASHBOARD'!$C$4,INDEX(MASTER_AREAS!$B:$B,1376))))),1375,""),""),IF('TRANSPORT DASHBOARD'!$B$4="Zone",IF(1375&lt;=$I$4,IF(OR('TRANSPORT DASHBOARD'!$C$4="",ISNUMBER(SEARCH('TRANSPORT DASHBOARD'!$C$4,INDEX(MASTER_ZONES!$B:$B,1376)))),1375,""),""),""))</f>
        <v/>
      </c>
      <c r="K1376">
        <f>IF('MIDWEEK DASHBOARD'!$B$4="Area",IF(1375&lt;=$N$3,IF(AND(OR('MIDWEEK DASHBOARD'!$C$4="",ISNUMBER(SEARCH('MIDWEEK DASHBOARD'!$C$4,INDEX(MASTER_AREAS!$B:$B,1376))))),1375,""),""),IF('MIDWEEK DASHBOARD'!$B$4="Zone",IF(1375&lt;=$N$4,IF(OR('MIDWEEK DASHBOARD'!$C$4="",ISNUMBER(SEARCH('MIDWEEK DASHBOARD'!$C$4,INDEX(MASTER_ZONES!$B:$B,1376)))),1375,""),""),""))</f>
        <v/>
      </c>
      <c r="P1376">
        <f>IF('CHOP DASHBOARD'!$B$4="Area",IF(1375&lt;=$S$3,IF(AND(OR('CHOP DASHBOARD'!$C$4="",ISNUMBER(SEARCH('CHOP DASHBOARD'!$C$4,INDEX(MASTER_AREAS!$B:$B,1376))))),1375,""),""),IF('CHOP DASHBOARD'!$B$4="Zone",IF(1375&lt;=$S$4,IF(OR('CHOP DASHBOARD'!$C$4="",ISNUMBER(SEARCH('CHOP DASHBOARD'!$C$4,INDEX(MASTER_ZONES!$B:$B,1376)))),1375,""),""),""))</f>
        <v/>
      </c>
      <c r="U1376">
        <f>IF('COMMUNITY CHURCH DASHBOARD'!$B$4="Area",IF(1375&lt;=$X$3,IF(AND(OR('COMMUNITY CHURCH DASHBOARD'!$C$4="",ISNUMBER(SEARCH('COMMUNITY CHURCH DASHBOARD'!$C$4,INDEX(MASTER_AREAS!$B:$B,1376))))),1375,""),""),IF('COMMUNITY CHURCH DASHBOARD'!$B$4="Zone",IF(1375&lt;=$X$4,IF(OR('COMMUNITY CHURCH DASHBOARD'!$C$4="",ISNUMBER(SEARCH('COMMUNITY CHURCH DASHBOARD'!$C$4,INDEX(MASTER_ZONES!$B:$B,1376)))),1375,""),""),""))</f>
        <v/>
      </c>
    </row>
    <row r="1377">
      <c r="A1377">
        <f>IF('WSF DASHBOARD'!$B$4="Area",IF(1376&lt;=$D$3,IF(AND(OR('WSF DASHBOARD'!$C$4="",ISNUMBER(SEARCH('WSF DASHBOARD'!$C$4,INDEX(MASTER_AREAS!$B:$B,1377))))),1376,""),""),IF('WSF DASHBOARD'!$B$4="Zone",IF(1376&lt;=$D$4,IF(OR('WSF DASHBOARD'!$C$4="",ISNUMBER(SEARCH('WSF DASHBOARD'!$C$4,INDEX(MASTER_ZONES!$B:$B,1377)))),1376,""),""),""))</f>
        <v/>
      </c>
      <c r="F1377">
        <f>IF('TRANSPORT DASHBOARD'!$B$4="Area",IF(1376&lt;=$I$3,IF(AND(INDEX(MASTER_AREAS!$F:$F,1377)&lt;&gt;"N",OR('TRANSPORT DASHBOARD'!$C$4="",ISNUMBER(SEARCH('TRANSPORT DASHBOARD'!$C$4,INDEX(MASTER_AREAS!$B:$B,1377))))),1376,""),""),IF('TRANSPORT DASHBOARD'!$B$4="Zone",IF(1376&lt;=$I$4,IF(OR('TRANSPORT DASHBOARD'!$C$4="",ISNUMBER(SEARCH('TRANSPORT DASHBOARD'!$C$4,INDEX(MASTER_ZONES!$B:$B,1377)))),1376,""),""),""))</f>
        <v/>
      </c>
      <c r="K1377">
        <f>IF('MIDWEEK DASHBOARD'!$B$4="Area",IF(1376&lt;=$N$3,IF(AND(OR('MIDWEEK DASHBOARD'!$C$4="",ISNUMBER(SEARCH('MIDWEEK DASHBOARD'!$C$4,INDEX(MASTER_AREAS!$B:$B,1377))))),1376,""),""),IF('MIDWEEK DASHBOARD'!$B$4="Zone",IF(1376&lt;=$N$4,IF(OR('MIDWEEK DASHBOARD'!$C$4="",ISNUMBER(SEARCH('MIDWEEK DASHBOARD'!$C$4,INDEX(MASTER_ZONES!$B:$B,1377)))),1376,""),""),""))</f>
        <v/>
      </c>
      <c r="P1377">
        <f>IF('CHOP DASHBOARD'!$B$4="Area",IF(1376&lt;=$S$3,IF(AND(OR('CHOP DASHBOARD'!$C$4="",ISNUMBER(SEARCH('CHOP DASHBOARD'!$C$4,INDEX(MASTER_AREAS!$B:$B,1377))))),1376,""),""),IF('CHOP DASHBOARD'!$B$4="Zone",IF(1376&lt;=$S$4,IF(OR('CHOP DASHBOARD'!$C$4="",ISNUMBER(SEARCH('CHOP DASHBOARD'!$C$4,INDEX(MASTER_ZONES!$B:$B,1377)))),1376,""),""),""))</f>
        <v/>
      </c>
      <c r="U1377">
        <f>IF('COMMUNITY CHURCH DASHBOARD'!$B$4="Area",IF(1376&lt;=$X$3,IF(AND(OR('COMMUNITY CHURCH DASHBOARD'!$C$4="",ISNUMBER(SEARCH('COMMUNITY CHURCH DASHBOARD'!$C$4,INDEX(MASTER_AREAS!$B:$B,1377))))),1376,""),""),IF('COMMUNITY CHURCH DASHBOARD'!$B$4="Zone",IF(1376&lt;=$X$4,IF(OR('COMMUNITY CHURCH DASHBOARD'!$C$4="",ISNUMBER(SEARCH('COMMUNITY CHURCH DASHBOARD'!$C$4,INDEX(MASTER_ZONES!$B:$B,1377)))),1376,""),""),""))</f>
        <v/>
      </c>
    </row>
    <row r="1378">
      <c r="A1378">
        <f>IF('WSF DASHBOARD'!$B$4="Area",IF(1377&lt;=$D$3,IF(AND(OR('WSF DASHBOARD'!$C$4="",ISNUMBER(SEARCH('WSF DASHBOARD'!$C$4,INDEX(MASTER_AREAS!$B:$B,1378))))),1377,""),""),IF('WSF DASHBOARD'!$B$4="Zone",IF(1377&lt;=$D$4,IF(OR('WSF DASHBOARD'!$C$4="",ISNUMBER(SEARCH('WSF DASHBOARD'!$C$4,INDEX(MASTER_ZONES!$B:$B,1378)))),1377,""),""),""))</f>
        <v/>
      </c>
      <c r="F1378">
        <f>IF('TRANSPORT DASHBOARD'!$B$4="Area",IF(1377&lt;=$I$3,IF(AND(INDEX(MASTER_AREAS!$F:$F,1378)&lt;&gt;"N",OR('TRANSPORT DASHBOARD'!$C$4="",ISNUMBER(SEARCH('TRANSPORT DASHBOARD'!$C$4,INDEX(MASTER_AREAS!$B:$B,1378))))),1377,""),""),IF('TRANSPORT DASHBOARD'!$B$4="Zone",IF(1377&lt;=$I$4,IF(OR('TRANSPORT DASHBOARD'!$C$4="",ISNUMBER(SEARCH('TRANSPORT DASHBOARD'!$C$4,INDEX(MASTER_ZONES!$B:$B,1378)))),1377,""),""),""))</f>
        <v/>
      </c>
      <c r="K1378">
        <f>IF('MIDWEEK DASHBOARD'!$B$4="Area",IF(1377&lt;=$N$3,IF(AND(OR('MIDWEEK DASHBOARD'!$C$4="",ISNUMBER(SEARCH('MIDWEEK DASHBOARD'!$C$4,INDEX(MASTER_AREAS!$B:$B,1378))))),1377,""),""),IF('MIDWEEK DASHBOARD'!$B$4="Zone",IF(1377&lt;=$N$4,IF(OR('MIDWEEK DASHBOARD'!$C$4="",ISNUMBER(SEARCH('MIDWEEK DASHBOARD'!$C$4,INDEX(MASTER_ZONES!$B:$B,1378)))),1377,""),""),""))</f>
        <v/>
      </c>
      <c r="P1378">
        <f>IF('CHOP DASHBOARD'!$B$4="Area",IF(1377&lt;=$S$3,IF(AND(OR('CHOP DASHBOARD'!$C$4="",ISNUMBER(SEARCH('CHOP DASHBOARD'!$C$4,INDEX(MASTER_AREAS!$B:$B,1378))))),1377,""),""),IF('CHOP DASHBOARD'!$B$4="Zone",IF(1377&lt;=$S$4,IF(OR('CHOP DASHBOARD'!$C$4="",ISNUMBER(SEARCH('CHOP DASHBOARD'!$C$4,INDEX(MASTER_ZONES!$B:$B,1378)))),1377,""),""),""))</f>
        <v/>
      </c>
      <c r="U1378">
        <f>IF('COMMUNITY CHURCH DASHBOARD'!$B$4="Area",IF(1377&lt;=$X$3,IF(AND(OR('COMMUNITY CHURCH DASHBOARD'!$C$4="",ISNUMBER(SEARCH('COMMUNITY CHURCH DASHBOARD'!$C$4,INDEX(MASTER_AREAS!$B:$B,1378))))),1377,""),""),IF('COMMUNITY CHURCH DASHBOARD'!$B$4="Zone",IF(1377&lt;=$X$4,IF(OR('COMMUNITY CHURCH DASHBOARD'!$C$4="",ISNUMBER(SEARCH('COMMUNITY CHURCH DASHBOARD'!$C$4,INDEX(MASTER_ZONES!$B:$B,1378)))),1377,""),""),""))</f>
        <v/>
      </c>
    </row>
    <row r="1379">
      <c r="A1379">
        <f>IF('WSF DASHBOARD'!$B$4="Area",IF(1378&lt;=$D$3,IF(AND(OR('WSF DASHBOARD'!$C$4="",ISNUMBER(SEARCH('WSF DASHBOARD'!$C$4,INDEX(MASTER_AREAS!$B:$B,1379))))),1378,""),""),IF('WSF DASHBOARD'!$B$4="Zone",IF(1378&lt;=$D$4,IF(OR('WSF DASHBOARD'!$C$4="",ISNUMBER(SEARCH('WSF DASHBOARD'!$C$4,INDEX(MASTER_ZONES!$B:$B,1379)))),1378,""),""),""))</f>
        <v/>
      </c>
      <c r="F1379">
        <f>IF('TRANSPORT DASHBOARD'!$B$4="Area",IF(1378&lt;=$I$3,IF(AND(INDEX(MASTER_AREAS!$F:$F,1379)&lt;&gt;"N",OR('TRANSPORT DASHBOARD'!$C$4="",ISNUMBER(SEARCH('TRANSPORT DASHBOARD'!$C$4,INDEX(MASTER_AREAS!$B:$B,1379))))),1378,""),""),IF('TRANSPORT DASHBOARD'!$B$4="Zone",IF(1378&lt;=$I$4,IF(OR('TRANSPORT DASHBOARD'!$C$4="",ISNUMBER(SEARCH('TRANSPORT DASHBOARD'!$C$4,INDEX(MASTER_ZONES!$B:$B,1379)))),1378,""),""),""))</f>
        <v/>
      </c>
      <c r="K1379">
        <f>IF('MIDWEEK DASHBOARD'!$B$4="Area",IF(1378&lt;=$N$3,IF(AND(OR('MIDWEEK DASHBOARD'!$C$4="",ISNUMBER(SEARCH('MIDWEEK DASHBOARD'!$C$4,INDEX(MASTER_AREAS!$B:$B,1379))))),1378,""),""),IF('MIDWEEK DASHBOARD'!$B$4="Zone",IF(1378&lt;=$N$4,IF(OR('MIDWEEK DASHBOARD'!$C$4="",ISNUMBER(SEARCH('MIDWEEK DASHBOARD'!$C$4,INDEX(MASTER_ZONES!$B:$B,1379)))),1378,""),""),""))</f>
        <v/>
      </c>
      <c r="P1379">
        <f>IF('CHOP DASHBOARD'!$B$4="Area",IF(1378&lt;=$S$3,IF(AND(OR('CHOP DASHBOARD'!$C$4="",ISNUMBER(SEARCH('CHOP DASHBOARD'!$C$4,INDEX(MASTER_AREAS!$B:$B,1379))))),1378,""),""),IF('CHOP DASHBOARD'!$B$4="Zone",IF(1378&lt;=$S$4,IF(OR('CHOP DASHBOARD'!$C$4="",ISNUMBER(SEARCH('CHOP DASHBOARD'!$C$4,INDEX(MASTER_ZONES!$B:$B,1379)))),1378,""),""),""))</f>
        <v/>
      </c>
      <c r="U1379">
        <f>IF('COMMUNITY CHURCH DASHBOARD'!$B$4="Area",IF(1378&lt;=$X$3,IF(AND(OR('COMMUNITY CHURCH DASHBOARD'!$C$4="",ISNUMBER(SEARCH('COMMUNITY CHURCH DASHBOARD'!$C$4,INDEX(MASTER_AREAS!$B:$B,1379))))),1378,""),""),IF('COMMUNITY CHURCH DASHBOARD'!$B$4="Zone",IF(1378&lt;=$X$4,IF(OR('COMMUNITY CHURCH DASHBOARD'!$C$4="",ISNUMBER(SEARCH('COMMUNITY CHURCH DASHBOARD'!$C$4,INDEX(MASTER_ZONES!$B:$B,1379)))),1378,""),""),""))</f>
        <v/>
      </c>
    </row>
    <row r="1380">
      <c r="A1380">
        <f>IF('WSF DASHBOARD'!$B$4="Area",IF(1379&lt;=$D$3,IF(AND(OR('WSF DASHBOARD'!$C$4="",ISNUMBER(SEARCH('WSF DASHBOARD'!$C$4,INDEX(MASTER_AREAS!$B:$B,1380))))),1379,""),""),IF('WSF DASHBOARD'!$B$4="Zone",IF(1379&lt;=$D$4,IF(OR('WSF DASHBOARD'!$C$4="",ISNUMBER(SEARCH('WSF DASHBOARD'!$C$4,INDEX(MASTER_ZONES!$B:$B,1380)))),1379,""),""),""))</f>
        <v/>
      </c>
      <c r="F1380">
        <f>IF('TRANSPORT DASHBOARD'!$B$4="Area",IF(1379&lt;=$I$3,IF(AND(INDEX(MASTER_AREAS!$F:$F,1380)&lt;&gt;"N",OR('TRANSPORT DASHBOARD'!$C$4="",ISNUMBER(SEARCH('TRANSPORT DASHBOARD'!$C$4,INDEX(MASTER_AREAS!$B:$B,1380))))),1379,""),""),IF('TRANSPORT DASHBOARD'!$B$4="Zone",IF(1379&lt;=$I$4,IF(OR('TRANSPORT DASHBOARD'!$C$4="",ISNUMBER(SEARCH('TRANSPORT DASHBOARD'!$C$4,INDEX(MASTER_ZONES!$B:$B,1380)))),1379,""),""),""))</f>
        <v/>
      </c>
      <c r="K1380">
        <f>IF('MIDWEEK DASHBOARD'!$B$4="Area",IF(1379&lt;=$N$3,IF(AND(OR('MIDWEEK DASHBOARD'!$C$4="",ISNUMBER(SEARCH('MIDWEEK DASHBOARD'!$C$4,INDEX(MASTER_AREAS!$B:$B,1380))))),1379,""),""),IF('MIDWEEK DASHBOARD'!$B$4="Zone",IF(1379&lt;=$N$4,IF(OR('MIDWEEK DASHBOARD'!$C$4="",ISNUMBER(SEARCH('MIDWEEK DASHBOARD'!$C$4,INDEX(MASTER_ZONES!$B:$B,1380)))),1379,""),""),""))</f>
        <v/>
      </c>
      <c r="P1380">
        <f>IF('CHOP DASHBOARD'!$B$4="Area",IF(1379&lt;=$S$3,IF(AND(OR('CHOP DASHBOARD'!$C$4="",ISNUMBER(SEARCH('CHOP DASHBOARD'!$C$4,INDEX(MASTER_AREAS!$B:$B,1380))))),1379,""),""),IF('CHOP DASHBOARD'!$B$4="Zone",IF(1379&lt;=$S$4,IF(OR('CHOP DASHBOARD'!$C$4="",ISNUMBER(SEARCH('CHOP DASHBOARD'!$C$4,INDEX(MASTER_ZONES!$B:$B,1380)))),1379,""),""),""))</f>
        <v/>
      </c>
      <c r="U1380">
        <f>IF('COMMUNITY CHURCH DASHBOARD'!$B$4="Area",IF(1379&lt;=$X$3,IF(AND(OR('COMMUNITY CHURCH DASHBOARD'!$C$4="",ISNUMBER(SEARCH('COMMUNITY CHURCH DASHBOARD'!$C$4,INDEX(MASTER_AREAS!$B:$B,1380))))),1379,""),""),IF('COMMUNITY CHURCH DASHBOARD'!$B$4="Zone",IF(1379&lt;=$X$4,IF(OR('COMMUNITY CHURCH DASHBOARD'!$C$4="",ISNUMBER(SEARCH('COMMUNITY CHURCH DASHBOARD'!$C$4,INDEX(MASTER_ZONES!$B:$B,1380)))),1379,""),""),""))</f>
        <v/>
      </c>
    </row>
    <row r="1381">
      <c r="A1381">
        <f>IF('WSF DASHBOARD'!$B$4="Area",IF(1380&lt;=$D$3,IF(AND(OR('WSF DASHBOARD'!$C$4="",ISNUMBER(SEARCH('WSF DASHBOARD'!$C$4,INDEX(MASTER_AREAS!$B:$B,1381))))),1380,""),""),IF('WSF DASHBOARD'!$B$4="Zone",IF(1380&lt;=$D$4,IF(OR('WSF DASHBOARD'!$C$4="",ISNUMBER(SEARCH('WSF DASHBOARD'!$C$4,INDEX(MASTER_ZONES!$B:$B,1381)))),1380,""),""),""))</f>
        <v/>
      </c>
      <c r="F1381">
        <f>IF('TRANSPORT DASHBOARD'!$B$4="Area",IF(1380&lt;=$I$3,IF(AND(INDEX(MASTER_AREAS!$F:$F,1381)&lt;&gt;"N",OR('TRANSPORT DASHBOARD'!$C$4="",ISNUMBER(SEARCH('TRANSPORT DASHBOARD'!$C$4,INDEX(MASTER_AREAS!$B:$B,1381))))),1380,""),""),IF('TRANSPORT DASHBOARD'!$B$4="Zone",IF(1380&lt;=$I$4,IF(OR('TRANSPORT DASHBOARD'!$C$4="",ISNUMBER(SEARCH('TRANSPORT DASHBOARD'!$C$4,INDEX(MASTER_ZONES!$B:$B,1381)))),1380,""),""),""))</f>
        <v/>
      </c>
      <c r="K1381">
        <f>IF('MIDWEEK DASHBOARD'!$B$4="Area",IF(1380&lt;=$N$3,IF(AND(OR('MIDWEEK DASHBOARD'!$C$4="",ISNUMBER(SEARCH('MIDWEEK DASHBOARD'!$C$4,INDEX(MASTER_AREAS!$B:$B,1381))))),1380,""),""),IF('MIDWEEK DASHBOARD'!$B$4="Zone",IF(1380&lt;=$N$4,IF(OR('MIDWEEK DASHBOARD'!$C$4="",ISNUMBER(SEARCH('MIDWEEK DASHBOARD'!$C$4,INDEX(MASTER_ZONES!$B:$B,1381)))),1380,""),""),""))</f>
        <v/>
      </c>
      <c r="P1381">
        <f>IF('CHOP DASHBOARD'!$B$4="Area",IF(1380&lt;=$S$3,IF(AND(OR('CHOP DASHBOARD'!$C$4="",ISNUMBER(SEARCH('CHOP DASHBOARD'!$C$4,INDEX(MASTER_AREAS!$B:$B,1381))))),1380,""),""),IF('CHOP DASHBOARD'!$B$4="Zone",IF(1380&lt;=$S$4,IF(OR('CHOP DASHBOARD'!$C$4="",ISNUMBER(SEARCH('CHOP DASHBOARD'!$C$4,INDEX(MASTER_ZONES!$B:$B,1381)))),1380,""),""),""))</f>
        <v/>
      </c>
      <c r="U1381">
        <f>IF('COMMUNITY CHURCH DASHBOARD'!$B$4="Area",IF(1380&lt;=$X$3,IF(AND(OR('COMMUNITY CHURCH DASHBOARD'!$C$4="",ISNUMBER(SEARCH('COMMUNITY CHURCH DASHBOARD'!$C$4,INDEX(MASTER_AREAS!$B:$B,1381))))),1380,""),""),IF('COMMUNITY CHURCH DASHBOARD'!$B$4="Zone",IF(1380&lt;=$X$4,IF(OR('COMMUNITY CHURCH DASHBOARD'!$C$4="",ISNUMBER(SEARCH('COMMUNITY CHURCH DASHBOARD'!$C$4,INDEX(MASTER_ZONES!$B:$B,1381)))),1380,""),""),""))</f>
        <v/>
      </c>
    </row>
    <row r="1382">
      <c r="A1382">
        <f>IF('WSF DASHBOARD'!$B$4="Area",IF(1381&lt;=$D$3,IF(AND(OR('WSF DASHBOARD'!$C$4="",ISNUMBER(SEARCH('WSF DASHBOARD'!$C$4,INDEX(MASTER_AREAS!$B:$B,1382))))),1381,""),""),IF('WSF DASHBOARD'!$B$4="Zone",IF(1381&lt;=$D$4,IF(OR('WSF DASHBOARD'!$C$4="",ISNUMBER(SEARCH('WSF DASHBOARD'!$C$4,INDEX(MASTER_ZONES!$B:$B,1382)))),1381,""),""),""))</f>
        <v/>
      </c>
      <c r="F1382">
        <f>IF('TRANSPORT DASHBOARD'!$B$4="Area",IF(1381&lt;=$I$3,IF(AND(INDEX(MASTER_AREAS!$F:$F,1382)&lt;&gt;"N",OR('TRANSPORT DASHBOARD'!$C$4="",ISNUMBER(SEARCH('TRANSPORT DASHBOARD'!$C$4,INDEX(MASTER_AREAS!$B:$B,1382))))),1381,""),""),IF('TRANSPORT DASHBOARD'!$B$4="Zone",IF(1381&lt;=$I$4,IF(OR('TRANSPORT DASHBOARD'!$C$4="",ISNUMBER(SEARCH('TRANSPORT DASHBOARD'!$C$4,INDEX(MASTER_ZONES!$B:$B,1382)))),1381,""),""),""))</f>
        <v/>
      </c>
      <c r="K1382">
        <f>IF('MIDWEEK DASHBOARD'!$B$4="Area",IF(1381&lt;=$N$3,IF(AND(OR('MIDWEEK DASHBOARD'!$C$4="",ISNUMBER(SEARCH('MIDWEEK DASHBOARD'!$C$4,INDEX(MASTER_AREAS!$B:$B,1382))))),1381,""),""),IF('MIDWEEK DASHBOARD'!$B$4="Zone",IF(1381&lt;=$N$4,IF(OR('MIDWEEK DASHBOARD'!$C$4="",ISNUMBER(SEARCH('MIDWEEK DASHBOARD'!$C$4,INDEX(MASTER_ZONES!$B:$B,1382)))),1381,""),""),""))</f>
        <v/>
      </c>
      <c r="P1382">
        <f>IF('CHOP DASHBOARD'!$B$4="Area",IF(1381&lt;=$S$3,IF(AND(OR('CHOP DASHBOARD'!$C$4="",ISNUMBER(SEARCH('CHOP DASHBOARD'!$C$4,INDEX(MASTER_AREAS!$B:$B,1382))))),1381,""),""),IF('CHOP DASHBOARD'!$B$4="Zone",IF(1381&lt;=$S$4,IF(OR('CHOP DASHBOARD'!$C$4="",ISNUMBER(SEARCH('CHOP DASHBOARD'!$C$4,INDEX(MASTER_ZONES!$B:$B,1382)))),1381,""),""),""))</f>
        <v/>
      </c>
      <c r="U1382">
        <f>IF('COMMUNITY CHURCH DASHBOARD'!$B$4="Area",IF(1381&lt;=$X$3,IF(AND(OR('COMMUNITY CHURCH DASHBOARD'!$C$4="",ISNUMBER(SEARCH('COMMUNITY CHURCH DASHBOARD'!$C$4,INDEX(MASTER_AREAS!$B:$B,1382))))),1381,""),""),IF('COMMUNITY CHURCH DASHBOARD'!$B$4="Zone",IF(1381&lt;=$X$4,IF(OR('COMMUNITY CHURCH DASHBOARD'!$C$4="",ISNUMBER(SEARCH('COMMUNITY CHURCH DASHBOARD'!$C$4,INDEX(MASTER_ZONES!$B:$B,1382)))),1381,""),""),""))</f>
        <v/>
      </c>
    </row>
    <row r="1383">
      <c r="A1383">
        <f>IF('WSF DASHBOARD'!$B$4="Area",IF(1382&lt;=$D$3,IF(AND(OR('WSF DASHBOARD'!$C$4="",ISNUMBER(SEARCH('WSF DASHBOARD'!$C$4,INDEX(MASTER_AREAS!$B:$B,1383))))),1382,""),""),IF('WSF DASHBOARD'!$B$4="Zone",IF(1382&lt;=$D$4,IF(OR('WSF DASHBOARD'!$C$4="",ISNUMBER(SEARCH('WSF DASHBOARD'!$C$4,INDEX(MASTER_ZONES!$B:$B,1383)))),1382,""),""),""))</f>
        <v/>
      </c>
      <c r="F1383">
        <f>IF('TRANSPORT DASHBOARD'!$B$4="Area",IF(1382&lt;=$I$3,IF(AND(INDEX(MASTER_AREAS!$F:$F,1383)&lt;&gt;"N",OR('TRANSPORT DASHBOARD'!$C$4="",ISNUMBER(SEARCH('TRANSPORT DASHBOARD'!$C$4,INDEX(MASTER_AREAS!$B:$B,1383))))),1382,""),""),IF('TRANSPORT DASHBOARD'!$B$4="Zone",IF(1382&lt;=$I$4,IF(OR('TRANSPORT DASHBOARD'!$C$4="",ISNUMBER(SEARCH('TRANSPORT DASHBOARD'!$C$4,INDEX(MASTER_ZONES!$B:$B,1383)))),1382,""),""),""))</f>
        <v/>
      </c>
      <c r="K1383">
        <f>IF('MIDWEEK DASHBOARD'!$B$4="Area",IF(1382&lt;=$N$3,IF(AND(OR('MIDWEEK DASHBOARD'!$C$4="",ISNUMBER(SEARCH('MIDWEEK DASHBOARD'!$C$4,INDEX(MASTER_AREAS!$B:$B,1383))))),1382,""),""),IF('MIDWEEK DASHBOARD'!$B$4="Zone",IF(1382&lt;=$N$4,IF(OR('MIDWEEK DASHBOARD'!$C$4="",ISNUMBER(SEARCH('MIDWEEK DASHBOARD'!$C$4,INDEX(MASTER_ZONES!$B:$B,1383)))),1382,""),""),""))</f>
        <v/>
      </c>
      <c r="P1383">
        <f>IF('CHOP DASHBOARD'!$B$4="Area",IF(1382&lt;=$S$3,IF(AND(OR('CHOP DASHBOARD'!$C$4="",ISNUMBER(SEARCH('CHOP DASHBOARD'!$C$4,INDEX(MASTER_AREAS!$B:$B,1383))))),1382,""),""),IF('CHOP DASHBOARD'!$B$4="Zone",IF(1382&lt;=$S$4,IF(OR('CHOP DASHBOARD'!$C$4="",ISNUMBER(SEARCH('CHOP DASHBOARD'!$C$4,INDEX(MASTER_ZONES!$B:$B,1383)))),1382,""),""),""))</f>
        <v/>
      </c>
      <c r="U1383">
        <f>IF('COMMUNITY CHURCH DASHBOARD'!$B$4="Area",IF(1382&lt;=$X$3,IF(AND(OR('COMMUNITY CHURCH DASHBOARD'!$C$4="",ISNUMBER(SEARCH('COMMUNITY CHURCH DASHBOARD'!$C$4,INDEX(MASTER_AREAS!$B:$B,1383))))),1382,""),""),IF('COMMUNITY CHURCH DASHBOARD'!$B$4="Zone",IF(1382&lt;=$X$4,IF(OR('COMMUNITY CHURCH DASHBOARD'!$C$4="",ISNUMBER(SEARCH('COMMUNITY CHURCH DASHBOARD'!$C$4,INDEX(MASTER_ZONES!$B:$B,1383)))),1382,""),""),""))</f>
        <v/>
      </c>
    </row>
    <row r="1384">
      <c r="A1384">
        <f>IF('WSF DASHBOARD'!$B$4="Area",IF(1383&lt;=$D$3,IF(AND(OR('WSF DASHBOARD'!$C$4="",ISNUMBER(SEARCH('WSF DASHBOARD'!$C$4,INDEX(MASTER_AREAS!$B:$B,1384))))),1383,""),""),IF('WSF DASHBOARD'!$B$4="Zone",IF(1383&lt;=$D$4,IF(OR('WSF DASHBOARD'!$C$4="",ISNUMBER(SEARCH('WSF DASHBOARD'!$C$4,INDEX(MASTER_ZONES!$B:$B,1384)))),1383,""),""),""))</f>
        <v/>
      </c>
      <c r="F1384">
        <f>IF('TRANSPORT DASHBOARD'!$B$4="Area",IF(1383&lt;=$I$3,IF(AND(INDEX(MASTER_AREAS!$F:$F,1384)&lt;&gt;"N",OR('TRANSPORT DASHBOARD'!$C$4="",ISNUMBER(SEARCH('TRANSPORT DASHBOARD'!$C$4,INDEX(MASTER_AREAS!$B:$B,1384))))),1383,""),""),IF('TRANSPORT DASHBOARD'!$B$4="Zone",IF(1383&lt;=$I$4,IF(OR('TRANSPORT DASHBOARD'!$C$4="",ISNUMBER(SEARCH('TRANSPORT DASHBOARD'!$C$4,INDEX(MASTER_ZONES!$B:$B,1384)))),1383,""),""),""))</f>
        <v/>
      </c>
      <c r="K1384">
        <f>IF('MIDWEEK DASHBOARD'!$B$4="Area",IF(1383&lt;=$N$3,IF(AND(OR('MIDWEEK DASHBOARD'!$C$4="",ISNUMBER(SEARCH('MIDWEEK DASHBOARD'!$C$4,INDEX(MASTER_AREAS!$B:$B,1384))))),1383,""),""),IF('MIDWEEK DASHBOARD'!$B$4="Zone",IF(1383&lt;=$N$4,IF(OR('MIDWEEK DASHBOARD'!$C$4="",ISNUMBER(SEARCH('MIDWEEK DASHBOARD'!$C$4,INDEX(MASTER_ZONES!$B:$B,1384)))),1383,""),""),""))</f>
        <v/>
      </c>
      <c r="P1384">
        <f>IF('CHOP DASHBOARD'!$B$4="Area",IF(1383&lt;=$S$3,IF(AND(OR('CHOP DASHBOARD'!$C$4="",ISNUMBER(SEARCH('CHOP DASHBOARD'!$C$4,INDEX(MASTER_AREAS!$B:$B,1384))))),1383,""),""),IF('CHOP DASHBOARD'!$B$4="Zone",IF(1383&lt;=$S$4,IF(OR('CHOP DASHBOARD'!$C$4="",ISNUMBER(SEARCH('CHOP DASHBOARD'!$C$4,INDEX(MASTER_ZONES!$B:$B,1384)))),1383,""),""),""))</f>
        <v/>
      </c>
      <c r="U1384">
        <f>IF('COMMUNITY CHURCH DASHBOARD'!$B$4="Area",IF(1383&lt;=$X$3,IF(AND(OR('COMMUNITY CHURCH DASHBOARD'!$C$4="",ISNUMBER(SEARCH('COMMUNITY CHURCH DASHBOARD'!$C$4,INDEX(MASTER_AREAS!$B:$B,1384))))),1383,""),""),IF('COMMUNITY CHURCH DASHBOARD'!$B$4="Zone",IF(1383&lt;=$X$4,IF(OR('COMMUNITY CHURCH DASHBOARD'!$C$4="",ISNUMBER(SEARCH('COMMUNITY CHURCH DASHBOARD'!$C$4,INDEX(MASTER_ZONES!$B:$B,1384)))),1383,""),""),""))</f>
        <v/>
      </c>
    </row>
    <row r="1385">
      <c r="A1385">
        <f>IF('WSF DASHBOARD'!$B$4="Area",IF(1384&lt;=$D$3,IF(AND(OR('WSF DASHBOARD'!$C$4="",ISNUMBER(SEARCH('WSF DASHBOARD'!$C$4,INDEX(MASTER_AREAS!$B:$B,1385))))),1384,""),""),IF('WSF DASHBOARD'!$B$4="Zone",IF(1384&lt;=$D$4,IF(OR('WSF DASHBOARD'!$C$4="",ISNUMBER(SEARCH('WSF DASHBOARD'!$C$4,INDEX(MASTER_ZONES!$B:$B,1385)))),1384,""),""),""))</f>
        <v/>
      </c>
      <c r="F1385">
        <f>IF('TRANSPORT DASHBOARD'!$B$4="Area",IF(1384&lt;=$I$3,IF(AND(INDEX(MASTER_AREAS!$F:$F,1385)&lt;&gt;"N",OR('TRANSPORT DASHBOARD'!$C$4="",ISNUMBER(SEARCH('TRANSPORT DASHBOARD'!$C$4,INDEX(MASTER_AREAS!$B:$B,1385))))),1384,""),""),IF('TRANSPORT DASHBOARD'!$B$4="Zone",IF(1384&lt;=$I$4,IF(OR('TRANSPORT DASHBOARD'!$C$4="",ISNUMBER(SEARCH('TRANSPORT DASHBOARD'!$C$4,INDEX(MASTER_ZONES!$B:$B,1385)))),1384,""),""),""))</f>
        <v/>
      </c>
      <c r="K1385">
        <f>IF('MIDWEEK DASHBOARD'!$B$4="Area",IF(1384&lt;=$N$3,IF(AND(OR('MIDWEEK DASHBOARD'!$C$4="",ISNUMBER(SEARCH('MIDWEEK DASHBOARD'!$C$4,INDEX(MASTER_AREAS!$B:$B,1385))))),1384,""),""),IF('MIDWEEK DASHBOARD'!$B$4="Zone",IF(1384&lt;=$N$4,IF(OR('MIDWEEK DASHBOARD'!$C$4="",ISNUMBER(SEARCH('MIDWEEK DASHBOARD'!$C$4,INDEX(MASTER_ZONES!$B:$B,1385)))),1384,""),""),""))</f>
        <v/>
      </c>
      <c r="P1385">
        <f>IF('CHOP DASHBOARD'!$B$4="Area",IF(1384&lt;=$S$3,IF(AND(OR('CHOP DASHBOARD'!$C$4="",ISNUMBER(SEARCH('CHOP DASHBOARD'!$C$4,INDEX(MASTER_AREAS!$B:$B,1385))))),1384,""),""),IF('CHOP DASHBOARD'!$B$4="Zone",IF(1384&lt;=$S$4,IF(OR('CHOP DASHBOARD'!$C$4="",ISNUMBER(SEARCH('CHOP DASHBOARD'!$C$4,INDEX(MASTER_ZONES!$B:$B,1385)))),1384,""),""),""))</f>
        <v/>
      </c>
      <c r="U1385">
        <f>IF('COMMUNITY CHURCH DASHBOARD'!$B$4="Area",IF(1384&lt;=$X$3,IF(AND(OR('COMMUNITY CHURCH DASHBOARD'!$C$4="",ISNUMBER(SEARCH('COMMUNITY CHURCH DASHBOARD'!$C$4,INDEX(MASTER_AREAS!$B:$B,1385))))),1384,""),""),IF('COMMUNITY CHURCH DASHBOARD'!$B$4="Zone",IF(1384&lt;=$X$4,IF(OR('COMMUNITY CHURCH DASHBOARD'!$C$4="",ISNUMBER(SEARCH('COMMUNITY CHURCH DASHBOARD'!$C$4,INDEX(MASTER_ZONES!$B:$B,1385)))),1384,""),""),""))</f>
        <v/>
      </c>
    </row>
    <row r="1386">
      <c r="A1386">
        <f>IF('WSF DASHBOARD'!$B$4="Area",IF(1385&lt;=$D$3,IF(AND(OR('WSF DASHBOARD'!$C$4="",ISNUMBER(SEARCH('WSF DASHBOARD'!$C$4,INDEX(MASTER_AREAS!$B:$B,1386))))),1385,""),""),IF('WSF DASHBOARD'!$B$4="Zone",IF(1385&lt;=$D$4,IF(OR('WSF DASHBOARD'!$C$4="",ISNUMBER(SEARCH('WSF DASHBOARD'!$C$4,INDEX(MASTER_ZONES!$B:$B,1386)))),1385,""),""),""))</f>
        <v/>
      </c>
      <c r="F1386">
        <f>IF('TRANSPORT DASHBOARD'!$B$4="Area",IF(1385&lt;=$I$3,IF(AND(INDEX(MASTER_AREAS!$F:$F,1386)&lt;&gt;"N",OR('TRANSPORT DASHBOARD'!$C$4="",ISNUMBER(SEARCH('TRANSPORT DASHBOARD'!$C$4,INDEX(MASTER_AREAS!$B:$B,1386))))),1385,""),""),IF('TRANSPORT DASHBOARD'!$B$4="Zone",IF(1385&lt;=$I$4,IF(OR('TRANSPORT DASHBOARD'!$C$4="",ISNUMBER(SEARCH('TRANSPORT DASHBOARD'!$C$4,INDEX(MASTER_ZONES!$B:$B,1386)))),1385,""),""),""))</f>
        <v/>
      </c>
      <c r="K1386">
        <f>IF('MIDWEEK DASHBOARD'!$B$4="Area",IF(1385&lt;=$N$3,IF(AND(OR('MIDWEEK DASHBOARD'!$C$4="",ISNUMBER(SEARCH('MIDWEEK DASHBOARD'!$C$4,INDEX(MASTER_AREAS!$B:$B,1386))))),1385,""),""),IF('MIDWEEK DASHBOARD'!$B$4="Zone",IF(1385&lt;=$N$4,IF(OR('MIDWEEK DASHBOARD'!$C$4="",ISNUMBER(SEARCH('MIDWEEK DASHBOARD'!$C$4,INDEX(MASTER_ZONES!$B:$B,1386)))),1385,""),""),""))</f>
        <v/>
      </c>
      <c r="P1386">
        <f>IF('CHOP DASHBOARD'!$B$4="Area",IF(1385&lt;=$S$3,IF(AND(OR('CHOP DASHBOARD'!$C$4="",ISNUMBER(SEARCH('CHOP DASHBOARD'!$C$4,INDEX(MASTER_AREAS!$B:$B,1386))))),1385,""),""),IF('CHOP DASHBOARD'!$B$4="Zone",IF(1385&lt;=$S$4,IF(OR('CHOP DASHBOARD'!$C$4="",ISNUMBER(SEARCH('CHOP DASHBOARD'!$C$4,INDEX(MASTER_ZONES!$B:$B,1386)))),1385,""),""),""))</f>
        <v/>
      </c>
      <c r="U1386">
        <f>IF('COMMUNITY CHURCH DASHBOARD'!$B$4="Area",IF(1385&lt;=$X$3,IF(AND(OR('COMMUNITY CHURCH DASHBOARD'!$C$4="",ISNUMBER(SEARCH('COMMUNITY CHURCH DASHBOARD'!$C$4,INDEX(MASTER_AREAS!$B:$B,1386))))),1385,""),""),IF('COMMUNITY CHURCH DASHBOARD'!$B$4="Zone",IF(1385&lt;=$X$4,IF(OR('COMMUNITY CHURCH DASHBOARD'!$C$4="",ISNUMBER(SEARCH('COMMUNITY CHURCH DASHBOARD'!$C$4,INDEX(MASTER_ZONES!$B:$B,1386)))),1385,""),""),""))</f>
        <v/>
      </c>
    </row>
    <row r="1387">
      <c r="A1387">
        <f>IF('WSF DASHBOARD'!$B$4="Area",IF(1386&lt;=$D$3,IF(AND(OR('WSF DASHBOARD'!$C$4="",ISNUMBER(SEARCH('WSF DASHBOARD'!$C$4,INDEX(MASTER_AREAS!$B:$B,1387))))),1386,""),""),IF('WSF DASHBOARD'!$B$4="Zone",IF(1386&lt;=$D$4,IF(OR('WSF DASHBOARD'!$C$4="",ISNUMBER(SEARCH('WSF DASHBOARD'!$C$4,INDEX(MASTER_ZONES!$B:$B,1387)))),1386,""),""),""))</f>
        <v/>
      </c>
      <c r="F1387">
        <f>IF('TRANSPORT DASHBOARD'!$B$4="Area",IF(1386&lt;=$I$3,IF(AND(INDEX(MASTER_AREAS!$F:$F,1387)&lt;&gt;"N",OR('TRANSPORT DASHBOARD'!$C$4="",ISNUMBER(SEARCH('TRANSPORT DASHBOARD'!$C$4,INDEX(MASTER_AREAS!$B:$B,1387))))),1386,""),""),IF('TRANSPORT DASHBOARD'!$B$4="Zone",IF(1386&lt;=$I$4,IF(OR('TRANSPORT DASHBOARD'!$C$4="",ISNUMBER(SEARCH('TRANSPORT DASHBOARD'!$C$4,INDEX(MASTER_ZONES!$B:$B,1387)))),1386,""),""),""))</f>
        <v/>
      </c>
      <c r="K1387">
        <f>IF('MIDWEEK DASHBOARD'!$B$4="Area",IF(1386&lt;=$N$3,IF(AND(OR('MIDWEEK DASHBOARD'!$C$4="",ISNUMBER(SEARCH('MIDWEEK DASHBOARD'!$C$4,INDEX(MASTER_AREAS!$B:$B,1387))))),1386,""),""),IF('MIDWEEK DASHBOARD'!$B$4="Zone",IF(1386&lt;=$N$4,IF(OR('MIDWEEK DASHBOARD'!$C$4="",ISNUMBER(SEARCH('MIDWEEK DASHBOARD'!$C$4,INDEX(MASTER_ZONES!$B:$B,1387)))),1386,""),""),""))</f>
        <v/>
      </c>
      <c r="P1387">
        <f>IF('CHOP DASHBOARD'!$B$4="Area",IF(1386&lt;=$S$3,IF(AND(OR('CHOP DASHBOARD'!$C$4="",ISNUMBER(SEARCH('CHOP DASHBOARD'!$C$4,INDEX(MASTER_AREAS!$B:$B,1387))))),1386,""),""),IF('CHOP DASHBOARD'!$B$4="Zone",IF(1386&lt;=$S$4,IF(OR('CHOP DASHBOARD'!$C$4="",ISNUMBER(SEARCH('CHOP DASHBOARD'!$C$4,INDEX(MASTER_ZONES!$B:$B,1387)))),1386,""),""),""))</f>
        <v/>
      </c>
      <c r="U1387">
        <f>IF('COMMUNITY CHURCH DASHBOARD'!$B$4="Area",IF(1386&lt;=$X$3,IF(AND(OR('COMMUNITY CHURCH DASHBOARD'!$C$4="",ISNUMBER(SEARCH('COMMUNITY CHURCH DASHBOARD'!$C$4,INDEX(MASTER_AREAS!$B:$B,1387))))),1386,""),""),IF('COMMUNITY CHURCH DASHBOARD'!$B$4="Zone",IF(1386&lt;=$X$4,IF(OR('COMMUNITY CHURCH DASHBOARD'!$C$4="",ISNUMBER(SEARCH('COMMUNITY CHURCH DASHBOARD'!$C$4,INDEX(MASTER_ZONES!$B:$B,1387)))),1386,""),""),""))</f>
        <v/>
      </c>
    </row>
    <row r="1388">
      <c r="A1388">
        <f>IF('WSF DASHBOARD'!$B$4="Area",IF(1387&lt;=$D$3,IF(AND(OR('WSF DASHBOARD'!$C$4="",ISNUMBER(SEARCH('WSF DASHBOARD'!$C$4,INDEX(MASTER_AREAS!$B:$B,1388))))),1387,""),""),IF('WSF DASHBOARD'!$B$4="Zone",IF(1387&lt;=$D$4,IF(OR('WSF DASHBOARD'!$C$4="",ISNUMBER(SEARCH('WSF DASHBOARD'!$C$4,INDEX(MASTER_ZONES!$B:$B,1388)))),1387,""),""),""))</f>
        <v/>
      </c>
      <c r="F1388">
        <f>IF('TRANSPORT DASHBOARD'!$B$4="Area",IF(1387&lt;=$I$3,IF(AND(INDEX(MASTER_AREAS!$F:$F,1388)&lt;&gt;"N",OR('TRANSPORT DASHBOARD'!$C$4="",ISNUMBER(SEARCH('TRANSPORT DASHBOARD'!$C$4,INDEX(MASTER_AREAS!$B:$B,1388))))),1387,""),""),IF('TRANSPORT DASHBOARD'!$B$4="Zone",IF(1387&lt;=$I$4,IF(OR('TRANSPORT DASHBOARD'!$C$4="",ISNUMBER(SEARCH('TRANSPORT DASHBOARD'!$C$4,INDEX(MASTER_ZONES!$B:$B,1388)))),1387,""),""),""))</f>
        <v/>
      </c>
      <c r="K1388">
        <f>IF('MIDWEEK DASHBOARD'!$B$4="Area",IF(1387&lt;=$N$3,IF(AND(OR('MIDWEEK DASHBOARD'!$C$4="",ISNUMBER(SEARCH('MIDWEEK DASHBOARD'!$C$4,INDEX(MASTER_AREAS!$B:$B,1388))))),1387,""),""),IF('MIDWEEK DASHBOARD'!$B$4="Zone",IF(1387&lt;=$N$4,IF(OR('MIDWEEK DASHBOARD'!$C$4="",ISNUMBER(SEARCH('MIDWEEK DASHBOARD'!$C$4,INDEX(MASTER_ZONES!$B:$B,1388)))),1387,""),""),""))</f>
        <v/>
      </c>
      <c r="P1388">
        <f>IF('CHOP DASHBOARD'!$B$4="Area",IF(1387&lt;=$S$3,IF(AND(OR('CHOP DASHBOARD'!$C$4="",ISNUMBER(SEARCH('CHOP DASHBOARD'!$C$4,INDEX(MASTER_AREAS!$B:$B,1388))))),1387,""),""),IF('CHOP DASHBOARD'!$B$4="Zone",IF(1387&lt;=$S$4,IF(OR('CHOP DASHBOARD'!$C$4="",ISNUMBER(SEARCH('CHOP DASHBOARD'!$C$4,INDEX(MASTER_ZONES!$B:$B,1388)))),1387,""),""),""))</f>
        <v/>
      </c>
      <c r="U1388">
        <f>IF('COMMUNITY CHURCH DASHBOARD'!$B$4="Area",IF(1387&lt;=$X$3,IF(AND(OR('COMMUNITY CHURCH DASHBOARD'!$C$4="",ISNUMBER(SEARCH('COMMUNITY CHURCH DASHBOARD'!$C$4,INDEX(MASTER_AREAS!$B:$B,1388))))),1387,""),""),IF('COMMUNITY CHURCH DASHBOARD'!$B$4="Zone",IF(1387&lt;=$X$4,IF(OR('COMMUNITY CHURCH DASHBOARD'!$C$4="",ISNUMBER(SEARCH('COMMUNITY CHURCH DASHBOARD'!$C$4,INDEX(MASTER_ZONES!$B:$B,1388)))),1387,""),""),""))</f>
        <v/>
      </c>
    </row>
    <row r="1389">
      <c r="A1389">
        <f>IF('WSF DASHBOARD'!$B$4="Area",IF(1388&lt;=$D$3,IF(AND(OR('WSF DASHBOARD'!$C$4="",ISNUMBER(SEARCH('WSF DASHBOARD'!$C$4,INDEX(MASTER_AREAS!$B:$B,1389))))),1388,""),""),IF('WSF DASHBOARD'!$B$4="Zone",IF(1388&lt;=$D$4,IF(OR('WSF DASHBOARD'!$C$4="",ISNUMBER(SEARCH('WSF DASHBOARD'!$C$4,INDEX(MASTER_ZONES!$B:$B,1389)))),1388,""),""),""))</f>
        <v/>
      </c>
      <c r="F1389">
        <f>IF('TRANSPORT DASHBOARD'!$B$4="Area",IF(1388&lt;=$I$3,IF(AND(INDEX(MASTER_AREAS!$F:$F,1389)&lt;&gt;"N",OR('TRANSPORT DASHBOARD'!$C$4="",ISNUMBER(SEARCH('TRANSPORT DASHBOARD'!$C$4,INDEX(MASTER_AREAS!$B:$B,1389))))),1388,""),""),IF('TRANSPORT DASHBOARD'!$B$4="Zone",IF(1388&lt;=$I$4,IF(OR('TRANSPORT DASHBOARD'!$C$4="",ISNUMBER(SEARCH('TRANSPORT DASHBOARD'!$C$4,INDEX(MASTER_ZONES!$B:$B,1389)))),1388,""),""),""))</f>
        <v/>
      </c>
      <c r="K1389">
        <f>IF('MIDWEEK DASHBOARD'!$B$4="Area",IF(1388&lt;=$N$3,IF(AND(OR('MIDWEEK DASHBOARD'!$C$4="",ISNUMBER(SEARCH('MIDWEEK DASHBOARD'!$C$4,INDEX(MASTER_AREAS!$B:$B,1389))))),1388,""),""),IF('MIDWEEK DASHBOARD'!$B$4="Zone",IF(1388&lt;=$N$4,IF(OR('MIDWEEK DASHBOARD'!$C$4="",ISNUMBER(SEARCH('MIDWEEK DASHBOARD'!$C$4,INDEX(MASTER_ZONES!$B:$B,1389)))),1388,""),""),""))</f>
        <v/>
      </c>
      <c r="P1389">
        <f>IF('CHOP DASHBOARD'!$B$4="Area",IF(1388&lt;=$S$3,IF(AND(OR('CHOP DASHBOARD'!$C$4="",ISNUMBER(SEARCH('CHOP DASHBOARD'!$C$4,INDEX(MASTER_AREAS!$B:$B,1389))))),1388,""),""),IF('CHOP DASHBOARD'!$B$4="Zone",IF(1388&lt;=$S$4,IF(OR('CHOP DASHBOARD'!$C$4="",ISNUMBER(SEARCH('CHOP DASHBOARD'!$C$4,INDEX(MASTER_ZONES!$B:$B,1389)))),1388,""),""),""))</f>
        <v/>
      </c>
      <c r="U1389">
        <f>IF('COMMUNITY CHURCH DASHBOARD'!$B$4="Area",IF(1388&lt;=$X$3,IF(AND(OR('COMMUNITY CHURCH DASHBOARD'!$C$4="",ISNUMBER(SEARCH('COMMUNITY CHURCH DASHBOARD'!$C$4,INDEX(MASTER_AREAS!$B:$B,1389))))),1388,""),""),IF('COMMUNITY CHURCH DASHBOARD'!$B$4="Zone",IF(1388&lt;=$X$4,IF(OR('COMMUNITY CHURCH DASHBOARD'!$C$4="",ISNUMBER(SEARCH('COMMUNITY CHURCH DASHBOARD'!$C$4,INDEX(MASTER_ZONES!$B:$B,1389)))),1388,""),""),""))</f>
        <v/>
      </c>
    </row>
    <row r="1390">
      <c r="A1390">
        <f>IF('WSF DASHBOARD'!$B$4="Area",IF(1389&lt;=$D$3,IF(AND(OR('WSF DASHBOARD'!$C$4="",ISNUMBER(SEARCH('WSF DASHBOARD'!$C$4,INDEX(MASTER_AREAS!$B:$B,1390))))),1389,""),""),IF('WSF DASHBOARD'!$B$4="Zone",IF(1389&lt;=$D$4,IF(OR('WSF DASHBOARD'!$C$4="",ISNUMBER(SEARCH('WSF DASHBOARD'!$C$4,INDEX(MASTER_ZONES!$B:$B,1390)))),1389,""),""),""))</f>
        <v/>
      </c>
      <c r="F1390">
        <f>IF('TRANSPORT DASHBOARD'!$B$4="Area",IF(1389&lt;=$I$3,IF(AND(INDEX(MASTER_AREAS!$F:$F,1390)&lt;&gt;"N",OR('TRANSPORT DASHBOARD'!$C$4="",ISNUMBER(SEARCH('TRANSPORT DASHBOARD'!$C$4,INDEX(MASTER_AREAS!$B:$B,1390))))),1389,""),""),IF('TRANSPORT DASHBOARD'!$B$4="Zone",IF(1389&lt;=$I$4,IF(OR('TRANSPORT DASHBOARD'!$C$4="",ISNUMBER(SEARCH('TRANSPORT DASHBOARD'!$C$4,INDEX(MASTER_ZONES!$B:$B,1390)))),1389,""),""),""))</f>
        <v/>
      </c>
      <c r="K1390">
        <f>IF('MIDWEEK DASHBOARD'!$B$4="Area",IF(1389&lt;=$N$3,IF(AND(OR('MIDWEEK DASHBOARD'!$C$4="",ISNUMBER(SEARCH('MIDWEEK DASHBOARD'!$C$4,INDEX(MASTER_AREAS!$B:$B,1390))))),1389,""),""),IF('MIDWEEK DASHBOARD'!$B$4="Zone",IF(1389&lt;=$N$4,IF(OR('MIDWEEK DASHBOARD'!$C$4="",ISNUMBER(SEARCH('MIDWEEK DASHBOARD'!$C$4,INDEX(MASTER_ZONES!$B:$B,1390)))),1389,""),""),""))</f>
        <v/>
      </c>
      <c r="P1390">
        <f>IF('CHOP DASHBOARD'!$B$4="Area",IF(1389&lt;=$S$3,IF(AND(OR('CHOP DASHBOARD'!$C$4="",ISNUMBER(SEARCH('CHOP DASHBOARD'!$C$4,INDEX(MASTER_AREAS!$B:$B,1390))))),1389,""),""),IF('CHOP DASHBOARD'!$B$4="Zone",IF(1389&lt;=$S$4,IF(OR('CHOP DASHBOARD'!$C$4="",ISNUMBER(SEARCH('CHOP DASHBOARD'!$C$4,INDEX(MASTER_ZONES!$B:$B,1390)))),1389,""),""),""))</f>
        <v/>
      </c>
      <c r="U1390">
        <f>IF('COMMUNITY CHURCH DASHBOARD'!$B$4="Area",IF(1389&lt;=$X$3,IF(AND(OR('COMMUNITY CHURCH DASHBOARD'!$C$4="",ISNUMBER(SEARCH('COMMUNITY CHURCH DASHBOARD'!$C$4,INDEX(MASTER_AREAS!$B:$B,1390))))),1389,""),""),IF('COMMUNITY CHURCH DASHBOARD'!$B$4="Zone",IF(1389&lt;=$X$4,IF(OR('COMMUNITY CHURCH DASHBOARD'!$C$4="",ISNUMBER(SEARCH('COMMUNITY CHURCH DASHBOARD'!$C$4,INDEX(MASTER_ZONES!$B:$B,1390)))),1389,""),""),""))</f>
        <v/>
      </c>
    </row>
    <row r="1391">
      <c r="A1391">
        <f>IF('WSF DASHBOARD'!$B$4="Area",IF(1390&lt;=$D$3,IF(AND(OR('WSF DASHBOARD'!$C$4="",ISNUMBER(SEARCH('WSF DASHBOARD'!$C$4,INDEX(MASTER_AREAS!$B:$B,1391))))),1390,""),""),IF('WSF DASHBOARD'!$B$4="Zone",IF(1390&lt;=$D$4,IF(OR('WSF DASHBOARD'!$C$4="",ISNUMBER(SEARCH('WSF DASHBOARD'!$C$4,INDEX(MASTER_ZONES!$B:$B,1391)))),1390,""),""),""))</f>
        <v/>
      </c>
      <c r="F1391">
        <f>IF('TRANSPORT DASHBOARD'!$B$4="Area",IF(1390&lt;=$I$3,IF(AND(INDEX(MASTER_AREAS!$F:$F,1391)&lt;&gt;"N",OR('TRANSPORT DASHBOARD'!$C$4="",ISNUMBER(SEARCH('TRANSPORT DASHBOARD'!$C$4,INDEX(MASTER_AREAS!$B:$B,1391))))),1390,""),""),IF('TRANSPORT DASHBOARD'!$B$4="Zone",IF(1390&lt;=$I$4,IF(OR('TRANSPORT DASHBOARD'!$C$4="",ISNUMBER(SEARCH('TRANSPORT DASHBOARD'!$C$4,INDEX(MASTER_ZONES!$B:$B,1391)))),1390,""),""),""))</f>
        <v/>
      </c>
      <c r="K1391">
        <f>IF('MIDWEEK DASHBOARD'!$B$4="Area",IF(1390&lt;=$N$3,IF(AND(OR('MIDWEEK DASHBOARD'!$C$4="",ISNUMBER(SEARCH('MIDWEEK DASHBOARD'!$C$4,INDEX(MASTER_AREAS!$B:$B,1391))))),1390,""),""),IF('MIDWEEK DASHBOARD'!$B$4="Zone",IF(1390&lt;=$N$4,IF(OR('MIDWEEK DASHBOARD'!$C$4="",ISNUMBER(SEARCH('MIDWEEK DASHBOARD'!$C$4,INDEX(MASTER_ZONES!$B:$B,1391)))),1390,""),""),""))</f>
        <v/>
      </c>
      <c r="P1391">
        <f>IF('CHOP DASHBOARD'!$B$4="Area",IF(1390&lt;=$S$3,IF(AND(OR('CHOP DASHBOARD'!$C$4="",ISNUMBER(SEARCH('CHOP DASHBOARD'!$C$4,INDEX(MASTER_AREAS!$B:$B,1391))))),1390,""),""),IF('CHOP DASHBOARD'!$B$4="Zone",IF(1390&lt;=$S$4,IF(OR('CHOP DASHBOARD'!$C$4="",ISNUMBER(SEARCH('CHOP DASHBOARD'!$C$4,INDEX(MASTER_ZONES!$B:$B,1391)))),1390,""),""),""))</f>
        <v/>
      </c>
      <c r="U1391">
        <f>IF('COMMUNITY CHURCH DASHBOARD'!$B$4="Area",IF(1390&lt;=$X$3,IF(AND(OR('COMMUNITY CHURCH DASHBOARD'!$C$4="",ISNUMBER(SEARCH('COMMUNITY CHURCH DASHBOARD'!$C$4,INDEX(MASTER_AREAS!$B:$B,1391))))),1390,""),""),IF('COMMUNITY CHURCH DASHBOARD'!$B$4="Zone",IF(1390&lt;=$X$4,IF(OR('COMMUNITY CHURCH DASHBOARD'!$C$4="",ISNUMBER(SEARCH('COMMUNITY CHURCH DASHBOARD'!$C$4,INDEX(MASTER_ZONES!$B:$B,1391)))),1390,""),""),""))</f>
        <v/>
      </c>
    </row>
    <row r="1392">
      <c r="A1392">
        <f>IF('WSF DASHBOARD'!$B$4="Area",IF(1391&lt;=$D$3,IF(AND(OR('WSF DASHBOARD'!$C$4="",ISNUMBER(SEARCH('WSF DASHBOARD'!$C$4,INDEX(MASTER_AREAS!$B:$B,1392))))),1391,""),""),IF('WSF DASHBOARD'!$B$4="Zone",IF(1391&lt;=$D$4,IF(OR('WSF DASHBOARD'!$C$4="",ISNUMBER(SEARCH('WSF DASHBOARD'!$C$4,INDEX(MASTER_ZONES!$B:$B,1392)))),1391,""),""),""))</f>
        <v/>
      </c>
      <c r="F1392">
        <f>IF('TRANSPORT DASHBOARD'!$B$4="Area",IF(1391&lt;=$I$3,IF(AND(INDEX(MASTER_AREAS!$F:$F,1392)&lt;&gt;"N",OR('TRANSPORT DASHBOARD'!$C$4="",ISNUMBER(SEARCH('TRANSPORT DASHBOARD'!$C$4,INDEX(MASTER_AREAS!$B:$B,1392))))),1391,""),""),IF('TRANSPORT DASHBOARD'!$B$4="Zone",IF(1391&lt;=$I$4,IF(OR('TRANSPORT DASHBOARD'!$C$4="",ISNUMBER(SEARCH('TRANSPORT DASHBOARD'!$C$4,INDEX(MASTER_ZONES!$B:$B,1392)))),1391,""),""),""))</f>
        <v/>
      </c>
      <c r="K1392">
        <f>IF('MIDWEEK DASHBOARD'!$B$4="Area",IF(1391&lt;=$N$3,IF(AND(OR('MIDWEEK DASHBOARD'!$C$4="",ISNUMBER(SEARCH('MIDWEEK DASHBOARD'!$C$4,INDEX(MASTER_AREAS!$B:$B,1392))))),1391,""),""),IF('MIDWEEK DASHBOARD'!$B$4="Zone",IF(1391&lt;=$N$4,IF(OR('MIDWEEK DASHBOARD'!$C$4="",ISNUMBER(SEARCH('MIDWEEK DASHBOARD'!$C$4,INDEX(MASTER_ZONES!$B:$B,1392)))),1391,""),""),""))</f>
        <v/>
      </c>
      <c r="P1392">
        <f>IF('CHOP DASHBOARD'!$B$4="Area",IF(1391&lt;=$S$3,IF(AND(OR('CHOP DASHBOARD'!$C$4="",ISNUMBER(SEARCH('CHOP DASHBOARD'!$C$4,INDEX(MASTER_AREAS!$B:$B,1392))))),1391,""),""),IF('CHOP DASHBOARD'!$B$4="Zone",IF(1391&lt;=$S$4,IF(OR('CHOP DASHBOARD'!$C$4="",ISNUMBER(SEARCH('CHOP DASHBOARD'!$C$4,INDEX(MASTER_ZONES!$B:$B,1392)))),1391,""),""),""))</f>
        <v/>
      </c>
      <c r="U1392">
        <f>IF('COMMUNITY CHURCH DASHBOARD'!$B$4="Area",IF(1391&lt;=$X$3,IF(AND(OR('COMMUNITY CHURCH DASHBOARD'!$C$4="",ISNUMBER(SEARCH('COMMUNITY CHURCH DASHBOARD'!$C$4,INDEX(MASTER_AREAS!$B:$B,1392))))),1391,""),""),IF('COMMUNITY CHURCH DASHBOARD'!$B$4="Zone",IF(1391&lt;=$X$4,IF(OR('COMMUNITY CHURCH DASHBOARD'!$C$4="",ISNUMBER(SEARCH('COMMUNITY CHURCH DASHBOARD'!$C$4,INDEX(MASTER_ZONES!$B:$B,1392)))),1391,""),""),""))</f>
        <v/>
      </c>
    </row>
    <row r="1393">
      <c r="A1393">
        <f>IF('WSF DASHBOARD'!$B$4="Area",IF(1392&lt;=$D$3,IF(AND(OR('WSF DASHBOARD'!$C$4="",ISNUMBER(SEARCH('WSF DASHBOARD'!$C$4,INDEX(MASTER_AREAS!$B:$B,1393))))),1392,""),""),IF('WSF DASHBOARD'!$B$4="Zone",IF(1392&lt;=$D$4,IF(OR('WSF DASHBOARD'!$C$4="",ISNUMBER(SEARCH('WSF DASHBOARD'!$C$4,INDEX(MASTER_ZONES!$B:$B,1393)))),1392,""),""),""))</f>
        <v/>
      </c>
      <c r="F1393">
        <f>IF('TRANSPORT DASHBOARD'!$B$4="Area",IF(1392&lt;=$I$3,IF(AND(INDEX(MASTER_AREAS!$F:$F,1393)&lt;&gt;"N",OR('TRANSPORT DASHBOARD'!$C$4="",ISNUMBER(SEARCH('TRANSPORT DASHBOARD'!$C$4,INDEX(MASTER_AREAS!$B:$B,1393))))),1392,""),""),IF('TRANSPORT DASHBOARD'!$B$4="Zone",IF(1392&lt;=$I$4,IF(OR('TRANSPORT DASHBOARD'!$C$4="",ISNUMBER(SEARCH('TRANSPORT DASHBOARD'!$C$4,INDEX(MASTER_ZONES!$B:$B,1393)))),1392,""),""),""))</f>
        <v/>
      </c>
      <c r="K1393">
        <f>IF('MIDWEEK DASHBOARD'!$B$4="Area",IF(1392&lt;=$N$3,IF(AND(OR('MIDWEEK DASHBOARD'!$C$4="",ISNUMBER(SEARCH('MIDWEEK DASHBOARD'!$C$4,INDEX(MASTER_AREAS!$B:$B,1393))))),1392,""),""),IF('MIDWEEK DASHBOARD'!$B$4="Zone",IF(1392&lt;=$N$4,IF(OR('MIDWEEK DASHBOARD'!$C$4="",ISNUMBER(SEARCH('MIDWEEK DASHBOARD'!$C$4,INDEX(MASTER_ZONES!$B:$B,1393)))),1392,""),""),""))</f>
        <v/>
      </c>
      <c r="P1393">
        <f>IF('CHOP DASHBOARD'!$B$4="Area",IF(1392&lt;=$S$3,IF(AND(OR('CHOP DASHBOARD'!$C$4="",ISNUMBER(SEARCH('CHOP DASHBOARD'!$C$4,INDEX(MASTER_AREAS!$B:$B,1393))))),1392,""),""),IF('CHOP DASHBOARD'!$B$4="Zone",IF(1392&lt;=$S$4,IF(OR('CHOP DASHBOARD'!$C$4="",ISNUMBER(SEARCH('CHOP DASHBOARD'!$C$4,INDEX(MASTER_ZONES!$B:$B,1393)))),1392,""),""),""))</f>
        <v/>
      </c>
      <c r="U1393">
        <f>IF('COMMUNITY CHURCH DASHBOARD'!$B$4="Area",IF(1392&lt;=$X$3,IF(AND(OR('COMMUNITY CHURCH DASHBOARD'!$C$4="",ISNUMBER(SEARCH('COMMUNITY CHURCH DASHBOARD'!$C$4,INDEX(MASTER_AREAS!$B:$B,1393))))),1392,""),""),IF('COMMUNITY CHURCH DASHBOARD'!$B$4="Zone",IF(1392&lt;=$X$4,IF(OR('COMMUNITY CHURCH DASHBOARD'!$C$4="",ISNUMBER(SEARCH('COMMUNITY CHURCH DASHBOARD'!$C$4,INDEX(MASTER_ZONES!$B:$B,1393)))),1392,""),""),""))</f>
        <v/>
      </c>
    </row>
    <row r="1394">
      <c r="A1394">
        <f>IF('WSF DASHBOARD'!$B$4="Area",IF(1393&lt;=$D$3,IF(AND(OR('WSF DASHBOARD'!$C$4="",ISNUMBER(SEARCH('WSF DASHBOARD'!$C$4,INDEX(MASTER_AREAS!$B:$B,1394))))),1393,""),""),IF('WSF DASHBOARD'!$B$4="Zone",IF(1393&lt;=$D$4,IF(OR('WSF DASHBOARD'!$C$4="",ISNUMBER(SEARCH('WSF DASHBOARD'!$C$4,INDEX(MASTER_ZONES!$B:$B,1394)))),1393,""),""),""))</f>
        <v/>
      </c>
      <c r="F1394">
        <f>IF('TRANSPORT DASHBOARD'!$B$4="Area",IF(1393&lt;=$I$3,IF(AND(INDEX(MASTER_AREAS!$F:$F,1394)&lt;&gt;"N",OR('TRANSPORT DASHBOARD'!$C$4="",ISNUMBER(SEARCH('TRANSPORT DASHBOARD'!$C$4,INDEX(MASTER_AREAS!$B:$B,1394))))),1393,""),""),IF('TRANSPORT DASHBOARD'!$B$4="Zone",IF(1393&lt;=$I$4,IF(OR('TRANSPORT DASHBOARD'!$C$4="",ISNUMBER(SEARCH('TRANSPORT DASHBOARD'!$C$4,INDEX(MASTER_ZONES!$B:$B,1394)))),1393,""),""),""))</f>
        <v/>
      </c>
      <c r="K1394">
        <f>IF('MIDWEEK DASHBOARD'!$B$4="Area",IF(1393&lt;=$N$3,IF(AND(OR('MIDWEEK DASHBOARD'!$C$4="",ISNUMBER(SEARCH('MIDWEEK DASHBOARD'!$C$4,INDEX(MASTER_AREAS!$B:$B,1394))))),1393,""),""),IF('MIDWEEK DASHBOARD'!$B$4="Zone",IF(1393&lt;=$N$4,IF(OR('MIDWEEK DASHBOARD'!$C$4="",ISNUMBER(SEARCH('MIDWEEK DASHBOARD'!$C$4,INDEX(MASTER_ZONES!$B:$B,1394)))),1393,""),""),""))</f>
        <v/>
      </c>
      <c r="P1394">
        <f>IF('CHOP DASHBOARD'!$B$4="Area",IF(1393&lt;=$S$3,IF(AND(OR('CHOP DASHBOARD'!$C$4="",ISNUMBER(SEARCH('CHOP DASHBOARD'!$C$4,INDEX(MASTER_AREAS!$B:$B,1394))))),1393,""),""),IF('CHOP DASHBOARD'!$B$4="Zone",IF(1393&lt;=$S$4,IF(OR('CHOP DASHBOARD'!$C$4="",ISNUMBER(SEARCH('CHOP DASHBOARD'!$C$4,INDEX(MASTER_ZONES!$B:$B,1394)))),1393,""),""),""))</f>
        <v/>
      </c>
      <c r="U1394">
        <f>IF('COMMUNITY CHURCH DASHBOARD'!$B$4="Area",IF(1393&lt;=$X$3,IF(AND(OR('COMMUNITY CHURCH DASHBOARD'!$C$4="",ISNUMBER(SEARCH('COMMUNITY CHURCH DASHBOARD'!$C$4,INDEX(MASTER_AREAS!$B:$B,1394))))),1393,""),""),IF('COMMUNITY CHURCH DASHBOARD'!$B$4="Zone",IF(1393&lt;=$X$4,IF(OR('COMMUNITY CHURCH DASHBOARD'!$C$4="",ISNUMBER(SEARCH('COMMUNITY CHURCH DASHBOARD'!$C$4,INDEX(MASTER_ZONES!$B:$B,1394)))),1393,""),""),""))</f>
        <v/>
      </c>
    </row>
    <row r="1395">
      <c r="A1395">
        <f>IF('WSF DASHBOARD'!$B$4="Area",IF(1394&lt;=$D$3,IF(AND(OR('WSF DASHBOARD'!$C$4="",ISNUMBER(SEARCH('WSF DASHBOARD'!$C$4,INDEX(MASTER_AREAS!$B:$B,1395))))),1394,""),""),IF('WSF DASHBOARD'!$B$4="Zone",IF(1394&lt;=$D$4,IF(OR('WSF DASHBOARD'!$C$4="",ISNUMBER(SEARCH('WSF DASHBOARD'!$C$4,INDEX(MASTER_ZONES!$B:$B,1395)))),1394,""),""),""))</f>
        <v/>
      </c>
      <c r="F1395">
        <f>IF('TRANSPORT DASHBOARD'!$B$4="Area",IF(1394&lt;=$I$3,IF(AND(INDEX(MASTER_AREAS!$F:$F,1395)&lt;&gt;"N",OR('TRANSPORT DASHBOARD'!$C$4="",ISNUMBER(SEARCH('TRANSPORT DASHBOARD'!$C$4,INDEX(MASTER_AREAS!$B:$B,1395))))),1394,""),""),IF('TRANSPORT DASHBOARD'!$B$4="Zone",IF(1394&lt;=$I$4,IF(OR('TRANSPORT DASHBOARD'!$C$4="",ISNUMBER(SEARCH('TRANSPORT DASHBOARD'!$C$4,INDEX(MASTER_ZONES!$B:$B,1395)))),1394,""),""),""))</f>
        <v/>
      </c>
      <c r="K1395">
        <f>IF('MIDWEEK DASHBOARD'!$B$4="Area",IF(1394&lt;=$N$3,IF(AND(OR('MIDWEEK DASHBOARD'!$C$4="",ISNUMBER(SEARCH('MIDWEEK DASHBOARD'!$C$4,INDEX(MASTER_AREAS!$B:$B,1395))))),1394,""),""),IF('MIDWEEK DASHBOARD'!$B$4="Zone",IF(1394&lt;=$N$4,IF(OR('MIDWEEK DASHBOARD'!$C$4="",ISNUMBER(SEARCH('MIDWEEK DASHBOARD'!$C$4,INDEX(MASTER_ZONES!$B:$B,1395)))),1394,""),""),""))</f>
        <v/>
      </c>
      <c r="P1395">
        <f>IF('CHOP DASHBOARD'!$B$4="Area",IF(1394&lt;=$S$3,IF(AND(OR('CHOP DASHBOARD'!$C$4="",ISNUMBER(SEARCH('CHOP DASHBOARD'!$C$4,INDEX(MASTER_AREAS!$B:$B,1395))))),1394,""),""),IF('CHOP DASHBOARD'!$B$4="Zone",IF(1394&lt;=$S$4,IF(OR('CHOP DASHBOARD'!$C$4="",ISNUMBER(SEARCH('CHOP DASHBOARD'!$C$4,INDEX(MASTER_ZONES!$B:$B,1395)))),1394,""),""),""))</f>
        <v/>
      </c>
      <c r="U1395">
        <f>IF('COMMUNITY CHURCH DASHBOARD'!$B$4="Area",IF(1394&lt;=$X$3,IF(AND(OR('COMMUNITY CHURCH DASHBOARD'!$C$4="",ISNUMBER(SEARCH('COMMUNITY CHURCH DASHBOARD'!$C$4,INDEX(MASTER_AREAS!$B:$B,1395))))),1394,""),""),IF('COMMUNITY CHURCH DASHBOARD'!$B$4="Zone",IF(1394&lt;=$X$4,IF(OR('COMMUNITY CHURCH DASHBOARD'!$C$4="",ISNUMBER(SEARCH('COMMUNITY CHURCH DASHBOARD'!$C$4,INDEX(MASTER_ZONES!$B:$B,1395)))),1394,""),""),""))</f>
        <v/>
      </c>
    </row>
    <row r="1396">
      <c r="A1396">
        <f>IF('WSF DASHBOARD'!$B$4="Area",IF(1395&lt;=$D$3,IF(AND(OR('WSF DASHBOARD'!$C$4="",ISNUMBER(SEARCH('WSF DASHBOARD'!$C$4,INDEX(MASTER_AREAS!$B:$B,1396))))),1395,""),""),IF('WSF DASHBOARD'!$B$4="Zone",IF(1395&lt;=$D$4,IF(OR('WSF DASHBOARD'!$C$4="",ISNUMBER(SEARCH('WSF DASHBOARD'!$C$4,INDEX(MASTER_ZONES!$B:$B,1396)))),1395,""),""),""))</f>
        <v/>
      </c>
      <c r="F1396">
        <f>IF('TRANSPORT DASHBOARD'!$B$4="Area",IF(1395&lt;=$I$3,IF(AND(INDEX(MASTER_AREAS!$F:$F,1396)&lt;&gt;"N",OR('TRANSPORT DASHBOARD'!$C$4="",ISNUMBER(SEARCH('TRANSPORT DASHBOARD'!$C$4,INDEX(MASTER_AREAS!$B:$B,1396))))),1395,""),""),IF('TRANSPORT DASHBOARD'!$B$4="Zone",IF(1395&lt;=$I$4,IF(OR('TRANSPORT DASHBOARD'!$C$4="",ISNUMBER(SEARCH('TRANSPORT DASHBOARD'!$C$4,INDEX(MASTER_ZONES!$B:$B,1396)))),1395,""),""),""))</f>
        <v/>
      </c>
      <c r="K1396">
        <f>IF('MIDWEEK DASHBOARD'!$B$4="Area",IF(1395&lt;=$N$3,IF(AND(OR('MIDWEEK DASHBOARD'!$C$4="",ISNUMBER(SEARCH('MIDWEEK DASHBOARD'!$C$4,INDEX(MASTER_AREAS!$B:$B,1396))))),1395,""),""),IF('MIDWEEK DASHBOARD'!$B$4="Zone",IF(1395&lt;=$N$4,IF(OR('MIDWEEK DASHBOARD'!$C$4="",ISNUMBER(SEARCH('MIDWEEK DASHBOARD'!$C$4,INDEX(MASTER_ZONES!$B:$B,1396)))),1395,""),""),""))</f>
        <v/>
      </c>
      <c r="P1396">
        <f>IF('CHOP DASHBOARD'!$B$4="Area",IF(1395&lt;=$S$3,IF(AND(OR('CHOP DASHBOARD'!$C$4="",ISNUMBER(SEARCH('CHOP DASHBOARD'!$C$4,INDEX(MASTER_AREAS!$B:$B,1396))))),1395,""),""),IF('CHOP DASHBOARD'!$B$4="Zone",IF(1395&lt;=$S$4,IF(OR('CHOP DASHBOARD'!$C$4="",ISNUMBER(SEARCH('CHOP DASHBOARD'!$C$4,INDEX(MASTER_ZONES!$B:$B,1396)))),1395,""),""),""))</f>
        <v/>
      </c>
      <c r="U1396">
        <f>IF('COMMUNITY CHURCH DASHBOARD'!$B$4="Area",IF(1395&lt;=$X$3,IF(AND(OR('COMMUNITY CHURCH DASHBOARD'!$C$4="",ISNUMBER(SEARCH('COMMUNITY CHURCH DASHBOARD'!$C$4,INDEX(MASTER_AREAS!$B:$B,1396))))),1395,""),""),IF('COMMUNITY CHURCH DASHBOARD'!$B$4="Zone",IF(1395&lt;=$X$4,IF(OR('COMMUNITY CHURCH DASHBOARD'!$C$4="",ISNUMBER(SEARCH('COMMUNITY CHURCH DASHBOARD'!$C$4,INDEX(MASTER_ZONES!$B:$B,1396)))),1395,""),""),""))</f>
        <v/>
      </c>
    </row>
    <row r="1397">
      <c r="A1397">
        <f>IF('WSF DASHBOARD'!$B$4="Area",IF(1396&lt;=$D$3,IF(AND(OR('WSF DASHBOARD'!$C$4="",ISNUMBER(SEARCH('WSF DASHBOARD'!$C$4,INDEX(MASTER_AREAS!$B:$B,1397))))),1396,""),""),IF('WSF DASHBOARD'!$B$4="Zone",IF(1396&lt;=$D$4,IF(OR('WSF DASHBOARD'!$C$4="",ISNUMBER(SEARCH('WSF DASHBOARD'!$C$4,INDEX(MASTER_ZONES!$B:$B,1397)))),1396,""),""),""))</f>
        <v/>
      </c>
      <c r="F1397">
        <f>IF('TRANSPORT DASHBOARD'!$B$4="Area",IF(1396&lt;=$I$3,IF(AND(INDEX(MASTER_AREAS!$F:$F,1397)&lt;&gt;"N",OR('TRANSPORT DASHBOARD'!$C$4="",ISNUMBER(SEARCH('TRANSPORT DASHBOARD'!$C$4,INDEX(MASTER_AREAS!$B:$B,1397))))),1396,""),""),IF('TRANSPORT DASHBOARD'!$B$4="Zone",IF(1396&lt;=$I$4,IF(OR('TRANSPORT DASHBOARD'!$C$4="",ISNUMBER(SEARCH('TRANSPORT DASHBOARD'!$C$4,INDEX(MASTER_ZONES!$B:$B,1397)))),1396,""),""),""))</f>
        <v/>
      </c>
      <c r="K1397">
        <f>IF('MIDWEEK DASHBOARD'!$B$4="Area",IF(1396&lt;=$N$3,IF(AND(OR('MIDWEEK DASHBOARD'!$C$4="",ISNUMBER(SEARCH('MIDWEEK DASHBOARD'!$C$4,INDEX(MASTER_AREAS!$B:$B,1397))))),1396,""),""),IF('MIDWEEK DASHBOARD'!$B$4="Zone",IF(1396&lt;=$N$4,IF(OR('MIDWEEK DASHBOARD'!$C$4="",ISNUMBER(SEARCH('MIDWEEK DASHBOARD'!$C$4,INDEX(MASTER_ZONES!$B:$B,1397)))),1396,""),""),""))</f>
        <v/>
      </c>
      <c r="P1397">
        <f>IF('CHOP DASHBOARD'!$B$4="Area",IF(1396&lt;=$S$3,IF(AND(OR('CHOP DASHBOARD'!$C$4="",ISNUMBER(SEARCH('CHOP DASHBOARD'!$C$4,INDEX(MASTER_AREAS!$B:$B,1397))))),1396,""),""),IF('CHOP DASHBOARD'!$B$4="Zone",IF(1396&lt;=$S$4,IF(OR('CHOP DASHBOARD'!$C$4="",ISNUMBER(SEARCH('CHOP DASHBOARD'!$C$4,INDEX(MASTER_ZONES!$B:$B,1397)))),1396,""),""),""))</f>
        <v/>
      </c>
      <c r="U1397">
        <f>IF('COMMUNITY CHURCH DASHBOARD'!$B$4="Area",IF(1396&lt;=$X$3,IF(AND(OR('COMMUNITY CHURCH DASHBOARD'!$C$4="",ISNUMBER(SEARCH('COMMUNITY CHURCH DASHBOARD'!$C$4,INDEX(MASTER_AREAS!$B:$B,1397))))),1396,""),""),IF('COMMUNITY CHURCH DASHBOARD'!$B$4="Zone",IF(1396&lt;=$X$4,IF(OR('COMMUNITY CHURCH DASHBOARD'!$C$4="",ISNUMBER(SEARCH('COMMUNITY CHURCH DASHBOARD'!$C$4,INDEX(MASTER_ZONES!$B:$B,1397)))),1396,""),""),""))</f>
        <v/>
      </c>
    </row>
    <row r="1398">
      <c r="A1398">
        <f>IF('WSF DASHBOARD'!$B$4="Area",IF(1397&lt;=$D$3,IF(AND(OR('WSF DASHBOARD'!$C$4="",ISNUMBER(SEARCH('WSF DASHBOARD'!$C$4,INDEX(MASTER_AREAS!$B:$B,1398))))),1397,""),""),IF('WSF DASHBOARD'!$B$4="Zone",IF(1397&lt;=$D$4,IF(OR('WSF DASHBOARD'!$C$4="",ISNUMBER(SEARCH('WSF DASHBOARD'!$C$4,INDEX(MASTER_ZONES!$B:$B,1398)))),1397,""),""),""))</f>
        <v/>
      </c>
      <c r="F1398">
        <f>IF('TRANSPORT DASHBOARD'!$B$4="Area",IF(1397&lt;=$I$3,IF(AND(INDEX(MASTER_AREAS!$F:$F,1398)&lt;&gt;"N",OR('TRANSPORT DASHBOARD'!$C$4="",ISNUMBER(SEARCH('TRANSPORT DASHBOARD'!$C$4,INDEX(MASTER_AREAS!$B:$B,1398))))),1397,""),""),IF('TRANSPORT DASHBOARD'!$B$4="Zone",IF(1397&lt;=$I$4,IF(OR('TRANSPORT DASHBOARD'!$C$4="",ISNUMBER(SEARCH('TRANSPORT DASHBOARD'!$C$4,INDEX(MASTER_ZONES!$B:$B,1398)))),1397,""),""),""))</f>
        <v/>
      </c>
      <c r="K1398">
        <f>IF('MIDWEEK DASHBOARD'!$B$4="Area",IF(1397&lt;=$N$3,IF(AND(OR('MIDWEEK DASHBOARD'!$C$4="",ISNUMBER(SEARCH('MIDWEEK DASHBOARD'!$C$4,INDEX(MASTER_AREAS!$B:$B,1398))))),1397,""),""),IF('MIDWEEK DASHBOARD'!$B$4="Zone",IF(1397&lt;=$N$4,IF(OR('MIDWEEK DASHBOARD'!$C$4="",ISNUMBER(SEARCH('MIDWEEK DASHBOARD'!$C$4,INDEX(MASTER_ZONES!$B:$B,1398)))),1397,""),""),""))</f>
        <v/>
      </c>
      <c r="P1398">
        <f>IF('CHOP DASHBOARD'!$B$4="Area",IF(1397&lt;=$S$3,IF(AND(OR('CHOP DASHBOARD'!$C$4="",ISNUMBER(SEARCH('CHOP DASHBOARD'!$C$4,INDEX(MASTER_AREAS!$B:$B,1398))))),1397,""),""),IF('CHOP DASHBOARD'!$B$4="Zone",IF(1397&lt;=$S$4,IF(OR('CHOP DASHBOARD'!$C$4="",ISNUMBER(SEARCH('CHOP DASHBOARD'!$C$4,INDEX(MASTER_ZONES!$B:$B,1398)))),1397,""),""),""))</f>
        <v/>
      </c>
      <c r="U1398">
        <f>IF('COMMUNITY CHURCH DASHBOARD'!$B$4="Area",IF(1397&lt;=$X$3,IF(AND(OR('COMMUNITY CHURCH DASHBOARD'!$C$4="",ISNUMBER(SEARCH('COMMUNITY CHURCH DASHBOARD'!$C$4,INDEX(MASTER_AREAS!$B:$B,1398))))),1397,""),""),IF('COMMUNITY CHURCH DASHBOARD'!$B$4="Zone",IF(1397&lt;=$X$4,IF(OR('COMMUNITY CHURCH DASHBOARD'!$C$4="",ISNUMBER(SEARCH('COMMUNITY CHURCH DASHBOARD'!$C$4,INDEX(MASTER_ZONES!$B:$B,1398)))),1397,""),""),""))</f>
        <v/>
      </c>
    </row>
    <row r="1399">
      <c r="A1399">
        <f>IF('WSF DASHBOARD'!$B$4="Area",IF(1398&lt;=$D$3,IF(AND(OR('WSF DASHBOARD'!$C$4="",ISNUMBER(SEARCH('WSF DASHBOARD'!$C$4,INDEX(MASTER_AREAS!$B:$B,1399))))),1398,""),""),IF('WSF DASHBOARD'!$B$4="Zone",IF(1398&lt;=$D$4,IF(OR('WSF DASHBOARD'!$C$4="",ISNUMBER(SEARCH('WSF DASHBOARD'!$C$4,INDEX(MASTER_ZONES!$B:$B,1399)))),1398,""),""),""))</f>
        <v/>
      </c>
      <c r="F1399">
        <f>IF('TRANSPORT DASHBOARD'!$B$4="Area",IF(1398&lt;=$I$3,IF(AND(INDEX(MASTER_AREAS!$F:$F,1399)&lt;&gt;"N",OR('TRANSPORT DASHBOARD'!$C$4="",ISNUMBER(SEARCH('TRANSPORT DASHBOARD'!$C$4,INDEX(MASTER_AREAS!$B:$B,1399))))),1398,""),""),IF('TRANSPORT DASHBOARD'!$B$4="Zone",IF(1398&lt;=$I$4,IF(OR('TRANSPORT DASHBOARD'!$C$4="",ISNUMBER(SEARCH('TRANSPORT DASHBOARD'!$C$4,INDEX(MASTER_ZONES!$B:$B,1399)))),1398,""),""),""))</f>
        <v/>
      </c>
      <c r="K1399">
        <f>IF('MIDWEEK DASHBOARD'!$B$4="Area",IF(1398&lt;=$N$3,IF(AND(OR('MIDWEEK DASHBOARD'!$C$4="",ISNUMBER(SEARCH('MIDWEEK DASHBOARD'!$C$4,INDEX(MASTER_AREAS!$B:$B,1399))))),1398,""),""),IF('MIDWEEK DASHBOARD'!$B$4="Zone",IF(1398&lt;=$N$4,IF(OR('MIDWEEK DASHBOARD'!$C$4="",ISNUMBER(SEARCH('MIDWEEK DASHBOARD'!$C$4,INDEX(MASTER_ZONES!$B:$B,1399)))),1398,""),""),""))</f>
        <v/>
      </c>
      <c r="P1399">
        <f>IF('CHOP DASHBOARD'!$B$4="Area",IF(1398&lt;=$S$3,IF(AND(OR('CHOP DASHBOARD'!$C$4="",ISNUMBER(SEARCH('CHOP DASHBOARD'!$C$4,INDEX(MASTER_AREAS!$B:$B,1399))))),1398,""),""),IF('CHOP DASHBOARD'!$B$4="Zone",IF(1398&lt;=$S$4,IF(OR('CHOP DASHBOARD'!$C$4="",ISNUMBER(SEARCH('CHOP DASHBOARD'!$C$4,INDEX(MASTER_ZONES!$B:$B,1399)))),1398,""),""),""))</f>
        <v/>
      </c>
      <c r="U1399">
        <f>IF('COMMUNITY CHURCH DASHBOARD'!$B$4="Area",IF(1398&lt;=$X$3,IF(AND(OR('COMMUNITY CHURCH DASHBOARD'!$C$4="",ISNUMBER(SEARCH('COMMUNITY CHURCH DASHBOARD'!$C$4,INDEX(MASTER_AREAS!$B:$B,1399))))),1398,""),""),IF('COMMUNITY CHURCH DASHBOARD'!$B$4="Zone",IF(1398&lt;=$X$4,IF(OR('COMMUNITY CHURCH DASHBOARD'!$C$4="",ISNUMBER(SEARCH('COMMUNITY CHURCH DASHBOARD'!$C$4,INDEX(MASTER_ZONES!$B:$B,1399)))),1398,""),""),""))</f>
        <v/>
      </c>
    </row>
    <row r="1400">
      <c r="A1400">
        <f>IF('WSF DASHBOARD'!$B$4="Area",IF(1399&lt;=$D$3,IF(AND(OR('WSF DASHBOARD'!$C$4="",ISNUMBER(SEARCH('WSF DASHBOARD'!$C$4,INDEX(MASTER_AREAS!$B:$B,1400))))),1399,""),""),IF('WSF DASHBOARD'!$B$4="Zone",IF(1399&lt;=$D$4,IF(OR('WSF DASHBOARD'!$C$4="",ISNUMBER(SEARCH('WSF DASHBOARD'!$C$4,INDEX(MASTER_ZONES!$B:$B,1400)))),1399,""),""),""))</f>
        <v/>
      </c>
      <c r="F1400">
        <f>IF('TRANSPORT DASHBOARD'!$B$4="Area",IF(1399&lt;=$I$3,IF(AND(INDEX(MASTER_AREAS!$F:$F,1400)&lt;&gt;"N",OR('TRANSPORT DASHBOARD'!$C$4="",ISNUMBER(SEARCH('TRANSPORT DASHBOARD'!$C$4,INDEX(MASTER_AREAS!$B:$B,1400))))),1399,""),""),IF('TRANSPORT DASHBOARD'!$B$4="Zone",IF(1399&lt;=$I$4,IF(OR('TRANSPORT DASHBOARD'!$C$4="",ISNUMBER(SEARCH('TRANSPORT DASHBOARD'!$C$4,INDEX(MASTER_ZONES!$B:$B,1400)))),1399,""),""),""))</f>
        <v/>
      </c>
      <c r="K1400">
        <f>IF('MIDWEEK DASHBOARD'!$B$4="Area",IF(1399&lt;=$N$3,IF(AND(OR('MIDWEEK DASHBOARD'!$C$4="",ISNUMBER(SEARCH('MIDWEEK DASHBOARD'!$C$4,INDEX(MASTER_AREAS!$B:$B,1400))))),1399,""),""),IF('MIDWEEK DASHBOARD'!$B$4="Zone",IF(1399&lt;=$N$4,IF(OR('MIDWEEK DASHBOARD'!$C$4="",ISNUMBER(SEARCH('MIDWEEK DASHBOARD'!$C$4,INDEX(MASTER_ZONES!$B:$B,1400)))),1399,""),""),""))</f>
        <v/>
      </c>
      <c r="P1400">
        <f>IF('CHOP DASHBOARD'!$B$4="Area",IF(1399&lt;=$S$3,IF(AND(OR('CHOP DASHBOARD'!$C$4="",ISNUMBER(SEARCH('CHOP DASHBOARD'!$C$4,INDEX(MASTER_AREAS!$B:$B,1400))))),1399,""),""),IF('CHOP DASHBOARD'!$B$4="Zone",IF(1399&lt;=$S$4,IF(OR('CHOP DASHBOARD'!$C$4="",ISNUMBER(SEARCH('CHOP DASHBOARD'!$C$4,INDEX(MASTER_ZONES!$B:$B,1400)))),1399,""),""),""))</f>
        <v/>
      </c>
      <c r="U1400">
        <f>IF('COMMUNITY CHURCH DASHBOARD'!$B$4="Area",IF(1399&lt;=$X$3,IF(AND(OR('COMMUNITY CHURCH DASHBOARD'!$C$4="",ISNUMBER(SEARCH('COMMUNITY CHURCH DASHBOARD'!$C$4,INDEX(MASTER_AREAS!$B:$B,1400))))),1399,""),""),IF('COMMUNITY CHURCH DASHBOARD'!$B$4="Zone",IF(1399&lt;=$X$4,IF(OR('COMMUNITY CHURCH DASHBOARD'!$C$4="",ISNUMBER(SEARCH('COMMUNITY CHURCH DASHBOARD'!$C$4,INDEX(MASTER_ZONES!$B:$B,1400)))),1399,""),""),""))</f>
        <v/>
      </c>
    </row>
    <row r="1401">
      <c r="A1401">
        <f>IF('WSF DASHBOARD'!$B$4="Area",IF(1400&lt;=$D$3,IF(AND(OR('WSF DASHBOARD'!$C$4="",ISNUMBER(SEARCH('WSF DASHBOARD'!$C$4,INDEX(MASTER_AREAS!$B:$B,1401))))),1400,""),""),IF('WSF DASHBOARD'!$B$4="Zone",IF(1400&lt;=$D$4,IF(OR('WSF DASHBOARD'!$C$4="",ISNUMBER(SEARCH('WSF DASHBOARD'!$C$4,INDEX(MASTER_ZONES!$B:$B,1401)))),1400,""),""),""))</f>
        <v/>
      </c>
      <c r="F1401">
        <f>IF('TRANSPORT DASHBOARD'!$B$4="Area",IF(1400&lt;=$I$3,IF(AND(INDEX(MASTER_AREAS!$F:$F,1401)&lt;&gt;"N",OR('TRANSPORT DASHBOARD'!$C$4="",ISNUMBER(SEARCH('TRANSPORT DASHBOARD'!$C$4,INDEX(MASTER_AREAS!$B:$B,1401))))),1400,""),""),IF('TRANSPORT DASHBOARD'!$B$4="Zone",IF(1400&lt;=$I$4,IF(OR('TRANSPORT DASHBOARD'!$C$4="",ISNUMBER(SEARCH('TRANSPORT DASHBOARD'!$C$4,INDEX(MASTER_ZONES!$B:$B,1401)))),1400,""),""),""))</f>
        <v/>
      </c>
      <c r="K1401">
        <f>IF('MIDWEEK DASHBOARD'!$B$4="Area",IF(1400&lt;=$N$3,IF(AND(OR('MIDWEEK DASHBOARD'!$C$4="",ISNUMBER(SEARCH('MIDWEEK DASHBOARD'!$C$4,INDEX(MASTER_AREAS!$B:$B,1401))))),1400,""),""),IF('MIDWEEK DASHBOARD'!$B$4="Zone",IF(1400&lt;=$N$4,IF(OR('MIDWEEK DASHBOARD'!$C$4="",ISNUMBER(SEARCH('MIDWEEK DASHBOARD'!$C$4,INDEX(MASTER_ZONES!$B:$B,1401)))),1400,""),""),""))</f>
        <v/>
      </c>
      <c r="P1401">
        <f>IF('CHOP DASHBOARD'!$B$4="Area",IF(1400&lt;=$S$3,IF(AND(OR('CHOP DASHBOARD'!$C$4="",ISNUMBER(SEARCH('CHOP DASHBOARD'!$C$4,INDEX(MASTER_AREAS!$B:$B,1401))))),1400,""),""),IF('CHOP DASHBOARD'!$B$4="Zone",IF(1400&lt;=$S$4,IF(OR('CHOP DASHBOARD'!$C$4="",ISNUMBER(SEARCH('CHOP DASHBOARD'!$C$4,INDEX(MASTER_ZONES!$B:$B,1401)))),1400,""),""),""))</f>
        <v/>
      </c>
      <c r="U1401">
        <f>IF('COMMUNITY CHURCH DASHBOARD'!$B$4="Area",IF(1400&lt;=$X$3,IF(AND(OR('COMMUNITY CHURCH DASHBOARD'!$C$4="",ISNUMBER(SEARCH('COMMUNITY CHURCH DASHBOARD'!$C$4,INDEX(MASTER_AREAS!$B:$B,1401))))),1400,""),""),IF('COMMUNITY CHURCH DASHBOARD'!$B$4="Zone",IF(1400&lt;=$X$4,IF(OR('COMMUNITY CHURCH DASHBOARD'!$C$4="",ISNUMBER(SEARCH('COMMUNITY CHURCH DASHBOARD'!$C$4,INDEX(MASTER_ZONES!$B:$B,1401)))),1400,""),""),""))</f>
        <v/>
      </c>
    </row>
    <row r="1402">
      <c r="A1402">
        <f>IF('WSF DASHBOARD'!$B$4="Area",IF(1401&lt;=$D$3,IF(AND(OR('WSF DASHBOARD'!$C$4="",ISNUMBER(SEARCH('WSF DASHBOARD'!$C$4,INDEX(MASTER_AREAS!$B:$B,1402))))),1401,""),""),IF('WSF DASHBOARD'!$B$4="Zone",IF(1401&lt;=$D$4,IF(OR('WSF DASHBOARD'!$C$4="",ISNUMBER(SEARCH('WSF DASHBOARD'!$C$4,INDEX(MASTER_ZONES!$B:$B,1402)))),1401,""),""),""))</f>
        <v/>
      </c>
      <c r="F1402">
        <f>IF('TRANSPORT DASHBOARD'!$B$4="Area",IF(1401&lt;=$I$3,IF(AND(INDEX(MASTER_AREAS!$F:$F,1402)&lt;&gt;"N",OR('TRANSPORT DASHBOARD'!$C$4="",ISNUMBER(SEARCH('TRANSPORT DASHBOARD'!$C$4,INDEX(MASTER_AREAS!$B:$B,1402))))),1401,""),""),IF('TRANSPORT DASHBOARD'!$B$4="Zone",IF(1401&lt;=$I$4,IF(OR('TRANSPORT DASHBOARD'!$C$4="",ISNUMBER(SEARCH('TRANSPORT DASHBOARD'!$C$4,INDEX(MASTER_ZONES!$B:$B,1402)))),1401,""),""),""))</f>
        <v/>
      </c>
      <c r="K1402">
        <f>IF('MIDWEEK DASHBOARD'!$B$4="Area",IF(1401&lt;=$N$3,IF(AND(OR('MIDWEEK DASHBOARD'!$C$4="",ISNUMBER(SEARCH('MIDWEEK DASHBOARD'!$C$4,INDEX(MASTER_AREAS!$B:$B,1402))))),1401,""),""),IF('MIDWEEK DASHBOARD'!$B$4="Zone",IF(1401&lt;=$N$4,IF(OR('MIDWEEK DASHBOARD'!$C$4="",ISNUMBER(SEARCH('MIDWEEK DASHBOARD'!$C$4,INDEX(MASTER_ZONES!$B:$B,1402)))),1401,""),""),""))</f>
        <v/>
      </c>
      <c r="P1402">
        <f>IF('CHOP DASHBOARD'!$B$4="Area",IF(1401&lt;=$S$3,IF(AND(OR('CHOP DASHBOARD'!$C$4="",ISNUMBER(SEARCH('CHOP DASHBOARD'!$C$4,INDEX(MASTER_AREAS!$B:$B,1402))))),1401,""),""),IF('CHOP DASHBOARD'!$B$4="Zone",IF(1401&lt;=$S$4,IF(OR('CHOP DASHBOARD'!$C$4="",ISNUMBER(SEARCH('CHOP DASHBOARD'!$C$4,INDEX(MASTER_ZONES!$B:$B,1402)))),1401,""),""),""))</f>
        <v/>
      </c>
      <c r="U1402">
        <f>IF('COMMUNITY CHURCH DASHBOARD'!$B$4="Area",IF(1401&lt;=$X$3,IF(AND(OR('COMMUNITY CHURCH DASHBOARD'!$C$4="",ISNUMBER(SEARCH('COMMUNITY CHURCH DASHBOARD'!$C$4,INDEX(MASTER_AREAS!$B:$B,1402))))),1401,""),""),IF('COMMUNITY CHURCH DASHBOARD'!$B$4="Zone",IF(1401&lt;=$X$4,IF(OR('COMMUNITY CHURCH DASHBOARD'!$C$4="",ISNUMBER(SEARCH('COMMUNITY CHURCH DASHBOARD'!$C$4,INDEX(MASTER_ZONES!$B:$B,1402)))),1401,""),""),""))</f>
        <v/>
      </c>
    </row>
    <row r="1403">
      <c r="A1403">
        <f>IF('WSF DASHBOARD'!$B$4="Area",IF(1402&lt;=$D$3,IF(AND(OR('WSF DASHBOARD'!$C$4="",ISNUMBER(SEARCH('WSF DASHBOARD'!$C$4,INDEX(MASTER_AREAS!$B:$B,1403))))),1402,""),""),IF('WSF DASHBOARD'!$B$4="Zone",IF(1402&lt;=$D$4,IF(OR('WSF DASHBOARD'!$C$4="",ISNUMBER(SEARCH('WSF DASHBOARD'!$C$4,INDEX(MASTER_ZONES!$B:$B,1403)))),1402,""),""),""))</f>
        <v/>
      </c>
      <c r="F1403">
        <f>IF('TRANSPORT DASHBOARD'!$B$4="Area",IF(1402&lt;=$I$3,IF(AND(INDEX(MASTER_AREAS!$F:$F,1403)&lt;&gt;"N",OR('TRANSPORT DASHBOARD'!$C$4="",ISNUMBER(SEARCH('TRANSPORT DASHBOARD'!$C$4,INDEX(MASTER_AREAS!$B:$B,1403))))),1402,""),""),IF('TRANSPORT DASHBOARD'!$B$4="Zone",IF(1402&lt;=$I$4,IF(OR('TRANSPORT DASHBOARD'!$C$4="",ISNUMBER(SEARCH('TRANSPORT DASHBOARD'!$C$4,INDEX(MASTER_ZONES!$B:$B,1403)))),1402,""),""),""))</f>
        <v/>
      </c>
      <c r="K1403">
        <f>IF('MIDWEEK DASHBOARD'!$B$4="Area",IF(1402&lt;=$N$3,IF(AND(OR('MIDWEEK DASHBOARD'!$C$4="",ISNUMBER(SEARCH('MIDWEEK DASHBOARD'!$C$4,INDEX(MASTER_AREAS!$B:$B,1403))))),1402,""),""),IF('MIDWEEK DASHBOARD'!$B$4="Zone",IF(1402&lt;=$N$4,IF(OR('MIDWEEK DASHBOARD'!$C$4="",ISNUMBER(SEARCH('MIDWEEK DASHBOARD'!$C$4,INDEX(MASTER_ZONES!$B:$B,1403)))),1402,""),""),""))</f>
        <v/>
      </c>
      <c r="P1403">
        <f>IF('CHOP DASHBOARD'!$B$4="Area",IF(1402&lt;=$S$3,IF(AND(OR('CHOP DASHBOARD'!$C$4="",ISNUMBER(SEARCH('CHOP DASHBOARD'!$C$4,INDEX(MASTER_AREAS!$B:$B,1403))))),1402,""),""),IF('CHOP DASHBOARD'!$B$4="Zone",IF(1402&lt;=$S$4,IF(OR('CHOP DASHBOARD'!$C$4="",ISNUMBER(SEARCH('CHOP DASHBOARD'!$C$4,INDEX(MASTER_ZONES!$B:$B,1403)))),1402,""),""),""))</f>
        <v/>
      </c>
      <c r="U1403">
        <f>IF('COMMUNITY CHURCH DASHBOARD'!$B$4="Area",IF(1402&lt;=$X$3,IF(AND(OR('COMMUNITY CHURCH DASHBOARD'!$C$4="",ISNUMBER(SEARCH('COMMUNITY CHURCH DASHBOARD'!$C$4,INDEX(MASTER_AREAS!$B:$B,1403))))),1402,""),""),IF('COMMUNITY CHURCH DASHBOARD'!$B$4="Zone",IF(1402&lt;=$X$4,IF(OR('COMMUNITY CHURCH DASHBOARD'!$C$4="",ISNUMBER(SEARCH('COMMUNITY CHURCH DASHBOARD'!$C$4,INDEX(MASTER_ZONES!$B:$B,1403)))),1402,""),""),""))</f>
        <v/>
      </c>
    </row>
    <row r="1404">
      <c r="A1404">
        <f>IF('WSF DASHBOARD'!$B$4="Area",IF(1403&lt;=$D$3,IF(AND(OR('WSF DASHBOARD'!$C$4="",ISNUMBER(SEARCH('WSF DASHBOARD'!$C$4,INDEX(MASTER_AREAS!$B:$B,1404))))),1403,""),""),IF('WSF DASHBOARD'!$B$4="Zone",IF(1403&lt;=$D$4,IF(OR('WSF DASHBOARD'!$C$4="",ISNUMBER(SEARCH('WSF DASHBOARD'!$C$4,INDEX(MASTER_ZONES!$B:$B,1404)))),1403,""),""),""))</f>
        <v/>
      </c>
      <c r="F1404">
        <f>IF('TRANSPORT DASHBOARD'!$B$4="Area",IF(1403&lt;=$I$3,IF(AND(INDEX(MASTER_AREAS!$F:$F,1404)&lt;&gt;"N",OR('TRANSPORT DASHBOARD'!$C$4="",ISNUMBER(SEARCH('TRANSPORT DASHBOARD'!$C$4,INDEX(MASTER_AREAS!$B:$B,1404))))),1403,""),""),IF('TRANSPORT DASHBOARD'!$B$4="Zone",IF(1403&lt;=$I$4,IF(OR('TRANSPORT DASHBOARD'!$C$4="",ISNUMBER(SEARCH('TRANSPORT DASHBOARD'!$C$4,INDEX(MASTER_ZONES!$B:$B,1404)))),1403,""),""),""))</f>
        <v/>
      </c>
      <c r="K1404">
        <f>IF('MIDWEEK DASHBOARD'!$B$4="Area",IF(1403&lt;=$N$3,IF(AND(OR('MIDWEEK DASHBOARD'!$C$4="",ISNUMBER(SEARCH('MIDWEEK DASHBOARD'!$C$4,INDEX(MASTER_AREAS!$B:$B,1404))))),1403,""),""),IF('MIDWEEK DASHBOARD'!$B$4="Zone",IF(1403&lt;=$N$4,IF(OR('MIDWEEK DASHBOARD'!$C$4="",ISNUMBER(SEARCH('MIDWEEK DASHBOARD'!$C$4,INDEX(MASTER_ZONES!$B:$B,1404)))),1403,""),""),""))</f>
        <v/>
      </c>
      <c r="P1404">
        <f>IF('CHOP DASHBOARD'!$B$4="Area",IF(1403&lt;=$S$3,IF(AND(OR('CHOP DASHBOARD'!$C$4="",ISNUMBER(SEARCH('CHOP DASHBOARD'!$C$4,INDEX(MASTER_AREAS!$B:$B,1404))))),1403,""),""),IF('CHOP DASHBOARD'!$B$4="Zone",IF(1403&lt;=$S$4,IF(OR('CHOP DASHBOARD'!$C$4="",ISNUMBER(SEARCH('CHOP DASHBOARD'!$C$4,INDEX(MASTER_ZONES!$B:$B,1404)))),1403,""),""),""))</f>
        <v/>
      </c>
      <c r="U1404">
        <f>IF('COMMUNITY CHURCH DASHBOARD'!$B$4="Area",IF(1403&lt;=$X$3,IF(AND(OR('COMMUNITY CHURCH DASHBOARD'!$C$4="",ISNUMBER(SEARCH('COMMUNITY CHURCH DASHBOARD'!$C$4,INDEX(MASTER_AREAS!$B:$B,1404))))),1403,""),""),IF('COMMUNITY CHURCH DASHBOARD'!$B$4="Zone",IF(1403&lt;=$X$4,IF(OR('COMMUNITY CHURCH DASHBOARD'!$C$4="",ISNUMBER(SEARCH('COMMUNITY CHURCH DASHBOARD'!$C$4,INDEX(MASTER_ZONES!$B:$B,1404)))),1403,""),""),""))</f>
        <v/>
      </c>
    </row>
    <row r="1405">
      <c r="A1405">
        <f>IF('WSF DASHBOARD'!$B$4="Area",IF(1404&lt;=$D$3,IF(AND(OR('WSF DASHBOARD'!$C$4="",ISNUMBER(SEARCH('WSF DASHBOARD'!$C$4,INDEX(MASTER_AREAS!$B:$B,1405))))),1404,""),""),IF('WSF DASHBOARD'!$B$4="Zone",IF(1404&lt;=$D$4,IF(OR('WSF DASHBOARD'!$C$4="",ISNUMBER(SEARCH('WSF DASHBOARD'!$C$4,INDEX(MASTER_ZONES!$B:$B,1405)))),1404,""),""),""))</f>
        <v/>
      </c>
      <c r="F1405">
        <f>IF('TRANSPORT DASHBOARD'!$B$4="Area",IF(1404&lt;=$I$3,IF(AND(INDEX(MASTER_AREAS!$F:$F,1405)&lt;&gt;"N",OR('TRANSPORT DASHBOARD'!$C$4="",ISNUMBER(SEARCH('TRANSPORT DASHBOARD'!$C$4,INDEX(MASTER_AREAS!$B:$B,1405))))),1404,""),""),IF('TRANSPORT DASHBOARD'!$B$4="Zone",IF(1404&lt;=$I$4,IF(OR('TRANSPORT DASHBOARD'!$C$4="",ISNUMBER(SEARCH('TRANSPORT DASHBOARD'!$C$4,INDEX(MASTER_ZONES!$B:$B,1405)))),1404,""),""),""))</f>
        <v/>
      </c>
      <c r="K1405">
        <f>IF('MIDWEEK DASHBOARD'!$B$4="Area",IF(1404&lt;=$N$3,IF(AND(OR('MIDWEEK DASHBOARD'!$C$4="",ISNUMBER(SEARCH('MIDWEEK DASHBOARD'!$C$4,INDEX(MASTER_AREAS!$B:$B,1405))))),1404,""),""),IF('MIDWEEK DASHBOARD'!$B$4="Zone",IF(1404&lt;=$N$4,IF(OR('MIDWEEK DASHBOARD'!$C$4="",ISNUMBER(SEARCH('MIDWEEK DASHBOARD'!$C$4,INDEX(MASTER_ZONES!$B:$B,1405)))),1404,""),""),""))</f>
        <v/>
      </c>
      <c r="P1405">
        <f>IF('CHOP DASHBOARD'!$B$4="Area",IF(1404&lt;=$S$3,IF(AND(OR('CHOP DASHBOARD'!$C$4="",ISNUMBER(SEARCH('CHOP DASHBOARD'!$C$4,INDEX(MASTER_AREAS!$B:$B,1405))))),1404,""),""),IF('CHOP DASHBOARD'!$B$4="Zone",IF(1404&lt;=$S$4,IF(OR('CHOP DASHBOARD'!$C$4="",ISNUMBER(SEARCH('CHOP DASHBOARD'!$C$4,INDEX(MASTER_ZONES!$B:$B,1405)))),1404,""),""),""))</f>
        <v/>
      </c>
      <c r="U1405">
        <f>IF('COMMUNITY CHURCH DASHBOARD'!$B$4="Area",IF(1404&lt;=$X$3,IF(AND(OR('COMMUNITY CHURCH DASHBOARD'!$C$4="",ISNUMBER(SEARCH('COMMUNITY CHURCH DASHBOARD'!$C$4,INDEX(MASTER_AREAS!$B:$B,1405))))),1404,""),""),IF('COMMUNITY CHURCH DASHBOARD'!$B$4="Zone",IF(1404&lt;=$X$4,IF(OR('COMMUNITY CHURCH DASHBOARD'!$C$4="",ISNUMBER(SEARCH('COMMUNITY CHURCH DASHBOARD'!$C$4,INDEX(MASTER_ZONES!$B:$B,1405)))),1404,""),""),""))</f>
        <v/>
      </c>
    </row>
    <row r="1406">
      <c r="A1406">
        <f>IF('WSF DASHBOARD'!$B$4="Area",IF(1405&lt;=$D$3,IF(AND(OR('WSF DASHBOARD'!$C$4="",ISNUMBER(SEARCH('WSF DASHBOARD'!$C$4,INDEX(MASTER_AREAS!$B:$B,1406))))),1405,""),""),IF('WSF DASHBOARD'!$B$4="Zone",IF(1405&lt;=$D$4,IF(OR('WSF DASHBOARD'!$C$4="",ISNUMBER(SEARCH('WSF DASHBOARD'!$C$4,INDEX(MASTER_ZONES!$B:$B,1406)))),1405,""),""),""))</f>
        <v/>
      </c>
      <c r="F1406">
        <f>IF('TRANSPORT DASHBOARD'!$B$4="Area",IF(1405&lt;=$I$3,IF(AND(INDEX(MASTER_AREAS!$F:$F,1406)&lt;&gt;"N",OR('TRANSPORT DASHBOARD'!$C$4="",ISNUMBER(SEARCH('TRANSPORT DASHBOARD'!$C$4,INDEX(MASTER_AREAS!$B:$B,1406))))),1405,""),""),IF('TRANSPORT DASHBOARD'!$B$4="Zone",IF(1405&lt;=$I$4,IF(OR('TRANSPORT DASHBOARD'!$C$4="",ISNUMBER(SEARCH('TRANSPORT DASHBOARD'!$C$4,INDEX(MASTER_ZONES!$B:$B,1406)))),1405,""),""),""))</f>
        <v/>
      </c>
      <c r="K1406">
        <f>IF('MIDWEEK DASHBOARD'!$B$4="Area",IF(1405&lt;=$N$3,IF(AND(OR('MIDWEEK DASHBOARD'!$C$4="",ISNUMBER(SEARCH('MIDWEEK DASHBOARD'!$C$4,INDEX(MASTER_AREAS!$B:$B,1406))))),1405,""),""),IF('MIDWEEK DASHBOARD'!$B$4="Zone",IF(1405&lt;=$N$4,IF(OR('MIDWEEK DASHBOARD'!$C$4="",ISNUMBER(SEARCH('MIDWEEK DASHBOARD'!$C$4,INDEX(MASTER_ZONES!$B:$B,1406)))),1405,""),""),""))</f>
        <v/>
      </c>
      <c r="P1406">
        <f>IF('CHOP DASHBOARD'!$B$4="Area",IF(1405&lt;=$S$3,IF(AND(OR('CHOP DASHBOARD'!$C$4="",ISNUMBER(SEARCH('CHOP DASHBOARD'!$C$4,INDEX(MASTER_AREAS!$B:$B,1406))))),1405,""),""),IF('CHOP DASHBOARD'!$B$4="Zone",IF(1405&lt;=$S$4,IF(OR('CHOP DASHBOARD'!$C$4="",ISNUMBER(SEARCH('CHOP DASHBOARD'!$C$4,INDEX(MASTER_ZONES!$B:$B,1406)))),1405,""),""),""))</f>
        <v/>
      </c>
      <c r="U1406">
        <f>IF('COMMUNITY CHURCH DASHBOARD'!$B$4="Area",IF(1405&lt;=$X$3,IF(AND(OR('COMMUNITY CHURCH DASHBOARD'!$C$4="",ISNUMBER(SEARCH('COMMUNITY CHURCH DASHBOARD'!$C$4,INDEX(MASTER_AREAS!$B:$B,1406))))),1405,""),""),IF('COMMUNITY CHURCH DASHBOARD'!$B$4="Zone",IF(1405&lt;=$X$4,IF(OR('COMMUNITY CHURCH DASHBOARD'!$C$4="",ISNUMBER(SEARCH('COMMUNITY CHURCH DASHBOARD'!$C$4,INDEX(MASTER_ZONES!$B:$B,1406)))),1405,""),""),""))</f>
        <v/>
      </c>
    </row>
    <row r="1407">
      <c r="A1407">
        <f>IF('WSF DASHBOARD'!$B$4="Area",IF(1406&lt;=$D$3,IF(AND(OR('WSF DASHBOARD'!$C$4="",ISNUMBER(SEARCH('WSF DASHBOARD'!$C$4,INDEX(MASTER_AREAS!$B:$B,1407))))),1406,""),""),IF('WSF DASHBOARD'!$B$4="Zone",IF(1406&lt;=$D$4,IF(OR('WSF DASHBOARD'!$C$4="",ISNUMBER(SEARCH('WSF DASHBOARD'!$C$4,INDEX(MASTER_ZONES!$B:$B,1407)))),1406,""),""),""))</f>
        <v/>
      </c>
      <c r="F1407">
        <f>IF('TRANSPORT DASHBOARD'!$B$4="Area",IF(1406&lt;=$I$3,IF(AND(INDEX(MASTER_AREAS!$F:$F,1407)&lt;&gt;"N",OR('TRANSPORT DASHBOARD'!$C$4="",ISNUMBER(SEARCH('TRANSPORT DASHBOARD'!$C$4,INDEX(MASTER_AREAS!$B:$B,1407))))),1406,""),""),IF('TRANSPORT DASHBOARD'!$B$4="Zone",IF(1406&lt;=$I$4,IF(OR('TRANSPORT DASHBOARD'!$C$4="",ISNUMBER(SEARCH('TRANSPORT DASHBOARD'!$C$4,INDEX(MASTER_ZONES!$B:$B,1407)))),1406,""),""),""))</f>
        <v/>
      </c>
      <c r="K1407">
        <f>IF('MIDWEEK DASHBOARD'!$B$4="Area",IF(1406&lt;=$N$3,IF(AND(OR('MIDWEEK DASHBOARD'!$C$4="",ISNUMBER(SEARCH('MIDWEEK DASHBOARD'!$C$4,INDEX(MASTER_AREAS!$B:$B,1407))))),1406,""),""),IF('MIDWEEK DASHBOARD'!$B$4="Zone",IF(1406&lt;=$N$4,IF(OR('MIDWEEK DASHBOARD'!$C$4="",ISNUMBER(SEARCH('MIDWEEK DASHBOARD'!$C$4,INDEX(MASTER_ZONES!$B:$B,1407)))),1406,""),""),""))</f>
        <v/>
      </c>
      <c r="P1407">
        <f>IF('CHOP DASHBOARD'!$B$4="Area",IF(1406&lt;=$S$3,IF(AND(OR('CHOP DASHBOARD'!$C$4="",ISNUMBER(SEARCH('CHOP DASHBOARD'!$C$4,INDEX(MASTER_AREAS!$B:$B,1407))))),1406,""),""),IF('CHOP DASHBOARD'!$B$4="Zone",IF(1406&lt;=$S$4,IF(OR('CHOP DASHBOARD'!$C$4="",ISNUMBER(SEARCH('CHOP DASHBOARD'!$C$4,INDEX(MASTER_ZONES!$B:$B,1407)))),1406,""),""),""))</f>
        <v/>
      </c>
      <c r="U1407">
        <f>IF('COMMUNITY CHURCH DASHBOARD'!$B$4="Area",IF(1406&lt;=$X$3,IF(AND(OR('COMMUNITY CHURCH DASHBOARD'!$C$4="",ISNUMBER(SEARCH('COMMUNITY CHURCH DASHBOARD'!$C$4,INDEX(MASTER_AREAS!$B:$B,1407))))),1406,""),""),IF('COMMUNITY CHURCH DASHBOARD'!$B$4="Zone",IF(1406&lt;=$X$4,IF(OR('COMMUNITY CHURCH DASHBOARD'!$C$4="",ISNUMBER(SEARCH('COMMUNITY CHURCH DASHBOARD'!$C$4,INDEX(MASTER_ZONES!$B:$B,1407)))),1406,""),""),""))</f>
        <v/>
      </c>
    </row>
    <row r="1408">
      <c r="A1408">
        <f>IF('WSF DASHBOARD'!$B$4="Area",IF(1407&lt;=$D$3,IF(AND(OR('WSF DASHBOARD'!$C$4="",ISNUMBER(SEARCH('WSF DASHBOARD'!$C$4,INDEX(MASTER_AREAS!$B:$B,1408))))),1407,""),""),IF('WSF DASHBOARD'!$B$4="Zone",IF(1407&lt;=$D$4,IF(OR('WSF DASHBOARD'!$C$4="",ISNUMBER(SEARCH('WSF DASHBOARD'!$C$4,INDEX(MASTER_ZONES!$B:$B,1408)))),1407,""),""),""))</f>
        <v/>
      </c>
      <c r="F1408">
        <f>IF('TRANSPORT DASHBOARD'!$B$4="Area",IF(1407&lt;=$I$3,IF(AND(INDEX(MASTER_AREAS!$F:$F,1408)&lt;&gt;"N",OR('TRANSPORT DASHBOARD'!$C$4="",ISNUMBER(SEARCH('TRANSPORT DASHBOARD'!$C$4,INDEX(MASTER_AREAS!$B:$B,1408))))),1407,""),""),IF('TRANSPORT DASHBOARD'!$B$4="Zone",IF(1407&lt;=$I$4,IF(OR('TRANSPORT DASHBOARD'!$C$4="",ISNUMBER(SEARCH('TRANSPORT DASHBOARD'!$C$4,INDEX(MASTER_ZONES!$B:$B,1408)))),1407,""),""),""))</f>
        <v/>
      </c>
      <c r="K1408">
        <f>IF('MIDWEEK DASHBOARD'!$B$4="Area",IF(1407&lt;=$N$3,IF(AND(OR('MIDWEEK DASHBOARD'!$C$4="",ISNUMBER(SEARCH('MIDWEEK DASHBOARD'!$C$4,INDEX(MASTER_AREAS!$B:$B,1408))))),1407,""),""),IF('MIDWEEK DASHBOARD'!$B$4="Zone",IF(1407&lt;=$N$4,IF(OR('MIDWEEK DASHBOARD'!$C$4="",ISNUMBER(SEARCH('MIDWEEK DASHBOARD'!$C$4,INDEX(MASTER_ZONES!$B:$B,1408)))),1407,""),""),""))</f>
        <v/>
      </c>
      <c r="P1408">
        <f>IF('CHOP DASHBOARD'!$B$4="Area",IF(1407&lt;=$S$3,IF(AND(OR('CHOP DASHBOARD'!$C$4="",ISNUMBER(SEARCH('CHOP DASHBOARD'!$C$4,INDEX(MASTER_AREAS!$B:$B,1408))))),1407,""),""),IF('CHOP DASHBOARD'!$B$4="Zone",IF(1407&lt;=$S$4,IF(OR('CHOP DASHBOARD'!$C$4="",ISNUMBER(SEARCH('CHOP DASHBOARD'!$C$4,INDEX(MASTER_ZONES!$B:$B,1408)))),1407,""),""),""))</f>
        <v/>
      </c>
      <c r="U1408">
        <f>IF('COMMUNITY CHURCH DASHBOARD'!$B$4="Area",IF(1407&lt;=$X$3,IF(AND(OR('COMMUNITY CHURCH DASHBOARD'!$C$4="",ISNUMBER(SEARCH('COMMUNITY CHURCH DASHBOARD'!$C$4,INDEX(MASTER_AREAS!$B:$B,1408))))),1407,""),""),IF('COMMUNITY CHURCH DASHBOARD'!$B$4="Zone",IF(1407&lt;=$X$4,IF(OR('COMMUNITY CHURCH DASHBOARD'!$C$4="",ISNUMBER(SEARCH('COMMUNITY CHURCH DASHBOARD'!$C$4,INDEX(MASTER_ZONES!$B:$B,1408)))),1407,""),""),""))</f>
        <v/>
      </c>
    </row>
    <row r="1409">
      <c r="A1409">
        <f>IF('WSF DASHBOARD'!$B$4="Area",IF(1408&lt;=$D$3,IF(AND(OR('WSF DASHBOARD'!$C$4="",ISNUMBER(SEARCH('WSF DASHBOARD'!$C$4,INDEX(MASTER_AREAS!$B:$B,1409))))),1408,""),""),IF('WSF DASHBOARD'!$B$4="Zone",IF(1408&lt;=$D$4,IF(OR('WSF DASHBOARD'!$C$4="",ISNUMBER(SEARCH('WSF DASHBOARD'!$C$4,INDEX(MASTER_ZONES!$B:$B,1409)))),1408,""),""),""))</f>
        <v/>
      </c>
      <c r="F1409">
        <f>IF('TRANSPORT DASHBOARD'!$B$4="Area",IF(1408&lt;=$I$3,IF(AND(INDEX(MASTER_AREAS!$F:$F,1409)&lt;&gt;"N",OR('TRANSPORT DASHBOARD'!$C$4="",ISNUMBER(SEARCH('TRANSPORT DASHBOARD'!$C$4,INDEX(MASTER_AREAS!$B:$B,1409))))),1408,""),""),IF('TRANSPORT DASHBOARD'!$B$4="Zone",IF(1408&lt;=$I$4,IF(OR('TRANSPORT DASHBOARD'!$C$4="",ISNUMBER(SEARCH('TRANSPORT DASHBOARD'!$C$4,INDEX(MASTER_ZONES!$B:$B,1409)))),1408,""),""),""))</f>
        <v/>
      </c>
      <c r="K1409">
        <f>IF('MIDWEEK DASHBOARD'!$B$4="Area",IF(1408&lt;=$N$3,IF(AND(OR('MIDWEEK DASHBOARD'!$C$4="",ISNUMBER(SEARCH('MIDWEEK DASHBOARD'!$C$4,INDEX(MASTER_AREAS!$B:$B,1409))))),1408,""),""),IF('MIDWEEK DASHBOARD'!$B$4="Zone",IF(1408&lt;=$N$4,IF(OR('MIDWEEK DASHBOARD'!$C$4="",ISNUMBER(SEARCH('MIDWEEK DASHBOARD'!$C$4,INDEX(MASTER_ZONES!$B:$B,1409)))),1408,""),""),""))</f>
        <v/>
      </c>
      <c r="P1409">
        <f>IF('CHOP DASHBOARD'!$B$4="Area",IF(1408&lt;=$S$3,IF(AND(OR('CHOP DASHBOARD'!$C$4="",ISNUMBER(SEARCH('CHOP DASHBOARD'!$C$4,INDEX(MASTER_AREAS!$B:$B,1409))))),1408,""),""),IF('CHOP DASHBOARD'!$B$4="Zone",IF(1408&lt;=$S$4,IF(OR('CHOP DASHBOARD'!$C$4="",ISNUMBER(SEARCH('CHOP DASHBOARD'!$C$4,INDEX(MASTER_ZONES!$B:$B,1409)))),1408,""),""),""))</f>
        <v/>
      </c>
      <c r="U1409">
        <f>IF('COMMUNITY CHURCH DASHBOARD'!$B$4="Area",IF(1408&lt;=$X$3,IF(AND(OR('COMMUNITY CHURCH DASHBOARD'!$C$4="",ISNUMBER(SEARCH('COMMUNITY CHURCH DASHBOARD'!$C$4,INDEX(MASTER_AREAS!$B:$B,1409))))),1408,""),""),IF('COMMUNITY CHURCH DASHBOARD'!$B$4="Zone",IF(1408&lt;=$X$4,IF(OR('COMMUNITY CHURCH DASHBOARD'!$C$4="",ISNUMBER(SEARCH('COMMUNITY CHURCH DASHBOARD'!$C$4,INDEX(MASTER_ZONES!$B:$B,1409)))),1408,""),""),""))</f>
        <v/>
      </c>
    </row>
    <row r="1410">
      <c r="A1410">
        <f>IF('WSF DASHBOARD'!$B$4="Area",IF(1409&lt;=$D$3,IF(AND(OR('WSF DASHBOARD'!$C$4="",ISNUMBER(SEARCH('WSF DASHBOARD'!$C$4,INDEX(MASTER_AREAS!$B:$B,1410))))),1409,""),""),IF('WSF DASHBOARD'!$B$4="Zone",IF(1409&lt;=$D$4,IF(OR('WSF DASHBOARD'!$C$4="",ISNUMBER(SEARCH('WSF DASHBOARD'!$C$4,INDEX(MASTER_ZONES!$B:$B,1410)))),1409,""),""),""))</f>
        <v/>
      </c>
      <c r="F1410">
        <f>IF('TRANSPORT DASHBOARD'!$B$4="Area",IF(1409&lt;=$I$3,IF(AND(INDEX(MASTER_AREAS!$F:$F,1410)&lt;&gt;"N",OR('TRANSPORT DASHBOARD'!$C$4="",ISNUMBER(SEARCH('TRANSPORT DASHBOARD'!$C$4,INDEX(MASTER_AREAS!$B:$B,1410))))),1409,""),""),IF('TRANSPORT DASHBOARD'!$B$4="Zone",IF(1409&lt;=$I$4,IF(OR('TRANSPORT DASHBOARD'!$C$4="",ISNUMBER(SEARCH('TRANSPORT DASHBOARD'!$C$4,INDEX(MASTER_ZONES!$B:$B,1410)))),1409,""),""),""))</f>
        <v/>
      </c>
      <c r="K1410">
        <f>IF('MIDWEEK DASHBOARD'!$B$4="Area",IF(1409&lt;=$N$3,IF(AND(OR('MIDWEEK DASHBOARD'!$C$4="",ISNUMBER(SEARCH('MIDWEEK DASHBOARD'!$C$4,INDEX(MASTER_AREAS!$B:$B,1410))))),1409,""),""),IF('MIDWEEK DASHBOARD'!$B$4="Zone",IF(1409&lt;=$N$4,IF(OR('MIDWEEK DASHBOARD'!$C$4="",ISNUMBER(SEARCH('MIDWEEK DASHBOARD'!$C$4,INDEX(MASTER_ZONES!$B:$B,1410)))),1409,""),""),""))</f>
        <v/>
      </c>
      <c r="P1410">
        <f>IF('CHOP DASHBOARD'!$B$4="Area",IF(1409&lt;=$S$3,IF(AND(OR('CHOP DASHBOARD'!$C$4="",ISNUMBER(SEARCH('CHOP DASHBOARD'!$C$4,INDEX(MASTER_AREAS!$B:$B,1410))))),1409,""),""),IF('CHOP DASHBOARD'!$B$4="Zone",IF(1409&lt;=$S$4,IF(OR('CHOP DASHBOARD'!$C$4="",ISNUMBER(SEARCH('CHOP DASHBOARD'!$C$4,INDEX(MASTER_ZONES!$B:$B,1410)))),1409,""),""),""))</f>
        <v/>
      </c>
      <c r="U1410">
        <f>IF('COMMUNITY CHURCH DASHBOARD'!$B$4="Area",IF(1409&lt;=$X$3,IF(AND(OR('COMMUNITY CHURCH DASHBOARD'!$C$4="",ISNUMBER(SEARCH('COMMUNITY CHURCH DASHBOARD'!$C$4,INDEX(MASTER_AREAS!$B:$B,1410))))),1409,""),""),IF('COMMUNITY CHURCH DASHBOARD'!$B$4="Zone",IF(1409&lt;=$X$4,IF(OR('COMMUNITY CHURCH DASHBOARD'!$C$4="",ISNUMBER(SEARCH('COMMUNITY CHURCH DASHBOARD'!$C$4,INDEX(MASTER_ZONES!$B:$B,1410)))),1409,""),""),""))</f>
        <v/>
      </c>
    </row>
    <row r="1411">
      <c r="A1411">
        <f>IF('WSF DASHBOARD'!$B$4="Area",IF(1410&lt;=$D$3,IF(AND(OR('WSF DASHBOARD'!$C$4="",ISNUMBER(SEARCH('WSF DASHBOARD'!$C$4,INDEX(MASTER_AREAS!$B:$B,1411))))),1410,""),""),IF('WSF DASHBOARD'!$B$4="Zone",IF(1410&lt;=$D$4,IF(OR('WSF DASHBOARD'!$C$4="",ISNUMBER(SEARCH('WSF DASHBOARD'!$C$4,INDEX(MASTER_ZONES!$B:$B,1411)))),1410,""),""),""))</f>
        <v/>
      </c>
      <c r="F1411">
        <f>IF('TRANSPORT DASHBOARD'!$B$4="Area",IF(1410&lt;=$I$3,IF(AND(INDEX(MASTER_AREAS!$F:$F,1411)&lt;&gt;"N",OR('TRANSPORT DASHBOARD'!$C$4="",ISNUMBER(SEARCH('TRANSPORT DASHBOARD'!$C$4,INDEX(MASTER_AREAS!$B:$B,1411))))),1410,""),""),IF('TRANSPORT DASHBOARD'!$B$4="Zone",IF(1410&lt;=$I$4,IF(OR('TRANSPORT DASHBOARD'!$C$4="",ISNUMBER(SEARCH('TRANSPORT DASHBOARD'!$C$4,INDEX(MASTER_ZONES!$B:$B,1411)))),1410,""),""),""))</f>
        <v/>
      </c>
      <c r="K1411">
        <f>IF('MIDWEEK DASHBOARD'!$B$4="Area",IF(1410&lt;=$N$3,IF(AND(OR('MIDWEEK DASHBOARD'!$C$4="",ISNUMBER(SEARCH('MIDWEEK DASHBOARD'!$C$4,INDEX(MASTER_AREAS!$B:$B,1411))))),1410,""),""),IF('MIDWEEK DASHBOARD'!$B$4="Zone",IF(1410&lt;=$N$4,IF(OR('MIDWEEK DASHBOARD'!$C$4="",ISNUMBER(SEARCH('MIDWEEK DASHBOARD'!$C$4,INDEX(MASTER_ZONES!$B:$B,1411)))),1410,""),""),""))</f>
        <v/>
      </c>
      <c r="P1411">
        <f>IF('CHOP DASHBOARD'!$B$4="Area",IF(1410&lt;=$S$3,IF(AND(OR('CHOP DASHBOARD'!$C$4="",ISNUMBER(SEARCH('CHOP DASHBOARD'!$C$4,INDEX(MASTER_AREAS!$B:$B,1411))))),1410,""),""),IF('CHOP DASHBOARD'!$B$4="Zone",IF(1410&lt;=$S$4,IF(OR('CHOP DASHBOARD'!$C$4="",ISNUMBER(SEARCH('CHOP DASHBOARD'!$C$4,INDEX(MASTER_ZONES!$B:$B,1411)))),1410,""),""),""))</f>
        <v/>
      </c>
      <c r="U1411">
        <f>IF('COMMUNITY CHURCH DASHBOARD'!$B$4="Area",IF(1410&lt;=$X$3,IF(AND(OR('COMMUNITY CHURCH DASHBOARD'!$C$4="",ISNUMBER(SEARCH('COMMUNITY CHURCH DASHBOARD'!$C$4,INDEX(MASTER_AREAS!$B:$B,1411))))),1410,""),""),IF('COMMUNITY CHURCH DASHBOARD'!$B$4="Zone",IF(1410&lt;=$X$4,IF(OR('COMMUNITY CHURCH DASHBOARD'!$C$4="",ISNUMBER(SEARCH('COMMUNITY CHURCH DASHBOARD'!$C$4,INDEX(MASTER_ZONES!$B:$B,1411)))),1410,""),""),""))</f>
        <v/>
      </c>
    </row>
    <row r="1412">
      <c r="A1412">
        <f>IF('WSF DASHBOARD'!$B$4="Area",IF(1411&lt;=$D$3,IF(AND(OR('WSF DASHBOARD'!$C$4="",ISNUMBER(SEARCH('WSF DASHBOARD'!$C$4,INDEX(MASTER_AREAS!$B:$B,1412))))),1411,""),""),IF('WSF DASHBOARD'!$B$4="Zone",IF(1411&lt;=$D$4,IF(OR('WSF DASHBOARD'!$C$4="",ISNUMBER(SEARCH('WSF DASHBOARD'!$C$4,INDEX(MASTER_ZONES!$B:$B,1412)))),1411,""),""),""))</f>
        <v/>
      </c>
      <c r="F1412">
        <f>IF('TRANSPORT DASHBOARD'!$B$4="Area",IF(1411&lt;=$I$3,IF(AND(INDEX(MASTER_AREAS!$F:$F,1412)&lt;&gt;"N",OR('TRANSPORT DASHBOARD'!$C$4="",ISNUMBER(SEARCH('TRANSPORT DASHBOARD'!$C$4,INDEX(MASTER_AREAS!$B:$B,1412))))),1411,""),""),IF('TRANSPORT DASHBOARD'!$B$4="Zone",IF(1411&lt;=$I$4,IF(OR('TRANSPORT DASHBOARD'!$C$4="",ISNUMBER(SEARCH('TRANSPORT DASHBOARD'!$C$4,INDEX(MASTER_ZONES!$B:$B,1412)))),1411,""),""),""))</f>
        <v/>
      </c>
      <c r="K1412">
        <f>IF('MIDWEEK DASHBOARD'!$B$4="Area",IF(1411&lt;=$N$3,IF(AND(OR('MIDWEEK DASHBOARD'!$C$4="",ISNUMBER(SEARCH('MIDWEEK DASHBOARD'!$C$4,INDEX(MASTER_AREAS!$B:$B,1412))))),1411,""),""),IF('MIDWEEK DASHBOARD'!$B$4="Zone",IF(1411&lt;=$N$4,IF(OR('MIDWEEK DASHBOARD'!$C$4="",ISNUMBER(SEARCH('MIDWEEK DASHBOARD'!$C$4,INDEX(MASTER_ZONES!$B:$B,1412)))),1411,""),""),""))</f>
        <v/>
      </c>
      <c r="P1412">
        <f>IF('CHOP DASHBOARD'!$B$4="Area",IF(1411&lt;=$S$3,IF(AND(OR('CHOP DASHBOARD'!$C$4="",ISNUMBER(SEARCH('CHOP DASHBOARD'!$C$4,INDEX(MASTER_AREAS!$B:$B,1412))))),1411,""),""),IF('CHOP DASHBOARD'!$B$4="Zone",IF(1411&lt;=$S$4,IF(OR('CHOP DASHBOARD'!$C$4="",ISNUMBER(SEARCH('CHOP DASHBOARD'!$C$4,INDEX(MASTER_ZONES!$B:$B,1412)))),1411,""),""),""))</f>
        <v/>
      </c>
      <c r="U1412">
        <f>IF('COMMUNITY CHURCH DASHBOARD'!$B$4="Area",IF(1411&lt;=$X$3,IF(AND(OR('COMMUNITY CHURCH DASHBOARD'!$C$4="",ISNUMBER(SEARCH('COMMUNITY CHURCH DASHBOARD'!$C$4,INDEX(MASTER_AREAS!$B:$B,1412))))),1411,""),""),IF('COMMUNITY CHURCH DASHBOARD'!$B$4="Zone",IF(1411&lt;=$X$4,IF(OR('COMMUNITY CHURCH DASHBOARD'!$C$4="",ISNUMBER(SEARCH('COMMUNITY CHURCH DASHBOARD'!$C$4,INDEX(MASTER_ZONES!$B:$B,1412)))),1411,""),""),""))</f>
        <v/>
      </c>
    </row>
    <row r="1413">
      <c r="A1413">
        <f>IF('WSF DASHBOARD'!$B$4="Area",IF(1412&lt;=$D$3,IF(AND(OR('WSF DASHBOARD'!$C$4="",ISNUMBER(SEARCH('WSF DASHBOARD'!$C$4,INDEX(MASTER_AREAS!$B:$B,1413))))),1412,""),""),IF('WSF DASHBOARD'!$B$4="Zone",IF(1412&lt;=$D$4,IF(OR('WSF DASHBOARD'!$C$4="",ISNUMBER(SEARCH('WSF DASHBOARD'!$C$4,INDEX(MASTER_ZONES!$B:$B,1413)))),1412,""),""),""))</f>
        <v/>
      </c>
      <c r="F1413">
        <f>IF('TRANSPORT DASHBOARD'!$B$4="Area",IF(1412&lt;=$I$3,IF(AND(INDEX(MASTER_AREAS!$F:$F,1413)&lt;&gt;"N",OR('TRANSPORT DASHBOARD'!$C$4="",ISNUMBER(SEARCH('TRANSPORT DASHBOARD'!$C$4,INDEX(MASTER_AREAS!$B:$B,1413))))),1412,""),""),IF('TRANSPORT DASHBOARD'!$B$4="Zone",IF(1412&lt;=$I$4,IF(OR('TRANSPORT DASHBOARD'!$C$4="",ISNUMBER(SEARCH('TRANSPORT DASHBOARD'!$C$4,INDEX(MASTER_ZONES!$B:$B,1413)))),1412,""),""),""))</f>
        <v/>
      </c>
      <c r="K1413">
        <f>IF('MIDWEEK DASHBOARD'!$B$4="Area",IF(1412&lt;=$N$3,IF(AND(OR('MIDWEEK DASHBOARD'!$C$4="",ISNUMBER(SEARCH('MIDWEEK DASHBOARD'!$C$4,INDEX(MASTER_AREAS!$B:$B,1413))))),1412,""),""),IF('MIDWEEK DASHBOARD'!$B$4="Zone",IF(1412&lt;=$N$4,IF(OR('MIDWEEK DASHBOARD'!$C$4="",ISNUMBER(SEARCH('MIDWEEK DASHBOARD'!$C$4,INDEX(MASTER_ZONES!$B:$B,1413)))),1412,""),""),""))</f>
        <v/>
      </c>
      <c r="P1413">
        <f>IF('CHOP DASHBOARD'!$B$4="Area",IF(1412&lt;=$S$3,IF(AND(OR('CHOP DASHBOARD'!$C$4="",ISNUMBER(SEARCH('CHOP DASHBOARD'!$C$4,INDEX(MASTER_AREAS!$B:$B,1413))))),1412,""),""),IF('CHOP DASHBOARD'!$B$4="Zone",IF(1412&lt;=$S$4,IF(OR('CHOP DASHBOARD'!$C$4="",ISNUMBER(SEARCH('CHOP DASHBOARD'!$C$4,INDEX(MASTER_ZONES!$B:$B,1413)))),1412,""),""),""))</f>
        <v/>
      </c>
      <c r="U1413">
        <f>IF('COMMUNITY CHURCH DASHBOARD'!$B$4="Area",IF(1412&lt;=$X$3,IF(AND(OR('COMMUNITY CHURCH DASHBOARD'!$C$4="",ISNUMBER(SEARCH('COMMUNITY CHURCH DASHBOARD'!$C$4,INDEX(MASTER_AREAS!$B:$B,1413))))),1412,""),""),IF('COMMUNITY CHURCH DASHBOARD'!$B$4="Zone",IF(1412&lt;=$X$4,IF(OR('COMMUNITY CHURCH DASHBOARD'!$C$4="",ISNUMBER(SEARCH('COMMUNITY CHURCH DASHBOARD'!$C$4,INDEX(MASTER_ZONES!$B:$B,1413)))),1412,""),""),""))</f>
        <v/>
      </c>
    </row>
    <row r="1414">
      <c r="A1414">
        <f>IF('WSF DASHBOARD'!$B$4="Area",IF(1413&lt;=$D$3,IF(AND(OR('WSF DASHBOARD'!$C$4="",ISNUMBER(SEARCH('WSF DASHBOARD'!$C$4,INDEX(MASTER_AREAS!$B:$B,1414))))),1413,""),""),IF('WSF DASHBOARD'!$B$4="Zone",IF(1413&lt;=$D$4,IF(OR('WSF DASHBOARD'!$C$4="",ISNUMBER(SEARCH('WSF DASHBOARD'!$C$4,INDEX(MASTER_ZONES!$B:$B,1414)))),1413,""),""),""))</f>
        <v/>
      </c>
      <c r="F1414">
        <f>IF('TRANSPORT DASHBOARD'!$B$4="Area",IF(1413&lt;=$I$3,IF(AND(INDEX(MASTER_AREAS!$F:$F,1414)&lt;&gt;"N",OR('TRANSPORT DASHBOARD'!$C$4="",ISNUMBER(SEARCH('TRANSPORT DASHBOARD'!$C$4,INDEX(MASTER_AREAS!$B:$B,1414))))),1413,""),""),IF('TRANSPORT DASHBOARD'!$B$4="Zone",IF(1413&lt;=$I$4,IF(OR('TRANSPORT DASHBOARD'!$C$4="",ISNUMBER(SEARCH('TRANSPORT DASHBOARD'!$C$4,INDEX(MASTER_ZONES!$B:$B,1414)))),1413,""),""),""))</f>
        <v/>
      </c>
      <c r="K1414">
        <f>IF('MIDWEEK DASHBOARD'!$B$4="Area",IF(1413&lt;=$N$3,IF(AND(OR('MIDWEEK DASHBOARD'!$C$4="",ISNUMBER(SEARCH('MIDWEEK DASHBOARD'!$C$4,INDEX(MASTER_AREAS!$B:$B,1414))))),1413,""),""),IF('MIDWEEK DASHBOARD'!$B$4="Zone",IF(1413&lt;=$N$4,IF(OR('MIDWEEK DASHBOARD'!$C$4="",ISNUMBER(SEARCH('MIDWEEK DASHBOARD'!$C$4,INDEX(MASTER_ZONES!$B:$B,1414)))),1413,""),""),""))</f>
        <v/>
      </c>
      <c r="P1414">
        <f>IF('CHOP DASHBOARD'!$B$4="Area",IF(1413&lt;=$S$3,IF(AND(OR('CHOP DASHBOARD'!$C$4="",ISNUMBER(SEARCH('CHOP DASHBOARD'!$C$4,INDEX(MASTER_AREAS!$B:$B,1414))))),1413,""),""),IF('CHOP DASHBOARD'!$B$4="Zone",IF(1413&lt;=$S$4,IF(OR('CHOP DASHBOARD'!$C$4="",ISNUMBER(SEARCH('CHOP DASHBOARD'!$C$4,INDEX(MASTER_ZONES!$B:$B,1414)))),1413,""),""),""))</f>
        <v/>
      </c>
      <c r="U1414">
        <f>IF('COMMUNITY CHURCH DASHBOARD'!$B$4="Area",IF(1413&lt;=$X$3,IF(AND(OR('COMMUNITY CHURCH DASHBOARD'!$C$4="",ISNUMBER(SEARCH('COMMUNITY CHURCH DASHBOARD'!$C$4,INDEX(MASTER_AREAS!$B:$B,1414))))),1413,""),""),IF('COMMUNITY CHURCH DASHBOARD'!$B$4="Zone",IF(1413&lt;=$X$4,IF(OR('COMMUNITY CHURCH DASHBOARD'!$C$4="",ISNUMBER(SEARCH('COMMUNITY CHURCH DASHBOARD'!$C$4,INDEX(MASTER_ZONES!$B:$B,1414)))),1413,""),""),""))</f>
        <v/>
      </c>
    </row>
    <row r="1415">
      <c r="A1415">
        <f>IF('WSF DASHBOARD'!$B$4="Area",IF(1414&lt;=$D$3,IF(AND(OR('WSF DASHBOARD'!$C$4="",ISNUMBER(SEARCH('WSF DASHBOARD'!$C$4,INDEX(MASTER_AREAS!$B:$B,1415))))),1414,""),""),IF('WSF DASHBOARD'!$B$4="Zone",IF(1414&lt;=$D$4,IF(OR('WSF DASHBOARD'!$C$4="",ISNUMBER(SEARCH('WSF DASHBOARD'!$C$4,INDEX(MASTER_ZONES!$B:$B,1415)))),1414,""),""),""))</f>
        <v/>
      </c>
      <c r="F1415">
        <f>IF('TRANSPORT DASHBOARD'!$B$4="Area",IF(1414&lt;=$I$3,IF(AND(INDEX(MASTER_AREAS!$F:$F,1415)&lt;&gt;"N",OR('TRANSPORT DASHBOARD'!$C$4="",ISNUMBER(SEARCH('TRANSPORT DASHBOARD'!$C$4,INDEX(MASTER_AREAS!$B:$B,1415))))),1414,""),""),IF('TRANSPORT DASHBOARD'!$B$4="Zone",IF(1414&lt;=$I$4,IF(OR('TRANSPORT DASHBOARD'!$C$4="",ISNUMBER(SEARCH('TRANSPORT DASHBOARD'!$C$4,INDEX(MASTER_ZONES!$B:$B,1415)))),1414,""),""),""))</f>
        <v/>
      </c>
      <c r="K1415">
        <f>IF('MIDWEEK DASHBOARD'!$B$4="Area",IF(1414&lt;=$N$3,IF(AND(OR('MIDWEEK DASHBOARD'!$C$4="",ISNUMBER(SEARCH('MIDWEEK DASHBOARD'!$C$4,INDEX(MASTER_AREAS!$B:$B,1415))))),1414,""),""),IF('MIDWEEK DASHBOARD'!$B$4="Zone",IF(1414&lt;=$N$4,IF(OR('MIDWEEK DASHBOARD'!$C$4="",ISNUMBER(SEARCH('MIDWEEK DASHBOARD'!$C$4,INDEX(MASTER_ZONES!$B:$B,1415)))),1414,""),""),""))</f>
        <v/>
      </c>
      <c r="P1415">
        <f>IF('CHOP DASHBOARD'!$B$4="Area",IF(1414&lt;=$S$3,IF(AND(OR('CHOP DASHBOARD'!$C$4="",ISNUMBER(SEARCH('CHOP DASHBOARD'!$C$4,INDEX(MASTER_AREAS!$B:$B,1415))))),1414,""),""),IF('CHOP DASHBOARD'!$B$4="Zone",IF(1414&lt;=$S$4,IF(OR('CHOP DASHBOARD'!$C$4="",ISNUMBER(SEARCH('CHOP DASHBOARD'!$C$4,INDEX(MASTER_ZONES!$B:$B,1415)))),1414,""),""),""))</f>
        <v/>
      </c>
      <c r="U1415">
        <f>IF('COMMUNITY CHURCH DASHBOARD'!$B$4="Area",IF(1414&lt;=$X$3,IF(AND(OR('COMMUNITY CHURCH DASHBOARD'!$C$4="",ISNUMBER(SEARCH('COMMUNITY CHURCH DASHBOARD'!$C$4,INDEX(MASTER_AREAS!$B:$B,1415))))),1414,""),""),IF('COMMUNITY CHURCH DASHBOARD'!$B$4="Zone",IF(1414&lt;=$X$4,IF(OR('COMMUNITY CHURCH DASHBOARD'!$C$4="",ISNUMBER(SEARCH('COMMUNITY CHURCH DASHBOARD'!$C$4,INDEX(MASTER_ZONES!$B:$B,1415)))),1414,""),""),""))</f>
        <v/>
      </c>
    </row>
    <row r="1416">
      <c r="A1416">
        <f>IF('WSF DASHBOARD'!$B$4="Area",IF(1415&lt;=$D$3,IF(AND(OR('WSF DASHBOARD'!$C$4="",ISNUMBER(SEARCH('WSF DASHBOARD'!$C$4,INDEX(MASTER_AREAS!$B:$B,1416))))),1415,""),""),IF('WSF DASHBOARD'!$B$4="Zone",IF(1415&lt;=$D$4,IF(OR('WSF DASHBOARD'!$C$4="",ISNUMBER(SEARCH('WSF DASHBOARD'!$C$4,INDEX(MASTER_ZONES!$B:$B,1416)))),1415,""),""),""))</f>
        <v/>
      </c>
      <c r="F1416">
        <f>IF('TRANSPORT DASHBOARD'!$B$4="Area",IF(1415&lt;=$I$3,IF(AND(INDEX(MASTER_AREAS!$F:$F,1416)&lt;&gt;"N",OR('TRANSPORT DASHBOARD'!$C$4="",ISNUMBER(SEARCH('TRANSPORT DASHBOARD'!$C$4,INDEX(MASTER_AREAS!$B:$B,1416))))),1415,""),""),IF('TRANSPORT DASHBOARD'!$B$4="Zone",IF(1415&lt;=$I$4,IF(OR('TRANSPORT DASHBOARD'!$C$4="",ISNUMBER(SEARCH('TRANSPORT DASHBOARD'!$C$4,INDEX(MASTER_ZONES!$B:$B,1416)))),1415,""),""),""))</f>
        <v/>
      </c>
      <c r="K1416">
        <f>IF('MIDWEEK DASHBOARD'!$B$4="Area",IF(1415&lt;=$N$3,IF(AND(OR('MIDWEEK DASHBOARD'!$C$4="",ISNUMBER(SEARCH('MIDWEEK DASHBOARD'!$C$4,INDEX(MASTER_AREAS!$B:$B,1416))))),1415,""),""),IF('MIDWEEK DASHBOARD'!$B$4="Zone",IF(1415&lt;=$N$4,IF(OR('MIDWEEK DASHBOARD'!$C$4="",ISNUMBER(SEARCH('MIDWEEK DASHBOARD'!$C$4,INDEX(MASTER_ZONES!$B:$B,1416)))),1415,""),""),""))</f>
        <v/>
      </c>
      <c r="P1416">
        <f>IF('CHOP DASHBOARD'!$B$4="Area",IF(1415&lt;=$S$3,IF(AND(OR('CHOP DASHBOARD'!$C$4="",ISNUMBER(SEARCH('CHOP DASHBOARD'!$C$4,INDEX(MASTER_AREAS!$B:$B,1416))))),1415,""),""),IF('CHOP DASHBOARD'!$B$4="Zone",IF(1415&lt;=$S$4,IF(OR('CHOP DASHBOARD'!$C$4="",ISNUMBER(SEARCH('CHOP DASHBOARD'!$C$4,INDEX(MASTER_ZONES!$B:$B,1416)))),1415,""),""),""))</f>
        <v/>
      </c>
      <c r="U1416">
        <f>IF('COMMUNITY CHURCH DASHBOARD'!$B$4="Area",IF(1415&lt;=$X$3,IF(AND(OR('COMMUNITY CHURCH DASHBOARD'!$C$4="",ISNUMBER(SEARCH('COMMUNITY CHURCH DASHBOARD'!$C$4,INDEX(MASTER_AREAS!$B:$B,1416))))),1415,""),""),IF('COMMUNITY CHURCH DASHBOARD'!$B$4="Zone",IF(1415&lt;=$X$4,IF(OR('COMMUNITY CHURCH DASHBOARD'!$C$4="",ISNUMBER(SEARCH('COMMUNITY CHURCH DASHBOARD'!$C$4,INDEX(MASTER_ZONES!$B:$B,1416)))),1415,""),""),""))</f>
        <v/>
      </c>
    </row>
    <row r="1417">
      <c r="A1417">
        <f>IF('WSF DASHBOARD'!$B$4="Area",IF(1416&lt;=$D$3,IF(AND(OR('WSF DASHBOARD'!$C$4="",ISNUMBER(SEARCH('WSF DASHBOARD'!$C$4,INDEX(MASTER_AREAS!$B:$B,1417))))),1416,""),""),IF('WSF DASHBOARD'!$B$4="Zone",IF(1416&lt;=$D$4,IF(OR('WSF DASHBOARD'!$C$4="",ISNUMBER(SEARCH('WSF DASHBOARD'!$C$4,INDEX(MASTER_ZONES!$B:$B,1417)))),1416,""),""),""))</f>
        <v/>
      </c>
      <c r="F1417">
        <f>IF('TRANSPORT DASHBOARD'!$B$4="Area",IF(1416&lt;=$I$3,IF(AND(INDEX(MASTER_AREAS!$F:$F,1417)&lt;&gt;"N",OR('TRANSPORT DASHBOARD'!$C$4="",ISNUMBER(SEARCH('TRANSPORT DASHBOARD'!$C$4,INDEX(MASTER_AREAS!$B:$B,1417))))),1416,""),""),IF('TRANSPORT DASHBOARD'!$B$4="Zone",IF(1416&lt;=$I$4,IF(OR('TRANSPORT DASHBOARD'!$C$4="",ISNUMBER(SEARCH('TRANSPORT DASHBOARD'!$C$4,INDEX(MASTER_ZONES!$B:$B,1417)))),1416,""),""),""))</f>
        <v/>
      </c>
      <c r="K1417">
        <f>IF('MIDWEEK DASHBOARD'!$B$4="Area",IF(1416&lt;=$N$3,IF(AND(OR('MIDWEEK DASHBOARD'!$C$4="",ISNUMBER(SEARCH('MIDWEEK DASHBOARD'!$C$4,INDEX(MASTER_AREAS!$B:$B,1417))))),1416,""),""),IF('MIDWEEK DASHBOARD'!$B$4="Zone",IF(1416&lt;=$N$4,IF(OR('MIDWEEK DASHBOARD'!$C$4="",ISNUMBER(SEARCH('MIDWEEK DASHBOARD'!$C$4,INDEX(MASTER_ZONES!$B:$B,1417)))),1416,""),""),""))</f>
        <v/>
      </c>
      <c r="P1417">
        <f>IF('CHOP DASHBOARD'!$B$4="Area",IF(1416&lt;=$S$3,IF(AND(OR('CHOP DASHBOARD'!$C$4="",ISNUMBER(SEARCH('CHOP DASHBOARD'!$C$4,INDEX(MASTER_AREAS!$B:$B,1417))))),1416,""),""),IF('CHOP DASHBOARD'!$B$4="Zone",IF(1416&lt;=$S$4,IF(OR('CHOP DASHBOARD'!$C$4="",ISNUMBER(SEARCH('CHOP DASHBOARD'!$C$4,INDEX(MASTER_ZONES!$B:$B,1417)))),1416,""),""),""))</f>
        <v/>
      </c>
      <c r="U1417">
        <f>IF('COMMUNITY CHURCH DASHBOARD'!$B$4="Area",IF(1416&lt;=$X$3,IF(AND(OR('COMMUNITY CHURCH DASHBOARD'!$C$4="",ISNUMBER(SEARCH('COMMUNITY CHURCH DASHBOARD'!$C$4,INDEX(MASTER_AREAS!$B:$B,1417))))),1416,""),""),IF('COMMUNITY CHURCH DASHBOARD'!$B$4="Zone",IF(1416&lt;=$X$4,IF(OR('COMMUNITY CHURCH DASHBOARD'!$C$4="",ISNUMBER(SEARCH('COMMUNITY CHURCH DASHBOARD'!$C$4,INDEX(MASTER_ZONES!$B:$B,1417)))),1416,""),""),""))</f>
        <v/>
      </c>
    </row>
    <row r="1418">
      <c r="A1418">
        <f>IF('WSF DASHBOARD'!$B$4="Area",IF(1417&lt;=$D$3,IF(AND(OR('WSF DASHBOARD'!$C$4="",ISNUMBER(SEARCH('WSF DASHBOARD'!$C$4,INDEX(MASTER_AREAS!$B:$B,1418))))),1417,""),""),IF('WSF DASHBOARD'!$B$4="Zone",IF(1417&lt;=$D$4,IF(OR('WSF DASHBOARD'!$C$4="",ISNUMBER(SEARCH('WSF DASHBOARD'!$C$4,INDEX(MASTER_ZONES!$B:$B,1418)))),1417,""),""),""))</f>
        <v/>
      </c>
      <c r="F1418">
        <f>IF('TRANSPORT DASHBOARD'!$B$4="Area",IF(1417&lt;=$I$3,IF(AND(INDEX(MASTER_AREAS!$F:$F,1418)&lt;&gt;"N",OR('TRANSPORT DASHBOARD'!$C$4="",ISNUMBER(SEARCH('TRANSPORT DASHBOARD'!$C$4,INDEX(MASTER_AREAS!$B:$B,1418))))),1417,""),""),IF('TRANSPORT DASHBOARD'!$B$4="Zone",IF(1417&lt;=$I$4,IF(OR('TRANSPORT DASHBOARD'!$C$4="",ISNUMBER(SEARCH('TRANSPORT DASHBOARD'!$C$4,INDEX(MASTER_ZONES!$B:$B,1418)))),1417,""),""),""))</f>
        <v/>
      </c>
      <c r="K1418">
        <f>IF('MIDWEEK DASHBOARD'!$B$4="Area",IF(1417&lt;=$N$3,IF(AND(OR('MIDWEEK DASHBOARD'!$C$4="",ISNUMBER(SEARCH('MIDWEEK DASHBOARD'!$C$4,INDEX(MASTER_AREAS!$B:$B,1418))))),1417,""),""),IF('MIDWEEK DASHBOARD'!$B$4="Zone",IF(1417&lt;=$N$4,IF(OR('MIDWEEK DASHBOARD'!$C$4="",ISNUMBER(SEARCH('MIDWEEK DASHBOARD'!$C$4,INDEX(MASTER_ZONES!$B:$B,1418)))),1417,""),""),""))</f>
        <v/>
      </c>
      <c r="P1418">
        <f>IF('CHOP DASHBOARD'!$B$4="Area",IF(1417&lt;=$S$3,IF(AND(OR('CHOP DASHBOARD'!$C$4="",ISNUMBER(SEARCH('CHOP DASHBOARD'!$C$4,INDEX(MASTER_AREAS!$B:$B,1418))))),1417,""),""),IF('CHOP DASHBOARD'!$B$4="Zone",IF(1417&lt;=$S$4,IF(OR('CHOP DASHBOARD'!$C$4="",ISNUMBER(SEARCH('CHOP DASHBOARD'!$C$4,INDEX(MASTER_ZONES!$B:$B,1418)))),1417,""),""),""))</f>
        <v/>
      </c>
      <c r="U1418">
        <f>IF('COMMUNITY CHURCH DASHBOARD'!$B$4="Area",IF(1417&lt;=$X$3,IF(AND(OR('COMMUNITY CHURCH DASHBOARD'!$C$4="",ISNUMBER(SEARCH('COMMUNITY CHURCH DASHBOARD'!$C$4,INDEX(MASTER_AREAS!$B:$B,1418))))),1417,""),""),IF('COMMUNITY CHURCH DASHBOARD'!$B$4="Zone",IF(1417&lt;=$X$4,IF(OR('COMMUNITY CHURCH DASHBOARD'!$C$4="",ISNUMBER(SEARCH('COMMUNITY CHURCH DASHBOARD'!$C$4,INDEX(MASTER_ZONES!$B:$B,1418)))),1417,""),""),""))</f>
        <v/>
      </c>
    </row>
    <row r="1419">
      <c r="A1419">
        <f>IF('WSF DASHBOARD'!$B$4="Area",IF(1418&lt;=$D$3,IF(AND(OR('WSF DASHBOARD'!$C$4="",ISNUMBER(SEARCH('WSF DASHBOARD'!$C$4,INDEX(MASTER_AREAS!$B:$B,1419))))),1418,""),""),IF('WSF DASHBOARD'!$B$4="Zone",IF(1418&lt;=$D$4,IF(OR('WSF DASHBOARD'!$C$4="",ISNUMBER(SEARCH('WSF DASHBOARD'!$C$4,INDEX(MASTER_ZONES!$B:$B,1419)))),1418,""),""),""))</f>
        <v/>
      </c>
      <c r="F1419">
        <f>IF('TRANSPORT DASHBOARD'!$B$4="Area",IF(1418&lt;=$I$3,IF(AND(INDEX(MASTER_AREAS!$F:$F,1419)&lt;&gt;"N",OR('TRANSPORT DASHBOARD'!$C$4="",ISNUMBER(SEARCH('TRANSPORT DASHBOARD'!$C$4,INDEX(MASTER_AREAS!$B:$B,1419))))),1418,""),""),IF('TRANSPORT DASHBOARD'!$B$4="Zone",IF(1418&lt;=$I$4,IF(OR('TRANSPORT DASHBOARD'!$C$4="",ISNUMBER(SEARCH('TRANSPORT DASHBOARD'!$C$4,INDEX(MASTER_ZONES!$B:$B,1419)))),1418,""),""),""))</f>
        <v/>
      </c>
      <c r="K1419">
        <f>IF('MIDWEEK DASHBOARD'!$B$4="Area",IF(1418&lt;=$N$3,IF(AND(OR('MIDWEEK DASHBOARD'!$C$4="",ISNUMBER(SEARCH('MIDWEEK DASHBOARD'!$C$4,INDEX(MASTER_AREAS!$B:$B,1419))))),1418,""),""),IF('MIDWEEK DASHBOARD'!$B$4="Zone",IF(1418&lt;=$N$4,IF(OR('MIDWEEK DASHBOARD'!$C$4="",ISNUMBER(SEARCH('MIDWEEK DASHBOARD'!$C$4,INDEX(MASTER_ZONES!$B:$B,1419)))),1418,""),""),""))</f>
        <v/>
      </c>
      <c r="P1419">
        <f>IF('CHOP DASHBOARD'!$B$4="Area",IF(1418&lt;=$S$3,IF(AND(OR('CHOP DASHBOARD'!$C$4="",ISNUMBER(SEARCH('CHOP DASHBOARD'!$C$4,INDEX(MASTER_AREAS!$B:$B,1419))))),1418,""),""),IF('CHOP DASHBOARD'!$B$4="Zone",IF(1418&lt;=$S$4,IF(OR('CHOP DASHBOARD'!$C$4="",ISNUMBER(SEARCH('CHOP DASHBOARD'!$C$4,INDEX(MASTER_ZONES!$B:$B,1419)))),1418,""),""),""))</f>
        <v/>
      </c>
      <c r="U1419">
        <f>IF('COMMUNITY CHURCH DASHBOARD'!$B$4="Area",IF(1418&lt;=$X$3,IF(AND(OR('COMMUNITY CHURCH DASHBOARD'!$C$4="",ISNUMBER(SEARCH('COMMUNITY CHURCH DASHBOARD'!$C$4,INDEX(MASTER_AREAS!$B:$B,1419))))),1418,""),""),IF('COMMUNITY CHURCH DASHBOARD'!$B$4="Zone",IF(1418&lt;=$X$4,IF(OR('COMMUNITY CHURCH DASHBOARD'!$C$4="",ISNUMBER(SEARCH('COMMUNITY CHURCH DASHBOARD'!$C$4,INDEX(MASTER_ZONES!$B:$B,1419)))),1418,""),""),""))</f>
        <v/>
      </c>
    </row>
    <row r="1420">
      <c r="A1420">
        <f>IF('WSF DASHBOARD'!$B$4="Area",IF(1419&lt;=$D$3,IF(AND(OR('WSF DASHBOARD'!$C$4="",ISNUMBER(SEARCH('WSF DASHBOARD'!$C$4,INDEX(MASTER_AREAS!$B:$B,1420))))),1419,""),""),IF('WSF DASHBOARD'!$B$4="Zone",IF(1419&lt;=$D$4,IF(OR('WSF DASHBOARD'!$C$4="",ISNUMBER(SEARCH('WSF DASHBOARD'!$C$4,INDEX(MASTER_ZONES!$B:$B,1420)))),1419,""),""),""))</f>
        <v/>
      </c>
      <c r="F1420">
        <f>IF('TRANSPORT DASHBOARD'!$B$4="Area",IF(1419&lt;=$I$3,IF(AND(INDEX(MASTER_AREAS!$F:$F,1420)&lt;&gt;"N",OR('TRANSPORT DASHBOARD'!$C$4="",ISNUMBER(SEARCH('TRANSPORT DASHBOARD'!$C$4,INDEX(MASTER_AREAS!$B:$B,1420))))),1419,""),""),IF('TRANSPORT DASHBOARD'!$B$4="Zone",IF(1419&lt;=$I$4,IF(OR('TRANSPORT DASHBOARD'!$C$4="",ISNUMBER(SEARCH('TRANSPORT DASHBOARD'!$C$4,INDEX(MASTER_ZONES!$B:$B,1420)))),1419,""),""),""))</f>
        <v/>
      </c>
      <c r="K1420">
        <f>IF('MIDWEEK DASHBOARD'!$B$4="Area",IF(1419&lt;=$N$3,IF(AND(OR('MIDWEEK DASHBOARD'!$C$4="",ISNUMBER(SEARCH('MIDWEEK DASHBOARD'!$C$4,INDEX(MASTER_AREAS!$B:$B,1420))))),1419,""),""),IF('MIDWEEK DASHBOARD'!$B$4="Zone",IF(1419&lt;=$N$4,IF(OR('MIDWEEK DASHBOARD'!$C$4="",ISNUMBER(SEARCH('MIDWEEK DASHBOARD'!$C$4,INDEX(MASTER_ZONES!$B:$B,1420)))),1419,""),""),""))</f>
        <v/>
      </c>
      <c r="P1420">
        <f>IF('CHOP DASHBOARD'!$B$4="Area",IF(1419&lt;=$S$3,IF(AND(OR('CHOP DASHBOARD'!$C$4="",ISNUMBER(SEARCH('CHOP DASHBOARD'!$C$4,INDEX(MASTER_AREAS!$B:$B,1420))))),1419,""),""),IF('CHOP DASHBOARD'!$B$4="Zone",IF(1419&lt;=$S$4,IF(OR('CHOP DASHBOARD'!$C$4="",ISNUMBER(SEARCH('CHOP DASHBOARD'!$C$4,INDEX(MASTER_ZONES!$B:$B,1420)))),1419,""),""),""))</f>
        <v/>
      </c>
      <c r="U1420">
        <f>IF('COMMUNITY CHURCH DASHBOARD'!$B$4="Area",IF(1419&lt;=$X$3,IF(AND(OR('COMMUNITY CHURCH DASHBOARD'!$C$4="",ISNUMBER(SEARCH('COMMUNITY CHURCH DASHBOARD'!$C$4,INDEX(MASTER_AREAS!$B:$B,1420))))),1419,""),""),IF('COMMUNITY CHURCH DASHBOARD'!$B$4="Zone",IF(1419&lt;=$X$4,IF(OR('COMMUNITY CHURCH DASHBOARD'!$C$4="",ISNUMBER(SEARCH('COMMUNITY CHURCH DASHBOARD'!$C$4,INDEX(MASTER_ZONES!$B:$B,1420)))),1419,""),""),""))</f>
        <v/>
      </c>
    </row>
    <row r="1421">
      <c r="A1421">
        <f>IF('WSF DASHBOARD'!$B$4="Area",IF(1420&lt;=$D$3,IF(AND(OR('WSF DASHBOARD'!$C$4="",ISNUMBER(SEARCH('WSF DASHBOARD'!$C$4,INDEX(MASTER_AREAS!$B:$B,1421))))),1420,""),""),IF('WSF DASHBOARD'!$B$4="Zone",IF(1420&lt;=$D$4,IF(OR('WSF DASHBOARD'!$C$4="",ISNUMBER(SEARCH('WSF DASHBOARD'!$C$4,INDEX(MASTER_ZONES!$B:$B,1421)))),1420,""),""),""))</f>
        <v/>
      </c>
      <c r="F1421">
        <f>IF('TRANSPORT DASHBOARD'!$B$4="Area",IF(1420&lt;=$I$3,IF(AND(INDEX(MASTER_AREAS!$F:$F,1421)&lt;&gt;"N",OR('TRANSPORT DASHBOARD'!$C$4="",ISNUMBER(SEARCH('TRANSPORT DASHBOARD'!$C$4,INDEX(MASTER_AREAS!$B:$B,1421))))),1420,""),""),IF('TRANSPORT DASHBOARD'!$B$4="Zone",IF(1420&lt;=$I$4,IF(OR('TRANSPORT DASHBOARD'!$C$4="",ISNUMBER(SEARCH('TRANSPORT DASHBOARD'!$C$4,INDEX(MASTER_ZONES!$B:$B,1421)))),1420,""),""),""))</f>
        <v/>
      </c>
      <c r="K1421">
        <f>IF('MIDWEEK DASHBOARD'!$B$4="Area",IF(1420&lt;=$N$3,IF(AND(OR('MIDWEEK DASHBOARD'!$C$4="",ISNUMBER(SEARCH('MIDWEEK DASHBOARD'!$C$4,INDEX(MASTER_AREAS!$B:$B,1421))))),1420,""),""),IF('MIDWEEK DASHBOARD'!$B$4="Zone",IF(1420&lt;=$N$4,IF(OR('MIDWEEK DASHBOARD'!$C$4="",ISNUMBER(SEARCH('MIDWEEK DASHBOARD'!$C$4,INDEX(MASTER_ZONES!$B:$B,1421)))),1420,""),""),""))</f>
        <v/>
      </c>
      <c r="P1421">
        <f>IF('CHOP DASHBOARD'!$B$4="Area",IF(1420&lt;=$S$3,IF(AND(OR('CHOP DASHBOARD'!$C$4="",ISNUMBER(SEARCH('CHOP DASHBOARD'!$C$4,INDEX(MASTER_AREAS!$B:$B,1421))))),1420,""),""),IF('CHOP DASHBOARD'!$B$4="Zone",IF(1420&lt;=$S$4,IF(OR('CHOP DASHBOARD'!$C$4="",ISNUMBER(SEARCH('CHOP DASHBOARD'!$C$4,INDEX(MASTER_ZONES!$B:$B,1421)))),1420,""),""),""))</f>
        <v/>
      </c>
      <c r="U1421">
        <f>IF('COMMUNITY CHURCH DASHBOARD'!$B$4="Area",IF(1420&lt;=$X$3,IF(AND(OR('COMMUNITY CHURCH DASHBOARD'!$C$4="",ISNUMBER(SEARCH('COMMUNITY CHURCH DASHBOARD'!$C$4,INDEX(MASTER_AREAS!$B:$B,1421))))),1420,""),""),IF('COMMUNITY CHURCH DASHBOARD'!$B$4="Zone",IF(1420&lt;=$X$4,IF(OR('COMMUNITY CHURCH DASHBOARD'!$C$4="",ISNUMBER(SEARCH('COMMUNITY CHURCH DASHBOARD'!$C$4,INDEX(MASTER_ZONES!$B:$B,1421)))),1420,""),""),""))</f>
        <v/>
      </c>
    </row>
    <row r="1422">
      <c r="A1422">
        <f>IF('WSF DASHBOARD'!$B$4="Area",IF(1421&lt;=$D$3,IF(AND(OR('WSF DASHBOARD'!$C$4="",ISNUMBER(SEARCH('WSF DASHBOARD'!$C$4,INDEX(MASTER_AREAS!$B:$B,1422))))),1421,""),""),IF('WSF DASHBOARD'!$B$4="Zone",IF(1421&lt;=$D$4,IF(OR('WSF DASHBOARD'!$C$4="",ISNUMBER(SEARCH('WSF DASHBOARD'!$C$4,INDEX(MASTER_ZONES!$B:$B,1422)))),1421,""),""),""))</f>
        <v/>
      </c>
      <c r="F1422">
        <f>IF('TRANSPORT DASHBOARD'!$B$4="Area",IF(1421&lt;=$I$3,IF(AND(INDEX(MASTER_AREAS!$F:$F,1422)&lt;&gt;"N",OR('TRANSPORT DASHBOARD'!$C$4="",ISNUMBER(SEARCH('TRANSPORT DASHBOARD'!$C$4,INDEX(MASTER_AREAS!$B:$B,1422))))),1421,""),""),IF('TRANSPORT DASHBOARD'!$B$4="Zone",IF(1421&lt;=$I$4,IF(OR('TRANSPORT DASHBOARD'!$C$4="",ISNUMBER(SEARCH('TRANSPORT DASHBOARD'!$C$4,INDEX(MASTER_ZONES!$B:$B,1422)))),1421,""),""),""))</f>
        <v/>
      </c>
      <c r="K1422">
        <f>IF('MIDWEEK DASHBOARD'!$B$4="Area",IF(1421&lt;=$N$3,IF(AND(OR('MIDWEEK DASHBOARD'!$C$4="",ISNUMBER(SEARCH('MIDWEEK DASHBOARD'!$C$4,INDEX(MASTER_AREAS!$B:$B,1422))))),1421,""),""),IF('MIDWEEK DASHBOARD'!$B$4="Zone",IF(1421&lt;=$N$4,IF(OR('MIDWEEK DASHBOARD'!$C$4="",ISNUMBER(SEARCH('MIDWEEK DASHBOARD'!$C$4,INDEX(MASTER_ZONES!$B:$B,1422)))),1421,""),""),""))</f>
        <v/>
      </c>
      <c r="P1422">
        <f>IF('CHOP DASHBOARD'!$B$4="Area",IF(1421&lt;=$S$3,IF(AND(OR('CHOP DASHBOARD'!$C$4="",ISNUMBER(SEARCH('CHOP DASHBOARD'!$C$4,INDEX(MASTER_AREAS!$B:$B,1422))))),1421,""),""),IF('CHOP DASHBOARD'!$B$4="Zone",IF(1421&lt;=$S$4,IF(OR('CHOP DASHBOARD'!$C$4="",ISNUMBER(SEARCH('CHOP DASHBOARD'!$C$4,INDEX(MASTER_ZONES!$B:$B,1422)))),1421,""),""),""))</f>
        <v/>
      </c>
      <c r="U1422">
        <f>IF('COMMUNITY CHURCH DASHBOARD'!$B$4="Area",IF(1421&lt;=$X$3,IF(AND(OR('COMMUNITY CHURCH DASHBOARD'!$C$4="",ISNUMBER(SEARCH('COMMUNITY CHURCH DASHBOARD'!$C$4,INDEX(MASTER_AREAS!$B:$B,1422))))),1421,""),""),IF('COMMUNITY CHURCH DASHBOARD'!$B$4="Zone",IF(1421&lt;=$X$4,IF(OR('COMMUNITY CHURCH DASHBOARD'!$C$4="",ISNUMBER(SEARCH('COMMUNITY CHURCH DASHBOARD'!$C$4,INDEX(MASTER_ZONES!$B:$B,1422)))),1421,""),""),""))</f>
        <v/>
      </c>
    </row>
    <row r="1423">
      <c r="A1423">
        <f>IF('WSF DASHBOARD'!$B$4="Area",IF(1422&lt;=$D$3,IF(AND(OR('WSF DASHBOARD'!$C$4="",ISNUMBER(SEARCH('WSF DASHBOARD'!$C$4,INDEX(MASTER_AREAS!$B:$B,1423))))),1422,""),""),IF('WSF DASHBOARD'!$B$4="Zone",IF(1422&lt;=$D$4,IF(OR('WSF DASHBOARD'!$C$4="",ISNUMBER(SEARCH('WSF DASHBOARD'!$C$4,INDEX(MASTER_ZONES!$B:$B,1423)))),1422,""),""),""))</f>
        <v/>
      </c>
      <c r="F1423">
        <f>IF('TRANSPORT DASHBOARD'!$B$4="Area",IF(1422&lt;=$I$3,IF(AND(INDEX(MASTER_AREAS!$F:$F,1423)&lt;&gt;"N",OR('TRANSPORT DASHBOARD'!$C$4="",ISNUMBER(SEARCH('TRANSPORT DASHBOARD'!$C$4,INDEX(MASTER_AREAS!$B:$B,1423))))),1422,""),""),IF('TRANSPORT DASHBOARD'!$B$4="Zone",IF(1422&lt;=$I$4,IF(OR('TRANSPORT DASHBOARD'!$C$4="",ISNUMBER(SEARCH('TRANSPORT DASHBOARD'!$C$4,INDEX(MASTER_ZONES!$B:$B,1423)))),1422,""),""),""))</f>
        <v/>
      </c>
      <c r="K1423">
        <f>IF('MIDWEEK DASHBOARD'!$B$4="Area",IF(1422&lt;=$N$3,IF(AND(OR('MIDWEEK DASHBOARD'!$C$4="",ISNUMBER(SEARCH('MIDWEEK DASHBOARD'!$C$4,INDEX(MASTER_AREAS!$B:$B,1423))))),1422,""),""),IF('MIDWEEK DASHBOARD'!$B$4="Zone",IF(1422&lt;=$N$4,IF(OR('MIDWEEK DASHBOARD'!$C$4="",ISNUMBER(SEARCH('MIDWEEK DASHBOARD'!$C$4,INDEX(MASTER_ZONES!$B:$B,1423)))),1422,""),""),""))</f>
        <v/>
      </c>
      <c r="P1423">
        <f>IF('CHOP DASHBOARD'!$B$4="Area",IF(1422&lt;=$S$3,IF(AND(OR('CHOP DASHBOARD'!$C$4="",ISNUMBER(SEARCH('CHOP DASHBOARD'!$C$4,INDEX(MASTER_AREAS!$B:$B,1423))))),1422,""),""),IF('CHOP DASHBOARD'!$B$4="Zone",IF(1422&lt;=$S$4,IF(OR('CHOP DASHBOARD'!$C$4="",ISNUMBER(SEARCH('CHOP DASHBOARD'!$C$4,INDEX(MASTER_ZONES!$B:$B,1423)))),1422,""),""),""))</f>
        <v/>
      </c>
      <c r="U1423">
        <f>IF('COMMUNITY CHURCH DASHBOARD'!$B$4="Area",IF(1422&lt;=$X$3,IF(AND(OR('COMMUNITY CHURCH DASHBOARD'!$C$4="",ISNUMBER(SEARCH('COMMUNITY CHURCH DASHBOARD'!$C$4,INDEX(MASTER_AREAS!$B:$B,1423))))),1422,""),""),IF('COMMUNITY CHURCH DASHBOARD'!$B$4="Zone",IF(1422&lt;=$X$4,IF(OR('COMMUNITY CHURCH DASHBOARD'!$C$4="",ISNUMBER(SEARCH('COMMUNITY CHURCH DASHBOARD'!$C$4,INDEX(MASTER_ZONES!$B:$B,1423)))),1422,""),""),""))</f>
        <v/>
      </c>
    </row>
    <row r="1424">
      <c r="A1424">
        <f>IF('WSF DASHBOARD'!$B$4="Area",IF(1423&lt;=$D$3,IF(AND(OR('WSF DASHBOARD'!$C$4="",ISNUMBER(SEARCH('WSF DASHBOARD'!$C$4,INDEX(MASTER_AREAS!$B:$B,1424))))),1423,""),""),IF('WSF DASHBOARD'!$B$4="Zone",IF(1423&lt;=$D$4,IF(OR('WSF DASHBOARD'!$C$4="",ISNUMBER(SEARCH('WSF DASHBOARD'!$C$4,INDEX(MASTER_ZONES!$B:$B,1424)))),1423,""),""),""))</f>
        <v/>
      </c>
      <c r="F1424">
        <f>IF('TRANSPORT DASHBOARD'!$B$4="Area",IF(1423&lt;=$I$3,IF(AND(INDEX(MASTER_AREAS!$F:$F,1424)&lt;&gt;"N",OR('TRANSPORT DASHBOARD'!$C$4="",ISNUMBER(SEARCH('TRANSPORT DASHBOARD'!$C$4,INDEX(MASTER_AREAS!$B:$B,1424))))),1423,""),""),IF('TRANSPORT DASHBOARD'!$B$4="Zone",IF(1423&lt;=$I$4,IF(OR('TRANSPORT DASHBOARD'!$C$4="",ISNUMBER(SEARCH('TRANSPORT DASHBOARD'!$C$4,INDEX(MASTER_ZONES!$B:$B,1424)))),1423,""),""),""))</f>
        <v/>
      </c>
      <c r="K1424">
        <f>IF('MIDWEEK DASHBOARD'!$B$4="Area",IF(1423&lt;=$N$3,IF(AND(OR('MIDWEEK DASHBOARD'!$C$4="",ISNUMBER(SEARCH('MIDWEEK DASHBOARD'!$C$4,INDEX(MASTER_AREAS!$B:$B,1424))))),1423,""),""),IF('MIDWEEK DASHBOARD'!$B$4="Zone",IF(1423&lt;=$N$4,IF(OR('MIDWEEK DASHBOARD'!$C$4="",ISNUMBER(SEARCH('MIDWEEK DASHBOARD'!$C$4,INDEX(MASTER_ZONES!$B:$B,1424)))),1423,""),""),""))</f>
        <v/>
      </c>
      <c r="P1424">
        <f>IF('CHOP DASHBOARD'!$B$4="Area",IF(1423&lt;=$S$3,IF(AND(OR('CHOP DASHBOARD'!$C$4="",ISNUMBER(SEARCH('CHOP DASHBOARD'!$C$4,INDEX(MASTER_AREAS!$B:$B,1424))))),1423,""),""),IF('CHOP DASHBOARD'!$B$4="Zone",IF(1423&lt;=$S$4,IF(OR('CHOP DASHBOARD'!$C$4="",ISNUMBER(SEARCH('CHOP DASHBOARD'!$C$4,INDEX(MASTER_ZONES!$B:$B,1424)))),1423,""),""),""))</f>
        <v/>
      </c>
      <c r="U1424">
        <f>IF('COMMUNITY CHURCH DASHBOARD'!$B$4="Area",IF(1423&lt;=$X$3,IF(AND(OR('COMMUNITY CHURCH DASHBOARD'!$C$4="",ISNUMBER(SEARCH('COMMUNITY CHURCH DASHBOARD'!$C$4,INDEX(MASTER_AREAS!$B:$B,1424))))),1423,""),""),IF('COMMUNITY CHURCH DASHBOARD'!$B$4="Zone",IF(1423&lt;=$X$4,IF(OR('COMMUNITY CHURCH DASHBOARD'!$C$4="",ISNUMBER(SEARCH('COMMUNITY CHURCH DASHBOARD'!$C$4,INDEX(MASTER_ZONES!$B:$B,1424)))),1423,""),""),""))</f>
        <v/>
      </c>
    </row>
    <row r="1425">
      <c r="A1425">
        <f>IF('WSF DASHBOARD'!$B$4="Area",IF(1424&lt;=$D$3,IF(AND(OR('WSF DASHBOARD'!$C$4="",ISNUMBER(SEARCH('WSF DASHBOARD'!$C$4,INDEX(MASTER_AREAS!$B:$B,1425))))),1424,""),""),IF('WSF DASHBOARD'!$B$4="Zone",IF(1424&lt;=$D$4,IF(OR('WSF DASHBOARD'!$C$4="",ISNUMBER(SEARCH('WSF DASHBOARD'!$C$4,INDEX(MASTER_ZONES!$B:$B,1425)))),1424,""),""),""))</f>
        <v/>
      </c>
      <c r="F1425">
        <f>IF('TRANSPORT DASHBOARD'!$B$4="Area",IF(1424&lt;=$I$3,IF(AND(INDEX(MASTER_AREAS!$F:$F,1425)&lt;&gt;"N",OR('TRANSPORT DASHBOARD'!$C$4="",ISNUMBER(SEARCH('TRANSPORT DASHBOARD'!$C$4,INDEX(MASTER_AREAS!$B:$B,1425))))),1424,""),""),IF('TRANSPORT DASHBOARD'!$B$4="Zone",IF(1424&lt;=$I$4,IF(OR('TRANSPORT DASHBOARD'!$C$4="",ISNUMBER(SEARCH('TRANSPORT DASHBOARD'!$C$4,INDEX(MASTER_ZONES!$B:$B,1425)))),1424,""),""),""))</f>
        <v/>
      </c>
      <c r="K1425">
        <f>IF('MIDWEEK DASHBOARD'!$B$4="Area",IF(1424&lt;=$N$3,IF(AND(OR('MIDWEEK DASHBOARD'!$C$4="",ISNUMBER(SEARCH('MIDWEEK DASHBOARD'!$C$4,INDEX(MASTER_AREAS!$B:$B,1425))))),1424,""),""),IF('MIDWEEK DASHBOARD'!$B$4="Zone",IF(1424&lt;=$N$4,IF(OR('MIDWEEK DASHBOARD'!$C$4="",ISNUMBER(SEARCH('MIDWEEK DASHBOARD'!$C$4,INDEX(MASTER_ZONES!$B:$B,1425)))),1424,""),""),""))</f>
        <v/>
      </c>
      <c r="P1425">
        <f>IF('CHOP DASHBOARD'!$B$4="Area",IF(1424&lt;=$S$3,IF(AND(OR('CHOP DASHBOARD'!$C$4="",ISNUMBER(SEARCH('CHOP DASHBOARD'!$C$4,INDEX(MASTER_AREAS!$B:$B,1425))))),1424,""),""),IF('CHOP DASHBOARD'!$B$4="Zone",IF(1424&lt;=$S$4,IF(OR('CHOP DASHBOARD'!$C$4="",ISNUMBER(SEARCH('CHOP DASHBOARD'!$C$4,INDEX(MASTER_ZONES!$B:$B,1425)))),1424,""),""),""))</f>
        <v/>
      </c>
      <c r="U1425">
        <f>IF('COMMUNITY CHURCH DASHBOARD'!$B$4="Area",IF(1424&lt;=$X$3,IF(AND(OR('COMMUNITY CHURCH DASHBOARD'!$C$4="",ISNUMBER(SEARCH('COMMUNITY CHURCH DASHBOARD'!$C$4,INDEX(MASTER_AREAS!$B:$B,1425))))),1424,""),""),IF('COMMUNITY CHURCH DASHBOARD'!$B$4="Zone",IF(1424&lt;=$X$4,IF(OR('COMMUNITY CHURCH DASHBOARD'!$C$4="",ISNUMBER(SEARCH('COMMUNITY CHURCH DASHBOARD'!$C$4,INDEX(MASTER_ZONES!$B:$B,1425)))),1424,""),""),""))</f>
        <v/>
      </c>
    </row>
    <row r="1426">
      <c r="A1426">
        <f>IF('WSF DASHBOARD'!$B$4="Area",IF(1425&lt;=$D$3,IF(AND(OR('WSF DASHBOARD'!$C$4="",ISNUMBER(SEARCH('WSF DASHBOARD'!$C$4,INDEX(MASTER_AREAS!$B:$B,1426))))),1425,""),""),IF('WSF DASHBOARD'!$B$4="Zone",IF(1425&lt;=$D$4,IF(OR('WSF DASHBOARD'!$C$4="",ISNUMBER(SEARCH('WSF DASHBOARD'!$C$4,INDEX(MASTER_ZONES!$B:$B,1426)))),1425,""),""),""))</f>
        <v/>
      </c>
      <c r="F1426">
        <f>IF('TRANSPORT DASHBOARD'!$B$4="Area",IF(1425&lt;=$I$3,IF(AND(INDEX(MASTER_AREAS!$F:$F,1426)&lt;&gt;"N",OR('TRANSPORT DASHBOARD'!$C$4="",ISNUMBER(SEARCH('TRANSPORT DASHBOARD'!$C$4,INDEX(MASTER_AREAS!$B:$B,1426))))),1425,""),""),IF('TRANSPORT DASHBOARD'!$B$4="Zone",IF(1425&lt;=$I$4,IF(OR('TRANSPORT DASHBOARD'!$C$4="",ISNUMBER(SEARCH('TRANSPORT DASHBOARD'!$C$4,INDEX(MASTER_ZONES!$B:$B,1426)))),1425,""),""),""))</f>
        <v/>
      </c>
      <c r="K1426">
        <f>IF('MIDWEEK DASHBOARD'!$B$4="Area",IF(1425&lt;=$N$3,IF(AND(OR('MIDWEEK DASHBOARD'!$C$4="",ISNUMBER(SEARCH('MIDWEEK DASHBOARD'!$C$4,INDEX(MASTER_AREAS!$B:$B,1426))))),1425,""),""),IF('MIDWEEK DASHBOARD'!$B$4="Zone",IF(1425&lt;=$N$4,IF(OR('MIDWEEK DASHBOARD'!$C$4="",ISNUMBER(SEARCH('MIDWEEK DASHBOARD'!$C$4,INDEX(MASTER_ZONES!$B:$B,1426)))),1425,""),""),""))</f>
        <v/>
      </c>
      <c r="P1426">
        <f>IF('CHOP DASHBOARD'!$B$4="Area",IF(1425&lt;=$S$3,IF(AND(OR('CHOP DASHBOARD'!$C$4="",ISNUMBER(SEARCH('CHOP DASHBOARD'!$C$4,INDEX(MASTER_AREAS!$B:$B,1426))))),1425,""),""),IF('CHOP DASHBOARD'!$B$4="Zone",IF(1425&lt;=$S$4,IF(OR('CHOP DASHBOARD'!$C$4="",ISNUMBER(SEARCH('CHOP DASHBOARD'!$C$4,INDEX(MASTER_ZONES!$B:$B,1426)))),1425,""),""),""))</f>
        <v/>
      </c>
      <c r="U1426">
        <f>IF('COMMUNITY CHURCH DASHBOARD'!$B$4="Area",IF(1425&lt;=$X$3,IF(AND(OR('COMMUNITY CHURCH DASHBOARD'!$C$4="",ISNUMBER(SEARCH('COMMUNITY CHURCH DASHBOARD'!$C$4,INDEX(MASTER_AREAS!$B:$B,1426))))),1425,""),""),IF('COMMUNITY CHURCH DASHBOARD'!$B$4="Zone",IF(1425&lt;=$X$4,IF(OR('COMMUNITY CHURCH DASHBOARD'!$C$4="",ISNUMBER(SEARCH('COMMUNITY CHURCH DASHBOARD'!$C$4,INDEX(MASTER_ZONES!$B:$B,1426)))),1425,""),""),""))</f>
        <v/>
      </c>
    </row>
    <row r="1427">
      <c r="A1427">
        <f>IF('WSF DASHBOARD'!$B$4="Area",IF(1426&lt;=$D$3,IF(AND(OR('WSF DASHBOARD'!$C$4="",ISNUMBER(SEARCH('WSF DASHBOARD'!$C$4,INDEX(MASTER_AREAS!$B:$B,1427))))),1426,""),""),IF('WSF DASHBOARD'!$B$4="Zone",IF(1426&lt;=$D$4,IF(OR('WSF DASHBOARD'!$C$4="",ISNUMBER(SEARCH('WSF DASHBOARD'!$C$4,INDEX(MASTER_ZONES!$B:$B,1427)))),1426,""),""),""))</f>
        <v/>
      </c>
      <c r="F1427">
        <f>IF('TRANSPORT DASHBOARD'!$B$4="Area",IF(1426&lt;=$I$3,IF(AND(INDEX(MASTER_AREAS!$F:$F,1427)&lt;&gt;"N",OR('TRANSPORT DASHBOARD'!$C$4="",ISNUMBER(SEARCH('TRANSPORT DASHBOARD'!$C$4,INDEX(MASTER_AREAS!$B:$B,1427))))),1426,""),""),IF('TRANSPORT DASHBOARD'!$B$4="Zone",IF(1426&lt;=$I$4,IF(OR('TRANSPORT DASHBOARD'!$C$4="",ISNUMBER(SEARCH('TRANSPORT DASHBOARD'!$C$4,INDEX(MASTER_ZONES!$B:$B,1427)))),1426,""),""),""))</f>
        <v/>
      </c>
      <c r="K1427">
        <f>IF('MIDWEEK DASHBOARD'!$B$4="Area",IF(1426&lt;=$N$3,IF(AND(OR('MIDWEEK DASHBOARD'!$C$4="",ISNUMBER(SEARCH('MIDWEEK DASHBOARD'!$C$4,INDEX(MASTER_AREAS!$B:$B,1427))))),1426,""),""),IF('MIDWEEK DASHBOARD'!$B$4="Zone",IF(1426&lt;=$N$4,IF(OR('MIDWEEK DASHBOARD'!$C$4="",ISNUMBER(SEARCH('MIDWEEK DASHBOARD'!$C$4,INDEX(MASTER_ZONES!$B:$B,1427)))),1426,""),""),""))</f>
        <v/>
      </c>
      <c r="P1427">
        <f>IF('CHOP DASHBOARD'!$B$4="Area",IF(1426&lt;=$S$3,IF(AND(OR('CHOP DASHBOARD'!$C$4="",ISNUMBER(SEARCH('CHOP DASHBOARD'!$C$4,INDEX(MASTER_AREAS!$B:$B,1427))))),1426,""),""),IF('CHOP DASHBOARD'!$B$4="Zone",IF(1426&lt;=$S$4,IF(OR('CHOP DASHBOARD'!$C$4="",ISNUMBER(SEARCH('CHOP DASHBOARD'!$C$4,INDEX(MASTER_ZONES!$B:$B,1427)))),1426,""),""),""))</f>
        <v/>
      </c>
      <c r="U1427">
        <f>IF('COMMUNITY CHURCH DASHBOARD'!$B$4="Area",IF(1426&lt;=$X$3,IF(AND(OR('COMMUNITY CHURCH DASHBOARD'!$C$4="",ISNUMBER(SEARCH('COMMUNITY CHURCH DASHBOARD'!$C$4,INDEX(MASTER_AREAS!$B:$B,1427))))),1426,""),""),IF('COMMUNITY CHURCH DASHBOARD'!$B$4="Zone",IF(1426&lt;=$X$4,IF(OR('COMMUNITY CHURCH DASHBOARD'!$C$4="",ISNUMBER(SEARCH('COMMUNITY CHURCH DASHBOARD'!$C$4,INDEX(MASTER_ZONES!$B:$B,1427)))),1426,""),""),""))</f>
        <v/>
      </c>
    </row>
    <row r="1428">
      <c r="A1428">
        <f>IF('WSF DASHBOARD'!$B$4="Area",IF(1427&lt;=$D$3,IF(AND(OR('WSF DASHBOARD'!$C$4="",ISNUMBER(SEARCH('WSF DASHBOARD'!$C$4,INDEX(MASTER_AREAS!$B:$B,1428))))),1427,""),""),IF('WSF DASHBOARD'!$B$4="Zone",IF(1427&lt;=$D$4,IF(OR('WSF DASHBOARD'!$C$4="",ISNUMBER(SEARCH('WSF DASHBOARD'!$C$4,INDEX(MASTER_ZONES!$B:$B,1428)))),1427,""),""),""))</f>
        <v/>
      </c>
      <c r="F1428">
        <f>IF('TRANSPORT DASHBOARD'!$B$4="Area",IF(1427&lt;=$I$3,IF(AND(INDEX(MASTER_AREAS!$F:$F,1428)&lt;&gt;"N",OR('TRANSPORT DASHBOARD'!$C$4="",ISNUMBER(SEARCH('TRANSPORT DASHBOARD'!$C$4,INDEX(MASTER_AREAS!$B:$B,1428))))),1427,""),""),IF('TRANSPORT DASHBOARD'!$B$4="Zone",IF(1427&lt;=$I$4,IF(OR('TRANSPORT DASHBOARD'!$C$4="",ISNUMBER(SEARCH('TRANSPORT DASHBOARD'!$C$4,INDEX(MASTER_ZONES!$B:$B,1428)))),1427,""),""),""))</f>
        <v/>
      </c>
      <c r="K1428">
        <f>IF('MIDWEEK DASHBOARD'!$B$4="Area",IF(1427&lt;=$N$3,IF(AND(OR('MIDWEEK DASHBOARD'!$C$4="",ISNUMBER(SEARCH('MIDWEEK DASHBOARD'!$C$4,INDEX(MASTER_AREAS!$B:$B,1428))))),1427,""),""),IF('MIDWEEK DASHBOARD'!$B$4="Zone",IF(1427&lt;=$N$4,IF(OR('MIDWEEK DASHBOARD'!$C$4="",ISNUMBER(SEARCH('MIDWEEK DASHBOARD'!$C$4,INDEX(MASTER_ZONES!$B:$B,1428)))),1427,""),""),""))</f>
        <v/>
      </c>
      <c r="P1428">
        <f>IF('CHOP DASHBOARD'!$B$4="Area",IF(1427&lt;=$S$3,IF(AND(OR('CHOP DASHBOARD'!$C$4="",ISNUMBER(SEARCH('CHOP DASHBOARD'!$C$4,INDEX(MASTER_AREAS!$B:$B,1428))))),1427,""),""),IF('CHOP DASHBOARD'!$B$4="Zone",IF(1427&lt;=$S$4,IF(OR('CHOP DASHBOARD'!$C$4="",ISNUMBER(SEARCH('CHOP DASHBOARD'!$C$4,INDEX(MASTER_ZONES!$B:$B,1428)))),1427,""),""),""))</f>
        <v/>
      </c>
      <c r="U1428">
        <f>IF('COMMUNITY CHURCH DASHBOARD'!$B$4="Area",IF(1427&lt;=$X$3,IF(AND(OR('COMMUNITY CHURCH DASHBOARD'!$C$4="",ISNUMBER(SEARCH('COMMUNITY CHURCH DASHBOARD'!$C$4,INDEX(MASTER_AREAS!$B:$B,1428))))),1427,""),""),IF('COMMUNITY CHURCH DASHBOARD'!$B$4="Zone",IF(1427&lt;=$X$4,IF(OR('COMMUNITY CHURCH DASHBOARD'!$C$4="",ISNUMBER(SEARCH('COMMUNITY CHURCH DASHBOARD'!$C$4,INDEX(MASTER_ZONES!$B:$B,1428)))),1427,""),""),""))</f>
        <v/>
      </c>
    </row>
    <row r="1429">
      <c r="A1429">
        <f>IF('WSF DASHBOARD'!$B$4="Area",IF(1428&lt;=$D$3,IF(AND(OR('WSF DASHBOARD'!$C$4="",ISNUMBER(SEARCH('WSF DASHBOARD'!$C$4,INDEX(MASTER_AREAS!$B:$B,1429))))),1428,""),""),IF('WSF DASHBOARD'!$B$4="Zone",IF(1428&lt;=$D$4,IF(OR('WSF DASHBOARD'!$C$4="",ISNUMBER(SEARCH('WSF DASHBOARD'!$C$4,INDEX(MASTER_ZONES!$B:$B,1429)))),1428,""),""),""))</f>
        <v/>
      </c>
      <c r="F1429">
        <f>IF('TRANSPORT DASHBOARD'!$B$4="Area",IF(1428&lt;=$I$3,IF(AND(INDEX(MASTER_AREAS!$F:$F,1429)&lt;&gt;"N",OR('TRANSPORT DASHBOARD'!$C$4="",ISNUMBER(SEARCH('TRANSPORT DASHBOARD'!$C$4,INDEX(MASTER_AREAS!$B:$B,1429))))),1428,""),""),IF('TRANSPORT DASHBOARD'!$B$4="Zone",IF(1428&lt;=$I$4,IF(OR('TRANSPORT DASHBOARD'!$C$4="",ISNUMBER(SEARCH('TRANSPORT DASHBOARD'!$C$4,INDEX(MASTER_ZONES!$B:$B,1429)))),1428,""),""),""))</f>
        <v/>
      </c>
      <c r="K1429">
        <f>IF('MIDWEEK DASHBOARD'!$B$4="Area",IF(1428&lt;=$N$3,IF(AND(OR('MIDWEEK DASHBOARD'!$C$4="",ISNUMBER(SEARCH('MIDWEEK DASHBOARD'!$C$4,INDEX(MASTER_AREAS!$B:$B,1429))))),1428,""),""),IF('MIDWEEK DASHBOARD'!$B$4="Zone",IF(1428&lt;=$N$4,IF(OR('MIDWEEK DASHBOARD'!$C$4="",ISNUMBER(SEARCH('MIDWEEK DASHBOARD'!$C$4,INDEX(MASTER_ZONES!$B:$B,1429)))),1428,""),""),""))</f>
        <v/>
      </c>
      <c r="P1429">
        <f>IF('CHOP DASHBOARD'!$B$4="Area",IF(1428&lt;=$S$3,IF(AND(OR('CHOP DASHBOARD'!$C$4="",ISNUMBER(SEARCH('CHOP DASHBOARD'!$C$4,INDEX(MASTER_AREAS!$B:$B,1429))))),1428,""),""),IF('CHOP DASHBOARD'!$B$4="Zone",IF(1428&lt;=$S$4,IF(OR('CHOP DASHBOARD'!$C$4="",ISNUMBER(SEARCH('CHOP DASHBOARD'!$C$4,INDEX(MASTER_ZONES!$B:$B,1429)))),1428,""),""),""))</f>
        <v/>
      </c>
      <c r="U1429">
        <f>IF('COMMUNITY CHURCH DASHBOARD'!$B$4="Area",IF(1428&lt;=$X$3,IF(AND(OR('COMMUNITY CHURCH DASHBOARD'!$C$4="",ISNUMBER(SEARCH('COMMUNITY CHURCH DASHBOARD'!$C$4,INDEX(MASTER_AREAS!$B:$B,1429))))),1428,""),""),IF('COMMUNITY CHURCH DASHBOARD'!$B$4="Zone",IF(1428&lt;=$X$4,IF(OR('COMMUNITY CHURCH DASHBOARD'!$C$4="",ISNUMBER(SEARCH('COMMUNITY CHURCH DASHBOARD'!$C$4,INDEX(MASTER_ZONES!$B:$B,1429)))),1428,""),""),""))</f>
        <v/>
      </c>
    </row>
    <row r="1430">
      <c r="A1430">
        <f>IF('WSF DASHBOARD'!$B$4="Area",IF(1429&lt;=$D$3,IF(AND(OR('WSF DASHBOARD'!$C$4="",ISNUMBER(SEARCH('WSF DASHBOARD'!$C$4,INDEX(MASTER_AREAS!$B:$B,1430))))),1429,""),""),IF('WSF DASHBOARD'!$B$4="Zone",IF(1429&lt;=$D$4,IF(OR('WSF DASHBOARD'!$C$4="",ISNUMBER(SEARCH('WSF DASHBOARD'!$C$4,INDEX(MASTER_ZONES!$B:$B,1430)))),1429,""),""),""))</f>
        <v/>
      </c>
      <c r="F1430">
        <f>IF('TRANSPORT DASHBOARD'!$B$4="Area",IF(1429&lt;=$I$3,IF(AND(INDEX(MASTER_AREAS!$F:$F,1430)&lt;&gt;"N",OR('TRANSPORT DASHBOARD'!$C$4="",ISNUMBER(SEARCH('TRANSPORT DASHBOARD'!$C$4,INDEX(MASTER_AREAS!$B:$B,1430))))),1429,""),""),IF('TRANSPORT DASHBOARD'!$B$4="Zone",IF(1429&lt;=$I$4,IF(OR('TRANSPORT DASHBOARD'!$C$4="",ISNUMBER(SEARCH('TRANSPORT DASHBOARD'!$C$4,INDEX(MASTER_ZONES!$B:$B,1430)))),1429,""),""),""))</f>
        <v/>
      </c>
      <c r="K1430">
        <f>IF('MIDWEEK DASHBOARD'!$B$4="Area",IF(1429&lt;=$N$3,IF(AND(OR('MIDWEEK DASHBOARD'!$C$4="",ISNUMBER(SEARCH('MIDWEEK DASHBOARD'!$C$4,INDEX(MASTER_AREAS!$B:$B,1430))))),1429,""),""),IF('MIDWEEK DASHBOARD'!$B$4="Zone",IF(1429&lt;=$N$4,IF(OR('MIDWEEK DASHBOARD'!$C$4="",ISNUMBER(SEARCH('MIDWEEK DASHBOARD'!$C$4,INDEX(MASTER_ZONES!$B:$B,1430)))),1429,""),""),""))</f>
        <v/>
      </c>
      <c r="P1430">
        <f>IF('CHOP DASHBOARD'!$B$4="Area",IF(1429&lt;=$S$3,IF(AND(OR('CHOP DASHBOARD'!$C$4="",ISNUMBER(SEARCH('CHOP DASHBOARD'!$C$4,INDEX(MASTER_AREAS!$B:$B,1430))))),1429,""),""),IF('CHOP DASHBOARD'!$B$4="Zone",IF(1429&lt;=$S$4,IF(OR('CHOP DASHBOARD'!$C$4="",ISNUMBER(SEARCH('CHOP DASHBOARD'!$C$4,INDEX(MASTER_ZONES!$B:$B,1430)))),1429,""),""),""))</f>
        <v/>
      </c>
      <c r="U1430">
        <f>IF('COMMUNITY CHURCH DASHBOARD'!$B$4="Area",IF(1429&lt;=$X$3,IF(AND(OR('COMMUNITY CHURCH DASHBOARD'!$C$4="",ISNUMBER(SEARCH('COMMUNITY CHURCH DASHBOARD'!$C$4,INDEX(MASTER_AREAS!$B:$B,1430))))),1429,""),""),IF('COMMUNITY CHURCH DASHBOARD'!$B$4="Zone",IF(1429&lt;=$X$4,IF(OR('COMMUNITY CHURCH DASHBOARD'!$C$4="",ISNUMBER(SEARCH('COMMUNITY CHURCH DASHBOARD'!$C$4,INDEX(MASTER_ZONES!$B:$B,1430)))),1429,""),""),""))</f>
        <v/>
      </c>
    </row>
    <row r="1431">
      <c r="A1431">
        <f>IF('WSF DASHBOARD'!$B$4="Area",IF(1430&lt;=$D$3,IF(AND(OR('WSF DASHBOARD'!$C$4="",ISNUMBER(SEARCH('WSF DASHBOARD'!$C$4,INDEX(MASTER_AREAS!$B:$B,1431))))),1430,""),""),IF('WSF DASHBOARD'!$B$4="Zone",IF(1430&lt;=$D$4,IF(OR('WSF DASHBOARD'!$C$4="",ISNUMBER(SEARCH('WSF DASHBOARD'!$C$4,INDEX(MASTER_ZONES!$B:$B,1431)))),1430,""),""),""))</f>
        <v/>
      </c>
      <c r="F1431">
        <f>IF('TRANSPORT DASHBOARD'!$B$4="Area",IF(1430&lt;=$I$3,IF(AND(INDEX(MASTER_AREAS!$F:$F,1431)&lt;&gt;"N",OR('TRANSPORT DASHBOARD'!$C$4="",ISNUMBER(SEARCH('TRANSPORT DASHBOARD'!$C$4,INDEX(MASTER_AREAS!$B:$B,1431))))),1430,""),""),IF('TRANSPORT DASHBOARD'!$B$4="Zone",IF(1430&lt;=$I$4,IF(OR('TRANSPORT DASHBOARD'!$C$4="",ISNUMBER(SEARCH('TRANSPORT DASHBOARD'!$C$4,INDEX(MASTER_ZONES!$B:$B,1431)))),1430,""),""),""))</f>
        <v/>
      </c>
      <c r="K1431">
        <f>IF('MIDWEEK DASHBOARD'!$B$4="Area",IF(1430&lt;=$N$3,IF(AND(OR('MIDWEEK DASHBOARD'!$C$4="",ISNUMBER(SEARCH('MIDWEEK DASHBOARD'!$C$4,INDEX(MASTER_AREAS!$B:$B,1431))))),1430,""),""),IF('MIDWEEK DASHBOARD'!$B$4="Zone",IF(1430&lt;=$N$4,IF(OR('MIDWEEK DASHBOARD'!$C$4="",ISNUMBER(SEARCH('MIDWEEK DASHBOARD'!$C$4,INDEX(MASTER_ZONES!$B:$B,1431)))),1430,""),""),""))</f>
        <v/>
      </c>
      <c r="P1431">
        <f>IF('CHOP DASHBOARD'!$B$4="Area",IF(1430&lt;=$S$3,IF(AND(OR('CHOP DASHBOARD'!$C$4="",ISNUMBER(SEARCH('CHOP DASHBOARD'!$C$4,INDEX(MASTER_AREAS!$B:$B,1431))))),1430,""),""),IF('CHOP DASHBOARD'!$B$4="Zone",IF(1430&lt;=$S$4,IF(OR('CHOP DASHBOARD'!$C$4="",ISNUMBER(SEARCH('CHOP DASHBOARD'!$C$4,INDEX(MASTER_ZONES!$B:$B,1431)))),1430,""),""),""))</f>
        <v/>
      </c>
      <c r="U1431">
        <f>IF('COMMUNITY CHURCH DASHBOARD'!$B$4="Area",IF(1430&lt;=$X$3,IF(AND(OR('COMMUNITY CHURCH DASHBOARD'!$C$4="",ISNUMBER(SEARCH('COMMUNITY CHURCH DASHBOARD'!$C$4,INDEX(MASTER_AREAS!$B:$B,1431))))),1430,""),""),IF('COMMUNITY CHURCH DASHBOARD'!$B$4="Zone",IF(1430&lt;=$X$4,IF(OR('COMMUNITY CHURCH DASHBOARD'!$C$4="",ISNUMBER(SEARCH('COMMUNITY CHURCH DASHBOARD'!$C$4,INDEX(MASTER_ZONES!$B:$B,1431)))),1430,""),""),""))</f>
        <v/>
      </c>
    </row>
    <row r="1432">
      <c r="A1432">
        <f>IF('WSF DASHBOARD'!$B$4="Area",IF(1431&lt;=$D$3,IF(AND(OR('WSF DASHBOARD'!$C$4="",ISNUMBER(SEARCH('WSF DASHBOARD'!$C$4,INDEX(MASTER_AREAS!$B:$B,1432))))),1431,""),""),IF('WSF DASHBOARD'!$B$4="Zone",IF(1431&lt;=$D$4,IF(OR('WSF DASHBOARD'!$C$4="",ISNUMBER(SEARCH('WSF DASHBOARD'!$C$4,INDEX(MASTER_ZONES!$B:$B,1432)))),1431,""),""),""))</f>
        <v/>
      </c>
      <c r="F1432">
        <f>IF('TRANSPORT DASHBOARD'!$B$4="Area",IF(1431&lt;=$I$3,IF(AND(INDEX(MASTER_AREAS!$F:$F,1432)&lt;&gt;"N",OR('TRANSPORT DASHBOARD'!$C$4="",ISNUMBER(SEARCH('TRANSPORT DASHBOARD'!$C$4,INDEX(MASTER_AREAS!$B:$B,1432))))),1431,""),""),IF('TRANSPORT DASHBOARD'!$B$4="Zone",IF(1431&lt;=$I$4,IF(OR('TRANSPORT DASHBOARD'!$C$4="",ISNUMBER(SEARCH('TRANSPORT DASHBOARD'!$C$4,INDEX(MASTER_ZONES!$B:$B,1432)))),1431,""),""),""))</f>
        <v/>
      </c>
      <c r="K1432">
        <f>IF('MIDWEEK DASHBOARD'!$B$4="Area",IF(1431&lt;=$N$3,IF(AND(OR('MIDWEEK DASHBOARD'!$C$4="",ISNUMBER(SEARCH('MIDWEEK DASHBOARD'!$C$4,INDEX(MASTER_AREAS!$B:$B,1432))))),1431,""),""),IF('MIDWEEK DASHBOARD'!$B$4="Zone",IF(1431&lt;=$N$4,IF(OR('MIDWEEK DASHBOARD'!$C$4="",ISNUMBER(SEARCH('MIDWEEK DASHBOARD'!$C$4,INDEX(MASTER_ZONES!$B:$B,1432)))),1431,""),""),""))</f>
        <v/>
      </c>
      <c r="P1432">
        <f>IF('CHOP DASHBOARD'!$B$4="Area",IF(1431&lt;=$S$3,IF(AND(OR('CHOP DASHBOARD'!$C$4="",ISNUMBER(SEARCH('CHOP DASHBOARD'!$C$4,INDEX(MASTER_AREAS!$B:$B,1432))))),1431,""),""),IF('CHOP DASHBOARD'!$B$4="Zone",IF(1431&lt;=$S$4,IF(OR('CHOP DASHBOARD'!$C$4="",ISNUMBER(SEARCH('CHOP DASHBOARD'!$C$4,INDEX(MASTER_ZONES!$B:$B,1432)))),1431,""),""),""))</f>
        <v/>
      </c>
      <c r="U1432">
        <f>IF('COMMUNITY CHURCH DASHBOARD'!$B$4="Area",IF(1431&lt;=$X$3,IF(AND(OR('COMMUNITY CHURCH DASHBOARD'!$C$4="",ISNUMBER(SEARCH('COMMUNITY CHURCH DASHBOARD'!$C$4,INDEX(MASTER_AREAS!$B:$B,1432))))),1431,""),""),IF('COMMUNITY CHURCH DASHBOARD'!$B$4="Zone",IF(1431&lt;=$X$4,IF(OR('COMMUNITY CHURCH DASHBOARD'!$C$4="",ISNUMBER(SEARCH('COMMUNITY CHURCH DASHBOARD'!$C$4,INDEX(MASTER_ZONES!$B:$B,1432)))),1431,""),""),""))</f>
        <v/>
      </c>
    </row>
    <row r="1433">
      <c r="A1433">
        <f>IF('WSF DASHBOARD'!$B$4="Area",IF(1432&lt;=$D$3,IF(AND(OR('WSF DASHBOARD'!$C$4="",ISNUMBER(SEARCH('WSF DASHBOARD'!$C$4,INDEX(MASTER_AREAS!$B:$B,1433))))),1432,""),""),IF('WSF DASHBOARD'!$B$4="Zone",IF(1432&lt;=$D$4,IF(OR('WSF DASHBOARD'!$C$4="",ISNUMBER(SEARCH('WSF DASHBOARD'!$C$4,INDEX(MASTER_ZONES!$B:$B,1433)))),1432,""),""),""))</f>
        <v/>
      </c>
      <c r="F1433">
        <f>IF('TRANSPORT DASHBOARD'!$B$4="Area",IF(1432&lt;=$I$3,IF(AND(INDEX(MASTER_AREAS!$F:$F,1433)&lt;&gt;"N",OR('TRANSPORT DASHBOARD'!$C$4="",ISNUMBER(SEARCH('TRANSPORT DASHBOARD'!$C$4,INDEX(MASTER_AREAS!$B:$B,1433))))),1432,""),""),IF('TRANSPORT DASHBOARD'!$B$4="Zone",IF(1432&lt;=$I$4,IF(OR('TRANSPORT DASHBOARD'!$C$4="",ISNUMBER(SEARCH('TRANSPORT DASHBOARD'!$C$4,INDEX(MASTER_ZONES!$B:$B,1433)))),1432,""),""),""))</f>
        <v/>
      </c>
      <c r="K1433">
        <f>IF('MIDWEEK DASHBOARD'!$B$4="Area",IF(1432&lt;=$N$3,IF(AND(OR('MIDWEEK DASHBOARD'!$C$4="",ISNUMBER(SEARCH('MIDWEEK DASHBOARD'!$C$4,INDEX(MASTER_AREAS!$B:$B,1433))))),1432,""),""),IF('MIDWEEK DASHBOARD'!$B$4="Zone",IF(1432&lt;=$N$4,IF(OR('MIDWEEK DASHBOARD'!$C$4="",ISNUMBER(SEARCH('MIDWEEK DASHBOARD'!$C$4,INDEX(MASTER_ZONES!$B:$B,1433)))),1432,""),""),""))</f>
        <v/>
      </c>
      <c r="P1433">
        <f>IF('CHOP DASHBOARD'!$B$4="Area",IF(1432&lt;=$S$3,IF(AND(OR('CHOP DASHBOARD'!$C$4="",ISNUMBER(SEARCH('CHOP DASHBOARD'!$C$4,INDEX(MASTER_AREAS!$B:$B,1433))))),1432,""),""),IF('CHOP DASHBOARD'!$B$4="Zone",IF(1432&lt;=$S$4,IF(OR('CHOP DASHBOARD'!$C$4="",ISNUMBER(SEARCH('CHOP DASHBOARD'!$C$4,INDEX(MASTER_ZONES!$B:$B,1433)))),1432,""),""),""))</f>
        <v/>
      </c>
      <c r="U1433">
        <f>IF('COMMUNITY CHURCH DASHBOARD'!$B$4="Area",IF(1432&lt;=$X$3,IF(AND(OR('COMMUNITY CHURCH DASHBOARD'!$C$4="",ISNUMBER(SEARCH('COMMUNITY CHURCH DASHBOARD'!$C$4,INDEX(MASTER_AREAS!$B:$B,1433))))),1432,""),""),IF('COMMUNITY CHURCH DASHBOARD'!$B$4="Zone",IF(1432&lt;=$X$4,IF(OR('COMMUNITY CHURCH DASHBOARD'!$C$4="",ISNUMBER(SEARCH('COMMUNITY CHURCH DASHBOARD'!$C$4,INDEX(MASTER_ZONES!$B:$B,1433)))),1432,""),""),""))</f>
        <v/>
      </c>
    </row>
    <row r="1434">
      <c r="A1434">
        <f>IF('WSF DASHBOARD'!$B$4="Area",IF(1433&lt;=$D$3,IF(AND(OR('WSF DASHBOARD'!$C$4="",ISNUMBER(SEARCH('WSF DASHBOARD'!$C$4,INDEX(MASTER_AREAS!$B:$B,1434))))),1433,""),""),IF('WSF DASHBOARD'!$B$4="Zone",IF(1433&lt;=$D$4,IF(OR('WSF DASHBOARD'!$C$4="",ISNUMBER(SEARCH('WSF DASHBOARD'!$C$4,INDEX(MASTER_ZONES!$B:$B,1434)))),1433,""),""),""))</f>
        <v/>
      </c>
      <c r="F1434">
        <f>IF('TRANSPORT DASHBOARD'!$B$4="Area",IF(1433&lt;=$I$3,IF(AND(INDEX(MASTER_AREAS!$F:$F,1434)&lt;&gt;"N",OR('TRANSPORT DASHBOARD'!$C$4="",ISNUMBER(SEARCH('TRANSPORT DASHBOARD'!$C$4,INDEX(MASTER_AREAS!$B:$B,1434))))),1433,""),""),IF('TRANSPORT DASHBOARD'!$B$4="Zone",IF(1433&lt;=$I$4,IF(OR('TRANSPORT DASHBOARD'!$C$4="",ISNUMBER(SEARCH('TRANSPORT DASHBOARD'!$C$4,INDEX(MASTER_ZONES!$B:$B,1434)))),1433,""),""),""))</f>
        <v/>
      </c>
      <c r="K1434">
        <f>IF('MIDWEEK DASHBOARD'!$B$4="Area",IF(1433&lt;=$N$3,IF(AND(OR('MIDWEEK DASHBOARD'!$C$4="",ISNUMBER(SEARCH('MIDWEEK DASHBOARD'!$C$4,INDEX(MASTER_AREAS!$B:$B,1434))))),1433,""),""),IF('MIDWEEK DASHBOARD'!$B$4="Zone",IF(1433&lt;=$N$4,IF(OR('MIDWEEK DASHBOARD'!$C$4="",ISNUMBER(SEARCH('MIDWEEK DASHBOARD'!$C$4,INDEX(MASTER_ZONES!$B:$B,1434)))),1433,""),""),""))</f>
        <v/>
      </c>
      <c r="P1434">
        <f>IF('CHOP DASHBOARD'!$B$4="Area",IF(1433&lt;=$S$3,IF(AND(OR('CHOP DASHBOARD'!$C$4="",ISNUMBER(SEARCH('CHOP DASHBOARD'!$C$4,INDEX(MASTER_AREAS!$B:$B,1434))))),1433,""),""),IF('CHOP DASHBOARD'!$B$4="Zone",IF(1433&lt;=$S$4,IF(OR('CHOP DASHBOARD'!$C$4="",ISNUMBER(SEARCH('CHOP DASHBOARD'!$C$4,INDEX(MASTER_ZONES!$B:$B,1434)))),1433,""),""),""))</f>
        <v/>
      </c>
      <c r="U1434">
        <f>IF('COMMUNITY CHURCH DASHBOARD'!$B$4="Area",IF(1433&lt;=$X$3,IF(AND(OR('COMMUNITY CHURCH DASHBOARD'!$C$4="",ISNUMBER(SEARCH('COMMUNITY CHURCH DASHBOARD'!$C$4,INDEX(MASTER_AREAS!$B:$B,1434))))),1433,""),""),IF('COMMUNITY CHURCH DASHBOARD'!$B$4="Zone",IF(1433&lt;=$X$4,IF(OR('COMMUNITY CHURCH DASHBOARD'!$C$4="",ISNUMBER(SEARCH('COMMUNITY CHURCH DASHBOARD'!$C$4,INDEX(MASTER_ZONES!$B:$B,1434)))),1433,""),""),""))</f>
        <v/>
      </c>
    </row>
    <row r="1435">
      <c r="A1435">
        <f>IF('WSF DASHBOARD'!$B$4="Area",IF(1434&lt;=$D$3,IF(AND(OR('WSF DASHBOARD'!$C$4="",ISNUMBER(SEARCH('WSF DASHBOARD'!$C$4,INDEX(MASTER_AREAS!$B:$B,1435))))),1434,""),""),IF('WSF DASHBOARD'!$B$4="Zone",IF(1434&lt;=$D$4,IF(OR('WSF DASHBOARD'!$C$4="",ISNUMBER(SEARCH('WSF DASHBOARD'!$C$4,INDEX(MASTER_ZONES!$B:$B,1435)))),1434,""),""),""))</f>
        <v/>
      </c>
      <c r="F1435">
        <f>IF('TRANSPORT DASHBOARD'!$B$4="Area",IF(1434&lt;=$I$3,IF(AND(INDEX(MASTER_AREAS!$F:$F,1435)&lt;&gt;"N",OR('TRANSPORT DASHBOARD'!$C$4="",ISNUMBER(SEARCH('TRANSPORT DASHBOARD'!$C$4,INDEX(MASTER_AREAS!$B:$B,1435))))),1434,""),""),IF('TRANSPORT DASHBOARD'!$B$4="Zone",IF(1434&lt;=$I$4,IF(OR('TRANSPORT DASHBOARD'!$C$4="",ISNUMBER(SEARCH('TRANSPORT DASHBOARD'!$C$4,INDEX(MASTER_ZONES!$B:$B,1435)))),1434,""),""),""))</f>
        <v/>
      </c>
      <c r="K1435">
        <f>IF('MIDWEEK DASHBOARD'!$B$4="Area",IF(1434&lt;=$N$3,IF(AND(OR('MIDWEEK DASHBOARD'!$C$4="",ISNUMBER(SEARCH('MIDWEEK DASHBOARD'!$C$4,INDEX(MASTER_AREAS!$B:$B,1435))))),1434,""),""),IF('MIDWEEK DASHBOARD'!$B$4="Zone",IF(1434&lt;=$N$4,IF(OR('MIDWEEK DASHBOARD'!$C$4="",ISNUMBER(SEARCH('MIDWEEK DASHBOARD'!$C$4,INDEX(MASTER_ZONES!$B:$B,1435)))),1434,""),""),""))</f>
        <v/>
      </c>
      <c r="P1435">
        <f>IF('CHOP DASHBOARD'!$B$4="Area",IF(1434&lt;=$S$3,IF(AND(OR('CHOP DASHBOARD'!$C$4="",ISNUMBER(SEARCH('CHOP DASHBOARD'!$C$4,INDEX(MASTER_AREAS!$B:$B,1435))))),1434,""),""),IF('CHOP DASHBOARD'!$B$4="Zone",IF(1434&lt;=$S$4,IF(OR('CHOP DASHBOARD'!$C$4="",ISNUMBER(SEARCH('CHOP DASHBOARD'!$C$4,INDEX(MASTER_ZONES!$B:$B,1435)))),1434,""),""),""))</f>
        <v/>
      </c>
      <c r="U1435">
        <f>IF('COMMUNITY CHURCH DASHBOARD'!$B$4="Area",IF(1434&lt;=$X$3,IF(AND(OR('COMMUNITY CHURCH DASHBOARD'!$C$4="",ISNUMBER(SEARCH('COMMUNITY CHURCH DASHBOARD'!$C$4,INDEX(MASTER_AREAS!$B:$B,1435))))),1434,""),""),IF('COMMUNITY CHURCH DASHBOARD'!$B$4="Zone",IF(1434&lt;=$X$4,IF(OR('COMMUNITY CHURCH DASHBOARD'!$C$4="",ISNUMBER(SEARCH('COMMUNITY CHURCH DASHBOARD'!$C$4,INDEX(MASTER_ZONES!$B:$B,1435)))),1434,""),""),""))</f>
        <v/>
      </c>
    </row>
    <row r="1436">
      <c r="A1436">
        <f>IF('WSF DASHBOARD'!$B$4="Area",IF(1435&lt;=$D$3,IF(AND(OR('WSF DASHBOARD'!$C$4="",ISNUMBER(SEARCH('WSF DASHBOARD'!$C$4,INDEX(MASTER_AREAS!$B:$B,1436))))),1435,""),""),IF('WSF DASHBOARD'!$B$4="Zone",IF(1435&lt;=$D$4,IF(OR('WSF DASHBOARD'!$C$4="",ISNUMBER(SEARCH('WSF DASHBOARD'!$C$4,INDEX(MASTER_ZONES!$B:$B,1436)))),1435,""),""),""))</f>
        <v/>
      </c>
      <c r="F1436">
        <f>IF('TRANSPORT DASHBOARD'!$B$4="Area",IF(1435&lt;=$I$3,IF(AND(INDEX(MASTER_AREAS!$F:$F,1436)&lt;&gt;"N",OR('TRANSPORT DASHBOARD'!$C$4="",ISNUMBER(SEARCH('TRANSPORT DASHBOARD'!$C$4,INDEX(MASTER_AREAS!$B:$B,1436))))),1435,""),""),IF('TRANSPORT DASHBOARD'!$B$4="Zone",IF(1435&lt;=$I$4,IF(OR('TRANSPORT DASHBOARD'!$C$4="",ISNUMBER(SEARCH('TRANSPORT DASHBOARD'!$C$4,INDEX(MASTER_ZONES!$B:$B,1436)))),1435,""),""),""))</f>
        <v/>
      </c>
      <c r="K1436">
        <f>IF('MIDWEEK DASHBOARD'!$B$4="Area",IF(1435&lt;=$N$3,IF(AND(OR('MIDWEEK DASHBOARD'!$C$4="",ISNUMBER(SEARCH('MIDWEEK DASHBOARD'!$C$4,INDEX(MASTER_AREAS!$B:$B,1436))))),1435,""),""),IF('MIDWEEK DASHBOARD'!$B$4="Zone",IF(1435&lt;=$N$4,IF(OR('MIDWEEK DASHBOARD'!$C$4="",ISNUMBER(SEARCH('MIDWEEK DASHBOARD'!$C$4,INDEX(MASTER_ZONES!$B:$B,1436)))),1435,""),""),""))</f>
        <v/>
      </c>
      <c r="P1436">
        <f>IF('CHOP DASHBOARD'!$B$4="Area",IF(1435&lt;=$S$3,IF(AND(OR('CHOP DASHBOARD'!$C$4="",ISNUMBER(SEARCH('CHOP DASHBOARD'!$C$4,INDEX(MASTER_AREAS!$B:$B,1436))))),1435,""),""),IF('CHOP DASHBOARD'!$B$4="Zone",IF(1435&lt;=$S$4,IF(OR('CHOP DASHBOARD'!$C$4="",ISNUMBER(SEARCH('CHOP DASHBOARD'!$C$4,INDEX(MASTER_ZONES!$B:$B,1436)))),1435,""),""),""))</f>
        <v/>
      </c>
      <c r="U1436">
        <f>IF('COMMUNITY CHURCH DASHBOARD'!$B$4="Area",IF(1435&lt;=$X$3,IF(AND(OR('COMMUNITY CHURCH DASHBOARD'!$C$4="",ISNUMBER(SEARCH('COMMUNITY CHURCH DASHBOARD'!$C$4,INDEX(MASTER_AREAS!$B:$B,1436))))),1435,""),""),IF('COMMUNITY CHURCH DASHBOARD'!$B$4="Zone",IF(1435&lt;=$X$4,IF(OR('COMMUNITY CHURCH DASHBOARD'!$C$4="",ISNUMBER(SEARCH('COMMUNITY CHURCH DASHBOARD'!$C$4,INDEX(MASTER_ZONES!$B:$B,1436)))),1435,""),""),""))</f>
        <v/>
      </c>
    </row>
    <row r="1437">
      <c r="A1437">
        <f>IF('WSF DASHBOARD'!$B$4="Area",IF(1436&lt;=$D$3,IF(AND(OR('WSF DASHBOARD'!$C$4="",ISNUMBER(SEARCH('WSF DASHBOARD'!$C$4,INDEX(MASTER_AREAS!$B:$B,1437))))),1436,""),""),IF('WSF DASHBOARD'!$B$4="Zone",IF(1436&lt;=$D$4,IF(OR('WSF DASHBOARD'!$C$4="",ISNUMBER(SEARCH('WSF DASHBOARD'!$C$4,INDEX(MASTER_ZONES!$B:$B,1437)))),1436,""),""),""))</f>
        <v/>
      </c>
      <c r="F1437">
        <f>IF('TRANSPORT DASHBOARD'!$B$4="Area",IF(1436&lt;=$I$3,IF(AND(INDEX(MASTER_AREAS!$F:$F,1437)&lt;&gt;"N",OR('TRANSPORT DASHBOARD'!$C$4="",ISNUMBER(SEARCH('TRANSPORT DASHBOARD'!$C$4,INDEX(MASTER_AREAS!$B:$B,1437))))),1436,""),""),IF('TRANSPORT DASHBOARD'!$B$4="Zone",IF(1436&lt;=$I$4,IF(OR('TRANSPORT DASHBOARD'!$C$4="",ISNUMBER(SEARCH('TRANSPORT DASHBOARD'!$C$4,INDEX(MASTER_ZONES!$B:$B,1437)))),1436,""),""),""))</f>
        <v/>
      </c>
      <c r="K1437">
        <f>IF('MIDWEEK DASHBOARD'!$B$4="Area",IF(1436&lt;=$N$3,IF(AND(OR('MIDWEEK DASHBOARD'!$C$4="",ISNUMBER(SEARCH('MIDWEEK DASHBOARD'!$C$4,INDEX(MASTER_AREAS!$B:$B,1437))))),1436,""),""),IF('MIDWEEK DASHBOARD'!$B$4="Zone",IF(1436&lt;=$N$4,IF(OR('MIDWEEK DASHBOARD'!$C$4="",ISNUMBER(SEARCH('MIDWEEK DASHBOARD'!$C$4,INDEX(MASTER_ZONES!$B:$B,1437)))),1436,""),""),""))</f>
        <v/>
      </c>
      <c r="P1437">
        <f>IF('CHOP DASHBOARD'!$B$4="Area",IF(1436&lt;=$S$3,IF(AND(OR('CHOP DASHBOARD'!$C$4="",ISNUMBER(SEARCH('CHOP DASHBOARD'!$C$4,INDEX(MASTER_AREAS!$B:$B,1437))))),1436,""),""),IF('CHOP DASHBOARD'!$B$4="Zone",IF(1436&lt;=$S$4,IF(OR('CHOP DASHBOARD'!$C$4="",ISNUMBER(SEARCH('CHOP DASHBOARD'!$C$4,INDEX(MASTER_ZONES!$B:$B,1437)))),1436,""),""),""))</f>
        <v/>
      </c>
      <c r="U1437">
        <f>IF('COMMUNITY CHURCH DASHBOARD'!$B$4="Area",IF(1436&lt;=$X$3,IF(AND(OR('COMMUNITY CHURCH DASHBOARD'!$C$4="",ISNUMBER(SEARCH('COMMUNITY CHURCH DASHBOARD'!$C$4,INDEX(MASTER_AREAS!$B:$B,1437))))),1436,""),""),IF('COMMUNITY CHURCH DASHBOARD'!$B$4="Zone",IF(1436&lt;=$X$4,IF(OR('COMMUNITY CHURCH DASHBOARD'!$C$4="",ISNUMBER(SEARCH('COMMUNITY CHURCH DASHBOARD'!$C$4,INDEX(MASTER_ZONES!$B:$B,1437)))),1436,""),""),""))</f>
        <v/>
      </c>
    </row>
    <row r="1438">
      <c r="A1438">
        <f>IF('WSF DASHBOARD'!$B$4="Area",IF(1437&lt;=$D$3,IF(AND(OR('WSF DASHBOARD'!$C$4="",ISNUMBER(SEARCH('WSF DASHBOARD'!$C$4,INDEX(MASTER_AREAS!$B:$B,1438))))),1437,""),""),IF('WSF DASHBOARD'!$B$4="Zone",IF(1437&lt;=$D$4,IF(OR('WSF DASHBOARD'!$C$4="",ISNUMBER(SEARCH('WSF DASHBOARD'!$C$4,INDEX(MASTER_ZONES!$B:$B,1438)))),1437,""),""),""))</f>
        <v/>
      </c>
      <c r="F1438">
        <f>IF('TRANSPORT DASHBOARD'!$B$4="Area",IF(1437&lt;=$I$3,IF(AND(INDEX(MASTER_AREAS!$F:$F,1438)&lt;&gt;"N",OR('TRANSPORT DASHBOARD'!$C$4="",ISNUMBER(SEARCH('TRANSPORT DASHBOARD'!$C$4,INDEX(MASTER_AREAS!$B:$B,1438))))),1437,""),""),IF('TRANSPORT DASHBOARD'!$B$4="Zone",IF(1437&lt;=$I$4,IF(OR('TRANSPORT DASHBOARD'!$C$4="",ISNUMBER(SEARCH('TRANSPORT DASHBOARD'!$C$4,INDEX(MASTER_ZONES!$B:$B,1438)))),1437,""),""),""))</f>
        <v/>
      </c>
      <c r="K1438">
        <f>IF('MIDWEEK DASHBOARD'!$B$4="Area",IF(1437&lt;=$N$3,IF(AND(OR('MIDWEEK DASHBOARD'!$C$4="",ISNUMBER(SEARCH('MIDWEEK DASHBOARD'!$C$4,INDEX(MASTER_AREAS!$B:$B,1438))))),1437,""),""),IF('MIDWEEK DASHBOARD'!$B$4="Zone",IF(1437&lt;=$N$4,IF(OR('MIDWEEK DASHBOARD'!$C$4="",ISNUMBER(SEARCH('MIDWEEK DASHBOARD'!$C$4,INDEX(MASTER_ZONES!$B:$B,1438)))),1437,""),""),""))</f>
        <v/>
      </c>
      <c r="P1438">
        <f>IF('CHOP DASHBOARD'!$B$4="Area",IF(1437&lt;=$S$3,IF(AND(OR('CHOP DASHBOARD'!$C$4="",ISNUMBER(SEARCH('CHOP DASHBOARD'!$C$4,INDEX(MASTER_AREAS!$B:$B,1438))))),1437,""),""),IF('CHOP DASHBOARD'!$B$4="Zone",IF(1437&lt;=$S$4,IF(OR('CHOP DASHBOARD'!$C$4="",ISNUMBER(SEARCH('CHOP DASHBOARD'!$C$4,INDEX(MASTER_ZONES!$B:$B,1438)))),1437,""),""),""))</f>
        <v/>
      </c>
      <c r="U1438">
        <f>IF('COMMUNITY CHURCH DASHBOARD'!$B$4="Area",IF(1437&lt;=$X$3,IF(AND(OR('COMMUNITY CHURCH DASHBOARD'!$C$4="",ISNUMBER(SEARCH('COMMUNITY CHURCH DASHBOARD'!$C$4,INDEX(MASTER_AREAS!$B:$B,1438))))),1437,""),""),IF('COMMUNITY CHURCH DASHBOARD'!$B$4="Zone",IF(1437&lt;=$X$4,IF(OR('COMMUNITY CHURCH DASHBOARD'!$C$4="",ISNUMBER(SEARCH('COMMUNITY CHURCH DASHBOARD'!$C$4,INDEX(MASTER_ZONES!$B:$B,1438)))),1437,""),""),""))</f>
        <v/>
      </c>
    </row>
    <row r="1439">
      <c r="A1439">
        <f>IF('WSF DASHBOARD'!$B$4="Area",IF(1438&lt;=$D$3,IF(AND(OR('WSF DASHBOARD'!$C$4="",ISNUMBER(SEARCH('WSF DASHBOARD'!$C$4,INDEX(MASTER_AREAS!$B:$B,1439))))),1438,""),""),IF('WSF DASHBOARD'!$B$4="Zone",IF(1438&lt;=$D$4,IF(OR('WSF DASHBOARD'!$C$4="",ISNUMBER(SEARCH('WSF DASHBOARD'!$C$4,INDEX(MASTER_ZONES!$B:$B,1439)))),1438,""),""),""))</f>
        <v/>
      </c>
      <c r="F1439">
        <f>IF('TRANSPORT DASHBOARD'!$B$4="Area",IF(1438&lt;=$I$3,IF(AND(INDEX(MASTER_AREAS!$F:$F,1439)&lt;&gt;"N",OR('TRANSPORT DASHBOARD'!$C$4="",ISNUMBER(SEARCH('TRANSPORT DASHBOARD'!$C$4,INDEX(MASTER_AREAS!$B:$B,1439))))),1438,""),""),IF('TRANSPORT DASHBOARD'!$B$4="Zone",IF(1438&lt;=$I$4,IF(OR('TRANSPORT DASHBOARD'!$C$4="",ISNUMBER(SEARCH('TRANSPORT DASHBOARD'!$C$4,INDEX(MASTER_ZONES!$B:$B,1439)))),1438,""),""),""))</f>
        <v/>
      </c>
      <c r="K1439">
        <f>IF('MIDWEEK DASHBOARD'!$B$4="Area",IF(1438&lt;=$N$3,IF(AND(OR('MIDWEEK DASHBOARD'!$C$4="",ISNUMBER(SEARCH('MIDWEEK DASHBOARD'!$C$4,INDEX(MASTER_AREAS!$B:$B,1439))))),1438,""),""),IF('MIDWEEK DASHBOARD'!$B$4="Zone",IF(1438&lt;=$N$4,IF(OR('MIDWEEK DASHBOARD'!$C$4="",ISNUMBER(SEARCH('MIDWEEK DASHBOARD'!$C$4,INDEX(MASTER_ZONES!$B:$B,1439)))),1438,""),""),""))</f>
        <v/>
      </c>
      <c r="P1439">
        <f>IF('CHOP DASHBOARD'!$B$4="Area",IF(1438&lt;=$S$3,IF(AND(OR('CHOP DASHBOARD'!$C$4="",ISNUMBER(SEARCH('CHOP DASHBOARD'!$C$4,INDEX(MASTER_AREAS!$B:$B,1439))))),1438,""),""),IF('CHOP DASHBOARD'!$B$4="Zone",IF(1438&lt;=$S$4,IF(OR('CHOP DASHBOARD'!$C$4="",ISNUMBER(SEARCH('CHOP DASHBOARD'!$C$4,INDEX(MASTER_ZONES!$B:$B,1439)))),1438,""),""),""))</f>
        <v/>
      </c>
      <c r="U1439">
        <f>IF('COMMUNITY CHURCH DASHBOARD'!$B$4="Area",IF(1438&lt;=$X$3,IF(AND(OR('COMMUNITY CHURCH DASHBOARD'!$C$4="",ISNUMBER(SEARCH('COMMUNITY CHURCH DASHBOARD'!$C$4,INDEX(MASTER_AREAS!$B:$B,1439))))),1438,""),""),IF('COMMUNITY CHURCH DASHBOARD'!$B$4="Zone",IF(1438&lt;=$X$4,IF(OR('COMMUNITY CHURCH DASHBOARD'!$C$4="",ISNUMBER(SEARCH('COMMUNITY CHURCH DASHBOARD'!$C$4,INDEX(MASTER_ZONES!$B:$B,1439)))),1438,""),""),""))</f>
        <v/>
      </c>
    </row>
    <row r="1440">
      <c r="A1440">
        <f>IF('WSF DASHBOARD'!$B$4="Area",IF(1439&lt;=$D$3,IF(AND(OR('WSF DASHBOARD'!$C$4="",ISNUMBER(SEARCH('WSF DASHBOARD'!$C$4,INDEX(MASTER_AREAS!$B:$B,1440))))),1439,""),""),IF('WSF DASHBOARD'!$B$4="Zone",IF(1439&lt;=$D$4,IF(OR('WSF DASHBOARD'!$C$4="",ISNUMBER(SEARCH('WSF DASHBOARD'!$C$4,INDEX(MASTER_ZONES!$B:$B,1440)))),1439,""),""),""))</f>
        <v/>
      </c>
      <c r="F1440">
        <f>IF('TRANSPORT DASHBOARD'!$B$4="Area",IF(1439&lt;=$I$3,IF(AND(INDEX(MASTER_AREAS!$F:$F,1440)&lt;&gt;"N",OR('TRANSPORT DASHBOARD'!$C$4="",ISNUMBER(SEARCH('TRANSPORT DASHBOARD'!$C$4,INDEX(MASTER_AREAS!$B:$B,1440))))),1439,""),""),IF('TRANSPORT DASHBOARD'!$B$4="Zone",IF(1439&lt;=$I$4,IF(OR('TRANSPORT DASHBOARD'!$C$4="",ISNUMBER(SEARCH('TRANSPORT DASHBOARD'!$C$4,INDEX(MASTER_ZONES!$B:$B,1440)))),1439,""),""),""))</f>
        <v/>
      </c>
      <c r="K1440">
        <f>IF('MIDWEEK DASHBOARD'!$B$4="Area",IF(1439&lt;=$N$3,IF(AND(OR('MIDWEEK DASHBOARD'!$C$4="",ISNUMBER(SEARCH('MIDWEEK DASHBOARD'!$C$4,INDEX(MASTER_AREAS!$B:$B,1440))))),1439,""),""),IF('MIDWEEK DASHBOARD'!$B$4="Zone",IF(1439&lt;=$N$4,IF(OR('MIDWEEK DASHBOARD'!$C$4="",ISNUMBER(SEARCH('MIDWEEK DASHBOARD'!$C$4,INDEX(MASTER_ZONES!$B:$B,1440)))),1439,""),""),""))</f>
        <v/>
      </c>
      <c r="P1440">
        <f>IF('CHOP DASHBOARD'!$B$4="Area",IF(1439&lt;=$S$3,IF(AND(OR('CHOP DASHBOARD'!$C$4="",ISNUMBER(SEARCH('CHOP DASHBOARD'!$C$4,INDEX(MASTER_AREAS!$B:$B,1440))))),1439,""),""),IF('CHOP DASHBOARD'!$B$4="Zone",IF(1439&lt;=$S$4,IF(OR('CHOP DASHBOARD'!$C$4="",ISNUMBER(SEARCH('CHOP DASHBOARD'!$C$4,INDEX(MASTER_ZONES!$B:$B,1440)))),1439,""),""),""))</f>
        <v/>
      </c>
      <c r="U1440">
        <f>IF('COMMUNITY CHURCH DASHBOARD'!$B$4="Area",IF(1439&lt;=$X$3,IF(AND(OR('COMMUNITY CHURCH DASHBOARD'!$C$4="",ISNUMBER(SEARCH('COMMUNITY CHURCH DASHBOARD'!$C$4,INDEX(MASTER_AREAS!$B:$B,1440))))),1439,""),""),IF('COMMUNITY CHURCH DASHBOARD'!$B$4="Zone",IF(1439&lt;=$X$4,IF(OR('COMMUNITY CHURCH DASHBOARD'!$C$4="",ISNUMBER(SEARCH('COMMUNITY CHURCH DASHBOARD'!$C$4,INDEX(MASTER_ZONES!$B:$B,1440)))),1439,""),""),""))</f>
        <v/>
      </c>
    </row>
    <row r="1441">
      <c r="A1441">
        <f>IF('WSF DASHBOARD'!$B$4="Area",IF(1440&lt;=$D$3,IF(AND(OR('WSF DASHBOARD'!$C$4="",ISNUMBER(SEARCH('WSF DASHBOARD'!$C$4,INDEX(MASTER_AREAS!$B:$B,1441))))),1440,""),""),IF('WSF DASHBOARD'!$B$4="Zone",IF(1440&lt;=$D$4,IF(OR('WSF DASHBOARD'!$C$4="",ISNUMBER(SEARCH('WSF DASHBOARD'!$C$4,INDEX(MASTER_ZONES!$B:$B,1441)))),1440,""),""),""))</f>
        <v/>
      </c>
      <c r="F1441">
        <f>IF('TRANSPORT DASHBOARD'!$B$4="Area",IF(1440&lt;=$I$3,IF(AND(INDEX(MASTER_AREAS!$F:$F,1441)&lt;&gt;"N",OR('TRANSPORT DASHBOARD'!$C$4="",ISNUMBER(SEARCH('TRANSPORT DASHBOARD'!$C$4,INDEX(MASTER_AREAS!$B:$B,1441))))),1440,""),""),IF('TRANSPORT DASHBOARD'!$B$4="Zone",IF(1440&lt;=$I$4,IF(OR('TRANSPORT DASHBOARD'!$C$4="",ISNUMBER(SEARCH('TRANSPORT DASHBOARD'!$C$4,INDEX(MASTER_ZONES!$B:$B,1441)))),1440,""),""),""))</f>
        <v/>
      </c>
      <c r="K1441">
        <f>IF('MIDWEEK DASHBOARD'!$B$4="Area",IF(1440&lt;=$N$3,IF(AND(OR('MIDWEEK DASHBOARD'!$C$4="",ISNUMBER(SEARCH('MIDWEEK DASHBOARD'!$C$4,INDEX(MASTER_AREAS!$B:$B,1441))))),1440,""),""),IF('MIDWEEK DASHBOARD'!$B$4="Zone",IF(1440&lt;=$N$4,IF(OR('MIDWEEK DASHBOARD'!$C$4="",ISNUMBER(SEARCH('MIDWEEK DASHBOARD'!$C$4,INDEX(MASTER_ZONES!$B:$B,1441)))),1440,""),""),""))</f>
        <v/>
      </c>
      <c r="P1441">
        <f>IF('CHOP DASHBOARD'!$B$4="Area",IF(1440&lt;=$S$3,IF(AND(OR('CHOP DASHBOARD'!$C$4="",ISNUMBER(SEARCH('CHOP DASHBOARD'!$C$4,INDEX(MASTER_AREAS!$B:$B,1441))))),1440,""),""),IF('CHOP DASHBOARD'!$B$4="Zone",IF(1440&lt;=$S$4,IF(OR('CHOP DASHBOARD'!$C$4="",ISNUMBER(SEARCH('CHOP DASHBOARD'!$C$4,INDEX(MASTER_ZONES!$B:$B,1441)))),1440,""),""),""))</f>
        <v/>
      </c>
      <c r="U1441">
        <f>IF('COMMUNITY CHURCH DASHBOARD'!$B$4="Area",IF(1440&lt;=$X$3,IF(AND(OR('COMMUNITY CHURCH DASHBOARD'!$C$4="",ISNUMBER(SEARCH('COMMUNITY CHURCH DASHBOARD'!$C$4,INDEX(MASTER_AREAS!$B:$B,1441))))),1440,""),""),IF('COMMUNITY CHURCH DASHBOARD'!$B$4="Zone",IF(1440&lt;=$X$4,IF(OR('COMMUNITY CHURCH DASHBOARD'!$C$4="",ISNUMBER(SEARCH('COMMUNITY CHURCH DASHBOARD'!$C$4,INDEX(MASTER_ZONES!$B:$B,1441)))),1440,""),""),""))</f>
        <v/>
      </c>
    </row>
    <row r="1442">
      <c r="A1442">
        <f>IF('WSF DASHBOARD'!$B$4="Area",IF(1441&lt;=$D$3,IF(AND(OR('WSF DASHBOARD'!$C$4="",ISNUMBER(SEARCH('WSF DASHBOARD'!$C$4,INDEX(MASTER_AREAS!$B:$B,1442))))),1441,""),""),IF('WSF DASHBOARD'!$B$4="Zone",IF(1441&lt;=$D$4,IF(OR('WSF DASHBOARD'!$C$4="",ISNUMBER(SEARCH('WSF DASHBOARD'!$C$4,INDEX(MASTER_ZONES!$B:$B,1442)))),1441,""),""),""))</f>
        <v/>
      </c>
      <c r="F1442">
        <f>IF('TRANSPORT DASHBOARD'!$B$4="Area",IF(1441&lt;=$I$3,IF(AND(INDEX(MASTER_AREAS!$F:$F,1442)&lt;&gt;"N",OR('TRANSPORT DASHBOARD'!$C$4="",ISNUMBER(SEARCH('TRANSPORT DASHBOARD'!$C$4,INDEX(MASTER_AREAS!$B:$B,1442))))),1441,""),""),IF('TRANSPORT DASHBOARD'!$B$4="Zone",IF(1441&lt;=$I$4,IF(OR('TRANSPORT DASHBOARD'!$C$4="",ISNUMBER(SEARCH('TRANSPORT DASHBOARD'!$C$4,INDEX(MASTER_ZONES!$B:$B,1442)))),1441,""),""),""))</f>
        <v/>
      </c>
      <c r="K1442">
        <f>IF('MIDWEEK DASHBOARD'!$B$4="Area",IF(1441&lt;=$N$3,IF(AND(OR('MIDWEEK DASHBOARD'!$C$4="",ISNUMBER(SEARCH('MIDWEEK DASHBOARD'!$C$4,INDEX(MASTER_AREAS!$B:$B,1442))))),1441,""),""),IF('MIDWEEK DASHBOARD'!$B$4="Zone",IF(1441&lt;=$N$4,IF(OR('MIDWEEK DASHBOARD'!$C$4="",ISNUMBER(SEARCH('MIDWEEK DASHBOARD'!$C$4,INDEX(MASTER_ZONES!$B:$B,1442)))),1441,""),""),""))</f>
        <v/>
      </c>
      <c r="P1442">
        <f>IF('CHOP DASHBOARD'!$B$4="Area",IF(1441&lt;=$S$3,IF(AND(OR('CHOP DASHBOARD'!$C$4="",ISNUMBER(SEARCH('CHOP DASHBOARD'!$C$4,INDEX(MASTER_AREAS!$B:$B,1442))))),1441,""),""),IF('CHOP DASHBOARD'!$B$4="Zone",IF(1441&lt;=$S$4,IF(OR('CHOP DASHBOARD'!$C$4="",ISNUMBER(SEARCH('CHOP DASHBOARD'!$C$4,INDEX(MASTER_ZONES!$B:$B,1442)))),1441,""),""),""))</f>
        <v/>
      </c>
      <c r="U1442">
        <f>IF('COMMUNITY CHURCH DASHBOARD'!$B$4="Area",IF(1441&lt;=$X$3,IF(AND(OR('COMMUNITY CHURCH DASHBOARD'!$C$4="",ISNUMBER(SEARCH('COMMUNITY CHURCH DASHBOARD'!$C$4,INDEX(MASTER_AREAS!$B:$B,1442))))),1441,""),""),IF('COMMUNITY CHURCH DASHBOARD'!$B$4="Zone",IF(1441&lt;=$X$4,IF(OR('COMMUNITY CHURCH DASHBOARD'!$C$4="",ISNUMBER(SEARCH('COMMUNITY CHURCH DASHBOARD'!$C$4,INDEX(MASTER_ZONES!$B:$B,1442)))),1441,""),""),""))</f>
        <v/>
      </c>
    </row>
    <row r="1443">
      <c r="A1443">
        <f>IF('WSF DASHBOARD'!$B$4="Area",IF(1442&lt;=$D$3,IF(AND(OR('WSF DASHBOARD'!$C$4="",ISNUMBER(SEARCH('WSF DASHBOARD'!$C$4,INDEX(MASTER_AREAS!$B:$B,1443))))),1442,""),""),IF('WSF DASHBOARD'!$B$4="Zone",IF(1442&lt;=$D$4,IF(OR('WSF DASHBOARD'!$C$4="",ISNUMBER(SEARCH('WSF DASHBOARD'!$C$4,INDEX(MASTER_ZONES!$B:$B,1443)))),1442,""),""),""))</f>
        <v/>
      </c>
      <c r="F1443">
        <f>IF('TRANSPORT DASHBOARD'!$B$4="Area",IF(1442&lt;=$I$3,IF(AND(INDEX(MASTER_AREAS!$F:$F,1443)&lt;&gt;"N",OR('TRANSPORT DASHBOARD'!$C$4="",ISNUMBER(SEARCH('TRANSPORT DASHBOARD'!$C$4,INDEX(MASTER_AREAS!$B:$B,1443))))),1442,""),""),IF('TRANSPORT DASHBOARD'!$B$4="Zone",IF(1442&lt;=$I$4,IF(OR('TRANSPORT DASHBOARD'!$C$4="",ISNUMBER(SEARCH('TRANSPORT DASHBOARD'!$C$4,INDEX(MASTER_ZONES!$B:$B,1443)))),1442,""),""),""))</f>
        <v/>
      </c>
      <c r="K1443">
        <f>IF('MIDWEEK DASHBOARD'!$B$4="Area",IF(1442&lt;=$N$3,IF(AND(OR('MIDWEEK DASHBOARD'!$C$4="",ISNUMBER(SEARCH('MIDWEEK DASHBOARD'!$C$4,INDEX(MASTER_AREAS!$B:$B,1443))))),1442,""),""),IF('MIDWEEK DASHBOARD'!$B$4="Zone",IF(1442&lt;=$N$4,IF(OR('MIDWEEK DASHBOARD'!$C$4="",ISNUMBER(SEARCH('MIDWEEK DASHBOARD'!$C$4,INDEX(MASTER_ZONES!$B:$B,1443)))),1442,""),""),""))</f>
        <v/>
      </c>
      <c r="P1443">
        <f>IF('CHOP DASHBOARD'!$B$4="Area",IF(1442&lt;=$S$3,IF(AND(OR('CHOP DASHBOARD'!$C$4="",ISNUMBER(SEARCH('CHOP DASHBOARD'!$C$4,INDEX(MASTER_AREAS!$B:$B,1443))))),1442,""),""),IF('CHOP DASHBOARD'!$B$4="Zone",IF(1442&lt;=$S$4,IF(OR('CHOP DASHBOARD'!$C$4="",ISNUMBER(SEARCH('CHOP DASHBOARD'!$C$4,INDEX(MASTER_ZONES!$B:$B,1443)))),1442,""),""),""))</f>
        <v/>
      </c>
      <c r="U1443">
        <f>IF('COMMUNITY CHURCH DASHBOARD'!$B$4="Area",IF(1442&lt;=$X$3,IF(AND(OR('COMMUNITY CHURCH DASHBOARD'!$C$4="",ISNUMBER(SEARCH('COMMUNITY CHURCH DASHBOARD'!$C$4,INDEX(MASTER_AREAS!$B:$B,1443))))),1442,""),""),IF('COMMUNITY CHURCH DASHBOARD'!$B$4="Zone",IF(1442&lt;=$X$4,IF(OR('COMMUNITY CHURCH DASHBOARD'!$C$4="",ISNUMBER(SEARCH('COMMUNITY CHURCH DASHBOARD'!$C$4,INDEX(MASTER_ZONES!$B:$B,1443)))),1442,""),""),""))</f>
        <v/>
      </c>
    </row>
    <row r="1444">
      <c r="A1444">
        <f>IF('WSF DASHBOARD'!$B$4="Area",IF(1443&lt;=$D$3,IF(AND(OR('WSF DASHBOARD'!$C$4="",ISNUMBER(SEARCH('WSF DASHBOARD'!$C$4,INDEX(MASTER_AREAS!$B:$B,1444))))),1443,""),""),IF('WSF DASHBOARD'!$B$4="Zone",IF(1443&lt;=$D$4,IF(OR('WSF DASHBOARD'!$C$4="",ISNUMBER(SEARCH('WSF DASHBOARD'!$C$4,INDEX(MASTER_ZONES!$B:$B,1444)))),1443,""),""),""))</f>
        <v/>
      </c>
      <c r="F1444">
        <f>IF('TRANSPORT DASHBOARD'!$B$4="Area",IF(1443&lt;=$I$3,IF(AND(INDEX(MASTER_AREAS!$F:$F,1444)&lt;&gt;"N",OR('TRANSPORT DASHBOARD'!$C$4="",ISNUMBER(SEARCH('TRANSPORT DASHBOARD'!$C$4,INDEX(MASTER_AREAS!$B:$B,1444))))),1443,""),""),IF('TRANSPORT DASHBOARD'!$B$4="Zone",IF(1443&lt;=$I$4,IF(OR('TRANSPORT DASHBOARD'!$C$4="",ISNUMBER(SEARCH('TRANSPORT DASHBOARD'!$C$4,INDEX(MASTER_ZONES!$B:$B,1444)))),1443,""),""),""))</f>
        <v/>
      </c>
      <c r="K1444">
        <f>IF('MIDWEEK DASHBOARD'!$B$4="Area",IF(1443&lt;=$N$3,IF(AND(OR('MIDWEEK DASHBOARD'!$C$4="",ISNUMBER(SEARCH('MIDWEEK DASHBOARD'!$C$4,INDEX(MASTER_AREAS!$B:$B,1444))))),1443,""),""),IF('MIDWEEK DASHBOARD'!$B$4="Zone",IF(1443&lt;=$N$4,IF(OR('MIDWEEK DASHBOARD'!$C$4="",ISNUMBER(SEARCH('MIDWEEK DASHBOARD'!$C$4,INDEX(MASTER_ZONES!$B:$B,1444)))),1443,""),""),""))</f>
        <v/>
      </c>
      <c r="P1444">
        <f>IF('CHOP DASHBOARD'!$B$4="Area",IF(1443&lt;=$S$3,IF(AND(OR('CHOP DASHBOARD'!$C$4="",ISNUMBER(SEARCH('CHOP DASHBOARD'!$C$4,INDEX(MASTER_AREAS!$B:$B,1444))))),1443,""),""),IF('CHOP DASHBOARD'!$B$4="Zone",IF(1443&lt;=$S$4,IF(OR('CHOP DASHBOARD'!$C$4="",ISNUMBER(SEARCH('CHOP DASHBOARD'!$C$4,INDEX(MASTER_ZONES!$B:$B,1444)))),1443,""),""),""))</f>
        <v/>
      </c>
      <c r="U1444">
        <f>IF('COMMUNITY CHURCH DASHBOARD'!$B$4="Area",IF(1443&lt;=$X$3,IF(AND(OR('COMMUNITY CHURCH DASHBOARD'!$C$4="",ISNUMBER(SEARCH('COMMUNITY CHURCH DASHBOARD'!$C$4,INDEX(MASTER_AREAS!$B:$B,1444))))),1443,""),""),IF('COMMUNITY CHURCH DASHBOARD'!$B$4="Zone",IF(1443&lt;=$X$4,IF(OR('COMMUNITY CHURCH DASHBOARD'!$C$4="",ISNUMBER(SEARCH('COMMUNITY CHURCH DASHBOARD'!$C$4,INDEX(MASTER_ZONES!$B:$B,1444)))),1443,""),""),""))</f>
        <v/>
      </c>
    </row>
    <row r="1445">
      <c r="A1445">
        <f>IF('WSF DASHBOARD'!$B$4="Area",IF(1444&lt;=$D$3,IF(AND(OR('WSF DASHBOARD'!$C$4="",ISNUMBER(SEARCH('WSF DASHBOARD'!$C$4,INDEX(MASTER_AREAS!$B:$B,1445))))),1444,""),""),IF('WSF DASHBOARD'!$B$4="Zone",IF(1444&lt;=$D$4,IF(OR('WSF DASHBOARD'!$C$4="",ISNUMBER(SEARCH('WSF DASHBOARD'!$C$4,INDEX(MASTER_ZONES!$B:$B,1445)))),1444,""),""),""))</f>
        <v/>
      </c>
      <c r="F1445">
        <f>IF('TRANSPORT DASHBOARD'!$B$4="Area",IF(1444&lt;=$I$3,IF(AND(INDEX(MASTER_AREAS!$F:$F,1445)&lt;&gt;"N",OR('TRANSPORT DASHBOARD'!$C$4="",ISNUMBER(SEARCH('TRANSPORT DASHBOARD'!$C$4,INDEX(MASTER_AREAS!$B:$B,1445))))),1444,""),""),IF('TRANSPORT DASHBOARD'!$B$4="Zone",IF(1444&lt;=$I$4,IF(OR('TRANSPORT DASHBOARD'!$C$4="",ISNUMBER(SEARCH('TRANSPORT DASHBOARD'!$C$4,INDEX(MASTER_ZONES!$B:$B,1445)))),1444,""),""),""))</f>
        <v/>
      </c>
      <c r="K1445">
        <f>IF('MIDWEEK DASHBOARD'!$B$4="Area",IF(1444&lt;=$N$3,IF(AND(OR('MIDWEEK DASHBOARD'!$C$4="",ISNUMBER(SEARCH('MIDWEEK DASHBOARD'!$C$4,INDEX(MASTER_AREAS!$B:$B,1445))))),1444,""),""),IF('MIDWEEK DASHBOARD'!$B$4="Zone",IF(1444&lt;=$N$4,IF(OR('MIDWEEK DASHBOARD'!$C$4="",ISNUMBER(SEARCH('MIDWEEK DASHBOARD'!$C$4,INDEX(MASTER_ZONES!$B:$B,1445)))),1444,""),""),""))</f>
        <v/>
      </c>
      <c r="P1445">
        <f>IF('CHOP DASHBOARD'!$B$4="Area",IF(1444&lt;=$S$3,IF(AND(OR('CHOP DASHBOARD'!$C$4="",ISNUMBER(SEARCH('CHOP DASHBOARD'!$C$4,INDEX(MASTER_AREAS!$B:$B,1445))))),1444,""),""),IF('CHOP DASHBOARD'!$B$4="Zone",IF(1444&lt;=$S$4,IF(OR('CHOP DASHBOARD'!$C$4="",ISNUMBER(SEARCH('CHOP DASHBOARD'!$C$4,INDEX(MASTER_ZONES!$B:$B,1445)))),1444,""),""),""))</f>
        <v/>
      </c>
      <c r="U1445">
        <f>IF('COMMUNITY CHURCH DASHBOARD'!$B$4="Area",IF(1444&lt;=$X$3,IF(AND(OR('COMMUNITY CHURCH DASHBOARD'!$C$4="",ISNUMBER(SEARCH('COMMUNITY CHURCH DASHBOARD'!$C$4,INDEX(MASTER_AREAS!$B:$B,1445))))),1444,""),""),IF('COMMUNITY CHURCH DASHBOARD'!$B$4="Zone",IF(1444&lt;=$X$4,IF(OR('COMMUNITY CHURCH DASHBOARD'!$C$4="",ISNUMBER(SEARCH('COMMUNITY CHURCH DASHBOARD'!$C$4,INDEX(MASTER_ZONES!$B:$B,1445)))),1444,""),""),""))</f>
        <v/>
      </c>
    </row>
    <row r="1446">
      <c r="A1446">
        <f>IF('WSF DASHBOARD'!$B$4="Area",IF(1445&lt;=$D$3,IF(AND(OR('WSF DASHBOARD'!$C$4="",ISNUMBER(SEARCH('WSF DASHBOARD'!$C$4,INDEX(MASTER_AREAS!$B:$B,1446))))),1445,""),""),IF('WSF DASHBOARD'!$B$4="Zone",IF(1445&lt;=$D$4,IF(OR('WSF DASHBOARD'!$C$4="",ISNUMBER(SEARCH('WSF DASHBOARD'!$C$4,INDEX(MASTER_ZONES!$B:$B,1446)))),1445,""),""),""))</f>
        <v/>
      </c>
      <c r="F1446">
        <f>IF('TRANSPORT DASHBOARD'!$B$4="Area",IF(1445&lt;=$I$3,IF(AND(INDEX(MASTER_AREAS!$F:$F,1446)&lt;&gt;"N",OR('TRANSPORT DASHBOARD'!$C$4="",ISNUMBER(SEARCH('TRANSPORT DASHBOARD'!$C$4,INDEX(MASTER_AREAS!$B:$B,1446))))),1445,""),""),IF('TRANSPORT DASHBOARD'!$B$4="Zone",IF(1445&lt;=$I$4,IF(OR('TRANSPORT DASHBOARD'!$C$4="",ISNUMBER(SEARCH('TRANSPORT DASHBOARD'!$C$4,INDEX(MASTER_ZONES!$B:$B,1446)))),1445,""),""),""))</f>
        <v/>
      </c>
      <c r="K1446">
        <f>IF('MIDWEEK DASHBOARD'!$B$4="Area",IF(1445&lt;=$N$3,IF(AND(OR('MIDWEEK DASHBOARD'!$C$4="",ISNUMBER(SEARCH('MIDWEEK DASHBOARD'!$C$4,INDEX(MASTER_AREAS!$B:$B,1446))))),1445,""),""),IF('MIDWEEK DASHBOARD'!$B$4="Zone",IF(1445&lt;=$N$4,IF(OR('MIDWEEK DASHBOARD'!$C$4="",ISNUMBER(SEARCH('MIDWEEK DASHBOARD'!$C$4,INDEX(MASTER_ZONES!$B:$B,1446)))),1445,""),""),""))</f>
        <v/>
      </c>
      <c r="P1446">
        <f>IF('CHOP DASHBOARD'!$B$4="Area",IF(1445&lt;=$S$3,IF(AND(OR('CHOP DASHBOARD'!$C$4="",ISNUMBER(SEARCH('CHOP DASHBOARD'!$C$4,INDEX(MASTER_AREAS!$B:$B,1446))))),1445,""),""),IF('CHOP DASHBOARD'!$B$4="Zone",IF(1445&lt;=$S$4,IF(OR('CHOP DASHBOARD'!$C$4="",ISNUMBER(SEARCH('CHOP DASHBOARD'!$C$4,INDEX(MASTER_ZONES!$B:$B,1446)))),1445,""),""),""))</f>
        <v/>
      </c>
      <c r="U1446">
        <f>IF('COMMUNITY CHURCH DASHBOARD'!$B$4="Area",IF(1445&lt;=$X$3,IF(AND(OR('COMMUNITY CHURCH DASHBOARD'!$C$4="",ISNUMBER(SEARCH('COMMUNITY CHURCH DASHBOARD'!$C$4,INDEX(MASTER_AREAS!$B:$B,1446))))),1445,""),""),IF('COMMUNITY CHURCH DASHBOARD'!$B$4="Zone",IF(1445&lt;=$X$4,IF(OR('COMMUNITY CHURCH DASHBOARD'!$C$4="",ISNUMBER(SEARCH('COMMUNITY CHURCH DASHBOARD'!$C$4,INDEX(MASTER_ZONES!$B:$B,1446)))),1445,""),""),""))</f>
        <v/>
      </c>
    </row>
    <row r="1447">
      <c r="A1447">
        <f>IF('WSF DASHBOARD'!$B$4="Area",IF(1446&lt;=$D$3,IF(AND(OR('WSF DASHBOARD'!$C$4="",ISNUMBER(SEARCH('WSF DASHBOARD'!$C$4,INDEX(MASTER_AREAS!$B:$B,1447))))),1446,""),""),IF('WSF DASHBOARD'!$B$4="Zone",IF(1446&lt;=$D$4,IF(OR('WSF DASHBOARD'!$C$4="",ISNUMBER(SEARCH('WSF DASHBOARD'!$C$4,INDEX(MASTER_ZONES!$B:$B,1447)))),1446,""),""),""))</f>
        <v/>
      </c>
      <c r="F1447">
        <f>IF('TRANSPORT DASHBOARD'!$B$4="Area",IF(1446&lt;=$I$3,IF(AND(INDEX(MASTER_AREAS!$F:$F,1447)&lt;&gt;"N",OR('TRANSPORT DASHBOARD'!$C$4="",ISNUMBER(SEARCH('TRANSPORT DASHBOARD'!$C$4,INDEX(MASTER_AREAS!$B:$B,1447))))),1446,""),""),IF('TRANSPORT DASHBOARD'!$B$4="Zone",IF(1446&lt;=$I$4,IF(OR('TRANSPORT DASHBOARD'!$C$4="",ISNUMBER(SEARCH('TRANSPORT DASHBOARD'!$C$4,INDEX(MASTER_ZONES!$B:$B,1447)))),1446,""),""),""))</f>
        <v/>
      </c>
      <c r="K1447">
        <f>IF('MIDWEEK DASHBOARD'!$B$4="Area",IF(1446&lt;=$N$3,IF(AND(OR('MIDWEEK DASHBOARD'!$C$4="",ISNUMBER(SEARCH('MIDWEEK DASHBOARD'!$C$4,INDEX(MASTER_AREAS!$B:$B,1447))))),1446,""),""),IF('MIDWEEK DASHBOARD'!$B$4="Zone",IF(1446&lt;=$N$4,IF(OR('MIDWEEK DASHBOARD'!$C$4="",ISNUMBER(SEARCH('MIDWEEK DASHBOARD'!$C$4,INDEX(MASTER_ZONES!$B:$B,1447)))),1446,""),""),""))</f>
        <v/>
      </c>
      <c r="P1447">
        <f>IF('CHOP DASHBOARD'!$B$4="Area",IF(1446&lt;=$S$3,IF(AND(OR('CHOP DASHBOARD'!$C$4="",ISNUMBER(SEARCH('CHOP DASHBOARD'!$C$4,INDEX(MASTER_AREAS!$B:$B,1447))))),1446,""),""),IF('CHOP DASHBOARD'!$B$4="Zone",IF(1446&lt;=$S$4,IF(OR('CHOP DASHBOARD'!$C$4="",ISNUMBER(SEARCH('CHOP DASHBOARD'!$C$4,INDEX(MASTER_ZONES!$B:$B,1447)))),1446,""),""),""))</f>
        <v/>
      </c>
      <c r="U1447">
        <f>IF('COMMUNITY CHURCH DASHBOARD'!$B$4="Area",IF(1446&lt;=$X$3,IF(AND(OR('COMMUNITY CHURCH DASHBOARD'!$C$4="",ISNUMBER(SEARCH('COMMUNITY CHURCH DASHBOARD'!$C$4,INDEX(MASTER_AREAS!$B:$B,1447))))),1446,""),""),IF('COMMUNITY CHURCH DASHBOARD'!$B$4="Zone",IF(1446&lt;=$X$4,IF(OR('COMMUNITY CHURCH DASHBOARD'!$C$4="",ISNUMBER(SEARCH('COMMUNITY CHURCH DASHBOARD'!$C$4,INDEX(MASTER_ZONES!$B:$B,1447)))),1446,""),""),""))</f>
        <v/>
      </c>
    </row>
    <row r="1448">
      <c r="A1448">
        <f>IF('WSF DASHBOARD'!$B$4="Area",IF(1447&lt;=$D$3,IF(AND(OR('WSF DASHBOARD'!$C$4="",ISNUMBER(SEARCH('WSF DASHBOARD'!$C$4,INDEX(MASTER_AREAS!$B:$B,1448))))),1447,""),""),IF('WSF DASHBOARD'!$B$4="Zone",IF(1447&lt;=$D$4,IF(OR('WSF DASHBOARD'!$C$4="",ISNUMBER(SEARCH('WSF DASHBOARD'!$C$4,INDEX(MASTER_ZONES!$B:$B,1448)))),1447,""),""),""))</f>
        <v/>
      </c>
      <c r="F1448">
        <f>IF('TRANSPORT DASHBOARD'!$B$4="Area",IF(1447&lt;=$I$3,IF(AND(INDEX(MASTER_AREAS!$F:$F,1448)&lt;&gt;"N",OR('TRANSPORT DASHBOARD'!$C$4="",ISNUMBER(SEARCH('TRANSPORT DASHBOARD'!$C$4,INDEX(MASTER_AREAS!$B:$B,1448))))),1447,""),""),IF('TRANSPORT DASHBOARD'!$B$4="Zone",IF(1447&lt;=$I$4,IF(OR('TRANSPORT DASHBOARD'!$C$4="",ISNUMBER(SEARCH('TRANSPORT DASHBOARD'!$C$4,INDEX(MASTER_ZONES!$B:$B,1448)))),1447,""),""),""))</f>
        <v/>
      </c>
      <c r="K1448">
        <f>IF('MIDWEEK DASHBOARD'!$B$4="Area",IF(1447&lt;=$N$3,IF(AND(OR('MIDWEEK DASHBOARD'!$C$4="",ISNUMBER(SEARCH('MIDWEEK DASHBOARD'!$C$4,INDEX(MASTER_AREAS!$B:$B,1448))))),1447,""),""),IF('MIDWEEK DASHBOARD'!$B$4="Zone",IF(1447&lt;=$N$4,IF(OR('MIDWEEK DASHBOARD'!$C$4="",ISNUMBER(SEARCH('MIDWEEK DASHBOARD'!$C$4,INDEX(MASTER_ZONES!$B:$B,1448)))),1447,""),""),""))</f>
        <v/>
      </c>
      <c r="P1448">
        <f>IF('CHOP DASHBOARD'!$B$4="Area",IF(1447&lt;=$S$3,IF(AND(OR('CHOP DASHBOARD'!$C$4="",ISNUMBER(SEARCH('CHOP DASHBOARD'!$C$4,INDEX(MASTER_AREAS!$B:$B,1448))))),1447,""),""),IF('CHOP DASHBOARD'!$B$4="Zone",IF(1447&lt;=$S$4,IF(OR('CHOP DASHBOARD'!$C$4="",ISNUMBER(SEARCH('CHOP DASHBOARD'!$C$4,INDEX(MASTER_ZONES!$B:$B,1448)))),1447,""),""),""))</f>
        <v/>
      </c>
      <c r="U1448">
        <f>IF('COMMUNITY CHURCH DASHBOARD'!$B$4="Area",IF(1447&lt;=$X$3,IF(AND(OR('COMMUNITY CHURCH DASHBOARD'!$C$4="",ISNUMBER(SEARCH('COMMUNITY CHURCH DASHBOARD'!$C$4,INDEX(MASTER_AREAS!$B:$B,1448))))),1447,""),""),IF('COMMUNITY CHURCH DASHBOARD'!$B$4="Zone",IF(1447&lt;=$X$4,IF(OR('COMMUNITY CHURCH DASHBOARD'!$C$4="",ISNUMBER(SEARCH('COMMUNITY CHURCH DASHBOARD'!$C$4,INDEX(MASTER_ZONES!$B:$B,1448)))),1447,""),""),""))</f>
        <v/>
      </c>
    </row>
    <row r="1449">
      <c r="A1449">
        <f>IF('WSF DASHBOARD'!$B$4="Area",IF(1448&lt;=$D$3,IF(AND(OR('WSF DASHBOARD'!$C$4="",ISNUMBER(SEARCH('WSF DASHBOARD'!$C$4,INDEX(MASTER_AREAS!$B:$B,1449))))),1448,""),""),IF('WSF DASHBOARD'!$B$4="Zone",IF(1448&lt;=$D$4,IF(OR('WSF DASHBOARD'!$C$4="",ISNUMBER(SEARCH('WSF DASHBOARD'!$C$4,INDEX(MASTER_ZONES!$B:$B,1449)))),1448,""),""),""))</f>
        <v/>
      </c>
      <c r="F1449">
        <f>IF('TRANSPORT DASHBOARD'!$B$4="Area",IF(1448&lt;=$I$3,IF(AND(INDEX(MASTER_AREAS!$F:$F,1449)&lt;&gt;"N",OR('TRANSPORT DASHBOARD'!$C$4="",ISNUMBER(SEARCH('TRANSPORT DASHBOARD'!$C$4,INDEX(MASTER_AREAS!$B:$B,1449))))),1448,""),""),IF('TRANSPORT DASHBOARD'!$B$4="Zone",IF(1448&lt;=$I$4,IF(OR('TRANSPORT DASHBOARD'!$C$4="",ISNUMBER(SEARCH('TRANSPORT DASHBOARD'!$C$4,INDEX(MASTER_ZONES!$B:$B,1449)))),1448,""),""),""))</f>
        <v/>
      </c>
      <c r="K1449">
        <f>IF('MIDWEEK DASHBOARD'!$B$4="Area",IF(1448&lt;=$N$3,IF(AND(OR('MIDWEEK DASHBOARD'!$C$4="",ISNUMBER(SEARCH('MIDWEEK DASHBOARD'!$C$4,INDEX(MASTER_AREAS!$B:$B,1449))))),1448,""),""),IF('MIDWEEK DASHBOARD'!$B$4="Zone",IF(1448&lt;=$N$4,IF(OR('MIDWEEK DASHBOARD'!$C$4="",ISNUMBER(SEARCH('MIDWEEK DASHBOARD'!$C$4,INDEX(MASTER_ZONES!$B:$B,1449)))),1448,""),""),""))</f>
        <v/>
      </c>
      <c r="P1449">
        <f>IF('CHOP DASHBOARD'!$B$4="Area",IF(1448&lt;=$S$3,IF(AND(OR('CHOP DASHBOARD'!$C$4="",ISNUMBER(SEARCH('CHOP DASHBOARD'!$C$4,INDEX(MASTER_AREAS!$B:$B,1449))))),1448,""),""),IF('CHOP DASHBOARD'!$B$4="Zone",IF(1448&lt;=$S$4,IF(OR('CHOP DASHBOARD'!$C$4="",ISNUMBER(SEARCH('CHOP DASHBOARD'!$C$4,INDEX(MASTER_ZONES!$B:$B,1449)))),1448,""),""),""))</f>
        <v/>
      </c>
      <c r="U1449">
        <f>IF('COMMUNITY CHURCH DASHBOARD'!$B$4="Area",IF(1448&lt;=$X$3,IF(AND(OR('COMMUNITY CHURCH DASHBOARD'!$C$4="",ISNUMBER(SEARCH('COMMUNITY CHURCH DASHBOARD'!$C$4,INDEX(MASTER_AREAS!$B:$B,1449))))),1448,""),""),IF('COMMUNITY CHURCH DASHBOARD'!$B$4="Zone",IF(1448&lt;=$X$4,IF(OR('COMMUNITY CHURCH DASHBOARD'!$C$4="",ISNUMBER(SEARCH('COMMUNITY CHURCH DASHBOARD'!$C$4,INDEX(MASTER_ZONES!$B:$B,1449)))),1448,""),""),""))</f>
        <v/>
      </c>
    </row>
    <row r="1450">
      <c r="A1450">
        <f>IF('WSF DASHBOARD'!$B$4="Area",IF(1449&lt;=$D$3,IF(AND(OR('WSF DASHBOARD'!$C$4="",ISNUMBER(SEARCH('WSF DASHBOARD'!$C$4,INDEX(MASTER_AREAS!$B:$B,1450))))),1449,""),""),IF('WSF DASHBOARD'!$B$4="Zone",IF(1449&lt;=$D$4,IF(OR('WSF DASHBOARD'!$C$4="",ISNUMBER(SEARCH('WSF DASHBOARD'!$C$4,INDEX(MASTER_ZONES!$B:$B,1450)))),1449,""),""),""))</f>
        <v/>
      </c>
      <c r="F1450">
        <f>IF('TRANSPORT DASHBOARD'!$B$4="Area",IF(1449&lt;=$I$3,IF(AND(INDEX(MASTER_AREAS!$F:$F,1450)&lt;&gt;"N",OR('TRANSPORT DASHBOARD'!$C$4="",ISNUMBER(SEARCH('TRANSPORT DASHBOARD'!$C$4,INDEX(MASTER_AREAS!$B:$B,1450))))),1449,""),""),IF('TRANSPORT DASHBOARD'!$B$4="Zone",IF(1449&lt;=$I$4,IF(OR('TRANSPORT DASHBOARD'!$C$4="",ISNUMBER(SEARCH('TRANSPORT DASHBOARD'!$C$4,INDEX(MASTER_ZONES!$B:$B,1450)))),1449,""),""),""))</f>
        <v/>
      </c>
      <c r="K1450">
        <f>IF('MIDWEEK DASHBOARD'!$B$4="Area",IF(1449&lt;=$N$3,IF(AND(OR('MIDWEEK DASHBOARD'!$C$4="",ISNUMBER(SEARCH('MIDWEEK DASHBOARD'!$C$4,INDEX(MASTER_AREAS!$B:$B,1450))))),1449,""),""),IF('MIDWEEK DASHBOARD'!$B$4="Zone",IF(1449&lt;=$N$4,IF(OR('MIDWEEK DASHBOARD'!$C$4="",ISNUMBER(SEARCH('MIDWEEK DASHBOARD'!$C$4,INDEX(MASTER_ZONES!$B:$B,1450)))),1449,""),""),""))</f>
        <v/>
      </c>
      <c r="P1450">
        <f>IF('CHOP DASHBOARD'!$B$4="Area",IF(1449&lt;=$S$3,IF(AND(OR('CHOP DASHBOARD'!$C$4="",ISNUMBER(SEARCH('CHOP DASHBOARD'!$C$4,INDEX(MASTER_AREAS!$B:$B,1450))))),1449,""),""),IF('CHOP DASHBOARD'!$B$4="Zone",IF(1449&lt;=$S$4,IF(OR('CHOP DASHBOARD'!$C$4="",ISNUMBER(SEARCH('CHOP DASHBOARD'!$C$4,INDEX(MASTER_ZONES!$B:$B,1450)))),1449,""),""),""))</f>
        <v/>
      </c>
      <c r="U1450">
        <f>IF('COMMUNITY CHURCH DASHBOARD'!$B$4="Area",IF(1449&lt;=$X$3,IF(AND(OR('COMMUNITY CHURCH DASHBOARD'!$C$4="",ISNUMBER(SEARCH('COMMUNITY CHURCH DASHBOARD'!$C$4,INDEX(MASTER_AREAS!$B:$B,1450))))),1449,""),""),IF('COMMUNITY CHURCH DASHBOARD'!$B$4="Zone",IF(1449&lt;=$X$4,IF(OR('COMMUNITY CHURCH DASHBOARD'!$C$4="",ISNUMBER(SEARCH('COMMUNITY CHURCH DASHBOARD'!$C$4,INDEX(MASTER_ZONES!$B:$B,1450)))),1449,""),""),""))</f>
        <v/>
      </c>
    </row>
    <row r="1451">
      <c r="A1451">
        <f>IF('WSF DASHBOARD'!$B$4="Area",IF(1450&lt;=$D$3,IF(AND(OR('WSF DASHBOARD'!$C$4="",ISNUMBER(SEARCH('WSF DASHBOARD'!$C$4,INDEX(MASTER_AREAS!$B:$B,1451))))),1450,""),""),IF('WSF DASHBOARD'!$B$4="Zone",IF(1450&lt;=$D$4,IF(OR('WSF DASHBOARD'!$C$4="",ISNUMBER(SEARCH('WSF DASHBOARD'!$C$4,INDEX(MASTER_ZONES!$B:$B,1451)))),1450,""),""),""))</f>
        <v/>
      </c>
      <c r="F1451">
        <f>IF('TRANSPORT DASHBOARD'!$B$4="Area",IF(1450&lt;=$I$3,IF(AND(INDEX(MASTER_AREAS!$F:$F,1451)&lt;&gt;"N",OR('TRANSPORT DASHBOARD'!$C$4="",ISNUMBER(SEARCH('TRANSPORT DASHBOARD'!$C$4,INDEX(MASTER_AREAS!$B:$B,1451))))),1450,""),""),IF('TRANSPORT DASHBOARD'!$B$4="Zone",IF(1450&lt;=$I$4,IF(OR('TRANSPORT DASHBOARD'!$C$4="",ISNUMBER(SEARCH('TRANSPORT DASHBOARD'!$C$4,INDEX(MASTER_ZONES!$B:$B,1451)))),1450,""),""),""))</f>
        <v/>
      </c>
      <c r="K1451">
        <f>IF('MIDWEEK DASHBOARD'!$B$4="Area",IF(1450&lt;=$N$3,IF(AND(OR('MIDWEEK DASHBOARD'!$C$4="",ISNUMBER(SEARCH('MIDWEEK DASHBOARD'!$C$4,INDEX(MASTER_AREAS!$B:$B,1451))))),1450,""),""),IF('MIDWEEK DASHBOARD'!$B$4="Zone",IF(1450&lt;=$N$4,IF(OR('MIDWEEK DASHBOARD'!$C$4="",ISNUMBER(SEARCH('MIDWEEK DASHBOARD'!$C$4,INDEX(MASTER_ZONES!$B:$B,1451)))),1450,""),""),""))</f>
        <v/>
      </c>
      <c r="P1451">
        <f>IF('CHOP DASHBOARD'!$B$4="Area",IF(1450&lt;=$S$3,IF(AND(OR('CHOP DASHBOARD'!$C$4="",ISNUMBER(SEARCH('CHOP DASHBOARD'!$C$4,INDEX(MASTER_AREAS!$B:$B,1451))))),1450,""),""),IF('CHOP DASHBOARD'!$B$4="Zone",IF(1450&lt;=$S$4,IF(OR('CHOP DASHBOARD'!$C$4="",ISNUMBER(SEARCH('CHOP DASHBOARD'!$C$4,INDEX(MASTER_ZONES!$B:$B,1451)))),1450,""),""),""))</f>
        <v/>
      </c>
      <c r="U1451">
        <f>IF('COMMUNITY CHURCH DASHBOARD'!$B$4="Area",IF(1450&lt;=$X$3,IF(AND(OR('COMMUNITY CHURCH DASHBOARD'!$C$4="",ISNUMBER(SEARCH('COMMUNITY CHURCH DASHBOARD'!$C$4,INDEX(MASTER_AREAS!$B:$B,1451))))),1450,""),""),IF('COMMUNITY CHURCH DASHBOARD'!$B$4="Zone",IF(1450&lt;=$X$4,IF(OR('COMMUNITY CHURCH DASHBOARD'!$C$4="",ISNUMBER(SEARCH('COMMUNITY CHURCH DASHBOARD'!$C$4,INDEX(MASTER_ZONES!$B:$B,1451)))),1450,""),""),""))</f>
        <v/>
      </c>
    </row>
    <row r="1452">
      <c r="A1452">
        <f>IF('WSF DASHBOARD'!$B$4="Area",IF(1451&lt;=$D$3,IF(AND(OR('WSF DASHBOARD'!$C$4="",ISNUMBER(SEARCH('WSF DASHBOARD'!$C$4,INDEX(MASTER_AREAS!$B:$B,1452))))),1451,""),""),IF('WSF DASHBOARD'!$B$4="Zone",IF(1451&lt;=$D$4,IF(OR('WSF DASHBOARD'!$C$4="",ISNUMBER(SEARCH('WSF DASHBOARD'!$C$4,INDEX(MASTER_ZONES!$B:$B,1452)))),1451,""),""),""))</f>
        <v/>
      </c>
      <c r="F1452">
        <f>IF('TRANSPORT DASHBOARD'!$B$4="Area",IF(1451&lt;=$I$3,IF(AND(INDEX(MASTER_AREAS!$F:$F,1452)&lt;&gt;"N",OR('TRANSPORT DASHBOARD'!$C$4="",ISNUMBER(SEARCH('TRANSPORT DASHBOARD'!$C$4,INDEX(MASTER_AREAS!$B:$B,1452))))),1451,""),""),IF('TRANSPORT DASHBOARD'!$B$4="Zone",IF(1451&lt;=$I$4,IF(OR('TRANSPORT DASHBOARD'!$C$4="",ISNUMBER(SEARCH('TRANSPORT DASHBOARD'!$C$4,INDEX(MASTER_ZONES!$B:$B,1452)))),1451,""),""),""))</f>
        <v/>
      </c>
      <c r="K1452">
        <f>IF('MIDWEEK DASHBOARD'!$B$4="Area",IF(1451&lt;=$N$3,IF(AND(OR('MIDWEEK DASHBOARD'!$C$4="",ISNUMBER(SEARCH('MIDWEEK DASHBOARD'!$C$4,INDEX(MASTER_AREAS!$B:$B,1452))))),1451,""),""),IF('MIDWEEK DASHBOARD'!$B$4="Zone",IF(1451&lt;=$N$4,IF(OR('MIDWEEK DASHBOARD'!$C$4="",ISNUMBER(SEARCH('MIDWEEK DASHBOARD'!$C$4,INDEX(MASTER_ZONES!$B:$B,1452)))),1451,""),""),""))</f>
        <v/>
      </c>
      <c r="P1452">
        <f>IF('CHOP DASHBOARD'!$B$4="Area",IF(1451&lt;=$S$3,IF(AND(OR('CHOP DASHBOARD'!$C$4="",ISNUMBER(SEARCH('CHOP DASHBOARD'!$C$4,INDEX(MASTER_AREAS!$B:$B,1452))))),1451,""),""),IF('CHOP DASHBOARD'!$B$4="Zone",IF(1451&lt;=$S$4,IF(OR('CHOP DASHBOARD'!$C$4="",ISNUMBER(SEARCH('CHOP DASHBOARD'!$C$4,INDEX(MASTER_ZONES!$B:$B,1452)))),1451,""),""),""))</f>
        <v/>
      </c>
      <c r="U1452">
        <f>IF('COMMUNITY CHURCH DASHBOARD'!$B$4="Area",IF(1451&lt;=$X$3,IF(AND(OR('COMMUNITY CHURCH DASHBOARD'!$C$4="",ISNUMBER(SEARCH('COMMUNITY CHURCH DASHBOARD'!$C$4,INDEX(MASTER_AREAS!$B:$B,1452))))),1451,""),""),IF('COMMUNITY CHURCH DASHBOARD'!$B$4="Zone",IF(1451&lt;=$X$4,IF(OR('COMMUNITY CHURCH DASHBOARD'!$C$4="",ISNUMBER(SEARCH('COMMUNITY CHURCH DASHBOARD'!$C$4,INDEX(MASTER_ZONES!$B:$B,1452)))),1451,""),""),""))</f>
        <v/>
      </c>
    </row>
    <row r="1453">
      <c r="A1453">
        <f>IF('WSF DASHBOARD'!$B$4="Area",IF(1452&lt;=$D$3,IF(AND(OR('WSF DASHBOARD'!$C$4="",ISNUMBER(SEARCH('WSF DASHBOARD'!$C$4,INDEX(MASTER_AREAS!$B:$B,1453))))),1452,""),""),IF('WSF DASHBOARD'!$B$4="Zone",IF(1452&lt;=$D$4,IF(OR('WSF DASHBOARD'!$C$4="",ISNUMBER(SEARCH('WSF DASHBOARD'!$C$4,INDEX(MASTER_ZONES!$B:$B,1453)))),1452,""),""),""))</f>
        <v/>
      </c>
      <c r="F1453">
        <f>IF('TRANSPORT DASHBOARD'!$B$4="Area",IF(1452&lt;=$I$3,IF(AND(INDEX(MASTER_AREAS!$F:$F,1453)&lt;&gt;"N",OR('TRANSPORT DASHBOARD'!$C$4="",ISNUMBER(SEARCH('TRANSPORT DASHBOARD'!$C$4,INDEX(MASTER_AREAS!$B:$B,1453))))),1452,""),""),IF('TRANSPORT DASHBOARD'!$B$4="Zone",IF(1452&lt;=$I$4,IF(OR('TRANSPORT DASHBOARD'!$C$4="",ISNUMBER(SEARCH('TRANSPORT DASHBOARD'!$C$4,INDEX(MASTER_ZONES!$B:$B,1453)))),1452,""),""),""))</f>
        <v/>
      </c>
      <c r="K1453">
        <f>IF('MIDWEEK DASHBOARD'!$B$4="Area",IF(1452&lt;=$N$3,IF(AND(OR('MIDWEEK DASHBOARD'!$C$4="",ISNUMBER(SEARCH('MIDWEEK DASHBOARD'!$C$4,INDEX(MASTER_AREAS!$B:$B,1453))))),1452,""),""),IF('MIDWEEK DASHBOARD'!$B$4="Zone",IF(1452&lt;=$N$4,IF(OR('MIDWEEK DASHBOARD'!$C$4="",ISNUMBER(SEARCH('MIDWEEK DASHBOARD'!$C$4,INDEX(MASTER_ZONES!$B:$B,1453)))),1452,""),""),""))</f>
        <v/>
      </c>
      <c r="P1453">
        <f>IF('CHOP DASHBOARD'!$B$4="Area",IF(1452&lt;=$S$3,IF(AND(OR('CHOP DASHBOARD'!$C$4="",ISNUMBER(SEARCH('CHOP DASHBOARD'!$C$4,INDEX(MASTER_AREAS!$B:$B,1453))))),1452,""),""),IF('CHOP DASHBOARD'!$B$4="Zone",IF(1452&lt;=$S$4,IF(OR('CHOP DASHBOARD'!$C$4="",ISNUMBER(SEARCH('CHOP DASHBOARD'!$C$4,INDEX(MASTER_ZONES!$B:$B,1453)))),1452,""),""),""))</f>
        <v/>
      </c>
      <c r="U1453">
        <f>IF('COMMUNITY CHURCH DASHBOARD'!$B$4="Area",IF(1452&lt;=$X$3,IF(AND(OR('COMMUNITY CHURCH DASHBOARD'!$C$4="",ISNUMBER(SEARCH('COMMUNITY CHURCH DASHBOARD'!$C$4,INDEX(MASTER_AREAS!$B:$B,1453))))),1452,""),""),IF('COMMUNITY CHURCH DASHBOARD'!$B$4="Zone",IF(1452&lt;=$X$4,IF(OR('COMMUNITY CHURCH DASHBOARD'!$C$4="",ISNUMBER(SEARCH('COMMUNITY CHURCH DASHBOARD'!$C$4,INDEX(MASTER_ZONES!$B:$B,1453)))),1452,""),""),""))</f>
        <v/>
      </c>
    </row>
    <row r="1454">
      <c r="A1454">
        <f>IF('WSF DASHBOARD'!$B$4="Area",IF(1453&lt;=$D$3,IF(AND(OR('WSF DASHBOARD'!$C$4="",ISNUMBER(SEARCH('WSF DASHBOARD'!$C$4,INDEX(MASTER_AREAS!$B:$B,1454))))),1453,""),""),IF('WSF DASHBOARD'!$B$4="Zone",IF(1453&lt;=$D$4,IF(OR('WSF DASHBOARD'!$C$4="",ISNUMBER(SEARCH('WSF DASHBOARD'!$C$4,INDEX(MASTER_ZONES!$B:$B,1454)))),1453,""),""),""))</f>
        <v/>
      </c>
      <c r="F1454">
        <f>IF('TRANSPORT DASHBOARD'!$B$4="Area",IF(1453&lt;=$I$3,IF(AND(INDEX(MASTER_AREAS!$F:$F,1454)&lt;&gt;"N",OR('TRANSPORT DASHBOARD'!$C$4="",ISNUMBER(SEARCH('TRANSPORT DASHBOARD'!$C$4,INDEX(MASTER_AREAS!$B:$B,1454))))),1453,""),""),IF('TRANSPORT DASHBOARD'!$B$4="Zone",IF(1453&lt;=$I$4,IF(OR('TRANSPORT DASHBOARD'!$C$4="",ISNUMBER(SEARCH('TRANSPORT DASHBOARD'!$C$4,INDEX(MASTER_ZONES!$B:$B,1454)))),1453,""),""),""))</f>
        <v/>
      </c>
      <c r="K1454">
        <f>IF('MIDWEEK DASHBOARD'!$B$4="Area",IF(1453&lt;=$N$3,IF(AND(OR('MIDWEEK DASHBOARD'!$C$4="",ISNUMBER(SEARCH('MIDWEEK DASHBOARD'!$C$4,INDEX(MASTER_AREAS!$B:$B,1454))))),1453,""),""),IF('MIDWEEK DASHBOARD'!$B$4="Zone",IF(1453&lt;=$N$4,IF(OR('MIDWEEK DASHBOARD'!$C$4="",ISNUMBER(SEARCH('MIDWEEK DASHBOARD'!$C$4,INDEX(MASTER_ZONES!$B:$B,1454)))),1453,""),""),""))</f>
        <v/>
      </c>
      <c r="P1454">
        <f>IF('CHOP DASHBOARD'!$B$4="Area",IF(1453&lt;=$S$3,IF(AND(OR('CHOP DASHBOARD'!$C$4="",ISNUMBER(SEARCH('CHOP DASHBOARD'!$C$4,INDEX(MASTER_AREAS!$B:$B,1454))))),1453,""),""),IF('CHOP DASHBOARD'!$B$4="Zone",IF(1453&lt;=$S$4,IF(OR('CHOP DASHBOARD'!$C$4="",ISNUMBER(SEARCH('CHOP DASHBOARD'!$C$4,INDEX(MASTER_ZONES!$B:$B,1454)))),1453,""),""),""))</f>
        <v/>
      </c>
      <c r="U1454">
        <f>IF('COMMUNITY CHURCH DASHBOARD'!$B$4="Area",IF(1453&lt;=$X$3,IF(AND(OR('COMMUNITY CHURCH DASHBOARD'!$C$4="",ISNUMBER(SEARCH('COMMUNITY CHURCH DASHBOARD'!$C$4,INDEX(MASTER_AREAS!$B:$B,1454))))),1453,""),""),IF('COMMUNITY CHURCH DASHBOARD'!$B$4="Zone",IF(1453&lt;=$X$4,IF(OR('COMMUNITY CHURCH DASHBOARD'!$C$4="",ISNUMBER(SEARCH('COMMUNITY CHURCH DASHBOARD'!$C$4,INDEX(MASTER_ZONES!$B:$B,1454)))),1453,""),""),""))</f>
        <v/>
      </c>
    </row>
    <row r="1455">
      <c r="A1455">
        <f>IF('WSF DASHBOARD'!$B$4="Area",IF(1454&lt;=$D$3,IF(AND(OR('WSF DASHBOARD'!$C$4="",ISNUMBER(SEARCH('WSF DASHBOARD'!$C$4,INDEX(MASTER_AREAS!$B:$B,1455))))),1454,""),""),IF('WSF DASHBOARD'!$B$4="Zone",IF(1454&lt;=$D$4,IF(OR('WSF DASHBOARD'!$C$4="",ISNUMBER(SEARCH('WSF DASHBOARD'!$C$4,INDEX(MASTER_ZONES!$B:$B,1455)))),1454,""),""),""))</f>
        <v/>
      </c>
      <c r="F1455">
        <f>IF('TRANSPORT DASHBOARD'!$B$4="Area",IF(1454&lt;=$I$3,IF(AND(INDEX(MASTER_AREAS!$F:$F,1455)&lt;&gt;"N",OR('TRANSPORT DASHBOARD'!$C$4="",ISNUMBER(SEARCH('TRANSPORT DASHBOARD'!$C$4,INDEX(MASTER_AREAS!$B:$B,1455))))),1454,""),""),IF('TRANSPORT DASHBOARD'!$B$4="Zone",IF(1454&lt;=$I$4,IF(OR('TRANSPORT DASHBOARD'!$C$4="",ISNUMBER(SEARCH('TRANSPORT DASHBOARD'!$C$4,INDEX(MASTER_ZONES!$B:$B,1455)))),1454,""),""),""))</f>
        <v/>
      </c>
      <c r="K1455">
        <f>IF('MIDWEEK DASHBOARD'!$B$4="Area",IF(1454&lt;=$N$3,IF(AND(OR('MIDWEEK DASHBOARD'!$C$4="",ISNUMBER(SEARCH('MIDWEEK DASHBOARD'!$C$4,INDEX(MASTER_AREAS!$B:$B,1455))))),1454,""),""),IF('MIDWEEK DASHBOARD'!$B$4="Zone",IF(1454&lt;=$N$4,IF(OR('MIDWEEK DASHBOARD'!$C$4="",ISNUMBER(SEARCH('MIDWEEK DASHBOARD'!$C$4,INDEX(MASTER_ZONES!$B:$B,1455)))),1454,""),""),""))</f>
        <v/>
      </c>
      <c r="P1455">
        <f>IF('CHOP DASHBOARD'!$B$4="Area",IF(1454&lt;=$S$3,IF(AND(OR('CHOP DASHBOARD'!$C$4="",ISNUMBER(SEARCH('CHOP DASHBOARD'!$C$4,INDEX(MASTER_AREAS!$B:$B,1455))))),1454,""),""),IF('CHOP DASHBOARD'!$B$4="Zone",IF(1454&lt;=$S$4,IF(OR('CHOP DASHBOARD'!$C$4="",ISNUMBER(SEARCH('CHOP DASHBOARD'!$C$4,INDEX(MASTER_ZONES!$B:$B,1455)))),1454,""),""),""))</f>
        <v/>
      </c>
      <c r="U1455">
        <f>IF('COMMUNITY CHURCH DASHBOARD'!$B$4="Area",IF(1454&lt;=$X$3,IF(AND(OR('COMMUNITY CHURCH DASHBOARD'!$C$4="",ISNUMBER(SEARCH('COMMUNITY CHURCH DASHBOARD'!$C$4,INDEX(MASTER_AREAS!$B:$B,1455))))),1454,""),""),IF('COMMUNITY CHURCH DASHBOARD'!$B$4="Zone",IF(1454&lt;=$X$4,IF(OR('COMMUNITY CHURCH DASHBOARD'!$C$4="",ISNUMBER(SEARCH('COMMUNITY CHURCH DASHBOARD'!$C$4,INDEX(MASTER_ZONES!$B:$B,1455)))),1454,""),""),""))</f>
        <v/>
      </c>
    </row>
    <row r="1456">
      <c r="A1456">
        <f>IF('WSF DASHBOARD'!$B$4="Area",IF(1455&lt;=$D$3,IF(AND(OR('WSF DASHBOARD'!$C$4="",ISNUMBER(SEARCH('WSF DASHBOARD'!$C$4,INDEX(MASTER_AREAS!$B:$B,1456))))),1455,""),""),IF('WSF DASHBOARD'!$B$4="Zone",IF(1455&lt;=$D$4,IF(OR('WSF DASHBOARD'!$C$4="",ISNUMBER(SEARCH('WSF DASHBOARD'!$C$4,INDEX(MASTER_ZONES!$B:$B,1456)))),1455,""),""),""))</f>
        <v/>
      </c>
      <c r="F1456">
        <f>IF('TRANSPORT DASHBOARD'!$B$4="Area",IF(1455&lt;=$I$3,IF(AND(INDEX(MASTER_AREAS!$F:$F,1456)&lt;&gt;"N",OR('TRANSPORT DASHBOARD'!$C$4="",ISNUMBER(SEARCH('TRANSPORT DASHBOARD'!$C$4,INDEX(MASTER_AREAS!$B:$B,1456))))),1455,""),""),IF('TRANSPORT DASHBOARD'!$B$4="Zone",IF(1455&lt;=$I$4,IF(OR('TRANSPORT DASHBOARD'!$C$4="",ISNUMBER(SEARCH('TRANSPORT DASHBOARD'!$C$4,INDEX(MASTER_ZONES!$B:$B,1456)))),1455,""),""),""))</f>
        <v/>
      </c>
      <c r="K1456">
        <f>IF('MIDWEEK DASHBOARD'!$B$4="Area",IF(1455&lt;=$N$3,IF(AND(OR('MIDWEEK DASHBOARD'!$C$4="",ISNUMBER(SEARCH('MIDWEEK DASHBOARD'!$C$4,INDEX(MASTER_AREAS!$B:$B,1456))))),1455,""),""),IF('MIDWEEK DASHBOARD'!$B$4="Zone",IF(1455&lt;=$N$4,IF(OR('MIDWEEK DASHBOARD'!$C$4="",ISNUMBER(SEARCH('MIDWEEK DASHBOARD'!$C$4,INDEX(MASTER_ZONES!$B:$B,1456)))),1455,""),""),""))</f>
        <v/>
      </c>
      <c r="P1456">
        <f>IF('CHOP DASHBOARD'!$B$4="Area",IF(1455&lt;=$S$3,IF(AND(OR('CHOP DASHBOARD'!$C$4="",ISNUMBER(SEARCH('CHOP DASHBOARD'!$C$4,INDEX(MASTER_AREAS!$B:$B,1456))))),1455,""),""),IF('CHOP DASHBOARD'!$B$4="Zone",IF(1455&lt;=$S$4,IF(OR('CHOP DASHBOARD'!$C$4="",ISNUMBER(SEARCH('CHOP DASHBOARD'!$C$4,INDEX(MASTER_ZONES!$B:$B,1456)))),1455,""),""),""))</f>
        <v/>
      </c>
      <c r="U1456">
        <f>IF('COMMUNITY CHURCH DASHBOARD'!$B$4="Area",IF(1455&lt;=$X$3,IF(AND(OR('COMMUNITY CHURCH DASHBOARD'!$C$4="",ISNUMBER(SEARCH('COMMUNITY CHURCH DASHBOARD'!$C$4,INDEX(MASTER_AREAS!$B:$B,1456))))),1455,""),""),IF('COMMUNITY CHURCH DASHBOARD'!$B$4="Zone",IF(1455&lt;=$X$4,IF(OR('COMMUNITY CHURCH DASHBOARD'!$C$4="",ISNUMBER(SEARCH('COMMUNITY CHURCH DASHBOARD'!$C$4,INDEX(MASTER_ZONES!$B:$B,1456)))),1455,""),""),""))</f>
        <v/>
      </c>
    </row>
    <row r="1457">
      <c r="A1457">
        <f>IF('WSF DASHBOARD'!$B$4="Area",IF(1456&lt;=$D$3,IF(AND(OR('WSF DASHBOARD'!$C$4="",ISNUMBER(SEARCH('WSF DASHBOARD'!$C$4,INDEX(MASTER_AREAS!$B:$B,1457))))),1456,""),""),IF('WSF DASHBOARD'!$B$4="Zone",IF(1456&lt;=$D$4,IF(OR('WSF DASHBOARD'!$C$4="",ISNUMBER(SEARCH('WSF DASHBOARD'!$C$4,INDEX(MASTER_ZONES!$B:$B,1457)))),1456,""),""),""))</f>
        <v/>
      </c>
      <c r="F1457">
        <f>IF('TRANSPORT DASHBOARD'!$B$4="Area",IF(1456&lt;=$I$3,IF(AND(INDEX(MASTER_AREAS!$F:$F,1457)&lt;&gt;"N",OR('TRANSPORT DASHBOARD'!$C$4="",ISNUMBER(SEARCH('TRANSPORT DASHBOARD'!$C$4,INDEX(MASTER_AREAS!$B:$B,1457))))),1456,""),""),IF('TRANSPORT DASHBOARD'!$B$4="Zone",IF(1456&lt;=$I$4,IF(OR('TRANSPORT DASHBOARD'!$C$4="",ISNUMBER(SEARCH('TRANSPORT DASHBOARD'!$C$4,INDEX(MASTER_ZONES!$B:$B,1457)))),1456,""),""),""))</f>
        <v/>
      </c>
      <c r="K1457">
        <f>IF('MIDWEEK DASHBOARD'!$B$4="Area",IF(1456&lt;=$N$3,IF(AND(OR('MIDWEEK DASHBOARD'!$C$4="",ISNUMBER(SEARCH('MIDWEEK DASHBOARD'!$C$4,INDEX(MASTER_AREAS!$B:$B,1457))))),1456,""),""),IF('MIDWEEK DASHBOARD'!$B$4="Zone",IF(1456&lt;=$N$4,IF(OR('MIDWEEK DASHBOARD'!$C$4="",ISNUMBER(SEARCH('MIDWEEK DASHBOARD'!$C$4,INDEX(MASTER_ZONES!$B:$B,1457)))),1456,""),""),""))</f>
        <v/>
      </c>
      <c r="P1457">
        <f>IF('CHOP DASHBOARD'!$B$4="Area",IF(1456&lt;=$S$3,IF(AND(OR('CHOP DASHBOARD'!$C$4="",ISNUMBER(SEARCH('CHOP DASHBOARD'!$C$4,INDEX(MASTER_AREAS!$B:$B,1457))))),1456,""),""),IF('CHOP DASHBOARD'!$B$4="Zone",IF(1456&lt;=$S$4,IF(OR('CHOP DASHBOARD'!$C$4="",ISNUMBER(SEARCH('CHOP DASHBOARD'!$C$4,INDEX(MASTER_ZONES!$B:$B,1457)))),1456,""),""),""))</f>
        <v/>
      </c>
      <c r="U1457">
        <f>IF('COMMUNITY CHURCH DASHBOARD'!$B$4="Area",IF(1456&lt;=$X$3,IF(AND(OR('COMMUNITY CHURCH DASHBOARD'!$C$4="",ISNUMBER(SEARCH('COMMUNITY CHURCH DASHBOARD'!$C$4,INDEX(MASTER_AREAS!$B:$B,1457))))),1456,""),""),IF('COMMUNITY CHURCH DASHBOARD'!$B$4="Zone",IF(1456&lt;=$X$4,IF(OR('COMMUNITY CHURCH DASHBOARD'!$C$4="",ISNUMBER(SEARCH('COMMUNITY CHURCH DASHBOARD'!$C$4,INDEX(MASTER_ZONES!$B:$B,1457)))),1456,""),""),""))</f>
        <v/>
      </c>
    </row>
    <row r="1458">
      <c r="A1458">
        <f>IF('WSF DASHBOARD'!$B$4="Area",IF(1457&lt;=$D$3,IF(AND(OR('WSF DASHBOARD'!$C$4="",ISNUMBER(SEARCH('WSF DASHBOARD'!$C$4,INDEX(MASTER_AREAS!$B:$B,1458))))),1457,""),""),IF('WSF DASHBOARD'!$B$4="Zone",IF(1457&lt;=$D$4,IF(OR('WSF DASHBOARD'!$C$4="",ISNUMBER(SEARCH('WSF DASHBOARD'!$C$4,INDEX(MASTER_ZONES!$B:$B,1458)))),1457,""),""),""))</f>
        <v/>
      </c>
      <c r="F1458">
        <f>IF('TRANSPORT DASHBOARD'!$B$4="Area",IF(1457&lt;=$I$3,IF(AND(INDEX(MASTER_AREAS!$F:$F,1458)&lt;&gt;"N",OR('TRANSPORT DASHBOARD'!$C$4="",ISNUMBER(SEARCH('TRANSPORT DASHBOARD'!$C$4,INDEX(MASTER_AREAS!$B:$B,1458))))),1457,""),""),IF('TRANSPORT DASHBOARD'!$B$4="Zone",IF(1457&lt;=$I$4,IF(OR('TRANSPORT DASHBOARD'!$C$4="",ISNUMBER(SEARCH('TRANSPORT DASHBOARD'!$C$4,INDEX(MASTER_ZONES!$B:$B,1458)))),1457,""),""),""))</f>
        <v/>
      </c>
      <c r="K1458">
        <f>IF('MIDWEEK DASHBOARD'!$B$4="Area",IF(1457&lt;=$N$3,IF(AND(OR('MIDWEEK DASHBOARD'!$C$4="",ISNUMBER(SEARCH('MIDWEEK DASHBOARD'!$C$4,INDEX(MASTER_AREAS!$B:$B,1458))))),1457,""),""),IF('MIDWEEK DASHBOARD'!$B$4="Zone",IF(1457&lt;=$N$4,IF(OR('MIDWEEK DASHBOARD'!$C$4="",ISNUMBER(SEARCH('MIDWEEK DASHBOARD'!$C$4,INDEX(MASTER_ZONES!$B:$B,1458)))),1457,""),""),""))</f>
        <v/>
      </c>
      <c r="P1458">
        <f>IF('CHOP DASHBOARD'!$B$4="Area",IF(1457&lt;=$S$3,IF(AND(OR('CHOP DASHBOARD'!$C$4="",ISNUMBER(SEARCH('CHOP DASHBOARD'!$C$4,INDEX(MASTER_AREAS!$B:$B,1458))))),1457,""),""),IF('CHOP DASHBOARD'!$B$4="Zone",IF(1457&lt;=$S$4,IF(OR('CHOP DASHBOARD'!$C$4="",ISNUMBER(SEARCH('CHOP DASHBOARD'!$C$4,INDEX(MASTER_ZONES!$B:$B,1458)))),1457,""),""),""))</f>
        <v/>
      </c>
      <c r="U1458">
        <f>IF('COMMUNITY CHURCH DASHBOARD'!$B$4="Area",IF(1457&lt;=$X$3,IF(AND(OR('COMMUNITY CHURCH DASHBOARD'!$C$4="",ISNUMBER(SEARCH('COMMUNITY CHURCH DASHBOARD'!$C$4,INDEX(MASTER_AREAS!$B:$B,1458))))),1457,""),""),IF('COMMUNITY CHURCH DASHBOARD'!$B$4="Zone",IF(1457&lt;=$X$4,IF(OR('COMMUNITY CHURCH DASHBOARD'!$C$4="",ISNUMBER(SEARCH('COMMUNITY CHURCH DASHBOARD'!$C$4,INDEX(MASTER_ZONES!$B:$B,1458)))),1457,""),""),""))</f>
        <v/>
      </c>
    </row>
    <row r="1459">
      <c r="A1459">
        <f>IF('WSF DASHBOARD'!$B$4="Area",IF(1458&lt;=$D$3,IF(AND(OR('WSF DASHBOARD'!$C$4="",ISNUMBER(SEARCH('WSF DASHBOARD'!$C$4,INDEX(MASTER_AREAS!$B:$B,1459))))),1458,""),""),IF('WSF DASHBOARD'!$B$4="Zone",IF(1458&lt;=$D$4,IF(OR('WSF DASHBOARD'!$C$4="",ISNUMBER(SEARCH('WSF DASHBOARD'!$C$4,INDEX(MASTER_ZONES!$B:$B,1459)))),1458,""),""),""))</f>
        <v/>
      </c>
      <c r="F1459">
        <f>IF('TRANSPORT DASHBOARD'!$B$4="Area",IF(1458&lt;=$I$3,IF(AND(INDEX(MASTER_AREAS!$F:$F,1459)&lt;&gt;"N",OR('TRANSPORT DASHBOARD'!$C$4="",ISNUMBER(SEARCH('TRANSPORT DASHBOARD'!$C$4,INDEX(MASTER_AREAS!$B:$B,1459))))),1458,""),""),IF('TRANSPORT DASHBOARD'!$B$4="Zone",IF(1458&lt;=$I$4,IF(OR('TRANSPORT DASHBOARD'!$C$4="",ISNUMBER(SEARCH('TRANSPORT DASHBOARD'!$C$4,INDEX(MASTER_ZONES!$B:$B,1459)))),1458,""),""),""))</f>
        <v/>
      </c>
      <c r="K1459">
        <f>IF('MIDWEEK DASHBOARD'!$B$4="Area",IF(1458&lt;=$N$3,IF(AND(OR('MIDWEEK DASHBOARD'!$C$4="",ISNUMBER(SEARCH('MIDWEEK DASHBOARD'!$C$4,INDEX(MASTER_AREAS!$B:$B,1459))))),1458,""),""),IF('MIDWEEK DASHBOARD'!$B$4="Zone",IF(1458&lt;=$N$4,IF(OR('MIDWEEK DASHBOARD'!$C$4="",ISNUMBER(SEARCH('MIDWEEK DASHBOARD'!$C$4,INDEX(MASTER_ZONES!$B:$B,1459)))),1458,""),""),""))</f>
        <v/>
      </c>
      <c r="P1459">
        <f>IF('CHOP DASHBOARD'!$B$4="Area",IF(1458&lt;=$S$3,IF(AND(OR('CHOP DASHBOARD'!$C$4="",ISNUMBER(SEARCH('CHOP DASHBOARD'!$C$4,INDEX(MASTER_AREAS!$B:$B,1459))))),1458,""),""),IF('CHOP DASHBOARD'!$B$4="Zone",IF(1458&lt;=$S$4,IF(OR('CHOP DASHBOARD'!$C$4="",ISNUMBER(SEARCH('CHOP DASHBOARD'!$C$4,INDEX(MASTER_ZONES!$B:$B,1459)))),1458,""),""),""))</f>
        <v/>
      </c>
      <c r="U1459">
        <f>IF('COMMUNITY CHURCH DASHBOARD'!$B$4="Area",IF(1458&lt;=$X$3,IF(AND(OR('COMMUNITY CHURCH DASHBOARD'!$C$4="",ISNUMBER(SEARCH('COMMUNITY CHURCH DASHBOARD'!$C$4,INDEX(MASTER_AREAS!$B:$B,1459))))),1458,""),""),IF('COMMUNITY CHURCH DASHBOARD'!$B$4="Zone",IF(1458&lt;=$X$4,IF(OR('COMMUNITY CHURCH DASHBOARD'!$C$4="",ISNUMBER(SEARCH('COMMUNITY CHURCH DASHBOARD'!$C$4,INDEX(MASTER_ZONES!$B:$B,1459)))),1458,""),""),""))</f>
        <v/>
      </c>
    </row>
    <row r="1460">
      <c r="A1460">
        <f>IF('WSF DASHBOARD'!$B$4="Area",IF(1459&lt;=$D$3,IF(AND(OR('WSF DASHBOARD'!$C$4="",ISNUMBER(SEARCH('WSF DASHBOARD'!$C$4,INDEX(MASTER_AREAS!$B:$B,1460))))),1459,""),""),IF('WSF DASHBOARD'!$B$4="Zone",IF(1459&lt;=$D$4,IF(OR('WSF DASHBOARD'!$C$4="",ISNUMBER(SEARCH('WSF DASHBOARD'!$C$4,INDEX(MASTER_ZONES!$B:$B,1460)))),1459,""),""),""))</f>
        <v/>
      </c>
      <c r="F1460">
        <f>IF('TRANSPORT DASHBOARD'!$B$4="Area",IF(1459&lt;=$I$3,IF(AND(INDEX(MASTER_AREAS!$F:$F,1460)&lt;&gt;"N",OR('TRANSPORT DASHBOARD'!$C$4="",ISNUMBER(SEARCH('TRANSPORT DASHBOARD'!$C$4,INDEX(MASTER_AREAS!$B:$B,1460))))),1459,""),""),IF('TRANSPORT DASHBOARD'!$B$4="Zone",IF(1459&lt;=$I$4,IF(OR('TRANSPORT DASHBOARD'!$C$4="",ISNUMBER(SEARCH('TRANSPORT DASHBOARD'!$C$4,INDEX(MASTER_ZONES!$B:$B,1460)))),1459,""),""),""))</f>
        <v/>
      </c>
      <c r="K1460">
        <f>IF('MIDWEEK DASHBOARD'!$B$4="Area",IF(1459&lt;=$N$3,IF(AND(OR('MIDWEEK DASHBOARD'!$C$4="",ISNUMBER(SEARCH('MIDWEEK DASHBOARD'!$C$4,INDEX(MASTER_AREAS!$B:$B,1460))))),1459,""),""),IF('MIDWEEK DASHBOARD'!$B$4="Zone",IF(1459&lt;=$N$4,IF(OR('MIDWEEK DASHBOARD'!$C$4="",ISNUMBER(SEARCH('MIDWEEK DASHBOARD'!$C$4,INDEX(MASTER_ZONES!$B:$B,1460)))),1459,""),""),""))</f>
        <v/>
      </c>
      <c r="P1460">
        <f>IF('CHOP DASHBOARD'!$B$4="Area",IF(1459&lt;=$S$3,IF(AND(OR('CHOP DASHBOARD'!$C$4="",ISNUMBER(SEARCH('CHOP DASHBOARD'!$C$4,INDEX(MASTER_AREAS!$B:$B,1460))))),1459,""),""),IF('CHOP DASHBOARD'!$B$4="Zone",IF(1459&lt;=$S$4,IF(OR('CHOP DASHBOARD'!$C$4="",ISNUMBER(SEARCH('CHOP DASHBOARD'!$C$4,INDEX(MASTER_ZONES!$B:$B,1460)))),1459,""),""),""))</f>
        <v/>
      </c>
      <c r="U1460">
        <f>IF('COMMUNITY CHURCH DASHBOARD'!$B$4="Area",IF(1459&lt;=$X$3,IF(AND(OR('COMMUNITY CHURCH DASHBOARD'!$C$4="",ISNUMBER(SEARCH('COMMUNITY CHURCH DASHBOARD'!$C$4,INDEX(MASTER_AREAS!$B:$B,1460))))),1459,""),""),IF('COMMUNITY CHURCH DASHBOARD'!$B$4="Zone",IF(1459&lt;=$X$4,IF(OR('COMMUNITY CHURCH DASHBOARD'!$C$4="",ISNUMBER(SEARCH('COMMUNITY CHURCH DASHBOARD'!$C$4,INDEX(MASTER_ZONES!$B:$B,1460)))),1459,""),""),""))</f>
        <v/>
      </c>
    </row>
    <row r="1461">
      <c r="A1461">
        <f>IF('WSF DASHBOARD'!$B$4="Area",IF(1460&lt;=$D$3,IF(AND(OR('WSF DASHBOARD'!$C$4="",ISNUMBER(SEARCH('WSF DASHBOARD'!$C$4,INDEX(MASTER_AREAS!$B:$B,1461))))),1460,""),""),IF('WSF DASHBOARD'!$B$4="Zone",IF(1460&lt;=$D$4,IF(OR('WSF DASHBOARD'!$C$4="",ISNUMBER(SEARCH('WSF DASHBOARD'!$C$4,INDEX(MASTER_ZONES!$B:$B,1461)))),1460,""),""),""))</f>
        <v/>
      </c>
      <c r="F1461">
        <f>IF('TRANSPORT DASHBOARD'!$B$4="Area",IF(1460&lt;=$I$3,IF(AND(INDEX(MASTER_AREAS!$F:$F,1461)&lt;&gt;"N",OR('TRANSPORT DASHBOARD'!$C$4="",ISNUMBER(SEARCH('TRANSPORT DASHBOARD'!$C$4,INDEX(MASTER_AREAS!$B:$B,1461))))),1460,""),""),IF('TRANSPORT DASHBOARD'!$B$4="Zone",IF(1460&lt;=$I$4,IF(OR('TRANSPORT DASHBOARD'!$C$4="",ISNUMBER(SEARCH('TRANSPORT DASHBOARD'!$C$4,INDEX(MASTER_ZONES!$B:$B,1461)))),1460,""),""),""))</f>
        <v/>
      </c>
      <c r="K1461">
        <f>IF('MIDWEEK DASHBOARD'!$B$4="Area",IF(1460&lt;=$N$3,IF(AND(OR('MIDWEEK DASHBOARD'!$C$4="",ISNUMBER(SEARCH('MIDWEEK DASHBOARD'!$C$4,INDEX(MASTER_AREAS!$B:$B,1461))))),1460,""),""),IF('MIDWEEK DASHBOARD'!$B$4="Zone",IF(1460&lt;=$N$4,IF(OR('MIDWEEK DASHBOARD'!$C$4="",ISNUMBER(SEARCH('MIDWEEK DASHBOARD'!$C$4,INDEX(MASTER_ZONES!$B:$B,1461)))),1460,""),""),""))</f>
        <v/>
      </c>
      <c r="P1461">
        <f>IF('CHOP DASHBOARD'!$B$4="Area",IF(1460&lt;=$S$3,IF(AND(OR('CHOP DASHBOARD'!$C$4="",ISNUMBER(SEARCH('CHOP DASHBOARD'!$C$4,INDEX(MASTER_AREAS!$B:$B,1461))))),1460,""),""),IF('CHOP DASHBOARD'!$B$4="Zone",IF(1460&lt;=$S$4,IF(OR('CHOP DASHBOARD'!$C$4="",ISNUMBER(SEARCH('CHOP DASHBOARD'!$C$4,INDEX(MASTER_ZONES!$B:$B,1461)))),1460,""),""),""))</f>
        <v/>
      </c>
      <c r="U1461">
        <f>IF('COMMUNITY CHURCH DASHBOARD'!$B$4="Area",IF(1460&lt;=$X$3,IF(AND(OR('COMMUNITY CHURCH DASHBOARD'!$C$4="",ISNUMBER(SEARCH('COMMUNITY CHURCH DASHBOARD'!$C$4,INDEX(MASTER_AREAS!$B:$B,1461))))),1460,""),""),IF('COMMUNITY CHURCH DASHBOARD'!$B$4="Zone",IF(1460&lt;=$X$4,IF(OR('COMMUNITY CHURCH DASHBOARD'!$C$4="",ISNUMBER(SEARCH('COMMUNITY CHURCH DASHBOARD'!$C$4,INDEX(MASTER_ZONES!$B:$B,1461)))),1460,""),""),""))</f>
        <v/>
      </c>
    </row>
    <row r="1462">
      <c r="A1462">
        <f>IF('WSF DASHBOARD'!$B$4="Area",IF(1461&lt;=$D$3,IF(AND(OR('WSF DASHBOARD'!$C$4="",ISNUMBER(SEARCH('WSF DASHBOARD'!$C$4,INDEX(MASTER_AREAS!$B:$B,1462))))),1461,""),""),IF('WSF DASHBOARD'!$B$4="Zone",IF(1461&lt;=$D$4,IF(OR('WSF DASHBOARD'!$C$4="",ISNUMBER(SEARCH('WSF DASHBOARD'!$C$4,INDEX(MASTER_ZONES!$B:$B,1462)))),1461,""),""),""))</f>
        <v/>
      </c>
      <c r="F1462">
        <f>IF('TRANSPORT DASHBOARD'!$B$4="Area",IF(1461&lt;=$I$3,IF(AND(INDEX(MASTER_AREAS!$F:$F,1462)&lt;&gt;"N",OR('TRANSPORT DASHBOARD'!$C$4="",ISNUMBER(SEARCH('TRANSPORT DASHBOARD'!$C$4,INDEX(MASTER_AREAS!$B:$B,1462))))),1461,""),""),IF('TRANSPORT DASHBOARD'!$B$4="Zone",IF(1461&lt;=$I$4,IF(OR('TRANSPORT DASHBOARD'!$C$4="",ISNUMBER(SEARCH('TRANSPORT DASHBOARD'!$C$4,INDEX(MASTER_ZONES!$B:$B,1462)))),1461,""),""),""))</f>
        <v/>
      </c>
      <c r="K1462">
        <f>IF('MIDWEEK DASHBOARD'!$B$4="Area",IF(1461&lt;=$N$3,IF(AND(OR('MIDWEEK DASHBOARD'!$C$4="",ISNUMBER(SEARCH('MIDWEEK DASHBOARD'!$C$4,INDEX(MASTER_AREAS!$B:$B,1462))))),1461,""),""),IF('MIDWEEK DASHBOARD'!$B$4="Zone",IF(1461&lt;=$N$4,IF(OR('MIDWEEK DASHBOARD'!$C$4="",ISNUMBER(SEARCH('MIDWEEK DASHBOARD'!$C$4,INDEX(MASTER_ZONES!$B:$B,1462)))),1461,""),""),""))</f>
        <v/>
      </c>
      <c r="P1462">
        <f>IF('CHOP DASHBOARD'!$B$4="Area",IF(1461&lt;=$S$3,IF(AND(OR('CHOP DASHBOARD'!$C$4="",ISNUMBER(SEARCH('CHOP DASHBOARD'!$C$4,INDEX(MASTER_AREAS!$B:$B,1462))))),1461,""),""),IF('CHOP DASHBOARD'!$B$4="Zone",IF(1461&lt;=$S$4,IF(OR('CHOP DASHBOARD'!$C$4="",ISNUMBER(SEARCH('CHOP DASHBOARD'!$C$4,INDEX(MASTER_ZONES!$B:$B,1462)))),1461,""),""),""))</f>
        <v/>
      </c>
      <c r="U1462">
        <f>IF('COMMUNITY CHURCH DASHBOARD'!$B$4="Area",IF(1461&lt;=$X$3,IF(AND(OR('COMMUNITY CHURCH DASHBOARD'!$C$4="",ISNUMBER(SEARCH('COMMUNITY CHURCH DASHBOARD'!$C$4,INDEX(MASTER_AREAS!$B:$B,1462))))),1461,""),""),IF('COMMUNITY CHURCH DASHBOARD'!$B$4="Zone",IF(1461&lt;=$X$4,IF(OR('COMMUNITY CHURCH DASHBOARD'!$C$4="",ISNUMBER(SEARCH('COMMUNITY CHURCH DASHBOARD'!$C$4,INDEX(MASTER_ZONES!$B:$B,1462)))),1461,""),""),""))</f>
        <v/>
      </c>
    </row>
    <row r="1463">
      <c r="A1463">
        <f>IF('WSF DASHBOARD'!$B$4="Area",IF(1462&lt;=$D$3,IF(AND(OR('WSF DASHBOARD'!$C$4="",ISNUMBER(SEARCH('WSF DASHBOARD'!$C$4,INDEX(MASTER_AREAS!$B:$B,1463))))),1462,""),""),IF('WSF DASHBOARD'!$B$4="Zone",IF(1462&lt;=$D$4,IF(OR('WSF DASHBOARD'!$C$4="",ISNUMBER(SEARCH('WSF DASHBOARD'!$C$4,INDEX(MASTER_ZONES!$B:$B,1463)))),1462,""),""),""))</f>
        <v/>
      </c>
      <c r="F1463">
        <f>IF('TRANSPORT DASHBOARD'!$B$4="Area",IF(1462&lt;=$I$3,IF(AND(INDEX(MASTER_AREAS!$F:$F,1463)&lt;&gt;"N",OR('TRANSPORT DASHBOARD'!$C$4="",ISNUMBER(SEARCH('TRANSPORT DASHBOARD'!$C$4,INDEX(MASTER_AREAS!$B:$B,1463))))),1462,""),""),IF('TRANSPORT DASHBOARD'!$B$4="Zone",IF(1462&lt;=$I$4,IF(OR('TRANSPORT DASHBOARD'!$C$4="",ISNUMBER(SEARCH('TRANSPORT DASHBOARD'!$C$4,INDEX(MASTER_ZONES!$B:$B,1463)))),1462,""),""),""))</f>
        <v/>
      </c>
      <c r="K1463">
        <f>IF('MIDWEEK DASHBOARD'!$B$4="Area",IF(1462&lt;=$N$3,IF(AND(OR('MIDWEEK DASHBOARD'!$C$4="",ISNUMBER(SEARCH('MIDWEEK DASHBOARD'!$C$4,INDEX(MASTER_AREAS!$B:$B,1463))))),1462,""),""),IF('MIDWEEK DASHBOARD'!$B$4="Zone",IF(1462&lt;=$N$4,IF(OR('MIDWEEK DASHBOARD'!$C$4="",ISNUMBER(SEARCH('MIDWEEK DASHBOARD'!$C$4,INDEX(MASTER_ZONES!$B:$B,1463)))),1462,""),""),""))</f>
        <v/>
      </c>
      <c r="P1463">
        <f>IF('CHOP DASHBOARD'!$B$4="Area",IF(1462&lt;=$S$3,IF(AND(OR('CHOP DASHBOARD'!$C$4="",ISNUMBER(SEARCH('CHOP DASHBOARD'!$C$4,INDEX(MASTER_AREAS!$B:$B,1463))))),1462,""),""),IF('CHOP DASHBOARD'!$B$4="Zone",IF(1462&lt;=$S$4,IF(OR('CHOP DASHBOARD'!$C$4="",ISNUMBER(SEARCH('CHOP DASHBOARD'!$C$4,INDEX(MASTER_ZONES!$B:$B,1463)))),1462,""),""),""))</f>
        <v/>
      </c>
      <c r="U1463">
        <f>IF('COMMUNITY CHURCH DASHBOARD'!$B$4="Area",IF(1462&lt;=$X$3,IF(AND(OR('COMMUNITY CHURCH DASHBOARD'!$C$4="",ISNUMBER(SEARCH('COMMUNITY CHURCH DASHBOARD'!$C$4,INDEX(MASTER_AREAS!$B:$B,1463))))),1462,""),""),IF('COMMUNITY CHURCH DASHBOARD'!$B$4="Zone",IF(1462&lt;=$X$4,IF(OR('COMMUNITY CHURCH DASHBOARD'!$C$4="",ISNUMBER(SEARCH('COMMUNITY CHURCH DASHBOARD'!$C$4,INDEX(MASTER_ZONES!$B:$B,1463)))),1462,""),""),""))</f>
        <v/>
      </c>
    </row>
    <row r="1464">
      <c r="A1464">
        <f>IF('WSF DASHBOARD'!$B$4="Area",IF(1463&lt;=$D$3,IF(AND(OR('WSF DASHBOARD'!$C$4="",ISNUMBER(SEARCH('WSF DASHBOARD'!$C$4,INDEX(MASTER_AREAS!$B:$B,1464))))),1463,""),""),IF('WSF DASHBOARD'!$B$4="Zone",IF(1463&lt;=$D$4,IF(OR('WSF DASHBOARD'!$C$4="",ISNUMBER(SEARCH('WSF DASHBOARD'!$C$4,INDEX(MASTER_ZONES!$B:$B,1464)))),1463,""),""),""))</f>
        <v/>
      </c>
      <c r="F1464">
        <f>IF('TRANSPORT DASHBOARD'!$B$4="Area",IF(1463&lt;=$I$3,IF(AND(INDEX(MASTER_AREAS!$F:$F,1464)&lt;&gt;"N",OR('TRANSPORT DASHBOARD'!$C$4="",ISNUMBER(SEARCH('TRANSPORT DASHBOARD'!$C$4,INDEX(MASTER_AREAS!$B:$B,1464))))),1463,""),""),IF('TRANSPORT DASHBOARD'!$B$4="Zone",IF(1463&lt;=$I$4,IF(OR('TRANSPORT DASHBOARD'!$C$4="",ISNUMBER(SEARCH('TRANSPORT DASHBOARD'!$C$4,INDEX(MASTER_ZONES!$B:$B,1464)))),1463,""),""),""))</f>
        <v/>
      </c>
      <c r="K1464">
        <f>IF('MIDWEEK DASHBOARD'!$B$4="Area",IF(1463&lt;=$N$3,IF(AND(OR('MIDWEEK DASHBOARD'!$C$4="",ISNUMBER(SEARCH('MIDWEEK DASHBOARD'!$C$4,INDEX(MASTER_AREAS!$B:$B,1464))))),1463,""),""),IF('MIDWEEK DASHBOARD'!$B$4="Zone",IF(1463&lt;=$N$4,IF(OR('MIDWEEK DASHBOARD'!$C$4="",ISNUMBER(SEARCH('MIDWEEK DASHBOARD'!$C$4,INDEX(MASTER_ZONES!$B:$B,1464)))),1463,""),""),""))</f>
        <v/>
      </c>
      <c r="P1464">
        <f>IF('CHOP DASHBOARD'!$B$4="Area",IF(1463&lt;=$S$3,IF(AND(OR('CHOP DASHBOARD'!$C$4="",ISNUMBER(SEARCH('CHOP DASHBOARD'!$C$4,INDEX(MASTER_AREAS!$B:$B,1464))))),1463,""),""),IF('CHOP DASHBOARD'!$B$4="Zone",IF(1463&lt;=$S$4,IF(OR('CHOP DASHBOARD'!$C$4="",ISNUMBER(SEARCH('CHOP DASHBOARD'!$C$4,INDEX(MASTER_ZONES!$B:$B,1464)))),1463,""),""),""))</f>
        <v/>
      </c>
      <c r="U1464">
        <f>IF('COMMUNITY CHURCH DASHBOARD'!$B$4="Area",IF(1463&lt;=$X$3,IF(AND(OR('COMMUNITY CHURCH DASHBOARD'!$C$4="",ISNUMBER(SEARCH('COMMUNITY CHURCH DASHBOARD'!$C$4,INDEX(MASTER_AREAS!$B:$B,1464))))),1463,""),""),IF('COMMUNITY CHURCH DASHBOARD'!$B$4="Zone",IF(1463&lt;=$X$4,IF(OR('COMMUNITY CHURCH DASHBOARD'!$C$4="",ISNUMBER(SEARCH('COMMUNITY CHURCH DASHBOARD'!$C$4,INDEX(MASTER_ZONES!$B:$B,1464)))),1463,""),""),""))</f>
        <v/>
      </c>
    </row>
    <row r="1465">
      <c r="A1465">
        <f>IF('WSF DASHBOARD'!$B$4="Area",IF(1464&lt;=$D$3,IF(AND(OR('WSF DASHBOARD'!$C$4="",ISNUMBER(SEARCH('WSF DASHBOARD'!$C$4,INDEX(MASTER_AREAS!$B:$B,1465))))),1464,""),""),IF('WSF DASHBOARD'!$B$4="Zone",IF(1464&lt;=$D$4,IF(OR('WSF DASHBOARD'!$C$4="",ISNUMBER(SEARCH('WSF DASHBOARD'!$C$4,INDEX(MASTER_ZONES!$B:$B,1465)))),1464,""),""),""))</f>
        <v/>
      </c>
      <c r="F1465">
        <f>IF('TRANSPORT DASHBOARD'!$B$4="Area",IF(1464&lt;=$I$3,IF(AND(INDEX(MASTER_AREAS!$F:$F,1465)&lt;&gt;"N",OR('TRANSPORT DASHBOARD'!$C$4="",ISNUMBER(SEARCH('TRANSPORT DASHBOARD'!$C$4,INDEX(MASTER_AREAS!$B:$B,1465))))),1464,""),""),IF('TRANSPORT DASHBOARD'!$B$4="Zone",IF(1464&lt;=$I$4,IF(OR('TRANSPORT DASHBOARD'!$C$4="",ISNUMBER(SEARCH('TRANSPORT DASHBOARD'!$C$4,INDEX(MASTER_ZONES!$B:$B,1465)))),1464,""),""),""))</f>
        <v/>
      </c>
      <c r="K1465">
        <f>IF('MIDWEEK DASHBOARD'!$B$4="Area",IF(1464&lt;=$N$3,IF(AND(OR('MIDWEEK DASHBOARD'!$C$4="",ISNUMBER(SEARCH('MIDWEEK DASHBOARD'!$C$4,INDEX(MASTER_AREAS!$B:$B,1465))))),1464,""),""),IF('MIDWEEK DASHBOARD'!$B$4="Zone",IF(1464&lt;=$N$4,IF(OR('MIDWEEK DASHBOARD'!$C$4="",ISNUMBER(SEARCH('MIDWEEK DASHBOARD'!$C$4,INDEX(MASTER_ZONES!$B:$B,1465)))),1464,""),""),""))</f>
        <v/>
      </c>
      <c r="P1465">
        <f>IF('CHOP DASHBOARD'!$B$4="Area",IF(1464&lt;=$S$3,IF(AND(OR('CHOP DASHBOARD'!$C$4="",ISNUMBER(SEARCH('CHOP DASHBOARD'!$C$4,INDEX(MASTER_AREAS!$B:$B,1465))))),1464,""),""),IF('CHOP DASHBOARD'!$B$4="Zone",IF(1464&lt;=$S$4,IF(OR('CHOP DASHBOARD'!$C$4="",ISNUMBER(SEARCH('CHOP DASHBOARD'!$C$4,INDEX(MASTER_ZONES!$B:$B,1465)))),1464,""),""),""))</f>
        <v/>
      </c>
      <c r="U1465">
        <f>IF('COMMUNITY CHURCH DASHBOARD'!$B$4="Area",IF(1464&lt;=$X$3,IF(AND(OR('COMMUNITY CHURCH DASHBOARD'!$C$4="",ISNUMBER(SEARCH('COMMUNITY CHURCH DASHBOARD'!$C$4,INDEX(MASTER_AREAS!$B:$B,1465))))),1464,""),""),IF('COMMUNITY CHURCH DASHBOARD'!$B$4="Zone",IF(1464&lt;=$X$4,IF(OR('COMMUNITY CHURCH DASHBOARD'!$C$4="",ISNUMBER(SEARCH('COMMUNITY CHURCH DASHBOARD'!$C$4,INDEX(MASTER_ZONES!$B:$B,1465)))),1464,""),""),""))</f>
        <v/>
      </c>
    </row>
    <row r="1466">
      <c r="A1466">
        <f>IF('WSF DASHBOARD'!$B$4="Area",IF(1465&lt;=$D$3,IF(AND(OR('WSF DASHBOARD'!$C$4="",ISNUMBER(SEARCH('WSF DASHBOARD'!$C$4,INDEX(MASTER_AREAS!$B:$B,1466))))),1465,""),""),IF('WSF DASHBOARD'!$B$4="Zone",IF(1465&lt;=$D$4,IF(OR('WSF DASHBOARD'!$C$4="",ISNUMBER(SEARCH('WSF DASHBOARD'!$C$4,INDEX(MASTER_ZONES!$B:$B,1466)))),1465,""),""),""))</f>
        <v/>
      </c>
      <c r="F1466">
        <f>IF('TRANSPORT DASHBOARD'!$B$4="Area",IF(1465&lt;=$I$3,IF(AND(INDEX(MASTER_AREAS!$F:$F,1466)&lt;&gt;"N",OR('TRANSPORT DASHBOARD'!$C$4="",ISNUMBER(SEARCH('TRANSPORT DASHBOARD'!$C$4,INDEX(MASTER_AREAS!$B:$B,1466))))),1465,""),""),IF('TRANSPORT DASHBOARD'!$B$4="Zone",IF(1465&lt;=$I$4,IF(OR('TRANSPORT DASHBOARD'!$C$4="",ISNUMBER(SEARCH('TRANSPORT DASHBOARD'!$C$4,INDEX(MASTER_ZONES!$B:$B,1466)))),1465,""),""),""))</f>
        <v/>
      </c>
      <c r="K1466">
        <f>IF('MIDWEEK DASHBOARD'!$B$4="Area",IF(1465&lt;=$N$3,IF(AND(OR('MIDWEEK DASHBOARD'!$C$4="",ISNUMBER(SEARCH('MIDWEEK DASHBOARD'!$C$4,INDEX(MASTER_AREAS!$B:$B,1466))))),1465,""),""),IF('MIDWEEK DASHBOARD'!$B$4="Zone",IF(1465&lt;=$N$4,IF(OR('MIDWEEK DASHBOARD'!$C$4="",ISNUMBER(SEARCH('MIDWEEK DASHBOARD'!$C$4,INDEX(MASTER_ZONES!$B:$B,1466)))),1465,""),""),""))</f>
        <v/>
      </c>
      <c r="P1466">
        <f>IF('CHOP DASHBOARD'!$B$4="Area",IF(1465&lt;=$S$3,IF(AND(OR('CHOP DASHBOARD'!$C$4="",ISNUMBER(SEARCH('CHOP DASHBOARD'!$C$4,INDEX(MASTER_AREAS!$B:$B,1466))))),1465,""),""),IF('CHOP DASHBOARD'!$B$4="Zone",IF(1465&lt;=$S$4,IF(OR('CHOP DASHBOARD'!$C$4="",ISNUMBER(SEARCH('CHOP DASHBOARD'!$C$4,INDEX(MASTER_ZONES!$B:$B,1466)))),1465,""),""),""))</f>
        <v/>
      </c>
      <c r="U1466">
        <f>IF('COMMUNITY CHURCH DASHBOARD'!$B$4="Area",IF(1465&lt;=$X$3,IF(AND(OR('COMMUNITY CHURCH DASHBOARD'!$C$4="",ISNUMBER(SEARCH('COMMUNITY CHURCH DASHBOARD'!$C$4,INDEX(MASTER_AREAS!$B:$B,1466))))),1465,""),""),IF('COMMUNITY CHURCH DASHBOARD'!$B$4="Zone",IF(1465&lt;=$X$4,IF(OR('COMMUNITY CHURCH DASHBOARD'!$C$4="",ISNUMBER(SEARCH('COMMUNITY CHURCH DASHBOARD'!$C$4,INDEX(MASTER_ZONES!$B:$B,1466)))),1465,""),""),""))</f>
        <v/>
      </c>
    </row>
    <row r="1467">
      <c r="A1467">
        <f>IF('WSF DASHBOARD'!$B$4="Area",IF(1466&lt;=$D$3,IF(AND(OR('WSF DASHBOARD'!$C$4="",ISNUMBER(SEARCH('WSF DASHBOARD'!$C$4,INDEX(MASTER_AREAS!$B:$B,1467))))),1466,""),""),IF('WSF DASHBOARD'!$B$4="Zone",IF(1466&lt;=$D$4,IF(OR('WSF DASHBOARD'!$C$4="",ISNUMBER(SEARCH('WSF DASHBOARD'!$C$4,INDEX(MASTER_ZONES!$B:$B,1467)))),1466,""),""),""))</f>
        <v/>
      </c>
      <c r="F1467">
        <f>IF('TRANSPORT DASHBOARD'!$B$4="Area",IF(1466&lt;=$I$3,IF(AND(INDEX(MASTER_AREAS!$F:$F,1467)&lt;&gt;"N",OR('TRANSPORT DASHBOARD'!$C$4="",ISNUMBER(SEARCH('TRANSPORT DASHBOARD'!$C$4,INDEX(MASTER_AREAS!$B:$B,1467))))),1466,""),""),IF('TRANSPORT DASHBOARD'!$B$4="Zone",IF(1466&lt;=$I$4,IF(OR('TRANSPORT DASHBOARD'!$C$4="",ISNUMBER(SEARCH('TRANSPORT DASHBOARD'!$C$4,INDEX(MASTER_ZONES!$B:$B,1467)))),1466,""),""),""))</f>
        <v/>
      </c>
      <c r="K1467">
        <f>IF('MIDWEEK DASHBOARD'!$B$4="Area",IF(1466&lt;=$N$3,IF(AND(OR('MIDWEEK DASHBOARD'!$C$4="",ISNUMBER(SEARCH('MIDWEEK DASHBOARD'!$C$4,INDEX(MASTER_AREAS!$B:$B,1467))))),1466,""),""),IF('MIDWEEK DASHBOARD'!$B$4="Zone",IF(1466&lt;=$N$4,IF(OR('MIDWEEK DASHBOARD'!$C$4="",ISNUMBER(SEARCH('MIDWEEK DASHBOARD'!$C$4,INDEX(MASTER_ZONES!$B:$B,1467)))),1466,""),""),""))</f>
        <v/>
      </c>
      <c r="P1467">
        <f>IF('CHOP DASHBOARD'!$B$4="Area",IF(1466&lt;=$S$3,IF(AND(OR('CHOP DASHBOARD'!$C$4="",ISNUMBER(SEARCH('CHOP DASHBOARD'!$C$4,INDEX(MASTER_AREAS!$B:$B,1467))))),1466,""),""),IF('CHOP DASHBOARD'!$B$4="Zone",IF(1466&lt;=$S$4,IF(OR('CHOP DASHBOARD'!$C$4="",ISNUMBER(SEARCH('CHOP DASHBOARD'!$C$4,INDEX(MASTER_ZONES!$B:$B,1467)))),1466,""),""),""))</f>
        <v/>
      </c>
      <c r="U1467">
        <f>IF('COMMUNITY CHURCH DASHBOARD'!$B$4="Area",IF(1466&lt;=$X$3,IF(AND(OR('COMMUNITY CHURCH DASHBOARD'!$C$4="",ISNUMBER(SEARCH('COMMUNITY CHURCH DASHBOARD'!$C$4,INDEX(MASTER_AREAS!$B:$B,1467))))),1466,""),""),IF('COMMUNITY CHURCH DASHBOARD'!$B$4="Zone",IF(1466&lt;=$X$4,IF(OR('COMMUNITY CHURCH DASHBOARD'!$C$4="",ISNUMBER(SEARCH('COMMUNITY CHURCH DASHBOARD'!$C$4,INDEX(MASTER_ZONES!$B:$B,1467)))),1466,""),""),""))</f>
        <v/>
      </c>
    </row>
    <row r="1468">
      <c r="A1468">
        <f>IF('WSF DASHBOARD'!$B$4="Area",IF(1467&lt;=$D$3,IF(AND(OR('WSF DASHBOARD'!$C$4="",ISNUMBER(SEARCH('WSF DASHBOARD'!$C$4,INDEX(MASTER_AREAS!$B:$B,1468))))),1467,""),""),IF('WSF DASHBOARD'!$B$4="Zone",IF(1467&lt;=$D$4,IF(OR('WSF DASHBOARD'!$C$4="",ISNUMBER(SEARCH('WSF DASHBOARD'!$C$4,INDEX(MASTER_ZONES!$B:$B,1468)))),1467,""),""),""))</f>
        <v/>
      </c>
      <c r="F1468">
        <f>IF('TRANSPORT DASHBOARD'!$B$4="Area",IF(1467&lt;=$I$3,IF(AND(INDEX(MASTER_AREAS!$F:$F,1468)&lt;&gt;"N",OR('TRANSPORT DASHBOARD'!$C$4="",ISNUMBER(SEARCH('TRANSPORT DASHBOARD'!$C$4,INDEX(MASTER_AREAS!$B:$B,1468))))),1467,""),""),IF('TRANSPORT DASHBOARD'!$B$4="Zone",IF(1467&lt;=$I$4,IF(OR('TRANSPORT DASHBOARD'!$C$4="",ISNUMBER(SEARCH('TRANSPORT DASHBOARD'!$C$4,INDEX(MASTER_ZONES!$B:$B,1468)))),1467,""),""),""))</f>
        <v/>
      </c>
      <c r="K1468">
        <f>IF('MIDWEEK DASHBOARD'!$B$4="Area",IF(1467&lt;=$N$3,IF(AND(OR('MIDWEEK DASHBOARD'!$C$4="",ISNUMBER(SEARCH('MIDWEEK DASHBOARD'!$C$4,INDEX(MASTER_AREAS!$B:$B,1468))))),1467,""),""),IF('MIDWEEK DASHBOARD'!$B$4="Zone",IF(1467&lt;=$N$4,IF(OR('MIDWEEK DASHBOARD'!$C$4="",ISNUMBER(SEARCH('MIDWEEK DASHBOARD'!$C$4,INDEX(MASTER_ZONES!$B:$B,1468)))),1467,""),""),""))</f>
        <v/>
      </c>
      <c r="P1468">
        <f>IF('CHOP DASHBOARD'!$B$4="Area",IF(1467&lt;=$S$3,IF(AND(OR('CHOP DASHBOARD'!$C$4="",ISNUMBER(SEARCH('CHOP DASHBOARD'!$C$4,INDEX(MASTER_AREAS!$B:$B,1468))))),1467,""),""),IF('CHOP DASHBOARD'!$B$4="Zone",IF(1467&lt;=$S$4,IF(OR('CHOP DASHBOARD'!$C$4="",ISNUMBER(SEARCH('CHOP DASHBOARD'!$C$4,INDEX(MASTER_ZONES!$B:$B,1468)))),1467,""),""),""))</f>
        <v/>
      </c>
      <c r="U1468">
        <f>IF('COMMUNITY CHURCH DASHBOARD'!$B$4="Area",IF(1467&lt;=$X$3,IF(AND(OR('COMMUNITY CHURCH DASHBOARD'!$C$4="",ISNUMBER(SEARCH('COMMUNITY CHURCH DASHBOARD'!$C$4,INDEX(MASTER_AREAS!$B:$B,1468))))),1467,""),""),IF('COMMUNITY CHURCH DASHBOARD'!$B$4="Zone",IF(1467&lt;=$X$4,IF(OR('COMMUNITY CHURCH DASHBOARD'!$C$4="",ISNUMBER(SEARCH('COMMUNITY CHURCH DASHBOARD'!$C$4,INDEX(MASTER_ZONES!$B:$B,1468)))),1467,""),""),""))</f>
        <v/>
      </c>
    </row>
    <row r="1469">
      <c r="A1469">
        <f>IF('WSF DASHBOARD'!$B$4="Area",IF(1468&lt;=$D$3,IF(AND(OR('WSF DASHBOARD'!$C$4="",ISNUMBER(SEARCH('WSF DASHBOARD'!$C$4,INDEX(MASTER_AREAS!$B:$B,1469))))),1468,""),""),IF('WSF DASHBOARD'!$B$4="Zone",IF(1468&lt;=$D$4,IF(OR('WSF DASHBOARD'!$C$4="",ISNUMBER(SEARCH('WSF DASHBOARD'!$C$4,INDEX(MASTER_ZONES!$B:$B,1469)))),1468,""),""),""))</f>
        <v/>
      </c>
      <c r="F1469">
        <f>IF('TRANSPORT DASHBOARD'!$B$4="Area",IF(1468&lt;=$I$3,IF(AND(INDEX(MASTER_AREAS!$F:$F,1469)&lt;&gt;"N",OR('TRANSPORT DASHBOARD'!$C$4="",ISNUMBER(SEARCH('TRANSPORT DASHBOARD'!$C$4,INDEX(MASTER_AREAS!$B:$B,1469))))),1468,""),""),IF('TRANSPORT DASHBOARD'!$B$4="Zone",IF(1468&lt;=$I$4,IF(OR('TRANSPORT DASHBOARD'!$C$4="",ISNUMBER(SEARCH('TRANSPORT DASHBOARD'!$C$4,INDEX(MASTER_ZONES!$B:$B,1469)))),1468,""),""),""))</f>
        <v/>
      </c>
      <c r="K1469">
        <f>IF('MIDWEEK DASHBOARD'!$B$4="Area",IF(1468&lt;=$N$3,IF(AND(OR('MIDWEEK DASHBOARD'!$C$4="",ISNUMBER(SEARCH('MIDWEEK DASHBOARD'!$C$4,INDEX(MASTER_AREAS!$B:$B,1469))))),1468,""),""),IF('MIDWEEK DASHBOARD'!$B$4="Zone",IF(1468&lt;=$N$4,IF(OR('MIDWEEK DASHBOARD'!$C$4="",ISNUMBER(SEARCH('MIDWEEK DASHBOARD'!$C$4,INDEX(MASTER_ZONES!$B:$B,1469)))),1468,""),""),""))</f>
        <v/>
      </c>
      <c r="P1469">
        <f>IF('CHOP DASHBOARD'!$B$4="Area",IF(1468&lt;=$S$3,IF(AND(OR('CHOP DASHBOARD'!$C$4="",ISNUMBER(SEARCH('CHOP DASHBOARD'!$C$4,INDEX(MASTER_AREAS!$B:$B,1469))))),1468,""),""),IF('CHOP DASHBOARD'!$B$4="Zone",IF(1468&lt;=$S$4,IF(OR('CHOP DASHBOARD'!$C$4="",ISNUMBER(SEARCH('CHOP DASHBOARD'!$C$4,INDEX(MASTER_ZONES!$B:$B,1469)))),1468,""),""),""))</f>
        <v/>
      </c>
      <c r="U1469">
        <f>IF('COMMUNITY CHURCH DASHBOARD'!$B$4="Area",IF(1468&lt;=$X$3,IF(AND(OR('COMMUNITY CHURCH DASHBOARD'!$C$4="",ISNUMBER(SEARCH('COMMUNITY CHURCH DASHBOARD'!$C$4,INDEX(MASTER_AREAS!$B:$B,1469))))),1468,""),""),IF('COMMUNITY CHURCH DASHBOARD'!$B$4="Zone",IF(1468&lt;=$X$4,IF(OR('COMMUNITY CHURCH DASHBOARD'!$C$4="",ISNUMBER(SEARCH('COMMUNITY CHURCH DASHBOARD'!$C$4,INDEX(MASTER_ZONES!$B:$B,1469)))),1468,""),""),""))</f>
        <v/>
      </c>
    </row>
    <row r="1470">
      <c r="A1470">
        <f>IF('WSF DASHBOARD'!$B$4="Area",IF(1469&lt;=$D$3,IF(AND(OR('WSF DASHBOARD'!$C$4="",ISNUMBER(SEARCH('WSF DASHBOARD'!$C$4,INDEX(MASTER_AREAS!$B:$B,1470))))),1469,""),""),IF('WSF DASHBOARD'!$B$4="Zone",IF(1469&lt;=$D$4,IF(OR('WSF DASHBOARD'!$C$4="",ISNUMBER(SEARCH('WSF DASHBOARD'!$C$4,INDEX(MASTER_ZONES!$B:$B,1470)))),1469,""),""),""))</f>
        <v/>
      </c>
      <c r="F1470">
        <f>IF('TRANSPORT DASHBOARD'!$B$4="Area",IF(1469&lt;=$I$3,IF(AND(INDEX(MASTER_AREAS!$F:$F,1470)&lt;&gt;"N",OR('TRANSPORT DASHBOARD'!$C$4="",ISNUMBER(SEARCH('TRANSPORT DASHBOARD'!$C$4,INDEX(MASTER_AREAS!$B:$B,1470))))),1469,""),""),IF('TRANSPORT DASHBOARD'!$B$4="Zone",IF(1469&lt;=$I$4,IF(OR('TRANSPORT DASHBOARD'!$C$4="",ISNUMBER(SEARCH('TRANSPORT DASHBOARD'!$C$4,INDEX(MASTER_ZONES!$B:$B,1470)))),1469,""),""),""))</f>
        <v/>
      </c>
      <c r="K1470">
        <f>IF('MIDWEEK DASHBOARD'!$B$4="Area",IF(1469&lt;=$N$3,IF(AND(OR('MIDWEEK DASHBOARD'!$C$4="",ISNUMBER(SEARCH('MIDWEEK DASHBOARD'!$C$4,INDEX(MASTER_AREAS!$B:$B,1470))))),1469,""),""),IF('MIDWEEK DASHBOARD'!$B$4="Zone",IF(1469&lt;=$N$4,IF(OR('MIDWEEK DASHBOARD'!$C$4="",ISNUMBER(SEARCH('MIDWEEK DASHBOARD'!$C$4,INDEX(MASTER_ZONES!$B:$B,1470)))),1469,""),""),""))</f>
        <v/>
      </c>
      <c r="P1470">
        <f>IF('CHOP DASHBOARD'!$B$4="Area",IF(1469&lt;=$S$3,IF(AND(OR('CHOP DASHBOARD'!$C$4="",ISNUMBER(SEARCH('CHOP DASHBOARD'!$C$4,INDEX(MASTER_AREAS!$B:$B,1470))))),1469,""),""),IF('CHOP DASHBOARD'!$B$4="Zone",IF(1469&lt;=$S$4,IF(OR('CHOP DASHBOARD'!$C$4="",ISNUMBER(SEARCH('CHOP DASHBOARD'!$C$4,INDEX(MASTER_ZONES!$B:$B,1470)))),1469,""),""),""))</f>
        <v/>
      </c>
      <c r="U1470">
        <f>IF('COMMUNITY CHURCH DASHBOARD'!$B$4="Area",IF(1469&lt;=$X$3,IF(AND(OR('COMMUNITY CHURCH DASHBOARD'!$C$4="",ISNUMBER(SEARCH('COMMUNITY CHURCH DASHBOARD'!$C$4,INDEX(MASTER_AREAS!$B:$B,1470))))),1469,""),""),IF('COMMUNITY CHURCH DASHBOARD'!$B$4="Zone",IF(1469&lt;=$X$4,IF(OR('COMMUNITY CHURCH DASHBOARD'!$C$4="",ISNUMBER(SEARCH('COMMUNITY CHURCH DASHBOARD'!$C$4,INDEX(MASTER_ZONES!$B:$B,1470)))),1469,""),""),""))</f>
        <v/>
      </c>
    </row>
    <row r="1471">
      <c r="A1471">
        <f>IF('WSF DASHBOARD'!$B$4="Area",IF(1470&lt;=$D$3,IF(AND(OR('WSF DASHBOARD'!$C$4="",ISNUMBER(SEARCH('WSF DASHBOARD'!$C$4,INDEX(MASTER_AREAS!$B:$B,1471))))),1470,""),""),IF('WSF DASHBOARD'!$B$4="Zone",IF(1470&lt;=$D$4,IF(OR('WSF DASHBOARD'!$C$4="",ISNUMBER(SEARCH('WSF DASHBOARD'!$C$4,INDEX(MASTER_ZONES!$B:$B,1471)))),1470,""),""),""))</f>
        <v/>
      </c>
      <c r="F1471">
        <f>IF('TRANSPORT DASHBOARD'!$B$4="Area",IF(1470&lt;=$I$3,IF(AND(INDEX(MASTER_AREAS!$F:$F,1471)&lt;&gt;"N",OR('TRANSPORT DASHBOARD'!$C$4="",ISNUMBER(SEARCH('TRANSPORT DASHBOARD'!$C$4,INDEX(MASTER_AREAS!$B:$B,1471))))),1470,""),""),IF('TRANSPORT DASHBOARD'!$B$4="Zone",IF(1470&lt;=$I$4,IF(OR('TRANSPORT DASHBOARD'!$C$4="",ISNUMBER(SEARCH('TRANSPORT DASHBOARD'!$C$4,INDEX(MASTER_ZONES!$B:$B,1471)))),1470,""),""),""))</f>
        <v/>
      </c>
      <c r="K1471">
        <f>IF('MIDWEEK DASHBOARD'!$B$4="Area",IF(1470&lt;=$N$3,IF(AND(OR('MIDWEEK DASHBOARD'!$C$4="",ISNUMBER(SEARCH('MIDWEEK DASHBOARD'!$C$4,INDEX(MASTER_AREAS!$B:$B,1471))))),1470,""),""),IF('MIDWEEK DASHBOARD'!$B$4="Zone",IF(1470&lt;=$N$4,IF(OR('MIDWEEK DASHBOARD'!$C$4="",ISNUMBER(SEARCH('MIDWEEK DASHBOARD'!$C$4,INDEX(MASTER_ZONES!$B:$B,1471)))),1470,""),""),""))</f>
        <v/>
      </c>
      <c r="P1471">
        <f>IF('CHOP DASHBOARD'!$B$4="Area",IF(1470&lt;=$S$3,IF(AND(OR('CHOP DASHBOARD'!$C$4="",ISNUMBER(SEARCH('CHOP DASHBOARD'!$C$4,INDEX(MASTER_AREAS!$B:$B,1471))))),1470,""),""),IF('CHOP DASHBOARD'!$B$4="Zone",IF(1470&lt;=$S$4,IF(OR('CHOP DASHBOARD'!$C$4="",ISNUMBER(SEARCH('CHOP DASHBOARD'!$C$4,INDEX(MASTER_ZONES!$B:$B,1471)))),1470,""),""),""))</f>
        <v/>
      </c>
      <c r="U1471">
        <f>IF('COMMUNITY CHURCH DASHBOARD'!$B$4="Area",IF(1470&lt;=$X$3,IF(AND(OR('COMMUNITY CHURCH DASHBOARD'!$C$4="",ISNUMBER(SEARCH('COMMUNITY CHURCH DASHBOARD'!$C$4,INDEX(MASTER_AREAS!$B:$B,1471))))),1470,""),""),IF('COMMUNITY CHURCH DASHBOARD'!$B$4="Zone",IF(1470&lt;=$X$4,IF(OR('COMMUNITY CHURCH DASHBOARD'!$C$4="",ISNUMBER(SEARCH('COMMUNITY CHURCH DASHBOARD'!$C$4,INDEX(MASTER_ZONES!$B:$B,1471)))),1470,""),""),""))</f>
        <v/>
      </c>
    </row>
    <row r="1472">
      <c r="A1472">
        <f>IF('WSF DASHBOARD'!$B$4="Area",IF(1471&lt;=$D$3,IF(AND(OR('WSF DASHBOARD'!$C$4="",ISNUMBER(SEARCH('WSF DASHBOARD'!$C$4,INDEX(MASTER_AREAS!$B:$B,1472))))),1471,""),""),IF('WSF DASHBOARD'!$B$4="Zone",IF(1471&lt;=$D$4,IF(OR('WSF DASHBOARD'!$C$4="",ISNUMBER(SEARCH('WSF DASHBOARD'!$C$4,INDEX(MASTER_ZONES!$B:$B,1472)))),1471,""),""),""))</f>
        <v/>
      </c>
      <c r="F1472">
        <f>IF('TRANSPORT DASHBOARD'!$B$4="Area",IF(1471&lt;=$I$3,IF(AND(INDEX(MASTER_AREAS!$F:$F,1472)&lt;&gt;"N",OR('TRANSPORT DASHBOARD'!$C$4="",ISNUMBER(SEARCH('TRANSPORT DASHBOARD'!$C$4,INDEX(MASTER_AREAS!$B:$B,1472))))),1471,""),""),IF('TRANSPORT DASHBOARD'!$B$4="Zone",IF(1471&lt;=$I$4,IF(OR('TRANSPORT DASHBOARD'!$C$4="",ISNUMBER(SEARCH('TRANSPORT DASHBOARD'!$C$4,INDEX(MASTER_ZONES!$B:$B,1472)))),1471,""),""),""))</f>
        <v/>
      </c>
      <c r="K1472">
        <f>IF('MIDWEEK DASHBOARD'!$B$4="Area",IF(1471&lt;=$N$3,IF(AND(OR('MIDWEEK DASHBOARD'!$C$4="",ISNUMBER(SEARCH('MIDWEEK DASHBOARD'!$C$4,INDEX(MASTER_AREAS!$B:$B,1472))))),1471,""),""),IF('MIDWEEK DASHBOARD'!$B$4="Zone",IF(1471&lt;=$N$4,IF(OR('MIDWEEK DASHBOARD'!$C$4="",ISNUMBER(SEARCH('MIDWEEK DASHBOARD'!$C$4,INDEX(MASTER_ZONES!$B:$B,1472)))),1471,""),""),""))</f>
        <v/>
      </c>
      <c r="P1472">
        <f>IF('CHOP DASHBOARD'!$B$4="Area",IF(1471&lt;=$S$3,IF(AND(OR('CHOP DASHBOARD'!$C$4="",ISNUMBER(SEARCH('CHOP DASHBOARD'!$C$4,INDEX(MASTER_AREAS!$B:$B,1472))))),1471,""),""),IF('CHOP DASHBOARD'!$B$4="Zone",IF(1471&lt;=$S$4,IF(OR('CHOP DASHBOARD'!$C$4="",ISNUMBER(SEARCH('CHOP DASHBOARD'!$C$4,INDEX(MASTER_ZONES!$B:$B,1472)))),1471,""),""),""))</f>
        <v/>
      </c>
      <c r="U1472">
        <f>IF('COMMUNITY CHURCH DASHBOARD'!$B$4="Area",IF(1471&lt;=$X$3,IF(AND(OR('COMMUNITY CHURCH DASHBOARD'!$C$4="",ISNUMBER(SEARCH('COMMUNITY CHURCH DASHBOARD'!$C$4,INDEX(MASTER_AREAS!$B:$B,1472))))),1471,""),""),IF('COMMUNITY CHURCH DASHBOARD'!$B$4="Zone",IF(1471&lt;=$X$4,IF(OR('COMMUNITY CHURCH DASHBOARD'!$C$4="",ISNUMBER(SEARCH('COMMUNITY CHURCH DASHBOARD'!$C$4,INDEX(MASTER_ZONES!$B:$B,1472)))),1471,""),""),""))</f>
        <v/>
      </c>
    </row>
    <row r="1473">
      <c r="A1473">
        <f>IF('WSF DASHBOARD'!$B$4="Area",IF(1472&lt;=$D$3,IF(AND(OR('WSF DASHBOARD'!$C$4="",ISNUMBER(SEARCH('WSF DASHBOARD'!$C$4,INDEX(MASTER_AREAS!$B:$B,1473))))),1472,""),""),IF('WSF DASHBOARD'!$B$4="Zone",IF(1472&lt;=$D$4,IF(OR('WSF DASHBOARD'!$C$4="",ISNUMBER(SEARCH('WSF DASHBOARD'!$C$4,INDEX(MASTER_ZONES!$B:$B,1473)))),1472,""),""),""))</f>
        <v/>
      </c>
      <c r="F1473">
        <f>IF('TRANSPORT DASHBOARD'!$B$4="Area",IF(1472&lt;=$I$3,IF(AND(INDEX(MASTER_AREAS!$F:$F,1473)&lt;&gt;"N",OR('TRANSPORT DASHBOARD'!$C$4="",ISNUMBER(SEARCH('TRANSPORT DASHBOARD'!$C$4,INDEX(MASTER_AREAS!$B:$B,1473))))),1472,""),""),IF('TRANSPORT DASHBOARD'!$B$4="Zone",IF(1472&lt;=$I$4,IF(OR('TRANSPORT DASHBOARD'!$C$4="",ISNUMBER(SEARCH('TRANSPORT DASHBOARD'!$C$4,INDEX(MASTER_ZONES!$B:$B,1473)))),1472,""),""),""))</f>
        <v/>
      </c>
      <c r="K1473">
        <f>IF('MIDWEEK DASHBOARD'!$B$4="Area",IF(1472&lt;=$N$3,IF(AND(OR('MIDWEEK DASHBOARD'!$C$4="",ISNUMBER(SEARCH('MIDWEEK DASHBOARD'!$C$4,INDEX(MASTER_AREAS!$B:$B,1473))))),1472,""),""),IF('MIDWEEK DASHBOARD'!$B$4="Zone",IF(1472&lt;=$N$4,IF(OR('MIDWEEK DASHBOARD'!$C$4="",ISNUMBER(SEARCH('MIDWEEK DASHBOARD'!$C$4,INDEX(MASTER_ZONES!$B:$B,1473)))),1472,""),""),""))</f>
        <v/>
      </c>
      <c r="P1473">
        <f>IF('CHOP DASHBOARD'!$B$4="Area",IF(1472&lt;=$S$3,IF(AND(OR('CHOP DASHBOARD'!$C$4="",ISNUMBER(SEARCH('CHOP DASHBOARD'!$C$4,INDEX(MASTER_AREAS!$B:$B,1473))))),1472,""),""),IF('CHOP DASHBOARD'!$B$4="Zone",IF(1472&lt;=$S$4,IF(OR('CHOP DASHBOARD'!$C$4="",ISNUMBER(SEARCH('CHOP DASHBOARD'!$C$4,INDEX(MASTER_ZONES!$B:$B,1473)))),1472,""),""),""))</f>
        <v/>
      </c>
      <c r="U1473">
        <f>IF('COMMUNITY CHURCH DASHBOARD'!$B$4="Area",IF(1472&lt;=$X$3,IF(AND(OR('COMMUNITY CHURCH DASHBOARD'!$C$4="",ISNUMBER(SEARCH('COMMUNITY CHURCH DASHBOARD'!$C$4,INDEX(MASTER_AREAS!$B:$B,1473))))),1472,""),""),IF('COMMUNITY CHURCH DASHBOARD'!$B$4="Zone",IF(1472&lt;=$X$4,IF(OR('COMMUNITY CHURCH DASHBOARD'!$C$4="",ISNUMBER(SEARCH('COMMUNITY CHURCH DASHBOARD'!$C$4,INDEX(MASTER_ZONES!$B:$B,1473)))),1472,""),""),""))</f>
        <v/>
      </c>
    </row>
    <row r="1474">
      <c r="A1474">
        <f>IF('WSF DASHBOARD'!$B$4="Area",IF(1473&lt;=$D$3,IF(AND(OR('WSF DASHBOARD'!$C$4="",ISNUMBER(SEARCH('WSF DASHBOARD'!$C$4,INDEX(MASTER_AREAS!$B:$B,1474))))),1473,""),""),IF('WSF DASHBOARD'!$B$4="Zone",IF(1473&lt;=$D$4,IF(OR('WSF DASHBOARD'!$C$4="",ISNUMBER(SEARCH('WSF DASHBOARD'!$C$4,INDEX(MASTER_ZONES!$B:$B,1474)))),1473,""),""),""))</f>
        <v/>
      </c>
      <c r="F1474">
        <f>IF('TRANSPORT DASHBOARD'!$B$4="Area",IF(1473&lt;=$I$3,IF(AND(INDEX(MASTER_AREAS!$F:$F,1474)&lt;&gt;"N",OR('TRANSPORT DASHBOARD'!$C$4="",ISNUMBER(SEARCH('TRANSPORT DASHBOARD'!$C$4,INDEX(MASTER_AREAS!$B:$B,1474))))),1473,""),""),IF('TRANSPORT DASHBOARD'!$B$4="Zone",IF(1473&lt;=$I$4,IF(OR('TRANSPORT DASHBOARD'!$C$4="",ISNUMBER(SEARCH('TRANSPORT DASHBOARD'!$C$4,INDEX(MASTER_ZONES!$B:$B,1474)))),1473,""),""),""))</f>
        <v/>
      </c>
      <c r="K1474">
        <f>IF('MIDWEEK DASHBOARD'!$B$4="Area",IF(1473&lt;=$N$3,IF(AND(OR('MIDWEEK DASHBOARD'!$C$4="",ISNUMBER(SEARCH('MIDWEEK DASHBOARD'!$C$4,INDEX(MASTER_AREAS!$B:$B,1474))))),1473,""),""),IF('MIDWEEK DASHBOARD'!$B$4="Zone",IF(1473&lt;=$N$4,IF(OR('MIDWEEK DASHBOARD'!$C$4="",ISNUMBER(SEARCH('MIDWEEK DASHBOARD'!$C$4,INDEX(MASTER_ZONES!$B:$B,1474)))),1473,""),""),""))</f>
        <v/>
      </c>
      <c r="P1474">
        <f>IF('CHOP DASHBOARD'!$B$4="Area",IF(1473&lt;=$S$3,IF(AND(OR('CHOP DASHBOARD'!$C$4="",ISNUMBER(SEARCH('CHOP DASHBOARD'!$C$4,INDEX(MASTER_AREAS!$B:$B,1474))))),1473,""),""),IF('CHOP DASHBOARD'!$B$4="Zone",IF(1473&lt;=$S$4,IF(OR('CHOP DASHBOARD'!$C$4="",ISNUMBER(SEARCH('CHOP DASHBOARD'!$C$4,INDEX(MASTER_ZONES!$B:$B,1474)))),1473,""),""),""))</f>
        <v/>
      </c>
      <c r="U1474">
        <f>IF('COMMUNITY CHURCH DASHBOARD'!$B$4="Area",IF(1473&lt;=$X$3,IF(AND(OR('COMMUNITY CHURCH DASHBOARD'!$C$4="",ISNUMBER(SEARCH('COMMUNITY CHURCH DASHBOARD'!$C$4,INDEX(MASTER_AREAS!$B:$B,1474))))),1473,""),""),IF('COMMUNITY CHURCH DASHBOARD'!$B$4="Zone",IF(1473&lt;=$X$4,IF(OR('COMMUNITY CHURCH DASHBOARD'!$C$4="",ISNUMBER(SEARCH('COMMUNITY CHURCH DASHBOARD'!$C$4,INDEX(MASTER_ZONES!$B:$B,1474)))),1473,""),""),""))</f>
        <v/>
      </c>
    </row>
    <row r="1475">
      <c r="A1475">
        <f>IF('WSF DASHBOARD'!$B$4="Area",IF(1474&lt;=$D$3,IF(AND(OR('WSF DASHBOARD'!$C$4="",ISNUMBER(SEARCH('WSF DASHBOARD'!$C$4,INDEX(MASTER_AREAS!$B:$B,1475))))),1474,""),""),IF('WSF DASHBOARD'!$B$4="Zone",IF(1474&lt;=$D$4,IF(OR('WSF DASHBOARD'!$C$4="",ISNUMBER(SEARCH('WSF DASHBOARD'!$C$4,INDEX(MASTER_ZONES!$B:$B,1475)))),1474,""),""),""))</f>
        <v/>
      </c>
      <c r="F1475">
        <f>IF('TRANSPORT DASHBOARD'!$B$4="Area",IF(1474&lt;=$I$3,IF(AND(INDEX(MASTER_AREAS!$F:$F,1475)&lt;&gt;"N",OR('TRANSPORT DASHBOARD'!$C$4="",ISNUMBER(SEARCH('TRANSPORT DASHBOARD'!$C$4,INDEX(MASTER_AREAS!$B:$B,1475))))),1474,""),""),IF('TRANSPORT DASHBOARD'!$B$4="Zone",IF(1474&lt;=$I$4,IF(OR('TRANSPORT DASHBOARD'!$C$4="",ISNUMBER(SEARCH('TRANSPORT DASHBOARD'!$C$4,INDEX(MASTER_ZONES!$B:$B,1475)))),1474,""),""),""))</f>
        <v/>
      </c>
      <c r="K1475">
        <f>IF('MIDWEEK DASHBOARD'!$B$4="Area",IF(1474&lt;=$N$3,IF(AND(OR('MIDWEEK DASHBOARD'!$C$4="",ISNUMBER(SEARCH('MIDWEEK DASHBOARD'!$C$4,INDEX(MASTER_AREAS!$B:$B,1475))))),1474,""),""),IF('MIDWEEK DASHBOARD'!$B$4="Zone",IF(1474&lt;=$N$4,IF(OR('MIDWEEK DASHBOARD'!$C$4="",ISNUMBER(SEARCH('MIDWEEK DASHBOARD'!$C$4,INDEX(MASTER_ZONES!$B:$B,1475)))),1474,""),""),""))</f>
        <v/>
      </c>
      <c r="P1475">
        <f>IF('CHOP DASHBOARD'!$B$4="Area",IF(1474&lt;=$S$3,IF(AND(OR('CHOP DASHBOARD'!$C$4="",ISNUMBER(SEARCH('CHOP DASHBOARD'!$C$4,INDEX(MASTER_AREAS!$B:$B,1475))))),1474,""),""),IF('CHOP DASHBOARD'!$B$4="Zone",IF(1474&lt;=$S$4,IF(OR('CHOP DASHBOARD'!$C$4="",ISNUMBER(SEARCH('CHOP DASHBOARD'!$C$4,INDEX(MASTER_ZONES!$B:$B,1475)))),1474,""),""),""))</f>
        <v/>
      </c>
      <c r="U1475">
        <f>IF('COMMUNITY CHURCH DASHBOARD'!$B$4="Area",IF(1474&lt;=$X$3,IF(AND(OR('COMMUNITY CHURCH DASHBOARD'!$C$4="",ISNUMBER(SEARCH('COMMUNITY CHURCH DASHBOARD'!$C$4,INDEX(MASTER_AREAS!$B:$B,1475))))),1474,""),""),IF('COMMUNITY CHURCH DASHBOARD'!$B$4="Zone",IF(1474&lt;=$X$4,IF(OR('COMMUNITY CHURCH DASHBOARD'!$C$4="",ISNUMBER(SEARCH('COMMUNITY CHURCH DASHBOARD'!$C$4,INDEX(MASTER_ZONES!$B:$B,1475)))),1474,""),""),""))</f>
        <v/>
      </c>
    </row>
    <row r="1476">
      <c r="A1476">
        <f>IF('WSF DASHBOARD'!$B$4="Area",IF(1475&lt;=$D$3,IF(AND(OR('WSF DASHBOARD'!$C$4="",ISNUMBER(SEARCH('WSF DASHBOARD'!$C$4,INDEX(MASTER_AREAS!$B:$B,1476))))),1475,""),""),IF('WSF DASHBOARD'!$B$4="Zone",IF(1475&lt;=$D$4,IF(OR('WSF DASHBOARD'!$C$4="",ISNUMBER(SEARCH('WSF DASHBOARD'!$C$4,INDEX(MASTER_ZONES!$B:$B,1476)))),1475,""),""),""))</f>
        <v/>
      </c>
      <c r="F1476">
        <f>IF('TRANSPORT DASHBOARD'!$B$4="Area",IF(1475&lt;=$I$3,IF(AND(INDEX(MASTER_AREAS!$F:$F,1476)&lt;&gt;"N",OR('TRANSPORT DASHBOARD'!$C$4="",ISNUMBER(SEARCH('TRANSPORT DASHBOARD'!$C$4,INDEX(MASTER_AREAS!$B:$B,1476))))),1475,""),""),IF('TRANSPORT DASHBOARD'!$B$4="Zone",IF(1475&lt;=$I$4,IF(OR('TRANSPORT DASHBOARD'!$C$4="",ISNUMBER(SEARCH('TRANSPORT DASHBOARD'!$C$4,INDEX(MASTER_ZONES!$B:$B,1476)))),1475,""),""),""))</f>
        <v/>
      </c>
      <c r="K1476">
        <f>IF('MIDWEEK DASHBOARD'!$B$4="Area",IF(1475&lt;=$N$3,IF(AND(OR('MIDWEEK DASHBOARD'!$C$4="",ISNUMBER(SEARCH('MIDWEEK DASHBOARD'!$C$4,INDEX(MASTER_AREAS!$B:$B,1476))))),1475,""),""),IF('MIDWEEK DASHBOARD'!$B$4="Zone",IF(1475&lt;=$N$4,IF(OR('MIDWEEK DASHBOARD'!$C$4="",ISNUMBER(SEARCH('MIDWEEK DASHBOARD'!$C$4,INDEX(MASTER_ZONES!$B:$B,1476)))),1475,""),""),""))</f>
        <v/>
      </c>
      <c r="P1476">
        <f>IF('CHOP DASHBOARD'!$B$4="Area",IF(1475&lt;=$S$3,IF(AND(OR('CHOP DASHBOARD'!$C$4="",ISNUMBER(SEARCH('CHOP DASHBOARD'!$C$4,INDEX(MASTER_AREAS!$B:$B,1476))))),1475,""),""),IF('CHOP DASHBOARD'!$B$4="Zone",IF(1475&lt;=$S$4,IF(OR('CHOP DASHBOARD'!$C$4="",ISNUMBER(SEARCH('CHOP DASHBOARD'!$C$4,INDEX(MASTER_ZONES!$B:$B,1476)))),1475,""),""),""))</f>
        <v/>
      </c>
      <c r="U1476">
        <f>IF('COMMUNITY CHURCH DASHBOARD'!$B$4="Area",IF(1475&lt;=$X$3,IF(AND(OR('COMMUNITY CHURCH DASHBOARD'!$C$4="",ISNUMBER(SEARCH('COMMUNITY CHURCH DASHBOARD'!$C$4,INDEX(MASTER_AREAS!$B:$B,1476))))),1475,""),""),IF('COMMUNITY CHURCH DASHBOARD'!$B$4="Zone",IF(1475&lt;=$X$4,IF(OR('COMMUNITY CHURCH DASHBOARD'!$C$4="",ISNUMBER(SEARCH('COMMUNITY CHURCH DASHBOARD'!$C$4,INDEX(MASTER_ZONES!$B:$B,1476)))),1475,""),""),""))</f>
        <v/>
      </c>
    </row>
    <row r="1477">
      <c r="A1477">
        <f>IF('WSF DASHBOARD'!$B$4="Area",IF(1476&lt;=$D$3,IF(AND(OR('WSF DASHBOARD'!$C$4="",ISNUMBER(SEARCH('WSF DASHBOARD'!$C$4,INDEX(MASTER_AREAS!$B:$B,1477))))),1476,""),""),IF('WSF DASHBOARD'!$B$4="Zone",IF(1476&lt;=$D$4,IF(OR('WSF DASHBOARD'!$C$4="",ISNUMBER(SEARCH('WSF DASHBOARD'!$C$4,INDEX(MASTER_ZONES!$B:$B,1477)))),1476,""),""),""))</f>
        <v/>
      </c>
      <c r="F1477">
        <f>IF('TRANSPORT DASHBOARD'!$B$4="Area",IF(1476&lt;=$I$3,IF(AND(INDEX(MASTER_AREAS!$F:$F,1477)&lt;&gt;"N",OR('TRANSPORT DASHBOARD'!$C$4="",ISNUMBER(SEARCH('TRANSPORT DASHBOARD'!$C$4,INDEX(MASTER_AREAS!$B:$B,1477))))),1476,""),""),IF('TRANSPORT DASHBOARD'!$B$4="Zone",IF(1476&lt;=$I$4,IF(OR('TRANSPORT DASHBOARD'!$C$4="",ISNUMBER(SEARCH('TRANSPORT DASHBOARD'!$C$4,INDEX(MASTER_ZONES!$B:$B,1477)))),1476,""),""),""))</f>
        <v/>
      </c>
      <c r="K1477">
        <f>IF('MIDWEEK DASHBOARD'!$B$4="Area",IF(1476&lt;=$N$3,IF(AND(OR('MIDWEEK DASHBOARD'!$C$4="",ISNUMBER(SEARCH('MIDWEEK DASHBOARD'!$C$4,INDEX(MASTER_AREAS!$B:$B,1477))))),1476,""),""),IF('MIDWEEK DASHBOARD'!$B$4="Zone",IF(1476&lt;=$N$4,IF(OR('MIDWEEK DASHBOARD'!$C$4="",ISNUMBER(SEARCH('MIDWEEK DASHBOARD'!$C$4,INDEX(MASTER_ZONES!$B:$B,1477)))),1476,""),""),""))</f>
        <v/>
      </c>
      <c r="P1477">
        <f>IF('CHOP DASHBOARD'!$B$4="Area",IF(1476&lt;=$S$3,IF(AND(OR('CHOP DASHBOARD'!$C$4="",ISNUMBER(SEARCH('CHOP DASHBOARD'!$C$4,INDEX(MASTER_AREAS!$B:$B,1477))))),1476,""),""),IF('CHOP DASHBOARD'!$B$4="Zone",IF(1476&lt;=$S$4,IF(OR('CHOP DASHBOARD'!$C$4="",ISNUMBER(SEARCH('CHOP DASHBOARD'!$C$4,INDEX(MASTER_ZONES!$B:$B,1477)))),1476,""),""),""))</f>
        <v/>
      </c>
      <c r="U1477">
        <f>IF('COMMUNITY CHURCH DASHBOARD'!$B$4="Area",IF(1476&lt;=$X$3,IF(AND(OR('COMMUNITY CHURCH DASHBOARD'!$C$4="",ISNUMBER(SEARCH('COMMUNITY CHURCH DASHBOARD'!$C$4,INDEX(MASTER_AREAS!$B:$B,1477))))),1476,""),""),IF('COMMUNITY CHURCH DASHBOARD'!$B$4="Zone",IF(1476&lt;=$X$4,IF(OR('COMMUNITY CHURCH DASHBOARD'!$C$4="",ISNUMBER(SEARCH('COMMUNITY CHURCH DASHBOARD'!$C$4,INDEX(MASTER_ZONES!$B:$B,1477)))),1476,""),""),""))</f>
        <v/>
      </c>
    </row>
    <row r="1478">
      <c r="A1478">
        <f>IF('WSF DASHBOARD'!$B$4="Area",IF(1477&lt;=$D$3,IF(AND(OR('WSF DASHBOARD'!$C$4="",ISNUMBER(SEARCH('WSF DASHBOARD'!$C$4,INDEX(MASTER_AREAS!$B:$B,1478))))),1477,""),""),IF('WSF DASHBOARD'!$B$4="Zone",IF(1477&lt;=$D$4,IF(OR('WSF DASHBOARD'!$C$4="",ISNUMBER(SEARCH('WSF DASHBOARD'!$C$4,INDEX(MASTER_ZONES!$B:$B,1478)))),1477,""),""),""))</f>
        <v/>
      </c>
      <c r="F1478">
        <f>IF('TRANSPORT DASHBOARD'!$B$4="Area",IF(1477&lt;=$I$3,IF(AND(INDEX(MASTER_AREAS!$F:$F,1478)&lt;&gt;"N",OR('TRANSPORT DASHBOARD'!$C$4="",ISNUMBER(SEARCH('TRANSPORT DASHBOARD'!$C$4,INDEX(MASTER_AREAS!$B:$B,1478))))),1477,""),""),IF('TRANSPORT DASHBOARD'!$B$4="Zone",IF(1477&lt;=$I$4,IF(OR('TRANSPORT DASHBOARD'!$C$4="",ISNUMBER(SEARCH('TRANSPORT DASHBOARD'!$C$4,INDEX(MASTER_ZONES!$B:$B,1478)))),1477,""),""),""))</f>
        <v/>
      </c>
      <c r="K1478">
        <f>IF('MIDWEEK DASHBOARD'!$B$4="Area",IF(1477&lt;=$N$3,IF(AND(OR('MIDWEEK DASHBOARD'!$C$4="",ISNUMBER(SEARCH('MIDWEEK DASHBOARD'!$C$4,INDEX(MASTER_AREAS!$B:$B,1478))))),1477,""),""),IF('MIDWEEK DASHBOARD'!$B$4="Zone",IF(1477&lt;=$N$4,IF(OR('MIDWEEK DASHBOARD'!$C$4="",ISNUMBER(SEARCH('MIDWEEK DASHBOARD'!$C$4,INDEX(MASTER_ZONES!$B:$B,1478)))),1477,""),""),""))</f>
        <v/>
      </c>
      <c r="P1478">
        <f>IF('CHOP DASHBOARD'!$B$4="Area",IF(1477&lt;=$S$3,IF(AND(OR('CHOP DASHBOARD'!$C$4="",ISNUMBER(SEARCH('CHOP DASHBOARD'!$C$4,INDEX(MASTER_AREAS!$B:$B,1478))))),1477,""),""),IF('CHOP DASHBOARD'!$B$4="Zone",IF(1477&lt;=$S$4,IF(OR('CHOP DASHBOARD'!$C$4="",ISNUMBER(SEARCH('CHOP DASHBOARD'!$C$4,INDEX(MASTER_ZONES!$B:$B,1478)))),1477,""),""),""))</f>
        <v/>
      </c>
      <c r="U1478">
        <f>IF('COMMUNITY CHURCH DASHBOARD'!$B$4="Area",IF(1477&lt;=$X$3,IF(AND(OR('COMMUNITY CHURCH DASHBOARD'!$C$4="",ISNUMBER(SEARCH('COMMUNITY CHURCH DASHBOARD'!$C$4,INDEX(MASTER_AREAS!$B:$B,1478))))),1477,""),""),IF('COMMUNITY CHURCH DASHBOARD'!$B$4="Zone",IF(1477&lt;=$X$4,IF(OR('COMMUNITY CHURCH DASHBOARD'!$C$4="",ISNUMBER(SEARCH('COMMUNITY CHURCH DASHBOARD'!$C$4,INDEX(MASTER_ZONES!$B:$B,1478)))),1477,""),""),""))</f>
        <v/>
      </c>
    </row>
    <row r="1479">
      <c r="A1479">
        <f>IF('WSF DASHBOARD'!$B$4="Area",IF(1478&lt;=$D$3,IF(AND(OR('WSF DASHBOARD'!$C$4="",ISNUMBER(SEARCH('WSF DASHBOARD'!$C$4,INDEX(MASTER_AREAS!$B:$B,1479))))),1478,""),""),IF('WSF DASHBOARD'!$B$4="Zone",IF(1478&lt;=$D$4,IF(OR('WSF DASHBOARD'!$C$4="",ISNUMBER(SEARCH('WSF DASHBOARD'!$C$4,INDEX(MASTER_ZONES!$B:$B,1479)))),1478,""),""),""))</f>
        <v/>
      </c>
      <c r="F1479">
        <f>IF('TRANSPORT DASHBOARD'!$B$4="Area",IF(1478&lt;=$I$3,IF(AND(INDEX(MASTER_AREAS!$F:$F,1479)&lt;&gt;"N",OR('TRANSPORT DASHBOARD'!$C$4="",ISNUMBER(SEARCH('TRANSPORT DASHBOARD'!$C$4,INDEX(MASTER_AREAS!$B:$B,1479))))),1478,""),""),IF('TRANSPORT DASHBOARD'!$B$4="Zone",IF(1478&lt;=$I$4,IF(OR('TRANSPORT DASHBOARD'!$C$4="",ISNUMBER(SEARCH('TRANSPORT DASHBOARD'!$C$4,INDEX(MASTER_ZONES!$B:$B,1479)))),1478,""),""),""))</f>
        <v/>
      </c>
      <c r="K1479">
        <f>IF('MIDWEEK DASHBOARD'!$B$4="Area",IF(1478&lt;=$N$3,IF(AND(OR('MIDWEEK DASHBOARD'!$C$4="",ISNUMBER(SEARCH('MIDWEEK DASHBOARD'!$C$4,INDEX(MASTER_AREAS!$B:$B,1479))))),1478,""),""),IF('MIDWEEK DASHBOARD'!$B$4="Zone",IF(1478&lt;=$N$4,IF(OR('MIDWEEK DASHBOARD'!$C$4="",ISNUMBER(SEARCH('MIDWEEK DASHBOARD'!$C$4,INDEX(MASTER_ZONES!$B:$B,1479)))),1478,""),""),""))</f>
        <v/>
      </c>
      <c r="P1479">
        <f>IF('CHOP DASHBOARD'!$B$4="Area",IF(1478&lt;=$S$3,IF(AND(OR('CHOP DASHBOARD'!$C$4="",ISNUMBER(SEARCH('CHOP DASHBOARD'!$C$4,INDEX(MASTER_AREAS!$B:$B,1479))))),1478,""),""),IF('CHOP DASHBOARD'!$B$4="Zone",IF(1478&lt;=$S$4,IF(OR('CHOP DASHBOARD'!$C$4="",ISNUMBER(SEARCH('CHOP DASHBOARD'!$C$4,INDEX(MASTER_ZONES!$B:$B,1479)))),1478,""),""),""))</f>
        <v/>
      </c>
      <c r="U1479">
        <f>IF('COMMUNITY CHURCH DASHBOARD'!$B$4="Area",IF(1478&lt;=$X$3,IF(AND(OR('COMMUNITY CHURCH DASHBOARD'!$C$4="",ISNUMBER(SEARCH('COMMUNITY CHURCH DASHBOARD'!$C$4,INDEX(MASTER_AREAS!$B:$B,1479))))),1478,""),""),IF('COMMUNITY CHURCH DASHBOARD'!$B$4="Zone",IF(1478&lt;=$X$4,IF(OR('COMMUNITY CHURCH DASHBOARD'!$C$4="",ISNUMBER(SEARCH('COMMUNITY CHURCH DASHBOARD'!$C$4,INDEX(MASTER_ZONES!$B:$B,1479)))),1478,""),""),""))</f>
        <v/>
      </c>
    </row>
    <row r="1480">
      <c r="A1480">
        <f>IF('WSF DASHBOARD'!$B$4="Area",IF(1479&lt;=$D$3,IF(AND(OR('WSF DASHBOARD'!$C$4="",ISNUMBER(SEARCH('WSF DASHBOARD'!$C$4,INDEX(MASTER_AREAS!$B:$B,1480))))),1479,""),""),IF('WSF DASHBOARD'!$B$4="Zone",IF(1479&lt;=$D$4,IF(OR('WSF DASHBOARD'!$C$4="",ISNUMBER(SEARCH('WSF DASHBOARD'!$C$4,INDEX(MASTER_ZONES!$B:$B,1480)))),1479,""),""),""))</f>
        <v/>
      </c>
      <c r="F1480">
        <f>IF('TRANSPORT DASHBOARD'!$B$4="Area",IF(1479&lt;=$I$3,IF(AND(INDEX(MASTER_AREAS!$F:$F,1480)&lt;&gt;"N",OR('TRANSPORT DASHBOARD'!$C$4="",ISNUMBER(SEARCH('TRANSPORT DASHBOARD'!$C$4,INDEX(MASTER_AREAS!$B:$B,1480))))),1479,""),""),IF('TRANSPORT DASHBOARD'!$B$4="Zone",IF(1479&lt;=$I$4,IF(OR('TRANSPORT DASHBOARD'!$C$4="",ISNUMBER(SEARCH('TRANSPORT DASHBOARD'!$C$4,INDEX(MASTER_ZONES!$B:$B,1480)))),1479,""),""),""))</f>
        <v/>
      </c>
      <c r="K1480">
        <f>IF('MIDWEEK DASHBOARD'!$B$4="Area",IF(1479&lt;=$N$3,IF(AND(OR('MIDWEEK DASHBOARD'!$C$4="",ISNUMBER(SEARCH('MIDWEEK DASHBOARD'!$C$4,INDEX(MASTER_AREAS!$B:$B,1480))))),1479,""),""),IF('MIDWEEK DASHBOARD'!$B$4="Zone",IF(1479&lt;=$N$4,IF(OR('MIDWEEK DASHBOARD'!$C$4="",ISNUMBER(SEARCH('MIDWEEK DASHBOARD'!$C$4,INDEX(MASTER_ZONES!$B:$B,1480)))),1479,""),""),""))</f>
        <v/>
      </c>
      <c r="P1480">
        <f>IF('CHOP DASHBOARD'!$B$4="Area",IF(1479&lt;=$S$3,IF(AND(OR('CHOP DASHBOARD'!$C$4="",ISNUMBER(SEARCH('CHOP DASHBOARD'!$C$4,INDEX(MASTER_AREAS!$B:$B,1480))))),1479,""),""),IF('CHOP DASHBOARD'!$B$4="Zone",IF(1479&lt;=$S$4,IF(OR('CHOP DASHBOARD'!$C$4="",ISNUMBER(SEARCH('CHOP DASHBOARD'!$C$4,INDEX(MASTER_ZONES!$B:$B,1480)))),1479,""),""),""))</f>
        <v/>
      </c>
      <c r="U1480">
        <f>IF('COMMUNITY CHURCH DASHBOARD'!$B$4="Area",IF(1479&lt;=$X$3,IF(AND(OR('COMMUNITY CHURCH DASHBOARD'!$C$4="",ISNUMBER(SEARCH('COMMUNITY CHURCH DASHBOARD'!$C$4,INDEX(MASTER_AREAS!$B:$B,1480))))),1479,""),""),IF('COMMUNITY CHURCH DASHBOARD'!$B$4="Zone",IF(1479&lt;=$X$4,IF(OR('COMMUNITY CHURCH DASHBOARD'!$C$4="",ISNUMBER(SEARCH('COMMUNITY CHURCH DASHBOARD'!$C$4,INDEX(MASTER_ZONES!$B:$B,1480)))),1479,""),""),""))</f>
        <v/>
      </c>
    </row>
    <row r="1481">
      <c r="A1481">
        <f>IF('WSF DASHBOARD'!$B$4="Area",IF(1480&lt;=$D$3,IF(AND(OR('WSF DASHBOARD'!$C$4="",ISNUMBER(SEARCH('WSF DASHBOARD'!$C$4,INDEX(MASTER_AREAS!$B:$B,1481))))),1480,""),""),IF('WSF DASHBOARD'!$B$4="Zone",IF(1480&lt;=$D$4,IF(OR('WSF DASHBOARD'!$C$4="",ISNUMBER(SEARCH('WSF DASHBOARD'!$C$4,INDEX(MASTER_ZONES!$B:$B,1481)))),1480,""),""),""))</f>
        <v/>
      </c>
      <c r="F1481">
        <f>IF('TRANSPORT DASHBOARD'!$B$4="Area",IF(1480&lt;=$I$3,IF(AND(INDEX(MASTER_AREAS!$F:$F,1481)&lt;&gt;"N",OR('TRANSPORT DASHBOARD'!$C$4="",ISNUMBER(SEARCH('TRANSPORT DASHBOARD'!$C$4,INDEX(MASTER_AREAS!$B:$B,1481))))),1480,""),""),IF('TRANSPORT DASHBOARD'!$B$4="Zone",IF(1480&lt;=$I$4,IF(OR('TRANSPORT DASHBOARD'!$C$4="",ISNUMBER(SEARCH('TRANSPORT DASHBOARD'!$C$4,INDEX(MASTER_ZONES!$B:$B,1481)))),1480,""),""),""))</f>
        <v/>
      </c>
      <c r="K1481">
        <f>IF('MIDWEEK DASHBOARD'!$B$4="Area",IF(1480&lt;=$N$3,IF(AND(OR('MIDWEEK DASHBOARD'!$C$4="",ISNUMBER(SEARCH('MIDWEEK DASHBOARD'!$C$4,INDEX(MASTER_AREAS!$B:$B,1481))))),1480,""),""),IF('MIDWEEK DASHBOARD'!$B$4="Zone",IF(1480&lt;=$N$4,IF(OR('MIDWEEK DASHBOARD'!$C$4="",ISNUMBER(SEARCH('MIDWEEK DASHBOARD'!$C$4,INDEX(MASTER_ZONES!$B:$B,1481)))),1480,""),""),""))</f>
        <v/>
      </c>
      <c r="P1481">
        <f>IF('CHOP DASHBOARD'!$B$4="Area",IF(1480&lt;=$S$3,IF(AND(OR('CHOP DASHBOARD'!$C$4="",ISNUMBER(SEARCH('CHOP DASHBOARD'!$C$4,INDEX(MASTER_AREAS!$B:$B,1481))))),1480,""),""),IF('CHOP DASHBOARD'!$B$4="Zone",IF(1480&lt;=$S$4,IF(OR('CHOP DASHBOARD'!$C$4="",ISNUMBER(SEARCH('CHOP DASHBOARD'!$C$4,INDEX(MASTER_ZONES!$B:$B,1481)))),1480,""),""),""))</f>
        <v/>
      </c>
      <c r="U1481">
        <f>IF('COMMUNITY CHURCH DASHBOARD'!$B$4="Area",IF(1480&lt;=$X$3,IF(AND(OR('COMMUNITY CHURCH DASHBOARD'!$C$4="",ISNUMBER(SEARCH('COMMUNITY CHURCH DASHBOARD'!$C$4,INDEX(MASTER_AREAS!$B:$B,1481))))),1480,""),""),IF('COMMUNITY CHURCH DASHBOARD'!$B$4="Zone",IF(1480&lt;=$X$4,IF(OR('COMMUNITY CHURCH DASHBOARD'!$C$4="",ISNUMBER(SEARCH('COMMUNITY CHURCH DASHBOARD'!$C$4,INDEX(MASTER_ZONES!$B:$B,1481)))),1480,""),""),""))</f>
        <v/>
      </c>
    </row>
    <row r="1482">
      <c r="A1482">
        <f>IF('WSF DASHBOARD'!$B$4="Area",IF(1481&lt;=$D$3,IF(AND(OR('WSF DASHBOARD'!$C$4="",ISNUMBER(SEARCH('WSF DASHBOARD'!$C$4,INDEX(MASTER_AREAS!$B:$B,1482))))),1481,""),""),IF('WSF DASHBOARD'!$B$4="Zone",IF(1481&lt;=$D$4,IF(OR('WSF DASHBOARD'!$C$4="",ISNUMBER(SEARCH('WSF DASHBOARD'!$C$4,INDEX(MASTER_ZONES!$B:$B,1482)))),1481,""),""),""))</f>
        <v/>
      </c>
      <c r="F1482">
        <f>IF('TRANSPORT DASHBOARD'!$B$4="Area",IF(1481&lt;=$I$3,IF(AND(INDEX(MASTER_AREAS!$F:$F,1482)&lt;&gt;"N",OR('TRANSPORT DASHBOARD'!$C$4="",ISNUMBER(SEARCH('TRANSPORT DASHBOARD'!$C$4,INDEX(MASTER_AREAS!$B:$B,1482))))),1481,""),""),IF('TRANSPORT DASHBOARD'!$B$4="Zone",IF(1481&lt;=$I$4,IF(OR('TRANSPORT DASHBOARD'!$C$4="",ISNUMBER(SEARCH('TRANSPORT DASHBOARD'!$C$4,INDEX(MASTER_ZONES!$B:$B,1482)))),1481,""),""),""))</f>
        <v/>
      </c>
      <c r="K1482">
        <f>IF('MIDWEEK DASHBOARD'!$B$4="Area",IF(1481&lt;=$N$3,IF(AND(OR('MIDWEEK DASHBOARD'!$C$4="",ISNUMBER(SEARCH('MIDWEEK DASHBOARD'!$C$4,INDEX(MASTER_AREAS!$B:$B,1482))))),1481,""),""),IF('MIDWEEK DASHBOARD'!$B$4="Zone",IF(1481&lt;=$N$4,IF(OR('MIDWEEK DASHBOARD'!$C$4="",ISNUMBER(SEARCH('MIDWEEK DASHBOARD'!$C$4,INDEX(MASTER_ZONES!$B:$B,1482)))),1481,""),""),""))</f>
        <v/>
      </c>
      <c r="P1482">
        <f>IF('CHOP DASHBOARD'!$B$4="Area",IF(1481&lt;=$S$3,IF(AND(OR('CHOP DASHBOARD'!$C$4="",ISNUMBER(SEARCH('CHOP DASHBOARD'!$C$4,INDEX(MASTER_AREAS!$B:$B,1482))))),1481,""),""),IF('CHOP DASHBOARD'!$B$4="Zone",IF(1481&lt;=$S$4,IF(OR('CHOP DASHBOARD'!$C$4="",ISNUMBER(SEARCH('CHOP DASHBOARD'!$C$4,INDEX(MASTER_ZONES!$B:$B,1482)))),1481,""),""),""))</f>
        <v/>
      </c>
      <c r="U1482">
        <f>IF('COMMUNITY CHURCH DASHBOARD'!$B$4="Area",IF(1481&lt;=$X$3,IF(AND(OR('COMMUNITY CHURCH DASHBOARD'!$C$4="",ISNUMBER(SEARCH('COMMUNITY CHURCH DASHBOARD'!$C$4,INDEX(MASTER_AREAS!$B:$B,1482))))),1481,""),""),IF('COMMUNITY CHURCH DASHBOARD'!$B$4="Zone",IF(1481&lt;=$X$4,IF(OR('COMMUNITY CHURCH DASHBOARD'!$C$4="",ISNUMBER(SEARCH('COMMUNITY CHURCH DASHBOARD'!$C$4,INDEX(MASTER_ZONES!$B:$B,1482)))),1481,""),""),""))</f>
        <v/>
      </c>
    </row>
    <row r="1483">
      <c r="A1483">
        <f>IF('WSF DASHBOARD'!$B$4="Area",IF(1482&lt;=$D$3,IF(AND(OR('WSF DASHBOARD'!$C$4="",ISNUMBER(SEARCH('WSF DASHBOARD'!$C$4,INDEX(MASTER_AREAS!$B:$B,1483))))),1482,""),""),IF('WSF DASHBOARD'!$B$4="Zone",IF(1482&lt;=$D$4,IF(OR('WSF DASHBOARD'!$C$4="",ISNUMBER(SEARCH('WSF DASHBOARD'!$C$4,INDEX(MASTER_ZONES!$B:$B,1483)))),1482,""),""),""))</f>
        <v/>
      </c>
      <c r="F1483">
        <f>IF('TRANSPORT DASHBOARD'!$B$4="Area",IF(1482&lt;=$I$3,IF(AND(INDEX(MASTER_AREAS!$F:$F,1483)&lt;&gt;"N",OR('TRANSPORT DASHBOARD'!$C$4="",ISNUMBER(SEARCH('TRANSPORT DASHBOARD'!$C$4,INDEX(MASTER_AREAS!$B:$B,1483))))),1482,""),""),IF('TRANSPORT DASHBOARD'!$B$4="Zone",IF(1482&lt;=$I$4,IF(OR('TRANSPORT DASHBOARD'!$C$4="",ISNUMBER(SEARCH('TRANSPORT DASHBOARD'!$C$4,INDEX(MASTER_ZONES!$B:$B,1483)))),1482,""),""),""))</f>
        <v/>
      </c>
      <c r="K1483">
        <f>IF('MIDWEEK DASHBOARD'!$B$4="Area",IF(1482&lt;=$N$3,IF(AND(OR('MIDWEEK DASHBOARD'!$C$4="",ISNUMBER(SEARCH('MIDWEEK DASHBOARD'!$C$4,INDEX(MASTER_AREAS!$B:$B,1483))))),1482,""),""),IF('MIDWEEK DASHBOARD'!$B$4="Zone",IF(1482&lt;=$N$4,IF(OR('MIDWEEK DASHBOARD'!$C$4="",ISNUMBER(SEARCH('MIDWEEK DASHBOARD'!$C$4,INDEX(MASTER_ZONES!$B:$B,1483)))),1482,""),""),""))</f>
        <v/>
      </c>
      <c r="P1483">
        <f>IF('CHOP DASHBOARD'!$B$4="Area",IF(1482&lt;=$S$3,IF(AND(OR('CHOP DASHBOARD'!$C$4="",ISNUMBER(SEARCH('CHOP DASHBOARD'!$C$4,INDEX(MASTER_AREAS!$B:$B,1483))))),1482,""),""),IF('CHOP DASHBOARD'!$B$4="Zone",IF(1482&lt;=$S$4,IF(OR('CHOP DASHBOARD'!$C$4="",ISNUMBER(SEARCH('CHOP DASHBOARD'!$C$4,INDEX(MASTER_ZONES!$B:$B,1483)))),1482,""),""),""))</f>
        <v/>
      </c>
      <c r="U1483">
        <f>IF('COMMUNITY CHURCH DASHBOARD'!$B$4="Area",IF(1482&lt;=$X$3,IF(AND(OR('COMMUNITY CHURCH DASHBOARD'!$C$4="",ISNUMBER(SEARCH('COMMUNITY CHURCH DASHBOARD'!$C$4,INDEX(MASTER_AREAS!$B:$B,1483))))),1482,""),""),IF('COMMUNITY CHURCH DASHBOARD'!$B$4="Zone",IF(1482&lt;=$X$4,IF(OR('COMMUNITY CHURCH DASHBOARD'!$C$4="",ISNUMBER(SEARCH('COMMUNITY CHURCH DASHBOARD'!$C$4,INDEX(MASTER_ZONES!$B:$B,1483)))),1482,""),""),""))</f>
        <v/>
      </c>
    </row>
    <row r="1484">
      <c r="A1484">
        <f>IF('WSF DASHBOARD'!$B$4="Area",IF(1483&lt;=$D$3,IF(AND(OR('WSF DASHBOARD'!$C$4="",ISNUMBER(SEARCH('WSF DASHBOARD'!$C$4,INDEX(MASTER_AREAS!$B:$B,1484))))),1483,""),""),IF('WSF DASHBOARD'!$B$4="Zone",IF(1483&lt;=$D$4,IF(OR('WSF DASHBOARD'!$C$4="",ISNUMBER(SEARCH('WSF DASHBOARD'!$C$4,INDEX(MASTER_ZONES!$B:$B,1484)))),1483,""),""),""))</f>
        <v/>
      </c>
      <c r="F1484">
        <f>IF('TRANSPORT DASHBOARD'!$B$4="Area",IF(1483&lt;=$I$3,IF(AND(INDEX(MASTER_AREAS!$F:$F,1484)&lt;&gt;"N",OR('TRANSPORT DASHBOARD'!$C$4="",ISNUMBER(SEARCH('TRANSPORT DASHBOARD'!$C$4,INDEX(MASTER_AREAS!$B:$B,1484))))),1483,""),""),IF('TRANSPORT DASHBOARD'!$B$4="Zone",IF(1483&lt;=$I$4,IF(OR('TRANSPORT DASHBOARD'!$C$4="",ISNUMBER(SEARCH('TRANSPORT DASHBOARD'!$C$4,INDEX(MASTER_ZONES!$B:$B,1484)))),1483,""),""),""))</f>
        <v/>
      </c>
      <c r="K1484">
        <f>IF('MIDWEEK DASHBOARD'!$B$4="Area",IF(1483&lt;=$N$3,IF(AND(OR('MIDWEEK DASHBOARD'!$C$4="",ISNUMBER(SEARCH('MIDWEEK DASHBOARD'!$C$4,INDEX(MASTER_AREAS!$B:$B,1484))))),1483,""),""),IF('MIDWEEK DASHBOARD'!$B$4="Zone",IF(1483&lt;=$N$4,IF(OR('MIDWEEK DASHBOARD'!$C$4="",ISNUMBER(SEARCH('MIDWEEK DASHBOARD'!$C$4,INDEX(MASTER_ZONES!$B:$B,1484)))),1483,""),""),""))</f>
        <v/>
      </c>
      <c r="P1484">
        <f>IF('CHOP DASHBOARD'!$B$4="Area",IF(1483&lt;=$S$3,IF(AND(OR('CHOP DASHBOARD'!$C$4="",ISNUMBER(SEARCH('CHOP DASHBOARD'!$C$4,INDEX(MASTER_AREAS!$B:$B,1484))))),1483,""),""),IF('CHOP DASHBOARD'!$B$4="Zone",IF(1483&lt;=$S$4,IF(OR('CHOP DASHBOARD'!$C$4="",ISNUMBER(SEARCH('CHOP DASHBOARD'!$C$4,INDEX(MASTER_ZONES!$B:$B,1484)))),1483,""),""),""))</f>
        <v/>
      </c>
      <c r="U1484">
        <f>IF('COMMUNITY CHURCH DASHBOARD'!$B$4="Area",IF(1483&lt;=$X$3,IF(AND(OR('COMMUNITY CHURCH DASHBOARD'!$C$4="",ISNUMBER(SEARCH('COMMUNITY CHURCH DASHBOARD'!$C$4,INDEX(MASTER_AREAS!$B:$B,1484))))),1483,""),""),IF('COMMUNITY CHURCH DASHBOARD'!$B$4="Zone",IF(1483&lt;=$X$4,IF(OR('COMMUNITY CHURCH DASHBOARD'!$C$4="",ISNUMBER(SEARCH('COMMUNITY CHURCH DASHBOARD'!$C$4,INDEX(MASTER_ZONES!$B:$B,1484)))),1483,""),""),""))</f>
        <v/>
      </c>
    </row>
    <row r="1485">
      <c r="A1485">
        <f>IF('WSF DASHBOARD'!$B$4="Area",IF(1484&lt;=$D$3,IF(AND(OR('WSF DASHBOARD'!$C$4="",ISNUMBER(SEARCH('WSF DASHBOARD'!$C$4,INDEX(MASTER_AREAS!$B:$B,1485))))),1484,""),""),IF('WSF DASHBOARD'!$B$4="Zone",IF(1484&lt;=$D$4,IF(OR('WSF DASHBOARD'!$C$4="",ISNUMBER(SEARCH('WSF DASHBOARD'!$C$4,INDEX(MASTER_ZONES!$B:$B,1485)))),1484,""),""),""))</f>
        <v/>
      </c>
      <c r="F1485">
        <f>IF('TRANSPORT DASHBOARD'!$B$4="Area",IF(1484&lt;=$I$3,IF(AND(INDEX(MASTER_AREAS!$F:$F,1485)&lt;&gt;"N",OR('TRANSPORT DASHBOARD'!$C$4="",ISNUMBER(SEARCH('TRANSPORT DASHBOARD'!$C$4,INDEX(MASTER_AREAS!$B:$B,1485))))),1484,""),""),IF('TRANSPORT DASHBOARD'!$B$4="Zone",IF(1484&lt;=$I$4,IF(OR('TRANSPORT DASHBOARD'!$C$4="",ISNUMBER(SEARCH('TRANSPORT DASHBOARD'!$C$4,INDEX(MASTER_ZONES!$B:$B,1485)))),1484,""),""),""))</f>
        <v/>
      </c>
      <c r="K1485">
        <f>IF('MIDWEEK DASHBOARD'!$B$4="Area",IF(1484&lt;=$N$3,IF(AND(OR('MIDWEEK DASHBOARD'!$C$4="",ISNUMBER(SEARCH('MIDWEEK DASHBOARD'!$C$4,INDEX(MASTER_AREAS!$B:$B,1485))))),1484,""),""),IF('MIDWEEK DASHBOARD'!$B$4="Zone",IF(1484&lt;=$N$4,IF(OR('MIDWEEK DASHBOARD'!$C$4="",ISNUMBER(SEARCH('MIDWEEK DASHBOARD'!$C$4,INDEX(MASTER_ZONES!$B:$B,1485)))),1484,""),""),""))</f>
        <v/>
      </c>
      <c r="P1485">
        <f>IF('CHOP DASHBOARD'!$B$4="Area",IF(1484&lt;=$S$3,IF(AND(OR('CHOP DASHBOARD'!$C$4="",ISNUMBER(SEARCH('CHOP DASHBOARD'!$C$4,INDEX(MASTER_AREAS!$B:$B,1485))))),1484,""),""),IF('CHOP DASHBOARD'!$B$4="Zone",IF(1484&lt;=$S$4,IF(OR('CHOP DASHBOARD'!$C$4="",ISNUMBER(SEARCH('CHOP DASHBOARD'!$C$4,INDEX(MASTER_ZONES!$B:$B,1485)))),1484,""),""),""))</f>
        <v/>
      </c>
      <c r="U1485">
        <f>IF('COMMUNITY CHURCH DASHBOARD'!$B$4="Area",IF(1484&lt;=$X$3,IF(AND(OR('COMMUNITY CHURCH DASHBOARD'!$C$4="",ISNUMBER(SEARCH('COMMUNITY CHURCH DASHBOARD'!$C$4,INDEX(MASTER_AREAS!$B:$B,1485))))),1484,""),""),IF('COMMUNITY CHURCH DASHBOARD'!$B$4="Zone",IF(1484&lt;=$X$4,IF(OR('COMMUNITY CHURCH DASHBOARD'!$C$4="",ISNUMBER(SEARCH('COMMUNITY CHURCH DASHBOARD'!$C$4,INDEX(MASTER_ZONES!$B:$B,1485)))),1484,""),""),""))</f>
        <v/>
      </c>
    </row>
    <row r="1486">
      <c r="A1486">
        <f>IF('WSF DASHBOARD'!$B$4="Area",IF(1485&lt;=$D$3,IF(AND(OR('WSF DASHBOARD'!$C$4="",ISNUMBER(SEARCH('WSF DASHBOARD'!$C$4,INDEX(MASTER_AREAS!$B:$B,1486))))),1485,""),""),IF('WSF DASHBOARD'!$B$4="Zone",IF(1485&lt;=$D$4,IF(OR('WSF DASHBOARD'!$C$4="",ISNUMBER(SEARCH('WSF DASHBOARD'!$C$4,INDEX(MASTER_ZONES!$B:$B,1486)))),1485,""),""),""))</f>
        <v/>
      </c>
      <c r="F1486">
        <f>IF('TRANSPORT DASHBOARD'!$B$4="Area",IF(1485&lt;=$I$3,IF(AND(INDEX(MASTER_AREAS!$F:$F,1486)&lt;&gt;"N",OR('TRANSPORT DASHBOARD'!$C$4="",ISNUMBER(SEARCH('TRANSPORT DASHBOARD'!$C$4,INDEX(MASTER_AREAS!$B:$B,1486))))),1485,""),""),IF('TRANSPORT DASHBOARD'!$B$4="Zone",IF(1485&lt;=$I$4,IF(OR('TRANSPORT DASHBOARD'!$C$4="",ISNUMBER(SEARCH('TRANSPORT DASHBOARD'!$C$4,INDEX(MASTER_ZONES!$B:$B,1486)))),1485,""),""),""))</f>
        <v/>
      </c>
      <c r="K1486">
        <f>IF('MIDWEEK DASHBOARD'!$B$4="Area",IF(1485&lt;=$N$3,IF(AND(OR('MIDWEEK DASHBOARD'!$C$4="",ISNUMBER(SEARCH('MIDWEEK DASHBOARD'!$C$4,INDEX(MASTER_AREAS!$B:$B,1486))))),1485,""),""),IF('MIDWEEK DASHBOARD'!$B$4="Zone",IF(1485&lt;=$N$4,IF(OR('MIDWEEK DASHBOARD'!$C$4="",ISNUMBER(SEARCH('MIDWEEK DASHBOARD'!$C$4,INDEX(MASTER_ZONES!$B:$B,1486)))),1485,""),""),""))</f>
        <v/>
      </c>
      <c r="P1486">
        <f>IF('CHOP DASHBOARD'!$B$4="Area",IF(1485&lt;=$S$3,IF(AND(OR('CHOP DASHBOARD'!$C$4="",ISNUMBER(SEARCH('CHOP DASHBOARD'!$C$4,INDEX(MASTER_AREAS!$B:$B,1486))))),1485,""),""),IF('CHOP DASHBOARD'!$B$4="Zone",IF(1485&lt;=$S$4,IF(OR('CHOP DASHBOARD'!$C$4="",ISNUMBER(SEARCH('CHOP DASHBOARD'!$C$4,INDEX(MASTER_ZONES!$B:$B,1486)))),1485,""),""),""))</f>
        <v/>
      </c>
      <c r="U1486">
        <f>IF('COMMUNITY CHURCH DASHBOARD'!$B$4="Area",IF(1485&lt;=$X$3,IF(AND(OR('COMMUNITY CHURCH DASHBOARD'!$C$4="",ISNUMBER(SEARCH('COMMUNITY CHURCH DASHBOARD'!$C$4,INDEX(MASTER_AREAS!$B:$B,1486))))),1485,""),""),IF('COMMUNITY CHURCH DASHBOARD'!$B$4="Zone",IF(1485&lt;=$X$4,IF(OR('COMMUNITY CHURCH DASHBOARD'!$C$4="",ISNUMBER(SEARCH('COMMUNITY CHURCH DASHBOARD'!$C$4,INDEX(MASTER_ZONES!$B:$B,1486)))),1485,""),""),""))</f>
        <v/>
      </c>
    </row>
    <row r="1487">
      <c r="A1487">
        <f>IF('WSF DASHBOARD'!$B$4="Area",IF(1486&lt;=$D$3,IF(AND(OR('WSF DASHBOARD'!$C$4="",ISNUMBER(SEARCH('WSF DASHBOARD'!$C$4,INDEX(MASTER_AREAS!$B:$B,1487))))),1486,""),""),IF('WSF DASHBOARD'!$B$4="Zone",IF(1486&lt;=$D$4,IF(OR('WSF DASHBOARD'!$C$4="",ISNUMBER(SEARCH('WSF DASHBOARD'!$C$4,INDEX(MASTER_ZONES!$B:$B,1487)))),1486,""),""),""))</f>
        <v/>
      </c>
      <c r="F1487">
        <f>IF('TRANSPORT DASHBOARD'!$B$4="Area",IF(1486&lt;=$I$3,IF(AND(INDEX(MASTER_AREAS!$F:$F,1487)&lt;&gt;"N",OR('TRANSPORT DASHBOARD'!$C$4="",ISNUMBER(SEARCH('TRANSPORT DASHBOARD'!$C$4,INDEX(MASTER_AREAS!$B:$B,1487))))),1486,""),""),IF('TRANSPORT DASHBOARD'!$B$4="Zone",IF(1486&lt;=$I$4,IF(OR('TRANSPORT DASHBOARD'!$C$4="",ISNUMBER(SEARCH('TRANSPORT DASHBOARD'!$C$4,INDEX(MASTER_ZONES!$B:$B,1487)))),1486,""),""),""))</f>
        <v/>
      </c>
      <c r="K1487">
        <f>IF('MIDWEEK DASHBOARD'!$B$4="Area",IF(1486&lt;=$N$3,IF(AND(OR('MIDWEEK DASHBOARD'!$C$4="",ISNUMBER(SEARCH('MIDWEEK DASHBOARD'!$C$4,INDEX(MASTER_AREAS!$B:$B,1487))))),1486,""),""),IF('MIDWEEK DASHBOARD'!$B$4="Zone",IF(1486&lt;=$N$4,IF(OR('MIDWEEK DASHBOARD'!$C$4="",ISNUMBER(SEARCH('MIDWEEK DASHBOARD'!$C$4,INDEX(MASTER_ZONES!$B:$B,1487)))),1486,""),""),""))</f>
        <v/>
      </c>
      <c r="P1487">
        <f>IF('CHOP DASHBOARD'!$B$4="Area",IF(1486&lt;=$S$3,IF(AND(OR('CHOP DASHBOARD'!$C$4="",ISNUMBER(SEARCH('CHOP DASHBOARD'!$C$4,INDEX(MASTER_AREAS!$B:$B,1487))))),1486,""),""),IF('CHOP DASHBOARD'!$B$4="Zone",IF(1486&lt;=$S$4,IF(OR('CHOP DASHBOARD'!$C$4="",ISNUMBER(SEARCH('CHOP DASHBOARD'!$C$4,INDEX(MASTER_ZONES!$B:$B,1487)))),1486,""),""),""))</f>
        <v/>
      </c>
      <c r="U1487">
        <f>IF('COMMUNITY CHURCH DASHBOARD'!$B$4="Area",IF(1486&lt;=$X$3,IF(AND(OR('COMMUNITY CHURCH DASHBOARD'!$C$4="",ISNUMBER(SEARCH('COMMUNITY CHURCH DASHBOARD'!$C$4,INDEX(MASTER_AREAS!$B:$B,1487))))),1486,""),""),IF('COMMUNITY CHURCH DASHBOARD'!$B$4="Zone",IF(1486&lt;=$X$4,IF(OR('COMMUNITY CHURCH DASHBOARD'!$C$4="",ISNUMBER(SEARCH('COMMUNITY CHURCH DASHBOARD'!$C$4,INDEX(MASTER_ZONES!$B:$B,1487)))),1486,""),""),""))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C172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CALC_WSF — helper calculations for the WSF DASHBOARD (hidden; do not edit)</t>
        </is>
      </c>
      <c r="AW1" t="inlineStr">
        <is>
          <t>Cells without a report in scope</t>
        </is>
      </c>
      <c r="AX1">
        <f>IF(B10=0,0,SUMIFS(DATA_WSF!$G:$G,DATA_WSF!$A:$A,B10,DATA_WSF!$C:$C,B6,DATA_WSF!$D:$D,B7))</f>
        <v/>
      </c>
    </row>
    <row r="2">
      <c r="W2" s="201" t="inlineStr">
        <is>
          <t>Area</t>
        </is>
      </c>
      <c r="X2" s="201" t="inlineStr">
        <is>
          <t>Rows</t>
        </is>
      </c>
      <c r="Y2" s="201" t="inlineStr">
        <is>
          <t>Grand (sel wk)</t>
        </is>
      </c>
      <c r="Z2" s="201" t="inlineStr">
        <is>
          <t>Grand (prev wk)</t>
        </is>
      </c>
      <c r="AA2" s="201" t="inlineStr">
        <is>
          <t>Cells total</t>
        </is>
      </c>
      <c r="AB2" s="201" t="inlineStr">
        <is>
          <t>Cells reported</t>
        </is>
      </c>
      <c r="AC2" s="201" t="inlineStr">
        <is>
          <t>% reporting</t>
        </is>
      </c>
      <c r="AD2" s="201" t="inlineStr">
        <is>
          <t>Growth</t>
        </is>
      </c>
      <c r="AE2" s="201" t="inlineStr">
        <is>
          <t>Score att</t>
        </is>
      </c>
      <c r="AF2" s="201" t="inlineStr">
        <is>
          <t>Score pct</t>
        </is>
      </c>
      <c r="AG2" s="201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Zones with cells missing a report</t>
        </is>
      </c>
      <c r="AX2">
        <f>COUNT(DATA_WSF!$R:$R)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IFERROR(INDEX($W$3:$W$95,MATCH(LARGE($AE$3:$AE$95,1),$AE$3:$AE$95,0)),"")</f>
        <v/>
      </c>
      <c r="AK3">
        <f>IFERROR(INDEX($Y$3:$Y$95,MATCH(LARGE($AE$3:$AE$95,1),$AE$3:$AE$95,0)),"")</f>
        <v/>
      </c>
      <c r="AL3">
        <f>IFERROR(INDEX($W$3:$W$95,MATCH(SMALL($AE$3:$AE$95,1),$AE$3:$AE$95,0)),"")</f>
        <v/>
      </c>
      <c r="AM3">
        <f>IFERROR(INDEX($Y$3:$Y$95,MATCH(SMALL($AE$3:$AE$95,1),$AE$3:$AE$95,0)),"")</f>
        <v/>
      </c>
      <c r="AN3">
        <f>IFERROR(INDEX($W$3:$W$95,MATCH(LARGE($AF$3:$AF$95,1),$AF$3:$AF$95,0)),"")</f>
        <v/>
      </c>
      <c r="AO3">
        <f>IFERROR(INDEX($AC$3:$AC$95,MATCH(LARGE($AF$3:$AF$95,1),$AF$3:$AF$95,0)),"")</f>
        <v/>
      </c>
      <c r="AP3">
        <f>IFERROR(INDEX($W$3:$W$95,MATCH(SMALL($AF$3:$AF$95,1),$AF$3:$AF$95,0)),"")</f>
        <v/>
      </c>
      <c r="AQ3">
        <f>IFERROR(INDEX($AC$3:$AC$95,MATCH(SMALL($AF$3:$AF$95,1),$AF$3:$AF$95,0)),"")</f>
        <v/>
      </c>
      <c r="AR3">
        <f>IFERROR(INDEX($W$3:$W$95,MATCH(LARGE($AG$3:$AG$95,1),$AG$3:$AG$95,0)),"")</f>
        <v/>
      </c>
      <c r="AS3">
        <f>IFERROR(INDEX($AD$3:$AD$95,MATCH(LARGE($AG$3:$AG$95,1),$AG$3:$AG$95,0)),"")</f>
        <v/>
      </c>
      <c r="AT3">
        <f>IFERROR(INDEX($W$3:$W$95,MATCH(SMALL($AG$3:$AG$95,1),$AG$3:$AG$95,0)),"")</f>
        <v/>
      </c>
      <c r="AU3">
        <f>IFERROR(INDEX($AD$3:$AD$95,MATCH(SMALL($AG$3:$AG$95,1),$AG$3:$AG$95,0)),"")</f>
        <v/>
      </c>
    </row>
    <row r="4">
      <c r="A4" t="inlineStr">
        <is>
          <t>Selection</t>
        </is>
      </c>
      <c r="B4">
        <f>IF('WSF DASHBOARD'!E4="","",'WSF DASHBOARD'!E4)</f>
        <v/>
      </c>
      <c r="W4">
        <f>IFERROR(INDEX(MASTER_AREAS!$B:$B,3)&amp;"","")</f>
        <v/>
      </c>
      <c r="X4">
        <f>IF(OR(W4="",$B$10=0),0,COUNTIFS(DATA_WSF!$A:$A,$B$10,DATA_WSF!$C:$C,W4))</f>
        <v/>
      </c>
      <c r="Y4">
        <f>IF(X4=0,0,SUMIFS(DATA_WSF!$L:$L,DATA_WSF!$A:$A,$B$10,DATA_WSF!$C:$C,W4))</f>
        <v/>
      </c>
      <c r="Z4">
        <f>IF(OR(W4="",$B$10=0),0,SUMIFS(DATA_WSF!$L:$L,DATA_WSF!$A:$A,$B$10-7,DATA_WSF!$C:$C,W4))</f>
        <v/>
      </c>
      <c r="AA4">
        <f>IF(X4=0,0,SUMIFS(DATA_WSF!$E:$E,DATA_WSF!$A:$A,$B$10,DATA_WSF!$C:$C,W4))</f>
        <v/>
      </c>
      <c r="AB4">
        <f>IF(X4=0,0,SUMIFS(DATA_WSF!$F:$F,DATA_WSF!$A:$A,$B$10,DATA_WSF!$C:$C,W4))</f>
        <v/>
      </c>
      <c r="AC4">
        <f>IF(AA4=0,"",AB4/AA4)</f>
        <v/>
      </c>
      <c r="AD4">
        <f>IF(OR(X4=0,Z4=0),"",Y4/Z4-1)</f>
        <v/>
      </c>
      <c r="AE4">
        <f>IF(X4=0,"",Y4+ROW()/1000000)</f>
        <v/>
      </c>
      <c r="AF4">
        <f>IF(AC4="","",AC4+ROW()/1000000000)</f>
        <v/>
      </c>
      <c r="AG4">
        <f>IF(AD4="","",AD4+ROW()/1000000000)</f>
        <v/>
      </c>
      <c r="AI4" t="n">
        <v>2</v>
      </c>
      <c r="AJ4">
        <f>IFERROR(INDEX($W$3:$W$95,MATCH(LARGE($AE$3:$AE$95,2),$AE$3:$AE$95,0)),"")</f>
        <v/>
      </c>
      <c r="AK4">
        <f>IFERROR(INDEX($Y$3:$Y$95,MATCH(LARGE($AE$3:$AE$95,2),$AE$3:$AE$95,0)),"")</f>
        <v/>
      </c>
      <c r="AL4">
        <f>IFERROR(INDEX($W$3:$W$95,MATCH(SMALL($AE$3:$AE$95,2),$AE$3:$AE$95,0)),"")</f>
        <v/>
      </c>
      <c r="AM4">
        <f>IFERROR(INDEX($Y$3:$Y$95,MATCH(SMALL($AE$3:$AE$95,2),$AE$3:$AE$95,0)),"")</f>
        <v/>
      </c>
      <c r="AN4">
        <f>IFERROR(INDEX($W$3:$W$95,MATCH(LARGE($AF$3:$AF$95,2),$AF$3:$AF$95,0)),"")</f>
        <v/>
      </c>
      <c r="AO4">
        <f>IFERROR(INDEX($AC$3:$AC$95,MATCH(LARGE($AF$3:$AF$95,2),$AF$3:$AF$95,0)),"")</f>
        <v/>
      </c>
      <c r="AP4">
        <f>IFERROR(INDEX($W$3:$W$95,MATCH(SMALL($AF$3:$AF$95,2),$AF$3:$AF$95,0)),"")</f>
        <v/>
      </c>
      <c r="AQ4">
        <f>IFERROR(INDEX($AC$3:$AC$95,MATCH(SMALL($AF$3:$AF$95,2),$AF$3:$AF$95,0)),"")</f>
        <v/>
      </c>
      <c r="AR4">
        <f>IFERROR(INDEX($W$3:$W$95,MATCH(LARGE($AG$3:$AG$95,2),$AG$3:$AG$95,0)),"")</f>
        <v/>
      </c>
      <c r="AS4">
        <f>IFERROR(INDEX($AD$3:$AD$95,MATCH(LARGE($AG$3:$AG$95,2),$AG$3:$AG$95,0)),"")</f>
        <v/>
      </c>
      <c r="AT4">
        <f>IFERROR(INDEX($W$3:$W$95,MATCH(SMALL($AG$3:$AG$95,2),$AG$3:$AG$95,0)),"")</f>
        <v/>
      </c>
      <c r="AU4">
        <f>IFERROR(INDEX($AD$3:$AD$95,MATCH(SMALL($AG$3:$AG$95,2),$AG$3:$AG$95,0)),"")</f>
        <v/>
      </c>
      <c r="AW4">
        <f>IFERROR(SMALL(DATA_WSF!$R:$R,1),"")</f>
        <v/>
      </c>
      <c r="AX4">
        <f>IF($AW4="","",INDEX(DATA_WSF!$C:$C,$AW4))</f>
        <v/>
      </c>
      <c r="AY4">
        <f>IF($AW4="","",INDEX(DATA_WSF!$D:$D,$AW4))</f>
        <v/>
      </c>
      <c r="AZ4">
        <f>IF($AW4="","",IFERROR(INDEX(MASTER_ZONES!$G:$G,MATCH($AY4,MASTER_ZONES!$B:$B,0))&amp;"",""))</f>
        <v/>
      </c>
      <c r="BA4">
        <f>IF($AW4="","",INDEX(DATA_WSF!$E:$E,$AW4))</f>
        <v/>
      </c>
      <c r="BB4">
        <f>IF($AW4="","",INDEX(DATA_WSF!$F:$F,$AW4))</f>
        <v/>
      </c>
      <c r="BC4">
        <f>IF($AW4="","",INDEX(DATA_WSF!$G:$G,$AW4))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W5">
        <f>IFERROR(INDEX(MASTER_AREAS!$B:$B,4)&amp;"","")</f>
        <v/>
      </c>
      <c r="X5">
        <f>IF(OR(W5="",$B$10=0),0,COUNTIFS(DATA_WSF!$A:$A,$B$10,DATA_WSF!$C:$C,W5))</f>
        <v/>
      </c>
      <c r="Y5">
        <f>IF(X5=0,0,SUMIFS(DATA_WSF!$L:$L,DATA_WSF!$A:$A,$B$10,DATA_WSF!$C:$C,W5))</f>
        <v/>
      </c>
      <c r="Z5">
        <f>IF(OR(W5="",$B$10=0),0,SUMIFS(DATA_WSF!$L:$L,DATA_WSF!$A:$A,$B$10-7,DATA_WSF!$C:$C,W5))</f>
        <v/>
      </c>
      <c r="AA5">
        <f>IF(X5=0,0,SUMIFS(DATA_WSF!$E:$E,DATA_WSF!$A:$A,$B$10,DATA_WSF!$C:$C,W5))</f>
        <v/>
      </c>
      <c r="AB5">
        <f>IF(X5=0,0,SUMIFS(DATA_WSF!$F:$F,DATA_WSF!$A:$A,$B$10,DATA_WSF!$C:$C,W5))</f>
        <v/>
      </c>
      <c r="AC5">
        <f>IF(AA5=0,"",AB5/AA5)</f>
        <v/>
      </c>
      <c r="AD5">
        <f>IF(OR(X5=0,Z5=0),"",Y5/Z5-1)</f>
        <v/>
      </c>
      <c r="AE5">
        <f>IF(X5=0,"",Y5+ROW()/1000000)</f>
        <v/>
      </c>
      <c r="AF5">
        <f>IF(AC5="","",AC5+ROW()/1000000000)</f>
        <v/>
      </c>
      <c r="AG5">
        <f>IF(AD5="","",AD5+ROW()/1000000000)</f>
        <v/>
      </c>
      <c r="AI5" t="n">
        <v>3</v>
      </c>
      <c r="AJ5">
        <f>IFERROR(INDEX($W$3:$W$95,MATCH(LARGE($AE$3:$AE$95,3),$AE$3:$AE$95,0)),"")</f>
        <v/>
      </c>
      <c r="AK5">
        <f>IFERROR(INDEX($Y$3:$Y$95,MATCH(LARGE($AE$3:$AE$95,3),$AE$3:$AE$95,0)),"")</f>
        <v/>
      </c>
      <c r="AL5">
        <f>IFERROR(INDEX($W$3:$W$95,MATCH(SMALL($AE$3:$AE$95,3),$AE$3:$AE$95,0)),"")</f>
        <v/>
      </c>
      <c r="AM5">
        <f>IFERROR(INDEX($Y$3:$Y$95,MATCH(SMALL($AE$3:$AE$95,3),$AE$3:$AE$95,0)),"")</f>
        <v/>
      </c>
      <c r="AN5">
        <f>IFERROR(INDEX($W$3:$W$95,MATCH(LARGE($AF$3:$AF$95,3),$AF$3:$AF$95,0)),"")</f>
        <v/>
      </c>
      <c r="AO5">
        <f>IFERROR(INDEX($AC$3:$AC$95,MATCH(LARGE($AF$3:$AF$95,3),$AF$3:$AF$95,0)),"")</f>
        <v/>
      </c>
      <c r="AP5">
        <f>IFERROR(INDEX($W$3:$W$95,MATCH(SMALL($AF$3:$AF$95,3),$AF$3:$AF$95,0)),"")</f>
        <v/>
      </c>
      <c r="AQ5">
        <f>IFERROR(INDEX($AC$3:$AC$95,MATCH(SMALL($AF$3:$AF$95,3),$AF$3:$AF$95,0)),"")</f>
        <v/>
      </c>
      <c r="AR5">
        <f>IFERROR(INDEX($W$3:$W$95,MATCH(LARGE($AG$3:$AG$95,3),$AG$3:$AG$95,0)),"")</f>
        <v/>
      </c>
      <c r="AS5">
        <f>IFERROR(INDEX($AD$3:$AD$95,MATCH(LARGE($AG$3:$AG$95,3),$AG$3:$AG$95,0)),"")</f>
        <v/>
      </c>
      <c r="AT5">
        <f>IFERROR(INDEX($W$3:$W$95,MATCH(SMALL($AG$3:$AG$95,3),$AG$3:$AG$95,0)),"")</f>
        <v/>
      </c>
      <c r="AU5">
        <f>IFERROR(INDEX($AD$3:$AD$95,MATCH(SMALL($AG$3:$AG$95,3),$AG$3:$AG$95,0)),"")</f>
        <v/>
      </c>
      <c r="AW5">
        <f>IFERROR(SMALL(DATA_WSF!$R:$R,2),"")</f>
        <v/>
      </c>
      <c r="AX5">
        <f>IF($AW5="","",INDEX(DATA_WSF!$C:$C,$AW5))</f>
        <v/>
      </c>
      <c r="AY5">
        <f>IF($AW5="","",INDEX(DATA_WSF!$D:$D,$AW5))</f>
        <v/>
      </c>
      <c r="AZ5">
        <f>IF($AW5="","",IFERROR(INDEX(MASTER_ZONES!$G:$G,MATCH($AY5,MASTER_ZONES!$B:$B,0))&amp;"",""))</f>
        <v/>
      </c>
      <c r="BA5">
        <f>IF($AW5="","",INDEX(DATA_WSF!$E:$E,$AW5))</f>
        <v/>
      </c>
      <c r="BB5">
        <f>IF($AW5="","",INDEX(DATA_WSF!$F:$F,$AW5))</f>
        <v/>
      </c>
      <c r="BC5">
        <f>IF($AW5="","",INDEX(DATA_WSF!$G:$G,$AW5))</f>
        <v/>
      </c>
    </row>
    <row r="6">
      <c r="A6" t="inlineStr">
        <is>
          <t>Area criterion</t>
        </is>
      </c>
      <c r="B6">
        <f>IF(B3="Area",B4,"*")</f>
        <v/>
      </c>
      <c r="W6">
        <f>IFERROR(INDEX(MASTER_AREAS!$B:$B,5)&amp;"","")</f>
        <v/>
      </c>
      <c r="X6">
        <f>IF(OR(W6="",$B$10=0),0,COUNTIFS(DATA_WSF!$A:$A,$B$10,DATA_WSF!$C:$C,W6))</f>
        <v/>
      </c>
      <c r="Y6">
        <f>IF(X6=0,0,SUMIFS(DATA_WSF!$L:$L,DATA_WSF!$A:$A,$B$10,DATA_WSF!$C:$C,W6))</f>
        <v/>
      </c>
      <c r="Z6">
        <f>IF(OR(W6="",$B$10=0),0,SUMIFS(DATA_WSF!$L:$L,DATA_WSF!$A:$A,$B$10-7,DATA_WSF!$C:$C,W6))</f>
        <v/>
      </c>
      <c r="AA6">
        <f>IF(X6=0,0,SUMIFS(DATA_WSF!$E:$E,DATA_WSF!$A:$A,$B$10,DATA_WSF!$C:$C,W6))</f>
        <v/>
      </c>
      <c r="AB6">
        <f>IF(X6=0,0,SUMIFS(DATA_WSF!$F:$F,DATA_WSF!$A:$A,$B$10,DATA_WSF!$C:$C,W6))</f>
        <v/>
      </c>
      <c r="AC6">
        <f>IF(AA6=0,"",AB6/AA6)</f>
        <v/>
      </c>
      <c r="AD6">
        <f>IF(OR(X6=0,Z6=0),"",Y6/Z6-1)</f>
        <v/>
      </c>
      <c r="AE6">
        <f>IF(X6=0,"",Y6+ROW()/1000000)</f>
        <v/>
      </c>
      <c r="AF6">
        <f>IF(AC6="","",AC6+ROW()/1000000000)</f>
        <v/>
      </c>
      <c r="AG6">
        <f>IF(AD6="","",AD6+ROW()/1000000000)</f>
        <v/>
      </c>
      <c r="AI6" t="n">
        <v>4</v>
      </c>
      <c r="AJ6">
        <f>IFERROR(INDEX($W$3:$W$95,MATCH(LARGE($AE$3:$AE$95,4),$AE$3:$AE$95,0)),"")</f>
        <v/>
      </c>
      <c r="AK6">
        <f>IFERROR(INDEX($Y$3:$Y$95,MATCH(LARGE($AE$3:$AE$95,4),$AE$3:$AE$95,0)),"")</f>
        <v/>
      </c>
      <c r="AL6">
        <f>IFERROR(INDEX($W$3:$W$95,MATCH(SMALL($AE$3:$AE$95,4),$AE$3:$AE$95,0)),"")</f>
        <v/>
      </c>
      <c r="AM6">
        <f>IFERROR(INDEX($Y$3:$Y$95,MATCH(SMALL($AE$3:$AE$95,4),$AE$3:$AE$95,0)),"")</f>
        <v/>
      </c>
      <c r="AN6">
        <f>IFERROR(INDEX($W$3:$W$95,MATCH(LARGE($AF$3:$AF$95,4),$AF$3:$AF$95,0)),"")</f>
        <v/>
      </c>
      <c r="AO6">
        <f>IFERROR(INDEX($AC$3:$AC$95,MATCH(LARGE($AF$3:$AF$95,4),$AF$3:$AF$95,0)),"")</f>
        <v/>
      </c>
      <c r="AP6">
        <f>IFERROR(INDEX($W$3:$W$95,MATCH(SMALL($AF$3:$AF$95,4),$AF$3:$AF$95,0)),"")</f>
        <v/>
      </c>
      <c r="AQ6">
        <f>IFERROR(INDEX($AC$3:$AC$95,MATCH(SMALL($AF$3:$AF$95,4),$AF$3:$AF$95,0)),"")</f>
        <v/>
      </c>
      <c r="AR6">
        <f>IFERROR(INDEX($W$3:$W$95,MATCH(LARGE($AG$3:$AG$95,4),$AG$3:$AG$95,0)),"")</f>
        <v/>
      </c>
      <c r="AS6">
        <f>IFERROR(INDEX($AD$3:$AD$95,MATCH(LARGE($AG$3:$AG$95,4),$AG$3:$AG$95,0)),"")</f>
        <v/>
      </c>
      <c r="AT6">
        <f>IFERROR(INDEX($W$3:$W$95,MATCH(SMALL($AG$3:$AG$95,4),$AG$3:$AG$95,0)),"")</f>
        <v/>
      </c>
      <c r="AU6">
        <f>IFERROR(INDEX($AD$3:$AD$95,MATCH(SMALL($AG$3:$AG$95,4),$AG$3:$AG$95,0)),"")</f>
        <v/>
      </c>
      <c r="AW6">
        <f>IFERROR(SMALL(DATA_WSF!$R:$R,3),"")</f>
        <v/>
      </c>
      <c r="AX6">
        <f>IF($AW6="","",INDEX(DATA_WSF!$C:$C,$AW6))</f>
        <v/>
      </c>
      <c r="AY6">
        <f>IF($AW6="","",INDEX(DATA_WSF!$D:$D,$AW6))</f>
        <v/>
      </c>
      <c r="AZ6">
        <f>IF($AW6="","",IFERROR(INDEX(MASTER_ZONES!$G:$G,MATCH($AY6,MASTER_ZONES!$B:$B,0))&amp;"",""))</f>
        <v/>
      </c>
      <c r="BA6">
        <f>IF($AW6="","",INDEX(DATA_WSF!$E:$E,$AW6))</f>
        <v/>
      </c>
      <c r="BB6">
        <f>IF($AW6="","",INDEX(DATA_WSF!$F:$F,$AW6))</f>
        <v/>
      </c>
      <c r="BC6">
        <f>IF($AW6="","",INDEX(DATA_WSF!$G:$G,$AW6))</f>
        <v/>
      </c>
    </row>
    <row r="7">
      <c r="A7" t="inlineStr">
        <is>
          <t>Zone criterion</t>
        </is>
      </c>
      <c r="B7">
        <f>IF(B3="Zone",B4,"*")</f>
        <v/>
      </c>
      <c r="W7">
        <f>IFERROR(INDEX(MASTER_AREAS!$B:$B,6)&amp;"","")</f>
        <v/>
      </c>
      <c r="X7">
        <f>IF(OR(W7="",$B$10=0),0,COUNTIFS(DATA_WSF!$A:$A,$B$10,DATA_WSF!$C:$C,W7))</f>
        <v/>
      </c>
      <c r="Y7">
        <f>IF(X7=0,0,SUMIFS(DATA_WSF!$L:$L,DATA_WSF!$A:$A,$B$10,DATA_WSF!$C:$C,W7))</f>
        <v/>
      </c>
      <c r="Z7">
        <f>IF(OR(W7="",$B$10=0),0,SUMIFS(DATA_WSF!$L:$L,DATA_WSF!$A:$A,$B$10-7,DATA_WSF!$C:$C,W7))</f>
        <v/>
      </c>
      <c r="AA7">
        <f>IF(X7=0,0,SUMIFS(DATA_WSF!$E:$E,DATA_WSF!$A:$A,$B$10,DATA_WSF!$C:$C,W7))</f>
        <v/>
      </c>
      <c r="AB7">
        <f>IF(X7=0,0,SUMIFS(DATA_WSF!$F:$F,DATA_WSF!$A:$A,$B$10,DATA_WSF!$C:$C,W7))</f>
        <v/>
      </c>
      <c r="AC7">
        <f>IF(AA7=0,"",AB7/AA7)</f>
        <v/>
      </c>
      <c r="AD7">
        <f>IF(OR(X7=0,Z7=0),"",Y7/Z7-1)</f>
        <v/>
      </c>
      <c r="AE7">
        <f>IF(X7=0,"",Y7+ROW()/1000000)</f>
        <v/>
      </c>
      <c r="AF7">
        <f>IF(AC7="","",AC7+ROW()/1000000000)</f>
        <v/>
      </c>
      <c r="AG7">
        <f>IF(AD7="","",AD7+ROW()/1000000000)</f>
        <v/>
      </c>
      <c r="AI7" t="n">
        <v>5</v>
      </c>
      <c r="AJ7">
        <f>IFERROR(INDEX($W$3:$W$95,MATCH(LARGE($AE$3:$AE$95,5),$AE$3:$AE$95,0)),"")</f>
        <v/>
      </c>
      <c r="AK7">
        <f>IFERROR(INDEX($Y$3:$Y$95,MATCH(LARGE($AE$3:$AE$95,5),$AE$3:$AE$95,0)),"")</f>
        <v/>
      </c>
      <c r="AL7">
        <f>IFERROR(INDEX($W$3:$W$95,MATCH(SMALL($AE$3:$AE$95,5),$AE$3:$AE$95,0)),"")</f>
        <v/>
      </c>
      <c r="AM7">
        <f>IFERROR(INDEX($Y$3:$Y$95,MATCH(SMALL($AE$3:$AE$95,5),$AE$3:$AE$95,0)),"")</f>
        <v/>
      </c>
      <c r="AN7">
        <f>IFERROR(INDEX($W$3:$W$95,MATCH(LARGE($AF$3:$AF$95,5),$AF$3:$AF$95,0)),"")</f>
        <v/>
      </c>
      <c r="AO7">
        <f>IFERROR(INDEX($AC$3:$AC$95,MATCH(LARGE($AF$3:$AF$95,5),$AF$3:$AF$95,0)),"")</f>
        <v/>
      </c>
      <c r="AP7">
        <f>IFERROR(INDEX($W$3:$W$95,MATCH(SMALL($AF$3:$AF$95,5),$AF$3:$AF$95,0)),"")</f>
        <v/>
      </c>
      <c r="AQ7">
        <f>IFERROR(INDEX($AC$3:$AC$95,MATCH(SMALL($AF$3:$AF$95,5),$AF$3:$AF$95,0)),"")</f>
        <v/>
      </c>
      <c r="AR7">
        <f>IFERROR(INDEX($W$3:$W$95,MATCH(LARGE($AG$3:$AG$95,5),$AG$3:$AG$95,0)),"")</f>
        <v/>
      </c>
      <c r="AS7">
        <f>IFERROR(INDEX($AD$3:$AD$95,MATCH(LARGE($AG$3:$AG$95,5),$AG$3:$AG$95,0)),"")</f>
        <v/>
      </c>
      <c r="AT7">
        <f>IFERROR(INDEX($W$3:$W$95,MATCH(SMALL($AG$3:$AG$95,5),$AG$3:$AG$95,0)),"")</f>
        <v/>
      </c>
      <c r="AU7">
        <f>IFERROR(INDEX($AD$3:$AD$95,MATCH(SMALL($AG$3:$AG$95,5),$AG$3:$AG$95,0)),"")</f>
        <v/>
      </c>
      <c r="AW7">
        <f>IFERROR(SMALL(DATA_WSF!$R:$R,4),"")</f>
        <v/>
      </c>
      <c r="AX7">
        <f>IF($AW7="","",INDEX(DATA_WSF!$C:$C,$AW7))</f>
        <v/>
      </c>
      <c r="AY7">
        <f>IF($AW7="","",INDEX(DATA_WSF!$D:$D,$AW7))</f>
        <v/>
      </c>
      <c r="AZ7">
        <f>IF($AW7="","",IFERROR(INDEX(MASTER_ZONES!$G:$G,MATCH($AY7,MASTER_ZONES!$B:$B,0))&amp;"",""))</f>
        <v/>
      </c>
      <c r="BA7">
        <f>IF($AW7="","",INDEX(DATA_WSF!$E:$E,$AW7))</f>
        <v/>
      </c>
      <c r="BB7">
        <f>IF($AW7="","",INDEX(DATA_WSF!$F:$F,$AW7))</f>
        <v/>
      </c>
      <c r="BC7">
        <f>IF($AW7="","",INDEX(DATA_WSF!$G:$G,$AW7))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W8">
        <f>IFERROR(INDEX(MASTER_AREAS!$B:$B,7)&amp;"","")</f>
        <v/>
      </c>
      <c r="X8">
        <f>IF(OR(W8="",$B$10=0),0,COUNTIFS(DATA_WSF!$A:$A,$B$10,DATA_WSF!$C:$C,W8))</f>
        <v/>
      </c>
      <c r="Y8">
        <f>IF(X8=0,0,SUMIFS(DATA_WSF!$L:$L,DATA_WSF!$A:$A,$B$10,DATA_WSF!$C:$C,W8))</f>
        <v/>
      </c>
      <c r="Z8">
        <f>IF(OR(W8="",$B$10=0),0,SUMIFS(DATA_WSF!$L:$L,DATA_WSF!$A:$A,$B$10-7,DATA_WSF!$C:$C,W8))</f>
        <v/>
      </c>
      <c r="AA8">
        <f>IF(X8=0,0,SUMIFS(DATA_WSF!$E:$E,DATA_WSF!$A:$A,$B$10,DATA_WSF!$C:$C,W8))</f>
        <v/>
      </c>
      <c r="AB8">
        <f>IF(X8=0,0,SUMIFS(DATA_WSF!$F:$F,DATA_WSF!$A:$A,$B$10,DATA_WSF!$C:$C,W8))</f>
        <v/>
      </c>
      <c r="AC8">
        <f>IF(AA8=0,"",AB8/AA8)</f>
        <v/>
      </c>
      <c r="AD8">
        <f>IF(OR(X8=0,Z8=0),"",Y8/Z8-1)</f>
        <v/>
      </c>
      <c r="AE8">
        <f>IF(X8=0,"",Y8+ROW()/1000000)</f>
        <v/>
      </c>
      <c r="AF8">
        <f>IF(AC8="","",AC8+ROW()/1000000000)</f>
        <v/>
      </c>
      <c r="AG8">
        <f>IF(AD8="","",AD8+ROW()/1000000000)</f>
        <v/>
      </c>
      <c r="AI8" t="n">
        <v>6</v>
      </c>
      <c r="AJ8">
        <f>IFERROR(INDEX($W$3:$W$95,MATCH(LARGE($AE$3:$AE$95,6),$AE$3:$AE$95,0)),"")</f>
        <v/>
      </c>
      <c r="AK8">
        <f>IFERROR(INDEX($Y$3:$Y$95,MATCH(LARGE($AE$3:$AE$95,6),$AE$3:$AE$95,0)),"")</f>
        <v/>
      </c>
      <c r="AL8">
        <f>IFERROR(INDEX($W$3:$W$95,MATCH(SMALL($AE$3:$AE$95,6),$AE$3:$AE$95,0)),"")</f>
        <v/>
      </c>
      <c r="AM8">
        <f>IFERROR(INDEX($Y$3:$Y$95,MATCH(SMALL($AE$3:$AE$95,6),$AE$3:$AE$95,0)),"")</f>
        <v/>
      </c>
      <c r="AN8">
        <f>IFERROR(INDEX($W$3:$W$95,MATCH(LARGE($AF$3:$AF$95,6),$AF$3:$AF$95,0)),"")</f>
        <v/>
      </c>
      <c r="AO8">
        <f>IFERROR(INDEX($AC$3:$AC$95,MATCH(LARGE($AF$3:$AF$95,6),$AF$3:$AF$95,0)),"")</f>
        <v/>
      </c>
      <c r="AP8">
        <f>IFERROR(INDEX($W$3:$W$95,MATCH(SMALL($AF$3:$AF$95,6),$AF$3:$AF$95,0)),"")</f>
        <v/>
      </c>
      <c r="AQ8">
        <f>IFERROR(INDEX($AC$3:$AC$95,MATCH(SMALL($AF$3:$AF$95,6),$AF$3:$AF$95,0)),"")</f>
        <v/>
      </c>
      <c r="AR8">
        <f>IFERROR(INDEX($W$3:$W$95,MATCH(LARGE($AG$3:$AG$95,6),$AG$3:$AG$95,0)),"")</f>
        <v/>
      </c>
      <c r="AS8">
        <f>IFERROR(INDEX($AD$3:$AD$95,MATCH(LARGE($AG$3:$AG$95,6),$AG$3:$AG$95,0)),"")</f>
        <v/>
      </c>
      <c r="AT8">
        <f>IFERROR(INDEX($W$3:$W$95,MATCH(SMALL($AG$3:$AG$95,6),$AG$3:$AG$95,0)),"")</f>
        <v/>
      </c>
      <c r="AU8">
        <f>IFERROR(INDEX($AD$3:$AD$95,MATCH(SMALL($AG$3:$AG$95,6),$AG$3:$AG$95,0)),"")</f>
        <v/>
      </c>
      <c r="AW8">
        <f>IFERROR(SMALL(DATA_WSF!$R:$R,5),"")</f>
        <v/>
      </c>
      <c r="AX8">
        <f>IF($AW8="","",INDEX(DATA_WSF!$C:$C,$AW8))</f>
        <v/>
      </c>
      <c r="AY8">
        <f>IF($AW8="","",INDEX(DATA_WSF!$D:$D,$AW8))</f>
        <v/>
      </c>
      <c r="AZ8">
        <f>IF($AW8="","",IFERROR(INDEX(MASTER_ZONES!$G:$G,MATCH($AY8,MASTER_ZONES!$B:$B,0))&amp;"",""))</f>
        <v/>
      </c>
      <c r="BA8">
        <f>IF($AW8="","",INDEX(DATA_WSF!$E:$E,$AW8))</f>
        <v/>
      </c>
      <c r="BB8">
        <f>IF($AW8="","",INDEX(DATA_WSF!$F:$F,$AW8))</f>
        <v/>
      </c>
      <c r="BC8">
        <f>IF($AW8="","",INDEX(DATA_WSF!$G:$G,$AW8))</f>
        <v/>
      </c>
    </row>
    <row r="9">
      <c r="A9" t="inlineStr">
        <is>
          <t>Latest week with data</t>
        </is>
      </c>
      <c r="B9" s="284">
        <f>MAX(DATA_WSF!$A:$A)</f>
        <v/>
      </c>
      <c r="W9">
        <f>IFERROR(INDEX(MASTER_AREAS!$B:$B,8)&amp;"","")</f>
        <v/>
      </c>
      <c r="X9">
        <f>IF(OR(W9="",$B$10=0),0,COUNTIFS(DATA_WSF!$A:$A,$B$10,DATA_WSF!$C:$C,W9))</f>
        <v/>
      </c>
      <c r="Y9">
        <f>IF(X9=0,0,SUMIFS(DATA_WSF!$L:$L,DATA_WSF!$A:$A,$B$10,DATA_WSF!$C:$C,W9))</f>
        <v/>
      </c>
      <c r="Z9">
        <f>IF(OR(W9="",$B$10=0),0,SUMIFS(DATA_WSF!$L:$L,DATA_WSF!$A:$A,$B$10-7,DATA_WSF!$C:$C,W9))</f>
        <v/>
      </c>
      <c r="AA9">
        <f>IF(X9=0,0,SUMIFS(DATA_WSF!$E:$E,DATA_WSF!$A:$A,$B$10,DATA_WSF!$C:$C,W9))</f>
        <v/>
      </c>
      <c r="AB9">
        <f>IF(X9=0,0,SUMIFS(DATA_WSF!$F:$F,DATA_WSF!$A:$A,$B$10,DATA_WSF!$C:$C,W9))</f>
        <v/>
      </c>
      <c r="AC9">
        <f>IF(AA9=0,"",AB9/AA9)</f>
        <v/>
      </c>
      <c r="AD9">
        <f>IF(OR(X9=0,Z9=0),"",Y9/Z9-1)</f>
        <v/>
      </c>
      <c r="AE9">
        <f>IF(X9=0,"",Y9+ROW()/1000000)</f>
        <v/>
      </c>
      <c r="AF9">
        <f>IF(AC9="","",AC9+ROW()/1000000000)</f>
        <v/>
      </c>
      <c r="AG9">
        <f>IF(AD9="","",AD9+ROW()/1000000000)</f>
        <v/>
      </c>
      <c r="AI9" t="n">
        <v>7</v>
      </c>
      <c r="AJ9">
        <f>IFERROR(INDEX($W$3:$W$95,MATCH(LARGE($AE$3:$AE$95,7),$AE$3:$AE$95,0)),"")</f>
        <v/>
      </c>
      <c r="AK9">
        <f>IFERROR(INDEX($Y$3:$Y$95,MATCH(LARGE($AE$3:$AE$95,7),$AE$3:$AE$95,0)),"")</f>
        <v/>
      </c>
      <c r="AL9">
        <f>IFERROR(INDEX($W$3:$W$95,MATCH(SMALL($AE$3:$AE$95,7),$AE$3:$AE$95,0)),"")</f>
        <v/>
      </c>
      <c r="AM9">
        <f>IFERROR(INDEX($Y$3:$Y$95,MATCH(SMALL($AE$3:$AE$95,7),$AE$3:$AE$95,0)),"")</f>
        <v/>
      </c>
      <c r="AN9">
        <f>IFERROR(INDEX($W$3:$W$95,MATCH(LARGE($AF$3:$AF$95,7),$AF$3:$AF$95,0)),"")</f>
        <v/>
      </c>
      <c r="AO9">
        <f>IFERROR(INDEX($AC$3:$AC$95,MATCH(LARGE($AF$3:$AF$95,7),$AF$3:$AF$95,0)),"")</f>
        <v/>
      </c>
      <c r="AP9">
        <f>IFERROR(INDEX($W$3:$W$95,MATCH(SMALL($AF$3:$AF$95,7),$AF$3:$AF$95,0)),"")</f>
        <v/>
      </c>
      <c r="AQ9">
        <f>IFERROR(INDEX($AC$3:$AC$95,MATCH(SMALL($AF$3:$AF$95,7),$AF$3:$AF$95,0)),"")</f>
        <v/>
      </c>
      <c r="AR9">
        <f>IFERROR(INDEX($W$3:$W$95,MATCH(LARGE($AG$3:$AG$95,7),$AG$3:$AG$95,0)),"")</f>
        <v/>
      </c>
      <c r="AS9">
        <f>IFERROR(INDEX($AD$3:$AD$95,MATCH(LARGE($AG$3:$AG$95,7),$AG$3:$AG$95,0)),"")</f>
        <v/>
      </c>
      <c r="AT9">
        <f>IFERROR(INDEX($W$3:$W$95,MATCH(SMALL($AG$3:$AG$95,7),$AG$3:$AG$95,0)),"")</f>
        <v/>
      </c>
      <c r="AU9">
        <f>IFERROR(INDEX($AD$3:$AD$95,MATCH(SMALL($AG$3:$AG$95,7),$AG$3:$AG$95,0)),"")</f>
        <v/>
      </c>
      <c r="AW9">
        <f>IFERROR(SMALL(DATA_WSF!$R:$R,6),"")</f>
        <v/>
      </c>
      <c r="AX9">
        <f>IF($AW9="","",INDEX(DATA_WSF!$C:$C,$AW9))</f>
        <v/>
      </c>
      <c r="AY9">
        <f>IF($AW9="","",INDEX(DATA_WSF!$D:$D,$AW9))</f>
        <v/>
      </c>
      <c r="AZ9">
        <f>IF($AW9="","",IFERROR(INDEX(MASTER_ZONES!$G:$G,MATCH($AY9,MASTER_ZONES!$B:$B,0))&amp;"",""))</f>
        <v/>
      </c>
      <c r="BA9">
        <f>IF($AW9="","",INDEX(DATA_WSF!$E:$E,$AW9))</f>
        <v/>
      </c>
      <c r="BB9">
        <f>IF($AW9="","",INDEX(DATA_WSF!$F:$F,$AW9))</f>
        <v/>
      </c>
      <c r="BC9">
        <f>IF($AW9="","",INDEX(DATA_WSF!$G:$G,$AW9))</f>
        <v/>
      </c>
    </row>
    <row r="10">
      <c r="A10" t="inlineStr">
        <is>
          <t>Selected week</t>
        </is>
      </c>
      <c r="B10" s="284">
        <f>IF(ISNUMBER('WSF DASHBOARD'!I4),'WSF DASHBOARD'!I4,B9)</f>
        <v/>
      </c>
      <c r="W10">
        <f>IFERROR(INDEX(MASTER_AREAS!$B:$B,9)&amp;"","")</f>
        <v/>
      </c>
      <c r="X10">
        <f>IF(OR(W10="",$B$10=0),0,COUNTIFS(DATA_WSF!$A:$A,$B$10,DATA_WSF!$C:$C,W10))</f>
        <v/>
      </c>
      <c r="Y10">
        <f>IF(X10=0,0,SUMIFS(DATA_WSF!$L:$L,DATA_WSF!$A:$A,$B$10,DATA_WSF!$C:$C,W10))</f>
        <v/>
      </c>
      <c r="Z10">
        <f>IF(OR(W10="",$B$10=0),0,SUMIFS(DATA_WSF!$L:$L,DATA_WSF!$A:$A,$B$10-7,DATA_WSF!$C:$C,W10))</f>
        <v/>
      </c>
      <c r="AA10">
        <f>IF(X10=0,0,SUMIFS(DATA_WSF!$E:$E,DATA_WSF!$A:$A,$B$10,DATA_WSF!$C:$C,W10))</f>
        <v/>
      </c>
      <c r="AB10">
        <f>IF(X10=0,0,SUMIFS(DATA_WSF!$F:$F,DATA_WSF!$A:$A,$B$10,DATA_WSF!$C:$C,W10))</f>
        <v/>
      </c>
      <c r="AC10">
        <f>IF(AA10=0,"",AB10/AA10)</f>
        <v/>
      </c>
      <c r="AD10">
        <f>IF(OR(X10=0,Z10=0),"",Y10/Z10-1)</f>
        <v/>
      </c>
      <c r="AE10">
        <f>IF(X10=0,"",Y10+ROW()/1000000)</f>
        <v/>
      </c>
      <c r="AF10">
        <f>IF(AC10="","",AC10+ROW()/1000000000)</f>
        <v/>
      </c>
      <c r="AG10">
        <f>IF(AD10="","",AD10+ROW()/1000000000)</f>
        <v/>
      </c>
      <c r="AI10" t="n">
        <v>8</v>
      </c>
      <c r="AJ10">
        <f>IFERROR(INDEX($W$3:$W$95,MATCH(LARGE($AE$3:$AE$95,8),$AE$3:$AE$95,0)),"")</f>
        <v/>
      </c>
      <c r="AK10">
        <f>IFERROR(INDEX($Y$3:$Y$95,MATCH(LARGE($AE$3:$AE$95,8),$AE$3:$AE$95,0)),"")</f>
        <v/>
      </c>
      <c r="AL10">
        <f>IFERROR(INDEX($W$3:$W$95,MATCH(SMALL($AE$3:$AE$95,8),$AE$3:$AE$95,0)),"")</f>
        <v/>
      </c>
      <c r="AM10">
        <f>IFERROR(INDEX($Y$3:$Y$95,MATCH(SMALL($AE$3:$AE$95,8),$AE$3:$AE$95,0)),"")</f>
        <v/>
      </c>
      <c r="AN10">
        <f>IFERROR(INDEX($W$3:$W$95,MATCH(LARGE($AF$3:$AF$95,8),$AF$3:$AF$95,0)),"")</f>
        <v/>
      </c>
      <c r="AO10">
        <f>IFERROR(INDEX($AC$3:$AC$95,MATCH(LARGE($AF$3:$AF$95,8),$AF$3:$AF$95,0)),"")</f>
        <v/>
      </c>
      <c r="AP10">
        <f>IFERROR(INDEX($W$3:$W$95,MATCH(SMALL($AF$3:$AF$95,8),$AF$3:$AF$95,0)),"")</f>
        <v/>
      </c>
      <c r="AQ10">
        <f>IFERROR(INDEX($AC$3:$AC$95,MATCH(SMALL($AF$3:$AF$95,8),$AF$3:$AF$95,0)),"")</f>
        <v/>
      </c>
      <c r="AR10">
        <f>IFERROR(INDEX($W$3:$W$95,MATCH(LARGE($AG$3:$AG$95,8),$AG$3:$AG$95,0)),"")</f>
        <v/>
      </c>
      <c r="AS10">
        <f>IFERROR(INDEX($AD$3:$AD$95,MATCH(LARGE($AG$3:$AG$95,8),$AG$3:$AG$95,0)),"")</f>
        <v/>
      </c>
      <c r="AT10">
        <f>IFERROR(INDEX($W$3:$W$95,MATCH(SMALL($AG$3:$AG$95,8),$AG$3:$AG$95,0)),"")</f>
        <v/>
      </c>
      <c r="AU10">
        <f>IFERROR(INDEX($AD$3:$AD$95,MATCH(SMALL($AG$3:$AG$95,8),$AG$3:$AG$95,0)),"")</f>
        <v/>
      </c>
      <c r="AW10">
        <f>IFERROR(SMALL(DATA_WSF!$R:$R,7),"")</f>
        <v/>
      </c>
      <c r="AX10">
        <f>IF($AW10="","",INDEX(DATA_WSF!$C:$C,$AW10))</f>
        <v/>
      </c>
      <c r="AY10">
        <f>IF($AW10="","",INDEX(DATA_WSF!$D:$D,$AW10))</f>
        <v/>
      </c>
      <c r="AZ10">
        <f>IF($AW10="","",IFERROR(INDEX(MASTER_ZONES!$G:$G,MATCH($AY10,MASTER_ZONES!$B:$B,0))&amp;"",""))</f>
        <v/>
      </c>
      <c r="BA10">
        <f>IF($AW10="","",INDEX(DATA_WSF!$E:$E,$AW10))</f>
        <v/>
      </c>
      <c r="BB10">
        <f>IF($AW10="","",INDEX(DATA_WSF!$F:$F,$AW10))</f>
        <v/>
      </c>
      <c r="BC10">
        <f>IF($AW10="","",INDEX(DATA_WSF!$G:$G,$AW10))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W11">
        <f>IFERROR(INDEX(MASTER_AREAS!$B:$B,10)&amp;"","")</f>
        <v/>
      </c>
      <c r="X11">
        <f>IF(OR(W11="",$B$10=0),0,COUNTIFS(DATA_WSF!$A:$A,$B$10,DATA_WSF!$C:$C,W11))</f>
        <v/>
      </c>
      <c r="Y11">
        <f>IF(X11=0,0,SUMIFS(DATA_WSF!$L:$L,DATA_WSF!$A:$A,$B$10,DATA_WSF!$C:$C,W11))</f>
        <v/>
      </c>
      <c r="Z11">
        <f>IF(OR(W11="",$B$10=0),0,SUMIFS(DATA_WSF!$L:$L,DATA_WSF!$A:$A,$B$10-7,DATA_WSF!$C:$C,W11))</f>
        <v/>
      </c>
      <c r="AA11">
        <f>IF(X11=0,0,SUMIFS(DATA_WSF!$E:$E,DATA_WSF!$A:$A,$B$10,DATA_WSF!$C:$C,W11))</f>
        <v/>
      </c>
      <c r="AB11">
        <f>IF(X11=0,0,SUMIFS(DATA_WSF!$F:$F,DATA_WSF!$A:$A,$B$10,DATA_WSF!$C:$C,W11))</f>
        <v/>
      </c>
      <c r="AC11">
        <f>IF(AA11=0,"",AB11/AA11)</f>
        <v/>
      </c>
      <c r="AD11">
        <f>IF(OR(X11=0,Z11=0),"",Y11/Z11-1)</f>
        <v/>
      </c>
      <c r="AE11">
        <f>IF(X11=0,"",Y11+ROW()/1000000)</f>
        <v/>
      </c>
      <c r="AF11">
        <f>IF(AC11="","",AC11+ROW()/1000000000)</f>
        <v/>
      </c>
      <c r="AG11">
        <f>IF(AD11="","",AD11+ROW()/1000000000)</f>
        <v/>
      </c>
      <c r="AI11" t="n">
        <v>9</v>
      </c>
      <c r="AJ11">
        <f>IFERROR(INDEX($W$3:$W$95,MATCH(LARGE($AE$3:$AE$95,9),$AE$3:$AE$95,0)),"")</f>
        <v/>
      </c>
      <c r="AK11">
        <f>IFERROR(INDEX($Y$3:$Y$95,MATCH(LARGE($AE$3:$AE$95,9),$AE$3:$AE$95,0)),"")</f>
        <v/>
      </c>
      <c r="AL11">
        <f>IFERROR(INDEX($W$3:$W$95,MATCH(SMALL($AE$3:$AE$95,9),$AE$3:$AE$95,0)),"")</f>
        <v/>
      </c>
      <c r="AM11">
        <f>IFERROR(INDEX($Y$3:$Y$95,MATCH(SMALL($AE$3:$AE$95,9),$AE$3:$AE$95,0)),"")</f>
        <v/>
      </c>
      <c r="AN11">
        <f>IFERROR(INDEX($W$3:$W$95,MATCH(LARGE($AF$3:$AF$95,9),$AF$3:$AF$95,0)),"")</f>
        <v/>
      </c>
      <c r="AO11">
        <f>IFERROR(INDEX($AC$3:$AC$95,MATCH(LARGE($AF$3:$AF$95,9),$AF$3:$AF$95,0)),"")</f>
        <v/>
      </c>
      <c r="AP11">
        <f>IFERROR(INDEX($W$3:$W$95,MATCH(SMALL($AF$3:$AF$95,9),$AF$3:$AF$95,0)),"")</f>
        <v/>
      </c>
      <c r="AQ11">
        <f>IFERROR(INDEX($AC$3:$AC$95,MATCH(SMALL($AF$3:$AF$95,9),$AF$3:$AF$95,0)),"")</f>
        <v/>
      </c>
      <c r="AR11">
        <f>IFERROR(INDEX($W$3:$W$95,MATCH(LARGE($AG$3:$AG$95,9),$AG$3:$AG$95,0)),"")</f>
        <v/>
      </c>
      <c r="AS11">
        <f>IFERROR(INDEX($AD$3:$AD$95,MATCH(LARGE($AG$3:$AG$95,9),$AG$3:$AG$95,0)),"")</f>
        <v/>
      </c>
      <c r="AT11">
        <f>IFERROR(INDEX($W$3:$W$95,MATCH(SMALL($AG$3:$AG$95,9),$AG$3:$AG$95,0)),"")</f>
        <v/>
      </c>
      <c r="AU11">
        <f>IFERROR(INDEX($AD$3:$AD$95,MATCH(SMALL($AG$3:$AG$95,9),$AG$3:$AG$95,0)),"")</f>
        <v/>
      </c>
      <c r="AW11">
        <f>IFERROR(SMALL(DATA_WSF!$R:$R,8),"")</f>
        <v/>
      </c>
      <c r="AX11">
        <f>IF($AW11="","",INDEX(DATA_WSF!$C:$C,$AW11))</f>
        <v/>
      </c>
      <c r="AY11">
        <f>IF($AW11="","",INDEX(DATA_WSF!$D:$D,$AW11))</f>
        <v/>
      </c>
      <c r="AZ11">
        <f>IF($AW11="","",IFERROR(INDEX(MASTER_ZONES!$G:$G,MATCH($AY11,MASTER_ZONES!$B:$B,0))&amp;"",""))</f>
        <v/>
      </c>
      <c r="BA11">
        <f>IF($AW11="","",INDEX(DATA_WSF!$E:$E,$AW11))</f>
        <v/>
      </c>
      <c r="BB11">
        <f>IF($AW11="","",INDEX(DATA_WSF!$F:$F,$AW11))</f>
        <v/>
      </c>
      <c r="BC11">
        <f>IF($AW11="","",INDEX(DATA_WSF!$G:$G,$AW11))</f>
        <v/>
      </c>
    </row>
    <row r="12">
      <c r="A12" t="inlineStr">
        <is>
          <t>Selected month</t>
        </is>
      </c>
      <c r="B12">
        <f>IF(B10=0,0,MONTH(B10))</f>
        <v/>
      </c>
      <c r="W12">
        <f>IFERROR(INDEX(MASTER_AREAS!$B:$B,11)&amp;"","")</f>
        <v/>
      </c>
      <c r="X12">
        <f>IF(OR(W12="",$B$10=0),0,COUNTIFS(DATA_WSF!$A:$A,$B$10,DATA_WSF!$C:$C,W12))</f>
        <v/>
      </c>
      <c r="Y12">
        <f>IF(X12=0,0,SUMIFS(DATA_WSF!$L:$L,DATA_WSF!$A:$A,$B$10,DATA_WSF!$C:$C,W12))</f>
        <v/>
      </c>
      <c r="Z12">
        <f>IF(OR(W12="",$B$10=0),0,SUMIFS(DATA_WSF!$L:$L,DATA_WSF!$A:$A,$B$10-7,DATA_WSF!$C:$C,W12))</f>
        <v/>
      </c>
      <c r="AA12">
        <f>IF(X12=0,0,SUMIFS(DATA_WSF!$E:$E,DATA_WSF!$A:$A,$B$10,DATA_WSF!$C:$C,W12))</f>
        <v/>
      </c>
      <c r="AB12">
        <f>IF(X12=0,0,SUMIFS(DATA_WSF!$F:$F,DATA_WSF!$A:$A,$B$10,DATA_WSF!$C:$C,W12))</f>
        <v/>
      </c>
      <c r="AC12">
        <f>IF(AA12=0,"",AB12/AA12)</f>
        <v/>
      </c>
      <c r="AD12">
        <f>IF(OR(X12=0,Z12=0),"",Y12/Z12-1)</f>
        <v/>
      </c>
      <c r="AE12">
        <f>IF(X12=0,"",Y12+ROW()/1000000)</f>
        <v/>
      </c>
      <c r="AF12">
        <f>IF(AC12="","",AC12+ROW()/1000000000)</f>
        <v/>
      </c>
      <c r="AG12">
        <f>IF(AD12="","",AD12+ROW()/1000000000)</f>
        <v/>
      </c>
      <c r="AI12" t="n">
        <v>10</v>
      </c>
      <c r="AJ12">
        <f>IFERROR(INDEX($W$3:$W$95,MATCH(LARGE($AE$3:$AE$95,10),$AE$3:$AE$95,0)),"")</f>
        <v/>
      </c>
      <c r="AK12">
        <f>IFERROR(INDEX($Y$3:$Y$95,MATCH(LARGE($AE$3:$AE$95,10),$AE$3:$AE$95,0)),"")</f>
        <v/>
      </c>
      <c r="AL12">
        <f>IFERROR(INDEX($W$3:$W$95,MATCH(SMALL($AE$3:$AE$95,10),$AE$3:$AE$95,0)),"")</f>
        <v/>
      </c>
      <c r="AM12">
        <f>IFERROR(INDEX($Y$3:$Y$95,MATCH(SMALL($AE$3:$AE$95,10),$AE$3:$AE$95,0)),"")</f>
        <v/>
      </c>
      <c r="AN12">
        <f>IFERROR(INDEX($W$3:$W$95,MATCH(LARGE($AF$3:$AF$95,10),$AF$3:$AF$95,0)),"")</f>
        <v/>
      </c>
      <c r="AO12">
        <f>IFERROR(INDEX($AC$3:$AC$95,MATCH(LARGE($AF$3:$AF$95,10),$AF$3:$AF$95,0)),"")</f>
        <v/>
      </c>
      <c r="AP12">
        <f>IFERROR(INDEX($W$3:$W$95,MATCH(SMALL($AF$3:$AF$95,10),$AF$3:$AF$95,0)),"")</f>
        <v/>
      </c>
      <c r="AQ12">
        <f>IFERROR(INDEX($AC$3:$AC$95,MATCH(SMALL($AF$3:$AF$95,10),$AF$3:$AF$95,0)),"")</f>
        <v/>
      </c>
      <c r="AR12">
        <f>IFERROR(INDEX($W$3:$W$95,MATCH(LARGE($AG$3:$AG$95,10),$AG$3:$AG$95,0)),"")</f>
        <v/>
      </c>
      <c r="AS12">
        <f>IFERROR(INDEX($AD$3:$AD$95,MATCH(LARGE($AG$3:$AG$95,10),$AG$3:$AG$95,0)),"")</f>
        <v/>
      </c>
      <c r="AT12">
        <f>IFERROR(INDEX($W$3:$W$95,MATCH(SMALL($AG$3:$AG$95,10),$AG$3:$AG$95,0)),"")</f>
        <v/>
      </c>
      <c r="AU12">
        <f>IFERROR(INDEX($AD$3:$AD$95,MATCH(SMALL($AG$3:$AG$95,10),$AG$3:$AG$95,0)),"")</f>
        <v/>
      </c>
      <c r="AW12">
        <f>IFERROR(SMALL(DATA_WSF!$R:$R,9),"")</f>
        <v/>
      </c>
      <c r="AX12">
        <f>IF($AW12="","",INDEX(DATA_WSF!$C:$C,$AW12))</f>
        <v/>
      </c>
      <c r="AY12">
        <f>IF($AW12="","",INDEX(DATA_WSF!$D:$D,$AW12))</f>
        <v/>
      </c>
      <c r="AZ12">
        <f>IF($AW12="","",IFERROR(INDEX(MASTER_ZONES!$G:$G,MATCH($AY12,MASTER_ZONES!$B:$B,0))&amp;"",""))</f>
        <v/>
      </c>
      <c r="BA12">
        <f>IF($AW12="","",INDEX(DATA_WSF!$E:$E,$AW12))</f>
        <v/>
      </c>
      <c r="BB12">
        <f>IF($AW12="","",INDEX(DATA_WSF!$F:$F,$AW12))</f>
        <v/>
      </c>
      <c r="BC12">
        <f>IF($AW12="","",INDEX(DATA_WSF!$G:$G,$AW12))</f>
        <v/>
      </c>
    </row>
    <row r="13">
      <c r="A13" t="inlineStr">
        <is>
          <t>Selected quarter</t>
        </is>
      </c>
      <c r="B13">
        <f>IF(B10=0,0,ROUNDUP(MONTH(B10)/3,0))</f>
        <v/>
      </c>
      <c r="W13">
        <f>IFERROR(INDEX(MASTER_AREAS!$B:$B,12)&amp;"","")</f>
        <v/>
      </c>
      <c r="X13">
        <f>IF(OR(W13="",$B$10=0),0,COUNTIFS(DATA_WSF!$A:$A,$B$10,DATA_WSF!$C:$C,W13))</f>
        <v/>
      </c>
      <c r="Y13">
        <f>IF(X13=0,0,SUMIFS(DATA_WSF!$L:$L,DATA_WSF!$A:$A,$B$10,DATA_WSF!$C:$C,W13))</f>
        <v/>
      </c>
      <c r="Z13">
        <f>IF(OR(W13="",$B$10=0),0,SUMIFS(DATA_WSF!$L:$L,DATA_WSF!$A:$A,$B$10-7,DATA_WSF!$C:$C,W13))</f>
        <v/>
      </c>
      <c r="AA13">
        <f>IF(X13=0,0,SUMIFS(DATA_WSF!$E:$E,DATA_WSF!$A:$A,$B$10,DATA_WSF!$C:$C,W13))</f>
        <v/>
      </c>
      <c r="AB13">
        <f>IF(X13=0,0,SUMIFS(DATA_WSF!$F:$F,DATA_WSF!$A:$A,$B$10,DATA_WSF!$C:$C,W13))</f>
        <v/>
      </c>
      <c r="AC13">
        <f>IF(AA13=0,"",AB13/AA13)</f>
        <v/>
      </c>
      <c r="AD13">
        <f>IF(OR(X13=0,Z13=0),"",Y13/Z13-1)</f>
        <v/>
      </c>
      <c r="AE13">
        <f>IF(X13=0,"",Y13+ROW()/1000000)</f>
        <v/>
      </c>
      <c r="AF13">
        <f>IF(AC13="","",AC13+ROW()/1000000000)</f>
        <v/>
      </c>
      <c r="AG13">
        <f>IF(AD13="","",AD13+ROW()/1000000000)</f>
        <v/>
      </c>
      <c r="AW13">
        <f>IFERROR(SMALL(DATA_WSF!$R:$R,10),"")</f>
        <v/>
      </c>
      <c r="AX13">
        <f>IF($AW13="","",INDEX(DATA_WSF!$C:$C,$AW13))</f>
        <v/>
      </c>
      <c r="AY13">
        <f>IF($AW13="","",INDEX(DATA_WSF!$D:$D,$AW13))</f>
        <v/>
      </c>
      <c r="AZ13">
        <f>IF($AW13="","",IFERROR(INDEX(MASTER_ZONES!$G:$G,MATCH($AY13,MASTER_ZONES!$B:$B,0))&amp;"",""))</f>
        <v/>
      </c>
      <c r="BA13">
        <f>IF($AW13="","",INDEX(DATA_WSF!$E:$E,$AW13))</f>
        <v/>
      </c>
      <c r="BB13">
        <f>IF($AW13="","",INDEX(DATA_WSF!$F:$F,$AW13))</f>
        <v/>
      </c>
      <c r="BC13">
        <f>IF($AW13="","",INDEX(DATA_WSF!$G:$G,$AW13))</f>
        <v/>
      </c>
    </row>
    <row r="14">
      <c r="A14" t="inlineStr">
        <is>
          <t>Selected year</t>
        </is>
      </c>
      <c r="B14">
        <f>IF(B10=0,0,YEAR(B10))</f>
        <v/>
      </c>
      <c r="W14">
        <f>IFERROR(INDEX(MASTER_AREAS!$B:$B,13)&amp;"","")</f>
        <v/>
      </c>
      <c r="X14">
        <f>IF(OR(W14="",$B$10=0),0,COUNTIFS(DATA_WSF!$A:$A,$B$10,DATA_WSF!$C:$C,W14))</f>
        <v/>
      </c>
      <c r="Y14">
        <f>IF(X14=0,0,SUMIFS(DATA_WSF!$L:$L,DATA_WSF!$A:$A,$B$10,DATA_WSF!$C:$C,W14))</f>
        <v/>
      </c>
      <c r="Z14">
        <f>IF(OR(W14="",$B$10=0),0,SUMIFS(DATA_WSF!$L:$L,DATA_WSF!$A:$A,$B$10-7,DATA_WSF!$C:$C,W14))</f>
        <v/>
      </c>
      <c r="AA14">
        <f>IF(X14=0,0,SUMIFS(DATA_WSF!$E:$E,DATA_WSF!$A:$A,$B$10,DATA_WSF!$C:$C,W14))</f>
        <v/>
      </c>
      <c r="AB14">
        <f>IF(X14=0,0,SUMIFS(DATA_WSF!$F:$F,DATA_WSF!$A:$A,$B$10,DATA_WSF!$C:$C,W14))</f>
        <v/>
      </c>
      <c r="AC14">
        <f>IF(AA14=0,"",AB14/AA14)</f>
        <v/>
      </c>
      <c r="AD14">
        <f>IF(OR(X14=0,Z14=0),"",Y14/Z14-1)</f>
        <v/>
      </c>
      <c r="AE14">
        <f>IF(X14=0,"",Y14+ROW()/1000000)</f>
        <v/>
      </c>
      <c r="AF14">
        <f>IF(AC14="","",AC14+ROW()/1000000000)</f>
        <v/>
      </c>
      <c r="AG14">
        <f>IF(AD14="","",AD14+ROW()/1000000000)</f>
        <v/>
      </c>
      <c r="AW14">
        <f>IFERROR(SMALL(DATA_WSF!$R:$R,11),"")</f>
        <v/>
      </c>
      <c r="AX14">
        <f>IF($AW14="","",INDEX(DATA_WSF!$C:$C,$AW14))</f>
        <v/>
      </c>
      <c r="AY14">
        <f>IF($AW14="","",INDEX(DATA_WSF!$D:$D,$AW14))</f>
        <v/>
      </c>
      <c r="AZ14">
        <f>IF($AW14="","",IFERROR(INDEX(MASTER_ZONES!$G:$G,MATCH($AY14,MASTER_ZONES!$B:$B,0))&amp;"",""))</f>
        <v/>
      </c>
      <c r="BA14">
        <f>IF($AW14="","",INDEX(DATA_WSF!$E:$E,$AW14))</f>
        <v/>
      </c>
      <c r="BB14">
        <f>IF($AW14="","",INDEX(DATA_WSF!$F:$F,$AW14))</f>
        <v/>
      </c>
      <c r="BC14">
        <f>IF($AW14="","",INDEX(DATA_WSF!$G:$G,$AW14))</f>
        <v/>
      </c>
    </row>
    <row r="15">
      <c r="A15" t="inlineStr">
        <is>
          <t>Any WSF data</t>
        </is>
      </c>
      <c r="B15">
        <f>B9&gt;0</f>
        <v/>
      </c>
      <c r="W15">
        <f>IFERROR(INDEX(MASTER_AREAS!$B:$B,14)&amp;"","")</f>
        <v/>
      </c>
      <c r="X15">
        <f>IF(OR(W15="",$B$10=0),0,COUNTIFS(DATA_WSF!$A:$A,$B$10,DATA_WSF!$C:$C,W15))</f>
        <v/>
      </c>
      <c r="Y15">
        <f>IF(X15=0,0,SUMIFS(DATA_WSF!$L:$L,DATA_WSF!$A:$A,$B$10,DATA_WSF!$C:$C,W15))</f>
        <v/>
      </c>
      <c r="Z15">
        <f>IF(OR(W15="",$B$10=0),0,SUMIFS(DATA_WSF!$L:$L,DATA_WSF!$A:$A,$B$10-7,DATA_WSF!$C:$C,W15))</f>
        <v/>
      </c>
      <c r="AA15">
        <f>IF(X15=0,0,SUMIFS(DATA_WSF!$E:$E,DATA_WSF!$A:$A,$B$10,DATA_WSF!$C:$C,W15))</f>
        <v/>
      </c>
      <c r="AB15">
        <f>IF(X15=0,0,SUMIFS(DATA_WSF!$F:$F,DATA_WSF!$A:$A,$B$10,DATA_WSF!$C:$C,W15))</f>
        <v/>
      </c>
      <c r="AC15">
        <f>IF(AA15=0,"",AB15/AA15)</f>
        <v/>
      </c>
      <c r="AD15">
        <f>IF(OR(X15=0,Z15=0),"",Y15/Z15-1)</f>
        <v/>
      </c>
      <c r="AE15">
        <f>IF(X15=0,"",Y15+ROW()/1000000)</f>
        <v/>
      </c>
      <c r="AF15">
        <f>IF(AC15="","",AC15+ROW()/1000000000)</f>
        <v/>
      </c>
      <c r="AG15">
        <f>IF(AD15="","",AD15+ROW()/1000000000)</f>
        <v/>
      </c>
      <c r="AI15" t="inlineStr">
        <is>
          <t>Selected area rank: attendance</t>
        </is>
      </c>
      <c r="AJ15">
        <f>IF($B$3&lt;&gt;"Area","",IFERROR(COUNTIF($AE$3:$AE$95,"&gt;"&amp;INDEX($AE$3:$AE$95,MATCH($B$4,$W$3:$W$95,0)))+1,""))</f>
        <v/>
      </c>
      <c r="AW15">
        <f>IFERROR(SMALL(DATA_WSF!$R:$R,12),"")</f>
        <v/>
      </c>
      <c r="AX15">
        <f>IF($AW15="","",INDEX(DATA_WSF!$C:$C,$AW15))</f>
        <v/>
      </c>
      <c r="AY15">
        <f>IF($AW15="","",INDEX(DATA_WSF!$D:$D,$AW15))</f>
        <v/>
      </c>
      <c r="AZ15">
        <f>IF($AW15="","",IFERROR(INDEX(MASTER_ZONES!$G:$G,MATCH($AY15,MASTER_ZONES!$B:$B,0))&amp;"",""))</f>
        <v/>
      </c>
      <c r="BA15">
        <f>IF($AW15="","",INDEX(DATA_WSF!$E:$E,$AW15))</f>
        <v/>
      </c>
      <c r="BB15">
        <f>IF($AW15="","",INDEX(DATA_WSF!$F:$F,$AW15))</f>
        <v/>
      </c>
      <c r="BC15">
        <f>IF($AW15="","",INDEX(DATA_WSF!$G:$G,$AW15))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W16">
        <f>IFERROR(INDEX(MASTER_AREAS!$B:$B,15)&amp;"","")</f>
        <v/>
      </c>
      <c r="X16">
        <f>IF(OR(W16="",$B$10=0),0,COUNTIFS(DATA_WSF!$A:$A,$B$10,DATA_WSF!$C:$C,W16))</f>
        <v/>
      </c>
      <c r="Y16">
        <f>IF(X16=0,0,SUMIFS(DATA_WSF!$L:$L,DATA_WSF!$A:$A,$B$10,DATA_WSF!$C:$C,W16))</f>
        <v/>
      </c>
      <c r="Z16">
        <f>IF(OR(W16="",$B$10=0),0,SUMIFS(DATA_WSF!$L:$L,DATA_WSF!$A:$A,$B$10-7,DATA_WSF!$C:$C,W16))</f>
        <v/>
      </c>
      <c r="AA16">
        <f>IF(X16=0,0,SUMIFS(DATA_WSF!$E:$E,DATA_WSF!$A:$A,$B$10,DATA_WSF!$C:$C,W16))</f>
        <v/>
      </c>
      <c r="AB16">
        <f>IF(X16=0,0,SUMIFS(DATA_WSF!$F:$F,DATA_WSF!$A:$A,$B$10,DATA_WSF!$C:$C,W16))</f>
        <v/>
      </c>
      <c r="AC16">
        <f>IF(AA16=0,"",AB16/AA16)</f>
        <v/>
      </c>
      <c r="AD16">
        <f>IF(OR(X16=0,Z16=0),"",Y16/Z16-1)</f>
        <v/>
      </c>
      <c r="AE16">
        <f>IF(X16=0,"",Y16+ROW()/1000000)</f>
        <v/>
      </c>
      <c r="AF16">
        <f>IF(AC16="","",AC16+ROW()/1000000000)</f>
        <v/>
      </c>
      <c r="AG16">
        <f>IF(AD16="","",AD16+ROW()/1000000000)</f>
        <v/>
      </c>
      <c r="AI16" t="inlineStr">
        <is>
          <t>% reporting</t>
        </is>
      </c>
      <c r="AJ16">
        <f>IF($B$3&lt;&gt;"Area","",IFERROR(COUNTIF($AF$3:$AF$95,"&gt;"&amp;INDEX($AF$3:$AF$95,MATCH($B$4,$W$3:$W$95,0)))+1,""))</f>
        <v/>
      </c>
      <c r="AW16">
        <f>IFERROR(SMALL(DATA_WSF!$R:$R,13),"")</f>
        <v/>
      </c>
      <c r="AX16">
        <f>IF($AW16="","",INDEX(DATA_WSF!$C:$C,$AW16))</f>
        <v/>
      </c>
      <c r="AY16">
        <f>IF($AW16="","",INDEX(DATA_WSF!$D:$D,$AW16))</f>
        <v/>
      </c>
      <c r="AZ16">
        <f>IF($AW16="","",IFERROR(INDEX(MASTER_ZONES!$G:$G,MATCH($AY16,MASTER_ZONES!$B:$B,0))&amp;"",""))</f>
        <v/>
      </c>
      <c r="BA16">
        <f>IF($AW16="","",INDEX(DATA_WSF!$E:$E,$AW16))</f>
        <v/>
      </c>
      <c r="BB16">
        <f>IF($AW16="","",INDEX(DATA_WSF!$F:$F,$AW16))</f>
        <v/>
      </c>
      <c r="BC16">
        <f>IF($AW16="","",INDEX(DATA_WSF!$G:$G,$AW16))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IF(B10=0,0,COUNTIFS(DATA_WSF!$A:$A,B10,DATA_WSF!$C:$C,B6,DATA_WSF!$D:$D,B7,DATA_WSF!$F:$F,0,DATA_WSF!$E:$E,"&gt;0"))</f>
        <v/>
      </c>
      <c r="W17">
        <f>IFERROR(INDEX(MASTER_AREAS!$B:$B,16)&amp;"","")</f>
        <v/>
      </c>
      <c r="X17">
        <f>IF(OR(W17="",$B$10=0),0,COUNTIFS(DATA_WSF!$A:$A,$B$10,DATA_WSF!$C:$C,W17))</f>
        <v/>
      </c>
      <c r="Y17">
        <f>IF(X17=0,0,SUMIFS(DATA_WSF!$L:$L,DATA_WSF!$A:$A,$B$10,DATA_WSF!$C:$C,W17))</f>
        <v/>
      </c>
      <c r="Z17">
        <f>IF(OR(W17="",$B$10=0),0,SUMIFS(DATA_WSF!$L:$L,DATA_WSF!$A:$A,$B$10-7,DATA_WSF!$C:$C,W17))</f>
        <v/>
      </c>
      <c r="AA17">
        <f>IF(X17=0,0,SUMIFS(DATA_WSF!$E:$E,DATA_WSF!$A:$A,$B$10,DATA_WSF!$C:$C,W17))</f>
        <v/>
      </c>
      <c r="AB17">
        <f>IF(X17=0,0,SUMIFS(DATA_WSF!$F:$F,DATA_WSF!$A:$A,$B$10,DATA_WSF!$C:$C,W17))</f>
        <v/>
      </c>
      <c r="AC17">
        <f>IF(AA17=0,"",AB17/AA17)</f>
        <v/>
      </c>
      <c r="AD17">
        <f>IF(OR(X17=0,Z17=0),"",Y17/Z17-1)</f>
        <v/>
      </c>
      <c r="AE17">
        <f>IF(X17=0,"",Y17+ROW()/1000000)</f>
        <v/>
      </c>
      <c r="AF17">
        <f>IF(AC17="","",AC17+ROW()/1000000000)</f>
        <v/>
      </c>
      <c r="AG17">
        <f>IF(AD17="","",AD17+ROW()/1000000000)</f>
        <v/>
      </c>
      <c r="AI17" t="inlineStr">
        <is>
          <t>growth</t>
        </is>
      </c>
      <c r="AJ17">
        <f>IF($B$3&lt;&gt;"Area","",IFERROR(COUNTIF($AG$3:$AG$95,"&gt;"&amp;INDEX($AG$3:$AG$95,MATCH($B$4,$W$3:$W$95,0)))+1,""))</f>
        <v/>
      </c>
      <c r="AW17">
        <f>IFERROR(SMALL(DATA_WSF!$R:$R,14),"")</f>
        <v/>
      </c>
      <c r="AX17">
        <f>IF($AW17="","",INDEX(DATA_WSF!$C:$C,$AW17))</f>
        <v/>
      </c>
      <c r="AY17">
        <f>IF($AW17="","",INDEX(DATA_WSF!$D:$D,$AW17))</f>
        <v/>
      </c>
      <c r="AZ17">
        <f>IF($AW17="","",IFERROR(INDEX(MASTER_ZONES!$G:$G,MATCH($AY17,MASTER_ZONES!$B:$B,0))&amp;"",""))</f>
        <v/>
      </c>
      <c r="BA17">
        <f>IF($AW17="","",INDEX(DATA_WSF!$E:$E,$AW17))</f>
        <v/>
      </c>
      <c r="BB17">
        <f>IF($AW17="","",INDEX(DATA_WSF!$F:$F,$AW17))</f>
        <v/>
      </c>
      <c r="BC17">
        <f>IF($AW17="","",INDEX(DATA_WSF!$G:$G,$AW17))</f>
        <v/>
      </c>
    </row>
    <row r="18">
      <c r="W18">
        <f>IFERROR(INDEX(MASTER_AREAS!$B:$B,17)&amp;"","")</f>
        <v/>
      </c>
      <c r="X18">
        <f>IF(OR(W18="",$B$10=0),0,COUNTIFS(DATA_WSF!$A:$A,$B$10,DATA_WSF!$C:$C,W18))</f>
        <v/>
      </c>
      <c r="Y18">
        <f>IF(X18=0,0,SUMIFS(DATA_WSF!$L:$L,DATA_WSF!$A:$A,$B$10,DATA_WSF!$C:$C,W18))</f>
        <v/>
      </c>
      <c r="Z18">
        <f>IF(OR(W18="",$B$10=0),0,SUMIFS(DATA_WSF!$L:$L,DATA_WSF!$A:$A,$B$10-7,DATA_WSF!$C:$C,W18))</f>
        <v/>
      </c>
      <c r="AA18">
        <f>IF(X18=0,0,SUMIFS(DATA_WSF!$E:$E,DATA_WSF!$A:$A,$B$10,DATA_WSF!$C:$C,W18))</f>
        <v/>
      </c>
      <c r="AB18">
        <f>IF(X18=0,0,SUMIFS(DATA_WSF!$F:$F,DATA_WSF!$A:$A,$B$10,DATA_WSF!$C:$C,W18))</f>
        <v/>
      </c>
      <c r="AC18">
        <f>IF(AA18=0,"",AB18/AA18)</f>
        <v/>
      </c>
      <c r="AD18">
        <f>IF(OR(X18=0,Z18=0),"",Y18/Z18-1)</f>
        <v/>
      </c>
      <c r="AE18">
        <f>IF(X18=0,"",Y18+ROW()/1000000)</f>
        <v/>
      </c>
      <c r="AF18">
        <f>IF(AC18="","",AC18+ROW()/1000000000)</f>
        <v/>
      </c>
      <c r="AG18">
        <f>IF(AD18="","",AD18+ROW()/1000000000)</f>
        <v/>
      </c>
      <c r="AI18" t="inlineStr">
        <is>
          <t>Areas ranked</t>
        </is>
      </c>
      <c r="AJ18">
        <f>COUNT($AE$3:$AE$95)</f>
        <v/>
      </c>
      <c r="AW18">
        <f>IFERROR(SMALL(DATA_WSF!$R:$R,15),"")</f>
        <v/>
      </c>
      <c r="AX18">
        <f>IF($AW18="","",INDEX(DATA_WSF!$C:$C,$AW18))</f>
        <v/>
      </c>
      <c r="AY18">
        <f>IF($AW18="","",INDEX(DATA_WSF!$D:$D,$AW18))</f>
        <v/>
      </c>
      <c r="AZ18">
        <f>IF($AW18="","",IFERROR(INDEX(MASTER_ZONES!$G:$G,MATCH($AY18,MASTER_ZONES!$B:$B,0))&amp;"",""))</f>
        <v/>
      </c>
      <c r="BA18">
        <f>IF($AW18="","",INDEX(DATA_WSF!$E:$E,$AW18))</f>
        <v/>
      </c>
      <c r="BB18">
        <f>IF($AW18="","",INDEX(DATA_WSF!$F:$F,$AW18))</f>
        <v/>
      </c>
      <c r="BC18">
        <f>IF($AW18="","",INDEX(DATA_WSF!$G:$G,$AW18))</f>
        <v/>
      </c>
    </row>
    <row r="19">
      <c r="W19">
        <f>IFERROR(INDEX(MASTER_AREAS!$B:$B,18)&amp;"","")</f>
        <v/>
      </c>
      <c r="X19">
        <f>IF(OR(W19="",$B$10=0),0,COUNTIFS(DATA_WSF!$A:$A,$B$10,DATA_WSF!$C:$C,W19))</f>
        <v/>
      </c>
      <c r="Y19">
        <f>IF(X19=0,0,SUMIFS(DATA_WSF!$L:$L,DATA_WSF!$A:$A,$B$10,DATA_WSF!$C:$C,W19))</f>
        <v/>
      </c>
      <c r="Z19">
        <f>IF(OR(W19="",$B$10=0),0,SUMIFS(DATA_WSF!$L:$L,DATA_WSF!$A:$A,$B$10-7,DATA_WSF!$C:$C,W19))</f>
        <v/>
      </c>
      <c r="AA19">
        <f>IF(X19=0,0,SUMIFS(DATA_WSF!$E:$E,DATA_WSF!$A:$A,$B$10,DATA_WSF!$C:$C,W19))</f>
        <v/>
      </c>
      <c r="AB19">
        <f>IF(X19=0,0,SUMIFS(DATA_WSF!$F:$F,DATA_WSF!$A:$A,$B$10,DATA_WSF!$C:$C,W19))</f>
        <v/>
      </c>
      <c r="AC19">
        <f>IF(AA19=0,"",AB19/AA19)</f>
        <v/>
      </c>
      <c r="AD19">
        <f>IF(OR(X19=0,Z19=0),"",Y19/Z19-1)</f>
        <v/>
      </c>
      <c r="AE19">
        <f>IF(X19=0,"",Y19+ROW()/1000000)</f>
        <v/>
      </c>
      <c r="AF19">
        <f>IF(AC19="","",AC19+ROW()/1000000000)</f>
        <v/>
      </c>
      <c r="AG19">
        <f>IF(AD19="","",AD19+ROW()/1000000000)</f>
        <v/>
      </c>
      <c r="AW19">
        <f>IFERROR(SMALL(DATA_WSF!$R:$R,16),"")</f>
        <v/>
      </c>
      <c r="AX19">
        <f>IF($AW19="","",INDEX(DATA_WSF!$C:$C,$AW19))</f>
        <v/>
      </c>
      <c r="AY19">
        <f>IF($AW19="","",INDEX(DATA_WSF!$D:$D,$AW19))</f>
        <v/>
      </c>
      <c r="AZ19">
        <f>IF($AW19="","",IFERROR(INDEX(MASTER_ZONES!$G:$G,MATCH($AY19,MASTER_ZONES!$B:$B,0))&amp;"",""))</f>
        <v/>
      </c>
      <c r="BA19">
        <f>IF($AW19="","",INDEX(DATA_WSF!$E:$E,$AW19))</f>
        <v/>
      </c>
      <c r="BB19">
        <f>IF($AW19="","",INDEX(DATA_WSF!$F:$F,$AW19))</f>
        <v/>
      </c>
      <c r="BC19">
        <f>IF($AW19="","",INDEX(DATA_WSF!$G:$G,$AW19))</f>
        <v/>
      </c>
    </row>
    <row r="20">
      <c r="A20" s="201" t="inlineStr">
        <is>
          <t>k</t>
        </is>
      </c>
      <c r="B20" s="201" t="inlineStr">
        <is>
          <t>Week</t>
        </is>
      </c>
      <c r="C20" s="201" t="inlineStr">
        <is>
          <t>Month</t>
        </is>
      </c>
      <c r="D20" s="201" t="inlineStr">
        <is>
          <t>Quarter</t>
        </is>
      </c>
      <c r="E20" s="201" t="inlineStr">
        <is>
          <t>Year</t>
        </is>
      </c>
      <c r="F20" s="201" t="inlineStr">
        <is>
          <t>Rows</t>
        </is>
      </c>
      <c r="G20" s="201" t="inlineStr">
        <is>
          <t>Male</t>
        </is>
      </c>
      <c r="H20" s="201" t="inlineStr">
        <is>
          <t>Female</t>
        </is>
      </c>
      <c r="I20" s="201" t="inlineStr">
        <is>
          <t>Children</t>
        </is>
      </c>
      <c r="J20" s="201" t="inlineStr">
        <is>
          <t>Adult</t>
        </is>
      </c>
      <c r="K20" s="201" t="inlineStr">
        <is>
          <t>Grand</t>
        </is>
      </c>
      <c r="L20" s="201" t="inlineStr">
        <is>
          <t>Cells total</t>
        </is>
      </c>
      <c r="M20" s="201" t="inlineStr">
        <is>
          <t>Cells reported</t>
        </is>
      </c>
      <c r="N20" s="201" t="inlineStr">
        <is>
          <t>Not reported</t>
        </is>
      </c>
      <c r="O20" s="201" t="inlineStr">
        <is>
          <t>% reporting</t>
        </is>
      </c>
      <c r="P20" s="201" t="inlineStr">
        <is>
          <t>Avg / cell</t>
        </is>
      </c>
      <c r="Q20" s="201" t="inlineStr">
        <is>
          <t>Has data</t>
        </is>
      </c>
      <c r="R20" s="201" t="inlineStr">
        <is>
          <t>In window</t>
        </is>
      </c>
      <c r="S20" s="201" t="inlineStr">
        <is>
          <t>In MTD</t>
        </is>
      </c>
      <c r="T20" s="201" t="inlineStr">
        <is>
          <t>In QTD</t>
        </is>
      </c>
      <c r="U20" s="201" t="inlineStr">
        <is>
          <t>In YTD</t>
        </is>
      </c>
      <c r="W20">
        <f>IFERROR(INDEX(MASTER_AREAS!$B:$B,19)&amp;"","")</f>
        <v/>
      </c>
      <c r="X20">
        <f>IF(OR(W20="",$B$10=0),0,COUNTIFS(DATA_WSF!$A:$A,$B$10,DATA_WSF!$C:$C,W20))</f>
        <v/>
      </c>
      <c r="Y20">
        <f>IF(X20=0,0,SUMIFS(DATA_WSF!$L:$L,DATA_WSF!$A:$A,$B$10,DATA_WSF!$C:$C,W20))</f>
        <v/>
      </c>
      <c r="Z20">
        <f>IF(OR(W20="",$B$10=0),0,SUMIFS(DATA_WSF!$L:$L,DATA_WSF!$A:$A,$B$10-7,DATA_WSF!$C:$C,W20))</f>
        <v/>
      </c>
      <c r="AA20">
        <f>IF(X20=0,0,SUMIFS(DATA_WSF!$E:$E,DATA_WSF!$A:$A,$B$10,DATA_WSF!$C:$C,W20))</f>
        <v/>
      </c>
      <c r="AB20">
        <f>IF(X20=0,0,SUMIFS(DATA_WSF!$F:$F,DATA_WSF!$A:$A,$B$10,DATA_WSF!$C:$C,W20))</f>
        <v/>
      </c>
      <c r="AC20">
        <f>IF(AA20=0,"",AB20/AA20)</f>
        <v/>
      </c>
      <c r="AD20">
        <f>IF(OR(X20=0,Z20=0),"",Y20/Z20-1)</f>
        <v/>
      </c>
      <c r="AE20">
        <f>IF(X20=0,"",Y20+ROW()/1000000)</f>
        <v/>
      </c>
      <c r="AF20">
        <f>IF(AC20="","",AC20+ROW()/1000000000)</f>
        <v/>
      </c>
      <c r="AG20">
        <f>IF(AD20="","",AD20+ROW()/1000000000)</f>
        <v/>
      </c>
      <c r="AW20">
        <f>IFERROR(SMALL(DATA_WSF!$R:$R,17),"")</f>
        <v/>
      </c>
      <c r="AX20">
        <f>IF($AW20="","",INDEX(DATA_WSF!$C:$C,$AW20))</f>
        <v/>
      </c>
      <c r="AY20">
        <f>IF($AW20="","",INDEX(DATA_WSF!$D:$D,$AW20))</f>
        <v/>
      </c>
      <c r="AZ20">
        <f>IF($AW20="","",IFERROR(INDEX(MASTER_ZONES!$G:$G,MATCH($AY20,MASTER_ZONES!$B:$B,0))&amp;"",""))</f>
        <v/>
      </c>
      <c r="BA20">
        <f>IF($AW20="","",INDEX(DATA_WSF!$E:$E,$AW20))</f>
        <v/>
      </c>
      <c r="BB20">
        <f>IF($AW20="","",INDEX(DATA_WSF!$F:$F,$AW20))</f>
        <v/>
      </c>
      <c r="BC20">
        <f>IF($AW20="","",INDEX(DATA_WSF!$G:$G,$AW20))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W21">
        <f>IFERROR(INDEX(MASTER_AREAS!$B:$B,20)&amp;"","")</f>
        <v/>
      </c>
      <c r="X21">
        <f>IF(OR(W21="",$B$10=0),0,COUNTIFS(DATA_WSF!$A:$A,$B$10,DATA_WSF!$C:$C,W21))</f>
        <v/>
      </c>
      <c r="Y21">
        <f>IF(X21=0,0,SUMIFS(DATA_WSF!$L:$L,DATA_WSF!$A:$A,$B$10,DATA_WSF!$C:$C,W21))</f>
        <v/>
      </c>
      <c r="Z21">
        <f>IF(OR(W21="",$B$10=0),0,SUMIFS(DATA_WSF!$L:$L,DATA_WSF!$A:$A,$B$10-7,DATA_WSF!$C:$C,W21))</f>
        <v/>
      </c>
      <c r="AA21">
        <f>IF(X21=0,0,SUMIFS(DATA_WSF!$E:$E,DATA_WSF!$A:$A,$B$10,DATA_WSF!$C:$C,W21))</f>
        <v/>
      </c>
      <c r="AB21">
        <f>IF(X21=0,0,SUMIFS(DATA_WSF!$F:$F,DATA_WSF!$A:$A,$B$10,DATA_WSF!$C:$C,W21))</f>
        <v/>
      </c>
      <c r="AC21">
        <f>IF(AA21=0,"",AB21/AA21)</f>
        <v/>
      </c>
      <c r="AD21">
        <f>IF(OR(X21=0,Z21=0),"",Y21/Z21-1)</f>
        <v/>
      </c>
      <c r="AE21">
        <f>IF(X21=0,"",Y21+ROW()/1000000)</f>
        <v/>
      </c>
      <c r="AF21">
        <f>IF(AC21="","",AC21+ROW()/1000000000)</f>
        <v/>
      </c>
      <c r="AG21">
        <f>IF(AD21="","",AD21+ROW()/1000000000)</f>
        <v/>
      </c>
      <c r="AW21">
        <f>IFERROR(SMALL(DATA_WSF!$R:$R,18),"")</f>
        <v/>
      </c>
      <c r="AX21">
        <f>IF($AW21="","",INDEX(DATA_WSF!$C:$C,$AW21))</f>
        <v/>
      </c>
      <c r="AY21">
        <f>IF($AW21="","",INDEX(DATA_WSF!$D:$D,$AW21))</f>
        <v/>
      </c>
      <c r="AZ21">
        <f>IF($AW21="","",IFERROR(INDEX(MASTER_ZONES!$G:$G,MATCH($AY21,MASTER_ZONES!$B:$B,0))&amp;"",""))</f>
        <v/>
      </c>
      <c r="BA21">
        <f>IF($AW21="","",INDEX(DATA_WSF!$E:$E,$AW21))</f>
        <v/>
      </c>
      <c r="BB21">
        <f>IF($AW21="","",INDEX(DATA_WSF!$F:$F,$AW21))</f>
        <v/>
      </c>
      <c r="BC21">
        <f>IF($AW21="","",INDEX(DATA_WSF!$G:$G,$AW21))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W22">
        <f>IFERROR(INDEX(MASTER_AREAS!$B:$B,21)&amp;"","")</f>
        <v/>
      </c>
      <c r="X22">
        <f>IF(OR(W22="",$B$10=0),0,COUNTIFS(DATA_WSF!$A:$A,$B$10,DATA_WSF!$C:$C,W22))</f>
        <v/>
      </c>
      <c r="Y22">
        <f>IF(X22=0,0,SUMIFS(DATA_WSF!$L:$L,DATA_WSF!$A:$A,$B$10,DATA_WSF!$C:$C,W22))</f>
        <v/>
      </c>
      <c r="Z22">
        <f>IF(OR(W22="",$B$10=0),0,SUMIFS(DATA_WSF!$L:$L,DATA_WSF!$A:$A,$B$10-7,DATA_WSF!$C:$C,W22))</f>
        <v/>
      </c>
      <c r="AA22">
        <f>IF(X22=0,0,SUMIFS(DATA_WSF!$E:$E,DATA_WSF!$A:$A,$B$10,DATA_WSF!$C:$C,W22))</f>
        <v/>
      </c>
      <c r="AB22">
        <f>IF(X22=0,0,SUMIFS(DATA_WSF!$F:$F,DATA_WSF!$A:$A,$B$10,DATA_WSF!$C:$C,W22))</f>
        <v/>
      </c>
      <c r="AC22">
        <f>IF(AA22=0,"",AB22/AA22)</f>
        <v/>
      </c>
      <c r="AD22">
        <f>IF(OR(X22=0,Z22=0),"",Y22/Z22-1)</f>
        <v/>
      </c>
      <c r="AE22">
        <f>IF(X22=0,"",Y22+ROW()/1000000)</f>
        <v/>
      </c>
      <c r="AF22">
        <f>IF(AC22="","",AC22+ROW()/1000000000)</f>
        <v/>
      </c>
      <c r="AG22">
        <f>IF(AD22="","",AD22+ROW()/1000000000)</f>
        <v/>
      </c>
      <c r="AW22">
        <f>IFERROR(SMALL(DATA_WSF!$R:$R,19),"")</f>
        <v/>
      </c>
      <c r="AX22">
        <f>IF($AW22="","",INDEX(DATA_WSF!$C:$C,$AW22))</f>
        <v/>
      </c>
      <c r="AY22">
        <f>IF($AW22="","",INDEX(DATA_WSF!$D:$D,$AW22))</f>
        <v/>
      </c>
      <c r="AZ22">
        <f>IF($AW22="","",IFERROR(INDEX(MASTER_ZONES!$G:$G,MATCH($AY22,MASTER_ZONES!$B:$B,0))&amp;"",""))</f>
        <v/>
      </c>
      <c r="BA22">
        <f>IF($AW22="","",INDEX(DATA_WSF!$E:$E,$AW22))</f>
        <v/>
      </c>
      <c r="BB22">
        <f>IF($AW22="","",INDEX(DATA_WSF!$F:$F,$AW22))</f>
        <v/>
      </c>
      <c r="BC22">
        <f>IF($AW22="","",INDEX(DATA_WSF!$G:$G,$AW22))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W23">
        <f>IFERROR(INDEX(MASTER_AREAS!$B:$B,22)&amp;"","")</f>
        <v/>
      </c>
      <c r="X23">
        <f>IF(OR(W23="",$B$10=0),0,COUNTIFS(DATA_WSF!$A:$A,$B$10,DATA_WSF!$C:$C,W23))</f>
        <v/>
      </c>
      <c r="Y23">
        <f>IF(X23=0,0,SUMIFS(DATA_WSF!$L:$L,DATA_WSF!$A:$A,$B$10,DATA_WSF!$C:$C,W23))</f>
        <v/>
      </c>
      <c r="Z23">
        <f>IF(OR(W23="",$B$10=0),0,SUMIFS(DATA_WSF!$L:$L,DATA_WSF!$A:$A,$B$10-7,DATA_WSF!$C:$C,W23))</f>
        <v/>
      </c>
      <c r="AA23">
        <f>IF(X23=0,0,SUMIFS(DATA_WSF!$E:$E,DATA_WSF!$A:$A,$B$10,DATA_WSF!$C:$C,W23))</f>
        <v/>
      </c>
      <c r="AB23">
        <f>IF(X23=0,0,SUMIFS(DATA_WSF!$F:$F,DATA_WSF!$A:$A,$B$10,DATA_WSF!$C:$C,W23))</f>
        <v/>
      </c>
      <c r="AC23">
        <f>IF(AA23=0,"",AB23/AA23)</f>
        <v/>
      </c>
      <c r="AD23">
        <f>IF(OR(X23=0,Z23=0),"",Y23/Z23-1)</f>
        <v/>
      </c>
      <c r="AE23">
        <f>IF(X23=0,"",Y23+ROW()/1000000)</f>
        <v/>
      </c>
      <c r="AF23">
        <f>IF(AC23="","",AC23+ROW()/1000000000)</f>
        <v/>
      </c>
      <c r="AG23">
        <f>IF(AD23="","",AD23+ROW()/1000000000)</f>
        <v/>
      </c>
      <c r="AW23">
        <f>IFERROR(SMALL(DATA_WSF!$R:$R,20),"")</f>
        <v/>
      </c>
      <c r="AX23">
        <f>IF($AW23="","",INDEX(DATA_WSF!$C:$C,$AW23))</f>
        <v/>
      </c>
      <c r="AY23">
        <f>IF($AW23="","",INDEX(DATA_WSF!$D:$D,$AW23))</f>
        <v/>
      </c>
      <c r="AZ23">
        <f>IF($AW23="","",IFERROR(INDEX(MASTER_ZONES!$G:$G,MATCH($AY23,MASTER_ZONES!$B:$B,0))&amp;"",""))</f>
        <v/>
      </c>
      <c r="BA23">
        <f>IF($AW23="","",INDEX(DATA_WSF!$E:$E,$AW23))</f>
        <v/>
      </c>
      <c r="BB23">
        <f>IF($AW23="","",INDEX(DATA_WSF!$F:$F,$AW23))</f>
        <v/>
      </c>
      <c r="BC23">
        <f>IF($AW23="","",INDEX(DATA_WSF!$G:$G,$AW23))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W24">
        <f>IFERROR(INDEX(MASTER_AREAS!$B:$B,23)&amp;"","")</f>
        <v/>
      </c>
      <c r="X24">
        <f>IF(OR(W24="",$B$10=0),0,COUNTIFS(DATA_WSF!$A:$A,$B$10,DATA_WSF!$C:$C,W24))</f>
        <v/>
      </c>
      <c r="Y24">
        <f>IF(X24=0,0,SUMIFS(DATA_WSF!$L:$L,DATA_WSF!$A:$A,$B$10,DATA_WSF!$C:$C,W24))</f>
        <v/>
      </c>
      <c r="Z24">
        <f>IF(OR(W24="",$B$10=0),0,SUMIFS(DATA_WSF!$L:$L,DATA_WSF!$A:$A,$B$10-7,DATA_WSF!$C:$C,W24))</f>
        <v/>
      </c>
      <c r="AA24">
        <f>IF(X24=0,0,SUMIFS(DATA_WSF!$E:$E,DATA_WSF!$A:$A,$B$10,DATA_WSF!$C:$C,W24))</f>
        <v/>
      </c>
      <c r="AB24">
        <f>IF(X24=0,0,SUMIFS(DATA_WSF!$F:$F,DATA_WSF!$A:$A,$B$10,DATA_WSF!$C:$C,W24))</f>
        <v/>
      </c>
      <c r="AC24">
        <f>IF(AA24=0,"",AB24/AA24)</f>
        <v/>
      </c>
      <c r="AD24">
        <f>IF(OR(X24=0,Z24=0),"",Y24/Z24-1)</f>
        <v/>
      </c>
      <c r="AE24">
        <f>IF(X24=0,"",Y24+ROW()/1000000)</f>
        <v/>
      </c>
      <c r="AF24">
        <f>IF(AC24="","",AC24+ROW()/1000000000)</f>
        <v/>
      </c>
      <c r="AG24">
        <f>IF(AD24="","",AD24+ROW()/1000000000)</f>
        <v/>
      </c>
      <c r="AW24">
        <f>IFERROR(SMALL(DATA_WSF!$R:$R,21),"")</f>
        <v/>
      </c>
      <c r="AX24">
        <f>IF($AW24="","",INDEX(DATA_WSF!$C:$C,$AW24))</f>
        <v/>
      </c>
      <c r="AY24">
        <f>IF($AW24="","",INDEX(DATA_WSF!$D:$D,$AW24))</f>
        <v/>
      </c>
      <c r="AZ24">
        <f>IF($AW24="","",IFERROR(INDEX(MASTER_ZONES!$G:$G,MATCH($AY24,MASTER_ZONES!$B:$B,0))&amp;"",""))</f>
        <v/>
      </c>
      <c r="BA24">
        <f>IF($AW24="","",INDEX(DATA_WSF!$E:$E,$AW24))</f>
        <v/>
      </c>
      <c r="BB24">
        <f>IF($AW24="","",INDEX(DATA_WSF!$F:$F,$AW24))</f>
        <v/>
      </c>
      <c r="BC24">
        <f>IF($AW24="","",INDEX(DATA_WSF!$G:$G,$AW24))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W25">
        <f>IFERROR(INDEX(MASTER_AREAS!$B:$B,24)&amp;"","")</f>
        <v/>
      </c>
      <c r="X25">
        <f>IF(OR(W25="",$B$10=0),0,COUNTIFS(DATA_WSF!$A:$A,$B$10,DATA_WSF!$C:$C,W25))</f>
        <v/>
      </c>
      <c r="Y25">
        <f>IF(X25=0,0,SUMIFS(DATA_WSF!$L:$L,DATA_WSF!$A:$A,$B$10,DATA_WSF!$C:$C,W25))</f>
        <v/>
      </c>
      <c r="Z25">
        <f>IF(OR(W25="",$B$10=0),0,SUMIFS(DATA_WSF!$L:$L,DATA_WSF!$A:$A,$B$10-7,DATA_WSF!$C:$C,W25))</f>
        <v/>
      </c>
      <c r="AA25">
        <f>IF(X25=0,0,SUMIFS(DATA_WSF!$E:$E,DATA_WSF!$A:$A,$B$10,DATA_WSF!$C:$C,W25))</f>
        <v/>
      </c>
      <c r="AB25">
        <f>IF(X25=0,0,SUMIFS(DATA_WSF!$F:$F,DATA_WSF!$A:$A,$B$10,DATA_WSF!$C:$C,W25))</f>
        <v/>
      </c>
      <c r="AC25">
        <f>IF(AA25=0,"",AB25/AA25)</f>
        <v/>
      </c>
      <c r="AD25">
        <f>IF(OR(X25=0,Z25=0),"",Y25/Z25-1)</f>
        <v/>
      </c>
      <c r="AE25">
        <f>IF(X25=0,"",Y25+ROW()/1000000)</f>
        <v/>
      </c>
      <c r="AF25">
        <f>IF(AC25="","",AC25+ROW()/1000000000)</f>
        <v/>
      </c>
      <c r="AG25">
        <f>IF(AD25="","",AD25+ROW()/1000000000)</f>
        <v/>
      </c>
      <c r="AW25">
        <f>IFERROR(SMALL(DATA_WSF!$R:$R,22),"")</f>
        <v/>
      </c>
      <c r="AX25">
        <f>IF($AW25="","",INDEX(DATA_WSF!$C:$C,$AW25))</f>
        <v/>
      </c>
      <c r="AY25">
        <f>IF($AW25="","",INDEX(DATA_WSF!$D:$D,$AW25))</f>
        <v/>
      </c>
      <c r="AZ25">
        <f>IF($AW25="","",IFERROR(INDEX(MASTER_ZONES!$G:$G,MATCH($AY25,MASTER_ZONES!$B:$B,0))&amp;"",""))</f>
        <v/>
      </c>
      <c r="BA25">
        <f>IF($AW25="","",INDEX(DATA_WSF!$E:$E,$AW25))</f>
        <v/>
      </c>
      <c r="BB25">
        <f>IF($AW25="","",INDEX(DATA_WSF!$F:$F,$AW25))</f>
        <v/>
      </c>
      <c r="BC25">
        <f>IF($AW25="","",INDEX(DATA_WSF!$G:$G,$AW25))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W26">
        <f>IFERROR(INDEX(MASTER_AREAS!$B:$B,25)&amp;"","")</f>
        <v/>
      </c>
      <c r="X26">
        <f>IF(OR(W26="",$B$10=0),0,COUNTIFS(DATA_WSF!$A:$A,$B$10,DATA_WSF!$C:$C,W26))</f>
        <v/>
      </c>
      <c r="Y26">
        <f>IF(X26=0,0,SUMIFS(DATA_WSF!$L:$L,DATA_WSF!$A:$A,$B$10,DATA_WSF!$C:$C,W26))</f>
        <v/>
      </c>
      <c r="Z26">
        <f>IF(OR(W26="",$B$10=0),0,SUMIFS(DATA_WSF!$L:$L,DATA_WSF!$A:$A,$B$10-7,DATA_WSF!$C:$C,W26))</f>
        <v/>
      </c>
      <c r="AA26">
        <f>IF(X26=0,0,SUMIFS(DATA_WSF!$E:$E,DATA_WSF!$A:$A,$B$10,DATA_WSF!$C:$C,W26))</f>
        <v/>
      </c>
      <c r="AB26">
        <f>IF(X26=0,0,SUMIFS(DATA_WSF!$F:$F,DATA_WSF!$A:$A,$B$10,DATA_WSF!$C:$C,W26))</f>
        <v/>
      </c>
      <c r="AC26">
        <f>IF(AA26=0,"",AB26/AA26)</f>
        <v/>
      </c>
      <c r="AD26">
        <f>IF(OR(X26=0,Z26=0),"",Y26/Z26-1)</f>
        <v/>
      </c>
      <c r="AE26">
        <f>IF(X26=0,"",Y26+ROW()/1000000)</f>
        <v/>
      </c>
      <c r="AF26">
        <f>IF(AC26="","",AC26+ROW()/1000000000)</f>
        <v/>
      </c>
      <c r="AG26">
        <f>IF(AD26="","",AD26+ROW()/1000000000)</f>
        <v/>
      </c>
      <c r="AW26">
        <f>IFERROR(SMALL(DATA_WSF!$R:$R,23),"")</f>
        <v/>
      </c>
      <c r="AX26">
        <f>IF($AW26="","",INDEX(DATA_WSF!$C:$C,$AW26))</f>
        <v/>
      </c>
      <c r="AY26">
        <f>IF($AW26="","",INDEX(DATA_WSF!$D:$D,$AW26))</f>
        <v/>
      </c>
      <c r="AZ26">
        <f>IF($AW26="","",IFERROR(INDEX(MASTER_ZONES!$G:$G,MATCH($AY26,MASTER_ZONES!$B:$B,0))&amp;"",""))</f>
        <v/>
      </c>
      <c r="BA26">
        <f>IF($AW26="","",INDEX(DATA_WSF!$E:$E,$AW26))</f>
        <v/>
      </c>
      <c r="BB26">
        <f>IF($AW26="","",INDEX(DATA_WSF!$F:$F,$AW26))</f>
        <v/>
      </c>
      <c r="BC26">
        <f>IF($AW26="","",INDEX(DATA_WSF!$G:$G,$AW26))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W27">
        <f>IFERROR(INDEX(MASTER_AREAS!$B:$B,26)&amp;"","")</f>
        <v/>
      </c>
      <c r="X27">
        <f>IF(OR(W27="",$B$10=0),0,COUNTIFS(DATA_WSF!$A:$A,$B$10,DATA_WSF!$C:$C,W27))</f>
        <v/>
      </c>
      <c r="Y27">
        <f>IF(X27=0,0,SUMIFS(DATA_WSF!$L:$L,DATA_WSF!$A:$A,$B$10,DATA_WSF!$C:$C,W27))</f>
        <v/>
      </c>
      <c r="Z27">
        <f>IF(OR(W27="",$B$10=0),0,SUMIFS(DATA_WSF!$L:$L,DATA_WSF!$A:$A,$B$10-7,DATA_WSF!$C:$C,W27))</f>
        <v/>
      </c>
      <c r="AA27">
        <f>IF(X27=0,0,SUMIFS(DATA_WSF!$E:$E,DATA_WSF!$A:$A,$B$10,DATA_WSF!$C:$C,W27))</f>
        <v/>
      </c>
      <c r="AB27">
        <f>IF(X27=0,0,SUMIFS(DATA_WSF!$F:$F,DATA_WSF!$A:$A,$B$10,DATA_WSF!$C:$C,W27))</f>
        <v/>
      </c>
      <c r="AC27">
        <f>IF(AA27=0,"",AB27/AA27)</f>
        <v/>
      </c>
      <c r="AD27">
        <f>IF(OR(X27=0,Z27=0),"",Y27/Z27-1)</f>
        <v/>
      </c>
      <c r="AE27">
        <f>IF(X27=0,"",Y27+ROW()/1000000)</f>
        <v/>
      </c>
      <c r="AF27">
        <f>IF(AC27="","",AC27+ROW()/1000000000)</f>
        <v/>
      </c>
      <c r="AG27">
        <f>IF(AD27="","",AD27+ROW()/1000000000)</f>
        <v/>
      </c>
      <c r="AW27">
        <f>IFERROR(SMALL(DATA_WSF!$R:$R,24),"")</f>
        <v/>
      </c>
      <c r="AX27">
        <f>IF($AW27="","",INDEX(DATA_WSF!$C:$C,$AW27))</f>
        <v/>
      </c>
      <c r="AY27">
        <f>IF($AW27="","",INDEX(DATA_WSF!$D:$D,$AW27))</f>
        <v/>
      </c>
      <c r="AZ27">
        <f>IF($AW27="","",IFERROR(INDEX(MASTER_ZONES!$G:$G,MATCH($AY27,MASTER_ZONES!$B:$B,0))&amp;"",""))</f>
        <v/>
      </c>
      <c r="BA27">
        <f>IF($AW27="","",INDEX(DATA_WSF!$E:$E,$AW27))</f>
        <v/>
      </c>
      <c r="BB27">
        <f>IF($AW27="","",INDEX(DATA_WSF!$F:$F,$AW27))</f>
        <v/>
      </c>
      <c r="BC27">
        <f>IF($AW27="","",INDEX(DATA_WSF!$G:$G,$AW27))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W28">
        <f>IFERROR(INDEX(MASTER_AREAS!$B:$B,27)&amp;"","")</f>
        <v/>
      </c>
      <c r="X28">
        <f>IF(OR(W28="",$B$10=0),0,COUNTIFS(DATA_WSF!$A:$A,$B$10,DATA_WSF!$C:$C,W28))</f>
        <v/>
      </c>
      <c r="Y28">
        <f>IF(X28=0,0,SUMIFS(DATA_WSF!$L:$L,DATA_WSF!$A:$A,$B$10,DATA_WSF!$C:$C,W28))</f>
        <v/>
      </c>
      <c r="Z28">
        <f>IF(OR(W28="",$B$10=0),0,SUMIFS(DATA_WSF!$L:$L,DATA_WSF!$A:$A,$B$10-7,DATA_WSF!$C:$C,W28))</f>
        <v/>
      </c>
      <c r="AA28">
        <f>IF(X28=0,0,SUMIFS(DATA_WSF!$E:$E,DATA_WSF!$A:$A,$B$10,DATA_WSF!$C:$C,W28))</f>
        <v/>
      </c>
      <c r="AB28">
        <f>IF(X28=0,0,SUMIFS(DATA_WSF!$F:$F,DATA_WSF!$A:$A,$B$10,DATA_WSF!$C:$C,W28))</f>
        <v/>
      </c>
      <c r="AC28">
        <f>IF(AA28=0,"",AB28/AA28)</f>
        <v/>
      </c>
      <c r="AD28">
        <f>IF(OR(X28=0,Z28=0),"",Y28/Z28-1)</f>
        <v/>
      </c>
      <c r="AE28">
        <f>IF(X28=0,"",Y28+ROW()/1000000)</f>
        <v/>
      </c>
      <c r="AF28">
        <f>IF(AC28="","",AC28+ROW()/1000000000)</f>
        <v/>
      </c>
      <c r="AG28">
        <f>IF(AD28="","",AD28+ROW()/1000000000)</f>
        <v/>
      </c>
      <c r="AW28">
        <f>IFERROR(SMALL(DATA_WSF!$R:$R,25),"")</f>
        <v/>
      </c>
      <c r="AX28">
        <f>IF($AW28="","",INDEX(DATA_WSF!$C:$C,$AW28))</f>
        <v/>
      </c>
      <c r="AY28">
        <f>IF($AW28="","",INDEX(DATA_WSF!$D:$D,$AW28))</f>
        <v/>
      </c>
      <c r="AZ28">
        <f>IF($AW28="","",IFERROR(INDEX(MASTER_ZONES!$G:$G,MATCH($AY28,MASTER_ZONES!$B:$B,0))&amp;"",""))</f>
        <v/>
      </c>
      <c r="BA28">
        <f>IF($AW28="","",INDEX(DATA_WSF!$E:$E,$AW28))</f>
        <v/>
      </c>
      <c r="BB28">
        <f>IF($AW28="","",INDEX(DATA_WSF!$F:$F,$AW28))</f>
        <v/>
      </c>
      <c r="BC28">
        <f>IF($AW28="","",INDEX(DATA_WSF!$G:$G,$AW28))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W29">
        <f>IFERROR(INDEX(MASTER_AREAS!$B:$B,28)&amp;"","")</f>
        <v/>
      </c>
      <c r="X29">
        <f>IF(OR(W29="",$B$10=0),0,COUNTIFS(DATA_WSF!$A:$A,$B$10,DATA_WSF!$C:$C,W29))</f>
        <v/>
      </c>
      <c r="Y29">
        <f>IF(X29=0,0,SUMIFS(DATA_WSF!$L:$L,DATA_WSF!$A:$A,$B$10,DATA_WSF!$C:$C,W29))</f>
        <v/>
      </c>
      <c r="Z29">
        <f>IF(OR(W29="",$B$10=0),0,SUMIFS(DATA_WSF!$L:$L,DATA_WSF!$A:$A,$B$10-7,DATA_WSF!$C:$C,W29))</f>
        <v/>
      </c>
      <c r="AA29">
        <f>IF(X29=0,0,SUMIFS(DATA_WSF!$E:$E,DATA_WSF!$A:$A,$B$10,DATA_WSF!$C:$C,W29))</f>
        <v/>
      </c>
      <c r="AB29">
        <f>IF(X29=0,0,SUMIFS(DATA_WSF!$F:$F,DATA_WSF!$A:$A,$B$10,DATA_WSF!$C:$C,W29))</f>
        <v/>
      </c>
      <c r="AC29">
        <f>IF(AA29=0,"",AB29/AA29)</f>
        <v/>
      </c>
      <c r="AD29">
        <f>IF(OR(X29=0,Z29=0),"",Y29/Z29-1)</f>
        <v/>
      </c>
      <c r="AE29">
        <f>IF(X29=0,"",Y29+ROW()/1000000)</f>
        <v/>
      </c>
      <c r="AF29">
        <f>IF(AC29="","",AC29+ROW()/1000000000)</f>
        <v/>
      </c>
      <c r="AG29">
        <f>IF(AD29="","",AD29+ROW()/1000000000)</f>
        <v/>
      </c>
      <c r="AW29">
        <f>IFERROR(SMALL(DATA_WSF!$R:$R,26),"")</f>
        <v/>
      </c>
      <c r="AX29">
        <f>IF($AW29="","",INDEX(DATA_WSF!$C:$C,$AW29))</f>
        <v/>
      </c>
      <c r="AY29">
        <f>IF($AW29="","",INDEX(DATA_WSF!$D:$D,$AW29))</f>
        <v/>
      </c>
      <c r="AZ29">
        <f>IF($AW29="","",IFERROR(INDEX(MASTER_ZONES!$G:$G,MATCH($AY29,MASTER_ZONES!$B:$B,0))&amp;"",""))</f>
        <v/>
      </c>
      <c r="BA29">
        <f>IF($AW29="","",INDEX(DATA_WSF!$E:$E,$AW29))</f>
        <v/>
      </c>
      <c r="BB29">
        <f>IF($AW29="","",INDEX(DATA_WSF!$F:$F,$AW29))</f>
        <v/>
      </c>
      <c r="BC29">
        <f>IF($AW29="","",INDEX(DATA_WSF!$G:$G,$AW29))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W30">
        <f>IFERROR(INDEX(MASTER_AREAS!$B:$B,29)&amp;"","")</f>
        <v/>
      </c>
      <c r="X30">
        <f>IF(OR(W30="",$B$10=0),0,COUNTIFS(DATA_WSF!$A:$A,$B$10,DATA_WSF!$C:$C,W30))</f>
        <v/>
      </c>
      <c r="Y30">
        <f>IF(X30=0,0,SUMIFS(DATA_WSF!$L:$L,DATA_WSF!$A:$A,$B$10,DATA_WSF!$C:$C,W30))</f>
        <v/>
      </c>
      <c r="Z30">
        <f>IF(OR(W30="",$B$10=0),0,SUMIFS(DATA_WSF!$L:$L,DATA_WSF!$A:$A,$B$10-7,DATA_WSF!$C:$C,W30))</f>
        <v/>
      </c>
      <c r="AA30">
        <f>IF(X30=0,0,SUMIFS(DATA_WSF!$E:$E,DATA_WSF!$A:$A,$B$10,DATA_WSF!$C:$C,W30))</f>
        <v/>
      </c>
      <c r="AB30">
        <f>IF(X30=0,0,SUMIFS(DATA_WSF!$F:$F,DATA_WSF!$A:$A,$B$10,DATA_WSF!$C:$C,W30))</f>
        <v/>
      </c>
      <c r="AC30">
        <f>IF(AA30=0,"",AB30/AA30)</f>
        <v/>
      </c>
      <c r="AD30">
        <f>IF(OR(X30=0,Z30=0),"",Y30/Z30-1)</f>
        <v/>
      </c>
      <c r="AE30">
        <f>IF(X30=0,"",Y30+ROW()/1000000)</f>
        <v/>
      </c>
      <c r="AF30">
        <f>IF(AC30="","",AC30+ROW()/1000000000)</f>
        <v/>
      </c>
      <c r="AG30">
        <f>IF(AD30="","",AD30+ROW()/1000000000)</f>
        <v/>
      </c>
      <c r="AW30">
        <f>IFERROR(SMALL(DATA_WSF!$R:$R,27),"")</f>
        <v/>
      </c>
      <c r="AX30">
        <f>IF($AW30="","",INDEX(DATA_WSF!$C:$C,$AW30))</f>
        <v/>
      </c>
      <c r="AY30">
        <f>IF($AW30="","",INDEX(DATA_WSF!$D:$D,$AW30))</f>
        <v/>
      </c>
      <c r="AZ30">
        <f>IF($AW30="","",IFERROR(INDEX(MASTER_ZONES!$G:$G,MATCH($AY30,MASTER_ZONES!$B:$B,0))&amp;"",""))</f>
        <v/>
      </c>
      <c r="BA30">
        <f>IF($AW30="","",INDEX(DATA_WSF!$E:$E,$AW30))</f>
        <v/>
      </c>
      <c r="BB30">
        <f>IF($AW30="","",INDEX(DATA_WSF!$F:$F,$AW30))</f>
        <v/>
      </c>
      <c r="BC30">
        <f>IF($AW30="","",INDEX(DATA_WSF!$G:$G,$AW30))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W31">
        <f>IFERROR(INDEX(MASTER_AREAS!$B:$B,30)&amp;"","")</f>
        <v/>
      </c>
      <c r="X31">
        <f>IF(OR(W31="",$B$10=0),0,COUNTIFS(DATA_WSF!$A:$A,$B$10,DATA_WSF!$C:$C,W31))</f>
        <v/>
      </c>
      <c r="Y31">
        <f>IF(X31=0,0,SUMIFS(DATA_WSF!$L:$L,DATA_WSF!$A:$A,$B$10,DATA_WSF!$C:$C,W31))</f>
        <v/>
      </c>
      <c r="Z31">
        <f>IF(OR(W31="",$B$10=0),0,SUMIFS(DATA_WSF!$L:$L,DATA_WSF!$A:$A,$B$10-7,DATA_WSF!$C:$C,W31))</f>
        <v/>
      </c>
      <c r="AA31">
        <f>IF(X31=0,0,SUMIFS(DATA_WSF!$E:$E,DATA_WSF!$A:$A,$B$10,DATA_WSF!$C:$C,W31))</f>
        <v/>
      </c>
      <c r="AB31">
        <f>IF(X31=0,0,SUMIFS(DATA_WSF!$F:$F,DATA_WSF!$A:$A,$B$10,DATA_WSF!$C:$C,W31))</f>
        <v/>
      </c>
      <c r="AC31">
        <f>IF(AA31=0,"",AB31/AA31)</f>
        <v/>
      </c>
      <c r="AD31">
        <f>IF(OR(X31=0,Z31=0),"",Y31/Z31-1)</f>
        <v/>
      </c>
      <c r="AE31">
        <f>IF(X31=0,"",Y31+ROW()/1000000)</f>
        <v/>
      </c>
      <c r="AF31">
        <f>IF(AC31="","",AC31+ROW()/1000000000)</f>
        <v/>
      </c>
      <c r="AG31">
        <f>IF(AD31="","",AD31+ROW()/1000000000)</f>
        <v/>
      </c>
      <c r="AW31">
        <f>IFERROR(SMALL(DATA_WSF!$R:$R,28),"")</f>
        <v/>
      </c>
      <c r="AX31">
        <f>IF($AW31="","",INDEX(DATA_WSF!$C:$C,$AW31))</f>
        <v/>
      </c>
      <c r="AY31">
        <f>IF($AW31="","",INDEX(DATA_WSF!$D:$D,$AW31))</f>
        <v/>
      </c>
      <c r="AZ31">
        <f>IF($AW31="","",IFERROR(INDEX(MASTER_ZONES!$G:$G,MATCH($AY31,MASTER_ZONES!$B:$B,0))&amp;"",""))</f>
        <v/>
      </c>
      <c r="BA31">
        <f>IF($AW31="","",INDEX(DATA_WSF!$E:$E,$AW31))</f>
        <v/>
      </c>
      <c r="BB31">
        <f>IF($AW31="","",INDEX(DATA_WSF!$F:$F,$AW31))</f>
        <v/>
      </c>
      <c r="BC31">
        <f>IF($AW31="","",INDEX(DATA_WSF!$G:$G,$AW31))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W32">
        <f>IFERROR(INDEX(MASTER_AREAS!$B:$B,31)&amp;"","")</f>
        <v/>
      </c>
      <c r="X32">
        <f>IF(OR(W32="",$B$10=0),0,COUNTIFS(DATA_WSF!$A:$A,$B$10,DATA_WSF!$C:$C,W32))</f>
        <v/>
      </c>
      <c r="Y32">
        <f>IF(X32=0,0,SUMIFS(DATA_WSF!$L:$L,DATA_WSF!$A:$A,$B$10,DATA_WSF!$C:$C,W32))</f>
        <v/>
      </c>
      <c r="Z32">
        <f>IF(OR(W32="",$B$10=0),0,SUMIFS(DATA_WSF!$L:$L,DATA_WSF!$A:$A,$B$10-7,DATA_WSF!$C:$C,W32))</f>
        <v/>
      </c>
      <c r="AA32">
        <f>IF(X32=0,0,SUMIFS(DATA_WSF!$E:$E,DATA_WSF!$A:$A,$B$10,DATA_WSF!$C:$C,W32))</f>
        <v/>
      </c>
      <c r="AB32">
        <f>IF(X32=0,0,SUMIFS(DATA_WSF!$F:$F,DATA_WSF!$A:$A,$B$10,DATA_WSF!$C:$C,W32))</f>
        <v/>
      </c>
      <c r="AC32">
        <f>IF(AA32=0,"",AB32/AA32)</f>
        <v/>
      </c>
      <c r="AD32">
        <f>IF(OR(X32=0,Z32=0),"",Y32/Z32-1)</f>
        <v/>
      </c>
      <c r="AE32">
        <f>IF(X32=0,"",Y32+ROW()/1000000)</f>
        <v/>
      </c>
      <c r="AF32">
        <f>IF(AC32="","",AC32+ROW()/1000000000)</f>
        <v/>
      </c>
      <c r="AG32">
        <f>IF(AD32="","",AD32+ROW()/1000000000)</f>
        <v/>
      </c>
      <c r="AW32">
        <f>IFERROR(SMALL(DATA_WSF!$R:$R,29),"")</f>
        <v/>
      </c>
      <c r="AX32">
        <f>IF($AW32="","",INDEX(DATA_WSF!$C:$C,$AW32))</f>
        <v/>
      </c>
      <c r="AY32">
        <f>IF($AW32="","",INDEX(DATA_WSF!$D:$D,$AW32))</f>
        <v/>
      </c>
      <c r="AZ32">
        <f>IF($AW32="","",IFERROR(INDEX(MASTER_ZONES!$G:$G,MATCH($AY32,MASTER_ZONES!$B:$B,0))&amp;"",""))</f>
        <v/>
      </c>
      <c r="BA32">
        <f>IF($AW32="","",INDEX(DATA_WSF!$E:$E,$AW32))</f>
        <v/>
      </c>
      <c r="BB32">
        <f>IF($AW32="","",INDEX(DATA_WSF!$F:$F,$AW32))</f>
        <v/>
      </c>
      <c r="BC32">
        <f>IF($AW32="","",INDEX(DATA_WSF!$G:$G,$AW32))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W33">
        <f>IFERROR(INDEX(MASTER_AREAS!$B:$B,32)&amp;"","")</f>
        <v/>
      </c>
      <c r="X33">
        <f>IF(OR(W33="",$B$10=0),0,COUNTIFS(DATA_WSF!$A:$A,$B$10,DATA_WSF!$C:$C,W33))</f>
        <v/>
      </c>
      <c r="Y33">
        <f>IF(X33=0,0,SUMIFS(DATA_WSF!$L:$L,DATA_WSF!$A:$A,$B$10,DATA_WSF!$C:$C,W33))</f>
        <v/>
      </c>
      <c r="Z33">
        <f>IF(OR(W33="",$B$10=0),0,SUMIFS(DATA_WSF!$L:$L,DATA_WSF!$A:$A,$B$10-7,DATA_WSF!$C:$C,W33))</f>
        <v/>
      </c>
      <c r="AA33">
        <f>IF(X33=0,0,SUMIFS(DATA_WSF!$E:$E,DATA_WSF!$A:$A,$B$10,DATA_WSF!$C:$C,W33))</f>
        <v/>
      </c>
      <c r="AB33">
        <f>IF(X33=0,0,SUMIFS(DATA_WSF!$F:$F,DATA_WSF!$A:$A,$B$10,DATA_WSF!$C:$C,W33))</f>
        <v/>
      </c>
      <c r="AC33">
        <f>IF(AA33=0,"",AB33/AA33)</f>
        <v/>
      </c>
      <c r="AD33">
        <f>IF(OR(X33=0,Z33=0),"",Y33/Z33-1)</f>
        <v/>
      </c>
      <c r="AE33">
        <f>IF(X33=0,"",Y33+ROW()/1000000)</f>
        <v/>
      </c>
      <c r="AF33">
        <f>IF(AC33="","",AC33+ROW()/1000000000)</f>
        <v/>
      </c>
      <c r="AG33">
        <f>IF(AD33="","",AD33+ROW()/1000000000)</f>
        <v/>
      </c>
      <c r="AW33">
        <f>IFERROR(SMALL(DATA_WSF!$R:$R,30),"")</f>
        <v/>
      </c>
      <c r="AX33">
        <f>IF($AW33="","",INDEX(DATA_WSF!$C:$C,$AW33))</f>
        <v/>
      </c>
      <c r="AY33">
        <f>IF($AW33="","",INDEX(DATA_WSF!$D:$D,$AW33))</f>
        <v/>
      </c>
      <c r="AZ33">
        <f>IF($AW33="","",IFERROR(INDEX(MASTER_ZONES!$G:$G,MATCH($AY33,MASTER_ZONES!$B:$B,0))&amp;"",""))</f>
        <v/>
      </c>
      <c r="BA33">
        <f>IF($AW33="","",INDEX(DATA_WSF!$E:$E,$AW33))</f>
        <v/>
      </c>
      <c r="BB33">
        <f>IF($AW33="","",INDEX(DATA_WSF!$F:$F,$AW33))</f>
        <v/>
      </c>
      <c r="BC33">
        <f>IF($AW33="","",INDEX(DATA_WSF!$G:$G,$AW33))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W34">
        <f>IFERROR(INDEX(MASTER_AREAS!$B:$B,33)&amp;"","")</f>
        <v/>
      </c>
      <c r="X34">
        <f>IF(OR(W34="",$B$10=0),0,COUNTIFS(DATA_WSF!$A:$A,$B$10,DATA_WSF!$C:$C,W34))</f>
        <v/>
      </c>
      <c r="Y34">
        <f>IF(X34=0,0,SUMIFS(DATA_WSF!$L:$L,DATA_WSF!$A:$A,$B$10,DATA_WSF!$C:$C,W34))</f>
        <v/>
      </c>
      <c r="Z34">
        <f>IF(OR(W34="",$B$10=0),0,SUMIFS(DATA_WSF!$L:$L,DATA_WSF!$A:$A,$B$10-7,DATA_WSF!$C:$C,W34))</f>
        <v/>
      </c>
      <c r="AA34">
        <f>IF(X34=0,0,SUMIFS(DATA_WSF!$E:$E,DATA_WSF!$A:$A,$B$10,DATA_WSF!$C:$C,W34))</f>
        <v/>
      </c>
      <c r="AB34">
        <f>IF(X34=0,0,SUMIFS(DATA_WSF!$F:$F,DATA_WSF!$A:$A,$B$10,DATA_WSF!$C:$C,W34))</f>
        <v/>
      </c>
      <c r="AC34">
        <f>IF(AA34=0,"",AB34/AA34)</f>
        <v/>
      </c>
      <c r="AD34">
        <f>IF(OR(X34=0,Z34=0),"",Y34/Z34-1)</f>
        <v/>
      </c>
      <c r="AE34">
        <f>IF(X34=0,"",Y34+ROW()/1000000)</f>
        <v/>
      </c>
      <c r="AF34">
        <f>IF(AC34="","",AC34+ROW()/1000000000)</f>
        <v/>
      </c>
      <c r="AG34">
        <f>IF(AD34="","",AD34+ROW()/1000000000)</f>
        <v/>
      </c>
      <c r="AW34">
        <f>IFERROR(SMALL(DATA_WSF!$R:$R,31),"")</f>
        <v/>
      </c>
      <c r="AX34">
        <f>IF($AW34="","",INDEX(DATA_WSF!$C:$C,$AW34))</f>
        <v/>
      </c>
      <c r="AY34">
        <f>IF($AW34="","",INDEX(DATA_WSF!$D:$D,$AW34))</f>
        <v/>
      </c>
      <c r="AZ34">
        <f>IF($AW34="","",IFERROR(INDEX(MASTER_ZONES!$G:$G,MATCH($AY34,MASTER_ZONES!$B:$B,0))&amp;"",""))</f>
        <v/>
      </c>
      <c r="BA34">
        <f>IF($AW34="","",INDEX(DATA_WSF!$E:$E,$AW34))</f>
        <v/>
      </c>
      <c r="BB34">
        <f>IF($AW34="","",INDEX(DATA_WSF!$F:$F,$AW34))</f>
        <v/>
      </c>
      <c r="BC34">
        <f>IF($AW34="","",INDEX(DATA_WSF!$G:$G,$AW34))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W35">
        <f>IFERROR(INDEX(MASTER_AREAS!$B:$B,34)&amp;"","")</f>
        <v/>
      </c>
      <c r="X35">
        <f>IF(OR(W35="",$B$10=0),0,COUNTIFS(DATA_WSF!$A:$A,$B$10,DATA_WSF!$C:$C,W35))</f>
        <v/>
      </c>
      <c r="Y35">
        <f>IF(X35=0,0,SUMIFS(DATA_WSF!$L:$L,DATA_WSF!$A:$A,$B$10,DATA_WSF!$C:$C,W35))</f>
        <v/>
      </c>
      <c r="Z35">
        <f>IF(OR(W35="",$B$10=0),0,SUMIFS(DATA_WSF!$L:$L,DATA_WSF!$A:$A,$B$10-7,DATA_WSF!$C:$C,W35))</f>
        <v/>
      </c>
      <c r="AA35">
        <f>IF(X35=0,0,SUMIFS(DATA_WSF!$E:$E,DATA_WSF!$A:$A,$B$10,DATA_WSF!$C:$C,W35))</f>
        <v/>
      </c>
      <c r="AB35">
        <f>IF(X35=0,0,SUMIFS(DATA_WSF!$F:$F,DATA_WSF!$A:$A,$B$10,DATA_WSF!$C:$C,W35))</f>
        <v/>
      </c>
      <c r="AC35">
        <f>IF(AA35=0,"",AB35/AA35)</f>
        <v/>
      </c>
      <c r="AD35">
        <f>IF(OR(X35=0,Z35=0),"",Y35/Z35-1)</f>
        <v/>
      </c>
      <c r="AE35">
        <f>IF(X35=0,"",Y35+ROW()/1000000)</f>
        <v/>
      </c>
      <c r="AF35">
        <f>IF(AC35="","",AC35+ROW()/1000000000)</f>
        <v/>
      </c>
      <c r="AG35">
        <f>IF(AD35="","",AD35+ROW()/1000000000)</f>
        <v/>
      </c>
      <c r="AW35">
        <f>IFERROR(SMALL(DATA_WSF!$R:$R,32),"")</f>
        <v/>
      </c>
      <c r="AX35">
        <f>IF($AW35="","",INDEX(DATA_WSF!$C:$C,$AW35))</f>
        <v/>
      </c>
      <c r="AY35">
        <f>IF($AW35="","",INDEX(DATA_WSF!$D:$D,$AW35))</f>
        <v/>
      </c>
      <c r="AZ35">
        <f>IF($AW35="","",IFERROR(INDEX(MASTER_ZONES!$G:$G,MATCH($AY35,MASTER_ZONES!$B:$B,0))&amp;"",""))</f>
        <v/>
      </c>
      <c r="BA35">
        <f>IF($AW35="","",INDEX(DATA_WSF!$E:$E,$AW35))</f>
        <v/>
      </c>
      <c r="BB35">
        <f>IF($AW35="","",INDEX(DATA_WSF!$F:$F,$AW35))</f>
        <v/>
      </c>
      <c r="BC35">
        <f>IF($AW35="","",INDEX(DATA_WSF!$G:$G,$AW35))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W36">
        <f>IFERROR(INDEX(MASTER_AREAS!$B:$B,35)&amp;"","")</f>
        <v/>
      </c>
      <c r="X36">
        <f>IF(OR(W36="",$B$10=0),0,COUNTIFS(DATA_WSF!$A:$A,$B$10,DATA_WSF!$C:$C,W36))</f>
        <v/>
      </c>
      <c r="Y36">
        <f>IF(X36=0,0,SUMIFS(DATA_WSF!$L:$L,DATA_WSF!$A:$A,$B$10,DATA_WSF!$C:$C,W36))</f>
        <v/>
      </c>
      <c r="Z36">
        <f>IF(OR(W36="",$B$10=0),0,SUMIFS(DATA_WSF!$L:$L,DATA_WSF!$A:$A,$B$10-7,DATA_WSF!$C:$C,W36))</f>
        <v/>
      </c>
      <c r="AA36">
        <f>IF(X36=0,0,SUMIFS(DATA_WSF!$E:$E,DATA_WSF!$A:$A,$B$10,DATA_WSF!$C:$C,W36))</f>
        <v/>
      </c>
      <c r="AB36">
        <f>IF(X36=0,0,SUMIFS(DATA_WSF!$F:$F,DATA_WSF!$A:$A,$B$10,DATA_WSF!$C:$C,W36))</f>
        <v/>
      </c>
      <c r="AC36">
        <f>IF(AA36=0,"",AB36/AA36)</f>
        <v/>
      </c>
      <c r="AD36">
        <f>IF(OR(X36=0,Z36=0),"",Y36/Z36-1)</f>
        <v/>
      </c>
      <c r="AE36">
        <f>IF(X36=0,"",Y36+ROW()/1000000)</f>
        <v/>
      </c>
      <c r="AF36">
        <f>IF(AC36="","",AC36+ROW()/1000000000)</f>
        <v/>
      </c>
      <c r="AG36">
        <f>IF(AD36="","",AD36+ROW()/1000000000)</f>
        <v/>
      </c>
      <c r="AW36">
        <f>IFERROR(SMALL(DATA_WSF!$R:$R,33),"")</f>
        <v/>
      </c>
      <c r="AX36">
        <f>IF($AW36="","",INDEX(DATA_WSF!$C:$C,$AW36))</f>
        <v/>
      </c>
      <c r="AY36">
        <f>IF($AW36="","",INDEX(DATA_WSF!$D:$D,$AW36))</f>
        <v/>
      </c>
      <c r="AZ36">
        <f>IF($AW36="","",IFERROR(INDEX(MASTER_ZONES!$G:$G,MATCH($AY36,MASTER_ZONES!$B:$B,0))&amp;"",""))</f>
        <v/>
      </c>
      <c r="BA36">
        <f>IF($AW36="","",INDEX(DATA_WSF!$E:$E,$AW36))</f>
        <v/>
      </c>
      <c r="BB36">
        <f>IF($AW36="","",INDEX(DATA_WSF!$F:$F,$AW36))</f>
        <v/>
      </c>
      <c r="BC36">
        <f>IF($AW36="","",INDEX(DATA_WSF!$G:$G,$AW36))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W37">
        <f>IFERROR(INDEX(MASTER_AREAS!$B:$B,36)&amp;"","")</f>
        <v/>
      </c>
      <c r="X37">
        <f>IF(OR(W37="",$B$10=0),0,COUNTIFS(DATA_WSF!$A:$A,$B$10,DATA_WSF!$C:$C,W37))</f>
        <v/>
      </c>
      <c r="Y37">
        <f>IF(X37=0,0,SUMIFS(DATA_WSF!$L:$L,DATA_WSF!$A:$A,$B$10,DATA_WSF!$C:$C,W37))</f>
        <v/>
      </c>
      <c r="Z37">
        <f>IF(OR(W37="",$B$10=0),0,SUMIFS(DATA_WSF!$L:$L,DATA_WSF!$A:$A,$B$10-7,DATA_WSF!$C:$C,W37))</f>
        <v/>
      </c>
      <c r="AA37">
        <f>IF(X37=0,0,SUMIFS(DATA_WSF!$E:$E,DATA_WSF!$A:$A,$B$10,DATA_WSF!$C:$C,W37))</f>
        <v/>
      </c>
      <c r="AB37">
        <f>IF(X37=0,0,SUMIFS(DATA_WSF!$F:$F,DATA_WSF!$A:$A,$B$10,DATA_WSF!$C:$C,W37))</f>
        <v/>
      </c>
      <c r="AC37">
        <f>IF(AA37=0,"",AB37/AA37)</f>
        <v/>
      </c>
      <c r="AD37">
        <f>IF(OR(X37=0,Z37=0),"",Y37/Z37-1)</f>
        <v/>
      </c>
      <c r="AE37">
        <f>IF(X37=0,"",Y37+ROW()/1000000)</f>
        <v/>
      </c>
      <c r="AF37">
        <f>IF(AC37="","",AC37+ROW()/1000000000)</f>
        <v/>
      </c>
      <c r="AG37">
        <f>IF(AD37="","",AD37+ROW()/1000000000)</f>
        <v/>
      </c>
      <c r="AW37">
        <f>IFERROR(SMALL(DATA_WSF!$R:$R,34),"")</f>
        <v/>
      </c>
      <c r="AX37">
        <f>IF($AW37="","",INDEX(DATA_WSF!$C:$C,$AW37))</f>
        <v/>
      </c>
      <c r="AY37">
        <f>IF($AW37="","",INDEX(DATA_WSF!$D:$D,$AW37))</f>
        <v/>
      </c>
      <c r="AZ37">
        <f>IF($AW37="","",IFERROR(INDEX(MASTER_ZONES!$G:$G,MATCH($AY37,MASTER_ZONES!$B:$B,0))&amp;"",""))</f>
        <v/>
      </c>
      <c r="BA37">
        <f>IF($AW37="","",INDEX(DATA_WSF!$E:$E,$AW37))</f>
        <v/>
      </c>
      <c r="BB37">
        <f>IF($AW37="","",INDEX(DATA_WSF!$F:$F,$AW37))</f>
        <v/>
      </c>
      <c r="BC37">
        <f>IF($AW37="","",INDEX(DATA_WSF!$G:$G,$AW37))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W38">
        <f>IFERROR(INDEX(MASTER_AREAS!$B:$B,37)&amp;"","")</f>
        <v/>
      </c>
      <c r="X38">
        <f>IF(OR(W38="",$B$10=0),0,COUNTIFS(DATA_WSF!$A:$A,$B$10,DATA_WSF!$C:$C,W38))</f>
        <v/>
      </c>
      <c r="Y38">
        <f>IF(X38=0,0,SUMIFS(DATA_WSF!$L:$L,DATA_WSF!$A:$A,$B$10,DATA_WSF!$C:$C,W38))</f>
        <v/>
      </c>
      <c r="Z38">
        <f>IF(OR(W38="",$B$10=0),0,SUMIFS(DATA_WSF!$L:$L,DATA_WSF!$A:$A,$B$10-7,DATA_WSF!$C:$C,W38))</f>
        <v/>
      </c>
      <c r="AA38">
        <f>IF(X38=0,0,SUMIFS(DATA_WSF!$E:$E,DATA_WSF!$A:$A,$B$10,DATA_WSF!$C:$C,W38))</f>
        <v/>
      </c>
      <c r="AB38">
        <f>IF(X38=0,0,SUMIFS(DATA_WSF!$F:$F,DATA_WSF!$A:$A,$B$10,DATA_WSF!$C:$C,W38))</f>
        <v/>
      </c>
      <c r="AC38">
        <f>IF(AA38=0,"",AB38/AA38)</f>
        <v/>
      </c>
      <c r="AD38">
        <f>IF(OR(X38=0,Z38=0),"",Y38/Z38-1)</f>
        <v/>
      </c>
      <c r="AE38">
        <f>IF(X38=0,"",Y38+ROW()/1000000)</f>
        <v/>
      </c>
      <c r="AF38">
        <f>IF(AC38="","",AC38+ROW()/1000000000)</f>
        <v/>
      </c>
      <c r="AG38">
        <f>IF(AD38="","",AD38+ROW()/1000000000)</f>
        <v/>
      </c>
      <c r="AW38">
        <f>IFERROR(SMALL(DATA_WSF!$R:$R,35),"")</f>
        <v/>
      </c>
      <c r="AX38">
        <f>IF($AW38="","",INDEX(DATA_WSF!$C:$C,$AW38))</f>
        <v/>
      </c>
      <c r="AY38">
        <f>IF($AW38="","",INDEX(DATA_WSF!$D:$D,$AW38))</f>
        <v/>
      </c>
      <c r="AZ38">
        <f>IF($AW38="","",IFERROR(INDEX(MASTER_ZONES!$G:$G,MATCH($AY38,MASTER_ZONES!$B:$B,0))&amp;"",""))</f>
        <v/>
      </c>
      <c r="BA38">
        <f>IF($AW38="","",INDEX(DATA_WSF!$E:$E,$AW38))</f>
        <v/>
      </c>
      <c r="BB38">
        <f>IF($AW38="","",INDEX(DATA_WSF!$F:$F,$AW38))</f>
        <v/>
      </c>
      <c r="BC38">
        <f>IF($AW38="","",INDEX(DATA_WSF!$G:$G,$AW38))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W39">
        <f>IFERROR(INDEX(MASTER_AREAS!$B:$B,38)&amp;"","")</f>
        <v/>
      </c>
      <c r="X39">
        <f>IF(OR(W39="",$B$10=0),0,COUNTIFS(DATA_WSF!$A:$A,$B$10,DATA_WSF!$C:$C,W39))</f>
        <v/>
      </c>
      <c r="Y39">
        <f>IF(X39=0,0,SUMIFS(DATA_WSF!$L:$L,DATA_WSF!$A:$A,$B$10,DATA_WSF!$C:$C,W39))</f>
        <v/>
      </c>
      <c r="Z39">
        <f>IF(OR(W39="",$B$10=0),0,SUMIFS(DATA_WSF!$L:$L,DATA_WSF!$A:$A,$B$10-7,DATA_WSF!$C:$C,W39))</f>
        <v/>
      </c>
      <c r="AA39">
        <f>IF(X39=0,0,SUMIFS(DATA_WSF!$E:$E,DATA_WSF!$A:$A,$B$10,DATA_WSF!$C:$C,W39))</f>
        <v/>
      </c>
      <c r="AB39">
        <f>IF(X39=0,0,SUMIFS(DATA_WSF!$F:$F,DATA_WSF!$A:$A,$B$10,DATA_WSF!$C:$C,W39))</f>
        <v/>
      </c>
      <c r="AC39">
        <f>IF(AA39=0,"",AB39/AA39)</f>
        <v/>
      </c>
      <c r="AD39">
        <f>IF(OR(X39=0,Z39=0),"",Y39/Z39-1)</f>
        <v/>
      </c>
      <c r="AE39">
        <f>IF(X39=0,"",Y39+ROW()/1000000)</f>
        <v/>
      </c>
      <c r="AF39">
        <f>IF(AC39="","",AC39+ROW()/1000000000)</f>
        <v/>
      </c>
      <c r="AG39">
        <f>IF(AD39="","",AD39+ROW()/1000000000)</f>
        <v/>
      </c>
      <c r="AW39">
        <f>IFERROR(SMALL(DATA_WSF!$R:$R,36),"")</f>
        <v/>
      </c>
      <c r="AX39">
        <f>IF($AW39="","",INDEX(DATA_WSF!$C:$C,$AW39))</f>
        <v/>
      </c>
      <c r="AY39">
        <f>IF($AW39="","",INDEX(DATA_WSF!$D:$D,$AW39))</f>
        <v/>
      </c>
      <c r="AZ39">
        <f>IF($AW39="","",IFERROR(INDEX(MASTER_ZONES!$G:$G,MATCH($AY39,MASTER_ZONES!$B:$B,0))&amp;"",""))</f>
        <v/>
      </c>
      <c r="BA39">
        <f>IF($AW39="","",INDEX(DATA_WSF!$E:$E,$AW39))</f>
        <v/>
      </c>
      <c r="BB39">
        <f>IF($AW39="","",INDEX(DATA_WSF!$F:$F,$AW39))</f>
        <v/>
      </c>
      <c r="BC39">
        <f>IF($AW39="","",INDEX(DATA_WSF!$G:$G,$AW39))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W40">
        <f>IFERROR(INDEX(MASTER_AREAS!$B:$B,39)&amp;"","")</f>
        <v/>
      </c>
      <c r="X40">
        <f>IF(OR(W40="",$B$10=0),0,COUNTIFS(DATA_WSF!$A:$A,$B$10,DATA_WSF!$C:$C,W40))</f>
        <v/>
      </c>
      <c r="Y40">
        <f>IF(X40=0,0,SUMIFS(DATA_WSF!$L:$L,DATA_WSF!$A:$A,$B$10,DATA_WSF!$C:$C,W40))</f>
        <v/>
      </c>
      <c r="Z40">
        <f>IF(OR(W40="",$B$10=0),0,SUMIFS(DATA_WSF!$L:$L,DATA_WSF!$A:$A,$B$10-7,DATA_WSF!$C:$C,W40))</f>
        <v/>
      </c>
      <c r="AA40">
        <f>IF(X40=0,0,SUMIFS(DATA_WSF!$E:$E,DATA_WSF!$A:$A,$B$10,DATA_WSF!$C:$C,W40))</f>
        <v/>
      </c>
      <c r="AB40">
        <f>IF(X40=0,0,SUMIFS(DATA_WSF!$F:$F,DATA_WSF!$A:$A,$B$10,DATA_WSF!$C:$C,W40))</f>
        <v/>
      </c>
      <c r="AC40">
        <f>IF(AA40=0,"",AB40/AA40)</f>
        <v/>
      </c>
      <c r="AD40">
        <f>IF(OR(X40=0,Z40=0),"",Y40/Z40-1)</f>
        <v/>
      </c>
      <c r="AE40">
        <f>IF(X40=0,"",Y40+ROW()/1000000)</f>
        <v/>
      </c>
      <c r="AF40">
        <f>IF(AC40="","",AC40+ROW()/1000000000)</f>
        <v/>
      </c>
      <c r="AG40">
        <f>IF(AD40="","",AD40+ROW()/1000000000)</f>
        <v/>
      </c>
      <c r="AW40">
        <f>IFERROR(SMALL(DATA_WSF!$R:$R,37),"")</f>
        <v/>
      </c>
      <c r="AX40">
        <f>IF($AW40="","",INDEX(DATA_WSF!$C:$C,$AW40))</f>
        <v/>
      </c>
      <c r="AY40">
        <f>IF($AW40="","",INDEX(DATA_WSF!$D:$D,$AW40))</f>
        <v/>
      </c>
      <c r="AZ40">
        <f>IF($AW40="","",IFERROR(INDEX(MASTER_ZONES!$G:$G,MATCH($AY40,MASTER_ZONES!$B:$B,0))&amp;"",""))</f>
        <v/>
      </c>
      <c r="BA40">
        <f>IF($AW40="","",INDEX(DATA_WSF!$E:$E,$AW40))</f>
        <v/>
      </c>
      <c r="BB40">
        <f>IF($AW40="","",INDEX(DATA_WSF!$F:$F,$AW40))</f>
        <v/>
      </c>
      <c r="BC40">
        <f>IF($AW40="","",INDEX(DATA_WSF!$G:$G,$AW40))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W41">
        <f>IFERROR(INDEX(MASTER_AREAS!$B:$B,40)&amp;"","")</f>
        <v/>
      </c>
      <c r="X41">
        <f>IF(OR(W41="",$B$10=0),0,COUNTIFS(DATA_WSF!$A:$A,$B$10,DATA_WSF!$C:$C,W41))</f>
        <v/>
      </c>
      <c r="Y41">
        <f>IF(X41=0,0,SUMIFS(DATA_WSF!$L:$L,DATA_WSF!$A:$A,$B$10,DATA_WSF!$C:$C,W41))</f>
        <v/>
      </c>
      <c r="Z41">
        <f>IF(OR(W41="",$B$10=0),0,SUMIFS(DATA_WSF!$L:$L,DATA_WSF!$A:$A,$B$10-7,DATA_WSF!$C:$C,W41))</f>
        <v/>
      </c>
      <c r="AA41">
        <f>IF(X41=0,0,SUMIFS(DATA_WSF!$E:$E,DATA_WSF!$A:$A,$B$10,DATA_WSF!$C:$C,W41))</f>
        <v/>
      </c>
      <c r="AB41">
        <f>IF(X41=0,0,SUMIFS(DATA_WSF!$F:$F,DATA_WSF!$A:$A,$B$10,DATA_WSF!$C:$C,W41))</f>
        <v/>
      </c>
      <c r="AC41">
        <f>IF(AA41=0,"",AB41/AA41)</f>
        <v/>
      </c>
      <c r="AD41">
        <f>IF(OR(X41=0,Z41=0),"",Y41/Z41-1)</f>
        <v/>
      </c>
      <c r="AE41">
        <f>IF(X41=0,"",Y41+ROW()/1000000)</f>
        <v/>
      </c>
      <c r="AF41">
        <f>IF(AC41="","",AC41+ROW()/1000000000)</f>
        <v/>
      </c>
      <c r="AG41">
        <f>IF(AD41="","",AD41+ROW()/1000000000)</f>
        <v/>
      </c>
      <c r="AW41">
        <f>IFERROR(SMALL(DATA_WSF!$R:$R,38),"")</f>
        <v/>
      </c>
      <c r="AX41">
        <f>IF($AW41="","",INDEX(DATA_WSF!$C:$C,$AW41))</f>
        <v/>
      </c>
      <c r="AY41">
        <f>IF($AW41="","",INDEX(DATA_WSF!$D:$D,$AW41))</f>
        <v/>
      </c>
      <c r="AZ41">
        <f>IF($AW41="","",IFERROR(INDEX(MASTER_ZONES!$G:$G,MATCH($AY41,MASTER_ZONES!$B:$B,0))&amp;"",""))</f>
        <v/>
      </c>
      <c r="BA41">
        <f>IF($AW41="","",INDEX(DATA_WSF!$E:$E,$AW41))</f>
        <v/>
      </c>
      <c r="BB41">
        <f>IF($AW41="","",INDEX(DATA_WSF!$F:$F,$AW41))</f>
        <v/>
      </c>
      <c r="BC41">
        <f>IF($AW41="","",INDEX(DATA_WSF!$G:$G,$AW41))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W42">
        <f>IFERROR(INDEX(MASTER_AREAS!$B:$B,41)&amp;"","")</f>
        <v/>
      </c>
      <c r="X42">
        <f>IF(OR(W42="",$B$10=0),0,COUNTIFS(DATA_WSF!$A:$A,$B$10,DATA_WSF!$C:$C,W42))</f>
        <v/>
      </c>
      <c r="Y42">
        <f>IF(X42=0,0,SUMIFS(DATA_WSF!$L:$L,DATA_WSF!$A:$A,$B$10,DATA_WSF!$C:$C,W42))</f>
        <v/>
      </c>
      <c r="Z42">
        <f>IF(OR(W42="",$B$10=0),0,SUMIFS(DATA_WSF!$L:$L,DATA_WSF!$A:$A,$B$10-7,DATA_WSF!$C:$C,W42))</f>
        <v/>
      </c>
      <c r="AA42">
        <f>IF(X42=0,0,SUMIFS(DATA_WSF!$E:$E,DATA_WSF!$A:$A,$B$10,DATA_WSF!$C:$C,W42))</f>
        <v/>
      </c>
      <c r="AB42">
        <f>IF(X42=0,0,SUMIFS(DATA_WSF!$F:$F,DATA_WSF!$A:$A,$B$10,DATA_WSF!$C:$C,W42))</f>
        <v/>
      </c>
      <c r="AC42">
        <f>IF(AA42=0,"",AB42/AA42)</f>
        <v/>
      </c>
      <c r="AD42">
        <f>IF(OR(X42=0,Z42=0),"",Y42/Z42-1)</f>
        <v/>
      </c>
      <c r="AE42">
        <f>IF(X42=0,"",Y42+ROW()/1000000)</f>
        <v/>
      </c>
      <c r="AF42">
        <f>IF(AC42="","",AC42+ROW()/1000000000)</f>
        <v/>
      </c>
      <c r="AG42">
        <f>IF(AD42="","",AD42+ROW()/1000000000)</f>
        <v/>
      </c>
      <c r="AW42">
        <f>IFERROR(SMALL(DATA_WSF!$R:$R,39),"")</f>
        <v/>
      </c>
      <c r="AX42">
        <f>IF($AW42="","",INDEX(DATA_WSF!$C:$C,$AW42))</f>
        <v/>
      </c>
      <c r="AY42">
        <f>IF($AW42="","",INDEX(DATA_WSF!$D:$D,$AW42))</f>
        <v/>
      </c>
      <c r="AZ42">
        <f>IF($AW42="","",IFERROR(INDEX(MASTER_ZONES!$G:$G,MATCH($AY42,MASTER_ZONES!$B:$B,0))&amp;"",""))</f>
        <v/>
      </c>
      <c r="BA42">
        <f>IF($AW42="","",INDEX(DATA_WSF!$E:$E,$AW42))</f>
        <v/>
      </c>
      <c r="BB42">
        <f>IF($AW42="","",INDEX(DATA_WSF!$F:$F,$AW42))</f>
        <v/>
      </c>
      <c r="BC42">
        <f>IF($AW42="","",INDEX(DATA_WSF!$G:$G,$AW42))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W43">
        <f>IFERROR(INDEX(MASTER_AREAS!$B:$B,42)&amp;"","")</f>
        <v/>
      </c>
      <c r="X43">
        <f>IF(OR(W43="",$B$10=0),0,COUNTIFS(DATA_WSF!$A:$A,$B$10,DATA_WSF!$C:$C,W43))</f>
        <v/>
      </c>
      <c r="Y43">
        <f>IF(X43=0,0,SUMIFS(DATA_WSF!$L:$L,DATA_WSF!$A:$A,$B$10,DATA_WSF!$C:$C,W43))</f>
        <v/>
      </c>
      <c r="Z43">
        <f>IF(OR(W43="",$B$10=0),0,SUMIFS(DATA_WSF!$L:$L,DATA_WSF!$A:$A,$B$10-7,DATA_WSF!$C:$C,W43))</f>
        <v/>
      </c>
      <c r="AA43">
        <f>IF(X43=0,0,SUMIFS(DATA_WSF!$E:$E,DATA_WSF!$A:$A,$B$10,DATA_WSF!$C:$C,W43))</f>
        <v/>
      </c>
      <c r="AB43">
        <f>IF(X43=0,0,SUMIFS(DATA_WSF!$F:$F,DATA_WSF!$A:$A,$B$10,DATA_WSF!$C:$C,W43))</f>
        <v/>
      </c>
      <c r="AC43">
        <f>IF(AA43=0,"",AB43/AA43)</f>
        <v/>
      </c>
      <c r="AD43">
        <f>IF(OR(X43=0,Z43=0),"",Y43/Z43-1)</f>
        <v/>
      </c>
      <c r="AE43">
        <f>IF(X43=0,"",Y43+ROW()/1000000)</f>
        <v/>
      </c>
      <c r="AF43">
        <f>IF(AC43="","",AC43+ROW()/1000000000)</f>
        <v/>
      </c>
      <c r="AG43">
        <f>IF(AD43="","",AD43+ROW()/1000000000)</f>
        <v/>
      </c>
      <c r="AW43">
        <f>IFERROR(SMALL(DATA_WSF!$R:$R,40),"")</f>
        <v/>
      </c>
      <c r="AX43">
        <f>IF($AW43="","",INDEX(DATA_WSF!$C:$C,$AW43))</f>
        <v/>
      </c>
      <c r="AY43">
        <f>IF($AW43="","",INDEX(DATA_WSF!$D:$D,$AW43))</f>
        <v/>
      </c>
      <c r="AZ43">
        <f>IF($AW43="","",IFERROR(INDEX(MASTER_ZONES!$G:$G,MATCH($AY43,MASTER_ZONES!$B:$B,0))&amp;"",""))</f>
        <v/>
      </c>
      <c r="BA43">
        <f>IF($AW43="","",INDEX(DATA_WSF!$E:$E,$AW43))</f>
        <v/>
      </c>
      <c r="BB43">
        <f>IF($AW43="","",INDEX(DATA_WSF!$F:$F,$AW43))</f>
        <v/>
      </c>
      <c r="BC43">
        <f>IF($AW43="","",INDEX(DATA_WSF!$G:$G,$AW43))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W44">
        <f>IFERROR(INDEX(MASTER_AREAS!$B:$B,43)&amp;"","")</f>
        <v/>
      </c>
      <c r="X44">
        <f>IF(OR(W44="",$B$10=0),0,COUNTIFS(DATA_WSF!$A:$A,$B$10,DATA_WSF!$C:$C,W44))</f>
        <v/>
      </c>
      <c r="Y44">
        <f>IF(X44=0,0,SUMIFS(DATA_WSF!$L:$L,DATA_WSF!$A:$A,$B$10,DATA_WSF!$C:$C,W44))</f>
        <v/>
      </c>
      <c r="Z44">
        <f>IF(OR(W44="",$B$10=0),0,SUMIFS(DATA_WSF!$L:$L,DATA_WSF!$A:$A,$B$10-7,DATA_WSF!$C:$C,W44))</f>
        <v/>
      </c>
      <c r="AA44">
        <f>IF(X44=0,0,SUMIFS(DATA_WSF!$E:$E,DATA_WSF!$A:$A,$B$10,DATA_WSF!$C:$C,W44))</f>
        <v/>
      </c>
      <c r="AB44">
        <f>IF(X44=0,0,SUMIFS(DATA_WSF!$F:$F,DATA_WSF!$A:$A,$B$10,DATA_WSF!$C:$C,W44))</f>
        <v/>
      </c>
      <c r="AC44">
        <f>IF(AA44=0,"",AB44/AA44)</f>
        <v/>
      </c>
      <c r="AD44">
        <f>IF(OR(X44=0,Z44=0),"",Y44/Z44-1)</f>
        <v/>
      </c>
      <c r="AE44">
        <f>IF(X44=0,"",Y44+ROW()/1000000)</f>
        <v/>
      </c>
      <c r="AF44">
        <f>IF(AC44="","",AC44+ROW()/1000000000)</f>
        <v/>
      </c>
      <c r="AG44">
        <f>IF(AD44="","",AD44+ROW()/1000000000)</f>
        <v/>
      </c>
      <c r="AW44">
        <f>IFERROR(SMALL(DATA_WSF!$R:$R,41),"")</f>
        <v/>
      </c>
      <c r="AX44">
        <f>IF($AW44="","",INDEX(DATA_WSF!$C:$C,$AW44))</f>
        <v/>
      </c>
      <c r="AY44">
        <f>IF($AW44="","",INDEX(DATA_WSF!$D:$D,$AW44))</f>
        <v/>
      </c>
      <c r="AZ44">
        <f>IF($AW44="","",IFERROR(INDEX(MASTER_ZONES!$G:$G,MATCH($AY44,MASTER_ZONES!$B:$B,0))&amp;"",""))</f>
        <v/>
      </c>
      <c r="BA44">
        <f>IF($AW44="","",INDEX(DATA_WSF!$E:$E,$AW44))</f>
        <v/>
      </c>
      <c r="BB44">
        <f>IF($AW44="","",INDEX(DATA_WSF!$F:$F,$AW44))</f>
        <v/>
      </c>
      <c r="BC44">
        <f>IF($AW44="","",INDEX(DATA_WSF!$G:$G,$AW44))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W45">
        <f>IFERROR(INDEX(MASTER_AREAS!$B:$B,44)&amp;"","")</f>
        <v/>
      </c>
      <c r="X45">
        <f>IF(OR(W45="",$B$10=0),0,COUNTIFS(DATA_WSF!$A:$A,$B$10,DATA_WSF!$C:$C,W45))</f>
        <v/>
      </c>
      <c r="Y45">
        <f>IF(X45=0,0,SUMIFS(DATA_WSF!$L:$L,DATA_WSF!$A:$A,$B$10,DATA_WSF!$C:$C,W45))</f>
        <v/>
      </c>
      <c r="Z45">
        <f>IF(OR(W45="",$B$10=0),0,SUMIFS(DATA_WSF!$L:$L,DATA_WSF!$A:$A,$B$10-7,DATA_WSF!$C:$C,W45))</f>
        <v/>
      </c>
      <c r="AA45">
        <f>IF(X45=0,0,SUMIFS(DATA_WSF!$E:$E,DATA_WSF!$A:$A,$B$10,DATA_WSF!$C:$C,W45))</f>
        <v/>
      </c>
      <c r="AB45">
        <f>IF(X45=0,0,SUMIFS(DATA_WSF!$F:$F,DATA_WSF!$A:$A,$B$10,DATA_WSF!$C:$C,W45))</f>
        <v/>
      </c>
      <c r="AC45">
        <f>IF(AA45=0,"",AB45/AA45)</f>
        <v/>
      </c>
      <c r="AD45">
        <f>IF(OR(X45=0,Z45=0),"",Y45/Z45-1)</f>
        <v/>
      </c>
      <c r="AE45">
        <f>IF(X45=0,"",Y45+ROW()/1000000)</f>
        <v/>
      </c>
      <c r="AF45">
        <f>IF(AC45="","",AC45+ROW()/1000000000)</f>
        <v/>
      </c>
      <c r="AG45">
        <f>IF(AD45="","",AD45+ROW()/1000000000)</f>
        <v/>
      </c>
      <c r="AW45">
        <f>IFERROR(SMALL(DATA_WSF!$R:$R,42),"")</f>
        <v/>
      </c>
      <c r="AX45">
        <f>IF($AW45="","",INDEX(DATA_WSF!$C:$C,$AW45))</f>
        <v/>
      </c>
      <c r="AY45">
        <f>IF($AW45="","",INDEX(DATA_WSF!$D:$D,$AW45))</f>
        <v/>
      </c>
      <c r="AZ45">
        <f>IF($AW45="","",IFERROR(INDEX(MASTER_ZONES!$G:$G,MATCH($AY45,MASTER_ZONES!$B:$B,0))&amp;"",""))</f>
        <v/>
      </c>
      <c r="BA45">
        <f>IF($AW45="","",INDEX(DATA_WSF!$E:$E,$AW45))</f>
        <v/>
      </c>
      <c r="BB45">
        <f>IF($AW45="","",INDEX(DATA_WSF!$F:$F,$AW45))</f>
        <v/>
      </c>
      <c r="BC45">
        <f>IF($AW45="","",INDEX(DATA_WSF!$G:$G,$AW45))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W46">
        <f>IFERROR(INDEX(MASTER_AREAS!$B:$B,45)&amp;"","")</f>
        <v/>
      </c>
      <c r="X46">
        <f>IF(OR(W46="",$B$10=0),0,COUNTIFS(DATA_WSF!$A:$A,$B$10,DATA_WSF!$C:$C,W46))</f>
        <v/>
      </c>
      <c r="Y46">
        <f>IF(X46=0,0,SUMIFS(DATA_WSF!$L:$L,DATA_WSF!$A:$A,$B$10,DATA_WSF!$C:$C,W46))</f>
        <v/>
      </c>
      <c r="Z46">
        <f>IF(OR(W46="",$B$10=0),0,SUMIFS(DATA_WSF!$L:$L,DATA_WSF!$A:$A,$B$10-7,DATA_WSF!$C:$C,W46))</f>
        <v/>
      </c>
      <c r="AA46">
        <f>IF(X46=0,0,SUMIFS(DATA_WSF!$E:$E,DATA_WSF!$A:$A,$B$10,DATA_WSF!$C:$C,W46))</f>
        <v/>
      </c>
      <c r="AB46">
        <f>IF(X46=0,0,SUMIFS(DATA_WSF!$F:$F,DATA_WSF!$A:$A,$B$10,DATA_WSF!$C:$C,W46))</f>
        <v/>
      </c>
      <c r="AC46">
        <f>IF(AA46=0,"",AB46/AA46)</f>
        <v/>
      </c>
      <c r="AD46">
        <f>IF(OR(X46=0,Z46=0),"",Y46/Z46-1)</f>
        <v/>
      </c>
      <c r="AE46">
        <f>IF(X46=0,"",Y46+ROW()/1000000)</f>
        <v/>
      </c>
      <c r="AF46">
        <f>IF(AC46="","",AC46+ROW()/1000000000)</f>
        <v/>
      </c>
      <c r="AG46">
        <f>IF(AD46="","",AD46+ROW()/1000000000)</f>
        <v/>
      </c>
      <c r="AW46">
        <f>IFERROR(SMALL(DATA_WSF!$R:$R,43),"")</f>
        <v/>
      </c>
      <c r="AX46">
        <f>IF($AW46="","",INDEX(DATA_WSF!$C:$C,$AW46))</f>
        <v/>
      </c>
      <c r="AY46">
        <f>IF($AW46="","",INDEX(DATA_WSF!$D:$D,$AW46))</f>
        <v/>
      </c>
      <c r="AZ46">
        <f>IF($AW46="","",IFERROR(INDEX(MASTER_ZONES!$G:$G,MATCH($AY46,MASTER_ZONES!$B:$B,0))&amp;"",""))</f>
        <v/>
      </c>
      <c r="BA46">
        <f>IF($AW46="","",INDEX(DATA_WSF!$E:$E,$AW46))</f>
        <v/>
      </c>
      <c r="BB46">
        <f>IF($AW46="","",INDEX(DATA_WSF!$F:$F,$AW46))</f>
        <v/>
      </c>
      <c r="BC46">
        <f>IF($AW46="","",INDEX(DATA_WSF!$G:$G,$AW46))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W47">
        <f>IFERROR(INDEX(MASTER_AREAS!$B:$B,46)&amp;"","")</f>
        <v/>
      </c>
      <c r="X47">
        <f>IF(OR(W47="",$B$10=0),0,COUNTIFS(DATA_WSF!$A:$A,$B$10,DATA_WSF!$C:$C,W47))</f>
        <v/>
      </c>
      <c r="Y47">
        <f>IF(X47=0,0,SUMIFS(DATA_WSF!$L:$L,DATA_WSF!$A:$A,$B$10,DATA_WSF!$C:$C,W47))</f>
        <v/>
      </c>
      <c r="Z47">
        <f>IF(OR(W47="",$B$10=0),0,SUMIFS(DATA_WSF!$L:$L,DATA_WSF!$A:$A,$B$10-7,DATA_WSF!$C:$C,W47))</f>
        <v/>
      </c>
      <c r="AA47">
        <f>IF(X47=0,0,SUMIFS(DATA_WSF!$E:$E,DATA_WSF!$A:$A,$B$10,DATA_WSF!$C:$C,W47))</f>
        <v/>
      </c>
      <c r="AB47">
        <f>IF(X47=0,0,SUMIFS(DATA_WSF!$F:$F,DATA_WSF!$A:$A,$B$10,DATA_WSF!$C:$C,W47))</f>
        <v/>
      </c>
      <c r="AC47">
        <f>IF(AA47=0,"",AB47/AA47)</f>
        <v/>
      </c>
      <c r="AD47">
        <f>IF(OR(X47=0,Z47=0),"",Y47/Z47-1)</f>
        <v/>
      </c>
      <c r="AE47">
        <f>IF(X47=0,"",Y47+ROW()/1000000)</f>
        <v/>
      </c>
      <c r="AF47">
        <f>IF(AC47="","",AC47+ROW()/1000000000)</f>
        <v/>
      </c>
      <c r="AG47">
        <f>IF(AD47="","",AD47+ROW()/1000000000)</f>
        <v/>
      </c>
      <c r="AW47">
        <f>IFERROR(SMALL(DATA_WSF!$R:$R,44),"")</f>
        <v/>
      </c>
      <c r="AX47">
        <f>IF($AW47="","",INDEX(DATA_WSF!$C:$C,$AW47))</f>
        <v/>
      </c>
      <c r="AY47">
        <f>IF($AW47="","",INDEX(DATA_WSF!$D:$D,$AW47))</f>
        <v/>
      </c>
      <c r="AZ47">
        <f>IF($AW47="","",IFERROR(INDEX(MASTER_ZONES!$G:$G,MATCH($AY47,MASTER_ZONES!$B:$B,0))&amp;"",""))</f>
        <v/>
      </c>
      <c r="BA47">
        <f>IF($AW47="","",INDEX(DATA_WSF!$E:$E,$AW47))</f>
        <v/>
      </c>
      <c r="BB47">
        <f>IF($AW47="","",INDEX(DATA_WSF!$F:$F,$AW47))</f>
        <v/>
      </c>
      <c r="BC47">
        <f>IF($AW47="","",INDEX(DATA_WSF!$G:$G,$AW47))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W48">
        <f>IFERROR(INDEX(MASTER_AREAS!$B:$B,47)&amp;"","")</f>
        <v/>
      </c>
      <c r="X48">
        <f>IF(OR(W48="",$B$10=0),0,COUNTIFS(DATA_WSF!$A:$A,$B$10,DATA_WSF!$C:$C,W48))</f>
        <v/>
      </c>
      <c r="Y48">
        <f>IF(X48=0,0,SUMIFS(DATA_WSF!$L:$L,DATA_WSF!$A:$A,$B$10,DATA_WSF!$C:$C,W48))</f>
        <v/>
      </c>
      <c r="Z48">
        <f>IF(OR(W48="",$B$10=0),0,SUMIFS(DATA_WSF!$L:$L,DATA_WSF!$A:$A,$B$10-7,DATA_WSF!$C:$C,W48))</f>
        <v/>
      </c>
      <c r="AA48">
        <f>IF(X48=0,0,SUMIFS(DATA_WSF!$E:$E,DATA_WSF!$A:$A,$B$10,DATA_WSF!$C:$C,W48))</f>
        <v/>
      </c>
      <c r="AB48">
        <f>IF(X48=0,0,SUMIFS(DATA_WSF!$F:$F,DATA_WSF!$A:$A,$B$10,DATA_WSF!$C:$C,W48))</f>
        <v/>
      </c>
      <c r="AC48">
        <f>IF(AA48=0,"",AB48/AA48)</f>
        <v/>
      </c>
      <c r="AD48">
        <f>IF(OR(X48=0,Z48=0),"",Y48/Z48-1)</f>
        <v/>
      </c>
      <c r="AE48">
        <f>IF(X48=0,"",Y48+ROW()/1000000)</f>
        <v/>
      </c>
      <c r="AF48">
        <f>IF(AC48="","",AC48+ROW()/1000000000)</f>
        <v/>
      </c>
      <c r="AG48">
        <f>IF(AD48="","",AD48+ROW()/1000000000)</f>
        <v/>
      </c>
      <c r="AW48">
        <f>IFERROR(SMALL(DATA_WSF!$R:$R,45),"")</f>
        <v/>
      </c>
      <c r="AX48">
        <f>IF($AW48="","",INDEX(DATA_WSF!$C:$C,$AW48))</f>
        <v/>
      </c>
      <c r="AY48">
        <f>IF($AW48="","",INDEX(DATA_WSF!$D:$D,$AW48))</f>
        <v/>
      </c>
      <c r="AZ48">
        <f>IF($AW48="","",IFERROR(INDEX(MASTER_ZONES!$G:$G,MATCH($AY48,MASTER_ZONES!$B:$B,0))&amp;"",""))</f>
        <v/>
      </c>
      <c r="BA48">
        <f>IF($AW48="","",INDEX(DATA_WSF!$E:$E,$AW48))</f>
        <v/>
      </c>
      <c r="BB48">
        <f>IF($AW48="","",INDEX(DATA_WSF!$F:$F,$AW48))</f>
        <v/>
      </c>
      <c r="BC48">
        <f>IF($AW48="","",INDEX(DATA_WSF!$G:$G,$AW48))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W49">
        <f>IFERROR(INDEX(MASTER_AREAS!$B:$B,48)&amp;"","")</f>
        <v/>
      </c>
      <c r="X49">
        <f>IF(OR(W49="",$B$10=0),0,COUNTIFS(DATA_WSF!$A:$A,$B$10,DATA_WSF!$C:$C,W49))</f>
        <v/>
      </c>
      <c r="Y49">
        <f>IF(X49=0,0,SUMIFS(DATA_WSF!$L:$L,DATA_WSF!$A:$A,$B$10,DATA_WSF!$C:$C,W49))</f>
        <v/>
      </c>
      <c r="Z49">
        <f>IF(OR(W49="",$B$10=0),0,SUMIFS(DATA_WSF!$L:$L,DATA_WSF!$A:$A,$B$10-7,DATA_WSF!$C:$C,W49))</f>
        <v/>
      </c>
      <c r="AA49">
        <f>IF(X49=0,0,SUMIFS(DATA_WSF!$E:$E,DATA_WSF!$A:$A,$B$10,DATA_WSF!$C:$C,W49))</f>
        <v/>
      </c>
      <c r="AB49">
        <f>IF(X49=0,0,SUMIFS(DATA_WSF!$F:$F,DATA_WSF!$A:$A,$B$10,DATA_WSF!$C:$C,W49))</f>
        <v/>
      </c>
      <c r="AC49">
        <f>IF(AA49=0,"",AB49/AA49)</f>
        <v/>
      </c>
      <c r="AD49">
        <f>IF(OR(X49=0,Z49=0),"",Y49/Z49-1)</f>
        <v/>
      </c>
      <c r="AE49">
        <f>IF(X49=0,"",Y49+ROW()/1000000)</f>
        <v/>
      </c>
      <c r="AF49">
        <f>IF(AC49="","",AC49+ROW()/1000000000)</f>
        <v/>
      </c>
      <c r="AG49">
        <f>IF(AD49="","",AD49+ROW()/1000000000)</f>
        <v/>
      </c>
      <c r="AW49">
        <f>IFERROR(SMALL(DATA_WSF!$R:$R,46),"")</f>
        <v/>
      </c>
      <c r="AX49">
        <f>IF($AW49="","",INDEX(DATA_WSF!$C:$C,$AW49))</f>
        <v/>
      </c>
      <c r="AY49">
        <f>IF($AW49="","",INDEX(DATA_WSF!$D:$D,$AW49))</f>
        <v/>
      </c>
      <c r="AZ49">
        <f>IF($AW49="","",IFERROR(INDEX(MASTER_ZONES!$G:$G,MATCH($AY49,MASTER_ZONES!$B:$B,0))&amp;"",""))</f>
        <v/>
      </c>
      <c r="BA49">
        <f>IF($AW49="","",INDEX(DATA_WSF!$E:$E,$AW49))</f>
        <v/>
      </c>
      <c r="BB49">
        <f>IF($AW49="","",INDEX(DATA_WSF!$F:$F,$AW49))</f>
        <v/>
      </c>
      <c r="BC49">
        <f>IF($AW49="","",INDEX(DATA_WSF!$G:$G,$AW49))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W50">
        <f>IFERROR(INDEX(MASTER_AREAS!$B:$B,49)&amp;"","")</f>
        <v/>
      </c>
      <c r="X50">
        <f>IF(OR(W50="",$B$10=0),0,COUNTIFS(DATA_WSF!$A:$A,$B$10,DATA_WSF!$C:$C,W50))</f>
        <v/>
      </c>
      <c r="Y50">
        <f>IF(X50=0,0,SUMIFS(DATA_WSF!$L:$L,DATA_WSF!$A:$A,$B$10,DATA_WSF!$C:$C,W50))</f>
        <v/>
      </c>
      <c r="Z50">
        <f>IF(OR(W50="",$B$10=0),0,SUMIFS(DATA_WSF!$L:$L,DATA_WSF!$A:$A,$B$10-7,DATA_WSF!$C:$C,W50))</f>
        <v/>
      </c>
      <c r="AA50">
        <f>IF(X50=0,0,SUMIFS(DATA_WSF!$E:$E,DATA_WSF!$A:$A,$B$10,DATA_WSF!$C:$C,W50))</f>
        <v/>
      </c>
      <c r="AB50">
        <f>IF(X50=0,0,SUMIFS(DATA_WSF!$F:$F,DATA_WSF!$A:$A,$B$10,DATA_WSF!$C:$C,W50))</f>
        <v/>
      </c>
      <c r="AC50">
        <f>IF(AA50=0,"",AB50/AA50)</f>
        <v/>
      </c>
      <c r="AD50">
        <f>IF(OR(X50=0,Z50=0),"",Y50/Z50-1)</f>
        <v/>
      </c>
      <c r="AE50">
        <f>IF(X50=0,"",Y50+ROW()/1000000)</f>
        <v/>
      </c>
      <c r="AF50">
        <f>IF(AC50="","",AC50+ROW()/1000000000)</f>
        <v/>
      </c>
      <c r="AG50">
        <f>IF(AD50="","",AD50+ROW()/1000000000)</f>
        <v/>
      </c>
      <c r="AW50">
        <f>IFERROR(SMALL(DATA_WSF!$R:$R,47),"")</f>
        <v/>
      </c>
      <c r="AX50">
        <f>IF($AW50="","",INDEX(DATA_WSF!$C:$C,$AW50))</f>
        <v/>
      </c>
      <c r="AY50">
        <f>IF($AW50="","",INDEX(DATA_WSF!$D:$D,$AW50))</f>
        <v/>
      </c>
      <c r="AZ50">
        <f>IF($AW50="","",IFERROR(INDEX(MASTER_ZONES!$G:$G,MATCH($AY50,MASTER_ZONES!$B:$B,0))&amp;"",""))</f>
        <v/>
      </c>
      <c r="BA50">
        <f>IF($AW50="","",INDEX(DATA_WSF!$E:$E,$AW50))</f>
        <v/>
      </c>
      <c r="BB50">
        <f>IF($AW50="","",INDEX(DATA_WSF!$F:$F,$AW50))</f>
        <v/>
      </c>
      <c r="BC50">
        <f>IF($AW50="","",INDEX(DATA_WSF!$G:$G,$AW50))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W51">
        <f>IFERROR(INDEX(MASTER_AREAS!$B:$B,50)&amp;"","")</f>
        <v/>
      </c>
      <c r="X51">
        <f>IF(OR(W51="",$B$10=0),0,COUNTIFS(DATA_WSF!$A:$A,$B$10,DATA_WSF!$C:$C,W51))</f>
        <v/>
      </c>
      <c r="Y51">
        <f>IF(X51=0,0,SUMIFS(DATA_WSF!$L:$L,DATA_WSF!$A:$A,$B$10,DATA_WSF!$C:$C,W51))</f>
        <v/>
      </c>
      <c r="Z51">
        <f>IF(OR(W51="",$B$10=0),0,SUMIFS(DATA_WSF!$L:$L,DATA_WSF!$A:$A,$B$10-7,DATA_WSF!$C:$C,W51))</f>
        <v/>
      </c>
      <c r="AA51">
        <f>IF(X51=0,0,SUMIFS(DATA_WSF!$E:$E,DATA_WSF!$A:$A,$B$10,DATA_WSF!$C:$C,W51))</f>
        <v/>
      </c>
      <c r="AB51">
        <f>IF(X51=0,0,SUMIFS(DATA_WSF!$F:$F,DATA_WSF!$A:$A,$B$10,DATA_WSF!$C:$C,W51))</f>
        <v/>
      </c>
      <c r="AC51">
        <f>IF(AA51=0,"",AB51/AA51)</f>
        <v/>
      </c>
      <c r="AD51">
        <f>IF(OR(X51=0,Z51=0),"",Y51/Z51-1)</f>
        <v/>
      </c>
      <c r="AE51">
        <f>IF(X51=0,"",Y51+ROW()/1000000)</f>
        <v/>
      </c>
      <c r="AF51">
        <f>IF(AC51="","",AC51+ROW()/1000000000)</f>
        <v/>
      </c>
      <c r="AG51">
        <f>IF(AD51="","",AD51+ROW()/1000000000)</f>
        <v/>
      </c>
      <c r="AW51">
        <f>IFERROR(SMALL(DATA_WSF!$R:$R,48),"")</f>
        <v/>
      </c>
      <c r="AX51">
        <f>IF($AW51="","",INDEX(DATA_WSF!$C:$C,$AW51))</f>
        <v/>
      </c>
      <c r="AY51">
        <f>IF($AW51="","",INDEX(DATA_WSF!$D:$D,$AW51))</f>
        <v/>
      </c>
      <c r="AZ51">
        <f>IF($AW51="","",IFERROR(INDEX(MASTER_ZONES!$G:$G,MATCH($AY51,MASTER_ZONES!$B:$B,0))&amp;"",""))</f>
        <v/>
      </c>
      <c r="BA51">
        <f>IF($AW51="","",INDEX(DATA_WSF!$E:$E,$AW51))</f>
        <v/>
      </c>
      <c r="BB51">
        <f>IF($AW51="","",INDEX(DATA_WSF!$F:$F,$AW51))</f>
        <v/>
      </c>
      <c r="BC51">
        <f>IF($AW51="","",INDEX(DATA_WSF!$G:$G,$AW51))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W52">
        <f>IFERROR(INDEX(MASTER_AREAS!$B:$B,51)&amp;"","")</f>
        <v/>
      </c>
      <c r="X52">
        <f>IF(OR(W52="",$B$10=0),0,COUNTIFS(DATA_WSF!$A:$A,$B$10,DATA_WSF!$C:$C,W52))</f>
        <v/>
      </c>
      <c r="Y52">
        <f>IF(X52=0,0,SUMIFS(DATA_WSF!$L:$L,DATA_WSF!$A:$A,$B$10,DATA_WSF!$C:$C,W52))</f>
        <v/>
      </c>
      <c r="Z52">
        <f>IF(OR(W52="",$B$10=0),0,SUMIFS(DATA_WSF!$L:$L,DATA_WSF!$A:$A,$B$10-7,DATA_WSF!$C:$C,W52))</f>
        <v/>
      </c>
      <c r="AA52">
        <f>IF(X52=0,0,SUMIFS(DATA_WSF!$E:$E,DATA_WSF!$A:$A,$B$10,DATA_WSF!$C:$C,W52))</f>
        <v/>
      </c>
      <c r="AB52">
        <f>IF(X52=0,0,SUMIFS(DATA_WSF!$F:$F,DATA_WSF!$A:$A,$B$10,DATA_WSF!$C:$C,W52))</f>
        <v/>
      </c>
      <c r="AC52">
        <f>IF(AA52=0,"",AB52/AA52)</f>
        <v/>
      </c>
      <c r="AD52">
        <f>IF(OR(X52=0,Z52=0),"",Y52/Z52-1)</f>
        <v/>
      </c>
      <c r="AE52">
        <f>IF(X52=0,"",Y52+ROW()/1000000)</f>
        <v/>
      </c>
      <c r="AF52">
        <f>IF(AC52="","",AC52+ROW()/1000000000)</f>
        <v/>
      </c>
      <c r="AG52">
        <f>IF(AD52="","",AD52+ROW()/1000000000)</f>
        <v/>
      </c>
      <c r="AW52">
        <f>IFERROR(SMALL(DATA_WSF!$R:$R,49),"")</f>
        <v/>
      </c>
      <c r="AX52">
        <f>IF($AW52="","",INDEX(DATA_WSF!$C:$C,$AW52))</f>
        <v/>
      </c>
      <c r="AY52">
        <f>IF($AW52="","",INDEX(DATA_WSF!$D:$D,$AW52))</f>
        <v/>
      </c>
      <c r="AZ52">
        <f>IF($AW52="","",IFERROR(INDEX(MASTER_ZONES!$G:$G,MATCH($AY52,MASTER_ZONES!$B:$B,0))&amp;"",""))</f>
        <v/>
      </c>
      <c r="BA52">
        <f>IF($AW52="","",INDEX(DATA_WSF!$E:$E,$AW52))</f>
        <v/>
      </c>
      <c r="BB52">
        <f>IF($AW52="","",INDEX(DATA_WSF!$F:$F,$AW52))</f>
        <v/>
      </c>
      <c r="BC52">
        <f>IF($AW52="","",INDEX(DATA_WSF!$G:$G,$AW52))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W53">
        <f>IFERROR(INDEX(MASTER_AREAS!$B:$B,52)&amp;"","")</f>
        <v/>
      </c>
      <c r="X53">
        <f>IF(OR(W53="",$B$10=0),0,COUNTIFS(DATA_WSF!$A:$A,$B$10,DATA_WSF!$C:$C,W53))</f>
        <v/>
      </c>
      <c r="Y53">
        <f>IF(X53=0,0,SUMIFS(DATA_WSF!$L:$L,DATA_WSF!$A:$A,$B$10,DATA_WSF!$C:$C,W53))</f>
        <v/>
      </c>
      <c r="Z53">
        <f>IF(OR(W53="",$B$10=0),0,SUMIFS(DATA_WSF!$L:$L,DATA_WSF!$A:$A,$B$10-7,DATA_WSF!$C:$C,W53))</f>
        <v/>
      </c>
      <c r="AA53">
        <f>IF(X53=0,0,SUMIFS(DATA_WSF!$E:$E,DATA_WSF!$A:$A,$B$10,DATA_WSF!$C:$C,W53))</f>
        <v/>
      </c>
      <c r="AB53">
        <f>IF(X53=0,0,SUMIFS(DATA_WSF!$F:$F,DATA_WSF!$A:$A,$B$10,DATA_WSF!$C:$C,W53))</f>
        <v/>
      </c>
      <c r="AC53">
        <f>IF(AA53=0,"",AB53/AA53)</f>
        <v/>
      </c>
      <c r="AD53">
        <f>IF(OR(X53=0,Z53=0),"",Y53/Z53-1)</f>
        <v/>
      </c>
      <c r="AE53">
        <f>IF(X53=0,"",Y53+ROW()/1000000)</f>
        <v/>
      </c>
      <c r="AF53">
        <f>IF(AC53="","",AC53+ROW()/1000000000)</f>
        <v/>
      </c>
      <c r="AG53">
        <f>IF(AD53="","",AD53+ROW()/1000000000)</f>
        <v/>
      </c>
      <c r="AW53">
        <f>IFERROR(SMALL(DATA_WSF!$R:$R,50),"")</f>
        <v/>
      </c>
      <c r="AX53">
        <f>IF($AW53="","",INDEX(DATA_WSF!$C:$C,$AW53))</f>
        <v/>
      </c>
      <c r="AY53">
        <f>IF($AW53="","",INDEX(DATA_WSF!$D:$D,$AW53))</f>
        <v/>
      </c>
      <c r="AZ53">
        <f>IF($AW53="","",IFERROR(INDEX(MASTER_ZONES!$G:$G,MATCH($AY53,MASTER_ZONES!$B:$B,0))&amp;"",""))</f>
        <v/>
      </c>
      <c r="BA53">
        <f>IF($AW53="","",INDEX(DATA_WSF!$E:$E,$AW53))</f>
        <v/>
      </c>
      <c r="BB53">
        <f>IF($AW53="","",INDEX(DATA_WSF!$F:$F,$AW53))</f>
        <v/>
      </c>
      <c r="BC53">
        <f>IF($AW53="","",INDEX(DATA_WSF!$G:$G,$AW53))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  <c r="W54">
        <f>IFERROR(INDEX(MASTER_AREAS!$B:$B,53)&amp;"","")</f>
        <v/>
      </c>
      <c r="X54">
        <f>IF(OR(W54="",$B$10=0),0,COUNTIFS(DATA_WSF!$A:$A,$B$10,DATA_WSF!$C:$C,W54))</f>
        <v/>
      </c>
      <c r="Y54">
        <f>IF(X54=0,0,SUMIFS(DATA_WSF!$L:$L,DATA_WSF!$A:$A,$B$10,DATA_WSF!$C:$C,W54))</f>
        <v/>
      </c>
      <c r="Z54">
        <f>IF(OR(W54="",$B$10=0),0,SUMIFS(DATA_WSF!$L:$L,DATA_WSF!$A:$A,$B$10-7,DATA_WSF!$C:$C,W54))</f>
        <v/>
      </c>
      <c r="AA54">
        <f>IF(X54=0,0,SUMIFS(DATA_WSF!$E:$E,DATA_WSF!$A:$A,$B$10,DATA_WSF!$C:$C,W54))</f>
        <v/>
      </c>
      <c r="AB54">
        <f>IF(X54=0,0,SUMIFS(DATA_WSF!$F:$F,DATA_WSF!$A:$A,$B$10,DATA_WSF!$C:$C,W54))</f>
        <v/>
      </c>
      <c r="AC54">
        <f>IF(AA54=0,"",AB54/AA54)</f>
        <v/>
      </c>
      <c r="AD54">
        <f>IF(OR(X54=0,Z54=0),"",Y54/Z54-1)</f>
        <v/>
      </c>
      <c r="AE54">
        <f>IF(X54=0,"",Y54+ROW()/1000000)</f>
        <v/>
      </c>
      <c r="AF54">
        <f>IF(AC54="","",AC54+ROW()/1000000000)</f>
        <v/>
      </c>
      <c r="AG54">
        <f>IF(AD54="","",AD54+ROW()/1000000000)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  <c r="W55">
        <f>IFERROR(INDEX(MASTER_AREAS!$B:$B,54)&amp;"","")</f>
        <v/>
      </c>
      <c r="X55">
        <f>IF(OR(W55="",$B$10=0),0,COUNTIFS(DATA_WSF!$A:$A,$B$10,DATA_WSF!$C:$C,W55))</f>
        <v/>
      </c>
      <c r="Y55">
        <f>IF(X55=0,0,SUMIFS(DATA_WSF!$L:$L,DATA_WSF!$A:$A,$B$10,DATA_WSF!$C:$C,W55))</f>
        <v/>
      </c>
      <c r="Z55">
        <f>IF(OR(W55="",$B$10=0),0,SUMIFS(DATA_WSF!$L:$L,DATA_WSF!$A:$A,$B$10-7,DATA_WSF!$C:$C,W55))</f>
        <v/>
      </c>
      <c r="AA55">
        <f>IF(X55=0,0,SUMIFS(DATA_WSF!$E:$E,DATA_WSF!$A:$A,$B$10,DATA_WSF!$C:$C,W55))</f>
        <v/>
      </c>
      <c r="AB55">
        <f>IF(X55=0,0,SUMIFS(DATA_WSF!$F:$F,DATA_WSF!$A:$A,$B$10,DATA_WSF!$C:$C,W55))</f>
        <v/>
      </c>
      <c r="AC55">
        <f>IF(AA55=0,"",AB55/AA55)</f>
        <v/>
      </c>
      <c r="AD55">
        <f>IF(OR(X55=0,Z55=0),"",Y55/Z55-1)</f>
        <v/>
      </c>
      <c r="AE55">
        <f>IF(X55=0,"",Y55+ROW()/1000000)</f>
        <v/>
      </c>
      <c r="AF55">
        <f>IF(AC55="","",AC55+ROW()/1000000000)</f>
        <v/>
      </c>
      <c r="AG55">
        <f>IF(AD55="","",AD55+ROW()/1000000000)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  <c r="W56">
        <f>IFERROR(INDEX(MASTER_AREAS!$B:$B,55)&amp;"","")</f>
        <v/>
      </c>
      <c r="X56">
        <f>IF(OR(W56="",$B$10=0),0,COUNTIFS(DATA_WSF!$A:$A,$B$10,DATA_WSF!$C:$C,W56))</f>
        <v/>
      </c>
      <c r="Y56">
        <f>IF(X56=0,0,SUMIFS(DATA_WSF!$L:$L,DATA_WSF!$A:$A,$B$10,DATA_WSF!$C:$C,W56))</f>
        <v/>
      </c>
      <c r="Z56">
        <f>IF(OR(W56="",$B$10=0),0,SUMIFS(DATA_WSF!$L:$L,DATA_WSF!$A:$A,$B$10-7,DATA_WSF!$C:$C,W56))</f>
        <v/>
      </c>
      <c r="AA56">
        <f>IF(X56=0,0,SUMIFS(DATA_WSF!$E:$E,DATA_WSF!$A:$A,$B$10,DATA_WSF!$C:$C,W56))</f>
        <v/>
      </c>
      <c r="AB56">
        <f>IF(X56=0,0,SUMIFS(DATA_WSF!$F:$F,DATA_WSF!$A:$A,$B$10,DATA_WSF!$C:$C,W56))</f>
        <v/>
      </c>
      <c r="AC56">
        <f>IF(AA56=0,"",AB56/AA56)</f>
        <v/>
      </c>
      <c r="AD56">
        <f>IF(OR(X56=0,Z56=0),"",Y56/Z56-1)</f>
        <v/>
      </c>
      <c r="AE56">
        <f>IF(X56=0,"",Y56+ROW()/1000000)</f>
        <v/>
      </c>
      <c r="AF56">
        <f>IF(AC56="","",AC56+ROW()/1000000000)</f>
        <v/>
      </c>
      <c r="AG56">
        <f>IF(AD56="","",AD56+ROW()/1000000000)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  <c r="W57">
        <f>IFERROR(INDEX(MASTER_AREAS!$B:$B,56)&amp;"","")</f>
        <v/>
      </c>
      <c r="X57">
        <f>IF(OR(W57="",$B$10=0),0,COUNTIFS(DATA_WSF!$A:$A,$B$10,DATA_WSF!$C:$C,W57))</f>
        <v/>
      </c>
      <c r="Y57">
        <f>IF(X57=0,0,SUMIFS(DATA_WSF!$L:$L,DATA_WSF!$A:$A,$B$10,DATA_WSF!$C:$C,W57))</f>
        <v/>
      </c>
      <c r="Z57">
        <f>IF(OR(W57="",$B$10=0),0,SUMIFS(DATA_WSF!$L:$L,DATA_WSF!$A:$A,$B$10-7,DATA_WSF!$C:$C,W57))</f>
        <v/>
      </c>
      <c r="AA57">
        <f>IF(X57=0,0,SUMIFS(DATA_WSF!$E:$E,DATA_WSF!$A:$A,$B$10,DATA_WSF!$C:$C,W57))</f>
        <v/>
      </c>
      <c r="AB57">
        <f>IF(X57=0,0,SUMIFS(DATA_WSF!$F:$F,DATA_WSF!$A:$A,$B$10,DATA_WSF!$C:$C,W57))</f>
        <v/>
      </c>
      <c r="AC57">
        <f>IF(AA57=0,"",AB57/AA57)</f>
        <v/>
      </c>
      <c r="AD57">
        <f>IF(OR(X57=0,Z57=0),"",Y57/Z57-1)</f>
        <v/>
      </c>
      <c r="AE57">
        <f>IF(X57=0,"",Y57+ROW()/1000000)</f>
        <v/>
      </c>
      <c r="AF57">
        <f>IF(AC57="","",AC57+ROW()/1000000000)</f>
        <v/>
      </c>
      <c r="AG57">
        <f>IF(AD57="","",AD57+ROW()/1000000000)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  <c r="W58">
        <f>IFERROR(INDEX(MASTER_AREAS!$B:$B,57)&amp;"","")</f>
        <v/>
      </c>
      <c r="X58">
        <f>IF(OR(W58="",$B$10=0),0,COUNTIFS(DATA_WSF!$A:$A,$B$10,DATA_WSF!$C:$C,W58))</f>
        <v/>
      </c>
      <c r="Y58">
        <f>IF(X58=0,0,SUMIFS(DATA_WSF!$L:$L,DATA_WSF!$A:$A,$B$10,DATA_WSF!$C:$C,W58))</f>
        <v/>
      </c>
      <c r="Z58">
        <f>IF(OR(W58="",$B$10=0),0,SUMIFS(DATA_WSF!$L:$L,DATA_WSF!$A:$A,$B$10-7,DATA_WSF!$C:$C,W58))</f>
        <v/>
      </c>
      <c r="AA58">
        <f>IF(X58=0,0,SUMIFS(DATA_WSF!$E:$E,DATA_WSF!$A:$A,$B$10,DATA_WSF!$C:$C,W58))</f>
        <v/>
      </c>
      <c r="AB58">
        <f>IF(X58=0,0,SUMIFS(DATA_WSF!$F:$F,DATA_WSF!$A:$A,$B$10,DATA_WSF!$C:$C,W58))</f>
        <v/>
      </c>
      <c r="AC58">
        <f>IF(AA58=0,"",AB58/AA58)</f>
        <v/>
      </c>
      <c r="AD58">
        <f>IF(OR(X58=0,Z58=0),"",Y58/Z58-1)</f>
        <v/>
      </c>
      <c r="AE58">
        <f>IF(X58=0,"",Y58+ROW()/1000000)</f>
        <v/>
      </c>
      <c r="AF58">
        <f>IF(AC58="","",AC58+ROW()/1000000000)</f>
        <v/>
      </c>
      <c r="AG58">
        <f>IF(AD58="","",AD58+ROW()/1000000000)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  <c r="W59">
        <f>IFERROR(INDEX(MASTER_AREAS!$B:$B,58)&amp;"","")</f>
        <v/>
      </c>
      <c r="X59">
        <f>IF(OR(W59="",$B$10=0),0,COUNTIFS(DATA_WSF!$A:$A,$B$10,DATA_WSF!$C:$C,W59))</f>
        <v/>
      </c>
      <c r="Y59">
        <f>IF(X59=0,0,SUMIFS(DATA_WSF!$L:$L,DATA_WSF!$A:$A,$B$10,DATA_WSF!$C:$C,W59))</f>
        <v/>
      </c>
      <c r="Z59">
        <f>IF(OR(W59="",$B$10=0),0,SUMIFS(DATA_WSF!$L:$L,DATA_WSF!$A:$A,$B$10-7,DATA_WSF!$C:$C,W59))</f>
        <v/>
      </c>
      <c r="AA59">
        <f>IF(X59=0,0,SUMIFS(DATA_WSF!$E:$E,DATA_WSF!$A:$A,$B$10,DATA_WSF!$C:$C,W59))</f>
        <v/>
      </c>
      <c r="AB59">
        <f>IF(X59=0,0,SUMIFS(DATA_WSF!$F:$F,DATA_WSF!$A:$A,$B$10,DATA_WSF!$C:$C,W59))</f>
        <v/>
      </c>
      <c r="AC59">
        <f>IF(AA59=0,"",AB59/AA59)</f>
        <v/>
      </c>
      <c r="AD59">
        <f>IF(OR(X59=0,Z59=0),"",Y59/Z59-1)</f>
        <v/>
      </c>
      <c r="AE59">
        <f>IF(X59=0,"",Y59+ROW()/1000000)</f>
        <v/>
      </c>
      <c r="AF59">
        <f>IF(AC59="","",AC59+ROW()/1000000000)</f>
        <v/>
      </c>
      <c r="AG59">
        <f>IF(AD59="","",AD59+ROW()/1000000000)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  <c r="W60">
        <f>IFERROR(INDEX(MASTER_AREAS!$B:$B,59)&amp;"","")</f>
        <v/>
      </c>
      <c r="X60">
        <f>IF(OR(W60="",$B$10=0),0,COUNTIFS(DATA_WSF!$A:$A,$B$10,DATA_WSF!$C:$C,W60))</f>
        <v/>
      </c>
      <c r="Y60">
        <f>IF(X60=0,0,SUMIFS(DATA_WSF!$L:$L,DATA_WSF!$A:$A,$B$10,DATA_WSF!$C:$C,W60))</f>
        <v/>
      </c>
      <c r="Z60">
        <f>IF(OR(W60="",$B$10=0),0,SUMIFS(DATA_WSF!$L:$L,DATA_WSF!$A:$A,$B$10-7,DATA_WSF!$C:$C,W60))</f>
        <v/>
      </c>
      <c r="AA60">
        <f>IF(X60=0,0,SUMIFS(DATA_WSF!$E:$E,DATA_WSF!$A:$A,$B$10,DATA_WSF!$C:$C,W60))</f>
        <v/>
      </c>
      <c r="AB60">
        <f>IF(X60=0,0,SUMIFS(DATA_WSF!$F:$F,DATA_WSF!$A:$A,$B$10,DATA_WSF!$C:$C,W60))</f>
        <v/>
      </c>
      <c r="AC60">
        <f>IF(AA60=0,"",AB60/AA60)</f>
        <v/>
      </c>
      <c r="AD60">
        <f>IF(OR(X60=0,Z60=0),"",Y60/Z60-1)</f>
        <v/>
      </c>
      <c r="AE60">
        <f>IF(X60=0,"",Y60+ROW()/1000000)</f>
        <v/>
      </c>
      <c r="AF60">
        <f>IF(AC60="","",AC60+ROW()/1000000000)</f>
        <v/>
      </c>
      <c r="AG60">
        <f>IF(AD60="","",AD60+ROW()/1000000000)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  <c r="W61">
        <f>IFERROR(INDEX(MASTER_AREAS!$B:$B,60)&amp;"","")</f>
        <v/>
      </c>
      <c r="X61">
        <f>IF(OR(W61="",$B$10=0),0,COUNTIFS(DATA_WSF!$A:$A,$B$10,DATA_WSF!$C:$C,W61))</f>
        <v/>
      </c>
      <c r="Y61">
        <f>IF(X61=0,0,SUMIFS(DATA_WSF!$L:$L,DATA_WSF!$A:$A,$B$10,DATA_WSF!$C:$C,W61))</f>
        <v/>
      </c>
      <c r="Z61">
        <f>IF(OR(W61="",$B$10=0),0,SUMIFS(DATA_WSF!$L:$L,DATA_WSF!$A:$A,$B$10-7,DATA_WSF!$C:$C,W61))</f>
        <v/>
      </c>
      <c r="AA61">
        <f>IF(X61=0,0,SUMIFS(DATA_WSF!$E:$E,DATA_WSF!$A:$A,$B$10,DATA_WSF!$C:$C,W61))</f>
        <v/>
      </c>
      <c r="AB61">
        <f>IF(X61=0,0,SUMIFS(DATA_WSF!$F:$F,DATA_WSF!$A:$A,$B$10,DATA_WSF!$C:$C,W61))</f>
        <v/>
      </c>
      <c r="AC61">
        <f>IF(AA61=0,"",AB61/AA61)</f>
        <v/>
      </c>
      <c r="AD61">
        <f>IF(OR(X61=0,Z61=0),"",Y61/Z61-1)</f>
        <v/>
      </c>
      <c r="AE61">
        <f>IF(X61=0,"",Y61+ROW()/1000000)</f>
        <v/>
      </c>
      <c r="AF61">
        <f>IF(AC61="","",AC61+ROW()/1000000000)</f>
        <v/>
      </c>
      <c r="AG61">
        <f>IF(AD61="","",AD61+ROW()/1000000000)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  <c r="W62">
        <f>IFERROR(INDEX(MASTER_AREAS!$B:$B,61)&amp;"","")</f>
        <v/>
      </c>
      <c r="X62">
        <f>IF(OR(W62="",$B$10=0),0,COUNTIFS(DATA_WSF!$A:$A,$B$10,DATA_WSF!$C:$C,W62))</f>
        <v/>
      </c>
      <c r="Y62">
        <f>IF(X62=0,0,SUMIFS(DATA_WSF!$L:$L,DATA_WSF!$A:$A,$B$10,DATA_WSF!$C:$C,W62))</f>
        <v/>
      </c>
      <c r="Z62">
        <f>IF(OR(W62="",$B$10=0),0,SUMIFS(DATA_WSF!$L:$L,DATA_WSF!$A:$A,$B$10-7,DATA_WSF!$C:$C,W62))</f>
        <v/>
      </c>
      <c r="AA62">
        <f>IF(X62=0,0,SUMIFS(DATA_WSF!$E:$E,DATA_WSF!$A:$A,$B$10,DATA_WSF!$C:$C,W62))</f>
        <v/>
      </c>
      <c r="AB62">
        <f>IF(X62=0,0,SUMIFS(DATA_WSF!$F:$F,DATA_WSF!$A:$A,$B$10,DATA_WSF!$C:$C,W62))</f>
        <v/>
      </c>
      <c r="AC62">
        <f>IF(AA62=0,"",AB62/AA62)</f>
        <v/>
      </c>
      <c r="AD62">
        <f>IF(OR(X62=0,Z62=0),"",Y62/Z62-1)</f>
        <v/>
      </c>
      <c r="AE62">
        <f>IF(X62=0,"",Y62+ROW()/1000000)</f>
        <v/>
      </c>
      <c r="AF62">
        <f>IF(AC62="","",AC62+ROW()/1000000000)</f>
        <v/>
      </c>
      <c r="AG62">
        <f>IF(AD62="","",AD62+ROW()/1000000000)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  <c r="W63">
        <f>IFERROR(INDEX(MASTER_AREAS!$B:$B,62)&amp;"","")</f>
        <v/>
      </c>
      <c r="X63">
        <f>IF(OR(W63="",$B$10=0),0,COUNTIFS(DATA_WSF!$A:$A,$B$10,DATA_WSF!$C:$C,W63))</f>
        <v/>
      </c>
      <c r="Y63">
        <f>IF(X63=0,0,SUMIFS(DATA_WSF!$L:$L,DATA_WSF!$A:$A,$B$10,DATA_WSF!$C:$C,W63))</f>
        <v/>
      </c>
      <c r="Z63">
        <f>IF(OR(W63="",$B$10=0),0,SUMIFS(DATA_WSF!$L:$L,DATA_WSF!$A:$A,$B$10-7,DATA_WSF!$C:$C,W63))</f>
        <v/>
      </c>
      <c r="AA63">
        <f>IF(X63=0,0,SUMIFS(DATA_WSF!$E:$E,DATA_WSF!$A:$A,$B$10,DATA_WSF!$C:$C,W63))</f>
        <v/>
      </c>
      <c r="AB63">
        <f>IF(X63=0,0,SUMIFS(DATA_WSF!$F:$F,DATA_WSF!$A:$A,$B$10,DATA_WSF!$C:$C,W63))</f>
        <v/>
      </c>
      <c r="AC63">
        <f>IF(AA63=0,"",AB63/AA63)</f>
        <v/>
      </c>
      <c r="AD63">
        <f>IF(OR(X63=0,Z63=0),"",Y63/Z63-1)</f>
        <v/>
      </c>
      <c r="AE63">
        <f>IF(X63=0,"",Y63+ROW()/1000000)</f>
        <v/>
      </c>
      <c r="AF63">
        <f>IF(AC63="","",AC63+ROW()/1000000000)</f>
        <v/>
      </c>
      <c r="AG63">
        <f>IF(AD63="","",AD63+ROW()/1000000000)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  <c r="W64">
        <f>IFERROR(INDEX(MASTER_AREAS!$B:$B,63)&amp;"","")</f>
        <v/>
      </c>
      <c r="X64">
        <f>IF(OR(W64="",$B$10=0),0,COUNTIFS(DATA_WSF!$A:$A,$B$10,DATA_WSF!$C:$C,W64))</f>
        <v/>
      </c>
      <c r="Y64">
        <f>IF(X64=0,0,SUMIFS(DATA_WSF!$L:$L,DATA_WSF!$A:$A,$B$10,DATA_WSF!$C:$C,W64))</f>
        <v/>
      </c>
      <c r="Z64">
        <f>IF(OR(W64="",$B$10=0),0,SUMIFS(DATA_WSF!$L:$L,DATA_WSF!$A:$A,$B$10-7,DATA_WSF!$C:$C,W64))</f>
        <v/>
      </c>
      <c r="AA64">
        <f>IF(X64=0,0,SUMIFS(DATA_WSF!$E:$E,DATA_WSF!$A:$A,$B$10,DATA_WSF!$C:$C,W64))</f>
        <v/>
      </c>
      <c r="AB64">
        <f>IF(X64=0,0,SUMIFS(DATA_WSF!$F:$F,DATA_WSF!$A:$A,$B$10,DATA_WSF!$C:$C,W64))</f>
        <v/>
      </c>
      <c r="AC64">
        <f>IF(AA64=0,"",AB64/AA64)</f>
        <v/>
      </c>
      <c r="AD64">
        <f>IF(OR(X64=0,Z64=0),"",Y64/Z64-1)</f>
        <v/>
      </c>
      <c r="AE64">
        <f>IF(X64=0,"",Y64+ROW()/1000000)</f>
        <v/>
      </c>
      <c r="AF64">
        <f>IF(AC64="","",AC64+ROW()/1000000000)</f>
        <v/>
      </c>
      <c r="AG64">
        <f>IF(AD64="","",AD64+ROW()/1000000000)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  <c r="W65">
        <f>IFERROR(INDEX(MASTER_AREAS!$B:$B,64)&amp;"","")</f>
        <v/>
      </c>
      <c r="X65">
        <f>IF(OR(W65="",$B$10=0),0,COUNTIFS(DATA_WSF!$A:$A,$B$10,DATA_WSF!$C:$C,W65))</f>
        <v/>
      </c>
      <c r="Y65">
        <f>IF(X65=0,0,SUMIFS(DATA_WSF!$L:$L,DATA_WSF!$A:$A,$B$10,DATA_WSF!$C:$C,W65))</f>
        <v/>
      </c>
      <c r="Z65">
        <f>IF(OR(W65="",$B$10=0),0,SUMIFS(DATA_WSF!$L:$L,DATA_WSF!$A:$A,$B$10-7,DATA_WSF!$C:$C,W65))</f>
        <v/>
      </c>
      <c r="AA65">
        <f>IF(X65=0,0,SUMIFS(DATA_WSF!$E:$E,DATA_WSF!$A:$A,$B$10,DATA_WSF!$C:$C,W65))</f>
        <v/>
      </c>
      <c r="AB65">
        <f>IF(X65=0,0,SUMIFS(DATA_WSF!$F:$F,DATA_WSF!$A:$A,$B$10,DATA_WSF!$C:$C,W65))</f>
        <v/>
      </c>
      <c r="AC65">
        <f>IF(AA65=0,"",AB65/AA65)</f>
        <v/>
      </c>
      <c r="AD65">
        <f>IF(OR(X65=0,Z65=0),"",Y65/Z65-1)</f>
        <v/>
      </c>
      <c r="AE65">
        <f>IF(X65=0,"",Y65+ROW()/1000000)</f>
        <v/>
      </c>
      <c r="AF65">
        <f>IF(AC65="","",AC65+ROW()/1000000000)</f>
        <v/>
      </c>
      <c r="AG65">
        <f>IF(AD65="","",AD65+ROW()/1000000000)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  <c r="W66">
        <f>IFERROR(INDEX(MASTER_AREAS!$B:$B,65)&amp;"","")</f>
        <v/>
      </c>
      <c r="X66">
        <f>IF(OR(W66="",$B$10=0),0,COUNTIFS(DATA_WSF!$A:$A,$B$10,DATA_WSF!$C:$C,W66))</f>
        <v/>
      </c>
      <c r="Y66">
        <f>IF(X66=0,0,SUMIFS(DATA_WSF!$L:$L,DATA_WSF!$A:$A,$B$10,DATA_WSF!$C:$C,W66))</f>
        <v/>
      </c>
      <c r="Z66">
        <f>IF(OR(W66="",$B$10=0),0,SUMIFS(DATA_WSF!$L:$L,DATA_WSF!$A:$A,$B$10-7,DATA_WSF!$C:$C,W66))</f>
        <v/>
      </c>
      <c r="AA66">
        <f>IF(X66=0,0,SUMIFS(DATA_WSF!$E:$E,DATA_WSF!$A:$A,$B$10,DATA_WSF!$C:$C,W66))</f>
        <v/>
      </c>
      <c r="AB66">
        <f>IF(X66=0,0,SUMIFS(DATA_WSF!$F:$F,DATA_WSF!$A:$A,$B$10,DATA_WSF!$C:$C,W66))</f>
        <v/>
      </c>
      <c r="AC66">
        <f>IF(AA66=0,"",AB66/AA66)</f>
        <v/>
      </c>
      <c r="AD66">
        <f>IF(OR(X66=0,Z66=0),"",Y66/Z66-1)</f>
        <v/>
      </c>
      <c r="AE66">
        <f>IF(X66=0,"",Y66+ROW()/1000000)</f>
        <v/>
      </c>
      <c r="AF66">
        <f>IF(AC66="","",AC66+ROW()/1000000000)</f>
        <v/>
      </c>
      <c r="AG66">
        <f>IF(AD66="","",AD66+ROW()/1000000000)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  <c r="W67">
        <f>IFERROR(INDEX(MASTER_AREAS!$B:$B,66)&amp;"","")</f>
        <v/>
      </c>
      <c r="X67">
        <f>IF(OR(W67="",$B$10=0),0,COUNTIFS(DATA_WSF!$A:$A,$B$10,DATA_WSF!$C:$C,W67))</f>
        <v/>
      </c>
      <c r="Y67">
        <f>IF(X67=0,0,SUMIFS(DATA_WSF!$L:$L,DATA_WSF!$A:$A,$B$10,DATA_WSF!$C:$C,W67))</f>
        <v/>
      </c>
      <c r="Z67">
        <f>IF(OR(W67="",$B$10=0),0,SUMIFS(DATA_WSF!$L:$L,DATA_WSF!$A:$A,$B$10-7,DATA_WSF!$C:$C,W67))</f>
        <v/>
      </c>
      <c r="AA67">
        <f>IF(X67=0,0,SUMIFS(DATA_WSF!$E:$E,DATA_WSF!$A:$A,$B$10,DATA_WSF!$C:$C,W67))</f>
        <v/>
      </c>
      <c r="AB67">
        <f>IF(X67=0,0,SUMIFS(DATA_WSF!$F:$F,DATA_WSF!$A:$A,$B$10,DATA_WSF!$C:$C,W67))</f>
        <v/>
      </c>
      <c r="AC67">
        <f>IF(AA67=0,"",AB67/AA67)</f>
        <v/>
      </c>
      <c r="AD67">
        <f>IF(OR(X67=0,Z67=0),"",Y67/Z67-1)</f>
        <v/>
      </c>
      <c r="AE67">
        <f>IF(X67=0,"",Y67+ROW()/1000000)</f>
        <v/>
      </c>
      <c r="AF67">
        <f>IF(AC67="","",AC67+ROW()/1000000000)</f>
        <v/>
      </c>
      <c r="AG67">
        <f>IF(AD67="","",AD67+ROW()/1000000000)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  <c r="W68">
        <f>IFERROR(INDEX(MASTER_AREAS!$B:$B,67)&amp;"","")</f>
        <v/>
      </c>
      <c r="X68">
        <f>IF(OR(W68="",$B$10=0),0,COUNTIFS(DATA_WSF!$A:$A,$B$10,DATA_WSF!$C:$C,W68))</f>
        <v/>
      </c>
      <c r="Y68">
        <f>IF(X68=0,0,SUMIFS(DATA_WSF!$L:$L,DATA_WSF!$A:$A,$B$10,DATA_WSF!$C:$C,W68))</f>
        <v/>
      </c>
      <c r="Z68">
        <f>IF(OR(W68="",$B$10=0),0,SUMIFS(DATA_WSF!$L:$L,DATA_WSF!$A:$A,$B$10-7,DATA_WSF!$C:$C,W68))</f>
        <v/>
      </c>
      <c r="AA68">
        <f>IF(X68=0,0,SUMIFS(DATA_WSF!$E:$E,DATA_WSF!$A:$A,$B$10,DATA_WSF!$C:$C,W68))</f>
        <v/>
      </c>
      <c r="AB68">
        <f>IF(X68=0,0,SUMIFS(DATA_WSF!$F:$F,DATA_WSF!$A:$A,$B$10,DATA_WSF!$C:$C,W68))</f>
        <v/>
      </c>
      <c r="AC68">
        <f>IF(AA68=0,"",AB68/AA68)</f>
        <v/>
      </c>
      <c r="AD68">
        <f>IF(OR(X68=0,Z68=0),"",Y68/Z68-1)</f>
        <v/>
      </c>
      <c r="AE68">
        <f>IF(X68=0,"",Y68+ROW()/1000000)</f>
        <v/>
      </c>
      <c r="AF68">
        <f>IF(AC68="","",AC68+ROW()/1000000000)</f>
        <v/>
      </c>
      <c r="AG68">
        <f>IF(AD68="","",AD68+ROW()/1000000000)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  <c r="W69">
        <f>IFERROR(INDEX(MASTER_AREAS!$B:$B,68)&amp;"","")</f>
        <v/>
      </c>
      <c r="X69">
        <f>IF(OR(W69="",$B$10=0),0,COUNTIFS(DATA_WSF!$A:$A,$B$10,DATA_WSF!$C:$C,W69))</f>
        <v/>
      </c>
      <c r="Y69">
        <f>IF(X69=0,0,SUMIFS(DATA_WSF!$L:$L,DATA_WSF!$A:$A,$B$10,DATA_WSF!$C:$C,W69))</f>
        <v/>
      </c>
      <c r="Z69">
        <f>IF(OR(W69="",$B$10=0),0,SUMIFS(DATA_WSF!$L:$L,DATA_WSF!$A:$A,$B$10-7,DATA_WSF!$C:$C,W69))</f>
        <v/>
      </c>
      <c r="AA69">
        <f>IF(X69=0,0,SUMIFS(DATA_WSF!$E:$E,DATA_WSF!$A:$A,$B$10,DATA_WSF!$C:$C,W69))</f>
        <v/>
      </c>
      <c r="AB69">
        <f>IF(X69=0,0,SUMIFS(DATA_WSF!$F:$F,DATA_WSF!$A:$A,$B$10,DATA_WSF!$C:$C,W69))</f>
        <v/>
      </c>
      <c r="AC69">
        <f>IF(AA69=0,"",AB69/AA69)</f>
        <v/>
      </c>
      <c r="AD69">
        <f>IF(OR(X69=0,Z69=0),"",Y69/Z69-1)</f>
        <v/>
      </c>
      <c r="AE69">
        <f>IF(X69=0,"",Y69+ROW()/1000000)</f>
        <v/>
      </c>
      <c r="AF69">
        <f>IF(AC69="","",AC69+ROW()/1000000000)</f>
        <v/>
      </c>
      <c r="AG69">
        <f>IF(AD69="","",AD69+ROW()/1000000000)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  <c r="W70">
        <f>IFERROR(INDEX(MASTER_AREAS!$B:$B,69)&amp;"","")</f>
        <v/>
      </c>
      <c r="X70">
        <f>IF(OR(W70="",$B$10=0),0,COUNTIFS(DATA_WSF!$A:$A,$B$10,DATA_WSF!$C:$C,W70))</f>
        <v/>
      </c>
      <c r="Y70">
        <f>IF(X70=0,0,SUMIFS(DATA_WSF!$L:$L,DATA_WSF!$A:$A,$B$10,DATA_WSF!$C:$C,W70))</f>
        <v/>
      </c>
      <c r="Z70">
        <f>IF(OR(W70="",$B$10=0),0,SUMIFS(DATA_WSF!$L:$L,DATA_WSF!$A:$A,$B$10-7,DATA_WSF!$C:$C,W70))</f>
        <v/>
      </c>
      <c r="AA70">
        <f>IF(X70=0,0,SUMIFS(DATA_WSF!$E:$E,DATA_WSF!$A:$A,$B$10,DATA_WSF!$C:$C,W70))</f>
        <v/>
      </c>
      <c r="AB70">
        <f>IF(X70=0,0,SUMIFS(DATA_WSF!$F:$F,DATA_WSF!$A:$A,$B$10,DATA_WSF!$C:$C,W70))</f>
        <v/>
      </c>
      <c r="AC70">
        <f>IF(AA70=0,"",AB70/AA70)</f>
        <v/>
      </c>
      <c r="AD70">
        <f>IF(OR(X70=0,Z70=0),"",Y70/Z70-1)</f>
        <v/>
      </c>
      <c r="AE70">
        <f>IF(X70=0,"",Y70+ROW()/1000000)</f>
        <v/>
      </c>
      <c r="AF70">
        <f>IF(AC70="","",AC70+ROW()/1000000000)</f>
        <v/>
      </c>
      <c r="AG70">
        <f>IF(AD70="","",AD70+ROW()/1000000000)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  <c r="W71">
        <f>IFERROR(INDEX(MASTER_AREAS!$B:$B,70)&amp;"","")</f>
        <v/>
      </c>
      <c r="X71">
        <f>IF(OR(W71="",$B$10=0),0,COUNTIFS(DATA_WSF!$A:$A,$B$10,DATA_WSF!$C:$C,W71))</f>
        <v/>
      </c>
      <c r="Y71">
        <f>IF(X71=0,0,SUMIFS(DATA_WSF!$L:$L,DATA_WSF!$A:$A,$B$10,DATA_WSF!$C:$C,W71))</f>
        <v/>
      </c>
      <c r="Z71">
        <f>IF(OR(W71="",$B$10=0),0,SUMIFS(DATA_WSF!$L:$L,DATA_WSF!$A:$A,$B$10-7,DATA_WSF!$C:$C,W71))</f>
        <v/>
      </c>
      <c r="AA71">
        <f>IF(X71=0,0,SUMIFS(DATA_WSF!$E:$E,DATA_WSF!$A:$A,$B$10,DATA_WSF!$C:$C,W71))</f>
        <v/>
      </c>
      <c r="AB71">
        <f>IF(X71=0,0,SUMIFS(DATA_WSF!$F:$F,DATA_WSF!$A:$A,$B$10,DATA_WSF!$C:$C,W71))</f>
        <v/>
      </c>
      <c r="AC71">
        <f>IF(AA71=0,"",AB71/AA71)</f>
        <v/>
      </c>
      <c r="AD71">
        <f>IF(OR(X71=0,Z71=0),"",Y71/Z71-1)</f>
        <v/>
      </c>
      <c r="AE71">
        <f>IF(X71=0,"",Y71+ROW()/1000000)</f>
        <v/>
      </c>
      <c r="AF71">
        <f>IF(AC71="","",AC71+ROW()/1000000000)</f>
        <v/>
      </c>
      <c r="AG71">
        <f>IF(AD71="","",AD71+ROW()/1000000000)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  <c r="W72">
        <f>IFERROR(INDEX(MASTER_AREAS!$B:$B,71)&amp;"","")</f>
        <v/>
      </c>
      <c r="X72">
        <f>IF(OR(W72="",$B$10=0),0,COUNTIFS(DATA_WSF!$A:$A,$B$10,DATA_WSF!$C:$C,W72))</f>
        <v/>
      </c>
      <c r="Y72">
        <f>IF(X72=0,0,SUMIFS(DATA_WSF!$L:$L,DATA_WSF!$A:$A,$B$10,DATA_WSF!$C:$C,W72))</f>
        <v/>
      </c>
      <c r="Z72">
        <f>IF(OR(W72="",$B$10=0),0,SUMIFS(DATA_WSF!$L:$L,DATA_WSF!$A:$A,$B$10-7,DATA_WSF!$C:$C,W72))</f>
        <v/>
      </c>
      <c r="AA72">
        <f>IF(X72=0,0,SUMIFS(DATA_WSF!$E:$E,DATA_WSF!$A:$A,$B$10,DATA_WSF!$C:$C,W72))</f>
        <v/>
      </c>
      <c r="AB72">
        <f>IF(X72=0,0,SUMIFS(DATA_WSF!$F:$F,DATA_WSF!$A:$A,$B$10,DATA_WSF!$C:$C,W72))</f>
        <v/>
      </c>
      <c r="AC72">
        <f>IF(AA72=0,"",AB72/AA72)</f>
        <v/>
      </c>
      <c r="AD72">
        <f>IF(OR(X72=0,Z72=0),"",Y72/Z72-1)</f>
        <v/>
      </c>
      <c r="AE72">
        <f>IF(X72=0,"",Y72+ROW()/1000000)</f>
        <v/>
      </c>
      <c r="AF72">
        <f>IF(AC72="","",AC72+ROW()/1000000000)</f>
        <v/>
      </c>
      <c r="AG72">
        <f>IF(AD72="","",AD72+ROW()/1000000000)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  <c r="W73">
        <f>IFERROR(INDEX(MASTER_AREAS!$B:$B,72)&amp;"","")</f>
        <v/>
      </c>
      <c r="X73">
        <f>IF(OR(W73="",$B$10=0),0,COUNTIFS(DATA_WSF!$A:$A,$B$10,DATA_WSF!$C:$C,W73))</f>
        <v/>
      </c>
      <c r="Y73">
        <f>IF(X73=0,0,SUMIFS(DATA_WSF!$L:$L,DATA_WSF!$A:$A,$B$10,DATA_WSF!$C:$C,W73))</f>
        <v/>
      </c>
      <c r="Z73">
        <f>IF(OR(W73="",$B$10=0),0,SUMIFS(DATA_WSF!$L:$L,DATA_WSF!$A:$A,$B$10-7,DATA_WSF!$C:$C,W73))</f>
        <v/>
      </c>
      <c r="AA73">
        <f>IF(X73=0,0,SUMIFS(DATA_WSF!$E:$E,DATA_WSF!$A:$A,$B$10,DATA_WSF!$C:$C,W73))</f>
        <v/>
      </c>
      <c r="AB73">
        <f>IF(X73=0,0,SUMIFS(DATA_WSF!$F:$F,DATA_WSF!$A:$A,$B$10,DATA_WSF!$C:$C,W73))</f>
        <v/>
      </c>
      <c r="AC73">
        <f>IF(AA73=0,"",AB73/AA73)</f>
        <v/>
      </c>
      <c r="AD73">
        <f>IF(OR(X73=0,Z73=0),"",Y73/Z73-1)</f>
        <v/>
      </c>
      <c r="AE73">
        <f>IF(X73=0,"",Y73+ROW()/1000000)</f>
        <v/>
      </c>
      <c r="AF73">
        <f>IF(AC73="","",AC73+ROW()/1000000000)</f>
        <v/>
      </c>
      <c r="AG73">
        <f>IF(AD73="","",AD73+ROW()/1000000000)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  <c r="W74">
        <f>IFERROR(INDEX(MASTER_AREAS!$B:$B,73)&amp;"","")</f>
        <v/>
      </c>
      <c r="X74">
        <f>IF(OR(W74="",$B$10=0),0,COUNTIFS(DATA_WSF!$A:$A,$B$10,DATA_WSF!$C:$C,W74))</f>
        <v/>
      </c>
      <c r="Y74">
        <f>IF(X74=0,0,SUMIFS(DATA_WSF!$L:$L,DATA_WSF!$A:$A,$B$10,DATA_WSF!$C:$C,W74))</f>
        <v/>
      </c>
      <c r="Z74">
        <f>IF(OR(W74="",$B$10=0),0,SUMIFS(DATA_WSF!$L:$L,DATA_WSF!$A:$A,$B$10-7,DATA_WSF!$C:$C,W74))</f>
        <v/>
      </c>
      <c r="AA74">
        <f>IF(X74=0,0,SUMIFS(DATA_WSF!$E:$E,DATA_WSF!$A:$A,$B$10,DATA_WSF!$C:$C,W74))</f>
        <v/>
      </c>
      <c r="AB74">
        <f>IF(X74=0,0,SUMIFS(DATA_WSF!$F:$F,DATA_WSF!$A:$A,$B$10,DATA_WSF!$C:$C,W74))</f>
        <v/>
      </c>
      <c r="AC74">
        <f>IF(AA74=0,"",AB74/AA74)</f>
        <v/>
      </c>
      <c r="AD74">
        <f>IF(OR(X74=0,Z74=0),"",Y74/Z74-1)</f>
        <v/>
      </c>
      <c r="AE74">
        <f>IF(X74=0,"",Y74+ROW()/1000000)</f>
        <v/>
      </c>
      <c r="AF74">
        <f>IF(AC74="","",AC74+ROW()/1000000000)</f>
        <v/>
      </c>
      <c r="AG74">
        <f>IF(AD74="","",AD74+ROW()/1000000000)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  <c r="W75">
        <f>IFERROR(INDEX(MASTER_AREAS!$B:$B,74)&amp;"","")</f>
        <v/>
      </c>
      <c r="X75">
        <f>IF(OR(W75="",$B$10=0),0,COUNTIFS(DATA_WSF!$A:$A,$B$10,DATA_WSF!$C:$C,W75))</f>
        <v/>
      </c>
      <c r="Y75">
        <f>IF(X75=0,0,SUMIFS(DATA_WSF!$L:$L,DATA_WSF!$A:$A,$B$10,DATA_WSF!$C:$C,W75))</f>
        <v/>
      </c>
      <c r="Z75">
        <f>IF(OR(W75="",$B$10=0),0,SUMIFS(DATA_WSF!$L:$L,DATA_WSF!$A:$A,$B$10-7,DATA_WSF!$C:$C,W75))</f>
        <v/>
      </c>
      <c r="AA75">
        <f>IF(X75=0,0,SUMIFS(DATA_WSF!$E:$E,DATA_WSF!$A:$A,$B$10,DATA_WSF!$C:$C,W75))</f>
        <v/>
      </c>
      <c r="AB75">
        <f>IF(X75=0,0,SUMIFS(DATA_WSF!$F:$F,DATA_WSF!$A:$A,$B$10,DATA_WSF!$C:$C,W75))</f>
        <v/>
      </c>
      <c r="AC75">
        <f>IF(AA75=0,"",AB75/AA75)</f>
        <v/>
      </c>
      <c r="AD75">
        <f>IF(OR(X75=0,Z75=0),"",Y75/Z75-1)</f>
        <v/>
      </c>
      <c r="AE75">
        <f>IF(X75=0,"",Y75+ROW()/1000000)</f>
        <v/>
      </c>
      <c r="AF75">
        <f>IF(AC75="","",AC75+ROW()/1000000000)</f>
        <v/>
      </c>
      <c r="AG75">
        <f>IF(AD75="","",AD75+ROW()/1000000000)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  <c r="W76">
        <f>IFERROR(INDEX(MASTER_AREAS!$B:$B,75)&amp;"","")</f>
        <v/>
      </c>
      <c r="X76">
        <f>IF(OR(W76="",$B$10=0),0,COUNTIFS(DATA_WSF!$A:$A,$B$10,DATA_WSF!$C:$C,W76))</f>
        <v/>
      </c>
      <c r="Y76">
        <f>IF(X76=0,0,SUMIFS(DATA_WSF!$L:$L,DATA_WSF!$A:$A,$B$10,DATA_WSF!$C:$C,W76))</f>
        <v/>
      </c>
      <c r="Z76">
        <f>IF(OR(W76="",$B$10=0),0,SUMIFS(DATA_WSF!$L:$L,DATA_WSF!$A:$A,$B$10-7,DATA_WSF!$C:$C,W76))</f>
        <v/>
      </c>
      <c r="AA76">
        <f>IF(X76=0,0,SUMIFS(DATA_WSF!$E:$E,DATA_WSF!$A:$A,$B$10,DATA_WSF!$C:$C,W76))</f>
        <v/>
      </c>
      <c r="AB76">
        <f>IF(X76=0,0,SUMIFS(DATA_WSF!$F:$F,DATA_WSF!$A:$A,$B$10,DATA_WSF!$C:$C,W76))</f>
        <v/>
      </c>
      <c r="AC76">
        <f>IF(AA76=0,"",AB76/AA76)</f>
        <v/>
      </c>
      <c r="AD76">
        <f>IF(OR(X76=0,Z76=0),"",Y76/Z76-1)</f>
        <v/>
      </c>
      <c r="AE76">
        <f>IF(X76=0,"",Y76+ROW()/1000000)</f>
        <v/>
      </c>
      <c r="AF76">
        <f>IF(AC76="","",AC76+ROW()/1000000000)</f>
        <v/>
      </c>
      <c r="AG76">
        <f>IF(AD76="","",AD76+ROW()/1000000000)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  <c r="W77">
        <f>IFERROR(INDEX(MASTER_AREAS!$B:$B,76)&amp;"","")</f>
        <v/>
      </c>
      <c r="X77">
        <f>IF(OR(W77="",$B$10=0),0,COUNTIFS(DATA_WSF!$A:$A,$B$10,DATA_WSF!$C:$C,W77))</f>
        <v/>
      </c>
      <c r="Y77">
        <f>IF(X77=0,0,SUMIFS(DATA_WSF!$L:$L,DATA_WSF!$A:$A,$B$10,DATA_WSF!$C:$C,W77))</f>
        <v/>
      </c>
      <c r="Z77">
        <f>IF(OR(W77="",$B$10=0),0,SUMIFS(DATA_WSF!$L:$L,DATA_WSF!$A:$A,$B$10-7,DATA_WSF!$C:$C,W77))</f>
        <v/>
      </c>
      <c r="AA77">
        <f>IF(X77=0,0,SUMIFS(DATA_WSF!$E:$E,DATA_WSF!$A:$A,$B$10,DATA_WSF!$C:$C,W77))</f>
        <v/>
      </c>
      <c r="AB77">
        <f>IF(X77=0,0,SUMIFS(DATA_WSF!$F:$F,DATA_WSF!$A:$A,$B$10,DATA_WSF!$C:$C,W77))</f>
        <v/>
      </c>
      <c r="AC77">
        <f>IF(AA77=0,"",AB77/AA77)</f>
        <v/>
      </c>
      <c r="AD77">
        <f>IF(OR(X77=0,Z77=0),"",Y77/Z77-1)</f>
        <v/>
      </c>
      <c r="AE77">
        <f>IF(X77=0,"",Y77+ROW()/1000000)</f>
        <v/>
      </c>
      <c r="AF77">
        <f>IF(AC77="","",AC77+ROW()/1000000000)</f>
        <v/>
      </c>
      <c r="AG77">
        <f>IF(AD77="","",AD77+ROW()/1000000000)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  <c r="W78">
        <f>IFERROR(INDEX(MASTER_AREAS!$B:$B,77)&amp;"","")</f>
        <v/>
      </c>
      <c r="X78">
        <f>IF(OR(W78="",$B$10=0),0,COUNTIFS(DATA_WSF!$A:$A,$B$10,DATA_WSF!$C:$C,W78))</f>
        <v/>
      </c>
      <c r="Y78">
        <f>IF(X78=0,0,SUMIFS(DATA_WSF!$L:$L,DATA_WSF!$A:$A,$B$10,DATA_WSF!$C:$C,W78))</f>
        <v/>
      </c>
      <c r="Z78">
        <f>IF(OR(W78="",$B$10=0),0,SUMIFS(DATA_WSF!$L:$L,DATA_WSF!$A:$A,$B$10-7,DATA_WSF!$C:$C,W78))</f>
        <v/>
      </c>
      <c r="AA78">
        <f>IF(X78=0,0,SUMIFS(DATA_WSF!$E:$E,DATA_WSF!$A:$A,$B$10,DATA_WSF!$C:$C,W78))</f>
        <v/>
      </c>
      <c r="AB78">
        <f>IF(X78=0,0,SUMIFS(DATA_WSF!$F:$F,DATA_WSF!$A:$A,$B$10,DATA_WSF!$C:$C,W78))</f>
        <v/>
      </c>
      <c r="AC78">
        <f>IF(AA78=0,"",AB78/AA78)</f>
        <v/>
      </c>
      <c r="AD78">
        <f>IF(OR(X78=0,Z78=0),"",Y78/Z78-1)</f>
        <v/>
      </c>
      <c r="AE78">
        <f>IF(X78=0,"",Y78+ROW()/1000000)</f>
        <v/>
      </c>
      <c r="AF78">
        <f>IF(AC78="","",AC78+ROW()/1000000000)</f>
        <v/>
      </c>
      <c r="AG78">
        <f>IF(AD78="","",AD78+ROW()/1000000000)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  <c r="W79">
        <f>IFERROR(INDEX(MASTER_AREAS!$B:$B,78)&amp;"","")</f>
        <v/>
      </c>
      <c r="X79">
        <f>IF(OR(W79="",$B$10=0),0,COUNTIFS(DATA_WSF!$A:$A,$B$10,DATA_WSF!$C:$C,W79))</f>
        <v/>
      </c>
      <c r="Y79">
        <f>IF(X79=0,0,SUMIFS(DATA_WSF!$L:$L,DATA_WSF!$A:$A,$B$10,DATA_WSF!$C:$C,W79))</f>
        <v/>
      </c>
      <c r="Z79">
        <f>IF(OR(W79="",$B$10=0),0,SUMIFS(DATA_WSF!$L:$L,DATA_WSF!$A:$A,$B$10-7,DATA_WSF!$C:$C,W79))</f>
        <v/>
      </c>
      <c r="AA79">
        <f>IF(X79=0,0,SUMIFS(DATA_WSF!$E:$E,DATA_WSF!$A:$A,$B$10,DATA_WSF!$C:$C,W79))</f>
        <v/>
      </c>
      <c r="AB79">
        <f>IF(X79=0,0,SUMIFS(DATA_WSF!$F:$F,DATA_WSF!$A:$A,$B$10,DATA_WSF!$C:$C,W79))</f>
        <v/>
      </c>
      <c r="AC79">
        <f>IF(AA79=0,"",AB79/AA79)</f>
        <v/>
      </c>
      <c r="AD79">
        <f>IF(OR(X79=0,Z79=0),"",Y79/Z79-1)</f>
        <v/>
      </c>
      <c r="AE79">
        <f>IF(X79=0,"",Y79+ROW()/1000000)</f>
        <v/>
      </c>
      <c r="AF79">
        <f>IF(AC79="","",AC79+ROW()/1000000000)</f>
        <v/>
      </c>
      <c r="AG79">
        <f>IF(AD79="","",AD79+ROW()/1000000000)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  <c r="W80">
        <f>IFERROR(INDEX(MASTER_AREAS!$B:$B,79)&amp;"","")</f>
        <v/>
      </c>
      <c r="X80">
        <f>IF(OR(W80="",$B$10=0),0,COUNTIFS(DATA_WSF!$A:$A,$B$10,DATA_WSF!$C:$C,W80))</f>
        <v/>
      </c>
      <c r="Y80">
        <f>IF(X80=0,0,SUMIFS(DATA_WSF!$L:$L,DATA_WSF!$A:$A,$B$10,DATA_WSF!$C:$C,W80))</f>
        <v/>
      </c>
      <c r="Z80">
        <f>IF(OR(W80="",$B$10=0),0,SUMIFS(DATA_WSF!$L:$L,DATA_WSF!$A:$A,$B$10-7,DATA_WSF!$C:$C,W80))</f>
        <v/>
      </c>
      <c r="AA80">
        <f>IF(X80=0,0,SUMIFS(DATA_WSF!$E:$E,DATA_WSF!$A:$A,$B$10,DATA_WSF!$C:$C,W80))</f>
        <v/>
      </c>
      <c r="AB80">
        <f>IF(X80=0,0,SUMIFS(DATA_WSF!$F:$F,DATA_WSF!$A:$A,$B$10,DATA_WSF!$C:$C,W80))</f>
        <v/>
      </c>
      <c r="AC80">
        <f>IF(AA80=0,"",AB80/AA80)</f>
        <v/>
      </c>
      <c r="AD80">
        <f>IF(OR(X80=0,Z80=0),"",Y80/Z80-1)</f>
        <v/>
      </c>
      <c r="AE80">
        <f>IF(X80=0,"",Y80+ROW()/1000000)</f>
        <v/>
      </c>
      <c r="AF80">
        <f>IF(AC80="","",AC80+ROW()/1000000000)</f>
        <v/>
      </c>
      <c r="AG80">
        <f>IF(AD80="","",AD80+ROW()/1000000000)</f>
        <v/>
      </c>
    </row>
    <row r="81">
      <c r="W81">
        <f>IFERROR(INDEX(MASTER_AREAS!$B:$B,80)&amp;"","")</f>
        <v/>
      </c>
      <c r="X81">
        <f>IF(OR(W81="",$B$10=0),0,COUNTIFS(DATA_WSF!$A:$A,$B$10,DATA_WSF!$C:$C,W81))</f>
        <v/>
      </c>
      <c r="Y81">
        <f>IF(X81=0,0,SUMIFS(DATA_WSF!$L:$L,DATA_WSF!$A:$A,$B$10,DATA_WSF!$C:$C,W81))</f>
        <v/>
      </c>
      <c r="Z81">
        <f>IF(OR(W81="",$B$10=0),0,SUMIFS(DATA_WSF!$L:$L,DATA_WSF!$A:$A,$B$10-7,DATA_WSF!$C:$C,W81))</f>
        <v/>
      </c>
      <c r="AA81">
        <f>IF(X81=0,0,SUMIFS(DATA_WSF!$E:$E,DATA_WSF!$A:$A,$B$10,DATA_WSF!$C:$C,W81))</f>
        <v/>
      </c>
      <c r="AB81">
        <f>IF(X81=0,0,SUMIFS(DATA_WSF!$F:$F,DATA_WSF!$A:$A,$B$10,DATA_WSF!$C:$C,W81))</f>
        <v/>
      </c>
      <c r="AC81">
        <f>IF(AA81=0,"",AB81/AA81)</f>
        <v/>
      </c>
      <c r="AD81">
        <f>IF(OR(X81=0,Z81=0),"",Y81/Z81-1)</f>
        <v/>
      </c>
      <c r="AE81">
        <f>IF(X81=0,"",Y81+ROW()/1000000)</f>
        <v/>
      </c>
      <c r="AF81">
        <f>IF(AC81="","",AC81+ROW()/1000000000)</f>
        <v/>
      </c>
      <c r="AG81">
        <f>IF(AD81="","",AD81+ROW()/1000000000)</f>
        <v/>
      </c>
    </row>
    <row r="82">
      <c r="W82">
        <f>IFERROR(INDEX(MASTER_AREAS!$B:$B,81)&amp;"","")</f>
        <v/>
      </c>
      <c r="X82">
        <f>IF(OR(W82="",$B$10=0),0,COUNTIFS(DATA_WSF!$A:$A,$B$10,DATA_WSF!$C:$C,W82))</f>
        <v/>
      </c>
      <c r="Y82">
        <f>IF(X82=0,0,SUMIFS(DATA_WSF!$L:$L,DATA_WSF!$A:$A,$B$10,DATA_WSF!$C:$C,W82))</f>
        <v/>
      </c>
      <c r="Z82">
        <f>IF(OR(W82="",$B$10=0),0,SUMIFS(DATA_WSF!$L:$L,DATA_WSF!$A:$A,$B$10-7,DATA_WSF!$C:$C,W82))</f>
        <v/>
      </c>
      <c r="AA82">
        <f>IF(X82=0,0,SUMIFS(DATA_WSF!$E:$E,DATA_WSF!$A:$A,$B$10,DATA_WSF!$C:$C,W82))</f>
        <v/>
      </c>
      <c r="AB82">
        <f>IF(X82=0,0,SUMIFS(DATA_WSF!$F:$F,DATA_WSF!$A:$A,$B$10,DATA_WSF!$C:$C,W82))</f>
        <v/>
      </c>
      <c r="AC82">
        <f>IF(AA82=0,"",AB82/AA82)</f>
        <v/>
      </c>
      <c r="AD82">
        <f>IF(OR(X82=0,Z82=0),"",Y82/Z82-1)</f>
        <v/>
      </c>
      <c r="AE82">
        <f>IF(X82=0,"",Y82+ROW()/1000000)</f>
        <v/>
      </c>
      <c r="AF82">
        <f>IF(AC82="","",AC82+ROW()/1000000000)</f>
        <v/>
      </c>
      <c r="AG82">
        <f>IF(AD82="","",AD82+ROW()/1000000000)</f>
        <v/>
      </c>
    </row>
    <row r="83">
      <c r="W83">
        <f>IFERROR(INDEX(MASTER_AREAS!$B:$B,82)&amp;"","")</f>
        <v/>
      </c>
      <c r="X83">
        <f>IF(OR(W83="",$B$10=0),0,COUNTIFS(DATA_WSF!$A:$A,$B$10,DATA_WSF!$C:$C,W83))</f>
        <v/>
      </c>
      <c r="Y83">
        <f>IF(X83=0,0,SUMIFS(DATA_WSF!$L:$L,DATA_WSF!$A:$A,$B$10,DATA_WSF!$C:$C,W83))</f>
        <v/>
      </c>
      <c r="Z83">
        <f>IF(OR(W83="",$B$10=0),0,SUMIFS(DATA_WSF!$L:$L,DATA_WSF!$A:$A,$B$10-7,DATA_WSF!$C:$C,W83))</f>
        <v/>
      </c>
      <c r="AA83">
        <f>IF(X83=0,0,SUMIFS(DATA_WSF!$E:$E,DATA_WSF!$A:$A,$B$10,DATA_WSF!$C:$C,W83))</f>
        <v/>
      </c>
      <c r="AB83">
        <f>IF(X83=0,0,SUMIFS(DATA_WSF!$F:$F,DATA_WSF!$A:$A,$B$10,DATA_WSF!$C:$C,W83))</f>
        <v/>
      </c>
      <c r="AC83">
        <f>IF(AA83=0,"",AB83/AA83)</f>
        <v/>
      </c>
      <c r="AD83">
        <f>IF(OR(X83=0,Z83=0),"",Y83/Z83-1)</f>
        <v/>
      </c>
      <c r="AE83">
        <f>IF(X83=0,"",Y83+ROW()/1000000)</f>
        <v/>
      </c>
      <c r="AF83">
        <f>IF(AC83="","",AC83+ROW()/1000000000)</f>
        <v/>
      </c>
      <c r="AG83">
        <f>IF(AD83="","",AD83+ROW()/1000000000)</f>
        <v/>
      </c>
    </row>
    <row r="84">
      <c r="W84">
        <f>IFERROR(INDEX(MASTER_AREAS!$B:$B,83)&amp;"","")</f>
        <v/>
      </c>
      <c r="X84">
        <f>IF(OR(W84="",$B$10=0),0,COUNTIFS(DATA_WSF!$A:$A,$B$10,DATA_WSF!$C:$C,W84))</f>
        <v/>
      </c>
      <c r="Y84">
        <f>IF(X84=0,0,SUMIFS(DATA_WSF!$L:$L,DATA_WSF!$A:$A,$B$10,DATA_WSF!$C:$C,W84))</f>
        <v/>
      </c>
      <c r="Z84">
        <f>IF(OR(W84="",$B$10=0),0,SUMIFS(DATA_WSF!$L:$L,DATA_WSF!$A:$A,$B$10-7,DATA_WSF!$C:$C,W84))</f>
        <v/>
      </c>
      <c r="AA84">
        <f>IF(X84=0,0,SUMIFS(DATA_WSF!$E:$E,DATA_WSF!$A:$A,$B$10,DATA_WSF!$C:$C,W84))</f>
        <v/>
      </c>
      <c r="AB84">
        <f>IF(X84=0,0,SUMIFS(DATA_WSF!$F:$F,DATA_WSF!$A:$A,$B$10,DATA_WSF!$C:$C,W84))</f>
        <v/>
      </c>
      <c r="AC84">
        <f>IF(AA84=0,"",AB84/AA84)</f>
        <v/>
      </c>
      <c r="AD84">
        <f>IF(OR(X84=0,Z84=0),"",Y84/Z84-1)</f>
        <v/>
      </c>
      <c r="AE84">
        <f>IF(X84=0,"",Y84+ROW()/1000000)</f>
        <v/>
      </c>
      <c r="AF84">
        <f>IF(AC84="","",AC84+ROW()/1000000000)</f>
        <v/>
      </c>
      <c r="AG84">
        <f>IF(AD84="","",AD84+ROW()/1000000000)</f>
        <v/>
      </c>
    </row>
    <row r="85">
      <c r="W85">
        <f>IFERROR(INDEX(MASTER_AREAS!$B:$B,84)&amp;"","")</f>
        <v/>
      </c>
      <c r="X85">
        <f>IF(OR(W85="",$B$10=0),0,COUNTIFS(DATA_WSF!$A:$A,$B$10,DATA_WSF!$C:$C,W85))</f>
        <v/>
      </c>
      <c r="Y85">
        <f>IF(X85=0,0,SUMIFS(DATA_WSF!$L:$L,DATA_WSF!$A:$A,$B$10,DATA_WSF!$C:$C,W85))</f>
        <v/>
      </c>
      <c r="Z85">
        <f>IF(OR(W85="",$B$10=0),0,SUMIFS(DATA_WSF!$L:$L,DATA_WSF!$A:$A,$B$10-7,DATA_WSF!$C:$C,W85))</f>
        <v/>
      </c>
      <c r="AA85">
        <f>IF(X85=0,0,SUMIFS(DATA_WSF!$E:$E,DATA_WSF!$A:$A,$B$10,DATA_WSF!$C:$C,W85))</f>
        <v/>
      </c>
      <c r="AB85">
        <f>IF(X85=0,0,SUMIFS(DATA_WSF!$F:$F,DATA_WSF!$A:$A,$B$10,DATA_WSF!$C:$C,W85))</f>
        <v/>
      </c>
      <c r="AC85">
        <f>IF(AA85=0,"",AB85/AA85)</f>
        <v/>
      </c>
      <c r="AD85">
        <f>IF(OR(X85=0,Z85=0),"",Y85/Z85-1)</f>
        <v/>
      </c>
      <c r="AE85">
        <f>IF(X85=0,"",Y85+ROW()/1000000)</f>
        <v/>
      </c>
      <c r="AF85">
        <f>IF(AC85="","",AC85+ROW()/1000000000)</f>
        <v/>
      </c>
      <c r="AG85">
        <f>IF(AD85="","",AD85+ROW()/1000000000)</f>
        <v/>
      </c>
    </row>
    <row r="86">
      <c r="W86">
        <f>IFERROR(INDEX(MASTER_AREAS!$B:$B,85)&amp;"","")</f>
        <v/>
      </c>
      <c r="X86">
        <f>IF(OR(W86="",$B$10=0),0,COUNTIFS(DATA_WSF!$A:$A,$B$10,DATA_WSF!$C:$C,W86))</f>
        <v/>
      </c>
      <c r="Y86">
        <f>IF(X86=0,0,SUMIFS(DATA_WSF!$L:$L,DATA_WSF!$A:$A,$B$10,DATA_WSF!$C:$C,W86))</f>
        <v/>
      </c>
      <c r="Z86">
        <f>IF(OR(W86="",$B$10=0),0,SUMIFS(DATA_WSF!$L:$L,DATA_WSF!$A:$A,$B$10-7,DATA_WSF!$C:$C,W86))</f>
        <v/>
      </c>
      <c r="AA86">
        <f>IF(X86=0,0,SUMIFS(DATA_WSF!$E:$E,DATA_WSF!$A:$A,$B$10,DATA_WSF!$C:$C,W86))</f>
        <v/>
      </c>
      <c r="AB86">
        <f>IF(X86=0,0,SUMIFS(DATA_WSF!$F:$F,DATA_WSF!$A:$A,$B$10,DATA_WSF!$C:$C,W86))</f>
        <v/>
      </c>
      <c r="AC86">
        <f>IF(AA86=0,"",AB86/AA86)</f>
        <v/>
      </c>
      <c r="AD86">
        <f>IF(OR(X86=0,Z86=0),"",Y86/Z86-1)</f>
        <v/>
      </c>
      <c r="AE86">
        <f>IF(X86=0,"",Y86+ROW()/1000000)</f>
        <v/>
      </c>
      <c r="AF86">
        <f>IF(AC86="","",AC86+ROW()/1000000000)</f>
        <v/>
      </c>
      <c r="AG86">
        <f>IF(AD86="","",AD86+ROW()/1000000000)</f>
        <v/>
      </c>
    </row>
    <row r="87">
      <c r="W87">
        <f>IFERROR(INDEX(MASTER_AREAS!$B:$B,86)&amp;"","")</f>
        <v/>
      </c>
      <c r="X87">
        <f>IF(OR(W87="",$B$10=0),0,COUNTIFS(DATA_WSF!$A:$A,$B$10,DATA_WSF!$C:$C,W87))</f>
        <v/>
      </c>
      <c r="Y87">
        <f>IF(X87=0,0,SUMIFS(DATA_WSF!$L:$L,DATA_WSF!$A:$A,$B$10,DATA_WSF!$C:$C,W87))</f>
        <v/>
      </c>
      <c r="Z87">
        <f>IF(OR(W87="",$B$10=0),0,SUMIFS(DATA_WSF!$L:$L,DATA_WSF!$A:$A,$B$10-7,DATA_WSF!$C:$C,W87))</f>
        <v/>
      </c>
      <c r="AA87">
        <f>IF(X87=0,0,SUMIFS(DATA_WSF!$E:$E,DATA_WSF!$A:$A,$B$10,DATA_WSF!$C:$C,W87))</f>
        <v/>
      </c>
      <c r="AB87">
        <f>IF(X87=0,0,SUMIFS(DATA_WSF!$F:$F,DATA_WSF!$A:$A,$B$10,DATA_WSF!$C:$C,W87))</f>
        <v/>
      </c>
      <c r="AC87">
        <f>IF(AA87=0,"",AB87/AA87)</f>
        <v/>
      </c>
      <c r="AD87">
        <f>IF(OR(X87=0,Z87=0),"",Y87/Z87-1)</f>
        <v/>
      </c>
      <c r="AE87">
        <f>IF(X87=0,"",Y87+ROW()/1000000)</f>
        <v/>
      </c>
      <c r="AF87">
        <f>IF(AC87="","",AC87+ROW()/1000000000)</f>
        <v/>
      </c>
      <c r="AG87">
        <f>IF(AD87="","",AD87+ROW()/1000000000)</f>
        <v/>
      </c>
    </row>
    <row r="88">
      <c r="W88">
        <f>IFERROR(INDEX(MASTER_AREAS!$B:$B,87)&amp;"","")</f>
        <v/>
      </c>
      <c r="X88">
        <f>IF(OR(W88="",$B$10=0),0,COUNTIFS(DATA_WSF!$A:$A,$B$10,DATA_WSF!$C:$C,W88))</f>
        <v/>
      </c>
      <c r="Y88">
        <f>IF(X88=0,0,SUMIFS(DATA_WSF!$L:$L,DATA_WSF!$A:$A,$B$10,DATA_WSF!$C:$C,W88))</f>
        <v/>
      </c>
      <c r="Z88">
        <f>IF(OR(W88="",$B$10=0),0,SUMIFS(DATA_WSF!$L:$L,DATA_WSF!$A:$A,$B$10-7,DATA_WSF!$C:$C,W88))</f>
        <v/>
      </c>
      <c r="AA88">
        <f>IF(X88=0,0,SUMIFS(DATA_WSF!$E:$E,DATA_WSF!$A:$A,$B$10,DATA_WSF!$C:$C,W88))</f>
        <v/>
      </c>
      <c r="AB88">
        <f>IF(X88=0,0,SUMIFS(DATA_WSF!$F:$F,DATA_WSF!$A:$A,$B$10,DATA_WSF!$C:$C,W88))</f>
        <v/>
      </c>
      <c r="AC88">
        <f>IF(AA88=0,"",AB88/AA88)</f>
        <v/>
      </c>
      <c r="AD88">
        <f>IF(OR(X88=0,Z88=0),"",Y88/Z88-1)</f>
        <v/>
      </c>
      <c r="AE88">
        <f>IF(X88=0,"",Y88+ROW()/1000000)</f>
        <v/>
      </c>
      <c r="AF88">
        <f>IF(AC88="","",AC88+ROW()/1000000000)</f>
        <v/>
      </c>
      <c r="AG88">
        <f>IF(AD88="","",AD88+ROW()/1000000000)</f>
        <v/>
      </c>
    </row>
    <row r="89">
      <c r="A89" s="201" t="inlineStr">
        <is>
          <t>KPI</t>
        </is>
      </c>
      <c r="B89" s="201" t="inlineStr">
        <is>
          <t>Selected week</t>
        </is>
      </c>
      <c r="C89" s="201" t="inlineStr">
        <is>
          <t>Previous week</t>
        </is>
      </c>
      <c r="D89" s="201" t="inlineStr">
        <is>
          <t>Change</t>
        </is>
      </c>
      <c r="E89" s="201" t="inlineStr">
        <is>
          <t>% change</t>
        </is>
      </c>
      <c r="F89" s="201" t="inlineStr">
        <is>
          <t>Avg last N wks</t>
        </is>
      </c>
      <c r="G89" s="201" t="inlineStr">
        <is>
          <t>vs N-wk avg</t>
        </is>
      </c>
      <c r="H89" s="201" t="inlineStr">
        <is>
          <t>MTD total</t>
        </is>
      </c>
      <c r="I89" s="201" t="inlineStr">
        <is>
          <t>QTD total</t>
        </is>
      </c>
      <c r="J89" s="201" t="inlineStr">
        <is>
          <t>YTD total</t>
        </is>
      </c>
      <c r="K89" s="201" t="inlineStr">
        <is>
          <t>Wkly avg (month)</t>
        </is>
      </c>
      <c r="L89" s="201" t="inlineStr">
        <is>
          <t>Wkly avg (qtr)</t>
        </is>
      </c>
      <c r="M89" s="201" t="inlineStr">
        <is>
          <t>Wkly avg (year)</t>
        </is>
      </c>
      <c r="W89">
        <f>IFERROR(INDEX(MASTER_AREAS!$B:$B,88)&amp;"","")</f>
        <v/>
      </c>
      <c r="X89">
        <f>IF(OR(W89="",$B$10=0),0,COUNTIFS(DATA_WSF!$A:$A,$B$10,DATA_WSF!$C:$C,W89))</f>
        <v/>
      </c>
      <c r="Y89">
        <f>IF(X89=0,0,SUMIFS(DATA_WSF!$L:$L,DATA_WSF!$A:$A,$B$10,DATA_WSF!$C:$C,W89))</f>
        <v/>
      </c>
      <c r="Z89">
        <f>IF(OR(W89="",$B$10=0),0,SUMIFS(DATA_WSF!$L:$L,DATA_WSF!$A:$A,$B$10-7,DATA_WSF!$C:$C,W89))</f>
        <v/>
      </c>
      <c r="AA89">
        <f>IF(X89=0,0,SUMIFS(DATA_WSF!$E:$E,DATA_WSF!$A:$A,$B$10,DATA_WSF!$C:$C,W89))</f>
        <v/>
      </c>
      <c r="AB89">
        <f>IF(X89=0,0,SUMIFS(DATA_WSF!$F:$F,DATA_WSF!$A:$A,$B$10,DATA_WSF!$C:$C,W89))</f>
        <v/>
      </c>
      <c r="AC89">
        <f>IF(AA89=0,"",AB89/AA89)</f>
        <v/>
      </c>
      <c r="AD89">
        <f>IF(OR(X89=0,Z89=0),"",Y89/Z89-1)</f>
        <v/>
      </c>
      <c r="AE89">
        <f>IF(X89=0,"",Y89+ROW()/1000000)</f>
        <v/>
      </c>
      <c r="AF89">
        <f>IF(AC89="","",AC89+ROW()/1000000000)</f>
        <v/>
      </c>
      <c r="AG89">
        <f>IF(AD89="","",AD89+ROW()/1000000000)</f>
        <v/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  <c r="W90">
        <f>IFERROR(INDEX(MASTER_AREAS!$B:$B,89)&amp;"","")</f>
        <v/>
      </c>
      <c r="X90">
        <f>IF(OR(W90="",$B$10=0),0,COUNTIFS(DATA_WSF!$A:$A,$B$10,DATA_WSF!$C:$C,W90))</f>
        <v/>
      </c>
      <c r="Y90">
        <f>IF(X90=0,0,SUMIFS(DATA_WSF!$L:$L,DATA_WSF!$A:$A,$B$10,DATA_WSF!$C:$C,W90))</f>
        <v/>
      </c>
      <c r="Z90">
        <f>IF(OR(W90="",$B$10=0),0,SUMIFS(DATA_WSF!$L:$L,DATA_WSF!$A:$A,$B$10-7,DATA_WSF!$C:$C,W90))</f>
        <v/>
      </c>
      <c r="AA90">
        <f>IF(X90=0,0,SUMIFS(DATA_WSF!$E:$E,DATA_WSF!$A:$A,$B$10,DATA_WSF!$C:$C,W90))</f>
        <v/>
      </c>
      <c r="AB90">
        <f>IF(X90=0,0,SUMIFS(DATA_WSF!$F:$F,DATA_WSF!$A:$A,$B$10,DATA_WSF!$C:$C,W90))</f>
        <v/>
      </c>
      <c r="AC90">
        <f>IF(AA90=0,"",AB90/AA90)</f>
        <v/>
      </c>
      <c r="AD90">
        <f>IF(OR(X90=0,Z90=0),"",Y90/Z90-1)</f>
        <v/>
      </c>
      <c r="AE90">
        <f>IF(X90=0,"",Y90+ROW()/1000000)</f>
        <v/>
      </c>
      <c r="AF90">
        <f>IF(AC90="","",AC90+ROW()/1000000000)</f>
        <v/>
      </c>
      <c r="AG90">
        <f>IF(AD90="","",AD90+ROW()/1000000000)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  <c r="W91">
        <f>IFERROR(INDEX(MASTER_AREAS!$B:$B,90)&amp;"","")</f>
        <v/>
      </c>
      <c r="X91">
        <f>IF(OR(W91="",$B$10=0),0,COUNTIFS(DATA_WSF!$A:$A,$B$10,DATA_WSF!$C:$C,W91))</f>
        <v/>
      </c>
      <c r="Y91">
        <f>IF(X91=0,0,SUMIFS(DATA_WSF!$L:$L,DATA_WSF!$A:$A,$B$10,DATA_WSF!$C:$C,W91))</f>
        <v/>
      </c>
      <c r="Z91">
        <f>IF(OR(W91="",$B$10=0),0,SUMIFS(DATA_WSF!$L:$L,DATA_WSF!$A:$A,$B$10-7,DATA_WSF!$C:$C,W91))</f>
        <v/>
      </c>
      <c r="AA91">
        <f>IF(X91=0,0,SUMIFS(DATA_WSF!$E:$E,DATA_WSF!$A:$A,$B$10,DATA_WSF!$C:$C,W91))</f>
        <v/>
      </c>
      <c r="AB91">
        <f>IF(X91=0,0,SUMIFS(DATA_WSF!$F:$F,DATA_WSF!$A:$A,$B$10,DATA_WSF!$C:$C,W91))</f>
        <v/>
      </c>
      <c r="AC91">
        <f>IF(AA91=0,"",AB91/AA91)</f>
        <v/>
      </c>
      <c r="AD91">
        <f>IF(OR(X91=0,Z91=0),"",Y91/Z91-1)</f>
        <v/>
      </c>
      <c r="AE91">
        <f>IF(X91=0,"",Y91+ROW()/1000000)</f>
        <v/>
      </c>
      <c r="AF91">
        <f>IF(AC91="","",AC91+ROW()/1000000000)</f>
        <v/>
      </c>
      <c r="AG91">
        <f>IF(AD91="","",AD91+ROW()/1000000000)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  <c r="W92">
        <f>IFERROR(INDEX(MASTER_AREAS!$B:$B,91)&amp;"","")</f>
        <v/>
      </c>
      <c r="X92">
        <f>IF(OR(W92="",$B$10=0),0,COUNTIFS(DATA_WSF!$A:$A,$B$10,DATA_WSF!$C:$C,W92))</f>
        <v/>
      </c>
      <c r="Y92">
        <f>IF(X92=0,0,SUMIFS(DATA_WSF!$L:$L,DATA_WSF!$A:$A,$B$10,DATA_WSF!$C:$C,W92))</f>
        <v/>
      </c>
      <c r="Z92">
        <f>IF(OR(W92="",$B$10=0),0,SUMIFS(DATA_WSF!$L:$L,DATA_WSF!$A:$A,$B$10-7,DATA_WSF!$C:$C,W92))</f>
        <v/>
      </c>
      <c r="AA92">
        <f>IF(X92=0,0,SUMIFS(DATA_WSF!$E:$E,DATA_WSF!$A:$A,$B$10,DATA_WSF!$C:$C,W92))</f>
        <v/>
      </c>
      <c r="AB92">
        <f>IF(X92=0,0,SUMIFS(DATA_WSF!$F:$F,DATA_WSF!$A:$A,$B$10,DATA_WSF!$C:$C,W92))</f>
        <v/>
      </c>
      <c r="AC92">
        <f>IF(AA92=0,"",AB92/AA92)</f>
        <v/>
      </c>
      <c r="AD92">
        <f>IF(OR(X92=0,Z92=0),"",Y92/Z92-1)</f>
        <v/>
      </c>
      <c r="AE92">
        <f>IF(X92=0,"",Y92+ROW()/1000000)</f>
        <v/>
      </c>
      <c r="AF92">
        <f>IF(AC92="","",AC92+ROW()/1000000000)</f>
        <v/>
      </c>
      <c r="AG92">
        <f>IF(AD92="","",AD92+ROW()/1000000000)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  <c r="W93">
        <f>IFERROR(INDEX(MASTER_AREAS!$B:$B,92)&amp;"","")</f>
        <v/>
      </c>
      <c r="X93">
        <f>IF(OR(W93="",$B$10=0),0,COUNTIFS(DATA_WSF!$A:$A,$B$10,DATA_WSF!$C:$C,W93))</f>
        <v/>
      </c>
      <c r="Y93">
        <f>IF(X93=0,0,SUMIFS(DATA_WSF!$L:$L,DATA_WSF!$A:$A,$B$10,DATA_WSF!$C:$C,W93))</f>
        <v/>
      </c>
      <c r="Z93">
        <f>IF(OR(W93="",$B$10=0),0,SUMIFS(DATA_WSF!$L:$L,DATA_WSF!$A:$A,$B$10-7,DATA_WSF!$C:$C,W93))</f>
        <v/>
      </c>
      <c r="AA93">
        <f>IF(X93=0,0,SUMIFS(DATA_WSF!$E:$E,DATA_WSF!$A:$A,$B$10,DATA_WSF!$C:$C,W93))</f>
        <v/>
      </c>
      <c r="AB93">
        <f>IF(X93=0,0,SUMIFS(DATA_WSF!$F:$F,DATA_WSF!$A:$A,$B$10,DATA_WSF!$C:$C,W93))</f>
        <v/>
      </c>
      <c r="AC93">
        <f>IF(AA93=0,"",AB93/AA93)</f>
        <v/>
      </c>
      <c r="AD93">
        <f>IF(OR(X93=0,Z93=0),"",Y93/Z93-1)</f>
        <v/>
      </c>
      <c r="AE93">
        <f>IF(X93=0,"",Y93+ROW()/1000000)</f>
        <v/>
      </c>
      <c r="AF93">
        <f>IF(AC93="","",AC93+ROW()/1000000000)</f>
        <v/>
      </c>
      <c r="AG93">
        <f>IF(AD93="","",AD93+ROW()/1000000000)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  <c r="W94">
        <f>IFERROR(INDEX(MASTER_AREAS!$B:$B,93)&amp;"","")</f>
        <v/>
      </c>
      <c r="X94">
        <f>IF(OR(W94="",$B$10=0),0,COUNTIFS(DATA_WSF!$A:$A,$B$10,DATA_WSF!$C:$C,W94))</f>
        <v/>
      </c>
      <c r="Y94">
        <f>IF(X94=0,0,SUMIFS(DATA_WSF!$L:$L,DATA_WSF!$A:$A,$B$10,DATA_WSF!$C:$C,W94))</f>
        <v/>
      </c>
      <c r="Z94">
        <f>IF(OR(W94="",$B$10=0),0,SUMIFS(DATA_WSF!$L:$L,DATA_WSF!$A:$A,$B$10-7,DATA_WSF!$C:$C,W94))</f>
        <v/>
      </c>
      <c r="AA94">
        <f>IF(X94=0,0,SUMIFS(DATA_WSF!$E:$E,DATA_WSF!$A:$A,$B$10,DATA_WSF!$C:$C,W94))</f>
        <v/>
      </c>
      <c r="AB94">
        <f>IF(X94=0,0,SUMIFS(DATA_WSF!$F:$F,DATA_WSF!$A:$A,$B$10,DATA_WSF!$C:$C,W94))</f>
        <v/>
      </c>
      <c r="AC94">
        <f>IF(AA94=0,"",AB94/AA94)</f>
        <v/>
      </c>
      <c r="AD94">
        <f>IF(OR(X94=0,Z94=0),"",Y94/Z94-1)</f>
        <v/>
      </c>
      <c r="AE94">
        <f>IF(X94=0,"",Y94+ROW()/1000000)</f>
        <v/>
      </c>
      <c r="AF94">
        <f>IF(AC94="","",AC94+ROW()/1000000000)</f>
        <v/>
      </c>
      <c r="AG94">
        <f>IF(AD94="","",AD94+ROW()/1000000000)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  <c r="W95">
        <f>IFERROR(INDEX(MASTER_AREAS!$B:$B,94)&amp;"","")</f>
        <v/>
      </c>
      <c r="X95">
        <f>IF(OR(W95="",$B$10=0),0,COUNTIFS(DATA_WSF!$A:$A,$B$10,DATA_WSF!$C:$C,W95))</f>
        <v/>
      </c>
      <c r="Y95">
        <f>IF(X95=0,0,SUMIFS(DATA_WSF!$L:$L,DATA_WSF!$A:$A,$B$10,DATA_WSF!$C:$C,W95))</f>
        <v/>
      </c>
      <c r="Z95">
        <f>IF(OR(W95="",$B$10=0),0,SUMIFS(DATA_WSF!$L:$L,DATA_WSF!$A:$A,$B$10-7,DATA_WSF!$C:$C,W95))</f>
        <v/>
      </c>
      <c r="AA95">
        <f>IF(X95=0,0,SUMIFS(DATA_WSF!$E:$E,DATA_WSF!$A:$A,$B$10,DATA_WSF!$C:$C,W95))</f>
        <v/>
      </c>
      <c r="AB95">
        <f>IF(X95=0,0,SUMIFS(DATA_WSF!$F:$F,DATA_WSF!$A:$A,$B$10,DATA_WSF!$C:$C,W95))</f>
        <v/>
      </c>
      <c r="AC95">
        <f>IF(AA95=0,"",AB95/AA95)</f>
        <v/>
      </c>
      <c r="AD95">
        <f>IF(OR(X95=0,Z95=0),"",Y95/Z95-1)</f>
        <v/>
      </c>
      <c r="AE95">
        <f>IF(X95=0,"",Y95+ROW()/1000000)</f>
        <v/>
      </c>
      <c r="AF95">
        <f>IF(AC95="","",AC95+ROW()/1000000000)</f>
        <v/>
      </c>
      <c r="AG95">
        <f>IF(AD95="","",AD95+ROW()/1000000000)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V138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CALC_TRANSPORT — helper calculations for the TRANSPORT DASHBOARD (hidden; do not edit)</t>
        </is>
      </c>
      <c r="BQ1">
        <f>COUNT(DATA_TRANSPORT!$AE:$AE)</f>
        <v/>
      </c>
    </row>
    <row r="2">
      <c r="AE2" t="inlineStr">
        <is>
          <t>Area</t>
        </is>
      </c>
      <c r="AF2" t="inlineStr">
        <is>
          <t>Riders</t>
        </is>
      </c>
      <c r="AG2" t="inlineStr">
        <is>
          <t>Buses ran</t>
        </is>
      </c>
      <c r="AH2" t="inlineStr">
        <is>
          <t>Seats</t>
        </is>
      </c>
      <c r="AI2" t="inlineStr">
        <is>
          <t>Riders seated</t>
        </is>
      </c>
      <c r="AJ2" t="inlineStr">
        <is>
          <t>Excess riders</t>
        </is>
      </c>
      <c r="AK2" t="inlineStr">
        <is>
          <t>Utilisation</t>
        </is>
      </c>
      <c r="AL2" t="inlineStr">
        <is>
          <t>Spend</t>
        </is>
      </c>
      <c r="AM2" t="inlineStr">
        <is>
          <t>Cost/rider</t>
        </is>
      </c>
      <c r="AN2" t="inlineStr">
        <is>
          <t>FT cost</t>
        </is>
      </c>
      <c r="AO2" t="inlineStr">
        <is>
          <t>FT budget</t>
        </is>
      </c>
      <c r="AP2" t="inlineStr">
        <is>
          <t>FT over budget</t>
        </is>
      </c>
      <c r="AQ2" t="inlineStr">
        <is>
          <t>FT buses in church</t>
        </is>
      </c>
      <c r="AR2" t="inlineStr">
        <is>
          <t>Buses allocated</t>
        </is>
      </c>
      <c r="AS2" t="inlineStr">
        <is>
          <t>Breakdowns</t>
        </is>
      </c>
      <c r="AT2" t="inlineStr">
        <is>
          <t>Util wk-1</t>
        </is>
      </c>
      <c r="AU2" t="inlineStr">
        <is>
          <t>Util wk-2</t>
        </is>
      </c>
      <c r="AV2" t="inlineStr">
        <is>
          <t>Util wk-3</t>
        </is>
      </c>
      <c r="AW2" t="inlineStr">
        <is>
          <t>Weeks under UtilLow</t>
        </is>
      </c>
      <c r="AX2" t="inlineStr">
        <is>
          <t>Flag</t>
        </is>
      </c>
      <c r="AY2" t="inlineStr">
        <is>
          <t>Score util</t>
        </is>
      </c>
      <c r="AZ2" t="inlineStr">
        <is>
          <t>Score cpr</t>
        </is>
      </c>
      <c r="BA2" t="inlineStr">
        <is>
          <t>Score over</t>
        </is>
      </c>
      <c r="BB2" t="inlineStr">
        <is>
          <t>Score riders</t>
        </is>
      </c>
      <c r="BC2" t="inlineStr">
        <is>
          <t>Flag row</t>
        </is>
      </c>
      <c r="BD2" t="inlineStr">
        <is>
          <t>Score excess</t>
        </is>
      </c>
      <c r="BF2" t="inlineStr">
        <is>
          <t>demand name</t>
        </is>
      </c>
      <c r="BG2" t="inlineStr">
        <is>
          <t>demand value</t>
        </is>
      </c>
      <c r="BH2" t="inlineStr">
        <is>
          <t>low name</t>
        </is>
      </c>
      <c r="BI2" t="inlineStr">
        <is>
          <t>low value</t>
        </is>
      </c>
      <c r="BJ2" t="inlineStr">
        <is>
          <t>cpr name</t>
        </is>
      </c>
      <c r="BK2" t="inlineStr">
        <is>
          <t>cpr value</t>
        </is>
      </c>
      <c r="BL2" t="inlineStr">
        <is>
          <t>over name</t>
        </is>
      </c>
      <c r="BM2" t="inlineStr">
        <is>
          <t>over value</t>
        </is>
      </c>
      <c r="BN2" t="inlineStr">
        <is>
          <t>riders name</t>
        </is>
      </c>
      <c r="BO2" t="inlineStr">
        <is>
          <t>riders value</t>
        </is>
      </c>
      <c r="BP2" t="inlineStr">
        <is>
          <t>flags</t>
        </is>
      </c>
      <c r="BQ2" t="inlineStr">
        <is>
          <t>row</t>
        </is>
      </c>
      <c r="BR2" t="inlineStr">
        <is>
          <t>Area</t>
        </is>
      </c>
      <c r="BS2" t="inlineStr">
        <is>
          <t>Category</t>
        </is>
      </c>
      <c r="BT2" t="inlineStr">
        <is>
          <t>Location / bus</t>
        </is>
      </c>
      <c r="BU2" t="inlineStr">
        <is>
          <t>Note</t>
        </is>
      </c>
      <c r="BV2" t="inlineStr">
        <is>
          <t>Details</t>
        </is>
      </c>
    </row>
    <row r="3">
      <c r="A3" t="inlineStr">
        <is>
          <t>Scope</t>
        </is>
      </c>
      <c r="B3">
        <f>'TRANSPORT DASHBOARD'!B4</f>
        <v/>
      </c>
      <c r="AE3">
        <f>IFERROR(IF(INDEX(MASTER_AREAS!$F:$F,2)="N","",INDEX(MASTER_AREAS!$B:$B,2)&amp;""),"")</f>
        <v/>
      </c>
      <c r="AF3">
        <f>IF(OR(AE3="",$B$10=0),0,SUMIFS(DATA_TRANSPORT!$Q:$Q,DATA_TRANSPORT!$A:$A,$B$10,DATA_TRANSPORT!$E:$E,AE3))</f>
        <v/>
      </c>
      <c r="AG3">
        <f>IF(OR(AE3="",$B$10=0),0,SUMIFS(DATA_TRANSPORT!$I:$I,DATA_TRANSPORT!$A:$A,$B$10,DATA_TRANSPORT!$E:$E,AE3,DATA_TRANSPORT!$V:$V,"Ran"))</f>
        <v/>
      </c>
      <c r="AH3">
        <f>IF(OR(AE3="",$B$10=0),0,SUMIFS(DATA_TRANSPORT!$L:$L,DATA_TRANSPORT!$A:$A,$B$10,DATA_TRANSPORT!$E:$E,AE3))</f>
        <v/>
      </c>
      <c r="AI3">
        <f>IF(OR(AE3="",$B$10=0),0,SUMIFS(DATA_TRANSPORT!$R:$R,DATA_TRANSPORT!$A:$A,$B$10,DATA_TRANSPORT!$E:$E,AE3))</f>
        <v/>
      </c>
      <c r="AJ3">
        <f>IF(OR(AE3="",$B$10=0),0,SUMIFS(DATA_TRANSPORT!$S:$S,DATA_TRANSPORT!$A:$A,$B$10,DATA_TRANSPORT!$E:$E,AE3))</f>
        <v/>
      </c>
      <c r="AK3">
        <f>IF(AH3=0,"",AI3/AH3)</f>
        <v/>
      </c>
      <c r="AL3">
        <f>IF(OR(AE3="",$B$10=0),0,SUMIFS(DATA_TRANSPORT!$T:$T,DATA_TRANSPORT!$A:$A,$B$10,DATA_TRANSPORT!$E:$E,AE3))+IF(OR(AE3="",$B$10=0),0,SUMIFS(DATA_TRANSPORT_COSTS!$M:$M,DATA_TRANSPORT_COSTS!$A:$A,$B$10,DATA_TRANSPORT_COSTS!$D:$D,AE3))</f>
        <v/>
      </c>
      <c r="AM3">
        <f>IF(OR(AF3=0,AL3=0),"",AL3/AF3)</f>
        <v/>
      </c>
      <c r="AN3">
        <f>IF(OR(AE3="",$B$10=0),0,SUMIFS(DATA_TRANSPORT!$T:$T,DATA_TRANSPORT!$A:$A,$B$10,DATA_TRANSPORT!$E:$E,AE3,DATA_TRANSPORT!$C:$C,"FT Procured"))</f>
        <v/>
      </c>
      <c r="AO3">
        <f>IF(OR(AE3="",$B$10=0),0,SUMIFS(DATA_TRANSPORT_BUDGET!$G:$G,DATA_TRANSPORT_BUDGET!$A:$A,$B$10,DATA_TRANSPORT_BUDGET!$D:$D,AE3))</f>
        <v/>
      </c>
      <c r="AP3">
        <f>IF(AO3=0,"",AN3-AO3)</f>
        <v/>
      </c>
      <c r="AQ3">
        <f>IF(OR(AE3="",$B$10=0),0,COUNTIFS(DATA_TRANSPORT!$A:$A,$B$10,DATA_TRANSPORT!$E:$E,AE3,DATA_TRANSPORT!$C:$C,"FT Procured",DATA_TRANSPORT!$Z:$Z,"Y"))</f>
        <v/>
      </c>
      <c r="AR3">
        <f>IF(OR(AE3="",$B$10=0),0,SUMIFS(DATA_TRANSPORT_BUDGET!$E:$E,DATA_TRANSPORT_BUDGET!$A:$A,$B$10,DATA_TRANSPORT_BUDGET!$D:$D,AE3))</f>
        <v/>
      </c>
      <c r="AS3">
        <f>IF(OR(AE3="",$B$10=0),0,COUNTIFS(DATA_TRANSPORT!$A:$A,$B$10,DATA_TRANSPORT!$E:$E,AE3,DATA_TRANSPORT!$V:$V,"Breakdown"))</f>
        <v/>
      </c>
      <c r="AT3">
        <f>IF(IF(OR(AE3="",$B$10=0),0,SUMIFS(DATA_TRANSPORT!$L:$L,DATA_TRANSPORT!$A:$A,$B$10-7,DATA_TRANSPORT!$E:$E,AE3))=0,"",IF(OR(AE3="",$B$10=0),0,SUMIFS(DATA_TRANSPORT!$R:$R,DATA_TRANSPORT!$A:$A,$B$10-7,DATA_TRANSPORT!$E:$E,AE3))/IF(OR(AE3="",$B$10=0),0,SUMIFS(DATA_TRANSPORT!$L:$L,DATA_TRANSPORT!$A:$A,$B$10-7,DATA_TRANSPORT!$E:$E,AE3)))</f>
        <v/>
      </c>
      <c r="AU3">
        <f>IF(IF(OR(AE3="",$B$10=0),0,SUMIFS(DATA_TRANSPORT!$L:$L,DATA_TRANSPORT!$A:$A,$B$10-14,DATA_TRANSPORT!$E:$E,AE3))=0,"",IF(OR(AE3="",$B$10=0),0,SUMIFS(DATA_TRANSPORT!$R:$R,DATA_TRANSPORT!$A:$A,$B$10-14,DATA_TRANSPORT!$E:$E,AE3))/IF(OR(AE3="",$B$10=0),0,SUMIFS(DATA_TRANSPORT!$L:$L,DATA_TRANSPORT!$A:$A,$B$10-14,DATA_TRANSPORT!$E:$E,AE3)))</f>
        <v/>
      </c>
      <c r="AV3">
        <f>IF(IF(OR(AE3="",$B$10=0),0,SUMIFS(DATA_TRANSPORT!$L:$L,DATA_TRANSPORT!$A:$A,$B$10-21,DATA_TRANSPORT!$E:$E,AE3))=0,"",IF(OR(AE3="",$B$10=0),0,SUMIFS(DATA_TRANSPORT!$R:$R,DATA_TRANSPORT!$A:$A,$B$10-21,DATA_TRANSPORT!$E:$E,AE3))/IF(OR(AE3="",$B$10=0),0,SUMIFS(DATA_TRANSPORT!$L:$L,DATA_TRANSPORT!$A:$A,$B$10-21,DATA_TRANSPORT!$E:$E,AE3)))</f>
        <v/>
      </c>
      <c r="AW3">
        <f>IF(AND(ISNUMBER(AK3),AK3&lt;UtilLow),1,0)+IF(AND(ISNUMBER(AT3),AT3&lt;UtilLow),1,0)+IF(AND(ISNUMBER(AU3),AU3&lt;UtilLow),1,0)+IF(AND(ISNUMBER(AV3),AV3&lt;UtilLow),1,0)</f>
        <v/>
      </c>
      <c r="AX3">
        <f>IF(AW3&gt;=UtilLowWeeks,AE3&amp;": seats only "&amp;TEXT(AK3,"0%")&amp;" full, under "&amp;TEXT(UtilLow,"0%")&amp;" for "&amp;AW3&amp;" weeks running",IF(AND(AH3&gt;0,AJ3&gt;=AH3*ExcessShare),AE3&amp;": "&amp;TEXT(AJ3,"#,##0")&amp;" riders beyond the seats — consider more buses",IF(AND(ISNUMBER(AP3),AP3&gt;0),AE3&amp;": FT spend ₦"&amp;TEXT(AP3,"#,##0")&amp;" over the weekly budget",IF(AS3&gt;0,AE3&amp;": "&amp;AS3&amp;" coaster breakdown(s) this week",""))))</f>
        <v/>
      </c>
      <c r="AY3">
        <f>IF(ISNUMBER(AK3),AK3+ROW()/1000000000,"")</f>
        <v/>
      </c>
      <c r="AZ3">
        <f>IF(ISNUMBER(AM3),AM3+ROW()/1000000,"")</f>
        <v/>
      </c>
      <c r="BA3">
        <f>IF(AND(ISNUMBER(AP3),AP3&gt;0),AP3+ROW()/1000000,"")</f>
        <v/>
      </c>
      <c r="BB3">
        <f>IF(AF3&gt;0,AF3+ROW()/1000000,"")</f>
        <v/>
      </c>
      <c r="BC3">
        <f>IF(AX3="","",ROW())</f>
        <v/>
      </c>
      <c r="BD3">
        <f>IF(AJ3&gt;0,AJ3+ROW()/1000000,"")</f>
        <v/>
      </c>
      <c r="BF3">
        <f>IFERROR(INDEX($AE$3:$AE$95,MATCH(LARGE($BD$3:$BD$95,1),$BD$3:$BD$95,0)),"")</f>
        <v/>
      </c>
      <c r="BG3">
        <f>IFERROR(INDEX($AJ$3:$AJ$95,MATCH(LARGE($BD$3:$BD$95,1),$BD$3:$BD$95,0)),"")</f>
        <v/>
      </c>
      <c r="BH3">
        <f>IFERROR(INDEX($AE$3:$AE$95,MATCH(SMALL($AY$3:$AY$95,1),$AY$3:$AY$95,0)),"")</f>
        <v/>
      </c>
      <c r="BI3">
        <f>IFERROR(INDEX($AK$3:$AK$95,MATCH(SMALL($AY$3:$AY$95,1),$AY$3:$AY$95,0)),"")</f>
        <v/>
      </c>
      <c r="BJ3">
        <f>IFERROR(INDEX($AE$3:$AE$95,MATCH(LARGE($AZ$3:$AZ$95,1),$AZ$3:$AZ$95,0)),"")</f>
        <v/>
      </c>
      <c r="BK3">
        <f>IFERROR(INDEX($AM$3:$AM$95,MATCH(LARGE($AZ$3:$AZ$95,1),$AZ$3:$AZ$95,0)),"")</f>
        <v/>
      </c>
      <c r="BL3">
        <f>IFERROR(INDEX($AE$3:$AE$95,MATCH(LARGE($BA$3:$BA$95,1),$BA$3:$BA$95,0)),"")</f>
        <v/>
      </c>
      <c r="BM3">
        <f>IFERROR(INDEX($AP$3:$AP$95,MATCH(LARGE($BA$3:$BA$95,1),$BA$3:$BA$95,0)),"")</f>
        <v/>
      </c>
      <c r="BN3">
        <f>IFERROR(INDEX($AE$3:$AE$95,MATCH(LARGE($BB$3:$BB$95,1),$BB$3:$BB$95,0)),"")</f>
        <v/>
      </c>
      <c r="BO3">
        <f>IFERROR(INDEX($AF$3:$AF$95,MATCH(LARGE($BB$3:$BB$95,1),$BB$3:$BB$95,0)),"")</f>
        <v/>
      </c>
      <c r="BP3">
        <f>IFERROR(INDEX($AX$3:$AX$95,SMALL($BC$3:$BC$95,1)-2),"")</f>
        <v/>
      </c>
      <c r="BQ3">
        <f>IFERROR(SMALL(DATA_TRANSPORT!$AE:$AE,1),"")</f>
        <v/>
      </c>
      <c r="BR3">
        <f>IF(BQ3="","",INDEX(DATA_TRANSPORT!$E:$E,BQ3))</f>
        <v/>
      </c>
      <c r="BS3">
        <f>IF(BQ3="","",INDEX(DATA_TRANSPORT!$C:$C,BQ3))</f>
        <v/>
      </c>
      <c r="BT3">
        <f>IF(BQ3="","",TRIM(INDEX(DATA_TRANSPORT!$G:$G,BQ3)&amp;" "&amp;IF(INDEX(DATA_TRANSPORT!$H:$H,BQ3)="","","(bus "&amp;INDEX(DATA_TRANSPORT!$H:$H,BQ3)&amp;")")))</f>
        <v/>
      </c>
      <c r="BU3">
        <f>IF(BQ3="","",IF(INDEX(DATA_TRANSPORT!$V:$V,BQ3)="Breakdown","Breakdown",IF(INDEX(DATA_TRANSPORT!$X:$X,BQ3)="","Needs more buses",INDEX(DATA_TRANSPORT!$X:$X,BQ3))))</f>
        <v/>
      </c>
      <c r="BV3">
        <f>IF(BQ3="","",INDEX(DATA_TRANSPORT!$Y:$Y,BQ3)&amp;"")</f>
        <v/>
      </c>
    </row>
    <row r="4">
      <c r="A4" t="inlineStr">
        <is>
          <t>Selection</t>
        </is>
      </c>
      <c r="B4">
        <f>IF('TRANSPORT DASHBOARD'!E4="","",'TRANSPORT DASHBOARD'!E4)</f>
        <v/>
      </c>
      <c r="AE4">
        <f>IFERROR(IF(INDEX(MASTER_AREAS!$F:$F,3)="N","",INDEX(MASTER_AREAS!$B:$B,3)&amp;""),"")</f>
        <v/>
      </c>
      <c r="AF4">
        <f>IF(OR(AE4="",$B$10=0),0,SUMIFS(DATA_TRANSPORT!$Q:$Q,DATA_TRANSPORT!$A:$A,$B$10,DATA_TRANSPORT!$E:$E,AE4))</f>
        <v/>
      </c>
      <c r="AG4">
        <f>IF(OR(AE4="",$B$10=0),0,SUMIFS(DATA_TRANSPORT!$I:$I,DATA_TRANSPORT!$A:$A,$B$10,DATA_TRANSPORT!$E:$E,AE4,DATA_TRANSPORT!$V:$V,"Ran"))</f>
        <v/>
      </c>
      <c r="AH4">
        <f>IF(OR(AE4="",$B$10=0),0,SUMIFS(DATA_TRANSPORT!$L:$L,DATA_TRANSPORT!$A:$A,$B$10,DATA_TRANSPORT!$E:$E,AE4))</f>
        <v/>
      </c>
      <c r="AI4">
        <f>IF(OR(AE4="",$B$10=0),0,SUMIFS(DATA_TRANSPORT!$R:$R,DATA_TRANSPORT!$A:$A,$B$10,DATA_TRANSPORT!$E:$E,AE4))</f>
        <v/>
      </c>
      <c r="AJ4">
        <f>IF(OR(AE4="",$B$10=0),0,SUMIFS(DATA_TRANSPORT!$S:$S,DATA_TRANSPORT!$A:$A,$B$10,DATA_TRANSPORT!$E:$E,AE4))</f>
        <v/>
      </c>
      <c r="AK4">
        <f>IF(AH4=0,"",AI4/AH4)</f>
        <v/>
      </c>
      <c r="AL4">
        <f>IF(OR(AE4="",$B$10=0),0,SUMIFS(DATA_TRANSPORT!$T:$T,DATA_TRANSPORT!$A:$A,$B$10,DATA_TRANSPORT!$E:$E,AE4))+IF(OR(AE4="",$B$10=0),0,SUMIFS(DATA_TRANSPORT_COSTS!$M:$M,DATA_TRANSPORT_COSTS!$A:$A,$B$10,DATA_TRANSPORT_COSTS!$D:$D,AE4))</f>
        <v/>
      </c>
      <c r="AM4">
        <f>IF(OR(AF4=0,AL4=0),"",AL4/AF4)</f>
        <v/>
      </c>
      <c r="AN4">
        <f>IF(OR(AE4="",$B$10=0),0,SUMIFS(DATA_TRANSPORT!$T:$T,DATA_TRANSPORT!$A:$A,$B$10,DATA_TRANSPORT!$E:$E,AE4,DATA_TRANSPORT!$C:$C,"FT Procured"))</f>
        <v/>
      </c>
      <c r="AO4">
        <f>IF(OR(AE4="",$B$10=0),0,SUMIFS(DATA_TRANSPORT_BUDGET!$G:$G,DATA_TRANSPORT_BUDGET!$A:$A,$B$10,DATA_TRANSPORT_BUDGET!$D:$D,AE4))</f>
        <v/>
      </c>
      <c r="AP4">
        <f>IF(AO4=0,"",AN4-AO4)</f>
        <v/>
      </c>
      <c r="AQ4">
        <f>IF(OR(AE4="",$B$10=0),0,COUNTIFS(DATA_TRANSPORT!$A:$A,$B$10,DATA_TRANSPORT!$E:$E,AE4,DATA_TRANSPORT!$C:$C,"FT Procured",DATA_TRANSPORT!$Z:$Z,"Y"))</f>
        <v/>
      </c>
      <c r="AR4">
        <f>IF(OR(AE4="",$B$10=0),0,SUMIFS(DATA_TRANSPORT_BUDGET!$E:$E,DATA_TRANSPORT_BUDGET!$A:$A,$B$10,DATA_TRANSPORT_BUDGET!$D:$D,AE4))</f>
        <v/>
      </c>
      <c r="AS4">
        <f>IF(OR(AE4="",$B$10=0),0,COUNTIFS(DATA_TRANSPORT!$A:$A,$B$10,DATA_TRANSPORT!$E:$E,AE4,DATA_TRANSPORT!$V:$V,"Breakdown"))</f>
        <v/>
      </c>
      <c r="AT4">
        <f>IF(IF(OR(AE4="",$B$10=0),0,SUMIFS(DATA_TRANSPORT!$L:$L,DATA_TRANSPORT!$A:$A,$B$10-7,DATA_TRANSPORT!$E:$E,AE4))=0,"",IF(OR(AE4="",$B$10=0),0,SUMIFS(DATA_TRANSPORT!$R:$R,DATA_TRANSPORT!$A:$A,$B$10-7,DATA_TRANSPORT!$E:$E,AE4))/IF(OR(AE4="",$B$10=0),0,SUMIFS(DATA_TRANSPORT!$L:$L,DATA_TRANSPORT!$A:$A,$B$10-7,DATA_TRANSPORT!$E:$E,AE4)))</f>
        <v/>
      </c>
      <c r="AU4">
        <f>IF(IF(OR(AE4="",$B$10=0),0,SUMIFS(DATA_TRANSPORT!$L:$L,DATA_TRANSPORT!$A:$A,$B$10-14,DATA_TRANSPORT!$E:$E,AE4))=0,"",IF(OR(AE4="",$B$10=0),0,SUMIFS(DATA_TRANSPORT!$R:$R,DATA_TRANSPORT!$A:$A,$B$10-14,DATA_TRANSPORT!$E:$E,AE4))/IF(OR(AE4="",$B$10=0),0,SUMIFS(DATA_TRANSPORT!$L:$L,DATA_TRANSPORT!$A:$A,$B$10-14,DATA_TRANSPORT!$E:$E,AE4)))</f>
        <v/>
      </c>
      <c r="AV4">
        <f>IF(IF(OR(AE4="",$B$10=0),0,SUMIFS(DATA_TRANSPORT!$L:$L,DATA_TRANSPORT!$A:$A,$B$10-21,DATA_TRANSPORT!$E:$E,AE4))=0,"",IF(OR(AE4="",$B$10=0),0,SUMIFS(DATA_TRANSPORT!$R:$R,DATA_TRANSPORT!$A:$A,$B$10-21,DATA_TRANSPORT!$E:$E,AE4))/IF(OR(AE4="",$B$10=0),0,SUMIFS(DATA_TRANSPORT!$L:$L,DATA_TRANSPORT!$A:$A,$B$10-21,DATA_TRANSPORT!$E:$E,AE4)))</f>
        <v/>
      </c>
      <c r="AW4">
        <f>IF(AND(ISNUMBER(AK4),AK4&lt;UtilLow),1,0)+IF(AND(ISNUMBER(AT4),AT4&lt;UtilLow),1,0)+IF(AND(ISNUMBER(AU4),AU4&lt;UtilLow),1,0)+IF(AND(ISNUMBER(AV4),AV4&lt;UtilLow),1,0)</f>
        <v/>
      </c>
      <c r="AX4">
        <f>IF(AW4&gt;=UtilLowWeeks,AE4&amp;": seats only "&amp;TEXT(AK4,"0%")&amp;" full, under "&amp;TEXT(UtilLow,"0%")&amp;" for "&amp;AW4&amp;" weeks running",IF(AND(AH4&gt;0,AJ4&gt;=AH4*ExcessShare),AE4&amp;": "&amp;TEXT(AJ4,"#,##0")&amp;" riders beyond the seats — consider more buses",IF(AND(ISNUMBER(AP4),AP4&gt;0),AE4&amp;": FT spend ₦"&amp;TEXT(AP4,"#,##0")&amp;" over the weekly budget",IF(AS4&gt;0,AE4&amp;": "&amp;AS4&amp;" coaster breakdown(s) this week",""))))</f>
        <v/>
      </c>
      <c r="AY4">
        <f>IF(ISNUMBER(AK4),AK4+ROW()/1000000000,"")</f>
        <v/>
      </c>
      <c r="AZ4">
        <f>IF(ISNUMBER(AM4),AM4+ROW()/1000000,"")</f>
        <v/>
      </c>
      <c r="BA4">
        <f>IF(AND(ISNUMBER(AP4),AP4&gt;0),AP4+ROW()/1000000,"")</f>
        <v/>
      </c>
      <c r="BB4">
        <f>IF(AF4&gt;0,AF4+ROW()/1000000,"")</f>
        <v/>
      </c>
      <c r="BC4">
        <f>IF(AX4="","",ROW())</f>
        <v/>
      </c>
      <c r="BD4">
        <f>IF(AJ4&gt;0,AJ4+ROW()/1000000,"")</f>
        <v/>
      </c>
      <c r="BF4">
        <f>IFERROR(INDEX($AE$3:$AE$95,MATCH(LARGE($BD$3:$BD$95,2),$BD$3:$BD$95,0)),"")</f>
        <v/>
      </c>
      <c r="BG4">
        <f>IFERROR(INDEX($AJ$3:$AJ$95,MATCH(LARGE($BD$3:$BD$95,2),$BD$3:$BD$95,0)),"")</f>
        <v/>
      </c>
      <c r="BH4">
        <f>IFERROR(INDEX($AE$3:$AE$95,MATCH(SMALL($AY$3:$AY$95,2),$AY$3:$AY$95,0)),"")</f>
        <v/>
      </c>
      <c r="BI4">
        <f>IFERROR(INDEX($AK$3:$AK$95,MATCH(SMALL($AY$3:$AY$95,2),$AY$3:$AY$95,0)),"")</f>
        <v/>
      </c>
      <c r="BJ4">
        <f>IFERROR(INDEX($AE$3:$AE$95,MATCH(LARGE($AZ$3:$AZ$95,2),$AZ$3:$AZ$95,0)),"")</f>
        <v/>
      </c>
      <c r="BK4">
        <f>IFERROR(INDEX($AM$3:$AM$95,MATCH(LARGE($AZ$3:$AZ$95,2),$AZ$3:$AZ$95,0)),"")</f>
        <v/>
      </c>
      <c r="BL4">
        <f>IFERROR(INDEX($AE$3:$AE$95,MATCH(LARGE($BA$3:$BA$95,2),$BA$3:$BA$95,0)),"")</f>
        <v/>
      </c>
      <c r="BM4">
        <f>IFERROR(INDEX($AP$3:$AP$95,MATCH(LARGE($BA$3:$BA$95,2),$BA$3:$BA$95,0)),"")</f>
        <v/>
      </c>
      <c r="BN4">
        <f>IFERROR(INDEX($AE$3:$AE$95,MATCH(LARGE($BB$3:$BB$95,2),$BB$3:$BB$95,0)),"")</f>
        <v/>
      </c>
      <c r="BO4">
        <f>IFERROR(INDEX($AF$3:$AF$95,MATCH(LARGE($BB$3:$BB$95,2),$BB$3:$BB$95,0)),"")</f>
        <v/>
      </c>
      <c r="BP4">
        <f>IFERROR(INDEX($AX$3:$AX$95,SMALL($BC$3:$BC$95,2)-2),"")</f>
        <v/>
      </c>
      <c r="BQ4">
        <f>IFERROR(SMALL(DATA_TRANSPORT!$AE:$AE,2),"")</f>
        <v/>
      </c>
      <c r="BR4">
        <f>IF(BQ4="","",INDEX(DATA_TRANSPORT!$E:$E,BQ4))</f>
        <v/>
      </c>
      <c r="BS4">
        <f>IF(BQ4="","",INDEX(DATA_TRANSPORT!$C:$C,BQ4))</f>
        <v/>
      </c>
      <c r="BT4">
        <f>IF(BQ4="","",TRIM(INDEX(DATA_TRANSPORT!$G:$G,BQ4)&amp;" "&amp;IF(INDEX(DATA_TRANSPORT!$H:$H,BQ4)="","","(bus "&amp;INDEX(DATA_TRANSPORT!$H:$H,BQ4)&amp;")")))</f>
        <v/>
      </c>
      <c r="BU4">
        <f>IF(BQ4="","",IF(INDEX(DATA_TRANSPORT!$V:$V,BQ4)="Breakdown","Breakdown",IF(INDEX(DATA_TRANSPORT!$X:$X,BQ4)="","Needs more buses",INDEX(DATA_TRANSPORT!$X:$X,BQ4))))</f>
        <v/>
      </c>
      <c r="BV4">
        <f>IF(BQ4="","",INDEX(DATA_TRANSPORT!$Y:$Y,BQ4)&amp;"")</f>
        <v/>
      </c>
    </row>
    <row r="5">
      <c r="A5" t="inlineStr">
        <is>
          <t>Selection valid</t>
        </is>
      </c>
      <c r="B5">
        <f>IF(B3="Global",TRUE,IF(B3="Area",COUNTIFS(MASTER_AREAS!$B:$B,B4,MASTER_AREAS!$F:$F,"&lt;&gt;N")&gt;0,COUNTIF(MASTER_ZONES!$B:$B,B4)&gt;0))</f>
        <v/>
      </c>
      <c r="AE5">
        <f>IFERROR(IF(INDEX(MASTER_AREAS!$F:$F,4)="N","",INDEX(MASTER_AREAS!$B:$B,4)&amp;""),"")</f>
        <v/>
      </c>
      <c r="AF5">
        <f>IF(OR(AE5="",$B$10=0),0,SUMIFS(DATA_TRANSPORT!$Q:$Q,DATA_TRANSPORT!$A:$A,$B$10,DATA_TRANSPORT!$E:$E,AE5))</f>
        <v/>
      </c>
      <c r="AG5">
        <f>IF(OR(AE5="",$B$10=0),0,SUMIFS(DATA_TRANSPORT!$I:$I,DATA_TRANSPORT!$A:$A,$B$10,DATA_TRANSPORT!$E:$E,AE5,DATA_TRANSPORT!$V:$V,"Ran"))</f>
        <v/>
      </c>
      <c r="AH5">
        <f>IF(OR(AE5="",$B$10=0),0,SUMIFS(DATA_TRANSPORT!$L:$L,DATA_TRANSPORT!$A:$A,$B$10,DATA_TRANSPORT!$E:$E,AE5))</f>
        <v/>
      </c>
      <c r="AI5">
        <f>IF(OR(AE5="",$B$10=0),0,SUMIFS(DATA_TRANSPORT!$R:$R,DATA_TRANSPORT!$A:$A,$B$10,DATA_TRANSPORT!$E:$E,AE5))</f>
        <v/>
      </c>
      <c r="AJ5">
        <f>IF(OR(AE5="",$B$10=0),0,SUMIFS(DATA_TRANSPORT!$S:$S,DATA_TRANSPORT!$A:$A,$B$10,DATA_TRANSPORT!$E:$E,AE5))</f>
        <v/>
      </c>
      <c r="AK5">
        <f>IF(AH5=0,"",AI5/AH5)</f>
        <v/>
      </c>
      <c r="AL5">
        <f>IF(OR(AE5="",$B$10=0),0,SUMIFS(DATA_TRANSPORT!$T:$T,DATA_TRANSPORT!$A:$A,$B$10,DATA_TRANSPORT!$E:$E,AE5))+IF(OR(AE5="",$B$10=0),0,SUMIFS(DATA_TRANSPORT_COSTS!$M:$M,DATA_TRANSPORT_COSTS!$A:$A,$B$10,DATA_TRANSPORT_COSTS!$D:$D,AE5))</f>
        <v/>
      </c>
      <c r="AM5">
        <f>IF(OR(AF5=0,AL5=0),"",AL5/AF5)</f>
        <v/>
      </c>
      <c r="AN5">
        <f>IF(OR(AE5="",$B$10=0),0,SUMIFS(DATA_TRANSPORT!$T:$T,DATA_TRANSPORT!$A:$A,$B$10,DATA_TRANSPORT!$E:$E,AE5,DATA_TRANSPORT!$C:$C,"FT Procured"))</f>
        <v/>
      </c>
      <c r="AO5">
        <f>IF(OR(AE5="",$B$10=0),0,SUMIFS(DATA_TRANSPORT_BUDGET!$G:$G,DATA_TRANSPORT_BUDGET!$A:$A,$B$10,DATA_TRANSPORT_BUDGET!$D:$D,AE5))</f>
        <v/>
      </c>
      <c r="AP5">
        <f>IF(AO5=0,"",AN5-AO5)</f>
        <v/>
      </c>
      <c r="AQ5">
        <f>IF(OR(AE5="",$B$10=0),0,COUNTIFS(DATA_TRANSPORT!$A:$A,$B$10,DATA_TRANSPORT!$E:$E,AE5,DATA_TRANSPORT!$C:$C,"FT Procured",DATA_TRANSPORT!$Z:$Z,"Y"))</f>
        <v/>
      </c>
      <c r="AR5">
        <f>IF(OR(AE5="",$B$10=0),0,SUMIFS(DATA_TRANSPORT_BUDGET!$E:$E,DATA_TRANSPORT_BUDGET!$A:$A,$B$10,DATA_TRANSPORT_BUDGET!$D:$D,AE5))</f>
        <v/>
      </c>
      <c r="AS5">
        <f>IF(OR(AE5="",$B$10=0),0,COUNTIFS(DATA_TRANSPORT!$A:$A,$B$10,DATA_TRANSPORT!$E:$E,AE5,DATA_TRANSPORT!$V:$V,"Breakdown"))</f>
        <v/>
      </c>
      <c r="AT5">
        <f>IF(IF(OR(AE5="",$B$10=0),0,SUMIFS(DATA_TRANSPORT!$L:$L,DATA_TRANSPORT!$A:$A,$B$10-7,DATA_TRANSPORT!$E:$E,AE5))=0,"",IF(OR(AE5="",$B$10=0),0,SUMIFS(DATA_TRANSPORT!$R:$R,DATA_TRANSPORT!$A:$A,$B$10-7,DATA_TRANSPORT!$E:$E,AE5))/IF(OR(AE5="",$B$10=0),0,SUMIFS(DATA_TRANSPORT!$L:$L,DATA_TRANSPORT!$A:$A,$B$10-7,DATA_TRANSPORT!$E:$E,AE5)))</f>
        <v/>
      </c>
      <c r="AU5">
        <f>IF(IF(OR(AE5="",$B$10=0),0,SUMIFS(DATA_TRANSPORT!$L:$L,DATA_TRANSPORT!$A:$A,$B$10-14,DATA_TRANSPORT!$E:$E,AE5))=0,"",IF(OR(AE5="",$B$10=0),0,SUMIFS(DATA_TRANSPORT!$R:$R,DATA_TRANSPORT!$A:$A,$B$10-14,DATA_TRANSPORT!$E:$E,AE5))/IF(OR(AE5="",$B$10=0),0,SUMIFS(DATA_TRANSPORT!$L:$L,DATA_TRANSPORT!$A:$A,$B$10-14,DATA_TRANSPORT!$E:$E,AE5)))</f>
        <v/>
      </c>
      <c r="AV5">
        <f>IF(IF(OR(AE5="",$B$10=0),0,SUMIFS(DATA_TRANSPORT!$L:$L,DATA_TRANSPORT!$A:$A,$B$10-21,DATA_TRANSPORT!$E:$E,AE5))=0,"",IF(OR(AE5="",$B$10=0),0,SUMIFS(DATA_TRANSPORT!$R:$R,DATA_TRANSPORT!$A:$A,$B$10-21,DATA_TRANSPORT!$E:$E,AE5))/IF(OR(AE5="",$B$10=0),0,SUMIFS(DATA_TRANSPORT!$L:$L,DATA_TRANSPORT!$A:$A,$B$10-21,DATA_TRANSPORT!$E:$E,AE5)))</f>
        <v/>
      </c>
      <c r="AW5">
        <f>IF(AND(ISNUMBER(AK5),AK5&lt;UtilLow),1,0)+IF(AND(ISNUMBER(AT5),AT5&lt;UtilLow),1,0)+IF(AND(ISNUMBER(AU5),AU5&lt;UtilLow),1,0)+IF(AND(ISNUMBER(AV5),AV5&lt;UtilLow),1,0)</f>
        <v/>
      </c>
      <c r="AX5">
        <f>IF(AW5&gt;=UtilLowWeeks,AE5&amp;": seats only "&amp;TEXT(AK5,"0%")&amp;" full, under "&amp;TEXT(UtilLow,"0%")&amp;" for "&amp;AW5&amp;" weeks running",IF(AND(AH5&gt;0,AJ5&gt;=AH5*ExcessShare),AE5&amp;": "&amp;TEXT(AJ5,"#,##0")&amp;" riders beyond the seats — consider more buses",IF(AND(ISNUMBER(AP5),AP5&gt;0),AE5&amp;": FT spend ₦"&amp;TEXT(AP5,"#,##0")&amp;" over the weekly budget",IF(AS5&gt;0,AE5&amp;": "&amp;AS5&amp;" coaster breakdown(s) this week",""))))</f>
        <v/>
      </c>
      <c r="AY5">
        <f>IF(ISNUMBER(AK5),AK5+ROW()/1000000000,"")</f>
        <v/>
      </c>
      <c r="AZ5">
        <f>IF(ISNUMBER(AM5),AM5+ROW()/1000000,"")</f>
        <v/>
      </c>
      <c r="BA5">
        <f>IF(AND(ISNUMBER(AP5),AP5&gt;0),AP5+ROW()/1000000,"")</f>
        <v/>
      </c>
      <c r="BB5">
        <f>IF(AF5&gt;0,AF5+ROW()/1000000,"")</f>
        <v/>
      </c>
      <c r="BC5">
        <f>IF(AX5="","",ROW())</f>
        <v/>
      </c>
      <c r="BD5">
        <f>IF(AJ5&gt;0,AJ5+ROW()/1000000,"")</f>
        <v/>
      </c>
      <c r="BF5">
        <f>IFERROR(INDEX($AE$3:$AE$95,MATCH(LARGE($BD$3:$BD$95,3),$BD$3:$BD$95,0)),"")</f>
        <v/>
      </c>
      <c r="BG5">
        <f>IFERROR(INDEX($AJ$3:$AJ$95,MATCH(LARGE($BD$3:$BD$95,3),$BD$3:$BD$95,0)),"")</f>
        <v/>
      </c>
      <c r="BH5">
        <f>IFERROR(INDEX($AE$3:$AE$95,MATCH(SMALL($AY$3:$AY$95,3),$AY$3:$AY$95,0)),"")</f>
        <v/>
      </c>
      <c r="BI5">
        <f>IFERROR(INDEX($AK$3:$AK$95,MATCH(SMALL($AY$3:$AY$95,3),$AY$3:$AY$95,0)),"")</f>
        <v/>
      </c>
      <c r="BJ5">
        <f>IFERROR(INDEX($AE$3:$AE$95,MATCH(LARGE($AZ$3:$AZ$95,3),$AZ$3:$AZ$95,0)),"")</f>
        <v/>
      </c>
      <c r="BK5">
        <f>IFERROR(INDEX($AM$3:$AM$95,MATCH(LARGE($AZ$3:$AZ$95,3),$AZ$3:$AZ$95,0)),"")</f>
        <v/>
      </c>
      <c r="BL5">
        <f>IFERROR(INDEX($AE$3:$AE$95,MATCH(LARGE($BA$3:$BA$95,3),$BA$3:$BA$95,0)),"")</f>
        <v/>
      </c>
      <c r="BM5">
        <f>IFERROR(INDEX($AP$3:$AP$95,MATCH(LARGE($BA$3:$BA$95,3),$BA$3:$BA$95,0)),"")</f>
        <v/>
      </c>
      <c r="BN5">
        <f>IFERROR(INDEX($AE$3:$AE$95,MATCH(LARGE($BB$3:$BB$95,3),$BB$3:$BB$95,0)),"")</f>
        <v/>
      </c>
      <c r="BO5">
        <f>IFERROR(INDEX($AF$3:$AF$95,MATCH(LARGE($BB$3:$BB$95,3),$BB$3:$BB$95,0)),"")</f>
        <v/>
      </c>
      <c r="BP5">
        <f>IFERROR(INDEX($AX$3:$AX$95,SMALL($BC$3:$BC$95,3)-2),"")</f>
        <v/>
      </c>
      <c r="BQ5">
        <f>IFERROR(SMALL(DATA_TRANSPORT!$AE:$AE,3),"")</f>
        <v/>
      </c>
      <c r="BR5">
        <f>IF(BQ5="","",INDEX(DATA_TRANSPORT!$E:$E,BQ5))</f>
        <v/>
      </c>
      <c r="BS5">
        <f>IF(BQ5="","",INDEX(DATA_TRANSPORT!$C:$C,BQ5))</f>
        <v/>
      </c>
      <c r="BT5">
        <f>IF(BQ5="","",TRIM(INDEX(DATA_TRANSPORT!$G:$G,BQ5)&amp;" "&amp;IF(INDEX(DATA_TRANSPORT!$H:$H,BQ5)="","","(bus "&amp;INDEX(DATA_TRANSPORT!$H:$H,BQ5)&amp;")")))</f>
        <v/>
      </c>
      <c r="BU5">
        <f>IF(BQ5="","",IF(INDEX(DATA_TRANSPORT!$V:$V,BQ5)="Breakdown","Breakdown",IF(INDEX(DATA_TRANSPORT!$X:$X,BQ5)="","Needs more buses",INDEX(DATA_TRANSPORT!$X:$X,BQ5))))</f>
        <v/>
      </c>
      <c r="BV5">
        <f>IF(BQ5="","",INDEX(DATA_TRANSPORT!$Y:$Y,BQ5)&amp;"")</f>
        <v/>
      </c>
    </row>
    <row r="6">
      <c r="A6" t="inlineStr">
        <is>
          <t>Area criterion</t>
        </is>
      </c>
      <c r="B6">
        <f>IF(B3="Area",B4,"*")</f>
        <v/>
      </c>
      <c r="AE6">
        <f>IFERROR(IF(INDEX(MASTER_AREAS!$F:$F,5)="N","",INDEX(MASTER_AREAS!$B:$B,5)&amp;""),"")</f>
        <v/>
      </c>
      <c r="AF6">
        <f>IF(OR(AE6="",$B$10=0),0,SUMIFS(DATA_TRANSPORT!$Q:$Q,DATA_TRANSPORT!$A:$A,$B$10,DATA_TRANSPORT!$E:$E,AE6))</f>
        <v/>
      </c>
      <c r="AG6">
        <f>IF(OR(AE6="",$B$10=0),0,SUMIFS(DATA_TRANSPORT!$I:$I,DATA_TRANSPORT!$A:$A,$B$10,DATA_TRANSPORT!$E:$E,AE6,DATA_TRANSPORT!$V:$V,"Ran"))</f>
        <v/>
      </c>
      <c r="AH6">
        <f>IF(OR(AE6="",$B$10=0),0,SUMIFS(DATA_TRANSPORT!$L:$L,DATA_TRANSPORT!$A:$A,$B$10,DATA_TRANSPORT!$E:$E,AE6))</f>
        <v/>
      </c>
      <c r="AI6">
        <f>IF(OR(AE6="",$B$10=0),0,SUMIFS(DATA_TRANSPORT!$R:$R,DATA_TRANSPORT!$A:$A,$B$10,DATA_TRANSPORT!$E:$E,AE6))</f>
        <v/>
      </c>
      <c r="AJ6">
        <f>IF(OR(AE6="",$B$10=0),0,SUMIFS(DATA_TRANSPORT!$S:$S,DATA_TRANSPORT!$A:$A,$B$10,DATA_TRANSPORT!$E:$E,AE6))</f>
        <v/>
      </c>
      <c r="AK6">
        <f>IF(AH6=0,"",AI6/AH6)</f>
        <v/>
      </c>
      <c r="AL6">
        <f>IF(OR(AE6="",$B$10=0),0,SUMIFS(DATA_TRANSPORT!$T:$T,DATA_TRANSPORT!$A:$A,$B$10,DATA_TRANSPORT!$E:$E,AE6))+IF(OR(AE6="",$B$10=0),0,SUMIFS(DATA_TRANSPORT_COSTS!$M:$M,DATA_TRANSPORT_COSTS!$A:$A,$B$10,DATA_TRANSPORT_COSTS!$D:$D,AE6))</f>
        <v/>
      </c>
      <c r="AM6">
        <f>IF(OR(AF6=0,AL6=0),"",AL6/AF6)</f>
        <v/>
      </c>
      <c r="AN6">
        <f>IF(OR(AE6="",$B$10=0),0,SUMIFS(DATA_TRANSPORT!$T:$T,DATA_TRANSPORT!$A:$A,$B$10,DATA_TRANSPORT!$E:$E,AE6,DATA_TRANSPORT!$C:$C,"FT Procured"))</f>
        <v/>
      </c>
      <c r="AO6">
        <f>IF(OR(AE6="",$B$10=0),0,SUMIFS(DATA_TRANSPORT_BUDGET!$G:$G,DATA_TRANSPORT_BUDGET!$A:$A,$B$10,DATA_TRANSPORT_BUDGET!$D:$D,AE6))</f>
        <v/>
      </c>
      <c r="AP6">
        <f>IF(AO6=0,"",AN6-AO6)</f>
        <v/>
      </c>
      <c r="AQ6">
        <f>IF(OR(AE6="",$B$10=0),0,COUNTIFS(DATA_TRANSPORT!$A:$A,$B$10,DATA_TRANSPORT!$E:$E,AE6,DATA_TRANSPORT!$C:$C,"FT Procured",DATA_TRANSPORT!$Z:$Z,"Y"))</f>
        <v/>
      </c>
      <c r="AR6">
        <f>IF(OR(AE6="",$B$10=0),0,SUMIFS(DATA_TRANSPORT_BUDGET!$E:$E,DATA_TRANSPORT_BUDGET!$A:$A,$B$10,DATA_TRANSPORT_BUDGET!$D:$D,AE6))</f>
        <v/>
      </c>
      <c r="AS6">
        <f>IF(OR(AE6="",$B$10=0),0,COUNTIFS(DATA_TRANSPORT!$A:$A,$B$10,DATA_TRANSPORT!$E:$E,AE6,DATA_TRANSPORT!$V:$V,"Breakdown"))</f>
        <v/>
      </c>
      <c r="AT6">
        <f>IF(IF(OR(AE6="",$B$10=0),0,SUMIFS(DATA_TRANSPORT!$L:$L,DATA_TRANSPORT!$A:$A,$B$10-7,DATA_TRANSPORT!$E:$E,AE6))=0,"",IF(OR(AE6="",$B$10=0),0,SUMIFS(DATA_TRANSPORT!$R:$R,DATA_TRANSPORT!$A:$A,$B$10-7,DATA_TRANSPORT!$E:$E,AE6))/IF(OR(AE6="",$B$10=0),0,SUMIFS(DATA_TRANSPORT!$L:$L,DATA_TRANSPORT!$A:$A,$B$10-7,DATA_TRANSPORT!$E:$E,AE6)))</f>
        <v/>
      </c>
      <c r="AU6">
        <f>IF(IF(OR(AE6="",$B$10=0),0,SUMIFS(DATA_TRANSPORT!$L:$L,DATA_TRANSPORT!$A:$A,$B$10-14,DATA_TRANSPORT!$E:$E,AE6))=0,"",IF(OR(AE6="",$B$10=0),0,SUMIFS(DATA_TRANSPORT!$R:$R,DATA_TRANSPORT!$A:$A,$B$10-14,DATA_TRANSPORT!$E:$E,AE6))/IF(OR(AE6="",$B$10=0),0,SUMIFS(DATA_TRANSPORT!$L:$L,DATA_TRANSPORT!$A:$A,$B$10-14,DATA_TRANSPORT!$E:$E,AE6)))</f>
        <v/>
      </c>
      <c r="AV6">
        <f>IF(IF(OR(AE6="",$B$10=0),0,SUMIFS(DATA_TRANSPORT!$L:$L,DATA_TRANSPORT!$A:$A,$B$10-21,DATA_TRANSPORT!$E:$E,AE6))=0,"",IF(OR(AE6="",$B$10=0),0,SUMIFS(DATA_TRANSPORT!$R:$R,DATA_TRANSPORT!$A:$A,$B$10-21,DATA_TRANSPORT!$E:$E,AE6))/IF(OR(AE6="",$B$10=0),0,SUMIFS(DATA_TRANSPORT!$L:$L,DATA_TRANSPORT!$A:$A,$B$10-21,DATA_TRANSPORT!$E:$E,AE6)))</f>
        <v/>
      </c>
      <c r="AW6">
        <f>IF(AND(ISNUMBER(AK6),AK6&lt;UtilLow),1,0)+IF(AND(ISNUMBER(AT6),AT6&lt;UtilLow),1,0)+IF(AND(ISNUMBER(AU6),AU6&lt;UtilLow),1,0)+IF(AND(ISNUMBER(AV6),AV6&lt;UtilLow),1,0)</f>
        <v/>
      </c>
      <c r="AX6">
        <f>IF(AW6&gt;=UtilLowWeeks,AE6&amp;": seats only "&amp;TEXT(AK6,"0%")&amp;" full, under "&amp;TEXT(UtilLow,"0%")&amp;" for "&amp;AW6&amp;" weeks running",IF(AND(AH6&gt;0,AJ6&gt;=AH6*ExcessShare),AE6&amp;": "&amp;TEXT(AJ6,"#,##0")&amp;" riders beyond the seats — consider more buses",IF(AND(ISNUMBER(AP6),AP6&gt;0),AE6&amp;": FT spend ₦"&amp;TEXT(AP6,"#,##0")&amp;" over the weekly budget",IF(AS6&gt;0,AE6&amp;": "&amp;AS6&amp;" coaster breakdown(s) this week",""))))</f>
        <v/>
      </c>
      <c r="AY6">
        <f>IF(ISNUMBER(AK6),AK6+ROW()/1000000000,"")</f>
        <v/>
      </c>
      <c r="AZ6">
        <f>IF(ISNUMBER(AM6),AM6+ROW()/1000000,"")</f>
        <v/>
      </c>
      <c r="BA6">
        <f>IF(AND(ISNUMBER(AP6),AP6&gt;0),AP6+ROW()/1000000,"")</f>
        <v/>
      </c>
      <c r="BB6">
        <f>IF(AF6&gt;0,AF6+ROW()/1000000,"")</f>
        <v/>
      </c>
      <c r="BC6">
        <f>IF(AX6="","",ROW())</f>
        <v/>
      </c>
      <c r="BD6">
        <f>IF(AJ6&gt;0,AJ6+ROW()/1000000,"")</f>
        <v/>
      </c>
      <c r="BF6">
        <f>IFERROR(INDEX($AE$3:$AE$95,MATCH(LARGE($BD$3:$BD$95,4),$BD$3:$BD$95,0)),"")</f>
        <v/>
      </c>
      <c r="BG6">
        <f>IFERROR(INDEX($AJ$3:$AJ$95,MATCH(LARGE($BD$3:$BD$95,4),$BD$3:$BD$95,0)),"")</f>
        <v/>
      </c>
      <c r="BH6">
        <f>IFERROR(INDEX($AE$3:$AE$95,MATCH(SMALL($AY$3:$AY$95,4),$AY$3:$AY$95,0)),"")</f>
        <v/>
      </c>
      <c r="BI6">
        <f>IFERROR(INDEX($AK$3:$AK$95,MATCH(SMALL($AY$3:$AY$95,4),$AY$3:$AY$95,0)),"")</f>
        <v/>
      </c>
      <c r="BJ6">
        <f>IFERROR(INDEX($AE$3:$AE$95,MATCH(LARGE($AZ$3:$AZ$95,4),$AZ$3:$AZ$95,0)),"")</f>
        <v/>
      </c>
      <c r="BK6">
        <f>IFERROR(INDEX($AM$3:$AM$95,MATCH(LARGE($AZ$3:$AZ$95,4),$AZ$3:$AZ$95,0)),"")</f>
        <v/>
      </c>
      <c r="BL6">
        <f>IFERROR(INDEX($AE$3:$AE$95,MATCH(LARGE($BA$3:$BA$95,4),$BA$3:$BA$95,0)),"")</f>
        <v/>
      </c>
      <c r="BM6">
        <f>IFERROR(INDEX($AP$3:$AP$95,MATCH(LARGE($BA$3:$BA$95,4),$BA$3:$BA$95,0)),"")</f>
        <v/>
      </c>
      <c r="BN6">
        <f>IFERROR(INDEX($AE$3:$AE$95,MATCH(LARGE($BB$3:$BB$95,4),$BB$3:$BB$95,0)),"")</f>
        <v/>
      </c>
      <c r="BO6">
        <f>IFERROR(INDEX($AF$3:$AF$95,MATCH(LARGE($BB$3:$BB$95,4),$BB$3:$BB$95,0)),"")</f>
        <v/>
      </c>
      <c r="BP6">
        <f>IFERROR(INDEX($AX$3:$AX$95,SMALL($BC$3:$BC$95,4)-2),"")</f>
        <v/>
      </c>
      <c r="BQ6">
        <f>IFERROR(SMALL(DATA_TRANSPORT!$AE:$AE,4),"")</f>
        <v/>
      </c>
      <c r="BR6">
        <f>IF(BQ6="","",INDEX(DATA_TRANSPORT!$E:$E,BQ6))</f>
        <v/>
      </c>
      <c r="BS6">
        <f>IF(BQ6="","",INDEX(DATA_TRANSPORT!$C:$C,BQ6))</f>
        <v/>
      </c>
      <c r="BT6">
        <f>IF(BQ6="","",TRIM(INDEX(DATA_TRANSPORT!$G:$G,BQ6)&amp;" "&amp;IF(INDEX(DATA_TRANSPORT!$H:$H,BQ6)="","","(bus "&amp;INDEX(DATA_TRANSPORT!$H:$H,BQ6)&amp;")")))</f>
        <v/>
      </c>
      <c r="BU6">
        <f>IF(BQ6="","",IF(INDEX(DATA_TRANSPORT!$V:$V,BQ6)="Breakdown","Breakdown",IF(INDEX(DATA_TRANSPORT!$X:$X,BQ6)="","Needs more buses",INDEX(DATA_TRANSPORT!$X:$X,BQ6))))</f>
        <v/>
      </c>
      <c r="BV6">
        <f>IF(BQ6="","",INDEX(DATA_TRANSPORT!$Y:$Y,BQ6)&amp;"")</f>
        <v/>
      </c>
    </row>
    <row r="7">
      <c r="A7" t="inlineStr">
        <is>
          <t>Zone criterion</t>
        </is>
      </c>
      <c r="B7">
        <f>IF(B3="Zone",B4,"*")</f>
        <v/>
      </c>
      <c r="AE7">
        <f>IFERROR(IF(INDEX(MASTER_AREAS!$F:$F,6)="N","",INDEX(MASTER_AREAS!$B:$B,6)&amp;""),"")</f>
        <v/>
      </c>
      <c r="AF7">
        <f>IF(OR(AE7="",$B$10=0),0,SUMIFS(DATA_TRANSPORT!$Q:$Q,DATA_TRANSPORT!$A:$A,$B$10,DATA_TRANSPORT!$E:$E,AE7))</f>
        <v/>
      </c>
      <c r="AG7">
        <f>IF(OR(AE7="",$B$10=0),0,SUMIFS(DATA_TRANSPORT!$I:$I,DATA_TRANSPORT!$A:$A,$B$10,DATA_TRANSPORT!$E:$E,AE7,DATA_TRANSPORT!$V:$V,"Ran"))</f>
        <v/>
      </c>
      <c r="AH7">
        <f>IF(OR(AE7="",$B$10=0),0,SUMIFS(DATA_TRANSPORT!$L:$L,DATA_TRANSPORT!$A:$A,$B$10,DATA_TRANSPORT!$E:$E,AE7))</f>
        <v/>
      </c>
      <c r="AI7">
        <f>IF(OR(AE7="",$B$10=0),0,SUMIFS(DATA_TRANSPORT!$R:$R,DATA_TRANSPORT!$A:$A,$B$10,DATA_TRANSPORT!$E:$E,AE7))</f>
        <v/>
      </c>
      <c r="AJ7">
        <f>IF(OR(AE7="",$B$10=0),0,SUMIFS(DATA_TRANSPORT!$S:$S,DATA_TRANSPORT!$A:$A,$B$10,DATA_TRANSPORT!$E:$E,AE7))</f>
        <v/>
      </c>
      <c r="AK7">
        <f>IF(AH7=0,"",AI7/AH7)</f>
        <v/>
      </c>
      <c r="AL7">
        <f>IF(OR(AE7="",$B$10=0),0,SUMIFS(DATA_TRANSPORT!$T:$T,DATA_TRANSPORT!$A:$A,$B$10,DATA_TRANSPORT!$E:$E,AE7))+IF(OR(AE7="",$B$10=0),0,SUMIFS(DATA_TRANSPORT_COSTS!$M:$M,DATA_TRANSPORT_COSTS!$A:$A,$B$10,DATA_TRANSPORT_COSTS!$D:$D,AE7))</f>
        <v/>
      </c>
      <c r="AM7">
        <f>IF(OR(AF7=0,AL7=0),"",AL7/AF7)</f>
        <v/>
      </c>
      <c r="AN7">
        <f>IF(OR(AE7="",$B$10=0),0,SUMIFS(DATA_TRANSPORT!$T:$T,DATA_TRANSPORT!$A:$A,$B$10,DATA_TRANSPORT!$E:$E,AE7,DATA_TRANSPORT!$C:$C,"FT Procured"))</f>
        <v/>
      </c>
      <c r="AO7">
        <f>IF(OR(AE7="",$B$10=0),0,SUMIFS(DATA_TRANSPORT_BUDGET!$G:$G,DATA_TRANSPORT_BUDGET!$A:$A,$B$10,DATA_TRANSPORT_BUDGET!$D:$D,AE7))</f>
        <v/>
      </c>
      <c r="AP7">
        <f>IF(AO7=0,"",AN7-AO7)</f>
        <v/>
      </c>
      <c r="AQ7">
        <f>IF(OR(AE7="",$B$10=0),0,COUNTIFS(DATA_TRANSPORT!$A:$A,$B$10,DATA_TRANSPORT!$E:$E,AE7,DATA_TRANSPORT!$C:$C,"FT Procured",DATA_TRANSPORT!$Z:$Z,"Y"))</f>
        <v/>
      </c>
      <c r="AR7">
        <f>IF(OR(AE7="",$B$10=0),0,SUMIFS(DATA_TRANSPORT_BUDGET!$E:$E,DATA_TRANSPORT_BUDGET!$A:$A,$B$10,DATA_TRANSPORT_BUDGET!$D:$D,AE7))</f>
        <v/>
      </c>
      <c r="AS7">
        <f>IF(OR(AE7="",$B$10=0),0,COUNTIFS(DATA_TRANSPORT!$A:$A,$B$10,DATA_TRANSPORT!$E:$E,AE7,DATA_TRANSPORT!$V:$V,"Breakdown"))</f>
        <v/>
      </c>
      <c r="AT7">
        <f>IF(IF(OR(AE7="",$B$10=0),0,SUMIFS(DATA_TRANSPORT!$L:$L,DATA_TRANSPORT!$A:$A,$B$10-7,DATA_TRANSPORT!$E:$E,AE7))=0,"",IF(OR(AE7="",$B$10=0),0,SUMIFS(DATA_TRANSPORT!$R:$R,DATA_TRANSPORT!$A:$A,$B$10-7,DATA_TRANSPORT!$E:$E,AE7))/IF(OR(AE7="",$B$10=0),0,SUMIFS(DATA_TRANSPORT!$L:$L,DATA_TRANSPORT!$A:$A,$B$10-7,DATA_TRANSPORT!$E:$E,AE7)))</f>
        <v/>
      </c>
      <c r="AU7">
        <f>IF(IF(OR(AE7="",$B$10=0),0,SUMIFS(DATA_TRANSPORT!$L:$L,DATA_TRANSPORT!$A:$A,$B$10-14,DATA_TRANSPORT!$E:$E,AE7))=0,"",IF(OR(AE7="",$B$10=0),0,SUMIFS(DATA_TRANSPORT!$R:$R,DATA_TRANSPORT!$A:$A,$B$10-14,DATA_TRANSPORT!$E:$E,AE7))/IF(OR(AE7="",$B$10=0),0,SUMIFS(DATA_TRANSPORT!$L:$L,DATA_TRANSPORT!$A:$A,$B$10-14,DATA_TRANSPORT!$E:$E,AE7)))</f>
        <v/>
      </c>
      <c r="AV7">
        <f>IF(IF(OR(AE7="",$B$10=0),0,SUMIFS(DATA_TRANSPORT!$L:$L,DATA_TRANSPORT!$A:$A,$B$10-21,DATA_TRANSPORT!$E:$E,AE7))=0,"",IF(OR(AE7="",$B$10=0),0,SUMIFS(DATA_TRANSPORT!$R:$R,DATA_TRANSPORT!$A:$A,$B$10-21,DATA_TRANSPORT!$E:$E,AE7))/IF(OR(AE7="",$B$10=0),0,SUMIFS(DATA_TRANSPORT!$L:$L,DATA_TRANSPORT!$A:$A,$B$10-21,DATA_TRANSPORT!$E:$E,AE7)))</f>
        <v/>
      </c>
      <c r="AW7">
        <f>IF(AND(ISNUMBER(AK7),AK7&lt;UtilLow),1,0)+IF(AND(ISNUMBER(AT7),AT7&lt;UtilLow),1,0)+IF(AND(ISNUMBER(AU7),AU7&lt;UtilLow),1,0)+IF(AND(ISNUMBER(AV7),AV7&lt;UtilLow),1,0)</f>
        <v/>
      </c>
      <c r="AX7">
        <f>IF(AW7&gt;=UtilLowWeeks,AE7&amp;": seats only "&amp;TEXT(AK7,"0%")&amp;" full, under "&amp;TEXT(UtilLow,"0%")&amp;" for "&amp;AW7&amp;" weeks running",IF(AND(AH7&gt;0,AJ7&gt;=AH7*ExcessShare),AE7&amp;": "&amp;TEXT(AJ7,"#,##0")&amp;" riders beyond the seats — consider more buses",IF(AND(ISNUMBER(AP7),AP7&gt;0),AE7&amp;": FT spend ₦"&amp;TEXT(AP7,"#,##0")&amp;" over the weekly budget",IF(AS7&gt;0,AE7&amp;": "&amp;AS7&amp;" coaster breakdown(s) this week",""))))</f>
        <v/>
      </c>
      <c r="AY7">
        <f>IF(ISNUMBER(AK7),AK7+ROW()/1000000000,"")</f>
        <v/>
      </c>
      <c r="AZ7">
        <f>IF(ISNUMBER(AM7),AM7+ROW()/1000000,"")</f>
        <v/>
      </c>
      <c r="BA7">
        <f>IF(AND(ISNUMBER(AP7),AP7&gt;0),AP7+ROW()/1000000,"")</f>
        <v/>
      </c>
      <c r="BB7">
        <f>IF(AF7&gt;0,AF7+ROW()/1000000,"")</f>
        <v/>
      </c>
      <c r="BC7">
        <f>IF(AX7="","",ROW())</f>
        <v/>
      </c>
      <c r="BD7">
        <f>IF(AJ7&gt;0,AJ7+ROW()/1000000,"")</f>
        <v/>
      </c>
      <c r="BF7">
        <f>IFERROR(INDEX($AE$3:$AE$95,MATCH(LARGE($BD$3:$BD$95,5),$BD$3:$BD$95,0)),"")</f>
        <v/>
      </c>
      <c r="BG7">
        <f>IFERROR(INDEX($AJ$3:$AJ$95,MATCH(LARGE($BD$3:$BD$95,5),$BD$3:$BD$95,0)),"")</f>
        <v/>
      </c>
      <c r="BH7">
        <f>IFERROR(INDEX($AE$3:$AE$95,MATCH(SMALL($AY$3:$AY$95,5),$AY$3:$AY$95,0)),"")</f>
        <v/>
      </c>
      <c r="BI7">
        <f>IFERROR(INDEX($AK$3:$AK$95,MATCH(SMALL($AY$3:$AY$95,5),$AY$3:$AY$95,0)),"")</f>
        <v/>
      </c>
      <c r="BJ7">
        <f>IFERROR(INDEX($AE$3:$AE$95,MATCH(LARGE($AZ$3:$AZ$95,5),$AZ$3:$AZ$95,0)),"")</f>
        <v/>
      </c>
      <c r="BK7">
        <f>IFERROR(INDEX($AM$3:$AM$95,MATCH(LARGE($AZ$3:$AZ$95,5),$AZ$3:$AZ$95,0)),"")</f>
        <v/>
      </c>
      <c r="BL7">
        <f>IFERROR(INDEX($AE$3:$AE$95,MATCH(LARGE($BA$3:$BA$95,5),$BA$3:$BA$95,0)),"")</f>
        <v/>
      </c>
      <c r="BM7">
        <f>IFERROR(INDEX($AP$3:$AP$95,MATCH(LARGE($BA$3:$BA$95,5),$BA$3:$BA$95,0)),"")</f>
        <v/>
      </c>
      <c r="BN7">
        <f>IFERROR(INDEX($AE$3:$AE$95,MATCH(LARGE($BB$3:$BB$95,5),$BB$3:$BB$95,0)),"")</f>
        <v/>
      </c>
      <c r="BO7">
        <f>IFERROR(INDEX($AF$3:$AF$95,MATCH(LARGE($BB$3:$BB$95,5),$BB$3:$BB$95,0)),"")</f>
        <v/>
      </c>
      <c r="BP7">
        <f>IFERROR(INDEX($AX$3:$AX$95,SMALL($BC$3:$BC$95,5)-2),"")</f>
        <v/>
      </c>
      <c r="BQ7">
        <f>IFERROR(SMALL(DATA_TRANSPORT!$AE:$AE,5),"")</f>
        <v/>
      </c>
      <c r="BR7">
        <f>IF(BQ7="","",INDEX(DATA_TRANSPORT!$E:$E,BQ7))</f>
        <v/>
      </c>
      <c r="BS7">
        <f>IF(BQ7="","",INDEX(DATA_TRANSPORT!$C:$C,BQ7))</f>
        <v/>
      </c>
      <c r="BT7">
        <f>IF(BQ7="","",TRIM(INDEX(DATA_TRANSPORT!$G:$G,BQ7)&amp;" "&amp;IF(INDEX(DATA_TRANSPORT!$H:$H,BQ7)="","","(bus "&amp;INDEX(DATA_TRANSPORT!$H:$H,BQ7)&amp;")")))</f>
        <v/>
      </c>
      <c r="BU7">
        <f>IF(BQ7="","",IF(INDEX(DATA_TRANSPORT!$V:$V,BQ7)="Breakdown","Breakdown",IF(INDEX(DATA_TRANSPORT!$X:$X,BQ7)="","Needs more buses",INDEX(DATA_TRANSPORT!$X:$X,BQ7))))</f>
        <v/>
      </c>
      <c r="BV7">
        <f>IF(BQ7="","",INDEX(DATA_TRANSPORT!$Y:$Y,BQ7)&amp;"")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E8">
        <f>IFERROR(IF(INDEX(MASTER_AREAS!$F:$F,7)="N","",INDEX(MASTER_AREAS!$B:$B,7)&amp;""),"")</f>
        <v/>
      </c>
      <c r="AF8">
        <f>IF(OR(AE8="",$B$10=0),0,SUMIFS(DATA_TRANSPORT!$Q:$Q,DATA_TRANSPORT!$A:$A,$B$10,DATA_TRANSPORT!$E:$E,AE8))</f>
        <v/>
      </c>
      <c r="AG8">
        <f>IF(OR(AE8="",$B$10=0),0,SUMIFS(DATA_TRANSPORT!$I:$I,DATA_TRANSPORT!$A:$A,$B$10,DATA_TRANSPORT!$E:$E,AE8,DATA_TRANSPORT!$V:$V,"Ran"))</f>
        <v/>
      </c>
      <c r="AH8">
        <f>IF(OR(AE8="",$B$10=0),0,SUMIFS(DATA_TRANSPORT!$L:$L,DATA_TRANSPORT!$A:$A,$B$10,DATA_TRANSPORT!$E:$E,AE8))</f>
        <v/>
      </c>
      <c r="AI8">
        <f>IF(OR(AE8="",$B$10=0),0,SUMIFS(DATA_TRANSPORT!$R:$R,DATA_TRANSPORT!$A:$A,$B$10,DATA_TRANSPORT!$E:$E,AE8))</f>
        <v/>
      </c>
      <c r="AJ8">
        <f>IF(OR(AE8="",$B$10=0),0,SUMIFS(DATA_TRANSPORT!$S:$S,DATA_TRANSPORT!$A:$A,$B$10,DATA_TRANSPORT!$E:$E,AE8))</f>
        <v/>
      </c>
      <c r="AK8">
        <f>IF(AH8=0,"",AI8/AH8)</f>
        <v/>
      </c>
      <c r="AL8">
        <f>IF(OR(AE8="",$B$10=0),0,SUMIFS(DATA_TRANSPORT!$T:$T,DATA_TRANSPORT!$A:$A,$B$10,DATA_TRANSPORT!$E:$E,AE8))+IF(OR(AE8="",$B$10=0),0,SUMIFS(DATA_TRANSPORT_COSTS!$M:$M,DATA_TRANSPORT_COSTS!$A:$A,$B$10,DATA_TRANSPORT_COSTS!$D:$D,AE8))</f>
        <v/>
      </c>
      <c r="AM8">
        <f>IF(OR(AF8=0,AL8=0),"",AL8/AF8)</f>
        <v/>
      </c>
      <c r="AN8">
        <f>IF(OR(AE8="",$B$10=0),0,SUMIFS(DATA_TRANSPORT!$T:$T,DATA_TRANSPORT!$A:$A,$B$10,DATA_TRANSPORT!$E:$E,AE8,DATA_TRANSPORT!$C:$C,"FT Procured"))</f>
        <v/>
      </c>
      <c r="AO8">
        <f>IF(OR(AE8="",$B$10=0),0,SUMIFS(DATA_TRANSPORT_BUDGET!$G:$G,DATA_TRANSPORT_BUDGET!$A:$A,$B$10,DATA_TRANSPORT_BUDGET!$D:$D,AE8))</f>
        <v/>
      </c>
      <c r="AP8">
        <f>IF(AO8=0,"",AN8-AO8)</f>
        <v/>
      </c>
      <c r="AQ8">
        <f>IF(OR(AE8="",$B$10=0),0,COUNTIFS(DATA_TRANSPORT!$A:$A,$B$10,DATA_TRANSPORT!$E:$E,AE8,DATA_TRANSPORT!$C:$C,"FT Procured",DATA_TRANSPORT!$Z:$Z,"Y"))</f>
        <v/>
      </c>
      <c r="AR8">
        <f>IF(OR(AE8="",$B$10=0),0,SUMIFS(DATA_TRANSPORT_BUDGET!$E:$E,DATA_TRANSPORT_BUDGET!$A:$A,$B$10,DATA_TRANSPORT_BUDGET!$D:$D,AE8))</f>
        <v/>
      </c>
      <c r="AS8">
        <f>IF(OR(AE8="",$B$10=0),0,COUNTIFS(DATA_TRANSPORT!$A:$A,$B$10,DATA_TRANSPORT!$E:$E,AE8,DATA_TRANSPORT!$V:$V,"Breakdown"))</f>
        <v/>
      </c>
      <c r="AT8">
        <f>IF(IF(OR(AE8="",$B$10=0),0,SUMIFS(DATA_TRANSPORT!$L:$L,DATA_TRANSPORT!$A:$A,$B$10-7,DATA_TRANSPORT!$E:$E,AE8))=0,"",IF(OR(AE8="",$B$10=0),0,SUMIFS(DATA_TRANSPORT!$R:$R,DATA_TRANSPORT!$A:$A,$B$10-7,DATA_TRANSPORT!$E:$E,AE8))/IF(OR(AE8="",$B$10=0),0,SUMIFS(DATA_TRANSPORT!$L:$L,DATA_TRANSPORT!$A:$A,$B$10-7,DATA_TRANSPORT!$E:$E,AE8)))</f>
        <v/>
      </c>
      <c r="AU8">
        <f>IF(IF(OR(AE8="",$B$10=0),0,SUMIFS(DATA_TRANSPORT!$L:$L,DATA_TRANSPORT!$A:$A,$B$10-14,DATA_TRANSPORT!$E:$E,AE8))=0,"",IF(OR(AE8="",$B$10=0),0,SUMIFS(DATA_TRANSPORT!$R:$R,DATA_TRANSPORT!$A:$A,$B$10-14,DATA_TRANSPORT!$E:$E,AE8))/IF(OR(AE8="",$B$10=0),0,SUMIFS(DATA_TRANSPORT!$L:$L,DATA_TRANSPORT!$A:$A,$B$10-14,DATA_TRANSPORT!$E:$E,AE8)))</f>
        <v/>
      </c>
      <c r="AV8">
        <f>IF(IF(OR(AE8="",$B$10=0),0,SUMIFS(DATA_TRANSPORT!$L:$L,DATA_TRANSPORT!$A:$A,$B$10-21,DATA_TRANSPORT!$E:$E,AE8))=0,"",IF(OR(AE8="",$B$10=0),0,SUMIFS(DATA_TRANSPORT!$R:$R,DATA_TRANSPORT!$A:$A,$B$10-21,DATA_TRANSPORT!$E:$E,AE8))/IF(OR(AE8="",$B$10=0),0,SUMIFS(DATA_TRANSPORT!$L:$L,DATA_TRANSPORT!$A:$A,$B$10-21,DATA_TRANSPORT!$E:$E,AE8)))</f>
        <v/>
      </c>
      <c r="AW8">
        <f>IF(AND(ISNUMBER(AK8),AK8&lt;UtilLow),1,0)+IF(AND(ISNUMBER(AT8),AT8&lt;UtilLow),1,0)+IF(AND(ISNUMBER(AU8),AU8&lt;UtilLow),1,0)+IF(AND(ISNUMBER(AV8),AV8&lt;UtilLow),1,0)</f>
        <v/>
      </c>
      <c r="AX8">
        <f>IF(AW8&gt;=UtilLowWeeks,AE8&amp;": seats only "&amp;TEXT(AK8,"0%")&amp;" full, under "&amp;TEXT(UtilLow,"0%")&amp;" for "&amp;AW8&amp;" weeks running",IF(AND(AH8&gt;0,AJ8&gt;=AH8*ExcessShare),AE8&amp;": "&amp;TEXT(AJ8,"#,##0")&amp;" riders beyond the seats — consider more buses",IF(AND(ISNUMBER(AP8),AP8&gt;0),AE8&amp;": FT spend ₦"&amp;TEXT(AP8,"#,##0")&amp;" over the weekly budget",IF(AS8&gt;0,AE8&amp;": "&amp;AS8&amp;" coaster breakdown(s) this week",""))))</f>
        <v/>
      </c>
      <c r="AY8">
        <f>IF(ISNUMBER(AK8),AK8+ROW()/1000000000,"")</f>
        <v/>
      </c>
      <c r="AZ8">
        <f>IF(ISNUMBER(AM8),AM8+ROW()/1000000,"")</f>
        <v/>
      </c>
      <c r="BA8">
        <f>IF(AND(ISNUMBER(AP8),AP8&gt;0),AP8+ROW()/1000000,"")</f>
        <v/>
      </c>
      <c r="BB8">
        <f>IF(AF8&gt;0,AF8+ROW()/1000000,"")</f>
        <v/>
      </c>
      <c r="BC8">
        <f>IF(AX8="","",ROW())</f>
        <v/>
      </c>
      <c r="BD8">
        <f>IF(AJ8&gt;0,AJ8+ROW()/1000000,"")</f>
        <v/>
      </c>
      <c r="BF8">
        <f>IFERROR(INDEX($AE$3:$AE$95,MATCH(LARGE($BD$3:$BD$95,6),$BD$3:$BD$95,0)),"")</f>
        <v/>
      </c>
      <c r="BG8">
        <f>IFERROR(INDEX($AJ$3:$AJ$95,MATCH(LARGE($BD$3:$BD$95,6),$BD$3:$BD$95,0)),"")</f>
        <v/>
      </c>
      <c r="BH8">
        <f>IFERROR(INDEX($AE$3:$AE$95,MATCH(SMALL($AY$3:$AY$95,6),$AY$3:$AY$95,0)),"")</f>
        <v/>
      </c>
      <c r="BI8">
        <f>IFERROR(INDEX($AK$3:$AK$95,MATCH(SMALL($AY$3:$AY$95,6),$AY$3:$AY$95,0)),"")</f>
        <v/>
      </c>
      <c r="BJ8">
        <f>IFERROR(INDEX($AE$3:$AE$95,MATCH(LARGE($AZ$3:$AZ$95,6),$AZ$3:$AZ$95,0)),"")</f>
        <v/>
      </c>
      <c r="BK8">
        <f>IFERROR(INDEX($AM$3:$AM$95,MATCH(LARGE($AZ$3:$AZ$95,6),$AZ$3:$AZ$95,0)),"")</f>
        <v/>
      </c>
      <c r="BL8">
        <f>IFERROR(INDEX($AE$3:$AE$95,MATCH(LARGE($BA$3:$BA$95,6),$BA$3:$BA$95,0)),"")</f>
        <v/>
      </c>
      <c r="BM8">
        <f>IFERROR(INDEX($AP$3:$AP$95,MATCH(LARGE($BA$3:$BA$95,6),$BA$3:$BA$95,0)),"")</f>
        <v/>
      </c>
      <c r="BN8">
        <f>IFERROR(INDEX($AE$3:$AE$95,MATCH(LARGE($BB$3:$BB$95,6),$BB$3:$BB$95,0)),"")</f>
        <v/>
      </c>
      <c r="BO8">
        <f>IFERROR(INDEX($AF$3:$AF$95,MATCH(LARGE($BB$3:$BB$95,6),$BB$3:$BB$95,0)),"")</f>
        <v/>
      </c>
      <c r="BP8">
        <f>IFERROR(INDEX($AX$3:$AX$95,SMALL($BC$3:$BC$95,6)-2),"")</f>
        <v/>
      </c>
      <c r="BQ8">
        <f>IFERROR(SMALL(DATA_TRANSPORT!$AE:$AE,6),"")</f>
        <v/>
      </c>
      <c r="BR8">
        <f>IF(BQ8="","",INDEX(DATA_TRANSPORT!$E:$E,BQ8))</f>
        <v/>
      </c>
      <c r="BS8">
        <f>IF(BQ8="","",INDEX(DATA_TRANSPORT!$C:$C,BQ8))</f>
        <v/>
      </c>
      <c r="BT8">
        <f>IF(BQ8="","",TRIM(INDEX(DATA_TRANSPORT!$G:$G,BQ8)&amp;" "&amp;IF(INDEX(DATA_TRANSPORT!$H:$H,BQ8)="","","(bus "&amp;INDEX(DATA_TRANSPORT!$H:$H,BQ8)&amp;")")))</f>
        <v/>
      </c>
      <c r="BU8">
        <f>IF(BQ8="","",IF(INDEX(DATA_TRANSPORT!$V:$V,BQ8)="Breakdown","Breakdown",IF(INDEX(DATA_TRANSPORT!$X:$X,BQ8)="","Needs more buses",INDEX(DATA_TRANSPORT!$X:$X,BQ8))))</f>
        <v/>
      </c>
      <c r="BV8">
        <f>IF(BQ8="","",INDEX(DATA_TRANSPORT!$Y:$Y,BQ8)&amp;"")</f>
        <v/>
      </c>
    </row>
    <row r="9">
      <c r="A9" t="inlineStr">
        <is>
          <t>Latest week with data</t>
        </is>
      </c>
      <c r="B9" s="284">
        <f>MAX(DATA_TRANSPORT!$A:$A)</f>
        <v/>
      </c>
      <c r="AE9">
        <f>IFERROR(IF(INDEX(MASTER_AREAS!$F:$F,8)="N","",INDEX(MASTER_AREAS!$B:$B,8)&amp;""),"")</f>
        <v/>
      </c>
      <c r="AF9">
        <f>IF(OR(AE9="",$B$10=0),0,SUMIFS(DATA_TRANSPORT!$Q:$Q,DATA_TRANSPORT!$A:$A,$B$10,DATA_TRANSPORT!$E:$E,AE9))</f>
        <v/>
      </c>
      <c r="AG9">
        <f>IF(OR(AE9="",$B$10=0),0,SUMIFS(DATA_TRANSPORT!$I:$I,DATA_TRANSPORT!$A:$A,$B$10,DATA_TRANSPORT!$E:$E,AE9,DATA_TRANSPORT!$V:$V,"Ran"))</f>
        <v/>
      </c>
      <c r="AH9">
        <f>IF(OR(AE9="",$B$10=0),0,SUMIFS(DATA_TRANSPORT!$L:$L,DATA_TRANSPORT!$A:$A,$B$10,DATA_TRANSPORT!$E:$E,AE9))</f>
        <v/>
      </c>
      <c r="AI9">
        <f>IF(OR(AE9="",$B$10=0),0,SUMIFS(DATA_TRANSPORT!$R:$R,DATA_TRANSPORT!$A:$A,$B$10,DATA_TRANSPORT!$E:$E,AE9))</f>
        <v/>
      </c>
      <c r="AJ9">
        <f>IF(OR(AE9="",$B$10=0),0,SUMIFS(DATA_TRANSPORT!$S:$S,DATA_TRANSPORT!$A:$A,$B$10,DATA_TRANSPORT!$E:$E,AE9))</f>
        <v/>
      </c>
      <c r="AK9">
        <f>IF(AH9=0,"",AI9/AH9)</f>
        <v/>
      </c>
      <c r="AL9">
        <f>IF(OR(AE9="",$B$10=0),0,SUMIFS(DATA_TRANSPORT!$T:$T,DATA_TRANSPORT!$A:$A,$B$10,DATA_TRANSPORT!$E:$E,AE9))+IF(OR(AE9="",$B$10=0),0,SUMIFS(DATA_TRANSPORT_COSTS!$M:$M,DATA_TRANSPORT_COSTS!$A:$A,$B$10,DATA_TRANSPORT_COSTS!$D:$D,AE9))</f>
        <v/>
      </c>
      <c r="AM9">
        <f>IF(OR(AF9=0,AL9=0),"",AL9/AF9)</f>
        <v/>
      </c>
      <c r="AN9">
        <f>IF(OR(AE9="",$B$10=0),0,SUMIFS(DATA_TRANSPORT!$T:$T,DATA_TRANSPORT!$A:$A,$B$10,DATA_TRANSPORT!$E:$E,AE9,DATA_TRANSPORT!$C:$C,"FT Procured"))</f>
        <v/>
      </c>
      <c r="AO9">
        <f>IF(OR(AE9="",$B$10=0),0,SUMIFS(DATA_TRANSPORT_BUDGET!$G:$G,DATA_TRANSPORT_BUDGET!$A:$A,$B$10,DATA_TRANSPORT_BUDGET!$D:$D,AE9))</f>
        <v/>
      </c>
      <c r="AP9">
        <f>IF(AO9=0,"",AN9-AO9)</f>
        <v/>
      </c>
      <c r="AQ9">
        <f>IF(OR(AE9="",$B$10=0),0,COUNTIFS(DATA_TRANSPORT!$A:$A,$B$10,DATA_TRANSPORT!$E:$E,AE9,DATA_TRANSPORT!$C:$C,"FT Procured",DATA_TRANSPORT!$Z:$Z,"Y"))</f>
        <v/>
      </c>
      <c r="AR9">
        <f>IF(OR(AE9="",$B$10=0),0,SUMIFS(DATA_TRANSPORT_BUDGET!$E:$E,DATA_TRANSPORT_BUDGET!$A:$A,$B$10,DATA_TRANSPORT_BUDGET!$D:$D,AE9))</f>
        <v/>
      </c>
      <c r="AS9">
        <f>IF(OR(AE9="",$B$10=0),0,COUNTIFS(DATA_TRANSPORT!$A:$A,$B$10,DATA_TRANSPORT!$E:$E,AE9,DATA_TRANSPORT!$V:$V,"Breakdown"))</f>
        <v/>
      </c>
      <c r="AT9">
        <f>IF(IF(OR(AE9="",$B$10=0),0,SUMIFS(DATA_TRANSPORT!$L:$L,DATA_TRANSPORT!$A:$A,$B$10-7,DATA_TRANSPORT!$E:$E,AE9))=0,"",IF(OR(AE9="",$B$10=0),0,SUMIFS(DATA_TRANSPORT!$R:$R,DATA_TRANSPORT!$A:$A,$B$10-7,DATA_TRANSPORT!$E:$E,AE9))/IF(OR(AE9="",$B$10=0),0,SUMIFS(DATA_TRANSPORT!$L:$L,DATA_TRANSPORT!$A:$A,$B$10-7,DATA_TRANSPORT!$E:$E,AE9)))</f>
        <v/>
      </c>
      <c r="AU9">
        <f>IF(IF(OR(AE9="",$B$10=0),0,SUMIFS(DATA_TRANSPORT!$L:$L,DATA_TRANSPORT!$A:$A,$B$10-14,DATA_TRANSPORT!$E:$E,AE9))=0,"",IF(OR(AE9="",$B$10=0),0,SUMIFS(DATA_TRANSPORT!$R:$R,DATA_TRANSPORT!$A:$A,$B$10-14,DATA_TRANSPORT!$E:$E,AE9))/IF(OR(AE9="",$B$10=0),0,SUMIFS(DATA_TRANSPORT!$L:$L,DATA_TRANSPORT!$A:$A,$B$10-14,DATA_TRANSPORT!$E:$E,AE9)))</f>
        <v/>
      </c>
      <c r="AV9">
        <f>IF(IF(OR(AE9="",$B$10=0),0,SUMIFS(DATA_TRANSPORT!$L:$L,DATA_TRANSPORT!$A:$A,$B$10-21,DATA_TRANSPORT!$E:$E,AE9))=0,"",IF(OR(AE9="",$B$10=0),0,SUMIFS(DATA_TRANSPORT!$R:$R,DATA_TRANSPORT!$A:$A,$B$10-21,DATA_TRANSPORT!$E:$E,AE9))/IF(OR(AE9="",$B$10=0),0,SUMIFS(DATA_TRANSPORT!$L:$L,DATA_TRANSPORT!$A:$A,$B$10-21,DATA_TRANSPORT!$E:$E,AE9)))</f>
        <v/>
      </c>
      <c r="AW9">
        <f>IF(AND(ISNUMBER(AK9),AK9&lt;UtilLow),1,0)+IF(AND(ISNUMBER(AT9),AT9&lt;UtilLow),1,0)+IF(AND(ISNUMBER(AU9),AU9&lt;UtilLow),1,0)+IF(AND(ISNUMBER(AV9),AV9&lt;UtilLow),1,0)</f>
        <v/>
      </c>
      <c r="AX9">
        <f>IF(AW9&gt;=UtilLowWeeks,AE9&amp;": seats only "&amp;TEXT(AK9,"0%")&amp;" full, under "&amp;TEXT(UtilLow,"0%")&amp;" for "&amp;AW9&amp;" weeks running",IF(AND(AH9&gt;0,AJ9&gt;=AH9*ExcessShare),AE9&amp;": "&amp;TEXT(AJ9,"#,##0")&amp;" riders beyond the seats — consider more buses",IF(AND(ISNUMBER(AP9),AP9&gt;0),AE9&amp;": FT spend ₦"&amp;TEXT(AP9,"#,##0")&amp;" over the weekly budget",IF(AS9&gt;0,AE9&amp;": "&amp;AS9&amp;" coaster breakdown(s) this week",""))))</f>
        <v/>
      </c>
      <c r="AY9">
        <f>IF(ISNUMBER(AK9),AK9+ROW()/1000000000,"")</f>
        <v/>
      </c>
      <c r="AZ9">
        <f>IF(ISNUMBER(AM9),AM9+ROW()/1000000,"")</f>
        <v/>
      </c>
      <c r="BA9">
        <f>IF(AND(ISNUMBER(AP9),AP9&gt;0),AP9+ROW()/1000000,"")</f>
        <v/>
      </c>
      <c r="BB9">
        <f>IF(AF9&gt;0,AF9+ROW()/1000000,"")</f>
        <v/>
      </c>
      <c r="BC9">
        <f>IF(AX9="","",ROW())</f>
        <v/>
      </c>
      <c r="BD9">
        <f>IF(AJ9&gt;0,AJ9+ROW()/1000000,"")</f>
        <v/>
      </c>
      <c r="BF9">
        <f>IFERROR(INDEX($AE$3:$AE$95,MATCH(LARGE($BD$3:$BD$95,7),$BD$3:$BD$95,0)),"")</f>
        <v/>
      </c>
      <c r="BG9">
        <f>IFERROR(INDEX($AJ$3:$AJ$95,MATCH(LARGE($BD$3:$BD$95,7),$BD$3:$BD$95,0)),"")</f>
        <v/>
      </c>
      <c r="BH9">
        <f>IFERROR(INDEX($AE$3:$AE$95,MATCH(SMALL($AY$3:$AY$95,7),$AY$3:$AY$95,0)),"")</f>
        <v/>
      </c>
      <c r="BI9">
        <f>IFERROR(INDEX($AK$3:$AK$95,MATCH(SMALL($AY$3:$AY$95,7),$AY$3:$AY$95,0)),"")</f>
        <v/>
      </c>
      <c r="BJ9">
        <f>IFERROR(INDEX($AE$3:$AE$95,MATCH(LARGE($AZ$3:$AZ$95,7),$AZ$3:$AZ$95,0)),"")</f>
        <v/>
      </c>
      <c r="BK9">
        <f>IFERROR(INDEX($AM$3:$AM$95,MATCH(LARGE($AZ$3:$AZ$95,7),$AZ$3:$AZ$95,0)),"")</f>
        <v/>
      </c>
      <c r="BL9">
        <f>IFERROR(INDEX($AE$3:$AE$95,MATCH(LARGE($BA$3:$BA$95,7),$BA$3:$BA$95,0)),"")</f>
        <v/>
      </c>
      <c r="BM9">
        <f>IFERROR(INDEX($AP$3:$AP$95,MATCH(LARGE($BA$3:$BA$95,7),$BA$3:$BA$95,0)),"")</f>
        <v/>
      </c>
      <c r="BN9">
        <f>IFERROR(INDEX($AE$3:$AE$95,MATCH(LARGE($BB$3:$BB$95,7),$BB$3:$BB$95,0)),"")</f>
        <v/>
      </c>
      <c r="BO9">
        <f>IFERROR(INDEX($AF$3:$AF$95,MATCH(LARGE($BB$3:$BB$95,7),$BB$3:$BB$95,0)),"")</f>
        <v/>
      </c>
      <c r="BP9">
        <f>IFERROR(INDEX($AX$3:$AX$95,SMALL($BC$3:$BC$95,7)-2),"")</f>
        <v/>
      </c>
      <c r="BQ9">
        <f>IFERROR(SMALL(DATA_TRANSPORT!$AE:$AE,7),"")</f>
        <v/>
      </c>
      <c r="BR9">
        <f>IF(BQ9="","",INDEX(DATA_TRANSPORT!$E:$E,BQ9))</f>
        <v/>
      </c>
      <c r="BS9">
        <f>IF(BQ9="","",INDEX(DATA_TRANSPORT!$C:$C,BQ9))</f>
        <v/>
      </c>
      <c r="BT9">
        <f>IF(BQ9="","",TRIM(INDEX(DATA_TRANSPORT!$G:$G,BQ9)&amp;" "&amp;IF(INDEX(DATA_TRANSPORT!$H:$H,BQ9)="","","(bus "&amp;INDEX(DATA_TRANSPORT!$H:$H,BQ9)&amp;")")))</f>
        <v/>
      </c>
      <c r="BU9">
        <f>IF(BQ9="","",IF(INDEX(DATA_TRANSPORT!$V:$V,BQ9)="Breakdown","Breakdown",IF(INDEX(DATA_TRANSPORT!$X:$X,BQ9)="","Needs more buses",INDEX(DATA_TRANSPORT!$X:$X,BQ9))))</f>
        <v/>
      </c>
      <c r="BV9">
        <f>IF(BQ9="","",INDEX(DATA_TRANSPORT!$Y:$Y,BQ9)&amp;"")</f>
        <v/>
      </c>
    </row>
    <row r="10">
      <c r="A10" t="inlineStr">
        <is>
          <t>Selected week</t>
        </is>
      </c>
      <c r="B10" s="284">
        <f>IF(ISNUMBER('TRANSPORT DASHBOARD'!I4),'TRANSPORT DASHBOARD'!I4,B9)</f>
        <v/>
      </c>
      <c r="AE10">
        <f>IFERROR(IF(INDEX(MASTER_AREAS!$F:$F,9)="N","",INDEX(MASTER_AREAS!$B:$B,9)&amp;""),"")</f>
        <v/>
      </c>
      <c r="AF10">
        <f>IF(OR(AE10="",$B$10=0),0,SUMIFS(DATA_TRANSPORT!$Q:$Q,DATA_TRANSPORT!$A:$A,$B$10,DATA_TRANSPORT!$E:$E,AE10))</f>
        <v/>
      </c>
      <c r="AG10">
        <f>IF(OR(AE10="",$B$10=0),0,SUMIFS(DATA_TRANSPORT!$I:$I,DATA_TRANSPORT!$A:$A,$B$10,DATA_TRANSPORT!$E:$E,AE10,DATA_TRANSPORT!$V:$V,"Ran"))</f>
        <v/>
      </c>
      <c r="AH10">
        <f>IF(OR(AE10="",$B$10=0),0,SUMIFS(DATA_TRANSPORT!$L:$L,DATA_TRANSPORT!$A:$A,$B$10,DATA_TRANSPORT!$E:$E,AE10))</f>
        <v/>
      </c>
      <c r="AI10">
        <f>IF(OR(AE10="",$B$10=0),0,SUMIFS(DATA_TRANSPORT!$R:$R,DATA_TRANSPORT!$A:$A,$B$10,DATA_TRANSPORT!$E:$E,AE10))</f>
        <v/>
      </c>
      <c r="AJ10">
        <f>IF(OR(AE10="",$B$10=0),0,SUMIFS(DATA_TRANSPORT!$S:$S,DATA_TRANSPORT!$A:$A,$B$10,DATA_TRANSPORT!$E:$E,AE10))</f>
        <v/>
      </c>
      <c r="AK10">
        <f>IF(AH10=0,"",AI10/AH10)</f>
        <v/>
      </c>
      <c r="AL10">
        <f>IF(OR(AE10="",$B$10=0),0,SUMIFS(DATA_TRANSPORT!$T:$T,DATA_TRANSPORT!$A:$A,$B$10,DATA_TRANSPORT!$E:$E,AE10))+IF(OR(AE10="",$B$10=0),0,SUMIFS(DATA_TRANSPORT_COSTS!$M:$M,DATA_TRANSPORT_COSTS!$A:$A,$B$10,DATA_TRANSPORT_COSTS!$D:$D,AE10))</f>
        <v/>
      </c>
      <c r="AM10">
        <f>IF(OR(AF10=0,AL10=0),"",AL10/AF10)</f>
        <v/>
      </c>
      <c r="AN10">
        <f>IF(OR(AE10="",$B$10=0),0,SUMIFS(DATA_TRANSPORT!$T:$T,DATA_TRANSPORT!$A:$A,$B$10,DATA_TRANSPORT!$E:$E,AE10,DATA_TRANSPORT!$C:$C,"FT Procured"))</f>
        <v/>
      </c>
      <c r="AO10">
        <f>IF(OR(AE10="",$B$10=0),0,SUMIFS(DATA_TRANSPORT_BUDGET!$G:$G,DATA_TRANSPORT_BUDGET!$A:$A,$B$10,DATA_TRANSPORT_BUDGET!$D:$D,AE10))</f>
        <v/>
      </c>
      <c r="AP10">
        <f>IF(AO10=0,"",AN10-AO10)</f>
        <v/>
      </c>
      <c r="AQ10">
        <f>IF(OR(AE10="",$B$10=0),0,COUNTIFS(DATA_TRANSPORT!$A:$A,$B$10,DATA_TRANSPORT!$E:$E,AE10,DATA_TRANSPORT!$C:$C,"FT Procured",DATA_TRANSPORT!$Z:$Z,"Y"))</f>
        <v/>
      </c>
      <c r="AR10">
        <f>IF(OR(AE10="",$B$10=0),0,SUMIFS(DATA_TRANSPORT_BUDGET!$E:$E,DATA_TRANSPORT_BUDGET!$A:$A,$B$10,DATA_TRANSPORT_BUDGET!$D:$D,AE10))</f>
        <v/>
      </c>
      <c r="AS10">
        <f>IF(OR(AE10="",$B$10=0),0,COUNTIFS(DATA_TRANSPORT!$A:$A,$B$10,DATA_TRANSPORT!$E:$E,AE10,DATA_TRANSPORT!$V:$V,"Breakdown"))</f>
        <v/>
      </c>
      <c r="AT10">
        <f>IF(IF(OR(AE10="",$B$10=0),0,SUMIFS(DATA_TRANSPORT!$L:$L,DATA_TRANSPORT!$A:$A,$B$10-7,DATA_TRANSPORT!$E:$E,AE10))=0,"",IF(OR(AE10="",$B$10=0),0,SUMIFS(DATA_TRANSPORT!$R:$R,DATA_TRANSPORT!$A:$A,$B$10-7,DATA_TRANSPORT!$E:$E,AE10))/IF(OR(AE10="",$B$10=0),0,SUMIFS(DATA_TRANSPORT!$L:$L,DATA_TRANSPORT!$A:$A,$B$10-7,DATA_TRANSPORT!$E:$E,AE10)))</f>
        <v/>
      </c>
      <c r="AU10">
        <f>IF(IF(OR(AE10="",$B$10=0),0,SUMIFS(DATA_TRANSPORT!$L:$L,DATA_TRANSPORT!$A:$A,$B$10-14,DATA_TRANSPORT!$E:$E,AE10))=0,"",IF(OR(AE10="",$B$10=0),0,SUMIFS(DATA_TRANSPORT!$R:$R,DATA_TRANSPORT!$A:$A,$B$10-14,DATA_TRANSPORT!$E:$E,AE10))/IF(OR(AE10="",$B$10=0),0,SUMIFS(DATA_TRANSPORT!$L:$L,DATA_TRANSPORT!$A:$A,$B$10-14,DATA_TRANSPORT!$E:$E,AE10)))</f>
        <v/>
      </c>
      <c r="AV10">
        <f>IF(IF(OR(AE10="",$B$10=0),0,SUMIFS(DATA_TRANSPORT!$L:$L,DATA_TRANSPORT!$A:$A,$B$10-21,DATA_TRANSPORT!$E:$E,AE10))=0,"",IF(OR(AE10="",$B$10=0),0,SUMIFS(DATA_TRANSPORT!$R:$R,DATA_TRANSPORT!$A:$A,$B$10-21,DATA_TRANSPORT!$E:$E,AE10))/IF(OR(AE10="",$B$10=0),0,SUMIFS(DATA_TRANSPORT!$L:$L,DATA_TRANSPORT!$A:$A,$B$10-21,DATA_TRANSPORT!$E:$E,AE10)))</f>
        <v/>
      </c>
      <c r="AW10">
        <f>IF(AND(ISNUMBER(AK10),AK10&lt;UtilLow),1,0)+IF(AND(ISNUMBER(AT10),AT10&lt;UtilLow),1,0)+IF(AND(ISNUMBER(AU10),AU10&lt;UtilLow),1,0)+IF(AND(ISNUMBER(AV10),AV10&lt;UtilLow),1,0)</f>
        <v/>
      </c>
      <c r="AX10">
        <f>IF(AW10&gt;=UtilLowWeeks,AE10&amp;": seats only "&amp;TEXT(AK10,"0%")&amp;" full, under "&amp;TEXT(UtilLow,"0%")&amp;" for "&amp;AW10&amp;" weeks running",IF(AND(AH10&gt;0,AJ10&gt;=AH10*ExcessShare),AE10&amp;": "&amp;TEXT(AJ10,"#,##0")&amp;" riders beyond the seats — consider more buses",IF(AND(ISNUMBER(AP10),AP10&gt;0),AE10&amp;": FT spend ₦"&amp;TEXT(AP10,"#,##0")&amp;" over the weekly budget",IF(AS10&gt;0,AE10&amp;": "&amp;AS10&amp;" coaster breakdown(s) this week",""))))</f>
        <v/>
      </c>
      <c r="AY10">
        <f>IF(ISNUMBER(AK10),AK10+ROW()/1000000000,"")</f>
        <v/>
      </c>
      <c r="AZ10">
        <f>IF(ISNUMBER(AM10),AM10+ROW()/1000000,"")</f>
        <v/>
      </c>
      <c r="BA10">
        <f>IF(AND(ISNUMBER(AP10),AP10&gt;0),AP10+ROW()/1000000,"")</f>
        <v/>
      </c>
      <c r="BB10">
        <f>IF(AF10&gt;0,AF10+ROW()/1000000,"")</f>
        <v/>
      </c>
      <c r="BC10">
        <f>IF(AX10="","",ROW())</f>
        <v/>
      </c>
      <c r="BD10">
        <f>IF(AJ10&gt;0,AJ10+ROW()/1000000,"")</f>
        <v/>
      </c>
      <c r="BF10">
        <f>IFERROR(INDEX($AE$3:$AE$95,MATCH(LARGE($BD$3:$BD$95,8),$BD$3:$BD$95,0)),"")</f>
        <v/>
      </c>
      <c r="BG10">
        <f>IFERROR(INDEX($AJ$3:$AJ$95,MATCH(LARGE($BD$3:$BD$95,8),$BD$3:$BD$95,0)),"")</f>
        <v/>
      </c>
      <c r="BH10">
        <f>IFERROR(INDEX($AE$3:$AE$95,MATCH(SMALL($AY$3:$AY$95,8),$AY$3:$AY$95,0)),"")</f>
        <v/>
      </c>
      <c r="BI10">
        <f>IFERROR(INDEX($AK$3:$AK$95,MATCH(SMALL($AY$3:$AY$95,8),$AY$3:$AY$95,0)),"")</f>
        <v/>
      </c>
      <c r="BJ10">
        <f>IFERROR(INDEX($AE$3:$AE$95,MATCH(LARGE($AZ$3:$AZ$95,8),$AZ$3:$AZ$95,0)),"")</f>
        <v/>
      </c>
      <c r="BK10">
        <f>IFERROR(INDEX($AM$3:$AM$95,MATCH(LARGE($AZ$3:$AZ$95,8),$AZ$3:$AZ$95,0)),"")</f>
        <v/>
      </c>
      <c r="BL10">
        <f>IFERROR(INDEX($AE$3:$AE$95,MATCH(LARGE($BA$3:$BA$95,8),$BA$3:$BA$95,0)),"")</f>
        <v/>
      </c>
      <c r="BM10">
        <f>IFERROR(INDEX($AP$3:$AP$95,MATCH(LARGE($BA$3:$BA$95,8),$BA$3:$BA$95,0)),"")</f>
        <v/>
      </c>
      <c r="BN10">
        <f>IFERROR(INDEX($AE$3:$AE$95,MATCH(LARGE($BB$3:$BB$95,8),$BB$3:$BB$95,0)),"")</f>
        <v/>
      </c>
      <c r="BO10">
        <f>IFERROR(INDEX($AF$3:$AF$95,MATCH(LARGE($BB$3:$BB$95,8),$BB$3:$BB$95,0)),"")</f>
        <v/>
      </c>
      <c r="BP10">
        <f>IFERROR(INDEX($AX$3:$AX$95,SMALL($BC$3:$BC$95,8)-2),"")</f>
        <v/>
      </c>
      <c r="BQ10">
        <f>IFERROR(SMALL(DATA_TRANSPORT!$AE:$AE,8),"")</f>
        <v/>
      </c>
      <c r="BR10">
        <f>IF(BQ10="","",INDEX(DATA_TRANSPORT!$E:$E,BQ10))</f>
        <v/>
      </c>
      <c r="BS10">
        <f>IF(BQ10="","",INDEX(DATA_TRANSPORT!$C:$C,BQ10))</f>
        <v/>
      </c>
      <c r="BT10">
        <f>IF(BQ10="","",TRIM(INDEX(DATA_TRANSPORT!$G:$G,BQ10)&amp;" "&amp;IF(INDEX(DATA_TRANSPORT!$H:$H,BQ10)="","","(bus "&amp;INDEX(DATA_TRANSPORT!$H:$H,BQ10)&amp;")")))</f>
        <v/>
      </c>
      <c r="BU10">
        <f>IF(BQ10="","",IF(INDEX(DATA_TRANSPORT!$V:$V,BQ10)="Breakdown","Breakdown",IF(INDEX(DATA_TRANSPORT!$X:$X,BQ10)="","Needs more buses",INDEX(DATA_TRANSPORT!$X:$X,BQ10))))</f>
        <v/>
      </c>
      <c r="BV10">
        <f>IF(BQ10="","",INDEX(DATA_TRANSPORT!$Y:$Y,BQ10)&amp;"")</f>
        <v/>
      </c>
    </row>
    <row r="11">
      <c r="A11" t="inlineStr">
        <is>
          <t>Window N (weeks)</t>
        </is>
      </c>
      <c r="B11">
        <f>IF(ISNUMBER('TRANSPORT DASHBOARD'!K4),'TRANSPORT DASHBOARD'!K4,DefaultWindow)</f>
        <v/>
      </c>
      <c r="AE11">
        <f>IFERROR(IF(INDEX(MASTER_AREAS!$F:$F,10)="N","",INDEX(MASTER_AREAS!$B:$B,10)&amp;""),"")</f>
        <v/>
      </c>
      <c r="AF11">
        <f>IF(OR(AE11="",$B$10=0),0,SUMIFS(DATA_TRANSPORT!$Q:$Q,DATA_TRANSPORT!$A:$A,$B$10,DATA_TRANSPORT!$E:$E,AE11))</f>
        <v/>
      </c>
      <c r="AG11">
        <f>IF(OR(AE11="",$B$10=0),0,SUMIFS(DATA_TRANSPORT!$I:$I,DATA_TRANSPORT!$A:$A,$B$10,DATA_TRANSPORT!$E:$E,AE11,DATA_TRANSPORT!$V:$V,"Ran"))</f>
        <v/>
      </c>
      <c r="AH11">
        <f>IF(OR(AE11="",$B$10=0),0,SUMIFS(DATA_TRANSPORT!$L:$L,DATA_TRANSPORT!$A:$A,$B$10,DATA_TRANSPORT!$E:$E,AE11))</f>
        <v/>
      </c>
      <c r="AI11">
        <f>IF(OR(AE11="",$B$10=0),0,SUMIFS(DATA_TRANSPORT!$R:$R,DATA_TRANSPORT!$A:$A,$B$10,DATA_TRANSPORT!$E:$E,AE11))</f>
        <v/>
      </c>
      <c r="AJ11">
        <f>IF(OR(AE11="",$B$10=0),0,SUMIFS(DATA_TRANSPORT!$S:$S,DATA_TRANSPORT!$A:$A,$B$10,DATA_TRANSPORT!$E:$E,AE11))</f>
        <v/>
      </c>
      <c r="AK11">
        <f>IF(AH11=0,"",AI11/AH11)</f>
        <v/>
      </c>
      <c r="AL11">
        <f>IF(OR(AE11="",$B$10=0),0,SUMIFS(DATA_TRANSPORT!$T:$T,DATA_TRANSPORT!$A:$A,$B$10,DATA_TRANSPORT!$E:$E,AE11))+IF(OR(AE11="",$B$10=0),0,SUMIFS(DATA_TRANSPORT_COSTS!$M:$M,DATA_TRANSPORT_COSTS!$A:$A,$B$10,DATA_TRANSPORT_COSTS!$D:$D,AE11))</f>
        <v/>
      </c>
      <c r="AM11">
        <f>IF(OR(AF11=0,AL11=0),"",AL11/AF11)</f>
        <v/>
      </c>
      <c r="AN11">
        <f>IF(OR(AE11="",$B$10=0),0,SUMIFS(DATA_TRANSPORT!$T:$T,DATA_TRANSPORT!$A:$A,$B$10,DATA_TRANSPORT!$E:$E,AE11,DATA_TRANSPORT!$C:$C,"FT Procured"))</f>
        <v/>
      </c>
      <c r="AO11">
        <f>IF(OR(AE11="",$B$10=0),0,SUMIFS(DATA_TRANSPORT_BUDGET!$G:$G,DATA_TRANSPORT_BUDGET!$A:$A,$B$10,DATA_TRANSPORT_BUDGET!$D:$D,AE11))</f>
        <v/>
      </c>
      <c r="AP11">
        <f>IF(AO11=0,"",AN11-AO11)</f>
        <v/>
      </c>
      <c r="AQ11">
        <f>IF(OR(AE11="",$B$10=0),0,COUNTIFS(DATA_TRANSPORT!$A:$A,$B$10,DATA_TRANSPORT!$E:$E,AE11,DATA_TRANSPORT!$C:$C,"FT Procured",DATA_TRANSPORT!$Z:$Z,"Y"))</f>
        <v/>
      </c>
      <c r="AR11">
        <f>IF(OR(AE11="",$B$10=0),0,SUMIFS(DATA_TRANSPORT_BUDGET!$E:$E,DATA_TRANSPORT_BUDGET!$A:$A,$B$10,DATA_TRANSPORT_BUDGET!$D:$D,AE11))</f>
        <v/>
      </c>
      <c r="AS11">
        <f>IF(OR(AE11="",$B$10=0),0,COUNTIFS(DATA_TRANSPORT!$A:$A,$B$10,DATA_TRANSPORT!$E:$E,AE11,DATA_TRANSPORT!$V:$V,"Breakdown"))</f>
        <v/>
      </c>
      <c r="AT11">
        <f>IF(IF(OR(AE11="",$B$10=0),0,SUMIFS(DATA_TRANSPORT!$L:$L,DATA_TRANSPORT!$A:$A,$B$10-7,DATA_TRANSPORT!$E:$E,AE11))=0,"",IF(OR(AE11="",$B$10=0),0,SUMIFS(DATA_TRANSPORT!$R:$R,DATA_TRANSPORT!$A:$A,$B$10-7,DATA_TRANSPORT!$E:$E,AE11))/IF(OR(AE11="",$B$10=0),0,SUMIFS(DATA_TRANSPORT!$L:$L,DATA_TRANSPORT!$A:$A,$B$10-7,DATA_TRANSPORT!$E:$E,AE11)))</f>
        <v/>
      </c>
      <c r="AU11">
        <f>IF(IF(OR(AE11="",$B$10=0),0,SUMIFS(DATA_TRANSPORT!$L:$L,DATA_TRANSPORT!$A:$A,$B$10-14,DATA_TRANSPORT!$E:$E,AE11))=0,"",IF(OR(AE11="",$B$10=0),0,SUMIFS(DATA_TRANSPORT!$R:$R,DATA_TRANSPORT!$A:$A,$B$10-14,DATA_TRANSPORT!$E:$E,AE11))/IF(OR(AE11="",$B$10=0),0,SUMIFS(DATA_TRANSPORT!$L:$L,DATA_TRANSPORT!$A:$A,$B$10-14,DATA_TRANSPORT!$E:$E,AE11)))</f>
        <v/>
      </c>
      <c r="AV11">
        <f>IF(IF(OR(AE11="",$B$10=0),0,SUMIFS(DATA_TRANSPORT!$L:$L,DATA_TRANSPORT!$A:$A,$B$10-21,DATA_TRANSPORT!$E:$E,AE11))=0,"",IF(OR(AE11="",$B$10=0),0,SUMIFS(DATA_TRANSPORT!$R:$R,DATA_TRANSPORT!$A:$A,$B$10-21,DATA_TRANSPORT!$E:$E,AE11))/IF(OR(AE11="",$B$10=0),0,SUMIFS(DATA_TRANSPORT!$L:$L,DATA_TRANSPORT!$A:$A,$B$10-21,DATA_TRANSPORT!$E:$E,AE11)))</f>
        <v/>
      </c>
      <c r="AW11">
        <f>IF(AND(ISNUMBER(AK11),AK11&lt;UtilLow),1,0)+IF(AND(ISNUMBER(AT11),AT11&lt;UtilLow),1,0)+IF(AND(ISNUMBER(AU11),AU11&lt;UtilLow),1,0)+IF(AND(ISNUMBER(AV11),AV11&lt;UtilLow),1,0)</f>
        <v/>
      </c>
      <c r="AX11">
        <f>IF(AW11&gt;=UtilLowWeeks,AE11&amp;": seats only "&amp;TEXT(AK11,"0%")&amp;" full, under "&amp;TEXT(UtilLow,"0%")&amp;" for "&amp;AW11&amp;" weeks running",IF(AND(AH11&gt;0,AJ11&gt;=AH11*ExcessShare),AE11&amp;": "&amp;TEXT(AJ11,"#,##0")&amp;" riders beyond the seats — consider more buses",IF(AND(ISNUMBER(AP11),AP11&gt;0),AE11&amp;": FT spend ₦"&amp;TEXT(AP11,"#,##0")&amp;" over the weekly budget",IF(AS11&gt;0,AE11&amp;": "&amp;AS11&amp;" coaster breakdown(s) this week",""))))</f>
        <v/>
      </c>
      <c r="AY11">
        <f>IF(ISNUMBER(AK11),AK11+ROW()/1000000000,"")</f>
        <v/>
      </c>
      <c r="AZ11">
        <f>IF(ISNUMBER(AM11),AM11+ROW()/1000000,"")</f>
        <v/>
      </c>
      <c r="BA11">
        <f>IF(AND(ISNUMBER(AP11),AP11&gt;0),AP11+ROW()/1000000,"")</f>
        <v/>
      </c>
      <c r="BB11">
        <f>IF(AF11&gt;0,AF11+ROW()/1000000,"")</f>
        <v/>
      </c>
      <c r="BC11">
        <f>IF(AX11="","",ROW())</f>
        <v/>
      </c>
      <c r="BD11">
        <f>IF(AJ11&gt;0,AJ11+ROW()/1000000,"")</f>
        <v/>
      </c>
      <c r="BF11">
        <f>IFERROR(INDEX($AE$3:$AE$95,MATCH(LARGE($BD$3:$BD$95,9),$BD$3:$BD$95,0)),"")</f>
        <v/>
      </c>
      <c r="BG11">
        <f>IFERROR(INDEX($AJ$3:$AJ$95,MATCH(LARGE($BD$3:$BD$95,9),$BD$3:$BD$95,0)),"")</f>
        <v/>
      </c>
      <c r="BH11">
        <f>IFERROR(INDEX($AE$3:$AE$95,MATCH(SMALL($AY$3:$AY$95,9),$AY$3:$AY$95,0)),"")</f>
        <v/>
      </c>
      <c r="BI11">
        <f>IFERROR(INDEX($AK$3:$AK$95,MATCH(SMALL($AY$3:$AY$95,9),$AY$3:$AY$95,0)),"")</f>
        <v/>
      </c>
      <c r="BJ11">
        <f>IFERROR(INDEX($AE$3:$AE$95,MATCH(LARGE($AZ$3:$AZ$95,9),$AZ$3:$AZ$95,0)),"")</f>
        <v/>
      </c>
      <c r="BK11">
        <f>IFERROR(INDEX($AM$3:$AM$95,MATCH(LARGE($AZ$3:$AZ$95,9),$AZ$3:$AZ$95,0)),"")</f>
        <v/>
      </c>
      <c r="BL11">
        <f>IFERROR(INDEX($AE$3:$AE$95,MATCH(LARGE($BA$3:$BA$95,9),$BA$3:$BA$95,0)),"")</f>
        <v/>
      </c>
      <c r="BM11">
        <f>IFERROR(INDEX($AP$3:$AP$95,MATCH(LARGE($BA$3:$BA$95,9),$BA$3:$BA$95,0)),"")</f>
        <v/>
      </c>
      <c r="BN11">
        <f>IFERROR(INDEX($AE$3:$AE$95,MATCH(LARGE($BB$3:$BB$95,9),$BB$3:$BB$95,0)),"")</f>
        <v/>
      </c>
      <c r="BO11">
        <f>IFERROR(INDEX($AF$3:$AF$95,MATCH(LARGE($BB$3:$BB$95,9),$BB$3:$BB$95,0)),"")</f>
        <v/>
      </c>
      <c r="BP11">
        <f>IFERROR(INDEX($AX$3:$AX$95,SMALL($BC$3:$BC$95,9)-2),"")</f>
        <v/>
      </c>
      <c r="BQ11">
        <f>IFERROR(SMALL(DATA_TRANSPORT!$AE:$AE,9),"")</f>
        <v/>
      </c>
      <c r="BR11">
        <f>IF(BQ11="","",INDEX(DATA_TRANSPORT!$E:$E,BQ11))</f>
        <v/>
      </c>
      <c r="BS11">
        <f>IF(BQ11="","",INDEX(DATA_TRANSPORT!$C:$C,BQ11))</f>
        <v/>
      </c>
      <c r="BT11">
        <f>IF(BQ11="","",TRIM(INDEX(DATA_TRANSPORT!$G:$G,BQ11)&amp;" "&amp;IF(INDEX(DATA_TRANSPORT!$H:$H,BQ11)="","","(bus "&amp;INDEX(DATA_TRANSPORT!$H:$H,BQ11)&amp;")")))</f>
        <v/>
      </c>
      <c r="BU11">
        <f>IF(BQ11="","",IF(INDEX(DATA_TRANSPORT!$V:$V,BQ11)="Breakdown","Breakdown",IF(INDEX(DATA_TRANSPORT!$X:$X,BQ11)="","Needs more buses",INDEX(DATA_TRANSPORT!$X:$X,BQ11))))</f>
        <v/>
      </c>
      <c r="BV11">
        <f>IF(BQ11="","",INDEX(DATA_TRANSPORT!$Y:$Y,BQ11)&amp;"")</f>
        <v/>
      </c>
    </row>
    <row r="12">
      <c r="A12" t="inlineStr">
        <is>
          <t>Selected month</t>
        </is>
      </c>
      <c r="B12">
        <f>IF(B10=0,0,MONTH(B10))</f>
        <v/>
      </c>
      <c r="AE12">
        <f>IFERROR(IF(INDEX(MASTER_AREAS!$F:$F,11)="N","",INDEX(MASTER_AREAS!$B:$B,11)&amp;""),"")</f>
        <v/>
      </c>
      <c r="AF12">
        <f>IF(OR(AE12="",$B$10=0),0,SUMIFS(DATA_TRANSPORT!$Q:$Q,DATA_TRANSPORT!$A:$A,$B$10,DATA_TRANSPORT!$E:$E,AE12))</f>
        <v/>
      </c>
      <c r="AG12">
        <f>IF(OR(AE12="",$B$10=0),0,SUMIFS(DATA_TRANSPORT!$I:$I,DATA_TRANSPORT!$A:$A,$B$10,DATA_TRANSPORT!$E:$E,AE12,DATA_TRANSPORT!$V:$V,"Ran"))</f>
        <v/>
      </c>
      <c r="AH12">
        <f>IF(OR(AE12="",$B$10=0),0,SUMIFS(DATA_TRANSPORT!$L:$L,DATA_TRANSPORT!$A:$A,$B$10,DATA_TRANSPORT!$E:$E,AE12))</f>
        <v/>
      </c>
      <c r="AI12">
        <f>IF(OR(AE12="",$B$10=0),0,SUMIFS(DATA_TRANSPORT!$R:$R,DATA_TRANSPORT!$A:$A,$B$10,DATA_TRANSPORT!$E:$E,AE12))</f>
        <v/>
      </c>
      <c r="AJ12">
        <f>IF(OR(AE12="",$B$10=0),0,SUMIFS(DATA_TRANSPORT!$S:$S,DATA_TRANSPORT!$A:$A,$B$10,DATA_TRANSPORT!$E:$E,AE12))</f>
        <v/>
      </c>
      <c r="AK12">
        <f>IF(AH12=0,"",AI12/AH12)</f>
        <v/>
      </c>
      <c r="AL12">
        <f>IF(OR(AE12="",$B$10=0),0,SUMIFS(DATA_TRANSPORT!$T:$T,DATA_TRANSPORT!$A:$A,$B$10,DATA_TRANSPORT!$E:$E,AE12))+IF(OR(AE12="",$B$10=0),0,SUMIFS(DATA_TRANSPORT_COSTS!$M:$M,DATA_TRANSPORT_COSTS!$A:$A,$B$10,DATA_TRANSPORT_COSTS!$D:$D,AE12))</f>
        <v/>
      </c>
      <c r="AM12">
        <f>IF(OR(AF12=0,AL12=0),"",AL12/AF12)</f>
        <v/>
      </c>
      <c r="AN12">
        <f>IF(OR(AE12="",$B$10=0),0,SUMIFS(DATA_TRANSPORT!$T:$T,DATA_TRANSPORT!$A:$A,$B$10,DATA_TRANSPORT!$E:$E,AE12,DATA_TRANSPORT!$C:$C,"FT Procured"))</f>
        <v/>
      </c>
      <c r="AO12">
        <f>IF(OR(AE12="",$B$10=0),0,SUMIFS(DATA_TRANSPORT_BUDGET!$G:$G,DATA_TRANSPORT_BUDGET!$A:$A,$B$10,DATA_TRANSPORT_BUDGET!$D:$D,AE12))</f>
        <v/>
      </c>
      <c r="AP12">
        <f>IF(AO12=0,"",AN12-AO12)</f>
        <v/>
      </c>
      <c r="AQ12">
        <f>IF(OR(AE12="",$B$10=0),0,COUNTIFS(DATA_TRANSPORT!$A:$A,$B$10,DATA_TRANSPORT!$E:$E,AE12,DATA_TRANSPORT!$C:$C,"FT Procured",DATA_TRANSPORT!$Z:$Z,"Y"))</f>
        <v/>
      </c>
      <c r="AR12">
        <f>IF(OR(AE12="",$B$10=0),0,SUMIFS(DATA_TRANSPORT_BUDGET!$E:$E,DATA_TRANSPORT_BUDGET!$A:$A,$B$10,DATA_TRANSPORT_BUDGET!$D:$D,AE12))</f>
        <v/>
      </c>
      <c r="AS12">
        <f>IF(OR(AE12="",$B$10=0),0,COUNTIFS(DATA_TRANSPORT!$A:$A,$B$10,DATA_TRANSPORT!$E:$E,AE12,DATA_TRANSPORT!$V:$V,"Breakdown"))</f>
        <v/>
      </c>
      <c r="AT12">
        <f>IF(IF(OR(AE12="",$B$10=0),0,SUMIFS(DATA_TRANSPORT!$L:$L,DATA_TRANSPORT!$A:$A,$B$10-7,DATA_TRANSPORT!$E:$E,AE12))=0,"",IF(OR(AE12="",$B$10=0),0,SUMIFS(DATA_TRANSPORT!$R:$R,DATA_TRANSPORT!$A:$A,$B$10-7,DATA_TRANSPORT!$E:$E,AE12))/IF(OR(AE12="",$B$10=0),0,SUMIFS(DATA_TRANSPORT!$L:$L,DATA_TRANSPORT!$A:$A,$B$10-7,DATA_TRANSPORT!$E:$E,AE12)))</f>
        <v/>
      </c>
      <c r="AU12">
        <f>IF(IF(OR(AE12="",$B$10=0),0,SUMIFS(DATA_TRANSPORT!$L:$L,DATA_TRANSPORT!$A:$A,$B$10-14,DATA_TRANSPORT!$E:$E,AE12))=0,"",IF(OR(AE12="",$B$10=0),0,SUMIFS(DATA_TRANSPORT!$R:$R,DATA_TRANSPORT!$A:$A,$B$10-14,DATA_TRANSPORT!$E:$E,AE12))/IF(OR(AE12="",$B$10=0),0,SUMIFS(DATA_TRANSPORT!$L:$L,DATA_TRANSPORT!$A:$A,$B$10-14,DATA_TRANSPORT!$E:$E,AE12)))</f>
        <v/>
      </c>
      <c r="AV12">
        <f>IF(IF(OR(AE12="",$B$10=0),0,SUMIFS(DATA_TRANSPORT!$L:$L,DATA_TRANSPORT!$A:$A,$B$10-21,DATA_TRANSPORT!$E:$E,AE12))=0,"",IF(OR(AE12="",$B$10=0),0,SUMIFS(DATA_TRANSPORT!$R:$R,DATA_TRANSPORT!$A:$A,$B$10-21,DATA_TRANSPORT!$E:$E,AE12))/IF(OR(AE12="",$B$10=0),0,SUMIFS(DATA_TRANSPORT!$L:$L,DATA_TRANSPORT!$A:$A,$B$10-21,DATA_TRANSPORT!$E:$E,AE12)))</f>
        <v/>
      </c>
      <c r="AW12">
        <f>IF(AND(ISNUMBER(AK12),AK12&lt;UtilLow),1,0)+IF(AND(ISNUMBER(AT12),AT12&lt;UtilLow),1,0)+IF(AND(ISNUMBER(AU12),AU12&lt;UtilLow),1,0)+IF(AND(ISNUMBER(AV12),AV12&lt;UtilLow),1,0)</f>
        <v/>
      </c>
      <c r="AX12">
        <f>IF(AW12&gt;=UtilLowWeeks,AE12&amp;": seats only "&amp;TEXT(AK12,"0%")&amp;" full, under "&amp;TEXT(UtilLow,"0%")&amp;" for "&amp;AW12&amp;" weeks running",IF(AND(AH12&gt;0,AJ12&gt;=AH12*ExcessShare),AE12&amp;": "&amp;TEXT(AJ12,"#,##0")&amp;" riders beyond the seats — consider more buses",IF(AND(ISNUMBER(AP12),AP12&gt;0),AE12&amp;": FT spend ₦"&amp;TEXT(AP12,"#,##0")&amp;" over the weekly budget",IF(AS12&gt;0,AE12&amp;": "&amp;AS12&amp;" coaster breakdown(s) this week",""))))</f>
        <v/>
      </c>
      <c r="AY12">
        <f>IF(ISNUMBER(AK12),AK12+ROW()/1000000000,"")</f>
        <v/>
      </c>
      <c r="AZ12">
        <f>IF(ISNUMBER(AM12),AM12+ROW()/1000000,"")</f>
        <v/>
      </c>
      <c r="BA12">
        <f>IF(AND(ISNUMBER(AP12),AP12&gt;0),AP12+ROW()/1000000,"")</f>
        <v/>
      </c>
      <c r="BB12">
        <f>IF(AF12&gt;0,AF12+ROW()/1000000,"")</f>
        <v/>
      </c>
      <c r="BC12">
        <f>IF(AX12="","",ROW())</f>
        <v/>
      </c>
      <c r="BD12">
        <f>IF(AJ12&gt;0,AJ12+ROW()/1000000,"")</f>
        <v/>
      </c>
      <c r="BF12">
        <f>IFERROR(INDEX($AE$3:$AE$95,MATCH(LARGE($BD$3:$BD$95,10),$BD$3:$BD$95,0)),"")</f>
        <v/>
      </c>
      <c r="BG12">
        <f>IFERROR(INDEX($AJ$3:$AJ$95,MATCH(LARGE($BD$3:$BD$95,10),$BD$3:$BD$95,0)),"")</f>
        <v/>
      </c>
      <c r="BH12">
        <f>IFERROR(INDEX($AE$3:$AE$95,MATCH(SMALL($AY$3:$AY$95,10),$AY$3:$AY$95,0)),"")</f>
        <v/>
      </c>
      <c r="BI12">
        <f>IFERROR(INDEX($AK$3:$AK$95,MATCH(SMALL($AY$3:$AY$95,10),$AY$3:$AY$95,0)),"")</f>
        <v/>
      </c>
      <c r="BJ12">
        <f>IFERROR(INDEX($AE$3:$AE$95,MATCH(LARGE($AZ$3:$AZ$95,10),$AZ$3:$AZ$95,0)),"")</f>
        <v/>
      </c>
      <c r="BK12">
        <f>IFERROR(INDEX($AM$3:$AM$95,MATCH(LARGE($AZ$3:$AZ$95,10),$AZ$3:$AZ$95,0)),"")</f>
        <v/>
      </c>
      <c r="BL12">
        <f>IFERROR(INDEX($AE$3:$AE$95,MATCH(LARGE($BA$3:$BA$95,10),$BA$3:$BA$95,0)),"")</f>
        <v/>
      </c>
      <c r="BM12">
        <f>IFERROR(INDEX($AP$3:$AP$95,MATCH(LARGE($BA$3:$BA$95,10),$BA$3:$BA$95,0)),"")</f>
        <v/>
      </c>
      <c r="BN12">
        <f>IFERROR(INDEX($AE$3:$AE$95,MATCH(LARGE($BB$3:$BB$95,10),$BB$3:$BB$95,0)),"")</f>
        <v/>
      </c>
      <c r="BO12">
        <f>IFERROR(INDEX($AF$3:$AF$95,MATCH(LARGE($BB$3:$BB$95,10),$BB$3:$BB$95,0)),"")</f>
        <v/>
      </c>
      <c r="BP12">
        <f>IFERROR(INDEX($AX$3:$AX$95,SMALL($BC$3:$BC$95,10)-2),"")</f>
        <v/>
      </c>
      <c r="BQ12">
        <f>IFERROR(SMALL(DATA_TRANSPORT!$AE:$AE,10),"")</f>
        <v/>
      </c>
      <c r="BR12">
        <f>IF(BQ12="","",INDEX(DATA_TRANSPORT!$E:$E,BQ12))</f>
        <v/>
      </c>
      <c r="BS12">
        <f>IF(BQ12="","",INDEX(DATA_TRANSPORT!$C:$C,BQ12))</f>
        <v/>
      </c>
      <c r="BT12">
        <f>IF(BQ12="","",TRIM(INDEX(DATA_TRANSPORT!$G:$G,BQ12)&amp;" "&amp;IF(INDEX(DATA_TRANSPORT!$H:$H,BQ12)="","","(bus "&amp;INDEX(DATA_TRANSPORT!$H:$H,BQ12)&amp;")")))</f>
        <v/>
      </c>
      <c r="BU12">
        <f>IF(BQ12="","",IF(INDEX(DATA_TRANSPORT!$V:$V,BQ12)="Breakdown","Breakdown",IF(INDEX(DATA_TRANSPORT!$X:$X,BQ12)="","Needs more buses",INDEX(DATA_TRANSPORT!$X:$X,BQ12))))</f>
        <v/>
      </c>
      <c r="BV12">
        <f>IF(BQ12="","",INDEX(DATA_TRANSPORT!$Y:$Y,BQ12)&amp;"")</f>
        <v/>
      </c>
    </row>
    <row r="13">
      <c r="A13" t="inlineStr">
        <is>
          <t>Selected quarter</t>
        </is>
      </c>
      <c r="B13">
        <f>IF(B10=0,0,ROUNDUP(MONTH(B10)/3,0))</f>
        <v/>
      </c>
      <c r="AE13">
        <f>IFERROR(IF(INDEX(MASTER_AREAS!$F:$F,12)="N","",INDEX(MASTER_AREAS!$B:$B,12)&amp;""),"")</f>
        <v/>
      </c>
      <c r="AF13">
        <f>IF(OR(AE13="",$B$10=0),0,SUMIFS(DATA_TRANSPORT!$Q:$Q,DATA_TRANSPORT!$A:$A,$B$10,DATA_TRANSPORT!$E:$E,AE13))</f>
        <v/>
      </c>
      <c r="AG13">
        <f>IF(OR(AE13="",$B$10=0),0,SUMIFS(DATA_TRANSPORT!$I:$I,DATA_TRANSPORT!$A:$A,$B$10,DATA_TRANSPORT!$E:$E,AE13,DATA_TRANSPORT!$V:$V,"Ran"))</f>
        <v/>
      </c>
      <c r="AH13">
        <f>IF(OR(AE13="",$B$10=0),0,SUMIFS(DATA_TRANSPORT!$L:$L,DATA_TRANSPORT!$A:$A,$B$10,DATA_TRANSPORT!$E:$E,AE13))</f>
        <v/>
      </c>
      <c r="AI13">
        <f>IF(OR(AE13="",$B$10=0),0,SUMIFS(DATA_TRANSPORT!$R:$R,DATA_TRANSPORT!$A:$A,$B$10,DATA_TRANSPORT!$E:$E,AE13))</f>
        <v/>
      </c>
      <c r="AJ13">
        <f>IF(OR(AE13="",$B$10=0),0,SUMIFS(DATA_TRANSPORT!$S:$S,DATA_TRANSPORT!$A:$A,$B$10,DATA_TRANSPORT!$E:$E,AE13))</f>
        <v/>
      </c>
      <c r="AK13">
        <f>IF(AH13=0,"",AI13/AH13)</f>
        <v/>
      </c>
      <c r="AL13">
        <f>IF(OR(AE13="",$B$10=0),0,SUMIFS(DATA_TRANSPORT!$T:$T,DATA_TRANSPORT!$A:$A,$B$10,DATA_TRANSPORT!$E:$E,AE13))+IF(OR(AE13="",$B$10=0),0,SUMIFS(DATA_TRANSPORT_COSTS!$M:$M,DATA_TRANSPORT_COSTS!$A:$A,$B$10,DATA_TRANSPORT_COSTS!$D:$D,AE13))</f>
        <v/>
      </c>
      <c r="AM13">
        <f>IF(OR(AF13=0,AL13=0),"",AL13/AF13)</f>
        <v/>
      </c>
      <c r="AN13">
        <f>IF(OR(AE13="",$B$10=0),0,SUMIFS(DATA_TRANSPORT!$T:$T,DATA_TRANSPORT!$A:$A,$B$10,DATA_TRANSPORT!$E:$E,AE13,DATA_TRANSPORT!$C:$C,"FT Procured"))</f>
        <v/>
      </c>
      <c r="AO13">
        <f>IF(OR(AE13="",$B$10=0),0,SUMIFS(DATA_TRANSPORT_BUDGET!$G:$G,DATA_TRANSPORT_BUDGET!$A:$A,$B$10,DATA_TRANSPORT_BUDGET!$D:$D,AE13))</f>
        <v/>
      </c>
      <c r="AP13">
        <f>IF(AO13=0,"",AN13-AO13)</f>
        <v/>
      </c>
      <c r="AQ13">
        <f>IF(OR(AE13="",$B$10=0),0,COUNTIFS(DATA_TRANSPORT!$A:$A,$B$10,DATA_TRANSPORT!$E:$E,AE13,DATA_TRANSPORT!$C:$C,"FT Procured",DATA_TRANSPORT!$Z:$Z,"Y"))</f>
        <v/>
      </c>
      <c r="AR13">
        <f>IF(OR(AE13="",$B$10=0),0,SUMIFS(DATA_TRANSPORT_BUDGET!$E:$E,DATA_TRANSPORT_BUDGET!$A:$A,$B$10,DATA_TRANSPORT_BUDGET!$D:$D,AE13))</f>
        <v/>
      </c>
      <c r="AS13">
        <f>IF(OR(AE13="",$B$10=0),0,COUNTIFS(DATA_TRANSPORT!$A:$A,$B$10,DATA_TRANSPORT!$E:$E,AE13,DATA_TRANSPORT!$V:$V,"Breakdown"))</f>
        <v/>
      </c>
      <c r="AT13">
        <f>IF(IF(OR(AE13="",$B$10=0),0,SUMIFS(DATA_TRANSPORT!$L:$L,DATA_TRANSPORT!$A:$A,$B$10-7,DATA_TRANSPORT!$E:$E,AE13))=0,"",IF(OR(AE13="",$B$10=0),0,SUMIFS(DATA_TRANSPORT!$R:$R,DATA_TRANSPORT!$A:$A,$B$10-7,DATA_TRANSPORT!$E:$E,AE13))/IF(OR(AE13="",$B$10=0),0,SUMIFS(DATA_TRANSPORT!$L:$L,DATA_TRANSPORT!$A:$A,$B$10-7,DATA_TRANSPORT!$E:$E,AE13)))</f>
        <v/>
      </c>
      <c r="AU13">
        <f>IF(IF(OR(AE13="",$B$10=0),0,SUMIFS(DATA_TRANSPORT!$L:$L,DATA_TRANSPORT!$A:$A,$B$10-14,DATA_TRANSPORT!$E:$E,AE13))=0,"",IF(OR(AE13="",$B$10=0),0,SUMIFS(DATA_TRANSPORT!$R:$R,DATA_TRANSPORT!$A:$A,$B$10-14,DATA_TRANSPORT!$E:$E,AE13))/IF(OR(AE13="",$B$10=0),0,SUMIFS(DATA_TRANSPORT!$L:$L,DATA_TRANSPORT!$A:$A,$B$10-14,DATA_TRANSPORT!$E:$E,AE13)))</f>
        <v/>
      </c>
      <c r="AV13">
        <f>IF(IF(OR(AE13="",$B$10=0),0,SUMIFS(DATA_TRANSPORT!$L:$L,DATA_TRANSPORT!$A:$A,$B$10-21,DATA_TRANSPORT!$E:$E,AE13))=0,"",IF(OR(AE13="",$B$10=0),0,SUMIFS(DATA_TRANSPORT!$R:$R,DATA_TRANSPORT!$A:$A,$B$10-21,DATA_TRANSPORT!$E:$E,AE13))/IF(OR(AE13="",$B$10=0),0,SUMIFS(DATA_TRANSPORT!$L:$L,DATA_TRANSPORT!$A:$A,$B$10-21,DATA_TRANSPORT!$E:$E,AE13)))</f>
        <v/>
      </c>
      <c r="AW13">
        <f>IF(AND(ISNUMBER(AK13),AK13&lt;UtilLow),1,0)+IF(AND(ISNUMBER(AT13),AT13&lt;UtilLow),1,0)+IF(AND(ISNUMBER(AU13),AU13&lt;UtilLow),1,0)+IF(AND(ISNUMBER(AV13),AV13&lt;UtilLow),1,0)</f>
        <v/>
      </c>
      <c r="AX13">
        <f>IF(AW13&gt;=UtilLowWeeks,AE13&amp;": seats only "&amp;TEXT(AK13,"0%")&amp;" full, under "&amp;TEXT(UtilLow,"0%")&amp;" for "&amp;AW13&amp;" weeks running",IF(AND(AH13&gt;0,AJ13&gt;=AH13*ExcessShare),AE13&amp;": "&amp;TEXT(AJ13,"#,##0")&amp;" riders beyond the seats — consider more buses",IF(AND(ISNUMBER(AP13),AP13&gt;0),AE13&amp;": FT spend ₦"&amp;TEXT(AP13,"#,##0")&amp;" over the weekly budget",IF(AS13&gt;0,AE13&amp;": "&amp;AS13&amp;" coaster breakdown(s) this week",""))))</f>
        <v/>
      </c>
      <c r="AY13">
        <f>IF(ISNUMBER(AK13),AK13+ROW()/1000000000,"")</f>
        <v/>
      </c>
      <c r="AZ13">
        <f>IF(ISNUMBER(AM13),AM13+ROW()/1000000,"")</f>
        <v/>
      </c>
      <c r="BA13">
        <f>IF(AND(ISNUMBER(AP13),AP13&gt;0),AP13+ROW()/1000000,"")</f>
        <v/>
      </c>
      <c r="BB13">
        <f>IF(AF13&gt;0,AF13+ROW()/1000000,"")</f>
        <v/>
      </c>
      <c r="BC13">
        <f>IF(AX13="","",ROW())</f>
        <v/>
      </c>
      <c r="BD13">
        <f>IF(AJ13&gt;0,AJ13+ROW()/1000000,"")</f>
        <v/>
      </c>
      <c r="BQ13">
        <f>IFERROR(SMALL(DATA_TRANSPORT!$AE:$AE,11),"")</f>
        <v/>
      </c>
      <c r="BR13">
        <f>IF(BQ13="","",INDEX(DATA_TRANSPORT!$E:$E,BQ13))</f>
        <v/>
      </c>
      <c r="BS13">
        <f>IF(BQ13="","",INDEX(DATA_TRANSPORT!$C:$C,BQ13))</f>
        <v/>
      </c>
      <c r="BT13">
        <f>IF(BQ13="","",TRIM(INDEX(DATA_TRANSPORT!$G:$G,BQ13)&amp;" "&amp;IF(INDEX(DATA_TRANSPORT!$H:$H,BQ13)="","","(bus "&amp;INDEX(DATA_TRANSPORT!$H:$H,BQ13)&amp;")")))</f>
        <v/>
      </c>
      <c r="BU13">
        <f>IF(BQ13="","",IF(INDEX(DATA_TRANSPORT!$V:$V,BQ13)="Breakdown","Breakdown",IF(INDEX(DATA_TRANSPORT!$X:$X,BQ13)="","Needs more buses",INDEX(DATA_TRANSPORT!$X:$X,BQ13))))</f>
        <v/>
      </c>
      <c r="BV13">
        <f>IF(BQ13="","",INDEX(DATA_TRANSPORT!$Y:$Y,BQ13)&amp;"")</f>
        <v/>
      </c>
    </row>
    <row r="14">
      <c r="A14" t="inlineStr">
        <is>
          <t>Selected year</t>
        </is>
      </c>
      <c r="B14">
        <f>IF(B10=0,0,YEAR(B10))</f>
        <v/>
      </c>
      <c r="AE14">
        <f>IFERROR(IF(INDEX(MASTER_AREAS!$F:$F,13)="N","",INDEX(MASTER_AREAS!$B:$B,13)&amp;""),"")</f>
        <v/>
      </c>
      <c r="AF14">
        <f>IF(OR(AE14="",$B$10=0),0,SUMIFS(DATA_TRANSPORT!$Q:$Q,DATA_TRANSPORT!$A:$A,$B$10,DATA_TRANSPORT!$E:$E,AE14))</f>
        <v/>
      </c>
      <c r="AG14">
        <f>IF(OR(AE14="",$B$10=0),0,SUMIFS(DATA_TRANSPORT!$I:$I,DATA_TRANSPORT!$A:$A,$B$10,DATA_TRANSPORT!$E:$E,AE14,DATA_TRANSPORT!$V:$V,"Ran"))</f>
        <v/>
      </c>
      <c r="AH14">
        <f>IF(OR(AE14="",$B$10=0),0,SUMIFS(DATA_TRANSPORT!$L:$L,DATA_TRANSPORT!$A:$A,$B$10,DATA_TRANSPORT!$E:$E,AE14))</f>
        <v/>
      </c>
      <c r="AI14">
        <f>IF(OR(AE14="",$B$10=0),0,SUMIFS(DATA_TRANSPORT!$R:$R,DATA_TRANSPORT!$A:$A,$B$10,DATA_TRANSPORT!$E:$E,AE14))</f>
        <v/>
      </c>
      <c r="AJ14">
        <f>IF(OR(AE14="",$B$10=0),0,SUMIFS(DATA_TRANSPORT!$S:$S,DATA_TRANSPORT!$A:$A,$B$10,DATA_TRANSPORT!$E:$E,AE14))</f>
        <v/>
      </c>
      <c r="AK14">
        <f>IF(AH14=0,"",AI14/AH14)</f>
        <v/>
      </c>
      <c r="AL14">
        <f>IF(OR(AE14="",$B$10=0),0,SUMIFS(DATA_TRANSPORT!$T:$T,DATA_TRANSPORT!$A:$A,$B$10,DATA_TRANSPORT!$E:$E,AE14))+IF(OR(AE14="",$B$10=0),0,SUMIFS(DATA_TRANSPORT_COSTS!$M:$M,DATA_TRANSPORT_COSTS!$A:$A,$B$10,DATA_TRANSPORT_COSTS!$D:$D,AE14))</f>
        <v/>
      </c>
      <c r="AM14">
        <f>IF(OR(AF14=0,AL14=0),"",AL14/AF14)</f>
        <v/>
      </c>
      <c r="AN14">
        <f>IF(OR(AE14="",$B$10=0),0,SUMIFS(DATA_TRANSPORT!$T:$T,DATA_TRANSPORT!$A:$A,$B$10,DATA_TRANSPORT!$E:$E,AE14,DATA_TRANSPORT!$C:$C,"FT Procured"))</f>
        <v/>
      </c>
      <c r="AO14">
        <f>IF(OR(AE14="",$B$10=0),0,SUMIFS(DATA_TRANSPORT_BUDGET!$G:$G,DATA_TRANSPORT_BUDGET!$A:$A,$B$10,DATA_TRANSPORT_BUDGET!$D:$D,AE14))</f>
        <v/>
      </c>
      <c r="AP14">
        <f>IF(AO14=0,"",AN14-AO14)</f>
        <v/>
      </c>
      <c r="AQ14">
        <f>IF(OR(AE14="",$B$10=0),0,COUNTIFS(DATA_TRANSPORT!$A:$A,$B$10,DATA_TRANSPORT!$E:$E,AE14,DATA_TRANSPORT!$C:$C,"FT Procured",DATA_TRANSPORT!$Z:$Z,"Y"))</f>
        <v/>
      </c>
      <c r="AR14">
        <f>IF(OR(AE14="",$B$10=0),0,SUMIFS(DATA_TRANSPORT_BUDGET!$E:$E,DATA_TRANSPORT_BUDGET!$A:$A,$B$10,DATA_TRANSPORT_BUDGET!$D:$D,AE14))</f>
        <v/>
      </c>
      <c r="AS14">
        <f>IF(OR(AE14="",$B$10=0),0,COUNTIFS(DATA_TRANSPORT!$A:$A,$B$10,DATA_TRANSPORT!$E:$E,AE14,DATA_TRANSPORT!$V:$V,"Breakdown"))</f>
        <v/>
      </c>
      <c r="AT14">
        <f>IF(IF(OR(AE14="",$B$10=0),0,SUMIFS(DATA_TRANSPORT!$L:$L,DATA_TRANSPORT!$A:$A,$B$10-7,DATA_TRANSPORT!$E:$E,AE14))=0,"",IF(OR(AE14="",$B$10=0),0,SUMIFS(DATA_TRANSPORT!$R:$R,DATA_TRANSPORT!$A:$A,$B$10-7,DATA_TRANSPORT!$E:$E,AE14))/IF(OR(AE14="",$B$10=0),0,SUMIFS(DATA_TRANSPORT!$L:$L,DATA_TRANSPORT!$A:$A,$B$10-7,DATA_TRANSPORT!$E:$E,AE14)))</f>
        <v/>
      </c>
      <c r="AU14">
        <f>IF(IF(OR(AE14="",$B$10=0),0,SUMIFS(DATA_TRANSPORT!$L:$L,DATA_TRANSPORT!$A:$A,$B$10-14,DATA_TRANSPORT!$E:$E,AE14))=0,"",IF(OR(AE14="",$B$10=0),0,SUMIFS(DATA_TRANSPORT!$R:$R,DATA_TRANSPORT!$A:$A,$B$10-14,DATA_TRANSPORT!$E:$E,AE14))/IF(OR(AE14="",$B$10=0),0,SUMIFS(DATA_TRANSPORT!$L:$L,DATA_TRANSPORT!$A:$A,$B$10-14,DATA_TRANSPORT!$E:$E,AE14)))</f>
        <v/>
      </c>
      <c r="AV14">
        <f>IF(IF(OR(AE14="",$B$10=0),0,SUMIFS(DATA_TRANSPORT!$L:$L,DATA_TRANSPORT!$A:$A,$B$10-21,DATA_TRANSPORT!$E:$E,AE14))=0,"",IF(OR(AE14="",$B$10=0),0,SUMIFS(DATA_TRANSPORT!$R:$R,DATA_TRANSPORT!$A:$A,$B$10-21,DATA_TRANSPORT!$E:$E,AE14))/IF(OR(AE14="",$B$10=0),0,SUMIFS(DATA_TRANSPORT!$L:$L,DATA_TRANSPORT!$A:$A,$B$10-21,DATA_TRANSPORT!$E:$E,AE14)))</f>
        <v/>
      </c>
      <c r="AW14">
        <f>IF(AND(ISNUMBER(AK14),AK14&lt;UtilLow),1,0)+IF(AND(ISNUMBER(AT14),AT14&lt;UtilLow),1,0)+IF(AND(ISNUMBER(AU14),AU14&lt;UtilLow),1,0)+IF(AND(ISNUMBER(AV14),AV14&lt;UtilLow),1,0)</f>
        <v/>
      </c>
      <c r="AX14">
        <f>IF(AW14&gt;=UtilLowWeeks,AE14&amp;": seats only "&amp;TEXT(AK14,"0%")&amp;" full, under "&amp;TEXT(UtilLow,"0%")&amp;" for "&amp;AW14&amp;" weeks running",IF(AND(AH14&gt;0,AJ14&gt;=AH14*ExcessShare),AE14&amp;": "&amp;TEXT(AJ14,"#,##0")&amp;" riders beyond the seats — consider more buses",IF(AND(ISNUMBER(AP14),AP14&gt;0),AE14&amp;": FT spend ₦"&amp;TEXT(AP14,"#,##0")&amp;" over the weekly budget",IF(AS14&gt;0,AE14&amp;": "&amp;AS14&amp;" coaster breakdown(s) this week",""))))</f>
        <v/>
      </c>
      <c r="AY14">
        <f>IF(ISNUMBER(AK14),AK14+ROW()/1000000000,"")</f>
        <v/>
      </c>
      <c r="AZ14">
        <f>IF(ISNUMBER(AM14),AM14+ROW()/1000000,"")</f>
        <v/>
      </c>
      <c r="BA14">
        <f>IF(AND(ISNUMBER(AP14),AP14&gt;0),AP14+ROW()/1000000,"")</f>
        <v/>
      </c>
      <c r="BB14">
        <f>IF(AF14&gt;0,AF14+ROW()/1000000,"")</f>
        <v/>
      </c>
      <c r="BC14">
        <f>IF(AX14="","",ROW())</f>
        <v/>
      </c>
      <c r="BD14">
        <f>IF(AJ14&gt;0,AJ14+ROW()/1000000,"")</f>
        <v/>
      </c>
      <c r="BQ14">
        <f>IFERROR(SMALL(DATA_TRANSPORT!$AE:$AE,12),"")</f>
        <v/>
      </c>
      <c r="BR14">
        <f>IF(BQ14="","",INDEX(DATA_TRANSPORT!$E:$E,BQ14))</f>
        <v/>
      </c>
      <c r="BS14">
        <f>IF(BQ14="","",INDEX(DATA_TRANSPORT!$C:$C,BQ14))</f>
        <v/>
      </c>
      <c r="BT14">
        <f>IF(BQ14="","",TRIM(INDEX(DATA_TRANSPORT!$G:$G,BQ14)&amp;" "&amp;IF(INDEX(DATA_TRANSPORT!$H:$H,BQ14)="","","(bus "&amp;INDEX(DATA_TRANSPORT!$H:$H,BQ14)&amp;")")))</f>
        <v/>
      </c>
      <c r="BU14">
        <f>IF(BQ14="","",IF(INDEX(DATA_TRANSPORT!$V:$V,BQ14)="Breakdown","Breakdown",IF(INDEX(DATA_TRANSPORT!$X:$X,BQ14)="","Needs more buses",INDEX(DATA_TRANSPORT!$X:$X,BQ14))))</f>
        <v/>
      </c>
      <c r="BV14">
        <f>IF(BQ14="","",INDEX(DATA_TRANSPORT!$Y:$Y,BQ14)&amp;"")</f>
        <v/>
      </c>
    </row>
    <row r="15">
      <c r="A15" t="inlineStr">
        <is>
          <t>Any transport data</t>
        </is>
      </c>
      <c r="B15">
        <f>B9&gt;0</f>
        <v/>
      </c>
      <c r="AE15">
        <f>IFERROR(IF(INDEX(MASTER_AREAS!$F:$F,14)="N","",INDEX(MASTER_AREAS!$B:$B,14)&amp;""),"")</f>
        <v/>
      </c>
      <c r="AF15">
        <f>IF(OR(AE15="",$B$10=0),0,SUMIFS(DATA_TRANSPORT!$Q:$Q,DATA_TRANSPORT!$A:$A,$B$10,DATA_TRANSPORT!$E:$E,AE15))</f>
        <v/>
      </c>
      <c r="AG15">
        <f>IF(OR(AE15="",$B$10=0),0,SUMIFS(DATA_TRANSPORT!$I:$I,DATA_TRANSPORT!$A:$A,$B$10,DATA_TRANSPORT!$E:$E,AE15,DATA_TRANSPORT!$V:$V,"Ran"))</f>
        <v/>
      </c>
      <c r="AH15">
        <f>IF(OR(AE15="",$B$10=0),0,SUMIFS(DATA_TRANSPORT!$L:$L,DATA_TRANSPORT!$A:$A,$B$10,DATA_TRANSPORT!$E:$E,AE15))</f>
        <v/>
      </c>
      <c r="AI15">
        <f>IF(OR(AE15="",$B$10=0),0,SUMIFS(DATA_TRANSPORT!$R:$R,DATA_TRANSPORT!$A:$A,$B$10,DATA_TRANSPORT!$E:$E,AE15))</f>
        <v/>
      </c>
      <c r="AJ15">
        <f>IF(OR(AE15="",$B$10=0),0,SUMIFS(DATA_TRANSPORT!$S:$S,DATA_TRANSPORT!$A:$A,$B$10,DATA_TRANSPORT!$E:$E,AE15))</f>
        <v/>
      </c>
      <c r="AK15">
        <f>IF(AH15=0,"",AI15/AH15)</f>
        <v/>
      </c>
      <c r="AL15">
        <f>IF(OR(AE15="",$B$10=0),0,SUMIFS(DATA_TRANSPORT!$T:$T,DATA_TRANSPORT!$A:$A,$B$10,DATA_TRANSPORT!$E:$E,AE15))+IF(OR(AE15="",$B$10=0),0,SUMIFS(DATA_TRANSPORT_COSTS!$M:$M,DATA_TRANSPORT_COSTS!$A:$A,$B$10,DATA_TRANSPORT_COSTS!$D:$D,AE15))</f>
        <v/>
      </c>
      <c r="AM15">
        <f>IF(OR(AF15=0,AL15=0),"",AL15/AF15)</f>
        <v/>
      </c>
      <c r="AN15">
        <f>IF(OR(AE15="",$B$10=0),0,SUMIFS(DATA_TRANSPORT!$T:$T,DATA_TRANSPORT!$A:$A,$B$10,DATA_TRANSPORT!$E:$E,AE15,DATA_TRANSPORT!$C:$C,"FT Procured"))</f>
        <v/>
      </c>
      <c r="AO15">
        <f>IF(OR(AE15="",$B$10=0),0,SUMIFS(DATA_TRANSPORT_BUDGET!$G:$G,DATA_TRANSPORT_BUDGET!$A:$A,$B$10,DATA_TRANSPORT_BUDGET!$D:$D,AE15))</f>
        <v/>
      </c>
      <c r="AP15">
        <f>IF(AO15=0,"",AN15-AO15)</f>
        <v/>
      </c>
      <c r="AQ15">
        <f>IF(OR(AE15="",$B$10=0),0,COUNTIFS(DATA_TRANSPORT!$A:$A,$B$10,DATA_TRANSPORT!$E:$E,AE15,DATA_TRANSPORT!$C:$C,"FT Procured",DATA_TRANSPORT!$Z:$Z,"Y"))</f>
        <v/>
      </c>
      <c r="AR15">
        <f>IF(OR(AE15="",$B$10=0),0,SUMIFS(DATA_TRANSPORT_BUDGET!$E:$E,DATA_TRANSPORT_BUDGET!$A:$A,$B$10,DATA_TRANSPORT_BUDGET!$D:$D,AE15))</f>
        <v/>
      </c>
      <c r="AS15">
        <f>IF(OR(AE15="",$B$10=0),0,COUNTIFS(DATA_TRANSPORT!$A:$A,$B$10,DATA_TRANSPORT!$E:$E,AE15,DATA_TRANSPORT!$V:$V,"Breakdown"))</f>
        <v/>
      </c>
      <c r="AT15">
        <f>IF(IF(OR(AE15="",$B$10=0),0,SUMIFS(DATA_TRANSPORT!$L:$L,DATA_TRANSPORT!$A:$A,$B$10-7,DATA_TRANSPORT!$E:$E,AE15))=0,"",IF(OR(AE15="",$B$10=0),0,SUMIFS(DATA_TRANSPORT!$R:$R,DATA_TRANSPORT!$A:$A,$B$10-7,DATA_TRANSPORT!$E:$E,AE15))/IF(OR(AE15="",$B$10=0),0,SUMIFS(DATA_TRANSPORT!$L:$L,DATA_TRANSPORT!$A:$A,$B$10-7,DATA_TRANSPORT!$E:$E,AE15)))</f>
        <v/>
      </c>
      <c r="AU15">
        <f>IF(IF(OR(AE15="",$B$10=0),0,SUMIFS(DATA_TRANSPORT!$L:$L,DATA_TRANSPORT!$A:$A,$B$10-14,DATA_TRANSPORT!$E:$E,AE15))=0,"",IF(OR(AE15="",$B$10=0),0,SUMIFS(DATA_TRANSPORT!$R:$R,DATA_TRANSPORT!$A:$A,$B$10-14,DATA_TRANSPORT!$E:$E,AE15))/IF(OR(AE15="",$B$10=0),0,SUMIFS(DATA_TRANSPORT!$L:$L,DATA_TRANSPORT!$A:$A,$B$10-14,DATA_TRANSPORT!$E:$E,AE15)))</f>
        <v/>
      </c>
      <c r="AV15">
        <f>IF(IF(OR(AE15="",$B$10=0),0,SUMIFS(DATA_TRANSPORT!$L:$L,DATA_TRANSPORT!$A:$A,$B$10-21,DATA_TRANSPORT!$E:$E,AE15))=0,"",IF(OR(AE15="",$B$10=0),0,SUMIFS(DATA_TRANSPORT!$R:$R,DATA_TRANSPORT!$A:$A,$B$10-21,DATA_TRANSPORT!$E:$E,AE15))/IF(OR(AE15="",$B$10=0),0,SUMIFS(DATA_TRANSPORT!$L:$L,DATA_TRANSPORT!$A:$A,$B$10-21,DATA_TRANSPORT!$E:$E,AE15)))</f>
        <v/>
      </c>
      <c r="AW15">
        <f>IF(AND(ISNUMBER(AK15),AK15&lt;UtilLow),1,0)+IF(AND(ISNUMBER(AT15),AT15&lt;UtilLow),1,0)+IF(AND(ISNUMBER(AU15),AU15&lt;UtilLow),1,0)+IF(AND(ISNUMBER(AV15),AV15&lt;UtilLow),1,0)</f>
        <v/>
      </c>
      <c r="AX15">
        <f>IF(AW15&gt;=UtilLowWeeks,AE15&amp;": seats only "&amp;TEXT(AK15,"0%")&amp;" full, under "&amp;TEXT(UtilLow,"0%")&amp;" for "&amp;AW15&amp;" weeks running",IF(AND(AH15&gt;0,AJ15&gt;=AH15*ExcessShare),AE15&amp;": "&amp;TEXT(AJ15,"#,##0")&amp;" riders beyond the seats — consider more buses",IF(AND(ISNUMBER(AP15),AP15&gt;0),AE15&amp;": FT spend ₦"&amp;TEXT(AP15,"#,##0")&amp;" over the weekly budget",IF(AS15&gt;0,AE15&amp;": "&amp;AS15&amp;" coaster breakdown(s) this week",""))))</f>
        <v/>
      </c>
      <c r="AY15">
        <f>IF(ISNUMBER(AK15),AK15+ROW()/1000000000,"")</f>
        <v/>
      </c>
      <c r="AZ15">
        <f>IF(ISNUMBER(AM15),AM15+ROW()/1000000,"")</f>
        <v/>
      </c>
      <c r="BA15">
        <f>IF(AND(ISNUMBER(AP15),AP15&gt;0),AP15+ROW()/1000000,"")</f>
        <v/>
      </c>
      <c r="BB15">
        <f>IF(AF15&gt;0,AF15+ROW()/1000000,"")</f>
        <v/>
      </c>
      <c r="BC15">
        <f>IF(AX15="","",ROW())</f>
        <v/>
      </c>
      <c r="BD15">
        <f>IF(AJ15&gt;0,AJ15+ROW()/1000000,"")</f>
        <v/>
      </c>
      <c r="BQ15">
        <f>IFERROR(SMALL(DATA_TRANSPORT!$AE:$AE,13),"")</f>
        <v/>
      </c>
      <c r="BR15">
        <f>IF(BQ15="","",INDEX(DATA_TRANSPORT!$E:$E,BQ15))</f>
        <v/>
      </c>
      <c r="BS15">
        <f>IF(BQ15="","",INDEX(DATA_TRANSPORT!$C:$C,BQ15))</f>
        <v/>
      </c>
      <c r="BT15">
        <f>IF(BQ15="","",TRIM(INDEX(DATA_TRANSPORT!$G:$G,BQ15)&amp;" "&amp;IF(INDEX(DATA_TRANSPORT!$H:$H,BQ15)="","","(bus "&amp;INDEX(DATA_TRANSPORT!$H:$H,BQ15)&amp;")")))</f>
        <v/>
      </c>
      <c r="BU15">
        <f>IF(BQ15="","",IF(INDEX(DATA_TRANSPORT!$V:$V,BQ15)="Breakdown","Breakdown",IF(INDEX(DATA_TRANSPORT!$X:$X,BQ15)="","Needs more buses",INDEX(DATA_TRANSPORT!$X:$X,BQ15))))</f>
        <v/>
      </c>
      <c r="BV15">
        <f>IF(BQ15="","",INDEX(DATA_TRANSPORT!$Y:$Y,BQ15)&amp;"")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E16">
        <f>IFERROR(IF(INDEX(MASTER_AREAS!$F:$F,15)="N","",INDEX(MASTER_AREAS!$B:$B,15)&amp;""),"")</f>
        <v/>
      </c>
      <c r="AF16">
        <f>IF(OR(AE16="",$B$10=0),0,SUMIFS(DATA_TRANSPORT!$Q:$Q,DATA_TRANSPORT!$A:$A,$B$10,DATA_TRANSPORT!$E:$E,AE16))</f>
        <v/>
      </c>
      <c r="AG16">
        <f>IF(OR(AE16="",$B$10=0),0,SUMIFS(DATA_TRANSPORT!$I:$I,DATA_TRANSPORT!$A:$A,$B$10,DATA_TRANSPORT!$E:$E,AE16,DATA_TRANSPORT!$V:$V,"Ran"))</f>
        <v/>
      </c>
      <c r="AH16">
        <f>IF(OR(AE16="",$B$10=0),0,SUMIFS(DATA_TRANSPORT!$L:$L,DATA_TRANSPORT!$A:$A,$B$10,DATA_TRANSPORT!$E:$E,AE16))</f>
        <v/>
      </c>
      <c r="AI16">
        <f>IF(OR(AE16="",$B$10=0),0,SUMIFS(DATA_TRANSPORT!$R:$R,DATA_TRANSPORT!$A:$A,$B$10,DATA_TRANSPORT!$E:$E,AE16))</f>
        <v/>
      </c>
      <c r="AJ16">
        <f>IF(OR(AE16="",$B$10=0),0,SUMIFS(DATA_TRANSPORT!$S:$S,DATA_TRANSPORT!$A:$A,$B$10,DATA_TRANSPORT!$E:$E,AE16))</f>
        <v/>
      </c>
      <c r="AK16">
        <f>IF(AH16=0,"",AI16/AH16)</f>
        <v/>
      </c>
      <c r="AL16">
        <f>IF(OR(AE16="",$B$10=0),0,SUMIFS(DATA_TRANSPORT!$T:$T,DATA_TRANSPORT!$A:$A,$B$10,DATA_TRANSPORT!$E:$E,AE16))+IF(OR(AE16="",$B$10=0),0,SUMIFS(DATA_TRANSPORT_COSTS!$M:$M,DATA_TRANSPORT_COSTS!$A:$A,$B$10,DATA_TRANSPORT_COSTS!$D:$D,AE16))</f>
        <v/>
      </c>
      <c r="AM16">
        <f>IF(OR(AF16=0,AL16=0),"",AL16/AF16)</f>
        <v/>
      </c>
      <c r="AN16">
        <f>IF(OR(AE16="",$B$10=0),0,SUMIFS(DATA_TRANSPORT!$T:$T,DATA_TRANSPORT!$A:$A,$B$10,DATA_TRANSPORT!$E:$E,AE16,DATA_TRANSPORT!$C:$C,"FT Procured"))</f>
        <v/>
      </c>
      <c r="AO16">
        <f>IF(OR(AE16="",$B$10=0),0,SUMIFS(DATA_TRANSPORT_BUDGET!$G:$G,DATA_TRANSPORT_BUDGET!$A:$A,$B$10,DATA_TRANSPORT_BUDGET!$D:$D,AE16))</f>
        <v/>
      </c>
      <c r="AP16">
        <f>IF(AO16=0,"",AN16-AO16)</f>
        <v/>
      </c>
      <c r="AQ16">
        <f>IF(OR(AE16="",$B$10=0),0,COUNTIFS(DATA_TRANSPORT!$A:$A,$B$10,DATA_TRANSPORT!$E:$E,AE16,DATA_TRANSPORT!$C:$C,"FT Procured",DATA_TRANSPORT!$Z:$Z,"Y"))</f>
        <v/>
      </c>
      <c r="AR16">
        <f>IF(OR(AE16="",$B$10=0),0,SUMIFS(DATA_TRANSPORT_BUDGET!$E:$E,DATA_TRANSPORT_BUDGET!$A:$A,$B$10,DATA_TRANSPORT_BUDGET!$D:$D,AE16))</f>
        <v/>
      </c>
      <c r="AS16">
        <f>IF(OR(AE16="",$B$10=0),0,COUNTIFS(DATA_TRANSPORT!$A:$A,$B$10,DATA_TRANSPORT!$E:$E,AE16,DATA_TRANSPORT!$V:$V,"Breakdown"))</f>
        <v/>
      </c>
      <c r="AT16">
        <f>IF(IF(OR(AE16="",$B$10=0),0,SUMIFS(DATA_TRANSPORT!$L:$L,DATA_TRANSPORT!$A:$A,$B$10-7,DATA_TRANSPORT!$E:$E,AE16))=0,"",IF(OR(AE16="",$B$10=0),0,SUMIFS(DATA_TRANSPORT!$R:$R,DATA_TRANSPORT!$A:$A,$B$10-7,DATA_TRANSPORT!$E:$E,AE16))/IF(OR(AE16="",$B$10=0),0,SUMIFS(DATA_TRANSPORT!$L:$L,DATA_TRANSPORT!$A:$A,$B$10-7,DATA_TRANSPORT!$E:$E,AE16)))</f>
        <v/>
      </c>
      <c r="AU16">
        <f>IF(IF(OR(AE16="",$B$10=0),0,SUMIFS(DATA_TRANSPORT!$L:$L,DATA_TRANSPORT!$A:$A,$B$10-14,DATA_TRANSPORT!$E:$E,AE16))=0,"",IF(OR(AE16="",$B$10=0),0,SUMIFS(DATA_TRANSPORT!$R:$R,DATA_TRANSPORT!$A:$A,$B$10-14,DATA_TRANSPORT!$E:$E,AE16))/IF(OR(AE16="",$B$10=0),0,SUMIFS(DATA_TRANSPORT!$L:$L,DATA_TRANSPORT!$A:$A,$B$10-14,DATA_TRANSPORT!$E:$E,AE16)))</f>
        <v/>
      </c>
      <c r="AV16">
        <f>IF(IF(OR(AE16="",$B$10=0),0,SUMIFS(DATA_TRANSPORT!$L:$L,DATA_TRANSPORT!$A:$A,$B$10-21,DATA_TRANSPORT!$E:$E,AE16))=0,"",IF(OR(AE16="",$B$10=0),0,SUMIFS(DATA_TRANSPORT!$R:$R,DATA_TRANSPORT!$A:$A,$B$10-21,DATA_TRANSPORT!$E:$E,AE16))/IF(OR(AE16="",$B$10=0),0,SUMIFS(DATA_TRANSPORT!$L:$L,DATA_TRANSPORT!$A:$A,$B$10-21,DATA_TRANSPORT!$E:$E,AE16)))</f>
        <v/>
      </c>
      <c r="AW16">
        <f>IF(AND(ISNUMBER(AK16),AK16&lt;UtilLow),1,0)+IF(AND(ISNUMBER(AT16),AT16&lt;UtilLow),1,0)+IF(AND(ISNUMBER(AU16),AU16&lt;UtilLow),1,0)+IF(AND(ISNUMBER(AV16),AV16&lt;UtilLow),1,0)</f>
        <v/>
      </c>
      <c r="AX16">
        <f>IF(AW16&gt;=UtilLowWeeks,AE16&amp;": seats only "&amp;TEXT(AK16,"0%")&amp;" full, under "&amp;TEXT(UtilLow,"0%")&amp;" for "&amp;AW16&amp;" weeks running",IF(AND(AH16&gt;0,AJ16&gt;=AH16*ExcessShare),AE16&amp;": "&amp;TEXT(AJ16,"#,##0")&amp;" riders beyond the seats — consider more buses",IF(AND(ISNUMBER(AP16),AP16&gt;0),AE16&amp;": FT spend ₦"&amp;TEXT(AP16,"#,##0")&amp;" over the weekly budget",IF(AS16&gt;0,AE16&amp;": "&amp;AS16&amp;" coaster breakdown(s) this week",""))))</f>
        <v/>
      </c>
      <c r="AY16">
        <f>IF(ISNUMBER(AK16),AK16+ROW()/1000000000,"")</f>
        <v/>
      </c>
      <c r="AZ16">
        <f>IF(ISNUMBER(AM16),AM16+ROW()/1000000,"")</f>
        <v/>
      </c>
      <c r="BA16">
        <f>IF(AND(ISNUMBER(AP16),AP16&gt;0),AP16+ROW()/1000000,"")</f>
        <v/>
      </c>
      <c r="BB16">
        <f>IF(AF16&gt;0,AF16+ROW()/1000000,"")</f>
        <v/>
      </c>
      <c r="BC16">
        <f>IF(AX16="","",ROW())</f>
        <v/>
      </c>
      <c r="BD16">
        <f>IF(AJ16&gt;0,AJ16+ROW()/1000000,"")</f>
        <v/>
      </c>
      <c r="BQ16">
        <f>IFERROR(SMALL(DATA_TRANSPORT!$AE:$AE,14),"")</f>
        <v/>
      </c>
      <c r="BR16">
        <f>IF(BQ16="","",INDEX(DATA_TRANSPORT!$E:$E,BQ16))</f>
        <v/>
      </c>
      <c r="BS16">
        <f>IF(BQ16="","",INDEX(DATA_TRANSPORT!$C:$C,BQ16))</f>
        <v/>
      </c>
      <c r="BT16">
        <f>IF(BQ16="","",TRIM(INDEX(DATA_TRANSPORT!$G:$G,BQ16)&amp;" "&amp;IF(INDEX(DATA_TRANSPORT!$H:$H,BQ16)="","","(bus "&amp;INDEX(DATA_TRANSPORT!$H:$H,BQ16)&amp;")")))</f>
        <v/>
      </c>
      <c r="BU16">
        <f>IF(BQ16="","",IF(INDEX(DATA_TRANSPORT!$V:$V,BQ16)="Breakdown","Breakdown",IF(INDEX(DATA_TRANSPORT!$X:$X,BQ16)="","Needs more buses",INDEX(DATA_TRANSPORT!$X:$X,BQ16))))</f>
        <v/>
      </c>
      <c r="BV16">
        <f>IF(BQ16="","",INDEX(DATA_TRANSPORT!$Y:$Y,BQ16)&amp;"")</f>
        <v/>
      </c>
    </row>
    <row r="17">
      <c r="A17" t="inlineStr">
        <is>
          <t>Zone scope (costs not split by zone)</t>
        </is>
      </c>
      <c r="B17">
        <f>B3="Zone"</f>
        <v/>
      </c>
      <c r="AE17">
        <f>IFERROR(IF(INDEX(MASTER_AREAS!$F:$F,16)="N","",INDEX(MASTER_AREAS!$B:$B,16)&amp;""),"")</f>
        <v/>
      </c>
      <c r="AF17">
        <f>IF(OR(AE17="",$B$10=0),0,SUMIFS(DATA_TRANSPORT!$Q:$Q,DATA_TRANSPORT!$A:$A,$B$10,DATA_TRANSPORT!$E:$E,AE17))</f>
        <v/>
      </c>
      <c r="AG17">
        <f>IF(OR(AE17="",$B$10=0),0,SUMIFS(DATA_TRANSPORT!$I:$I,DATA_TRANSPORT!$A:$A,$B$10,DATA_TRANSPORT!$E:$E,AE17,DATA_TRANSPORT!$V:$V,"Ran"))</f>
        <v/>
      </c>
      <c r="AH17">
        <f>IF(OR(AE17="",$B$10=0),0,SUMIFS(DATA_TRANSPORT!$L:$L,DATA_TRANSPORT!$A:$A,$B$10,DATA_TRANSPORT!$E:$E,AE17))</f>
        <v/>
      </c>
      <c r="AI17">
        <f>IF(OR(AE17="",$B$10=0),0,SUMIFS(DATA_TRANSPORT!$R:$R,DATA_TRANSPORT!$A:$A,$B$10,DATA_TRANSPORT!$E:$E,AE17))</f>
        <v/>
      </c>
      <c r="AJ17">
        <f>IF(OR(AE17="",$B$10=0),0,SUMIFS(DATA_TRANSPORT!$S:$S,DATA_TRANSPORT!$A:$A,$B$10,DATA_TRANSPORT!$E:$E,AE17))</f>
        <v/>
      </c>
      <c r="AK17">
        <f>IF(AH17=0,"",AI17/AH17)</f>
        <v/>
      </c>
      <c r="AL17">
        <f>IF(OR(AE17="",$B$10=0),0,SUMIFS(DATA_TRANSPORT!$T:$T,DATA_TRANSPORT!$A:$A,$B$10,DATA_TRANSPORT!$E:$E,AE17))+IF(OR(AE17="",$B$10=0),0,SUMIFS(DATA_TRANSPORT_COSTS!$M:$M,DATA_TRANSPORT_COSTS!$A:$A,$B$10,DATA_TRANSPORT_COSTS!$D:$D,AE17))</f>
        <v/>
      </c>
      <c r="AM17">
        <f>IF(OR(AF17=0,AL17=0),"",AL17/AF17)</f>
        <v/>
      </c>
      <c r="AN17">
        <f>IF(OR(AE17="",$B$10=0),0,SUMIFS(DATA_TRANSPORT!$T:$T,DATA_TRANSPORT!$A:$A,$B$10,DATA_TRANSPORT!$E:$E,AE17,DATA_TRANSPORT!$C:$C,"FT Procured"))</f>
        <v/>
      </c>
      <c r="AO17">
        <f>IF(OR(AE17="",$B$10=0),0,SUMIFS(DATA_TRANSPORT_BUDGET!$G:$G,DATA_TRANSPORT_BUDGET!$A:$A,$B$10,DATA_TRANSPORT_BUDGET!$D:$D,AE17))</f>
        <v/>
      </c>
      <c r="AP17">
        <f>IF(AO17=0,"",AN17-AO17)</f>
        <v/>
      </c>
      <c r="AQ17">
        <f>IF(OR(AE17="",$B$10=0),0,COUNTIFS(DATA_TRANSPORT!$A:$A,$B$10,DATA_TRANSPORT!$E:$E,AE17,DATA_TRANSPORT!$C:$C,"FT Procured",DATA_TRANSPORT!$Z:$Z,"Y"))</f>
        <v/>
      </c>
      <c r="AR17">
        <f>IF(OR(AE17="",$B$10=0),0,SUMIFS(DATA_TRANSPORT_BUDGET!$E:$E,DATA_TRANSPORT_BUDGET!$A:$A,$B$10,DATA_TRANSPORT_BUDGET!$D:$D,AE17))</f>
        <v/>
      </c>
      <c r="AS17">
        <f>IF(OR(AE17="",$B$10=0),0,COUNTIFS(DATA_TRANSPORT!$A:$A,$B$10,DATA_TRANSPORT!$E:$E,AE17,DATA_TRANSPORT!$V:$V,"Breakdown"))</f>
        <v/>
      </c>
      <c r="AT17">
        <f>IF(IF(OR(AE17="",$B$10=0),0,SUMIFS(DATA_TRANSPORT!$L:$L,DATA_TRANSPORT!$A:$A,$B$10-7,DATA_TRANSPORT!$E:$E,AE17))=0,"",IF(OR(AE17="",$B$10=0),0,SUMIFS(DATA_TRANSPORT!$R:$R,DATA_TRANSPORT!$A:$A,$B$10-7,DATA_TRANSPORT!$E:$E,AE17))/IF(OR(AE17="",$B$10=0),0,SUMIFS(DATA_TRANSPORT!$L:$L,DATA_TRANSPORT!$A:$A,$B$10-7,DATA_TRANSPORT!$E:$E,AE17)))</f>
        <v/>
      </c>
      <c r="AU17">
        <f>IF(IF(OR(AE17="",$B$10=0),0,SUMIFS(DATA_TRANSPORT!$L:$L,DATA_TRANSPORT!$A:$A,$B$10-14,DATA_TRANSPORT!$E:$E,AE17))=0,"",IF(OR(AE17="",$B$10=0),0,SUMIFS(DATA_TRANSPORT!$R:$R,DATA_TRANSPORT!$A:$A,$B$10-14,DATA_TRANSPORT!$E:$E,AE17))/IF(OR(AE17="",$B$10=0),0,SUMIFS(DATA_TRANSPORT!$L:$L,DATA_TRANSPORT!$A:$A,$B$10-14,DATA_TRANSPORT!$E:$E,AE17)))</f>
        <v/>
      </c>
      <c r="AV17">
        <f>IF(IF(OR(AE17="",$B$10=0),0,SUMIFS(DATA_TRANSPORT!$L:$L,DATA_TRANSPORT!$A:$A,$B$10-21,DATA_TRANSPORT!$E:$E,AE17))=0,"",IF(OR(AE17="",$B$10=0),0,SUMIFS(DATA_TRANSPORT!$R:$R,DATA_TRANSPORT!$A:$A,$B$10-21,DATA_TRANSPORT!$E:$E,AE17))/IF(OR(AE17="",$B$10=0),0,SUMIFS(DATA_TRANSPORT!$L:$L,DATA_TRANSPORT!$A:$A,$B$10-21,DATA_TRANSPORT!$E:$E,AE17)))</f>
        <v/>
      </c>
      <c r="AW17">
        <f>IF(AND(ISNUMBER(AK17),AK17&lt;UtilLow),1,0)+IF(AND(ISNUMBER(AT17),AT17&lt;UtilLow),1,0)+IF(AND(ISNUMBER(AU17),AU17&lt;UtilLow),1,0)+IF(AND(ISNUMBER(AV17),AV17&lt;UtilLow),1,0)</f>
        <v/>
      </c>
      <c r="AX17">
        <f>IF(AW17&gt;=UtilLowWeeks,AE17&amp;": seats only "&amp;TEXT(AK17,"0%")&amp;" full, under "&amp;TEXT(UtilLow,"0%")&amp;" for "&amp;AW17&amp;" weeks running",IF(AND(AH17&gt;0,AJ17&gt;=AH17*ExcessShare),AE17&amp;": "&amp;TEXT(AJ17,"#,##0")&amp;" riders beyond the seats — consider more buses",IF(AND(ISNUMBER(AP17),AP17&gt;0),AE17&amp;": FT spend ₦"&amp;TEXT(AP17,"#,##0")&amp;" over the weekly budget",IF(AS17&gt;0,AE17&amp;": "&amp;AS17&amp;" coaster breakdown(s) this week",""))))</f>
        <v/>
      </c>
      <c r="AY17">
        <f>IF(ISNUMBER(AK17),AK17+ROW()/1000000000,"")</f>
        <v/>
      </c>
      <c r="AZ17">
        <f>IF(ISNUMBER(AM17),AM17+ROW()/1000000,"")</f>
        <v/>
      </c>
      <c r="BA17">
        <f>IF(AND(ISNUMBER(AP17),AP17&gt;0),AP17+ROW()/1000000,"")</f>
        <v/>
      </c>
      <c r="BB17">
        <f>IF(AF17&gt;0,AF17+ROW()/1000000,"")</f>
        <v/>
      </c>
      <c r="BC17">
        <f>IF(AX17="","",ROW())</f>
        <v/>
      </c>
      <c r="BD17">
        <f>IF(AJ17&gt;0,AJ17+ROW()/1000000,"")</f>
        <v/>
      </c>
      <c r="BQ17">
        <f>IFERROR(SMALL(DATA_TRANSPORT!$AE:$AE,15),"")</f>
        <v/>
      </c>
      <c r="BR17">
        <f>IF(BQ17="","",INDEX(DATA_TRANSPORT!$E:$E,BQ17))</f>
        <v/>
      </c>
      <c r="BS17">
        <f>IF(BQ17="","",INDEX(DATA_TRANSPORT!$C:$C,BQ17))</f>
        <v/>
      </c>
      <c r="BT17">
        <f>IF(BQ17="","",TRIM(INDEX(DATA_TRANSPORT!$G:$G,BQ17)&amp;" "&amp;IF(INDEX(DATA_TRANSPORT!$H:$H,BQ17)="","","(bus "&amp;INDEX(DATA_TRANSPORT!$H:$H,BQ17)&amp;")")))</f>
        <v/>
      </c>
      <c r="BU17">
        <f>IF(BQ17="","",IF(INDEX(DATA_TRANSPORT!$V:$V,BQ17)="Breakdown","Breakdown",IF(INDEX(DATA_TRANSPORT!$X:$X,BQ17)="","Needs more buses",INDEX(DATA_TRANSPORT!$X:$X,BQ17))))</f>
        <v/>
      </c>
      <c r="BV17">
        <f>IF(BQ17="","",INDEX(DATA_TRANSPORT!$Y:$Y,BQ17)&amp;"")</f>
        <v/>
      </c>
    </row>
    <row r="18">
      <c r="AE18">
        <f>IFERROR(IF(INDEX(MASTER_AREAS!$F:$F,17)="N","",INDEX(MASTER_AREAS!$B:$B,17)&amp;""),"")</f>
        <v/>
      </c>
      <c r="AF18">
        <f>IF(OR(AE18="",$B$10=0),0,SUMIFS(DATA_TRANSPORT!$Q:$Q,DATA_TRANSPORT!$A:$A,$B$10,DATA_TRANSPORT!$E:$E,AE18))</f>
        <v/>
      </c>
      <c r="AG18">
        <f>IF(OR(AE18="",$B$10=0),0,SUMIFS(DATA_TRANSPORT!$I:$I,DATA_TRANSPORT!$A:$A,$B$10,DATA_TRANSPORT!$E:$E,AE18,DATA_TRANSPORT!$V:$V,"Ran"))</f>
        <v/>
      </c>
      <c r="AH18">
        <f>IF(OR(AE18="",$B$10=0),0,SUMIFS(DATA_TRANSPORT!$L:$L,DATA_TRANSPORT!$A:$A,$B$10,DATA_TRANSPORT!$E:$E,AE18))</f>
        <v/>
      </c>
      <c r="AI18">
        <f>IF(OR(AE18="",$B$10=0),0,SUMIFS(DATA_TRANSPORT!$R:$R,DATA_TRANSPORT!$A:$A,$B$10,DATA_TRANSPORT!$E:$E,AE18))</f>
        <v/>
      </c>
      <c r="AJ18">
        <f>IF(OR(AE18="",$B$10=0),0,SUMIFS(DATA_TRANSPORT!$S:$S,DATA_TRANSPORT!$A:$A,$B$10,DATA_TRANSPORT!$E:$E,AE18))</f>
        <v/>
      </c>
      <c r="AK18">
        <f>IF(AH18=0,"",AI18/AH18)</f>
        <v/>
      </c>
      <c r="AL18">
        <f>IF(OR(AE18="",$B$10=0),0,SUMIFS(DATA_TRANSPORT!$T:$T,DATA_TRANSPORT!$A:$A,$B$10,DATA_TRANSPORT!$E:$E,AE18))+IF(OR(AE18="",$B$10=0),0,SUMIFS(DATA_TRANSPORT_COSTS!$M:$M,DATA_TRANSPORT_COSTS!$A:$A,$B$10,DATA_TRANSPORT_COSTS!$D:$D,AE18))</f>
        <v/>
      </c>
      <c r="AM18">
        <f>IF(OR(AF18=0,AL18=0),"",AL18/AF18)</f>
        <v/>
      </c>
      <c r="AN18">
        <f>IF(OR(AE18="",$B$10=0),0,SUMIFS(DATA_TRANSPORT!$T:$T,DATA_TRANSPORT!$A:$A,$B$10,DATA_TRANSPORT!$E:$E,AE18,DATA_TRANSPORT!$C:$C,"FT Procured"))</f>
        <v/>
      </c>
      <c r="AO18">
        <f>IF(OR(AE18="",$B$10=0),0,SUMIFS(DATA_TRANSPORT_BUDGET!$G:$G,DATA_TRANSPORT_BUDGET!$A:$A,$B$10,DATA_TRANSPORT_BUDGET!$D:$D,AE18))</f>
        <v/>
      </c>
      <c r="AP18">
        <f>IF(AO18=0,"",AN18-AO18)</f>
        <v/>
      </c>
      <c r="AQ18">
        <f>IF(OR(AE18="",$B$10=0),0,COUNTIFS(DATA_TRANSPORT!$A:$A,$B$10,DATA_TRANSPORT!$E:$E,AE18,DATA_TRANSPORT!$C:$C,"FT Procured",DATA_TRANSPORT!$Z:$Z,"Y"))</f>
        <v/>
      </c>
      <c r="AR18">
        <f>IF(OR(AE18="",$B$10=0),0,SUMIFS(DATA_TRANSPORT_BUDGET!$E:$E,DATA_TRANSPORT_BUDGET!$A:$A,$B$10,DATA_TRANSPORT_BUDGET!$D:$D,AE18))</f>
        <v/>
      </c>
      <c r="AS18">
        <f>IF(OR(AE18="",$B$10=0),0,COUNTIFS(DATA_TRANSPORT!$A:$A,$B$10,DATA_TRANSPORT!$E:$E,AE18,DATA_TRANSPORT!$V:$V,"Breakdown"))</f>
        <v/>
      </c>
      <c r="AT18">
        <f>IF(IF(OR(AE18="",$B$10=0),0,SUMIFS(DATA_TRANSPORT!$L:$L,DATA_TRANSPORT!$A:$A,$B$10-7,DATA_TRANSPORT!$E:$E,AE18))=0,"",IF(OR(AE18="",$B$10=0),0,SUMIFS(DATA_TRANSPORT!$R:$R,DATA_TRANSPORT!$A:$A,$B$10-7,DATA_TRANSPORT!$E:$E,AE18))/IF(OR(AE18="",$B$10=0),0,SUMIFS(DATA_TRANSPORT!$L:$L,DATA_TRANSPORT!$A:$A,$B$10-7,DATA_TRANSPORT!$E:$E,AE18)))</f>
        <v/>
      </c>
      <c r="AU18">
        <f>IF(IF(OR(AE18="",$B$10=0),0,SUMIFS(DATA_TRANSPORT!$L:$L,DATA_TRANSPORT!$A:$A,$B$10-14,DATA_TRANSPORT!$E:$E,AE18))=0,"",IF(OR(AE18="",$B$10=0),0,SUMIFS(DATA_TRANSPORT!$R:$R,DATA_TRANSPORT!$A:$A,$B$10-14,DATA_TRANSPORT!$E:$E,AE18))/IF(OR(AE18="",$B$10=0),0,SUMIFS(DATA_TRANSPORT!$L:$L,DATA_TRANSPORT!$A:$A,$B$10-14,DATA_TRANSPORT!$E:$E,AE18)))</f>
        <v/>
      </c>
      <c r="AV18">
        <f>IF(IF(OR(AE18="",$B$10=0),0,SUMIFS(DATA_TRANSPORT!$L:$L,DATA_TRANSPORT!$A:$A,$B$10-21,DATA_TRANSPORT!$E:$E,AE18))=0,"",IF(OR(AE18="",$B$10=0),0,SUMIFS(DATA_TRANSPORT!$R:$R,DATA_TRANSPORT!$A:$A,$B$10-21,DATA_TRANSPORT!$E:$E,AE18))/IF(OR(AE18="",$B$10=0),0,SUMIFS(DATA_TRANSPORT!$L:$L,DATA_TRANSPORT!$A:$A,$B$10-21,DATA_TRANSPORT!$E:$E,AE18)))</f>
        <v/>
      </c>
      <c r="AW18">
        <f>IF(AND(ISNUMBER(AK18),AK18&lt;UtilLow),1,0)+IF(AND(ISNUMBER(AT18),AT18&lt;UtilLow),1,0)+IF(AND(ISNUMBER(AU18),AU18&lt;UtilLow),1,0)+IF(AND(ISNUMBER(AV18),AV18&lt;UtilLow),1,0)</f>
        <v/>
      </c>
      <c r="AX18">
        <f>IF(AW18&gt;=UtilLowWeeks,AE18&amp;": seats only "&amp;TEXT(AK18,"0%")&amp;" full, under "&amp;TEXT(UtilLow,"0%")&amp;" for "&amp;AW18&amp;" weeks running",IF(AND(AH18&gt;0,AJ18&gt;=AH18*ExcessShare),AE18&amp;": "&amp;TEXT(AJ18,"#,##0")&amp;" riders beyond the seats — consider more buses",IF(AND(ISNUMBER(AP18),AP18&gt;0),AE18&amp;": FT spend ₦"&amp;TEXT(AP18,"#,##0")&amp;" over the weekly budget",IF(AS18&gt;0,AE18&amp;": "&amp;AS18&amp;" coaster breakdown(s) this week",""))))</f>
        <v/>
      </c>
      <c r="AY18">
        <f>IF(ISNUMBER(AK18),AK18+ROW()/1000000000,"")</f>
        <v/>
      </c>
      <c r="AZ18">
        <f>IF(ISNUMBER(AM18),AM18+ROW()/1000000,"")</f>
        <v/>
      </c>
      <c r="BA18">
        <f>IF(AND(ISNUMBER(AP18),AP18&gt;0),AP18+ROW()/1000000,"")</f>
        <v/>
      </c>
      <c r="BB18">
        <f>IF(AF18&gt;0,AF18+ROW()/1000000,"")</f>
        <v/>
      </c>
      <c r="BC18">
        <f>IF(AX18="","",ROW())</f>
        <v/>
      </c>
      <c r="BD18">
        <f>IF(AJ18&gt;0,AJ18+ROW()/1000000,"")</f>
        <v/>
      </c>
      <c r="BQ18">
        <f>IFERROR(SMALL(DATA_TRANSPORT!$AE:$AE,16),"")</f>
        <v/>
      </c>
      <c r="BR18">
        <f>IF(BQ18="","",INDEX(DATA_TRANSPORT!$E:$E,BQ18))</f>
        <v/>
      </c>
      <c r="BS18">
        <f>IF(BQ18="","",INDEX(DATA_TRANSPORT!$C:$C,BQ18))</f>
        <v/>
      </c>
      <c r="BT18">
        <f>IF(BQ18="","",TRIM(INDEX(DATA_TRANSPORT!$G:$G,BQ18)&amp;" "&amp;IF(INDEX(DATA_TRANSPORT!$H:$H,BQ18)="","","(bus "&amp;INDEX(DATA_TRANSPORT!$H:$H,BQ18)&amp;")")))</f>
        <v/>
      </c>
      <c r="BU18">
        <f>IF(BQ18="","",IF(INDEX(DATA_TRANSPORT!$V:$V,BQ18)="Breakdown","Breakdown",IF(INDEX(DATA_TRANSPORT!$X:$X,BQ18)="","Needs more buses",INDEX(DATA_TRANSPORT!$X:$X,BQ18))))</f>
        <v/>
      </c>
      <c r="BV18">
        <f>IF(BQ18="","",INDEX(DATA_TRANSPORT!$Y:$Y,BQ18)&amp;"")</f>
        <v/>
      </c>
    </row>
    <row r="19">
      <c r="AE19">
        <f>IFERROR(IF(INDEX(MASTER_AREAS!$F:$F,18)="N","",INDEX(MASTER_AREAS!$B:$B,18)&amp;""),"")</f>
        <v/>
      </c>
      <c r="AF19">
        <f>IF(OR(AE19="",$B$10=0),0,SUMIFS(DATA_TRANSPORT!$Q:$Q,DATA_TRANSPORT!$A:$A,$B$10,DATA_TRANSPORT!$E:$E,AE19))</f>
        <v/>
      </c>
      <c r="AG19">
        <f>IF(OR(AE19="",$B$10=0),0,SUMIFS(DATA_TRANSPORT!$I:$I,DATA_TRANSPORT!$A:$A,$B$10,DATA_TRANSPORT!$E:$E,AE19,DATA_TRANSPORT!$V:$V,"Ran"))</f>
        <v/>
      </c>
      <c r="AH19">
        <f>IF(OR(AE19="",$B$10=0),0,SUMIFS(DATA_TRANSPORT!$L:$L,DATA_TRANSPORT!$A:$A,$B$10,DATA_TRANSPORT!$E:$E,AE19))</f>
        <v/>
      </c>
      <c r="AI19">
        <f>IF(OR(AE19="",$B$10=0),0,SUMIFS(DATA_TRANSPORT!$R:$R,DATA_TRANSPORT!$A:$A,$B$10,DATA_TRANSPORT!$E:$E,AE19))</f>
        <v/>
      </c>
      <c r="AJ19">
        <f>IF(OR(AE19="",$B$10=0),0,SUMIFS(DATA_TRANSPORT!$S:$S,DATA_TRANSPORT!$A:$A,$B$10,DATA_TRANSPORT!$E:$E,AE19))</f>
        <v/>
      </c>
      <c r="AK19">
        <f>IF(AH19=0,"",AI19/AH19)</f>
        <v/>
      </c>
      <c r="AL19">
        <f>IF(OR(AE19="",$B$10=0),0,SUMIFS(DATA_TRANSPORT!$T:$T,DATA_TRANSPORT!$A:$A,$B$10,DATA_TRANSPORT!$E:$E,AE19))+IF(OR(AE19="",$B$10=0),0,SUMIFS(DATA_TRANSPORT_COSTS!$M:$M,DATA_TRANSPORT_COSTS!$A:$A,$B$10,DATA_TRANSPORT_COSTS!$D:$D,AE19))</f>
        <v/>
      </c>
      <c r="AM19">
        <f>IF(OR(AF19=0,AL19=0),"",AL19/AF19)</f>
        <v/>
      </c>
      <c r="AN19">
        <f>IF(OR(AE19="",$B$10=0),0,SUMIFS(DATA_TRANSPORT!$T:$T,DATA_TRANSPORT!$A:$A,$B$10,DATA_TRANSPORT!$E:$E,AE19,DATA_TRANSPORT!$C:$C,"FT Procured"))</f>
        <v/>
      </c>
      <c r="AO19">
        <f>IF(OR(AE19="",$B$10=0),0,SUMIFS(DATA_TRANSPORT_BUDGET!$G:$G,DATA_TRANSPORT_BUDGET!$A:$A,$B$10,DATA_TRANSPORT_BUDGET!$D:$D,AE19))</f>
        <v/>
      </c>
      <c r="AP19">
        <f>IF(AO19=0,"",AN19-AO19)</f>
        <v/>
      </c>
      <c r="AQ19">
        <f>IF(OR(AE19="",$B$10=0),0,COUNTIFS(DATA_TRANSPORT!$A:$A,$B$10,DATA_TRANSPORT!$E:$E,AE19,DATA_TRANSPORT!$C:$C,"FT Procured",DATA_TRANSPORT!$Z:$Z,"Y"))</f>
        <v/>
      </c>
      <c r="AR19">
        <f>IF(OR(AE19="",$B$10=0),0,SUMIFS(DATA_TRANSPORT_BUDGET!$E:$E,DATA_TRANSPORT_BUDGET!$A:$A,$B$10,DATA_TRANSPORT_BUDGET!$D:$D,AE19))</f>
        <v/>
      </c>
      <c r="AS19">
        <f>IF(OR(AE19="",$B$10=0),0,COUNTIFS(DATA_TRANSPORT!$A:$A,$B$10,DATA_TRANSPORT!$E:$E,AE19,DATA_TRANSPORT!$V:$V,"Breakdown"))</f>
        <v/>
      </c>
      <c r="AT19">
        <f>IF(IF(OR(AE19="",$B$10=0),0,SUMIFS(DATA_TRANSPORT!$L:$L,DATA_TRANSPORT!$A:$A,$B$10-7,DATA_TRANSPORT!$E:$E,AE19))=0,"",IF(OR(AE19="",$B$10=0),0,SUMIFS(DATA_TRANSPORT!$R:$R,DATA_TRANSPORT!$A:$A,$B$10-7,DATA_TRANSPORT!$E:$E,AE19))/IF(OR(AE19="",$B$10=0),0,SUMIFS(DATA_TRANSPORT!$L:$L,DATA_TRANSPORT!$A:$A,$B$10-7,DATA_TRANSPORT!$E:$E,AE19)))</f>
        <v/>
      </c>
      <c r="AU19">
        <f>IF(IF(OR(AE19="",$B$10=0),0,SUMIFS(DATA_TRANSPORT!$L:$L,DATA_TRANSPORT!$A:$A,$B$10-14,DATA_TRANSPORT!$E:$E,AE19))=0,"",IF(OR(AE19="",$B$10=0),0,SUMIFS(DATA_TRANSPORT!$R:$R,DATA_TRANSPORT!$A:$A,$B$10-14,DATA_TRANSPORT!$E:$E,AE19))/IF(OR(AE19="",$B$10=0),0,SUMIFS(DATA_TRANSPORT!$L:$L,DATA_TRANSPORT!$A:$A,$B$10-14,DATA_TRANSPORT!$E:$E,AE19)))</f>
        <v/>
      </c>
      <c r="AV19">
        <f>IF(IF(OR(AE19="",$B$10=0),0,SUMIFS(DATA_TRANSPORT!$L:$L,DATA_TRANSPORT!$A:$A,$B$10-21,DATA_TRANSPORT!$E:$E,AE19))=0,"",IF(OR(AE19="",$B$10=0),0,SUMIFS(DATA_TRANSPORT!$R:$R,DATA_TRANSPORT!$A:$A,$B$10-21,DATA_TRANSPORT!$E:$E,AE19))/IF(OR(AE19="",$B$10=0),0,SUMIFS(DATA_TRANSPORT!$L:$L,DATA_TRANSPORT!$A:$A,$B$10-21,DATA_TRANSPORT!$E:$E,AE19)))</f>
        <v/>
      </c>
      <c r="AW19">
        <f>IF(AND(ISNUMBER(AK19),AK19&lt;UtilLow),1,0)+IF(AND(ISNUMBER(AT19),AT19&lt;UtilLow),1,0)+IF(AND(ISNUMBER(AU19),AU19&lt;UtilLow),1,0)+IF(AND(ISNUMBER(AV19),AV19&lt;UtilLow),1,0)</f>
        <v/>
      </c>
      <c r="AX19">
        <f>IF(AW19&gt;=UtilLowWeeks,AE19&amp;": seats only "&amp;TEXT(AK19,"0%")&amp;" full, under "&amp;TEXT(UtilLow,"0%")&amp;" for "&amp;AW19&amp;" weeks running",IF(AND(AH19&gt;0,AJ19&gt;=AH19*ExcessShare),AE19&amp;": "&amp;TEXT(AJ19,"#,##0")&amp;" riders beyond the seats — consider more buses",IF(AND(ISNUMBER(AP19),AP19&gt;0),AE19&amp;": FT spend ₦"&amp;TEXT(AP19,"#,##0")&amp;" over the weekly budget",IF(AS19&gt;0,AE19&amp;": "&amp;AS19&amp;" coaster breakdown(s) this week",""))))</f>
        <v/>
      </c>
      <c r="AY19">
        <f>IF(ISNUMBER(AK19),AK19+ROW()/1000000000,"")</f>
        <v/>
      </c>
      <c r="AZ19">
        <f>IF(ISNUMBER(AM19),AM19+ROW()/1000000,"")</f>
        <v/>
      </c>
      <c r="BA19">
        <f>IF(AND(ISNUMBER(AP19),AP19&gt;0),AP19+ROW()/1000000,"")</f>
        <v/>
      </c>
      <c r="BB19">
        <f>IF(AF19&gt;0,AF19+ROW()/1000000,"")</f>
        <v/>
      </c>
      <c r="BC19">
        <f>IF(AX19="","",ROW())</f>
        <v/>
      </c>
      <c r="BD19">
        <f>IF(AJ19&gt;0,AJ19+ROW()/1000000,"")</f>
        <v/>
      </c>
      <c r="BQ19">
        <f>IFERROR(SMALL(DATA_TRANSPORT!$AE:$AE,17),"")</f>
        <v/>
      </c>
      <c r="BR19">
        <f>IF(BQ19="","",INDEX(DATA_TRANSPORT!$E:$E,BQ19))</f>
        <v/>
      </c>
      <c r="BS19">
        <f>IF(BQ19="","",INDEX(DATA_TRANSPORT!$C:$C,BQ19))</f>
        <v/>
      </c>
      <c r="BT19">
        <f>IF(BQ19="","",TRIM(INDEX(DATA_TRANSPORT!$G:$G,BQ19)&amp;" "&amp;IF(INDEX(DATA_TRANSPORT!$H:$H,BQ19)="","","(bus "&amp;INDEX(DATA_TRANSPORT!$H:$H,BQ19)&amp;")")))</f>
        <v/>
      </c>
      <c r="BU19">
        <f>IF(BQ19="","",IF(INDEX(DATA_TRANSPORT!$V:$V,BQ19)="Breakdown","Breakdown",IF(INDEX(DATA_TRANSPORT!$X:$X,BQ19)="","Needs more buses",INDEX(DATA_TRANSPORT!$X:$X,BQ19))))</f>
        <v/>
      </c>
      <c r="BV19">
        <f>IF(BQ19="","",INDEX(DATA_TRANSPORT!$Y:$Y,BQ19)&amp;"")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riders</t>
        </is>
      </c>
      <c r="H20" t="inlineStr">
        <is>
          <t>male</t>
        </is>
      </c>
      <c r="I20" t="inlineStr">
        <is>
          <t>female</t>
        </is>
      </c>
      <c r="J20" t="inlineStr">
        <is>
          <t>children</t>
        </is>
      </c>
      <c r="K20" t="inlineStr">
        <is>
          <t>listed</t>
        </is>
      </c>
      <c r="L20" t="inlineStr">
        <is>
          <t>ran</t>
        </is>
      </c>
      <c r="M20" t="inlineStr">
        <is>
          <t>seats</t>
        </is>
      </c>
      <c r="N20" t="inlineStr">
        <is>
          <t>rws</t>
        </is>
      </c>
      <c r="O20" t="inlineStr">
        <is>
          <t>excess</t>
        </is>
      </c>
      <c r="P20" t="inlineStr">
        <is>
          <t>hire</t>
        </is>
      </c>
      <c r="Q20" t="inlineStr">
        <is>
          <t>fuel</t>
        </is>
      </c>
      <c r="R20" t="inlineStr">
        <is>
          <t>spend</t>
        </is>
      </c>
      <c r="S20" t="inlineStr">
        <is>
          <t>central</t>
        </is>
      </c>
      <c r="T20" t="inlineStr">
        <is>
          <t>members</t>
        </is>
      </c>
      <c r="U20" t="inlineStr">
        <is>
          <t>ft_budget</t>
        </is>
      </c>
      <c r="V20" t="inlineStr">
        <is>
          <t>ft_cost</t>
        </is>
      </c>
      <c r="W20" t="inlineStr">
        <is>
          <t>breakdowns</t>
        </is>
      </c>
      <c r="X20" t="inlineStr">
        <is>
          <t>util</t>
        </is>
      </c>
      <c r="Y20" t="inlineStr">
        <is>
          <t>has</t>
        </is>
      </c>
      <c r="Z20" t="inlineStr">
        <is>
          <t>win</t>
        </is>
      </c>
      <c r="AA20" t="inlineStr">
        <is>
          <t>mtd</t>
        </is>
      </c>
      <c r="AB20" t="inlineStr">
        <is>
          <t>qtd</t>
        </is>
      </c>
      <c r="AC20" t="inlineStr">
        <is>
          <t>ytd</t>
        </is>
      </c>
      <c r="AE20">
        <f>IFERROR(IF(INDEX(MASTER_AREAS!$F:$F,19)="N","",INDEX(MASTER_AREAS!$B:$B,19)&amp;""),"")</f>
        <v/>
      </c>
      <c r="AF20">
        <f>IF(OR(AE20="",$B$10=0),0,SUMIFS(DATA_TRANSPORT!$Q:$Q,DATA_TRANSPORT!$A:$A,$B$10,DATA_TRANSPORT!$E:$E,AE20))</f>
        <v/>
      </c>
      <c r="AG20">
        <f>IF(OR(AE20="",$B$10=0),0,SUMIFS(DATA_TRANSPORT!$I:$I,DATA_TRANSPORT!$A:$A,$B$10,DATA_TRANSPORT!$E:$E,AE20,DATA_TRANSPORT!$V:$V,"Ran"))</f>
        <v/>
      </c>
      <c r="AH20">
        <f>IF(OR(AE20="",$B$10=0),0,SUMIFS(DATA_TRANSPORT!$L:$L,DATA_TRANSPORT!$A:$A,$B$10,DATA_TRANSPORT!$E:$E,AE20))</f>
        <v/>
      </c>
      <c r="AI20">
        <f>IF(OR(AE20="",$B$10=0),0,SUMIFS(DATA_TRANSPORT!$R:$R,DATA_TRANSPORT!$A:$A,$B$10,DATA_TRANSPORT!$E:$E,AE20))</f>
        <v/>
      </c>
      <c r="AJ20">
        <f>IF(OR(AE20="",$B$10=0),0,SUMIFS(DATA_TRANSPORT!$S:$S,DATA_TRANSPORT!$A:$A,$B$10,DATA_TRANSPORT!$E:$E,AE20))</f>
        <v/>
      </c>
      <c r="AK20">
        <f>IF(AH20=0,"",AI20/AH20)</f>
        <v/>
      </c>
      <c r="AL20">
        <f>IF(OR(AE20="",$B$10=0),0,SUMIFS(DATA_TRANSPORT!$T:$T,DATA_TRANSPORT!$A:$A,$B$10,DATA_TRANSPORT!$E:$E,AE20))+IF(OR(AE20="",$B$10=0),0,SUMIFS(DATA_TRANSPORT_COSTS!$M:$M,DATA_TRANSPORT_COSTS!$A:$A,$B$10,DATA_TRANSPORT_COSTS!$D:$D,AE20))</f>
        <v/>
      </c>
      <c r="AM20">
        <f>IF(OR(AF20=0,AL20=0),"",AL20/AF20)</f>
        <v/>
      </c>
      <c r="AN20">
        <f>IF(OR(AE20="",$B$10=0),0,SUMIFS(DATA_TRANSPORT!$T:$T,DATA_TRANSPORT!$A:$A,$B$10,DATA_TRANSPORT!$E:$E,AE20,DATA_TRANSPORT!$C:$C,"FT Procured"))</f>
        <v/>
      </c>
      <c r="AO20">
        <f>IF(OR(AE20="",$B$10=0),0,SUMIFS(DATA_TRANSPORT_BUDGET!$G:$G,DATA_TRANSPORT_BUDGET!$A:$A,$B$10,DATA_TRANSPORT_BUDGET!$D:$D,AE20))</f>
        <v/>
      </c>
      <c r="AP20">
        <f>IF(AO20=0,"",AN20-AO20)</f>
        <v/>
      </c>
      <c r="AQ20">
        <f>IF(OR(AE20="",$B$10=0),0,COUNTIFS(DATA_TRANSPORT!$A:$A,$B$10,DATA_TRANSPORT!$E:$E,AE20,DATA_TRANSPORT!$C:$C,"FT Procured",DATA_TRANSPORT!$Z:$Z,"Y"))</f>
        <v/>
      </c>
      <c r="AR20">
        <f>IF(OR(AE20="",$B$10=0),0,SUMIFS(DATA_TRANSPORT_BUDGET!$E:$E,DATA_TRANSPORT_BUDGET!$A:$A,$B$10,DATA_TRANSPORT_BUDGET!$D:$D,AE20))</f>
        <v/>
      </c>
      <c r="AS20">
        <f>IF(OR(AE20="",$B$10=0),0,COUNTIFS(DATA_TRANSPORT!$A:$A,$B$10,DATA_TRANSPORT!$E:$E,AE20,DATA_TRANSPORT!$V:$V,"Breakdown"))</f>
        <v/>
      </c>
      <c r="AT20">
        <f>IF(IF(OR(AE20="",$B$10=0),0,SUMIFS(DATA_TRANSPORT!$L:$L,DATA_TRANSPORT!$A:$A,$B$10-7,DATA_TRANSPORT!$E:$E,AE20))=0,"",IF(OR(AE20="",$B$10=0),0,SUMIFS(DATA_TRANSPORT!$R:$R,DATA_TRANSPORT!$A:$A,$B$10-7,DATA_TRANSPORT!$E:$E,AE20))/IF(OR(AE20="",$B$10=0),0,SUMIFS(DATA_TRANSPORT!$L:$L,DATA_TRANSPORT!$A:$A,$B$10-7,DATA_TRANSPORT!$E:$E,AE20)))</f>
        <v/>
      </c>
      <c r="AU20">
        <f>IF(IF(OR(AE20="",$B$10=0),0,SUMIFS(DATA_TRANSPORT!$L:$L,DATA_TRANSPORT!$A:$A,$B$10-14,DATA_TRANSPORT!$E:$E,AE20))=0,"",IF(OR(AE20="",$B$10=0),0,SUMIFS(DATA_TRANSPORT!$R:$R,DATA_TRANSPORT!$A:$A,$B$10-14,DATA_TRANSPORT!$E:$E,AE20))/IF(OR(AE20="",$B$10=0),0,SUMIFS(DATA_TRANSPORT!$L:$L,DATA_TRANSPORT!$A:$A,$B$10-14,DATA_TRANSPORT!$E:$E,AE20)))</f>
        <v/>
      </c>
      <c r="AV20">
        <f>IF(IF(OR(AE20="",$B$10=0),0,SUMIFS(DATA_TRANSPORT!$L:$L,DATA_TRANSPORT!$A:$A,$B$10-21,DATA_TRANSPORT!$E:$E,AE20))=0,"",IF(OR(AE20="",$B$10=0),0,SUMIFS(DATA_TRANSPORT!$R:$R,DATA_TRANSPORT!$A:$A,$B$10-21,DATA_TRANSPORT!$E:$E,AE20))/IF(OR(AE20="",$B$10=0),0,SUMIFS(DATA_TRANSPORT!$L:$L,DATA_TRANSPORT!$A:$A,$B$10-21,DATA_TRANSPORT!$E:$E,AE20)))</f>
        <v/>
      </c>
      <c r="AW20">
        <f>IF(AND(ISNUMBER(AK20),AK20&lt;UtilLow),1,0)+IF(AND(ISNUMBER(AT20),AT20&lt;UtilLow),1,0)+IF(AND(ISNUMBER(AU20),AU20&lt;UtilLow),1,0)+IF(AND(ISNUMBER(AV20),AV20&lt;UtilLow),1,0)</f>
        <v/>
      </c>
      <c r="AX20">
        <f>IF(AW20&gt;=UtilLowWeeks,AE20&amp;": seats only "&amp;TEXT(AK20,"0%")&amp;" full, under "&amp;TEXT(UtilLow,"0%")&amp;" for "&amp;AW20&amp;" weeks running",IF(AND(AH20&gt;0,AJ20&gt;=AH20*ExcessShare),AE20&amp;": "&amp;TEXT(AJ20,"#,##0")&amp;" riders beyond the seats — consider more buses",IF(AND(ISNUMBER(AP20),AP20&gt;0),AE20&amp;": FT spend ₦"&amp;TEXT(AP20,"#,##0")&amp;" over the weekly budget",IF(AS20&gt;0,AE20&amp;": "&amp;AS20&amp;" coaster breakdown(s) this week",""))))</f>
        <v/>
      </c>
      <c r="AY20">
        <f>IF(ISNUMBER(AK20),AK20+ROW()/1000000000,"")</f>
        <v/>
      </c>
      <c r="AZ20">
        <f>IF(ISNUMBER(AM20),AM20+ROW()/1000000,"")</f>
        <v/>
      </c>
      <c r="BA20">
        <f>IF(AND(ISNUMBER(AP20),AP20&gt;0),AP20+ROW()/1000000,"")</f>
        <v/>
      </c>
      <c r="BB20">
        <f>IF(AF20&gt;0,AF20+ROW()/1000000,"")</f>
        <v/>
      </c>
      <c r="BC20">
        <f>IF(AX20="","",ROW())</f>
        <v/>
      </c>
      <c r="BD20">
        <f>IF(AJ20&gt;0,AJ20+ROW()/1000000,"")</f>
        <v/>
      </c>
      <c r="BQ20">
        <f>IFERROR(SMALL(DATA_TRANSPORT!$AE:$AE,18),"")</f>
        <v/>
      </c>
      <c r="BR20">
        <f>IF(BQ20="","",INDEX(DATA_TRANSPORT!$E:$E,BQ20))</f>
        <v/>
      </c>
      <c r="BS20">
        <f>IF(BQ20="","",INDEX(DATA_TRANSPORT!$C:$C,BQ20))</f>
        <v/>
      </c>
      <c r="BT20">
        <f>IF(BQ20="","",TRIM(INDEX(DATA_TRANSPORT!$G:$G,BQ20)&amp;" "&amp;IF(INDEX(DATA_TRANSPORT!$H:$H,BQ20)="","","(bus "&amp;INDEX(DATA_TRANSPORT!$H:$H,BQ20)&amp;")")))</f>
        <v/>
      </c>
      <c r="BU20">
        <f>IF(BQ20="","",IF(INDEX(DATA_TRANSPORT!$V:$V,BQ20)="Breakdown","Breakdown",IF(INDEX(DATA_TRANSPORT!$X:$X,BQ20)="","Needs more buses",INDEX(DATA_TRANSPORT!$X:$X,BQ20))))</f>
        <v/>
      </c>
      <c r="BV20">
        <f>IF(BQ20="","",INDEX(DATA_TRANSPORT!$Y:$Y,BQ20)&amp;"")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IF(B21="",0,COUNTIFS(DATA_TRANSPORT!$A:$A,B21,DATA_TRANSPORT!$E:$E,$B$6,DATA_TRANSPORT!$AD:$AD,$B$7))</f>
        <v/>
      </c>
      <c r="G21">
        <f>IF(F21=0,0,SUMIFS(DATA_TRANSPORT!$Q:$Q,DATA_TRANSPORT!$A:$A,B21,DATA_TRANSPORT!$E:$E,$B$6,DATA_TRANSPORT!$AD:$AD,$B$7))</f>
        <v/>
      </c>
      <c r="H21">
        <f>IF(F21=0,0,SUMIFS(DATA_TRANSPORT!$M:$M,DATA_TRANSPORT!$A:$A,B21,DATA_TRANSPORT!$E:$E,$B$6,DATA_TRANSPORT!$AD:$AD,$B$7))</f>
        <v/>
      </c>
      <c r="I21">
        <f>IF(F21=0,0,SUMIFS(DATA_TRANSPORT!$N:$N,DATA_TRANSPORT!$A:$A,B21,DATA_TRANSPORT!$E:$E,$B$6,DATA_TRANSPORT!$AD:$AD,$B$7))</f>
        <v/>
      </c>
      <c r="J21">
        <f>IF(F21=0,0,SUMIFS(DATA_TRANSPORT!$P:$P,DATA_TRANSPORT!$A:$A,B21,DATA_TRANSPORT!$E:$E,$B$6,DATA_TRANSPORT!$AD:$AD,$B$7))</f>
        <v/>
      </c>
      <c r="K21">
        <f>IF(F21=0,0,SUMIFS(DATA_TRANSPORT!$I:$I,DATA_TRANSPORT!$A:$A,B21,DATA_TRANSPORT!$E:$E,$B$6,DATA_TRANSPORT!$AD:$AD,$B$7))</f>
        <v/>
      </c>
      <c r="L21">
        <f>IF(F21=0,0,SUMIFS(DATA_TRANSPORT!$I:$I,DATA_TRANSPORT!$A:$A,B21,DATA_TRANSPORT!$E:$E,$B$6,DATA_TRANSPORT!$AD:$AD,$B$7,DATA_TRANSPORT!$V:$V,"Ran"))</f>
        <v/>
      </c>
      <c r="M21">
        <f>IF(F21=0,0,SUMIFS(DATA_TRANSPORT!$L:$L,DATA_TRANSPORT!$A:$A,B21,DATA_TRANSPORT!$E:$E,$B$6,DATA_TRANSPORT!$AD:$AD,$B$7))</f>
        <v/>
      </c>
      <c r="N21">
        <f>IF(F21=0,0,SUMIFS(DATA_TRANSPORT!$R:$R,DATA_TRANSPORT!$A:$A,B21,DATA_TRANSPORT!$E:$E,$B$6,DATA_TRANSPORT!$AD:$AD,$B$7))</f>
        <v/>
      </c>
      <c r="O21">
        <f>IF(F21=0,0,SUMIFS(DATA_TRANSPORT!$S:$S,DATA_TRANSPORT!$A:$A,B21,DATA_TRANSPORT!$E:$E,$B$6,DATA_TRANSPORT!$AD:$AD,$B$7))</f>
        <v/>
      </c>
      <c r="P21">
        <f>IF(F21=0,0,SUMIFS(DATA_TRANSPORT!$T:$T,DATA_TRANSPORT!$A:$A,B21,DATA_TRANSPORT!$E:$E,$B$6,DATA_TRANSPORT!$AD:$AD,$B$7))</f>
        <v/>
      </c>
      <c r="Q21">
        <f>IF(OR(B21="",$B$17),0,SUMIFS(DATA_TRANSPORT_COSTS!$M:$M,DATA_TRANSPORT_COSTS!$A:$A,B21,DATA_TRANSPORT_COSTS!$D:$D,$B$6))</f>
        <v/>
      </c>
      <c r="R21">
        <f>P21+Q21</f>
        <v/>
      </c>
      <c r="S21">
        <f>Q21+IF(F21=0,0,SUMIFS(DATA_TRANSPORT!$T:$T,DATA_TRANSPORT!$A:$A,B21,DATA_TRANSPORT!$E:$E,$B$6,DATA_TRANSPORT!$AD:$AD,$B$7,DATA_TRANSPORT!$U:$U,"Central"))</f>
        <v/>
      </c>
      <c r="T21">
        <f>IF(F21=0,0,SUMIFS(DATA_TRANSPORT!$T:$T,DATA_TRANSPORT!$A:$A,B21,DATA_TRANSPORT!$E:$E,$B$6,DATA_TRANSPORT!$AD:$AD,$B$7,DATA_TRANSPORT!$U:$U,"Members"))</f>
        <v/>
      </c>
      <c r="U21">
        <f>IF(OR(B21="",$B$17),0,SUMIFS(DATA_TRANSPORT_BUDGET!$G:$G,DATA_TRANSPORT_BUDGET!$A:$A,B21,DATA_TRANSPORT_BUDGET!$D:$D,$B$6))</f>
        <v/>
      </c>
      <c r="V21">
        <f>IF(F21=0,0,SUMIFS(DATA_TRANSPORT!$T:$T,DATA_TRANSPORT!$A:$A,B21,DATA_TRANSPORT!$E:$E,$B$6,DATA_TRANSPORT!$AD:$AD,$B$7,DATA_TRANSPORT!$C:$C,"FT Procured"))</f>
        <v/>
      </c>
      <c r="W21">
        <f>IF(F21=0,0,COUNTIFS(DATA_TRANSPORT!$A:$A,B21,DATA_TRANSPORT!$E:$E,$B$6,DATA_TRANSPORT!$AD:$AD,$B$7,DATA_TRANSPORT!$V:$V,"Breakdown"))</f>
        <v/>
      </c>
      <c r="X21">
        <f>IF(M21=0,0,N21/M21)</f>
        <v/>
      </c>
      <c r="Y21">
        <f>IF(F21&gt;0,1,0)</f>
        <v/>
      </c>
      <c r="Z21">
        <f>IF(AND(A21&gt;=1,A21&lt;=$B$11),Y21,0)</f>
        <v/>
      </c>
      <c r="AA21">
        <f>IF(AND(C21=$B$12,E21=$B$14),Y21,0)</f>
        <v/>
      </c>
      <c r="AB21">
        <f>IF(AND(D21=$B$13,E21=$B$14),Y21,0)</f>
        <v/>
      </c>
      <c r="AC21">
        <f>IF(E21=$B$14,Y21,0)</f>
        <v/>
      </c>
      <c r="AE21">
        <f>IFERROR(IF(INDEX(MASTER_AREAS!$F:$F,20)="N","",INDEX(MASTER_AREAS!$B:$B,20)&amp;""),"")</f>
        <v/>
      </c>
      <c r="AF21">
        <f>IF(OR(AE21="",$B$10=0),0,SUMIFS(DATA_TRANSPORT!$Q:$Q,DATA_TRANSPORT!$A:$A,$B$10,DATA_TRANSPORT!$E:$E,AE21))</f>
        <v/>
      </c>
      <c r="AG21">
        <f>IF(OR(AE21="",$B$10=0),0,SUMIFS(DATA_TRANSPORT!$I:$I,DATA_TRANSPORT!$A:$A,$B$10,DATA_TRANSPORT!$E:$E,AE21,DATA_TRANSPORT!$V:$V,"Ran"))</f>
        <v/>
      </c>
      <c r="AH21">
        <f>IF(OR(AE21="",$B$10=0),0,SUMIFS(DATA_TRANSPORT!$L:$L,DATA_TRANSPORT!$A:$A,$B$10,DATA_TRANSPORT!$E:$E,AE21))</f>
        <v/>
      </c>
      <c r="AI21">
        <f>IF(OR(AE21="",$B$10=0),0,SUMIFS(DATA_TRANSPORT!$R:$R,DATA_TRANSPORT!$A:$A,$B$10,DATA_TRANSPORT!$E:$E,AE21))</f>
        <v/>
      </c>
      <c r="AJ21">
        <f>IF(OR(AE21="",$B$10=0),0,SUMIFS(DATA_TRANSPORT!$S:$S,DATA_TRANSPORT!$A:$A,$B$10,DATA_TRANSPORT!$E:$E,AE21))</f>
        <v/>
      </c>
      <c r="AK21">
        <f>IF(AH21=0,"",AI21/AH21)</f>
        <v/>
      </c>
      <c r="AL21">
        <f>IF(OR(AE21="",$B$10=0),0,SUMIFS(DATA_TRANSPORT!$T:$T,DATA_TRANSPORT!$A:$A,$B$10,DATA_TRANSPORT!$E:$E,AE21))+IF(OR(AE21="",$B$10=0),0,SUMIFS(DATA_TRANSPORT_COSTS!$M:$M,DATA_TRANSPORT_COSTS!$A:$A,$B$10,DATA_TRANSPORT_COSTS!$D:$D,AE21))</f>
        <v/>
      </c>
      <c r="AM21">
        <f>IF(OR(AF21=0,AL21=0),"",AL21/AF21)</f>
        <v/>
      </c>
      <c r="AN21">
        <f>IF(OR(AE21="",$B$10=0),0,SUMIFS(DATA_TRANSPORT!$T:$T,DATA_TRANSPORT!$A:$A,$B$10,DATA_TRANSPORT!$E:$E,AE21,DATA_TRANSPORT!$C:$C,"FT Procured"))</f>
        <v/>
      </c>
      <c r="AO21">
        <f>IF(OR(AE21="",$B$10=0),0,SUMIFS(DATA_TRANSPORT_BUDGET!$G:$G,DATA_TRANSPORT_BUDGET!$A:$A,$B$10,DATA_TRANSPORT_BUDGET!$D:$D,AE21))</f>
        <v/>
      </c>
      <c r="AP21">
        <f>IF(AO21=0,"",AN21-AO21)</f>
        <v/>
      </c>
      <c r="AQ21">
        <f>IF(OR(AE21="",$B$10=0),0,COUNTIFS(DATA_TRANSPORT!$A:$A,$B$10,DATA_TRANSPORT!$E:$E,AE21,DATA_TRANSPORT!$C:$C,"FT Procured",DATA_TRANSPORT!$Z:$Z,"Y"))</f>
        <v/>
      </c>
      <c r="AR21">
        <f>IF(OR(AE21="",$B$10=0),0,SUMIFS(DATA_TRANSPORT_BUDGET!$E:$E,DATA_TRANSPORT_BUDGET!$A:$A,$B$10,DATA_TRANSPORT_BUDGET!$D:$D,AE21))</f>
        <v/>
      </c>
      <c r="AS21">
        <f>IF(OR(AE21="",$B$10=0),0,COUNTIFS(DATA_TRANSPORT!$A:$A,$B$10,DATA_TRANSPORT!$E:$E,AE21,DATA_TRANSPORT!$V:$V,"Breakdown"))</f>
        <v/>
      </c>
      <c r="AT21">
        <f>IF(IF(OR(AE21="",$B$10=0),0,SUMIFS(DATA_TRANSPORT!$L:$L,DATA_TRANSPORT!$A:$A,$B$10-7,DATA_TRANSPORT!$E:$E,AE21))=0,"",IF(OR(AE21="",$B$10=0),0,SUMIFS(DATA_TRANSPORT!$R:$R,DATA_TRANSPORT!$A:$A,$B$10-7,DATA_TRANSPORT!$E:$E,AE21))/IF(OR(AE21="",$B$10=0),0,SUMIFS(DATA_TRANSPORT!$L:$L,DATA_TRANSPORT!$A:$A,$B$10-7,DATA_TRANSPORT!$E:$E,AE21)))</f>
        <v/>
      </c>
      <c r="AU21">
        <f>IF(IF(OR(AE21="",$B$10=0),0,SUMIFS(DATA_TRANSPORT!$L:$L,DATA_TRANSPORT!$A:$A,$B$10-14,DATA_TRANSPORT!$E:$E,AE21))=0,"",IF(OR(AE21="",$B$10=0),0,SUMIFS(DATA_TRANSPORT!$R:$R,DATA_TRANSPORT!$A:$A,$B$10-14,DATA_TRANSPORT!$E:$E,AE21))/IF(OR(AE21="",$B$10=0),0,SUMIFS(DATA_TRANSPORT!$L:$L,DATA_TRANSPORT!$A:$A,$B$10-14,DATA_TRANSPORT!$E:$E,AE21)))</f>
        <v/>
      </c>
      <c r="AV21">
        <f>IF(IF(OR(AE21="",$B$10=0),0,SUMIFS(DATA_TRANSPORT!$L:$L,DATA_TRANSPORT!$A:$A,$B$10-21,DATA_TRANSPORT!$E:$E,AE21))=0,"",IF(OR(AE21="",$B$10=0),0,SUMIFS(DATA_TRANSPORT!$R:$R,DATA_TRANSPORT!$A:$A,$B$10-21,DATA_TRANSPORT!$E:$E,AE21))/IF(OR(AE21="",$B$10=0),0,SUMIFS(DATA_TRANSPORT!$L:$L,DATA_TRANSPORT!$A:$A,$B$10-21,DATA_TRANSPORT!$E:$E,AE21)))</f>
        <v/>
      </c>
      <c r="AW21">
        <f>IF(AND(ISNUMBER(AK21),AK21&lt;UtilLow),1,0)+IF(AND(ISNUMBER(AT21),AT21&lt;UtilLow),1,0)+IF(AND(ISNUMBER(AU21),AU21&lt;UtilLow),1,0)+IF(AND(ISNUMBER(AV21),AV21&lt;UtilLow),1,0)</f>
        <v/>
      </c>
      <c r="AX21">
        <f>IF(AW21&gt;=UtilLowWeeks,AE21&amp;": seats only "&amp;TEXT(AK21,"0%")&amp;" full, under "&amp;TEXT(UtilLow,"0%")&amp;" for "&amp;AW21&amp;" weeks running",IF(AND(AH21&gt;0,AJ21&gt;=AH21*ExcessShare),AE21&amp;": "&amp;TEXT(AJ21,"#,##0")&amp;" riders beyond the seats — consider more buses",IF(AND(ISNUMBER(AP21),AP21&gt;0),AE21&amp;": FT spend ₦"&amp;TEXT(AP21,"#,##0")&amp;" over the weekly budget",IF(AS21&gt;0,AE21&amp;": "&amp;AS21&amp;" coaster breakdown(s) this week",""))))</f>
        <v/>
      </c>
      <c r="AY21">
        <f>IF(ISNUMBER(AK21),AK21+ROW()/1000000000,"")</f>
        <v/>
      </c>
      <c r="AZ21">
        <f>IF(ISNUMBER(AM21),AM21+ROW()/1000000,"")</f>
        <v/>
      </c>
      <c r="BA21">
        <f>IF(AND(ISNUMBER(AP21),AP21&gt;0),AP21+ROW()/1000000,"")</f>
        <v/>
      </c>
      <c r="BB21">
        <f>IF(AF21&gt;0,AF21+ROW()/1000000,"")</f>
        <v/>
      </c>
      <c r="BC21">
        <f>IF(AX21="","",ROW())</f>
        <v/>
      </c>
      <c r="BD21">
        <f>IF(AJ21&gt;0,AJ21+ROW()/1000000,"")</f>
        <v/>
      </c>
      <c r="BQ21">
        <f>IFERROR(SMALL(DATA_TRANSPORT!$AE:$AE,19),"")</f>
        <v/>
      </c>
      <c r="BR21">
        <f>IF(BQ21="","",INDEX(DATA_TRANSPORT!$E:$E,BQ21))</f>
        <v/>
      </c>
      <c r="BS21">
        <f>IF(BQ21="","",INDEX(DATA_TRANSPORT!$C:$C,BQ21))</f>
        <v/>
      </c>
      <c r="BT21">
        <f>IF(BQ21="","",TRIM(INDEX(DATA_TRANSPORT!$G:$G,BQ21)&amp;" "&amp;IF(INDEX(DATA_TRANSPORT!$H:$H,BQ21)="","","(bus "&amp;INDEX(DATA_TRANSPORT!$H:$H,BQ21)&amp;")")))</f>
        <v/>
      </c>
      <c r="BU21">
        <f>IF(BQ21="","",IF(INDEX(DATA_TRANSPORT!$V:$V,BQ21)="Breakdown","Breakdown",IF(INDEX(DATA_TRANSPORT!$X:$X,BQ21)="","Needs more buses",INDEX(DATA_TRANSPORT!$X:$X,BQ21))))</f>
        <v/>
      </c>
      <c r="BV21">
        <f>IF(BQ21="","",INDEX(DATA_TRANSPORT!$Y:$Y,BQ21)&amp;"")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IF(B22="",0,COUNTIFS(DATA_TRANSPORT!$A:$A,B22,DATA_TRANSPORT!$E:$E,$B$6,DATA_TRANSPORT!$AD:$AD,$B$7))</f>
        <v/>
      </c>
      <c r="G22">
        <f>IF(F22=0,0,SUMIFS(DATA_TRANSPORT!$Q:$Q,DATA_TRANSPORT!$A:$A,B22,DATA_TRANSPORT!$E:$E,$B$6,DATA_TRANSPORT!$AD:$AD,$B$7))</f>
        <v/>
      </c>
      <c r="H22">
        <f>IF(F22=0,0,SUMIFS(DATA_TRANSPORT!$M:$M,DATA_TRANSPORT!$A:$A,B22,DATA_TRANSPORT!$E:$E,$B$6,DATA_TRANSPORT!$AD:$AD,$B$7))</f>
        <v/>
      </c>
      <c r="I22">
        <f>IF(F22=0,0,SUMIFS(DATA_TRANSPORT!$N:$N,DATA_TRANSPORT!$A:$A,B22,DATA_TRANSPORT!$E:$E,$B$6,DATA_TRANSPORT!$AD:$AD,$B$7))</f>
        <v/>
      </c>
      <c r="J22">
        <f>IF(F22=0,0,SUMIFS(DATA_TRANSPORT!$P:$P,DATA_TRANSPORT!$A:$A,B22,DATA_TRANSPORT!$E:$E,$B$6,DATA_TRANSPORT!$AD:$AD,$B$7))</f>
        <v/>
      </c>
      <c r="K22">
        <f>IF(F22=0,0,SUMIFS(DATA_TRANSPORT!$I:$I,DATA_TRANSPORT!$A:$A,B22,DATA_TRANSPORT!$E:$E,$B$6,DATA_TRANSPORT!$AD:$AD,$B$7))</f>
        <v/>
      </c>
      <c r="L22">
        <f>IF(F22=0,0,SUMIFS(DATA_TRANSPORT!$I:$I,DATA_TRANSPORT!$A:$A,B22,DATA_TRANSPORT!$E:$E,$B$6,DATA_TRANSPORT!$AD:$AD,$B$7,DATA_TRANSPORT!$V:$V,"Ran"))</f>
        <v/>
      </c>
      <c r="M22">
        <f>IF(F22=0,0,SUMIFS(DATA_TRANSPORT!$L:$L,DATA_TRANSPORT!$A:$A,B22,DATA_TRANSPORT!$E:$E,$B$6,DATA_TRANSPORT!$AD:$AD,$B$7))</f>
        <v/>
      </c>
      <c r="N22">
        <f>IF(F22=0,0,SUMIFS(DATA_TRANSPORT!$R:$R,DATA_TRANSPORT!$A:$A,B22,DATA_TRANSPORT!$E:$E,$B$6,DATA_TRANSPORT!$AD:$AD,$B$7))</f>
        <v/>
      </c>
      <c r="O22">
        <f>IF(F22=0,0,SUMIFS(DATA_TRANSPORT!$S:$S,DATA_TRANSPORT!$A:$A,B22,DATA_TRANSPORT!$E:$E,$B$6,DATA_TRANSPORT!$AD:$AD,$B$7))</f>
        <v/>
      </c>
      <c r="P22">
        <f>IF(F22=0,0,SUMIFS(DATA_TRANSPORT!$T:$T,DATA_TRANSPORT!$A:$A,B22,DATA_TRANSPORT!$E:$E,$B$6,DATA_TRANSPORT!$AD:$AD,$B$7))</f>
        <v/>
      </c>
      <c r="Q22">
        <f>IF(OR(B22="",$B$17),0,SUMIFS(DATA_TRANSPORT_COSTS!$M:$M,DATA_TRANSPORT_COSTS!$A:$A,B22,DATA_TRANSPORT_COSTS!$D:$D,$B$6))</f>
        <v/>
      </c>
      <c r="R22">
        <f>P22+Q22</f>
        <v/>
      </c>
      <c r="S22">
        <f>Q22+IF(F22=0,0,SUMIFS(DATA_TRANSPORT!$T:$T,DATA_TRANSPORT!$A:$A,B22,DATA_TRANSPORT!$E:$E,$B$6,DATA_TRANSPORT!$AD:$AD,$B$7,DATA_TRANSPORT!$U:$U,"Central"))</f>
        <v/>
      </c>
      <c r="T22">
        <f>IF(F22=0,0,SUMIFS(DATA_TRANSPORT!$T:$T,DATA_TRANSPORT!$A:$A,B22,DATA_TRANSPORT!$E:$E,$B$6,DATA_TRANSPORT!$AD:$AD,$B$7,DATA_TRANSPORT!$U:$U,"Members"))</f>
        <v/>
      </c>
      <c r="U22">
        <f>IF(OR(B22="",$B$17),0,SUMIFS(DATA_TRANSPORT_BUDGET!$G:$G,DATA_TRANSPORT_BUDGET!$A:$A,B22,DATA_TRANSPORT_BUDGET!$D:$D,$B$6))</f>
        <v/>
      </c>
      <c r="V22">
        <f>IF(F22=0,0,SUMIFS(DATA_TRANSPORT!$T:$T,DATA_TRANSPORT!$A:$A,B22,DATA_TRANSPORT!$E:$E,$B$6,DATA_TRANSPORT!$AD:$AD,$B$7,DATA_TRANSPORT!$C:$C,"FT Procured"))</f>
        <v/>
      </c>
      <c r="W22">
        <f>IF(F22=0,0,COUNTIFS(DATA_TRANSPORT!$A:$A,B22,DATA_TRANSPORT!$E:$E,$B$6,DATA_TRANSPORT!$AD:$AD,$B$7,DATA_TRANSPORT!$V:$V,"Breakdown"))</f>
        <v/>
      </c>
      <c r="X22">
        <f>IF(M22=0,0,N22/M22)</f>
        <v/>
      </c>
      <c r="Y22">
        <f>IF(F22&gt;0,1,0)</f>
        <v/>
      </c>
      <c r="Z22">
        <f>IF(AND(A22&gt;=1,A22&lt;=$B$11),Y22,0)</f>
        <v/>
      </c>
      <c r="AA22">
        <f>IF(AND(C22=$B$12,E22=$B$14),Y22,0)</f>
        <v/>
      </c>
      <c r="AB22">
        <f>IF(AND(D22=$B$13,E22=$B$14),Y22,0)</f>
        <v/>
      </c>
      <c r="AC22">
        <f>IF(E22=$B$14,Y22,0)</f>
        <v/>
      </c>
      <c r="AE22">
        <f>IFERROR(IF(INDEX(MASTER_AREAS!$F:$F,21)="N","",INDEX(MASTER_AREAS!$B:$B,21)&amp;""),"")</f>
        <v/>
      </c>
      <c r="AF22">
        <f>IF(OR(AE22="",$B$10=0),0,SUMIFS(DATA_TRANSPORT!$Q:$Q,DATA_TRANSPORT!$A:$A,$B$10,DATA_TRANSPORT!$E:$E,AE22))</f>
        <v/>
      </c>
      <c r="AG22">
        <f>IF(OR(AE22="",$B$10=0),0,SUMIFS(DATA_TRANSPORT!$I:$I,DATA_TRANSPORT!$A:$A,$B$10,DATA_TRANSPORT!$E:$E,AE22,DATA_TRANSPORT!$V:$V,"Ran"))</f>
        <v/>
      </c>
      <c r="AH22">
        <f>IF(OR(AE22="",$B$10=0),0,SUMIFS(DATA_TRANSPORT!$L:$L,DATA_TRANSPORT!$A:$A,$B$10,DATA_TRANSPORT!$E:$E,AE22))</f>
        <v/>
      </c>
      <c r="AI22">
        <f>IF(OR(AE22="",$B$10=0),0,SUMIFS(DATA_TRANSPORT!$R:$R,DATA_TRANSPORT!$A:$A,$B$10,DATA_TRANSPORT!$E:$E,AE22))</f>
        <v/>
      </c>
      <c r="AJ22">
        <f>IF(OR(AE22="",$B$10=0),0,SUMIFS(DATA_TRANSPORT!$S:$S,DATA_TRANSPORT!$A:$A,$B$10,DATA_TRANSPORT!$E:$E,AE22))</f>
        <v/>
      </c>
      <c r="AK22">
        <f>IF(AH22=0,"",AI22/AH22)</f>
        <v/>
      </c>
      <c r="AL22">
        <f>IF(OR(AE22="",$B$10=0),0,SUMIFS(DATA_TRANSPORT!$T:$T,DATA_TRANSPORT!$A:$A,$B$10,DATA_TRANSPORT!$E:$E,AE22))+IF(OR(AE22="",$B$10=0),0,SUMIFS(DATA_TRANSPORT_COSTS!$M:$M,DATA_TRANSPORT_COSTS!$A:$A,$B$10,DATA_TRANSPORT_COSTS!$D:$D,AE22))</f>
        <v/>
      </c>
      <c r="AM22">
        <f>IF(OR(AF22=0,AL22=0),"",AL22/AF22)</f>
        <v/>
      </c>
      <c r="AN22">
        <f>IF(OR(AE22="",$B$10=0),0,SUMIFS(DATA_TRANSPORT!$T:$T,DATA_TRANSPORT!$A:$A,$B$10,DATA_TRANSPORT!$E:$E,AE22,DATA_TRANSPORT!$C:$C,"FT Procured"))</f>
        <v/>
      </c>
      <c r="AO22">
        <f>IF(OR(AE22="",$B$10=0),0,SUMIFS(DATA_TRANSPORT_BUDGET!$G:$G,DATA_TRANSPORT_BUDGET!$A:$A,$B$10,DATA_TRANSPORT_BUDGET!$D:$D,AE22))</f>
        <v/>
      </c>
      <c r="AP22">
        <f>IF(AO22=0,"",AN22-AO22)</f>
        <v/>
      </c>
      <c r="AQ22">
        <f>IF(OR(AE22="",$B$10=0),0,COUNTIFS(DATA_TRANSPORT!$A:$A,$B$10,DATA_TRANSPORT!$E:$E,AE22,DATA_TRANSPORT!$C:$C,"FT Procured",DATA_TRANSPORT!$Z:$Z,"Y"))</f>
        <v/>
      </c>
      <c r="AR22">
        <f>IF(OR(AE22="",$B$10=0),0,SUMIFS(DATA_TRANSPORT_BUDGET!$E:$E,DATA_TRANSPORT_BUDGET!$A:$A,$B$10,DATA_TRANSPORT_BUDGET!$D:$D,AE22))</f>
        <v/>
      </c>
      <c r="AS22">
        <f>IF(OR(AE22="",$B$10=0),0,COUNTIFS(DATA_TRANSPORT!$A:$A,$B$10,DATA_TRANSPORT!$E:$E,AE22,DATA_TRANSPORT!$V:$V,"Breakdown"))</f>
        <v/>
      </c>
      <c r="AT22">
        <f>IF(IF(OR(AE22="",$B$10=0),0,SUMIFS(DATA_TRANSPORT!$L:$L,DATA_TRANSPORT!$A:$A,$B$10-7,DATA_TRANSPORT!$E:$E,AE22))=0,"",IF(OR(AE22="",$B$10=0),0,SUMIFS(DATA_TRANSPORT!$R:$R,DATA_TRANSPORT!$A:$A,$B$10-7,DATA_TRANSPORT!$E:$E,AE22))/IF(OR(AE22="",$B$10=0),0,SUMIFS(DATA_TRANSPORT!$L:$L,DATA_TRANSPORT!$A:$A,$B$10-7,DATA_TRANSPORT!$E:$E,AE22)))</f>
        <v/>
      </c>
      <c r="AU22">
        <f>IF(IF(OR(AE22="",$B$10=0),0,SUMIFS(DATA_TRANSPORT!$L:$L,DATA_TRANSPORT!$A:$A,$B$10-14,DATA_TRANSPORT!$E:$E,AE22))=0,"",IF(OR(AE22="",$B$10=0),0,SUMIFS(DATA_TRANSPORT!$R:$R,DATA_TRANSPORT!$A:$A,$B$10-14,DATA_TRANSPORT!$E:$E,AE22))/IF(OR(AE22="",$B$10=0),0,SUMIFS(DATA_TRANSPORT!$L:$L,DATA_TRANSPORT!$A:$A,$B$10-14,DATA_TRANSPORT!$E:$E,AE22)))</f>
        <v/>
      </c>
      <c r="AV22">
        <f>IF(IF(OR(AE22="",$B$10=0),0,SUMIFS(DATA_TRANSPORT!$L:$L,DATA_TRANSPORT!$A:$A,$B$10-21,DATA_TRANSPORT!$E:$E,AE22))=0,"",IF(OR(AE22="",$B$10=0),0,SUMIFS(DATA_TRANSPORT!$R:$R,DATA_TRANSPORT!$A:$A,$B$10-21,DATA_TRANSPORT!$E:$E,AE22))/IF(OR(AE22="",$B$10=0),0,SUMIFS(DATA_TRANSPORT!$L:$L,DATA_TRANSPORT!$A:$A,$B$10-21,DATA_TRANSPORT!$E:$E,AE22)))</f>
        <v/>
      </c>
      <c r="AW22">
        <f>IF(AND(ISNUMBER(AK22),AK22&lt;UtilLow),1,0)+IF(AND(ISNUMBER(AT22),AT22&lt;UtilLow),1,0)+IF(AND(ISNUMBER(AU22),AU22&lt;UtilLow),1,0)+IF(AND(ISNUMBER(AV22),AV22&lt;UtilLow),1,0)</f>
        <v/>
      </c>
      <c r="AX22">
        <f>IF(AW22&gt;=UtilLowWeeks,AE22&amp;": seats only "&amp;TEXT(AK22,"0%")&amp;" full, under "&amp;TEXT(UtilLow,"0%")&amp;" for "&amp;AW22&amp;" weeks running",IF(AND(AH22&gt;0,AJ22&gt;=AH22*ExcessShare),AE22&amp;": "&amp;TEXT(AJ22,"#,##0")&amp;" riders beyond the seats — consider more buses",IF(AND(ISNUMBER(AP22),AP22&gt;0),AE22&amp;": FT spend ₦"&amp;TEXT(AP22,"#,##0")&amp;" over the weekly budget",IF(AS22&gt;0,AE22&amp;": "&amp;AS22&amp;" coaster breakdown(s) this week",""))))</f>
        <v/>
      </c>
      <c r="AY22">
        <f>IF(ISNUMBER(AK22),AK22+ROW()/1000000000,"")</f>
        <v/>
      </c>
      <c r="AZ22">
        <f>IF(ISNUMBER(AM22),AM22+ROW()/1000000,"")</f>
        <v/>
      </c>
      <c r="BA22">
        <f>IF(AND(ISNUMBER(AP22),AP22&gt;0),AP22+ROW()/1000000,"")</f>
        <v/>
      </c>
      <c r="BB22">
        <f>IF(AF22&gt;0,AF22+ROW()/1000000,"")</f>
        <v/>
      </c>
      <c r="BC22">
        <f>IF(AX22="","",ROW())</f>
        <v/>
      </c>
      <c r="BD22">
        <f>IF(AJ22&gt;0,AJ22+ROW()/1000000,"")</f>
        <v/>
      </c>
      <c r="BQ22">
        <f>IFERROR(SMALL(DATA_TRANSPORT!$AE:$AE,20),"")</f>
        <v/>
      </c>
      <c r="BR22">
        <f>IF(BQ22="","",INDEX(DATA_TRANSPORT!$E:$E,BQ22))</f>
        <v/>
      </c>
      <c r="BS22">
        <f>IF(BQ22="","",INDEX(DATA_TRANSPORT!$C:$C,BQ22))</f>
        <v/>
      </c>
      <c r="BT22">
        <f>IF(BQ22="","",TRIM(INDEX(DATA_TRANSPORT!$G:$G,BQ22)&amp;" "&amp;IF(INDEX(DATA_TRANSPORT!$H:$H,BQ22)="","","(bus "&amp;INDEX(DATA_TRANSPORT!$H:$H,BQ22)&amp;")")))</f>
        <v/>
      </c>
      <c r="BU22">
        <f>IF(BQ22="","",IF(INDEX(DATA_TRANSPORT!$V:$V,BQ22)="Breakdown","Breakdown",IF(INDEX(DATA_TRANSPORT!$X:$X,BQ22)="","Needs more buses",INDEX(DATA_TRANSPORT!$X:$X,BQ22))))</f>
        <v/>
      </c>
      <c r="BV22">
        <f>IF(BQ22="","",INDEX(DATA_TRANSPORT!$Y:$Y,BQ22)&amp;"")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IF(B23="",0,COUNTIFS(DATA_TRANSPORT!$A:$A,B23,DATA_TRANSPORT!$E:$E,$B$6,DATA_TRANSPORT!$AD:$AD,$B$7))</f>
        <v/>
      </c>
      <c r="G23">
        <f>IF(F23=0,0,SUMIFS(DATA_TRANSPORT!$Q:$Q,DATA_TRANSPORT!$A:$A,B23,DATA_TRANSPORT!$E:$E,$B$6,DATA_TRANSPORT!$AD:$AD,$B$7))</f>
        <v/>
      </c>
      <c r="H23">
        <f>IF(F23=0,0,SUMIFS(DATA_TRANSPORT!$M:$M,DATA_TRANSPORT!$A:$A,B23,DATA_TRANSPORT!$E:$E,$B$6,DATA_TRANSPORT!$AD:$AD,$B$7))</f>
        <v/>
      </c>
      <c r="I23">
        <f>IF(F23=0,0,SUMIFS(DATA_TRANSPORT!$N:$N,DATA_TRANSPORT!$A:$A,B23,DATA_TRANSPORT!$E:$E,$B$6,DATA_TRANSPORT!$AD:$AD,$B$7))</f>
        <v/>
      </c>
      <c r="J23">
        <f>IF(F23=0,0,SUMIFS(DATA_TRANSPORT!$P:$P,DATA_TRANSPORT!$A:$A,B23,DATA_TRANSPORT!$E:$E,$B$6,DATA_TRANSPORT!$AD:$AD,$B$7))</f>
        <v/>
      </c>
      <c r="K23">
        <f>IF(F23=0,0,SUMIFS(DATA_TRANSPORT!$I:$I,DATA_TRANSPORT!$A:$A,B23,DATA_TRANSPORT!$E:$E,$B$6,DATA_TRANSPORT!$AD:$AD,$B$7))</f>
        <v/>
      </c>
      <c r="L23">
        <f>IF(F23=0,0,SUMIFS(DATA_TRANSPORT!$I:$I,DATA_TRANSPORT!$A:$A,B23,DATA_TRANSPORT!$E:$E,$B$6,DATA_TRANSPORT!$AD:$AD,$B$7,DATA_TRANSPORT!$V:$V,"Ran"))</f>
        <v/>
      </c>
      <c r="M23">
        <f>IF(F23=0,0,SUMIFS(DATA_TRANSPORT!$L:$L,DATA_TRANSPORT!$A:$A,B23,DATA_TRANSPORT!$E:$E,$B$6,DATA_TRANSPORT!$AD:$AD,$B$7))</f>
        <v/>
      </c>
      <c r="N23">
        <f>IF(F23=0,0,SUMIFS(DATA_TRANSPORT!$R:$R,DATA_TRANSPORT!$A:$A,B23,DATA_TRANSPORT!$E:$E,$B$6,DATA_TRANSPORT!$AD:$AD,$B$7))</f>
        <v/>
      </c>
      <c r="O23">
        <f>IF(F23=0,0,SUMIFS(DATA_TRANSPORT!$S:$S,DATA_TRANSPORT!$A:$A,B23,DATA_TRANSPORT!$E:$E,$B$6,DATA_TRANSPORT!$AD:$AD,$B$7))</f>
        <v/>
      </c>
      <c r="P23">
        <f>IF(F23=0,0,SUMIFS(DATA_TRANSPORT!$T:$T,DATA_TRANSPORT!$A:$A,B23,DATA_TRANSPORT!$E:$E,$B$6,DATA_TRANSPORT!$AD:$AD,$B$7))</f>
        <v/>
      </c>
      <c r="Q23">
        <f>IF(OR(B23="",$B$17),0,SUMIFS(DATA_TRANSPORT_COSTS!$M:$M,DATA_TRANSPORT_COSTS!$A:$A,B23,DATA_TRANSPORT_COSTS!$D:$D,$B$6))</f>
        <v/>
      </c>
      <c r="R23">
        <f>P23+Q23</f>
        <v/>
      </c>
      <c r="S23">
        <f>Q23+IF(F23=0,0,SUMIFS(DATA_TRANSPORT!$T:$T,DATA_TRANSPORT!$A:$A,B23,DATA_TRANSPORT!$E:$E,$B$6,DATA_TRANSPORT!$AD:$AD,$B$7,DATA_TRANSPORT!$U:$U,"Central"))</f>
        <v/>
      </c>
      <c r="T23">
        <f>IF(F23=0,0,SUMIFS(DATA_TRANSPORT!$T:$T,DATA_TRANSPORT!$A:$A,B23,DATA_TRANSPORT!$E:$E,$B$6,DATA_TRANSPORT!$AD:$AD,$B$7,DATA_TRANSPORT!$U:$U,"Members"))</f>
        <v/>
      </c>
      <c r="U23">
        <f>IF(OR(B23="",$B$17),0,SUMIFS(DATA_TRANSPORT_BUDGET!$G:$G,DATA_TRANSPORT_BUDGET!$A:$A,B23,DATA_TRANSPORT_BUDGET!$D:$D,$B$6))</f>
        <v/>
      </c>
      <c r="V23">
        <f>IF(F23=0,0,SUMIFS(DATA_TRANSPORT!$T:$T,DATA_TRANSPORT!$A:$A,B23,DATA_TRANSPORT!$E:$E,$B$6,DATA_TRANSPORT!$AD:$AD,$B$7,DATA_TRANSPORT!$C:$C,"FT Procured"))</f>
        <v/>
      </c>
      <c r="W23">
        <f>IF(F23=0,0,COUNTIFS(DATA_TRANSPORT!$A:$A,B23,DATA_TRANSPORT!$E:$E,$B$6,DATA_TRANSPORT!$AD:$AD,$B$7,DATA_TRANSPORT!$V:$V,"Breakdown"))</f>
        <v/>
      </c>
      <c r="X23">
        <f>IF(M23=0,0,N23/M23)</f>
        <v/>
      </c>
      <c r="Y23">
        <f>IF(F23&gt;0,1,0)</f>
        <v/>
      </c>
      <c r="Z23">
        <f>IF(AND(A23&gt;=1,A23&lt;=$B$11),Y23,0)</f>
        <v/>
      </c>
      <c r="AA23">
        <f>IF(AND(C23=$B$12,E23=$B$14),Y23,0)</f>
        <v/>
      </c>
      <c r="AB23">
        <f>IF(AND(D23=$B$13,E23=$B$14),Y23,0)</f>
        <v/>
      </c>
      <c r="AC23">
        <f>IF(E23=$B$14,Y23,0)</f>
        <v/>
      </c>
      <c r="AE23">
        <f>IFERROR(IF(INDEX(MASTER_AREAS!$F:$F,22)="N","",INDEX(MASTER_AREAS!$B:$B,22)&amp;""),"")</f>
        <v/>
      </c>
      <c r="AF23">
        <f>IF(OR(AE23="",$B$10=0),0,SUMIFS(DATA_TRANSPORT!$Q:$Q,DATA_TRANSPORT!$A:$A,$B$10,DATA_TRANSPORT!$E:$E,AE23))</f>
        <v/>
      </c>
      <c r="AG23">
        <f>IF(OR(AE23="",$B$10=0),0,SUMIFS(DATA_TRANSPORT!$I:$I,DATA_TRANSPORT!$A:$A,$B$10,DATA_TRANSPORT!$E:$E,AE23,DATA_TRANSPORT!$V:$V,"Ran"))</f>
        <v/>
      </c>
      <c r="AH23">
        <f>IF(OR(AE23="",$B$10=0),0,SUMIFS(DATA_TRANSPORT!$L:$L,DATA_TRANSPORT!$A:$A,$B$10,DATA_TRANSPORT!$E:$E,AE23))</f>
        <v/>
      </c>
      <c r="AI23">
        <f>IF(OR(AE23="",$B$10=0),0,SUMIFS(DATA_TRANSPORT!$R:$R,DATA_TRANSPORT!$A:$A,$B$10,DATA_TRANSPORT!$E:$E,AE23))</f>
        <v/>
      </c>
      <c r="AJ23">
        <f>IF(OR(AE23="",$B$10=0),0,SUMIFS(DATA_TRANSPORT!$S:$S,DATA_TRANSPORT!$A:$A,$B$10,DATA_TRANSPORT!$E:$E,AE23))</f>
        <v/>
      </c>
      <c r="AK23">
        <f>IF(AH23=0,"",AI23/AH23)</f>
        <v/>
      </c>
      <c r="AL23">
        <f>IF(OR(AE23="",$B$10=0),0,SUMIFS(DATA_TRANSPORT!$T:$T,DATA_TRANSPORT!$A:$A,$B$10,DATA_TRANSPORT!$E:$E,AE23))+IF(OR(AE23="",$B$10=0),0,SUMIFS(DATA_TRANSPORT_COSTS!$M:$M,DATA_TRANSPORT_COSTS!$A:$A,$B$10,DATA_TRANSPORT_COSTS!$D:$D,AE23))</f>
        <v/>
      </c>
      <c r="AM23">
        <f>IF(OR(AF23=0,AL23=0),"",AL23/AF23)</f>
        <v/>
      </c>
      <c r="AN23">
        <f>IF(OR(AE23="",$B$10=0),0,SUMIFS(DATA_TRANSPORT!$T:$T,DATA_TRANSPORT!$A:$A,$B$10,DATA_TRANSPORT!$E:$E,AE23,DATA_TRANSPORT!$C:$C,"FT Procured"))</f>
        <v/>
      </c>
      <c r="AO23">
        <f>IF(OR(AE23="",$B$10=0),0,SUMIFS(DATA_TRANSPORT_BUDGET!$G:$G,DATA_TRANSPORT_BUDGET!$A:$A,$B$10,DATA_TRANSPORT_BUDGET!$D:$D,AE23))</f>
        <v/>
      </c>
      <c r="AP23">
        <f>IF(AO23=0,"",AN23-AO23)</f>
        <v/>
      </c>
      <c r="AQ23">
        <f>IF(OR(AE23="",$B$10=0),0,COUNTIFS(DATA_TRANSPORT!$A:$A,$B$10,DATA_TRANSPORT!$E:$E,AE23,DATA_TRANSPORT!$C:$C,"FT Procured",DATA_TRANSPORT!$Z:$Z,"Y"))</f>
        <v/>
      </c>
      <c r="AR23">
        <f>IF(OR(AE23="",$B$10=0),0,SUMIFS(DATA_TRANSPORT_BUDGET!$E:$E,DATA_TRANSPORT_BUDGET!$A:$A,$B$10,DATA_TRANSPORT_BUDGET!$D:$D,AE23))</f>
        <v/>
      </c>
      <c r="AS23">
        <f>IF(OR(AE23="",$B$10=0),0,COUNTIFS(DATA_TRANSPORT!$A:$A,$B$10,DATA_TRANSPORT!$E:$E,AE23,DATA_TRANSPORT!$V:$V,"Breakdown"))</f>
        <v/>
      </c>
      <c r="AT23">
        <f>IF(IF(OR(AE23="",$B$10=0),0,SUMIFS(DATA_TRANSPORT!$L:$L,DATA_TRANSPORT!$A:$A,$B$10-7,DATA_TRANSPORT!$E:$E,AE23))=0,"",IF(OR(AE23="",$B$10=0),0,SUMIFS(DATA_TRANSPORT!$R:$R,DATA_TRANSPORT!$A:$A,$B$10-7,DATA_TRANSPORT!$E:$E,AE23))/IF(OR(AE23="",$B$10=0),0,SUMIFS(DATA_TRANSPORT!$L:$L,DATA_TRANSPORT!$A:$A,$B$10-7,DATA_TRANSPORT!$E:$E,AE23)))</f>
        <v/>
      </c>
      <c r="AU23">
        <f>IF(IF(OR(AE23="",$B$10=0),0,SUMIFS(DATA_TRANSPORT!$L:$L,DATA_TRANSPORT!$A:$A,$B$10-14,DATA_TRANSPORT!$E:$E,AE23))=0,"",IF(OR(AE23="",$B$10=0),0,SUMIFS(DATA_TRANSPORT!$R:$R,DATA_TRANSPORT!$A:$A,$B$10-14,DATA_TRANSPORT!$E:$E,AE23))/IF(OR(AE23="",$B$10=0),0,SUMIFS(DATA_TRANSPORT!$L:$L,DATA_TRANSPORT!$A:$A,$B$10-14,DATA_TRANSPORT!$E:$E,AE23)))</f>
        <v/>
      </c>
      <c r="AV23">
        <f>IF(IF(OR(AE23="",$B$10=0),0,SUMIFS(DATA_TRANSPORT!$L:$L,DATA_TRANSPORT!$A:$A,$B$10-21,DATA_TRANSPORT!$E:$E,AE23))=0,"",IF(OR(AE23="",$B$10=0),0,SUMIFS(DATA_TRANSPORT!$R:$R,DATA_TRANSPORT!$A:$A,$B$10-21,DATA_TRANSPORT!$E:$E,AE23))/IF(OR(AE23="",$B$10=0),0,SUMIFS(DATA_TRANSPORT!$L:$L,DATA_TRANSPORT!$A:$A,$B$10-21,DATA_TRANSPORT!$E:$E,AE23)))</f>
        <v/>
      </c>
      <c r="AW23">
        <f>IF(AND(ISNUMBER(AK23),AK23&lt;UtilLow),1,0)+IF(AND(ISNUMBER(AT23),AT23&lt;UtilLow),1,0)+IF(AND(ISNUMBER(AU23),AU23&lt;UtilLow),1,0)+IF(AND(ISNUMBER(AV23),AV23&lt;UtilLow),1,0)</f>
        <v/>
      </c>
      <c r="AX23">
        <f>IF(AW23&gt;=UtilLowWeeks,AE23&amp;": seats only "&amp;TEXT(AK23,"0%")&amp;" full, under "&amp;TEXT(UtilLow,"0%")&amp;" for "&amp;AW23&amp;" weeks running",IF(AND(AH23&gt;0,AJ23&gt;=AH23*ExcessShare),AE23&amp;": "&amp;TEXT(AJ23,"#,##0")&amp;" riders beyond the seats — consider more buses",IF(AND(ISNUMBER(AP23),AP23&gt;0),AE23&amp;": FT spend ₦"&amp;TEXT(AP23,"#,##0")&amp;" over the weekly budget",IF(AS23&gt;0,AE23&amp;": "&amp;AS23&amp;" coaster breakdown(s) this week",""))))</f>
        <v/>
      </c>
      <c r="AY23">
        <f>IF(ISNUMBER(AK23),AK23+ROW()/1000000000,"")</f>
        <v/>
      </c>
      <c r="AZ23">
        <f>IF(ISNUMBER(AM23),AM23+ROW()/1000000,"")</f>
        <v/>
      </c>
      <c r="BA23">
        <f>IF(AND(ISNUMBER(AP23),AP23&gt;0),AP23+ROW()/1000000,"")</f>
        <v/>
      </c>
      <c r="BB23">
        <f>IF(AF23&gt;0,AF23+ROW()/1000000,"")</f>
        <v/>
      </c>
      <c r="BC23">
        <f>IF(AX23="","",ROW())</f>
        <v/>
      </c>
      <c r="BD23">
        <f>IF(AJ23&gt;0,AJ23+ROW()/1000000,"")</f>
        <v/>
      </c>
      <c r="BQ23">
        <f>IFERROR(SMALL(DATA_TRANSPORT!$AE:$AE,21),"")</f>
        <v/>
      </c>
      <c r="BR23">
        <f>IF(BQ23="","",INDEX(DATA_TRANSPORT!$E:$E,BQ23))</f>
        <v/>
      </c>
      <c r="BS23">
        <f>IF(BQ23="","",INDEX(DATA_TRANSPORT!$C:$C,BQ23))</f>
        <v/>
      </c>
      <c r="BT23">
        <f>IF(BQ23="","",TRIM(INDEX(DATA_TRANSPORT!$G:$G,BQ23)&amp;" "&amp;IF(INDEX(DATA_TRANSPORT!$H:$H,BQ23)="","","(bus "&amp;INDEX(DATA_TRANSPORT!$H:$H,BQ23)&amp;")")))</f>
        <v/>
      </c>
      <c r="BU23">
        <f>IF(BQ23="","",IF(INDEX(DATA_TRANSPORT!$V:$V,BQ23)="Breakdown","Breakdown",IF(INDEX(DATA_TRANSPORT!$X:$X,BQ23)="","Needs more buses",INDEX(DATA_TRANSPORT!$X:$X,BQ23))))</f>
        <v/>
      </c>
      <c r="BV23">
        <f>IF(BQ23="","",INDEX(DATA_TRANSPORT!$Y:$Y,BQ23)&amp;"")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IF(B24="",0,COUNTIFS(DATA_TRANSPORT!$A:$A,B24,DATA_TRANSPORT!$E:$E,$B$6,DATA_TRANSPORT!$AD:$AD,$B$7))</f>
        <v/>
      </c>
      <c r="G24">
        <f>IF(F24=0,0,SUMIFS(DATA_TRANSPORT!$Q:$Q,DATA_TRANSPORT!$A:$A,B24,DATA_TRANSPORT!$E:$E,$B$6,DATA_TRANSPORT!$AD:$AD,$B$7))</f>
        <v/>
      </c>
      <c r="H24">
        <f>IF(F24=0,0,SUMIFS(DATA_TRANSPORT!$M:$M,DATA_TRANSPORT!$A:$A,B24,DATA_TRANSPORT!$E:$E,$B$6,DATA_TRANSPORT!$AD:$AD,$B$7))</f>
        <v/>
      </c>
      <c r="I24">
        <f>IF(F24=0,0,SUMIFS(DATA_TRANSPORT!$N:$N,DATA_TRANSPORT!$A:$A,B24,DATA_TRANSPORT!$E:$E,$B$6,DATA_TRANSPORT!$AD:$AD,$B$7))</f>
        <v/>
      </c>
      <c r="J24">
        <f>IF(F24=0,0,SUMIFS(DATA_TRANSPORT!$P:$P,DATA_TRANSPORT!$A:$A,B24,DATA_TRANSPORT!$E:$E,$B$6,DATA_TRANSPORT!$AD:$AD,$B$7))</f>
        <v/>
      </c>
      <c r="K24">
        <f>IF(F24=0,0,SUMIFS(DATA_TRANSPORT!$I:$I,DATA_TRANSPORT!$A:$A,B24,DATA_TRANSPORT!$E:$E,$B$6,DATA_TRANSPORT!$AD:$AD,$B$7))</f>
        <v/>
      </c>
      <c r="L24">
        <f>IF(F24=0,0,SUMIFS(DATA_TRANSPORT!$I:$I,DATA_TRANSPORT!$A:$A,B24,DATA_TRANSPORT!$E:$E,$B$6,DATA_TRANSPORT!$AD:$AD,$B$7,DATA_TRANSPORT!$V:$V,"Ran"))</f>
        <v/>
      </c>
      <c r="M24">
        <f>IF(F24=0,0,SUMIFS(DATA_TRANSPORT!$L:$L,DATA_TRANSPORT!$A:$A,B24,DATA_TRANSPORT!$E:$E,$B$6,DATA_TRANSPORT!$AD:$AD,$B$7))</f>
        <v/>
      </c>
      <c r="N24">
        <f>IF(F24=0,0,SUMIFS(DATA_TRANSPORT!$R:$R,DATA_TRANSPORT!$A:$A,B24,DATA_TRANSPORT!$E:$E,$B$6,DATA_TRANSPORT!$AD:$AD,$B$7))</f>
        <v/>
      </c>
      <c r="O24">
        <f>IF(F24=0,0,SUMIFS(DATA_TRANSPORT!$S:$S,DATA_TRANSPORT!$A:$A,B24,DATA_TRANSPORT!$E:$E,$B$6,DATA_TRANSPORT!$AD:$AD,$B$7))</f>
        <v/>
      </c>
      <c r="P24">
        <f>IF(F24=0,0,SUMIFS(DATA_TRANSPORT!$T:$T,DATA_TRANSPORT!$A:$A,B24,DATA_TRANSPORT!$E:$E,$B$6,DATA_TRANSPORT!$AD:$AD,$B$7))</f>
        <v/>
      </c>
      <c r="Q24">
        <f>IF(OR(B24="",$B$17),0,SUMIFS(DATA_TRANSPORT_COSTS!$M:$M,DATA_TRANSPORT_COSTS!$A:$A,B24,DATA_TRANSPORT_COSTS!$D:$D,$B$6))</f>
        <v/>
      </c>
      <c r="R24">
        <f>P24+Q24</f>
        <v/>
      </c>
      <c r="S24">
        <f>Q24+IF(F24=0,0,SUMIFS(DATA_TRANSPORT!$T:$T,DATA_TRANSPORT!$A:$A,B24,DATA_TRANSPORT!$E:$E,$B$6,DATA_TRANSPORT!$AD:$AD,$B$7,DATA_TRANSPORT!$U:$U,"Central"))</f>
        <v/>
      </c>
      <c r="T24">
        <f>IF(F24=0,0,SUMIFS(DATA_TRANSPORT!$T:$T,DATA_TRANSPORT!$A:$A,B24,DATA_TRANSPORT!$E:$E,$B$6,DATA_TRANSPORT!$AD:$AD,$B$7,DATA_TRANSPORT!$U:$U,"Members"))</f>
        <v/>
      </c>
      <c r="U24">
        <f>IF(OR(B24="",$B$17),0,SUMIFS(DATA_TRANSPORT_BUDGET!$G:$G,DATA_TRANSPORT_BUDGET!$A:$A,B24,DATA_TRANSPORT_BUDGET!$D:$D,$B$6))</f>
        <v/>
      </c>
      <c r="V24">
        <f>IF(F24=0,0,SUMIFS(DATA_TRANSPORT!$T:$T,DATA_TRANSPORT!$A:$A,B24,DATA_TRANSPORT!$E:$E,$B$6,DATA_TRANSPORT!$AD:$AD,$B$7,DATA_TRANSPORT!$C:$C,"FT Procured"))</f>
        <v/>
      </c>
      <c r="W24">
        <f>IF(F24=0,0,COUNTIFS(DATA_TRANSPORT!$A:$A,B24,DATA_TRANSPORT!$E:$E,$B$6,DATA_TRANSPORT!$AD:$AD,$B$7,DATA_TRANSPORT!$V:$V,"Breakdown"))</f>
        <v/>
      </c>
      <c r="X24">
        <f>IF(M24=0,0,N24/M24)</f>
        <v/>
      </c>
      <c r="Y24">
        <f>IF(F24&gt;0,1,0)</f>
        <v/>
      </c>
      <c r="Z24">
        <f>IF(AND(A24&gt;=1,A24&lt;=$B$11),Y24,0)</f>
        <v/>
      </c>
      <c r="AA24">
        <f>IF(AND(C24=$B$12,E24=$B$14),Y24,0)</f>
        <v/>
      </c>
      <c r="AB24">
        <f>IF(AND(D24=$B$13,E24=$B$14),Y24,0)</f>
        <v/>
      </c>
      <c r="AC24">
        <f>IF(E24=$B$14,Y24,0)</f>
        <v/>
      </c>
      <c r="AE24">
        <f>IFERROR(IF(INDEX(MASTER_AREAS!$F:$F,23)="N","",INDEX(MASTER_AREAS!$B:$B,23)&amp;""),"")</f>
        <v/>
      </c>
      <c r="AF24">
        <f>IF(OR(AE24="",$B$10=0),0,SUMIFS(DATA_TRANSPORT!$Q:$Q,DATA_TRANSPORT!$A:$A,$B$10,DATA_TRANSPORT!$E:$E,AE24))</f>
        <v/>
      </c>
      <c r="AG24">
        <f>IF(OR(AE24="",$B$10=0),0,SUMIFS(DATA_TRANSPORT!$I:$I,DATA_TRANSPORT!$A:$A,$B$10,DATA_TRANSPORT!$E:$E,AE24,DATA_TRANSPORT!$V:$V,"Ran"))</f>
        <v/>
      </c>
      <c r="AH24">
        <f>IF(OR(AE24="",$B$10=0),0,SUMIFS(DATA_TRANSPORT!$L:$L,DATA_TRANSPORT!$A:$A,$B$10,DATA_TRANSPORT!$E:$E,AE24))</f>
        <v/>
      </c>
      <c r="AI24">
        <f>IF(OR(AE24="",$B$10=0),0,SUMIFS(DATA_TRANSPORT!$R:$R,DATA_TRANSPORT!$A:$A,$B$10,DATA_TRANSPORT!$E:$E,AE24))</f>
        <v/>
      </c>
      <c r="AJ24">
        <f>IF(OR(AE24="",$B$10=0),0,SUMIFS(DATA_TRANSPORT!$S:$S,DATA_TRANSPORT!$A:$A,$B$10,DATA_TRANSPORT!$E:$E,AE24))</f>
        <v/>
      </c>
      <c r="AK24">
        <f>IF(AH24=0,"",AI24/AH24)</f>
        <v/>
      </c>
      <c r="AL24">
        <f>IF(OR(AE24="",$B$10=0),0,SUMIFS(DATA_TRANSPORT!$T:$T,DATA_TRANSPORT!$A:$A,$B$10,DATA_TRANSPORT!$E:$E,AE24))+IF(OR(AE24="",$B$10=0),0,SUMIFS(DATA_TRANSPORT_COSTS!$M:$M,DATA_TRANSPORT_COSTS!$A:$A,$B$10,DATA_TRANSPORT_COSTS!$D:$D,AE24))</f>
        <v/>
      </c>
      <c r="AM24">
        <f>IF(OR(AF24=0,AL24=0),"",AL24/AF24)</f>
        <v/>
      </c>
      <c r="AN24">
        <f>IF(OR(AE24="",$B$10=0),0,SUMIFS(DATA_TRANSPORT!$T:$T,DATA_TRANSPORT!$A:$A,$B$10,DATA_TRANSPORT!$E:$E,AE24,DATA_TRANSPORT!$C:$C,"FT Procured"))</f>
        <v/>
      </c>
      <c r="AO24">
        <f>IF(OR(AE24="",$B$10=0),0,SUMIFS(DATA_TRANSPORT_BUDGET!$G:$G,DATA_TRANSPORT_BUDGET!$A:$A,$B$10,DATA_TRANSPORT_BUDGET!$D:$D,AE24))</f>
        <v/>
      </c>
      <c r="AP24">
        <f>IF(AO24=0,"",AN24-AO24)</f>
        <v/>
      </c>
      <c r="AQ24">
        <f>IF(OR(AE24="",$B$10=0),0,COUNTIFS(DATA_TRANSPORT!$A:$A,$B$10,DATA_TRANSPORT!$E:$E,AE24,DATA_TRANSPORT!$C:$C,"FT Procured",DATA_TRANSPORT!$Z:$Z,"Y"))</f>
        <v/>
      </c>
      <c r="AR24">
        <f>IF(OR(AE24="",$B$10=0),0,SUMIFS(DATA_TRANSPORT_BUDGET!$E:$E,DATA_TRANSPORT_BUDGET!$A:$A,$B$10,DATA_TRANSPORT_BUDGET!$D:$D,AE24))</f>
        <v/>
      </c>
      <c r="AS24">
        <f>IF(OR(AE24="",$B$10=0),0,COUNTIFS(DATA_TRANSPORT!$A:$A,$B$10,DATA_TRANSPORT!$E:$E,AE24,DATA_TRANSPORT!$V:$V,"Breakdown"))</f>
        <v/>
      </c>
      <c r="AT24">
        <f>IF(IF(OR(AE24="",$B$10=0),0,SUMIFS(DATA_TRANSPORT!$L:$L,DATA_TRANSPORT!$A:$A,$B$10-7,DATA_TRANSPORT!$E:$E,AE24))=0,"",IF(OR(AE24="",$B$10=0),0,SUMIFS(DATA_TRANSPORT!$R:$R,DATA_TRANSPORT!$A:$A,$B$10-7,DATA_TRANSPORT!$E:$E,AE24))/IF(OR(AE24="",$B$10=0),0,SUMIFS(DATA_TRANSPORT!$L:$L,DATA_TRANSPORT!$A:$A,$B$10-7,DATA_TRANSPORT!$E:$E,AE24)))</f>
        <v/>
      </c>
      <c r="AU24">
        <f>IF(IF(OR(AE24="",$B$10=0),0,SUMIFS(DATA_TRANSPORT!$L:$L,DATA_TRANSPORT!$A:$A,$B$10-14,DATA_TRANSPORT!$E:$E,AE24))=0,"",IF(OR(AE24="",$B$10=0),0,SUMIFS(DATA_TRANSPORT!$R:$R,DATA_TRANSPORT!$A:$A,$B$10-14,DATA_TRANSPORT!$E:$E,AE24))/IF(OR(AE24="",$B$10=0),0,SUMIFS(DATA_TRANSPORT!$L:$L,DATA_TRANSPORT!$A:$A,$B$10-14,DATA_TRANSPORT!$E:$E,AE24)))</f>
        <v/>
      </c>
      <c r="AV24">
        <f>IF(IF(OR(AE24="",$B$10=0),0,SUMIFS(DATA_TRANSPORT!$L:$L,DATA_TRANSPORT!$A:$A,$B$10-21,DATA_TRANSPORT!$E:$E,AE24))=0,"",IF(OR(AE24="",$B$10=0),0,SUMIFS(DATA_TRANSPORT!$R:$R,DATA_TRANSPORT!$A:$A,$B$10-21,DATA_TRANSPORT!$E:$E,AE24))/IF(OR(AE24="",$B$10=0),0,SUMIFS(DATA_TRANSPORT!$L:$L,DATA_TRANSPORT!$A:$A,$B$10-21,DATA_TRANSPORT!$E:$E,AE24)))</f>
        <v/>
      </c>
      <c r="AW24">
        <f>IF(AND(ISNUMBER(AK24),AK24&lt;UtilLow),1,0)+IF(AND(ISNUMBER(AT24),AT24&lt;UtilLow),1,0)+IF(AND(ISNUMBER(AU24),AU24&lt;UtilLow),1,0)+IF(AND(ISNUMBER(AV24),AV24&lt;UtilLow),1,0)</f>
        <v/>
      </c>
      <c r="AX24">
        <f>IF(AW24&gt;=UtilLowWeeks,AE24&amp;": seats only "&amp;TEXT(AK24,"0%")&amp;" full, under "&amp;TEXT(UtilLow,"0%")&amp;" for "&amp;AW24&amp;" weeks running",IF(AND(AH24&gt;0,AJ24&gt;=AH24*ExcessShare),AE24&amp;": "&amp;TEXT(AJ24,"#,##0")&amp;" riders beyond the seats — consider more buses",IF(AND(ISNUMBER(AP24),AP24&gt;0),AE24&amp;": FT spend ₦"&amp;TEXT(AP24,"#,##0")&amp;" over the weekly budget",IF(AS24&gt;0,AE24&amp;": "&amp;AS24&amp;" coaster breakdown(s) this week",""))))</f>
        <v/>
      </c>
      <c r="AY24">
        <f>IF(ISNUMBER(AK24),AK24+ROW()/1000000000,"")</f>
        <v/>
      </c>
      <c r="AZ24">
        <f>IF(ISNUMBER(AM24),AM24+ROW()/1000000,"")</f>
        <v/>
      </c>
      <c r="BA24">
        <f>IF(AND(ISNUMBER(AP24),AP24&gt;0),AP24+ROW()/1000000,"")</f>
        <v/>
      </c>
      <c r="BB24">
        <f>IF(AF24&gt;0,AF24+ROW()/1000000,"")</f>
        <v/>
      </c>
      <c r="BC24">
        <f>IF(AX24="","",ROW())</f>
        <v/>
      </c>
      <c r="BD24">
        <f>IF(AJ24&gt;0,AJ24+ROW()/1000000,"")</f>
        <v/>
      </c>
      <c r="BQ24">
        <f>IFERROR(SMALL(DATA_TRANSPORT!$AE:$AE,22),"")</f>
        <v/>
      </c>
      <c r="BR24">
        <f>IF(BQ24="","",INDEX(DATA_TRANSPORT!$E:$E,BQ24))</f>
        <v/>
      </c>
      <c r="BS24">
        <f>IF(BQ24="","",INDEX(DATA_TRANSPORT!$C:$C,BQ24))</f>
        <v/>
      </c>
      <c r="BT24">
        <f>IF(BQ24="","",TRIM(INDEX(DATA_TRANSPORT!$G:$G,BQ24)&amp;" "&amp;IF(INDEX(DATA_TRANSPORT!$H:$H,BQ24)="","","(bus "&amp;INDEX(DATA_TRANSPORT!$H:$H,BQ24)&amp;")")))</f>
        <v/>
      </c>
      <c r="BU24">
        <f>IF(BQ24="","",IF(INDEX(DATA_TRANSPORT!$V:$V,BQ24)="Breakdown","Breakdown",IF(INDEX(DATA_TRANSPORT!$X:$X,BQ24)="","Needs more buses",INDEX(DATA_TRANSPORT!$X:$X,BQ24))))</f>
        <v/>
      </c>
      <c r="BV24">
        <f>IF(BQ24="","",INDEX(DATA_TRANSPORT!$Y:$Y,BQ24)&amp;"")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IF(B25="",0,COUNTIFS(DATA_TRANSPORT!$A:$A,B25,DATA_TRANSPORT!$E:$E,$B$6,DATA_TRANSPORT!$AD:$AD,$B$7))</f>
        <v/>
      </c>
      <c r="G25">
        <f>IF(F25=0,0,SUMIFS(DATA_TRANSPORT!$Q:$Q,DATA_TRANSPORT!$A:$A,B25,DATA_TRANSPORT!$E:$E,$B$6,DATA_TRANSPORT!$AD:$AD,$B$7))</f>
        <v/>
      </c>
      <c r="H25">
        <f>IF(F25=0,0,SUMIFS(DATA_TRANSPORT!$M:$M,DATA_TRANSPORT!$A:$A,B25,DATA_TRANSPORT!$E:$E,$B$6,DATA_TRANSPORT!$AD:$AD,$B$7))</f>
        <v/>
      </c>
      <c r="I25">
        <f>IF(F25=0,0,SUMIFS(DATA_TRANSPORT!$N:$N,DATA_TRANSPORT!$A:$A,B25,DATA_TRANSPORT!$E:$E,$B$6,DATA_TRANSPORT!$AD:$AD,$B$7))</f>
        <v/>
      </c>
      <c r="J25">
        <f>IF(F25=0,0,SUMIFS(DATA_TRANSPORT!$P:$P,DATA_TRANSPORT!$A:$A,B25,DATA_TRANSPORT!$E:$E,$B$6,DATA_TRANSPORT!$AD:$AD,$B$7))</f>
        <v/>
      </c>
      <c r="K25">
        <f>IF(F25=0,0,SUMIFS(DATA_TRANSPORT!$I:$I,DATA_TRANSPORT!$A:$A,B25,DATA_TRANSPORT!$E:$E,$B$6,DATA_TRANSPORT!$AD:$AD,$B$7))</f>
        <v/>
      </c>
      <c r="L25">
        <f>IF(F25=0,0,SUMIFS(DATA_TRANSPORT!$I:$I,DATA_TRANSPORT!$A:$A,B25,DATA_TRANSPORT!$E:$E,$B$6,DATA_TRANSPORT!$AD:$AD,$B$7,DATA_TRANSPORT!$V:$V,"Ran"))</f>
        <v/>
      </c>
      <c r="M25">
        <f>IF(F25=0,0,SUMIFS(DATA_TRANSPORT!$L:$L,DATA_TRANSPORT!$A:$A,B25,DATA_TRANSPORT!$E:$E,$B$6,DATA_TRANSPORT!$AD:$AD,$B$7))</f>
        <v/>
      </c>
      <c r="N25">
        <f>IF(F25=0,0,SUMIFS(DATA_TRANSPORT!$R:$R,DATA_TRANSPORT!$A:$A,B25,DATA_TRANSPORT!$E:$E,$B$6,DATA_TRANSPORT!$AD:$AD,$B$7))</f>
        <v/>
      </c>
      <c r="O25">
        <f>IF(F25=0,0,SUMIFS(DATA_TRANSPORT!$S:$S,DATA_TRANSPORT!$A:$A,B25,DATA_TRANSPORT!$E:$E,$B$6,DATA_TRANSPORT!$AD:$AD,$B$7))</f>
        <v/>
      </c>
      <c r="P25">
        <f>IF(F25=0,0,SUMIFS(DATA_TRANSPORT!$T:$T,DATA_TRANSPORT!$A:$A,B25,DATA_TRANSPORT!$E:$E,$B$6,DATA_TRANSPORT!$AD:$AD,$B$7))</f>
        <v/>
      </c>
      <c r="Q25">
        <f>IF(OR(B25="",$B$17),0,SUMIFS(DATA_TRANSPORT_COSTS!$M:$M,DATA_TRANSPORT_COSTS!$A:$A,B25,DATA_TRANSPORT_COSTS!$D:$D,$B$6))</f>
        <v/>
      </c>
      <c r="R25">
        <f>P25+Q25</f>
        <v/>
      </c>
      <c r="S25">
        <f>Q25+IF(F25=0,0,SUMIFS(DATA_TRANSPORT!$T:$T,DATA_TRANSPORT!$A:$A,B25,DATA_TRANSPORT!$E:$E,$B$6,DATA_TRANSPORT!$AD:$AD,$B$7,DATA_TRANSPORT!$U:$U,"Central"))</f>
        <v/>
      </c>
      <c r="T25">
        <f>IF(F25=0,0,SUMIFS(DATA_TRANSPORT!$T:$T,DATA_TRANSPORT!$A:$A,B25,DATA_TRANSPORT!$E:$E,$B$6,DATA_TRANSPORT!$AD:$AD,$B$7,DATA_TRANSPORT!$U:$U,"Members"))</f>
        <v/>
      </c>
      <c r="U25">
        <f>IF(OR(B25="",$B$17),0,SUMIFS(DATA_TRANSPORT_BUDGET!$G:$G,DATA_TRANSPORT_BUDGET!$A:$A,B25,DATA_TRANSPORT_BUDGET!$D:$D,$B$6))</f>
        <v/>
      </c>
      <c r="V25">
        <f>IF(F25=0,0,SUMIFS(DATA_TRANSPORT!$T:$T,DATA_TRANSPORT!$A:$A,B25,DATA_TRANSPORT!$E:$E,$B$6,DATA_TRANSPORT!$AD:$AD,$B$7,DATA_TRANSPORT!$C:$C,"FT Procured"))</f>
        <v/>
      </c>
      <c r="W25">
        <f>IF(F25=0,0,COUNTIFS(DATA_TRANSPORT!$A:$A,B25,DATA_TRANSPORT!$E:$E,$B$6,DATA_TRANSPORT!$AD:$AD,$B$7,DATA_TRANSPORT!$V:$V,"Breakdown"))</f>
        <v/>
      </c>
      <c r="X25">
        <f>IF(M25=0,0,N25/M25)</f>
        <v/>
      </c>
      <c r="Y25">
        <f>IF(F25&gt;0,1,0)</f>
        <v/>
      </c>
      <c r="Z25">
        <f>IF(AND(A25&gt;=1,A25&lt;=$B$11),Y25,0)</f>
        <v/>
      </c>
      <c r="AA25">
        <f>IF(AND(C25=$B$12,E25=$B$14),Y25,0)</f>
        <v/>
      </c>
      <c r="AB25">
        <f>IF(AND(D25=$B$13,E25=$B$14),Y25,0)</f>
        <v/>
      </c>
      <c r="AC25">
        <f>IF(E25=$B$14,Y25,0)</f>
        <v/>
      </c>
      <c r="AE25">
        <f>IFERROR(IF(INDEX(MASTER_AREAS!$F:$F,24)="N","",INDEX(MASTER_AREAS!$B:$B,24)&amp;""),"")</f>
        <v/>
      </c>
      <c r="AF25">
        <f>IF(OR(AE25="",$B$10=0),0,SUMIFS(DATA_TRANSPORT!$Q:$Q,DATA_TRANSPORT!$A:$A,$B$10,DATA_TRANSPORT!$E:$E,AE25))</f>
        <v/>
      </c>
      <c r="AG25">
        <f>IF(OR(AE25="",$B$10=0),0,SUMIFS(DATA_TRANSPORT!$I:$I,DATA_TRANSPORT!$A:$A,$B$10,DATA_TRANSPORT!$E:$E,AE25,DATA_TRANSPORT!$V:$V,"Ran"))</f>
        <v/>
      </c>
      <c r="AH25">
        <f>IF(OR(AE25="",$B$10=0),0,SUMIFS(DATA_TRANSPORT!$L:$L,DATA_TRANSPORT!$A:$A,$B$10,DATA_TRANSPORT!$E:$E,AE25))</f>
        <v/>
      </c>
      <c r="AI25">
        <f>IF(OR(AE25="",$B$10=0),0,SUMIFS(DATA_TRANSPORT!$R:$R,DATA_TRANSPORT!$A:$A,$B$10,DATA_TRANSPORT!$E:$E,AE25))</f>
        <v/>
      </c>
      <c r="AJ25">
        <f>IF(OR(AE25="",$B$10=0),0,SUMIFS(DATA_TRANSPORT!$S:$S,DATA_TRANSPORT!$A:$A,$B$10,DATA_TRANSPORT!$E:$E,AE25))</f>
        <v/>
      </c>
      <c r="AK25">
        <f>IF(AH25=0,"",AI25/AH25)</f>
        <v/>
      </c>
      <c r="AL25">
        <f>IF(OR(AE25="",$B$10=0),0,SUMIFS(DATA_TRANSPORT!$T:$T,DATA_TRANSPORT!$A:$A,$B$10,DATA_TRANSPORT!$E:$E,AE25))+IF(OR(AE25="",$B$10=0),0,SUMIFS(DATA_TRANSPORT_COSTS!$M:$M,DATA_TRANSPORT_COSTS!$A:$A,$B$10,DATA_TRANSPORT_COSTS!$D:$D,AE25))</f>
        <v/>
      </c>
      <c r="AM25">
        <f>IF(OR(AF25=0,AL25=0),"",AL25/AF25)</f>
        <v/>
      </c>
      <c r="AN25">
        <f>IF(OR(AE25="",$B$10=0),0,SUMIFS(DATA_TRANSPORT!$T:$T,DATA_TRANSPORT!$A:$A,$B$10,DATA_TRANSPORT!$E:$E,AE25,DATA_TRANSPORT!$C:$C,"FT Procured"))</f>
        <v/>
      </c>
      <c r="AO25">
        <f>IF(OR(AE25="",$B$10=0),0,SUMIFS(DATA_TRANSPORT_BUDGET!$G:$G,DATA_TRANSPORT_BUDGET!$A:$A,$B$10,DATA_TRANSPORT_BUDGET!$D:$D,AE25))</f>
        <v/>
      </c>
      <c r="AP25">
        <f>IF(AO25=0,"",AN25-AO25)</f>
        <v/>
      </c>
      <c r="AQ25">
        <f>IF(OR(AE25="",$B$10=0),0,COUNTIFS(DATA_TRANSPORT!$A:$A,$B$10,DATA_TRANSPORT!$E:$E,AE25,DATA_TRANSPORT!$C:$C,"FT Procured",DATA_TRANSPORT!$Z:$Z,"Y"))</f>
        <v/>
      </c>
      <c r="AR25">
        <f>IF(OR(AE25="",$B$10=0),0,SUMIFS(DATA_TRANSPORT_BUDGET!$E:$E,DATA_TRANSPORT_BUDGET!$A:$A,$B$10,DATA_TRANSPORT_BUDGET!$D:$D,AE25))</f>
        <v/>
      </c>
      <c r="AS25">
        <f>IF(OR(AE25="",$B$10=0),0,COUNTIFS(DATA_TRANSPORT!$A:$A,$B$10,DATA_TRANSPORT!$E:$E,AE25,DATA_TRANSPORT!$V:$V,"Breakdown"))</f>
        <v/>
      </c>
      <c r="AT25">
        <f>IF(IF(OR(AE25="",$B$10=0),0,SUMIFS(DATA_TRANSPORT!$L:$L,DATA_TRANSPORT!$A:$A,$B$10-7,DATA_TRANSPORT!$E:$E,AE25))=0,"",IF(OR(AE25="",$B$10=0),0,SUMIFS(DATA_TRANSPORT!$R:$R,DATA_TRANSPORT!$A:$A,$B$10-7,DATA_TRANSPORT!$E:$E,AE25))/IF(OR(AE25="",$B$10=0),0,SUMIFS(DATA_TRANSPORT!$L:$L,DATA_TRANSPORT!$A:$A,$B$10-7,DATA_TRANSPORT!$E:$E,AE25)))</f>
        <v/>
      </c>
      <c r="AU25">
        <f>IF(IF(OR(AE25="",$B$10=0),0,SUMIFS(DATA_TRANSPORT!$L:$L,DATA_TRANSPORT!$A:$A,$B$10-14,DATA_TRANSPORT!$E:$E,AE25))=0,"",IF(OR(AE25="",$B$10=0),0,SUMIFS(DATA_TRANSPORT!$R:$R,DATA_TRANSPORT!$A:$A,$B$10-14,DATA_TRANSPORT!$E:$E,AE25))/IF(OR(AE25="",$B$10=0),0,SUMIFS(DATA_TRANSPORT!$L:$L,DATA_TRANSPORT!$A:$A,$B$10-14,DATA_TRANSPORT!$E:$E,AE25)))</f>
        <v/>
      </c>
      <c r="AV25">
        <f>IF(IF(OR(AE25="",$B$10=0),0,SUMIFS(DATA_TRANSPORT!$L:$L,DATA_TRANSPORT!$A:$A,$B$10-21,DATA_TRANSPORT!$E:$E,AE25))=0,"",IF(OR(AE25="",$B$10=0),0,SUMIFS(DATA_TRANSPORT!$R:$R,DATA_TRANSPORT!$A:$A,$B$10-21,DATA_TRANSPORT!$E:$E,AE25))/IF(OR(AE25="",$B$10=0),0,SUMIFS(DATA_TRANSPORT!$L:$L,DATA_TRANSPORT!$A:$A,$B$10-21,DATA_TRANSPORT!$E:$E,AE25)))</f>
        <v/>
      </c>
      <c r="AW25">
        <f>IF(AND(ISNUMBER(AK25),AK25&lt;UtilLow),1,0)+IF(AND(ISNUMBER(AT25),AT25&lt;UtilLow),1,0)+IF(AND(ISNUMBER(AU25),AU25&lt;UtilLow),1,0)+IF(AND(ISNUMBER(AV25),AV25&lt;UtilLow),1,0)</f>
        <v/>
      </c>
      <c r="AX25">
        <f>IF(AW25&gt;=UtilLowWeeks,AE25&amp;": seats only "&amp;TEXT(AK25,"0%")&amp;" full, under "&amp;TEXT(UtilLow,"0%")&amp;" for "&amp;AW25&amp;" weeks running",IF(AND(AH25&gt;0,AJ25&gt;=AH25*ExcessShare),AE25&amp;": "&amp;TEXT(AJ25,"#,##0")&amp;" riders beyond the seats — consider more buses",IF(AND(ISNUMBER(AP25),AP25&gt;0),AE25&amp;": FT spend ₦"&amp;TEXT(AP25,"#,##0")&amp;" over the weekly budget",IF(AS25&gt;0,AE25&amp;": "&amp;AS25&amp;" coaster breakdown(s) this week",""))))</f>
        <v/>
      </c>
      <c r="AY25">
        <f>IF(ISNUMBER(AK25),AK25+ROW()/1000000000,"")</f>
        <v/>
      </c>
      <c r="AZ25">
        <f>IF(ISNUMBER(AM25),AM25+ROW()/1000000,"")</f>
        <v/>
      </c>
      <c r="BA25">
        <f>IF(AND(ISNUMBER(AP25),AP25&gt;0),AP25+ROW()/1000000,"")</f>
        <v/>
      </c>
      <c r="BB25">
        <f>IF(AF25&gt;0,AF25+ROW()/1000000,"")</f>
        <v/>
      </c>
      <c r="BC25">
        <f>IF(AX25="","",ROW())</f>
        <v/>
      </c>
      <c r="BD25">
        <f>IF(AJ25&gt;0,AJ25+ROW()/1000000,"")</f>
        <v/>
      </c>
      <c r="BQ25">
        <f>IFERROR(SMALL(DATA_TRANSPORT!$AE:$AE,23),"")</f>
        <v/>
      </c>
      <c r="BR25">
        <f>IF(BQ25="","",INDEX(DATA_TRANSPORT!$E:$E,BQ25))</f>
        <v/>
      </c>
      <c r="BS25">
        <f>IF(BQ25="","",INDEX(DATA_TRANSPORT!$C:$C,BQ25))</f>
        <v/>
      </c>
      <c r="BT25">
        <f>IF(BQ25="","",TRIM(INDEX(DATA_TRANSPORT!$G:$G,BQ25)&amp;" "&amp;IF(INDEX(DATA_TRANSPORT!$H:$H,BQ25)="","","(bus "&amp;INDEX(DATA_TRANSPORT!$H:$H,BQ25)&amp;")")))</f>
        <v/>
      </c>
      <c r="BU25">
        <f>IF(BQ25="","",IF(INDEX(DATA_TRANSPORT!$V:$V,BQ25)="Breakdown","Breakdown",IF(INDEX(DATA_TRANSPORT!$X:$X,BQ25)="","Needs more buses",INDEX(DATA_TRANSPORT!$X:$X,BQ25))))</f>
        <v/>
      </c>
      <c r="BV25">
        <f>IF(BQ25="","",INDEX(DATA_TRANSPORT!$Y:$Y,BQ25)&amp;"")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IF(B26="",0,COUNTIFS(DATA_TRANSPORT!$A:$A,B26,DATA_TRANSPORT!$E:$E,$B$6,DATA_TRANSPORT!$AD:$AD,$B$7))</f>
        <v/>
      </c>
      <c r="G26">
        <f>IF(F26=0,0,SUMIFS(DATA_TRANSPORT!$Q:$Q,DATA_TRANSPORT!$A:$A,B26,DATA_TRANSPORT!$E:$E,$B$6,DATA_TRANSPORT!$AD:$AD,$B$7))</f>
        <v/>
      </c>
      <c r="H26">
        <f>IF(F26=0,0,SUMIFS(DATA_TRANSPORT!$M:$M,DATA_TRANSPORT!$A:$A,B26,DATA_TRANSPORT!$E:$E,$B$6,DATA_TRANSPORT!$AD:$AD,$B$7))</f>
        <v/>
      </c>
      <c r="I26">
        <f>IF(F26=0,0,SUMIFS(DATA_TRANSPORT!$N:$N,DATA_TRANSPORT!$A:$A,B26,DATA_TRANSPORT!$E:$E,$B$6,DATA_TRANSPORT!$AD:$AD,$B$7))</f>
        <v/>
      </c>
      <c r="J26">
        <f>IF(F26=0,0,SUMIFS(DATA_TRANSPORT!$P:$P,DATA_TRANSPORT!$A:$A,B26,DATA_TRANSPORT!$E:$E,$B$6,DATA_TRANSPORT!$AD:$AD,$B$7))</f>
        <v/>
      </c>
      <c r="K26">
        <f>IF(F26=0,0,SUMIFS(DATA_TRANSPORT!$I:$I,DATA_TRANSPORT!$A:$A,B26,DATA_TRANSPORT!$E:$E,$B$6,DATA_TRANSPORT!$AD:$AD,$B$7))</f>
        <v/>
      </c>
      <c r="L26">
        <f>IF(F26=0,0,SUMIFS(DATA_TRANSPORT!$I:$I,DATA_TRANSPORT!$A:$A,B26,DATA_TRANSPORT!$E:$E,$B$6,DATA_TRANSPORT!$AD:$AD,$B$7,DATA_TRANSPORT!$V:$V,"Ran"))</f>
        <v/>
      </c>
      <c r="M26">
        <f>IF(F26=0,0,SUMIFS(DATA_TRANSPORT!$L:$L,DATA_TRANSPORT!$A:$A,B26,DATA_TRANSPORT!$E:$E,$B$6,DATA_TRANSPORT!$AD:$AD,$B$7))</f>
        <v/>
      </c>
      <c r="N26">
        <f>IF(F26=0,0,SUMIFS(DATA_TRANSPORT!$R:$R,DATA_TRANSPORT!$A:$A,B26,DATA_TRANSPORT!$E:$E,$B$6,DATA_TRANSPORT!$AD:$AD,$B$7))</f>
        <v/>
      </c>
      <c r="O26">
        <f>IF(F26=0,0,SUMIFS(DATA_TRANSPORT!$S:$S,DATA_TRANSPORT!$A:$A,B26,DATA_TRANSPORT!$E:$E,$B$6,DATA_TRANSPORT!$AD:$AD,$B$7))</f>
        <v/>
      </c>
      <c r="P26">
        <f>IF(F26=0,0,SUMIFS(DATA_TRANSPORT!$T:$T,DATA_TRANSPORT!$A:$A,B26,DATA_TRANSPORT!$E:$E,$B$6,DATA_TRANSPORT!$AD:$AD,$B$7))</f>
        <v/>
      </c>
      <c r="Q26">
        <f>IF(OR(B26="",$B$17),0,SUMIFS(DATA_TRANSPORT_COSTS!$M:$M,DATA_TRANSPORT_COSTS!$A:$A,B26,DATA_TRANSPORT_COSTS!$D:$D,$B$6))</f>
        <v/>
      </c>
      <c r="R26">
        <f>P26+Q26</f>
        <v/>
      </c>
      <c r="S26">
        <f>Q26+IF(F26=0,0,SUMIFS(DATA_TRANSPORT!$T:$T,DATA_TRANSPORT!$A:$A,B26,DATA_TRANSPORT!$E:$E,$B$6,DATA_TRANSPORT!$AD:$AD,$B$7,DATA_TRANSPORT!$U:$U,"Central"))</f>
        <v/>
      </c>
      <c r="T26">
        <f>IF(F26=0,0,SUMIFS(DATA_TRANSPORT!$T:$T,DATA_TRANSPORT!$A:$A,B26,DATA_TRANSPORT!$E:$E,$B$6,DATA_TRANSPORT!$AD:$AD,$B$7,DATA_TRANSPORT!$U:$U,"Members"))</f>
        <v/>
      </c>
      <c r="U26">
        <f>IF(OR(B26="",$B$17),0,SUMIFS(DATA_TRANSPORT_BUDGET!$G:$G,DATA_TRANSPORT_BUDGET!$A:$A,B26,DATA_TRANSPORT_BUDGET!$D:$D,$B$6))</f>
        <v/>
      </c>
      <c r="V26">
        <f>IF(F26=0,0,SUMIFS(DATA_TRANSPORT!$T:$T,DATA_TRANSPORT!$A:$A,B26,DATA_TRANSPORT!$E:$E,$B$6,DATA_TRANSPORT!$AD:$AD,$B$7,DATA_TRANSPORT!$C:$C,"FT Procured"))</f>
        <v/>
      </c>
      <c r="W26">
        <f>IF(F26=0,0,COUNTIFS(DATA_TRANSPORT!$A:$A,B26,DATA_TRANSPORT!$E:$E,$B$6,DATA_TRANSPORT!$AD:$AD,$B$7,DATA_TRANSPORT!$V:$V,"Breakdown"))</f>
        <v/>
      </c>
      <c r="X26">
        <f>IF(M26=0,0,N26/M26)</f>
        <v/>
      </c>
      <c r="Y26">
        <f>IF(F26&gt;0,1,0)</f>
        <v/>
      </c>
      <c r="Z26">
        <f>IF(AND(A26&gt;=1,A26&lt;=$B$11),Y26,0)</f>
        <v/>
      </c>
      <c r="AA26">
        <f>IF(AND(C26=$B$12,E26=$B$14),Y26,0)</f>
        <v/>
      </c>
      <c r="AB26">
        <f>IF(AND(D26=$B$13,E26=$B$14),Y26,0)</f>
        <v/>
      </c>
      <c r="AC26">
        <f>IF(E26=$B$14,Y26,0)</f>
        <v/>
      </c>
      <c r="AE26">
        <f>IFERROR(IF(INDEX(MASTER_AREAS!$F:$F,25)="N","",INDEX(MASTER_AREAS!$B:$B,25)&amp;""),"")</f>
        <v/>
      </c>
      <c r="AF26">
        <f>IF(OR(AE26="",$B$10=0),0,SUMIFS(DATA_TRANSPORT!$Q:$Q,DATA_TRANSPORT!$A:$A,$B$10,DATA_TRANSPORT!$E:$E,AE26))</f>
        <v/>
      </c>
      <c r="AG26">
        <f>IF(OR(AE26="",$B$10=0),0,SUMIFS(DATA_TRANSPORT!$I:$I,DATA_TRANSPORT!$A:$A,$B$10,DATA_TRANSPORT!$E:$E,AE26,DATA_TRANSPORT!$V:$V,"Ran"))</f>
        <v/>
      </c>
      <c r="AH26">
        <f>IF(OR(AE26="",$B$10=0),0,SUMIFS(DATA_TRANSPORT!$L:$L,DATA_TRANSPORT!$A:$A,$B$10,DATA_TRANSPORT!$E:$E,AE26))</f>
        <v/>
      </c>
      <c r="AI26">
        <f>IF(OR(AE26="",$B$10=0),0,SUMIFS(DATA_TRANSPORT!$R:$R,DATA_TRANSPORT!$A:$A,$B$10,DATA_TRANSPORT!$E:$E,AE26))</f>
        <v/>
      </c>
      <c r="AJ26">
        <f>IF(OR(AE26="",$B$10=0),0,SUMIFS(DATA_TRANSPORT!$S:$S,DATA_TRANSPORT!$A:$A,$B$10,DATA_TRANSPORT!$E:$E,AE26))</f>
        <v/>
      </c>
      <c r="AK26">
        <f>IF(AH26=0,"",AI26/AH26)</f>
        <v/>
      </c>
      <c r="AL26">
        <f>IF(OR(AE26="",$B$10=0),0,SUMIFS(DATA_TRANSPORT!$T:$T,DATA_TRANSPORT!$A:$A,$B$10,DATA_TRANSPORT!$E:$E,AE26))+IF(OR(AE26="",$B$10=0),0,SUMIFS(DATA_TRANSPORT_COSTS!$M:$M,DATA_TRANSPORT_COSTS!$A:$A,$B$10,DATA_TRANSPORT_COSTS!$D:$D,AE26))</f>
        <v/>
      </c>
      <c r="AM26">
        <f>IF(OR(AF26=0,AL26=0),"",AL26/AF26)</f>
        <v/>
      </c>
      <c r="AN26">
        <f>IF(OR(AE26="",$B$10=0),0,SUMIFS(DATA_TRANSPORT!$T:$T,DATA_TRANSPORT!$A:$A,$B$10,DATA_TRANSPORT!$E:$E,AE26,DATA_TRANSPORT!$C:$C,"FT Procured"))</f>
        <v/>
      </c>
      <c r="AO26">
        <f>IF(OR(AE26="",$B$10=0),0,SUMIFS(DATA_TRANSPORT_BUDGET!$G:$G,DATA_TRANSPORT_BUDGET!$A:$A,$B$10,DATA_TRANSPORT_BUDGET!$D:$D,AE26))</f>
        <v/>
      </c>
      <c r="AP26">
        <f>IF(AO26=0,"",AN26-AO26)</f>
        <v/>
      </c>
      <c r="AQ26">
        <f>IF(OR(AE26="",$B$10=0),0,COUNTIFS(DATA_TRANSPORT!$A:$A,$B$10,DATA_TRANSPORT!$E:$E,AE26,DATA_TRANSPORT!$C:$C,"FT Procured",DATA_TRANSPORT!$Z:$Z,"Y"))</f>
        <v/>
      </c>
      <c r="AR26">
        <f>IF(OR(AE26="",$B$10=0),0,SUMIFS(DATA_TRANSPORT_BUDGET!$E:$E,DATA_TRANSPORT_BUDGET!$A:$A,$B$10,DATA_TRANSPORT_BUDGET!$D:$D,AE26))</f>
        <v/>
      </c>
      <c r="AS26">
        <f>IF(OR(AE26="",$B$10=0),0,COUNTIFS(DATA_TRANSPORT!$A:$A,$B$10,DATA_TRANSPORT!$E:$E,AE26,DATA_TRANSPORT!$V:$V,"Breakdown"))</f>
        <v/>
      </c>
      <c r="AT26">
        <f>IF(IF(OR(AE26="",$B$10=0),0,SUMIFS(DATA_TRANSPORT!$L:$L,DATA_TRANSPORT!$A:$A,$B$10-7,DATA_TRANSPORT!$E:$E,AE26))=0,"",IF(OR(AE26="",$B$10=0),0,SUMIFS(DATA_TRANSPORT!$R:$R,DATA_TRANSPORT!$A:$A,$B$10-7,DATA_TRANSPORT!$E:$E,AE26))/IF(OR(AE26="",$B$10=0),0,SUMIFS(DATA_TRANSPORT!$L:$L,DATA_TRANSPORT!$A:$A,$B$10-7,DATA_TRANSPORT!$E:$E,AE26)))</f>
        <v/>
      </c>
      <c r="AU26">
        <f>IF(IF(OR(AE26="",$B$10=0),0,SUMIFS(DATA_TRANSPORT!$L:$L,DATA_TRANSPORT!$A:$A,$B$10-14,DATA_TRANSPORT!$E:$E,AE26))=0,"",IF(OR(AE26="",$B$10=0),0,SUMIFS(DATA_TRANSPORT!$R:$R,DATA_TRANSPORT!$A:$A,$B$10-14,DATA_TRANSPORT!$E:$E,AE26))/IF(OR(AE26="",$B$10=0),0,SUMIFS(DATA_TRANSPORT!$L:$L,DATA_TRANSPORT!$A:$A,$B$10-14,DATA_TRANSPORT!$E:$E,AE26)))</f>
        <v/>
      </c>
      <c r="AV26">
        <f>IF(IF(OR(AE26="",$B$10=0),0,SUMIFS(DATA_TRANSPORT!$L:$L,DATA_TRANSPORT!$A:$A,$B$10-21,DATA_TRANSPORT!$E:$E,AE26))=0,"",IF(OR(AE26="",$B$10=0),0,SUMIFS(DATA_TRANSPORT!$R:$R,DATA_TRANSPORT!$A:$A,$B$10-21,DATA_TRANSPORT!$E:$E,AE26))/IF(OR(AE26="",$B$10=0),0,SUMIFS(DATA_TRANSPORT!$L:$L,DATA_TRANSPORT!$A:$A,$B$10-21,DATA_TRANSPORT!$E:$E,AE26)))</f>
        <v/>
      </c>
      <c r="AW26">
        <f>IF(AND(ISNUMBER(AK26),AK26&lt;UtilLow),1,0)+IF(AND(ISNUMBER(AT26),AT26&lt;UtilLow),1,0)+IF(AND(ISNUMBER(AU26),AU26&lt;UtilLow),1,0)+IF(AND(ISNUMBER(AV26),AV26&lt;UtilLow),1,0)</f>
        <v/>
      </c>
      <c r="AX26">
        <f>IF(AW26&gt;=UtilLowWeeks,AE26&amp;": seats only "&amp;TEXT(AK26,"0%")&amp;" full, under "&amp;TEXT(UtilLow,"0%")&amp;" for "&amp;AW26&amp;" weeks running",IF(AND(AH26&gt;0,AJ26&gt;=AH26*ExcessShare),AE26&amp;": "&amp;TEXT(AJ26,"#,##0")&amp;" riders beyond the seats — consider more buses",IF(AND(ISNUMBER(AP26),AP26&gt;0),AE26&amp;": FT spend ₦"&amp;TEXT(AP26,"#,##0")&amp;" over the weekly budget",IF(AS26&gt;0,AE26&amp;": "&amp;AS26&amp;" coaster breakdown(s) this week",""))))</f>
        <v/>
      </c>
      <c r="AY26">
        <f>IF(ISNUMBER(AK26),AK26+ROW()/1000000000,"")</f>
        <v/>
      </c>
      <c r="AZ26">
        <f>IF(ISNUMBER(AM26),AM26+ROW()/1000000,"")</f>
        <v/>
      </c>
      <c r="BA26">
        <f>IF(AND(ISNUMBER(AP26),AP26&gt;0),AP26+ROW()/1000000,"")</f>
        <v/>
      </c>
      <c r="BB26">
        <f>IF(AF26&gt;0,AF26+ROW()/1000000,"")</f>
        <v/>
      </c>
      <c r="BC26">
        <f>IF(AX26="","",ROW())</f>
        <v/>
      </c>
      <c r="BD26">
        <f>IF(AJ26&gt;0,AJ26+ROW()/1000000,"")</f>
        <v/>
      </c>
      <c r="BQ26">
        <f>IFERROR(SMALL(DATA_TRANSPORT!$AE:$AE,24),"")</f>
        <v/>
      </c>
      <c r="BR26">
        <f>IF(BQ26="","",INDEX(DATA_TRANSPORT!$E:$E,BQ26))</f>
        <v/>
      </c>
      <c r="BS26">
        <f>IF(BQ26="","",INDEX(DATA_TRANSPORT!$C:$C,BQ26))</f>
        <v/>
      </c>
      <c r="BT26">
        <f>IF(BQ26="","",TRIM(INDEX(DATA_TRANSPORT!$G:$G,BQ26)&amp;" "&amp;IF(INDEX(DATA_TRANSPORT!$H:$H,BQ26)="","","(bus "&amp;INDEX(DATA_TRANSPORT!$H:$H,BQ26)&amp;")")))</f>
        <v/>
      </c>
      <c r="BU26">
        <f>IF(BQ26="","",IF(INDEX(DATA_TRANSPORT!$V:$V,BQ26)="Breakdown","Breakdown",IF(INDEX(DATA_TRANSPORT!$X:$X,BQ26)="","Needs more buses",INDEX(DATA_TRANSPORT!$X:$X,BQ26))))</f>
        <v/>
      </c>
      <c r="BV26">
        <f>IF(BQ26="","",INDEX(DATA_TRANSPORT!$Y:$Y,BQ26)&amp;"")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IF(B27="",0,COUNTIFS(DATA_TRANSPORT!$A:$A,B27,DATA_TRANSPORT!$E:$E,$B$6,DATA_TRANSPORT!$AD:$AD,$B$7))</f>
        <v/>
      </c>
      <c r="G27">
        <f>IF(F27=0,0,SUMIFS(DATA_TRANSPORT!$Q:$Q,DATA_TRANSPORT!$A:$A,B27,DATA_TRANSPORT!$E:$E,$B$6,DATA_TRANSPORT!$AD:$AD,$B$7))</f>
        <v/>
      </c>
      <c r="H27">
        <f>IF(F27=0,0,SUMIFS(DATA_TRANSPORT!$M:$M,DATA_TRANSPORT!$A:$A,B27,DATA_TRANSPORT!$E:$E,$B$6,DATA_TRANSPORT!$AD:$AD,$B$7))</f>
        <v/>
      </c>
      <c r="I27">
        <f>IF(F27=0,0,SUMIFS(DATA_TRANSPORT!$N:$N,DATA_TRANSPORT!$A:$A,B27,DATA_TRANSPORT!$E:$E,$B$6,DATA_TRANSPORT!$AD:$AD,$B$7))</f>
        <v/>
      </c>
      <c r="J27">
        <f>IF(F27=0,0,SUMIFS(DATA_TRANSPORT!$P:$P,DATA_TRANSPORT!$A:$A,B27,DATA_TRANSPORT!$E:$E,$B$6,DATA_TRANSPORT!$AD:$AD,$B$7))</f>
        <v/>
      </c>
      <c r="K27">
        <f>IF(F27=0,0,SUMIFS(DATA_TRANSPORT!$I:$I,DATA_TRANSPORT!$A:$A,B27,DATA_TRANSPORT!$E:$E,$B$6,DATA_TRANSPORT!$AD:$AD,$B$7))</f>
        <v/>
      </c>
      <c r="L27">
        <f>IF(F27=0,0,SUMIFS(DATA_TRANSPORT!$I:$I,DATA_TRANSPORT!$A:$A,B27,DATA_TRANSPORT!$E:$E,$B$6,DATA_TRANSPORT!$AD:$AD,$B$7,DATA_TRANSPORT!$V:$V,"Ran"))</f>
        <v/>
      </c>
      <c r="M27">
        <f>IF(F27=0,0,SUMIFS(DATA_TRANSPORT!$L:$L,DATA_TRANSPORT!$A:$A,B27,DATA_TRANSPORT!$E:$E,$B$6,DATA_TRANSPORT!$AD:$AD,$B$7))</f>
        <v/>
      </c>
      <c r="N27">
        <f>IF(F27=0,0,SUMIFS(DATA_TRANSPORT!$R:$R,DATA_TRANSPORT!$A:$A,B27,DATA_TRANSPORT!$E:$E,$B$6,DATA_TRANSPORT!$AD:$AD,$B$7))</f>
        <v/>
      </c>
      <c r="O27">
        <f>IF(F27=0,0,SUMIFS(DATA_TRANSPORT!$S:$S,DATA_TRANSPORT!$A:$A,B27,DATA_TRANSPORT!$E:$E,$B$6,DATA_TRANSPORT!$AD:$AD,$B$7))</f>
        <v/>
      </c>
      <c r="P27">
        <f>IF(F27=0,0,SUMIFS(DATA_TRANSPORT!$T:$T,DATA_TRANSPORT!$A:$A,B27,DATA_TRANSPORT!$E:$E,$B$6,DATA_TRANSPORT!$AD:$AD,$B$7))</f>
        <v/>
      </c>
      <c r="Q27">
        <f>IF(OR(B27="",$B$17),0,SUMIFS(DATA_TRANSPORT_COSTS!$M:$M,DATA_TRANSPORT_COSTS!$A:$A,B27,DATA_TRANSPORT_COSTS!$D:$D,$B$6))</f>
        <v/>
      </c>
      <c r="R27">
        <f>P27+Q27</f>
        <v/>
      </c>
      <c r="S27">
        <f>Q27+IF(F27=0,0,SUMIFS(DATA_TRANSPORT!$T:$T,DATA_TRANSPORT!$A:$A,B27,DATA_TRANSPORT!$E:$E,$B$6,DATA_TRANSPORT!$AD:$AD,$B$7,DATA_TRANSPORT!$U:$U,"Central"))</f>
        <v/>
      </c>
      <c r="T27">
        <f>IF(F27=0,0,SUMIFS(DATA_TRANSPORT!$T:$T,DATA_TRANSPORT!$A:$A,B27,DATA_TRANSPORT!$E:$E,$B$6,DATA_TRANSPORT!$AD:$AD,$B$7,DATA_TRANSPORT!$U:$U,"Members"))</f>
        <v/>
      </c>
      <c r="U27">
        <f>IF(OR(B27="",$B$17),0,SUMIFS(DATA_TRANSPORT_BUDGET!$G:$G,DATA_TRANSPORT_BUDGET!$A:$A,B27,DATA_TRANSPORT_BUDGET!$D:$D,$B$6))</f>
        <v/>
      </c>
      <c r="V27">
        <f>IF(F27=0,0,SUMIFS(DATA_TRANSPORT!$T:$T,DATA_TRANSPORT!$A:$A,B27,DATA_TRANSPORT!$E:$E,$B$6,DATA_TRANSPORT!$AD:$AD,$B$7,DATA_TRANSPORT!$C:$C,"FT Procured"))</f>
        <v/>
      </c>
      <c r="W27">
        <f>IF(F27=0,0,COUNTIFS(DATA_TRANSPORT!$A:$A,B27,DATA_TRANSPORT!$E:$E,$B$6,DATA_TRANSPORT!$AD:$AD,$B$7,DATA_TRANSPORT!$V:$V,"Breakdown"))</f>
        <v/>
      </c>
      <c r="X27">
        <f>IF(M27=0,0,N27/M27)</f>
        <v/>
      </c>
      <c r="Y27">
        <f>IF(F27&gt;0,1,0)</f>
        <v/>
      </c>
      <c r="Z27">
        <f>IF(AND(A27&gt;=1,A27&lt;=$B$11),Y27,0)</f>
        <v/>
      </c>
      <c r="AA27">
        <f>IF(AND(C27=$B$12,E27=$B$14),Y27,0)</f>
        <v/>
      </c>
      <c r="AB27">
        <f>IF(AND(D27=$B$13,E27=$B$14),Y27,0)</f>
        <v/>
      </c>
      <c r="AC27">
        <f>IF(E27=$B$14,Y27,0)</f>
        <v/>
      </c>
      <c r="AE27">
        <f>IFERROR(IF(INDEX(MASTER_AREAS!$F:$F,26)="N","",INDEX(MASTER_AREAS!$B:$B,26)&amp;""),"")</f>
        <v/>
      </c>
      <c r="AF27">
        <f>IF(OR(AE27="",$B$10=0),0,SUMIFS(DATA_TRANSPORT!$Q:$Q,DATA_TRANSPORT!$A:$A,$B$10,DATA_TRANSPORT!$E:$E,AE27))</f>
        <v/>
      </c>
      <c r="AG27">
        <f>IF(OR(AE27="",$B$10=0),0,SUMIFS(DATA_TRANSPORT!$I:$I,DATA_TRANSPORT!$A:$A,$B$10,DATA_TRANSPORT!$E:$E,AE27,DATA_TRANSPORT!$V:$V,"Ran"))</f>
        <v/>
      </c>
      <c r="AH27">
        <f>IF(OR(AE27="",$B$10=0),0,SUMIFS(DATA_TRANSPORT!$L:$L,DATA_TRANSPORT!$A:$A,$B$10,DATA_TRANSPORT!$E:$E,AE27))</f>
        <v/>
      </c>
      <c r="AI27">
        <f>IF(OR(AE27="",$B$10=0),0,SUMIFS(DATA_TRANSPORT!$R:$R,DATA_TRANSPORT!$A:$A,$B$10,DATA_TRANSPORT!$E:$E,AE27))</f>
        <v/>
      </c>
      <c r="AJ27">
        <f>IF(OR(AE27="",$B$10=0),0,SUMIFS(DATA_TRANSPORT!$S:$S,DATA_TRANSPORT!$A:$A,$B$10,DATA_TRANSPORT!$E:$E,AE27))</f>
        <v/>
      </c>
      <c r="AK27">
        <f>IF(AH27=0,"",AI27/AH27)</f>
        <v/>
      </c>
      <c r="AL27">
        <f>IF(OR(AE27="",$B$10=0),0,SUMIFS(DATA_TRANSPORT!$T:$T,DATA_TRANSPORT!$A:$A,$B$10,DATA_TRANSPORT!$E:$E,AE27))+IF(OR(AE27="",$B$10=0),0,SUMIFS(DATA_TRANSPORT_COSTS!$M:$M,DATA_TRANSPORT_COSTS!$A:$A,$B$10,DATA_TRANSPORT_COSTS!$D:$D,AE27))</f>
        <v/>
      </c>
      <c r="AM27">
        <f>IF(OR(AF27=0,AL27=0),"",AL27/AF27)</f>
        <v/>
      </c>
      <c r="AN27">
        <f>IF(OR(AE27="",$B$10=0),0,SUMIFS(DATA_TRANSPORT!$T:$T,DATA_TRANSPORT!$A:$A,$B$10,DATA_TRANSPORT!$E:$E,AE27,DATA_TRANSPORT!$C:$C,"FT Procured"))</f>
        <v/>
      </c>
      <c r="AO27">
        <f>IF(OR(AE27="",$B$10=0),0,SUMIFS(DATA_TRANSPORT_BUDGET!$G:$G,DATA_TRANSPORT_BUDGET!$A:$A,$B$10,DATA_TRANSPORT_BUDGET!$D:$D,AE27))</f>
        <v/>
      </c>
      <c r="AP27">
        <f>IF(AO27=0,"",AN27-AO27)</f>
        <v/>
      </c>
      <c r="AQ27">
        <f>IF(OR(AE27="",$B$10=0),0,COUNTIFS(DATA_TRANSPORT!$A:$A,$B$10,DATA_TRANSPORT!$E:$E,AE27,DATA_TRANSPORT!$C:$C,"FT Procured",DATA_TRANSPORT!$Z:$Z,"Y"))</f>
        <v/>
      </c>
      <c r="AR27">
        <f>IF(OR(AE27="",$B$10=0),0,SUMIFS(DATA_TRANSPORT_BUDGET!$E:$E,DATA_TRANSPORT_BUDGET!$A:$A,$B$10,DATA_TRANSPORT_BUDGET!$D:$D,AE27))</f>
        <v/>
      </c>
      <c r="AS27">
        <f>IF(OR(AE27="",$B$10=0),0,COUNTIFS(DATA_TRANSPORT!$A:$A,$B$10,DATA_TRANSPORT!$E:$E,AE27,DATA_TRANSPORT!$V:$V,"Breakdown"))</f>
        <v/>
      </c>
      <c r="AT27">
        <f>IF(IF(OR(AE27="",$B$10=0),0,SUMIFS(DATA_TRANSPORT!$L:$L,DATA_TRANSPORT!$A:$A,$B$10-7,DATA_TRANSPORT!$E:$E,AE27))=0,"",IF(OR(AE27="",$B$10=0),0,SUMIFS(DATA_TRANSPORT!$R:$R,DATA_TRANSPORT!$A:$A,$B$10-7,DATA_TRANSPORT!$E:$E,AE27))/IF(OR(AE27="",$B$10=0),0,SUMIFS(DATA_TRANSPORT!$L:$L,DATA_TRANSPORT!$A:$A,$B$10-7,DATA_TRANSPORT!$E:$E,AE27)))</f>
        <v/>
      </c>
      <c r="AU27">
        <f>IF(IF(OR(AE27="",$B$10=0),0,SUMIFS(DATA_TRANSPORT!$L:$L,DATA_TRANSPORT!$A:$A,$B$10-14,DATA_TRANSPORT!$E:$E,AE27))=0,"",IF(OR(AE27="",$B$10=0),0,SUMIFS(DATA_TRANSPORT!$R:$R,DATA_TRANSPORT!$A:$A,$B$10-14,DATA_TRANSPORT!$E:$E,AE27))/IF(OR(AE27="",$B$10=0),0,SUMIFS(DATA_TRANSPORT!$L:$L,DATA_TRANSPORT!$A:$A,$B$10-14,DATA_TRANSPORT!$E:$E,AE27)))</f>
        <v/>
      </c>
      <c r="AV27">
        <f>IF(IF(OR(AE27="",$B$10=0),0,SUMIFS(DATA_TRANSPORT!$L:$L,DATA_TRANSPORT!$A:$A,$B$10-21,DATA_TRANSPORT!$E:$E,AE27))=0,"",IF(OR(AE27="",$B$10=0),0,SUMIFS(DATA_TRANSPORT!$R:$R,DATA_TRANSPORT!$A:$A,$B$10-21,DATA_TRANSPORT!$E:$E,AE27))/IF(OR(AE27="",$B$10=0),0,SUMIFS(DATA_TRANSPORT!$L:$L,DATA_TRANSPORT!$A:$A,$B$10-21,DATA_TRANSPORT!$E:$E,AE27)))</f>
        <v/>
      </c>
      <c r="AW27">
        <f>IF(AND(ISNUMBER(AK27),AK27&lt;UtilLow),1,0)+IF(AND(ISNUMBER(AT27),AT27&lt;UtilLow),1,0)+IF(AND(ISNUMBER(AU27),AU27&lt;UtilLow),1,0)+IF(AND(ISNUMBER(AV27),AV27&lt;UtilLow),1,0)</f>
        <v/>
      </c>
      <c r="AX27">
        <f>IF(AW27&gt;=UtilLowWeeks,AE27&amp;": seats only "&amp;TEXT(AK27,"0%")&amp;" full, under "&amp;TEXT(UtilLow,"0%")&amp;" for "&amp;AW27&amp;" weeks running",IF(AND(AH27&gt;0,AJ27&gt;=AH27*ExcessShare),AE27&amp;": "&amp;TEXT(AJ27,"#,##0")&amp;" riders beyond the seats — consider more buses",IF(AND(ISNUMBER(AP27),AP27&gt;0),AE27&amp;": FT spend ₦"&amp;TEXT(AP27,"#,##0")&amp;" over the weekly budget",IF(AS27&gt;0,AE27&amp;": "&amp;AS27&amp;" coaster breakdown(s) this week",""))))</f>
        <v/>
      </c>
      <c r="AY27">
        <f>IF(ISNUMBER(AK27),AK27+ROW()/1000000000,"")</f>
        <v/>
      </c>
      <c r="AZ27">
        <f>IF(ISNUMBER(AM27),AM27+ROW()/1000000,"")</f>
        <v/>
      </c>
      <c r="BA27">
        <f>IF(AND(ISNUMBER(AP27),AP27&gt;0),AP27+ROW()/1000000,"")</f>
        <v/>
      </c>
      <c r="BB27">
        <f>IF(AF27&gt;0,AF27+ROW()/1000000,"")</f>
        <v/>
      </c>
      <c r="BC27">
        <f>IF(AX27="","",ROW())</f>
        <v/>
      </c>
      <c r="BD27">
        <f>IF(AJ27&gt;0,AJ27+ROW()/1000000,"")</f>
        <v/>
      </c>
      <c r="BQ27">
        <f>IFERROR(SMALL(DATA_TRANSPORT!$AE:$AE,25),"")</f>
        <v/>
      </c>
      <c r="BR27">
        <f>IF(BQ27="","",INDEX(DATA_TRANSPORT!$E:$E,BQ27))</f>
        <v/>
      </c>
      <c r="BS27">
        <f>IF(BQ27="","",INDEX(DATA_TRANSPORT!$C:$C,BQ27))</f>
        <v/>
      </c>
      <c r="BT27">
        <f>IF(BQ27="","",TRIM(INDEX(DATA_TRANSPORT!$G:$G,BQ27)&amp;" "&amp;IF(INDEX(DATA_TRANSPORT!$H:$H,BQ27)="","","(bus "&amp;INDEX(DATA_TRANSPORT!$H:$H,BQ27)&amp;")")))</f>
        <v/>
      </c>
      <c r="BU27">
        <f>IF(BQ27="","",IF(INDEX(DATA_TRANSPORT!$V:$V,BQ27)="Breakdown","Breakdown",IF(INDEX(DATA_TRANSPORT!$X:$X,BQ27)="","Needs more buses",INDEX(DATA_TRANSPORT!$X:$X,BQ27))))</f>
        <v/>
      </c>
      <c r="BV27">
        <f>IF(BQ27="","",INDEX(DATA_TRANSPORT!$Y:$Y,BQ27)&amp;"")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IF(B28="",0,COUNTIFS(DATA_TRANSPORT!$A:$A,B28,DATA_TRANSPORT!$E:$E,$B$6,DATA_TRANSPORT!$AD:$AD,$B$7))</f>
        <v/>
      </c>
      <c r="G28">
        <f>IF(F28=0,0,SUMIFS(DATA_TRANSPORT!$Q:$Q,DATA_TRANSPORT!$A:$A,B28,DATA_TRANSPORT!$E:$E,$B$6,DATA_TRANSPORT!$AD:$AD,$B$7))</f>
        <v/>
      </c>
      <c r="H28">
        <f>IF(F28=0,0,SUMIFS(DATA_TRANSPORT!$M:$M,DATA_TRANSPORT!$A:$A,B28,DATA_TRANSPORT!$E:$E,$B$6,DATA_TRANSPORT!$AD:$AD,$B$7))</f>
        <v/>
      </c>
      <c r="I28">
        <f>IF(F28=0,0,SUMIFS(DATA_TRANSPORT!$N:$N,DATA_TRANSPORT!$A:$A,B28,DATA_TRANSPORT!$E:$E,$B$6,DATA_TRANSPORT!$AD:$AD,$B$7))</f>
        <v/>
      </c>
      <c r="J28">
        <f>IF(F28=0,0,SUMIFS(DATA_TRANSPORT!$P:$P,DATA_TRANSPORT!$A:$A,B28,DATA_TRANSPORT!$E:$E,$B$6,DATA_TRANSPORT!$AD:$AD,$B$7))</f>
        <v/>
      </c>
      <c r="K28">
        <f>IF(F28=0,0,SUMIFS(DATA_TRANSPORT!$I:$I,DATA_TRANSPORT!$A:$A,B28,DATA_TRANSPORT!$E:$E,$B$6,DATA_TRANSPORT!$AD:$AD,$B$7))</f>
        <v/>
      </c>
      <c r="L28">
        <f>IF(F28=0,0,SUMIFS(DATA_TRANSPORT!$I:$I,DATA_TRANSPORT!$A:$A,B28,DATA_TRANSPORT!$E:$E,$B$6,DATA_TRANSPORT!$AD:$AD,$B$7,DATA_TRANSPORT!$V:$V,"Ran"))</f>
        <v/>
      </c>
      <c r="M28">
        <f>IF(F28=0,0,SUMIFS(DATA_TRANSPORT!$L:$L,DATA_TRANSPORT!$A:$A,B28,DATA_TRANSPORT!$E:$E,$B$6,DATA_TRANSPORT!$AD:$AD,$B$7))</f>
        <v/>
      </c>
      <c r="N28">
        <f>IF(F28=0,0,SUMIFS(DATA_TRANSPORT!$R:$R,DATA_TRANSPORT!$A:$A,B28,DATA_TRANSPORT!$E:$E,$B$6,DATA_TRANSPORT!$AD:$AD,$B$7))</f>
        <v/>
      </c>
      <c r="O28">
        <f>IF(F28=0,0,SUMIFS(DATA_TRANSPORT!$S:$S,DATA_TRANSPORT!$A:$A,B28,DATA_TRANSPORT!$E:$E,$B$6,DATA_TRANSPORT!$AD:$AD,$B$7))</f>
        <v/>
      </c>
      <c r="P28">
        <f>IF(F28=0,0,SUMIFS(DATA_TRANSPORT!$T:$T,DATA_TRANSPORT!$A:$A,B28,DATA_TRANSPORT!$E:$E,$B$6,DATA_TRANSPORT!$AD:$AD,$B$7))</f>
        <v/>
      </c>
      <c r="Q28">
        <f>IF(OR(B28="",$B$17),0,SUMIFS(DATA_TRANSPORT_COSTS!$M:$M,DATA_TRANSPORT_COSTS!$A:$A,B28,DATA_TRANSPORT_COSTS!$D:$D,$B$6))</f>
        <v/>
      </c>
      <c r="R28">
        <f>P28+Q28</f>
        <v/>
      </c>
      <c r="S28">
        <f>Q28+IF(F28=0,0,SUMIFS(DATA_TRANSPORT!$T:$T,DATA_TRANSPORT!$A:$A,B28,DATA_TRANSPORT!$E:$E,$B$6,DATA_TRANSPORT!$AD:$AD,$B$7,DATA_TRANSPORT!$U:$U,"Central"))</f>
        <v/>
      </c>
      <c r="T28">
        <f>IF(F28=0,0,SUMIFS(DATA_TRANSPORT!$T:$T,DATA_TRANSPORT!$A:$A,B28,DATA_TRANSPORT!$E:$E,$B$6,DATA_TRANSPORT!$AD:$AD,$B$7,DATA_TRANSPORT!$U:$U,"Members"))</f>
        <v/>
      </c>
      <c r="U28">
        <f>IF(OR(B28="",$B$17),0,SUMIFS(DATA_TRANSPORT_BUDGET!$G:$G,DATA_TRANSPORT_BUDGET!$A:$A,B28,DATA_TRANSPORT_BUDGET!$D:$D,$B$6))</f>
        <v/>
      </c>
      <c r="V28">
        <f>IF(F28=0,0,SUMIFS(DATA_TRANSPORT!$T:$T,DATA_TRANSPORT!$A:$A,B28,DATA_TRANSPORT!$E:$E,$B$6,DATA_TRANSPORT!$AD:$AD,$B$7,DATA_TRANSPORT!$C:$C,"FT Procured"))</f>
        <v/>
      </c>
      <c r="W28">
        <f>IF(F28=0,0,COUNTIFS(DATA_TRANSPORT!$A:$A,B28,DATA_TRANSPORT!$E:$E,$B$6,DATA_TRANSPORT!$AD:$AD,$B$7,DATA_TRANSPORT!$V:$V,"Breakdown"))</f>
        <v/>
      </c>
      <c r="X28">
        <f>IF(M28=0,0,N28/M28)</f>
        <v/>
      </c>
      <c r="Y28">
        <f>IF(F28&gt;0,1,0)</f>
        <v/>
      </c>
      <c r="Z28">
        <f>IF(AND(A28&gt;=1,A28&lt;=$B$11),Y28,0)</f>
        <v/>
      </c>
      <c r="AA28">
        <f>IF(AND(C28=$B$12,E28=$B$14),Y28,0)</f>
        <v/>
      </c>
      <c r="AB28">
        <f>IF(AND(D28=$B$13,E28=$B$14),Y28,0)</f>
        <v/>
      </c>
      <c r="AC28">
        <f>IF(E28=$B$14,Y28,0)</f>
        <v/>
      </c>
      <c r="AE28">
        <f>IFERROR(IF(INDEX(MASTER_AREAS!$F:$F,27)="N","",INDEX(MASTER_AREAS!$B:$B,27)&amp;""),"")</f>
        <v/>
      </c>
      <c r="AF28">
        <f>IF(OR(AE28="",$B$10=0),0,SUMIFS(DATA_TRANSPORT!$Q:$Q,DATA_TRANSPORT!$A:$A,$B$10,DATA_TRANSPORT!$E:$E,AE28))</f>
        <v/>
      </c>
      <c r="AG28">
        <f>IF(OR(AE28="",$B$10=0),0,SUMIFS(DATA_TRANSPORT!$I:$I,DATA_TRANSPORT!$A:$A,$B$10,DATA_TRANSPORT!$E:$E,AE28,DATA_TRANSPORT!$V:$V,"Ran"))</f>
        <v/>
      </c>
      <c r="AH28">
        <f>IF(OR(AE28="",$B$10=0),0,SUMIFS(DATA_TRANSPORT!$L:$L,DATA_TRANSPORT!$A:$A,$B$10,DATA_TRANSPORT!$E:$E,AE28))</f>
        <v/>
      </c>
      <c r="AI28">
        <f>IF(OR(AE28="",$B$10=0),0,SUMIFS(DATA_TRANSPORT!$R:$R,DATA_TRANSPORT!$A:$A,$B$10,DATA_TRANSPORT!$E:$E,AE28))</f>
        <v/>
      </c>
      <c r="AJ28">
        <f>IF(OR(AE28="",$B$10=0),0,SUMIFS(DATA_TRANSPORT!$S:$S,DATA_TRANSPORT!$A:$A,$B$10,DATA_TRANSPORT!$E:$E,AE28))</f>
        <v/>
      </c>
      <c r="AK28">
        <f>IF(AH28=0,"",AI28/AH28)</f>
        <v/>
      </c>
      <c r="AL28">
        <f>IF(OR(AE28="",$B$10=0),0,SUMIFS(DATA_TRANSPORT!$T:$T,DATA_TRANSPORT!$A:$A,$B$10,DATA_TRANSPORT!$E:$E,AE28))+IF(OR(AE28="",$B$10=0),0,SUMIFS(DATA_TRANSPORT_COSTS!$M:$M,DATA_TRANSPORT_COSTS!$A:$A,$B$10,DATA_TRANSPORT_COSTS!$D:$D,AE28))</f>
        <v/>
      </c>
      <c r="AM28">
        <f>IF(OR(AF28=0,AL28=0),"",AL28/AF28)</f>
        <v/>
      </c>
      <c r="AN28">
        <f>IF(OR(AE28="",$B$10=0),0,SUMIFS(DATA_TRANSPORT!$T:$T,DATA_TRANSPORT!$A:$A,$B$10,DATA_TRANSPORT!$E:$E,AE28,DATA_TRANSPORT!$C:$C,"FT Procured"))</f>
        <v/>
      </c>
      <c r="AO28">
        <f>IF(OR(AE28="",$B$10=0),0,SUMIFS(DATA_TRANSPORT_BUDGET!$G:$G,DATA_TRANSPORT_BUDGET!$A:$A,$B$10,DATA_TRANSPORT_BUDGET!$D:$D,AE28))</f>
        <v/>
      </c>
      <c r="AP28">
        <f>IF(AO28=0,"",AN28-AO28)</f>
        <v/>
      </c>
      <c r="AQ28">
        <f>IF(OR(AE28="",$B$10=0),0,COUNTIFS(DATA_TRANSPORT!$A:$A,$B$10,DATA_TRANSPORT!$E:$E,AE28,DATA_TRANSPORT!$C:$C,"FT Procured",DATA_TRANSPORT!$Z:$Z,"Y"))</f>
        <v/>
      </c>
      <c r="AR28">
        <f>IF(OR(AE28="",$B$10=0),0,SUMIFS(DATA_TRANSPORT_BUDGET!$E:$E,DATA_TRANSPORT_BUDGET!$A:$A,$B$10,DATA_TRANSPORT_BUDGET!$D:$D,AE28))</f>
        <v/>
      </c>
      <c r="AS28">
        <f>IF(OR(AE28="",$B$10=0),0,COUNTIFS(DATA_TRANSPORT!$A:$A,$B$10,DATA_TRANSPORT!$E:$E,AE28,DATA_TRANSPORT!$V:$V,"Breakdown"))</f>
        <v/>
      </c>
      <c r="AT28">
        <f>IF(IF(OR(AE28="",$B$10=0),0,SUMIFS(DATA_TRANSPORT!$L:$L,DATA_TRANSPORT!$A:$A,$B$10-7,DATA_TRANSPORT!$E:$E,AE28))=0,"",IF(OR(AE28="",$B$10=0),0,SUMIFS(DATA_TRANSPORT!$R:$R,DATA_TRANSPORT!$A:$A,$B$10-7,DATA_TRANSPORT!$E:$E,AE28))/IF(OR(AE28="",$B$10=0),0,SUMIFS(DATA_TRANSPORT!$L:$L,DATA_TRANSPORT!$A:$A,$B$10-7,DATA_TRANSPORT!$E:$E,AE28)))</f>
        <v/>
      </c>
      <c r="AU28">
        <f>IF(IF(OR(AE28="",$B$10=0),0,SUMIFS(DATA_TRANSPORT!$L:$L,DATA_TRANSPORT!$A:$A,$B$10-14,DATA_TRANSPORT!$E:$E,AE28))=0,"",IF(OR(AE28="",$B$10=0),0,SUMIFS(DATA_TRANSPORT!$R:$R,DATA_TRANSPORT!$A:$A,$B$10-14,DATA_TRANSPORT!$E:$E,AE28))/IF(OR(AE28="",$B$10=0),0,SUMIFS(DATA_TRANSPORT!$L:$L,DATA_TRANSPORT!$A:$A,$B$10-14,DATA_TRANSPORT!$E:$E,AE28)))</f>
        <v/>
      </c>
      <c r="AV28">
        <f>IF(IF(OR(AE28="",$B$10=0),0,SUMIFS(DATA_TRANSPORT!$L:$L,DATA_TRANSPORT!$A:$A,$B$10-21,DATA_TRANSPORT!$E:$E,AE28))=0,"",IF(OR(AE28="",$B$10=0),0,SUMIFS(DATA_TRANSPORT!$R:$R,DATA_TRANSPORT!$A:$A,$B$10-21,DATA_TRANSPORT!$E:$E,AE28))/IF(OR(AE28="",$B$10=0),0,SUMIFS(DATA_TRANSPORT!$L:$L,DATA_TRANSPORT!$A:$A,$B$10-21,DATA_TRANSPORT!$E:$E,AE28)))</f>
        <v/>
      </c>
      <c r="AW28">
        <f>IF(AND(ISNUMBER(AK28),AK28&lt;UtilLow),1,0)+IF(AND(ISNUMBER(AT28),AT28&lt;UtilLow),1,0)+IF(AND(ISNUMBER(AU28),AU28&lt;UtilLow),1,0)+IF(AND(ISNUMBER(AV28),AV28&lt;UtilLow),1,0)</f>
        <v/>
      </c>
      <c r="AX28">
        <f>IF(AW28&gt;=UtilLowWeeks,AE28&amp;": seats only "&amp;TEXT(AK28,"0%")&amp;" full, under "&amp;TEXT(UtilLow,"0%")&amp;" for "&amp;AW28&amp;" weeks running",IF(AND(AH28&gt;0,AJ28&gt;=AH28*ExcessShare),AE28&amp;": "&amp;TEXT(AJ28,"#,##0")&amp;" riders beyond the seats — consider more buses",IF(AND(ISNUMBER(AP28),AP28&gt;0),AE28&amp;": FT spend ₦"&amp;TEXT(AP28,"#,##0")&amp;" over the weekly budget",IF(AS28&gt;0,AE28&amp;": "&amp;AS28&amp;" coaster breakdown(s) this week",""))))</f>
        <v/>
      </c>
      <c r="AY28">
        <f>IF(ISNUMBER(AK28),AK28+ROW()/1000000000,"")</f>
        <v/>
      </c>
      <c r="AZ28">
        <f>IF(ISNUMBER(AM28),AM28+ROW()/1000000,"")</f>
        <v/>
      </c>
      <c r="BA28">
        <f>IF(AND(ISNUMBER(AP28),AP28&gt;0),AP28+ROW()/1000000,"")</f>
        <v/>
      </c>
      <c r="BB28">
        <f>IF(AF28&gt;0,AF28+ROW()/1000000,"")</f>
        <v/>
      </c>
      <c r="BC28">
        <f>IF(AX28="","",ROW())</f>
        <v/>
      </c>
      <c r="BD28">
        <f>IF(AJ28&gt;0,AJ28+ROW()/1000000,"")</f>
        <v/>
      </c>
      <c r="BQ28">
        <f>IFERROR(SMALL(DATA_TRANSPORT!$AE:$AE,26),"")</f>
        <v/>
      </c>
      <c r="BR28">
        <f>IF(BQ28="","",INDEX(DATA_TRANSPORT!$E:$E,BQ28))</f>
        <v/>
      </c>
      <c r="BS28">
        <f>IF(BQ28="","",INDEX(DATA_TRANSPORT!$C:$C,BQ28))</f>
        <v/>
      </c>
      <c r="BT28">
        <f>IF(BQ28="","",TRIM(INDEX(DATA_TRANSPORT!$G:$G,BQ28)&amp;" "&amp;IF(INDEX(DATA_TRANSPORT!$H:$H,BQ28)="","","(bus "&amp;INDEX(DATA_TRANSPORT!$H:$H,BQ28)&amp;")")))</f>
        <v/>
      </c>
      <c r="BU28">
        <f>IF(BQ28="","",IF(INDEX(DATA_TRANSPORT!$V:$V,BQ28)="Breakdown","Breakdown",IF(INDEX(DATA_TRANSPORT!$X:$X,BQ28)="","Needs more buses",INDEX(DATA_TRANSPORT!$X:$X,BQ28))))</f>
        <v/>
      </c>
      <c r="BV28">
        <f>IF(BQ28="","",INDEX(DATA_TRANSPORT!$Y:$Y,BQ28)&amp;"")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IF(B29="",0,COUNTIFS(DATA_TRANSPORT!$A:$A,B29,DATA_TRANSPORT!$E:$E,$B$6,DATA_TRANSPORT!$AD:$AD,$B$7))</f>
        <v/>
      </c>
      <c r="G29">
        <f>IF(F29=0,0,SUMIFS(DATA_TRANSPORT!$Q:$Q,DATA_TRANSPORT!$A:$A,B29,DATA_TRANSPORT!$E:$E,$B$6,DATA_TRANSPORT!$AD:$AD,$B$7))</f>
        <v/>
      </c>
      <c r="H29">
        <f>IF(F29=0,0,SUMIFS(DATA_TRANSPORT!$M:$M,DATA_TRANSPORT!$A:$A,B29,DATA_TRANSPORT!$E:$E,$B$6,DATA_TRANSPORT!$AD:$AD,$B$7))</f>
        <v/>
      </c>
      <c r="I29">
        <f>IF(F29=0,0,SUMIFS(DATA_TRANSPORT!$N:$N,DATA_TRANSPORT!$A:$A,B29,DATA_TRANSPORT!$E:$E,$B$6,DATA_TRANSPORT!$AD:$AD,$B$7))</f>
        <v/>
      </c>
      <c r="J29">
        <f>IF(F29=0,0,SUMIFS(DATA_TRANSPORT!$P:$P,DATA_TRANSPORT!$A:$A,B29,DATA_TRANSPORT!$E:$E,$B$6,DATA_TRANSPORT!$AD:$AD,$B$7))</f>
        <v/>
      </c>
      <c r="K29">
        <f>IF(F29=0,0,SUMIFS(DATA_TRANSPORT!$I:$I,DATA_TRANSPORT!$A:$A,B29,DATA_TRANSPORT!$E:$E,$B$6,DATA_TRANSPORT!$AD:$AD,$B$7))</f>
        <v/>
      </c>
      <c r="L29">
        <f>IF(F29=0,0,SUMIFS(DATA_TRANSPORT!$I:$I,DATA_TRANSPORT!$A:$A,B29,DATA_TRANSPORT!$E:$E,$B$6,DATA_TRANSPORT!$AD:$AD,$B$7,DATA_TRANSPORT!$V:$V,"Ran"))</f>
        <v/>
      </c>
      <c r="M29">
        <f>IF(F29=0,0,SUMIFS(DATA_TRANSPORT!$L:$L,DATA_TRANSPORT!$A:$A,B29,DATA_TRANSPORT!$E:$E,$B$6,DATA_TRANSPORT!$AD:$AD,$B$7))</f>
        <v/>
      </c>
      <c r="N29">
        <f>IF(F29=0,0,SUMIFS(DATA_TRANSPORT!$R:$R,DATA_TRANSPORT!$A:$A,B29,DATA_TRANSPORT!$E:$E,$B$6,DATA_TRANSPORT!$AD:$AD,$B$7))</f>
        <v/>
      </c>
      <c r="O29">
        <f>IF(F29=0,0,SUMIFS(DATA_TRANSPORT!$S:$S,DATA_TRANSPORT!$A:$A,B29,DATA_TRANSPORT!$E:$E,$B$6,DATA_TRANSPORT!$AD:$AD,$B$7))</f>
        <v/>
      </c>
      <c r="P29">
        <f>IF(F29=0,0,SUMIFS(DATA_TRANSPORT!$T:$T,DATA_TRANSPORT!$A:$A,B29,DATA_TRANSPORT!$E:$E,$B$6,DATA_TRANSPORT!$AD:$AD,$B$7))</f>
        <v/>
      </c>
      <c r="Q29">
        <f>IF(OR(B29="",$B$17),0,SUMIFS(DATA_TRANSPORT_COSTS!$M:$M,DATA_TRANSPORT_COSTS!$A:$A,B29,DATA_TRANSPORT_COSTS!$D:$D,$B$6))</f>
        <v/>
      </c>
      <c r="R29">
        <f>P29+Q29</f>
        <v/>
      </c>
      <c r="S29">
        <f>Q29+IF(F29=0,0,SUMIFS(DATA_TRANSPORT!$T:$T,DATA_TRANSPORT!$A:$A,B29,DATA_TRANSPORT!$E:$E,$B$6,DATA_TRANSPORT!$AD:$AD,$B$7,DATA_TRANSPORT!$U:$U,"Central"))</f>
        <v/>
      </c>
      <c r="T29">
        <f>IF(F29=0,0,SUMIFS(DATA_TRANSPORT!$T:$T,DATA_TRANSPORT!$A:$A,B29,DATA_TRANSPORT!$E:$E,$B$6,DATA_TRANSPORT!$AD:$AD,$B$7,DATA_TRANSPORT!$U:$U,"Members"))</f>
        <v/>
      </c>
      <c r="U29">
        <f>IF(OR(B29="",$B$17),0,SUMIFS(DATA_TRANSPORT_BUDGET!$G:$G,DATA_TRANSPORT_BUDGET!$A:$A,B29,DATA_TRANSPORT_BUDGET!$D:$D,$B$6))</f>
        <v/>
      </c>
      <c r="V29">
        <f>IF(F29=0,0,SUMIFS(DATA_TRANSPORT!$T:$T,DATA_TRANSPORT!$A:$A,B29,DATA_TRANSPORT!$E:$E,$B$6,DATA_TRANSPORT!$AD:$AD,$B$7,DATA_TRANSPORT!$C:$C,"FT Procured"))</f>
        <v/>
      </c>
      <c r="W29">
        <f>IF(F29=0,0,COUNTIFS(DATA_TRANSPORT!$A:$A,B29,DATA_TRANSPORT!$E:$E,$B$6,DATA_TRANSPORT!$AD:$AD,$B$7,DATA_TRANSPORT!$V:$V,"Breakdown"))</f>
        <v/>
      </c>
      <c r="X29">
        <f>IF(M29=0,0,N29/M29)</f>
        <v/>
      </c>
      <c r="Y29">
        <f>IF(F29&gt;0,1,0)</f>
        <v/>
      </c>
      <c r="Z29">
        <f>IF(AND(A29&gt;=1,A29&lt;=$B$11),Y29,0)</f>
        <v/>
      </c>
      <c r="AA29">
        <f>IF(AND(C29=$B$12,E29=$B$14),Y29,0)</f>
        <v/>
      </c>
      <c r="AB29">
        <f>IF(AND(D29=$B$13,E29=$B$14),Y29,0)</f>
        <v/>
      </c>
      <c r="AC29">
        <f>IF(E29=$B$14,Y29,0)</f>
        <v/>
      </c>
      <c r="AE29">
        <f>IFERROR(IF(INDEX(MASTER_AREAS!$F:$F,28)="N","",INDEX(MASTER_AREAS!$B:$B,28)&amp;""),"")</f>
        <v/>
      </c>
      <c r="AF29">
        <f>IF(OR(AE29="",$B$10=0),0,SUMIFS(DATA_TRANSPORT!$Q:$Q,DATA_TRANSPORT!$A:$A,$B$10,DATA_TRANSPORT!$E:$E,AE29))</f>
        <v/>
      </c>
      <c r="AG29">
        <f>IF(OR(AE29="",$B$10=0),0,SUMIFS(DATA_TRANSPORT!$I:$I,DATA_TRANSPORT!$A:$A,$B$10,DATA_TRANSPORT!$E:$E,AE29,DATA_TRANSPORT!$V:$V,"Ran"))</f>
        <v/>
      </c>
      <c r="AH29">
        <f>IF(OR(AE29="",$B$10=0),0,SUMIFS(DATA_TRANSPORT!$L:$L,DATA_TRANSPORT!$A:$A,$B$10,DATA_TRANSPORT!$E:$E,AE29))</f>
        <v/>
      </c>
      <c r="AI29">
        <f>IF(OR(AE29="",$B$10=0),0,SUMIFS(DATA_TRANSPORT!$R:$R,DATA_TRANSPORT!$A:$A,$B$10,DATA_TRANSPORT!$E:$E,AE29))</f>
        <v/>
      </c>
      <c r="AJ29">
        <f>IF(OR(AE29="",$B$10=0),0,SUMIFS(DATA_TRANSPORT!$S:$S,DATA_TRANSPORT!$A:$A,$B$10,DATA_TRANSPORT!$E:$E,AE29))</f>
        <v/>
      </c>
      <c r="AK29">
        <f>IF(AH29=0,"",AI29/AH29)</f>
        <v/>
      </c>
      <c r="AL29">
        <f>IF(OR(AE29="",$B$10=0),0,SUMIFS(DATA_TRANSPORT!$T:$T,DATA_TRANSPORT!$A:$A,$B$10,DATA_TRANSPORT!$E:$E,AE29))+IF(OR(AE29="",$B$10=0),0,SUMIFS(DATA_TRANSPORT_COSTS!$M:$M,DATA_TRANSPORT_COSTS!$A:$A,$B$10,DATA_TRANSPORT_COSTS!$D:$D,AE29))</f>
        <v/>
      </c>
      <c r="AM29">
        <f>IF(OR(AF29=0,AL29=0),"",AL29/AF29)</f>
        <v/>
      </c>
      <c r="AN29">
        <f>IF(OR(AE29="",$B$10=0),0,SUMIFS(DATA_TRANSPORT!$T:$T,DATA_TRANSPORT!$A:$A,$B$10,DATA_TRANSPORT!$E:$E,AE29,DATA_TRANSPORT!$C:$C,"FT Procured"))</f>
        <v/>
      </c>
      <c r="AO29">
        <f>IF(OR(AE29="",$B$10=0),0,SUMIFS(DATA_TRANSPORT_BUDGET!$G:$G,DATA_TRANSPORT_BUDGET!$A:$A,$B$10,DATA_TRANSPORT_BUDGET!$D:$D,AE29))</f>
        <v/>
      </c>
      <c r="AP29">
        <f>IF(AO29=0,"",AN29-AO29)</f>
        <v/>
      </c>
      <c r="AQ29">
        <f>IF(OR(AE29="",$B$10=0),0,COUNTIFS(DATA_TRANSPORT!$A:$A,$B$10,DATA_TRANSPORT!$E:$E,AE29,DATA_TRANSPORT!$C:$C,"FT Procured",DATA_TRANSPORT!$Z:$Z,"Y"))</f>
        <v/>
      </c>
      <c r="AR29">
        <f>IF(OR(AE29="",$B$10=0),0,SUMIFS(DATA_TRANSPORT_BUDGET!$E:$E,DATA_TRANSPORT_BUDGET!$A:$A,$B$10,DATA_TRANSPORT_BUDGET!$D:$D,AE29))</f>
        <v/>
      </c>
      <c r="AS29">
        <f>IF(OR(AE29="",$B$10=0),0,COUNTIFS(DATA_TRANSPORT!$A:$A,$B$10,DATA_TRANSPORT!$E:$E,AE29,DATA_TRANSPORT!$V:$V,"Breakdown"))</f>
        <v/>
      </c>
      <c r="AT29">
        <f>IF(IF(OR(AE29="",$B$10=0),0,SUMIFS(DATA_TRANSPORT!$L:$L,DATA_TRANSPORT!$A:$A,$B$10-7,DATA_TRANSPORT!$E:$E,AE29))=0,"",IF(OR(AE29="",$B$10=0),0,SUMIFS(DATA_TRANSPORT!$R:$R,DATA_TRANSPORT!$A:$A,$B$10-7,DATA_TRANSPORT!$E:$E,AE29))/IF(OR(AE29="",$B$10=0),0,SUMIFS(DATA_TRANSPORT!$L:$L,DATA_TRANSPORT!$A:$A,$B$10-7,DATA_TRANSPORT!$E:$E,AE29)))</f>
        <v/>
      </c>
      <c r="AU29">
        <f>IF(IF(OR(AE29="",$B$10=0),0,SUMIFS(DATA_TRANSPORT!$L:$L,DATA_TRANSPORT!$A:$A,$B$10-14,DATA_TRANSPORT!$E:$E,AE29))=0,"",IF(OR(AE29="",$B$10=0),0,SUMIFS(DATA_TRANSPORT!$R:$R,DATA_TRANSPORT!$A:$A,$B$10-14,DATA_TRANSPORT!$E:$E,AE29))/IF(OR(AE29="",$B$10=0),0,SUMIFS(DATA_TRANSPORT!$L:$L,DATA_TRANSPORT!$A:$A,$B$10-14,DATA_TRANSPORT!$E:$E,AE29)))</f>
        <v/>
      </c>
      <c r="AV29">
        <f>IF(IF(OR(AE29="",$B$10=0),0,SUMIFS(DATA_TRANSPORT!$L:$L,DATA_TRANSPORT!$A:$A,$B$10-21,DATA_TRANSPORT!$E:$E,AE29))=0,"",IF(OR(AE29="",$B$10=0),0,SUMIFS(DATA_TRANSPORT!$R:$R,DATA_TRANSPORT!$A:$A,$B$10-21,DATA_TRANSPORT!$E:$E,AE29))/IF(OR(AE29="",$B$10=0),0,SUMIFS(DATA_TRANSPORT!$L:$L,DATA_TRANSPORT!$A:$A,$B$10-21,DATA_TRANSPORT!$E:$E,AE29)))</f>
        <v/>
      </c>
      <c r="AW29">
        <f>IF(AND(ISNUMBER(AK29),AK29&lt;UtilLow),1,0)+IF(AND(ISNUMBER(AT29),AT29&lt;UtilLow),1,0)+IF(AND(ISNUMBER(AU29),AU29&lt;UtilLow),1,0)+IF(AND(ISNUMBER(AV29),AV29&lt;UtilLow),1,0)</f>
        <v/>
      </c>
      <c r="AX29">
        <f>IF(AW29&gt;=UtilLowWeeks,AE29&amp;": seats only "&amp;TEXT(AK29,"0%")&amp;" full, under "&amp;TEXT(UtilLow,"0%")&amp;" for "&amp;AW29&amp;" weeks running",IF(AND(AH29&gt;0,AJ29&gt;=AH29*ExcessShare),AE29&amp;": "&amp;TEXT(AJ29,"#,##0")&amp;" riders beyond the seats — consider more buses",IF(AND(ISNUMBER(AP29),AP29&gt;0),AE29&amp;": FT spend ₦"&amp;TEXT(AP29,"#,##0")&amp;" over the weekly budget",IF(AS29&gt;0,AE29&amp;": "&amp;AS29&amp;" coaster breakdown(s) this week",""))))</f>
        <v/>
      </c>
      <c r="AY29">
        <f>IF(ISNUMBER(AK29),AK29+ROW()/1000000000,"")</f>
        <v/>
      </c>
      <c r="AZ29">
        <f>IF(ISNUMBER(AM29),AM29+ROW()/1000000,"")</f>
        <v/>
      </c>
      <c r="BA29">
        <f>IF(AND(ISNUMBER(AP29),AP29&gt;0),AP29+ROW()/1000000,"")</f>
        <v/>
      </c>
      <c r="BB29">
        <f>IF(AF29&gt;0,AF29+ROW()/1000000,"")</f>
        <v/>
      </c>
      <c r="BC29">
        <f>IF(AX29="","",ROW())</f>
        <v/>
      </c>
      <c r="BD29">
        <f>IF(AJ29&gt;0,AJ29+ROW()/1000000,"")</f>
        <v/>
      </c>
      <c r="BQ29">
        <f>IFERROR(SMALL(DATA_TRANSPORT!$AE:$AE,27),"")</f>
        <v/>
      </c>
      <c r="BR29">
        <f>IF(BQ29="","",INDEX(DATA_TRANSPORT!$E:$E,BQ29))</f>
        <v/>
      </c>
      <c r="BS29">
        <f>IF(BQ29="","",INDEX(DATA_TRANSPORT!$C:$C,BQ29))</f>
        <v/>
      </c>
      <c r="BT29">
        <f>IF(BQ29="","",TRIM(INDEX(DATA_TRANSPORT!$G:$G,BQ29)&amp;" "&amp;IF(INDEX(DATA_TRANSPORT!$H:$H,BQ29)="","","(bus "&amp;INDEX(DATA_TRANSPORT!$H:$H,BQ29)&amp;")")))</f>
        <v/>
      </c>
      <c r="BU29">
        <f>IF(BQ29="","",IF(INDEX(DATA_TRANSPORT!$V:$V,BQ29)="Breakdown","Breakdown",IF(INDEX(DATA_TRANSPORT!$X:$X,BQ29)="","Needs more buses",INDEX(DATA_TRANSPORT!$X:$X,BQ29))))</f>
        <v/>
      </c>
      <c r="BV29">
        <f>IF(BQ29="","",INDEX(DATA_TRANSPORT!$Y:$Y,BQ29)&amp;"")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IF(B30="",0,COUNTIFS(DATA_TRANSPORT!$A:$A,B30,DATA_TRANSPORT!$E:$E,$B$6,DATA_TRANSPORT!$AD:$AD,$B$7))</f>
        <v/>
      </c>
      <c r="G30">
        <f>IF(F30=0,0,SUMIFS(DATA_TRANSPORT!$Q:$Q,DATA_TRANSPORT!$A:$A,B30,DATA_TRANSPORT!$E:$E,$B$6,DATA_TRANSPORT!$AD:$AD,$B$7))</f>
        <v/>
      </c>
      <c r="H30">
        <f>IF(F30=0,0,SUMIFS(DATA_TRANSPORT!$M:$M,DATA_TRANSPORT!$A:$A,B30,DATA_TRANSPORT!$E:$E,$B$6,DATA_TRANSPORT!$AD:$AD,$B$7))</f>
        <v/>
      </c>
      <c r="I30">
        <f>IF(F30=0,0,SUMIFS(DATA_TRANSPORT!$N:$N,DATA_TRANSPORT!$A:$A,B30,DATA_TRANSPORT!$E:$E,$B$6,DATA_TRANSPORT!$AD:$AD,$B$7))</f>
        <v/>
      </c>
      <c r="J30">
        <f>IF(F30=0,0,SUMIFS(DATA_TRANSPORT!$P:$P,DATA_TRANSPORT!$A:$A,B30,DATA_TRANSPORT!$E:$E,$B$6,DATA_TRANSPORT!$AD:$AD,$B$7))</f>
        <v/>
      </c>
      <c r="K30">
        <f>IF(F30=0,0,SUMIFS(DATA_TRANSPORT!$I:$I,DATA_TRANSPORT!$A:$A,B30,DATA_TRANSPORT!$E:$E,$B$6,DATA_TRANSPORT!$AD:$AD,$B$7))</f>
        <v/>
      </c>
      <c r="L30">
        <f>IF(F30=0,0,SUMIFS(DATA_TRANSPORT!$I:$I,DATA_TRANSPORT!$A:$A,B30,DATA_TRANSPORT!$E:$E,$B$6,DATA_TRANSPORT!$AD:$AD,$B$7,DATA_TRANSPORT!$V:$V,"Ran"))</f>
        <v/>
      </c>
      <c r="M30">
        <f>IF(F30=0,0,SUMIFS(DATA_TRANSPORT!$L:$L,DATA_TRANSPORT!$A:$A,B30,DATA_TRANSPORT!$E:$E,$B$6,DATA_TRANSPORT!$AD:$AD,$B$7))</f>
        <v/>
      </c>
      <c r="N30">
        <f>IF(F30=0,0,SUMIFS(DATA_TRANSPORT!$R:$R,DATA_TRANSPORT!$A:$A,B30,DATA_TRANSPORT!$E:$E,$B$6,DATA_TRANSPORT!$AD:$AD,$B$7))</f>
        <v/>
      </c>
      <c r="O30">
        <f>IF(F30=0,0,SUMIFS(DATA_TRANSPORT!$S:$S,DATA_TRANSPORT!$A:$A,B30,DATA_TRANSPORT!$E:$E,$B$6,DATA_TRANSPORT!$AD:$AD,$B$7))</f>
        <v/>
      </c>
      <c r="P30">
        <f>IF(F30=0,0,SUMIFS(DATA_TRANSPORT!$T:$T,DATA_TRANSPORT!$A:$A,B30,DATA_TRANSPORT!$E:$E,$B$6,DATA_TRANSPORT!$AD:$AD,$B$7))</f>
        <v/>
      </c>
      <c r="Q30">
        <f>IF(OR(B30="",$B$17),0,SUMIFS(DATA_TRANSPORT_COSTS!$M:$M,DATA_TRANSPORT_COSTS!$A:$A,B30,DATA_TRANSPORT_COSTS!$D:$D,$B$6))</f>
        <v/>
      </c>
      <c r="R30">
        <f>P30+Q30</f>
        <v/>
      </c>
      <c r="S30">
        <f>Q30+IF(F30=0,0,SUMIFS(DATA_TRANSPORT!$T:$T,DATA_TRANSPORT!$A:$A,B30,DATA_TRANSPORT!$E:$E,$B$6,DATA_TRANSPORT!$AD:$AD,$B$7,DATA_TRANSPORT!$U:$U,"Central"))</f>
        <v/>
      </c>
      <c r="T30">
        <f>IF(F30=0,0,SUMIFS(DATA_TRANSPORT!$T:$T,DATA_TRANSPORT!$A:$A,B30,DATA_TRANSPORT!$E:$E,$B$6,DATA_TRANSPORT!$AD:$AD,$B$7,DATA_TRANSPORT!$U:$U,"Members"))</f>
        <v/>
      </c>
      <c r="U30">
        <f>IF(OR(B30="",$B$17),0,SUMIFS(DATA_TRANSPORT_BUDGET!$G:$G,DATA_TRANSPORT_BUDGET!$A:$A,B30,DATA_TRANSPORT_BUDGET!$D:$D,$B$6))</f>
        <v/>
      </c>
      <c r="V30">
        <f>IF(F30=0,0,SUMIFS(DATA_TRANSPORT!$T:$T,DATA_TRANSPORT!$A:$A,B30,DATA_TRANSPORT!$E:$E,$B$6,DATA_TRANSPORT!$AD:$AD,$B$7,DATA_TRANSPORT!$C:$C,"FT Procured"))</f>
        <v/>
      </c>
      <c r="W30">
        <f>IF(F30=0,0,COUNTIFS(DATA_TRANSPORT!$A:$A,B30,DATA_TRANSPORT!$E:$E,$B$6,DATA_TRANSPORT!$AD:$AD,$B$7,DATA_TRANSPORT!$V:$V,"Breakdown"))</f>
        <v/>
      </c>
      <c r="X30">
        <f>IF(M30=0,0,N30/M30)</f>
        <v/>
      </c>
      <c r="Y30">
        <f>IF(F30&gt;0,1,0)</f>
        <v/>
      </c>
      <c r="Z30">
        <f>IF(AND(A30&gt;=1,A30&lt;=$B$11),Y30,0)</f>
        <v/>
      </c>
      <c r="AA30">
        <f>IF(AND(C30=$B$12,E30=$B$14),Y30,0)</f>
        <v/>
      </c>
      <c r="AB30">
        <f>IF(AND(D30=$B$13,E30=$B$14),Y30,0)</f>
        <v/>
      </c>
      <c r="AC30">
        <f>IF(E30=$B$14,Y30,0)</f>
        <v/>
      </c>
      <c r="AE30">
        <f>IFERROR(IF(INDEX(MASTER_AREAS!$F:$F,29)="N","",INDEX(MASTER_AREAS!$B:$B,29)&amp;""),"")</f>
        <v/>
      </c>
      <c r="AF30">
        <f>IF(OR(AE30="",$B$10=0),0,SUMIFS(DATA_TRANSPORT!$Q:$Q,DATA_TRANSPORT!$A:$A,$B$10,DATA_TRANSPORT!$E:$E,AE30))</f>
        <v/>
      </c>
      <c r="AG30">
        <f>IF(OR(AE30="",$B$10=0),0,SUMIFS(DATA_TRANSPORT!$I:$I,DATA_TRANSPORT!$A:$A,$B$10,DATA_TRANSPORT!$E:$E,AE30,DATA_TRANSPORT!$V:$V,"Ran"))</f>
        <v/>
      </c>
      <c r="AH30">
        <f>IF(OR(AE30="",$B$10=0),0,SUMIFS(DATA_TRANSPORT!$L:$L,DATA_TRANSPORT!$A:$A,$B$10,DATA_TRANSPORT!$E:$E,AE30))</f>
        <v/>
      </c>
      <c r="AI30">
        <f>IF(OR(AE30="",$B$10=0),0,SUMIFS(DATA_TRANSPORT!$R:$R,DATA_TRANSPORT!$A:$A,$B$10,DATA_TRANSPORT!$E:$E,AE30))</f>
        <v/>
      </c>
      <c r="AJ30">
        <f>IF(OR(AE30="",$B$10=0),0,SUMIFS(DATA_TRANSPORT!$S:$S,DATA_TRANSPORT!$A:$A,$B$10,DATA_TRANSPORT!$E:$E,AE30))</f>
        <v/>
      </c>
      <c r="AK30">
        <f>IF(AH30=0,"",AI30/AH30)</f>
        <v/>
      </c>
      <c r="AL30">
        <f>IF(OR(AE30="",$B$10=0),0,SUMIFS(DATA_TRANSPORT!$T:$T,DATA_TRANSPORT!$A:$A,$B$10,DATA_TRANSPORT!$E:$E,AE30))+IF(OR(AE30="",$B$10=0),0,SUMIFS(DATA_TRANSPORT_COSTS!$M:$M,DATA_TRANSPORT_COSTS!$A:$A,$B$10,DATA_TRANSPORT_COSTS!$D:$D,AE30))</f>
        <v/>
      </c>
      <c r="AM30">
        <f>IF(OR(AF30=0,AL30=0),"",AL30/AF30)</f>
        <v/>
      </c>
      <c r="AN30">
        <f>IF(OR(AE30="",$B$10=0),0,SUMIFS(DATA_TRANSPORT!$T:$T,DATA_TRANSPORT!$A:$A,$B$10,DATA_TRANSPORT!$E:$E,AE30,DATA_TRANSPORT!$C:$C,"FT Procured"))</f>
        <v/>
      </c>
      <c r="AO30">
        <f>IF(OR(AE30="",$B$10=0),0,SUMIFS(DATA_TRANSPORT_BUDGET!$G:$G,DATA_TRANSPORT_BUDGET!$A:$A,$B$10,DATA_TRANSPORT_BUDGET!$D:$D,AE30))</f>
        <v/>
      </c>
      <c r="AP30">
        <f>IF(AO30=0,"",AN30-AO30)</f>
        <v/>
      </c>
      <c r="AQ30">
        <f>IF(OR(AE30="",$B$10=0),0,COUNTIFS(DATA_TRANSPORT!$A:$A,$B$10,DATA_TRANSPORT!$E:$E,AE30,DATA_TRANSPORT!$C:$C,"FT Procured",DATA_TRANSPORT!$Z:$Z,"Y"))</f>
        <v/>
      </c>
      <c r="AR30">
        <f>IF(OR(AE30="",$B$10=0),0,SUMIFS(DATA_TRANSPORT_BUDGET!$E:$E,DATA_TRANSPORT_BUDGET!$A:$A,$B$10,DATA_TRANSPORT_BUDGET!$D:$D,AE30))</f>
        <v/>
      </c>
      <c r="AS30">
        <f>IF(OR(AE30="",$B$10=0),0,COUNTIFS(DATA_TRANSPORT!$A:$A,$B$10,DATA_TRANSPORT!$E:$E,AE30,DATA_TRANSPORT!$V:$V,"Breakdown"))</f>
        <v/>
      </c>
      <c r="AT30">
        <f>IF(IF(OR(AE30="",$B$10=0),0,SUMIFS(DATA_TRANSPORT!$L:$L,DATA_TRANSPORT!$A:$A,$B$10-7,DATA_TRANSPORT!$E:$E,AE30))=0,"",IF(OR(AE30="",$B$10=0),0,SUMIFS(DATA_TRANSPORT!$R:$R,DATA_TRANSPORT!$A:$A,$B$10-7,DATA_TRANSPORT!$E:$E,AE30))/IF(OR(AE30="",$B$10=0),0,SUMIFS(DATA_TRANSPORT!$L:$L,DATA_TRANSPORT!$A:$A,$B$10-7,DATA_TRANSPORT!$E:$E,AE30)))</f>
        <v/>
      </c>
      <c r="AU30">
        <f>IF(IF(OR(AE30="",$B$10=0),0,SUMIFS(DATA_TRANSPORT!$L:$L,DATA_TRANSPORT!$A:$A,$B$10-14,DATA_TRANSPORT!$E:$E,AE30))=0,"",IF(OR(AE30="",$B$10=0),0,SUMIFS(DATA_TRANSPORT!$R:$R,DATA_TRANSPORT!$A:$A,$B$10-14,DATA_TRANSPORT!$E:$E,AE30))/IF(OR(AE30="",$B$10=0),0,SUMIFS(DATA_TRANSPORT!$L:$L,DATA_TRANSPORT!$A:$A,$B$10-14,DATA_TRANSPORT!$E:$E,AE30)))</f>
        <v/>
      </c>
      <c r="AV30">
        <f>IF(IF(OR(AE30="",$B$10=0),0,SUMIFS(DATA_TRANSPORT!$L:$L,DATA_TRANSPORT!$A:$A,$B$10-21,DATA_TRANSPORT!$E:$E,AE30))=0,"",IF(OR(AE30="",$B$10=0),0,SUMIFS(DATA_TRANSPORT!$R:$R,DATA_TRANSPORT!$A:$A,$B$10-21,DATA_TRANSPORT!$E:$E,AE30))/IF(OR(AE30="",$B$10=0),0,SUMIFS(DATA_TRANSPORT!$L:$L,DATA_TRANSPORT!$A:$A,$B$10-21,DATA_TRANSPORT!$E:$E,AE30)))</f>
        <v/>
      </c>
      <c r="AW30">
        <f>IF(AND(ISNUMBER(AK30),AK30&lt;UtilLow),1,0)+IF(AND(ISNUMBER(AT30),AT30&lt;UtilLow),1,0)+IF(AND(ISNUMBER(AU30),AU30&lt;UtilLow),1,0)+IF(AND(ISNUMBER(AV30),AV30&lt;UtilLow),1,0)</f>
        <v/>
      </c>
      <c r="AX30">
        <f>IF(AW30&gt;=UtilLowWeeks,AE30&amp;": seats only "&amp;TEXT(AK30,"0%")&amp;" full, under "&amp;TEXT(UtilLow,"0%")&amp;" for "&amp;AW30&amp;" weeks running",IF(AND(AH30&gt;0,AJ30&gt;=AH30*ExcessShare),AE30&amp;": "&amp;TEXT(AJ30,"#,##0")&amp;" riders beyond the seats — consider more buses",IF(AND(ISNUMBER(AP30),AP30&gt;0),AE30&amp;": FT spend ₦"&amp;TEXT(AP30,"#,##0")&amp;" over the weekly budget",IF(AS30&gt;0,AE30&amp;": "&amp;AS30&amp;" coaster breakdown(s) this week",""))))</f>
        <v/>
      </c>
      <c r="AY30">
        <f>IF(ISNUMBER(AK30),AK30+ROW()/1000000000,"")</f>
        <v/>
      </c>
      <c r="AZ30">
        <f>IF(ISNUMBER(AM30),AM30+ROW()/1000000,"")</f>
        <v/>
      </c>
      <c r="BA30">
        <f>IF(AND(ISNUMBER(AP30),AP30&gt;0),AP30+ROW()/1000000,"")</f>
        <v/>
      </c>
      <c r="BB30">
        <f>IF(AF30&gt;0,AF30+ROW()/1000000,"")</f>
        <v/>
      </c>
      <c r="BC30">
        <f>IF(AX30="","",ROW())</f>
        <v/>
      </c>
      <c r="BD30">
        <f>IF(AJ30&gt;0,AJ30+ROW()/1000000,"")</f>
        <v/>
      </c>
      <c r="BQ30">
        <f>IFERROR(SMALL(DATA_TRANSPORT!$AE:$AE,28),"")</f>
        <v/>
      </c>
      <c r="BR30">
        <f>IF(BQ30="","",INDEX(DATA_TRANSPORT!$E:$E,BQ30))</f>
        <v/>
      </c>
      <c r="BS30">
        <f>IF(BQ30="","",INDEX(DATA_TRANSPORT!$C:$C,BQ30))</f>
        <v/>
      </c>
      <c r="BT30">
        <f>IF(BQ30="","",TRIM(INDEX(DATA_TRANSPORT!$G:$G,BQ30)&amp;" "&amp;IF(INDEX(DATA_TRANSPORT!$H:$H,BQ30)="","","(bus "&amp;INDEX(DATA_TRANSPORT!$H:$H,BQ30)&amp;")")))</f>
        <v/>
      </c>
      <c r="BU30">
        <f>IF(BQ30="","",IF(INDEX(DATA_TRANSPORT!$V:$V,BQ30)="Breakdown","Breakdown",IF(INDEX(DATA_TRANSPORT!$X:$X,BQ30)="","Needs more buses",INDEX(DATA_TRANSPORT!$X:$X,BQ30))))</f>
        <v/>
      </c>
      <c r="BV30">
        <f>IF(BQ30="","",INDEX(DATA_TRANSPORT!$Y:$Y,BQ30)&amp;"")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IF(B31="",0,COUNTIFS(DATA_TRANSPORT!$A:$A,B31,DATA_TRANSPORT!$E:$E,$B$6,DATA_TRANSPORT!$AD:$AD,$B$7))</f>
        <v/>
      </c>
      <c r="G31">
        <f>IF(F31=0,0,SUMIFS(DATA_TRANSPORT!$Q:$Q,DATA_TRANSPORT!$A:$A,B31,DATA_TRANSPORT!$E:$E,$B$6,DATA_TRANSPORT!$AD:$AD,$B$7))</f>
        <v/>
      </c>
      <c r="H31">
        <f>IF(F31=0,0,SUMIFS(DATA_TRANSPORT!$M:$M,DATA_TRANSPORT!$A:$A,B31,DATA_TRANSPORT!$E:$E,$B$6,DATA_TRANSPORT!$AD:$AD,$B$7))</f>
        <v/>
      </c>
      <c r="I31">
        <f>IF(F31=0,0,SUMIFS(DATA_TRANSPORT!$N:$N,DATA_TRANSPORT!$A:$A,B31,DATA_TRANSPORT!$E:$E,$B$6,DATA_TRANSPORT!$AD:$AD,$B$7))</f>
        <v/>
      </c>
      <c r="J31">
        <f>IF(F31=0,0,SUMIFS(DATA_TRANSPORT!$P:$P,DATA_TRANSPORT!$A:$A,B31,DATA_TRANSPORT!$E:$E,$B$6,DATA_TRANSPORT!$AD:$AD,$B$7))</f>
        <v/>
      </c>
      <c r="K31">
        <f>IF(F31=0,0,SUMIFS(DATA_TRANSPORT!$I:$I,DATA_TRANSPORT!$A:$A,B31,DATA_TRANSPORT!$E:$E,$B$6,DATA_TRANSPORT!$AD:$AD,$B$7))</f>
        <v/>
      </c>
      <c r="L31">
        <f>IF(F31=0,0,SUMIFS(DATA_TRANSPORT!$I:$I,DATA_TRANSPORT!$A:$A,B31,DATA_TRANSPORT!$E:$E,$B$6,DATA_TRANSPORT!$AD:$AD,$B$7,DATA_TRANSPORT!$V:$V,"Ran"))</f>
        <v/>
      </c>
      <c r="M31">
        <f>IF(F31=0,0,SUMIFS(DATA_TRANSPORT!$L:$L,DATA_TRANSPORT!$A:$A,B31,DATA_TRANSPORT!$E:$E,$B$6,DATA_TRANSPORT!$AD:$AD,$B$7))</f>
        <v/>
      </c>
      <c r="N31">
        <f>IF(F31=0,0,SUMIFS(DATA_TRANSPORT!$R:$R,DATA_TRANSPORT!$A:$A,B31,DATA_TRANSPORT!$E:$E,$B$6,DATA_TRANSPORT!$AD:$AD,$B$7))</f>
        <v/>
      </c>
      <c r="O31">
        <f>IF(F31=0,0,SUMIFS(DATA_TRANSPORT!$S:$S,DATA_TRANSPORT!$A:$A,B31,DATA_TRANSPORT!$E:$E,$B$6,DATA_TRANSPORT!$AD:$AD,$B$7))</f>
        <v/>
      </c>
      <c r="P31">
        <f>IF(F31=0,0,SUMIFS(DATA_TRANSPORT!$T:$T,DATA_TRANSPORT!$A:$A,B31,DATA_TRANSPORT!$E:$E,$B$6,DATA_TRANSPORT!$AD:$AD,$B$7))</f>
        <v/>
      </c>
      <c r="Q31">
        <f>IF(OR(B31="",$B$17),0,SUMIFS(DATA_TRANSPORT_COSTS!$M:$M,DATA_TRANSPORT_COSTS!$A:$A,B31,DATA_TRANSPORT_COSTS!$D:$D,$B$6))</f>
        <v/>
      </c>
      <c r="R31">
        <f>P31+Q31</f>
        <v/>
      </c>
      <c r="S31">
        <f>Q31+IF(F31=0,0,SUMIFS(DATA_TRANSPORT!$T:$T,DATA_TRANSPORT!$A:$A,B31,DATA_TRANSPORT!$E:$E,$B$6,DATA_TRANSPORT!$AD:$AD,$B$7,DATA_TRANSPORT!$U:$U,"Central"))</f>
        <v/>
      </c>
      <c r="T31">
        <f>IF(F31=0,0,SUMIFS(DATA_TRANSPORT!$T:$T,DATA_TRANSPORT!$A:$A,B31,DATA_TRANSPORT!$E:$E,$B$6,DATA_TRANSPORT!$AD:$AD,$B$7,DATA_TRANSPORT!$U:$U,"Members"))</f>
        <v/>
      </c>
      <c r="U31">
        <f>IF(OR(B31="",$B$17),0,SUMIFS(DATA_TRANSPORT_BUDGET!$G:$G,DATA_TRANSPORT_BUDGET!$A:$A,B31,DATA_TRANSPORT_BUDGET!$D:$D,$B$6))</f>
        <v/>
      </c>
      <c r="V31">
        <f>IF(F31=0,0,SUMIFS(DATA_TRANSPORT!$T:$T,DATA_TRANSPORT!$A:$A,B31,DATA_TRANSPORT!$E:$E,$B$6,DATA_TRANSPORT!$AD:$AD,$B$7,DATA_TRANSPORT!$C:$C,"FT Procured"))</f>
        <v/>
      </c>
      <c r="W31">
        <f>IF(F31=0,0,COUNTIFS(DATA_TRANSPORT!$A:$A,B31,DATA_TRANSPORT!$E:$E,$B$6,DATA_TRANSPORT!$AD:$AD,$B$7,DATA_TRANSPORT!$V:$V,"Breakdown"))</f>
        <v/>
      </c>
      <c r="X31">
        <f>IF(M31=0,0,N31/M31)</f>
        <v/>
      </c>
      <c r="Y31">
        <f>IF(F31&gt;0,1,0)</f>
        <v/>
      </c>
      <c r="Z31">
        <f>IF(AND(A31&gt;=1,A31&lt;=$B$11),Y31,0)</f>
        <v/>
      </c>
      <c r="AA31">
        <f>IF(AND(C31=$B$12,E31=$B$14),Y31,0)</f>
        <v/>
      </c>
      <c r="AB31">
        <f>IF(AND(D31=$B$13,E31=$B$14),Y31,0)</f>
        <v/>
      </c>
      <c r="AC31">
        <f>IF(E31=$B$14,Y31,0)</f>
        <v/>
      </c>
      <c r="AE31">
        <f>IFERROR(IF(INDEX(MASTER_AREAS!$F:$F,30)="N","",INDEX(MASTER_AREAS!$B:$B,30)&amp;""),"")</f>
        <v/>
      </c>
      <c r="AF31">
        <f>IF(OR(AE31="",$B$10=0),0,SUMIFS(DATA_TRANSPORT!$Q:$Q,DATA_TRANSPORT!$A:$A,$B$10,DATA_TRANSPORT!$E:$E,AE31))</f>
        <v/>
      </c>
      <c r="AG31">
        <f>IF(OR(AE31="",$B$10=0),0,SUMIFS(DATA_TRANSPORT!$I:$I,DATA_TRANSPORT!$A:$A,$B$10,DATA_TRANSPORT!$E:$E,AE31,DATA_TRANSPORT!$V:$V,"Ran"))</f>
        <v/>
      </c>
      <c r="AH31">
        <f>IF(OR(AE31="",$B$10=0),0,SUMIFS(DATA_TRANSPORT!$L:$L,DATA_TRANSPORT!$A:$A,$B$10,DATA_TRANSPORT!$E:$E,AE31))</f>
        <v/>
      </c>
      <c r="AI31">
        <f>IF(OR(AE31="",$B$10=0),0,SUMIFS(DATA_TRANSPORT!$R:$R,DATA_TRANSPORT!$A:$A,$B$10,DATA_TRANSPORT!$E:$E,AE31))</f>
        <v/>
      </c>
      <c r="AJ31">
        <f>IF(OR(AE31="",$B$10=0),0,SUMIFS(DATA_TRANSPORT!$S:$S,DATA_TRANSPORT!$A:$A,$B$10,DATA_TRANSPORT!$E:$E,AE31))</f>
        <v/>
      </c>
      <c r="AK31">
        <f>IF(AH31=0,"",AI31/AH31)</f>
        <v/>
      </c>
      <c r="AL31">
        <f>IF(OR(AE31="",$B$10=0),0,SUMIFS(DATA_TRANSPORT!$T:$T,DATA_TRANSPORT!$A:$A,$B$10,DATA_TRANSPORT!$E:$E,AE31))+IF(OR(AE31="",$B$10=0),0,SUMIFS(DATA_TRANSPORT_COSTS!$M:$M,DATA_TRANSPORT_COSTS!$A:$A,$B$10,DATA_TRANSPORT_COSTS!$D:$D,AE31))</f>
        <v/>
      </c>
      <c r="AM31">
        <f>IF(OR(AF31=0,AL31=0),"",AL31/AF31)</f>
        <v/>
      </c>
      <c r="AN31">
        <f>IF(OR(AE31="",$B$10=0),0,SUMIFS(DATA_TRANSPORT!$T:$T,DATA_TRANSPORT!$A:$A,$B$10,DATA_TRANSPORT!$E:$E,AE31,DATA_TRANSPORT!$C:$C,"FT Procured"))</f>
        <v/>
      </c>
      <c r="AO31">
        <f>IF(OR(AE31="",$B$10=0),0,SUMIFS(DATA_TRANSPORT_BUDGET!$G:$G,DATA_TRANSPORT_BUDGET!$A:$A,$B$10,DATA_TRANSPORT_BUDGET!$D:$D,AE31))</f>
        <v/>
      </c>
      <c r="AP31">
        <f>IF(AO31=0,"",AN31-AO31)</f>
        <v/>
      </c>
      <c r="AQ31">
        <f>IF(OR(AE31="",$B$10=0),0,COUNTIFS(DATA_TRANSPORT!$A:$A,$B$10,DATA_TRANSPORT!$E:$E,AE31,DATA_TRANSPORT!$C:$C,"FT Procured",DATA_TRANSPORT!$Z:$Z,"Y"))</f>
        <v/>
      </c>
      <c r="AR31">
        <f>IF(OR(AE31="",$B$10=0),0,SUMIFS(DATA_TRANSPORT_BUDGET!$E:$E,DATA_TRANSPORT_BUDGET!$A:$A,$B$10,DATA_TRANSPORT_BUDGET!$D:$D,AE31))</f>
        <v/>
      </c>
      <c r="AS31">
        <f>IF(OR(AE31="",$B$10=0),0,COUNTIFS(DATA_TRANSPORT!$A:$A,$B$10,DATA_TRANSPORT!$E:$E,AE31,DATA_TRANSPORT!$V:$V,"Breakdown"))</f>
        <v/>
      </c>
      <c r="AT31">
        <f>IF(IF(OR(AE31="",$B$10=0),0,SUMIFS(DATA_TRANSPORT!$L:$L,DATA_TRANSPORT!$A:$A,$B$10-7,DATA_TRANSPORT!$E:$E,AE31))=0,"",IF(OR(AE31="",$B$10=0),0,SUMIFS(DATA_TRANSPORT!$R:$R,DATA_TRANSPORT!$A:$A,$B$10-7,DATA_TRANSPORT!$E:$E,AE31))/IF(OR(AE31="",$B$10=0),0,SUMIFS(DATA_TRANSPORT!$L:$L,DATA_TRANSPORT!$A:$A,$B$10-7,DATA_TRANSPORT!$E:$E,AE31)))</f>
        <v/>
      </c>
      <c r="AU31">
        <f>IF(IF(OR(AE31="",$B$10=0),0,SUMIFS(DATA_TRANSPORT!$L:$L,DATA_TRANSPORT!$A:$A,$B$10-14,DATA_TRANSPORT!$E:$E,AE31))=0,"",IF(OR(AE31="",$B$10=0),0,SUMIFS(DATA_TRANSPORT!$R:$R,DATA_TRANSPORT!$A:$A,$B$10-14,DATA_TRANSPORT!$E:$E,AE31))/IF(OR(AE31="",$B$10=0),0,SUMIFS(DATA_TRANSPORT!$L:$L,DATA_TRANSPORT!$A:$A,$B$10-14,DATA_TRANSPORT!$E:$E,AE31)))</f>
        <v/>
      </c>
      <c r="AV31">
        <f>IF(IF(OR(AE31="",$B$10=0),0,SUMIFS(DATA_TRANSPORT!$L:$L,DATA_TRANSPORT!$A:$A,$B$10-21,DATA_TRANSPORT!$E:$E,AE31))=0,"",IF(OR(AE31="",$B$10=0),0,SUMIFS(DATA_TRANSPORT!$R:$R,DATA_TRANSPORT!$A:$A,$B$10-21,DATA_TRANSPORT!$E:$E,AE31))/IF(OR(AE31="",$B$10=0),0,SUMIFS(DATA_TRANSPORT!$L:$L,DATA_TRANSPORT!$A:$A,$B$10-21,DATA_TRANSPORT!$E:$E,AE31)))</f>
        <v/>
      </c>
      <c r="AW31">
        <f>IF(AND(ISNUMBER(AK31),AK31&lt;UtilLow),1,0)+IF(AND(ISNUMBER(AT31),AT31&lt;UtilLow),1,0)+IF(AND(ISNUMBER(AU31),AU31&lt;UtilLow),1,0)+IF(AND(ISNUMBER(AV31),AV31&lt;UtilLow),1,0)</f>
        <v/>
      </c>
      <c r="AX31">
        <f>IF(AW31&gt;=UtilLowWeeks,AE31&amp;": seats only "&amp;TEXT(AK31,"0%")&amp;" full, under "&amp;TEXT(UtilLow,"0%")&amp;" for "&amp;AW31&amp;" weeks running",IF(AND(AH31&gt;0,AJ31&gt;=AH31*ExcessShare),AE31&amp;": "&amp;TEXT(AJ31,"#,##0")&amp;" riders beyond the seats — consider more buses",IF(AND(ISNUMBER(AP31),AP31&gt;0),AE31&amp;": FT spend ₦"&amp;TEXT(AP31,"#,##0")&amp;" over the weekly budget",IF(AS31&gt;0,AE31&amp;": "&amp;AS31&amp;" coaster breakdown(s) this week",""))))</f>
        <v/>
      </c>
      <c r="AY31">
        <f>IF(ISNUMBER(AK31),AK31+ROW()/1000000000,"")</f>
        <v/>
      </c>
      <c r="AZ31">
        <f>IF(ISNUMBER(AM31),AM31+ROW()/1000000,"")</f>
        <v/>
      </c>
      <c r="BA31">
        <f>IF(AND(ISNUMBER(AP31),AP31&gt;0),AP31+ROW()/1000000,"")</f>
        <v/>
      </c>
      <c r="BB31">
        <f>IF(AF31&gt;0,AF31+ROW()/1000000,"")</f>
        <v/>
      </c>
      <c r="BC31">
        <f>IF(AX31="","",ROW())</f>
        <v/>
      </c>
      <c r="BD31">
        <f>IF(AJ31&gt;0,AJ31+ROW()/1000000,"")</f>
        <v/>
      </c>
      <c r="BQ31">
        <f>IFERROR(SMALL(DATA_TRANSPORT!$AE:$AE,29),"")</f>
        <v/>
      </c>
      <c r="BR31">
        <f>IF(BQ31="","",INDEX(DATA_TRANSPORT!$E:$E,BQ31))</f>
        <v/>
      </c>
      <c r="BS31">
        <f>IF(BQ31="","",INDEX(DATA_TRANSPORT!$C:$C,BQ31))</f>
        <v/>
      </c>
      <c r="BT31">
        <f>IF(BQ31="","",TRIM(INDEX(DATA_TRANSPORT!$G:$G,BQ31)&amp;" "&amp;IF(INDEX(DATA_TRANSPORT!$H:$H,BQ31)="","","(bus "&amp;INDEX(DATA_TRANSPORT!$H:$H,BQ31)&amp;")")))</f>
        <v/>
      </c>
      <c r="BU31">
        <f>IF(BQ31="","",IF(INDEX(DATA_TRANSPORT!$V:$V,BQ31)="Breakdown","Breakdown",IF(INDEX(DATA_TRANSPORT!$X:$X,BQ31)="","Needs more buses",INDEX(DATA_TRANSPORT!$X:$X,BQ31))))</f>
        <v/>
      </c>
      <c r="BV31">
        <f>IF(BQ31="","",INDEX(DATA_TRANSPORT!$Y:$Y,BQ31)&amp;"")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IF(B32="",0,COUNTIFS(DATA_TRANSPORT!$A:$A,B32,DATA_TRANSPORT!$E:$E,$B$6,DATA_TRANSPORT!$AD:$AD,$B$7))</f>
        <v/>
      </c>
      <c r="G32">
        <f>IF(F32=0,0,SUMIFS(DATA_TRANSPORT!$Q:$Q,DATA_TRANSPORT!$A:$A,B32,DATA_TRANSPORT!$E:$E,$B$6,DATA_TRANSPORT!$AD:$AD,$B$7))</f>
        <v/>
      </c>
      <c r="H32">
        <f>IF(F32=0,0,SUMIFS(DATA_TRANSPORT!$M:$M,DATA_TRANSPORT!$A:$A,B32,DATA_TRANSPORT!$E:$E,$B$6,DATA_TRANSPORT!$AD:$AD,$B$7))</f>
        <v/>
      </c>
      <c r="I32">
        <f>IF(F32=0,0,SUMIFS(DATA_TRANSPORT!$N:$N,DATA_TRANSPORT!$A:$A,B32,DATA_TRANSPORT!$E:$E,$B$6,DATA_TRANSPORT!$AD:$AD,$B$7))</f>
        <v/>
      </c>
      <c r="J32">
        <f>IF(F32=0,0,SUMIFS(DATA_TRANSPORT!$P:$P,DATA_TRANSPORT!$A:$A,B32,DATA_TRANSPORT!$E:$E,$B$6,DATA_TRANSPORT!$AD:$AD,$B$7))</f>
        <v/>
      </c>
      <c r="K32">
        <f>IF(F32=0,0,SUMIFS(DATA_TRANSPORT!$I:$I,DATA_TRANSPORT!$A:$A,B32,DATA_TRANSPORT!$E:$E,$B$6,DATA_TRANSPORT!$AD:$AD,$B$7))</f>
        <v/>
      </c>
      <c r="L32">
        <f>IF(F32=0,0,SUMIFS(DATA_TRANSPORT!$I:$I,DATA_TRANSPORT!$A:$A,B32,DATA_TRANSPORT!$E:$E,$B$6,DATA_TRANSPORT!$AD:$AD,$B$7,DATA_TRANSPORT!$V:$V,"Ran"))</f>
        <v/>
      </c>
      <c r="M32">
        <f>IF(F32=0,0,SUMIFS(DATA_TRANSPORT!$L:$L,DATA_TRANSPORT!$A:$A,B32,DATA_TRANSPORT!$E:$E,$B$6,DATA_TRANSPORT!$AD:$AD,$B$7))</f>
        <v/>
      </c>
      <c r="N32">
        <f>IF(F32=0,0,SUMIFS(DATA_TRANSPORT!$R:$R,DATA_TRANSPORT!$A:$A,B32,DATA_TRANSPORT!$E:$E,$B$6,DATA_TRANSPORT!$AD:$AD,$B$7))</f>
        <v/>
      </c>
      <c r="O32">
        <f>IF(F32=0,0,SUMIFS(DATA_TRANSPORT!$S:$S,DATA_TRANSPORT!$A:$A,B32,DATA_TRANSPORT!$E:$E,$B$6,DATA_TRANSPORT!$AD:$AD,$B$7))</f>
        <v/>
      </c>
      <c r="P32">
        <f>IF(F32=0,0,SUMIFS(DATA_TRANSPORT!$T:$T,DATA_TRANSPORT!$A:$A,B32,DATA_TRANSPORT!$E:$E,$B$6,DATA_TRANSPORT!$AD:$AD,$B$7))</f>
        <v/>
      </c>
      <c r="Q32">
        <f>IF(OR(B32="",$B$17),0,SUMIFS(DATA_TRANSPORT_COSTS!$M:$M,DATA_TRANSPORT_COSTS!$A:$A,B32,DATA_TRANSPORT_COSTS!$D:$D,$B$6))</f>
        <v/>
      </c>
      <c r="R32">
        <f>P32+Q32</f>
        <v/>
      </c>
      <c r="S32">
        <f>Q32+IF(F32=0,0,SUMIFS(DATA_TRANSPORT!$T:$T,DATA_TRANSPORT!$A:$A,B32,DATA_TRANSPORT!$E:$E,$B$6,DATA_TRANSPORT!$AD:$AD,$B$7,DATA_TRANSPORT!$U:$U,"Central"))</f>
        <v/>
      </c>
      <c r="T32">
        <f>IF(F32=0,0,SUMIFS(DATA_TRANSPORT!$T:$T,DATA_TRANSPORT!$A:$A,B32,DATA_TRANSPORT!$E:$E,$B$6,DATA_TRANSPORT!$AD:$AD,$B$7,DATA_TRANSPORT!$U:$U,"Members"))</f>
        <v/>
      </c>
      <c r="U32">
        <f>IF(OR(B32="",$B$17),0,SUMIFS(DATA_TRANSPORT_BUDGET!$G:$G,DATA_TRANSPORT_BUDGET!$A:$A,B32,DATA_TRANSPORT_BUDGET!$D:$D,$B$6))</f>
        <v/>
      </c>
      <c r="V32">
        <f>IF(F32=0,0,SUMIFS(DATA_TRANSPORT!$T:$T,DATA_TRANSPORT!$A:$A,B32,DATA_TRANSPORT!$E:$E,$B$6,DATA_TRANSPORT!$AD:$AD,$B$7,DATA_TRANSPORT!$C:$C,"FT Procured"))</f>
        <v/>
      </c>
      <c r="W32">
        <f>IF(F32=0,0,COUNTIFS(DATA_TRANSPORT!$A:$A,B32,DATA_TRANSPORT!$E:$E,$B$6,DATA_TRANSPORT!$AD:$AD,$B$7,DATA_TRANSPORT!$V:$V,"Breakdown"))</f>
        <v/>
      </c>
      <c r="X32">
        <f>IF(M32=0,0,N32/M32)</f>
        <v/>
      </c>
      <c r="Y32">
        <f>IF(F32&gt;0,1,0)</f>
        <v/>
      </c>
      <c r="Z32">
        <f>IF(AND(A32&gt;=1,A32&lt;=$B$11),Y32,0)</f>
        <v/>
      </c>
      <c r="AA32">
        <f>IF(AND(C32=$B$12,E32=$B$14),Y32,0)</f>
        <v/>
      </c>
      <c r="AB32">
        <f>IF(AND(D32=$B$13,E32=$B$14),Y32,0)</f>
        <v/>
      </c>
      <c r="AC32">
        <f>IF(E32=$B$14,Y32,0)</f>
        <v/>
      </c>
      <c r="AE32">
        <f>IFERROR(IF(INDEX(MASTER_AREAS!$F:$F,31)="N","",INDEX(MASTER_AREAS!$B:$B,31)&amp;""),"")</f>
        <v/>
      </c>
      <c r="AF32">
        <f>IF(OR(AE32="",$B$10=0),0,SUMIFS(DATA_TRANSPORT!$Q:$Q,DATA_TRANSPORT!$A:$A,$B$10,DATA_TRANSPORT!$E:$E,AE32))</f>
        <v/>
      </c>
      <c r="AG32">
        <f>IF(OR(AE32="",$B$10=0),0,SUMIFS(DATA_TRANSPORT!$I:$I,DATA_TRANSPORT!$A:$A,$B$10,DATA_TRANSPORT!$E:$E,AE32,DATA_TRANSPORT!$V:$V,"Ran"))</f>
        <v/>
      </c>
      <c r="AH32">
        <f>IF(OR(AE32="",$B$10=0),0,SUMIFS(DATA_TRANSPORT!$L:$L,DATA_TRANSPORT!$A:$A,$B$10,DATA_TRANSPORT!$E:$E,AE32))</f>
        <v/>
      </c>
      <c r="AI32">
        <f>IF(OR(AE32="",$B$10=0),0,SUMIFS(DATA_TRANSPORT!$R:$R,DATA_TRANSPORT!$A:$A,$B$10,DATA_TRANSPORT!$E:$E,AE32))</f>
        <v/>
      </c>
      <c r="AJ32">
        <f>IF(OR(AE32="",$B$10=0),0,SUMIFS(DATA_TRANSPORT!$S:$S,DATA_TRANSPORT!$A:$A,$B$10,DATA_TRANSPORT!$E:$E,AE32))</f>
        <v/>
      </c>
      <c r="AK32">
        <f>IF(AH32=0,"",AI32/AH32)</f>
        <v/>
      </c>
      <c r="AL32">
        <f>IF(OR(AE32="",$B$10=0),0,SUMIFS(DATA_TRANSPORT!$T:$T,DATA_TRANSPORT!$A:$A,$B$10,DATA_TRANSPORT!$E:$E,AE32))+IF(OR(AE32="",$B$10=0),0,SUMIFS(DATA_TRANSPORT_COSTS!$M:$M,DATA_TRANSPORT_COSTS!$A:$A,$B$10,DATA_TRANSPORT_COSTS!$D:$D,AE32))</f>
        <v/>
      </c>
      <c r="AM32">
        <f>IF(OR(AF32=0,AL32=0),"",AL32/AF32)</f>
        <v/>
      </c>
      <c r="AN32">
        <f>IF(OR(AE32="",$B$10=0),0,SUMIFS(DATA_TRANSPORT!$T:$T,DATA_TRANSPORT!$A:$A,$B$10,DATA_TRANSPORT!$E:$E,AE32,DATA_TRANSPORT!$C:$C,"FT Procured"))</f>
        <v/>
      </c>
      <c r="AO32">
        <f>IF(OR(AE32="",$B$10=0),0,SUMIFS(DATA_TRANSPORT_BUDGET!$G:$G,DATA_TRANSPORT_BUDGET!$A:$A,$B$10,DATA_TRANSPORT_BUDGET!$D:$D,AE32))</f>
        <v/>
      </c>
      <c r="AP32">
        <f>IF(AO32=0,"",AN32-AO32)</f>
        <v/>
      </c>
      <c r="AQ32">
        <f>IF(OR(AE32="",$B$10=0),0,COUNTIFS(DATA_TRANSPORT!$A:$A,$B$10,DATA_TRANSPORT!$E:$E,AE32,DATA_TRANSPORT!$C:$C,"FT Procured",DATA_TRANSPORT!$Z:$Z,"Y"))</f>
        <v/>
      </c>
      <c r="AR32">
        <f>IF(OR(AE32="",$B$10=0),0,SUMIFS(DATA_TRANSPORT_BUDGET!$E:$E,DATA_TRANSPORT_BUDGET!$A:$A,$B$10,DATA_TRANSPORT_BUDGET!$D:$D,AE32))</f>
        <v/>
      </c>
      <c r="AS32">
        <f>IF(OR(AE32="",$B$10=0),0,COUNTIFS(DATA_TRANSPORT!$A:$A,$B$10,DATA_TRANSPORT!$E:$E,AE32,DATA_TRANSPORT!$V:$V,"Breakdown"))</f>
        <v/>
      </c>
      <c r="AT32">
        <f>IF(IF(OR(AE32="",$B$10=0),0,SUMIFS(DATA_TRANSPORT!$L:$L,DATA_TRANSPORT!$A:$A,$B$10-7,DATA_TRANSPORT!$E:$E,AE32))=0,"",IF(OR(AE32="",$B$10=0),0,SUMIFS(DATA_TRANSPORT!$R:$R,DATA_TRANSPORT!$A:$A,$B$10-7,DATA_TRANSPORT!$E:$E,AE32))/IF(OR(AE32="",$B$10=0),0,SUMIFS(DATA_TRANSPORT!$L:$L,DATA_TRANSPORT!$A:$A,$B$10-7,DATA_TRANSPORT!$E:$E,AE32)))</f>
        <v/>
      </c>
      <c r="AU32">
        <f>IF(IF(OR(AE32="",$B$10=0),0,SUMIFS(DATA_TRANSPORT!$L:$L,DATA_TRANSPORT!$A:$A,$B$10-14,DATA_TRANSPORT!$E:$E,AE32))=0,"",IF(OR(AE32="",$B$10=0),0,SUMIFS(DATA_TRANSPORT!$R:$R,DATA_TRANSPORT!$A:$A,$B$10-14,DATA_TRANSPORT!$E:$E,AE32))/IF(OR(AE32="",$B$10=0),0,SUMIFS(DATA_TRANSPORT!$L:$L,DATA_TRANSPORT!$A:$A,$B$10-14,DATA_TRANSPORT!$E:$E,AE32)))</f>
        <v/>
      </c>
      <c r="AV32">
        <f>IF(IF(OR(AE32="",$B$10=0),0,SUMIFS(DATA_TRANSPORT!$L:$L,DATA_TRANSPORT!$A:$A,$B$10-21,DATA_TRANSPORT!$E:$E,AE32))=0,"",IF(OR(AE32="",$B$10=0),0,SUMIFS(DATA_TRANSPORT!$R:$R,DATA_TRANSPORT!$A:$A,$B$10-21,DATA_TRANSPORT!$E:$E,AE32))/IF(OR(AE32="",$B$10=0),0,SUMIFS(DATA_TRANSPORT!$L:$L,DATA_TRANSPORT!$A:$A,$B$10-21,DATA_TRANSPORT!$E:$E,AE32)))</f>
        <v/>
      </c>
      <c r="AW32">
        <f>IF(AND(ISNUMBER(AK32),AK32&lt;UtilLow),1,0)+IF(AND(ISNUMBER(AT32),AT32&lt;UtilLow),1,0)+IF(AND(ISNUMBER(AU32),AU32&lt;UtilLow),1,0)+IF(AND(ISNUMBER(AV32),AV32&lt;UtilLow),1,0)</f>
        <v/>
      </c>
      <c r="AX32">
        <f>IF(AW32&gt;=UtilLowWeeks,AE32&amp;": seats only "&amp;TEXT(AK32,"0%")&amp;" full, under "&amp;TEXT(UtilLow,"0%")&amp;" for "&amp;AW32&amp;" weeks running",IF(AND(AH32&gt;0,AJ32&gt;=AH32*ExcessShare),AE32&amp;": "&amp;TEXT(AJ32,"#,##0")&amp;" riders beyond the seats — consider more buses",IF(AND(ISNUMBER(AP32),AP32&gt;0),AE32&amp;": FT spend ₦"&amp;TEXT(AP32,"#,##0")&amp;" over the weekly budget",IF(AS32&gt;0,AE32&amp;": "&amp;AS32&amp;" coaster breakdown(s) this week",""))))</f>
        <v/>
      </c>
      <c r="AY32">
        <f>IF(ISNUMBER(AK32),AK32+ROW()/1000000000,"")</f>
        <v/>
      </c>
      <c r="AZ32">
        <f>IF(ISNUMBER(AM32),AM32+ROW()/1000000,"")</f>
        <v/>
      </c>
      <c r="BA32">
        <f>IF(AND(ISNUMBER(AP32),AP32&gt;0),AP32+ROW()/1000000,"")</f>
        <v/>
      </c>
      <c r="BB32">
        <f>IF(AF32&gt;0,AF32+ROW()/1000000,"")</f>
        <v/>
      </c>
      <c r="BC32">
        <f>IF(AX32="","",ROW())</f>
        <v/>
      </c>
      <c r="BD32">
        <f>IF(AJ32&gt;0,AJ32+ROW()/1000000,"")</f>
        <v/>
      </c>
      <c r="BQ32">
        <f>IFERROR(SMALL(DATA_TRANSPORT!$AE:$AE,30),"")</f>
        <v/>
      </c>
      <c r="BR32">
        <f>IF(BQ32="","",INDEX(DATA_TRANSPORT!$E:$E,BQ32))</f>
        <v/>
      </c>
      <c r="BS32">
        <f>IF(BQ32="","",INDEX(DATA_TRANSPORT!$C:$C,BQ32))</f>
        <v/>
      </c>
      <c r="BT32">
        <f>IF(BQ32="","",TRIM(INDEX(DATA_TRANSPORT!$G:$G,BQ32)&amp;" "&amp;IF(INDEX(DATA_TRANSPORT!$H:$H,BQ32)="","","(bus "&amp;INDEX(DATA_TRANSPORT!$H:$H,BQ32)&amp;")")))</f>
        <v/>
      </c>
      <c r="BU32">
        <f>IF(BQ32="","",IF(INDEX(DATA_TRANSPORT!$V:$V,BQ32)="Breakdown","Breakdown",IF(INDEX(DATA_TRANSPORT!$X:$X,BQ32)="","Needs more buses",INDEX(DATA_TRANSPORT!$X:$X,BQ32))))</f>
        <v/>
      </c>
      <c r="BV32">
        <f>IF(BQ32="","",INDEX(DATA_TRANSPORT!$Y:$Y,BQ32)&amp;"")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IF(B33="",0,COUNTIFS(DATA_TRANSPORT!$A:$A,B33,DATA_TRANSPORT!$E:$E,$B$6,DATA_TRANSPORT!$AD:$AD,$B$7))</f>
        <v/>
      </c>
      <c r="G33">
        <f>IF(F33=0,0,SUMIFS(DATA_TRANSPORT!$Q:$Q,DATA_TRANSPORT!$A:$A,B33,DATA_TRANSPORT!$E:$E,$B$6,DATA_TRANSPORT!$AD:$AD,$B$7))</f>
        <v/>
      </c>
      <c r="H33">
        <f>IF(F33=0,0,SUMIFS(DATA_TRANSPORT!$M:$M,DATA_TRANSPORT!$A:$A,B33,DATA_TRANSPORT!$E:$E,$B$6,DATA_TRANSPORT!$AD:$AD,$B$7))</f>
        <v/>
      </c>
      <c r="I33">
        <f>IF(F33=0,0,SUMIFS(DATA_TRANSPORT!$N:$N,DATA_TRANSPORT!$A:$A,B33,DATA_TRANSPORT!$E:$E,$B$6,DATA_TRANSPORT!$AD:$AD,$B$7))</f>
        <v/>
      </c>
      <c r="J33">
        <f>IF(F33=0,0,SUMIFS(DATA_TRANSPORT!$P:$P,DATA_TRANSPORT!$A:$A,B33,DATA_TRANSPORT!$E:$E,$B$6,DATA_TRANSPORT!$AD:$AD,$B$7))</f>
        <v/>
      </c>
      <c r="K33">
        <f>IF(F33=0,0,SUMIFS(DATA_TRANSPORT!$I:$I,DATA_TRANSPORT!$A:$A,B33,DATA_TRANSPORT!$E:$E,$B$6,DATA_TRANSPORT!$AD:$AD,$B$7))</f>
        <v/>
      </c>
      <c r="L33">
        <f>IF(F33=0,0,SUMIFS(DATA_TRANSPORT!$I:$I,DATA_TRANSPORT!$A:$A,B33,DATA_TRANSPORT!$E:$E,$B$6,DATA_TRANSPORT!$AD:$AD,$B$7,DATA_TRANSPORT!$V:$V,"Ran"))</f>
        <v/>
      </c>
      <c r="M33">
        <f>IF(F33=0,0,SUMIFS(DATA_TRANSPORT!$L:$L,DATA_TRANSPORT!$A:$A,B33,DATA_TRANSPORT!$E:$E,$B$6,DATA_TRANSPORT!$AD:$AD,$B$7))</f>
        <v/>
      </c>
      <c r="N33">
        <f>IF(F33=0,0,SUMIFS(DATA_TRANSPORT!$R:$R,DATA_TRANSPORT!$A:$A,B33,DATA_TRANSPORT!$E:$E,$B$6,DATA_TRANSPORT!$AD:$AD,$B$7))</f>
        <v/>
      </c>
      <c r="O33">
        <f>IF(F33=0,0,SUMIFS(DATA_TRANSPORT!$S:$S,DATA_TRANSPORT!$A:$A,B33,DATA_TRANSPORT!$E:$E,$B$6,DATA_TRANSPORT!$AD:$AD,$B$7))</f>
        <v/>
      </c>
      <c r="P33">
        <f>IF(F33=0,0,SUMIFS(DATA_TRANSPORT!$T:$T,DATA_TRANSPORT!$A:$A,B33,DATA_TRANSPORT!$E:$E,$B$6,DATA_TRANSPORT!$AD:$AD,$B$7))</f>
        <v/>
      </c>
      <c r="Q33">
        <f>IF(OR(B33="",$B$17),0,SUMIFS(DATA_TRANSPORT_COSTS!$M:$M,DATA_TRANSPORT_COSTS!$A:$A,B33,DATA_TRANSPORT_COSTS!$D:$D,$B$6))</f>
        <v/>
      </c>
      <c r="R33">
        <f>P33+Q33</f>
        <v/>
      </c>
      <c r="S33">
        <f>Q33+IF(F33=0,0,SUMIFS(DATA_TRANSPORT!$T:$T,DATA_TRANSPORT!$A:$A,B33,DATA_TRANSPORT!$E:$E,$B$6,DATA_TRANSPORT!$AD:$AD,$B$7,DATA_TRANSPORT!$U:$U,"Central"))</f>
        <v/>
      </c>
      <c r="T33">
        <f>IF(F33=0,0,SUMIFS(DATA_TRANSPORT!$T:$T,DATA_TRANSPORT!$A:$A,B33,DATA_TRANSPORT!$E:$E,$B$6,DATA_TRANSPORT!$AD:$AD,$B$7,DATA_TRANSPORT!$U:$U,"Members"))</f>
        <v/>
      </c>
      <c r="U33">
        <f>IF(OR(B33="",$B$17),0,SUMIFS(DATA_TRANSPORT_BUDGET!$G:$G,DATA_TRANSPORT_BUDGET!$A:$A,B33,DATA_TRANSPORT_BUDGET!$D:$D,$B$6))</f>
        <v/>
      </c>
      <c r="V33">
        <f>IF(F33=0,0,SUMIFS(DATA_TRANSPORT!$T:$T,DATA_TRANSPORT!$A:$A,B33,DATA_TRANSPORT!$E:$E,$B$6,DATA_TRANSPORT!$AD:$AD,$B$7,DATA_TRANSPORT!$C:$C,"FT Procured"))</f>
        <v/>
      </c>
      <c r="W33">
        <f>IF(F33=0,0,COUNTIFS(DATA_TRANSPORT!$A:$A,B33,DATA_TRANSPORT!$E:$E,$B$6,DATA_TRANSPORT!$AD:$AD,$B$7,DATA_TRANSPORT!$V:$V,"Breakdown"))</f>
        <v/>
      </c>
      <c r="X33">
        <f>IF(M33=0,0,N33/M33)</f>
        <v/>
      </c>
      <c r="Y33">
        <f>IF(F33&gt;0,1,0)</f>
        <v/>
      </c>
      <c r="Z33">
        <f>IF(AND(A33&gt;=1,A33&lt;=$B$11),Y33,0)</f>
        <v/>
      </c>
      <c r="AA33">
        <f>IF(AND(C33=$B$12,E33=$B$14),Y33,0)</f>
        <v/>
      </c>
      <c r="AB33">
        <f>IF(AND(D33=$B$13,E33=$B$14),Y33,0)</f>
        <v/>
      </c>
      <c r="AC33">
        <f>IF(E33=$B$14,Y33,0)</f>
        <v/>
      </c>
      <c r="AE33">
        <f>IFERROR(IF(INDEX(MASTER_AREAS!$F:$F,32)="N","",INDEX(MASTER_AREAS!$B:$B,32)&amp;""),"")</f>
        <v/>
      </c>
      <c r="AF33">
        <f>IF(OR(AE33="",$B$10=0),0,SUMIFS(DATA_TRANSPORT!$Q:$Q,DATA_TRANSPORT!$A:$A,$B$10,DATA_TRANSPORT!$E:$E,AE33))</f>
        <v/>
      </c>
      <c r="AG33">
        <f>IF(OR(AE33="",$B$10=0),0,SUMIFS(DATA_TRANSPORT!$I:$I,DATA_TRANSPORT!$A:$A,$B$10,DATA_TRANSPORT!$E:$E,AE33,DATA_TRANSPORT!$V:$V,"Ran"))</f>
        <v/>
      </c>
      <c r="AH33">
        <f>IF(OR(AE33="",$B$10=0),0,SUMIFS(DATA_TRANSPORT!$L:$L,DATA_TRANSPORT!$A:$A,$B$10,DATA_TRANSPORT!$E:$E,AE33))</f>
        <v/>
      </c>
      <c r="AI33">
        <f>IF(OR(AE33="",$B$10=0),0,SUMIFS(DATA_TRANSPORT!$R:$R,DATA_TRANSPORT!$A:$A,$B$10,DATA_TRANSPORT!$E:$E,AE33))</f>
        <v/>
      </c>
      <c r="AJ33">
        <f>IF(OR(AE33="",$B$10=0),0,SUMIFS(DATA_TRANSPORT!$S:$S,DATA_TRANSPORT!$A:$A,$B$10,DATA_TRANSPORT!$E:$E,AE33))</f>
        <v/>
      </c>
      <c r="AK33">
        <f>IF(AH33=0,"",AI33/AH33)</f>
        <v/>
      </c>
      <c r="AL33">
        <f>IF(OR(AE33="",$B$10=0),0,SUMIFS(DATA_TRANSPORT!$T:$T,DATA_TRANSPORT!$A:$A,$B$10,DATA_TRANSPORT!$E:$E,AE33))+IF(OR(AE33="",$B$10=0),0,SUMIFS(DATA_TRANSPORT_COSTS!$M:$M,DATA_TRANSPORT_COSTS!$A:$A,$B$10,DATA_TRANSPORT_COSTS!$D:$D,AE33))</f>
        <v/>
      </c>
      <c r="AM33">
        <f>IF(OR(AF33=0,AL33=0),"",AL33/AF33)</f>
        <v/>
      </c>
      <c r="AN33">
        <f>IF(OR(AE33="",$B$10=0),0,SUMIFS(DATA_TRANSPORT!$T:$T,DATA_TRANSPORT!$A:$A,$B$10,DATA_TRANSPORT!$E:$E,AE33,DATA_TRANSPORT!$C:$C,"FT Procured"))</f>
        <v/>
      </c>
      <c r="AO33">
        <f>IF(OR(AE33="",$B$10=0),0,SUMIFS(DATA_TRANSPORT_BUDGET!$G:$G,DATA_TRANSPORT_BUDGET!$A:$A,$B$10,DATA_TRANSPORT_BUDGET!$D:$D,AE33))</f>
        <v/>
      </c>
      <c r="AP33">
        <f>IF(AO33=0,"",AN33-AO33)</f>
        <v/>
      </c>
      <c r="AQ33">
        <f>IF(OR(AE33="",$B$10=0),0,COUNTIFS(DATA_TRANSPORT!$A:$A,$B$10,DATA_TRANSPORT!$E:$E,AE33,DATA_TRANSPORT!$C:$C,"FT Procured",DATA_TRANSPORT!$Z:$Z,"Y"))</f>
        <v/>
      </c>
      <c r="AR33">
        <f>IF(OR(AE33="",$B$10=0),0,SUMIFS(DATA_TRANSPORT_BUDGET!$E:$E,DATA_TRANSPORT_BUDGET!$A:$A,$B$10,DATA_TRANSPORT_BUDGET!$D:$D,AE33))</f>
        <v/>
      </c>
      <c r="AS33">
        <f>IF(OR(AE33="",$B$10=0),0,COUNTIFS(DATA_TRANSPORT!$A:$A,$B$10,DATA_TRANSPORT!$E:$E,AE33,DATA_TRANSPORT!$V:$V,"Breakdown"))</f>
        <v/>
      </c>
      <c r="AT33">
        <f>IF(IF(OR(AE33="",$B$10=0),0,SUMIFS(DATA_TRANSPORT!$L:$L,DATA_TRANSPORT!$A:$A,$B$10-7,DATA_TRANSPORT!$E:$E,AE33))=0,"",IF(OR(AE33="",$B$10=0),0,SUMIFS(DATA_TRANSPORT!$R:$R,DATA_TRANSPORT!$A:$A,$B$10-7,DATA_TRANSPORT!$E:$E,AE33))/IF(OR(AE33="",$B$10=0),0,SUMIFS(DATA_TRANSPORT!$L:$L,DATA_TRANSPORT!$A:$A,$B$10-7,DATA_TRANSPORT!$E:$E,AE33)))</f>
        <v/>
      </c>
      <c r="AU33">
        <f>IF(IF(OR(AE33="",$B$10=0),0,SUMIFS(DATA_TRANSPORT!$L:$L,DATA_TRANSPORT!$A:$A,$B$10-14,DATA_TRANSPORT!$E:$E,AE33))=0,"",IF(OR(AE33="",$B$10=0),0,SUMIFS(DATA_TRANSPORT!$R:$R,DATA_TRANSPORT!$A:$A,$B$10-14,DATA_TRANSPORT!$E:$E,AE33))/IF(OR(AE33="",$B$10=0),0,SUMIFS(DATA_TRANSPORT!$L:$L,DATA_TRANSPORT!$A:$A,$B$10-14,DATA_TRANSPORT!$E:$E,AE33)))</f>
        <v/>
      </c>
      <c r="AV33">
        <f>IF(IF(OR(AE33="",$B$10=0),0,SUMIFS(DATA_TRANSPORT!$L:$L,DATA_TRANSPORT!$A:$A,$B$10-21,DATA_TRANSPORT!$E:$E,AE33))=0,"",IF(OR(AE33="",$B$10=0),0,SUMIFS(DATA_TRANSPORT!$R:$R,DATA_TRANSPORT!$A:$A,$B$10-21,DATA_TRANSPORT!$E:$E,AE33))/IF(OR(AE33="",$B$10=0),0,SUMIFS(DATA_TRANSPORT!$L:$L,DATA_TRANSPORT!$A:$A,$B$10-21,DATA_TRANSPORT!$E:$E,AE33)))</f>
        <v/>
      </c>
      <c r="AW33">
        <f>IF(AND(ISNUMBER(AK33),AK33&lt;UtilLow),1,0)+IF(AND(ISNUMBER(AT33),AT33&lt;UtilLow),1,0)+IF(AND(ISNUMBER(AU33),AU33&lt;UtilLow),1,0)+IF(AND(ISNUMBER(AV33),AV33&lt;UtilLow),1,0)</f>
        <v/>
      </c>
      <c r="AX33">
        <f>IF(AW33&gt;=UtilLowWeeks,AE33&amp;": seats only "&amp;TEXT(AK33,"0%")&amp;" full, under "&amp;TEXT(UtilLow,"0%")&amp;" for "&amp;AW33&amp;" weeks running",IF(AND(AH33&gt;0,AJ33&gt;=AH33*ExcessShare),AE33&amp;": "&amp;TEXT(AJ33,"#,##0")&amp;" riders beyond the seats — consider more buses",IF(AND(ISNUMBER(AP33),AP33&gt;0),AE33&amp;": FT spend ₦"&amp;TEXT(AP33,"#,##0")&amp;" over the weekly budget",IF(AS33&gt;0,AE33&amp;": "&amp;AS33&amp;" coaster breakdown(s) this week",""))))</f>
        <v/>
      </c>
      <c r="AY33">
        <f>IF(ISNUMBER(AK33),AK33+ROW()/1000000000,"")</f>
        <v/>
      </c>
      <c r="AZ33">
        <f>IF(ISNUMBER(AM33),AM33+ROW()/1000000,"")</f>
        <v/>
      </c>
      <c r="BA33">
        <f>IF(AND(ISNUMBER(AP33),AP33&gt;0),AP33+ROW()/1000000,"")</f>
        <v/>
      </c>
      <c r="BB33">
        <f>IF(AF33&gt;0,AF33+ROW()/1000000,"")</f>
        <v/>
      </c>
      <c r="BC33">
        <f>IF(AX33="","",ROW())</f>
        <v/>
      </c>
      <c r="BD33">
        <f>IF(AJ33&gt;0,AJ33+ROW()/1000000,"")</f>
        <v/>
      </c>
      <c r="BQ33">
        <f>IFERROR(SMALL(DATA_TRANSPORT!$AE:$AE,31),"")</f>
        <v/>
      </c>
      <c r="BR33">
        <f>IF(BQ33="","",INDEX(DATA_TRANSPORT!$E:$E,BQ33))</f>
        <v/>
      </c>
      <c r="BS33">
        <f>IF(BQ33="","",INDEX(DATA_TRANSPORT!$C:$C,BQ33))</f>
        <v/>
      </c>
      <c r="BT33">
        <f>IF(BQ33="","",TRIM(INDEX(DATA_TRANSPORT!$G:$G,BQ33)&amp;" "&amp;IF(INDEX(DATA_TRANSPORT!$H:$H,BQ33)="","","(bus "&amp;INDEX(DATA_TRANSPORT!$H:$H,BQ33)&amp;")")))</f>
        <v/>
      </c>
      <c r="BU33">
        <f>IF(BQ33="","",IF(INDEX(DATA_TRANSPORT!$V:$V,BQ33)="Breakdown","Breakdown",IF(INDEX(DATA_TRANSPORT!$X:$X,BQ33)="","Needs more buses",INDEX(DATA_TRANSPORT!$X:$X,BQ33))))</f>
        <v/>
      </c>
      <c r="BV33">
        <f>IF(BQ33="","",INDEX(DATA_TRANSPORT!$Y:$Y,BQ33)&amp;"")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IF(B34="",0,COUNTIFS(DATA_TRANSPORT!$A:$A,B34,DATA_TRANSPORT!$E:$E,$B$6,DATA_TRANSPORT!$AD:$AD,$B$7))</f>
        <v/>
      </c>
      <c r="G34">
        <f>IF(F34=0,0,SUMIFS(DATA_TRANSPORT!$Q:$Q,DATA_TRANSPORT!$A:$A,B34,DATA_TRANSPORT!$E:$E,$B$6,DATA_TRANSPORT!$AD:$AD,$B$7))</f>
        <v/>
      </c>
      <c r="H34">
        <f>IF(F34=0,0,SUMIFS(DATA_TRANSPORT!$M:$M,DATA_TRANSPORT!$A:$A,B34,DATA_TRANSPORT!$E:$E,$B$6,DATA_TRANSPORT!$AD:$AD,$B$7))</f>
        <v/>
      </c>
      <c r="I34">
        <f>IF(F34=0,0,SUMIFS(DATA_TRANSPORT!$N:$N,DATA_TRANSPORT!$A:$A,B34,DATA_TRANSPORT!$E:$E,$B$6,DATA_TRANSPORT!$AD:$AD,$B$7))</f>
        <v/>
      </c>
      <c r="J34">
        <f>IF(F34=0,0,SUMIFS(DATA_TRANSPORT!$P:$P,DATA_TRANSPORT!$A:$A,B34,DATA_TRANSPORT!$E:$E,$B$6,DATA_TRANSPORT!$AD:$AD,$B$7))</f>
        <v/>
      </c>
      <c r="K34">
        <f>IF(F34=0,0,SUMIFS(DATA_TRANSPORT!$I:$I,DATA_TRANSPORT!$A:$A,B34,DATA_TRANSPORT!$E:$E,$B$6,DATA_TRANSPORT!$AD:$AD,$B$7))</f>
        <v/>
      </c>
      <c r="L34">
        <f>IF(F34=0,0,SUMIFS(DATA_TRANSPORT!$I:$I,DATA_TRANSPORT!$A:$A,B34,DATA_TRANSPORT!$E:$E,$B$6,DATA_TRANSPORT!$AD:$AD,$B$7,DATA_TRANSPORT!$V:$V,"Ran"))</f>
        <v/>
      </c>
      <c r="M34">
        <f>IF(F34=0,0,SUMIFS(DATA_TRANSPORT!$L:$L,DATA_TRANSPORT!$A:$A,B34,DATA_TRANSPORT!$E:$E,$B$6,DATA_TRANSPORT!$AD:$AD,$B$7))</f>
        <v/>
      </c>
      <c r="N34">
        <f>IF(F34=0,0,SUMIFS(DATA_TRANSPORT!$R:$R,DATA_TRANSPORT!$A:$A,B34,DATA_TRANSPORT!$E:$E,$B$6,DATA_TRANSPORT!$AD:$AD,$B$7))</f>
        <v/>
      </c>
      <c r="O34">
        <f>IF(F34=0,0,SUMIFS(DATA_TRANSPORT!$S:$S,DATA_TRANSPORT!$A:$A,B34,DATA_TRANSPORT!$E:$E,$B$6,DATA_TRANSPORT!$AD:$AD,$B$7))</f>
        <v/>
      </c>
      <c r="P34">
        <f>IF(F34=0,0,SUMIFS(DATA_TRANSPORT!$T:$T,DATA_TRANSPORT!$A:$A,B34,DATA_TRANSPORT!$E:$E,$B$6,DATA_TRANSPORT!$AD:$AD,$B$7))</f>
        <v/>
      </c>
      <c r="Q34">
        <f>IF(OR(B34="",$B$17),0,SUMIFS(DATA_TRANSPORT_COSTS!$M:$M,DATA_TRANSPORT_COSTS!$A:$A,B34,DATA_TRANSPORT_COSTS!$D:$D,$B$6))</f>
        <v/>
      </c>
      <c r="R34">
        <f>P34+Q34</f>
        <v/>
      </c>
      <c r="S34">
        <f>Q34+IF(F34=0,0,SUMIFS(DATA_TRANSPORT!$T:$T,DATA_TRANSPORT!$A:$A,B34,DATA_TRANSPORT!$E:$E,$B$6,DATA_TRANSPORT!$AD:$AD,$B$7,DATA_TRANSPORT!$U:$U,"Central"))</f>
        <v/>
      </c>
      <c r="T34">
        <f>IF(F34=0,0,SUMIFS(DATA_TRANSPORT!$T:$T,DATA_TRANSPORT!$A:$A,B34,DATA_TRANSPORT!$E:$E,$B$6,DATA_TRANSPORT!$AD:$AD,$B$7,DATA_TRANSPORT!$U:$U,"Members"))</f>
        <v/>
      </c>
      <c r="U34">
        <f>IF(OR(B34="",$B$17),0,SUMIFS(DATA_TRANSPORT_BUDGET!$G:$G,DATA_TRANSPORT_BUDGET!$A:$A,B34,DATA_TRANSPORT_BUDGET!$D:$D,$B$6))</f>
        <v/>
      </c>
      <c r="V34">
        <f>IF(F34=0,0,SUMIFS(DATA_TRANSPORT!$T:$T,DATA_TRANSPORT!$A:$A,B34,DATA_TRANSPORT!$E:$E,$B$6,DATA_TRANSPORT!$AD:$AD,$B$7,DATA_TRANSPORT!$C:$C,"FT Procured"))</f>
        <v/>
      </c>
      <c r="W34">
        <f>IF(F34=0,0,COUNTIFS(DATA_TRANSPORT!$A:$A,B34,DATA_TRANSPORT!$E:$E,$B$6,DATA_TRANSPORT!$AD:$AD,$B$7,DATA_TRANSPORT!$V:$V,"Breakdown"))</f>
        <v/>
      </c>
      <c r="X34">
        <f>IF(M34=0,0,N34/M34)</f>
        <v/>
      </c>
      <c r="Y34">
        <f>IF(F34&gt;0,1,0)</f>
        <v/>
      </c>
      <c r="Z34">
        <f>IF(AND(A34&gt;=1,A34&lt;=$B$11),Y34,0)</f>
        <v/>
      </c>
      <c r="AA34">
        <f>IF(AND(C34=$B$12,E34=$B$14),Y34,0)</f>
        <v/>
      </c>
      <c r="AB34">
        <f>IF(AND(D34=$B$13,E34=$B$14),Y34,0)</f>
        <v/>
      </c>
      <c r="AC34">
        <f>IF(E34=$B$14,Y34,0)</f>
        <v/>
      </c>
      <c r="AE34">
        <f>IFERROR(IF(INDEX(MASTER_AREAS!$F:$F,33)="N","",INDEX(MASTER_AREAS!$B:$B,33)&amp;""),"")</f>
        <v/>
      </c>
      <c r="AF34">
        <f>IF(OR(AE34="",$B$10=0),0,SUMIFS(DATA_TRANSPORT!$Q:$Q,DATA_TRANSPORT!$A:$A,$B$10,DATA_TRANSPORT!$E:$E,AE34))</f>
        <v/>
      </c>
      <c r="AG34">
        <f>IF(OR(AE34="",$B$10=0),0,SUMIFS(DATA_TRANSPORT!$I:$I,DATA_TRANSPORT!$A:$A,$B$10,DATA_TRANSPORT!$E:$E,AE34,DATA_TRANSPORT!$V:$V,"Ran"))</f>
        <v/>
      </c>
      <c r="AH34">
        <f>IF(OR(AE34="",$B$10=0),0,SUMIFS(DATA_TRANSPORT!$L:$L,DATA_TRANSPORT!$A:$A,$B$10,DATA_TRANSPORT!$E:$E,AE34))</f>
        <v/>
      </c>
      <c r="AI34">
        <f>IF(OR(AE34="",$B$10=0),0,SUMIFS(DATA_TRANSPORT!$R:$R,DATA_TRANSPORT!$A:$A,$B$10,DATA_TRANSPORT!$E:$E,AE34))</f>
        <v/>
      </c>
      <c r="AJ34">
        <f>IF(OR(AE34="",$B$10=0),0,SUMIFS(DATA_TRANSPORT!$S:$S,DATA_TRANSPORT!$A:$A,$B$10,DATA_TRANSPORT!$E:$E,AE34))</f>
        <v/>
      </c>
      <c r="AK34">
        <f>IF(AH34=0,"",AI34/AH34)</f>
        <v/>
      </c>
      <c r="AL34">
        <f>IF(OR(AE34="",$B$10=0),0,SUMIFS(DATA_TRANSPORT!$T:$T,DATA_TRANSPORT!$A:$A,$B$10,DATA_TRANSPORT!$E:$E,AE34))+IF(OR(AE34="",$B$10=0),0,SUMIFS(DATA_TRANSPORT_COSTS!$M:$M,DATA_TRANSPORT_COSTS!$A:$A,$B$10,DATA_TRANSPORT_COSTS!$D:$D,AE34))</f>
        <v/>
      </c>
      <c r="AM34">
        <f>IF(OR(AF34=0,AL34=0),"",AL34/AF34)</f>
        <v/>
      </c>
      <c r="AN34">
        <f>IF(OR(AE34="",$B$10=0),0,SUMIFS(DATA_TRANSPORT!$T:$T,DATA_TRANSPORT!$A:$A,$B$10,DATA_TRANSPORT!$E:$E,AE34,DATA_TRANSPORT!$C:$C,"FT Procured"))</f>
        <v/>
      </c>
      <c r="AO34">
        <f>IF(OR(AE34="",$B$10=0),0,SUMIFS(DATA_TRANSPORT_BUDGET!$G:$G,DATA_TRANSPORT_BUDGET!$A:$A,$B$10,DATA_TRANSPORT_BUDGET!$D:$D,AE34))</f>
        <v/>
      </c>
      <c r="AP34">
        <f>IF(AO34=0,"",AN34-AO34)</f>
        <v/>
      </c>
      <c r="AQ34">
        <f>IF(OR(AE34="",$B$10=0),0,COUNTIFS(DATA_TRANSPORT!$A:$A,$B$10,DATA_TRANSPORT!$E:$E,AE34,DATA_TRANSPORT!$C:$C,"FT Procured",DATA_TRANSPORT!$Z:$Z,"Y"))</f>
        <v/>
      </c>
      <c r="AR34">
        <f>IF(OR(AE34="",$B$10=0),0,SUMIFS(DATA_TRANSPORT_BUDGET!$E:$E,DATA_TRANSPORT_BUDGET!$A:$A,$B$10,DATA_TRANSPORT_BUDGET!$D:$D,AE34))</f>
        <v/>
      </c>
      <c r="AS34">
        <f>IF(OR(AE34="",$B$10=0),0,COUNTIFS(DATA_TRANSPORT!$A:$A,$B$10,DATA_TRANSPORT!$E:$E,AE34,DATA_TRANSPORT!$V:$V,"Breakdown"))</f>
        <v/>
      </c>
      <c r="AT34">
        <f>IF(IF(OR(AE34="",$B$10=0),0,SUMIFS(DATA_TRANSPORT!$L:$L,DATA_TRANSPORT!$A:$A,$B$10-7,DATA_TRANSPORT!$E:$E,AE34))=0,"",IF(OR(AE34="",$B$10=0),0,SUMIFS(DATA_TRANSPORT!$R:$R,DATA_TRANSPORT!$A:$A,$B$10-7,DATA_TRANSPORT!$E:$E,AE34))/IF(OR(AE34="",$B$10=0),0,SUMIFS(DATA_TRANSPORT!$L:$L,DATA_TRANSPORT!$A:$A,$B$10-7,DATA_TRANSPORT!$E:$E,AE34)))</f>
        <v/>
      </c>
      <c r="AU34">
        <f>IF(IF(OR(AE34="",$B$10=0),0,SUMIFS(DATA_TRANSPORT!$L:$L,DATA_TRANSPORT!$A:$A,$B$10-14,DATA_TRANSPORT!$E:$E,AE34))=0,"",IF(OR(AE34="",$B$10=0),0,SUMIFS(DATA_TRANSPORT!$R:$R,DATA_TRANSPORT!$A:$A,$B$10-14,DATA_TRANSPORT!$E:$E,AE34))/IF(OR(AE34="",$B$10=0),0,SUMIFS(DATA_TRANSPORT!$L:$L,DATA_TRANSPORT!$A:$A,$B$10-14,DATA_TRANSPORT!$E:$E,AE34)))</f>
        <v/>
      </c>
      <c r="AV34">
        <f>IF(IF(OR(AE34="",$B$10=0),0,SUMIFS(DATA_TRANSPORT!$L:$L,DATA_TRANSPORT!$A:$A,$B$10-21,DATA_TRANSPORT!$E:$E,AE34))=0,"",IF(OR(AE34="",$B$10=0),0,SUMIFS(DATA_TRANSPORT!$R:$R,DATA_TRANSPORT!$A:$A,$B$10-21,DATA_TRANSPORT!$E:$E,AE34))/IF(OR(AE34="",$B$10=0),0,SUMIFS(DATA_TRANSPORT!$L:$L,DATA_TRANSPORT!$A:$A,$B$10-21,DATA_TRANSPORT!$E:$E,AE34)))</f>
        <v/>
      </c>
      <c r="AW34">
        <f>IF(AND(ISNUMBER(AK34),AK34&lt;UtilLow),1,0)+IF(AND(ISNUMBER(AT34),AT34&lt;UtilLow),1,0)+IF(AND(ISNUMBER(AU34),AU34&lt;UtilLow),1,0)+IF(AND(ISNUMBER(AV34),AV34&lt;UtilLow),1,0)</f>
        <v/>
      </c>
      <c r="AX34">
        <f>IF(AW34&gt;=UtilLowWeeks,AE34&amp;": seats only "&amp;TEXT(AK34,"0%")&amp;" full, under "&amp;TEXT(UtilLow,"0%")&amp;" for "&amp;AW34&amp;" weeks running",IF(AND(AH34&gt;0,AJ34&gt;=AH34*ExcessShare),AE34&amp;": "&amp;TEXT(AJ34,"#,##0")&amp;" riders beyond the seats — consider more buses",IF(AND(ISNUMBER(AP34),AP34&gt;0),AE34&amp;": FT spend ₦"&amp;TEXT(AP34,"#,##0")&amp;" over the weekly budget",IF(AS34&gt;0,AE34&amp;": "&amp;AS34&amp;" coaster breakdown(s) this week",""))))</f>
        <v/>
      </c>
      <c r="AY34">
        <f>IF(ISNUMBER(AK34),AK34+ROW()/1000000000,"")</f>
        <v/>
      </c>
      <c r="AZ34">
        <f>IF(ISNUMBER(AM34),AM34+ROW()/1000000,"")</f>
        <v/>
      </c>
      <c r="BA34">
        <f>IF(AND(ISNUMBER(AP34),AP34&gt;0),AP34+ROW()/1000000,"")</f>
        <v/>
      </c>
      <c r="BB34">
        <f>IF(AF34&gt;0,AF34+ROW()/1000000,"")</f>
        <v/>
      </c>
      <c r="BC34">
        <f>IF(AX34="","",ROW())</f>
        <v/>
      </c>
      <c r="BD34">
        <f>IF(AJ34&gt;0,AJ34+ROW()/1000000,"")</f>
        <v/>
      </c>
      <c r="BQ34">
        <f>IFERROR(SMALL(DATA_TRANSPORT!$AE:$AE,32),"")</f>
        <v/>
      </c>
      <c r="BR34">
        <f>IF(BQ34="","",INDEX(DATA_TRANSPORT!$E:$E,BQ34))</f>
        <v/>
      </c>
      <c r="BS34">
        <f>IF(BQ34="","",INDEX(DATA_TRANSPORT!$C:$C,BQ34))</f>
        <v/>
      </c>
      <c r="BT34">
        <f>IF(BQ34="","",TRIM(INDEX(DATA_TRANSPORT!$G:$G,BQ34)&amp;" "&amp;IF(INDEX(DATA_TRANSPORT!$H:$H,BQ34)="","","(bus "&amp;INDEX(DATA_TRANSPORT!$H:$H,BQ34)&amp;")")))</f>
        <v/>
      </c>
      <c r="BU34">
        <f>IF(BQ34="","",IF(INDEX(DATA_TRANSPORT!$V:$V,BQ34)="Breakdown","Breakdown",IF(INDEX(DATA_TRANSPORT!$X:$X,BQ34)="","Needs more buses",INDEX(DATA_TRANSPORT!$X:$X,BQ34))))</f>
        <v/>
      </c>
      <c r="BV34">
        <f>IF(BQ34="","",INDEX(DATA_TRANSPORT!$Y:$Y,BQ34)&amp;"")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IF(B35="",0,COUNTIFS(DATA_TRANSPORT!$A:$A,B35,DATA_TRANSPORT!$E:$E,$B$6,DATA_TRANSPORT!$AD:$AD,$B$7))</f>
        <v/>
      </c>
      <c r="G35">
        <f>IF(F35=0,0,SUMIFS(DATA_TRANSPORT!$Q:$Q,DATA_TRANSPORT!$A:$A,B35,DATA_TRANSPORT!$E:$E,$B$6,DATA_TRANSPORT!$AD:$AD,$B$7))</f>
        <v/>
      </c>
      <c r="H35">
        <f>IF(F35=0,0,SUMIFS(DATA_TRANSPORT!$M:$M,DATA_TRANSPORT!$A:$A,B35,DATA_TRANSPORT!$E:$E,$B$6,DATA_TRANSPORT!$AD:$AD,$B$7))</f>
        <v/>
      </c>
      <c r="I35">
        <f>IF(F35=0,0,SUMIFS(DATA_TRANSPORT!$N:$N,DATA_TRANSPORT!$A:$A,B35,DATA_TRANSPORT!$E:$E,$B$6,DATA_TRANSPORT!$AD:$AD,$B$7))</f>
        <v/>
      </c>
      <c r="J35">
        <f>IF(F35=0,0,SUMIFS(DATA_TRANSPORT!$P:$P,DATA_TRANSPORT!$A:$A,B35,DATA_TRANSPORT!$E:$E,$B$6,DATA_TRANSPORT!$AD:$AD,$B$7))</f>
        <v/>
      </c>
      <c r="K35">
        <f>IF(F35=0,0,SUMIFS(DATA_TRANSPORT!$I:$I,DATA_TRANSPORT!$A:$A,B35,DATA_TRANSPORT!$E:$E,$B$6,DATA_TRANSPORT!$AD:$AD,$B$7))</f>
        <v/>
      </c>
      <c r="L35">
        <f>IF(F35=0,0,SUMIFS(DATA_TRANSPORT!$I:$I,DATA_TRANSPORT!$A:$A,B35,DATA_TRANSPORT!$E:$E,$B$6,DATA_TRANSPORT!$AD:$AD,$B$7,DATA_TRANSPORT!$V:$V,"Ran"))</f>
        <v/>
      </c>
      <c r="M35">
        <f>IF(F35=0,0,SUMIFS(DATA_TRANSPORT!$L:$L,DATA_TRANSPORT!$A:$A,B35,DATA_TRANSPORT!$E:$E,$B$6,DATA_TRANSPORT!$AD:$AD,$B$7))</f>
        <v/>
      </c>
      <c r="N35">
        <f>IF(F35=0,0,SUMIFS(DATA_TRANSPORT!$R:$R,DATA_TRANSPORT!$A:$A,B35,DATA_TRANSPORT!$E:$E,$B$6,DATA_TRANSPORT!$AD:$AD,$B$7))</f>
        <v/>
      </c>
      <c r="O35">
        <f>IF(F35=0,0,SUMIFS(DATA_TRANSPORT!$S:$S,DATA_TRANSPORT!$A:$A,B35,DATA_TRANSPORT!$E:$E,$B$6,DATA_TRANSPORT!$AD:$AD,$B$7))</f>
        <v/>
      </c>
      <c r="P35">
        <f>IF(F35=0,0,SUMIFS(DATA_TRANSPORT!$T:$T,DATA_TRANSPORT!$A:$A,B35,DATA_TRANSPORT!$E:$E,$B$6,DATA_TRANSPORT!$AD:$AD,$B$7))</f>
        <v/>
      </c>
      <c r="Q35">
        <f>IF(OR(B35="",$B$17),0,SUMIFS(DATA_TRANSPORT_COSTS!$M:$M,DATA_TRANSPORT_COSTS!$A:$A,B35,DATA_TRANSPORT_COSTS!$D:$D,$B$6))</f>
        <v/>
      </c>
      <c r="R35">
        <f>P35+Q35</f>
        <v/>
      </c>
      <c r="S35">
        <f>Q35+IF(F35=0,0,SUMIFS(DATA_TRANSPORT!$T:$T,DATA_TRANSPORT!$A:$A,B35,DATA_TRANSPORT!$E:$E,$B$6,DATA_TRANSPORT!$AD:$AD,$B$7,DATA_TRANSPORT!$U:$U,"Central"))</f>
        <v/>
      </c>
      <c r="T35">
        <f>IF(F35=0,0,SUMIFS(DATA_TRANSPORT!$T:$T,DATA_TRANSPORT!$A:$A,B35,DATA_TRANSPORT!$E:$E,$B$6,DATA_TRANSPORT!$AD:$AD,$B$7,DATA_TRANSPORT!$U:$U,"Members"))</f>
        <v/>
      </c>
      <c r="U35">
        <f>IF(OR(B35="",$B$17),0,SUMIFS(DATA_TRANSPORT_BUDGET!$G:$G,DATA_TRANSPORT_BUDGET!$A:$A,B35,DATA_TRANSPORT_BUDGET!$D:$D,$B$6))</f>
        <v/>
      </c>
      <c r="V35">
        <f>IF(F35=0,0,SUMIFS(DATA_TRANSPORT!$T:$T,DATA_TRANSPORT!$A:$A,B35,DATA_TRANSPORT!$E:$E,$B$6,DATA_TRANSPORT!$AD:$AD,$B$7,DATA_TRANSPORT!$C:$C,"FT Procured"))</f>
        <v/>
      </c>
      <c r="W35">
        <f>IF(F35=0,0,COUNTIFS(DATA_TRANSPORT!$A:$A,B35,DATA_TRANSPORT!$E:$E,$B$6,DATA_TRANSPORT!$AD:$AD,$B$7,DATA_TRANSPORT!$V:$V,"Breakdown"))</f>
        <v/>
      </c>
      <c r="X35">
        <f>IF(M35=0,0,N35/M35)</f>
        <v/>
      </c>
      <c r="Y35">
        <f>IF(F35&gt;0,1,0)</f>
        <v/>
      </c>
      <c r="Z35">
        <f>IF(AND(A35&gt;=1,A35&lt;=$B$11),Y35,0)</f>
        <v/>
      </c>
      <c r="AA35">
        <f>IF(AND(C35=$B$12,E35=$B$14),Y35,0)</f>
        <v/>
      </c>
      <c r="AB35">
        <f>IF(AND(D35=$B$13,E35=$B$14),Y35,0)</f>
        <v/>
      </c>
      <c r="AC35">
        <f>IF(E35=$B$14,Y35,0)</f>
        <v/>
      </c>
      <c r="AE35">
        <f>IFERROR(IF(INDEX(MASTER_AREAS!$F:$F,34)="N","",INDEX(MASTER_AREAS!$B:$B,34)&amp;""),"")</f>
        <v/>
      </c>
      <c r="AF35">
        <f>IF(OR(AE35="",$B$10=0),0,SUMIFS(DATA_TRANSPORT!$Q:$Q,DATA_TRANSPORT!$A:$A,$B$10,DATA_TRANSPORT!$E:$E,AE35))</f>
        <v/>
      </c>
      <c r="AG35">
        <f>IF(OR(AE35="",$B$10=0),0,SUMIFS(DATA_TRANSPORT!$I:$I,DATA_TRANSPORT!$A:$A,$B$10,DATA_TRANSPORT!$E:$E,AE35,DATA_TRANSPORT!$V:$V,"Ran"))</f>
        <v/>
      </c>
      <c r="AH35">
        <f>IF(OR(AE35="",$B$10=0),0,SUMIFS(DATA_TRANSPORT!$L:$L,DATA_TRANSPORT!$A:$A,$B$10,DATA_TRANSPORT!$E:$E,AE35))</f>
        <v/>
      </c>
      <c r="AI35">
        <f>IF(OR(AE35="",$B$10=0),0,SUMIFS(DATA_TRANSPORT!$R:$R,DATA_TRANSPORT!$A:$A,$B$10,DATA_TRANSPORT!$E:$E,AE35))</f>
        <v/>
      </c>
      <c r="AJ35">
        <f>IF(OR(AE35="",$B$10=0),0,SUMIFS(DATA_TRANSPORT!$S:$S,DATA_TRANSPORT!$A:$A,$B$10,DATA_TRANSPORT!$E:$E,AE35))</f>
        <v/>
      </c>
      <c r="AK35">
        <f>IF(AH35=0,"",AI35/AH35)</f>
        <v/>
      </c>
      <c r="AL35">
        <f>IF(OR(AE35="",$B$10=0),0,SUMIFS(DATA_TRANSPORT!$T:$T,DATA_TRANSPORT!$A:$A,$B$10,DATA_TRANSPORT!$E:$E,AE35))+IF(OR(AE35="",$B$10=0),0,SUMIFS(DATA_TRANSPORT_COSTS!$M:$M,DATA_TRANSPORT_COSTS!$A:$A,$B$10,DATA_TRANSPORT_COSTS!$D:$D,AE35))</f>
        <v/>
      </c>
      <c r="AM35">
        <f>IF(OR(AF35=0,AL35=0),"",AL35/AF35)</f>
        <v/>
      </c>
      <c r="AN35">
        <f>IF(OR(AE35="",$B$10=0),0,SUMIFS(DATA_TRANSPORT!$T:$T,DATA_TRANSPORT!$A:$A,$B$10,DATA_TRANSPORT!$E:$E,AE35,DATA_TRANSPORT!$C:$C,"FT Procured"))</f>
        <v/>
      </c>
      <c r="AO35">
        <f>IF(OR(AE35="",$B$10=0),0,SUMIFS(DATA_TRANSPORT_BUDGET!$G:$G,DATA_TRANSPORT_BUDGET!$A:$A,$B$10,DATA_TRANSPORT_BUDGET!$D:$D,AE35))</f>
        <v/>
      </c>
      <c r="AP35">
        <f>IF(AO35=0,"",AN35-AO35)</f>
        <v/>
      </c>
      <c r="AQ35">
        <f>IF(OR(AE35="",$B$10=0),0,COUNTIFS(DATA_TRANSPORT!$A:$A,$B$10,DATA_TRANSPORT!$E:$E,AE35,DATA_TRANSPORT!$C:$C,"FT Procured",DATA_TRANSPORT!$Z:$Z,"Y"))</f>
        <v/>
      </c>
      <c r="AR35">
        <f>IF(OR(AE35="",$B$10=0),0,SUMIFS(DATA_TRANSPORT_BUDGET!$E:$E,DATA_TRANSPORT_BUDGET!$A:$A,$B$10,DATA_TRANSPORT_BUDGET!$D:$D,AE35))</f>
        <v/>
      </c>
      <c r="AS35">
        <f>IF(OR(AE35="",$B$10=0),0,COUNTIFS(DATA_TRANSPORT!$A:$A,$B$10,DATA_TRANSPORT!$E:$E,AE35,DATA_TRANSPORT!$V:$V,"Breakdown"))</f>
        <v/>
      </c>
      <c r="AT35">
        <f>IF(IF(OR(AE35="",$B$10=0),0,SUMIFS(DATA_TRANSPORT!$L:$L,DATA_TRANSPORT!$A:$A,$B$10-7,DATA_TRANSPORT!$E:$E,AE35))=0,"",IF(OR(AE35="",$B$10=0),0,SUMIFS(DATA_TRANSPORT!$R:$R,DATA_TRANSPORT!$A:$A,$B$10-7,DATA_TRANSPORT!$E:$E,AE35))/IF(OR(AE35="",$B$10=0),0,SUMIFS(DATA_TRANSPORT!$L:$L,DATA_TRANSPORT!$A:$A,$B$10-7,DATA_TRANSPORT!$E:$E,AE35)))</f>
        <v/>
      </c>
      <c r="AU35">
        <f>IF(IF(OR(AE35="",$B$10=0),0,SUMIFS(DATA_TRANSPORT!$L:$L,DATA_TRANSPORT!$A:$A,$B$10-14,DATA_TRANSPORT!$E:$E,AE35))=0,"",IF(OR(AE35="",$B$10=0),0,SUMIFS(DATA_TRANSPORT!$R:$R,DATA_TRANSPORT!$A:$A,$B$10-14,DATA_TRANSPORT!$E:$E,AE35))/IF(OR(AE35="",$B$10=0),0,SUMIFS(DATA_TRANSPORT!$L:$L,DATA_TRANSPORT!$A:$A,$B$10-14,DATA_TRANSPORT!$E:$E,AE35)))</f>
        <v/>
      </c>
      <c r="AV35">
        <f>IF(IF(OR(AE35="",$B$10=0),0,SUMIFS(DATA_TRANSPORT!$L:$L,DATA_TRANSPORT!$A:$A,$B$10-21,DATA_TRANSPORT!$E:$E,AE35))=0,"",IF(OR(AE35="",$B$10=0),0,SUMIFS(DATA_TRANSPORT!$R:$R,DATA_TRANSPORT!$A:$A,$B$10-21,DATA_TRANSPORT!$E:$E,AE35))/IF(OR(AE35="",$B$10=0),0,SUMIFS(DATA_TRANSPORT!$L:$L,DATA_TRANSPORT!$A:$A,$B$10-21,DATA_TRANSPORT!$E:$E,AE35)))</f>
        <v/>
      </c>
      <c r="AW35">
        <f>IF(AND(ISNUMBER(AK35),AK35&lt;UtilLow),1,0)+IF(AND(ISNUMBER(AT35),AT35&lt;UtilLow),1,0)+IF(AND(ISNUMBER(AU35),AU35&lt;UtilLow),1,0)+IF(AND(ISNUMBER(AV35),AV35&lt;UtilLow),1,0)</f>
        <v/>
      </c>
      <c r="AX35">
        <f>IF(AW35&gt;=UtilLowWeeks,AE35&amp;": seats only "&amp;TEXT(AK35,"0%")&amp;" full, under "&amp;TEXT(UtilLow,"0%")&amp;" for "&amp;AW35&amp;" weeks running",IF(AND(AH35&gt;0,AJ35&gt;=AH35*ExcessShare),AE35&amp;": "&amp;TEXT(AJ35,"#,##0")&amp;" riders beyond the seats — consider more buses",IF(AND(ISNUMBER(AP35),AP35&gt;0),AE35&amp;": FT spend ₦"&amp;TEXT(AP35,"#,##0")&amp;" over the weekly budget",IF(AS35&gt;0,AE35&amp;": "&amp;AS35&amp;" coaster breakdown(s) this week",""))))</f>
        <v/>
      </c>
      <c r="AY35">
        <f>IF(ISNUMBER(AK35),AK35+ROW()/1000000000,"")</f>
        <v/>
      </c>
      <c r="AZ35">
        <f>IF(ISNUMBER(AM35),AM35+ROW()/1000000,"")</f>
        <v/>
      </c>
      <c r="BA35">
        <f>IF(AND(ISNUMBER(AP35),AP35&gt;0),AP35+ROW()/1000000,"")</f>
        <v/>
      </c>
      <c r="BB35">
        <f>IF(AF35&gt;0,AF35+ROW()/1000000,"")</f>
        <v/>
      </c>
      <c r="BC35">
        <f>IF(AX35="","",ROW())</f>
        <v/>
      </c>
      <c r="BD35">
        <f>IF(AJ35&gt;0,AJ35+ROW()/1000000,"")</f>
        <v/>
      </c>
      <c r="BQ35">
        <f>IFERROR(SMALL(DATA_TRANSPORT!$AE:$AE,33),"")</f>
        <v/>
      </c>
      <c r="BR35">
        <f>IF(BQ35="","",INDEX(DATA_TRANSPORT!$E:$E,BQ35))</f>
        <v/>
      </c>
      <c r="BS35">
        <f>IF(BQ35="","",INDEX(DATA_TRANSPORT!$C:$C,BQ35))</f>
        <v/>
      </c>
      <c r="BT35">
        <f>IF(BQ35="","",TRIM(INDEX(DATA_TRANSPORT!$G:$G,BQ35)&amp;" "&amp;IF(INDEX(DATA_TRANSPORT!$H:$H,BQ35)="","","(bus "&amp;INDEX(DATA_TRANSPORT!$H:$H,BQ35)&amp;")")))</f>
        <v/>
      </c>
      <c r="BU35">
        <f>IF(BQ35="","",IF(INDEX(DATA_TRANSPORT!$V:$V,BQ35)="Breakdown","Breakdown",IF(INDEX(DATA_TRANSPORT!$X:$X,BQ35)="","Needs more buses",INDEX(DATA_TRANSPORT!$X:$X,BQ35))))</f>
        <v/>
      </c>
      <c r="BV35">
        <f>IF(BQ35="","",INDEX(DATA_TRANSPORT!$Y:$Y,BQ35)&amp;"")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IF(B36="",0,COUNTIFS(DATA_TRANSPORT!$A:$A,B36,DATA_TRANSPORT!$E:$E,$B$6,DATA_TRANSPORT!$AD:$AD,$B$7))</f>
        <v/>
      </c>
      <c r="G36">
        <f>IF(F36=0,0,SUMIFS(DATA_TRANSPORT!$Q:$Q,DATA_TRANSPORT!$A:$A,B36,DATA_TRANSPORT!$E:$E,$B$6,DATA_TRANSPORT!$AD:$AD,$B$7))</f>
        <v/>
      </c>
      <c r="H36">
        <f>IF(F36=0,0,SUMIFS(DATA_TRANSPORT!$M:$M,DATA_TRANSPORT!$A:$A,B36,DATA_TRANSPORT!$E:$E,$B$6,DATA_TRANSPORT!$AD:$AD,$B$7))</f>
        <v/>
      </c>
      <c r="I36">
        <f>IF(F36=0,0,SUMIFS(DATA_TRANSPORT!$N:$N,DATA_TRANSPORT!$A:$A,B36,DATA_TRANSPORT!$E:$E,$B$6,DATA_TRANSPORT!$AD:$AD,$B$7))</f>
        <v/>
      </c>
      <c r="J36">
        <f>IF(F36=0,0,SUMIFS(DATA_TRANSPORT!$P:$P,DATA_TRANSPORT!$A:$A,B36,DATA_TRANSPORT!$E:$E,$B$6,DATA_TRANSPORT!$AD:$AD,$B$7))</f>
        <v/>
      </c>
      <c r="K36">
        <f>IF(F36=0,0,SUMIFS(DATA_TRANSPORT!$I:$I,DATA_TRANSPORT!$A:$A,B36,DATA_TRANSPORT!$E:$E,$B$6,DATA_TRANSPORT!$AD:$AD,$B$7))</f>
        <v/>
      </c>
      <c r="L36">
        <f>IF(F36=0,0,SUMIFS(DATA_TRANSPORT!$I:$I,DATA_TRANSPORT!$A:$A,B36,DATA_TRANSPORT!$E:$E,$B$6,DATA_TRANSPORT!$AD:$AD,$B$7,DATA_TRANSPORT!$V:$V,"Ran"))</f>
        <v/>
      </c>
      <c r="M36">
        <f>IF(F36=0,0,SUMIFS(DATA_TRANSPORT!$L:$L,DATA_TRANSPORT!$A:$A,B36,DATA_TRANSPORT!$E:$E,$B$6,DATA_TRANSPORT!$AD:$AD,$B$7))</f>
        <v/>
      </c>
      <c r="N36">
        <f>IF(F36=0,0,SUMIFS(DATA_TRANSPORT!$R:$R,DATA_TRANSPORT!$A:$A,B36,DATA_TRANSPORT!$E:$E,$B$6,DATA_TRANSPORT!$AD:$AD,$B$7))</f>
        <v/>
      </c>
      <c r="O36">
        <f>IF(F36=0,0,SUMIFS(DATA_TRANSPORT!$S:$S,DATA_TRANSPORT!$A:$A,B36,DATA_TRANSPORT!$E:$E,$B$6,DATA_TRANSPORT!$AD:$AD,$B$7))</f>
        <v/>
      </c>
      <c r="P36">
        <f>IF(F36=0,0,SUMIFS(DATA_TRANSPORT!$T:$T,DATA_TRANSPORT!$A:$A,B36,DATA_TRANSPORT!$E:$E,$B$6,DATA_TRANSPORT!$AD:$AD,$B$7))</f>
        <v/>
      </c>
      <c r="Q36">
        <f>IF(OR(B36="",$B$17),0,SUMIFS(DATA_TRANSPORT_COSTS!$M:$M,DATA_TRANSPORT_COSTS!$A:$A,B36,DATA_TRANSPORT_COSTS!$D:$D,$B$6))</f>
        <v/>
      </c>
      <c r="R36">
        <f>P36+Q36</f>
        <v/>
      </c>
      <c r="S36">
        <f>Q36+IF(F36=0,0,SUMIFS(DATA_TRANSPORT!$T:$T,DATA_TRANSPORT!$A:$A,B36,DATA_TRANSPORT!$E:$E,$B$6,DATA_TRANSPORT!$AD:$AD,$B$7,DATA_TRANSPORT!$U:$U,"Central"))</f>
        <v/>
      </c>
      <c r="T36">
        <f>IF(F36=0,0,SUMIFS(DATA_TRANSPORT!$T:$T,DATA_TRANSPORT!$A:$A,B36,DATA_TRANSPORT!$E:$E,$B$6,DATA_TRANSPORT!$AD:$AD,$B$7,DATA_TRANSPORT!$U:$U,"Members"))</f>
        <v/>
      </c>
      <c r="U36">
        <f>IF(OR(B36="",$B$17),0,SUMIFS(DATA_TRANSPORT_BUDGET!$G:$G,DATA_TRANSPORT_BUDGET!$A:$A,B36,DATA_TRANSPORT_BUDGET!$D:$D,$B$6))</f>
        <v/>
      </c>
      <c r="V36">
        <f>IF(F36=0,0,SUMIFS(DATA_TRANSPORT!$T:$T,DATA_TRANSPORT!$A:$A,B36,DATA_TRANSPORT!$E:$E,$B$6,DATA_TRANSPORT!$AD:$AD,$B$7,DATA_TRANSPORT!$C:$C,"FT Procured"))</f>
        <v/>
      </c>
      <c r="W36">
        <f>IF(F36=0,0,COUNTIFS(DATA_TRANSPORT!$A:$A,B36,DATA_TRANSPORT!$E:$E,$B$6,DATA_TRANSPORT!$AD:$AD,$B$7,DATA_TRANSPORT!$V:$V,"Breakdown"))</f>
        <v/>
      </c>
      <c r="X36">
        <f>IF(M36=0,0,N36/M36)</f>
        <v/>
      </c>
      <c r="Y36">
        <f>IF(F36&gt;0,1,0)</f>
        <v/>
      </c>
      <c r="Z36">
        <f>IF(AND(A36&gt;=1,A36&lt;=$B$11),Y36,0)</f>
        <v/>
      </c>
      <c r="AA36">
        <f>IF(AND(C36=$B$12,E36=$B$14),Y36,0)</f>
        <v/>
      </c>
      <c r="AB36">
        <f>IF(AND(D36=$B$13,E36=$B$14),Y36,0)</f>
        <v/>
      </c>
      <c r="AC36">
        <f>IF(E36=$B$14,Y36,0)</f>
        <v/>
      </c>
      <c r="AE36">
        <f>IFERROR(IF(INDEX(MASTER_AREAS!$F:$F,35)="N","",INDEX(MASTER_AREAS!$B:$B,35)&amp;""),"")</f>
        <v/>
      </c>
      <c r="AF36">
        <f>IF(OR(AE36="",$B$10=0),0,SUMIFS(DATA_TRANSPORT!$Q:$Q,DATA_TRANSPORT!$A:$A,$B$10,DATA_TRANSPORT!$E:$E,AE36))</f>
        <v/>
      </c>
      <c r="AG36">
        <f>IF(OR(AE36="",$B$10=0),0,SUMIFS(DATA_TRANSPORT!$I:$I,DATA_TRANSPORT!$A:$A,$B$10,DATA_TRANSPORT!$E:$E,AE36,DATA_TRANSPORT!$V:$V,"Ran"))</f>
        <v/>
      </c>
      <c r="AH36">
        <f>IF(OR(AE36="",$B$10=0),0,SUMIFS(DATA_TRANSPORT!$L:$L,DATA_TRANSPORT!$A:$A,$B$10,DATA_TRANSPORT!$E:$E,AE36))</f>
        <v/>
      </c>
      <c r="AI36">
        <f>IF(OR(AE36="",$B$10=0),0,SUMIFS(DATA_TRANSPORT!$R:$R,DATA_TRANSPORT!$A:$A,$B$10,DATA_TRANSPORT!$E:$E,AE36))</f>
        <v/>
      </c>
      <c r="AJ36">
        <f>IF(OR(AE36="",$B$10=0),0,SUMIFS(DATA_TRANSPORT!$S:$S,DATA_TRANSPORT!$A:$A,$B$10,DATA_TRANSPORT!$E:$E,AE36))</f>
        <v/>
      </c>
      <c r="AK36">
        <f>IF(AH36=0,"",AI36/AH36)</f>
        <v/>
      </c>
      <c r="AL36">
        <f>IF(OR(AE36="",$B$10=0),0,SUMIFS(DATA_TRANSPORT!$T:$T,DATA_TRANSPORT!$A:$A,$B$10,DATA_TRANSPORT!$E:$E,AE36))+IF(OR(AE36="",$B$10=0),0,SUMIFS(DATA_TRANSPORT_COSTS!$M:$M,DATA_TRANSPORT_COSTS!$A:$A,$B$10,DATA_TRANSPORT_COSTS!$D:$D,AE36))</f>
        <v/>
      </c>
      <c r="AM36">
        <f>IF(OR(AF36=0,AL36=0),"",AL36/AF36)</f>
        <v/>
      </c>
      <c r="AN36">
        <f>IF(OR(AE36="",$B$10=0),0,SUMIFS(DATA_TRANSPORT!$T:$T,DATA_TRANSPORT!$A:$A,$B$10,DATA_TRANSPORT!$E:$E,AE36,DATA_TRANSPORT!$C:$C,"FT Procured"))</f>
        <v/>
      </c>
      <c r="AO36">
        <f>IF(OR(AE36="",$B$10=0),0,SUMIFS(DATA_TRANSPORT_BUDGET!$G:$G,DATA_TRANSPORT_BUDGET!$A:$A,$B$10,DATA_TRANSPORT_BUDGET!$D:$D,AE36))</f>
        <v/>
      </c>
      <c r="AP36">
        <f>IF(AO36=0,"",AN36-AO36)</f>
        <v/>
      </c>
      <c r="AQ36">
        <f>IF(OR(AE36="",$B$10=0),0,COUNTIFS(DATA_TRANSPORT!$A:$A,$B$10,DATA_TRANSPORT!$E:$E,AE36,DATA_TRANSPORT!$C:$C,"FT Procured",DATA_TRANSPORT!$Z:$Z,"Y"))</f>
        <v/>
      </c>
      <c r="AR36">
        <f>IF(OR(AE36="",$B$10=0),0,SUMIFS(DATA_TRANSPORT_BUDGET!$E:$E,DATA_TRANSPORT_BUDGET!$A:$A,$B$10,DATA_TRANSPORT_BUDGET!$D:$D,AE36))</f>
        <v/>
      </c>
      <c r="AS36">
        <f>IF(OR(AE36="",$B$10=0),0,COUNTIFS(DATA_TRANSPORT!$A:$A,$B$10,DATA_TRANSPORT!$E:$E,AE36,DATA_TRANSPORT!$V:$V,"Breakdown"))</f>
        <v/>
      </c>
      <c r="AT36">
        <f>IF(IF(OR(AE36="",$B$10=0),0,SUMIFS(DATA_TRANSPORT!$L:$L,DATA_TRANSPORT!$A:$A,$B$10-7,DATA_TRANSPORT!$E:$E,AE36))=0,"",IF(OR(AE36="",$B$10=0),0,SUMIFS(DATA_TRANSPORT!$R:$R,DATA_TRANSPORT!$A:$A,$B$10-7,DATA_TRANSPORT!$E:$E,AE36))/IF(OR(AE36="",$B$10=0),0,SUMIFS(DATA_TRANSPORT!$L:$L,DATA_TRANSPORT!$A:$A,$B$10-7,DATA_TRANSPORT!$E:$E,AE36)))</f>
        <v/>
      </c>
      <c r="AU36">
        <f>IF(IF(OR(AE36="",$B$10=0),0,SUMIFS(DATA_TRANSPORT!$L:$L,DATA_TRANSPORT!$A:$A,$B$10-14,DATA_TRANSPORT!$E:$E,AE36))=0,"",IF(OR(AE36="",$B$10=0),0,SUMIFS(DATA_TRANSPORT!$R:$R,DATA_TRANSPORT!$A:$A,$B$10-14,DATA_TRANSPORT!$E:$E,AE36))/IF(OR(AE36="",$B$10=0),0,SUMIFS(DATA_TRANSPORT!$L:$L,DATA_TRANSPORT!$A:$A,$B$10-14,DATA_TRANSPORT!$E:$E,AE36)))</f>
        <v/>
      </c>
      <c r="AV36">
        <f>IF(IF(OR(AE36="",$B$10=0),0,SUMIFS(DATA_TRANSPORT!$L:$L,DATA_TRANSPORT!$A:$A,$B$10-21,DATA_TRANSPORT!$E:$E,AE36))=0,"",IF(OR(AE36="",$B$10=0),0,SUMIFS(DATA_TRANSPORT!$R:$R,DATA_TRANSPORT!$A:$A,$B$10-21,DATA_TRANSPORT!$E:$E,AE36))/IF(OR(AE36="",$B$10=0),0,SUMIFS(DATA_TRANSPORT!$L:$L,DATA_TRANSPORT!$A:$A,$B$10-21,DATA_TRANSPORT!$E:$E,AE36)))</f>
        <v/>
      </c>
      <c r="AW36">
        <f>IF(AND(ISNUMBER(AK36),AK36&lt;UtilLow),1,0)+IF(AND(ISNUMBER(AT36),AT36&lt;UtilLow),1,0)+IF(AND(ISNUMBER(AU36),AU36&lt;UtilLow),1,0)+IF(AND(ISNUMBER(AV36),AV36&lt;UtilLow),1,0)</f>
        <v/>
      </c>
      <c r="AX36">
        <f>IF(AW36&gt;=UtilLowWeeks,AE36&amp;": seats only "&amp;TEXT(AK36,"0%")&amp;" full, under "&amp;TEXT(UtilLow,"0%")&amp;" for "&amp;AW36&amp;" weeks running",IF(AND(AH36&gt;0,AJ36&gt;=AH36*ExcessShare),AE36&amp;": "&amp;TEXT(AJ36,"#,##0")&amp;" riders beyond the seats — consider more buses",IF(AND(ISNUMBER(AP36),AP36&gt;0),AE36&amp;": FT spend ₦"&amp;TEXT(AP36,"#,##0")&amp;" over the weekly budget",IF(AS36&gt;0,AE36&amp;": "&amp;AS36&amp;" coaster breakdown(s) this week",""))))</f>
        <v/>
      </c>
      <c r="AY36">
        <f>IF(ISNUMBER(AK36),AK36+ROW()/1000000000,"")</f>
        <v/>
      </c>
      <c r="AZ36">
        <f>IF(ISNUMBER(AM36),AM36+ROW()/1000000,"")</f>
        <v/>
      </c>
      <c r="BA36">
        <f>IF(AND(ISNUMBER(AP36),AP36&gt;0),AP36+ROW()/1000000,"")</f>
        <v/>
      </c>
      <c r="BB36">
        <f>IF(AF36&gt;0,AF36+ROW()/1000000,"")</f>
        <v/>
      </c>
      <c r="BC36">
        <f>IF(AX36="","",ROW())</f>
        <v/>
      </c>
      <c r="BD36">
        <f>IF(AJ36&gt;0,AJ36+ROW()/1000000,"")</f>
        <v/>
      </c>
      <c r="BQ36">
        <f>IFERROR(SMALL(DATA_TRANSPORT!$AE:$AE,34),"")</f>
        <v/>
      </c>
      <c r="BR36">
        <f>IF(BQ36="","",INDEX(DATA_TRANSPORT!$E:$E,BQ36))</f>
        <v/>
      </c>
      <c r="BS36">
        <f>IF(BQ36="","",INDEX(DATA_TRANSPORT!$C:$C,BQ36))</f>
        <v/>
      </c>
      <c r="BT36">
        <f>IF(BQ36="","",TRIM(INDEX(DATA_TRANSPORT!$G:$G,BQ36)&amp;" "&amp;IF(INDEX(DATA_TRANSPORT!$H:$H,BQ36)="","","(bus "&amp;INDEX(DATA_TRANSPORT!$H:$H,BQ36)&amp;")")))</f>
        <v/>
      </c>
      <c r="BU36">
        <f>IF(BQ36="","",IF(INDEX(DATA_TRANSPORT!$V:$V,BQ36)="Breakdown","Breakdown",IF(INDEX(DATA_TRANSPORT!$X:$X,BQ36)="","Needs more buses",INDEX(DATA_TRANSPORT!$X:$X,BQ36))))</f>
        <v/>
      </c>
      <c r="BV36">
        <f>IF(BQ36="","",INDEX(DATA_TRANSPORT!$Y:$Y,BQ36)&amp;"")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IF(B37="",0,COUNTIFS(DATA_TRANSPORT!$A:$A,B37,DATA_TRANSPORT!$E:$E,$B$6,DATA_TRANSPORT!$AD:$AD,$B$7))</f>
        <v/>
      </c>
      <c r="G37">
        <f>IF(F37=0,0,SUMIFS(DATA_TRANSPORT!$Q:$Q,DATA_TRANSPORT!$A:$A,B37,DATA_TRANSPORT!$E:$E,$B$6,DATA_TRANSPORT!$AD:$AD,$B$7))</f>
        <v/>
      </c>
      <c r="H37">
        <f>IF(F37=0,0,SUMIFS(DATA_TRANSPORT!$M:$M,DATA_TRANSPORT!$A:$A,B37,DATA_TRANSPORT!$E:$E,$B$6,DATA_TRANSPORT!$AD:$AD,$B$7))</f>
        <v/>
      </c>
      <c r="I37">
        <f>IF(F37=0,0,SUMIFS(DATA_TRANSPORT!$N:$N,DATA_TRANSPORT!$A:$A,B37,DATA_TRANSPORT!$E:$E,$B$6,DATA_TRANSPORT!$AD:$AD,$B$7))</f>
        <v/>
      </c>
      <c r="J37">
        <f>IF(F37=0,0,SUMIFS(DATA_TRANSPORT!$P:$P,DATA_TRANSPORT!$A:$A,B37,DATA_TRANSPORT!$E:$E,$B$6,DATA_TRANSPORT!$AD:$AD,$B$7))</f>
        <v/>
      </c>
      <c r="K37">
        <f>IF(F37=0,0,SUMIFS(DATA_TRANSPORT!$I:$I,DATA_TRANSPORT!$A:$A,B37,DATA_TRANSPORT!$E:$E,$B$6,DATA_TRANSPORT!$AD:$AD,$B$7))</f>
        <v/>
      </c>
      <c r="L37">
        <f>IF(F37=0,0,SUMIFS(DATA_TRANSPORT!$I:$I,DATA_TRANSPORT!$A:$A,B37,DATA_TRANSPORT!$E:$E,$B$6,DATA_TRANSPORT!$AD:$AD,$B$7,DATA_TRANSPORT!$V:$V,"Ran"))</f>
        <v/>
      </c>
      <c r="M37">
        <f>IF(F37=0,0,SUMIFS(DATA_TRANSPORT!$L:$L,DATA_TRANSPORT!$A:$A,B37,DATA_TRANSPORT!$E:$E,$B$6,DATA_TRANSPORT!$AD:$AD,$B$7))</f>
        <v/>
      </c>
      <c r="N37">
        <f>IF(F37=0,0,SUMIFS(DATA_TRANSPORT!$R:$R,DATA_TRANSPORT!$A:$A,B37,DATA_TRANSPORT!$E:$E,$B$6,DATA_TRANSPORT!$AD:$AD,$B$7))</f>
        <v/>
      </c>
      <c r="O37">
        <f>IF(F37=0,0,SUMIFS(DATA_TRANSPORT!$S:$S,DATA_TRANSPORT!$A:$A,B37,DATA_TRANSPORT!$E:$E,$B$6,DATA_TRANSPORT!$AD:$AD,$B$7))</f>
        <v/>
      </c>
      <c r="P37">
        <f>IF(F37=0,0,SUMIFS(DATA_TRANSPORT!$T:$T,DATA_TRANSPORT!$A:$A,B37,DATA_TRANSPORT!$E:$E,$B$6,DATA_TRANSPORT!$AD:$AD,$B$7))</f>
        <v/>
      </c>
      <c r="Q37">
        <f>IF(OR(B37="",$B$17),0,SUMIFS(DATA_TRANSPORT_COSTS!$M:$M,DATA_TRANSPORT_COSTS!$A:$A,B37,DATA_TRANSPORT_COSTS!$D:$D,$B$6))</f>
        <v/>
      </c>
      <c r="R37">
        <f>P37+Q37</f>
        <v/>
      </c>
      <c r="S37">
        <f>Q37+IF(F37=0,0,SUMIFS(DATA_TRANSPORT!$T:$T,DATA_TRANSPORT!$A:$A,B37,DATA_TRANSPORT!$E:$E,$B$6,DATA_TRANSPORT!$AD:$AD,$B$7,DATA_TRANSPORT!$U:$U,"Central"))</f>
        <v/>
      </c>
      <c r="T37">
        <f>IF(F37=0,0,SUMIFS(DATA_TRANSPORT!$T:$T,DATA_TRANSPORT!$A:$A,B37,DATA_TRANSPORT!$E:$E,$B$6,DATA_TRANSPORT!$AD:$AD,$B$7,DATA_TRANSPORT!$U:$U,"Members"))</f>
        <v/>
      </c>
      <c r="U37">
        <f>IF(OR(B37="",$B$17),0,SUMIFS(DATA_TRANSPORT_BUDGET!$G:$G,DATA_TRANSPORT_BUDGET!$A:$A,B37,DATA_TRANSPORT_BUDGET!$D:$D,$B$6))</f>
        <v/>
      </c>
      <c r="V37">
        <f>IF(F37=0,0,SUMIFS(DATA_TRANSPORT!$T:$T,DATA_TRANSPORT!$A:$A,B37,DATA_TRANSPORT!$E:$E,$B$6,DATA_TRANSPORT!$AD:$AD,$B$7,DATA_TRANSPORT!$C:$C,"FT Procured"))</f>
        <v/>
      </c>
      <c r="W37">
        <f>IF(F37=0,0,COUNTIFS(DATA_TRANSPORT!$A:$A,B37,DATA_TRANSPORT!$E:$E,$B$6,DATA_TRANSPORT!$AD:$AD,$B$7,DATA_TRANSPORT!$V:$V,"Breakdown"))</f>
        <v/>
      </c>
      <c r="X37">
        <f>IF(M37=0,0,N37/M37)</f>
        <v/>
      </c>
      <c r="Y37">
        <f>IF(F37&gt;0,1,0)</f>
        <v/>
      </c>
      <c r="Z37">
        <f>IF(AND(A37&gt;=1,A37&lt;=$B$11),Y37,0)</f>
        <v/>
      </c>
      <c r="AA37">
        <f>IF(AND(C37=$B$12,E37=$B$14),Y37,0)</f>
        <v/>
      </c>
      <c r="AB37">
        <f>IF(AND(D37=$B$13,E37=$B$14),Y37,0)</f>
        <v/>
      </c>
      <c r="AC37">
        <f>IF(E37=$B$14,Y37,0)</f>
        <v/>
      </c>
      <c r="AE37">
        <f>IFERROR(IF(INDEX(MASTER_AREAS!$F:$F,36)="N","",INDEX(MASTER_AREAS!$B:$B,36)&amp;""),"")</f>
        <v/>
      </c>
      <c r="AF37">
        <f>IF(OR(AE37="",$B$10=0),0,SUMIFS(DATA_TRANSPORT!$Q:$Q,DATA_TRANSPORT!$A:$A,$B$10,DATA_TRANSPORT!$E:$E,AE37))</f>
        <v/>
      </c>
      <c r="AG37">
        <f>IF(OR(AE37="",$B$10=0),0,SUMIFS(DATA_TRANSPORT!$I:$I,DATA_TRANSPORT!$A:$A,$B$10,DATA_TRANSPORT!$E:$E,AE37,DATA_TRANSPORT!$V:$V,"Ran"))</f>
        <v/>
      </c>
      <c r="AH37">
        <f>IF(OR(AE37="",$B$10=0),0,SUMIFS(DATA_TRANSPORT!$L:$L,DATA_TRANSPORT!$A:$A,$B$10,DATA_TRANSPORT!$E:$E,AE37))</f>
        <v/>
      </c>
      <c r="AI37">
        <f>IF(OR(AE37="",$B$10=0),0,SUMIFS(DATA_TRANSPORT!$R:$R,DATA_TRANSPORT!$A:$A,$B$10,DATA_TRANSPORT!$E:$E,AE37))</f>
        <v/>
      </c>
      <c r="AJ37">
        <f>IF(OR(AE37="",$B$10=0),0,SUMIFS(DATA_TRANSPORT!$S:$S,DATA_TRANSPORT!$A:$A,$B$10,DATA_TRANSPORT!$E:$E,AE37))</f>
        <v/>
      </c>
      <c r="AK37">
        <f>IF(AH37=0,"",AI37/AH37)</f>
        <v/>
      </c>
      <c r="AL37">
        <f>IF(OR(AE37="",$B$10=0),0,SUMIFS(DATA_TRANSPORT!$T:$T,DATA_TRANSPORT!$A:$A,$B$10,DATA_TRANSPORT!$E:$E,AE37))+IF(OR(AE37="",$B$10=0),0,SUMIFS(DATA_TRANSPORT_COSTS!$M:$M,DATA_TRANSPORT_COSTS!$A:$A,$B$10,DATA_TRANSPORT_COSTS!$D:$D,AE37))</f>
        <v/>
      </c>
      <c r="AM37">
        <f>IF(OR(AF37=0,AL37=0),"",AL37/AF37)</f>
        <v/>
      </c>
      <c r="AN37">
        <f>IF(OR(AE37="",$B$10=0),0,SUMIFS(DATA_TRANSPORT!$T:$T,DATA_TRANSPORT!$A:$A,$B$10,DATA_TRANSPORT!$E:$E,AE37,DATA_TRANSPORT!$C:$C,"FT Procured"))</f>
        <v/>
      </c>
      <c r="AO37">
        <f>IF(OR(AE37="",$B$10=0),0,SUMIFS(DATA_TRANSPORT_BUDGET!$G:$G,DATA_TRANSPORT_BUDGET!$A:$A,$B$10,DATA_TRANSPORT_BUDGET!$D:$D,AE37))</f>
        <v/>
      </c>
      <c r="AP37">
        <f>IF(AO37=0,"",AN37-AO37)</f>
        <v/>
      </c>
      <c r="AQ37">
        <f>IF(OR(AE37="",$B$10=0),0,COUNTIFS(DATA_TRANSPORT!$A:$A,$B$10,DATA_TRANSPORT!$E:$E,AE37,DATA_TRANSPORT!$C:$C,"FT Procured",DATA_TRANSPORT!$Z:$Z,"Y"))</f>
        <v/>
      </c>
      <c r="AR37">
        <f>IF(OR(AE37="",$B$10=0),0,SUMIFS(DATA_TRANSPORT_BUDGET!$E:$E,DATA_TRANSPORT_BUDGET!$A:$A,$B$10,DATA_TRANSPORT_BUDGET!$D:$D,AE37))</f>
        <v/>
      </c>
      <c r="AS37">
        <f>IF(OR(AE37="",$B$10=0),0,COUNTIFS(DATA_TRANSPORT!$A:$A,$B$10,DATA_TRANSPORT!$E:$E,AE37,DATA_TRANSPORT!$V:$V,"Breakdown"))</f>
        <v/>
      </c>
      <c r="AT37">
        <f>IF(IF(OR(AE37="",$B$10=0),0,SUMIFS(DATA_TRANSPORT!$L:$L,DATA_TRANSPORT!$A:$A,$B$10-7,DATA_TRANSPORT!$E:$E,AE37))=0,"",IF(OR(AE37="",$B$10=0),0,SUMIFS(DATA_TRANSPORT!$R:$R,DATA_TRANSPORT!$A:$A,$B$10-7,DATA_TRANSPORT!$E:$E,AE37))/IF(OR(AE37="",$B$10=0),0,SUMIFS(DATA_TRANSPORT!$L:$L,DATA_TRANSPORT!$A:$A,$B$10-7,DATA_TRANSPORT!$E:$E,AE37)))</f>
        <v/>
      </c>
      <c r="AU37">
        <f>IF(IF(OR(AE37="",$B$10=0),0,SUMIFS(DATA_TRANSPORT!$L:$L,DATA_TRANSPORT!$A:$A,$B$10-14,DATA_TRANSPORT!$E:$E,AE37))=0,"",IF(OR(AE37="",$B$10=0),0,SUMIFS(DATA_TRANSPORT!$R:$R,DATA_TRANSPORT!$A:$A,$B$10-14,DATA_TRANSPORT!$E:$E,AE37))/IF(OR(AE37="",$B$10=0),0,SUMIFS(DATA_TRANSPORT!$L:$L,DATA_TRANSPORT!$A:$A,$B$10-14,DATA_TRANSPORT!$E:$E,AE37)))</f>
        <v/>
      </c>
      <c r="AV37">
        <f>IF(IF(OR(AE37="",$B$10=0),0,SUMIFS(DATA_TRANSPORT!$L:$L,DATA_TRANSPORT!$A:$A,$B$10-21,DATA_TRANSPORT!$E:$E,AE37))=0,"",IF(OR(AE37="",$B$10=0),0,SUMIFS(DATA_TRANSPORT!$R:$R,DATA_TRANSPORT!$A:$A,$B$10-21,DATA_TRANSPORT!$E:$E,AE37))/IF(OR(AE37="",$B$10=0),0,SUMIFS(DATA_TRANSPORT!$L:$L,DATA_TRANSPORT!$A:$A,$B$10-21,DATA_TRANSPORT!$E:$E,AE37)))</f>
        <v/>
      </c>
      <c r="AW37">
        <f>IF(AND(ISNUMBER(AK37),AK37&lt;UtilLow),1,0)+IF(AND(ISNUMBER(AT37),AT37&lt;UtilLow),1,0)+IF(AND(ISNUMBER(AU37),AU37&lt;UtilLow),1,0)+IF(AND(ISNUMBER(AV37),AV37&lt;UtilLow),1,0)</f>
        <v/>
      </c>
      <c r="AX37">
        <f>IF(AW37&gt;=UtilLowWeeks,AE37&amp;": seats only "&amp;TEXT(AK37,"0%")&amp;" full, under "&amp;TEXT(UtilLow,"0%")&amp;" for "&amp;AW37&amp;" weeks running",IF(AND(AH37&gt;0,AJ37&gt;=AH37*ExcessShare),AE37&amp;": "&amp;TEXT(AJ37,"#,##0")&amp;" riders beyond the seats — consider more buses",IF(AND(ISNUMBER(AP37),AP37&gt;0),AE37&amp;": FT spend ₦"&amp;TEXT(AP37,"#,##0")&amp;" over the weekly budget",IF(AS37&gt;0,AE37&amp;": "&amp;AS37&amp;" coaster breakdown(s) this week",""))))</f>
        <v/>
      </c>
      <c r="AY37">
        <f>IF(ISNUMBER(AK37),AK37+ROW()/1000000000,"")</f>
        <v/>
      </c>
      <c r="AZ37">
        <f>IF(ISNUMBER(AM37),AM37+ROW()/1000000,"")</f>
        <v/>
      </c>
      <c r="BA37">
        <f>IF(AND(ISNUMBER(AP37),AP37&gt;0),AP37+ROW()/1000000,"")</f>
        <v/>
      </c>
      <c r="BB37">
        <f>IF(AF37&gt;0,AF37+ROW()/1000000,"")</f>
        <v/>
      </c>
      <c r="BC37">
        <f>IF(AX37="","",ROW())</f>
        <v/>
      </c>
      <c r="BD37">
        <f>IF(AJ37&gt;0,AJ37+ROW()/1000000,"")</f>
        <v/>
      </c>
      <c r="BQ37">
        <f>IFERROR(SMALL(DATA_TRANSPORT!$AE:$AE,35),"")</f>
        <v/>
      </c>
      <c r="BR37">
        <f>IF(BQ37="","",INDEX(DATA_TRANSPORT!$E:$E,BQ37))</f>
        <v/>
      </c>
      <c r="BS37">
        <f>IF(BQ37="","",INDEX(DATA_TRANSPORT!$C:$C,BQ37))</f>
        <v/>
      </c>
      <c r="BT37">
        <f>IF(BQ37="","",TRIM(INDEX(DATA_TRANSPORT!$G:$G,BQ37)&amp;" "&amp;IF(INDEX(DATA_TRANSPORT!$H:$H,BQ37)="","","(bus "&amp;INDEX(DATA_TRANSPORT!$H:$H,BQ37)&amp;")")))</f>
        <v/>
      </c>
      <c r="BU37">
        <f>IF(BQ37="","",IF(INDEX(DATA_TRANSPORT!$V:$V,BQ37)="Breakdown","Breakdown",IF(INDEX(DATA_TRANSPORT!$X:$X,BQ37)="","Needs more buses",INDEX(DATA_TRANSPORT!$X:$X,BQ37))))</f>
        <v/>
      </c>
      <c r="BV37">
        <f>IF(BQ37="","",INDEX(DATA_TRANSPORT!$Y:$Y,BQ37)&amp;"")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IF(B38="",0,COUNTIFS(DATA_TRANSPORT!$A:$A,B38,DATA_TRANSPORT!$E:$E,$B$6,DATA_TRANSPORT!$AD:$AD,$B$7))</f>
        <v/>
      </c>
      <c r="G38">
        <f>IF(F38=0,0,SUMIFS(DATA_TRANSPORT!$Q:$Q,DATA_TRANSPORT!$A:$A,B38,DATA_TRANSPORT!$E:$E,$B$6,DATA_TRANSPORT!$AD:$AD,$B$7))</f>
        <v/>
      </c>
      <c r="H38">
        <f>IF(F38=0,0,SUMIFS(DATA_TRANSPORT!$M:$M,DATA_TRANSPORT!$A:$A,B38,DATA_TRANSPORT!$E:$E,$B$6,DATA_TRANSPORT!$AD:$AD,$B$7))</f>
        <v/>
      </c>
      <c r="I38">
        <f>IF(F38=0,0,SUMIFS(DATA_TRANSPORT!$N:$N,DATA_TRANSPORT!$A:$A,B38,DATA_TRANSPORT!$E:$E,$B$6,DATA_TRANSPORT!$AD:$AD,$B$7))</f>
        <v/>
      </c>
      <c r="J38">
        <f>IF(F38=0,0,SUMIFS(DATA_TRANSPORT!$P:$P,DATA_TRANSPORT!$A:$A,B38,DATA_TRANSPORT!$E:$E,$B$6,DATA_TRANSPORT!$AD:$AD,$B$7))</f>
        <v/>
      </c>
      <c r="K38">
        <f>IF(F38=0,0,SUMIFS(DATA_TRANSPORT!$I:$I,DATA_TRANSPORT!$A:$A,B38,DATA_TRANSPORT!$E:$E,$B$6,DATA_TRANSPORT!$AD:$AD,$B$7))</f>
        <v/>
      </c>
      <c r="L38">
        <f>IF(F38=0,0,SUMIFS(DATA_TRANSPORT!$I:$I,DATA_TRANSPORT!$A:$A,B38,DATA_TRANSPORT!$E:$E,$B$6,DATA_TRANSPORT!$AD:$AD,$B$7,DATA_TRANSPORT!$V:$V,"Ran"))</f>
        <v/>
      </c>
      <c r="M38">
        <f>IF(F38=0,0,SUMIFS(DATA_TRANSPORT!$L:$L,DATA_TRANSPORT!$A:$A,B38,DATA_TRANSPORT!$E:$E,$B$6,DATA_TRANSPORT!$AD:$AD,$B$7))</f>
        <v/>
      </c>
      <c r="N38">
        <f>IF(F38=0,0,SUMIFS(DATA_TRANSPORT!$R:$R,DATA_TRANSPORT!$A:$A,B38,DATA_TRANSPORT!$E:$E,$B$6,DATA_TRANSPORT!$AD:$AD,$B$7))</f>
        <v/>
      </c>
      <c r="O38">
        <f>IF(F38=0,0,SUMIFS(DATA_TRANSPORT!$S:$S,DATA_TRANSPORT!$A:$A,B38,DATA_TRANSPORT!$E:$E,$B$6,DATA_TRANSPORT!$AD:$AD,$B$7))</f>
        <v/>
      </c>
      <c r="P38">
        <f>IF(F38=0,0,SUMIFS(DATA_TRANSPORT!$T:$T,DATA_TRANSPORT!$A:$A,B38,DATA_TRANSPORT!$E:$E,$B$6,DATA_TRANSPORT!$AD:$AD,$B$7))</f>
        <v/>
      </c>
      <c r="Q38">
        <f>IF(OR(B38="",$B$17),0,SUMIFS(DATA_TRANSPORT_COSTS!$M:$M,DATA_TRANSPORT_COSTS!$A:$A,B38,DATA_TRANSPORT_COSTS!$D:$D,$B$6))</f>
        <v/>
      </c>
      <c r="R38">
        <f>P38+Q38</f>
        <v/>
      </c>
      <c r="S38">
        <f>Q38+IF(F38=0,0,SUMIFS(DATA_TRANSPORT!$T:$T,DATA_TRANSPORT!$A:$A,B38,DATA_TRANSPORT!$E:$E,$B$6,DATA_TRANSPORT!$AD:$AD,$B$7,DATA_TRANSPORT!$U:$U,"Central"))</f>
        <v/>
      </c>
      <c r="T38">
        <f>IF(F38=0,0,SUMIFS(DATA_TRANSPORT!$T:$T,DATA_TRANSPORT!$A:$A,B38,DATA_TRANSPORT!$E:$E,$B$6,DATA_TRANSPORT!$AD:$AD,$B$7,DATA_TRANSPORT!$U:$U,"Members"))</f>
        <v/>
      </c>
      <c r="U38">
        <f>IF(OR(B38="",$B$17),0,SUMIFS(DATA_TRANSPORT_BUDGET!$G:$G,DATA_TRANSPORT_BUDGET!$A:$A,B38,DATA_TRANSPORT_BUDGET!$D:$D,$B$6))</f>
        <v/>
      </c>
      <c r="V38">
        <f>IF(F38=0,0,SUMIFS(DATA_TRANSPORT!$T:$T,DATA_TRANSPORT!$A:$A,B38,DATA_TRANSPORT!$E:$E,$B$6,DATA_TRANSPORT!$AD:$AD,$B$7,DATA_TRANSPORT!$C:$C,"FT Procured"))</f>
        <v/>
      </c>
      <c r="W38">
        <f>IF(F38=0,0,COUNTIFS(DATA_TRANSPORT!$A:$A,B38,DATA_TRANSPORT!$E:$E,$B$6,DATA_TRANSPORT!$AD:$AD,$B$7,DATA_TRANSPORT!$V:$V,"Breakdown"))</f>
        <v/>
      </c>
      <c r="X38">
        <f>IF(M38=0,0,N38/M38)</f>
        <v/>
      </c>
      <c r="Y38">
        <f>IF(F38&gt;0,1,0)</f>
        <v/>
      </c>
      <c r="Z38">
        <f>IF(AND(A38&gt;=1,A38&lt;=$B$11),Y38,0)</f>
        <v/>
      </c>
      <c r="AA38">
        <f>IF(AND(C38=$B$12,E38=$B$14),Y38,0)</f>
        <v/>
      </c>
      <c r="AB38">
        <f>IF(AND(D38=$B$13,E38=$B$14),Y38,0)</f>
        <v/>
      </c>
      <c r="AC38">
        <f>IF(E38=$B$14,Y38,0)</f>
        <v/>
      </c>
      <c r="AE38">
        <f>IFERROR(IF(INDEX(MASTER_AREAS!$F:$F,37)="N","",INDEX(MASTER_AREAS!$B:$B,37)&amp;""),"")</f>
        <v/>
      </c>
      <c r="AF38">
        <f>IF(OR(AE38="",$B$10=0),0,SUMIFS(DATA_TRANSPORT!$Q:$Q,DATA_TRANSPORT!$A:$A,$B$10,DATA_TRANSPORT!$E:$E,AE38))</f>
        <v/>
      </c>
      <c r="AG38">
        <f>IF(OR(AE38="",$B$10=0),0,SUMIFS(DATA_TRANSPORT!$I:$I,DATA_TRANSPORT!$A:$A,$B$10,DATA_TRANSPORT!$E:$E,AE38,DATA_TRANSPORT!$V:$V,"Ran"))</f>
        <v/>
      </c>
      <c r="AH38">
        <f>IF(OR(AE38="",$B$10=0),0,SUMIFS(DATA_TRANSPORT!$L:$L,DATA_TRANSPORT!$A:$A,$B$10,DATA_TRANSPORT!$E:$E,AE38))</f>
        <v/>
      </c>
      <c r="AI38">
        <f>IF(OR(AE38="",$B$10=0),0,SUMIFS(DATA_TRANSPORT!$R:$R,DATA_TRANSPORT!$A:$A,$B$10,DATA_TRANSPORT!$E:$E,AE38))</f>
        <v/>
      </c>
      <c r="AJ38">
        <f>IF(OR(AE38="",$B$10=0),0,SUMIFS(DATA_TRANSPORT!$S:$S,DATA_TRANSPORT!$A:$A,$B$10,DATA_TRANSPORT!$E:$E,AE38))</f>
        <v/>
      </c>
      <c r="AK38">
        <f>IF(AH38=0,"",AI38/AH38)</f>
        <v/>
      </c>
      <c r="AL38">
        <f>IF(OR(AE38="",$B$10=0),0,SUMIFS(DATA_TRANSPORT!$T:$T,DATA_TRANSPORT!$A:$A,$B$10,DATA_TRANSPORT!$E:$E,AE38))+IF(OR(AE38="",$B$10=0),0,SUMIFS(DATA_TRANSPORT_COSTS!$M:$M,DATA_TRANSPORT_COSTS!$A:$A,$B$10,DATA_TRANSPORT_COSTS!$D:$D,AE38))</f>
        <v/>
      </c>
      <c r="AM38">
        <f>IF(OR(AF38=0,AL38=0),"",AL38/AF38)</f>
        <v/>
      </c>
      <c r="AN38">
        <f>IF(OR(AE38="",$B$10=0),0,SUMIFS(DATA_TRANSPORT!$T:$T,DATA_TRANSPORT!$A:$A,$B$10,DATA_TRANSPORT!$E:$E,AE38,DATA_TRANSPORT!$C:$C,"FT Procured"))</f>
        <v/>
      </c>
      <c r="AO38">
        <f>IF(OR(AE38="",$B$10=0),0,SUMIFS(DATA_TRANSPORT_BUDGET!$G:$G,DATA_TRANSPORT_BUDGET!$A:$A,$B$10,DATA_TRANSPORT_BUDGET!$D:$D,AE38))</f>
        <v/>
      </c>
      <c r="AP38">
        <f>IF(AO38=0,"",AN38-AO38)</f>
        <v/>
      </c>
      <c r="AQ38">
        <f>IF(OR(AE38="",$B$10=0),0,COUNTIFS(DATA_TRANSPORT!$A:$A,$B$10,DATA_TRANSPORT!$E:$E,AE38,DATA_TRANSPORT!$C:$C,"FT Procured",DATA_TRANSPORT!$Z:$Z,"Y"))</f>
        <v/>
      </c>
      <c r="AR38">
        <f>IF(OR(AE38="",$B$10=0),0,SUMIFS(DATA_TRANSPORT_BUDGET!$E:$E,DATA_TRANSPORT_BUDGET!$A:$A,$B$10,DATA_TRANSPORT_BUDGET!$D:$D,AE38))</f>
        <v/>
      </c>
      <c r="AS38">
        <f>IF(OR(AE38="",$B$10=0),0,COUNTIFS(DATA_TRANSPORT!$A:$A,$B$10,DATA_TRANSPORT!$E:$E,AE38,DATA_TRANSPORT!$V:$V,"Breakdown"))</f>
        <v/>
      </c>
      <c r="AT38">
        <f>IF(IF(OR(AE38="",$B$10=0),0,SUMIFS(DATA_TRANSPORT!$L:$L,DATA_TRANSPORT!$A:$A,$B$10-7,DATA_TRANSPORT!$E:$E,AE38))=0,"",IF(OR(AE38="",$B$10=0),0,SUMIFS(DATA_TRANSPORT!$R:$R,DATA_TRANSPORT!$A:$A,$B$10-7,DATA_TRANSPORT!$E:$E,AE38))/IF(OR(AE38="",$B$10=0),0,SUMIFS(DATA_TRANSPORT!$L:$L,DATA_TRANSPORT!$A:$A,$B$10-7,DATA_TRANSPORT!$E:$E,AE38)))</f>
        <v/>
      </c>
      <c r="AU38">
        <f>IF(IF(OR(AE38="",$B$10=0),0,SUMIFS(DATA_TRANSPORT!$L:$L,DATA_TRANSPORT!$A:$A,$B$10-14,DATA_TRANSPORT!$E:$E,AE38))=0,"",IF(OR(AE38="",$B$10=0),0,SUMIFS(DATA_TRANSPORT!$R:$R,DATA_TRANSPORT!$A:$A,$B$10-14,DATA_TRANSPORT!$E:$E,AE38))/IF(OR(AE38="",$B$10=0),0,SUMIFS(DATA_TRANSPORT!$L:$L,DATA_TRANSPORT!$A:$A,$B$10-14,DATA_TRANSPORT!$E:$E,AE38)))</f>
        <v/>
      </c>
      <c r="AV38">
        <f>IF(IF(OR(AE38="",$B$10=0),0,SUMIFS(DATA_TRANSPORT!$L:$L,DATA_TRANSPORT!$A:$A,$B$10-21,DATA_TRANSPORT!$E:$E,AE38))=0,"",IF(OR(AE38="",$B$10=0),0,SUMIFS(DATA_TRANSPORT!$R:$R,DATA_TRANSPORT!$A:$A,$B$10-21,DATA_TRANSPORT!$E:$E,AE38))/IF(OR(AE38="",$B$10=0),0,SUMIFS(DATA_TRANSPORT!$L:$L,DATA_TRANSPORT!$A:$A,$B$10-21,DATA_TRANSPORT!$E:$E,AE38)))</f>
        <v/>
      </c>
      <c r="AW38">
        <f>IF(AND(ISNUMBER(AK38),AK38&lt;UtilLow),1,0)+IF(AND(ISNUMBER(AT38),AT38&lt;UtilLow),1,0)+IF(AND(ISNUMBER(AU38),AU38&lt;UtilLow),1,0)+IF(AND(ISNUMBER(AV38),AV38&lt;UtilLow),1,0)</f>
        <v/>
      </c>
      <c r="AX38">
        <f>IF(AW38&gt;=UtilLowWeeks,AE38&amp;": seats only "&amp;TEXT(AK38,"0%")&amp;" full, under "&amp;TEXT(UtilLow,"0%")&amp;" for "&amp;AW38&amp;" weeks running",IF(AND(AH38&gt;0,AJ38&gt;=AH38*ExcessShare),AE38&amp;": "&amp;TEXT(AJ38,"#,##0")&amp;" riders beyond the seats — consider more buses",IF(AND(ISNUMBER(AP38),AP38&gt;0),AE38&amp;": FT spend ₦"&amp;TEXT(AP38,"#,##0")&amp;" over the weekly budget",IF(AS38&gt;0,AE38&amp;": "&amp;AS38&amp;" coaster breakdown(s) this week",""))))</f>
        <v/>
      </c>
      <c r="AY38">
        <f>IF(ISNUMBER(AK38),AK38+ROW()/1000000000,"")</f>
        <v/>
      </c>
      <c r="AZ38">
        <f>IF(ISNUMBER(AM38),AM38+ROW()/1000000,"")</f>
        <v/>
      </c>
      <c r="BA38">
        <f>IF(AND(ISNUMBER(AP38),AP38&gt;0),AP38+ROW()/1000000,"")</f>
        <v/>
      </c>
      <c r="BB38">
        <f>IF(AF38&gt;0,AF38+ROW()/1000000,"")</f>
        <v/>
      </c>
      <c r="BC38">
        <f>IF(AX38="","",ROW())</f>
        <v/>
      </c>
      <c r="BD38">
        <f>IF(AJ38&gt;0,AJ38+ROW()/1000000,"")</f>
        <v/>
      </c>
      <c r="BQ38">
        <f>IFERROR(SMALL(DATA_TRANSPORT!$AE:$AE,36),"")</f>
        <v/>
      </c>
      <c r="BR38">
        <f>IF(BQ38="","",INDEX(DATA_TRANSPORT!$E:$E,BQ38))</f>
        <v/>
      </c>
      <c r="BS38">
        <f>IF(BQ38="","",INDEX(DATA_TRANSPORT!$C:$C,BQ38))</f>
        <v/>
      </c>
      <c r="BT38">
        <f>IF(BQ38="","",TRIM(INDEX(DATA_TRANSPORT!$G:$G,BQ38)&amp;" "&amp;IF(INDEX(DATA_TRANSPORT!$H:$H,BQ38)="","","(bus "&amp;INDEX(DATA_TRANSPORT!$H:$H,BQ38)&amp;")")))</f>
        <v/>
      </c>
      <c r="BU38">
        <f>IF(BQ38="","",IF(INDEX(DATA_TRANSPORT!$V:$V,BQ38)="Breakdown","Breakdown",IF(INDEX(DATA_TRANSPORT!$X:$X,BQ38)="","Needs more buses",INDEX(DATA_TRANSPORT!$X:$X,BQ38))))</f>
        <v/>
      </c>
      <c r="BV38">
        <f>IF(BQ38="","",INDEX(DATA_TRANSPORT!$Y:$Y,BQ38)&amp;"")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IF(B39="",0,COUNTIFS(DATA_TRANSPORT!$A:$A,B39,DATA_TRANSPORT!$E:$E,$B$6,DATA_TRANSPORT!$AD:$AD,$B$7))</f>
        <v/>
      </c>
      <c r="G39">
        <f>IF(F39=0,0,SUMIFS(DATA_TRANSPORT!$Q:$Q,DATA_TRANSPORT!$A:$A,B39,DATA_TRANSPORT!$E:$E,$B$6,DATA_TRANSPORT!$AD:$AD,$B$7))</f>
        <v/>
      </c>
      <c r="H39">
        <f>IF(F39=0,0,SUMIFS(DATA_TRANSPORT!$M:$M,DATA_TRANSPORT!$A:$A,B39,DATA_TRANSPORT!$E:$E,$B$6,DATA_TRANSPORT!$AD:$AD,$B$7))</f>
        <v/>
      </c>
      <c r="I39">
        <f>IF(F39=0,0,SUMIFS(DATA_TRANSPORT!$N:$N,DATA_TRANSPORT!$A:$A,B39,DATA_TRANSPORT!$E:$E,$B$6,DATA_TRANSPORT!$AD:$AD,$B$7))</f>
        <v/>
      </c>
      <c r="J39">
        <f>IF(F39=0,0,SUMIFS(DATA_TRANSPORT!$P:$P,DATA_TRANSPORT!$A:$A,B39,DATA_TRANSPORT!$E:$E,$B$6,DATA_TRANSPORT!$AD:$AD,$B$7))</f>
        <v/>
      </c>
      <c r="K39">
        <f>IF(F39=0,0,SUMIFS(DATA_TRANSPORT!$I:$I,DATA_TRANSPORT!$A:$A,B39,DATA_TRANSPORT!$E:$E,$B$6,DATA_TRANSPORT!$AD:$AD,$B$7))</f>
        <v/>
      </c>
      <c r="L39">
        <f>IF(F39=0,0,SUMIFS(DATA_TRANSPORT!$I:$I,DATA_TRANSPORT!$A:$A,B39,DATA_TRANSPORT!$E:$E,$B$6,DATA_TRANSPORT!$AD:$AD,$B$7,DATA_TRANSPORT!$V:$V,"Ran"))</f>
        <v/>
      </c>
      <c r="M39">
        <f>IF(F39=0,0,SUMIFS(DATA_TRANSPORT!$L:$L,DATA_TRANSPORT!$A:$A,B39,DATA_TRANSPORT!$E:$E,$B$6,DATA_TRANSPORT!$AD:$AD,$B$7))</f>
        <v/>
      </c>
      <c r="N39">
        <f>IF(F39=0,0,SUMIFS(DATA_TRANSPORT!$R:$R,DATA_TRANSPORT!$A:$A,B39,DATA_TRANSPORT!$E:$E,$B$6,DATA_TRANSPORT!$AD:$AD,$B$7))</f>
        <v/>
      </c>
      <c r="O39">
        <f>IF(F39=0,0,SUMIFS(DATA_TRANSPORT!$S:$S,DATA_TRANSPORT!$A:$A,B39,DATA_TRANSPORT!$E:$E,$B$6,DATA_TRANSPORT!$AD:$AD,$B$7))</f>
        <v/>
      </c>
      <c r="P39">
        <f>IF(F39=0,0,SUMIFS(DATA_TRANSPORT!$T:$T,DATA_TRANSPORT!$A:$A,B39,DATA_TRANSPORT!$E:$E,$B$6,DATA_TRANSPORT!$AD:$AD,$B$7))</f>
        <v/>
      </c>
      <c r="Q39">
        <f>IF(OR(B39="",$B$17),0,SUMIFS(DATA_TRANSPORT_COSTS!$M:$M,DATA_TRANSPORT_COSTS!$A:$A,B39,DATA_TRANSPORT_COSTS!$D:$D,$B$6))</f>
        <v/>
      </c>
      <c r="R39">
        <f>P39+Q39</f>
        <v/>
      </c>
      <c r="S39">
        <f>Q39+IF(F39=0,0,SUMIFS(DATA_TRANSPORT!$T:$T,DATA_TRANSPORT!$A:$A,B39,DATA_TRANSPORT!$E:$E,$B$6,DATA_TRANSPORT!$AD:$AD,$B$7,DATA_TRANSPORT!$U:$U,"Central"))</f>
        <v/>
      </c>
      <c r="T39">
        <f>IF(F39=0,0,SUMIFS(DATA_TRANSPORT!$T:$T,DATA_TRANSPORT!$A:$A,B39,DATA_TRANSPORT!$E:$E,$B$6,DATA_TRANSPORT!$AD:$AD,$B$7,DATA_TRANSPORT!$U:$U,"Members"))</f>
        <v/>
      </c>
      <c r="U39">
        <f>IF(OR(B39="",$B$17),0,SUMIFS(DATA_TRANSPORT_BUDGET!$G:$G,DATA_TRANSPORT_BUDGET!$A:$A,B39,DATA_TRANSPORT_BUDGET!$D:$D,$B$6))</f>
        <v/>
      </c>
      <c r="V39">
        <f>IF(F39=0,0,SUMIFS(DATA_TRANSPORT!$T:$T,DATA_TRANSPORT!$A:$A,B39,DATA_TRANSPORT!$E:$E,$B$6,DATA_TRANSPORT!$AD:$AD,$B$7,DATA_TRANSPORT!$C:$C,"FT Procured"))</f>
        <v/>
      </c>
      <c r="W39">
        <f>IF(F39=0,0,COUNTIFS(DATA_TRANSPORT!$A:$A,B39,DATA_TRANSPORT!$E:$E,$B$6,DATA_TRANSPORT!$AD:$AD,$B$7,DATA_TRANSPORT!$V:$V,"Breakdown"))</f>
        <v/>
      </c>
      <c r="X39">
        <f>IF(M39=0,0,N39/M39)</f>
        <v/>
      </c>
      <c r="Y39">
        <f>IF(F39&gt;0,1,0)</f>
        <v/>
      </c>
      <c r="Z39">
        <f>IF(AND(A39&gt;=1,A39&lt;=$B$11),Y39,0)</f>
        <v/>
      </c>
      <c r="AA39">
        <f>IF(AND(C39=$B$12,E39=$B$14),Y39,0)</f>
        <v/>
      </c>
      <c r="AB39">
        <f>IF(AND(D39=$B$13,E39=$B$14),Y39,0)</f>
        <v/>
      </c>
      <c r="AC39">
        <f>IF(E39=$B$14,Y39,0)</f>
        <v/>
      </c>
      <c r="AE39">
        <f>IFERROR(IF(INDEX(MASTER_AREAS!$F:$F,38)="N","",INDEX(MASTER_AREAS!$B:$B,38)&amp;""),"")</f>
        <v/>
      </c>
      <c r="AF39">
        <f>IF(OR(AE39="",$B$10=0),0,SUMIFS(DATA_TRANSPORT!$Q:$Q,DATA_TRANSPORT!$A:$A,$B$10,DATA_TRANSPORT!$E:$E,AE39))</f>
        <v/>
      </c>
      <c r="AG39">
        <f>IF(OR(AE39="",$B$10=0),0,SUMIFS(DATA_TRANSPORT!$I:$I,DATA_TRANSPORT!$A:$A,$B$10,DATA_TRANSPORT!$E:$E,AE39,DATA_TRANSPORT!$V:$V,"Ran"))</f>
        <v/>
      </c>
      <c r="AH39">
        <f>IF(OR(AE39="",$B$10=0),0,SUMIFS(DATA_TRANSPORT!$L:$L,DATA_TRANSPORT!$A:$A,$B$10,DATA_TRANSPORT!$E:$E,AE39))</f>
        <v/>
      </c>
      <c r="AI39">
        <f>IF(OR(AE39="",$B$10=0),0,SUMIFS(DATA_TRANSPORT!$R:$R,DATA_TRANSPORT!$A:$A,$B$10,DATA_TRANSPORT!$E:$E,AE39))</f>
        <v/>
      </c>
      <c r="AJ39">
        <f>IF(OR(AE39="",$B$10=0),0,SUMIFS(DATA_TRANSPORT!$S:$S,DATA_TRANSPORT!$A:$A,$B$10,DATA_TRANSPORT!$E:$E,AE39))</f>
        <v/>
      </c>
      <c r="AK39">
        <f>IF(AH39=0,"",AI39/AH39)</f>
        <v/>
      </c>
      <c r="AL39">
        <f>IF(OR(AE39="",$B$10=0),0,SUMIFS(DATA_TRANSPORT!$T:$T,DATA_TRANSPORT!$A:$A,$B$10,DATA_TRANSPORT!$E:$E,AE39))+IF(OR(AE39="",$B$10=0),0,SUMIFS(DATA_TRANSPORT_COSTS!$M:$M,DATA_TRANSPORT_COSTS!$A:$A,$B$10,DATA_TRANSPORT_COSTS!$D:$D,AE39))</f>
        <v/>
      </c>
      <c r="AM39">
        <f>IF(OR(AF39=0,AL39=0),"",AL39/AF39)</f>
        <v/>
      </c>
      <c r="AN39">
        <f>IF(OR(AE39="",$B$10=0),0,SUMIFS(DATA_TRANSPORT!$T:$T,DATA_TRANSPORT!$A:$A,$B$10,DATA_TRANSPORT!$E:$E,AE39,DATA_TRANSPORT!$C:$C,"FT Procured"))</f>
        <v/>
      </c>
      <c r="AO39">
        <f>IF(OR(AE39="",$B$10=0),0,SUMIFS(DATA_TRANSPORT_BUDGET!$G:$G,DATA_TRANSPORT_BUDGET!$A:$A,$B$10,DATA_TRANSPORT_BUDGET!$D:$D,AE39))</f>
        <v/>
      </c>
      <c r="AP39">
        <f>IF(AO39=0,"",AN39-AO39)</f>
        <v/>
      </c>
      <c r="AQ39">
        <f>IF(OR(AE39="",$B$10=0),0,COUNTIFS(DATA_TRANSPORT!$A:$A,$B$10,DATA_TRANSPORT!$E:$E,AE39,DATA_TRANSPORT!$C:$C,"FT Procured",DATA_TRANSPORT!$Z:$Z,"Y"))</f>
        <v/>
      </c>
      <c r="AR39">
        <f>IF(OR(AE39="",$B$10=0),0,SUMIFS(DATA_TRANSPORT_BUDGET!$E:$E,DATA_TRANSPORT_BUDGET!$A:$A,$B$10,DATA_TRANSPORT_BUDGET!$D:$D,AE39))</f>
        <v/>
      </c>
      <c r="AS39">
        <f>IF(OR(AE39="",$B$10=0),0,COUNTIFS(DATA_TRANSPORT!$A:$A,$B$10,DATA_TRANSPORT!$E:$E,AE39,DATA_TRANSPORT!$V:$V,"Breakdown"))</f>
        <v/>
      </c>
      <c r="AT39">
        <f>IF(IF(OR(AE39="",$B$10=0),0,SUMIFS(DATA_TRANSPORT!$L:$L,DATA_TRANSPORT!$A:$A,$B$10-7,DATA_TRANSPORT!$E:$E,AE39))=0,"",IF(OR(AE39="",$B$10=0),0,SUMIFS(DATA_TRANSPORT!$R:$R,DATA_TRANSPORT!$A:$A,$B$10-7,DATA_TRANSPORT!$E:$E,AE39))/IF(OR(AE39="",$B$10=0),0,SUMIFS(DATA_TRANSPORT!$L:$L,DATA_TRANSPORT!$A:$A,$B$10-7,DATA_TRANSPORT!$E:$E,AE39)))</f>
        <v/>
      </c>
      <c r="AU39">
        <f>IF(IF(OR(AE39="",$B$10=0),0,SUMIFS(DATA_TRANSPORT!$L:$L,DATA_TRANSPORT!$A:$A,$B$10-14,DATA_TRANSPORT!$E:$E,AE39))=0,"",IF(OR(AE39="",$B$10=0),0,SUMIFS(DATA_TRANSPORT!$R:$R,DATA_TRANSPORT!$A:$A,$B$10-14,DATA_TRANSPORT!$E:$E,AE39))/IF(OR(AE39="",$B$10=0),0,SUMIFS(DATA_TRANSPORT!$L:$L,DATA_TRANSPORT!$A:$A,$B$10-14,DATA_TRANSPORT!$E:$E,AE39)))</f>
        <v/>
      </c>
      <c r="AV39">
        <f>IF(IF(OR(AE39="",$B$10=0),0,SUMIFS(DATA_TRANSPORT!$L:$L,DATA_TRANSPORT!$A:$A,$B$10-21,DATA_TRANSPORT!$E:$E,AE39))=0,"",IF(OR(AE39="",$B$10=0),0,SUMIFS(DATA_TRANSPORT!$R:$R,DATA_TRANSPORT!$A:$A,$B$10-21,DATA_TRANSPORT!$E:$E,AE39))/IF(OR(AE39="",$B$10=0),0,SUMIFS(DATA_TRANSPORT!$L:$L,DATA_TRANSPORT!$A:$A,$B$10-21,DATA_TRANSPORT!$E:$E,AE39)))</f>
        <v/>
      </c>
      <c r="AW39">
        <f>IF(AND(ISNUMBER(AK39),AK39&lt;UtilLow),1,0)+IF(AND(ISNUMBER(AT39),AT39&lt;UtilLow),1,0)+IF(AND(ISNUMBER(AU39),AU39&lt;UtilLow),1,0)+IF(AND(ISNUMBER(AV39),AV39&lt;UtilLow),1,0)</f>
        <v/>
      </c>
      <c r="AX39">
        <f>IF(AW39&gt;=UtilLowWeeks,AE39&amp;": seats only "&amp;TEXT(AK39,"0%")&amp;" full, under "&amp;TEXT(UtilLow,"0%")&amp;" for "&amp;AW39&amp;" weeks running",IF(AND(AH39&gt;0,AJ39&gt;=AH39*ExcessShare),AE39&amp;": "&amp;TEXT(AJ39,"#,##0")&amp;" riders beyond the seats — consider more buses",IF(AND(ISNUMBER(AP39),AP39&gt;0),AE39&amp;": FT spend ₦"&amp;TEXT(AP39,"#,##0")&amp;" over the weekly budget",IF(AS39&gt;0,AE39&amp;": "&amp;AS39&amp;" coaster breakdown(s) this week",""))))</f>
        <v/>
      </c>
      <c r="AY39">
        <f>IF(ISNUMBER(AK39),AK39+ROW()/1000000000,"")</f>
        <v/>
      </c>
      <c r="AZ39">
        <f>IF(ISNUMBER(AM39),AM39+ROW()/1000000,"")</f>
        <v/>
      </c>
      <c r="BA39">
        <f>IF(AND(ISNUMBER(AP39),AP39&gt;0),AP39+ROW()/1000000,"")</f>
        <v/>
      </c>
      <c r="BB39">
        <f>IF(AF39&gt;0,AF39+ROW()/1000000,"")</f>
        <v/>
      </c>
      <c r="BC39">
        <f>IF(AX39="","",ROW())</f>
        <v/>
      </c>
      <c r="BD39">
        <f>IF(AJ39&gt;0,AJ39+ROW()/1000000,"")</f>
        <v/>
      </c>
      <c r="BQ39">
        <f>IFERROR(SMALL(DATA_TRANSPORT!$AE:$AE,37),"")</f>
        <v/>
      </c>
      <c r="BR39">
        <f>IF(BQ39="","",INDEX(DATA_TRANSPORT!$E:$E,BQ39))</f>
        <v/>
      </c>
      <c r="BS39">
        <f>IF(BQ39="","",INDEX(DATA_TRANSPORT!$C:$C,BQ39))</f>
        <v/>
      </c>
      <c r="BT39">
        <f>IF(BQ39="","",TRIM(INDEX(DATA_TRANSPORT!$G:$G,BQ39)&amp;" "&amp;IF(INDEX(DATA_TRANSPORT!$H:$H,BQ39)="","","(bus "&amp;INDEX(DATA_TRANSPORT!$H:$H,BQ39)&amp;")")))</f>
        <v/>
      </c>
      <c r="BU39">
        <f>IF(BQ39="","",IF(INDEX(DATA_TRANSPORT!$V:$V,BQ39)="Breakdown","Breakdown",IF(INDEX(DATA_TRANSPORT!$X:$X,BQ39)="","Needs more buses",INDEX(DATA_TRANSPORT!$X:$X,BQ39))))</f>
        <v/>
      </c>
      <c r="BV39">
        <f>IF(BQ39="","",INDEX(DATA_TRANSPORT!$Y:$Y,BQ39)&amp;"")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IF(B40="",0,COUNTIFS(DATA_TRANSPORT!$A:$A,B40,DATA_TRANSPORT!$E:$E,$B$6,DATA_TRANSPORT!$AD:$AD,$B$7))</f>
        <v/>
      </c>
      <c r="G40">
        <f>IF(F40=0,0,SUMIFS(DATA_TRANSPORT!$Q:$Q,DATA_TRANSPORT!$A:$A,B40,DATA_TRANSPORT!$E:$E,$B$6,DATA_TRANSPORT!$AD:$AD,$B$7))</f>
        <v/>
      </c>
      <c r="H40">
        <f>IF(F40=0,0,SUMIFS(DATA_TRANSPORT!$M:$M,DATA_TRANSPORT!$A:$A,B40,DATA_TRANSPORT!$E:$E,$B$6,DATA_TRANSPORT!$AD:$AD,$B$7))</f>
        <v/>
      </c>
      <c r="I40">
        <f>IF(F40=0,0,SUMIFS(DATA_TRANSPORT!$N:$N,DATA_TRANSPORT!$A:$A,B40,DATA_TRANSPORT!$E:$E,$B$6,DATA_TRANSPORT!$AD:$AD,$B$7))</f>
        <v/>
      </c>
      <c r="J40">
        <f>IF(F40=0,0,SUMIFS(DATA_TRANSPORT!$P:$P,DATA_TRANSPORT!$A:$A,B40,DATA_TRANSPORT!$E:$E,$B$6,DATA_TRANSPORT!$AD:$AD,$B$7))</f>
        <v/>
      </c>
      <c r="K40">
        <f>IF(F40=0,0,SUMIFS(DATA_TRANSPORT!$I:$I,DATA_TRANSPORT!$A:$A,B40,DATA_TRANSPORT!$E:$E,$B$6,DATA_TRANSPORT!$AD:$AD,$B$7))</f>
        <v/>
      </c>
      <c r="L40">
        <f>IF(F40=0,0,SUMIFS(DATA_TRANSPORT!$I:$I,DATA_TRANSPORT!$A:$A,B40,DATA_TRANSPORT!$E:$E,$B$6,DATA_TRANSPORT!$AD:$AD,$B$7,DATA_TRANSPORT!$V:$V,"Ran"))</f>
        <v/>
      </c>
      <c r="M40">
        <f>IF(F40=0,0,SUMIFS(DATA_TRANSPORT!$L:$L,DATA_TRANSPORT!$A:$A,B40,DATA_TRANSPORT!$E:$E,$B$6,DATA_TRANSPORT!$AD:$AD,$B$7))</f>
        <v/>
      </c>
      <c r="N40">
        <f>IF(F40=0,0,SUMIFS(DATA_TRANSPORT!$R:$R,DATA_TRANSPORT!$A:$A,B40,DATA_TRANSPORT!$E:$E,$B$6,DATA_TRANSPORT!$AD:$AD,$B$7))</f>
        <v/>
      </c>
      <c r="O40">
        <f>IF(F40=0,0,SUMIFS(DATA_TRANSPORT!$S:$S,DATA_TRANSPORT!$A:$A,B40,DATA_TRANSPORT!$E:$E,$B$6,DATA_TRANSPORT!$AD:$AD,$B$7))</f>
        <v/>
      </c>
      <c r="P40">
        <f>IF(F40=0,0,SUMIFS(DATA_TRANSPORT!$T:$T,DATA_TRANSPORT!$A:$A,B40,DATA_TRANSPORT!$E:$E,$B$6,DATA_TRANSPORT!$AD:$AD,$B$7))</f>
        <v/>
      </c>
      <c r="Q40">
        <f>IF(OR(B40="",$B$17),0,SUMIFS(DATA_TRANSPORT_COSTS!$M:$M,DATA_TRANSPORT_COSTS!$A:$A,B40,DATA_TRANSPORT_COSTS!$D:$D,$B$6))</f>
        <v/>
      </c>
      <c r="R40">
        <f>P40+Q40</f>
        <v/>
      </c>
      <c r="S40">
        <f>Q40+IF(F40=0,0,SUMIFS(DATA_TRANSPORT!$T:$T,DATA_TRANSPORT!$A:$A,B40,DATA_TRANSPORT!$E:$E,$B$6,DATA_TRANSPORT!$AD:$AD,$B$7,DATA_TRANSPORT!$U:$U,"Central"))</f>
        <v/>
      </c>
      <c r="T40">
        <f>IF(F40=0,0,SUMIFS(DATA_TRANSPORT!$T:$T,DATA_TRANSPORT!$A:$A,B40,DATA_TRANSPORT!$E:$E,$B$6,DATA_TRANSPORT!$AD:$AD,$B$7,DATA_TRANSPORT!$U:$U,"Members"))</f>
        <v/>
      </c>
      <c r="U40">
        <f>IF(OR(B40="",$B$17),0,SUMIFS(DATA_TRANSPORT_BUDGET!$G:$G,DATA_TRANSPORT_BUDGET!$A:$A,B40,DATA_TRANSPORT_BUDGET!$D:$D,$B$6))</f>
        <v/>
      </c>
      <c r="V40">
        <f>IF(F40=0,0,SUMIFS(DATA_TRANSPORT!$T:$T,DATA_TRANSPORT!$A:$A,B40,DATA_TRANSPORT!$E:$E,$B$6,DATA_TRANSPORT!$AD:$AD,$B$7,DATA_TRANSPORT!$C:$C,"FT Procured"))</f>
        <v/>
      </c>
      <c r="W40">
        <f>IF(F40=0,0,COUNTIFS(DATA_TRANSPORT!$A:$A,B40,DATA_TRANSPORT!$E:$E,$B$6,DATA_TRANSPORT!$AD:$AD,$B$7,DATA_TRANSPORT!$V:$V,"Breakdown"))</f>
        <v/>
      </c>
      <c r="X40">
        <f>IF(M40=0,0,N40/M40)</f>
        <v/>
      </c>
      <c r="Y40">
        <f>IF(F40&gt;0,1,0)</f>
        <v/>
      </c>
      <c r="Z40">
        <f>IF(AND(A40&gt;=1,A40&lt;=$B$11),Y40,0)</f>
        <v/>
      </c>
      <c r="AA40">
        <f>IF(AND(C40=$B$12,E40=$B$14),Y40,0)</f>
        <v/>
      </c>
      <c r="AB40">
        <f>IF(AND(D40=$B$13,E40=$B$14),Y40,0)</f>
        <v/>
      </c>
      <c r="AC40">
        <f>IF(E40=$B$14,Y40,0)</f>
        <v/>
      </c>
      <c r="AE40">
        <f>IFERROR(IF(INDEX(MASTER_AREAS!$F:$F,39)="N","",INDEX(MASTER_AREAS!$B:$B,39)&amp;""),"")</f>
        <v/>
      </c>
      <c r="AF40">
        <f>IF(OR(AE40="",$B$10=0),0,SUMIFS(DATA_TRANSPORT!$Q:$Q,DATA_TRANSPORT!$A:$A,$B$10,DATA_TRANSPORT!$E:$E,AE40))</f>
        <v/>
      </c>
      <c r="AG40">
        <f>IF(OR(AE40="",$B$10=0),0,SUMIFS(DATA_TRANSPORT!$I:$I,DATA_TRANSPORT!$A:$A,$B$10,DATA_TRANSPORT!$E:$E,AE40,DATA_TRANSPORT!$V:$V,"Ran"))</f>
        <v/>
      </c>
      <c r="AH40">
        <f>IF(OR(AE40="",$B$10=0),0,SUMIFS(DATA_TRANSPORT!$L:$L,DATA_TRANSPORT!$A:$A,$B$10,DATA_TRANSPORT!$E:$E,AE40))</f>
        <v/>
      </c>
      <c r="AI40">
        <f>IF(OR(AE40="",$B$10=0),0,SUMIFS(DATA_TRANSPORT!$R:$R,DATA_TRANSPORT!$A:$A,$B$10,DATA_TRANSPORT!$E:$E,AE40))</f>
        <v/>
      </c>
      <c r="AJ40">
        <f>IF(OR(AE40="",$B$10=0),0,SUMIFS(DATA_TRANSPORT!$S:$S,DATA_TRANSPORT!$A:$A,$B$10,DATA_TRANSPORT!$E:$E,AE40))</f>
        <v/>
      </c>
      <c r="AK40">
        <f>IF(AH40=0,"",AI40/AH40)</f>
        <v/>
      </c>
      <c r="AL40">
        <f>IF(OR(AE40="",$B$10=0),0,SUMIFS(DATA_TRANSPORT!$T:$T,DATA_TRANSPORT!$A:$A,$B$10,DATA_TRANSPORT!$E:$E,AE40))+IF(OR(AE40="",$B$10=0),0,SUMIFS(DATA_TRANSPORT_COSTS!$M:$M,DATA_TRANSPORT_COSTS!$A:$A,$B$10,DATA_TRANSPORT_COSTS!$D:$D,AE40))</f>
        <v/>
      </c>
      <c r="AM40">
        <f>IF(OR(AF40=0,AL40=0),"",AL40/AF40)</f>
        <v/>
      </c>
      <c r="AN40">
        <f>IF(OR(AE40="",$B$10=0),0,SUMIFS(DATA_TRANSPORT!$T:$T,DATA_TRANSPORT!$A:$A,$B$10,DATA_TRANSPORT!$E:$E,AE40,DATA_TRANSPORT!$C:$C,"FT Procured"))</f>
        <v/>
      </c>
      <c r="AO40">
        <f>IF(OR(AE40="",$B$10=0),0,SUMIFS(DATA_TRANSPORT_BUDGET!$G:$G,DATA_TRANSPORT_BUDGET!$A:$A,$B$10,DATA_TRANSPORT_BUDGET!$D:$D,AE40))</f>
        <v/>
      </c>
      <c r="AP40">
        <f>IF(AO40=0,"",AN40-AO40)</f>
        <v/>
      </c>
      <c r="AQ40">
        <f>IF(OR(AE40="",$B$10=0),0,COUNTIFS(DATA_TRANSPORT!$A:$A,$B$10,DATA_TRANSPORT!$E:$E,AE40,DATA_TRANSPORT!$C:$C,"FT Procured",DATA_TRANSPORT!$Z:$Z,"Y"))</f>
        <v/>
      </c>
      <c r="AR40">
        <f>IF(OR(AE40="",$B$10=0),0,SUMIFS(DATA_TRANSPORT_BUDGET!$E:$E,DATA_TRANSPORT_BUDGET!$A:$A,$B$10,DATA_TRANSPORT_BUDGET!$D:$D,AE40))</f>
        <v/>
      </c>
      <c r="AS40">
        <f>IF(OR(AE40="",$B$10=0),0,COUNTIFS(DATA_TRANSPORT!$A:$A,$B$10,DATA_TRANSPORT!$E:$E,AE40,DATA_TRANSPORT!$V:$V,"Breakdown"))</f>
        <v/>
      </c>
      <c r="AT40">
        <f>IF(IF(OR(AE40="",$B$10=0),0,SUMIFS(DATA_TRANSPORT!$L:$L,DATA_TRANSPORT!$A:$A,$B$10-7,DATA_TRANSPORT!$E:$E,AE40))=0,"",IF(OR(AE40="",$B$10=0),0,SUMIFS(DATA_TRANSPORT!$R:$R,DATA_TRANSPORT!$A:$A,$B$10-7,DATA_TRANSPORT!$E:$E,AE40))/IF(OR(AE40="",$B$10=0),0,SUMIFS(DATA_TRANSPORT!$L:$L,DATA_TRANSPORT!$A:$A,$B$10-7,DATA_TRANSPORT!$E:$E,AE40)))</f>
        <v/>
      </c>
      <c r="AU40">
        <f>IF(IF(OR(AE40="",$B$10=0),0,SUMIFS(DATA_TRANSPORT!$L:$L,DATA_TRANSPORT!$A:$A,$B$10-14,DATA_TRANSPORT!$E:$E,AE40))=0,"",IF(OR(AE40="",$B$10=0),0,SUMIFS(DATA_TRANSPORT!$R:$R,DATA_TRANSPORT!$A:$A,$B$10-14,DATA_TRANSPORT!$E:$E,AE40))/IF(OR(AE40="",$B$10=0),0,SUMIFS(DATA_TRANSPORT!$L:$L,DATA_TRANSPORT!$A:$A,$B$10-14,DATA_TRANSPORT!$E:$E,AE40)))</f>
        <v/>
      </c>
      <c r="AV40">
        <f>IF(IF(OR(AE40="",$B$10=0),0,SUMIFS(DATA_TRANSPORT!$L:$L,DATA_TRANSPORT!$A:$A,$B$10-21,DATA_TRANSPORT!$E:$E,AE40))=0,"",IF(OR(AE40="",$B$10=0),0,SUMIFS(DATA_TRANSPORT!$R:$R,DATA_TRANSPORT!$A:$A,$B$10-21,DATA_TRANSPORT!$E:$E,AE40))/IF(OR(AE40="",$B$10=0),0,SUMIFS(DATA_TRANSPORT!$L:$L,DATA_TRANSPORT!$A:$A,$B$10-21,DATA_TRANSPORT!$E:$E,AE40)))</f>
        <v/>
      </c>
      <c r="AW40">
        <f>IF(AND(ISNUMBER(AK40),AK40&lt;UtilLow),1,0)+IF(AND(ISNUMBER(AT40),AT40&lt;UtilLow),1,0)+IF(AND(ISNUMBER(AU40),AU40&lt;UtilLow),1,0)+IF(AND(ISNUMBER(AV40),AV40&lt;UtilLow),1,0)</f>
        <v/>
      </c>
      <c r="AX40">
        <f>IF(AW40&gt;=UtilLowWeeks,AE40&amp;": seats only "&amp;TEXT(AK40,"0%")&amp;" full, under "&amp;TEXT(UtilLow,"0%")&amp;" for "&amp;AW40&amp;" weeks running",IF(AND(AH40&gt;0,AJ40&gt;=AH40*ExcessShare),AE40&amp;": "&amp;TEXT(AJ40,"#,##0")&amp;" riders beyond the seats — consider more buses",IF(AND(ISNUMBER(AP40),AP40&gt;0),AE40&amp;": FT spend ₦"&amp;TEXT(AP40,"#,##0")&amp;" over the weekly budget",IF(AS40&gt;0,AE40&amp;": "&amp;AS40&amp;" coaster breakdown(s) this week",""))))</f>
        <v/>
      </c>
      <c r="AY40">
        <f>IF(ISNUMBER(AK40),AK40+ROW()/1000000000,"")</f>
        <v/>
      </c>
      <c r="AZ40">
        <f>IF(ISNUMBER(AM40),AM40+ROW()/1000000,"")</f>
        <v/>
      </c>
      <c r="BA40">
        <f>IF(AND(ISNUMBER(AP40),AP40&gt;0),AP40+ROW()/1000000,"")</f>
        <v/>
      </c>
      <c r="BB40">
        <f>IF(AF40&gt;0,AF40+ROW()/1000000,"")</f>
        <v/>
      </c>
      <c r="BC40">
        <f>IF(AX40="","",ROW())</f>
        <v/>
      </c>
      <c r="BD40">
        <f>IF(AJ40&gt;0,AJ40+ROW()/1000000,"")</f>
        <v/>
      </c>
      <c r="BQ40">
        <f>IFERROR(SMALL(DATA_TRANSPORT!$AE:$AE,38),"")</f>
        <v/>
      </c>
      <c r="BR40">
        <f>IF(BQ40="","",INDEX(DATA_TRANSPORT!$E:$E,BQ40))</f>
        <v/>
      </c>
      <c r="BS40">
        <f>IF(BQ40="","",INDEX(DATA_TRANSPORT!$C:$C,BQ40))</f>
        <v/>
      </c>
      <c r="BT40">
        <f>IF(BQ40="","",TRIM(INDEX(DATA_TRANSPORT!$G:$G,BQ40)&amp;" "&amp;IF(INDEX(DATA_TRANSPORT!$H:$H,BQ40)="","","(bus "&amp;INDEX(DATA_TRANSPORT!$H:$H,BQ40)&amp;")")))</f>
        <v/>
      </c>
      <c r="BU40">
        <f>IF(BQ40="","",IF(INDEX(DATA_TRANSPORT!$V:$V,BQ40)="Breakdown","Breakdown",IF(INDEX(DATA_TRANSPORT!$X:$X,BQ40)="","Needs more buses",INDEX(DATA_TRANSPORT!$X:$X,BQ40))))</f>
        <v/>
      </c>
      <c r="BV40">
        <f>IF(BQ40="","",INDEX(DATA_TRANSPORT!$Y:$Y,BQ40)&amp;"")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IF(B41="",0,COUNTIFS(DATA_TRANSPORT!$A:$A,B41,DATA_TRANSPORT!$E:$E,$B$6,DATA_TRANSPORT!$AD:$AD,$B$7))</f>
        <v/>
      </c>
      <c r="G41">
        <f>IF(F41=0,0,SUMIFS(DATA_TRANSPORT!$Q:$Q,DATA_TRANSPORT!$A:$A,B41,DATA_TRANSPORT!$E:$E,$B$6,DATA_TRANSPORT!$AD:$AD,$B$7))</f>
        <v/>
      </c>
      <c r="H41">
        <f>IF(F41=0,0,SUMIFS(DATA_TRANSPORT!$M:$M,DATA_TRANSPORT!$A:$A,B41,DATA_TRANSPORT!$E:$E,$B$6,DATA_TRANSPORT!$AD:$AD,$B$7))</f>
        <v/>
      </c>
      <c r="I41">
        <f>IF(F41=0,0,SUMIFS(DATA_TRANSPORT!$N:$N,DATA_TRANSPORT!$A:$A,B41,DATA_TRANSPORT!$E:$E,$B$6,DATA_TRANSPORT!$AD:$AD,$B$7))</f>
        <v/>
      </c>
      <c r="J41">
        <f>IF(F41=0,0,SUMIFS(DATA_TRANSPORT!$P:$P,DATA_TRANSPORT!$A:$A,B41,DATA_TRANSPORT!$E:$E,$B$6,DATA_TRANSPORT!$AD:$AD,$B$7))</f>
        <v/>
      </c>
      <c r="K41">
        <f>IF(F41=0,0,SUMIFS(DATA_TRANSPORT!$I:$I,DATA_TRANSPORT!$A:$A,B41,DATA_TRANSPORT!$E:$E,$B$6,DATA_TRANSPORT!$AD:$AD,$B$7))</f>
        <v/>
      </c>
      <c r="L41">
        <f>IF(F41=0,0,SUMIFS(DATA_TRANSPORT!$I:$I,DATA_TRANSPORT!$A:$A,B41,DATA_TRANSPORT!$E:$E,$B$6,DATA_TRANSPORT!$AD:$AD,$B$7,DATA_TRANSPORT!$V:$V,"Ran"))</f>
        <v/>
      </c>
      <c r="M41">
        <f>IF(F41=0,0,SUMIFS(DATA_TRANSPORT!$L:$L,DATA_TRANSPORT!$A:$A,B41,DATA_TRANSPORT!$E:$E,$B$6,DATA_TRANSPORT!$AD:$AD,$B$7))</f>
        <v/>
      </c>
      <c r="N41">
        <f>IF(F41=0,0,SUMIFS(DATA_TRANSPORT!$R:$R,DATA_TRANSPORT!$A:$A,B41,DATA_TRANSPORT!$E:$E,$B$6,DATA_TRANSPORT!$AD:$AD,$B$7))</f>
        <v/>
      </c>
      <c r="O41">
        <f>IF(F41=0,0,SUMIFS(DATA_TRANSPORT!$S:$S,DATA_TRANSPORT!$A:$A,B41,DATA_TRANSPORT!$E:$E,$B$6,DATA_TRANSPORT!$AD:$AD,$B$7))</f>
        <v/>
      </c>
      <c r="P41">
        <f>IF(F41=0,0,SUMIFS(DATA_TRANSPORT!$T:$T,DATA_TRANSPORT!$A:$A,B41,DATA_TRANSPORT!$E:$E,$B$6,DATA_TRANSPORT!$AD:$AD,$B$7))</f>
        <v/>
      </c>
      <c r="Q41">
        <f>IF(OR(B41="",$B$17),0,SUMIFS(DATA_TRANSPORT_COSTS!$M:$M,DATA_TRANSPORT_COSTS!$A:$A,B41,DATA_TRANSPORT_COSTS!$D:$D,$B$6))</f>
        <v/>
      </c>
      <c r="R41">
        <f>P41+Q41</f>
        <v/>
      </c>
      <c r="S41">
        <f>Q41+IF(F41=0,0,SUMIFS(DATA_TRANSPORT!$T:$T,DATA_TRANSPORT!$A:$A,B41,DATA_TRANSPORT!$E:$E,$B$6,DATA_TRANSPORT!$AD:$AD,$B$7,DATA_TRANSPORT!$U:$U,"Central"))</f>
        <v/>
      </c>
      <c r="T41">
        <f>IF(F41=0,0,SUMIFS(DATA_TRANSPORT!$T:$T,DATA_TRANSPORT!$A:$A,B41,DATA_TRANSPORT!$E:$E,$B$6,DATA_TRANSPORT!$AD:$AD,$B$7,DATA_TRANSPORT!$U:$U,"Members"))</f>
        <v/>
      </c>
      <c r="U41">
        <f>IF(OR(B41="",$B$17),0,SUMIFS(DATA_TRANSPORT_BUDGET!$G:$G,DATA_TRANSPORT_BUDGET!$A:$A,B41,DATA_TRANSPORT_BUDGET!$D:$D,$B$6))</f>
        <v/>
      </c>
      <c r="V41">
        <f>IF(F41=0,0,SUMIFS(DATA_TRANSPORT!$T:$T,DATA_TRANSPORT!$A:$A,B41,DATA_TRANSPORT!$E:$E,$B$6,DATA_TRANSPORT!$AD:$AD,$B$7,DATA_TRANSPORT!$C:$C,"FT Procured"))</f>
        <v/>
      </c>
      <c r="W41">
        <f>IF(F41=0,0,COUNTIFS(DATA_TRANSPORT!$A:$A,B41,DATA_TRANSPORT!$E:$E,$B$6,DATA_TRANSPORT!$AD:$AD,$B$7,DATA_TRANSPORT!$V:$V,"Breakdown"))</f>
        <v/>
      </c>
      <c r="X41">
        <f>IF(M41=0,0,N41/M41)</f>
        <v/>
      </c>
      <c r="Y41">
        <f>IF(F41&gt;0,1,0)</f>
        <v/>
      </c>
      <c r="Z41">
        <f>IF(AND(A41&gt;=1,A41&lt;=$B$11),Y41,0)</f>
        <v/>
      </c>
      <c r="AA41">
        <f>IF(AND(C41=$B$12,E41=$B$14),Y41,0)</f>
        <v/>
      </c>
      <c r="AB41">
        <f>IF(AND(D41=$B$13,E41=$B$14),Y41,0)</f>
        <v/>
      </c>
      <c r="AC41">
        <f>IF(E41=$B$14,Y41,0)</f>
        <v/>
      </c>
      <c r="AE41">
        <f>IFERROR(IF(INDEX(MASTER_AREAS!$F:$F,40)="N","",INDEX(MASTER_AREAS!$B:$B,40)&amp;""),"")</f>
        <v/>
      </c>
      <c r="AF41">
        <f>IF(OR(AE41="",$B$10=0),0,SUMIFS(DATA_TRANSPORT!$Q:$Q,DATA_TRANSPORT!$A:$A,$B$10,DATA_TRANSPORT!$E:$E,AE41))</f>
        <v/>
      </c>
      <c r="AG41">
        <f>IF(OR(AE41="",$B$10=0),0,SUMIFS(DATA_TRANSPORT!$I:$I,DATA_TRANSPORT!$A:$A,$B$10,DATA_TRANSPORT!$E:$E,AE41,DATA_TRANSPORT!$V:$V,"Ran"))</f>
        <v/>
      </c>
      <c r="AH41">
        <f>IF(OR(AE41="",$B$10=0),0,SUMIFS(DATA_TRANSPORT!$L:$L,DATA_TRANSPORT!$A:$A,$B$10,DATA_TRANSPORT!$E:$E,AE41))</f>
        <v/>
      </c>
      <c r="AI41">
        <f>IF(OR(AE41="",$B$10=0),0,SUMIFS(DATA_TRANSPORT!$R:$R,DATA_TRANSPORT!$A:$A,$B$10,DATA_TRANSPORT!$E:$E,AE41))</f>
        <v/>
      </c>
      <c r="AJ41">
        <f>IF(OR(AE41="",$B$10=0),0,SUMIFS(DATA_TRANSPORT!$S:$S,DATA_TRANSPORT!$A:$A,$B$10,DATA_TRANSPORT!$E:$E,AE41))</f>
        <v/>
      </c>
      <c r="AK41">
        <f>IF(AH41=0,"",AI41/AH41)</f>
        <v/>
      </c>
      <c r="AL41">
        <f>IF(OR(AE41="",$B$10=0),0,SUMIFS(DATA_TRANSPORT!$T:$T,DATA_TRANSPORT!$A:$A,$B$10,DATA_TRANSPORT!$E:$E,AE41))+IF(OR(AE41="",$B$10=0),0,SUMIFS(DATA_TRANSPORT_COSTS!$M:$M,DATA_TRANSPORT_COSTS!$A:$A,$B$10,DATA_TRANSPORT_COSTS!$D:$D,AE41))</f>
        <v/>
      </c>
      <c r="AM41">
        <f>IF(OR(AF41=0,AL41=0),"",AL41/AF41)</f>
        <v/>
      </c>
      <c r="AN41">
        <f>IF(OR(AE41="",$B$10=0),0,SUMIFS(DATA_TRANSPORT!$T:$T,DATA_TRANSPORT!$A:$A,$B$10,DATA_TRANSPORT!$E:$E,AE41,DATA_TRANSPORT!$C:$C,"FT Procured"))</f>
        <v/>
      </c>
      <c r="AO41">
        <f>IF(OR(AE41="",$B$10=0),0,SUMIFS(DATA_TRANSPORT_BUDGET!$G:$G,DATA_TRANSPORT_BUDGET!$A:$A,$B$10,DATA_TRANSPORT_BUDGET!$D:$D,AE41))</f>
        <v/>
      </c>
      <c r="AP41">
        <f>IF(AO41=0,"",AN41-AO41)</f>
        <v/>
      </c>
      <c r="AQ41">
        <f>IF(OR(AE41="",$B$10=0),0,COUNTIFS(DATA_TRANSPORT!$A:$A,$B$10,DATA_TRANSPORT!$E:$E,AE41,DATA_TRANSPORT!$C:$C,"FT Procured",DATA_TRANSPORT!$Z:$Z,"Y"))</f>
        <v/>
      </c>
      <c r="AR41">
        <f>IF(OR(AE41="",$B$10=0),0,SUMIFS(DATA_TRANSPORT_BUDGET!$E:$E,DATA_TRANSPORT_BUDGET!$A:$A,$B$10,DATA_TRANSPORT_BUDGET!$D:$D,AE41))</f>
        <v/>
      </c>
      <c r="AS41">
        <f>IF(OR(AE41="",$B$10=0),0,COUNTIFS(DATA_TRANSPORT!$A:$A,$B$10,DATA_TRANSPORT!$E:$E,AE41,DATA_TRANSPORT!$V:$V,"Breakdown"))</f>
        <v/>
      </c>
      <c r="AT41">
        <f>IF(IF(OR(AE41="",$B$10=0),0,SUMIFS(DATA_TRANSPORT!$L:$L,DATA_TRANSPORT!$A:$A,$B$10-7,DATA_TRANSPORT!$E:$E,AE41))=0,"",IF(OR(AE41="",$B$10=0),0,SUMIFS(DATA_TRANSPORT!$R:$R,DATA_TRANSPORT!$A:$A,$B$10-7,DATA_TRANSPORT!$E:$E,AE41))/IF(OR(AE41="",$B$10=0),0,SUMIFS(DATA_TRANSPORT!$L:$L,DATA_TRANSPORT!$A:$A,$B$10-7,DATA_TRANSPORT!$E:$E,AE41)))</f>
        <v/>
      </c>
      <c r="AU41">
        <f>IF(IF(OR(AE41="",$B$10=0),0,SUMIFS(DATA_TRANSPORT!$L:$L,DATA_TRANSPORT!$A:$A,$B$10-14,DATA_TRANSPORT!$E:$E,AE41))=0,"",IF(OR(AE41="",$B$10=0),0,SUMIFS(DATA_TRANSPORT!$R:$R,DATA_TRANSPORT!$A:$A,$B$10-14,DATA_TRANSPORT!$E:$E,AE41))/IF(OR(AE41="",$B$10=0),0,SUMIFS(DATA_TRANSPORT!$L:$L,DATA_TRANSPORT!$A:$A,$B$10-14,DATA_TRANSPORT!$E:$E,AE41)))</f>
        <v/>
      </c>
      <c r="AV41">
        <f>IF(IF(OR(AE41="",$B$10=0),0,SUMIFS(DATA_TRANSPORT!$L:$L,DATA_TRANSPORT!$A:$A,$B$10-21,DATA_TRANSPORT!$E:$E,AE41))=0,"",IF(OR(AE41="",$B$10=0),0,SUMIFS(DATA_TRANSPORT!$R:$R,DATA_TRANSPORT!$A:$A,$B$10-21,DATA_TRANSPORT!$E:$E,AE41))/IF(OR(AE41="",$B$10=0),0,SUMIFS(DATA_TRANSPORT!$L:$L,DATA_TRANSPORT!$A:$A,$B$10-21,DATA_TRANSPORT!$E:$E,AE41)))</f>
        <v/>
      </c>
      <c r="AW41">
        <f>IF(AND(ISNUMBER(AK41),AK41&lt;UtilLow),1,0)+IF(AND(ISNUMBER(AT41),AT41&lt;UtilLow),1,0)+IF(AND(ISNUMBER(AU41),AU41&lt;UtilLow),1,0)+IF(AND(ISNUMBER(AV41),AV41&lt;UtilLow),1,0)</f>
        <v/>
      </c>
      <c r="AX41">
        <f>IF(AW41&gt;=UtilLowWeeks,AE41&amp;": seats only "&amp;TEXT(AK41,"0%")&amp;" full, under "&amp;TEXT(UtilLow,"0%")&amp;" for "&amp;AW41&amp;" weeks running",IF(AND(AH41&gt;0,AJ41&gt;=AH41*ExcessShare),AE41&amp;": "&amp;TEXT(AJ41,"#,##0")&amp;" riders beyond the seats — consider more buses",IF(AND(ISNUMBER(AP41),AP41&gt;0),AE41&amp;": FT spend ₦"&amp;TEXT(AP41,"#,##0")&amp;" over the weekly budget",IF(AS41&gt;0,AE41&amp;": "&amp;AS41&amp;" coaster breakdown(s) this week",""))))</f>
        <v/>
      </c>
      <c r="AY41">
        <f>IF(ISNUMBER(AK41),AK41+ROW()/1000000000,"")</f>
        <v/>
      </c>
      <c r="AZ41">
        <f>IF(ISNUMBER(AM41),AM41+ROW()/1000000,"")</f>
        <v/>
      </c>
      <c r="BA41">
        <f>IF(AND(ISNUMBER(AP41),AP41&gt;0),AP41+ROW()/1000000,"")</f>
        <v/>
      </c>
      <c r="BB41">
        <f>IF(AF41&gt;0,AF41+ROW()/1000000,"")</f>
        <v/>
      </c>
      <c r="BC41">
        <f>IF(AX41="","",ROW())</f>
        <v/>
      </c>
      <c r="BD41">
        <f>IF(AJ41&gt;0,AJ41+ROW()/1000000,"")</f>
        <v/>
      </c>
      <c r="BQ41">
        <f>IFERROR(SMALL(DATA_TRANSPORT!$AE:$AE,39),"")</f>
        <v/>
      </c>
      <c r="BR41">
        <f>IF(BQ41="","",INDEX(DATA_TRANSPORT!$E:$E,BQ41))</f>
        <v/>
      </c>
      <c r="BS41">
        <f>IF(BQ41="","",INDEX(DATA_TRANSPORT!$C:$C,BQ41))</f>
        <v/>
      </c>
      <c r="BT41">
        <f>IF(BQ41="","",TRIM(INDEX(DATA_TRANSPORT!$G:$G,BQ41)&amp;" "&amp;IF(INDEX(DATA_TRANSPORT!$H:$H,BQ41)="","","(bus "&amp;INDEX(DATA_TRANSPORT!$H:$H,BQ41)&amp;")")))</f>
        <v/>
      </c>
      <c r="BU41">
        <f>IF(BQ41="","",IF(INDEX(DATA_TRANSPORT!$V:$V,BQ41)="Breakdown","Breakdown",IF(INDEX(DATA_TRANSPORT!$X:$X,BQ41)="","Needs more buses",INDEX(DATA_TRANSPORT!$X:$X,BQ41))))</f>
        <v/>
      </c>
      <c r="BV41">
        <f>IF(BQ41="","",INDEX(DATA_TRANSPORT!$Y:$Y,BQ41)&amp;"")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IF(B42="",0,COUNTIFS(DATA_TRANSPORT!$A:$A,B42,DATA_TRANSPORT!$E:$E,$B$6,DATA_TRANSPORT!$AD:$AD,$B$7))</f>
        <v/>
      </c>
      <c r="G42">
        <f>IF(F42=0,0,SUMIFS(DATA_TRANSPORT!$Q:$Q,DATA_TRANSPORT!$A:$A,B42,DATA_TRANSPORT!$E:$E,$B$6,DATA_TRANSPORT!$AD:$AD,$B$7))</f>
        <v/>
      </c>
      <c r="H42">
        <f>IF(F42=0,0,SUMIFS(DATA_TRANSPORT!$M:$M,DATA_TRANSPORT!$A:$A,B42,DATA_TRANSPORT!$E:$E,$B$6,DATA_TRANSPORT!$AD:$AD,$B$7))</f>
        <v/>
      </c>
      <c r="I42">
        <f>IF(F42=0,0,SUMIFS(DATA_TRANSPORT!$N:$N,DATA_TRANSPORT!$A:$A,B42,DATA_TRANSPORT!$E:$E,$B$6,DATA_TRANSPORT!$AD:$AD,$B$7))</f>
        <v/>
      </c>
      <c r="J42">
        <f>IF(F42=0,0,SUMIFS(DATA_TRANSPORT!$P:$P,DATA_TRANSPORT!$A:$A,B42,DATA_TRANSPORT!$E:$E,$B$6,DATA_TRANSPORT!$AD:$AD,$B$7))</f>
        <v/>
      </c>
      <c r="K42">
        <f>IF(F42=0,0,SUMIFS(DATA_TRANSPORT!$I:$I,DATA_TRANSPORT!$A:$A,B42,DATA_TRANSPORT!$E:$E,$B$6,DATA_TRANSPORT!$AD:$AD,$B$7))</f>
        <v/>
      </c>
      <c r="L42">
        <f>IF(F42=0,0,SUMIFS(DATA_TRANSPORT!$I:$I,DATA_TRANSPORT!$A:$A,B42,DATA_TRANSPORT!$E:$E,$B$6,DATA_TRANSPORT!$AD:$AD,$B$7,DATA_TRANSPORT!$V:$V,"Ran"))</f>
        <v/>
      </c>
      <c r="M42">
        <f>IF(F42=0,0,SUMIFS(DATA_TRANSPORT!$L:$L,DATA_TRANSPORT!$A:$A,B42,DATA_TRANSPORT!$E:$E,$B$6,DATA_TRANSPORT!$AD:$AD,$B$7))</f>
        <v/>
      </c>
      <c r="N42">
        <f>IF(F42=0,0,SUMIFS(DATA_TRANSPORT!$R:$R,DATA_TRANSPORT!$A:$A,B42,DATA_TRANSPORT!$E:$E,$B$6,DATA_TRANSPORT!$AD:$AD,$B$7))</f>
        <v/>
      </c>
      <c r="O42">
        <f>IF(F42=0,0,SUMIFS(DATA_TRANSPORT!$S:$S,DATA_TRANSPORT!$A:$A,B42,DATA_TRANSPORT!$E:$E,$B$6,DATA_TRANSPORT!$AD:$AD,$B$7))</f>
        <v/>
      </c>
      <c r="P42">
        <f>IF(F42=0,0,SUMIFS(DATA_TRANSPORT!$T:$T,DATA_TRANSPORT!$A:$A,B42,DATA_TRANSPORT!$E:$E,$B$6,DATA_TRANSPORT!$AD:$AD,$B$7))</f>
        <v/>
      </c>
      <c r="Q42">
        <f>IF(OR(B42="",$B$17),0,SUMIFS(DATA_TRANSPORT_COSTS!$M:$M,DATA_TRANSPORT_COSTS!$A:$A,B42,DATA_TRANSPORT_COSTS!$D:$D,$B$6))</f>
        <v/>
      </c>
      <c r="R42">
        <f>P42+Q42</f>
        <v/>
      </c>
      <c r="S42">
        <f>Q42+IF(F42=0,0,SUMIFS(DATA_TRANSPORT!$T:$T,DATA_TRANSPORT!$A:$A,B42,DATA_TRANSPORT!$E:$E,$B$6,DATA_TRANSPORT!$AD:$AD,$B$7,DATA_TRANSPORT!$U:$U,"Central"))</f>
        <v/>
      </c>
      <c r="T42">
        <f>IF(F42=0,0,SUMIFS(DATA_TRANSPORT!$T:$T,DATA_TRANSPORT!$A:$A,B42,DATA_TRANSPORT!$E:$E,$B$6,DATA_TRANSPORT!$AD:$AD,$B$7,DATA_TRANSPORT!$U:$U,"Members"))</f>
        <v/>
      </c>
      <c r="U42">
        <f>IF(OR(B42="",$B$17),0,SUMIFS(DATA_TRANSPORT_BUDGET!$G:$G,DATA_TRANSPORT_BUDGET!$A:$A,B42,DATA_TRANSPORT_BUDGET!$D:$D,$B$6))</f>
        <v/>
      </c>
      <c r="V42">
        <f>IF(F42=0,0,SUMIFS(DATA_TRANSPORT!$T:$T,DATA_TRANSPORT!$A:$A,B42,DATA_TRANSPORT!$E:$E,$B$6,DATA_TRANSPORT!$AD:$AD,$B$7,DATA_TRANSPORT!$C:$C,"FT Procured"))</f>
        <v/>
      </c>
      <c r="W42">
        <f>IF(F42=0,0,COUNTIFS(DATA_TRANSPORT!$A:$A,B42,DATA_TRANSPORT!$E:$E,$B$6,DATA_TRANSPORT!$AD:$AD,$B$7,DATA_TRANSPORT!$V:$V,"Breakdown"))</f>
        <v/>
      </c>
      <c r="X42">
        <f>IF(M42=0,0,N42/M42)</f>
        <v/>
      </c>
      <c r="Y42">
        <f>IF(F42&gt;0,1,0)</f>
        <v/>
      </c>
      <c r="Z42">
        <f>IF(AND(A42&gt;=1,A42&lt;=$B$11),Y42,0)</f>
        <v/>
      </c>
      <c r="AA42">
        <f>IF(AND(C42=$B$12,E42=$B$14),Y42,0)</f>
        <v/>
      </c>
      <c r="AB42">
        <f>IF(AND(D42=$B$13,E42=$B$14),Y42,0)</f>
        <v/>
      </c>
      <c r="AC42">
        <f>IF(E42=$B$14,Y42,0)</f>
        <v/>
      </c>
      <c r="AE42">
        <f>IFERROR(IF(INDEX(MASTER_AREAS!$F:$F,41)="N","",INDEX(MASTER_AREAS!$B:$B,41)&amp;""),"")</f>
        <v/>
      </c>
      <c r="AF42">
        <f>IF(OR(AE42="",$B$10=0),0,SUMIFS(DATA_TRANSPORT!$Q:$Q,DATA_TRANSPORT!$A:$A,$B$10,DATA_TRANSPORT!$E:$E,AE42))</f>
        <v/>
      </c>
      <c r="AG42">
        <f>IF(OR(AE42="",$B$10=0),0,SUMIFS(DATA_TRANSPORT!$I:$I,DATA_TRANSPORT!$A:$A,$B$10,DATA_TRANSPORT!$E:$E,AE42,DATA_TRANSPORT!$V:$V,"Ran"))</f>
        <v/>
      </c>
      <c r="AH42">
        <f>IF(OR(AE42="",$B$10=0),0,SUMIFS(DATA_TRANSPORT!$L:$L,DATA_TRANSPORT!$A:$A,$B$10,DATA_TRANSPORT!$E:$E,AE42))</f>
        <v/>
      </c>
      <c r="AI42">
        <f>IF(OR(AE42="",$B$10=0),0,SUMIFS(DATA_TRANSPORT!$R:$R,DATA_TRANSPORT!$A:$A,$B$10,DATA_TRANSPORT!$E:$E,AE42))</f>
        <v/>
      </c>
      <c r="AJ42">
        <f>IF(OR(AE42="",$B$10=0),0,SUMIFS(DATA_TRANSPORT!$S:$S,DATA_TRANSPORT!$A:$A,$B$10,DATA_TRANSPORT!$E:$E,AE42))</f>
        <v/>
      </c>
      <c r="AK42">
        <f>IF(AH42=0,"",AI42/AH42)</f>
        <v/>
      </c>
      <c r="AL42">
        <f>IF(OR(AE42="",$B$10=0),0,SUMIFS(DATA_TRANSPORT!$T:$T,DATA_TRANSPORT!$A:$A,$B$10,DATA_TRANSPORT!$E:$E,AE42))+IF(OR(AE42="",$B$10=0),0,SUMIFS(DATA_TRANSPORT_COSTS!$M:$M,DATA_TRANSPORT_COSTS!$A:$A,$B$10,DATA_TRANSPORT_COSTS!$D:$D,AE42))</f>
        <v/>
      </c>
      <c r="AM42">
        <f>IF(OR(AF42=0,AL42=0),"",AL42/AF42)</f>
        <v/>
      </c>
      <c r="AN42">
        <f>IF(OR(AE42="",$B$10=0),0,SUMIFS(DATA_TRANSPORT!$T:$T,DATA_TRANSPORT!$A:$A,$B$10,DATA_TRANSPORT!$E:$E,AE42,DATA_TRANSPORT!$C:$C,"FT Procured"))</f>
        <v/>
      </c>
      <c r="AO42">
        <f>IF(OR(AE42="",$B$10=0),0,SUMIFS(DATA_TRANSPORT_BUDGET!$G:$G,DATA_TRANSPORT_BUDGET!$A:$A,$B$10,DATA_TRANSPORT_BUDGET!$D:$D,AE42))</f>
        <v/>
      </c>
      <c r="AP42">
        <f>IF(AO42=0,"",AN42-AO42)</f>
        <v/>
      </c>
      <c r="AQ42">
        <f>IF(OR(AE42="",$B$10=0),0,COUNTIFS(DATA_TRANSPORT!$A:$A,$B$10,DATA_TRANSPORT!$E:$E,AE42,DATA_TRANSPORT!$C:$C,"FT Procured",DATA_TRANSPORT!$Z:$Z,"Y"))</f>
        <v/>
      </c>
      <c r="AR42">
        <f>IF(OR(AE42="",$B$10=0),0,SUMIFS(DATA_TRANSPORT_BUDGET!$E:$E,DATA_TRANSPORT_BUDGET!$A:$A,$B$10,DATA_TRANSPORT_BUDGET!$D:$D,AE42))</f>
        <v/>
      </c>
      <c r="AS42">
        <f>IF(OR(AE42="",$B$10=0),0,COUNTIFS(DATA_TRANSPORT!$A:$A,$B$10,DATA_TRANSPORT!$E:$E,AE42,DATA_TRANSPORT!$V:$V,"Breakdown"))</f>
        <v/>
      </c>
      <c r="AT42">
        <f>IF(IF(OR(AE42="",$B$10=0),0,SUMIFS(DATA_TRANSPORT!$L:$L,DATA_TRANSPORT!$A:$A,$B$10-7,DATA_TRANSPORT!$E:$E,AE42))=0,"",IF(OR(AE42="",$B$10=0),0,SUMIFS(DATA_TRANSPORT!$R:$R,DATA_TRANSPORT!$A:$A,$B$10-7,DATA_TRANSPORT!$E:$E,AE42))/IF(OR(AE42="",$B$10=0),0,SUMIFS(DATA_TRANSPORT!$L:$L,DATA_TRANSPORT!$A:$A,$B$10-7,DATA_TRANSPORT!$E:$E,AE42)))</f>
        <v/>
      </c>
      <c r="AU42">
        <f>IF(IF(OR(AE42="",$B$10=0),0,SUMIFS(DATA_TRANSPORT!$L:$L,DATA_TRANSPORT!$A:$A,$B$10-14,DATA_TRANSPORT!$E:$E,AE42))=0,"",IF(OR(AE42="",$B$10=0),0,SUMIFS(DATA_TRANSPORT!$R:$R,DATA_TRANSPORT!$A:$A,$B$10-14,DATA_TRANSPORT!$E:$E,AE42))/IF(OR(AE42="",$B$10=0),0,SUMIFS(DATA_TRANSPORT!$L:$L,DATA_TRANSPORT!$A:$A,$B$10-14,DATA_TRANSPORT!$E:$E,AE42)))</f>
        <v/>
      </c>
      <c r="AV42">
        <f>IF(IF(OR(AE42="",$B$10=0),0,SUMIFS(DATA_TRANSPORT!$L:$L,DATA_TRANSPORT!$A:$A,$B$10-21,DATA_TRANSPORT!$E:$E,AE42))=0,"",IF(OR(AE42="",$B$10=0),0,SUMIFS(DATA_TRANSPORT!$R:$R,DATA_TRANSPORT!$A:$A,$B$10-21,DATA_TRANSPORT!$E:$E,AE42))/IF(OR(AE42="",$B$10=0),0,SUMIFS(DATA_TRANSPORT!$L:$L,DATA_TRANSPORT!$A:$A,$B$10-21,DATA_TRANSPORT!$E:$E,AE42)))</f>
        <v/>
      </c>
      <c r="AW42">
        <f>IF(AND(ISNUMBER(AK42),AK42&lt;UtilLow),1,0)+IF(AND(ISNUMBER(AT42),AT42&lt;UtilLow),1,0)+IF(AND(ISNUMBER(AU42),AU42&lt;UtilLow),1,0)+IF(AND(ISNUMBER(AV42),AV42&lt;UtilLow),1,0)</f>
        <v/>
      </c>
      <c r="AX42">
        <f>IF(AW42&gt;=UtilLowWeeks,AE42&amp;": seats only "&amp;TEXT(AK42,"0%")&amp;" full, under "&amp;TEXT(UtilLow,"0%")&amp;" for "&amp;AW42&amp;" weeks running",IF(AND(AH42&gt;0,AJ42&gt;=AH42*ExcessShare),AE42&amp;": "&amp;TEXT(AJ42,"#,##0")&amp;" riders beyond the seats — consider more buses",IF(AND(ISNUMBER(AP42),AP42&gt;0),AE42&amp;": FT spend ₦"&amp;TEXT(AP42,"#,##0")&amp;" over the weekly budget",IF(AS42&gt;0,AE42&amp;": "&amp;AS42&amp;" coaster breakdown(s) this week",""))))</f>
        <v/>
      </c>
      <c r="AY42">
        <f>IF(ISNUMBER(AK42),AK42+ROW()/1000000000,"")</f>
        <v/>
      </c>
      <c r="AZ42">
        <f>IF(ISNUMBER(AM42),AM42+ROW()/1000000,"")</f>
        <v/>
      </c>
      <c r="BA42">
        <f>IF(AND(ISNUMBER(AP42),AP42&gt;0),AP42+ROW()/1000000,"")</f>
        <v/>
      </c>
      <c r="BB42">
        <f>IF(AF42&gt;0,AF42+ROW()/1000000,"")</f>
        <v/>
      </c>
      <c r="BC42">
        <f>IF(AX42="","",ROW())</f>
        <v/>
      </c>
      <c r="BD42">
        <f>IF(AJ42&gt;0,AJ42+ROW()/1000000,"")</f>
        <v/>
      </c>
      <c r="BQ42">
        <f>IFERROR(SMALL(DATA_TRANSPORT!$AE:$AE,40),"")</f>
        <v/>
      </c>
      <c r="BR42">
        <f>IF(BQ42="","",INDEX(DATA_TRANSPORT!$E:$E,BQ42))</f>
        <v/>
      </c>
      <c r="BS42">
        <f>IF(BQ42="","",INDEX(DATA_TRANSPORT!$C:$C,BQ42))</f>
        <v/>
      </c>
      <c r="BT42">
        <f>IF(BQ42="","",TRIM(INDEX(DATA_TRANSPORT!$G:$G,BQ42)&amp;" "&amp;IF(INDEX(DATA_TRANSPORT!$H:$H,BQ42)="","","(bus "&amp;INDEX(DATA_TRANSPORT!$H:$H,BQ42)&amp;")")))</f>
        <v/>
      </c>
      <c r="BU42">
        <f>IF(BQ42="","",IF(INDEX(DATA_TRANSPORT!$V:$V,BQ42)="Breakdown","Breakdown",IF(INDEX(DATA_TRANSPORT!$X:$X,BQ42)="","Needs more buses",INDEX(DATA_TRANSPORT!$X:$X,BQ42))))</f>
        <v/>
      </c>
      <c r="BV42">
        <f>IF(BQ42="","",INDEX(DATA_TRANSPORT!$Y:$Y,BQ42)&amp;"")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IF(B43="",0,COUNTIFS(DATA_TRANSPORT!$A:$A,B43,DATA_TRANSPORT!$E:$E,$B$6,DATA_TRANSPORT!$AD:$AD,$B$7))</f>
        <v/>
      </c>
      <c r="G43">
        <f>IF(F43=0,0,SUMIFS(DATA_TRANSPORT!$Q:$Q,DATA_TRANSPORT!$A:$A,B43,DATA_TRANSPORT!$E:$E,$B$6,DATA_TRANSPORT!$AD:$AD,$B$7))</f>
        <v/>
      </c>
      <c r="H43">
        <f>IF(F43=0,0,SUMIFS(DATA_TRANSPORT!$M:$M,DATA_TRANSPORT!$A:$A,B43,DATA_TRANSPORT!$E:$E,$B$6,DATA_TRANSPORT!$AD:$AD,$B$7))</f>
        <v/>
      </c>
      <c r="I43">
        <f>IF(F43=0,0,SUMIFS(DATA_TRANSPORT!$N:$N,DATA_TRANSPORT!$A:$A,B43,DATA_TRANSPORT!$E:$E,$B$6,DATA_TRANSPORT!$AD:$AD,$B$7))</f>
        <v/>
      </c>
      <c r="J43">
        <f>IF(F43=0,0,SUMIFS(DATA_TRANSPORT!$P:$P,DATA_TRANSPORT!$A:$A,B43,DATA_TRANSPORT!$E:$E,$B$6,DATA_TRANSPORT!$AD:$AD,$B$7))</f>
        <v/>
      </c>
      <c r="K43">
        <f>IF(F43=0,0,SUMIFS(DATA_TRANSPORT!$I:$I,DATA_TRANSPORT!$A:$A,B43,DATA_TRANSPORT!$E:$E,$B$6,DATA_TRANSPORT!$AD:$AD,$B$7))</f>
        <v/>
      </c>
      <c r="L43">
        <f>IF(F43=0,0,SUMIFS(DATA_TRANSPORT!$I:$I,DATA_TRANSPORT!$A:$A,B43,DATA_TRANSPORT!$E:$E,$B$6,DATA_TRANSPORT!$AD:$AD,$B$7,DATA_TRANSPORT!$V:$V,"Ran"))</f>
        <v/>
      </c>
      <c r="M43">
        <f>IF(F43=0,0,SUMIFS(DATA_TRANSPORT!$L:$L,DATA_TRANSPORT!$A:$A,B43,DATA_TRANSPORT!$E:$E,$B$6,DATA_TRANSPORT!$AD:$AD,$B$7))</f>
        <v/>
      </c>
      <c r="N43">
        <f>IF(F43=0,0,SUMIFS(DATA_TRANSPORT!$R:$R,DATA_TRANSPORT!$A:$A,B43,DATA_TRANSPORT!$E:$E,$B$6,DATA_TRANSPORT!$AD:$AD,$B$7))</f>
        <v/>
      </c>
      <c r="O43">
        <f>IF(F43=0,0,SUMIFS(DATA_TRANSPORT!$S:$S,DATA_TRANSPORT!$A:$A,B43,DATA_TRANSPORT!$E:$E,$B$6,DATA_TRANSPORT!$AD:$AD,$B$7))</f>
        <v/>
      </c>
      <c r="P43">
        <f>IF(F43=0,0,SUMIFS(DATA_TRANSPORT!$T:$T,DATA_TRANSPORT!$A:$A,B43,DATA_TRANSPORT!$E:$E,$B$6,DATA_TRANSPORT!$AD:$AD,$B$7))</f>
        <v/>
      </c>
      <c r="Q43">
        <f>IF(OR(B43="",$B$17),0,SUMIFS(DATA_TRANSPORT_COSTS!$M:$M,DATA_TRANSPORT_COSTS!$A:$A,B43,DATA_TRANSPORT_COSTS!$D:$D,$B$6))</f>
        <v/>
      </c>
      <c r="R43">
        <f>P43+Q43</f>
        <v/>
      </c>
      <c r="S43">
        <f>Q43+IF(F43=0,0,SUMIFS(DATA_TRANSPORT!$T:$T,DATA_TRANSPORT!$A:$A,B43,DATA_TRANSPORT!$E:$E,$B$6,DATA_TRANSPORT!$AD:$AD,$B$7,DATA_TRANSPORT!$U:$U,"Central"))</f>
        <v/>
      </c>
      <c r="T43">
        <f>IF(F43=0,0,SUMIFS(DATA_TRANSPORT!$T:$T,DATA_TRANSPORT!$A:$A,B43,DATA_TRANSPORT!$E:$E,$B$6,DATA_TRANSPORT!$AD:$AD,$B$7,DATA_TRANSPORT!$U:$U,"Members"))</f>
        <v/>
      </c>
      <c r="U43">
        <f>IF(OR(B43="",$B$17),0,SUMIFS(DATA_TRANSPORT_BUDGET!$G:$G,DATA_TRANSPORT_BUDGET!$A:$A,B43,DATA_TRANSPORT_BUDGET!$D:$D,$B$6))</f>
        <v/>
      </c>
      <c r="V43">
        <f>IF(F43=0,0,SUMIFS(DATA_TRANSPORT!$T:$T,DATA_TRANSPORT!$A:$A,B43,DATA_TRANSPORT!$E:$E,$B$6,DATA_TRANSPORT!$AD:$AD,$B$7,DATA_TRANSPORT!$C:$C,"FT Procured"))</f>
        <v/>
      </c>
      <c r="W43">
        <f>IF(F43=0,0,COUNTIFS(DATA_TRANSPORT!$A:$A,B43,DATA_TRANSPORT!$E:$E,$B$6,DATA_TRANSPORT!$AD:$AD,$B$7,DATA_TRANSPORT!$V:$V,"Breakdown"))</f>
        <v/>
      </c>
      <c r="X43">
        <f>IF(M43=0,0,N43/M43)</f>
        <v/>
      </c>
      <c r="Y43">
        <f>IF(F43&gt;0,1,0)</f>
        <v/>
      </c>
      <c r="Z43">
        <f>IF(AND(A43&gt;=1,A43&lt;=$B$11),Y43,0)</f>
        <v/>
      </c>
      <c r="AA43">
        <f>IF(AND(C43=$B$12,E43=$B$14),Y43,0)</f>
        <v/>
      </c>
      <c r="AB43">
        <f>IF(AND(D43=$B$13,E43=$B$14),Y43,0)</f>
        <v/>
      </c>
      <c r="AC43">
        <f>IF(E43=$B$14,Y43,0)</f>
        <v/>
      </c>
      <c r="AE43">
        <f>IFERROR(IF(INDEX(MASTER_AREAS!$F:$F,42)="N","",INDEX(MASTER_AREAS!$B:$B,42)&amp;""),"")</f>
        <v/>
      </c>
      <c r="AF43">
        <f>IF(OR(AE43="",$B$10=0),0,SUMIFS(DATA_TRANSPORT!$Q:$Q,DATA_TRANSPORT!$A:$A,$B$10,DATA_TRANSPORT!$E:$E,AE43))</f>
        <v/>
      </c>
      <c r="AG43">
        <f>IF(OR(AE43="",$B$10=0),0,SUMIFS(DATA_TRANSPORT!$I:$I,DATA_TRANSPORT!$A:$A,$B$10,DATA_TRANSPORT!$E:$E,AE43,DATA_TRANSPORT!$V:$V,"Ran"))</f>
        <v/>
      </c>
      <c r="AH43">
        <f>IF(OR(AE43="",$B$10=0),0,SUMIFS(DATA_TRANSPORT!$L:$L,DATA_TRANSPORT!$A:$A,$B$10,DATA_TRANSPORT!$E:$E,AE43))</f>
        <v/>
      </c>
      <c r="AI43">
        <f>IF(OR(AE43="",$B$10=0),0,SUMIFS(DATA_TRANSPORT!$R:$R,DATA_TRANSPORT!$A:$A,$B$10,DATA_TRANSPORT!$E:$E,AE43))</f>
        <v/>
      </c>
      <c r="AJ43">
        <f>IF(OR(AE43="",$B$10=0),0,SUMIFS(DATA_TRANSPORT!$S:$S,DATA_TRANSPORT!$A:$A,$B$10,DATA_TRANSPORT!$E:$E,AE43))</f>
        <v/>
      </c>
      <c r="AK43">
        <f>IF(AH43=0,"",AI43/AH43)</f>
        <v/>
      </c>
      <c r="AL43">
        <f>IF(OR(AE43="",$B$10=0),0,SUMIFS(DATA_TRANSPORT!$T:$T,DATA_TRANSPORT!$A:$A,$B$10,DATA_TRANSPORT!$E:$E,AE43))+IF(OR(AE43="",$B$10=0),0,SUMIFS(DATA_TRANSPORT_COSTS!$M:$M,DATA_TRANSPORT_COSTS!$A:$A,$B$10,DATA_TRANSPORT_COSTS!$D:$D,AE43))</f>
        <v/>
      </c>
      <c r="AM43">
        <f>IF(OR(AF43=0,AL43=0),"",AL43/AF43)</f>
        <v/>
      </c>
      <c r="AN43">
        <f>IF(OR(AE43="",$B$10=0),0,SUMIFS(DATA_TRANSPORT!$T:$T,DATA_TRANSPORT!$A:$A,$B$10,DATA_TRANSPORT!$E:$E,AE43,DATA_TRANSPORT!$C:$C,"FT Procured"))</f>
        <v/>
      </c>
      <c r="AO43">
        <f>IF(OR(AE43="",$B$10=0),0,SUMIFS(DATA_TRANSPORT_BUDGET!$G:$G,DATA_TRANSPORT_BUDGET!$A:$A,$B$10,DATA_TRANSPORT_BUDGET!$D:$D,AE43))</f>
        <v/>
      </c>
      <c r="AP43">
        <f>IF(AO43=0,"",AN43-AO43)</f>
        <v/>
      </c>
      <c r="AQ43">
        <f>IF(OR(AE43="",$B$10=0),0,COUNTIFS(DATA_TRANSPORT!$A:$A,$B$10,DATA_TRANSPORT!$E:$E,AE43,DATA_TRANSPORT!$C:$C,"FT Procured",DATA_TRANSPORT!$Z:$Z,"Y"))</f>
        <v/>
      </c>
      <c r="AR43">
        <f>IF(OR(AE43="",$B$10=0),0,SUMIFS(DATA_TRANSPORT_BUDGET!$E:$E,DATA_TRANSPORT_BUDGET!$A:$A,$B$10,DATA_TRANSPORT_BUDGET!$D:$D,AE43))</f>
        <v/>
      </c>
      <c r="AS43">
        <f>IF(OR(AE43="",$B$10=0),0,COUNTIFS(DATA_TRANSPORT!$A:$A,$B$10,DATA_TRANSPORT!$E:$E,AE43,DATA_TRANSPORT!$V:$V,"Breakdown"))</f>
        <v/>
      </c>
      <c r="AT43">
        <f>IF(IF(OR(AE43="",$B$10=0),0,SUMIFS(DATA_TRANSPORT!$L:$L,DATA_TRANSPORT!$A:$A,$B$10-7,DATA_TRANSPORT!$E:$E,AE43))=0,"",IF(OR(AE43="",$B$10=0),0,SUMIFS(DATA_TRANSPORT!$R:$R,DATA_TRANSPORT!$A:$A,$B$10-7,DATA_TRANSPORT!$E:$E,AE43))/IF(OR(AE43="",$B$10=0),0,SUMIFS(DATA_TRANSPORT!$L:$L,DATA_TRANSPORT!$A:$A,$B$10-7,DATA_TRANSPORT!$E:$E,AE43)))</f>
        <v/>
      </c>
      <c r="AU43">
        <f>IF(IF(OR(AE43="",$B$10=0),0,SUMIFS(DATA_TRANSPORT!$L:$L,DATA_TRANSPORT!$A:$A,$B$10-14,DATA_TRANSPORT!$E:$E,AE43))=0,"",IF(OR(AE43="",$B$10=0),0,SUMIFS(DATA_TRANSPORT!$R:$R,DATA_TRANSPORT!$A:$A,$B$10-14,DATA_TRANSPORT!$E:$E,AE43))/IF(OR(AE43="",$B$10=0),0,SUMIFS(DATA_TRANSPORT!$L:$L,DATA_TRANSPORT!$A:$A,$B$10-14,DATA_TRANSPORT!$E:$E,AE43)))</f>
        <v/>
      </c>
      <c r="AV43">
        <f>IF(IF(OR(AE43="",$B$10=0),0,SUMIFS(DATA_TRANSPORT!$L:$L,DATA_TRANSPORT!$A:$A,$B$10-21,DATA_TRANSPORT!$E:$E,AE43))=0,"",IF(OR(AE43="",$B$10=0),0,SUMIFS(DATA_TRANSPORT!$R:$R,DATA_TRANSPORT!$A:$A,$B$10-21,DATA_TRANSPORT!$E:$E,AE43))/IF(OR(AE43="",$B$10=0),0,SUMIFS(DATA_TRANSPORT!$L:$L,DATA_TRANSPORT!$A:$A,$B$10-21,DATA_TRANSPORT!$E:$E,AE43)))</f>
        <v/>
      </c>
      <c r="AW43">
        <f>IF(AND(ISNUMBER(AK43),AK43&lt;UtilLow),1,0)+IF(AND(ISNUMBER(AT43),AT43&lt;UtilLow),1,0)+IF(AND(ISNUMBER(AU43),AU43&lt;UtilLow),1,0)+IF(AND(ISNUMBER(AV43),AV43&lt;UtilLow),1,0)</f>
        <v/>
      </c>
      <c r="AX43">
        <f>IF(AW43&gt;=UtilLowWeeks,AE43&amp;": seats only "&amp;TEXT(AK43,"0%")&amp;" full, under "&amp;TEXT(UtilLow,"0%")&amp;" for "&amp;AW43&amp;" weeks running",IF(AND(AH43&gt;0,AJ43&gt;=AH43*ExcessShare),AE43&amp;": "&amp;TEXT(AJ43,"#,##0")&amp;" riders beyond the seats — consider more buses",IF(AND(ISNUMBER(AP43),AP43&gt;0),AE43&amp;": FT spend ₦"&amp;TEXT(AP43,"#,##0")&amp;" over the weekly budget",IF(AS43&gt;0,AE43&amp;": "&amp;AS43&amp;" coaster breakdown(s) this week",""))))</f>
        <v/>
      </c>
      <c r="AY43">
        <f>IF(ISNUMBER(AK43),AK43+ROW()/1000000000,"")</f>
        <v/>
      </c>
      <c r="AZ43">
        <f>IF(ISNUMBER(AM43),AM43+ROW()/1000000,"")</f>
        <v/>
      </c>
      <c r="BA43">
        <f>IF(AND(ISNUMBER(AP43),AP43&gt;0),AP43+ROW()/1000000,"")</f>
        <v/>
      </c>
      <c r="BB43">
        <f>IF(AF43&gt;0,AF43+ROW()/1000000,"")</f>
        <v/>
      </c>
      <c r="BC43">
        <f>IF(AX43="","",ROW())</f>
        <v/>
      </c>
      <c r="BD43">
        <f>IF(AJ43&gt;0,AJ43+ROW()/1000000,"")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IF(B44="",0,COUNTIFS(DATA_TRANSPORT!$A:$A,B44,DATA_TRANSPORT!$E:$E,$B$6,DATA_TRANSPORT!$AD:$AD,$B$7))</f>
        <v/>
      </c>
      <c r="G44">
        <f>IF(F44=0,0,SUMIFS(DATA_TRANSPORT!$Q:$Q,DATA_TRANSPORT!$A:$A,B44,DATA_TRANSPORT!$E:$E,$B$6,DATA_TRANSPORT!$AD:$AD,$B$7))</f>
        <v/>
      </c>
      <c r="H44">
        <f>IF(F44=0,0,SUMIFS(DATA_TRANSPORT!$M:$M,DATA_TRANSPORT!$A:$A,B44,DATA_TRANSPORT!$E:$E,$B$6,DATA_TRANSPORT!$AD:$AD,$B$7))</f>
        <v/>
      </c>
      <c r="I44">
        <f>IF(F44=0,0,SUMIFS(DATA_TRANSPORT!$N:$N,DATA_TRANSPORT!$A:$A,B44,DATA_TRANSPORT!$E:$E,$B$6,DATA_TRANSPORT!$AD:$AD,$B$7))</f>
        <v/>
      </c>
      <c r="J44">
        <f>IF(F44=0,0,SUMIFS(DATA_TRANSPORT!$P:$P,DATA_TRANSPORT!$A:$A,B44,DATA_TRANSPORT!$E:$E,$B$6,DATA_TRANSPORT!$AD:$AD,$B$7))</f>
        <v/>
      </c>
      <c r="K44">
        <f>IF(F44=0,0,SUMIFS(DATA_TRANSPORT!$I:$I,DATA_TRANSPORT!$A:$A,B44,DATA_TRANSPORT!$E:$E,$B$6,DATA_TRANSPORT!$AD:$AD,$B$7))</f>
        <v/>
      </c>
      <c r="L44">
        <f>IF(F44=0,0,SUMIFS(DATA_TRANSPORT!$I:$I,DATA_TRANSPORT!$A:$A,B44,DATA_TRANSPORT!$E:$E,$B$6,DATA_TRANSPORT!$AD:$AD,$B$7,DATA_TRANSPORT!$V:$V,"Ran"))</f>
        <v/>
      </c>
      <c r="M44">
        <f>IF(F44=0,0,SUMIFS(DATA_TRANSPORT!$L:$L,DATA_TRANSPORT!$A:$A,B44,DATA_TRANSPORT!$E:$E,$B$6,DATA_TRANSPORT!$AD:$AD,$B$7))</f>
        <v/>
      </c>
      <c r="N44">
        <f>IF(F44=0,0,SUMIFS(DATA_TRANSPORT!$R:$R,DATA_TRANSPORT!$A:$A,B44,DATA_TRANSPORT!$E:$E,$B$6,DATA_TRANSPORT!$AD:$AD,$B$7))</f>
        <v/>
      </c>
      <c r="O44">
        <f>IF(F44=0,0,SUMIFS(DATA_TRANSPORT!$S:$S,DATA_TRANSPORT!$A:$A,B44,DATA_TRANSPORT!$E:$E,$B$6,DATA_TRANSPORT!$AD:$AD,$B$7))</f>
        <v/>
      </c>
      <c r="P44">
        <f>IF(F44=0,0,SUMIFS(DATA_TRANSPORT!$T:$T,DATA_TRANSPORT!$A:$A,B44,DATA_TRANSPORT!$E:$E,$B$6,DATA_TRANSPORT!$AD:$AD,$B$7))</f>
        <v/>
      </c>
      <c r="Q44">
        <f>IF(OR(B44="",$B$17),0,SUMIFS(DATA_TRANSPORT_COSTS!$M:$M,DATA_TRANSPORT_COSTS!$A:$A,B44,DATA_TRANSPORT_COSTS!$D:$D,$B$6))</f>
        <v/>
      </c>
      <c r="R44">
        <f>P44+Q44</f>
        <v/>
      </c>
      <c r="S44">
        <f>Q44+IF(F44=0,0,SUMIFS(DATA_TRANSPORT!$T:$T,DATA_TRANSPORT!$A:$A,B44,DATA_TRANSPORT!$E:$E,$B$6,DATA_TRANSPORT!$AD:$AD,$B$7,DATA_TRANSPORT!$U:$U,"Central"))</f>
        <v/>
      </c>
      <c r="T44">
        <f>IF(F44=0,0,SUMIFS(DATA_TRANSPORT!$T:$T,DATA_TRANSPORT!$A:$A,B44,DATA_TRANSPORT!$E:$E,$B$6,DATA_TRANSPORT!$AD:$AD,$B$7,DATA_TRANSPORT!$U:$U,"Members"))</f>
        <v/>
      </c>
      <c r="U44">
        <f>IF(OR(B44="",$B$17),0,SUMIFS(DATA_TRANSPORT_BUDGET!$G:$G,DATA_TRANSPORT_BUDGET!$A:$A,B44,DATA_TRANSPORT_BUDGET!$D:$D,$B$6))</f>
        <v/>
      </c>
      <c r="V44">
        <f>IF(F44=0,0,SUMIFS(DATA_TRANSPORT!$T:$T,DATA_TRANSPORT!$A:$A,B44,DATA_TRANSPORT!$E:$E,$B$6,DATA_TRANSPORT!$AD:$AD,$B$7,DATA_TRANSPORT!$C:$C,"FT Procured"))</f>
        <v/>
      </c>
      <c r="W44">
        <f>IF(F44=0,0,COUNTIFS(DATA_TRANSPORT!$A:$A,B44,DATA_TRANSPORT!$E:$E,$B$6,DATA_TRANSPORT!$AD:$AD,$B$7,DATA_TRANSPORT!$V:$V,"Breakdown"))</f>
        <v/>
      </c>
      <c r="X44">
        <f>IF(M44=0,0,N44/M44)</f>
        <v/>
      </c>
      <c r="Y44">
        <f>IF(F44&gt;0,1,0)</f>
        <v/>
      </c>
      <c r="Z44">
        <f>IF(AND(A44&gt;=1,A44&lt;=$B$11),Y44,0)</f>
        <v/>
      </c>
      <c r="AA44">
        <f>IF(AND(C44=$B$12,E44=$B$14),Y44,0)</f>
        <v/>
      </c>
      <c r="AB44">
        <f>IF(AND(D44=$B$13,E44=$B$14),Y44,0)</f>
        <v/>
      </c>
      <c r="AC44">
        <f>IF(E44=$B$14,Y44,0)</f>
        <v/>
      </c>
      <c r="AE44">
        <f>IFERROR(IF(INDEX(MASTER_AREAS!$F:$F,43)="N","",INDEX(MASTER_AREAS!$B:$B,43)&amp;""),"")</f>
        <v/>
      </c>
      <c r="AF44">
        <f>IF(OR(AE44="",$B$10=0),0,SUMIFS(DATA_TRANSPORT!$Q:$Q,DATA_TRANSPORT!$A:$A,$B$10,DATA_TRANSPORT!$E:$E,AE44))</f>
        <v/>
      </c>
      <c r="AG44">
        <f>IF(OR(AE44="",$B$10=0),0,SUMIFS(DATA_TRANSPORT!$I:$I,DATA_TRANSPORT!$A:$A,$B$10,DATA_TRANSPORT!$E:$E,AE44,DATA_TRANSPORT!$V:$V,"Ran"))</f>
        <v/>
      </c>
      <c r="AH44">
        <f>IF(OR(AE44="",$B$10=0),0,SUMIFS(DATA_TRANSPORT!$L:$L,DATA_TRANSPORT!$A:$A,$B$10,DATA_TRANSPORT!$E:$E,AE44))</f>
        <v/>
      </c>
      <c r="AI44">
        <f>IF(OR(AE44="",$B$10=0),0,SUMIFS(DATA_TRANSPORT!$R:$R,DATA_TRANSPORT!$A:$A,$B$10,DATA_TRANSPORT!$E:$E,AE44))</f>
        <v/>
      </c>
      <c r="AJ44">
        <f>IF(OR(AE44="",$B$10=0),0,SUMIFS(DATA_TRANSPORT!$S:$S,DATA_TRANSPORT!$A:$A,$B$10,DATA_TRANSPORT!$E:$E,AE44))</f>
        <v/>
      </c>
      <c r="AK44">
        <f>IF(AH44=0,"",AI44/AH44)</f>
        <v/>
      </c>
      <c r="AL44">
        <f>IF(OR(AE44="",$B$10=0),0,SUMIFS(DATA_TRANSPORT!$T:$T,DATA_TRANSPORT!$A:$A,$B$10,DATA_TRANSPORT!$E:$E,AE44))+IF(OR(AE44="",$B$10=0),0,SUMIFS(DATA_TRANSPORT_COSTS!$M:$M,DATA_TRANSPORT_COSTS!$A:$A,$B$10,DATA_TRANSPORT_COSTS!$D:$D,AE44))</f>
        <v/>
      </c>
      <c r="AM44">
        <f>IF(OR(AF44=0,AL44=0),"",AL44/AF44)</f>
        <v/>
      </c>
      <c r="AN44">
        <f>IF(OR(AE44="",$B$10=0),0,SUMIFS(DATA_TRANSPORT!$T:$T,DATA_TRANSPORT!$A:$A,$B$10,DATA_TRANSPORT!$E:$E,AE44,DATA_TRANSPORT!$C:$C,"FT Procured"))</f>
        <v/>
      </c>
      <c r="AO44">
        <f>IF(OR(AE44="",$B$10=0),0,SUMIFS(DATA_TRANSPORT_BUDGET!$G:$G,DATA_TRANSPORT_BUDGET!$A:$A,$B$10,DATA_TRANSPORT_BUDGET!$D:$D,AE44))</f>
        <v/>
      </c>
      <c r="AP44">
        <f>IF(AO44=0,"",AN44-AO44)</f>
        <v/>
      </c>
      <c r="AQ44">
        <f>IF(OR(AE44="",$B$10=0),0,COUNTIFS(DATA_TRANSPORT!$A:$A,$B$10,DATA_TRANSPORT!$E:$E,AE44,DATA_TRANSPORT!$C:$C,"FT Procured",DATA_TRANSPORT!$Z:$Z,"Y"))</f>
        <v/>
      </c>
      <c r="AR44">
        <f>IF(OR(AE44="",$B$10=0),0,SUMIFS(DATA_TRANSPORT_BUDGET!$E:$E,DATA_TRANSPORT_BUDGET!$A:$A,$B$10,DATA_TRANSPORT_BUDGET!$D:$D,AE44))</f>
        <v/>
      </c>
      <c r="AS44">
        <f>IF(OR(AE44="",$B$10=0),0,COUNTIFS(DATA_TRANSPORT!$A:$A,$B$10,DATA_TRANSPORT!$E:$E,AE44,DATA_TRANSPORT!$V:$V,"Breakdown"))</f>
        <v/>
      </c>
      <c r="AT44">
        <f>IF(IF(OR(AE44="",$B$10=0),0,SUMIFS(DATA_TRANSPORT!$L:$L,DATA_TRANSPORT!$A:$A,$B$10-7,DATA_TRANSPORT!$E:$E,AE44))=0,"",IF(OR(AE44="",$B$10=0),0,SUMIFS(DATA_TRANSPORT!$R:$R,DATA_TRANSPORT!$A:$A,$B$10-7,DATA_TRANSPORT!$E:$E,AE44))/IF(OR(AE44="",$B$10=0),0,SUMIFS(DATA_TRANSPORT!$L:$L,DATA_TRANSPORT!$A:$A,$B$10-7,DATA_TRANSPORT!$E:$E,AE44)))</f>
        <v/>
      </c>
      <c r="AU44">
        <f>IF(IF(OR(AE44="",$B$10=0),0,SUMIFS(DATA_TRANSPORT!$L:$L,DATA_TRANSPORT!$A:$A,$B$10-14,DATA_TRANSPORT!$E:$E,AE44))=0,"",IF(OR(AE44="",$B$10=0),0,SUMIFS(DATA_TRANSPORT!$R:$R,DATA_TRANSPORT!$A:$A,$B$10-14,DATA_TRANSPORT!$E:$E,AE44))/IF(OR(AE44="",$B$10=0),0,SUMIFS(DATA_TRANSPORT!$L:$L,DATA_TRANSPORT!$A:$A,$B$10-14,DATA_TRANSPORT!$E:$E,AE44)))</f>
        <v/>
      </c>
      <c r="AV44">
        <f>IF(IF(OR(AE44="",$B$10=0),0,SUMIFS(DATA_TRANSPORT!$L:$L,DATA_TRANSPORT!$A:$A,$B$10-21,DATA_TRANSPORT!$E:$E,AE44))=0,"",IF(OR(AE44="",$B$10=0),0,SUMIFS(DATA_TRANSPORT!$R:$R,DATA_TRANSPORT!$A:$A,$B$10-21,DATA_TRANSPORT!$E:$E,AE44))/IF(OR(AE44="",$B$10=0),0,SUMIFS(DATA_TRANSPORT!$L:$L,DATA_TRANSPORT!$A:$A,$B$10-21,DATA_TRANSPORT!$E:$E,AE44)))</f>
        <v/>
      </c>
      <c r="AW44">
        <f>IF(AND(ISNUMBER(AK44),AK44&lt;UtilLow),1,0)+IF(AND(ISNUMBER(AT44),AT44&lt;UtilLow),1,0)+IF(AND(ISNUMBER(AU44),AU44&lt;UtilLow),1,0)+IF(AND(ISNUMBER(AV44),AV44&lt;UtilLow),1,0)</f>
        <v/>
      </c>
      <c r="AX44">
        <f>IF(AW44&gt;=UtilLowWeeks,AE44&amp;": seats only "&amp;TEXT(AK44,"0%")&amp;" full, under "&amp;TEXT(UtilLow,"0%")&amp;" for "&amp;AW44&amp;" weeks running",IF(AND(AH44&gt;0,AJ44&gt;=AH44*ExcessShare),AE44&amp;": "&amp;TEXT(AJ44,"#,##0")&amp;" riders beyond the seats — consider more buses",IF(AND(ISNUMBER(AP44),AP44&gt;0),AE44&amp;": FT spend ₦"&amp;TEXT(AP44,"#,##0")&amp;" over the weekly budget",IF(AS44&gt;0,AE44&amp;": "&amp;AS44&amp;" coaster breakdown(s) this week",""))))</f>
        <v/>
      </c>
      <c r="AY44">
        <f>IF(ISNUMBER(AK44),AK44+ROW()/1000000000,"")</f>
        <v/>
      </c>
      <c r="AZ44">
        <f>IF(ISNUMBER(AM44),AM44+ROW()/1000000,"")</f>
        <v/>
      </c>
      <c r="BA44">
        <f>IF(AND(ISNUMBER(AP44),AP44&gt;0),AP44+ROW()/1000000,"")</f>
        <v/>
      </c>
      <c r="BB44">
        <f>IF(AF44&gt;0,AF44+ROW()/1000000,"")</f>
        <v/>
      </c>
      <c r="BC44">
        <f>IF(AX44="","",ROW())</f>
        <v/>
      </c>
      <c r="BD44">
        <f>IF(AJ44&gt;0,AJ44+ROW()/1000000,"")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IF(B45="",0,COUNTIFS(DATA_TRANSPORT!$A:$A,B45,DATA_TRANSPORT!$E:$E,$B$6,DATA_TRANSPORT!$AD:$AD,$B$7))</f>
        <v/>
      </c>
      <c r="G45">
        <f>IF(F45=0,0,SUMIFS(DATA_TRANSPORT!$Q:$Q,DATA_TRANSPORT!$A:$A,B45,DATA_TRANSPORT!$E:$E,$B$6,DATA_TRANSPORT!$AD:$AD,$B$7))</f>
        <v/>
      </c>
      <c r="H45">
        <f>IF(F45=0,0,SUMIFS(DATA_TRANSPORT!$M:$M,DATA_TRANSPORT!$A:$A,B45,DATA_TRANSPORT!$E:$E,$B$6,DATA_TRANSPORT!$AD:$AD,$B$7))</f>
        <v/>
      </c>
      <c r="I45">
        <f>IF(F45=0,0,SUMIFS(DATA_TRANSPORT!$N:$N,DATA_TRANSPORT!$A:$A,B45,DATA_TRANSPORT!$E:$E,$B$6,DATA_TRANSPORT!$AD:$AD,$B$7))</f>
        <v/>
      </c>
      <c r="J45">
        <f>IF(F45=0,0,SUMIFS(DATA_TRANSPORT!$P:$P,DATA_TRANSPORT!$A:$A,B45,DATA_TRANSPORT!$E:$E,$B$6,DATA_TRANSPORT!$AD:$AD,$B$7))</f>
        <v/>
      </c>
      <c r="K45">
        <f>IF(F45=0,0,SUMIFS(DATA_TRANSPORT!$I:$I,DATA_TRANSPORT!$A:$A,B45,DATA_TRANSPORT!$E:$E,$B$6,DATA_TRANSPORT!$AD:$AD,$B$7))</f>
        <v/>
      </c>
      <c r="L45">
        <f>IF(F45=0,0,SUMIFS(DATA_TRANSPORT!$I:$I,DATA_TRANSPORT!$A:$A,B45,DATA_TRANSPORT!$E:$E,$B$6,DATA_TRANSPORT!$AD:$AD,$B$7,DATA_TRANSPORT!$V:$V,"Ran"))</f>
        <v/>
      </c>
      <c r="M45">
        <f>IF(F45=0,0,SUMIFS(DATA_TRANSPORT!$L:$L,DATA_TRANSPORT!$A:$A,B45,DATA_TRANSPORT!$E:$E,$B$6,DATA_TRANSPORT!$AD:$AD,$B$7))</f>
        <v/>
      </c>
      <c r="N45">
        <f>IF(F45=0,0,SUMIFS(DATA_TRANSPORT!$R:$R,DATA_TRANSPORT!$A:$A,B45,DATA_TRANSPORT!$E:$E,$B$6,DATA_TRANSPORT!$AD:$AD,$B$7))</f>
        <v/>
      </c>
      <c r="O45">
        <f>IF(F45=0,0,SUMIFS(DATA_TRANSPORT!$S:$S,DATA_TRANSPORT!$A:$A,B45,DATA_TRANSPORT!$E:$E,$B$6,DATA_TRANSPORT!$AD:$AD,$B$7))</f>
        <v/>
      </c>
      <c r="P45">
        <f>IF(F45=0,0,SUMIFS(DATA_TRANSPORT!$T:$T,DATA_TRANSPORT!$A:$A,B45,DATA_TRANSPORT!$E:$E,$B$6,DATA_TRANSPORT!$AD:$AD,$B$7))</f>
        <v/>
      </c>
      <c r="Q45">
        <f>IF(OR(B45="",$B$17),0,SUMIFS(DATA_TRANSPORT_COSTS!$M:$M,DATA_TRANSPORT_COSTS!$A:$A,B45,DATA_TRANSPORT_COSTS!$D:$D,$B$6))</f>
        <v/>
      </c>
      <c r="R45">
        <f>P45+Q45</f>
        <v/>
      </c>
      <c r="S45">
        <f>Q45+IF(F45=0,0,SUMIFS(DATA_TRANSPORT!$T:$T,DATA_TRANSPORT!$A:$A,B45,DATA_TRANSPORT!$E:$E,$B$6,DATA_TRANSPORT!$AD:$AD,$B$7,DATA_TRANSPORT!$U:$U,"Central"))</f>
        <v/>
      </c>
      <c r="T45">
        <f>IF(F45=0,0,SUMIFS(DATA_TRANSPORT!$T:$T,DATA_TRANSPORT!$A:$A,B45,DATA_TRANSPORT!$E:$E,$B$6,DATA_TRANSPORT!$AD:$AD,$B$7,DATA_TRANSPORT!$U:$U,"Members"))</f>
        <v/>
      </c>
      <c r="U45">
        <f>IF(OR(B45="",$B$17),0,SUMIFS(DATA_TRANSPORT_BUDGET!$G:$G,DATA_TRANSPORT_BUDGET!$A:$A,B45,DATA_TRANSPORT_BUDGET!$D:$D,$B$6))</f>
        <v/>
      </c>
      <c r="V45">
        <f>IF(F45=0,0,SUMIFS(DATA_TRANSPORT!$T:$T,DATA_TRANSPORT!$A:$A,B45,DATA_TRANSPORT!$E:$E,$B$6,DATA_TRANSPORT!$AD:$AD,$B$7,DATA_TRANSPORT!$C:$C,"FT Procured"))</f>
        <v/>
      </c>
      <c r="W45">
        <f>IF(F45=0,0,COUNTIFS(DATA_TRANSPORT!$A:$A,B45,DATA_TRANSPORT!$E:$E,$B$6,DATA_TRANSPORT!$AD:$AD,$B$7,DATA_TRANSPORT!$V:$V,"Breakdown"))</f>
        <v/>
      </c>
      <c r="X45">
        <f>IF(M45=0,0,N45/M45)</f>
        <v/>
      </c>
      <c r="Y45">
        <f>IF(F45&gt;0,1,0)</f>
        <v/>
      </c>
      <c r="Z45">
        <f>IF(AND(A45&gt;=1,A45&lt;=$B$11),Y45,0)</f>
        <v/>
      </c>
      <c r="AA45">
        <f>IF(AND(C45=$B$12,E45=$B$14),Y45,0)</f>
        <v/>
      </c>
      <c r="AB45">
        <f>IF(AND(D45=$B$13,E45=$B$14),Y45,0)</f>
        <v/>
      </c>
      <c r="AC45">
        <f>IF(E45=$B$14,Y45,0)</f>
        <v/>
      </c>
      <c r="AE45">
        <f>IFERROR(IF(INDEX(MASTER_AREAS!$F:$F,44)="N","",INDEX(MASTER_AREAS!$B:$B,44)&amp;""),"")</f>
        <v/>
      </c>
      <c r="AF45">
        <f>IF(OR(AE45="",$B$10=0),0,SUMIFS(DATA_TRANSPORT!$Q:$Q,DATA_TRANSPORT!$A:$A,$B$10,DATA_TRANSPORT!$E:$E,AE45))</f>
        <v/>
      </c>
      <c r="AG45">
        <f>IF(OR(AE45="",$B$10=0),0,SUMIFS(DATA_TRANSPORT!$I:$I,DATA_TRANSPORT!$A:$A,$B$10,DATA_TRANSPORT!$E:$E,AE45,DATA_TRANSPORT!$V:$V,"Ran"))</f>
        <v/>
      </c>
      <c r="AH45">
        <f>IF(OR(AE45="",$B$10=0),0,SUMIFS(DATA_TRANSPORT!$L:$L,DATA_TRANSPORT!$A:$A,$B$10,DATA_TRANSPORT!$E:$E,AE45))</f>
        <v/>
      </c>
      <c r="AI45">
        <f>IF(OR(AE45="",$B$10=0),0,SUMIFS(DATA_TRANSPORT!$R:$R,DATA_TRANSPORT!$A:$A,$B$10,DATA_TRANSPORT!$E:$E,AE45))</f>
        <v/>
      </c>
      <c r="AJ45">
        <f>IF(OR(AE45="",$B$10=0),0,SUMIFS(DATA_TRANSPORT!$S:$S,DATA_TRANSPORT!$A:$A,$B$10,DATA_TRANSPORT!$E:$E,AE45))</f>
        <v/>
      </c>
      <c r="AK45">
        <f>IF(AH45=0,"",AI45/AH45)</f>
        <v/>
      </c>
      <c r="AL45">
        <f>IF(OR(AE45="",$B$10=0),0,SUMIFS(DATA_TRANSPORT!$T:$T,DATA_TRANSPORT!$A:$A,$B$10,DATA_TRANSPORT!$E:$E,AE45))+IF(OR(AE45="",$B$10=0),0,SUMIFS(DATA_TRANSPORT_COSTS!$M:$M,DATA_TRANSPORT_COSTS!$A:$A,$B$10,DATA_TRANSPORT_COSTS!$D:$D,AE45))</f>
        <v/>
      </c>
      <c r="AM45">
        <f>IF(OR(AF45=0,AL45=0),"",AL45/AF45)</f>
        <v/>
      </c>
      <c r="AN45">
        <f>IF(OR(AE45="",$B$10=0),0,SUMIFS(DATA_TRANSPORT!$T:$T,DATA_TRANSPORT!$A:$A,$B$10,DATA_TRANSPORT!$E:$E,AE45,DATA_TRANSPORT!$C:$C,"FT Procured"))</f>
        <v/>
      </c>
      <c r="AO45">
        <f>IF(OR(AE45="",$B$10=0),0,SUMIFS(DATA_TRANSPORT_BUDGET!$G:$G,DATA_TRANSPORT_BUDGET!$A:$A,$B$10,DATA_TRANSPORT_BUDGET!$D:$D,AE45))</f>
        <v/>
      </c>
      <c r="AP45">
        <f>IF(AO45=0,"",AN45-AO45)</f>
        <v/>
      </c>
      <c r="AQ45">
        <f>IF(OR(AE45="",$B$10=0),0,COUNTIFS(DATA_TRANSPORT!$A:$A,$B$10,DATA_TRANSPORT!$E:$E,AE45,DATA_TRANSPORT!$C:$C,"FT Procured",DATA_TRANSPORT!$Z:$Z,"Y"))</f>
        <v/>
      </c>
      <c r="AR45">
        <f>IF(OR(AE45="",$B$10=0),0,SUMIFS(DATA_TRANSPORT_BUDGET!$E:$E,DATA_TRANSPORT_BUDGET!$A:$A,$B$10,DATA_TRANSPORT_BUDGET!$D:$D,AE45))</f>
        <v/>
      </c>
      <c r="AS45">
        <f>IF(OR(AE45="",$B$10=0),0,COUNTIFS(DATA_TRANSPORT!$A:$A,$B$10,DATA_TRANSPORT!$E:$E,AE45,DATA_TRANSPORT!$V:$V,"Breakdown"))</f>
        <v/>
      </c>
      <c r="AT45">
        <f>IF(IF(OR(AE45="",$B$10=0),0,SUMIFS(DATA_TRANSPORT!$L:$L,DATA_TRANSPORT!$A:$A,$B$10-7,DATA_TRANSPORT!$E:$E,AE45))=0,"",IF(OR(AE45="",$B$10=0),0,SUMIFS(DATA_TRANSPORT!$R:$R,DATA_TRANSPORT!$A:$A,$B$10-7,DATA_TRANSPORT!$E:$E,AE45))/IF(OR(AE45="",$B$10=0),0,SUMIFS(DATA_TRANSPORT!$L:$L,DATA_TRANSPORT!$A:$A,$B$10-7,DATA_TRANSPORT!$E:$E,AE45)))</f>
        <v/>
      </c>
      <c r="AU45">
        <f>IF(IF(OR(AE45="",$B$10=0),0,SUMIFS(DATA_TRANSPORT!$L:$L,DATA_TRANSPORT!$A:$A,$B$10-14,DATA_TRANSPORT!$E:$E,AE45))=0,"",IF(OR(AE45="",$B$10=0),0,SUMIFS(DATA_TRANSPORT!$R:$R,DATA_TRANSPORT!$A:$A,$B$10-14,DATA_TRANSPORT!$E:$E,AE45))/IF(OR(AE45="",$B$10=0),0,SUMIFS(DATA_TRANSPORT!$L:$L,DATA_TRANSPORT!$A:$A,$B$10-14,DATA_TRANSPORT!$E:$E,AE45)))</f>
        <v/>
      </c>
      <c r="AV45">
        <f>IF(IF(OR(AE45="",$B$10=0),0,SUMIFS(DATA_TRANSPORT!$L:$L,DATA_TRANSPORT!$A:$A,$B$10-21,DATA_TRANSPORT!$E:$E,AE45))=0,"",IF(OR(AE45="",$B$10=0),0,SUMIFS(DATA_TRANSPORT!$R:$R,DATA_TRANSPORT!$A:$A,$B$10-21,DATA_TRANSPORT!$E:$E,AE45))/IF(OR(AE45="",$B$10=0),0,SUMIFS(DATA_TRANSPORT!$L:$L,DATA_TRANSPORT!$A:$A,$B$10-21,DATA_TRANSPORT!$E:$E,AE45)))</f>
        <v/>
      </c>
      <c r="AW45">
        <f>IF(AND(ISNUMBER(AK45),AK45&lt;UtilLow),1,0)+IF(AND(ISNUMBER(AT45),AT45&lt;UtilLow),1,0)+IF(AND(ISNUMBER(AU45),AU45&lt;UtilLow),1,0)+IF(AND(ISNUMBER(AV45),AV45&lt;UtilLow),1,0)</f>
        <v/>
      </c>
      <c r="AX45">
        <f>IF(AW45&gt;=UtilLowWeeks,AE45&amp;": seats only "&amp;TEXT(AK45,"0%")&amp;" full, under "&amp;TEXT(UtilLow,"0%")&amp;" for "&amp;AW45&amp;" weeks running",IF(AND(AH45&gt;0,AJ45&gt;=AH45*ExcessShare),AE45&amp;": "&amp;TEXT(AJ45,"#,##0")&amp;" riders beyond the seats — consider more buses",IF(AND(ISNUMBER(AP45),AP45&gt;0),AE45&amp;": FT spend ₦"&amp;TEXT(AP45,"#,##0")&amp;" over the weekly budget",IF(AS45&gt;0,AE45&amp;": "&amp;AS45&amp;" coaster breakdown(s) this week",""))))</f>
        <v/>
      </c>
      <c r="AY45">
        <f>IF(ISNUMBER(AK45),AK45+ROW()/1000000000,"")</f>
        <v/>
      </c>
      <c r="AZ45">
        <f>IF(ISNUMBER(AM45),AM45+ROW()/1000000,"")</f>
        <v/>
      </c>
      <c r="BA45">
        <f>IF(AND(ISNUMBER(AP45),AP45&gt;0),AP45+ROW()/1000000,"")</f>
        <v/>
      </c>
      <c r="BB45">
        <f>IF(AF45&gt;0,AF45+ROW()/1000000,"")</f>
        <v/>
      </c>
      <c r="BC45">
        <f>IF(AX45="","",ROW())</f>
        <v/>
      </c>
      <c r="BD45">
        <f>IF(AJ45&gt;0,AJ45+ROW()/1000000,"")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IF(B46="",0,COUNTIFS(DATA_TRANSPORT!$A:$A,B46,DATA_TRANSPORT!$E:$E,$B$6,DATA_TRANSPORT!$AD:$AD,$B$7))</f>
        <v/>
      </c>
      <c r="G46">
        <f>IF(F46=0,0,SUMIFS(DATA_TRANSPORT!$Q:$Q,DATA_TRANSPORT!$A:$A,B46,DATA_TRANSPORT!$E:$E,$B$6,DATA_TRANSPORT!$AD:$AD,$B$7))</f>
        <v/>
      </c>
      <c r="H46">
        <f>IF(F46=0,0,SUMIFS(DATA_TRANSPORT!$M:$M,DATA_TRANSPORT!$A:$A,B46,DATA_TRANSPORT!$E:$E,$B$6,DATA_TRANSPORT!$AD:$AD,$B$7))</f>
        <v/>
      </c>
      <c r="I46">
        <f>IF(F46=0,0,SUMIFS(DATA_TRANSPORT!$N:$N,DATA_TRANSPORT!$A:$A,B46,DATA_TRANSPORT!$E:$E,$B$6,DATA_TRANSPORT!$AD:$AD,$B$7))</f>
        <v/>
      </c>
      <c r="J46">
        <f>IF(F46=0,0,SUMIFS(DATA_TRANSPORT!$P:$P,DATA_TRANSPORT!$A:$A,B46,DATA_TRANSPORT!$E:$E,$B$6,DATA_TRANSPORT!$AD:$AD,$B$7))</f>
        <v/>
      </c>
      <c r="K46">
        <f>IF(F46=0,0,SUMIFS(DATA_TRANSPORT!$I:$I,DATA_TRANSPORT!$A:$A,B46,DATA_TRANSPORT!$E:$E,$B$6,DATA_TRANSPORT!$AD:$AD,$B$7))</f>
        <v/>
      </c>
      <c r="L46">
        <f>IF(F46=0,0,SUMIFS(DATA_TRANSPORT!$I:$I,DATA_TRANSPORT!$A:$A,B46,DATA_TRANSPORT!$E:$E,$B$6,DATA_TRANSPORT!$AD:$AD,$B$7,DATA_TRANSPORT!$V:$V,"Ran"))</f>
        <v/>
      </c>
      <c r="M46">
        <f>IF(F46=0,0,SUMIFS(DATA_TRANSPORT!$L:$L,DATA_TRANSPORT!$A:$A,B46,DATA_TRANSPORT!$E:$E,$B$6,DATA_TRANSPORT!$AD:$AD,$B$7))</f>
        <v/>
      </c>
      <c r="N46">
        <f>IF(F46=0,0,SUMIFS(DATA_TRANSPORT!$R:$R,DATA_TRANSPORT!$A:$A,B46,DATA_TRANSPORT!$E:$E,$B$6,DATA_TRANSPORT!$AD:$AD,$B$7))</f>
        <v/>
      </c>
      <c r="O46">
        <f>IF(F46=0,0,SUMIFS(DATA_TRANSPORT!$S:$S,DATA_TRANSPORT!$A:$A,B46,DATA_TRANSPORT!$E:$E,$B$6,DATA_TRANSPORT!$AD:$AD,$B$7))</f>
        <v/>
      </c>
      <c r="P46">
        <f>IF(F46=0,0,SUMIFS(DATA_TRANSPORT!$T:$T,DATA_TRANSPORT!$A:$A,B46,DATA_TRANSPORT!$E:$E,$B$6,DATA_TRANSPORT!$AD:$AD,$B$7))</f>
        <v/>
      </c>
      <c r="Q46">
        <f>IF(OR(B46="",$B$17),0,SUMIFS(DATA_TRANSPORT_COSTS!$M:$M,DATA_TRANSPORT_COSTS!$A:$A,B46,DATA_TRANSPORT_COSTS!$D:$D,$B$6))</f>
        <v/>
      </c>
      <c r="R46">
        <f>P46+Q46</f>
        <v/>
      </c>
      <c r="S46">
        <f>Q46+IF(F46=0,0,SUMIFS(DATA_TRANSPORT!$T:$T,DATA_TRANSPORT!$A:$A,B46,DATA_TRANSPORT!$E:$E,$B$6,DATA_TRANSPORT!$AD:$AD,$B$7,DATA_TRANSPORT!$U:$U,"Central"))</f>
        <v/>
      </c>
      <c r="T46">
        <f>IF(F46=0,0,SUMIFS(DATA_TRANSPORT!$T:$T,DATA_TRANSPORT!$A:$A,B46,DATA_TRANSPORT!$E:$E,$B$6,DATA_TRANSPORT!$AD:$AD,$B$7,DATA_TRANSPORT!$U:$U,"Members"))</f>
        <v/>
      </c>
      <c r="U46">
        <f>IF(OR(B46="",$B$17),0,SUMIFS(DATA_TRANSPORT_BUDGET!$G:$G,DATA_TRANSPORT_BUDGET!$A:$A,B46,DATA_TRANSPORT_BUDGET!$D:$D,$B$6))</f>
        <v/>
      </c>
      <c r="V46">
        <f>IF(F46=0,0,SUMIFS(DATA_TRANSPORT!$T:$T,DATA_TRANSPORT!$A:$A,B46,DATA_TRANSPORT!$E:$E,$B$6,DATA_TRANSPORT!$AD:$AD,$B$7,DATA_TRANSPORT!$C:$C,"FT Procured"))</f>
        <v/>
      </c>
      <c r="W46">
        <f>IF(F46=0,0,COUNTIFS(DATA_TRANSPORT!$A:$A,B46,DATA_TRANSPORT!$E:$E,$B$6,DATA_TRANSPORT!$AD:$AD,$B$7,DATA_TRANSPORT!$V:$V,"Breakdown"))</f>
        <v/>
      </c>
      <c r="X46">
        <f>IF(M46=0,0,N46/M46)</f>
        <v/>
      </c>
      <c r="Y46">
        <f>IF(F46&gt;0,1,0)</f>
        <v/>
      </c>
      <c r="Z46">
        <f>IF(AND(A46&gt;=1,A46&lt;=$B$11),Y46,0)</f>
        <v/>
      </c>
      <c r="AA46">
        <f>IF(AND(C46=$B$12,E46=$B$14),Y46,0)</f>
        <v/>
      </c>
      <c r="AB46">
        <f>IF(AND(D46=$B$13,E46=$B$14),Y46,0)</f>
        <v/>
      </c>
      <c r="AC46">
        <f>IF(E46=$B$14,Y46,0)</f>
        <v/>
      </c>
      <c r="AE46">
        <f>IFERROR(IF(INDEX(MASTER_AREAS!$F:$F,45)="N","",INDEX(MASTER_AREAS!$B:$B,45)&amp;""),"")</f>
        <v/>
      </c>
      <c r="AF46">
        <f>IF(OR(AE46="",$B$10=0),0,SUMIFS(DATA_TRANSPORT!$Q:$Q,DATA_TRANSPORT!$A:$A,$B$10,DATA_TRANSPORT!$E:$E,AE46))</f>
        <v/>
      </c>
      <c r="AG46">
        <f>IF(OR(AE46="",$B$10=0),0,SUMIFS(DATA_TRANSPORT!$I:$I,DATA_TRANSPORT!$A:$A,$B$10,DATA_TRANSPORT!$E:$E,AE46,DATA_TRANSPORT!$V:$V,"Ran"))</f>
        <v/>
      </c>
      <c r="AH46">
        <f>IF(OR(AE46="",$B$10=0),0,SUMIFS(DATA_TRANSPORT!$L:$L,DATA_TRANSPORT!$A:$A,$B$10,DATA_TRANSPORT!$E:$E,AE46))</f>
        <v/>
      </c>
      <c r="AI46">
        <f>IF(OR(AE46="",$B$10=0),0,SUMIFS(DATA_TRANSPORT!$R:$R,DATA_TRANSPORT!$A:$A,$B$10,DATA_TRANSPORT!$E:$E,AE46))</f>
        <v/>
      </c>
      <c r="AJ46">
        <f>IF(OR(AE46="",$B$10=0),0,SUMIFS(DATA_TRANSPORT!$S:$S,DATA_TRANSPORT!$A:$A,$B$10,DATA_TRANSPORT!$E:$E,AE46))</f>
        <v/>
      </c>
      <c r="AK46">
        <f>IF(AH46=0,"",AI46/AH46)</f>
        <v/>
      </c>
      <c r="AL46">
        <f>IF(OR(AE46="",$B$10=0),0,SUMIFS(DATA_TRANSPORT!$T:$T,DATA_TRANSPORT!$A:$A,$B$10,DATA_TRANSPORT!$E:$E,AE46))+IF(OR(AE46="",$B$10=0),0,SUMIFS(DATA_TRANSPORT_COSTS!$M:$M,DATA_TRANSPORT_COSTS!$A:$A,$B$10,DATA_TRANSPORT_COSTS!$D:$D,AE46))</f>
        <v/>
      </c>
      <c r="AM46">
        <f>IF(OR(AF46=0,AL46=0),"",AL46/AF46)</f>
        <v/>
      </c>
      <c r="AN46">
        <f>IF(OR(AE46="",$B$10=0),0,SUMIFS(DATA_TRANSPORT!$T:$T,DATA_TRANSPORT!$A:$A,$B$10,DATA_TRANSPORT!$E:$E,AE46,DATA_TRANSPORT!$C:$C,"FT Procured"))</f>
        <v/>
      </c>
      <c r="AO46">
        <f>IF(OR(AE46="",$B$10=0),0,SUMIFS(DATA_TRANSPORT_BUDGET!$G:$G,DATA_TRANSPORT_BUDGET!$A:$A,$B$10,DATA_TRANSPORT_BUDGET!$D:$D,AE46))</f>
        <v/>
      </c>
      <c r="AP46">
        <f>IF(AO46=0,"",AN46-AO46)</f>
        <v/>
      </c>
      <c r="AQ46">
        <f>IF(OR(AE46="",$B$10=0),0,COUNTIFS(DATA_TRANSPORT!$A:$A,$B$10,DATA_TRANSPORT!$E:$E,AE46,DATA_TRANSPORT!$C:$C,"FT Procured",DATA_TRANSPORT!$Z:$Z,"Y"))</f>
        <v/>
      </c>
      <c r="AR46">
        <f>IF(OR(AE46="",$B$10=0),0,SUMIFS(DATA_TRANSPORT_BUDGET!$E:$E,DATA_TRANSPORT_BUDGET!$A:$A,$B$10,DATA_TRANSPORT_BUDGET!$D:$D,AE46))</f>
        <v/>
      </c>
      <c r="AS46">
        <f>IF(OR(AE46="",$B$10=0),0,COUNTIFS(DATA_TRANSPORT!$A:$A,$B$10,DATA_TRANSPORT!$E:$E,AE46,DATA_TRANSPORT!$V:$V,"Breakdown"))</f>
        <v/>
      </c>
      <c r="AT46">
        <f>IF(IF(OR(AE46="",$B$10=0),0,SUMIFS(DATA_TRANSPORT!$L:$L,DATA_TRANSPORT!$A:$A,$B$10-7,DATA_TRANSPORT!$E:$E,AE46))=0,"",IF(OR(AE46="",$B$10=0),0,SUMIFS(DATA_TRANSPORT!$R:$R,DATA_TRANSPORT!$A:$A,$B$10-7,DATA_TRANSPORT!$E:$E,AE46))/IF(OR(AE46="",$B$10=0),0,SUMIFS(DATA_TRANSPORT!$L:$L,DATA_TRANSPORT!$A:$A,$B$10-7,DATA_TRANSPORT!$E:$E,AE46)))</f>
        <v/>
      </c>
      <c r="AU46">
        <f>IF(IF(OR(AE46="",$B$10=0),0,SUMIFS(DATA_TRANSPORT!$L:$L,DATA_TRANSPORT!$A:$A,$B$10-14,DATA_TRANSPORT!$E:$E,AE46))=0,"",IF(OR(AE46="",$B$10=0),0,SUMIFS(DATA_TRANSPORT!$R:$R,DATA_TRANSPORT!$A:$A,$B$10-14,DATA_TRANSPORT!$E:$E,AE46))/IF(OR(AE46="",$B$10=0),0,SUMIFS(DATA_TRANSPORT!$L:$L,DATA_TRANSPORT!$A:$A,$B$10-14,DATA_TRANSPORT!$E:$E,AE46)))</f>
        <v/>
      </c>
      <c r="AV46">
        <f>IF(IF(OR(AE46="",$B$10=0),0,SUMIFS(DATA_TRANSPORT!$L:$L,DATA_TRANSPORT!$A:$A,$B$10-21,DATA_TRANSPORT!$E:$E,AE46))=0,"",IF(OR(AE46="",$B$10=0),0,SUMIFS(DATA_TRANSPORT!$R:$R,DATA_TRANSPORT!$A:$A,$B$10-21,DATA_TRANSPORT!$E:$E,AE46))/IF(OR(AE46="",$B$10=0),0,SUMIFS(DATA_TRANSPORT!$L:$L,DATA_TRANSPORT!$A:$A,$B$10-21,DATA_TRANSPORT!$E:$E,AE46)))</f>
        <v/>
      </c>
      <c r="AW46">
        <f>IF(AND(ISNUMBER(AK46),AK46&lt;UtilLow),1,0)+IF(AND(ISNUMBER(AT46),AT46&lt;UtilLow),1,0)+IF(AND(ISNUMBER(AU46),AU46&lt;UtilLow),1,0)+IF(AND(ISNUMBER(AV46),AV46&lt;UtilLow),1,0)</f>
        <v/>
      </c>
      <c r="AX46">
        <f>IF(AW46&gt;=UtilLowWeeks,AE46&amp;": seats only "&amp;TEXT(AK46,"0%")&amp;" full, under "&amp;TEXT(UtilLow,"0%")&amp;" for "&amp;AW46&amp;" weeks running",IF(AND(AH46&gt;0,AJ46&gt;=AH46*ExcessShare),AE46&amp;": "&amp;TEXT(AJ46,"#,##0")&amp;" riders beyond the seats — consider more buses",IF(AND(ISNUMBER(AP46),AP46&gt;0),AE46&amp;": FT spend ₦"&amp;TEXT(AP46,"#,##0")&amp;" over the weekly budget",IF(AS46&gt;0,AE46&amp;": "&amp;AS46&amp;" coaster breakdown(s) this week",""))))</f>
        <v/>
      </c>
      <c r="AY46">
        <f>IF(ISNUMBER(AK46),AK46+ROW()/1000000000,"")</f>
        <v/>
      </c>
      <c r="AZ46">
        <f>IF(ISNUMBER(AM46),AM46+ROW()/1000000,"")</f>
        <v/>
      </c>
      <c r="BA46">
        <f>IF(AND(ISNUMBER(AP46),AP46&gt;0),AP46+ROW()/1000000,"")</f>
        <v/>
      </c>
      <c r="BB46">
        <f>IF(AF46&gt;0,AF46+ROW()/1000000,"")</f>
        <v/>
      </c>
      <c r="BC46">
        <f>IF(AX46="","",ROW())</f>
        <v/>
      </c>
      <c r="BD46">
        <f>IF(AJ46&gt;0,AJ46+ROW()/1000000,"")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IF(B47="",0,COUNTIFS(DATA_TRANSPORT!$A:$A,B47,DATA_TRANSPORT!$E:$E,$B$6,DATA_TRANSPORT!$AD:$AD,$B$7))</f>
        <v/>
      </c>
      <c r="G47">
        <f>IF(F47=0,0,SUMIFS(DATA_TRANSPORT!$Q:$Q,DATA_TRANSPORT!$A:$A,B47,DATA_TRANSPORT!$E:$E,$B$6,DATA_TRANSPORT!$AD:$AD,$B$7))</f>
        <v/>
      </c>
      <c r="H47">
        <f>IF(F47=0,0,SUMIFS(DATA_TRANSPORT!$M:$M,DATA_TRANSPORT!$A:$A,B47,DATA_TRANSPORT!$E:$E,$B$6,DATA_TRANSPORT!$AD:$AD,$B$7))</f>
        <v/>
      </c>
      <c r="I47">
        <f>IF(F47=0,0,SUMIFS(DATA_TRANSPORT!$N:$N,DATA_TRANSPORT!$A:$A,B47,DATA_TRANSPORT!$E:$E,$B$6,DATA_TRANSPORT!$AD:$AD,$B$7))</f>
        <v/>
      </c>
      <c r="J47">
        <f>IF(F47=0,0,SUMIFS(DATA_TRANSPORT!$P:$P,DATA_TRANSPORT!$A:$A,B47,DATA_TRANSPORT!$E:$E,$B$6,DATA_TRANSPORT!$AD:$AD,$B$7))</f>
        <v/>
      </c>
      <c r="K47">
        <f>IF(F47=0,0,SUMIFS(DATA_TRANSPORT!$I:$I,DATA_TRANSPORT!$A:$A,B47,DATA_TRANSPORT!$E:$E,$B$6,DATA_TRANSPORT!$AD:$AD,$B$7))</f>
        <v/>
      </c>
      <c r="L47">
        <f>IF(F47=0,0,SUMIFS(DATA_TRANSPORT!$I:$I,DATA_TRANSPORT!$A:$A,B47,DATA_TRANSPORT!$E:$E,$B$6,DATA_TRANSPORT!$AD:$AD,$B$7,DATA_TRANSPORT!$V:$V,"Ran"))</f>
        <v/>
      </c>
      <c r="M47">
        <f>IF(F47=0,0,SUMIFS(DATA_TRANSPORT!$L:$L,DATA_TRANSPORT!$A:$A,B47,DATA_TRANSPORT!$E:$E,$B$6,DATA_TRANSPORT!$AD:$AD,$B$7))</f>
        <v/>
      </c>
      <c r="N47">
        <f>IF(F47=0,0,SUMIFS(DATA_TRANSPORT!$R:$R,DATA_TRANSPORT!$A:$A,B47,DATA_TRANSPORT!$E:$E,$B$6,DATA_TRANSPORT!$AD:$AD,$B$7))</f>
        <v/>
      </c>
      <c r="O47">
        <f>IF(F47=0,0,SUMIFS(DATA_TRANSPORT!$S:$S,DATA_TRANSPORT!$A:$A,B47,DATA_TRANSPORT!$E:$E,$B$6,DATA_TRANSPORT!$AD:$AD,$B$7))</f>
        <v/>
      </c>
      <c r="P47">
        <f>IF(F47=0,0,SUMIFS(DATA_TRANSPORT!$T:$T,DATA_TRANSPORT!$A:$A,B47,DATA_TRANSPORT!$E:$E,$B$6,DATA_TRANSPORT!$AD:$AD,$B$7))</f>
        <v/>
      </c>
      <c r="Q47">
        <f>IF(OR(B47="",$B$17),0,SUMIFS(DATA_TRANSPORT_COSTS!$M:$M,DATA_TRANSPORT_COSTS!$A:$A,B47,DATA_TRANSPORT_COSTS!$D:$D,$B$6))</f>
        <v/>
      </c>
      <c r="R47">
        <f>P47+Q47</f>
        <v/>
      </c>
      <c r="S47">
        <f>Q47+IF(F47=0,0,SUMIFS(DATA_TRANSPORT!$T:$T,DATA_TRANSPORT!$A:$A,B47,DATA_TRANSPORT!$E:$E,$B$6,DATA_TRANSPORT!$AD:$AD,$B$7,DATA_TRANSPORT!$U:$U,"Central"))</f>
        <v/>
      </c>
      <c r="T47">
        <f>IF(F47=0,0,SUMIFS(DATA_TRANSPORT!$T:$T,DATA_TRANSPORT!$A:$A,B47,DATA_TRANSPORT!$E:$E,$B$6,DATA_TRANSPORT!$AD:$AD,$B$7,DATA_TRANSPORT!$U:$U,"Members"))</f>
        <v/>
      </c>
      <c r="U47">
        <f>IF(OR(B47="",$B$17),0,SUMIFS(DATA_TRANSPORT_BUDGET!$G:$G,DATA_TRANSPORT_BUDGET!$A:$A,B47,DATA_TRANSPORT_BUDGET!$D:$D,$B$6))</f>
        <v/>
      </c>
      <c r="V47">
        <f>IF(F47=0,0,SUMIFS(DATA_TRANSPORT!$T:$T,DATA_TRANSPORT!$A:$A,B47,DATA_TRANSPORT!$E:$E,$B$6,DATA_TRANSPORT!$AD:$AD,$B$7,DATA_TRANSPORT!$C:$C,"FT Procured"))</f>
        <v/>
      </c>
      <c r="W47">
        <f>IF(F47=0,0,COUNTIFS(DATA_TRANSPORT!$A:$A,B47,DATA_TRANSPORT!$E:$E,$B$6,DATA_TRANSPORT!$AD:$AD,$B$7,DATA_TRANSPORT!$V:$V,"Breakdown"))</f>
        <v/>
      </c>
      <c r="X47">
        <f>IF(M47=0,0,N47/M47)</f>
        <v/>
      </c>
      <c r="Y47">
        <f>IF(F47&gt;0,1,0)</f>
        <v/>
      </c>
      <c r="Z47">
        <f>IF(AND(A47&gt;=1,A47&lt;=$B$11),Y47,0)</f>
        <v/>
      </c>
      <c r="AA47">
        <f>IF(AND(C47=$B$12,E47=$B$14),Y47,0)</f>
        <v/>
      </c>
      <c r="AB47">
        <f>IF(AND(D47=$B$13,E47=$B$14),Y47,0)</f>
        <v/>
      </c>
      <c r="AC47">
        <f>IF(E47=$B$14,Y47,0)</f>
        <v/>
      </c>
      <c r="AE47">
        <f>IFERROR(IF(INDEX(MASTER_AREAS!$F:$F,46)="N","",INDEX(MASTER_AREAS!$B:$B,46)&amp;""),"")</f>
        <v/>
      </c>
      <c r="AF47">
        <f>IF(OR(AE47="",$B$10=0),0,SUMIFS(DATA_TRANSPORT!$Q:$Q,DATA_TRANSPORT!$A:$A,$B$10,DATA_TRANSPORT!$E:$E,AE47))</f>
        <v/>
      </c>
      <c r="AG47">
        <f>IF(OR(AE47="",$B$10=0),0,SUMIFS(DATA_TRANSPORT!$I:$I,DATA_TRANSPORT!$A:$A,$B$10,DATA_TRANSPORT!$E:$E,AE47,DATA_TRANSPORT!$V:$V,"Ran"))</f>
        <v/>
      </c>
      <c r="AH47">
        <f>IF(OR(AE47="",$B$10=0),0,SUMIFS(DATA_TRANSPORT!$L:$L,DATA_TRANSPORT!$A:$A,$B$10,DATA_TRANSPORT!$E:$E,AE47))</f>
        <v/>
      </c>
      <c r="AI47">
        <f>IF(OR(AE47="",$B$10=0),0,SUMIFS(DATA_TRANSPORT!$R:$R,DATA_TRANSPORT!$A:$A,$B$10,DATA_TRANSPORT!$E:$E,AE47))</f>
        <v/>
      </c>
      <c r="AJ47">
        <f>IF(OR(AE47="",$B$10=0),0,SUMIFS(DATA_TRANSPORT!$S:$S,DATA_TRANSPORT!$A:$A,$B$10,DATA_TRANSPORT!$E:$E,AE47))</f>
        <v/>
      </c>
      <c r="AK47">
        <f>IF(AH47=0,"",AI47/AH47)</f>
        <v/>
      </c>
      <c r="AL47">
        <f>IF(OR(AE47="",$B$10=0),0,SUMIFS(DATA_TRANSPORT!$T:$T,DATA_TRANSPORT!$A:$A,$B$10,DATA_TRANSPORT!$E:$E,AE47))+IF(OR(AE47="",$B$10=0),0,SUMIFS(DATA_TRANSPORT_COSTS!$M:$M,DATA_TRANSPORT_COSTS!$A:$A,$B$10,DATA_TRANSPORT_COSTS!$D:$D,AE47))</f>
        <v/>
      </c>
      <c r="AM47">
        <f>IF(OR(AF47=0,AL47=0),"",AL47/AF47)</f>
        <v/>
      </c>
      <c r="AN47">
        <f>IF(OR(AE47="",$B$10=0),0,SUMIFS(DATA_TRANSPORT!$T:$T,DATA_TRANSPORT!$A:$A,$B$10,DATA_TRANSPORT!$E:$E,AE47,DATA_TRANSPORT!$C:$C,"FT Procured"))</f>
        <v/>
      </c>
      <c r="AO47">
        <f>IF(OR(AE47="",$B$10=0),0,SUMIFS(DATA_TRANSPORT_BUDGET!$G:$G,DATA_TRANSPORT_BUDGET!$A:$A,$B$10,DATA_TRANSPORT_BUDGET!$D:$D,AE47))</f>
        <v/>
      </c>
      <c r="AP47">
        <f>IF(AO47=0,"",AN47-AO47)</f>
        <v/>
      </c>
      <c r="AQ47">
        <f>IF(OR(AE47="",$B$10=0),0,COUNTIFS(DATA_TRANSPORT!$A:$A,$B$10,DATA_TRANSPORT!$E:$E,AE47,DATA_TRANSPORT!$C:$C,"FT Procured",DATA_TRANSPORT!$Z:$Z,"Y"))</f>
        <v/>
      </c>
      <c r="AR47">
        <f>IF(OR(AE47="",$B$10=0),0,SUMIFS(DATA_TRANSPORT_BUDGET!$E:$E,DATA_TRANSPORT_BUDGET!$A:$A,$B$10,DATA_TRANSPORT_BUDGET!$D:$D,AE47))</f>
        <v/>
      </c>
      <c r="AS47">
        <f>IF(OR(AE47="",$B$10=0),0,COUNTIFS(DATA_TRANSPORT!$A:$A,$B$10,DATA_TRANSPORT!$E:$E,AE47,DATA_TRANSPORT!$V:$V,"Breakdown"))</f>
        <v/>
      </c>
      <c r="AT47">
        <f>IF(IF(OR(AE47="",$B$10=0),0,SUMIFS(DATA_TRANSPORT!$L:$L,DATA_TRANSPORT!$A:$A,$B$10-7,DATA_TRANSPORT!$E:$E,AE47))=0,"",IF(OR(AE47="",$B$10=0),0,SUMIFS(DATA_TRANSPORT!$R:$R,DATA_TRANSPORT!$A:$A,$B$10-7,DATA_TRANSPORT!$E:$E,AE47))/IF(OR(AE47="",$B$10=0),0,SUMIFS(DATA_TRANSPORT!$L:$L,DATA_TRANSPORT!$A:$A,$B$10-7,DATA_TRANSPORT!$E:$E,AE47)))</f>
        <v/>
      </c>
      <c r="AU47">
        <f>IF(IF(OR(AE47="",$B$10=0),0,SUMIFS(DATA_TRANSPORT!$L:$L,DATA_TRANSPORT!$A:$A,$B$10-14,DATA_TRANSPORT!$E:$E,AE47))=0,"",IF(OR(AE47="",$B$10=0),0,SUMIFS(DATA_TRANSPORT!$R:$R,DATA_TRANSPORT!$A:$A,$B$10-14,DATA_TRANSPORT!$E:$E,AE47))/IF(OR(AE47="",$B$10=0),0,SUMIFS(DATA_TRANSPORT!$L:$L,DATA_TRANSPORT!$A:$A,$B$10-14,DATA_TRANSPORT!$E:$E,AE47)))</f>
        <v/>
      </c>
      <c r="AV47">
        <f>IF(IF(OR(AE47="",$B$10=0),0,SUMIFS(DATA_TRANSPORT!$L:$L,DATA_TRANSPORT!$A:$A,$B$10-21,DATA_TRANSPORT!$E:$E,AE47))=0,"",IF(OR(AE47="",$B$10=0),0,SUMIFS(DATA_TRANSPORT!$R:$R,DATA_TRANSPORT!$A:$A,$B$10-21,DATA_TRANSPORT!$E:$E,AE47))/IF(OR(AE47="",$B$10=0),0,SUMIFS(DATA_TRANSPORT!$L:$L,DATA_TRANSPORT!$A:$A,$B$10-21,DATA_TRANSPORT!$E:$E,AE47)))</f>
        <v/>
      </c>
      <c r="AW47">
        <f>IF(AND(ISNUMBER(AK47),AK47&lt;UtilLow),1,0)+IF(AND(ISNUMBER(AT47),AT47&lt;UtilLow),1,0)+IF(AND(ISNUMBER(AU47),AU47&lt;UtilLow),1,0)+IF(AND(ISNUMBER(AV47),AV47&lt;UtilLow),1,0)</f>
        <v/>
      </c>
      <c r="AX47">
        <f>IF(AW47&gt;=UtilLowWeeks,AE47&amp;": seats only "&amp;TEXT(AK47,"0%")&amp;" full, under "&amp;TEXT(UtilLow,"0%")&amp;" for "&amp;AW47&amp;" weeks running",IF(AND(AH47&gt;0,AJ47&gt;=AH47*ExcessShare),AE47&amp;": "&amp;TEXT(AJ47,"#,##0")&amp;" riders beyond the seats — consider more buses",IF(AND(ISNUMBER(AP47),AP47&gt;0),AE47&amp;": FT spend ₦"&amp;TEXT(AP47,"#,##0")&amp;" over the weekly budget",IF(AS47&gt;0,AE47&amp;": "&amp;AS47&amp;" coaster breakdown(s) this week",""))))</f>
        <v/>
      </c>
      <c r="AY47">
        <f>IF(ISNUMBER(AK47),AK47+ROW()/1000000000,"")</f>
        <v/>
      </c>
      <c r="AZ47">
        <f>IF(ISNUMBER(AM47),AM47+ROW()/1000000,"")</f>
        <v/>
      </c>
      <c r="BA47">
        <f>IF(AND(ISNUMBER(AP47),AP47&gt;0),AP47+ROW()/1000000,"")</f>
        <v/>
      </c>
      <c r="BB47">
        <f>IF(AF47&gt;0,AF47+ROW()/1000000,"")</f>
        <v/>
      </c>
      <c r="BC47">
        <f>IF(AX47="","",ROW())</f>
        <v/>
      </c>
      <c r="BD47">
        <f>IF(AJ47&gt;0,AJ47+ROW()/1000000,"")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IF(B48="",0,COUNTIFS(DATA_TRANSPORT!$A:$A,B48,DATA_TRANSPORT!$E:$E,$B$6,DATA_TRANSPORT!$AD:$AD,$B$7))</f>
        <v/>
      </c>
      <c r="G48">
        <f>IF(F48=0,0,SUMIFS(DATA_TRANSPORT!$Q:$Q,DATA_TRANSPORT!$A:$A,B48,DATA_TRANSPORT!$E:$E,$B$6,DATA_TRANSPORT!$AD:$AD,$B$7))</f>
        <v/>
      </c>
      <c r="H48">
        <f>IF(F48=0,0,SUMIFS(DATA_TRANSPORT!$M:$M,DATA_TRANSPORT!$A:$A,B48,DATA_TRANSPORT!$E:$E,$B$6,DATA_TRANSPORT!$AD:$AD,$B$7))</f>
        <v/>
      </c>
      <c r="I48">
        <f>IF(F48=0,0,SUMIFS(DATA_TRANSPORT!$N:$N,DATA_TRANSPORT!$A:$A,B48,DATA_TRANSPORT!$E:$E,$B$6,DATA_TRANSPORT!$AD:$AD,$B$7))</f>
        <v/>
      </c>
      <c r="J48">
        <f>IF(F48=0,0,SUMIFS(DATA_TRANSPORT!$P:$P,DATA_TRANSPORT!$A:$A,B48,DATA_TRANSPORT!$E:$E,$B$6,DATA_TRANSPORT!$AD:$AD,$B$7))</f>
        <v/>
      </c>
      <c r="K48">
        <f>IF(F48=0,0,SUMIFS(DATA_TRANSPORT!$I:$I,DATA_TRANSPORT!$A:$A,B48,DATA_TRANSPORT!$E:$E,$B$6,DATA_TRANSPORT!$AD:$AD,$B$7))</f>
        <v/>
      </c>
      <c r="L48">
        <f>IF(F48=0,0,SUMIFS(DATA_TRANSPORT!$I:$I,DATA_TRANSPORT!$A:$A,B48,DATA_TRANSPORT!$E:$E,$B$6,DATA_TRANSPORT!$AD:$AD,$B$7,DATA_TRANSPORT!$V:$V,"Ran"))</f>
        <v/>
      </c>
      <c r="M48">
        <f>IF(F48=0,0,SUMIFS(DATA_TRANSPORT!$L:$L,DATA_TRANSPORT!$A:$A,B48,DATA_TRANSPORT!$E:$E,$B$6,DATA_TRANSPORT!$AD:$AD,$B$7))</f>
        <v/>
      </c>
      <c r="N48">
        <f>IF(F48=0,0,SUMIFS(DATA_TRANSPORT!$R:$R,DATA_TRANSPORT!$A:$A,B48,DATA_TRANSPORT!$E:$E,$B$6,DATA_TRANSPORT!$AD:$AD,$B$7))</f>
        <v/>
      </c>
      <c r="O48">
        <f>IF(F48=0,0,SUMIFS(DATA_TRANSPORT!$S:$S,DATA_TRANSPORT!$A:$A,B48,DATA_TRANSPORT!$E:$E,$B$6,DATA_TRANSPORT!$AD:$AD,$B$7))</f>
        <v/>
      </c>
      <c r="P48">
        <f>IF(F48=0,0,SUMIFS(DATA_TRANSPORT!$T:$T,DATA_TRANSPORT!$A:$A,B48,DATA_TRANSPORT!$E:$E,$B$6,DATA_TRANSPORT!$AD:$AD,$B$7))</f>
        <v/>
      </c>
      <c r="Q48">
        <f>IF(OR(B48="",$B$17),0,SUMIFS(DATA_TRANSPORT_COSTS!$M:$M,DATA_TRANSPORT_COSTS!$A:$A,B48,DATA_TRANSPORT_COSTS!$D:$D,$B$6))</f>
        <v/>
      </c>
      <c r="R48">
        <f>P48+Q48</f>
        <v/>
      </c>
      <c r="S48">
        <f>Q48+IF(F48=0,0,SUMIFS(DATA_TRANSPORT!$T:$T,DATA_TRANSPORT!$A:$A,B48,DATA_TRANSPORT!$E:$E,$B$6,DATA_TRANSPORT!$AD:$AD,$B$7,DATA_TRANSPORT!$U:$U,"Central"))</f>
        <v/>
      </c>
      <c r="T48">
        <f>IF(F48=0,0,SUMIFS(DATA_TRANSPORT!$T:$T,DATA_TRANSPORT!$A:$A,B48,DATA_TRANSPORT!$E:$E,$B$6,DATA_TRANSPORT!$AD:$AD,$B$7,DATA_TRANSPORT!$U:$U,"Members"))</f>
        <v/>
      </c>
      <c r="U48">
        <f>IF(OR(B48="",$B$17),0,SUMIFS(DATA_TRANSPORT_BUDGET!$G:$G,DATA_TRANSPORT_BUDGET!$A:$A,B48,DATA_TRANSPORT_BUDGET!$D:$D,$B$6))</f>
        <v/>
      </c>
      <c r="V48">
        <f>IF(F48=0,0,SUMIFS(DATA_TRANSPORT!$T:$T,DATA_TRANSPORT!$A:$A,B48,DATA_TRANSPORT!$E:$E,$B$6,DATA_TRANSPORT!$AD:$AD,$B$7,DATA_TRANSPORT!$C:$C,"FT Procured"))</f>
        <v/>
      </c>
      <c r="W48">
        <f>IF(F48=0,0,COUNTIFS(DATA_TRANSPORT!$A:$A,B48,DATA_TRANSPORT!$E:$E,$B$6,DATA_TRANSPORT!$AD:$AD,$B$7,DATA_TRANSPORT!$V:$V,"Breakdown"))</f>
        <v/>
      </c>
      <c r="X48">
        <f>IF(M48=0,0,N48/M48)</f>
        <v/>
      </c>
      <c r="Y48">
        <f>IF(F48&gt;0,1,0)</f>
        <v/>
      </c>
      <c r="Z48">
        <f>IF(AND(A48&gt;=1,A48&lt;=$B$11),Y48,0)</f>
        <v/>
      </c>
      <c r="AA48">
        <f>IF(AND(C48=$B$12,E48=$B$14),Y48,0)</f>
        <v/>
      </c>
      <c r="AB48">
        <f>IF(AND(D48=$B$13,E48=$B$14),Y48,0)</f>
        <v/>
      </c>
      <c r="AC48">
        <f>IF(E48=$B$14,Y48,0)</f>
        <v/>
      </c>
      <c r="AE48">
        <f>IFERROR(IF(INDEX(MASTER_AREAS!$F:$F,47)="N","",INDEX(MASTER_AREAS!$B:$B,47)&amp;""),"")</f>
        <v/>
      </c>
      <c r="AF48">
        <f>IF(OR(AE48="",$B$10=0),0,SUMIFS(DATA_TRANSPORT!$Q:$Q,DATA_TRANSPORT!$A:$A,$B$10,DATA_TRANSPORT!$E:$E,AE48))</f>
        <v/>
      </c>
      <c r="AG48">
        <f>IF(OR(AE48="",$B$10=0),0,SUMIFS(DATA_TRANSPORT!$I:$I,DATA_TRANSPORT!$A:$A,$B$10,DATA_TRANSPORT!$E:$E,AE48,DATA_TRANSPORT!$V:$V,"Ran"))</f>
        <v/>
      </c>
      <c r="AH48">
        <f>IF(OR(AE48="",$B$10=0),0,SUMIFS(DATA_TRANSPORT!$L:$L,DATA_TRANSPORT!$A:$A,$B$10,DATA_TRANSPORT!$E:$E,AE48))</f>
        <v/>
      </c>
      <c r="AI48">
        <f>IF(OR(AE48="",$B$10=0),0,SUMIFS(DATA_TRANSPORT!$R:$R,DATA_TRANSPORT!$A:$A,$B$10,DATA_TRANSPORT!$E:$E,AE48))</f>
        <v/>
      </c>
      <c r="AJ48">
        <f>IF(OR(AE48="",$B$10=0),0,SUMIFS(DATA_TRANSPORT!$S:$S,DATA_TRANSPORT!$A:$A,$B$10,DATA_TRANSPORT!$E:$E,AE48))</f>
        <v/>
      </c>
      <c r="AK48">
        <f>IF(AH48=0,"",AI48/AH48)</f>
        <v/>
      </c>
      <c r="AL48">
        <f>IF(OR(AE48="",$B$10=0),0,SUMIFS(DATA_TRANSPORT!$T:$T,DATA_TRANSPORT!$A:$A,$B$10,DATA_TRANSPORT!$E:$E,AE48))+IF(OR(AE48="",$B$10=0),0,SUMIFS(DATA_TRANSPORT_COSTS!$M:$M,DATA_TRANSPORT_COSTS!$A:$A,$B$10,DATA_TRANSPORT_COSTS!$D:$D,AE48))</f>
        <v/>
      </c>
      <c r="AM48">
        <f>IF(OR(AF48=0,AL48=0),"",AL48/AF48)</f>
        <v/>
      </c>
      <c r="AN48">
        <f>IF(OR(AE48="",$B$10=0),0,SUMIFS(DATA_TRANSPORT!$T:$T,DATA_TRANSPORT!$A:$A,$B$10,DATA_TRANSPORT!$E:$E,AE48,DATA_TRANSPORT!$C:$C,"FT Procured"))</f>
        <v/>
      </c>
      <c r="AO48">
        <f>IF(OR(AE48="",$B$10=0),0,SUMIFS(DATA_TRANSPORT_BUDGET!$G:$G,DATA_TRANSPORT_BUDGET!$A:$A,$B$10,DATA_TRANSPORT_BUDGET!$D:$D,AE48))</f>
        <v/>
      </c>
      <c r="AP48">
        <f>IF(AO48=0,"",AN48-AO48)</f>
        <v/>
      </c>
      <c r="AQ48">
        <f>IF(OR(AE48="",$B$10=0),0,COUNTIFS(DATA_TRANSPORT!$A:$A,$B$10,DATA_TRANSPORT!$E:$E,AE48,DATA_TRANSPORT!$C:$C,"FT Procured",DATA_TRANSPORT!$Z:$Z,"Y"))</f>
        <v/>
      </c>
      <c r="AR48">
        <f>IF(OR(AE48="",$B$10=0),0,SUMIFS(DATA_TRANSPORT_BUDGET!$E:$E,DATA_TRANSPORT_BUDGET!$A:$A,$B$10,DATA_TRANSPORT_BUDGET!$D:$D,AE48))</f>
        <v/>
      </c>
      <c r="AS48">
        <f>IF(OR(AE48="",$B$10=0),0,COUNTIFS(DATA_TRANSPORT!$A:$A,$B$10,DATA_TRANSPORT!$E:$E,AE48,DATA_TRANSPORT!$V:$V,"Breakdown"))</f>
        <v/>
      </c>
      <c r="AT48">
        <f>IF(IF(OR(AE48="",$B$10=0),0,SUMIFS(DATA_TRANSPORT!$L:$L,DATA_TRANSPORT!$A:$A,$B$10-7,DATA_TRANSPORT!$E:$E,AE48))=0,"",IF(OR(AE48="",$B$10=0),0,SUMIFS(DATA_TRANSPORT!$R:$R,DATA_TRANSPORT!$A:$A,$B$10-7,DATA_TRANSPORT!$E:$E,AE48))/IF(OR(AE48="",$B$10=0),0,SUMIFS(DATA_TRANSPORT!$L:$L,DATA_TRANSPORT!$A:$A,$B$10-7,DATA_TRANSPORT!$E:$E,AE48)))</f>
        <v/>
      </c>
      <c r="AU48">
        <f>IF(IF(OR(AE48="",$B$10=0),0,SUMIFS(DATA_TRANSPORT!$L:$L,DATA_TRANSPORT!$A:$A,$B$10-14,DATA_TRANSPORT!$E:$E,AE48))=0,"",IF(OR(AE48="",$B$10=0),0,SUMIFS(DATA_TRANSPORT!$R:$R,DATA_TRANSPORT!$A:$A,$B$10-14,DATA_TRANSPORT!$E:$E,AE48))/IF(OR(AE48="",$B$10=0),0,SUMIFS(DATA_TRANSPORT!$L:$L,DATA_TRANSPORT!$A:$A,$B$10-14,DATA_TRANSPORT!$E:$E,AE48)))</f>
        <v/>
      </c>
      <c r="AV48">
        <f>IF(IF(OR(AE48="",$B$10=0),0,SUMIFS(DATA_TRANSPORT!$L:$L,DATA_TRANSPORT!$A:$A,$B$10-21,DATA_TRANSPORT!$E:$E,AE48))=0,"",IF(OR(AE48="",$B$10=0),0,SUMIFS(DATA_TRANSPORT!$R:$R,DATA_TRANSPORT!$A:$A,$B$10-21,DATA_TRANSPORT!$E:$E,AE48))/IF(OR(AE48="",$B$10=0),0,SUMIFS(DATA_TRANSPORT!$L:$L,DATA_TRANSPORT!$A:$A,$B$10-21,DATA_TRANSPORT!$E:$E,AE48)))</f>
        <v/>
      </c>
      <c r="AW48">
        <f>IF(AND(ISNUMBER(AK48),AK48&lt;UtilLow),1,0)+IF(AND(ISNUMBER(AT48),AT48&lt;UtilLow),1,0)+IF(AND(ISNUMBER(AU48),AU48&lt;UtilLow),1,0)+IF(AND(ISNUMBER(AV48),AV48&lt;UtilLow),1,0)</f>
        <v/>
      </c>
      <c r="AX48">
        <f>IF(AW48&gt;=UtilLowWeeks,AE48&amp;": seats only "&amp;TEXT(AK48,"0%")&amp;" full, under "&amp;TEXT(UtilLow,"0%")&amp;" for "&amp;AW48&amp;" weeks running",IF(AND(AH48&gt;0,AJ48&gt;=AH48*ExcessShare),AE48&amp;": "&amp;TEXT(AJ48,"#,##0")&amp;" riders beyond the seats — consider more buses",IF(AND(ISNUMBER(AP48),AP48&gt;0),AE48&amp;": FT spend ₦"&amp;TEXT(AP48,"#,##0")&amp;" over the weekly budget",IF(AS48&gt;0,AE48&amp;": "&amp;AS48&amp;" coaster breakdown(s) this week",""))))</f>
        <v/>
      </c>
      <c r="AY48">
        <f>IF(ISNUMBER(AK48),AK48+ROW()/1000000000,"")</f>
        <v/>
      </c>
      <c r="AZ48">
        <f>IF(ISNUMBER(AM48),AM48+ROW()/1000000,"")</f>
        <v/>
      </c>
      <c r="BA48">
        <f>IF(AND(ISNUMBER(AP48),AP48&gt;0),AP48+ROW()/1000000,"")</f>
        <v/>
      </c>
      <c r="BB48">
        <f>IF(AF48&gt;0,AF48+ROW()/1000000,"")</f>
        <v/>
      </c>
      <c r="BC48">
        <f>IF(AX48="","",ROW())</f>
        <v/>
      </c>
      <c r="BD48">
        <f>IF(AJ48&gt;0,AJ48+ROW()/1000000,"")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IF(B49="",0,COUNTIFS(DATA_TRANSPORT!$A:$A,B49,DATA_TRANSPORT!$E:$E,$B$6,DATA_TRANSPORT!$AD:$AD,$B$7))</f>
        <v/>
      </c>
      <c r="G49">
        <f>IF(F49=0,0,SUMIFS(DATA_TRANSPORT!$Q:$Q,DATA_TRANSPORT!$A:$A,B49,DATA_TRANSPORT!$E:$E,$B$6,DATA_TRANSPORT!$AD:$AD,$B$7))</f>
        <v/>
      </c>
      <c r="H49">
        <f>IF(F49=0,0,SUMIFS(DATA_TRANSPORT!$M:$M,DATA_TRANSPORT!$A:$A,B49,DATA_TRANSPORT!$E:$E,$B$6,DATA_TRANSPORT!$AD:$AD,$B$7))</f>
        <v/>
      </c>
      <c r="I49">
        <f>IF(F49=0,0,SUMIFS(DATA_TRANSPORT!$N:$N,DATA_TRANSPORT!$A:$A,B49,DATA_TRANSPORT!$E:$E,$B$6,DATA_TRANSPORT!$AD:$AD,$B$7))</f>
        <v/>
      </c>
      <c r="J49">
        <f>IF(F49=0,0,SUMIFS(DATA_TRANSPORT!$P:$P,DATA_TRANSPORT!$A:$A,B49,DATA_TRANSPORT!$E:$E,$B$6,DATA_TRANSPORT!$AD:$AD,$B$7))</f>
        <v/>
      </c>
      <c r="K49">
        <f>IF(F49=0,0,SUMIFS(DATA_TRANSPORT!$I:$I,DATA_TRANSPORT!$A:$A,B49,DATA_TRANSPORT!$E:$E,$B$6,DATA_TRANSPORT!$AD:$AD,$B$7))</f>
        <v/>
      </c>
      <c r="L49">
        <f>IF(F49=0,0,SUMIFS(DATA_TRANSPORT!$I:$I,DATA_TRANSPORT!$A:$A,B49,DATA_TRANSPORT!$E:$E,$B$6,DATA_TRANSPORT!$AD:$AD,$B$7,DATA_TRANSPORT!$V:$V,"Ran"))</f>
        <v/>
      </c>
      <c r="M49">
        <f>IF(F49=0,0,SUMIFS(DATA_TRANSPORT!$L:$L,DATA_TRANSPORT!$A:$A,B49,DATA_TRANSPORT!$E:$E,$B$6,DATA_TRANSPORT!$AD:$AD,$B$7))</f>
        <v/>
      </c>
      <c r="N49">
        <f>IF(F49=0,0,SUMIFS(DATA_TRANSPORT!$R:$R,DATA_TRANSPORT!$A:$A,B49,DATA_TRANSPORT!$E:$E,$B$6,DATA_TRANSPORT!$AD:$AD,$B$7))</f>
        <v/>
      </c>
      <c r="O49">
        <f>IF(F49=0,0,SUMIFS(DATA_TRANSPORT!$S:$S,DATA_TRANSPORT!$A:$A,B49,DATA_TRANSPORT!$E:$E,$B$6,DATA_TRANSPORT!$AD:$AD,$B$7))</f>
        <v/>
      </c>
      <c r="P49">
        <f>IF(F49=0,0,SUMIFS(DATA_TRANSPORT!$T:$T,DATA_TRANSPORT!$A:$A,B49,DATA_TRANSPORT!$E:$E,$B$6,DATA_TRANSPORT!$AD:$AD,$B$7))</f>
        <v/>
      </c>
      <c r="Q49">
        <f>IF(OR(B49="",$B$17),0,SUMIFS(DATA_TRANSPORT_COSTS!$M:$M,DATA_TRANSPORT_COSTS!$A:$A,B49,DATA_TRANSPORT_COSTS!$D:$D,$B$6))</f>
        <v/>
      </c>
      <c r="R49">
        <f>P49+Q49</f>
        <v/>
      </c>
      <c r="S49">
        <f>Q49+IF(F49=0,0,SUMIFS(DATA_TRANSPORT!$T:$T,DATA_TRANSPORT!$A:$A,B49,DATA_TRANSPORT!$E:$E,$B$6,DATA_TRANSPORT!$AD:$AD,$B$7,DATA_TRANSPORT!$U:$U,"Central"))</f>
        <v/>
      </c>
      <c r="T49">
        <f>IF(F49=0,0,SUMIFS(DATA_TRANSPORT!$T:$T,DATA_TRANSPORT!$A:$A,B49,DATA_TRANSPORT!$E:$E,$B$6,DATA_TRANSPORT!$AD:$AD,$B$7,DATA_TRANSPORT!$U:$U,"Members"))</f>
        <v/>
      </c>
      <c r="U49">
        <f>IF(OR(B49="",$B$17),0,SUMIFS(DATA_TRANSPORT_BUDGET!$G:$G,DATA_TRANSPORT_BUDGET!$A:$A,B49,DATA_TRANSPORT_BUDGET!$D:$D,$B$6))</f>
        <v/>
      </c>
      <c r="V49">
        <f>IF(F49=0,0,SUMIFS(DATA_TRANSPORT!$T:$T,DATA_TRANSPORT!$A:$A,B49,DATA_TRANSPORT!$E:$E,$B$6,DATA_TRANSPORT!$AD:$AD,$B$7,DATA_TRANSPORT!$C:$C,"FT Procured"))</f>
        <v/>
      </c>
      <c r="W49">
        <f>IF(F49=0,0,COUNTIFS(DATA_TRANSPORT!$A:$A,B49,DATA_TRANSPORT!$E:$E,$B$6,DATA_TRANSPORT!$AD:$AD,$B$7,DATA_TRANSPORT!$V:$V,"Breakdown"))</f>
        <v/>
      </c>
      <c r="X49">
        <f>IF(M49=0,0,N49/M49)</f>
        <v/>
      </c>
      <c r="Y49">
        <f>IF(F49&gt;0,1,0)</f>
        <v/>
      </c>
      <c r="Z49">
        <f>IF(AND(A49&gt;=1,A49&lt;=$B$11),Y49,0)</f>
        <v/>
      </c>
      <c r="AA49">
        <f>IF(AND(C49=$B$12,E49=$B$14),Y49,0)</f>
        <v/>
      </c>
      <c r="AB49">
        <f>IF(AND(D49=$B$13,E49=$B$14),Y49,0)</f>
        <v/>
      </c>
      <c r="AC49">
        <f>IF(E49=$B$14,Y49,0)</f>
        <v/>
      </c>
      <c r="AE49">
        <f>IFERROR(IF(INDEX(MASTER_AREAS!$F:$F,48)="N","",INDEX(MASTER_AREAS!$B:$B,48)&amp;""),"")</f>
        <v/>
      </c>
      <c r="AF49">
        <f>IF(OR(AE49="",$B$10=0),0,SUMIFS(DATA_TRANSPORT!$Q:$Q,DATA_TRANSPORT!$A:$A,$B$10,DATA_TRANSPORT!$E:$E,AE49))</f>
        <v/>
      </c>
      <c r="AG49">
        <f>IF(OR(AE49="",$B$10=0),0,SUMIFS(DATA_TRANSPORT!$I:$I,DATA_TRANSPORT!$A:$A,$B$10,DATA_TRANSPORT!$E:$E,AE49,DATA_TRANSPORT!$V:$V,"Ran"))</f>
        <v/>
      </c>
      <c r="AH49">
        <f>IF(OR(AE49="",$B$10=0),0,SUMIFS(DATA_TRANSPORT!$L:$L,DATA_TRANSPORT!$A:$A,$B$10,DATA_TRANSPORT!$E:$E,AE49))</f>
        <v/>
      </c>
      <c r="AI49">
        <f>IF(OR(AE49="",$B$10=0),0,SUMIFS(DATA_TRANSPORT!$R:$R,DATA_TRANSPORT!$A:$A,$B$10,DATA_TRANSPORT!$E:$E,AE49))</f>
        <v/>
      </c>
      <c r="AJ49">
        <f>IF(OR(AE49="",$B$10=0),0,SUMIFS(DATA_TRANSPORT!$S:$S,DATA_TRANSPORT!$A:$A,$B$10,DATA_TRANSPORT!$E:$E,AE49))</f>
        <v/>
      </c>
      <c r="AK49">
        <f>IF(AH49=0,"",AI49/AH49)</f>
        <v/>
      </c>
      <c r="AL49">
        <f>IF(OR(AE49="",$B$10=0),0,SUMIFS(DATA_TRANSPORT!$T:$T,DATA_TRANSPORT!$A:$A,$B$10,DATA_TRANSPORT!$E:$E,AE49))+IF(OR(AE49="",$B$10=0),0,SUMIFS(DATA_TRANSPORT_COSTS!$M:$M,DATA_TRANSPORT_COSTS!$A:$A,$B$10,DATA_TRANSPORT_COSTS!$D:$D,AE49))</f>
        <v/>
      </c>
      <c r="AM49">
        <f>IF(OR(AF49=0,AL49=0),"",AL49/AF49)</f>
        <v/>
      </c>
      <c r="AN49">
        <f>IF(OR(AE49="",$B$10=0),0,SUMIFS(DATA_TRANSPORT!$T:$T,DATA_TRANSPORT!$A:$A,$B$10,DATA_TRANSPORT!$E:$E,AE49,DATA_TRANSPORT!$C:$C,"FT Procured"))</f>
        <v/>
      </c>
      <c r="AO49">
        <f>IF(OR(AE49="",$B$10=0),0,SUMIFS(DATA_TRANSPORT_BUDGET!$G:$G,DATA_TRANSPORT_BUDGET!$A:$A,$B$10,DATA_TRANSPORT_BUDGET!$D:$D,AE49))</f>
        <v/>
      </c>
      <c r="AP49">
        <f>IF(AO49=0,"",AN49-AO49)</f>
        <v/>
      </c>
      <c r="AQ49">
        <f>IF(OR(AE49="",$B$10=0),0,COUNTIFS(DATA_TRANSPORT!$A:$A,$B$10,DATA_TRANSPORT!$E:$E,AE49,DATA_TRANSPORT!$C:$C,"FT Procured",DATA_TRANSPORT!$Z:$Z,"Y"))</f>
        <v/>
      </c>
      <c r="AR49">
        <f>IF(OR(AE49="",$B$10=0),0,SUMIFS(DATA_TRANSPORT_BUDGET!$E:$E,DATA_TRANSPORT_BUDGET!$A:$A,$B$10,DATA_TRANSPORT_BUDGET!$D:$D,AE49))</f>
        <v/>
      </c>
      <c r="AS49">
        <f>IF(OR(AE49="",$B$10=0),0,COUNTIFS(DATA_TRANSPORT!$A:$A,$B$10,DATA_TRANSPORT!$E:$E,AE49,DATA_TRANSPORT!$V:$V,"Breakdown"))</f>
        <v/>
      </c>
      <c r="AT49">
        <f>IF(IF(OR(AE49="",$B$10=0),0,SUMIFS(DATA_TRANSPORT!$L:$L,DATA_TRANSPORT!$A:$A,$B$10-7,DATA_TRANSPORT!$E:$E,AE49))=0,"",IF(OR(AE49="",$B$10=0),0,SUMIFS(DATA_TRANSPORT!$R:$R,DATA_TRANSPORT!$A:$A,$B$10-7,DATA_TRANSPORT!$E:$E,AE49))/IF(OR(AE49="",$B$10=0),0,SUMIFS(DATA_TRANSPORT!$L:$L,DATA_TRANSPORT!$A:$A,$B$10-7,DATA_TRANSPORT!$E:$E,AE49)))</f>
        <v/>
      </c>
      <c r="AU49">
        <f>IF(IF(OR(AE49="",$B$10=0),0,SUMIFS(DATA_TRANSPORT!$L:$L,DATA_TRANSPORT!$A:$A,$B$10-14,DATA_TRANSPORT!$E:$E,AE49))=0,"",IF(OR(AE49="",$B$10=0),0,SUMIFS(DATA_TRANSPORT!$R:$R,DATA_TRANSPORT!$A:$A,$B$10-14,DATA_TRANSPORT!$E:$E,AE49))/IF(OR(AE49="",$B$10=0),0,SUMIFS(DATA_TRANSPORT!$L:$L,DATA_TRANSPORT!$A:$A,$B$10-14,DATA_TRANSPORT!$E:$E,AE49)))</f>
        <v/>
      </c>
      <c r="AV49">
        <f>IF(IF(OR(AE49="",$B$10=0),0,SUMIFS(DATA_TRANSPORT!$L:$L,DATA_TRANSPORT!$A:$A,$B$10-21,DATA_TRANSPORT!$E:$E,AE49))=0,"",IF(OR(AE49="",$B$10=0),0,SUMIFS(DATA_TRANSPORT!$R:$R,DATA_TRANSPORT!$A:$A,$B$10-21,DATA_TRANSPORT!$E:$E,AE49))/IF(OR(AE49="",$B$10=0),0,SUMIFS(DATA_TRANSPORT!$L:$L,DATA_TRANSPORT!$A:$A,$B$10-21,DATA_TRANSPORT!$E:$E,AE49)))</f>
        <v/>
      </c>
      <c r="AW49">
        <f>IF(AND(ISNUMBER(AK49),AK49&lt;UtilLow),1,0)+IF(AND(ISNUMBER(AT49),AT49&lt;UtilLow),1,0)+IF(AND(ISNUMBER(AU49),AU49&lt;UtilLow),1,0)+IF(AND(ISNUMBER(AV49),AV49&lt;UtilLow),1,0)</f>
        <v/>
      </c>
      <c r="AX49">
        <f>IF(AW49&gt;=UtilLowWeeks,AE49&amp;": seats only "&amp;TEXT(AK49,"0%")&amp;" full, under "&amp;TEXT(UtilLow,"0%")&amp;" for "&amp;AW49&amp;" weeks running",IF(AND(AH49&gt;0,AJ49&gt;=AH49*ExcessShare),AE49&amp;": "&amp;TEXT(AJ49,"#,##0")&amp;" riders beyond the seats — consider more buses",IF(AND(ISNUMBER(AP49),AP49&gt;0),AE49&amp;": FT spend ₦"&amp;TEXT(AP49,"#,##0")&amp;" over the weekly budget",IF(AS49&gt;0,AE49&amp;": "&amp;AS49&amp;" coaster breakdown(s) this week",""))))</f>
        <v/>
      </c>
      <c r="AY49">
        <f>IF(ISNUMBER(AK49),AK49+ROW()/1000000000,"")</f>
        <v/>
      </c>
      <c r="AZ49">
        <f>IF(ISNUMBER(AM49),AM49+ROW()/1000000,"")</f>
        <v/>
      </c>
      <c r="BA49">
        <f>IF(AND(ISNUMBER(AP49),AP49&gt;0),AP49+ROW()/1000000,"")</f>
        <v/>
      </c>
      <c r="BB49">
        <f>IF(AF49&gt;0,AF49+ROW()/1000000,"")</f>
        <v/>
      </c>
      <c r="BC49">
        <f>IF(AX49="","",ROW())</f>
        <v/>
      </c>
      <c r="BD49">
        <f>IF(AJ49&gt;0,AJ49+ROW()/1000000,"")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IF(B50="",0,COUNTIFS(DATA_TRANSPORT!$A:$A,B50,DATA_TRANSPORT!$E:$E,$B$6,DATA_TRANSPORT!$AD:$AD,$B$7))</f>
        <v/>
      </c>
      <c r="G50">
        <f>IF(F50=0,0,SUMIFS(DATA_TRANSPORT!$Q:$Q,DATA_TRANSPORT!$A:$A,B50,DATA_TRANSPORT!$E:$E,$B$6,DATA_TRANSPORT!$AD:$AD,$B$7))</f>
        <v/>
      </c>
      <c r="H50">
        <f>IF(F50=0,0,SUMIFS(DATA_TRANSPORT!$M:$M,DATA_TRANSPORT!$A:$A,B50,DATA_TRANSPORT!$E:$E,$B$6,DATA_TRANSPORT!$AD:$AD,$B$7))</f>
        <v/>
      </c>
      <c r="I50">
        <f>IF(F50=0,0,SUMIFS(DATA_TRANSPORT!$N:$N,DATA_TRANSPORT!$A:$A,B50,DATA_TRANSPORT!$E:$E,$B$6,DATA_TRANSPORT!$AD:$AD,$B$7))</f>
        <v/>
      </c>
      <c r="J50">
        <f>IF(F50=0,0,SUMIFS(DATA_TRANSPORT!$P:$P,DATA_TRANSPORT!$A:$A,B50,DATA_TRANSPORT!$E:$E,$B$6,DATA_TRANSPORT!$AD:$AD,$B$7))</f>
        <v/>
      </c>
      <c r="K50">
        <f>IF(F50=0,0,SUMIFS(DATA_TRANSPORT!$I:$I,DATA_TRANSPORT!$A:$A,B50,DATA_TRANSPORT!$E:$E,$B$6,DATA_TRANSPORT!$AD:$AD,$B$7))</f>
        <v/>
      </c>
      <c r="L50">
        <f>IF(F50=0,0,SUMIFS(DATA_TRANSPORT!$I:$I,DATA_TRANSPORT!$A:$A,B50,DATA_TRANSPORT!$E:$E,$B$6,DATA_TRANSPORT!$AD:$AD,$B$7,DATA_TRANSPORT!$V:$V,"Ran"))</f>
        <v/>
      </c>
      <c r="M50">
        <f>IF(F50=0,0,SUMIFS(DATA_TRANSPORT!$L:$L,DATA_TRANSPORT!$A:$A,B50,DATA_TRANSPORT!$E:$E,$B$6,DATA_TRANSPORT!$AD:$AD,$B$7))</f>
        <v/>
      </c>
      <c r="N50">
        <f>IF(F50=0,0,SUMIFS(DATA_TRANSPORT!$R:$R,DATA_TRANSPORT!$A:$A,B50,DATA_TRANSPORT!$E:$E,$B$6,DATA_TRANSPORT!$AD:$AD,$B$7))</f>
        <v/>
      </c>
      <c r="O50">
        <f>IF(F50=0,0,SUMIFS(DATA_TRANSPORT!$S:$S,DATA_TRANSPORT!$A:$A,B50,DATA_TRANSPORT!$E:$E,$B$6,DATA_TRANSPORT!$AD:$AD,$B$7))</f>
        <v/>
      </c>
      <c r="P50">
        <f>IF(F50=0,0,SUMIFS(DATA_TRANSPORT!$T:$T,DATA_TRANSPORT!$A:$A,B50,DATA_TRANSPORT!$E:$E,$B$6,DATA_TRANSPORT!$AD:$AD,$B$7))</f>
        <v/>
      </c>
      <c r="Q50">
        <f>IF(OR(B50="",$B$17),0,SUMIFS(DATA_TRANSPORT_COSTS!$M:$M,DATA_TRANSPORT_COSTS!$A:$A,B50,DATA_TRANSPORT_COSTS!$D:$D,$B$6))</f>
        <v/>
      </c>
      <c r="R50">
        <f>P50+Q50</f>
        <v/>
      </c>
      <c r="S50">
        <f>Q50+IF(F50=0,0,SUMIFS(DATA_TRANSPORT!$T:$T,DATA_TRANSPORT!$A:$A,B50,DATA_TRANSPORT!$E:$E,$B$6,DATA_TRANSPORT!$AD:$AD,$B$7,DATA_TRANSPORT!$U:$U,"Central"))</f>
        <v/>
      </c>
      <c r="T50">
        <f>IF(F50=0,0,SUMIFS(DATA_TRANSPORT!$T:$T,DATA_TRANSPORT!$A:$A,B50,DATA_TRANSPORT!$E:$E,$B$6,DATA_TRANSPORT!$AD:$AD,$B$7,DATA_TRANSPORT!$U:$U,"Members"))</f>
        <v/>
      </c>
      <c r="U50">
        <f>IF(OR(B50="",$B$17),0,SUMIFS(DATA_TRANSPORT_BUDGET!$G:$G,DATA_TRANSPORT_BUDGET!$A:$A,B50,DATA_TRANSPORT_BUDGET!$D:$D,$B$6))</f>
        <v/>
      </c>
      <c r="V50">
        <f>IF(F50=0,0,SUMIFS(DATA_TRANSPORT!$T:$T,DATA_TRANSPORT!$A:$A,B50,DATA_TRANSPORT!$E:$E,$B$6,DATA_TRANSPORT!$AD:$AD,$B$7,DATA_TRANSPORT!$C:$C,"FT Procured"))</f>
        <v/>
      </c>
      <c r="W50">
        <f>IF(F50=0,0,COUNTIFS(DATA_TRANSPORT!$A:$A,B50,DATA_TRANSPORT!$E:$E,$B$6,DATA_TRANSPORT!$AD:$AD,$B$7,DATA_TRANSPORT!$V:$V,"Breakdown"))</f>
        <v/>
      </c>
      <c r="X50">
        <f>IF(M50=0,0,N50/M50)</f>
        <v/>
      </c>
      <c r="Y50">
        <f>IF(F50&gt;0,1,0)</f>
        <v/>
      </c>
      <c r="Z50">
        <f>IF(AND(A50&gt;=1,A50&lt;=$B$11),Y50,0)</f>
        <v/>
      </c>
      <c r="AA50">
        <f>IF(AND(C50=$B$12,E50=$B$14),Y50,0)</f>
        <v/>
      </c>
      <c r="AB50">
        <f>IF(AND(D50=$B$13,E50=$B$14),Y50,0)</f>
        <v/>
      </c>
      <c r="AC50">
        <f>IF(E50=$B$14,Y50,0)</f>
        <v/>
      </c>
      <c r="AE50">
        <f>IFERROR(IF(INDEX(MASTER_AREAS!$F:$F,49)="N","",INDEX(MASTER_AREAS!$B:$B,49)&amp;""),"")</f>
        <v/>
      </c>
      <c r="AF50">
        <f>IF(OR(AE50="",$B$10=0),0,SUMIFS(DATA_TRANSPORT!$Q:$Q,DATA_TRANSPORT!$A:$A,$B$10,DATA_TRANSPORT!$E:$E,AE50))</f>
        <v/>
      </c>
      <c r="AG50">
        <f>IF(OR(AE50="",$B$10=0),0,SUMIFS(DATA_TRANSPORT!$I:$I,DATA_TRANSPORT!$A:$A,$B$10,DATA_TRANSPORT!$E:$E,AE50,DATA_TRANSPORT!$V:$V,"Ran"))</f>
        <v/>
      </c>
      <c r="AH50">
        <f>IF(OR(AE50="",$B$10=0),0,SUMIFS(DATA_TRANSPORT!$L:$L,DATA_TRANSPORT!$A:$A,$B$10,DATA_TRANSPORT!$E:$E,AE50))</f>
        <v/>
      </c>
      <c r="AI50">
        <f>IF(OR(AE50="",$B$10=0),0,SUMIFS(DATA_TRANSPORT!$R:$R,DATA_TRANSPORT!$A:$A,$B$10,DATA_TRANSPORT!$E:$E,AE50))</f>
        <v/>
      </c>
      <c r="AJ50">
        <f>IF(OR(AE50="",$B$10=0),0,SUMIFS(DATA_TRANSPORT!$S:$S,DATA_TRANSPORT!$A:$A,$B$10,DATA_TRANSPORT!$E:$E,AE50))</f>
        <v/>
      </c>
      <c r="AK50">
        <f>IF(AH50=0,"",AI50/AH50)</f>
        <v/>
      </c>
      <c r="AL50">
        <f>IF(OR(AE50="",$B$10=0),0,SUMIFS(DATA_TRANSPORT!$T:$T,DATA_TRANSPORT!$A:$A,$B$10,DATA_TRANSPORT!$E:$E,AE50))+IF(OR(AE50="",$B$10=0),0,SUMIFS(DATA_TRANSPORT_COSTS!$M:$M,DATA_TRANSPORT_COSTS!$A:$A,$B$10,DATA_TRANSPORT_COSTS!$D:$D,AE50))</f>
        <v/>
      </c>
      <c r="AM50">
        <f>IF(OR(AF50=0,AL50=0),"",AL50/AF50)</f>
        <v/>
      </c>
      <c r="AN50">
        <f>IF(OR(AE50="",$B$10=0),0,SUMIFS(DATA_TRANSPORT!$T:$T,DATA_TRANSPORT!$A:$A,$B$10,DATA_TRANSPORT!$E:$E,AE50,DATA_TRANSPORT!$C:$C,"FT Procured"))</f>
        <v/>
      </c>
      <c r="AO50">
        <f>IF(OR(AE50="",$B$10=0),0,SUMIFS(DATA_TRANSPORT_BUDGET!$G:$G,DATA_TRANSPORT_BUDGET!$A:$A,$B$10,DATA_TRANSPORT_BUDGET!$D:$D,AE50))</f>
        <v/>
      </c>
      <c r="AP50">
        <f>IF(AO50=0,"",AN50-AO50)</f>
        <v/>
      </c>
      <c r="AQ50">
        <f>IF(OR(AE50="",$B$10=0),0,COUNTIFS(DATA_TRANSPORT!$A:$A,$B$10,DATA_TRANSPORT!$E:$E,AE50,DATA_TRANSPORT!$C:$C,"FT Procured",DATA_TRANSPORT!$Z:$Z,"Y"))</f>
        <v/>
      </c>
      <c r="AR50">
        <f>IF(OR(AE50="",$B$10=0),0,SUMIFS(DATA_TRANSPORT_BUDGET!$E:$E,DATA_TRANSPORT_BUDGET!$A:$A,$B$10,DATA_TRANSPORT_BUDGET!$D:$D,AE50))</f>
        <v/>
      </c>
      <c r="AS50">
        <f>IF(OR(AE50="",$B$10=0),0,COUNTIFS(DATA_TRANSPORT!$A:$A,$B$10,DATA_TRANSPORT!$E:$E,AE50,DATA_TRANSPORT!$V:$V,"Breakdown"))</f>
        <v/>
      </c>
      <c r="AT50">
        <f>IF(IF(OR(AE50="",$B$10=0),0,SUMIFS(DATA_TRANSPORT!$L:$L,DATA_TRANSPORT!$A:$A,$B$10-7,DATA_TRANSPORT!$E:$E,AE50))=0,"",IF(OR(AE50="",$B$10=0),0,SUMIFS(DATA_TRANSPORT!$R:$R,DATA_TRANSPORT!$A:$A,$B$10-7,DATA_TRANSPORT!$E:$E,AE50))/IF(OR(AE50="",$B$10=0),0,SUMIFS(DATA_TRANSPORT!$L:$L,DATA_TRANSPORT!$A:$A,$B$10-7,DATA_TRANSPORT!$E:$E,AE50)))</f>
        <v/>
      </c>
      <c r="AU50">
        <f>IF(IF(OR(AE50="",$B$10=0),0,SUMIFS(DATA_TRANSPORT!$L:$L,DATA_TRANSPORT!$A:$A,$B$10-14,DATA_TRANSPORT!$E:$E,AE50))=0,"",IF(OR(AE50="",$B$10=0),0,SUMIFS(DATA_TRANSPORT!$R:$R,DATA_TRANSPORT!$A:$A,$B$10-14,DATA_TRANSPORT!$E:$E,AE50))/IF(OR(AE50="",$B$10=0),0,SUMIFS(DATA_TRANSPORT!$L:$L,DATA_TRANSPORT!$A:$A,$B$10-14,DATA_TRANSPORT!$E:$E,AE50)))</f>
        <v/>
      </c>
      <c r="AV50">
        <f>IF(IF(OR(AE50="",$B$10=0),0,SUMIFS(DATA_TRANSPORT!$L:$L,DATA_TRANSPORT!$A:$A,$B$10-21,DATA_TRANSPORT!$E:$E,AE50))=0,"",IF(OR(AE50="",$B$10=0),0,SUMIFS(DATA_TRANSPORT!$R:$R,DATA_TRANSPORT!$A:$A,$B$10-21,DATA_TRANSPORT!$E:$E,AE50))/IF(OR(AE50="",$B$10=0),0,SUMIFS(DATA_TRANSPORT!$L:$L,DATA_TRANSPORT!$A:$A,$B$10-21,DATA_TRANSPORT!$E:$E,AE50)))</f>
        <v/>
      </c>
      <c r="AW50">
        <f>IF(AND(ISNUMBER(AK50),AK50&lt;UtilLow),1,0)+IF(AND(ISNUMBER(AT50),AT50&lt;UtilLow),1,0)+IF(AND(ISNUMBER(AU50),AU50&lt;UtilLow),1,0)+IF(AND(ISNUMBER(AV50),AV50&lt;UtilLow),1,0)</f>
        <v/>
      </c>
      <c r="AX50">
        <f>IF(AW50&gt;=UtilLowWeeks,AE50&amp;": seats only "&amp;TEXT(AK50,"0%")&amp;" full, under "&amp;TEXT(UtilLow,"0%")&amp;" for "&amp;AW50&amp;" weeks running",IF(AND(AH50&gt;0,AJ50&gt;=AH50*ExcessShare),AE50&amp;": "&amp;TEXT(AJ50,"#,##0")&amp;" riders beyond the seats — consider more buses",IF(AND(ISNUMBER(AP50),AP50&gt;0),AE50&amp;": FT spend ₦"&amp;TEXT(AP50,"#,##0")&amp;" over the weekly budget",IF(AS50&gt;0,AE50&amp;": "&amp;AS50&amp;" coaster breakdown(s) this week",""))))</f>
        <v/>
      </c>
      <c r="AY50">
        <f>IF(ISNUMBER(AK50),AK50+ROW()/1000000000,"")</f>
        <v/>
      </c>
      <c r="AZ50">
        <f>IF(ISNUMBER(AM50),AM50+ROW()/1000000,"")</f>
        <v/>
      </c>
      <c r="BA50">
        <f>IF(AND(ISNUMBER(AP50),AP50&gt;0),AP50+ROW()/1000000,"")</f>
        <v/>
      </c>
      <c r="BB50">
        <f>IF(AF50&gt;0,AF50+ROW()/1000000,"")</f>
        <v/>
      </c>
      <c r="BC50">
        <f>IF(AX50="","",ROW())</f>
        <v/>
      </c>
      <c r="BD50">
        <f>IF(AJ50&gt;0,AJ50+ROW()/1000000,"")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IF(B51="",0,COUNTIFS(DATA_TRANSPORT!$A:$A,B51,DATA_TRANSPORT!$E:$E,$B$6,DATA_TRANSPORT!$AD:$AD,$B$7))</f>
        <v/>
      </c>
      <c r="G51">
        <f>IF(F51=0,0,SUMIFS(DATA_TRANSPORT!$Q:$Q,DATA_TRANSPORT!$A:$A,B51,DATA_TRANSPORT!$E:$E,$B$6,DATA_TRANSPORT!$AD:$AD,$B$7))</f>
        <v/>
      </c>
      <c r="H51">
        <f>IF(F51=0,0,SUMIFS(DATA_TRANSPORT!$M:$M,DATA_TRANSPORT!$A:$A,B51,DATA_TRANSPORT!$E:$E,$B$6,DATA_TRANSPORT!$AD:$AD,$B$7))</f>
        <v/>
      </c>
      <c r="I51">
        <f>IF(F51=0,0,SUMIFS(DATA_TRANSPORT!$N:$N,DATA_TRANSPORT!$A:$A,B51,DATA_TRANSPORT!$E:$E,$B$6,DATA_TRANSPORT!$AD:$AD,$B$7))</f>
        <v/>
      </c>
      <c r="J51">
        <f>IF(F51=0,0,SUMIFS(DATA_TRANSPORT!$P:$P,DATA_TRANSPORT!$A:$A,B51,DATA_TRANSPORT!$E:$E,$B$6,DATA_TRANSPORT!$AD:$AD,$B$7))</f>
        <v/>
      </c>
      <c r="K51">
        <f>IF(F51=0,0,SUMIFS(DATA_TRANSPORT!$I:$I,DATA_TRANSPORT!$A:$A,B51,DATA_TRANSPORT!$E:$E,$B$6,DATA_TRANSPORT!$AD:$AD,$B$7))</f>
        <v/>
      </c>
      <c r="L51">
        <f>IF(F51=0,0,SUMIFS(DATA_TRANSPORT!$I:$I,DATA_TRANSPORT!$A:$A,B51,DATA_TRANSPORT!$E:$E,$B$6,DATA_TRANSPORT!$AD:$AD,$B$7,DATA_TRANSPORT!$V:$V,"Ran"))</f>
        <v/>
      </c>
      <c r="M51">
        <f>IF(F51=0,0,SUMIFS(DATA_TRANSPORT!$L:$L,DATA_TRANSPORT!$A:$A,B51,DATA_TRANSPORT!$E:$E,$B$6,DATA_TRANSPORT!$AD:$AD,$B$7))</f>
        <v/>
      </c>
      <c r="N51">
        <f>IF(F51=0,0,SUMIFS(DATA_TRANSPORT!$R:$R,DATA_TRANSPORT!$A:$A,B51,DATA_TRANSPORT!$E:$E,$B$6,DATA_TRANSPORT!$AD:$AD,$B$7))</f>
        <v/>
      </c>
      <c r="O51">
        <f>IF(F51=0,0,SUMIFS(DATA_TRANSPORT!$S:$S,DATA_TRANSPORT!$A:$A,B51,DATA_TRANSPORT!$E:$E,$B$6,DATA_TRANSPORT!$AD:$AD,$B$7))</f>
        <v/>
      </c>
      <c r="P51">
        <f>IF(F51=0,0,SUMIFS(DATA_TRANSPORT!$T:$T,DATA_TRANSPORT!$A:$A,B51,DATA_TRANSPORT!$E:$E,$B$6,DATA_TRANSPORT!$AD:$AD,$B$7))</f>
        <v/>
      </c>
      <c r="Q51">
        <f>IF(OR(B51="",$B$17),0,SUMIFS(DATA_TRANSPORT_COSTS!$M:$M,DATA_TRANSPORT_COSTS!$A:$A,B51,DATA_TRANSPORT_COSTS!$D:$D,$B$6))</f>
        <v/>
      </c>
      <c r="R51">
        <f>P51+Q51</f>
        <v/>
      </c>
      <c r="S51">
        <f>Q51+IF(F51=0,0,SUMIFS(DATA_TRANSPORT!$T:$T,DATA_TRANSPORT!$A:$A,B51,DATA_TRANSPORT!$E:$E,$B$6,DATA_TRANSPORT!$AD:$AD,$B$7,DATA_TRANSPORT!$U:$U,"Central"))</f>
        <v/>
      </c>
      <c r="T51">
        <f>IF(F51=0,0,SUMIFS(DATA_TRANSPORT!$T:$T,DATA_TRANSPORT!$A:$A,B51,DATA_TRANSPORT!$E:$E,$B$6,DATA_TRANSPORT!$AD:$AD,$B$7,DATA_TRANSPORT!$U:$U,"Members"))</f>
        <v/>
      </c>
      <c r="U51">
        <f>IF(OR(B51="",$B$17),0,SUMIFS(DATA_TRANSPORT_BUDGET!$G:$G,DATA_TRANSPORT_BUDGET!$A:$A,B51,DATA_TRANSPORT_BUDGET!$D:$D,$B$6))</f>
        <v/>
      </c>
      <c r="V51">
        <f>IF(F51=0,0,SUMIFS(DATA_TRANSPORT!$T:$T,DATA_TRANSPORT!$A:$A,B51,DATA_TRANSPORT!$E:$E,$B$6,DATA_TRANSPORT!$AD:$AD,$B$7,DATA_TRANSPORT!$C:$C,"FT Procured"))</f>
        <v/>
      </c>
      <c r="W51">
        <f>IF(F51=0,0,COUNTIFS(DATA_TRANSPORT!$A:$A,B51,DATA_TRANSPORT!$E:$E,$B$6,DATA_TRANSPORT!$AD:$AD,$B$7,DATA_TRANSPORT!$V:$V,"Breakdown"))</f>
        <v/>
      </c>
      <c r="X51">
        <f>IF(M51=0,0,N51/M51)</f>
        <v/>
      </c>
      <c r="Y51">
        <f>IF(F51&gt;0,1,0)</f>
        <v/>
      </c>
      <c r="Z51">
        <f>IF(AND(A51&gt;=1,A51&lt;=$B$11),Y51,0)</f>
        <v/>
      </c>
      <c r="AA51">
        <f>IF(AND(C51=$B$12,E51=$B$14),Y51,0)</f>
        <v/>
      </c>
      <c r="AB51">
        <f>IF(AND(D51=$B$13,E51=$B$14),Y51,0)</f>
        <v/>
      </c>
      <c r="AC51">
        <f>IF(E51=$B$14,Y51,0)</f>
        <v/>
      </c>
      <c r="AE51">
        <f>IFERROR(IF(INDEX(MASTER_AREAS!$F:$F,50)="N","",INDEX(MASTER_AREAS!$B:$B,50)&amp;""),"")</f>
        <v/>
      </c>
      <c r="AF51">
        <f>IF(OR(AE51="",$B$10=0),0,SUMIFS(DATA_TRANSPORT!$Q:$Q,DATA_TRANSPORT!$A:$A,$B$10,DATA_TRANSPORT!$E:$E,AE51))</f>
        <v/>
      </c>
      <c r="AG51">
        <f>IF(OR(AE51="",$B$10=0),0,SUMIFS(DATA_TRANSPORT!$I:$I,DATA_TRANSPORT!$A:$A,$B$10,DATA_TRANSPORT!$E:$E,AE51,DATA_TRANSPORT!$V:$V,"Ran"))</f>
        <v/>
      </c>
      <c r="AH51">
        <f>IF(OR(AE51="",$B$10=0),0,SUMIFS(DATA_TRANSPORT!$L:$L,DATA_TRANSPORT!$A:$A,$B$10,DATA_TRANSPORT!$E:$E,AE51))</f>
        <v/>
      </c>
      <c r="AI51">
        <f>IF(OR(AE51="",$B$10=0),0,SUMIFS(DATA_TRANSPORT!$R:$R,DATA_TRANSPORT!$A:$A,$B$10,DATA_TRANSPORT!$E:$E,AE51))</f>
        <v/>
      </c>
      <c r="AJ51">
        <f>IF(OR(AE51="",$B$10=0),0,SUMIFS(DATA_TRANSPORT!$S:$S,DATA_TRANSPORT!$A:$A,$B$10,DATA_TRANSPORT!$E:$E,AE51))</f>
        <v/>
      </c>
      <c r="AK51">
        <f>IF(AH51=0,"",AI51/AH51)</f>
        <v/>
      </c>
      <c r="AL51">
        <f>IF(OR(AE51="",$B$10=0),0,SUMIFS(DATA_TRANSPORT!$T:$T,DATA_TRANSPORT!$A:$A,$B$10,DATA_TRANSPORT!$E:$E,AE51))+IF(OR(AE51="",$B$10=0),0,SUMIFS(DATA_TRANSPORT_COSTS!$M:$M,DATA_TRANSPORT_COSTS!$A:$A,$B$10,DATA_TRANSPORT_COSTS!$D:$D,AE51))</f>
        <v/>
      </c>
      <c r="AM51">
        <f>IF(OR(AF51=0,AL51=0),"",AL51/AF51)</f>
        <v/>
      </c>
      <c r="AN51">
        <f>IF(OR(AE51="",$B$10=0),0,SUMIFS(DATA_TRANSPORT!$T:$T,DATA_TRANSPORT!$A:$A,$B$10,DATA_TRANSPORT!$E:$E,AE51,DATA_TRANSPORT!$C:$C,"FT Procured"))</f>
        <v/>
      </c>
      <c r="AO51">
        <f>IF(OR(AE51="",$B$10=0),0,SUMIFS(DATA_TRANSPORT_BUDGET!$G:$G,DATA_TRANSPORT_BUDGET!$A:$A,$B$10,DATA_TRANSPORT_BUDGET!$D:$D,AE51))</f>
        <v/>
      </c>
      <c r="AP51">
        <f>IF(AO51=0,"",AN51-AO51)</f>
        <v/>
      </c>
      <c r="AQ51">
        <f>IF(OR(AE51="",$B$10=0),0,COUNTIFS(DATA_TRANSPORT!$A:$A,$B$10,DATA_TRANSPORT!$E:$E,AE51,DATA_TRANSPORT!$C:$C,"FT Procured",DATA_TRANSPORT!$Z:$Z,"Y"))</f>
        <v/>
      </c>
      <c r="AR51">
        <f>IF(OR(AE51="",$B$10=0),0,SUMIFS(DATA_TRANSPORT_BUDGET!$E:$E,DATA_TRANSPORT_BUDGET!$A:$A,$B$10,DATA_TRANSPORT_BUDGET!$D:$D,AE51))</f>
        <v/>
      </c>
      <c r="AS51">
        <f>IF(OR(AE51="",$B$10=0),0,COUNTIFS(DATA_TRANSPORT!$A:$A,$B$10,DATA_TRANSPORT!$E:$E,AE51,DATA_TRANSPORT!$V:$V,"Breakdown"))</f>
        <v/>
      </c>
      <c r="AT51">
        <f>IF(IF(OR(AE51="",$B$10=0),0,SUMIFS(DATA_TRANSPORT!$L:$L,DATA_TRANSPORT!$A:$A,$B$10-7,DATA_TRANSPORT!$E:$E,AE51))=0,"",IF(OR(AE51="",$B$10=0),0,SUMIFS(DATA_TRANSPORT!$R:$R,DATA_TRANSPORT!$A:$A,$B$10-7,DATA_TRANSPORT!$E:$E,AE51))/IF(OR(AE51="",$B$10=0),0,SUMIFS(DATA_TRANSPORT!$L:$L,DATA_TRANSPORT!$A:$A,$B$10-7,DATA_TRANSPORT!$E:$E,AE51)))</f>
        <v/>
      </c>
      <c r="AU51">
        <f>IF(IF(OR(AE51="",$B$10=0),0,SUMIFS(DATA_TRANSPORT!$L:$L,DATA_TRANSPORT!$A:$A,$B$10-14,DATA_TRANSPORT!$E:$E,AE51))=0,"",IF(OR(AE51="",$B$10=0),0,SUMIFS(DATA_TRANSPORT!$R:$R,DATA_TRANSPORT!$A:$A,$B$10-14,DATA_TRANSPORT!$E:$E,AE51))/IF(OR(AE51="",$B$10=0),0,SUMIFS(DATA_TRANSPORT!$L:$L,DATA_TRANSPORT!$A:$A,$B$10-14,DATA_TRANSPORT!$E:$E,AE51)))</f>
        <v/>
      </c>
      <c r="AV51">
        <f>IF(IF(OR(AE51="",$B$10=0),0,SUMIFS(DATA_TRANSPORT!$L:$L,DATA_TRANSPORT!$A:$A,$B$10-21,DATA_TRANSPORT!$E:$E,AE51))=0,"",IF(OR(AE51="",$B$10=0),0,SUMIFS(DATA_TRANSPORT!$R:$R,DATA_TRANSPORT!$A:$A,$B$10-21,DATA_TRANSPORT!$E:$E,AE51))/IF(OR(AE51="",$B$10=0),0,SUMIFS(DATA_TRANSPORT!$L:$L,DATA_TRANSPORT!$A:$A,$B$10-21,DATA_TRANSPORT!$E:$E,AE51)))</f>
        <v/>
      </c>
      <c r="AW51">
        <f>IF(AND(ISNUMBER(AK51),AK51&lt;UtilLow),1,0)+IF(AND(ISNUMBER(AT51),AT51&lt;UtilLow),1,0)+IF(AND(ISNUMBER(AU51),AU51&lt;UtilLow),1,0)+IF(AND(ISNUMBER(AV51),AV51&lt;UtilLow),1,0)</f>
        <v/>
      </c>
      <c r="AX51">
        <f>IF(AW51&gt;=UtilLowWeeks,AE51&amp;": seats only "&amp;TEXT(AK51,"0%")&amp;" full, under "&amp;TEXT(UtilLow,"0%")&amp;" for "&amp;AW51&amp;" weeks running",IF(AND(AH51&gt;0,AJ51&gt;=AH51*ExcessShare),AE51&amp;": "&amp;TEXT(AJ51,"#,##0")&amp;" riders beyond the seats — consider more buses",IF(AND(ISNUMBER(AP51),AP51&gt;0),AE51&amp;": FT spend ₦"&amp;TEXT(AP51,"#,##0")&amp;" over the weekly budget",IF(AS51&gt;0,AE51&amp;": "&amp;AS51&amp;" coaster breakdown(s) this week",""))))</f>
        <v/>
      </c>
      <c r="AY51">
        <f>IF(ISNUMBER(AK51),AK51+ROW()/1000000000,"")</f>
        <v/>
      </c>
      <c r="AZ51">
        <f>IF(ISNUMBER(AM51),AM51+ROW()/1000000,"")</f>
        <v/>
      </c>
      <c r="BA51">
        <f>IF(AND(ISNUMBER(AP51),AP51&gt;0),AP51+ROW()/1000000,"")</f>
        <v/>
      </c>
      <c r="BB51">
        <f>IF(AF51&gt;0,AF51+ROW()/1000000,"")</f>
        <v/>
      </c>
      <c r="BC51">
        <f>IF(AX51="","",ROW())</f>
        <v/>
      </c>
      <c r="BD51">
        <f>IF(AJ51&gt;0,AJ51+ROW()/1000000,"")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IF(B52="",0,COUNTIFS(DATA_TRANSPORT!$A:$A,B52,DATA_TRANSPORT!$E:$E,$B$6,DATA_TRANSPORT!$AD:$AD,$B$7))</f>
        <v/>
      </c>
      <c r="G52">
        <f>IF(F52=0,0,SUMIFS(DATA_TRANSPORT!$Q:$Q,DATA_TRANSPORT!$A:$A,B52,DATA_TRANSPORT!$E:$E,$B$6,DATA_TRANSPORT!$AD:$AD,$B$7))</f>
        <v/>
      </c>
      <c r="H52">
        <f>IF(F52=0,0,SUMIFS(DATA_TRANSPORT!$M:$M,DATA_TRANSPORT!$A:$A,B52,DATA_TRANSPORT!$E:$E,$B$6,DATA_TRANSPORT!$AD:$AD,$B$7))</f>
        <v/>
      </c>
      <c r="I52">
        <f>IF(F52=0,0,SUMIFS(DATA_TRANSPORT!$N:$N,DATA_TRANSPORT!$A:$A,B52,DATA_TRANSPORT!$E:$E,$B$6,DATA_TRANSPORT!$AD:$AD,$B$7))</f>
        <v/>
      </c>
      <c r="J52">
        <f>IF(F52=0,0,SUMIFS(DATA_TRANSPORT!$P:$P,DATA_TRANSPORT!$A:$A,B52,DATA_TRANSPORT!$E:$E,$B$6,DATA_TRANSPORT!$AD:$AD,$B$7))</f>
        <v/>
      </c>
      <c r="K52">
        <f>IF(F52=0,0,SUMIFS(DATA_TRANSPORT!$I:$I,DATA_TRANSPORT!$A:$A,B52,DATA_TRANSPORT!$E:$E,$B$6,DATA_TRANSPORT!$AD:$AD,$B$7))</f>
        <v/>
      </c>
      <c r="L52">
        <f>IF(F52=0,0,SUMIFS(DATA_TRANSPORT!$I:$I,DATA_TRANSPORT!$A:$A,B52,DATA_TRANSPORT!$E:$E,$B$6,DATA_TRANSPORT!$AD:$AD,$B$7,DATA_TRANSPORT!$V:$V,"Ran"))</f>
        <v/>
      </c>
      <c r="M52">
        <f>IF(F52=0,0,SUMIFS(DATA_TRANSPORT!$L:$L,DATA_TRANSPORT!$A:$A,B52,DATA_TRANSPORT!$E:$E,$B$6,DATA_TRANSPORT!$AD:$AD,$B$7))</f>
        <v/>
      </c>
      <c r="N52">
        <f>IF(F52=0,0,SUMIFS(DATA_TRANSPORT!$R:$R,DATA_TRANSPORT!$A:$A,B52,DATA_TRANSPORT!$E:$E,$B$6,DATA_TRANSPORT!$AD:$AD,$B$7))</f>
        <v/>
      </c>
      <c r="O52">
        <f>IF(F52=0,0,SUMIFS(DATA_TRANSPORT!$S:$S,DATA_TRANSPORT!$A:$A,B52,DATA_TRANSPORT!$E:$E,$B$6,DATA_TRANSPORT!$AD:$AD,$B$7))</f>
        <v/>
      </c>
      <c r="P52">
        <f>IF(F52=0,0,SUMIFS(DATA_TRANSPORT!$T:$T,DATA_TRANSPORT!$A:$A,B52,DATA_TRANSPORT!$E:$E,$B$6,DATA_TRANSPORT!$AD:$AD,$B$7))</f>
        <v/>
      </c>
      <c r="Q52">
        <f>IF(OR(B52="",$B$17),0,SUMIFS(DATA_TRANSPORT_COSTS!$M:$M,DATA_TRANSPORT_COSTS!$A:$A,B52,DATA_TRANSPORT_COSTS!$D:$D,$B$6))</f>
        <v/>
      </c>
      <c r="R52">
        <f>P52+Q52</f>
        <v/>
      </c>
      <c r="S52">
        <f>Q52+IF(F52=0,0,SUMIFS(DATA_TRANSPORT!$T:$T,DATA_TRANSPORT!$A:$A,B52,DATA_TRANSPORT!$E:$E,$B$6,DATA_TRANSPORT!$AD:$AD,$B$7,DATA_TRANSPORT!$U:$U,"Central"))</f>
        <v/>
      </c>
      <c r="T52">
        <f>IF(F52=0,0,SUMIFS(DATA_TRANSPORT!$T:$T,DATA_TRANSPORT!$A:$A,B52,DATA_TRANSPORT!$E:$E,$B$6,DATA_TRANSPORT!$AD:$AD,$B$7,DATA_TRANSPORT!$U:$U,"Members"))</f>
        <v/>
      </c>
      <c r="U52">
        <f>IF(OR(B52="",$B$17),0,SUMIFS(DATA_TRANSPORT_BUDGET!$G:$G,DATA_TRANSPORT_BUDGET!$A:$A,B52,DATA_TRANSPORT_BUDGET!$D:$D,$B$6))</f>
        <v/>
      </c>
      <c r="V52">
        <f>IF(F52=0,0,SUMIFS(DATA_TRANSPORT!$T:$T,DATA_TRANSPORT!$A:$A,B52,DATA_TRANSPORT!$E:$E,$B$6,DATA_TRANSPORT!$AD:$AD,$B$7,DATA_TRANSPORT!$C:$C,"FT Procured"))</f>
        <v/>
      </c>
      <c r="W52">
        <f>IF(F52=0,0,COUNTIFS(DATA_TRANSPORT!$A:$A,B52,DATA_TRANSPORT!$E:$E,$B$6,DATA_TRANSPORT!$AD:$AD,$B$7,DATA_TRANSPORT!$V:$V,"Breakdown"))</f>
        <v/>
      </c>
      <c r="X52">
        <f>IF(M52=0,0,N52/M52)</f>
        <v/>
      </c>
      <c r="Y52">
        <f>IF(F52&gt;0,1,0)</f>
        <v/>
      </c>
      <c r="Z52">
        <f>IF(AND(A52&gt;=1,A52&lt;=$B$11),Y52,0)</f>
        <v/>
      </c>
      <c r="AA52">
        <f>IF(AND(C52=$B$12,E52=$B$14),Y52,0)</f>
        <v/>
      </c>
      <c r="AB52">
        <f>IF(AND(D52=$B$13,E52=$B$14),Y52,0)</f>
        <v/>
      </c>
      <c r="AC52">
        <f>IF(E52=$B$14,Y52,0)</f>
        <v/>
      </c>
      <c r="AE52">
        <f>IFERROR(IF(INDEX(MASTER_AREAS!$F:$F,51)="N","",INDEX(MASTER_AREAS!$B:$B,51)&amp;""),"")</f>
        <v/>
      </c>
      <c r="AF52">
        <f>IF(OR(AE52="",$B$10=0),0,SUMIFS(DATA_TRANSPORT!$Q:$Q,DATA_TRANSPORT!$A:$A,$B$10,DATA_TRANSPORT!$E:$E,AE52))</f>
        <v/>
      </c>
      <c r="AG52">
        <f>IF(OR(AE52="",$B$10=0),0,SUMIFS(DATA_TRANSPORT!$I:$I,DATA_TRANSPORT!$A:$A,$B$10,DATA_TRANSPORT!$E:$E,AE52,DATA_TRANSPORT!$V:$V,"Ran"))</f>
        <v/>
      </c>
      <c r="AH52">
        <f>IF(OR(AE52="",$B$10=0),0,SUMIFS(DATA_TRANSPORT!$L:$L,DATA_TRANSPORT!$A:$A,$B$10,DATA_TRANSPORT!$E:$E,AE52))</f>
        <v/>
      </c>
      <c r="AI52">
        <f>IF(OR(AE52="",$B$10=0),0,SUMIFS(DATA_TRANSPORT!$R:$R,DATA_TRANSPORT!$A:$A,$B$10,DATA_TRANSPORT!$E:$E,AE52))</f>
        <v/>
      </c>
      <c r="AJ52">
        <f>IF(OR(AE52="",$B$10=0),0,SUMIFS(DATA_TRANSPORT!$S:$S,DATA_TRANSPORT!$A:$A,$B$10,DATA_TRANSPORT!$E:$E,AE52))</f>
        <v/>
      </c>
      <c r="AK52">
        <f>IF(AH52=0,"",AI52/AH52)</f>
        <v/>
      </c>
      <c r="AL52">
        <f>IF(OR(AE52="",$B$10=0),0,SUMIFS(DATA_TRANSPORT!$T:$T,DATA_TRANSPORT!$A:$A,$B$10,DATA_TRANSPORT!$E:$E,AE52))+IF(OR(AE52="",$B$10=0),0,SUMIFS(DATA_TRANSPORT_COSTS!$M:$M,DATA_TRANSPORT_COSTS!$A:$A,$B$10,DATA_TRANSPORT_COSTS!$D:$D,AE52))</f>
        <v/>
      </c>
      <c r="AM52">
        <f>IF(OR(AF52=0,AL52=0),"",AL52/AF52)</f>
        <v/>
      </c>
      <c r="AN52">
        <f>IF(OR(AE52="",$B$10=0),0,SUMIFS(DATA_TRANSPORT!$T:$T,DATA_TRANSPORT!$A:$A,$B$10,DATA_TRANSPORT!$E:$E,AE52,DATA_TRANSPORT!$C:$C,"FT Procured"))</f>
        <v/>
      </c>
      <c r="AO52">
        <f>IF(OR(AE52="",$B$10=0),0,SUMIFS(DATA_TRANSPORT_BUDGET!$G:$G,DATA_TRANSPORT_BUDGET!$A:$A,$B$10,DATA_TRANSPORT_BUDGET!$D:$D,AE52))</f>
        <v/>
      </c>
      <c r="AP52">
        <f>IF(AO52=0,"",AN52-AO52)</f>
        <v/>
      </c>
      <c r="AQ52">
        <f>IF(OR(AE52="",$B$10=0),0,COUNTIFS(DATA_TRANSPORT!$A:$A,$B$10,DATA_TRANSPORT!$E:$E,AE52,DATA_TRANSPORT!$C:$C,"FT Procured",DATA_TRANSPORT!$Z:$Z,"Y"))</f>
        <v/>
      </c>
      <c r="AR52">
        <f>IF(OR(AE52="",$B$10=0),0,SUMIFS(DATA_TRANSPORT_BUDGET!$E:$E,DATA_TRANSPORT_BUDGET!$A:$A,$B$10,DATA_TRANSPORT_BUDGET!$D:$D,AE52))</f>
        <v/>
      </c>
      <c r="AS52">
        <f>IF(OR(AE52="",$B$10=0),0,COUNTIFS(DATA_TRANSPORT!$A:$A,$B$10,DATA_TRANSPORT!$E:$E,AE52,DATA_TRANSPORT!$V:$V,"Breakdown"))</f>
        <v/>
      </c>
      <c r="AT52">
        <f>IF(IF(OR(AE52="",$B$10=0),0,SUMIFS(DATA_TRANSPORT!$L:$L,DATA_TRANSPORT!$A:$A,$B$10-7,DATA_TRANSPORT!$E:$E,AE52))=0,"",IF(OR(AE52="",$B$10=0),0,SUMIFS(DATA_TRANSPORT!$R:$R,DATA_TRANSPORT!$A:$A,$B$10-7,DATA_TRANSPORT!$E:$E,AE52))/IF(OR(AE52="",$B$10=0),0,SUMIFS(DATA_TRANSPORT!$L:$L,DATA_TRANSPORT!$A:$A,$B$10-7,DATA_TRANSPORT!$E:$E,AE52)))</f>
        <v/>
      </c>
      <c r="AU52">
        <f>IF(IF(OR(AE52="",$B$10=0),0,SUMIFS(DATA_TRANSPORT!$L:$L,DATA_TRANSPORT!$A:$A,$B$10-14,DATA_TRANSPORT!$E:$E,AE52))=0,"",IF(OR(AE52="",$B$10=0),0,SUMIFS(DATA_TRANSPORT!$R:$R,DATA_TRANSPORT!$A:$A,$B$10-14,DATA_TRANSPORT!$E:$E,AE52))/IF(OR(AE52="",$B$10=0),0,SUMIFS(DATA_TRANSPORT!$L:$L,DATA_TRANSPORT!$A:$A,$B$10-14,DATA_TRANSPORT!$E:$E,AE52)))</f>
        <v/>
      </c>
      <c r="AV52">
        <f>IF(IF(OR(AE52="",$B$10=0),0,SUMIFS(DATA_TRANSPORT!$L:$L,DATA_TRANSPORT!$A:$A,$B$10-21,DATA_TRANSPORT!$E:$E,AE52))=0,"",IF(OR(AE52="",$B$10=0),0,SUMIFS(DATA_TRANSPORT!$R:$R,DATA_TRANSPORT!$A:$A,$B$10-21,DATA_TRANSPORT!$E:$E,AE52))/IF(OR(AE52="",$B$10=0),0,SUMIFS(DATA_TRANSPORT!$L:$L,DATA_TRANSPORT!$A:$A,$B$10-21,DATA_TRANSPORT!$E:$E,AE52)))</f>
        <v/>
      </c>
      <c r="AW52">
        <f>IF(AND(ISNUMBER(AK52),AK52&lt;UtilLow),1,0)+IF(AND(ISNUMBER(AT52),AT52&lt;UtilLow),1,0)+IF(AND(ISNUMBER(AU52),AU52&lt;UtilLow),1,0)+IF(AND(ISNUMBER(AV52),AV52&lt;UtilLow),1,0)</f>
        <v/>
      </c>
      <c r="AX52">
        <f>IF(AW52&gt;=UtilLowWeeks,AE52&amp;": seats only "&amp;TEXT(AK52,"0%")&amp;" full, under "&amp;TEXT(UtilLow,"0%")&amp;" for "&amp;AW52&amp;" weeks running",IF(AND(AH52&gt;0,AJ52&gt;=AH52*ExcessShare),AE52&amp;": "&amp;TEXT(AJ52,"#,##0")&amp;" riders beyond the seats — consider more buses",IF(AND(ISNUMBER(AP52),AP52&gt;0),AE52&amp;": FT spend ₦"&amp;TEXT(AP52,"#,##0")&amp;" over the weekly budget",IF(AS52&gt;0,AE52&amp;": "&amp;AS52&amp;" coaster breakdown(s) this week",""))))</f>
        <v/>
      </c>
      <c r="AY52">
        <f>IF(ISNUMBER(AK52),AK52+ROW()/1000000000,"")</f>
        <v/>
      </c>
      <c r="AZ52">
        <f>IF(ISNUMBER(AM52),AM52+ROW()/1000000,"")</f>
        <v/>
      </c>
      <c r="BA52">
        <f>IF(AND(ISNUMBER(AP52),AP52&gt;0),AP52+ROW()/1000000,"")</f>
        <v/>
      </c>
      <c r="BB52">
        <f>IF(AF52&gt;0,AF52+ROW()/1000000,"")</f>
        <v/>
      </c>
      <c r="BC52">
        <f>IF(AX52="","",ROW())</f>
        <v/>
      </c>
      <c r="BD52">
        <f>IF(AJ52&gt;0,AJ52+ROW()/1000000,"")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IF(B53="",0,COUNTIFS(DATA_TRANSPORT!$A:$A,B53,DATA_TRANSPORT!$E:$E,$B$6,DATA_TRANSPORT!$AD:$AD,$B$7))</f>
        <v/>
      </c>
      <c r="G53">
        <f>IF(F53=0,0,SUMIFS(DATA_TRANSPORT!$Q:$Q,DATA_TRANSPORT!$A:$A,B53,DATA_TRANSPORT!$E:$E,$B$6,DATA_TRANSPORT!$AD:$AD,$B$7))</f>
        <v/>
      </c>
      <c r="H53">
        <f>IF(F53=0,0,SUMIFS(DATA_TRANSPORT!$M:$M,DATA_TRANSPORT!$A:$A,B53,DATA_TRANSPORT!$E:$E,$B$6,DATA_TRANSPORT!$AD:$AD,$B$7))</f>
        <v/>
      </c>
      <c r="I53">
        <f>IF(F53=0,0,SUMIFS(DATA_TRANSPORT!$N:$N,DATA_TRANSPORT!$A:$A,B53,DATA_TRANSPORT!$E:$E,$B$6,DATA_TRANSPORT!$AD:$AD,$B$7))</f>
        <v/>
      </c>
      <c r="J53">
        <f>IF(F53=0,0,SUMIFS(DATA_TRANSPORT!$P:$P,DATA_TRANSPORT!$A:$A,B53,DATA_TRANSPORT!$E:$E,$B$6,DATA_TRANSPORT!$AD:$AD,$B$7))</f>
        <v/>
      </c>
      <c r="K53">
        <f>IF(F53=0,0,SUMIFS(DATA_TRANSPORT!$I:$I,DATA_TRANSPORT!$A:$A,B53,DATA_TRANSPORT!$E:$E,$B$6,DATA_TRANSPORT!$AD:$AD,$B$7))</f>
        <v/>
      </c>
      <c r="L53">
        <f>IF(F53=0,0,SUMIFS(DATA_TRANSPORT!$I:$I,DATA_TRANSPORT!$A:$A,B53,DATA_TRANSPORT!$E:$E,$B$6,DATA_TRANSPORT!$AD:$AD,$B$7,DATA_TRANSPORT!$V:$V,"Ran"))</f>
        <v/>
      </c>
      <c r="M53">
        <f>IF(F53=0,0,SUMIFS(DATA_TRANSPORT!$L:$L,DATA_TRANSPORT!$A:$A,B53,DATA_TRANSPORT!$E:$E,$B$6,DATA_TRANSPORT!$AD:$AD,$B$7))</f>
        <v/>
      </c>
      <c r="N53">
        <f>IF(F53=0,0,SUMIFS(DATA_TRANSPORT!$R:$R,DATA_TRANSPORT!$A:$A,B53,DATA_TRANSPORT!$E:$E,$B$6,DATA_TRANSPORT!$AD:$AD,$B$7))</f>
        <v/>
      </c>
      <c r="O53">
        <f>IF(F53=0,0,SUMIFS(DATA_TRANSPORT!$S:$S,DATA_TRANSPORT!$A:$A,B53,DATA_TRANSPORT!$E:$E,$B$6,DATA_TRANSPORT!$AD:$AD,$B$7))</f>
        <v/>
      </c>
      <c r="P53">
        <f>IF(F53=0,0,SUMIFS(DATA_TRANSPORT!$T:$T,DATA_TRANSPORT!$A:$A,B53,DATA_TRANSPORT!$E:$E,$B$6,DATA_TRANSPORT!$AD:$AD,$B$7))</f>
        <v/>
      </c>
      <c r="Q53">
        <f>IF(OR(B53="",$B$17),0,SUMIFS(DATA_TRANSPORT_COSTS!$M:$M,DATA_TRANSPORT_COSTS!$A:$A,B53,DATA_TRANSPORT_COSTS!$D:$D,$B$6))</f>
        <v/>
      </c>
      <c r="R53">
        <f>P53+Q53</f>
        <v/>
      </c>
      <c r="S53">
        <f>Q53+IF(F53=0,0,SUMIFS(DATA_TRANSPORT!$T:$T,DATA_TRANSPORT!$A:$A,B53,DATA_TRANSPORT!$E:$E,$B$6,DATA_TRANSPORT!$AD:$AD,$B$7,DATA_TRANSPORT!$U:$U,"Central"))</f>
        <v/>
      </c>
      <c r="T53">
        <f>IF(F53=0,0,SUMIFS(DATA_TRANSPORT!$T:$T,DATA_TRANSPORT!$A:$A,B53,DATA_TRANSPORT!$E:$E,$B$6,DATA_TRANSPORT!$AD:$AD,$B$7,DATA_TRANSPORT!$U:$U,"Members"))</f>
        <v/>
      </c>
      <c r="U53">
        <f>IF(OR(B53="",$B$17),0,SUMIFS(DATA_TRANSPORT_BUDGET!$G:$G,DATA_TRANSPORT_BUDGET!$A:$A,B53,DATA_TRANSPORT_BUDGET!$D:$D,$B$6))</f>
        <v/>
      </c>
      <c r="V53">
        <f>IF(F53=0,0,SUMIFS(DATA_TRANSPORT!$T:$T,DATA_TRANSPORT!$A:$A,B53,DATA_TRANSPORT!$E:$E,$B$6,DATA_TRANSPORT!$AD:$AD,$B$7,DATA_TRANSPORT!$C:$C,"FT Procured"))</f>
        <v/>
      </c>
      <c r="W53">
        <f>IF(F53=0,0,COUNTIFS(DATA_TRANSPORT!$A:$A,B53,DATA_TRANSPORT!$E:$E,$B$6,DATA_TRANSPORT!$AD:$AD,$B$7,DATA_TRANSPORT!$V:$V,"Breakdown"))</f>
        <v/>
      </c>
      <c r="X53">
        <f>IF(M53=0,0,N53/M53)</f>
        <v/>
      </c>
      <c r="Y53">
        <f>IF(F53&gt;0,1,0)</f>
        <v/>
      </c>
      <c r="Z53">
        <f>IF(AND(A53&gt;=1,A53&lt;=$B$11),Y53,0)</f>
        <v/>
      </c>
      <c r="AA53">
        <f>IF(AND(C53=$B$12,E53=$B$14),Y53,0)</f>
        <v/>
      </c>
      <c r="AB53">
        <f>IF(AND(D53=$B$13,E53=$B$14),Y53,0)</f>
        <v/>
      </c>
      <c r="AC53">
        <f>IF(E53=$B$14,Y53,0)</f>
        <v/>
      </c>
      <c r="AE53">
        <f>IFERROR(IF(INDEX(MASTER_AREAS!$F:$F,52)="N","",INDEX(MASTER_AREAS!$B:$B,52)&amp;""),"")</f>
        <v/>
      </c>
      <c r="AF53">
        <f>IF(OR(AE53="",$B$10=0),0,SUMIFS(DATA_TRANSPORT!$Q:$Q,DATA_TRANSPORT!$A:$A,$B$10,DATA_TRANSPORT!$E:$E,AE53))</f>
        <v/>
      </c>
      <c r="AG53">
        <f>IF(OR(AE53="",$B$10=0),0,SUMIFS(DATA_TRANSPORT!$I:$I,DATA_TRANSPORT!$A:$A,$B$10,DATA_TRANSPORT!$E:$E,AE53,DATA_TRANSPORT!$V:$V,"Ran"))</f>
        <v/>
      </c>
      <c r="AH53">
        <f>IF(OR(AE53="",$B$10=0),0,SUMIFS(DATA_TRANSPORT!$L:$L,DATA_TRANSPORT!$A:$A,$B$10,DATA_TRANSPORT!$E:$E,AE53))</f>
        <v/>
      </c>
      <c r="AI53">
        <f>IF(OR(AE53="",$B$10=0),0,SUMIFS(DATA_TRANSPORT!$R:$R,DATA_TRANSPORT!$A:$A,$B$10,DATA_TRANSPORT!$E:$E,AE53))</f>
        <v/>
      </c>
      <c r="AJ53">
        <f>IF(OR(AE53="",$B$10=0),0,SUMIFS(DATA_TRANSPORT!$S:$S,DATA_TRANSPORT!$A:$A,$B$10,DATA_TRANSPORT!$E:$E,AE53))</f>
        <v/>
      </c>
      <c r="AK53">
        <f>IF(AH53=0,"",AI53/AH53)</f>
        <v/>
      </c>
      <c r="AL53">
        <f>IF(OR(AE53="",$B$10=0),0,SUMIFS(DATA_TRANSPORT!$T:$T,DATA_TRANSPORT!$A:$A,$B$10,DATA_TRANSPORT!$E:$E,AE53))+IF(OR(AE53="",$B$10=0),0,SUMIFS(DATA_TRANSPORT_COSTS!$M:$M,DATA_TRANSPORT_COSTS!$A:$A,$B$10,DATA_TRANSPORT_COSTS!$D:$D,AE53))</f>
        <v/>
      </c>
      <c r="AM53">
        <f>IF(OR(AF53=0,AL53=0),"",AL53/AF53)</f>
        <v/>
      </c>
      <c r="AN53">
        <f>IF(OR(AE53="",$B$10=0),0,SUMIFS(DATA_TRANSPORT!$T:$T,DATA_TRANSPORT!$A:$A,$B$10,DATA_TRANSPORT!$E:$E,AE53,DATA_TRANSPORT!$C:$C,"FT Procured"))</f>
        <v/>
      </c>
      <c r="AO53">
        <f>IF(OR(AE53="",$B$10=0),0,SUMIFS(DATA_TRANSPORT_BUDGET!$G:$G,DATA_TRANSPORT_BUDGET!$A:$A,$B$10,DATA_TRANSPORT_BUDGET!$D:$D,AE53))</f>
        <v/>
      </c>
      <c r="AP53">
        <f>IF(AO53=0,"",AN53-AO53)</f>
        <v/>
      </c>
      <c r="AQ53">
        <f>IF(OR(AE53="",$B$10=0),0,COUNTIFS(DATA_TRANSPORT!$A:$A,$B$10,DATA_TRANSPORT!$E:$E,AE53,DATA_TRANSPORT!$C:$C,"FT Procured",DATA_TRANSPORT!$Z:$Z,"Y"))</f>
        <v/>
      </c>
      <c r="AR53">
        <f>IF(OR(AE53="",$B$10=0),0,SUMIFS(DATA_TRANSPORT_BUDGET!$E:$E,DATA_TRANSPORT_BUDGET!$A:$A,$B$10,DATA_TRANSPORT_BUDGET!$D:$D,AE53))</f>
        <v/>
      </c>
      <c r="AS53">
        <f>IF(OR(AE53="",$B$10=0),0,COUNTIFS(DATA_TRANSPORT!$A:$A,$B$10,DATA_TRANSPORT!$E:$E,AE53,DATA_TRANSPORT!$V:$V,"Breakdown"))</f>
        <v/>
      </c>
      <c r="AT53">
        <f>IF(IF(OR(AE53="",$B$10=0),0,SUMIFS(DATA_TRANSPORT!$L:$L,DATA_TRANSPORT!$A:$A,$B$10-7,DATA_TRANSPORT!$E:$E,AE53))=0,"",IF(OR(AE53="",$B$10=0),0,SUMIFS(DATA_TRANSPORT!$R:$R,DATA_TRANSPORT!$A:$A,$B$10-7,DATA_TRANSPORT!$E:$E,AE53))/IF(OR(AE53="",$B$10=0),0,SUMIFS(DATA_TRANSPORT!$L:$L,DATA_TRANSPORT!$A:$A,$B$10-7,DATA_TRANSPORT!$E:$E,AE53)))</f>
        <v/>
      </c>
      <c r="AU53">
        <f>IF(IF(OR(AE53="",$B$10=0),0,SUMIFS(DATA_TRANSPORT!$L:$L,DATA_TRANSPORT!$A:$A,$B$10-14,DATA_TRANSPORT!$E:$E,AE53))=0,"",IF(OR(AE53="",$B$10=0),0,SUMIFS(DATA_TRANSPORT!$R:$R,DATA_TRANSPORT!$A:$A,$B$10-14,DATA_TRANSPORT!$E:$E,AE53))/IF(OR(AE53="",$B$10=0),0,SUMIFS(DATA_TRANSPORT!$L:$L,DATA_TRANSPORT!$A:$A,$B$10-14,DATA_TRANSPORT!$E:$E,AE53)))</f>
        <v/>
      </c>
      <c r="AV53">
        <f>IF(IF(OR(AE53="",$B$10=0),0,SUMIFS(DATA_TRANSPORT!$L:$L,DATA_TRANSPORT!$A:$A,$B$10-21,DATA_TRANSPORT!$E:$E,AE53))=0,"",IF(OR(AE53="",$B$10=0),0,SUMIFS(DATA_TRANSPORT!$R:$R,DATA_TRANSPORT!$A:$A,$B$10-21,DATA_TRANSPORT!$E:$E,AE53))/IF(OR(AE53="",$B$10=0),0,SUMIFS(DATA_TRANSPORT!$L:$L,DATA_TRANSPORT!$A:$A,$B$10-21,DATA_TRANSPORT!$E:$E,AE53)))</f>
        <v/>
      </c>
      <c r="AW53">
        <f>IF(AND(ISNUMBER(AK53),AK53&lt;UtilLow),1,0)+IF(AND(ISNUMBER(AT53),AT53&lt;UtilLow),1,0)+IF(AND(ISNUMBER(AU53),AU53&lt;UtilLow),1,0)+IF(AND(ISNUMBER(AV53),AV53&lt;UtilLow),1,0)</f>
        <v/>
      </c>
      <c r="AX53">
        <f>IF(AW53&gt;=UtilLowWeeks,AE53&amp;": seats only "&amp;TEXT(AK53,"0%")&amp;" full, under "&amp;TEXT(UtilLow,"0%")&amp;" for "&amp;AW53&amp;" weeks running",IF(AND(AH53&gt;0,AJ53&gt;=AH53*ExcessShare),AE53&amp;": "&amp;TEXT(AJ53,"#,##0")&amp;" riders beyond the seats — consider more buses",IF(AND(ISNUMBER(AP53),AP53&gt;0),AE53&amp;": FT spend ₦"&amp;TEXT(AP53,"#,##0")&amp;" over the weekly budget",IF(AS53&gt;0,AE53&amp;": "&amp;AS53&amp;" coaster breakdown(s) this week",""))))</f>
        <v/>
      </c>
      <c r="AY53">
        <f>IF(ISNUMBER(AK53),AK53+ROW()/1000000000,"")</f>
        <v/>
      </c>
      <c r="AZ53">
        <f>IF(ISNUMBER(AM53),AM53+ROW()/1000000,"")</f>
        <v/>
      </c>
      <c r="BA53">
        <f>IF(AND(ISNUMBER(AP53),AP53&gt;0),AP53+ROW()/1000000,"")</f>
        <v/>
      </c>
      <c r="BB53">
        <f>IF(AF53&gt;0,AF53+ROW()/1000000,"")</f>
        <v/>
      </c>
      <c r="BC53">
        <f>IF(AX53="","",ROW())</f>
        <v/>
      </c>
      <c r="BD53">
        <f>IF(AJ53&gt;0,AJ53+ROW()/1000000,"")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IF(B54="",0,COUNTIFS(DATA_TRANSPORT!$A:$A,B54,DATA_TRANSPORT!$E:$E,$B$6,DATA_TRANSPORT!$AD:$AD,$B$7))</f>
        <v/>
      </c>
      <c r="G54">
        <f>IF(F54=0,0,SUMIFS(DATA_TRANSPORT!$Q:$Q,DATA_TRANSPORT!$A:$A,B54,DATA_TRANSPORT!$E:$E,$B$6,DATA_TRANSPORT!$AD:$AD,$B$7))</f>
        <v/>
      </c>
      <c r="H54">
        <f>IF(F54=0,0,SUMIFS(DATA_TRANSPORT!$M:$M,DATA_TRANSPORT!$A:$A,B54,DATA_TRANSPORT!$E:$E,$B$6,DATA_TRANSPORT!$AD:$AD,$B$7))</f>
        <v/>
      </c>
      <c r="I54">
        <f>IF(F54=0,0,SUMIFS(DATA_TRANSPORT!$N:$N,DATA_TRANSPORT!$A:$A,B54,DATA_TRANSPORT!$E:$E,$B$6,DATA_TRANSPORT!$AD:$AD,$B$7))</f>
        <v/>
      </c>
      <c r="J54">
        <f>IF(F54=0,0,SUMIFS(DATA_TRANSPORT!$P:$P,DATA_TRANSPORT!$A:$A,B54,DATA_TRANSPORT!$E:$E,$B$6,DATA_TRANSPORT!$AD:$AD,$B$7))</f>
        <v/>
      </c>
      <c r="K54">
        <f>IF(F54=0,0,SUMIFS(DATA_TRANSPORT!$I:$I,DATA_TRANSPORT!$A:$A,B54,DATA_TRANSPORT!$E:$E,$B$6,DATA_TRANSPORT!$AD:$AD,$B$7))</f>
        <v/>
      </c>
      <c r="L54">
        <f>IF(F54=0,0,SUMIFS(DATA_TRANSPORT!$I:$I,DATA_TRANSPORT!$A:$A,B54,DATA_TRANSPORT!$E:$E,$B$6,DATA_TRANSPORT!$AD:$AD,$B$7,DATA_TRANSPORT!$V:$V,"Ran"))</f>
        <v/>
      </c>
      <c r="M54">
        <f>IF(F54=0,0,SUMIFS(DATA_TRANSPORT!$L:$L,DATA_TRANSPORT!$A:$A,B54,DATA_TRANSPORT!$E:$E,$B$6,DATA_TRANSPORT!$AD:$AD,$B$7))</f>
        <v/>
      </c>
      <c r="N54">
        <f>IF(F54=0,0,SUMIFS(DATA_TRANSPORT!$R:$R,DATA_TRANSPORT!$A:$A,B54,DATA_TRANSPORT!$E:$E,$B$6,DATA_TRANSPORT!$AD:$AD,$B$7))</f>
        <v/>
      </c>
      <c r="O54">
        <f>IF(F54=0,0,SUMIFS(DATA_TRANSPORT!$S:$S,DATA_TRANSPORT!$A:$A,B54,DATA_TRANSPORT!$E:$E,$B$6,DATA_TRANSPORT!$AD:$AD,$B$7))</f>
        <v/>
      </c>
      <c r="P54">
        <f>IF(F54=0,0,SUMIFS(DATA_TRANSPORT!$T:$T,DATA_TRANSPORT!$A:$A,B54,DATA_TRANSPORT!$E:$E,$B$6,DATA_TRANSPORT!$AD:$AD,$B$7))</f>
        <v/>
      </c>
      <c r="Q54">
        <f>IF(OR(B54="",$B$17),0,SUMIFS(DATA_TRANSPORT_COSTS!$M:$M,DATA_TRANSPORT_COSTS!$A:$A,B54,DATA_TRANSPORT_COSTS!$D:$D,$B$6))</f>
        <v/>
      </c>
      <c r="R54">
        <f>P54+Q54</f>
        <v/>
      </c>
      <c r="S54">
        <f>Q54+IF(F54=0,0,SUMIFS(DATA_TRANSPORT!$T:$T,DATA_TRANSPORT!$A:$A,B54,DATA_TRANSPORT!$E:$E,$B$6,DATA_TRANSPORT!$AD:$AD,$B$7,DATA_TRANSPORT!$U:$U,"Central"))</f>
        <v/>
      </c>
      <c r="T54">
        <f>IF(F54=0,0,SUMIFS(DATA_TRANSPORT!$T:$T,DATA_TRANSPORT!$A:$A,B54,DATA_TRANSPORT!$E:$E,$B$6,DATA_TRANSPORT!$AD:$AD,$B$7,DATA_TRANSPORT!$U:$U,"Members"))</f>
        <v/>
      </c>
      <c r="U54">
        <f>IF(OR(B54="",$B$17),0,SUMIFS(DATA_TRANSPORT_BUDGET!$G:$G,DATA_TRANSPORT_BUDGET!$A:$A,B54,DATA_TRANSPORT_BUDGET!$D:$D,$B$6))</f>
        <v/>
      </c>
      <c r="V54">
        <f>IF(F54=0,0,SUMIFS(DATA_TRANSPORT!$T:$T,DATA_TRANSPORT!$A:$A,B54,DATA_TRANSPORT!$E:$E,$B$6,DATA_TRANSPORT!$AD:$AD,$B$7,DATA_TRANSPORT!$C:$C,"FT Procured"))</f>
        <v/>
      </c>
      <c r="W54">
        <f>IF(F54=0,0,COUNTIFS(DATA_TRANSPORT!$A:$A,B54,DATA_TRANSPORT!$E:$E,$B$6,DATA_TRANSPORT!$AD:$AD,$B$7,DATA_TRANSPORT!$V:$V,"Breakdown"))</f>
        <v/>
      </c>
      <c r="X54">
        <f>IF(M54=0,0,N54/M54)</f>
        <v/>
      </c>
      <c r="Y54">
        <f>IF(F54&gt;0,1,0)</f>
        <v/>
      </c>
      <c r="Z54">
        <f>IF(AND(A54&gt;=1,A54&lt;=$B$11),Y54,0)</f>
        <v/>
      </c>
      <c r="AA54">
        <f>IF(AND(C54=$B$12,E54=$B$14),Y54,0)</f>
        <v/>
      </c>
      <c r="AB54">
        <f>IF(AND(D54=$B$13,E54=$B$14),Y54,0)</f>
        <v/>
      </c>
      <c r="AC54">
        <f>IF(E54=$B$14,Y54,0)</f>
        <v/>
      </c>
      <c r="AE54">
        <f>IFERROR(IF(INDEX(MASTER_AREAS!$F:$F,53)="N","",INDEX(MASTER_AREAS!$B:$B,53)&amp;""),"")</f>
        <v/>
      </c>
      <c r="AF54">
        <f>IF(OR(AE54="",$B$10=0),0,SUMIFS(DATA_TRANSPORT!$Q:$Q,DATA_TRANSPORT!$A:$A,$B$10,DATA_TRANSPORT!$E:$E,AE54))</f>
        <v/>
      </c>
      <c r="AG54">
        <f>IF(OR(AE54="",$B$10=0),0,SUMIFS(DATA_TRANSPORT!$I:$I,DATA_TRANSPORT!$A:$A,$B$10,DATA_TRANSPORT!$E:$E,AE54,DATA_TRANSPORT!$V:$V,"Ran"))</f>
        <v/>
      </c>
      <c r="AH54">
        <f>IF(OR(AE54="",$B$10=0),0,SUMIFS(DATA_TRANSPORT!$L:$L,DATA_TRANSPORT!$A:$A,$B$10,DATA_TRANSPORT!$E:$E,AE54))</f>
        <v/>
      </c>
      <c r="AI54">
        <f>IF(OR(AE54="",$B$10=0),0,SUMIFS(DATA_TRANSPORT!$R:$R,DATA_TRANSPORT!$A:$A,$B$10,DATA_TRANSPORT!$E:$E,AE54))</f>
        <v/>
      </c>
      <c r="AJ54">
        <f>IF(OR(AE54="",$B$10=0),0,SUMIFS(DATA_TRANSPORT!$S:$S,DATA_TRANSPORT!$A:$A,$B$10,DATA_TRANSPORT!$E:$E,AE54))</f>
        <v/>
      </c>
      <c r="AK54">
        <f>IF(AH54=0,"",AI54/AH54)</f>
        <v/>
      </c>
      <c r="AL54">
        <f>IF(OR(AE54="",$B$10=0),0,SUMIFS(DATA_TRANSPORT!$T:$T,DATA_TRANSPORT!$A:$A,$B$10,DATA_TRANSPORT!$E:$E,AE54))+IF(OR(AE54="",$B$10=0),0,SUMIFS(DATA_TRANSPORT_COSTS!$M:$M,DATA_TRANSPORT_COSTS!$A:$A,$B$10,DATA_TRANSPORT_COSTS!$D:$D,AE54))</f>
        <v/>
      </c>
      <c r="AM54">
        <f>IF(OR(AF54=0,AL54=0),"",AL54/AF54)</f>
        <v/>
      </c>
      <c r="AN54">
        <f>IF(OR(AE54="",$B$10=0),0,SUMIFS(DATA_TRANSPORT!$T:$T,DATA_TRANSPORT!$A:$A,$B$10,DATA_TRANSPORT!$E:$E,AE54,DATA_TRANSPORT!$C:$C,"FT Procured"))</f>
        <v/>
      </c>
      <c r="AO54">
        <f>IF(OR(AE54="",$B$10=0),0,SUMIFS(DATA_TRANSPORT_BUDGET!$G:$G,DATA_TRANSPORT_BUDGET!$A:$A,$B$10,DATA_TRANSPORT_BUDGET!$D:$D,AE54))</f>
        <v/>
      </c>
      <c r="AP54">
        <f>IF(AO54=0,"",AN54-AO54)</f>
        <v/>
      </c>
      <c r="AQ54">
        <f>IF(OR(AE54="",$B$10=0),0,COUNTIFS(DATA_TRANSPORT!$A:$A,$B$10,DATA_TRANSPORT!$E:$E,AE54,DATA_TRANSPORT!$C:$C,"FT Procured",DATA_TRANSPORT!$Z:$Z,"Y"))</f>
        <v/>
      </c>
      <c r="AR54">
        <f>IF(OR(AE54="",$B$10=0),0,SUMIFS(DATA_TRANSPORT_BUDGET!$E:$E,DATA_TRANSPORT_BUDGET!$A:$A,$B$10,DATA_TRANSPORT_BUDGET!$D:$D,AE54))</f>
        <v/>
      </c>
      <c r="AS54">
        <f>IF(OR(AE54="",$B$10=0),0,COUNTIFS(DATA_TRANSPORT!$A:$A,$B$10,DATA_TRANSPORT!$E:$E,AE54,DATA_TRANSPORT!$V:$V,"Breakdown"))</f>
        <v/>
      </c>
      <c r="AT54">
        <f>IF(IF(OR(AE54="",$B$10=0),0,SUMIFS(DATA_TRANSPORT!$L:$L,DATA_TRANSPORT!$A:$A,$B$10-7,DATA_TRANSPORT!$E:$E,AE54))=0,"",IF(OR(AE54="",$B$10=0),0,SUMIFS(DATA_TRANSPORT!$R:$R,DATA_TRANSPORT!$A:$A,$B$10-7,DATA_TRANSPORT!$E:$E,AE54))/IF(OR(AE54="",$B$10=0),0,SUMIFS(DATA_TRANSPORT!$L:$L,DATA_TRANSPORT!$A:$A,$B$10-7,DATA_TRANSPORT!$E:$E,AE54)))</f>
        <v/>
      </c>
      <c r="AU54">
        <f>IF(IF(OR(AE54="",$B$10=0),0,SUMIFS(DATA_TRANSPORT!$L:$L,DATA_TRANSPORT!$A:$A,$B$10-14,DATA_TRANSPORT!$E:$E,AE54))=0,"",IF(OR(AE54="",$B$10=0),0,SUMIFS(DATA_TRANSPORT!$R:$R,DATA_TRANSPORT!$A:$A,$B$10-14,DATA_TRANSPORT!$E:$E,AE54))/IF(OR(AE54="",$B$10=0),0,SUMIFS(DATA_TRANSPORT!$L:$L,DATA_TRANSPORT!$A:$A,$B$10-14,DATA_TRANSPORT!$E:$E,AE54)))</f>
        <v/>
      </c>
      <c r="AV54">
        <f>IF(IF(OR(AE54="",$B$10=0),0,SUMIFS(DATA_TRANSPORT!$L:$L,DATA_TRANSPORT!$A:$A,$B$10-21,DATA_TRANSPORT!$E:$E,AE54))=0,"",IF(OR(AE54="",$B$10=0),0,SUMIFS(DATA_TRANSPORT!$R:$R,DATA_TRANSPORT!$A:$A,$B$10-21,DATA_TRANSPORT!$E:$E,AE54))/IF(OR(AE54="",$B$10=0),0,SUMIFS(DATA_TRANSPORT!$L:$L,DATA_TRANSPORT!$A:$A,$B$10-21,DATA_TRANSPORT!$E:$E,AE54)))</f>
        <v/>
      </c>
      <c r="AW54">
        <f>IF(AND(ISNUMBER(AK54),AK54&lt;UtilLow),1,0)+IF(AND(ISNUMBER(AT54),AT54&lt;UtilLow),1,0)+IF(AND(ISNUMBER(AU54),AU54&lt;UtilLow),1,0)+IF(AND(ISNUMBER(AV54),AV54&lt;UtilLow),1,0)</f>
        <v/>
      </c>
      <c r="AX54">
        <f>IF(AW54&gt;=UtilLowWeeks,AE54&amp;": seats only "&amp;TEXT(AK54,"0%")&amp;" full, under "&amp;TEXT(UtilLow,"0%")&amp;" for "&amp;AW54&amp;" weeks running",IF(AND(AH54&gt;0,AJ54&gt;=AH54*ExcessShare),AE54&amp;": "&amp;TEXT(AJ54,"#,##0")&amp;" riders beyond the seats — consider more buses",IF(AND(ISNUMBER(AP54),AP54&gt;0),AE54&amp;": FT spend ₦"&amp;TEXT(AP54,"#,##0")&amp;" over the weekly budget",IF(AS54&gt;0,AE54&amp;": "&amp;AS54&amp;" coaster breakdown(s) this week",""))))</f>
        <v/>
      </c>
      <c r="AY54">
        <f>IF(ISNUMBER(AK54),AK54+ROW()/1000000000,"")</f>
        <v/>
      </c>
      <c r="AZ54">
        <f>IF(ISNUMBER(AM54),AM54+ROW()/1000000,"")</f>
        <v/>
      </c>
      <c r="BA54">
        <f>IF(AND(ISNUMBER(AP54),AP54&gt;0),AP54+ROW()/1000000,"")</f>
        <v/>
      </c>
      <c r="BB54">
        <f>IF(AF54&gt;0,AF54+ROW()/1000000,"")</f>
        <v/>
      </c>
      <c r="BC54">
        <f>IF(AX54="","",ROW())</f>
        <v/>
      </c>
      <c r="BD54">
        <f>IF(AJ54&gt;0,AJ54+ROW()/1000000,"")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IF(B55="",0,COUNTIFS(DATA_TRANSPORT!$A:$A,B55,DATA_TRANSPORT!$E:$E,$B$6,DATA_TRANSPORT!$AD:$AD,$B$7))</f>
        <v/>
      </c>
      <c r="G55">
        <f>IF(F55=0,0,SUMIFS(DATA_TRANSPORT!$Q:$Q,DATA_TRANSPORT!$A:$A,B55,DATA_TRANSPORT!$E:$E,$B$6,DATA_TRANSPORT!$AD:$AD,$B$7))</f>
        <v/>
      </c>
      <c r="H55">
        <f>IF(F55=0,0,SUMIFS(DATA_TRANSPORT!$M:$M,DATA_TRANSPORT!$A:$A,B55,DATA_TRANSPORT!$E:$E,$B$6,DATA_TRANSPORT!$AD:$AD,$B$7))</f>
        <v/>
      </c>
      <c r="I55">
        <f>IF(F55=0,0,SUMIFS(DATA_TRANSPORT!$N:$N,DATA_TRANSPORT!$A:$A,B55,DATA_TRANSPORT!$E:$E,$B$6,DATA_TRANSPORT!$AD:$AD,$B$7))</f>
        <v/>
      </c>
      <c r="J55">
        <f>IF(F55=0,0,SUMIFS(DATA_TRANSPORT!$P:$P,DATA_TRANSPORT!$A:$A,B55,DATA_TRANSPORT!$E:$E,$B$6,DATA_TRANSPORT!$AD:$AD,$B$7))</f>
        <v/>
      </c>
      <c r="K55">
        <f>IF(F55=0,0,SUMIFS(DATA_TRANSPORT!$I:$I,DATA_TRANSPORT!$A:$A,B55,DATA_TRANSPORT!$E:$E,$B$6,DATA_TRANSPORT!$AD:$AD,$B$7))</f>
        <v/>
      </c>
      <c r="L55">
        <f>IF(F55=0,0,SUMIFS(DATA_TRANSPORT!$I:$I,DATA_TRANSPORT!$A:$A,B55,DATA_TRANSPORT!$E:$E,$B$6,DATA_TRANSPORT!$AD:$AD,$B$7,DATA_TRANSPORT!$V:$V,"Ran"))</f>
        <v/>
      </c>
      <c r="M55">
        <f>IF(F55=0,0,SUMIFS(DATA_TRANSPORT!$L:$L,DATA_TRANSPORT!$A:$A,B55,DATA_TRANSPORT!$E:$E,$B$6,DATA_TRANSPORT!$AD:$AD,$B$7))</f>
        <v/>
      </c>
      <c r="N55">
        <f>IF(F55=0,0,SUMIFS(DATA_TRANSPORT!$R:$R,DATA_TRANSPORT!$A:$A,B55,DATA_TRANSPORT!$E:$E,$B$6,DATA_TRANSPORT!$AD:$AD,$B$7))</f>
        <v/>
      </c>
      <c r="O55">
        <f>IF(F55=0,0,SUMIFS(DATA_TRANSPORT!$S:$S,DATA_TRANSPORT!$A:$A,B55,DATA_TRANSPORT!$E:$E,$B$6,DATA_TRANSPORT!$AD:$AD,$B$7))</f>
        <v/>
      </c>
      <c r="P55">
        <f>IF(F55=0,0,SUMIFS(DATA_TRANSPORT!$T:$T,DATA_TRANSPORT!$A:$A,B55,DATA_TRANSPORT!$E:$E,$B$6,DATA_TRANSPORT!$AD:$AD,$B$7))</f>
        <v/>
      </c>
      <c r="Q55">
        <f>IF(OR(B55="",$B$17),0,SUMIFS(DATA_TRANSPORT_COSTS!$M:$M,DATA_TRANSPORT_COSTS!$A:$A,B55,DATA_TRANSPORT_COSTS!$D:$D,$B$6))</f>
        <v/>
      </c>
      <c r="R55">
        <f>P55+Q55</f>
        <v/>
      </c>
      <c r="S55">
        <f>Q55+IF(F55=0,0,SUMIFS(DATA_TRANSPORT!$T:$T,DATA_TRANSPORT!$A:$A,B55,DATA_TRANSPORT!$E:$E,$B$6,DATA_TRANSPORT!$AD:$AD,$B$7,DATA_TRANSPORT!$U:$U,"Central"))</f>
        <v/>
      </c>
      <c r="T55">
        <f>IF(F55=0,0,SUMIFS(DATA_TRANSPORT!$T:$T,DATA_TRANSPORT!$A:$A,B55,DATA_TRANSPORT!$E:$E,$B$6,DATA_TRANSPORT!$AD:$AD,$B$7,DATA_TRANSPORT!$U:$U,"Members"))</f>
        <v/>
      </c>
      <c r="U55">
        <f>IF(OR(B55="",$B$17),0,SUMIFS(DATA_TRANSPORT_BUDGET!$G:$G,DATA_TRANSPORT_BUDGET!$A:$A,B55,DATA_TRANSPORT_BUDGET!$D:$D,$B$6))</f>
        <v/>
      </c>
      <c r="V55">
        <f>IF(F55=0,0,SUMIFS(DATA_TRANSPORT!$T:$T,DATA_TRANSPORT!$A:$A,B55,DATA_TRANSPORT!$E:$E,$B$6,DATA_TRANSPORT!$AD:$AD,$B$7,DATA_TRANSPORT!$C:$C,"FT Procured"))</f>
        <v/>
      </c>
      <c r="W55">
        <f>IF(F55=0,0,COUNTIFS(DATA_TRANSPORT!$A:$A,B55,DATA_TRANSPORT!$E:$E,$B$6,DATA_TRANSPORT!$AD:$AD,$B$7,DATA_TRANSPORT!$V:$V,"Breakdown"))</f>
        <v/>
      </c>
      <c r="X55">
        <f>IF(M55=0,0,N55/M55)</f>
        <v/>
      </c>
      <c r="Y55">
        <f>IF(F55&gt;0,1,0)</f>
        <v/>
      </c>
      <c r="Z55">
        <f>IF(AND(A55&gt;=1,A55&lt;=$B$11),Y55,0)</f>
        <v/>
      </c>
      <c r="AA55">
        <f>IF(AND(C55=$B$12,E55=$B$14),Y55,0)</f>
        <v/>
      </c>
      <c r="AB55">
        <f>IF(AND(D55=$B$13,E55=$B$14),Y55,0)</f>
        <v/>
      </c>
      <c r="AC55">
        <f>IF(E55=$B$14,Y55,0)</f>
        <v/>
      </c>
      <c r="AE55">
        <f>IFERROR(IF(INDEX(MASTER_AREAS!$F:$F,54)="N","",INDEX(MASTER_AREAS!$B:$B,54)&amp;""),"")</f>
        <v/>
      </c>
      <c r="AF55">
        <f>IF(OR(AE55="",$B$10=0),0,SUMIFS(DATA_TRANSPORT!$Q:$Q,DATA_TRANSPORT!$A:$A,$B$10,DATA_TRANSPORT!$E:$E,AE55))</f>
        <v/>
      </c>
      <c r="AG55">
        <f>IF(OR(AE55="",$B$10=0),0,SUMIFS(DATA_TRANSPORT!$I:$I,DATA_TRANSPORT!$A:$A,$B$10,DATA_TRANSPORT!$E:$E,AE55,DATA_TRANSPORT!$V:$V,"Ran"))</f>
        <v/>
      </c>
      <c r="AH55">
        <f>IF(OR(AE55="",$B$10=0),0,SUMIFS(DATA_TRANSPORT!$L:$L,DATA_TRANSPORT!$A:$A,$B$10,DATA_TRANSPORT!$E:$E,AE55))</f>
        <v/>
      </c>
      <c r="AI55">
        <f>IF(OR(AE55="",$B$10=0),0,SUMIFS(DATA_TRANSPORT!$R:$R,DATA_TRANSPORT!$A:$A,$B$10,DATA_TRANSPORT!$E:$E,AE55))</f>
        <v/>
      </c>
      <c r="AJ55">
        <f>IF(OR(AE55="",$B$10=0),0,SUMIFS(DATA_TRANSPORT!$S:$S,DATA_TRANSPORT!$A:$A,$B$10,DATA_TRANSPORT!$E:$E,AE55))</f>
        <v/>
      </c>
      <c r="AK55">
        <f>IF(AH55=0,"",AI55/AH55)</f>
        <v/>
      </c>
      <c r="AL55">
        <f>IF(OR(AE55="",$B$10=0),0,SUMIFS(DATA_TRANSPORT!$T:$T,DATA_TRANSPORT!$A:$A,$B$10,DATA_TRANSPORT!$E:$E,AE55))+IF(OR(AE55="",$B$10=0),0,SUMIFS(DATA_TRANSPORT_COSTS!$M:$M,DATA_TRANSPORT_COSTS!$A:$A,$B$10,DATA_TRANSPORT_COSTS!$D:$D,AE55))</f>
        <v/>
      </c>
      <c r="AM55">
        <f>IF(OR(AF55=0,AL55=0),"",AL55/AF55)</f>
        <v/>
      </c>
      <c r="AN55">
        <f>IF(OR(AE55="",$B$10=0),0,SUMIFS(DATA_TRANSPORT!$T:$T,DATA_TRANSPORT!$A:$A,$B$10,DATA_TRANSPORT!$E:$E,AE55,DATA_TRANSPORT!$C:$C,"FT Procured"))</f>
        <v/>
      </c>
      <c r="AO55">
        <f>IF(OR(AE55="",$B$10=0),0,SUMIFS(DATA_TRANSPORT_BUDGET!$G:$G,DATA_TRANSPORT_BUDGET!$A:$A,$B$10,DATA_TRANSPORT_BUDGET!$D:$D,AE55))</f>
        <v/>
      </c>
      <c r="AP55">
        <f>IF(AO55=0,"",AN55-AO55)</f>
        <v/>
      </c>
      <c r="AQ55">
        <f>IF(OR(AE55="",$B$10=0),0,COUNTIFS(DATA_TRANSPORT!$A:$A,$B$10,DATA_TRANSPORT!$E:$E,AE55,DATA_TRANSPORT!$C:$C,"FT Procured",DATA_TRANSPORT!$Z:$Z,"Y"))</f>
        <v/>
      </c>
      <c r="AR55">
        <f>IF(OR(AE55="",$B$10=0),0,SUMIFS(DATA_TRANSPORT_BUDGET!$E:$E,DATA_TRANSPORT_BUDGET!$A:$A,$B$10,DATA_TRANSPORT_BUDGET!$D:$D,AE55))</f>
        <v/>
      </c>
      <c r="AS55">
        <f>IF(OR(AE55="",$B$10=0),0,COUNTIFS(DATA_TRANSPORT!$A:$A,$B$10,DATA_TRANSPORT!$E:$E,AE55,DATA_TRANSPORT!$V:$V,"Breakdown"))</f>
        <v/>
      </c>
      <c r="AT55">
        <f>IF(IF(OR(AE55="",$B$10=0),0,SUMIFS(DATA_TRANSPORT!$L:$L,DATA_TRANSPORT!$A:$A,$B$10-7,DATA_TRANSPORT!$E:$E,AE55))=0,"",IF(OR(AE55="",$B$10=0),0,SUMIFS(DATA_TRANSPORT!$R:$R,DATA_TRANSPORT!$A:$A,$B$10-7,DATA_TRANSPORT!$E:$E,AE55))/IF(OR(AE55="",$B$10=0),0,SUMIFS(DATA_TRANSPORT!$L:$L,DATA_TRANSPORT!$A:$A,$B$10-7,DATA_TRANSPORT!$E:$E,AE55)))</f>
        <v/>
      </c>
      <c r="AU55">
        <f>IF(IF(OR(AE55="",$B$10=0),0,SUMIFS(DATA_TRANSPORT!$L:$L,DATA_TRANSPORT!$A:$A,$B$10-14,DATA_TRANSPORT!$E:$E,AE55))=0,"",IF(OR(AE55="",$B$10=0),0,SUMIFS(DATA_TRANSPORT!$R:$R,DATA_TRANSPORT!$A:$A,$B$10-14,DATA_TRANSPORT!$E:$E,AE55))/IF(OR(AE55="",$B$10=0),0,SUMIFS(DATA_TRANSPORT!$L:$L,DATA_TRANSPORT!$A:$A,$B$10-14,DATA_TRANSPORT!$E:$E,AE55)))</f>
        <v/>
      </c>
      <c r="AV55">
        <f>IF(IF(OR(AE55="",$B$10=0),0,SUMIFS(DATA_TRANSPORT!$L:$L,DATA_TRANSPORT!$A:$A,$B$10-21,DATA_TRANSPORT!$E:$E,AE55))=0,"",IF(OR(AE55="",$B$10=0),0,SUMIFS(DATA_TRANSPORT!$R:$R,DATA_TRANSPORT!$A:$A,$B$10-21,DATA_TRANSPORT!$E:$E,AE55))/IF(OR(AE55="",$B$10=0),0,SUMIFS(DATA_TRANSPORT!$L:$L,DATA_TRANSPORT!$A:$A,$B$10-21,DATA_TRANSPORT!$E:$E,AE55)))</f>
        <v/>
      </c>
      <c r="AW55">
        <f>IF(AND(ISNUMBER(AK55),AK55&lt;UtilLow),1,0)+IF(AND(ISNUMBER(AT55),AT55&lt;UtilLow),1,0)+IF(AND(ISNUMBER(AU55),AU55&lt;UtilLow),1,0)+IF(AND(ISNUMBER(AV55),AV55&lt;UtilLow),1,0)</f>
        <v/>
      </c>
      <c r="AX55">
        <f>IF(AW55&gt;=UtilLowWeeks,AE55&amp;": seats only "&amp;TEXT(AK55,"0%")&amp;" full, under "&amp;TEXT(UtilLow,"0%")&amp;" for "&amp;AW55&amp;" weeks running",IF(AND(AH55&gt;0,AJ55&gt;=AH55*ExcessShare),AE55&amp;": "&amp;TEXT(AJ55,"#,##0")&amp;" riders beyond the seats — consider more buses",IF(AND(ISNUMBER(AP55),AP55&gt;0),AE55&amp;": FT spend ₦"&amp;TEXT(AP55,"#,##0")&amp;" over the weekly budget",IF(AS55&gt;0,AE55&amp;": "&amp;AS55&amp;" coaster breakdown(s) this week",""))))</f>
        <v/>
      </c>
      <c r="AY55">
        <f>IF(ISNUMBER(AK55),AK55+ROW()/1000000000,"")</f>
        <v/>
      </c>
      <c r="AZ55">
        <f>IF(ISNUMBER(AM55),AM55+ROW()/1000000,"")</f>
        <v/>
      </c>
      <c r="BA55">
        <f>IF(AND(ISNUMBER(AP55),AP55&gt;0),AP55+ROW()/1000000,"")</f>
        <v/>
      </c>
      <c r="BB55">
        <f>IF(AF55&gt;0,AF55+ROW()/1000000,"")</f>
        <v/>
      </c>
      <c r="BC55">
        <f>IF(AX55="","",ROW())</f>
        <v/>
      </c>
      <c r="BD55">
        <f>IF(AJ55&gt;0,AJ55+ROW()/1000000,"")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IF(B56="",0,COUNTIFS(DATA_TRANSPORT!$A:$A,B56,DATA_TRANSPORT!$E:$E,$B$6,DATA_TRANSPORT!$AD:$AD,$B$7))</f>
        <v/>
      </c>
      <c r="G56">
        <f>IF(F56=0,0,SUMIFS(DATA_TRANSPORT!$Q:$Q,DATA_TRANSPORT!$A:$A,B56,DATA_TRANSPORT!$E:$E,$B$6,DATA_TRANSPORT!$AD:$AD,$B$7))</f>
        <v/>
      </c>
      <c r="H56">
        <f>IF(F56=0,0,SUMIFS(DATA_TRANSPORT!$M:$M,DATA_TRANSPORT!$A:$A,B56,DATA_TRANSPORT!$E:$E,$B$6,DATA_TRANSPORT!$AD:$AD,$B$7))</f>
        <v/>
      </c>
      <c r="I56">
        <f>IF(F56=0,0,SUMIFS(DATA_TRANSPORT!$N:$N,DATA_TRANSPORT!$A:$A,B56,DATA_TRANSPORT!$E:$E,$B$6,DATA_TRANSPORT!$AD:$AD,$B$7))</f>
        <v/>
      </c>
      <c r="J56">
        <f>IF(F56=0,0,SUMIFS(DATA_TRANSPORT!$P:$P,DATA_TRANSPORT!$A:$A,B56,DATA_TRANSPORT!$E:$E,$B$6,DATA_TRANSPORT!$AD:$AD,$B$7))</f>
        <v/>
      </c>
      <c r="K56">
        <f>IF(F56=0,0,SUMIFS(DATA_TRANSPORT!$I:$I,DATA_TRANSPORT!$A:$A,B56,DATA_TRANSPORT!$E:$E,$B$6,DATA_TRANSPORT!$AD:$AD,$B$7))</f>
        <v/>
      </c>
      <c r="L56">
        <f>IF(F56=0,0,SUMIFS(DATA_TRANSPORT!$I:$I,DATA_TRANSPORT!$A:$A,B56,DATA_TRANSPORT!$E:$E,$B$6,DATA_TRANSPORT!$AD:$AD,$B$7,DATA_TRANSPORT!$V:$V,"Ran"))</f>
        <v/>
      </c>
      <c r="M56">
        <f>IF(F56=0,0,SUMIFS(DATA_TRANSPORT!$L:$L,DATA_TRANSPORT!$A:$A,B56,DATA_TRANSPORT!$E:$E,$B$6,DATA_TRANSPORT!$AD:$AD,$B$7))</f>
        <v/>
      </c>
      <c r="N56">
        <f>IF(F56=0,0,SUMIFS(DATA_TRANSPORT!$R:$R,DATA_TRANSPORT!$A:$A,B56,DATA_TRANSPORT!$E:$E,$B$6,DATA_TRANSPORT!$AD:$AD,$B$7))</f>
        <v/>
      </c>
      <c r="O56">
        <f>IF(F56=0,0,SUMIFS(DATA_TRANSPORT!$S:$S,DATA_TRANSPORT!$A:$A,B56,DATA_TRANSPORT!$E:$E,$B$6,DATA_TRANSPORT!$AD:$AD,$B$7))</f>
        <v/>
      </c>
      <c r="P56">
        <f>IF(F56=0,0,SUMIFS(DATA_TRANSPORT!$T:$T,DATA_TRANSPORT!$A:$A,B56,DATA_TRANSPORT!$E:$E,$B$6,DATA_TRANSPORT!$AD:$AD,$B$7))</f>
        <v/>
      </c>
      <c r="Q56">
        <f>IF(OR(B56="",$B$17),0,SUMIFS(DATA_TRANSPORT_COSTS!$M:$M,DATA_TRANSPORT_COSTS!$A:$A,B56,DATA_TRANSPORT_COSTS!$D:$D,$B$6))</f>
        <v/>
      </c>
      <c r="R56">
        <f>P56+Q56</f>
        <v/>
      </c>
      <c r="S56">
        <f>Q56+IF(F56=0,0,SUMIFS(DATA_TRANSPORT!$T:$T,DATA_TRANSPORT!$A:$A,B56,DATA_TRANSPORT!$E:$E,$B$6,DATA_TRANSPORT!$AD:$AD,$B$7,DATA_TRANSPORT!$U:$U,"Central"))</f>
        <v/>
      </c>
      <c r="T56">
        <f>IF(F56=0,0,SUMIFS(DATA_TRANSPORT!$T:$T,DATA_TRANSPORT!$A:$A,B56,DATA_TRANSPORT!$E:$E,$B$6,DATA_TRANSPORT!$AD:$AD,$B$7,DATA_TRANSPORT!$U:$U,"Members"))</f>
        <v/>
      </c>
      <c r="U56">
        <f>IF(OR(B56="",$B$17),0,SUMIFS(DATA_TRANSPORT_BUDGET!$G:$G,DATA_TRANSPORT_BUDGET!$A:$A,B56,DATA_TRANSPORT_BUDGET!$D:$D,$B$6))</f>
        <v/>
      </c>
      <c r="V56">
        <f>IF(F56=0,0,SUMIFS(DATA_TRANSPORT!$T:$T,DATA_TRANSPORT!$A:$A,B56,DATA_TRANSPORT!$E:$E,$B$6,DATA_TRANSPORT!$AD:$AD,$B$7,DATA_TRANSPORT!$C:$C,"FT Procured"))</f>
        <v/>
      </c>
      <c r="W56">
        <f>IF(F56=0,0,COUNTIFS(DATA_TRANSPORT!$A:$A,B56,DATA_TRANSPORT!$E:$E,$B$6,DATA_TRANSPORT!$AD:$AD,$B$7,DATA_TRANSPORT!$V:$V,"Breakdown"))</f>
        <v/>
      </c>
      <c r="X56">
        <f>IF(M56=0,0,N56/M56)</f>
        <v/>
      </c>
      <c r="Y56">
        <f>IF(F56&gt;0,1,0)</f>
        <v/>
      </c>
      <c r="Z56">
        <f>IF(AND(A56&gt;=1,A56&lt;=$B$11),Y56,0)</f>
        <v/>
      </c>
      <c r="AA56">
        <f>IF(AND(C56=$B$12,E56=$B$14),Y56,0)</f>
        <v/>
      </c>
      <c r="AB56">
        <f>IF(AND(D56=$B$13,E56=$B$14),Y56,0)</f>
        <v/>
      </c>
      <c r="AC56">
        <f>IF(E56=$B$14,Y56,0)</f>
        <v/>
      </c>
      <c r="AE56">
        <f>IFERROR(IF(INDEX(MASTER_AREAS!$F:$F,55)="N","",INDEX(MASTER_AREAS!$B:$B,55)&amp;""),"")</f>
        <v/>
      </c>
      <c r="AF56">
        <f>IF(OR(AE56="",$B$10=0),0,SUMIFS(DATA_TRANSPORT!$Q:$Q,DATA_TRANSPORT!$A:$A,$B$10,DATA_TRANSPORT!$E:$E,AE56))</f>
        <v/>
      </c>
      <c r="AG56">
        <f>IF(OR(AE56="",$B$10=0),0,SUMIFS(DATA_TRANSPORT!$I:$I,DATA_TRANSPORT!$A:$A,$B$10,DATA_TRANSPORT!$E:$E,AE56,DATA_TRANSPORT!$V:$V,"Ran"))</f>
        <v/>
      </c>
      <c r="AH56">
        <f>IF(OR(AE56="",$B$10=0),0,SUMIFS(DATA_TRANSPORT!$L:$L,DATA_TRANSPORT!$A:$A,$B$10,DATA_TRANSPORT!$E:$E,AE56))</f>
        <v/>
      </c>
      <c r="AI56">
        <f>IF(OR(AE56="",$B$10=0),0,SUMIFS(DATA_TRANSPORT!$R:$R,DATA_TRANSPORT!$A:$A,$B$10,DATA_TRANSPORT!$E:$E,AE56))</f>
        <v/>
      </c>
      <c r="AJ56">
        <f>IF(OR(AE56="",$B$10=0),0,SUMIFS(DATA_TRANSPORT!$S:$S,DATA_TRANSPORT!$A:$A,$B$10,DATA_TRANSPORT!$E:$E,AE56))</f>
        <v/>
      </c>
      <c r="AK56">
        <f>IF(AH56=0,"",AI56/AH56)</f>
        <v/>
      </c>
      <c r="AL56">
        <f>IF(OR(AE56="",$B$10=0),0,SUMIFS(DATA_TRANSPORT!$T:$T,DATA_TRANSPORT!$A:$A,$B$10,DATA_TRANSPORT!$E:$E,AE56))+IF(OR(AE56="",$B$10=0),0,SUMIFS(DATA_TRANSPORT_COSTS!$M:$M,DATA_TRANSPORT_COSTS!$A:$A,$B$10,DATA_TRANSPORT_COSTS!$D:$D,AE56))</f>
        <v/>
      </c>
      <c r="AM56">
        <f>IF(OR(AF56=0,AL56=0),"",AL56/AF56)</f>
        <v/>
      </c>
      <c r="AN56">
        <f>IF(OR(AE56="",$B$10=0),0,SUMIFS(DATA_TRANSPORT!$T:$T,DATA_TRANSPORT!$A:$A,$B$10,DATA_TRANSPORT!$E:$E,AE56,DATA_TRANSPORT!$C:$C,"FT Procured"))</f>
        <v/>
      </c>
      <c r="AO56">
        <f>IF(OR(AE56="",$B$10=0),0,SUMIFS(DATA_TRANSPORT_BUDGET!$G:$G,DATA_TRANSPORT_BUDGET!$A:$A,$B$10,DATA_TRANSPORT_BUDGET!$D:$D,AE56))</f>
        <v/>
      </c>
      <c r="AP56">
        <f>IF(AO56=0,"",AN56-AO56)</f>
        <v/>
      </c>
      <c r="AQ56">
        <f>IF(OR(AE56="",$B$10=0),0,COUNTIFS(DATA_TRANSPORT!$A:$A,$B$10,DATA_TRANSPORT!$E:$E,AE56,DATA_TRANSPORT!$C:$C,"FT Procured",DATA_TRANSPORT!$Z:$Z,"Y"))</f>
        <v/>
      </c>
      <c r="AR56">
        <f>IF(OR(AE56="",$B$10=0),0,SUMIFS(DATA_TRANSPORT_BUDGET!$E:$E,DATA_TRANSPORT_BUDGET!$A:$A,$B$10,DATA_TRANSPORT_BUDGET!$D:$D,AE56))</f>
        <v/>
      </c>
      <c r="AS56">
        <f>IF(OR(AE56="",$B$10=0),0,COUNTIFS(DATA_TRANSPORT!$A:$A,$B$10,DATA_TRANSPORT!$E:$E,AE56,DATA_TRANSPORT!$V:$V,"Breakdown"))</f>
        <v/>
      </c>
      <c r="AT56">
        <f>IF(IF(OR(AE56="",$B$10=0),0,SUMIFS(DATA_TRANSPORT!$L:$L,DATA_TRANSPORT!$A:$A,$B$10-7,DATA_TRANSPORT!$E:$E,AE56))=0,"",IF(OR(AE56="",$B$10=0),0,SUMIFS(DATA_TRANSPORT!$R:$R,DATA_TRANSPORT!$A:$A,$B$10-7,DATA_TRANSPORT!$E:$E,AE56))/IF(OR(AE56="",$B$10=0),0,SUMIFS(DATA_TRANSPORT!$L:$L,DATA_TRANSPORT!$A:$A,$B$10-7,DATA_TRANSPORT!$E:$E,AE56)))</f>
        <v/>
      </c>
      <c r="AU56">
        <f>IF(IF(OR(AE56="",$B$10=0),0,SUMIFS(DATA_TRANSPORT!$L:$L,DATA_TRANSPORT!$A:$A,$B$10-14,DATA_TRANSPORT!$E:$E,AE56))=0,"",IF(OR(AE56="",$B$10=0),0,SUMIFS(DATA_TRANSPORT!$R:$R,DATA_TRANSPORT!$A:$A,$B$10-14,DATA_TRANSPORT!$E:$E,AE56))/IF(OR(AE56="",$B$10=0),0,SUMIFS(DATA_TRANSPORT!$L:$L,DATA_TRANSPORT!$A:$A,$B$10-14,DATA_TRANSPORT!$E:$E,AE56)))</f>
        <v/>
      </c>
      <c r="AV56">
        <f>IF(IF(OR(AE56="",$B$10=0),0,SUMIFS(DATA_TRANSPORT!$L:$L,DATA_TRANSPORT!$A:$A,$B$10-21,DATA_TRANSPORT!$E:$E,AE56))=0,"",IF(OR(AE56="",$B$10=0),0,SUMIFS(DATA_TRANSPORT!$R:$R,DATA_TRANSPORT!$A:$A,$B$10-21,DATA_TRANSPORT!$E:$E,AE56))/IF(OR(AE56="",$B$10=0),0,SUMIFS(DATA_TRANSPORT!$L:$L,DATA_TRANSPORT!$A:$A,$B$10-21,DATA_TRANSPORT!$E:$E,AE56)))</f>
        <v/>
      </c>
      <c r="AW56">
        <f>IF(AND(ISNUMBER(AK56),AK56&lt;UtilLow),1,0)+IF(AND(ISNUMBER(AT56),AT56&lt;UtilLow),1,0)+IF(AND(ISNUMBER(AU56),AU56&lt;UtilLow),1,0)+IF(AND(ISNUMBER(AV56),AV56&lt;UtilLow),1,0)</f>
        <v/>
      </c>
      <c r="AX56">
        <f>IF(AW56&gt;=UtilLowWeeks,AE56&amp;": seats only "&amp;TEXT(AK56,"0%")&amp;" full, under "&amp;TEXT(UtilLow,"0%")&amp;" for "&amp;AW56&amp;" weeks running",IF(AND(AH56&gt;0,AJ56&gt;=AH56*ExcessShare),AE56&amp;": "&amp;TEXT(AJ56,"#,##0")&amp;" riders beyond the seats — consider more buses",IF(AND(ISNUMBER(AP56),AP56&gt;0),AE56&amp;": FT spend ₦"&amp;TEXT(AP56,"#,##0")&amp;" over the weekly budget",IF(AS56&gt;0,AE56&amp;": "&amp;AS56&amp;" coaster breakdown(s) this week",""))))</f>
        <v/>
      </c>
      <c r="AY56">
        <f>IF(ISNUMBER(AK56),AK56+ROW()/1000000000,"")</f>
        <v/>
      </c>
      <c r="AZ56">
        <f>IF(ISNUMBER(AM56),AM56+ROW()/1000000,"")</f>
        <v/>
      </c>
      <c r="BA56">
        <f>IF(AND(ISNUMBER(AP56),AP56&gt;0),AP56+ROW()/1000000,"")</f>
        <v/>
      </c>
      <c r="BB56">
        <f>IF(AF56&gt;0,AF56+ROW()/1000000,"")</f>
        <v/>
      </c>
      <c r="BC56">
        <f>IF(AX56="","",ROW())</f>
        <v/>
      </c>
      <c r="BD56">
        <f>IF(AJ56&gt;0,AJ56+ROW()/1000000,"")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IF(B57="",0,COUNTIFS(DATA_TRANSPORT!$A:$A,B57,DATA_TRANSPORT!$E:$E,$B$6,DATA_TRANSPORT!$AD:$AD,$B$7))</f>
        <v/>
      </c>
      <c r="G57">
        <f>IF(F57=0,0,SUMIFS(DATA_TRANSPORT!$Q:$Q,DATA_TRANSPORT!$A:$A,B57,DATA_TRANSPORT!$E:$E,$B$6,DATA_TRANSPORT!$AD:$AD,$B$7))</f>
        <v/>
      </c>
      <c r="H57">
        <f>IF(F57=0,0,SUMIFS(DATA_TRANSPORT!$M:$M,DATA_TRANSPORT!$A:$A,B57,DATA_TRANSPORT!$E:$E,$B$6,DATA_TRANSPORT!$AD:$AD,$B$7))</f>
        <v/>
      </c>
      <c r="I57">
        <f>IF(F57=0,0,SUMIFS(DATA_TRANSPORT!$N:$N,DATA_TRANSPORT!$A:$A,B57,DATA_TRANSPORT!$E:$E,$B$6,DATA_TRANSPORT!$AD:$AD,$B$7))</f>
        <v/>
      </c>
      <c r="J57">
        <f>IF(F57=0,0,SUMIFS(DATA_TRANSPORT!$P:$P,DATA_TRANSPORT!$A:$A,B57,DATA_TRANSPORT!$E:$E,$B$6,DATA_TRANSPORT!$AD:$AD,$B$7))</f>
        <v/>
      </c>
      <c r="K57">
        <f>IF(F57=0,0,SUMIFS(DATA_TRANSPORT!$I:$I,DATA_TRANSPORT!$A:$A,B57,DATA_TRANSPORT!$E:$E,$B$6,DATA_TRANSPORT!$AD:$AD,$B$7))</f>
        <v/>
      </c>
      <c r="L57">
        <f>IF(F57=0,0,SUMIFS(DATA_TRANSPORT!$I:$I,DATA_TRANSPORT!$A:$A,B57,DATA_TRANSPORT!$E:$E,$B$6,DATA_TRANSPORT!$AD:$AD,$B$7,DATA_TRANSPORT!$V:$V,"Ran"))</f>
        <v/>
      </c>
      <c r="M57">
        <f>IF(F57=0,0,SUMIFS(DATA_TRANSPORT!$L:$L,DATA_TRANSPORT!$A:$A,B57,DATA_TRANSPORT!$E:$E,$B$6,DATA_TRANSPORT!$AD:$AD,$B$7))</f>
        <v/>
      </c>
      <c r="N57">
        <f>IF(F57=0,0,SUMIFS(DATA_TRANSPORT!$R:$R,DATA_TRANSPORT!$A:$A,B57,DATA_TRANSPORT!$E:$E,$B$6,DATA_TRANSPORT!$AD:$AD,$B$7))</f>
        <v/>
      </c>
      <c r="O57">
        <f>IF(F57=0,0,SUMIFS(DATA_TRANSPORT!$S:$S,DATA_TRANSPORT!$A:$A,B57,DATA_TRANSPORT!$E:$E,$B$6,DATA_TRANSPORT!$AD:$AD,$B$7))</f>
        <v/>
      </c>
      <c r="P57">
        <f>IF(F57=0,0,SUMIFS(DATA_TRANSPORT!$T:$T,DATA_TRANSPORT!$A:$A,B57,DATA_TRANSPORT!$E:$E,$B$6,DATA_TRANSPORT!$AD:$AD,$B$7))</f>
        <v/>
      </c>
      <c r="Q57">
        <f>IF(OR(B57="",$B$17),0,SUMIFS(DATA_TRANSPORT_COSTS!$M:$M,DATA_TRANSPORT_COSTS!$A:$A,B57,DATA_TRANSPORT_COSTS!$D:$D,$B$6))</f>
        <v/>
      </c>
      <c r="R57">
        <f>P57+Q57</f>
        <v/>
      </c>
      <c r="S57">
        <f>Q57+IF(F57=0,0,SUMIFS(DATA_TRANSPORT!$T:$T,DATA_TRANSPORT!$A:$A,B57,DATA_TRANSPORT!$E:$E,$B$6,DATA_TRANSPORT!$AD:$AD,$B$7,DATA_TRANSPORT!$U:$U,"Central"))</f>
        <v/>
      </c>
      <c r="T57">
        <f>IF(F57=0,0,SUMIFS(DATA_TRANSPORT!$T:$T,DATA_TRANSPORT!$A:$A,B57,DATA_TRANSPORT!$E:$E,$B$6,DATA_TRANSPORT!$AD:$AD,$B$7,DATA_TRANSPORT!$U:$U,"Members"))</f>
        <v/>
      </c>
      <c r="U57">
        <f>IF(OR(B57="",$B$17),0,SUMIFS(DATA_TRANSPORT_BUDGET!$G:$G,DATA_TRANSPORT_BUDGET!$A:$A,B57,DATA_TRANSPORT_BUDGET!$D:$D,$B$6))</f>
        <v/>
      </c>
      <c r="V57">
        <f>IF(F57=0,0,SUMIFS(DATA_TRANSPORT!$T:$T,DATA_TRANSPORT!$A:$A,B57,DATA_TRANSPORT!$E:$E,$B$6,DATA_TRANSPORT!$AD:$AD,$B$7,DATA_TRANSPORT!$C:$C,"FT Procured"))</f>
        <v/>
      </c>
      <c r="W57">
        <f>IF(F57=0,0,COUNTIFS(DATA_TRANSPORT!$A:$A,B57,DATA_TRANSPORT!$E:$E,$B$6,DATA_TRANSPORT!$AD:$AD,$B$7,DATA_TRANSPORT!$V:$V,"Breakdown"))</f>
        <v/>
      </c>
      <c r="X57">
        <f>IF(M57=0,0,N57/M57)</f>
        <v/>
      </c>
      <c r="Y57">
        <f>IF(F57&gt;0,1,0)</f>
        <v/>
      </c>
      <c r="Z57">
        <f>IF(AND(A57&gt;=1,A57&lt;=$B$11),Y57,0)</f>
        <v/>
      </c>
      <c r="AA57">
        <f>IF(AND(C57=$B$12,E57=$B$14),Y57,0)</f>
        <v/>
      </c>
      <c r="AB57">
        <f>IF(AND(D57=$B$13,E57=$B$14),Y57,0)</f>
        <v/>
      </c>
      <c r="AC57">
        <f>IF(E57=$B$14,Y57,0)</f>
        <v/>
      </c>
      <c r="AE57">
        <f>IFERROR(IF(INDEX(MASTER_AREAS!$F:$F,56)="N","",INDEX(MASTER_AREAS!$B:$B,56)&amp;""),"")</f>
        <v/>
      </c>
      <c r="AF57">
        <f>IF(OR(AE57="",$B$10=0),0,SUMIFS(DATA_TRANSPORT!$Q:$Q,DATA_TRANSPORT!$A:$A,$B$10,DATA_TRANSPORT!$E:$E,AE57))</f>
        <v/>
      </c>
      <c r="AG57">
        <f>IF(OR(AE57="",$B$10=0),0,SUMIFS(DATA_TRANSPORT!$I:$I,DATA_TRANSPORT!$A:$A,$B$10,DATA_TRANSPORT!$E:$E,AE57,DATA_TRANSPORT!$V:$V,"Ran"))</f>
        <v/>
      </c>
      <c r="AH57">
        <f>IF(OR(AE57="",$B$10=0),0,SUMIFS(DATA_TRANSPORT!$L:$L,DATA_TRANSPORT!$A:$A,$B$10,DATA_TRANSPORT!$E:$E,AE57))</f>
        <v/>
      </c>
      <c r="AI57">
        <f>IF(OR(AE57="",$B$10=0),0,SUMIFS(DATA_TRANSPORT!$R:$R,DATA_TRANSPORT!$A:$A,$B$10,DATA_TRANSPORT!$E:$E,AE57))</f>
        <v/>
      </c>
      <c r="AJ57">
        <f>IF(OR(AE57="",$B$10=0),0,SUMIFS(DATA_TRANSPORT!$S:$S,DATA_TRANSPORT!$A:$A,$B$10,DATA_TRANSPORT!$E:$E,AE57))</f>
        <v/>
      </c>
      <c r="AK57">
        <f>IF(AH57=0,"",AI57/AH57)</f>
        <v/>
      </c>
      <c r="AL57">
        <f>IF(OR(AE57="",$B$10=0),0,SUMIFS(DATA_TRANSPORT!$T:$T,DATA_TRANSPORT!$A:$A,$B$10,DATA_TRANSPORT!$E:$E,AE57))+IF(OR(AE57="",$B$10=0),0,SUMIFS(DATA_TRANSPORT_COSTS!$M:$M,DATA_TRANSPORT_COSTS!$A:$A,$B$10,DATA_TRANSPORT_COSTS!$D:$D,AE57))</f>
        <v/>
      </c>
      <c r="AM57">
        <f>IF(OR(AF57=0,AL57=0),"",AL57/AF57)</f>
        <v/>
      </c>
      <c r="AN57">
        <f>IF(OR(AE57="",$B$10=0),0,SUMIFS(DATA_TRANSPORT!$T:$T,DATA_TRANSPORT!$A:$A,$B$10,DATA_TRANSPORT!$E:$E,AE57,DATA_TRANSPORT!$C:$C,"FT Procured"))</f>
        <v/>
      </c>
      <c r="AO57">
        <f>IF(OR(AE57="",$B$10=0),0,SUMIFS(DATA_TRANSPORT_BUDGET!$G:$G,DATA_TRANSPORT_BUDGET!$A:$A,$B$10,DATA_TRANSPORT_BUDGET!$D:$D,AE57))</f>
        <v/>
      </c>
      <c r="AP57">
        <f>IF(AO57=0,"",AN57-AO57)</f>
        <v/>
      </c>
      <c r="AQ57">
        <f>IF(OR(AE57="",$B$10=0),0,COUNTIFS(DATA_TRANSPORT!$A:$A,$B$10,DATA_TRANSPORT!$E:$E,AE57,DATA_TRANSPORT!$C:$C,"FT Procured",DATA_TRANSPORT!$Z:$Z,"Y"))</f>
        <v/>
      </c>
      <c r="AR57">
        <f>IF(OR(AE57="",$B$10=0),0,SUMIFS(DATA_TRANSPORT_BUDGET!$E:$E,DATA_TRANSPORT_BUDGET!$A:$A,$B$10,DATA_TRANSPORT_BUDGET!$D:$D,AE57))</f>
        <v/>
      </c>
      <c r="AS57">
        <f>IF(OR(AE57="",$B$10=0),0,COUNTIFS(DATA_TRANSPORT!$A:$A,$B$10,DATA_TRANSPORT!$E:$E,AE57,DATA_TRANSPORT!$V:$V,"Breakdown"))</f>
        <v/>
      </c>
      <c r="AT57">
        <f>IF(IF(OR(AE57="",$B$10=0),0,SUMIFS(DATA_TRANSPORT!$L:$L,DATA_TRANSPORT!$A:$A,$B$10-7,DATA_TRANSPORT!$E:$E,AE57))=0,"",IF(OR(AE57="",$B$10=0),0,SUMIFS(DATA_TRANSPORT!$R:$R,DATA_TRANSPORT!$A:$A,$B$10-7,DATA_TRANSPORT!$E:$E,AE57))/IF(OR(AE57="",$B$10=0),0,SUMIFS(DATA_TRANSPORT!$L:$L,DATA_TRANSPORT!$A:$A,$B$10-7,DATA_TRANSPORT!$E:$E,AE57)))</f>
        <v/>
      </c>
      <c r="AU57">
        <f>IF(IF(OR(AE57="",$B$10=0),0,SUMIFS(DATA_TRANSPORT!$L:$L,DATA_TRANSPORT!$A:$A,$B$10-14,DATA_TRANSPORT!$E:$E,AE57))=0,"",IF(OR(AE57="",$B$10=0),0,SUMIFS(DATA_TRANSPORT!$R:$R,DATA_TRANSPORT!$A:$A,$B$10-14,DATA_TRANSPORT!$E:$E,AE57))/IF(OR(AE57="",$B$10=0),0,SUMIFS(DATA_TRANSPORT!$L:$L,DATA_TRANSPORT!$A:$A,$B$10-14,DATA_TRANSPORT!$E:$E,AE57)))</f>
        <v/>
      </c>
      <c r="AV57">
        <f>IF(IF(OR(AE57="",$B$10=0),0,SUMIFS(DATA_TRANSPORT!$L:$L,DATA_TRANSPORT!$A:$A,$B$10-21,DATA_TRANSPORT!$E:$E,AE57))=0,"",IF(OR(AE57="",$B$10=0),0,SUMIFS(DATA_TRANSPORT!$R:$R,DATA_TRANSPORT!$A:$A,$B$10-21,DATA_TRANSPORT!$E:$E,AE57))/IF(OR(AE57="",$B$10=0),0,SUMIFS(DATA_TRANSPORT!$L:$L,DATA_TRANSPORT!$A:$A,$B$10-21,DATA_TRANSPORT!$E:$E,AE57)))</f>
        <v/>
      </c>
      <c r="AW57">
        <f>IF(AND(ISNUMBER(AK57),AK57&lt;UtilLow),1,0)+IF(AND(ISNUMBER(AT57),AT57&lt;UtilLow),1,0)+IF(AND(ISNUMBER(AU57),AU57&lt;UtilLow),1,0)+IF(AND(ISNUMBER(AV57),AV57&lt;UtilLow),1,0)</f>
        <v/>
      </c>
      <c r="AX57">
        <f>IF(AW57&gt;=UtilLowWeeks,AE57&amp;": seats only "&amp;TEXT(AK57,"0%")&amp;" full, under "&amp;TEXT(UtilLow,"0%")&amp;" for "&amp;AW57&amp;" weeks running",IF(AND(AH57&gt;0,AJ57&gt;=AH57*ExcessShare),AE57&amp;": "&amp;TEXT(AJ57,"#,##0")&amp;" riders beyond the seats — consider more buses",IF(AND(ISNUMBER(AP57),AP57&gt;0),AE57&amp;": FT spend ₦"&amp;TEXT(AP57,"#,##0")&amp;" over the weekly budget",IF(AS57&gt;0,AE57&amp;": "&amp;AS57&amp;" coaster breakdown(s) this week",""))))</f>
        <v/>
      </c>
      <c r="AY57">
        <f>IF(ISNUMBER(AK57),AK57+ROW()/1000000000,"")</f>
        <v/>
      </c>
      <c r="AZ57">
        <f>IF(ISNUMBER(AM57),AM57+ROW()/1000000,"")</f>
        <v/>
      </c>
      <c r="BA57">
        <f>IF(AND(ISNUMBER(AP57),AP57&gt;0),AP57+ROW()/1000000,"")</f>
        <v/>
      </c>
      <c r="BB57">
        <f>IF(AF57&gt;0,AF57+ROW()/1000000,"")</f>
        <v/>
      </c>
      <c r="BC57">
        <f>IF(AX57="","",ROW())</f>
        <v/>
      </c>
      <c r="BD57">
        <f>IF(AJ57&gt;0,AJ57+ROW()/1000000,"")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IF(B58="",0,COUNTIFS(DATA_TRANSPORT!$A:$A,B58,DATA_TRANSPORT!$E:$E,$B$6,DATA_TRANSPORT!$AD:$AD,$B$7))</f>
        <v/>
      </c>
      <c r="G58">
        <f>IF(F58=0,0,SUMIFS(DATA_TRANSPORT!$Q:$Q,DATA_TRANSPORT!$A:$A,B58,DATA_TRANSPORT!$E:$E,$B$6,DATA_TRANSPORT!$AD:$AD,$B$7))</f>
        <v/>
      </c>
      <c r="H58">
        <f>IF(F58=0,0,SUMIFS(DATA_TRANSPORT!$M:$M,DATA_TRANSPORT!$A:$A,B58,DATA_TRANSPORT!$E:$E,$B$6,DATA_TRANSPORT!$AD:$AD,$B$7))</f>
        <v/>
      </c>
      <c r="I58">
        <f>IF(F58=0,0,SUMIFS(DATA_TRANSPORT!$N:$N,DATA_TRANSPORT!$A:$A,B58,DATA_TRANSPORT!$E:$E,$B$6,DATA_TRANSPORT!$AD:$AD,$B$7))</f>
        <v/>
      </c>
      <c r="J58">
        <f>IF(F58=0,0,SUMIFS(DATA_TRANSPORT!$P:$P,DATA_TRANSPORT!$A:$A,B58,DATA_TRANSPORT!$E:$E,$B$6,DATA_TRANSPORT!$AD:$AD,$B$7))</f>
        <v/>
      </c>
      <c r="K58">
        <f>IF(F58=0,0,SUMIFS(DATA_TRANSPORT!$I:$I,DATA_TRANSPORT!$A:$A,B58,DATA_TRANSPORT!$E:$E,$B$6,DATA_TRANSPORT!$AD:$AD,$B$7))</f>
        <v/>
      </c>
      <c r="L58">
        <f>IF(F58=0,0,SUMIFS(DATA_TRANSPORT!$I:$I,DATA_TRANSPORT!$A:$A,B58,DATA_TRANSPORT!$E:$E,$B$6,DATA_TRANSPORT!$AD:$AD,$B$7,DATA_TRANSPORT!$V:$V,"Ran"))</f>
        <v/>
      </c>
      <c r="M58">
        <f>IF(F58=0,0,SUMIFS(DATA_TRANSPORT!$L:$L,DATA_TRANSPORT!$A:$A,B58,DATA_TRANSPORT!$E:$E,$B$6,DATA_TRANSPORT!$AD:$AD,$B$7))</f>
        <v/>
      </c>
      <c r="N58">
        <f>IF(F58=0,0,SUMIFS(DATA_TRANSPORT!$R:$R,DATA_TRANSPORT!$A:$A,B58,DATA_TRANSPORT!$E:$E,$B$6,DATA_TRANSPORT!$AD:$AD,$B$7))</f>
        <v/>
      </c>
      <c r="O58">
        <f>IF(F58=0,0,SUMIFS(DATA_TRANSPORT!$S:$S,DATA_TRANSPORT!$A:$A,B58,DATA_TRANSPORT!$E:$E,$B$6,DATA_TRANSPORT!$AD:$AD,$B$7))</f>
        <v/>
      </c>
      <c r="P58">
        <f>IF(F58=0,0,SUMIFS(DATA_TRANSPORT!$T:$T,DATA_TRANSPORT!$A:$A,B58,DATA_TRANSPORT!$E:$E,$B$6,DATA_TRANSPORT!$AD:$AD,$B$7))</f>
        <v/>
      </c>
      <c r="Q58">
        <f>IF(OR(B58="",$B$17),0,SUMIFS(DATA_TRANSPORT_COSTS!$M:$M,DATA_TRANSPORT_COSTS!$A:$A,B58,DATA_TRANSPORT_COSTS!$D:$D,$B$6))</f>
        <v/>
      </c>
      <c r="R58">
        <f>P58+Q58</f>
        <v/>
      </c>
      <c r="S58">
        <f>Q58+IF(F58=0,0,SUMIFS(DATA_TRANSPORT!$T:$T,DATA_TRANSPORT!$A:$A,B58,DATA_TRANSPORT!$E:$E,$B$6,DATA_TRANSPORT!$AD:$AD,$B$7,DATA_TRANSPORT!$U:$U,"Central"))</f>
        <v/>
      </c>
      <c r="T58">
        <f>IF(F58=0,0,SUMIFS(DATA_TRANSPORT!$T:$T,DATA_TRANSPORT!$A:$A,B58,DATA_TRANSPORT!$E:$E,$B$6,DATA_TRANSPORT!$AD:$AD,$B$7,DATA_TRANSPORT!$U:$U,"Members"))</f>
        <v/>
      </c>
      <c r="U58">
        <f>IF(OR(B58="",$B$17),0,SUMIFS(DATA_TRANSPORT_BUDGET!$G:$G,DATA_TRANSPORT_BUDGET!$A:$A,B58,DATA_TRANSPORT_BUDGET!$D:$D,$B$6))</f>
        <v/>
      </c>
      <c r="V58">
        <f>IF(F58=0,0,SUMIFS(DATA_TRANSPORT!$T:$T,DATA_TRANSPORT!$A:$A,B58,DATA_TRANSPORT!$E:$E,$B$6,DATA_TRANSPORT!$AD:$AD,$B$7,DATA_TRANSPORT!$C:$C,"FT Procured"))</f>
        <v/>
      </c>
      <c r="W58">
        <f>IF(F58=0,0,COUNTIFS(DATA_TRANSPORT!$A:$A,B58,DATA_TRANSPORT!$E:$E,$B$6,DATA_TRANSPORT!$AD:$AD,$B$7,DATA_TRANSPORT!$V:$V,"Breakdown"))</f>
        <v/>
      </c>
      <c r="X58">
        <f>IF(M58=0,0,N58/M58)</f>
        <v/>
      </c>
      <c r="Y58">
        <f>IF(F58&gt;0,1,0)</f>
        <v/>
      </c>
      <c r="Z58">
        <f>IF(AND(A58&gt;=1,A58&lt;=$B$11),Y58,0)</f>
        <v/>
      </c>
      <c r="AA58">
        <f>IF(AND(C58=$B$12,E58=$B$14),Y58,0)</f>
        <v/>
      </c>
      <c r="AB58">
        <f>IF(AND(D58=$B$13,E58=$B$14),Y58,0)</f>
        <v/>
      </c>
      <c r="AC58">
        <f>IF(E58=$B$14,Y58,0)</f>
        <v/>
      </c>
      <c r="AE58">
        <f>IFERROR(IF(INDEX(MASTER_AREAS!$F:$F,57)="N","",INDEX(MASTER_AREAS!$B:$B,57)&amp;""),"")</f>
        <v/>
      </c>
      <c r="AF58">
        <f>IF(OR(AE58="",$B$10=0),0,SUMIFS(DATA_TRANSPORT!$Q:$Q,DATA_TRANSPORT!$A:$A,$B$10,DATA_TRANSPORT!$E:$E,AE58))</f>
        <v/>
      </c>
      <c r="AG58">
        <f>IF(OR(AE58="",$B$10=0),0,SUMIFS(DATA_TRANSPORT!$I:$I,DATA_TRANSPORT!$A:$A,$B$10,DATA_TRANSPORT!$E:$E,AE58,DATA_TRANSPORT!$V:$V,"Ran"))</f>
        <v/>
      </c>
      <c r="AH58">
        <f>IF(OR(AE58="",$B$10=0),0,SUMIFS(DATA_TRANSPORT!$L:$L,DATA_TRANSPORT!$A:$A,$B$10,DATA_TRANSPORT!$E:$E,AE58))</f>
        <v/>
      </c>
      <c r="AI58">
        <f>IF(OR(AE58="",$B$10=0),0,SUMIFS(DATA_TRANSPORT!$R:$R,DATA_TRANSPORT!$A:$A,$B$10,DATA_TRANSPORT!$E:$E,AE58))</f>
        <v/>
      </c>
      <c r="AJ58">
        <f>IF(OR(AE58="",$B$10=0),0,SUMIFS(DATA_TRANSPORT!$S:$S,DATA_TRANSPORT!$A:$A,$B$10,DATA_TRANSPORT!$E:$E,AE58))</f>
        <v/>
      </c>
      <c r="AK58">
        <f>IF(AH58=0,"",AI58/AH58)</f>
        <v/>
      </c>
      <c r="AL58">
        <f>IF(OR(AE58="",$B$10=0),0,SUMIFS(DATA_TRANSPORT!$T:$T,DATA_TRANSPORT!$A:$A,$B$10,DATA_TRANSPORT!$E:$E,AE58))+IF(OR(AE58="",$B$10=0),0,SUMIFS(DATA_TRANSPORT_COSTS!$M:$M,DATA_TRANSPORT_COSTS!$A:$A,$B$10,DATA_TRANSPORT_COSTS!$D:$D,AE58))</f>
        <v/>
      </c>
      <c r="AM58">
        <f>IF(OR(AF58=0,AL58=0),"",AL58/AF58)</f>
        <v/>
      </c>
      <c r="AN58">
        <f>IF(OR(AE58="",$B$10=0),0,SUMIFS(DATA_TRANSPORT!$T:$T,DATA_TRANSPORT!$A:$A,$B$10,DATA_TRANSPORT!$E:$E,AE58,DATA_TRANSPORT!$C:$C,"FT Procured"))</f>
        <v/>
      </c>
      <c r="AO58">
        <f>IF(OR(AE58="",$B$10=0),0,SUMIFS(DATA_TRANSPORT_BUDGET!$G:$G,DATA_TRANSPORT_BUDGET!$A:$A,$B$10,DATA_TRANSPORT_BUDGET!$D:$D,AE58))</f>
        <v/>
      </c>
      <c r="AP58">
        <f>IF(AO58=0,"",AN58-AO58)</f>
        <v/>
      </c>
      <c r="AQ58">
        <f>IF(OR(AE58="",$B$10=0),0,COUNTIFS(DATA_TRANSPORT!$A:$A,$B$10,DATA_TRANSPORT!$E:$E,AE58,DATA_TRANSPORT!$C:$C,"FT Procured",DATA_TRANSPORT!$Z:$Z,"Y"))</f>
        <v/>
      </c>
      <c r="AR58">
        <f>IF(OR(AE58="",$B$10=0),0,SUMIFS(DATA_TRANSPORT_BUDGET!$E:$E,DATA_TRANSPORT_BUDGET!$A:$A,$B$10,DATA_TRANSPORT_BUDGET!$D:$D,AE58))</f>
        <v/>
      </c>
      <c r="AS58">
        <f>IF(OR(AE58="",$B$10=0),0,COUNTIFS(DATA_TRANSPORT!$A:$A,$B$10,DATA_TRANSPORT!$E:$E,AE58,DATA_TRANSPORT!$V:$V,"Breakdown"))</f>
        <v/>
      </c>
      <c r="AT58">
        <f>IF(IF(OR(AE58="",$B$10=0),0,SUMIFS(DATA_TRANSPORT!$L:$L,DATA_TRANSPORT!$A:$A,$B$10-7,DATA_TRANSPORT!$E:$E,AE58))=0,"",IF(OR(AE58="",$B$10=0),0,SUMIFS(DATA_TRANSPORT!$R:$R,DATA_TRANSPORT!$A:$A,$B$10-7,DATA_TRANSPORT!$E:$E,AE58))/IF(OR(AE58="",$B$10=0),0,SUMIFS(DATA_TRANSPORT!$L:$L,DATA_TRANSPORT!$A:$A,$B$10-7,DATA_TRANSPORT!$E:$E,AE58)))</f>
        <v/>
      </c>
      <c r="AU58">
        <f>IF(IF(OR(AE58="",$B$10=0),0,SUMIFS(DATA_TRANSPORT!$L:$L,DATA_TRANSPORT!$A:$A,$B$10-14,DATA_TRANSPORT!$E:$E,AE58))=0,"",IF(OR(AE58="",$B$10=0),0,SUMIFS(DATA_TRANSPORT!$R:$R,DATA_TRANSPORT!$A:$A,$B$10-14,DATA_TRANSPORT!$E:$E,AE58))/IF(OR(AE58="",$B$10=0),0,SUMIFS(DATA_TRANSPORT!$L:$L,DATA_TRANSPORT!$A:$A,$B$10-14,DATA_TRANSPORT!$E:$E,AE58)))</f>
        <v/>
      </c>
      <c r="AV58">
        <f>IF(IF(OR(AE58="",$B$10=0),0,SUMIFS(DATA_TRANSPORT!$L:$L,DATA_TRANSPORT!$A:$A,$B$10-21,DATA_TRANSPORT!$E:$E,AE58))=0,"",IF(OR(AE58="",$B$10=0),0,SUMIFS(DATA_TRANSPORT!$R:$R,DATA_TRANSPORT!$A:$A,$B$10-21,DATA_TRANSPORT!$E:$E,AE58))/IF(OR(AE58="",$B$10=0),0,SUMIFS(DATA_TRANSPORT!$L:$L,DATA_TRANSPORT!$A:$A,$B$10-21,DATA_TRANSPORT!$E:$E,AE58)))</f>
        <v/>
      </c>
      <c r="AW58">
        <f>IF(AND(ISNUMBER(AK58),AK58&lt;UtilLow),1,0)+IF(AND(ISNUMBER(AT58),AT58&lt;UtilLow),1,0)+IF(AND(ISNUMBER(AU58),AU58&lt;UtilLow),1,0)+IF(AND(ISNUMBER(AV58),AV58&lt;UtilLow),1,0)</f>
        <v/>
      </c>
      <c r="AX58">
        <f>IF(AW58&gt;=UtilLowWeeks,AE58&amp;": seats only "&amp;TEXT(AK58,"0%")&amp;" full, under "&amp;TEXT(UtilLow,"0%")&amp;" for "&amp;AW58&amp;" weeks running",IF(AND(AH58&gt;0,AJ58&gt;=AH58*ExcessShare),AE58&amp;": "&amp;TEXT(AJ58,"#,##0")&amp;" riders beyond the seats — consider more buses",IF(AND(ISNUMBER(AP58),AP58&gt;0),AE58&amp;": FT spend ₦"&amp;TEXT(AP58,"#,##0")&amp;" over the weekly budget",IF(AS58&gt;0,AE58&amp;": "&amp;AS58&amp;" coaster breakdown(s) this week",""))))</f>
        <v/>
      </c>
      <c r="AY58">
        <f>IF(ISNUMBER(AK58),AK58+ROW()/1000000000,"")</f>
        <v/>
      </c>
      <c r="AZ58">
        <f>IF(ISNUMBER(AM58),AM58+ROW()/1000000,"")</f>
        <v/>
      </c>
      <c r="BA58">
        <f>IF(AND(ISNUMBER(AP58),AP58&gt;0),AP58+ROW()/1000000,"")</f>
        <v/>
      </c>
      <c r="BB58">
        <f>IF(AF58&gt;0,AF58+ROW()/1000000,"")</f>
        <v/>
      </c>
      <c r="BC58">
        <f>IF(AX58="","",ROW())</f>
        <v/>
      </c>
      <c r="BD58">
        <f>IF(AJ58&gt;0,AJ58+ROW()/1000000,"")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IF(B59="",0,COUNTIFS(DATA_TRANSPORT!$A:$A,B59,DATA_TRANSPORT!$E:$E,$B$6,DATA_TRANSPORT!$AD:$AD,$B$7))</f>
        <v/>
      </c>
      <c r="G59">
        <f>IF(F59=0,0,SUMIFS(DATA_TRANSPORT!$Q:$Q,DATA_TRANSPORT!$A:$A,B59,DATA_TRANSPORT!$E:$E,$B$6,DATA_TRANSPORT!$AD:$AD,$B$7))</f>
        <v/>
      </c>
      <c r="H59">
        <f>IF(F59=0,0,SUMIFS(DATA_TRANSPORT!$M:$M,DATA_TRANSPORT!$A:$A,B59,DATA_TRANSPORT!$E:$E,$B$6,DATA_TRANSPORT!$AD:$AD,$B$7))</f>
        <v/>
      </c>
      <c r="I59">
        <f>IF(F59=0,0,SUMIFS(DATA_TRANSPORT!$N:$N,DATA_TRANSPORT!$A:$A,B59,DATA_TRANSPORT!$E:$E,$B$6,DATA_TRANSPORT!$AD:$AD,$B$7))</f>
        <v/>
      </c>
      <c r="J59">
        <f>IF(F59=0,0,SUMIFS(DATA_TRANSPORT!$P:$P,DATA_TRANSPORT!$A:$A,B59,DATA_TRANSPORT!$E:$E,$B$6,DATA_TRANSPORT!$AD:$AD,$B$7))</f>
        <v/>
      </c>
      <c r="K59">
        <f>IF(F59=0,0,SUMIFS(DATA_TRANSPORT!$I:$I,DATA_TRANSPORT!$A:$A,B59,DATA_TRANSPORT!$E:$E,$B$6,DATA_TRANSPORT!$AD:$AD,$B$7))</f>
        <v/>
      </c>
      <c r="L59">
        <f>IF(F59=0,0,SUMIFS(DATA_TRANSPORT!$I:$I,DATA_TRANSPORT!$A:$A,B59,DATA_TRANSPORT!$E:$E,$B$6,DATA_TRANSPORT!$AD:$AD,$B$7,DATA_TRANSPORT!$V:$V,"Ran"))</f>
        <v/>
      </c>
      <c r="M59">
        <f>IF(F59=0,0,SUMIFS(DATA_TRANSPORT!$L:$L,DATA_TRANSPORT!$A:$A,B59,DATA_TRANSPORT!$E:$E,$B$6,DATA_TRANSPORT!$AD:$AD,$B$7))</f>
        <v/>
      </c>
      <c r="N59">
        <f>IF(F59=0,0,SUMIFS(DATA_TRANSPORT!$R:$R,DATA_TRANSPORT!$A:$A,B59,DATA_TRANSPORT!$E:$E,$B$6,DATA_TRANSPORT!$AD:$AD,$B$7))</f>
        <v/>
      </c>
      <c r="O59">
        <f>IF(F59=0,0,SUMIFS(DATA_TRANSPORT!$S:$S,DATA_TRANSPORT!$A:$A,B59,DATA_TRANSPORT!$E:$E,$B$6,DATA_TRANSPORT!$AD:$AD,$B$7))</f>
        <v/>
      </c>
      <c r="P59">
        <f>IF(F59=0,0,SUMIFS(DATA_TRANSPORT!$T:$T,DATA_TRANSPORT!$A:$A,B59,DATA_TRANSPORT!$E:$E,$B$6,DATA_TRANSPORT!$AD:$AD,$B$7))</f>
        <v/>
      </c>
      <c r="Q59">
        <f>IF(OR(B59="",$B$17),0,SUMIFS(DATA_TRANSPORT_COSTS!$M:$M,DATA_TRANSPORT_COSTS!$A:$A,B59,DATA_TRANSPORT_COSTS!$D:$D,$B$6))</f>
        <v/>
      </c>
      <c r="R59">
        <f>P59+Q59</f>
        <v/>
      </c>
      <c r="S59">
        <f>Q59+IF(F59=0,0,SUMIFS(DATA_TRANSPORT!$T:$T,DATA_TRANSPORT!$A:$A,B59,DATA_TRANSPORT!$E:$E,$B$6,DATA_TRANSPORT!$AD:$AD,$B$7,DATA_TRANSPORT!$U:$U,"Central"))</f>
        <v/>
      </c>
      <c r="T59">
        <f>IF(F59=0,0,SUMIFS(DATA_TRANSPORT!$T:$T,DATA_TRANSPORT!$A:$A,B59,DATA_TRANSPORT!$E:$E,$B$6,DATA_TRANSPORT!$AD:$AD,$B$7,DATA_TRANSPORT!$U:$U,"Members"))</f>
        <v/>
      </c>
      <c r="U59">
        <f>IF(OR(B59="",$B$17),0,SUMIFS(DATA_TRANSPORT_BUDGET!$G:$G,DATA_TRANSPORT_BUDGET!$A:$A,B59,DATA_TRANSPORT_BUDGET!$D:$D,$B$6))</f>
        <v/>
      </c>
      <c r="V59">
        <f>IF(F59=0,0,SUMIFS(DATA_TRANSPORT!$T:$T,DATA_TRANSPORT!$A:$A,B59,DATA_TRANSPORT!$E:$E,$B$6,DATA_TRANSPORT!$AD:$AD,$B$7,DATA_TRANSPORT!$C:$C,"FT Procured"))</f>
        <v/>
      </c>
      <c r="W59">
        <f>IF(F59=0,0,COUNTIFS(DATA_TRANSPORT!$A:$A,B59,DATA_TRANSPORT!$E:$E,$B$6,DATA_TRANSPORT!$AD:$AD,$B$7,DATA_TRANSPORT!$V:$V,"Breakdown"))</f>
        <v/>
      </c>
      <c r="X59">
        <f>IF(M59=0,0,N59/M59)</f>
        <v/>
      </c>
      <c r="Y59">
        <f>IF(F59&gt;0,1,0)</f>
        <v/>
      </c>
      <c r="Z59">
        <f>IF(AND(A59&gt;=1,A59&lt;=$B$11),Y59,0)</f>
        <v/>
      </c>
      <c r="AA59">
        <f>IF(AND(C59=$B$12,E59=$B$14),Y59,0)</f>
        <v/>
      </c>
      <c r="AB59">
        <f>IF(AND(D59=$B$13,E59=$B$14),Y59,0)</f>
        <v/>
      </c>
      <c r="AC59">
        <f>IF(E59=$B$14,Y59,0)</f>
        <v/>
      </c>
      <c r="AE59">
        <f>IFERROR(IF(INDEX(MASTER_AREAS!$F:$F,58)="N","",INDEX(MASTER_AREAS!$B:$B,58)&amp;""),"")</f>
        <v/>
      </c>
      <c r="AF59">
        <f>IF(OR(AE59="",$B$10=0),0,SUMIFS(DATA_TRANSPORT!$Q:$Q,DATA_TRANSPORT!$A:$A,$B$10,DATA_TRANSPORT!$E:$E,AE59))</f>
        <v/>
      </c>
      <c r="AG59">
        <f>IF(OR(AE59="",$B$10=0),0,SUMIFS(DATA_TRANSPORT!$I:$I,DATA_TRANSPORT!$A:$A,$B$10,DATA_TRANSPORT!$E:$E,AE59,DATA_TRANSPORT!$V:$V,"Ran"))</f>
        <v/>
      </c>
      <c r="AH59">
        <f>IF(OR(AE59="",$B$10=0),0,SUMIFS(DATA_TRANSPORT!$L:$L,DATA_TRANSPORT!$A:$A,$B$10,DATA_TRANSPORT!$E:$E,AE59))</f>
        <v/>
      </c>
      <c r="AI59">
        <f>IF(OR(AE59="",$B$10=0),0,SUMIFS(DATA_TRANSPORT!$R:$R,DATA_TRANSPORT!$A:$A,$B$10,DATA_TRANSPORT!$E:$E,AE59))</f>
        <v/>
      </c>
      <c r="AJ59">
        <f>IF(OR(AE59="",$B$10=0),0,SUMIFS(DATA_TRANSPORT!$S:$S,DATA_TRANSPORT!$A:$A,$B$10,DATA_TRANSPORT!$E:$E,AE59))</f>
        <v/>
      </c>
      <c r="AK59">
        <f>IF(AH59=0,"",AI59/AH59)</f>
        <v/>
      </c>
      <c r="AL59">
        <f>IF(OR(AE59="",$B$10=0),0,SUMIFS(DATA_TRANSPORT!$T:$T,DATA_TRANSPORT!$A:$A,$B$10,DATA_TRANSPORT!$E:$E,AE59))+IF(OR(AE59="",$B$10=0),0,SUMIFS(DATA_TRANSPORT_COSTS!$M:$M,DATA_TRANSPORT_COSTS!$A:$A,$B$10,DATA_TRANSPORT_COSTS!$D:$D,AE59))</f>
        <v/>
      </c>
      <c r="AM59">
        <f>IF(OR(AF59=0,AL59=0),"",AL59/AF59)</f>
        <v/>
      </c>
      <c r="AN59">
        <f>IF(OR(AE59="",$B$10=0),0,SUMIFS(DATA_TRANSPORT!$T:$T,DATA_TRANSPORT!$A:$A,$B$10,DATA_TRANSPORT!$E:$E,AE59,DATA_TRANSPORT!$C:$C,"FT Procured"))</f>
        <v/>
      </c>
      <c r="AO59">
        <f>IF(OR(AE59="",$B$10=0),0,SUMIFS(DATA_TRANSPORT_BUDGET!$G:$G,DATA_TRANSPORT_BUDGET!$A:$A,$B$10,DATA_TRANSPORT_BUDGET!$D:$D,AE59))</f>
        <v/>
      </c>
      <c r="AP59">
        <f>IF(AO59=0,"",AN59-AO59)</f>
        <v/>
      </c>
      <c r="AQ59">
        <f>IF(OR(AE59="",$B$10=0),0,COUNTIFS(DATA_TRANSPORT!$A:$A,$B$10,DATA_TRANSPORT!$E:$E,AE59,DATA_TRANSPORT!$C:$C,"FT Procured",DATA_TRANSPORT!$Z:$Z,"Y"))</f>
        <v/>
      </c>
      <c r="AR59">
        <f>IF(OR(AE59="",$B$10=0),0,SUMIFS(DATA_TRANSPORT_BUDGET!$E:$E,DATA_TRANSPORT_BUDGET!$A:$A,$B$10,DATA_TRANSPORT_BUDGET!$D:$D,AE59))</f>
        <v/>
      </c>
      <c r="AS59">
        <f>IF(OR(AE59="",$B$10=0),0,COUNTIFS(DATA_TRANSPORT!$A:$A,$B$10,DATA_TRANSPORT!$E:$E,AE59,DATA_TRANSPORT!$V:$V,"Breakdown"))</f>
        <v/>
      </c>
      <c r="AT59">
        <f>IF(IF(OR(AE59="",$B$10=0),0,SUMIFS(DATA_TRANSPORT!$L:$L,DATA_TRANSPORT!$A:$A,$B$10-7,DATA_TRANSPORT!$E:$E,AE59))=0,"",IF(OR(AE59="",$B$10=0),0,SUMIFS(DATA_TRANSPORT!$R:$R,DATA_TRANSPORT!$A:$A,$B$10-7,DATA_TRANSPORT!$E:$E,AE59))/IF(OR(AE59="",$B$10=0),0,SUMIFS(DATA_TRANSPORT!$L:$L,DATA_TRANSPORT!$A:$A,$B$10-7,DATA_TRANSPORT!$E:$E,AE59)))</f>
        <v/>
      </c>
      <c r="AU59">
        <f>IF(IF(OR(AE59="",$B$10=0),0,SUMIFS(DATA_TRANSPORT!$L:$L,DATA_TRANSPORT!$A:$A,$B$10-14,DATA_TRANSPORT!$E:$E,AE59))=0,"",IF(OR(AE59="",$B$10=0),0,SUMIFS(DATA_TRANSPORT!$R:$R,DATA_TRANSPORT!$A:$A,$B$10-14,DATA_TRANSPORT!$E:$E,AE59))/IF(OR(AE59="",$B$10=0),0,SUMIFS(DATA_TRANSPORT!$L:$L,DATA_TRANSPORT!$A:$A,$B$10-14,DATA_TRANSPORT!$E:$E,AE59)))</f>
        <v/>
      </c>
      <c r="AV59">
        <f>IF(IF(OR(AE59="",$B$10=0),0,SUMIFS(DATA_TRANSPORT!$L:$L,DATA_TRANSPORT!$A:$A,$B$10-21,DATA_TRANSPORT!$E:$E,AE59))=0,"",IF(OR(AE59="",$B$10=0),0,SUMIFS(DATA_TRANSPORT!$R:$R,DATA_TRANSPORT!$A:$A,$B$10-21,DATA_TRANSPORT!$E:$E,AE59))/IF(OR(AE59="",$B$10=0),0,SUMIFS(DATA_TRANSPORT!$L:$L,DATA_TRANSPORT!$A:$A,$B$10-21,DATA_TRANSPORT!$E:$E,AE59)))</f>
        <v/>
      </c>
      <c r="AW59">
        <f>IF(AND(ISNUMBER(AK59),AK59&lt;UtilLow),1,0)+IF(AND(ISNUMBER(AT59),AT59&lt;UtilLow),1,0)+IF(AND(ISNUMBER(AU59),AU59&lt;UtilLow),1,0)+IF(AND(ISNUMBER(AV59),AV59&lt;UtilLow),1,0)</f>
        <v/>
      </c>
      <c r="AX59">
        <f>IF(AW59&gt;=UtilLowWeeks,AE59&amp;": seats only "&amp;TEXT(AK59,"0%")&amp;" full, under "&amp;TEXT(UtilLow,"0%")&amp;" for "&amp;AW59&amp;" weeks running",IF(AND(AH59&gt;0,AJ59&gt;=AH59*ExcessShare),AE59&amp;": "&amp;TEXT(AJ59,"#,##0")&amp;" riders beyond the seats — consider more buses",IF(AND(ISNUMBER(AP59),AP59&gt;0),AE59&amp;": FT spend ₦"&amp;TEXT(AP59,"#,##0")&amp;" over the weekly budget",IF(AS59&gt;0,AE59&amp;": "&amp;AS59&amp;" coaster breakdown(s) this week",""))))</f>
        <v/>
      </c>
      <c r="AY59">
        <f>IF(ISNUMBER(AK59),AK59+ROW()/1000000000,"")</f>
        <v/>
      </c>
      <c r="AZ59">
        <f>IF(ISNUMBER(AM59),AM59+ROW()/1000000,"")</f>
        <v/>
      </c>
      <c r="BA59">
        <f>IF(AND(ISNUMBER(AP59),AP59&gt;0),AP59+ROW()/1000000,"")</f>
        <v/>
      </c>
      <c r="BB59">
        <f>IF(AF59&gt;0,AF59+ROW()/1000000,"")</f>
        <v/>
      </c>
      <c r="BC59">
        <f>IF(AX59="","",ROW())</f>
        <v/>
      </c>
      <c r="BD59">
        <f>IF(AJ59&gt;0,AJ59+ROW()/1000000,"")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IF(B60="",0,COUNTIFS(DATA_TRANSPORT!$A:$A,B60,DATA_TRANSPORT!$E:$E,$B$6,DATA_TRANSPORT!$AD:$AD,$B$7))</f>
        <v/>
      </c>
      <c r="G60">
        <f>IF(F60=0,0,SUMIFS(DATA_TRANSPORT!$Q:$Q,DATA_TRANSPORT!$A:$A,B60,DATA_TRANSPORT!$E:$E,$B$6,DATA_TRANSPORT!$AD:$AD,$B$7))</f>
        <v/>
      </c>
      <c r="H60">
        <f>IF(F60=0,0,SUMIFS(DATA_TRANSPORT!$M:$M,DATA_TRANSPORT!$A:$A,B60,DATA_TRANSPORT!$E:$E,$B$6,DATA_TRANSPORT!$AD:$AD,$B$7))</f>
        <v/>
      </c>
      <c r="I60">
        <f>IF(F60=0,0,SUMIFS(DATA_TRANSPORT!$N:$N,DATA_TRANSPORT!$A:$A,B60,DATA_TRANSPORT!$E:$E,$B$6,DATA_TRANSPORT!$AD:$AD,$B$7))</f>
        <v/>
      </c>
      <c r="J60">
        <f>IF(F60=0,0,SUMIFS(DATA_TRANSPORT!$P:$P,DATA_TRANSPORT!$A:$A,B60,DATA_TRANSPORT!$E:$E,$B$6,DATA_TRANSPORT!$AD:$AD,$B$7))</f>
        <v/>
      </c>
      <c r="K60">
        <f>IF(F60=0,0,SUMIFS(DATA_TRANSPORT!$I:$I,DATA_TRANSPORT!$A:$A,B60,DATA_TRANSPORT!$E:$E,$B$6,DATA_TRANSPORT!$AD:$AD,$B$7))</f>
        <v/>
      </c>
      <c r="L60">
        <f>IF(F60=0,0,SUMIFS(DATA_TRANSPORT!$I:$I,DATA_TRANSPORT!$A:$A,B60,DATA_TRANSPORT!$E:$E,$B$6,DATA_TRANSPORT!$AD:$AD,$B$7,DATA_TRANSPORT!$V:$V,"Ran"))</f>
        <v/>
      </c>
      <c r="M60">
        <f>IF(F60=0,0,SUMIFS(DATA_TRANSPORT!$L:$L,DATA_TRANSPORT!$A:$A,B60,DATA_TRANSPORT!$E:$E,$B$6,DATA_TRANSPORT!$AD:$AD,$B$7))</f>
        <v/>
      </c>
      <c r="N60">
        <f>IF(F60=0,0,SUMIFS(DATA_TRANSPORT!$R:$R,DATA_TRANSPORT!$A:$A,B60,DATA_TRANSPORT!$E:$E,$B$6,DATA_TRANSPORT!$AD:$AD,$B$7))</f>
        <v/>
      </c>
      <c r="O60">
        <f>IF(F60=0,0,SUMIFS(DATA_TRANSPORT!$S:$S,DATA_TRANSPORT!$A:$A,B60,DATA_TRANSPORT!$E:$E,$B$6,DATA_TRANSPORT!$AD:$AD,$B$7))</f>
        <v/>
      </c>
      <c r="P60">
        <f>IF(F60=0,0,SUMIFS(DATA_TRANSPORT!$T:$T,DATA_TRANSPORT!$A:$A,B60,DATA_TRANSPORT!$E:$E,$B$6,DATA_TRANSPORT!$AD:$AD,$B$7))</f>
        <v/>
      </c>
      <c r="Q60">
        <f>IF(OR(B60="",$B$17),0,SUMIFS(DATA_TRANSPORT_COSTS!$M:$M,DATA_TRANSPORT_COSTS!$A:$A,B60,DATA_TRANSPORT_COSTS!$D:$D,$B$6))</f>
        <v/>
      </c>
      <c r="R60">
        <f>P60+Q60</f>
        <v/>
      </c>
      <c r="S60">
        <f>Q60+IF(F60=0,0,SUMIFS(DATA_TRANSPORT!$T:$T,DATA_TRANSPORT!$A:$A,B60,DATA_TRANSPORT!$E:$E,$B$6,DATA_TRANSPORT!$AD:$AD,$B$7,DATA_TRANSPORT!$U:$U,"Central"))</f>
        <v/>
      </c>
      <c r="T60">
        <f>IF(F60=0,0,SUMIFS(DATA_TRANSPORT!$T:$T,DATA_TRANSPORT!$A:$A,B60,DATA_TRANSPORT!$E:$E,$B$6,DATA_TRANSPORT!$AD:$AD,$B$7,DATA_TRANSPORT!$U:$U,"Members"))</f>
        <v/>
      </c>
      <c r="U60">
        <f>IF(OR(B60="",$B$17),0,SUMIFS(DATA_TRANSPORT_BUDGET!$G:$G,DATA_TRANSPORT_BUDGET!$A:$A,B60,DATA_TRANSPORT_BUDGET!$D:$D,$B$6))</f>
        <v/>
      </c>
      <c r="V60">
        <f>IF(F60=0,0,SUMIFS(DATA_TRANSPORT!$T:$T,DATA_TRANSPORT!$A:$A,B60,DATA_TRANSPORT!$E:$E,$B$6,DATA_TRANSPORT!$AD:$AD,$B$7,DATA_TRANSPORT!$C:$C,"FT Procured"))</f>
        <v/>
      </c>
      <c r="W60">
        <f>IF(F60=0,0,COUNTIFS(DATA_TRANSPORT!$A:$A,B60,DATA_TRANSPORT!$E:$E,$B$6,DATA_TRANSPORT!$AD:$AD,$B$7,DATA_TRANSPORT!$V:$V,"Breakdown"))</f>
        <v/>
      </c>
      <c r="X60">
        <f>IF(M60=0,0,N60/M60)</f>
        <v/>
      </c>
      <c r="Y60">
        <f>IF(F60&gt;0,1,0)</f>
        <v/>
      </c>
      <c r="Z60">
        <f>IF(AND(A60&gt;=1,A60&lt;=$B$11),Y60,0)</f>
        <v/>
      </c>
      <c r="AA60">
        <f>IF(AND(C60=$B$12,E60=$B$14),Y60,0)</f>
        <v/>
      </c>
      <c r="AB60">
        <f>IF(AND(D60=$B$13,E60=$B$14),Y60,0)</f>
        <v/>
      </c>
      <c r="AC60">
        <f>IF(E60=$B$14,Y60,0)</f>
        <v/>
      </c>
      <c r="AE60">
        <f>IFERROR(IF(INDEX(MASTER_AREAS!$F:$F,59)="N","",INDEX(MASTER_AREAS!$B:$B,59)&amp;""),"")</f>
        <v/>
      </c>
      <c r="AF60">
        <f>IF(OR(AE60="",$B$10=0),0,SUMIFS(DATA_TRANSPORT!$Q:$Q,DATA_TRANSPORT!$A:$A,$B$10,DATA_TRANSPORT!$E:$E,AE60))</f>
        <v/>
      </c>
      <c r="AG60">
        <f>IF(OR(AE60="",$B$10=0),0,SUMIFS(DATA_TRANSPORT!$I:$I,DATA_TRANSPORT!$A:$A,$B$10,DATA_TRANSPORT!$E:$E,AE60,DATA_TRANSPORT!$V:$V,"Ran"))</f>
        <v/>
      </c>
      <c r="AH60">
        <f>IF(OR(AE60="",$B$10=0),0,SUMIFS(DATA_TRANSPORT!$L:$L,DATA_TRANSPORT!$A:$A,$B$10,DATA_TRANSPORT!$E:$E,AE60))</f>
        <v/>
      </c>
      <c r="AI60">
        <f>IF(OR(AE60="",$B$10=0),0,SUMIFS(DATA_TRANSPORT!$R:$R,DATA_TRANSPORT!$A:$A,$B$10,DATA_TRANSPORT!$E:$E,AE60))</f>
        <v/>
      </c>
      <c r="AJ60">
        <f>IF(OR(AE60="",$B$10=0),0,SUMIFS(DATA_TRANSPORT!$S:$S,DATA_TRANSPORT!$A:$A,$B$10,DATA_TRANSPORT!$E:$E,AE60))</f>
        <v/>
      </c>
      <c r="AK60">
        <f>IF(AH60=0,"",AI60/AH60)</f>
        <v/>
      </c>
      <c r="AL60">
        <f>IF(OR(AE60="",$B$10=0),0,SUMIFS(DATA_TRANSPORT!$T:$T,DATA_TRANSPORT!$A:$A,$B$10,DATA_TRANSPORT!$E:$E,AE60))+IF(OR(AE60="",$B$10=0),0,SUMIFS(DATA_TRANSPORT_COSTS!$M:$M,DATA_TRANSPORT_COSTS!$A:$A,$B$10,DATA_TRANSPORT_COSTS!$D:$D,AE60))</f>
        <v/>
      </c>
      <c r="AM60">
        <f>IF(OR(AF60=0,AL60=0),"",AL60/AF60)</f>
        <v/>
      </c>
      <c r="AN60">
        <f>IF(OR(AE60="",$B$10=0),0,SUMIFS(DATA_TRANSPORT!$T:$T,DATA_TRANSPORT!$A:$A,$B$10,DATA_TRANSPORT!$E:$E,AE60,DATA_TRANSPORT!$C:$C,"FT Procured"))</f>
        <v/>
      </c>
      <c r="AO60">
        <f>IF(OR(AE60="",$B$10=0),0,SUMIFS(DATA_TRANSPORT_BUDGET!$G:$G,DATA_TRANSPORT_BUDGET!$A:$A,$B$10,DATA_TRANSPORT_BUDGET!$D:$D,AE60))</f>
        <v/>
      </c>
      <c r="AP60">
        <f>IF(AO60=0,"",AN60-AO60)</f>
        <v/>
      </c>
      <c r="AQ60">
        <f>IF(OR(AE60="",$B$10=0),0,COUNTIFS(DATA_TRANSPORT!$A:$A,$B$10,DATA_TRANSPORT!$E:$E,AE60,DATA_TRANSPORT!$C:$C,"FT Procured",DATA_TRANSPORT!$Z:$Z,"Y"))</f>
        <v/>
      </c>
      <c r="AR60">
        <f>IF(OR(AE60="",$B$10=0),0,SUMIFS(DATA_TRANSPORT_BUDGET!$E:$E,DATA_TRANSPORT_BUDGET!$A:$A,$B$10,DATA_TRANSPORT_BUDGET!$D:$D,AE60))</f>
        <v/>
      </c>
      <c r="AS60">
        <f>IF(OR(AE60="",$B$10=0),0,COUNTIFS(DATA_TRANSPORT!$A:$A,$B$10,DATA_TRANSPORT!$E:$E,AE60,DATA_TRANSPORT!$V:$V,"Breakdown"))</f>
        <v/>
      </c>
      <c r="AT60">
        <f>IF(IF(OR(AE60="",$B$10=0),0,SUMIFS(DATA_TRANSPORT!$L:$L,DATA_TRANSPORT!$A:$A,$B$10-7,DATA_TRANSPORT!$E:$E,AE60))=0,"",IF(OR(AE60="",$B$10=0),0,SUMIFS(DATA_TRANSPORT!$R:$R,DATA_TRANSPORT!$A:$A,$B$10-7,DATA_TRANSPORT!$E:$E,AE60))/IF(OR(AE60="",$B$10=0),0,SUMIFS(DATA_TRANSPORT!$L:$L,DATA_TRANSPORT!$A:$A,$B$10-7,DATA_TRANSPORT!$E:$E,AE60)))</f>
        <v/>
      </c>
      <c r="AU60">
        <f>IF(IF(OR(AE60="",$B$10=0),0,SUMIFS(DATA_TRANSPORT!$L:$L,DATA_TRANSPORT!$A:$A,$B$10-14,DATA_TRANSPORT!$E:$E,AE60))=0,"",IF(OR(AE60="",$B$10=0),0,SUMIFS(DATA_TRANSPORT!$R:$R,DATA_TRANSPORT!$A:$A,$B$10-14,DATA_TRANSPORT!$E:$E,AE60))/IF(OR(AE60="",$B$10=0),0,SUMIFS(DATA_TRANSPORT!$L:$L,DATA_TRANSPORT!$A:$A,$B$10-14,DATA_TRANSPORT!$E:$E,AE60)))</f>
        <v/>
      </c>
      <c r="AV60">
        <f>IF(IF(OR(AE60="",$B$10=0),0,SUMIFS(DATA_TRANSPORT!$L:$L,DATA_TRANSPORT!$A:$A,$B$10-21,DATA_TRANSPORT!$E:$E,AE60))=0,"",IF(OR(AE60="",$B$10=0),0,SUMIFS(DATA_TRANSPORT!$R:$R,DATA_TRANSPORT!$A:$A,$B$10-21,DATA_TRANSPORT!$E:$E,AE60))/IF(OR(AE60="",$B$10=0),0,SUMIFS(DATA_TRANSPORT!$L:$L,DATA_TRANSPORT!$A:$A,$B$10-21,DATA_TRANSPORT!$E:$E,AE60)))</f>
        <v/>
      </c>
      <c r="AW60">
        <f>IF(AND(ISNUMBER(AK60),AK60&lt;UtilLow),1,0)+IF(AND(ISNUMBER(AT60),AT60&lt;UtilLow),1,0)+IF(AND(ISNUMBER(AU60),AU60&lt;UtilLow),1,0)+IF(AND(ISNUMBER(AV60),AV60&lt;UtilLow),1,0)</f>
        <v/>
      </c>
      <c r="AX60">
        <f>IF(AW60&gt;=UtilLowWeeks,AE60&amp;": seats only "&amp;TEXT(AK60,"0%")&amp;" full, under "&amp;TEXT(UtilLow,"0%")&amp;" for "&amp;AW60&amp;" weeks running",IF(AND(AH60&gt;0,AJ60&gt;=AH60*ExcessShare),AE60&amp;": "&amp;TEXT(AJ60,"#,##0")&amp;" riders beyond the seats — consider more buses",IF(AND(ISNUMBER(AP60),AP60&gt;0),AE60&amp;": FT spend ₦"&amp;TEXT(AP60,"#,##0")&amp;" over the weekly budget",IF(AS60&gt;0,AE60&amp;": "&amp;AS60&amp;" coaster breakdown(s) this week",""))))</f>
        <v/>
      </c>
      <c r="AY60">
        <f>IF(ISNUMBER(AK60),AK60+ROW()/1000000000,"")</f>
        <v/>
      </c>
      <c r="AZ60">
        <f>IF(ISNUMBER(AM60),AM60+ROW()/1000000,"")</f>
        <v/>
      </c>
      <c r="BA60">
        <f>IF(AND(ISNUMBER(AP60),AP60&gt;0),AP60+ROW()/1000000,"")</f>
        <v/>
      </c>
      <c r="BB60">
        <f>IF(AF60&gt;0,AF60+ROW()/1000000,"")</f>
        <v/>
      </c>
      <c r="BC60">
        <f>IF(AX60="","",ROW())</f>
        <v/>
      </c>
      <c r="BD60">
        <f>IF(AJ60&gt;0,AJ60+ROW()/1000000,"")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IF(B61="",0,COUNTIFS(DATA_TRANSPORT!$A:$A,B61,DATA_TRANSPORT!$E:$E,$B$6,DATA_TRANSPORT!$AD:$AD,$B$7))</f>
        <v/>
      </c>
      <c r="G61">
        <f>IF(F61=0,0,SUMIFS(DATA_TRANSPORT!$Q:$Q,DATA_TRANSPORT!$A:$A,B61,DATA_TRANSPORT!$E:$E,$B$6,DATA_TRANSPORT!$AD:$AD,$B$7))</f>
        <v/>
      </c>
      <c r="H61">
        <f>IF(F61=0,0,SUMIFS(DATA_TRANSPORT!$M:$M,DATA_TRANSPORT!$A:$A,B61,DATA_TRANSPORT!$E:$E,$B$6,DATA_TRANSPORT!$AD:$AD,$B$7))</f>
        <v/>
      </c>
      <c r="I61">
        <f>IF(F61=0,0,SUMIFS(DATA_TRANSPORT!$N:$N,DATA_TRANSPORT!$A:$A,B61,DATA_TRANSPORT!$E:$E,$B$6,DATA_TRANSPORT!$AD:$AD,$B$7))</f>
        <v/>
      </c>
      <c r="J61">
        <f>IF(F61=0,0,SUMIFS(DATA_TRANSPORT!$P:$P,DATA_TRANSPORT!$A:$A,B61,DATA_TRANSPORT!$E:$E,$B$6,DATA_TRANSPORT!$AD:$AD,$B$7))</f>
        <v/>
      </c>
      <c r="K61">
        <f>IF(F61=0,0,SUMIFS(DATA_TRANSPORT!$I:$I,DATA_TRANSPORT!$A:$A,B61,DATA_TRANSPORT!$E:$E,$B$6,DATA_TRANSPORT!$AD:$AD,$B$7))</f>
        <v/>
      </c>
      <c r="L61">
        <f>IF(F61=0,0,SUMIFS(DATA_TRANSPORT!$I:$I,DATA_TRANSPORT!$A:$A,B61,DATA_TRANSPORT!$E:$E,$B$6,DATA_TRANSPORT!$AD:$AD,$B$7,DATA_TRANSPORT!$V:$V,"Ran"))</f>
        <v/>
      </c>
      <c r="M61">
        <f>IF(F61=0,0,SUMIFS(DATA_TRANSPORT!$L:$L,DATA_TRANSPORT!$A:$A,B61,DATA_TRANSPORT!$E:$E,$B$6,DATA_TRANSPORT!$AD:$AD,$B$7))</f>
        <v/>
      </c>
      <c r="N61">
        <f>IF(F61=0,0,SUMIFS(DATA_TRANSPORT!$R:$R,DATA_TRANSPORT!$A:$A,B61,DATA_TRANSPORT!$E:$E,$B$6,DATA_TRANSPORT!$AD:$AD,$B$7))</f>
        <v/>
      </c>
      <c r="O61">
        <f>IF(F61=0,0,SUMIFS(DATA_TRANSPORT!$S:$S,DATA_TRANSPORT!$A:$A,B61,DATA_TRANSPORT!$E:$E,$B$6,DATA_TRANSPORT!$AD:$AD,$B$7))</f>
        <v/>
      </c>
      <c r="P61">
        <f>IF(F61=0,0,SUMIFS(DATA_TRANSPORT!$T:$T,DATA_TRANSPORT!$A:$A,B61,DATA_TRANSPORT!$E:$E,$B$6,DATA_TRANSPORT!$AD:$AD,$B$7))</f>
        <v/>
      </c>
      <c r="Q61">
        <f>IF(OR(B61="",$B$17),0,SUMIFS(DATA_TRANSPORT_COSTS!$M:$M,DATA_TRANSPORT_COSTS!$A:$A,B61,DATA_TRANSPORT_COSTS!$D:$D,$B$6))</f>
        <v/>
      </c>
      <c r="R61">
        <f>P61+Q61</f>
        <v/>
      </c>
      <c r="S61">
        <f>Q61+IF(F61=0,0,SUMIFS(DATA_TRANSPORT!$T:$T,DATA_TRANSPORT!$A:$A,B61,DATA_TRANSPORT!$E:$E,$B$6,DATA_TRANSPORT!$AD:$AD,$B$7,DATA_TRANSPORT!$U:$U,"Central"))</f>
        <v/>
      </c>
      <c r="T61">
        <f>IF(F61=0,0,SUMIFS(DATA_TRANSPORT!$T:$T,DATA_TRANSPORT!$A:$A,B61,DATA_TRANSPORT!$E:$E,$B$6,DATA_TRANSPORT!$AD:$AD,$B$7,DATA_TRANSPORT!$U:$U,"Members"))</f>
        <v/>
      </c>
      <c r="U61">
        <f>IF(OR(B61="",$B$17),0,SUMIFS(DATA_TRANSPORT_BUDGET!$G:$G,DATA_TRANSPORT_BUDGET!$A:$A,B61,DATA_TRANSPORT_BUDGET!$D:$D,$B$6))</f>
        <v/>
      </c>
      <c r="V61">
        <f>IF(F61=0,0,SUMIFS(DATA_TRANSPORT!$T:$T,DATA_TRANSPORT!$A:$A,B61,DATA_TRANSPORT!$E:$E,$B$6,DATA_TRANSPORT!$AD:$AD,$B$7,DATA_TRANSPORT!$C:$C,"FT Procured"))</f>
        <v/>
      </c>
      <c r="W61">
        <f>IF(F61=0,0,COUNTIFS(DATA_TRANSPORT!$A:$A,B61,DATA_TRANSPORT!$E:$E,$B$6,DATA_TRANSPORT!$AD:$AD,$B$7,DATA_TRANSPORT!$V:$V,"Breakdown"))</f>
        <v/>
      </c>
      <c r="X61">
        <f>IF(M61=0,0,N61/M61)</f>
        <v/>
      </c>
      <c r="Y61">
        <f>IF(F61&gt;0,1,0)</f>
        <v/>
      </c>
      <c r="Z61">
        <f>IF(AND(A61&gt;=1,A61&lt;=$B$11),Y61,0)</f>
        <v/>
      </c>
      <c r="AA61">
        <f>IF(AND(C61=$B$12,E61=$B$14),Y61,0)</f>
        <v/>
      </c>
      <c r="AB61">
        <f>IF(AND(D61=$B$13,E61=$B$14),Y61,0)</f>
        <v/>
      </c>
      <c r="AC61">
        <f>IF(E61=$B$14,Y61,0)</f>
        <v/>
      </c>
      <c r="AE61">
        <f>IFERROR(IF(INDEX(MASTER_AREAS!$F:$F,60)="N","",INDEX(MASTER_AREAS!$B:$B,60)&amp;""),"")</f>
        <v/>
      </c>
      <c r="AF61">
        <f>IF(OR(AE61="",$B$10=0),0,SUMIFS(DATA_TRANSPORT!$Q:$Q,DATA_TRANSPORT!$A:$A,$B$10,DATA_TRANSPORT!$E:$E,AE61))</f>
        <v/>
      </c>
      <c r="AG61">
        <f>IF(OR(AE61="",$B$10=0),0,SUMIFS(DATA_TRANSPORT!$I:$I,DATA_TRANSPORT!$A:$A,$B$10,DATA_TRANSPORT!$E:$E,AE61,DATA_TRANSPORT!$V:$V,"Ran"))</f>
        <v/>
      </c>
      <c r="AH61">
        <f>IF(OR(AE61="",$B$10=0),0,SUMIFS(DATA_TRANSPORT!$L:$L,DATA_TRANSPORT!$A:$A,$B$10,DATA_TRANSPORT!$E:$E,AE61))</f>
        <v/>
      </c>
      <c r="AI61">
        <f>IF(OR(AE61="",$B$10=0),0,SUMIFS(DATA_TRANSPORT!$R:$R,DATA_TRANSPORT!$A:$A,$B$10,DATA_TRANSPORT!$E:$E,AE61))</f>
        <v/>
      </c>
      <c r="AJ61">
        <f>IF(OR(AE61="",$B$10=0),0,SUMIFS(DATA_TRANSPORT!$S:$S,DATA_TRANSPORT!$A:$A,$B$10,DATA_TRANSPORT!$E:$E,AE61))</f>
        <v/>
      </c>
      <c r="AK61">
        <f>IF(AH61=0,"",AI61/AH61)</f>
        <v/>
      </c>
      <c r="AL61">
        <f>IF(OR(AE61="",$B$10=0),0,SUMIFS(DATA_TRANSPORT!$T:$T,DATA_TRANSPORT!$A:$A,$B$10,DATA_TRANSPORT!$E:$E,AE61))+IF(OR(AE61="",$B$10=0),0,SUMIFS(DATA_TRANSPORT_COSTS!$M:$M,DATA_TRANSPORT_COSTS!$A:$A,$B$10,DATA_TRANSPORT_COSTS!$D:$D,AE61))</f>
        <v/>
      </c>
      <c r="AM61">
        <f>IF(OR(AF61=0,AL61=0),"",AL61/AF61)</f>
        <v/>
      </c>
      <c r="AN61">
        <f>IF(OR(AE61="",$B$10=0),0,SUMIFS(DATA_TRANSPORT!$T:$T,DATA_TRANSPORT!$A:$A,$B$10,DATA_TRANSPORT!$E:$E,AE61,DATA_TRANSPORT!$C:$C,"FT Procured"))</f>
        <v/>
      </c>
      <c r="AO61">
        <f>IF(OR(AE61="",$B$10=0),0,SUMIFS(DATA_TRANSPORT_BUDGET!$G:$G,DATA_TRANSPORT_BUDGET!$A:$A,$B$10,DATA_TRANSPORT_BUDGET!$D:$D,AE61))</f>
        <v/>
      </c>
      <c r="AP61">
        <f>IF(AO61=0,"",AN61-AO61)</f>
        <v/>
      </c>
      <c r="AQ61">
        <f>IF(OR(AE61="",$B$10=0),0,COUNTIFS(DATA_TRANSPORT!$A:$A,$B$10,DATA_TRANSPORT!$E:$E,AE61,DATA_TRANSPORT!$C:$C,"FT Procured",DATA_TRANSPORT!$Z:$Z,"Y"))</f>
        <v/>
      </c>
      <c r="AR61">
        <f>IF(OR(AE61="",$B$10=0),0,SUMIFS(DATA_TRANSPORT_BUDGET!$E:$E,DATA_TRANSPORT_BUDGET!$A:$A,$B$10,DATA_TRANSPORT_BUDGET!$D:$D,AE61))</f>
        <v/>
      </c>
      <c r="AS61">
        <f>IF(OR(AE61="",$B$10=0),0,COUNTIFS(DATA_TRANSPORT!$A:$A,$B$10,DATA_TRANSPORT!$E:$E,AE61,DATA_TRANSPORT!$V:$V,"Breakdown"))</f>
        <v/>
      </c>
      <c r="AT61">
        <f>IF(IF(OR(AE61="",$B$10=0),0,SUMIFS(DATA_TRANSPORT!$L:$L,DATA_TRANSPORT!$A:$A,$B$10-7,DATA_TRANSPORT!$E:$E,AE61))=0,"",IF(OR(AE61="",$B$10=0),0,SUMIFS(DATA_TRANSPORT!$R:$R,DATA_TRANSPORT!$A:$A,$B$10-7,DATA_TRANSPORT!$E:$E,AE61))/IF(OR(AE61="",$B$10=0),0,SUMIFS(DATA_TRANSPORT!$L:$L,DATA_TRANSPORT!$A:$A,$B$10-7,DATA_TRANSPORT!$E:$E,AE61)))</f>
        <v/>
      </c>
      <c r="AU61">
        <f>IF(IF(OR(AE61="",$B$10=0),0,SUMIFS(DATA_TRANSPORT!$L:$L,DATA_TRANSPORT!$A:$A,$B$10-14,DATA_TRANSPORT!$E:$E,AE61))=0,"",IF(OR(AE61="",$B$10=0),0,SUMIFS(DATA_TRANSPORT!$R:$R,DATA_TRANSPORT!$A:$A,$B$10-14,DATA_TRANSPORT!$E:$E,AE61))/IF(OR(AE61="",$B$10=0),0,SUMIFS(DATA_TRANSPORT!$L:$L,DATA_TRANSPORT!$A:$A,$B$10-14,DATA_TRANSPORT!$E:$E,AE61)))</f>
        <v/>
      </c>
      <c r="AV61">
        <f>IF(IF(OR(AE61="",$B$10=0),0,SUMIFS(DATA_TRANSPORT!$L:$L,DATA_TRANSPORT!$A:$A,$B$10-21,DATA_TRANSPORT!$E:$E,AE61))=0,"",IF(OR(AE61="",$B$10=0),0,SUMIFS(DATA_TRANSPORT!$R:$R,DATA_TRANSPORT!$A:$A,$B$10-21,DATA_TRANSPORT!$E:$E,AE61))/IF(OR(AE61="",$B$10=0),0,SUMIFS(DATA_TRANSPORT!$L:$L,DATA_TRANSPORT!$A:$A,$B$10-21,DATA_TRANSPORT!$E:$E,AE61)))</f>
        <v/>
      </c>
      <c r="AW61">
        <f>IF(AND(ISNUMBER(AK61),AK61&lt;UtilLow),1,0)+IF(AND(ISNUMBER(AT61),AT61&lt;UtilLow),1,0)+IF(AND(ISNUMBER(AU61),AU61&lt;UtilLow),1,0)+IF(AND(ISNUMBER(AV61),AV61&lt;UtilLow),1,0)</f>
        <v/>
      </c>
      <c r="AX61">
        <f>IF(AW61&gt;=UtilLowWeeks,AE61&amp;": seats only "&amp;TEXT(AK61,"0%")&amp;" full, under "&amp;TEXT(UtilLow,"0%")&amp;" for "&amp;AW61&amp;" weeks running",IF(AND(AH61&gt;0,AJ61&gt;=AH61*ExcessShare),AE61&amp;": "&amp;TEXT(AJ61,"#,##0")&amp;" riders beyond the seats — consider more buses",IF(AND(ISNUMBER(AP61),AP61&gt;0),AE61&amp;": FT spend ₦"&amp;TEXT(AP61,"#,##0")&amp;" over the weekly budget",IF(AS61&gt;0,AE61&amp;": "&amp;AS61&amp;" coaster breakdown(s) this week",""))))</f>
        <v/>
      </c>
      <c r="AY61">
        <f>IF(ISNUMBER(AK61),AK61+ROW()/1000000000,"")</f>
        <v/>
      </c>
      <c r="AZ61">
        <f>IF(ISNUMBER(AM61),AM61+ROW()/1000000,"")</f>
        <v/>
      </c>
      <c r="BA61">
        <f>IF(AND(ISNUMBER(AP61),AP61&gt;0),AP61+ROW()/1000000,"")</f>
        <v/>
      </c>
      <c r="BB61">
        <f>IF(AF61&gt;0,AF61+ROW()/1000000,"")</f>
        <v/>
      </c>
      <c r="BC61">
        <f>IF(AX61="","",ROW())</f>
        <v/>
      </c>
      <c r="BD61">
        <f>IF(AJ61&gt;0,AJ61+ROW()/1000000,"")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IF(B62="",0,COUNTIFS(DATA_TRANSPORT!$A:$A,B62,DATA_TRANSPORT!$E:$E,$B$6,DATA_TRANSPORT!$AD:$AD,$B$7))</f>
        <v/>
      </c>
      <c r="G62">
        <f>IF(F62=0,0,SUMIFS(DATA_TRANSPORT!$Q:$Q,DATA_TRANSPORT!$A:$A,B62,DATA_TRANSPORT!$E:$E,$B$6,DATA_TRANSPORT!$AD:$AD,$B$7))</f>
        <v/>
      </c>
      <c r="H62">
        <f>IF(F62=0,0,SUMIFS(DATA_TRANSPORT!$M:$M,DATA_TRANSPORT!$A:$A,B62,DATA_TRANSPORT!$E:$E,$B$6,DATA_TRANSPORT!$AD:$AD,$B$7))</f>
        <v/>
      </c>
      <c r="I62">
        <f>IF(F62=0,0,SUMIFS(DATA_TRANSPORT!$N:$N,DATA_TRANSPORT!$A:$A,B62,DATA_TRANSPORT!$E:$E,$B$6,DATA_TRANSPORT!$AD:$AD,$B$7))</f>
        <v/>
      </c>
      <c r="J62">
        <f>IF(F62=0,0,SUMIFS(DATA_TRANSPORT!$P:$P,DATA_TRANSPORT!$A:$A,B62,DATA_TRANSPORT!$E:$E,$B$6,DATA_TRANSPORT!$AD:$AD,$B$7))</f>
        <v/>
      </c>
      <c r="K62">
        <f>IF(F62=0,0,SUMIFS(DATA_TRANSPORT!$I:$I,DATA_TRANSPORT!$A:$A,B62,DATA_TRANSPORT!$E:$E,$B$6,DATA_TRANSPORT!$AD:$AD,$B$7))</f>
        <v/>
      </c>
      <c r="L62">
        <f>IF(F62=0,0,SUMIFS(DATA_TRANSPORT!$I:$I,DATA_TRANSPORT!$A:$A,B62,DATA_TRANSPORT!$E:$E,$B$6,DATA_TRANSPORT!$AD:$AD,$B$7,DATA_TRANSPORT!$V:$V,"Ran"))</f>
        <v/>
      </c>
      <c r="M62">
        <f>IF(F62=0,0,SUMIFS(DATA_TRANSPORT!$L:$L,DATA_TRANSPORT!$A:$A,B62,DATA_TRANSPORT!$E:$E,$B$6,DATA_TRANSPORT!$AD:$AD,$B$7))</f>
        <v/>
      </c>
      <c r="N62">
        <f>IF(F62=0,0,SUMIFS(DATA_TRANSPORT!$R:$R,DATA_TRANSPORT!$A:$A,B62,DATA_TRANSPORT!$E:$E,$B$6,DATA_TRANSPORT!$AD:$AD,$B$7))</f>
        <v/>
      </c>
      <c r="O62">
        <f>IF(F62=0,0,SUMIFS(DATA_TRANSPORT!$S:$S,DATA_TRANSPORT!$A:$A,B62,DATA_TRANSPORT!$E:$E,$B$6,DATA_TRANSPORT!$AD:$AD,$B$7))</f>
        <v/>
      </c>
      <c r="P62">
        <f>IF(F62=0,0,SUMIFS(DATA_TRANSPORT!$T:$T,DATA_TRANSPORT!$A:$A,B62,DATA_TRANSPORT!$E:$E,$B$6,DATA_TRANSPORT!$AD:$AD,$B$7))</f>
        <v/>
      </c>
      <c r="Q62">
        <f>IF(OR(B62="",$B$17),0,SUMIFS(DATA_TRANSPORT_COSTS!$M:$M,DATA_TRANSPORT_COSTS!$A:$A,B62,DATA_TRANSPORT_COSTS!$D:$D,$B$6))</f>
        <v/>
      </c>
      <c r="R62">
        <f>P62+Q62</f>
        <v/>
      </c>
      <c r="S62">
        <f>Q62+IF(F62=0,0,SUMIFS(DATA_TRANSPORT!$T:$T,DATA_TRANSPORT!$A:$A,B62,DATA_TRANSPORT!$E:$E,$B$6,DATA_TRANSPORT!$AD:$AD,$B$7,DATA_TRANSPORT!$U:$U,"Central"))</f>
        <v/>
      </c>
      <c r="T62">
        <f>IF(F62=0,0,SUMIFS(DATA_TRANSPORT!$T:$T,DATA_TRANSPORT!$A:$A,B62,DATA_TRANSPORT!$E:$E,$B$6,DATA_TRANSPORT!$AD:$AD,$B$7,DATA_TRANSPORT!$U:$U,"Members"))</f>
        <v/>
      </c>
      <c r="U62">
        <f>IF(OR(B62="",$B$17),0,SUMIFS(DATA_TRANSPORT_BUDGET!$G:$G,DATA_TRANSPORT_BUDGET!$A:$A,B62,DATA_TRANSPORT_BUDGET!$D:$D,$B$6))</f>
        <v/>
      </c>
      <c r="V62">
        <f>IF(F62=0,0,SUMIFS(DATA_TRANSPORT!$T:$T,DATA_TRANSPORT!$A:$A,B62,DATA_TRANSPORT!$E:$E,$B$6,DATA_TRANSPORT!$AD:$AD,$B$7,DATA_TRANSPORT!$C:$C,"FT Procured"))</f>
        <v/>
      </c>
      <c r="W62">
        <f>IF(F62=0,0,COUNTIFS(DATA_TRANSPORT!$A:$A,B62,DATA_TRANSPORT!$E:$E,$B$6,DATA_TRANSPORT!$AD:$AD,$B$7,DATA_TRANSPORT!$V:$V,"Breakdown"))</f>
        <v/>
      </c>
      <c r="X62">
        <f>IF(M62=0,0,N62/M62)</f>
        <v/>
      </c>
      <c r="Y62">
        <f>IF(F62&gt;0,1,0)</f>
        <v/>
      </c>
      <c r="Z62">
        <f>IF(AND(A62&gt;=1,A62&lt;=$B$11),Y62,0)</f>
        <v/>
      </c>
      <c r="AA62">
        <f>IF(AND(C62=$B$12,E62=$B$14),Y62,0)</f>
        <v/>
      </c>
      <c r="AB62">
        <f>IF(AND(D62=$B$13,E62=$B$14),Y62,0)</f>
        <v/>
      </c>
      <c r="AC62">
        <f>IF(E62=$B$14,Y62,0)</f>
        <v/>
      </c>
      <c r="AE62">
        <f>IFERROR(IF(INDEX(MASTER_AREAS!$F:$F,61)="N","",INDEX(MASTER_AREAS!$B:$B,61)&amp;""),"")</f>
        <v/>
      </c>
      <c r="AF62">
        <f>IF(OR(AE62="",$B$10=0),0,SUMIFS(DATA_TRANSPORT!$Q:$Q,DATA_TRANSPORT!$A:$A,$B$10,DATA_TRANSPORT!$E:$E,AE62))</f>
        <v/>
      </c>
      <c r="AG62">
        <f>IF(OR(AE62="",$B$10=0),0,SUMIFS(DATA_TRANSPORT!$I:$I,DATA_TRANSPORT!$A:$A,$B$10,DATA_TRANSPORT!$E:$E,AE62,DATA_TRANSPORT!$V:$V,"Ran"))</f>
        <v/>
      </c>
      <c r="AH62">
        <f>IF(OR(AE62="",$B$10=0),0,SUMIFS(DATA_TRANSPORT!$L:$L,DATA_TRANSPORT!$A:$A,$B$10,DATA_TRANSPORT!$E:$E,AE62))</f>
        <v/>
      </c>
      <c r="AI62">
        <f>IF(OR(AE62="",$B$10=0),0,SUMIFS(DATA_TRANSPORT!$R:$R,DATA_TRANSPORT!$A:$A,$B$10,DATA_TRANSPORT!$E:$E,AE62))</f>
        <v/>
      </c>
      <c r="AJ62">
        <f>IF(OR(AE62="",$B$10=0),0,SUMIFS(DATA_TRANSPORT!$S:$S,DATA_TRANSPORT!$A:$A,$B$10,DATA_TRANSPORT!$E:$E,AE62))</f>
        <v/>
      </c>
      <c r="AK62">
        <f>IF(AH62=0,"",AI62/AH62)</f>
        <v/>
      </c>
      <c r="AL62">
        <f>IF(OR(AE62="",$B$10=0),0,SUMIFS(DATA_TRANSPORT!$T:$T,DATA_TRANSPORT!$A:$A,$B$10,DATA_TRANSPORT!$E:$E,AE62))+IF(OR(AE62="",$B$10=0),0,SUMIFS(DATA_TRANSPORT_COSTS!$M:$M,DATA_TRANSPORT_COSTS!$A:$A,$B$10,DATA_TRANSPORT_COSTS!$D:$D,AE62))</f>
        <v/>
      </c>
      <c r="AM62">
        <f>IF(OR(AF62=0,AL62=0),"",AL62/AF62)</f>
        <v/>
      </c>
      <c r="AN62">
        <f>IF(OR(AE62="",$B$10=0),0,SUMIFS(DATA_TRANSPORT!$T:$T,DATA_TRANSPORT!$A:$A,$B$10,DATA_TRANSPORT!$E:$E,AE62,DATA_TRANSPORT!$C:$C,"FT Procured"))</f>
        <v/>
      </c>
      <c r="AO62">
        <f>IF(OR(AE62="",$B$10=0),0,SUMIFS(DATA_TRANSPORT_BUDGET!$G:$G,DATA_TRANSPORT_BUDGET!$A:$A,$B$10,DATA_TRANSPORT_BUDGET!$D:$D,AE62))</f>
        <v/>
      </c>
      <c r="AP62">
        <f>IF(AO62=0,"",AN62-AO62)</f>
        <v/>
      </c>
      <c r="AQ62">
        <f>IF(OR(AE62="",$B$10=0),0,COUNTIFS(DATA_TRANSPORT!$A:$A,$B$10,DATA_TRANSPORT!$E:$E,AE62,DATA_TRANSPORT!$C:$C,"FT Procured",DATA_TRANSPORT!$Z:$Z,"Y"))</f>
        <v/>
      </c>
      <c r="AR62">
        <f>IF(OR(AE62="",$B$10=0),0,SUMIFS(DATA_TRANSPORT_BUDGET!$E:$E,DATA_TRANSPORT_BUDGET!$A:$A,$B$10,DATA_TRANSPORT_BUDGET!$D:$D,AE62))</f>
        <v/>
      </c>
      <c r="AS62">
        <f>IF(OR(AE62="",$B$10=0),0,COUNTIFS(DATA_TRANSPORT!$A:$A,$B$10,DATA_TRANSPORT!$E:$E,AE62,DATA_TRANSPORT!$V:$V,"Breakdown"))</f>
        <v/>
      </c>
      <c r="AT62">
        <f>IF(IF(OR(AE62="",$B$10=0),0,SUMIFS(DATA_TRANSPORT!$L:$L,DATA_TRANSPORT!$A:$A,$B$10-7,DATA_TRANSPORT!$E:$E,AE62))=0,"",IF(OR(AE62="",$B$10=0),0,SUMIFS(DATA_TRANSPORT!$R:$R,DATA_TRANSPORT!$A:$A,$B$10-7,DATA_TRANSPORT!$E:$E,AE62))/IF(OR(AE62="",$B$10=0),0,SUMIFS(DATA_TRANSPORT!$L:$L,DATA_TRANSPORT!$A:$A,$B$10-7,DATA_TRANSPORT!$E:$E,AE62)))</f>
        <v/>
      </c>
      <c r="AU62">
        <f>IF(IF(OR(AE62="",$B$10=0),0,SUMIFS(DATA_TRANSPORT!$L:$L,DATA_TRANSPORT!$A:$A,$B$10-14,DATA_TRANSPORT!$E:$E,AE62))=0,"",IF(OR(AE62="",$B$10=0),0,SUMIFS(DATA_TRANSPORT!$R:$R,DATA_TRANSPORT!$A:$A,$B$10-14,DATA_TRANSPORT!$E:$E,AE62))/IF(OR(AE62="",$B$10=0),0,SUMIFS(DATA_TRANSPORT!$L:$L,DATA_TRANSPORT!$A:$A,$B$10-14,DATA_TRANSPORT!$E:$E,AE62)))</f>
        <v/>
      </c>
      <c r="AV62">
        <f>IF(IF(OR(AE62="",$B$10=0),0,SUMIFS(DATA_TRANSPORT!$L:$L,DATA_TRANSPORT!$A:$A,$B$10-21,DATA_TRANSPORT!$E:$E,AE62))=0,"",IF(OR(AE62="",$B$10=0),0,SUMIFS(DATA_TRANSPORT!$R:$R,DATA_TRANSPORT!$A:$A,$B$10-21,DATA_TRANSPORT!$E:$E,AE62))/IF(OR(AE62="",$B$10=0),0,SUMIFS(DATA_TRANSPORT!$L:$L,DATA_TRANSPORT!$A:$A,$B$10-21,DATA_TRANSPORT!$E:$E,AE62)))</f>
        <v/>
      </c>
      <c r="AW62">
        <f>IF(AND(ISNUMBER(AK62),AK62&lt;UtilLow),1,0)+IF(AND(ISNUMBER(AT62),AT62&lt;UtilLow),1,0)+IF(AND(ISNUMBER(AU62),AU62&lt;UtilLow),1,0)+IF(AND(ISNUMBER(AV62),AV62&lt;UtilLow),1,0)</f>
        <v/>
      </c>
      <c r="AX62">
        <f>IF(AW62&gt;=UtilLowWeeks,AE62&amp;": seats only "&amp;TEXT(AK62,"0%")&amp;" full, under "&amp;TEXT(UtilLow,"0%")&amp;" for "&amp;AW62&amp;" weeks running",IF(AND(AH62&gt;0,AJ62&gt;=AH62*ExcessShare),AE62&amp;": "&amp;TEXT(AJ62,"#,##0")&amp;" riders beyond the seats — consider more buses",IF(AND(ISNUMBER(AP62),AP62&gt;0),AE62&amp;": FT spend ₦"&amp;TEXT(AP62,"#,##0")&amp;" over the weekly budget",IF(AS62&gt;0,AE62&amp;": "&amp;AS62&amp;" coaster breakdown(s) this week",""))))</f>
        <v/>
      </c>
      <c r="AY62">
        <f>IF(ISNUMBER(AK62),AK62+ROW()/1000000000,"")</f>
        <v/>
      </c>
      <c r="AZ62">
        <f>IF(ISNUMBER(AM62),AM62+ROW()/1000000,"")</f>
        <v/>
      </c>
      <c r="BA62">
        <f>IF(AND(ISNUMBER(AP62),AP62&gt;0),AP62+ROW()/1000000,"")</f>
        <v/>
      </c>
      <c r="BB62">
        <f>IF(AF62&gt;0,AF62+ROW()/1000000,"")</f>
        <v/>
      </c>
      <c r="BC62">
        <f>IF(AX62="","",ROW())</f>
        <v/>
      </c>
      <c r="BD62">
        <f>IF(AJ62&gt;0,AJ62+ROW()/1000000,"")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IF(B63="",0,COUNTIFS(DATA_TRANSPORT!$A:$A,B63,DATA_TRANSPORT!$E:$E,$B$6,DATA_TRANSPORT!$AD:$AD,$B$7))</f>
        <v/>
      </c>
      <c r="G63">
        <f>IF(F63=0,0,SUMIFS(DATA_TRANSPORT!$Q:$Q,DATA_TRANSPORT!$A:$A,B63,DATA_TRANSPORT!$E:$E,$B$6,DATA_TRANSPORT!$AD:$AD,$B$7))</f>
        <v/>
      </c>
      <c r="H63">
        <f>IF(F63=0,0,SUMIFS(DATA_TRANSPORT!$M:$M,DATA_TRANSPORT!$A:$A,B63,DATA_TRANSPORT!$E:$E,$B$6,DATA_TRANSPORT!$AD:$AD,$B$7))</f>
        <v/>
      </c>
      <c r="I63">
        <f>IF(F63=0,0,SUMIFS(DATA_TRANSPORT!$N:$N,DATA_TRANSPORT!$A:$A,B63,DATA_TRANSPORT!$E:$E,$B$6,DATA_TRANSPORT!$AD:$AD,$B$7))</f>
        <v/>
      </c>
      <c r="J63">
        <f>IF(F63=0,0,SUMIFS(DATA_TRANSPORT!$P:$P,DATA_TRANSPORT!$A:$A,B63,DATA_TRANSPORT!$E:$E,$B$6,DATA_TRANSPORT!$AD:$AD,$B$7))</f>
        <v/>
      </c>
      <c r="K63">
        <f>IF(F63=0,0,SUMIFS(DATA_TRANSPORT!$I:$I,DATA_TRANSPORT!$A:$A,B63,DATA_TRANSPORT!$E:$E,$B$6,DATA_TRANSPORT!$AD:$AD,$B$7))</f>
        <v/>
      </c>
      <c r="L63">
        <f>IF(F63=0,0,SUMIFS(DATA_TRANSPORT!$I:$I,DATA_TRANSPORT!$A:$A,B63,DATA_TRANSPORT!$E:$E,$B$6,DATA_TRANSPORT!$AD:$AD,$B$7,DATA_TRANSPORT!$V:$V,"Ran"))</f>
        <v/>
      </c>
      <c r="M63">
        <f>IF(F63=0,0,SUMIFS(DATA_TRANSPORT!$L:$L,DATA_TRANSPORT!$A:$A,B63,DATA_TRANSPORT!$E:$E,$B$6,DATA_TRANSPORT!$AD:$AD,$B$7))</f>
        <v/>
      </c>
      <c r="N63">
        <f>IF(F63=0,0,SUMIFS(DATA_TRANSPORT!$R:$R,DATA_TRANSPORT!$A:$A,B63,DATA_TRANSPORT!$E:$E,$B$6,DATA_TRANSPORT!$AD:$AD,$B$7))</f>
        <v/>
      </c>
      <c r="O63">
        <f>IF(F63=0,0,SUMIFS(DATA_TRANSPORT!$S:$S,DATA_TRANSPORT!$A:$A,B63,DATA_TRANSPORT!$E:$E,$B$6,DATA_TRANSPORT!$AD:$AD,$B$7))</f>
        <v/>
      </c>
      <c r="P63">
        <f>IF(F63=0,0,SUMIFS(DATA_TRANSPORT!$T:$T,DATA_TRANSPORT!$A:$A,B63,DATA_TRANSPORT!$E:$E,$B$6,DATA_TRANSPORT!$AD:$AD,$B$7))</f>
        <v/>
      </c>
      <c r="Q63">
        <f>IF(OR(B63="",$B$17),0,SUMIFS(DATA_TRANSPORT_COSTS!$M:$M,DATA_TRANSPORT_COSTS!$A:$A,B63,DATA_TRANSPORT_COSTS!$D:$D,$B$6))</f>
        <v/>
      </c>
      <c r="R63">
        <f>P63+Q63</f>
        <v/>
      </c>
      <c r="S63">
        <f>Q63+IF(F63=0,0,SUMIFS(DATA_TRANSPORT!$T:$T,DATA_TRANSPORT!$A:$A,B63,DATA_TRANSPORT!$E:$E,$B$6,DATA_TRANSPORT!$AD:$AD,$B$7,DATA_TRANSPORT!$U:$U,"Central"))</f>
        <v/>
      </c>
      <c r="T63">
        <f>IF(F63=0,0,SUMIFS(DATA_TRANSPORT!$T:$T,DATA_TRANSPORT!$A:$A,B63,DATA_TRANSPORT!$E:$E,$B$6,DATA_TRANSPORT!$AD:$AD,$B$7,DATA_TRANSPORT!$U:$U,"Members"))</f>
        <v/>
      </c>
      <c r="U63">
        <f>IF(OR(B63="",$B$17),0,SUMIFS(DATA_TRANSPORT_BUDGET!$G:$G,DATA_TRANSPORT_BUDGET!$A:$A,B63,DATA_TRANSPORT_BUDGET!$D:$D,$B$6))</f>
        <v/>
      </c>
      <c r="V63">
        <f>IF(F63=0,0,SUMIFS(DATA_TRANSPORT!$T:$T,DATA_TRANSPORT!$A:$A,B63,DATA_TRANSPORT!$E:$E,$B$6,DATA_TRANSPORT!$AD:$AD,$B$7,DATA_TRANSPORT!$C:$C,"FT Procured"))</f>
        <v/>
      </c>
      <c r="W63">
        <f>IF(F63=0,0,COUNTIFS(DATA_TRANSPORT!$A:$A,B63,DATA_TRANSPORT!$E:$E,$B$6,DATA_TRANSPORT!$AD:$AD,$B$7,DATA_TRANSPORT!$V:$V,"Breakdown"))</f>
        <v/>
      </c>
      <c r="X63">
        <f>IF(M63=0,0,N63/M63)</f>
        <v/>
      </c>
      <c r="Y63">
        <f>IF(F63&gt;0,1,0)</f>
        <v/>
      </c>
      <c r="Z63">
        <f>IF(AND(A63&gt;=1,A63&lt;=$B$11),Y63,0)</f>
        <v/>
      </c>
      <c r="AA63">
        <f>IF(AND(C63=$B$12,E63=$B$14),Y63,0)</f>
        <v/>
      </c>
      <c r="AB63">
        <f>IF(AND(D63=$B$13,E63=$B$14),Y63,0)</f>
        <v/>
      </c>
      <c r="AC63">
        <f>IF(E63=$B$14,Y63,0)</f>
        <v/>
      </c>
      <c r="AE63">
        <f>IFERROR(IF(INDEX(MASTER_AREAS!$F:$F,62)="N","",INDEX(MASTER_AREAS!$B:$B,62)&amp;""),"")</f>
        <v/>
      </c>
      <c r="AF63">
        <f>IF(OR(AE63="",$B$10=0),0,SUMIFS(DATA_TRANSPORT!$Q:$Q,DATA_TRANSPORT!$A:$A,$B$10,DATA_TRANSPORT!$E:$E,AE63))</f>
        <v/>
      </c>
      <c r="AG63">
        <f>IF(OR(AE63="",$B$10=0),0,SUMIFS(DATA_TRANSPORT!$I:$I,DATA_TRANSPORT!$A:$A,$B$10,DATA_TRANSPORT!$E:$E,AE63,DATA_TRANSPORT!$V:$V,"Ran"))</f>
        <v/>
      </c>
      <c r="AH63">
        <f>IF(OR(AE63="",$B$10=0),0,SUMIFS(DATA_TRANSPORT!$L:$L,DATA_TRANSPORT!$A:$A,$B$10,DATA_TRANSPORT!$E:$E,AE63))</f>
        <v/>
      </c>
      <c r="AI63">
        <f>IF(OR(AE63="",$B$10=0),0,SUMIFS(DATA_TRANSPORT!$R:$R,DATA_TRANSPORT!$A:$A,$B$10,DATA_TRANSPORT!$E:$E,AE63))</f>
        <v/>
      </c>
      <c r="AJ63">
        <f>IF(OR(AE63="",$B$10=0),0,SUMIFS(DATA_TRANSPORT!$S:$S,DATA_TRANSPORT!$A:$A,$B$10,DATA_TRANSPORT!$E:$E,AE63))</f>
        <v/>
      </c>
      <c r="AK63">
        <f>IF(AH63=0,"",AI63/AH63)</f>
        <v/>
      </c>
      <c r="AL63">
        <f>IF(OR(AE63="",$B$10=0),0,SUMIFS(DATA_TRANSPORT!$T:$T,DATA_TRANSPORT!$A:$A,$B$10,DATA_TRANSPORT!$E:$E,AE63))+IF(OR(AE63="",$B$10=0),0,SUMIFS(DATA_TRANSPORT_COSTS!$M:$M,DATA_TRANSPORT_COSTS!$A:$A,$B$10,DATA_TRANSPORT_COSTS!$D:$D,AE63))</f>
        <v/>
      </c>
      <c r="AM63">
        <f>IF(OR(AF63=0,AL63=0),"",AL63/AF63)</f>
        <v/>
      </c>
      <c r="AN63">
        <f>IF(OR(AE63="",$B$10=0),0,SUMIFS(DATA_TRANSPORT!$T:$T,DATA_TRANSPORT!$A:$A,$B$10,DATA_TRANSPORT!$E:$E,AE63,DATA_TRANSPORT!$C:$C,"FT Procured"))</f>
        <v/>
      </c>
      <c r="AO63">
        <f>IF(OR(AE63="",$B$10=0),0,SUMIFS(DATA_TRANSPORT_BUDGET!$G:$G,DATA_TRANSPORT_BUDGET!$A:$A,$B$10,DATA_TRANSPORT_BUDGET!$D:$D,AE63))</f>
        <v/>
      </c>
      <c r="AP63">
        <f>IF(AO63=0,"",AN63-AO63)</f>
        <v/>
      </c>
      <c r="AQ63">
        <f>IF(OR(AE63="",$B$10=0),0,COUNTIFS(DATA_TRANSPORT!$A:$A,$B$10,DATA_TRANSPORT!$E:$E,AE63,DATA_TRANSPORT!$C:$C,"FT Procured",DATA_TRANSPORT!$Z:$Z,"Y"))</f>
        <v/>
      </c>
      <c r="AR63">
        <f>IF(OR(AE63="",$B$10=0),0,SUMIFS(DATA_TRANSPORT_BUDGET!$E:$E,DATA_TRANSPORT_BUDGET!$A:$A,$B$10,DATA_TRANSPORT_BUDGET!$D:$D,AE63))</f>
        <v/>
      </c>
      <c r="AS63">
        <f>IF(OR(AE63="",$B$10=0),0,COUNTIFS(DATA_TRANSPORT!$A:$A,$B$10,DATA_TRANSPORT!$E:$E,AE63,DATA_TRANSPORT!$V:$V,"Breakdown"))</f>
        <v/>
      </c>
      <c r="AT63">
        <f>IF(IF(OR(AE63="",$B$10=0),0,SUMIFS(DATA_TRANSPORT!$L:$L,DATA_TRANSPORT!$A:$A,$B$10-7,DATA_TRANSPORT!$E:$E,AE63))=0,"",IF(OR(AE63="",$B$10=0),0,SUMIFS(DATA_TRANSPORT!$R:$R,DATA_TRANSPORT!$A:$A,$B$10-7,DATA_TRANSPORT!$E:$E,AE63))/IF(OR(AE63="",$B$10=0),0,SUMIFS(DATA_TRANSPORT!$L:$L,DATA_TRANSPORT!$A:$A,$B$10-7,DATA_TRANSPORT!$E:$E,AE63)))</f>
        <v/>
      </c>
      <c r="AU63">
        <f>IF(IF(OR(AE63="",$B$10=0),0,SUMIFS(DATA_TRANSPORT!$L:$L,DATA_TRANSPORT!$A:$A,$B$10-14,DATA_TRANSPORT!$E:$E,AE63))=0,"",IF(OR(AE63="",$B$10=0),0,SUMIFS(DATA_TRANSPORT!$R:$R,DATA_TRANSPORT!$A:$A,$B$10-14,DATA_TRANSPORT!$E:$E,AE63))/IF(OR(AE63="",$B$10=0),0,SUMIFS(DATA_TRANSPORT!$L:$L,DATA_TRANSPORT!$A:$A,$B$10-14,DATA_TRANSPORT!$E:$E,AE63)))</f>
        <v/>
      </c>
      <c r="AV63">
        <f>IF(IF(OR(AE63="",$B$10=0),0,SUMIFS(DATA_TRANSPORT!$L:$L,DATA_TRANSPORT!$A:$A,$B$10-21,DATA_TRANSPORT!$E:$E,AE63))=0,"",IF(OR(AE63="",$B$10=0),0,SUMIFS(DATA_TRANSPORT!$R:$R,DATA_TRANSPORT!$A:$A,$B$10-21,DATA_TRANSPORT!$E:$E,AE63))/IF(OR(AE63="",$B$10=0),0,SUMIFS(DATA_TRANSPORT!$L:$L,DATA_TRANSPORT!$A:$A,$B$10-21,DATA_TRANSPORT!$E:$E,AE63)))</f>
        <v/>
      </c>
      <c r="AW63">
        <f>IF(AND(ISNUMBER(AK63),AK63&lt;UtilLow),1,0)+IF(AND(ISNUMBER(AT63),AT63&lt;UtilLow),1,0)+IF(AND(ISNUMBER(AU63),AU63&lt;UtilLow),1,0)+IF(AND(ISNUMBER(AV63),AV63&lt;UtilLow),1,0)</f>
        <v/>
      </c>
      <c r="AX63">
        <f>IF(AW63&gt;=UtilLowWeeks,AE63&amp;": seats only "&amp;TEXT(AK63,"0%")&amp;" full, under "&amp;TEXT(UtilLow,"0%")&amp;" for "&amp;AW63&amp;" weeks running",IF(AND(AH63&gt;0,AJ63&gt;=AH63*ExcessShare),AE63&amp;": "&amp;TEXT(AJ63,"#,##0")&amp;" riders beyond the seats — consider more buses",IF(AND(ISNUMBER(AP63),AP63&gt;0),AE63&amp;": FT spend ₦"&amp;TEXT(AP63,"#,##0")&amp;" over the weekly budget",IF(AS63&gt;0,AE63&amp;": "&amp;AS63&amp;" coaster breakdown(s) this week",""))))</f>
        <v/>
      </c>
      <c r="AY63">
        <f>IF(ISNUMBER(AK63),AK63+ROW()/1000000000,"")</f>
        <v/>
      </c>
      <c r="AZ63">
        <f>IF(ISNUMBER(AM63),AM63+ROW()/1000000,"")</f>
        <v/>
      </c>
      <c r="BA63">
        <f>IF(AND(ISNUMBER(AP63),AP63&gt;0),AP63+ROW()/1000000,"")</f>
        <v/>
      </c>
      <c r="BB63">
        <f>IF(AF63&gt;0,AF63+ROW()/1000000,"")</f>
        <v/>
      </c>
      <c r="BC63">
        <f>IF(AX63="","",ROW())</f>
        <v/>
      </c>
      <c r="BD63">
        <f>IF(AJ63&gt;0,AJ63+ROW()/1000000,"")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IF(B64="",0,COUNTIFS(DATA_TRANSPORT!$A:$A,B64,DATA_TRANSPORT!$E:$E,$B$6,DATA_TRANSPORT!$AD:$AD,$B$7))</f>
        <v/>
      </c>
      <c r="G64">
        <f>IF(F64=0,0,SUMIFS(DATA_TRANSPORT!$Q:$Q,DATA_TRANSPORT!$A:$A,B64,DATA_TRANSPORT!$E:$E,$B$6,DATA_TRANSPORT!$AD:$AD,$B$7))</f>
        <v/>
      </c>
      <c r="H64">
        <f>IF(F64=0,0,SUMIFS(DATA_TRANSPORT!$M:$M,DATA_TRANSPORT!$A:$A,B64,DATA_TRANSPORT!$E:$E,$B$6,DATA_TRANSPORT!$AD:$AD,$B$7))</f>
        <v/>
      </c>
      <c r="I64">
        <f>IF(F64=0,0,SUMIFS(DATA_TRANSPORT!$N:$N,DATA_TRANSPORT!$A:$A,B64,DATA_TRANSPORT!$E:$E,$B$6,DATA_TRANSPORT!$AD:$AD,$B$7))</f>
        <v/>
      </c>
      <c r="J64">
        <f>IF(F64=0,0,SUMIFS(DATA_TRANSPORT!$P:$P,DATA_TRANSPORT!$A:$A,B64,DATA_TRANSPORT!$E:$E,$B$6,DATA_TRANSPORT!$AD:$AD,$B$7))</f>
        <v/>
      </c>
      <c r="K64">
        <f>IF(F64=0,0,SUMIFS(DATA_TRANSPORT!$I:$I,DATA_TRANSPORT!$A:$A,B64,DATA_TRANSPORT!$E:$E,$B$6,DATA_TRANSPORT!$AD:$AD,$B$7))</f>
        <v/>
      </c>
      <c r="L64">
        <f>IF(F64=0,0,SUMIFS(DATA_TRANSPORT!$I:$I,DATA_TRANSPORT!$A:$A,B64,DATA_TRANSPORT!$E:$E,$B$6,DATA_TRANSPORT!$AD:$AD,$B$7,DATA_TRANSPORT!$V:$V,"Ran"))</f>
        <v/>
      </c>
      <c r="M64">
        <f>IF(F64=0,0,SUMIFS(DATA_TRANSPORT!$L:$L,DATA_TRANSPORT!$A:$A,B64,DATA_TRANSPORT!$E:$E,$B$6,DATA_TRANSPORT!$AD:$AD,$B$7))</f>
        <v/>
      </c>
      <c r="N64">
        <f>IF(F64=0,0,SUMIFS(DATA_TRANSPORT!$R:$R,DATA_TRANSPORT!$A:$A,B64,DATA_TRANSPORT!$E:$E,$B$6,DATA_TRANSPORT!$AD:$AD,$B$7))</f>
        <v/>
      </c>
      <c r="O64">
        <f>IF(F64=0,0,SUMIFS(DATA_TRANSPORT!$S:$S,DATA_TRANSPORT!$A:$A,B64,DATA_TRANSPORT!$E:$E,$B$6,DATA_TRANSPORT!$AD:$AD,$B$7))</f>
        <v/>
      </c>
      <c r="P64">
        <f>IF(F64=0,0,SUMIFS(DATA_TRANSPORT!$T:$T,DATA_TRANSPORT!$A:$A,B64,DATA_TRANSPORT!$E:$E,$B$6,DATA_TRANSPORT!$AD:$AD,$B$7))</f>
        <v/>
      </c>
      <c r="Q64">
        <f>IF(OR(B64="",$B$17),0,SUMIFS(DATA_TRANSPORT_COSTS!$M:$M,DATA_TRANSPORT_COSTS!$A:$A,B64,DATA_TRANSPORT_COSTS!$D:$D,$B$6))</f>
        <v/>
      </c>
      <c r="R64">
        <f>P64+Q64</f>
        <v/>
      </c>
      <c r="S64">
        <f>Q64+IF(F64=0,0,SUMIFS(DATA_TRANSPORT!$T:$T,DATA_TRANSPORT!$A:$A,B64,DATA_TRANSPORT!$E:$E,$B$6,DATA_TRANSPORT!$AD:$AD,$B$7,DATA_TRANSPORT!$U:$U,"Central"))</f>
        <v/>
      </c>
      <c r="T64">
        <f>IF(F64=0,0,SUMIFS(DATA_TRANSPORT!$T:$T,DATA_TRANSPORT!$A:$A,B64,DATA_TRANSPORT!$E:$E,$B$6,DATA_TRANSPORT!$AD:$AD,$B$7,DATA_TRANSPORT!$U:$U,"Members"))</f>
        <v/>
      </c>
      <c r="U64">
        <f>IF(OR(B64="",$B$17),0,SUMIFS(DATA_TRANSPORT_BUDGET!$G:$G,DATA_TRANSPORT_BUDGET!$A:$A,B64,DATA_TRANSPORT_BUDGET!$D:$D,$B$6))</f>
        <v/>
      </c>
      <c r="V64">
        <f>IF(F64=0,0,SUMIFS(DATA_TRANSPORT!$T:$T,DATA_TRANSPORT!$A:$A,B64,DATA_TRANSPORT!$E:$E,$B$6,DATA_TRANSPORT!$AD:$AD,$B$7,DATA_TRANSPORT!$C:$C,"FT Procured"))</f>
        <v/>
      </c>
      <c r="W64">
        <f>IF(F64=0,0,COUNTIFS(DATA_TRANSPORT!$A:$A,B64,DATA_TRANSPORT!$E:$E,$B$6,DATA_TRANSPORT!$AD:$AD,$B$7,DATA_TRANSPORT!$V:$V,"Breakdown"))</f>
        <v/>
      </c>
      <c r="X64">
        <f>IF(M64=0,0,N64/M64)</f>
        <v/>
      </c>
      <c r="Y64">
        <f>IF(F64&gt;0,1,0)</f>
        <v/>
      </c>
      <c r="Z64">
        <f>IF(AND(A64&gt;=1,A64&lt;=$B$11),Y64,0)</f>
        <v/>
      </c>
      <c r="AA64">
        <f>IF(AND(C64=$B$12,E64=$B$14),Y64,0)</f>
        <v/>
      </c>
      <c r="AB64">
        <f>IF(AND(D64=$B$13,E64=$B$14),Y64,0)</f>
        <v/>
      </c>
      <c r="AC64">
        <f>IF(E64=$B$14,Y64,0)</f>
        <v/>
      </c>
      <c r="AE64">
        <f>IFERROR(IF(INDEX(MASTER_AREAS!$F:$F,63)="N","",INDEX(MASTER_AREAS!$B:$B,63)&amp;""),"")</f>
        <v/>
      </c>
      <c r="AF64">
        <f>IF(OR(AE64="",$B$10=0),0,SUMIFS(DATA_TRANSPORT!$Q:$Q,DATA_TRANSPORT!$A:$A,$B$10,DATA_TRANSPORT!$E:$E,AE64))</f>
        <v/>
      </c>
      <c r="AG64">
        <f>IF(OR(AE64="",$B$10=0),0,SUMIFS(DATA_TRANSPORT!$I:$I,DATA_TRANSPORT!$A:$A,$B$10,DATA_TRANSPORT!$E:$E,AE64,DATA_TRANSPORT!$V:$V,"Ran"))</f>
        <v/>
      </c>
      <c r="AH64">
        <f>IF(OR(AE64="",$B$10=0),0,SUMIFS(DATA_TRANSPORT!$L:$L,DATA_TRANSPORT!$A:$A,$B$10,DATA_TRANSPORT!$E:$E,AE64))</f>
        <v/>
      </c>
      <c r="AI64">
        <f>IF(OR(AE64="",$B$10=0),0,SUMIFS(DATA_TRANSPORT!$R:$R,DATA_TRANSPORT!$A:$A,$B$10,DATA_TRANSPORT!$E:$E,AE64))</f>
        <v/>
      </c>
      <c r="AJ64">
        <f>IF(OR(AE64="",$B$10=0),0,SUMIFS(DATA_TRANSPORT!$S:$S,DATA_TRANSPORT!$A:$A,$B$10,DATA_TRANSPORT!$E:$E,AE64))</f>
        <v/>
      </c>
      <c r="AK64">
        <f>IF(AH64=0,"",AI64/AH64)</f>
        <v/>
      </c>
      <c r="AL64">
        <f>IF(OR(AE64="",$B$10=0),0,SUMIFS(DATA_TRANSPORT!$T:$T,DATA_TRANSPORT!$A:$A,$B$10,DATA_TRANSPORT!$E:$E,AE64))+IF(OR(AE64="",$B$10=0),0,SUMIFS(DATA_TRANSPORT_COSTS!$M:$M,DATA_TRANSPORT_COSTS!$A:$A,$B$10,DATA_TRANSPORT_COSTS!$D:$D,AE64))</f>
        <v/>
      </c>
      <c r="AM64">
        <f>IF(OR(AF64=0,AL64=0),"",AL64/AF64)</f>
        <v/>
      </c>
      <c r="AN64">
        <f>IF(OR(AE64="",$B$10=0),0,SUMIFS(DATA_TRANSPORT!$T:$T,DATA_TRANSPORT!$A:$A,$B$10,DATA_TRANSPORT!$E:$E,AE64,DATA_TRANSPORT!$C:$C,"FT Procured"))</f>
        <v/>
      </c>
      <c r="AO64">
        <f>IF(OR(AE64="",$B$10=0),0,SUMIFS(DATA_TRANSPORT_BUDGET!$G:$G,DATA_TRANSPORT_BUDGET!$A:$A,$B$10,DATA_TRANSPORT_BUDGET!$D:$D,AE64))</f>
        <v/>
      </c>
      <c r="AP64">
        <f>IF(AO64=0,"",AN64-AO64)</f>
        <v/>
      </c>
      <c r="AQ64">
        <f>IF(OR(AE64="",$B$10=0),0,COUNTIFS(DATA_TRANSPORT!$A:$A,$B$10,DATA_TRANSPORT!$E:$E,AE64,DATA_TRANSPORT!$C:$C,"FT Procured",DATA_TRANSPORT!$Z:$Z,"Y"))</f>
        <v/>
      </c>
      <c r="AR64">
        <f>IF(OR(AE64="",$B$10=0),0,SUMIFS(DATA_TRANSPORT_BUDGET!$E:$E,DATA_TRANSPORT_BUDGET!$A:$A,$B$10,DATA_TRANSPORT_BUDGET!$D:$D,AE64))</f>
        <v/>
      </c>
      <c r="AS64">
        <f>IF(OR(AE64="",$B$10=0),0,COUNTIFS(DATA_TRANSPORT!$A:$A,$B$10,DATA_TRANSPORT!$E:$E,AE64,DATA_TRANSPORT!$V:$V,"Breakdown"))</f>
        <v/>
      </c>
      <c r="AT64">
        <f>IF(IF(OR(AE64="",$B$10=0),0,SUMIFS(DATA_TRANSPORT!$L:$L,DATA_TRANSPORT!$A:$A,$B$10-7,DATA_TRANSPORT!$E:$E,AE64))=0,"",IF(OR(AE64="",$B$10=0),0,SUMIFS(DATA_TRANSPORT!$R:$R,DATA_TRANSPORT!$A:$A,$B$10-7,DATA_TRANSPORT!$E:$E,AE64))/IF(OR(AE64="",$B$10=0),0,SUMIFS(DATA_TRANSPORT!$L:$L,DATA_TRANSPORT!$A:$A,$B$10-7,DATA_TRANSPORT!$E:$E,AE64)))</f>
        <v/>
      </c>
      <c r="AU64">
        <f>IF(IF(OR(AE64="",$B$10=0),0,SUMIFS(DATA_TRANSPORT!$L:$L,DATA_TRANSPORT!$A:$A,$B$10-14,DATA_TRANSPORT!$E:$E,AE64))=0,"",IF(OR(AE64="",$B$10=0),0,SUMIFS(DATA_TRANSPORT!$R:$R,DATA_TRANSPORT!$A:$A,$B$10-14,DATA_TRANSPORT!$E:$E,AE64))/IF(OR(AE64="",$B$10=0),0,SUMIFS(DATA_TRANSPORT!$L:$L,DATA_TRANSPORT!$A:$A,$B$10-14,DATA_TRANSPORT!$E:$E,AE64)))</f>
        <v/>
      </c>
      <c r="AV64">
        <f>IF(IF(OR(AE64="",$B$10=0),0,SUMIFS(DATA_TRANSPORT!$L:$L,DATA_TRANSPORT!$A:$A,$B$10-21,DATA_TRANSPORT!$E:$E,AE64))=0,"",IF(OR(AE64="",$B$10=0),0,SUMIFS(DATA_TRANSPORT!$R:$R,DATA_TRANSPORT!$A:$A,$B$10-21,DATA_TRANSPORT!$E:$E,AE64))/IF(OR(AE64="",$B$10=0),0,SUMIFS(DATA_TRANSPORT!$L:$L,DATA_TRANSPORT!$A:$A,$B$10-21,DATA_TRANSPORT!$E:$E,AE64)))</f>
        <v/>
      </c>
      <c r="AW64">
        <f>IF(AND(ISNUMBER(AK64),AK64&lt;UtilLow),1,0)+IF(AND(ISNUMBER(AT64),AT64&lt;UtilLow),1,0)+IF(AND(ISNUMBER(AU64),AU64&lt;UtilLow),1,0)+IF(AND(ISNUMBER(AV64),AV64&lt;UtilLow),1,0)</f>
        <v/>
      </c>
      <c r="AX64">
        <f>IF(AW64&gt;=UtilLowWeeks,AE64&amp;": seats only "&amp;TEXT(AK64,"0%")&amp;" full, under "&amp;TEXT(UtilLow,"0%")&amp;" for "&amp;AW64&amp;" weeks running",IF(AND(AH64&gt;0,AJ64&gt;=AH64*ExcessShare),AE64&amp;": "&amp;TEXT(AJ64,"#,##0")&amp;" riders beyond the seats — consider more buses",IF(AND(ISNUMBER(AP64),AP64&gt;0),AE64&amp;": FT spend ₦"&amp;TEXT(AP64,"#,##0")&amp;" over the weekly budget",IF(AS64&gt;0,AE64&amp;": "&amp;AS64&amp;" coaster breakdown(s) this week",""))))</f>
        <v/>
      </c>
      <c r="AY64">
        <f>IF(ISNUMBER(AK64),AK64+ROW()/1000000000,"")</f>
        <v/>
      </c>
      <c r="AZ64">
        <f>IF(ISNUMBER(AM64),AM64+ROW()/1000000,"")</f>
        <v/>
      </c>
      <c r="BA64">
        <f>IF(AND(ISNUMBER(AP64),AP64&gt;0),AP64+ROW()/1000000,"")</f>
        <v/>
      </c>
      <c r="BB64">
        <f>IF(AF64&gt;0,AF64+ROW()/1000000,"")</f>
        <v/>
      </c>
      <c r="BC64">
        <f>IF(AX64="","",ROW())</f>
        <v/>
      </c>
      <c r="BD64">
        <f>IF(AJ64&gt;0,AJ64+ROW()/1000000,"")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IF(B65="",0,COUNTIFS(DATA_TRANSPORT!$A:$A,B65,DATA_TRANSPORT!$E:$E,$B$6,DATA_TRANSPORT!$AD:$AD,$B$7))</f>
        <v/>
      </c>
      <c r="G65">
        <f>IF(F65=0,0,SUMIFS(DATA_TRANSPORT!$Q:$Q,DATA_TRANSPORT!$A:$A,B65,DATA_TRANSPORT!$E:$E,$B$6,DATA_TRANSPORT!$AD:$AD,$B$7))</f>
        <v/>
      </c>
      <c r="H65">
        <f>IF(F65=0,0,SUMIFS(DATA_TRANSPORT!$M:$M,DATA_TRANSPORT!$A:$A,B65,DATA_TRANSPORT!$E:$E,$B$6,DATA_TRANSPORT!$AD:$AD,$B$7))</f>
        <v/>
      </c>
      <c r="I65">
        <f>IF(F65=0,0,SUMIFS(DATA_TRANSPORT!$N:$N,DATA_TRANSPORT!$A:$A,B65,DATA_TRANSPORT!$E:$E,$B$6,DATA_TRANSPORT!$AD:$AD,$B$7))</f>
        <v/>
      </c>
      <c r="J65">
        <f>IF(F65=0,0,SUMIFS(DATA_TRANSPORT!$P:$P,DATA_TRANSPORT!$A:$A,B65,DATA_TRANSPORT!$E:$E,$B$6,DATA_TRANSPORT!$AD:$AD,$B$7))</f>
        <v/>
      </c>
      <c r="K65">
        <f>IF(F65=0,0,SUMIFS(DATA_TRANSPORT!$I:$I,DATA_TRANSPORT!$A:$A,B65,DATA_TRANSPORT!$E:$E,$B$6,DATA_TRANSPORT!$AD:$AD,$B$7))</f>
        <v/>
      </c>
      <c r="L65">
        <f>IF(F65=0,0,SUMIFS(DATA_TRANSPORT!$I:$I,DATA_TRANSPORT!$A:$A,B65,DATA_TRANSPORT!$E:$E,$B$6,DATA_TRANSPORT!$AD:$AD,$B$7,DATA_TRANSPORT!$V:$V,"Ran"))</f>
        <v/>
      </c>
      <c r="M65">
        <f>IF(F65=0,0,SUMIFS(DATA_TRANSPORT!$L:$L,DATA_TRANSPORT!$A:$A,B65,DATA_TRANSPORT!$E:$E,$B$6,DATA_TRANSPORT!$AD:$AD,$B$7))</f>
        <v/>
      </c>
      <c r="N65">
        <f>IF(F65=0,0,SUMIFS(DATA_TRANSPORT!$R:$R,DATA_TRANSPORT!$A:$A,B65,DATA_TRANSPORT!$E:$E,$B$6,DATA_TRANSPORT!$AD:$AD,$B$7))</f>
        <v/>
      </c>
      <c r="O65">
        <f>IF(F65=0,0,SUMIFS(DATA_TRANSPORT!$S:$S,DATA_TRANSPORT!$A:$A,B65,DATA_TRANSPORT!$E:$E,$B$6,DATA_TRANSPORT!$AD:$AD,$B$7))</f>
        <v/>
      </c>
      <c r="P65">
        <f>IF(F65=0,0,SUMIFS(DATA_TRANSPORT!$T:$T,DATA_TRANSPORT!$A:$A,B65,DATA_TRANSPORT!$E:$E,$B$6,DATA_TRANSPORT!$AD:$AD,$B$7))</f>
        <v/>
      </c>
      <c r="Q65">
        <f>IF(OR(B65="",$B$17),0,SUMIFS(DATA_TRANSPORT_COSTS!$M:$M,DATA_TRANSPORT_COSTS!$A:$A,B65,DATA_TRANSPORT_COSTS!$D:$D,$B$6))</f>
        <v/>
      </c>
      <c r="R65">
        <f>P65+Q65</f>
        <v/>
      </c>
      <c r="S65">
        <f>Q65+IF(F65=0,0,SUMIFS(DATA_TRANSPORT!$T:$T,DATA_TRANSPORT!$A:$A,B65,DATA_TRANSPORT!$E:$E,$B$6,DATA_TRANSPORT!$AD:$AD,$B$7,DATA_TRANSPORT!$U:$U,"Central"))</f>
        <v/>
      </c>
      <c r="T65">
        <f>IF(F65=0,0,SUMIFS(DATA_TRANSPORT!$T:$T,DATA_TRANSPORT!$A:$A,B65,DATA_TRANSPORT!$E:$E,$B$6,DATA_TRANSPORT!$AD:$AD,$B$7,DATA_TRANSPORT!$U:$U,"Members"))</f>
        <v/>
      </c>
      <c r="U65">
        <f>IF(OR(B65="",$B$17),0,SUMIFS(DATA_TRANSPORT_BUDGET!$G:$G,DATA_TRANSPORT_BUDGET!$A:$A,B65,DATA_TRANSPORT_BUDGET!$D:$D,$B$6))</f>
        <v/>
      </c>
      <c r="V65">
        <f>IF(F65=0,0,SUMIFS(DATA_TRANSPORT!$T:$T,DATA_TRANSPORT!$A:$A,B65,DATA_TRANSPORT!$E:$E,$B$6,DATA_TRANSPORT!$AD:$AD,$B$7,DATA_TRANSPORT!$C:$C,"FT Procured"))</f>
        <v/>
      </c>
      <c r="W65">
        <f>IF(F65=0,0,COUNTIFS(DATA_TRANSPORT!$A:$A,B65,DATA_TRANSPORT!$E:$E,$B$6,DATA_TRANSPORT!$AD:$AD,$B$7,DATA_TRANSPORT!$V:$V,"Breakdown"))</f>
        <v/>
      </c>
      <c r="X65">
        <f>IF(M65=0,0,N65/M65)</f>
        <v/>
      </c>
      <c r="Y65">
        <f>IF(F65&gt;0,1,0)</f>
        <v/>
      </c>
      <c r="Z65">
        <f>IF(AND(A65&gt;=1,A65&lt;=$B$11),Y65,0)</f>
        <v/>
      </c>
      <c r="AA65">
        <f>IF(AND(C65=$B$12,E65=$B$14),Y65,0)</f>
        <v/>
      </c>
      <c r="AB65">
        <f>IF(AND(D65=$B$13,E65=$B$14),Y65,0)</f>
        <v/>
      </c>
      <c r="AC65">
        <f>IF(E65=$B$14,Y65,0)</f>
        <v/>
      </c>
      <c r="AE65">
        <f>IFERROR(IF(INDEX(MASTER_AREAS!$F:$F,64)="N","",INDEX(MASTER_AREAS!$B:$B,64)&amp;""),"")</f>
        <v/>
      </c>
      <c r="AF65">
        <f>IF(OR(AE65="",$B$10=0),0,SUMIFS(DATA_TRANSPORT!$Q:$Q,DATA_TRANSPORT!$A:$A,$B$10,DATA_TRANSPORT!$E:$E,AE65))</f>
        <v/>
      </c>
      <c r="AG65">
        <f>IF(OR(AE65="",$B$10=0),0,SUMIFS(DATA_TRANSPORT!$I:$I,DATA_TRANSPORT!$A:$A,$B$10,DATA_TRANSPORT!$E:$E,AE65,DATA_TRANSPORT!$V:$V,"Ran"))</f>
        <v/>
      </c>
      <c r="AH65">
        <f>IF(OR(AE65="",$B$10=0),0,SUMIFS(DATA_TRANSPORT!$L:$L,DATA_TRANSPORT!$A:$A,$B$10,DATA_TRANSPORT!$E:$E,AE65))</f>
        <v/>
      </c>
      <c r="AI65">
        <f>IF(OR(AE65="",$B$10=0),0,SUMIFS(DATA_TRANSPORT!$R:$R,DATA_TRANSPORT!$A:$A,$B$10,DATA_TRANSPORT!$E:$E,AE65))</f>
        <v/>
      </c>
      <c r="AJ65">
        <f>IF(OR(AE65="",$B$10=0),0,SUMIFS(DATA_TRANSPORT!$S:$S,DATA_TRANSPORT!$A:$A,$B$10,DATA_TRANSPORT!$E:$E,AE65))</f>
        <v/>
      </c>
      <c r="AK65">
        <f>IF(AH65=0,"",AI65/AH65)</f>
        <v/>
      </c>
      <c r="AL65">
        <f>IF(OR(AE65="",$B$10=0),0,SUMIFS(DATA_TRANSPORT!$T:$T,DATA_TRANSPORT!$A:$A,$B$10,DATA_TRANSPORT!$E:$E,AE65))+IF(OR(AE65="",$B$10=0),0,SUMIFS(DATA_TRANSPORT_COSTS!$M:$M,DATA_TRANSPORT_COSTS!$A:$A,$B$10,DATA_TRANSPORT_COSTS!$D:$D,AE65))</f>
        <v/>
      </c>
      <c r="AM65">
        <f>IF(OR(AF65=0,AL65=0),"",AL65/AF65)</f>
        <v/>
      </c>
      <c r="AN65">
        <f>IF(OR(AE65="",$B$10=0),0,SUMIFS(DATA_TRANSPORT!$T:$T,DATA_TRANSPORT!$A:$A,$B$10,DATA_TRANSPORT!$E:$E,AE65,DATA_TRANSPORT!$C:$C,"FT Procured"))</f>
        <v/>
      </c>
      <c r="AO65">
        <f>IF(OR(AE65="",$B$10=0),0,SUMIFS(DATA_TRANSPORT_BUDGET!$G:$G,DATA_TRANSPORT_BUDGET!$A:$A,$B$10,DATA_TRANSPORT_BUDGET!$D:$D,AE65))</f>
        <v/>
      </c>
      <c r="AP65">
        <f>IF(AO65=0,"",AN65-AO65)</f>
        <v/>
      </c>
      <c r="AQ65">
        <f>IF(OR(AE65="",$B$10=0),0,COUNTIFS(DATA_TRANSPORT!$A:$A,$B$10,DATA_TRANSPORT!$E:$E,AE65,DATA_TRANSPORT!$C:$C,"FT Procured",DATA_TRANSPORT!$Z:$Z,"Y"))</f>
        <v/>
      </c>
      <c r="AR65">
        <f>IF(OR(AE65="",$B$10=0),0,SUMIFS(DATA_TRANSPORT_BUDGET!$E:$E,DATA_TRANSPORT_BUDGET!$A:$A,$B$10,DATA_TRANSPORT_BUDGET!$D:$D,AE65))</f>
        <v/>
      </c>
      <c r="AS65">
        <f>IF(OR(AE65="",$B$10=0),0,COUNTIFS(DATA_TRANSPORT!$A:$A,$B$10,DATA_TRANSPORT!$E:$E,AE65,DATA_TRANSPORT!$V:$V,"Breakdown"))</f>
        <v/>
      </c>
      <c r="AT65">
        <f>IF(IF(OR(AE65="",$B$10=0),0,SUMIFS(DATA_TRANSPORT!$L:$L,DATA_TRANSPORT!$A:$A,$B$10-7,DATA_TRANSPORT!$E:$E,AE65))=0,"",IF(OR(AE65="",$B$10=0),0,SUMIFS(DATA_TRANSPORT!$R:$R,DATA_TRANSPORT!$A:$A,$B$10-7,DATA_TRANSPORT!$E:$E,AE65))/IF(OR(AE65="",$B$10=0),0,SUMIFS(DATA_TRANSPORT!$L:$L,DATA_TRANSPORT!$A:$A,$B$10-7,DATA_TRANSPORT!$E:$E,AE65)))</f>
        <v/>
      </c>
      <c r="AU65">
        <f>IF(IF(OR(AE65="",$B$10=0),0,SUMIFS(DATA_TRANSPORT!$L:$L,DATA_TRANSPORT!$A:$A,$B$10-14,DATA_TRANSPORT!$E:$E,AE65))=0,"",IF(OR(AE65="",$B$10=0),0,SUMIFS(DATA_TRANSPORT!$R:$R,DATA_TRANSPORT!$A:$A,$B$10-14,DATA_TRANSPORT!$E:$E,AE65))/IF(OR(AE65="",$B$10=0),0,SUMIFS(DATA_TRANSPORT!$L:$L,DATA_TRANSPORT!$A:$A,$B$10-14,DATA_TRANSPORT!$E:$E,AE65)))</f>
        <v/>
      </c>
      <c r="AV65">
        <f>IF(IF(OR(AE65="",$B$10=0),0,SUMIFS(DATA_TRANSPORT!$L:$L,DATA_TRANSPORT!$A:$A,$B$10-21,DATA_TRANSPORT!$E:$E,AE65))=0,"",IF(OR(AE65="",$B$10=0),0,SUMIFS(DATA_TRANSPORT!$R:$R,DATA_TRANSPORT!$A:$A,$B$10-21,DATA_TRANSPORT!$E:$E,AE65))/IF(OR(AE65="",$B$10=0),0,SUMIFS(DATA_TRANSPORT!$L:$L,DATA_TRANSPORT!$A:$A,$B$10-21,DATA_TRANSPORT!$E:$E,AE65)))</f>
        <v/>
      </c>
      <c r="AW65">
        <f>IF(AND(ISNUMBER(AK65),AK65&lt;UtilLow),1,0)+IF(AND(ISNUMBER(AT65),AT65&lt;UtilLow),1,0)+IF(AND(ISNUMBER(AU65),AU65&lt;UtilLow),1,0)+IF(AND(ISNUMBER(AV65),AV65&lt;UtilLow),1,0)</f>
        <v/>
      </c>
      <c r="AX65">
        <f>IF(AW65&gt;=UtilLowWeeks,AE65&amp;": seats only "&amp;TEXT(AK65,"0%")&amp;" full, under "&amp;TEXT(UtilLow,"0%")&amp;" for "&amp;AW65&amp;" weeks running",IF(AND(AH65&gt;0,AJ65&gt;=AH65*ExcessShare),AE65&amp;": "&amp;TEXT(AJ65,"#,##0")&amp;" riders beyond the seats — consider more buses",IF(AND(ISNUMBER(AP65),AP65&gt;0),AE65&amp;": FT spend ₦"&amp;TEXT(AP65,"#,##0")&amp;" over the weekly budget",IF(AS65&gt;0,AE65&amp;": "&amp;AS65&amp;" coaster breakdown(s) this week",""))))</f>
        <v/>
      </c>
      <c r="AY65">
        <f>IF(ISNUMBER(AK65),AK65+ROW()/1000000000,"")</f>
        <v/>
      </c>
      <c r="AZ65">
        <f>IF(ISNUMBER(AM65),AM65+ROW()/1000000,"")</f>
        <v/>
      </c>
      <c r="BA65">
        <f>IF(AND(ISNUMBER(AP65),AP65&gt;0),AP65+ROW()/1000000,"")</f>
        <v/>
      </c>
      <c r="BB65">
        <f>IF(AF65&gt;0,AF65+ROW()/1000000,"")</f>
        <v/>
      </c>
      <c r="BC65">
        <f>IF(AX65="","",ROW())</f>
        <v/>
      </c>
      <c r="BD65">
        <f>IF(AJ65&gt;0,AJ65+ROW()/1000000,"")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IF(B66="",0,COUNTIFS(DATA_TRANSPORT!$A:$A,B66,DATA_TRANSPORT!$E:$E,$B$6,DATA_TRANSPORT!$AD:$AD,$B$7))</f>
        <v/>
      </c>
      <c r="G66">
        <f>IF(F66=0,0,SUMIFS(DATA_TRANSPORT!$Q:$Q,DATA_TRANSPORT!$A:$A,B66,DATA_TRANSPORT!$E:$E,$B$6,DATA_TRANSPORT!$AD:$AD,$B$7))</f>
        <v/>
      </c>
      <c r="H66">
        <f>IF(F66=0,0,SUMIFS(DATA_TRANSPORT!$M:$M,DATA_TRANSPORT!$A:$A,B66,DATA_TRANSPORT!$E:$E,$B$6,DATA_TRANSPORT!$AD:$AD,$B$7))</f>
        <v/>
      </c>
      <c r="I66">
        <f>IF(F66=0,0,SUMIFS(DATA_TRANSPORT!$N:$N,DATA_TRANSPORT!$A:$A,B66,DATA_TRANSPORT!$E:$E,$B$6,DATA_TRANSPORT!$AD:$AD,$B$7))</f>
        <v/>
      </c>
      <c r="J66">
        <f>IF(F66=0,0,SUMIFS(DATA_TRANSPORT!$P:$P,DATA_TRANSPORT!$A:$A,B66,DATA_TRANSPORT!$E:$E,$B$6,DATA_TRANSPORT!$AD:$AD,$B$7))</f>
        <v/>
      </c>
      <c r="K66">
        <f>IF(F66=0,0,SUMIFS(DATA_TRANSPORT!$I:$I,DATA_TRANSPORT!$A:$A,B66,DATA_TRANSPORT!$E:$E,$B$6,DATA_TRANSPORT!$AD:$AD,$B$7))</f>
        <v/>
      </c>
      <c r="L66">
        <f>IF(F66=0,0,SUMIFS(DATA_TRANSPORT!$I:$I,DATA_TRANSPORT!$A:$A,B66,DATA_TRANSPORT!$E:$E,$B$6,DATA_TRANSPORT!$AD:$AD,$B$7,DATA_TRANSPORT!$V:$V,"Ran"))</f>
        <v/>
      </c>
      <c r="M66">
        <f>IF(F66=0,0,SUMIFS(DATA_TRANSPORT!$L:$L,DATA_TRANSPORT!$A:$A,B66,DATA_TRANSPORT!$E:$E,$B$6,DATA_TRANSPORT!$AD:$AD,$B$7))</f>
        <v/>
      </c>
      <c r="N66">
        <f>IF(F66=0,0,SUMIFS(DATA_TRANSPORT!$R:$R,DATA_TRANSPORT!$A:$A,B66,DATA_TRANSPORT!$E:$E,$B$6,DATA_TRANSPORT!$AD:$AD,$B$7))</f>
        <v/>
      </c>
      <c r="O66">
        <f>IF(F66=0,0,SUMIFS(DATA_TRANSPORT!$S:$S,DATA_TRANSPORT!$A:$A,B66,DATA_TRANSPORT!$E:$E,$B$6,DATA_TRANSPORT!$AD:$AD,$B$7))</f>
        <v/>
      </c>
      <c r="P66">
        <f>IF(F66=0,0,SUMIFS(DATA_TRANSPORT!$T:$T,DATA_TRANSPORT!$A:$A,B66,DATA_TRANSPORT!$E:$E,$B$6,DATA_TRANSPORT!$AD:$AD,$B$7))</f>
        <v/>
      </c>
      <c r="Q66">
        <f>IF(OR(B66="",$B$17),0,SUMIFS(DATA_TRANSPORT_COSTS!$M:$M,DATA_TRANSPORT_COSTS!$A:$A,B66,DATA_TRANSPORT_COSTS!$D:$D,$B$6))</f>
        <v/>
      </c>
      <c r="R66">
        <f>P66+Q66</f>
        <v/>
      </c>
      <c r="S66">
        <f>Q66+IF(F66=0,0,SUMIFS(DATA_TRANSPORT!$T:$T,DATA_TRANSPORT!$A:$A,B66,DATA_TRANSPORT!$E:$E,$B$6,DATA_TRANSPORT!$AD:$AD,$B$7,DATA_TRANSPORT!$U:$U,"Central"))</f>
        <v/>
      </c>
      <c r="T66">
        <f>IF(F66=0,0,SUMIFS(DATA_TRANSPORT!$T:$T,DATA_TRANSPORT!$A:$A,B66,DATA_TRANSPORT!$E:$E,$B$6,DATA_TRANSPORT!$AD:$AD,$B$7,DATA_TRANSPORT!$U:$U,"Members"))</f>
        <v/>
      </c>
      <c r="U66">
        <f>IF(OR(B66="",$B$17),0,SUMIFS(DATA_TRANSPORT_BUDGET!$G:$G,DATA_TRANSPORT_BUDGET!$A:$A,B66,DATA_TRANSPORT_BUDGET!$D:$D,$B$6))</f>
        <v/>
      </c>
      <c r="V66">
        <f>IF(F66=0,0,SUMIFS(DATA_TRANSPORT!$T:$T,DATA_TRANSPORT!$A:$A,B66,DATA_TRANSPORT!$E:$E,$B$6,DATA_TRANSPORT!$AD:$AD,$B$7,DATA_TRANSPORT!$C:$C,"FT Procured"))</f>
        <v/>
      </c>
      <c r="W66">
        <f>IF(F66=0,0,COUNTIFS(DATA_TRANSPORT!$A:$A,B66,DATA_TRANSPORT!$E:$E,$B$6,DATA_TRANSPORT!$AD:$AD,$B$7,DATA_TRANSPORT!$V:$V,"Breakdown"))</f>
        <v/>
      </c>
      <c r="X66">
        <f>IF(M66=0,0,N66/M66)</f>
        <v/>
      </c>
      <c r="Y66">
        <f>IF(F66&gt;0,1,0)</f>
        <v/>
      </c>
      <c r="Z66">
        <f>IF(AND(A66&gt;=1,A66&lt;=$B$11),Y66,0)</f>
        <v/>
      </c>
      <c r="AA66">
        <f>IF(AND(C66=$B$12,E66=$B$14),Y66,0)</f>
        <v/>
      </c>
      <c r="AB66">
        <f>IF(AND(D66=$B$13,E66=$B$14),Y66,0)</f>
        <v/>
      </c>
      <c r="AC66">
        <f>IF(E66=$B$14,Y66,0)</f>
        <v/>
      </c>
      <c r="AE66">
        <f>IFERROR(IF(INDEX(MASTER_AREAS!$F:$F,65)="N","",INDEX(MASTER_AREAS!$B:$B,65)&amp;""),"")</f>
        <v/>
      </c>
      <c r="AF66">
        <f>IF(OR(AE66="",$B$10=0),0,SUMIFS(DATA_TRANSPORT!$Q:$Q,DATA_TRANSPORT!$A:$A,$B$10,DATA_TRANSPORT!$E:$E,AE66))</f>
        <v/>
      </c>
      <c r="AG66">
        <f>IF(OR(AE66="",$B$10=0),0,SUMIFS(DATA_TRANSPORT!$I:$I,DATA_TRANSPORT!$A:$A,$B$10,DATA_TRANSPORT!$E:$E,AE66,DATA_TRANSPORT!$V:$V,"Ran"))</f>
        <v/>
      </c>
      <c r="AH66">
        <f>IF(OR(AE66="",$B$10=0),0,SUMIFS(DATA_TRANSPORT!$L:$L,DATA_TRANSPORT!$A:$A,$B$10,DATA_TRANSPORT!$E:$E,AE66))</f>
        <v/>
      </c>
      <c r="AI66">
        <f>IF(OR(AE66="",$B$10=0),0,SUMIFS(DATA_TRANSPORT!$R:$R,DATA_TRANSPORT!$A:$A,$B$10,DATA_TRANSPORT!$E:$E,AE66))</f>
        <v/>
      </c>
      <c r="AJ66">
        <f>IF(OR(AE66="",$B$10=0),0,SUMIFS(DATA_TRANSPORT!$S:$S,DATA_TRANSPORT!$A:$A,$B$10,DATA_TRANSPORT!$E:$E,AE66))</f>
        <v/>
      </c>
      <c r="AK66">
        <f>IF(AH66=0,"",AI66/AH66)</f>
        <v/>
      </c>
      <c r="AL66">
        <f>IF(OR(AE66="",$B$10=0),0,SUMIFS(DATA_TRANSPORT!$T:$T,DATA_TRANSPORT!$A:$A,$B$10,DATA_TRANSPORT!$E:$E,AE66))+IF(OR(AE66="",$B$10=0),0,SUMIFS(DATA_TRANSPORT_COSTS!$M:$M,DATA_TRANSPORT_COSTS!$A:$A,$B$10,DATA_TRANSPORT_COSTS!$D:$D,AE66))</f>
        <v/>
      </c>
      <c r="AM66">
        <f>IF(OR(AF66=0,AL66=0),"",AL66/AF66)</f>
        <v/>
      </c>
      <c r="AN66">
        <f>IF(OR(AE66="",$B$10=0),0,SUMIFS(DATA_TRANSPORT!$T:$T,DATA_TRANSPORT!$A:$A,$B$10,DATA_TRANSPORT!$E:$E,AE66,DATA_TRANSPORT!$C:$C,"FT Procured"))</f>
        <v/>
      </c>
      <c r="AO66">
        <f>IF(OR(AE66="",$B$10=0),0,SUMIFS(DATA_TRANSPORT_BUDGET!$G:$G,DATA_TRANSPORT_BUDGET!$A:$A,$B$10,DATA_TRANSPORT_BUDGET!$D:$D,AE66))</f>
        <v/>
      </c>
      <c r="AP66">
        <f>IF(AO66=0,"",AN66-AO66)</f>
        <v/>
      </c>
      <c r="AQ66">
        <f>IF(OR(AE66="",$B$10=0),0,COUNTIFS(DATA_TRANSPORT!$A:$A,$B$10,DATA_TRANSPORT!$E:$E,AE66,DATA_TRANSPORT!$C:$C,"FT Procured",DATA_TRANSPORT!$Z:$Z,"Y"))</f>
        <v/>
      </c>
      <c r="AR66">
        <f>IF(OR(AE66="",$B$10=0),0,SUMIFS(DATA_TRANSPORT_BUDGET!$E:$E,DATA_TRANSPORT_BUDGET!$A:$A,$B$10,DATA_TRANSPORT_BUDGET!$D:$D,AE66))</f>
        <v/>
      </c>
      <c r="AS66">
        <f>IF(OR(AE66="",$B$10=0),0,COUNTIFS(DATA_TRANSPORT!$A:$A,$B$10,DATA_TRANSPORT!$E:$E,AE66,DATA_TRANSPORT!$V:$V,"Breakdown"))</f>
        <v/>
      </c>
      <c r="AT66">
        <f>IF(IF(OR(AE66="",$B$10=0),0,SUMIFS(DATA_TRANSPORT!$L:$L,DATA_TRANSPORT!$A:$A,$B$10-7,DATA_TRANSPORT!$E:$E,AE66))=0,"",IF(OR(AE66="",$B$10=0),0,SUMIFS(DATA_TRANSPORT!$R:$R,DATA_TRANSPORT!$A:$A,$B$10-7,DATA_TRANSPORT!$E:$E,AE66))/IF(OR(AE66="",$B$10=0),0,SUMIFS(DATA_TRANSPORT!$L:$L,DATA_TRANSPORT!$A:$A,$B$10-7,DATA_TRANSPORT!$E:$E,AE66)))</f>
        <v/>
      </c>
      <c r="AU66">
        <f>IF(IF(OR(AE66="",$B$10=0),0,SUMIFS(DATA_TRANSPORT!$L:$L,DATA_TRANSPORT!$A:$A,$B$10-14,DATA_TRANSPORT!$E:$E,AE66))=0,"",IF(OR(AE66="",$B$10=0),0,SUMIFS(DATA_TRANSPORT!$R:$R,DATA_TRANSPORT!$A:$A,$B$10-14,DATA_TRANSPORT!$E:$E,AE66))/IF(OR(AE66="",$B$10=0),0,SUMIFS(DATA_TRANSPORT!$L:$L,DATA_TRANSPORT!$A:$A,$B$10-14,DATA_TRANSPORT!$E:$E,AE66)))</f>
        <v/>
      </c>
      <c r="AV66">
        <f>IF(IF(OR(AE66="",$B$10=0),0,SUMIFS(DATA_TRANSPORT!$L:$L,DATA_TRANSPORT!$A:$A,$B$10-21,DATA_TRANSPORT!$E:$E,AE66))=0,"",IF(OR(AE66="",$B$10=0),0,SUMIFS(DATA_TRANSPORT!$R:$R,DATA_TRANSPORT!$A:$A,$B$10-21,DATA_TRANSPORT!$E:$E,AE66))/IF(OR(AE66="",$B$10=0),0,SUMIFS(DATA_TRANSPORT!$L:$L,DATA_TRANSPORT!$A:$A,$B$10-21,DATA_TRANSPORT!$E:$E,AE66)))</f>
        <v/>
      </c>
      <c r="AW66">
        <f>IF(AND(ISNUMBER(AK66),AK66&lt;UtilLow),1,0)+IF(AND(ISNUMBER(AT66),AT66&lt;UtilLow),1,0)+IF(AND(ISNUMBER(AU66),AU66&lt;UtilLow),1,0)+IF(AND(ISNUMBER(AV66),AV66&lt;UtilLow),1,0)</f>
        <v/>
      </c>
      <c r="AX66">
        <f>IF(AW66&gt;=UtilLowWeeks,AE66&amp;": seats only "&amp;TEXT(AK66,"0%")&amp;" full, under "&amp;TEXT(UtilLow,"0%")&amp;" for "&amp;AW66&amp;" weeks running",IF(AND(AH66&gt;0,AJ66&gt;=AH66*ExcessShare),AE66&amp;": "&amp;TEXT(AJ66,"#,##0")&amp;" riders beyond the seats — consider more buses",IF(AND(ISNUMBER(AP66),AP66&gt;0),AE66&amp;": FT spend ₦"&amp;TEXT(AP66,"#,##0")&amp;" over the weekly budget",IF(AS66&gt;0,AE66&amp;": "&amp;AS66&amp;" coaster breakdown(s) this week",""))))</f>
        <v/>
      </c>
      <c r="AY66">
        <f>IF(ISNUMBER(AK66),AK66+ROW()/1000000000,"")</f>
        <v/>
      </c>
      <c r="AZ66">
        <f>IF(ISNUMBER(AM66),AM66+ROW()/1000000,"")</f>
        <v/>
      </c>
      <c r="BA66">
        <f>IF(AND(ISNUMBER(AP66),AP66&gt;0),AP66+ROW()/1000000,"")</f>
        <v/>
      </c>
      <c r="BB66">
        <f>IF(AF66&gt;0,AF66+ROW()/1000000,"")</f>
        <v/>
      </c>
      <c r="BC66">
        <f>IF(AX66="","",ROW())</f>
        <v/>
      </c>
      <c r="BD66">
        <f>IF(AJ66&gt;0,AJ66+ROW()/1000000,"")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IF(B67="",0,COUNTIFS(DATA_TRANSPORT!$A:$A,B67,DATA_TRANSPORT!$E:$E,$B$6,DATA_TRANSPORT!$AD:$AD,$B$7))</f>
        <v/>
      </c>
      <c r="G67">
        <f>IF(F67=0,0,SUMIFS(DATA_TRANSPORT!$Q:$Q,DATA_TRANSPORT!$A:$A,B67,DATA_TRANSPORT!$E:$E,$B$6,DATA_TRANSPORT!$AD:$AD,$B$7))</f>
        <v/>
      </c>
      <c r="H67">
        <f>IF(F67=0,0,SUMIFS(DATA_TRANSPORT!$M:$M,DATA_TRANSPORT!$A:$A,B67,DATA_TRANSPORT!$E:$E,$B$6,DATA_TRANSPORT!$AD:$AD,$B$7))</f>
        <v/>
      </c>
      <c r="I67">
        <f>IF(F67=0,0,SUMIFS(DATA_TRANSPORT!$N:$N,DATA_TRANSPORT!$A:$A,B67,DATA_TRANSPORT!$E:$E,$B$6,DATA_TRANSPORT!$AD:$AD,$B$7))</f>
        <v/>
      </c>
      <c r="J67">
        <f>IF(F67=0,0,SUMIFS(DATA_TRANSPORT!$P:$P,DATA_TRANSPORT!$A:$A,B67,DATA_TRANSPORT!$E:$E,$B$6,DATA_TRANSPORT!$AD:$AD,$B$7))</f>
        <v/>
      </c>
      <c r="K67">
        <f>IF(F67=0,0,SUMIFS(DATA_TRANSPORT!$I:$I,DATA_TRANSPORT!$A:$A,B67,DATA_TRANSPORT!$E:$E,$B$6,DATA_TRANSPORT!$AD:$AD,$B$7))</f>
        <v/>
      </c>
      <c r="L67">
        <f>IF(F67=0,0,SUMIFS(DATA_TRANSPORT!$I:$I,DATA_TRANSPORT!$A:$A,B67,DATA_TRANSPORT!$E:$E,$B$6,DATA_TRANSPORT!$AD:$AD,$B$7,DATA_TRANSPORT!$V:$V,"Ran"))</f>
        <v/>
      </c>
      <c r="M67">
        <f>IF(F67=0,0,SUMIFS(DATA_TRANSPORT!$L:$L,DATA_TRANSPORT!$A:$A,B67,DATA_TRANSPORT!$E:$E,$B$6,DATA_TRANSPORT!$AD:$AD,$B$7))</f>
        <v/>
      </c>
      <c r="N67">
        <f>IF(F67=0,0,SUMIFS(DATA_TRANSPORT!$R:$R,DATA_TRANSPORT!$A:$A,B67,DATA_TRANSPORT!$E:$E,$B$6,DATA_TRANSPORT!$AD:$AD,$B$7))</f>
        <v/>
      </c>
      <c r="O67">
        <f>IF(F67=0,0,SUMIFS(DATA_TRANSPORT!$S:$S,DATA_TRANSPORT!$A:$A,B67,DATA_TRANSPORT!$E:$E,$B$6,DATA_TRANSPORT!$AD:$AD,$B$7))</f>
        <v/>
      </c>
      <c r="P67">
        <f>IF(F67=0,0,SUMIFS(DATA_TRANSPORT!$T:$T,DATA_TRANSPORT!$A:$A,B67,DATA_TRANSPORT!$E:$E,$B$6,DATA_TRANSPORT!$AD:$AD,$B$7))</f>
        <v/>
      </c>
      <c r="Q67">
        <f>IF(OR(B67="",$B$17),0,SUMIFS(DATA_TRANSPORT_COSTS!$M:$M,DATA_TRANSPORT_COSTS!$A:$A,B67,DATA_TRANSPORT_COSTS!$D:$D,$B$6))</f>
        <v/>
      </c>
      <c r="R67">
        <f>P67+Q67</f>
        <v/>
      </c>
      <c r="S67">
        <f>Q67+IF(F67=0,0,SUMIFS(DATA_TRANSPORT!$T:$T,DATA_TRANSPORT!$A:$A,B67,DATA_TRANSPORT!$E:$E,$B$6,DATA_TRANSPORT!$AD:$AD,$B$7,DATA_TRANSPORT!$U:$U,"Central"))</f>
        <v/>
      </c>
      <c r="T67">
        <f>IF(F67=0,0,SUMIFS(DATA_TRANSPORT!$T:$T,DATA_TRANSPORT!$A:$A,B67,DATA_TRANSPORT!$E:$E,$B$6,DATA_TRANSPORT!$AD:$AD,$B$7,DATA_TRANSPORT!$U:$U,"Members"))</f>
        <v/>
      </c>
      <c r="U67">
        <f>IF(OR(B67="",$B$17),0,SUMIFS(DATA_TRANSPORT_BUDGET!$G:$G,DATA_TRANSPORT_BUDGET!$A:$A,B67,DATA_TRANSPORT_BUDGET!$D:$D,$B$6))</f>
        <v/>
      </c>
      <c r="V67">
        <f>IF(F67=0,0,SUMIFS(DATA_TRANSPORT!$T:$T,DATA_TRANSPORT!$A:$A,B67,DATA_TRANSPORT!$E:$E,$B$6,DATA_TRANSPORT!$AD:$AD,$B$7,DATA_TRANSPORT!$C:$C,"FT Procured"))</f>
        <v/>
      </c>
      <c r="W67">
        <f>IF(F67=0,0,COUNTIFS(DATA_TRANSPORT!$A:$A,B67,DATA_TRANSPORT!$E:$E,$B$6,DATA_TRANSPORT!$AD:$AD,$B$7,DATA_TRANSPORT!$V:$V,"Breakdown"))</f>
        <v/>
      </c>
      <c r="X67">
        <f>IF(M67=0,0,N67/M67)</f>
        <v/>
      </c>
      <c r="Y67">
        <f>IF(F67&gt;0,1,0)</f>
        <v/>
      </c>
      <c r="Z67">
        <f>IF(AND(A67&gt;=1,A67&lt;=$B$11),Y67,0)</f>
        <v/>
      </c>
      <c r="AA67">
        <f>IF(AND(C67=$B$12,E67=$B$14),Y67,0)</f>
        <v/>
      </c>
      <c r="AB67">
        <f>IF(AND(D67=$B$13,E67=$B$14),Y67,0)</f>
        <v/>
      </c>
      <c r="AC67">
        <f>IF(E67=$B$14,Y67,0)</f>
        <v/>
      </c>
      <c r="AE67">
        <f>IFERROR(IF(INDEX(MASTER_AREAS!$F:$F,66)="N","",INDEX(MASTER_AREAS!$B:$B,66)&amp;""),"")</f>
        <v/>
      </c>
      <c r="AF67">
        <f>IF(OR(AE67="",$B$10=0),0,SUMIFS(DATA_TRANSPORT!$Q:$Q,DATA_TRANSPORT!$A:$A,$B$10,DATA_TRANSPORT!$E:$E,AE67))</f>
        <v/>
      </c>
      <c r="AG67">
        <f>IF(OR(AE67="",$B$10=0),0,SUMIFS(DATA_TRANSPORT!$I:$I,DATA_TRANSPORT!$A:$A,$B$10,DATA_TRANSPORT!$E:$E,AE67,DATA_TRANSPORT!$V:$V,"Ran"))</f>
        <v/>
      </c>
      <c r="AH67">
        <f>IF(OR(AE67="",$B$10=0),0,SUMIFS(DATA_TRANSPORT!$L:$L,DATA_TRANSPORT!$A:$A,$B$10,DATA_TRANSPORT!$E:$E,AE67))</f>
        <v/>
      </c>
      <c r="AI67">
        <f>IF(OR(AE67="",$B$10=0),0,SUMIFS(DATA_TRANSPORT!$R:$R,DATA_TRANSPORT!$A:$A,$B$10,DATA_TRANSPORT!$E:$E,AE67))</f>
        <v/>
      </c>
      <c r="AJ67">
        <f>IF(OR(AE67="",$B$10=0),0,SUMIFS(DATA_TRANSPORT!$S:$S,DATA_TRANSPORT!$A:$A,$B$10,DATA_TRANSPORT!$E:$E,AE67))</f>
        <v/>
      </c>
      <c r="AK67">
        <f>IF(AH67=0,"",AI67/AH67)</f>
        <v/>
      </c>
      <c r="AL67">
        <f>IF(OR(AE67="",$B$10=0),0,SUMIFS(DATA_TRANSPORT!$T:$T,DATA_TRANSPORT!$A:$A,$B$10,DATA_TRANSPORT!$E:$E,AE67))+IF(OR(AE67="",$B$10=0),0,SUMIFS(DATA_TRANSPORT_COSTS!$M:$M,DATA_TRANSPORT_COSTS!$A:$A,$B$10,DATA_TRANSPORT_COSTS!$D:$D,AE67))</f>
        <v/>
      </c>
      <c r="AM67">
        <f>IF(OR(AF67=0,AL67=0),"",AL67/AF67)</f>
        <v/>
      </c>
      <c r="AN67">
        <f>IF(OR(AE67="",$B$10=0),0,SUMIFS(DATA_TRANSPORT!$T:$T,DATA_TRANSPORT!$A:$A,$B$10,DATA_TRANSPORT!$E:$E,AE67,DATA_TRANSPORT!$C:$C,"FT Procured"))</f>
        <v/>
      </c>
      <c r="AO67">
        <f>IF(OR(AE67="",$B$10=0),0,SUMIFS(DATA_TRANSPORT_BUDGET!$G:$G,DATA_TRANSPORT_BUDGET!$A:$A,$B$10,DATA_TRANSPORT_BUDGET!$D:$D,AE67))</f>
        <v/>
      </c>
      <c r="AP67">
        <f>IF(AO67=0,"",AN67-AO67)</f>
        <v/>
      </c>
      <c r="AQ67">
        <f>IF(OR(AE67="",$B$10=0),0,COUNTIFS(DATA_TRANSPORT!$A:$A,$B$10,DATA_TRANSPORT!$E:$E,AE67,DATA_TRANSPORT!$C:$C,"FT Procured",DATA_TRANSPORT!$Z:$Z,"Y"))</f>
        <v/>
      </c>
      <c r="AR67">
        <f>IF(OR(AE67="",$B$10=0),0,SUMIFS(DATA_TRANSPORT_BUDGET!$E:$E,DATA_TRANSPORT_BUDGET!$A:$A,$B$10,DATA_TRANSPORT_BUDGET!$D:$D,AE67))</f>
        <v/>
      </c>
      <c r="AS67">
        <f>IF(OR(AE67="",$B$10=0),0,COUNTIFS(DATA_TRANSPORT!$A:$A,$B$10,DATA_TRANSPORT!$E:$E,AE67,DATA_TRANSPORT!$V:$V,"Breakdown"))</f>
        <v/>
      </c>
      <c r="AT67">
        <f>IF(IF(OR(AE67="",$B$10=0),0,SUMIFS(DATA_TRANSPORT!$L:$L,DATA_TRANSPORT!$A:$A,$B$10-7,DATA_TRANSPORT!$E:$E,AE67))=0,"",IF(OR(AE67="",$B$10=0),0,SUMIFS(DATA_TRANSPORT!$R:$R,DATA_TRANSPORT!$A:$A,$B$10-7,DATA_TRANSPORT!$E:$E,AE67))/IF(OR(AE67="",$B$10=0),0,SUMIFS(DATA_TRANSPORT!$L:$L,DATA_TRANSPORT!$A:$A,$B$10-7,DATA_TRANSPORT!$E:$E,AE67)))</f>
        <v/>
      </c>
      <c r="AU67">
        <f>IF(IF(OR(AE67="",$B$10=0),0,SUMIFS(DATA_TRANSPORT!$L:$L,DATA_TRANSPORT!$A:$A,$B$10-14,DATA_TRANSPORT!$E:$E,AE67))=0,"",IF(OR(AE67="",$B$10=0),0,SUMIFS(DATA_TRANSPORT!$R:$R,DATA_TRANSPORT!$A:$A,$B$10-14,DATA_TRANSPORT!$E:$E,AE67))/IF(OR(AE67="",$B$10=0),0,SUMIFS(DATA_TRANSPORT!$L:$L,DATA_TRANSPORT!$A:$A,$B$10-14,DATA_TRANSPORT!$E:$E,AE67)))</f>
        <v/>
      </c>
      <c r="AV67">
        <f>IF(IF(OR(AE67="",$B$10=0),0,SUMIFS(DATA_TRANSPORT!$L:$L,DATA_TRANSPORT!$A:$A,$B$10-21,DATA_TRANSPORT!$E:$E,AE67))=0,"",IF(OR(AE67="",$B$10=0),0,SUMIFS(DATA_TRANSPORT!$R:$R,DATA_TRANSPORT!$A:$A,$B$10-21,DATA_TRANSPORT!$E:$E,AE67))/IF(OR(AE67="",$B$10=0),0,SUMIFS(DATA_TRANSPORT!$L:$L,DATA_TRANSPORT!$A:$A,$B$10-21,DATA_TRANSPORT!$E:$E,AE67)))</f>
        <v/>
      </c>
      <c r="AW67">
        <f>IF(AND(ISNUMBER(AK67),AK67&lt;UtilLow),1,0)+IF(AND(ISNUMBER(AT67),AT67&lt;UtilLow),1,0)+IF(AND(ISNUMBER(AU67),AU67&lt;UtilLow),1,0)+IF(AND(ISNUMBER(AV67),AV67&lt;UtilLow),1,0)</f>
        <v/>
      </c>
      <c r="AX67">
        <f>IF(AW67&gt;=UtilLowWeeks,AE67&amp;": seats only "&amp;TEXT(AK67,"0%")&amp;" full, under "&amp;TEXT(UtilLow,"0%")&amp;" for "&amp;AW67&amp;" weeks running",IF(AND(AH67&gt;0,AJ67&gt;=AH67*ExcessShare),AE67&amp;": "&amp;TEXT(AJ67,"#,##0")&amp;" riders beyond the seats — consider more buses",IF(AND(ISNUMBER(AP67),AP67&gt;0),AE67&amp;": FT spend ₦"&amp;TEXT(AP67,"#,##0")&amp;" over the weekly budget",IF(AS67&gt;0,AE67&amp;": "&amp;AS67&amp;" coaster breakdown(s) this week",""))))</f>
        <v/>
      </c>
      <c r="AY67">
        <f>IF(ISNUMBER(AK67),AK67+ROW()/1000000000,"")</f>
        <v/>
      </c>
      <c r="AZ67">
        <f>IF(ISNUMBER(AM67),AM67+ROW()/1000000,"")</f>
        <v/>
      </c>
      <c r="BA67">
        <f>IF(AND(ISNUMBER(AP67),AP67&gt;0),AP67+ROW()/1000000,"")</f>
        <v/>
      </c>
      <c r="BB67">
        <f>IF(AF67&gt;0,AF67+ROW()/1000000,"")</f>
        <v/>
      </c>
      <c r="BC67">
        <f>IF(AX67="","",ROW())</f>
        <v/>
      </c>
      <c r="BD67">
        <f>IF(AJ67&gt;0,AJ67+ROW()/1000000,"")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IF(B68="",0,COUNTIFS(DATA_TRANSPORT!$A:$A,B68,DATA_TRANSPORT!$E:$E,$B$6,DATA_TRANSPORT!$AD:$AD,$B$7))</f>
        <v/>
      </c>
      <c r="G68">
        <f>IF(F68=0,0,SUMIFS(DATA_TRANSPORT!$Q:$Q,DATA_TRANSPORT!$A:$A,B68,DATA_TRANSPORT!$E:$E,$B$6,DATA_TRANSPORT!$AD:$AD,$B$7))</f>
        <v/>
      </c>
      <c r="H68">
        <f>IF(F68=0,0,SUMIFS(DATA_TRANSPORT!$M:$M,DATA_TRANSPORT!$A:$A,B68,DATA_TRANSPORT!$E:$E,$B$6,DATA_TRANSPORT!$AD:$AD,$B$7))</f>
        <v/>
      </c>
      <c r="I68">
        <f>IF(F68=0,0,SUMIFS(DATA_TRANSPORT!$N:$N,DATA_TRANSPORT!$A:$A,B68,DATA_TRANSPORT!$E:$E,$B$6,DATA_TRANSPORT!$AD:$AD,$B$7))</f>
        <v/>
      </c>
      <c r="J68">
        <f>IF(F68=0,0,SUMIFS(DATA_TRANSPORT!$P:$P,DATA_TRANSPORT!$A:$A,B68,DATA_TRANSPORT!$E:$E,$B$6,DATA_TRANSPORT!$AD:$AD,$B$7))</f>
        <v/>
      </c>
      <c r="K68">
        <f>IF(F68=0,0,SUMIFS(DATA_TRANSPORT!$I:$I,DATA_TRANSPORT!$A:$A,B68,DATA_TRANSPORT!$E:$E,$B$6,DATA_TRANSPORT!$AD:$AD,$B$7))</f>
        <v/>
      </c>
      <c r="L68">
        <f>IF(F68=0,0,SUMIFS(DATA_TRANSPORT!$I:$I,DATA_TRANSPORT!$A:$A,B68,DATA_TRANSPORT!$E:$E,$B$6,DATA_TRANSPORT!$AD:$AD,$B$7,DATA_TRANSPORT!$V:$V,"Ran"))</f>
        <v/>
      </c>
      <c r="M68">
        <f>IF(F68=0,0,SUMIFS(DATA_TRANSPORT!$L:$L,DATA_TRANSPORT!$A:$A,B68,DATA_TRANSPORT!$E:$E,$B$6,DATA_TRANSPORT!$AD:$AD,$B$7))</f>
        <v/>
      </c>
      <c r="N68">
        <f>IF(F68=0,0,SUMIFS(DATA_TRANSPORT!$R:$R,DATA_TRANSPORT!$A:$A,B68,DATA_TRANSPORT!$E:$E,$B$6,DATA_TRANSPORT!$AD:$AD,$B$7))</f>
        <v/>
      </c>
      <c r="O68">
        <f>IF(F68=0,0,SUMIFS(DATA_TRANSPORT!$S:$S,DATA_TRANSPORT!$A:$A,B68,DATA_TRANSPORT!$E:$E,$B$6,DATA_TRANSPORT!$AD:$AD,$B$7))</f>
        <v/>
      </c>
      <c r="P68">
        <f>IF(F68=0,0,SUMIFS(DATA_TRANSPORT!$T:$T,DATA_TRANSPORT!$A:$A,B68,DATA_TRANSPORT!$E:$E,$B$6,DATA_TRANSPORT!$AD:$AD,$B$7))</f>
        <v/>
      </c>
      <c r="Q68">
        <f>IF(OR(B68="",$B$17),0,SUMIFS(DATA_TRANSPORT_COSTS!$M:$M,DATA_TRANSPORT_COSTS!$A:$A,B68,DATA_TRANSPORT_COSTS!$D:$D,$B$6))</f>
        <v/>
      </c>
      <c r="R68">
        <f>P68+Q68</f>
        <v/>
      </c>
      <c r="S68">
        <f>Q68+IF(F68=0,0,SUMIFS(DATA_TRANSPORT!$T:$T,DATA_TRANSPORT!$A:$A,B68,DATA_TRANSPORT!$E:$E,$B$6,DATA_TRANSPORT!$AD:$AD,$B$7,DATA_TRANSPORT!$U:$U,"Central"))</f>
        <v/>
      </c>
      <c r="T68">
        <f>IF(F68=0,0,SUMIFS(DATA_TRANSPORT!$T:$T,DATA_TRANSPORT!$A:$A,B68,DATA_TRANSPORT!$E:$E,$B$6,DATA_TRANSPORT!$AD:$AD,$B$7,DATA_TRANSPORT!$U:$U,"Members"))</f>
        <v/>
      </c>
      <c r="U68">
        <f>IF(OR(B68="",$B$17),0,SUMIFS(DATA_TRANSPORT_BUDGET!$G:$G,DATA_TRANSPORT_BUDGET!$A:$A,B68,DATA_TRANSPORT_BUDGET!$D:$D,$B$6))</f>
        <v/>
      </c>
      <c r="V68">
        <f>IF(F68=0,0,SUMIFS(DATA_TRANSPORT!$T:$T,DATA_TRANSPORT!$A:$A,B68,DATA_TRANSPORT!$E:$E,$B$6,DATA_TRANSPORT!$AD:$AD,$B$7,DATA_TRANSPORT!$C:$C,"FT Procured"))</f>
        <v/>
      </c>
      <c r="W68">
        <f>IF(F68=0,0,COUNTIFS(DATA_TRANSPORT!$A:$A,B68,DATA_TRANSPORT!$E:$E,$B$6,DATA_TRANSPORT!$AD:$AD,$B$7,DATA_TRANSPORT!$V:$V,"Breakdown"))</f>
        <v/>
      </c>
      <c r="X68">
        <f>IF(M68=0,0,N68/M68)</f>
        <v/>
      </c>
      <c r="Y68">
        <f>IF(F68&gt;0,1,0)</f>
        <v/>
      </c>
      <c r="Z68">
        <f>IF(AND(A68&gt;=1,A68&lt;=$B$11),Y68,0)</f>
        <v/>
      </c>
      <c r="AA68">
        <f>IF(AND(C68=$B$12,E68=$B$14),Y68,0)</f>
        <v/>
      </c>
      <c r="AB68">
        <f>IF(AND(D68=$B$13,E68=$B$14),Y68,0)</f>
        <v/>
      </c>
      <c r="AC68">
        <f>IF(E68=$B$14,Y68,0)</f>
        <v/>
      </c>
      <c r="AE68">
        <f>IFERROR(IF(INDEX(MASTER_AREAS!$F:$F,67)="N","",INDEX(MASTER_AREAS!$B:$B,67)&amp;""),"")</f>
        <v/>
      </c>
      <c r="AF68">
        <f>IF(OR(AE68="",$B$10=0),0,SUMIFS(DATA_TRANSPORT!$Q:$Q,DATA_TRANSPORT!$A:$A,$B$10,DATA_TRANSPORT!$E:$E,AE68))</f>
        <v/>
      </c>
      <c r="AG68">
        <f>IF(OR(AE68="",$B$10=0),0,SUMIFS(DATA_TRANSPORT!$I:$I,DATA_TRANSPORT!$A:$A,$B$10,DATA_TRANSPORT!$E:$E,AE68,DATA_TRANSPORT!$V:$V,"Ran"))</f>
        <v/>
      </c>
      <c r="AH68">
        <f>IF(OR(AE68="",$B$10=0),0,SUMIFS(DATA_TRANSPORT!$L:$L,DATA_TRANSPORT!$A:$A,$B$10,DATA_TRANSPORT!$E:$E,AE68))</f>
        <v/>
      </c>
      <c r="AI68">
        <f>IF(OR(AE68="",$B$10=0),0,SUMIFS(DATA_TRANSPORT!$R:$R,DATA_TRANSPORT!$A:$A,$B$10,DATA_TRANSPORT!$E:$E,AE68))</f>
        <v/>
      </c>
      <c r="AJ68">
        <f>IF(OR(AE68="",$B$10=0),0,SUMIFS(DATA_TRANSPORT!$S:$S,DATA_TRANSPORT!$A:$A,$B$10,DATA_TRANSPORT!$E:$E,AE68))</f>
        <v/>
      </c>
      <c r="AK68">
        <f>IF(AH68=0,"",AI68/AH68)</f>
        <v/>
      </c>
      <c r="AL68">
        <f>IF(OR(AE68="",$B$10=0),0,SUMIFS(DATA_TRANSPORT!$T:$T,DATA_TRANSPORT!$A:$A,$B$10,DATA_TRANSPORT!$E:$E,AE68))+IF(OR(AE68="",$B$10=0),0,SUMIFS(DATA_TRANSPORT_COSTS!$M:$M,DATA_TRANSPORT_COSTS!$A:$A,$B$10,DATA_TRANSPORT_COSTS!$D:$D,AE68))</f>
        <v/>
      </c>
      <c r="AM68">
        <f>IF(OR(AF68=0,AL68=0),"",AL68/AF68)</f>
        <v/>
      </c>
      <c r="AN68">
        <f>IF(OR(AE68="",$B$10=0),0,SUMIFS(DATA_TRANSPORT!$T:$T,DATA_TRANSPORT!$A:$A,$B$10,DATA_TRANSPORT!$E:$E,AE68,DATA_TRANSPORT!$C:$C,"FT Procured"))</f>
        <v/>
      </c>
      <c r="AO68">
        <f>IF(OR(AE68="",$B$10=0),0,SUMIFS(DATA_TRANSPORT_BUDGET!$G:$G,DATA_TRANSPORT_BUDGET!$A:$A,$B$10,DATA_TRANSPORT_BUDGET!$D:$D,AE68))</f>
        <v/>
      </c>
      <c r="AP68">
        <f>IF(AO68=0,"",AN68-AO68)</f>
        <v/>
      </c>
      <c r="AQ68">
        <f>IF(OR(AE68="",$B$10=0),0,COUNTIFS(DATA_TRANSPORT!$A:$A,$B$10,DATA_TRANSPORT!$E:$E,AE68,DATA_TRANSPORT!$C:$C,"FT Procured",DATA_TRANSPORT!$Z:$Z,"Y"))</f>
        <v/>
      </c>
      <c r="AR68">
        <f>IF(OR(AE68="",$B$10=0),0,SUMIFS(DATA_TRANSPORT_BUDGET!$E:$E,DATA_TRANSPORT_BUDGET!$A:$A,$B$10,DATA_TRANSPORT_BUDGET!$D:$D,AE68))</f>
        <v/>
      </c>
      <c r="AS68">
        <f>IF(OR(AE68="",$B$10=0),0,COUNTIFS(DATA_TRANSPORT!$A:$A,$B$10,DATA_TRANSPORT!$E:$E,AE68,DATA_TRANSPORT!$V:$V,"Breakdown"))</f>
        <v/>
      </c>
      <c r="AT68">
        <f>IF(IF(OR(AE68="",$B$10=0),0,SUMIFS(DATA_TRANSPORT!$L:$L,DATA_TRANSPORT!$A:$A,$B$10-7,DATA_TRANSPORT!$E:$E,AE68))=0,"",IF(OR(AE68="",$B$10=0),0,SUMIFS(DATA_TRANSPORT!$R:$R,DATA_TRANSPORT!$A:$A,$B$10-7,DATA_TRANSPORT!$E:$E,AE68))/IF(OR(AE68="",$B$10=0),0,SUMIFS(DATA_TRANSPORT!$L:$L,DATA_TRANSPORT!$A:$A,$B$10-7,DATA_TRANSPORT!$E:$E,AE68)))</f>
        <v/>
      </c>
      <c r="AU68">
        <f>IF(IF(OR(AE68="",$B$10=0),0,SUMIFS(DATA_TRANSPORT!$L:$L,DATA_TRANSPORT!$A:$A,$B$10-14,DATA_TRANSPORT!$E:$E,AE68))=0,"",IF(OR(AE68="",$B$10=0),0,SUMIFS(DATA_TRANSPORT!$R:$R,DATA_TRANSPORT!$A:$A,$B$10-14,DATA_TRANSPORT!$E:$E,AE68))/IF(OR(AE68="",$B$10=0),0,SUMIFS(DATA_TRANSPORT!$L:$L,DATA_TRANSPORT!$A:$A,$B$10-14,DATA_TRANSPORT!$E:$E,AE68)))</f>
        <v/>
      </c>
      <c r="AV68">
        <f>IF(IF(OR(AE68="",$B$10=0),0,SUMIFS(DATA_TRANSPORT!$L:$L,DATA_TRANSPORT!$A:$A,$B$10-21,DATA_TRANSPORT!$E:$E,AE68))=0,"",IF(OR(AE68="",$B$10=0),0,SUMIFS(DATA_TRANSPORT!$R:$R,DATA_TRANSPORT!$A:$A,$B$10-21,DATA_TRANSPORT!$E:$E,AE68))/IF(OR(AE68="",$B$10=0),0,SUMIFS(DATA_TRANSPORT!$L:$L,DATA_TRANSPORT!$A:$A,$B$10-21,DATA_TRANSPORT!$E:$E,AE68)))</f>
        <v/>
      </c>
      <c r="AW68">
        <f>IF(AND(ISNUMBER(AK68),AK68&lt;UtilLow),1,0)+IF(AND(ISNUMBER(AT68),AT68&lt;UtilLow),1,0)+IF(AND(ISNUMBER(AU68),AU68&lt;UtilLow),1,0)+IF(AND(ISNUMBER(AV68),AV68&lt;UtilLow),1,0)</f>
        <v/>
      </c>
      <c r="AX68">
        <f>IF(AW68&gt;=UtilLowWeeks,AE68&amp;": seats only "&amp;TEXT(AK68,"0%")&amp;" full, under "&amp;TEXT(UtilLow,"0%")&amp;" for "&amp;AW68&amp;" weeks running",IF(AND(AH68&gt;0,AJ68&gt;=AH68*ExcessShare),AE68&amp;": "&amp;TEXT(AJ68,"#,##0")&amp;" riders beyond the seats — consider more buses",IF(AND(ISNUMBER(AP68),AP68&gt;0),AE68&amp;": FT spend ₦"&amp;TEXT(AP68,"#,##0")&amp;" over the weekly budget",IF(AS68&gt;0,AE68&amp;": "&amp;AS68&amp;" coaster breakdown(s) this week",""))))</f>
        <v/>
      </c>
      <c r="AY68">
        <f>IF(ISNUMBER(AK68),AK68+ROW()/1000000000,"")</f>
        <v/>
      </c>
      <c r="AZ68">
        <f>IF(ISNUMBER(AM68),AM68+ROW()/1000000,"")</f>
        <v/>
      </c>
      <c r="BA68">
        <f>IF(AND(ISNUMBER(AP68),AP68&gt;0),AP68+ROW()/1000000,"")</f>
        <v/>
      </c>
      <c r="BB68">
        <f>IF(AF68&gt;0,AF68+ROW()/1000000,"")</f>
        <v/>
      </c>
      <c r="BC68">
        <f>IF(AX68="","",ROW())</f>
        <v/>
      </c>
      <c r="BD68">
        <f>IF(AJ68&gt;0,AJ68+ROW()/1000000,"")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IF(B69="",0,COUNTIFS(DATA_TRANSPORT!$A:$A,B69,DATA_TRANSPORT!$E:$E,$B$6,DATA_TRANSPORT!$AD:$AD,$B$7))</f>
        <v/>
      </c>
      <c r="G69">
        <f>IF(F69=0,0,SUMIFS(DATA_TRANSPORT!$Q:$Q,DATA_TRANSPORT!$A:$A,B69,DATA_TRANSPORT!$E:$E,$B$6,DATA_TRANSPORT!$AD:$AD,$B$7))</f>
        <v/>
      </c>
      <c r="H69">
        <f>IF(F69=0,0,SUMIFS(DATA_TRANSPORT!$M:$M,DATA_TRANSPORT!$A:$A,B69,DATA_TRANSPORT!$E:$E,$B$6,DATA_TRANSPORT!$AD:$AD,$B$7))</f>
        <v/>
      </c>
      <c r="I69">
        <f>IF(F69=0,0,SUMIFS(DATA_TRANSPORT!$N:$N,DATA_TRANSPORT!$A:$A,B69,DATA_TRANSPORT!$E:$E,$B$6,DATA_TRANSPORT!$AD:$AD,$B$7))</f>
        <v/>
      </c>
      <c r="J69">
        <f>IF(F69=0,0,SUMIFS(DATA_TRANSPORT!$P:$P,DATA_TRANSPORT!$A:$A,B69,DATA_TRANSPORT!$E:$E,$B$6,DATA_TRANSPORT!$AD:$AD,$B$7))</f>
        <v/>
      </c>
      <c r="K69">
        <f>IF(F69=0,0,SUMIFS(DATA_TRANSPORT!$I:$I,DATA_TRANSPORT!$A:$A,B69,DATA_TRANSPORT!$E:$E,$B$6,DATA_TRANSPORT!$AD:$AD,$B$7))</f>
        <v/>
      </c>
      <c r="L69">
        <f>IF(F69=0,0,SUMIFS(DATA_TRANSPORT!$I:$I,DATA_TRANSPORT!$A:$A,B69,DATA_TRANSPORT!$E:$E,$B$6,DATA_TRANSPORT!$AD:$AD,$B$7,DATA_TRANSPORT!$V:$V,"Ran"))</f>
        <v/>
      </c>
      <c r="M69">
        <f>IF(F69=0,0,SUMIFS(DATA_TRANSPORT!$L:$L,DATA_TRANSPORT!$A:$A,B69,DATA_TRANSPORT!$E:$E,$B$6,DATA_TRANSPORT!$AD:$AD,$B$7))</f>
        <v/>
      </c>
      <c r="N69">
        <f>IF(F69=0,0,SUMIFS(DATA_TRANSPORT!$R:$R,DATA_TRANSPORT!$A:$A,B69,DATA_TRANSPORT!$E:$E,$B$6,DATA_TRANSPORT!$AD:$AD,$B$7))</f>
        <v/>
      </c>
      <c r="O69">
        <f>IF(F69=0,0,SUMIFS(DATA_TRANSPORT!$S:$S,DATA_TRANSPORT!$A:$A,B69,DATA_TRANSPORT!$E:$E,$B$6,DATA_TRANSPORT!$AD:$AD,$B$7))</f>
        <v/>
      </c>
      <c r="P69">
        <f>IF(F69=0,0,SUMIFS(DATA_TRANSPORT!$T:$T,DATA_TRANSPORT!$A:$A,B69,DATA_TRANSPORT!$E:$E,$B$6,DATA_TRANSPORT!$AD:$AD,$B$7))</f>
        <v/>
      </c>
      <c r="Q69">
        <f>IF(OR(B69="",$B$17),0,SUMIFS(DATA_TRANSPORT_COSTS!$M:$M,DATA_TRANSPORT_COSTS!$A:$A,B69,DATA_TRANSPORT_COSTS!$D:$D,$B$6))</f>
        <v/>
      </c>
      <c r="R69">
        <f>P69+Q69</f>
        <v/>
      </c>
      <c r="S69">
        <f>Q69+IF(F69=0,0,SUMIFS(DATA_TRANSPORT!$T:$T,DATA_TRANSPORT!$A:$A,B69,DATA_TRANSPORT!$E:$E,$B$6,DATA_TRANSPORT!$AD:$AD,$B$7,DATA_TRANSPORT!$U:$U,"Central"))</f>
        <v/>
      </c>
      <c r="T69">
        <f>IF(F69=0,0,SUMIFS(DATA_TRANSPORT!$T:$T,DATA_TRANSPORT!$A:$A,B69,DATA_TRANSPORT!$E:$E,$B$6,DATA_TRANSPORT!$AD:$AD,$B$7,DATA_TRANSPORT!$U:$U,"Members"))</f>
        <v/>
      </c>
      <c r="U69">
        <f>IF(OR(B69="",$B$17),0,SUMIFS(DATA_TRANSPORT_BUDGET!$G:$G,DATA_TRANSPORT_BUDGET!$A:$A,B69,DATA_TRANSPORT_BUDGET!$D:$D,$B$6))</f>
        <v/>
      </c>
      <c r="V69">
        <f>IF(F69=0,0,SUMIFS(DATA_TRANSPORT!$T:$T,DATA_TRANSPORT!$A:$A,B69,DATA_TRANSPORT!$E:$E,$B$6,DATA_TRANSPORT!$AD:$AD,$B$7,DATA_TRANSPORT!$C:$C,"FT Procured"))</f>
        <v/>
      </c>
      <c r="W69">
        <f>IF(F69=0,0,COUNTIFS(DATA_TRANSPORT!$A:$A,B69,DATA_TRANSPORT!$E:$E,$B$6,DATA_TRANSPORT!$AD:$AD,$B$7,DATA_TRANSPORT!$V:$V,"Breakdown"))</f>
        <v/>
      </c>
      <c r="X69">
        <f>IF(M69=0,0,N69/M69)</f>
        <v/>
      </c>
      <c r="Y69">
        <f>IF(F69&gt;0,1,0)</f>
        <v/>
      </c>
      <c r="Z69">
        <f>IF(AND(A69&gt;=1,A69&lt;=$B$11),Y69,0)</f>
        <v/>
      </c>
      <c r="AA69">
        <f>IF(AND(C69=$B$12,E69=$B$14),Y69,0)</f>
        <v/>
      </c>
      <c r="AB69">
        <f>IF(AND(D69=$B$13,E69=$B$14),Y69,0)</f>
        <v/>
      </c>
      <c r="AC69">
        <f>IF(E69=$B$14,Y69,0)</f>
        <v/>
      </c>
      <c r="AE69">
        <f>IFERROR(IF(INDEX(MASTER_AREAS!$F:$F,68)="N","",INDEX(MASTER_AREAS!$B:$B,68)&amp;""),"")</f>
        <v/>
      </c>
      <c r="AF69">
        <f>IF(OR(AE69="",$B$10=0),0,SUMIFS(DATA_TRANSPORT!$Q:$Q,DATA_TRANSPORT!$A:$A,$B$10,DATA_TRANSPORT!$E:$E,AE69))</f>
        <v/>
      </c>
      <c r="AG69">
        <f>IF(OR(AE69="",$B$10=0),0,SUMIFS(DATA_TRANSPORT!$I:$I,DATA_TRANSPORT!$A:$A,$B$10,DATA_TRANSPORT!$E:$E,AE69,DATA_TRANSPORT!$V:$V,"Ran"))</f>
        <v/>
      </c>
      <c r="AH69">
        <f>IF(OR(AE69="",$B$10=0),0,SUMIFS(DATA_TRANSPORT!$L:$L,DATA_TRANSPORT!$A:$A,$B$10,DATA_TRANSPORT!$E:$E,AE69))</f>
        <v/>
      </c>
      <c r="AI69">
        <f>IF(OR(AE69="",$B$10=0),0,SUMIFS(DATA_TRANSPORT!$R:$R,DATA_TRANSPORT!$A:$A,$B$10,DATA_TRANSPORT!$E:$E,AE69))</f>
        <v/>
      </c>
      <c r="AJ69">
        <f>IF(OR(AE69="",$B$10=0),0,SUMIFS(DATA_TRANSPORT!$S:$S,DATA_TRANSPORT!$A:$A,$B$10,DATA_TRANSPORT!$E:$E,AE69))</f>
        <v/>
      </c>
      <c r="AK69">
        <f>IF(AH69=0,"",AI69/AH69)</f>
        <v/>
      </c>
      <c r="AL69">
        <f>IF(OR(AE69="",$B$10=0),0,SUMIFS(DATA_TRANSPORT!$T:$T,DATA_TRANSPORT!$A:$A,$B$10,DATA_TRANSPORT!$E:$E,AE69))+IF(OR(AE69="",$B$10=0),0,SUMIFS(DATA_TRANSPORT_COSTS!$M:$M,DATA_TRANSPORT_COSTS!$A:$A,$B$10,DATA_TRANSPORT_COSTS!$D:$D,AE69))</f>
        <v/>
      </c>
      <c r="AM69">
        <f>IF(OR(AF69=0,AL69=0),"",AL69/AF69)</f>
        <v/>
      </c>
      <c r="AN69">
        <f>IF(OR(AE69="",$B$10=0),0,SUMIFS(DATA_TRANSPORT!$T:$T,DATA_TRANSPORT!$A:$A,$B$10,DATA_TRANSPORT!$E:$E,AE69,DATA_TRANSPORT!$C:$C,"FT Procured"))</f>
        <v/>
      </c>
      <c r="AO69">
        <f>IF(OR(AE69="",$B$10=0),0,SUMIFS(DATA_TRANSPORT_BUDGET!$G:$G,DATA_TRANSPORT_BUDGET!$A:$A,$B$10,DATA_TRANSPORT_BUDGET!$D:$D,AE69))</f>
        <v/>
      </c>
      <c r="AP69">
        <f>IF(AO69=0,"",AN69-AO69)</f>
        <v/>
      </c>
      <c r="AQ69">
        <f>IF(OR(AE69="",$B$10=0),0,COUNTIFS(DATA_TRANSPORT!$A:$A,$B$10,DATA_TRANSPORT!$E:$E,AE69,DATA_TRANSPORT!$C:$C,"FT Procured",DATA_TRANSPORT!$Z:$Z,"Y"))</f>
        <v/>
      </c>
      <c r="AR69">
        <f>IF(OR(AE69="",$B$10=0),0,SUMIFS(DATA_TRANSPORT_BUDGET!$E:$E,DATA_TRANSPORT_BUDGET!$A:$A,$B$10,DATA_TRANSPORT_BUDGET!$D:$D,AE69))</f>
        <v/>
      </c>
      <c r="AS69">
        <f>IF(OR(AE69="",$B$10=0),0,COUNTIFS(DATA_TRANSPORT!$A:$A,$B$10,DATA_TRANSPORT!$E:$E,AE69,DATA_TRANSPORT!$V:$V,"Breakdown"))</f>
        <v/>
      </c>
      <c r="AT69">
        <f>IF(IF(OR(AE69="",$B$10=0),0,SUMIFS(DATA_TRANSPORT!$L:$L,DATA_TRANSPORT!$A:$A,$B$10-7,DATA_TRANSPORT!$E:$E,AE69))=0,"",IF(OR(AE69="",$B$10=0),0,SUMIFS(DATA_TRANSPORT!$R:$R,DATA_TRANSPORT!$A:$A,$B$10-7,DATA_TRANSPORT!$E:$E,AE69))/IF(OR(AE69="",$B$10=0),0,SUMIFS(DATA_TRANSPORT!$L:$L,DATA_TRANSPORT!$A:$A,$B$10-7,DATA_TRANSPORT!$E:$E,AE69)))</f>
        <v/>
      </c>
      <c r="AU69">
        <f>IF(IF(OR(AE69="",$B$10=0),0,SUMIFS(DATA_TRANSPORT!$L:$L,DATA_TRANSPORT!$A:$A,$B$10-14,DATA_TRANSPORT!$E:$E,AE69))=0,"",IF(OR(AE69="",$B$10=0),0,SUMIFS(DATA_TRANSPORT!$R:$R,DATA_TRANSPORT!$A:$A,$B$10-14,DATA_TRANSPORT!$E:$E,AE69))/IF(OR(AE69="",$B$10=0),0,SUMIFS(DATA_TRANSPORT!$L:$L,DATA_TRANSPORT!$A:$A,$B$10-14,DATA_TRANSPORT!$E:$E,AE69)))</f>
        <v/>
      </c>
      <c r="AV69">
        <f>IF(IF(OR(AE69="",$B$10=0),0,SUMIFS(DATA_TRANSPORT!$L:$L,DATA_TRANSPORT!$A:$A,$B$10-21,DATA_TRANSPORT!$E:$E,AE69))=0,"",IF(OR(AE69="",$B$10=0),0,SUMIFS(DATA_TRANSPORT!$R:$R,DATA_TRANSPORT!$A:$A,$B$10-21,DATA_TRANSPORT!$E:$E,AE69))/IF(OR(AE69="",$B$10=0),0,SUMIFS(DATA_TRANSPORT!$L:$L,DATA_TRANSPORT!$A:$A,$B$10-21,DATA_TRANSPORT!$E:$E,AE69)))</f>
        <v/>
      </c>
      <c r="AW69">
        <f>IF(AND(ISNUMBER(AK69),AK69&lt;UtilLow),1,0)+IF(AND(ISNUMBER(AT69),AT69&lt;UtilLow),1,0)+IF(AND(ISNUMBER(AU69),AU69&lt;UtilLow),1,0)+IF(AND(ISNUMBER(AV69),AV69&lt;UtilLow),1,0)</f>
        <v/>
      </c>
      <c r="AX69">
        <f>IF(AW69&gt;=UtilLowWeeks,AE69&amp;": seats only "&amp;TEXT(AK69,"0%")&amp;" full, under "&amp;TEXT(UtilLow,"0%")&amp;" for "&amp;AW69&amp;" weeks running",IF(AND(AH69&gt;0,AJ69&gt;=AH69*ExcessShare),AE69&amp;": "&amp;TEXT(AJ69,"#,##0")&amp;" riders beyond the seats — consider more buses",IF(AND(ISNUMBER(AP69),AP69&gt;0),AE69&amp;": FT spend ₦"&amp;TEXT(AP69,"#,##0")&amp;" over the weekly budget",IF(AS69&gt;0,AE69&amp;": "&amp;AS69&amp;" coaster breakdown(s) this week",""))))</f>
        <v/>
      </c>
      <c r="AY69">
        <f>IF(ISNUMBER(AK69),AK69+ROW()/1000000000,"")</f>
        <v/>
      </c>
      <c r="AZ69">
        <f>IF(ISNUMBER(AM69),AM69+ROW()/1000000,"")</f>
        <v/>
      </c>
      <c r="BA69">
        <f>IF(AND(ISNUMBER(AP69),AP69&gt;0),AP69+ROW()/1000000,"")</f>
        <v/>
      </c>
      <c r="BB69">
        <f>IF(AF69&gt;0,AF69+ROW()/1000000,"")</f>
        <v/>
      </c>
      <c r="BC69">
        <f>IF(AX69="","",ROW())</f>
        <v/>
      </c>
      <c r="BD69">
        <f>IF(AJ69&gt;0,AJ69+ROW()/1000000,"")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IF(B70="",0,COUNTIFS(DATA_TRANSPORT!$A:$A,B70,DATA_TRANSPORT!$E:$E,$B$6,DATA_TRANSPORT!$AD:$AD,$B$7))</f>
        <v/>
      </c>
      <c r="G70">
        <f>IF(F70=0,0,SUMIFS(DATA_TRANSPORT!$Q:$Q,DATA_TRANSPORT!$A:$A,B70,DATA_TRANSPORT!$E:$E,$B$6,DATA_TRANSPORT!$AD:$AD,$B$7))</f>
        <v/>
      </c>
      <c r="H70">
        <f>IF(F70=0,0,SUMIFS(DATA_TRANSPORT!$M:$M,DATA_TRANSPORT!$A:$A,B70,DATA_TRANSPORT!$E:$E,$B$6,DATA_TRANSPORT!$AD:$AD,$B$7))</f>
        <v/>
      </c>
      <c r="I70">
        <f>IF(F70=0,0,SUMIFS(DATA_TRANSPORT!$N:$N,DATA_TRANSPORT!$A:$A,B70,DATA_TRANSPORT!$E:$E,$B$6,DATA_TRANSPORT!$AD:$AD,$B$7))</f>
        <v/>
      </c>
      <c r="J70">
        <f>IF(F70=0,0,SUMIFS(DATA_TRANSPORT!$P:$P,DATA_TRANSPORT!$A:$A,B70,DATA_TRANSPORT!$E:$E,$B$6,DATA_TRANSPORT!$AD:$AD,$B$7))</f>
        <v/>
      </c>
      <c r="K70">
        <f>IF(F70=0,0,SUMIFS(DATA_TRANSPORT!$I:$I,DATA_TRANSPORT!$A:$A,B70,DATA_TRANSPORT!$E:$E,$B$6,DATA_TRANSPORT!$AD:$AD,$B$7))</f>
        <v/>
      </c>
      <c r="L70">
        <f>IF(F70=0,0,SUMIFS(DATA_TRANSPORT!$I:$I,DATA_TRANSPORT!$A:$A,B70,DATA_TRANSPORT!$E:$E,$B$6,DATA_TRANSPORT!$AD:$AD,$B$7,DATA_TRANSPORT!$V:$V,"Ran"))</f>
        <v/>
      </c>
      <c r="M70">
        <f>IF(F70=0,0,SUMIFS(DATA_TRANSPORT!$L:$L,DATA_TRANSPORT!$A:$A,B70,DATA_TRANSPORT!$E:$E,$B$6,DATA_TRANSPORT!$AD:$AD,$B$7))</f>
        <v/>
      </c>
      <c r="N70">
        <f>IF(F70=0,0,SUMIFS(DATA_TRANSPORT!$R:$R,DATA_TRANSPORT!$A:$A,B70,DATA_TRANSPORT!$E:$E,$B$6,DATA_TRANSPORT!$AD:$AD,$B$7))</f>
        <v/>
      </c>
      <c r="O70">
        <f>IF(F70=0,0,SUMIFS(DATA_TRANSPORT!$S:$S,DATA_TRANSPORT!$A:$A,B70,DATA_TRANSPORT!$E:$E,$B$6,DATA_TRANSPORT!$AD:$AD,$B$7))</f>
        <v/>
      </c>
      <c r="P70">
        <f>IF(F70=0,0,SUMIFS(DATA_TRANSPORT!$T:$T,DATA_TRANSPORT!$A:$A,B70,DATA_TRANSPORT!$E:$E,$B$6,DATA_TRANSPORT!$AD:$AD,$B$7))</f>
        <v/>
      </c>
      <c r="Q70">
        <f>IF(OR(B70="",$B$17),0,SUMIFS(DATA_TRANSPORT_COSTS!$M:$M,DATA_TRANSPORT_COSTS!$A:$A,B70,DATA_TRANSPORT_COSTS!$D:$D,$B$6))</f>
        <v/>
      </c>
      <c r="R70">
        <f>P70+Q70</f>
        <v/>
      </c>
      <c r="S70">
        <f>Q70+IF(F70=0,0,SUMIFS(DATA_TRANSPORT!$T:$T,DATA_TRANSPORT!$A:$A,B70,DATA_TRANSPORT!$E:$E,$B$6,DATA_TRANSPORT!$AD:$AD,$B$7,DATA_TRANSPORT!$U:$U,"Central"))</f>
        <v/>
      </c>
      <c r="T70">
        <f>IF(F70=0,0,SUMIFS(DATA_TRANSPORT!$T:$T,DATA_TRANSPORT!$A:$A,B70,DATA_TRANSPORT!$E:$E,$B$6,DATA_TRANSPORT!$AD:$AD,$B$7,DATA_TRANSPORT!$U:$U,"Members"))</f>
        <v/>
      </c>
      <c r="U70">
        <f>IF(OR(B70="",$B$17),0,SUMIFS(DATA_TRANSPORT_BUDGET!$G:$G,DATA_TRANSPORT_BUDGET!$A:$A,B70,DATA_TRANSPORT_BUDGET!$D:$D,$B$6))</f>
        <v/>
      </c>
      <c r="V70">
        <f>IF(F70=0,0,SUMIFS(DATA_TRANSPORT!$T:$T,DATA_TRANSPORT!$A:$A,B70,DATA_TRANSPORT!$E:$E,$B$6,DATA_TRANSPORT!$AD:$AD,$B$7,DATA_TRANSPORT!$C:$C,"FT Procured"))</f>
        <v/>
      </c>
      <c r="W70">
        <f>IF(F70=0,0,COUNTIFS(DATA_TRANSPORT!$A:$A,B70,DATA_TRANSPORT!$E:$E,$B$6,DATA_TRANSPORT!$AD:$AD,$B$7,DATA_TRANSPORT!$V:$V,"Breakdown"))</f>
        <v/>
      </c>
      <c r="X70">
        <f>IF(M70=0,0,N70/M70)</f>
        <v/>
      </c>
      <c r="Y70">
        <f>IF(F70&gt;0,1,0)</f>
        <v/>
      </c>
      <c r="Z70">
        <f>IF(AND(A70&gt;=1,A70&lt;=$B$11),Y70,0)</f>
        <v/>
      </c>
      <c r="AA70">
        <f>IF(AND(C70=$B$12,E70=$B$14),Y70,0)</f>
        <v/>
      </c>
      <c r="AB70">
        <f>IF(AND(D70=$B$13,E70=$B$14),Y70,0)</f>
        <v/>
      </c>
      <c r="AC70">
        <f>IF(E70=$B$14,Y70,0)</f>
        <v/>
      </c>
      <c r="AE70">
        <f>IFERROR(IF(INDEX(MASTER_AREAS!$F:$F,69)="N","",INDEX(MASTER_AREAS!$B:$B,69)&amp;""),"")</f>
        <v/>
      </c>
      <c r="AF70">
        <f>IF(OR(AE70="",$B$10=0),0,SUMIFS(DATA_TRANSPORT!$Q:$Q,DATA_TRANSPORT!$A:$A,$B$10,DATA_TRANSPORT!$E:$E,AE70))</f>
        <v/>
      </c>
      <c r="AG70">
        <f>IF(OR(AE70="",$B$10=0),0,SUMIFS(DATA_TRANSPORT!$I:$I,DATA_TRANSPORT!$A:$A,$B$10,DATA_TRANSPORT!$E:$E,AE70,DATA_TRANSPORT!$V:$V,"Ran"))</f>
        <v/>
      </c>
      <c r="AH70">
        <f>IF(OR(AE70="",$B$10=0),0,SUMIFS(DATA_TRANSPORT!$L:$L,DATA_TRANSPORT!$A:$A,$B$10,DATA_TRANSPORT!$E:$E,AE70))</f>
        <v/>
      </c>
      <c r="AI70">
        <f>IF(OR(AE70="",$B$10=0),0,SUMIFS(DATA_TRANSPORT!$R:$R,DATA_TRANSPORT!$A:$A,$B$10,DATA_TRANSPORT!$E:$E,AE70))</f>
        <v/>
      </c>
      <c r="AJ70">
        <f>IF(OR(AE70="",$B$10=0),0,SUMIFS(DATA_TRANSPORT!$S:$S,DATA_TRANSPORT!$A:$A,$B$10,DATA_TRANSPORT!$E:$E,AE70))</f>
        <v/>
      </c>
      <c r="AK70">
        <f>IF(AH70=0,"",AI70/AH70)</f>
        <v/>
      </c>
      <c r="AL70">
        <f>IF(OR(AE70="",$B$10=0),0,SUMIFS(DATA_TRANSPORT!$T:$T,DATA_TRANSPORT!$A:$A,$B$10,DATA_TRANSPORT!$E:$E,AE70))+IF(OR(AE70="",$B$10=0),0,SUMIFS(DATA_TRANSPORT_COSTS!$M:$M,DATA_TRANSPORT_COSTS!$A:$A,$B$10,DATA_TRANSPORT_COSTS!$D:$D,AE70))</f>
        <v/>
      </c>
      <c r="AM70">
        <f>IF(OR(AF70=0,AL70=0),"",AL70/AF70)</f>
        <v/>
      </c>
      <c r="AN70">
        <f>IF(OR(AE70="",$B$10=0),0,SUMIFS(DATA_TRANSPORT!$T:$T,DATA_TRANSPORT!$A:$A,$B$10,DATA_TRANSPORT!$E:$E,AE70,DATA_TRANSPORT!$C:$C,"FT Procured"))</f>
        <v/>
      </c>
      <c r="AO70">
        <f>IF(OR(AE70="",$B$10=0),0,SUMIFS(DATA_TRANSPORT_BUDGET!$G:$G,DATA_TRANSPORT_BUDGET!$A:$A,$B$10,DATA_TRANSPORT_BUDGET!$D:$D,AE70))</f>
        <v/>
      </c>
      <c r="AP70">
        <f>IF(AO70=0,"",AN70-AO70)</f>
        <v/>
      </c>
      <c r="AQ70">
        <f>IF(OR(AE70="",$B$10=0),0,COUNTIFS(DATA_TRANSPORT!$A:$A,$B$10,DATA_TRANSPORT!$E:$E,AE70,DATA_TRANSPORT!$C:$C,"FT Procured",DATA_TRANSPORT!$Z:$Z,"Y"))</f>
        <v/>
      </c>
      <c r="AR70">
        <f>IF(OR(AE70="",$B$10=0),0,SUMIFS(DATA_TRANSPORT_BUDGET!$E:$E,DATA_TRANSPORT_BUDGET!$A:$A,$B$10,DATA_TRANSPORT_BUDGET!$D:$D,AE70))</f>
        <v/>
      </c>
      <c r="AS70">
        <f>IF(OR(AE70="",$B$10=0),0,COUNTIFS(DATA_TRANSPORT!$A:$A,$B$10,DATA_TRANSPORT!$E:$E,AE70,DATA_TRANSPORT!$V:$V,"Breakdown"))</f>
        <v/>
      </c>
      <c r="AT70">
        <f>IF(IF(OR(AE70="",$B$10=0),0,SUMIFS(DATA_TRANSPORT!$L:$L,DATA_TRANSPORT!$A:$A,$B$10-7,DATA_TRANSPORT!$E:$E,AE70))=0,"",IF(OR(AE70="",$B$10=0),0,SUMIFS(DATA_TRANSPORT!$R:$R,DATA_TRANSPORT!$A:$A,$B$10-7,DATA_TRANSPORT!$E:$E,AE70))/IF(OR(AE70="",$B$10=0),0,SUMIFS(DATA_TRANSPORT!$L:$L,DATA_TRANSPORT!$A:$A,$B$10-7,DATA_TRANSPORT!$E:$E,AE70)))</f>
        <v/>
      </c>
      <c r="AU70">
        <f>IF(IF(OR(AE70="",$B$10=0),0,SUMIFS(DATA_TRANSPORT!$L:$L,DATA_TRANSPORT!$A:$A,$B$10-14,DATA_TRANSPORT!$E:$E,AE70))=0,"",IF(OR(AE70="",$B$10=0),0,SUMIFS(DATA_TRANSPORT!$R:$R,DATA_TRANSPORT!$A:$A,$B$10-14,DATA_TRANSPORT!$E:$E,AE70))/IF(OR(AE70="",$B$10=0),0,SUMIFS(DATA_TRANSPORT!$L:$L,DATA_TRANSPORT!$A:$A,$B$10-14,DATA_TRANSPORT!$E:$E,AE70)))</f>
        <v/>
      </c>
      <c r="AV70">
        <f>IF(IF(OR(AE70="",$B$10=0),0,SUMIFS(DATA_TRANSPORT!$L:$L,DATA_TRANSPORT!$A:$A,$B$10-21,DATA_TRANSPORT!$E:$E,AE70))=0,"",IF(OR(AE70="",$B$10=0),0,SUMIFS(DATA_TRANSPORT!$R:$R,DATA_TRANSPORT!$A:$A,$B$10-21,DATA_TRANSPORT!$E:$E,AE70))/IF(OR(AE70="",$B$10=0),0,SUMIFS(DATA_TRANSPORT!$L:$L,DATA_TRANSPORT!$A:$A,$B$10-21,DATA_TRANSPORT!$E:$E,AE70)))</f>
        <v/>
      </c>
      <c r="AW70">
        <f>IF(AND(ISNUMBER(AK70),AK70&lt;UtilLow),1,0)+IF(AND(ISNUMBER(AT70),AT70&lt;UtilLow),1,0)+IF(AND(ISNUMBER(AU70),AU70&lt;UtilLow),1,0)+IF(AND(ISNUMBER(AV70),AV70&lt;UtilLow),1,0)</f>
        <v/>
      </c>
      <c r="AX70">
        <f>IF(AW70&gt;=UtilLowWeeks,AE70&amp;": seats only "&amp;TEXT(AK70,"0%")&amp;" full, under "&amp;TEXT(UtilLow,"0%")&amp;" for "&amp;AW70&amp;" weeks running",IF(AND(AH70&gt;0,AJ70&gt;=AH70*ExcessShare),AE70&amp;": "&amp;TEXT(AJ70,"#,##0")&amp;" riders beyond the seats — consider more buses",IF(AND(ISNUMBER(AP70),AP70&gt;0),AE70&amp;": FT spend ₦"&amp;TEXT(AP70,"#,##0")&amp;" over the weekly budget",IF(AS70&gt;0,AE70&amp;": "&amp;AS70&amp;" coaster breakdown(s) this week",""))))</f>
        <v/>
      </c>
      <c r="AY70">
        <f>IF(ISNUMBER(AK70),AK70+ROW()/1000000000,"")</f>
        <v/>
      </c>
      <c r="AZ70">
        <f>IF(ISNUMBER(AM70),AM70+ROW()/1000000,"")</f>
        <v/>
      </c>
      <c r="BA70">
        <f>IF(AND(ISNUMBER(AP70),AP70&gt;0),AP70+ROW()/1000000,"")</f>
        <v/>
      </c>
      <c r="BB70">
        <f>IF(AF70&gt;0,AF70+ROW()/1000000,"")</f>
        <v/>
      </c>
      <c r="BC70">
        <f>IF(AX70="","",ROW())</f>
        <v/>
      </c>
      <c r="BD70">
        <f>IF(AJ70&gt;0,AJ70+ROW()/1000000,"")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IF(B71="",0,COUNTIFS(DATA_TRANSPORT!$A:$A,B71,DATA_TRANSPORT!$E:$E,$B$6,DATA_TRANSPORT!$AD:$AD,$B$7))</f>
        <v/>
      </c>
      <c r="G71">
        <f>IF(F71=0,0,SUMIFS(DATA_TRANSPORT!$Q:$Q,DATA_TRANSPORT!$A:$A,B71,DATA_TRANSPORT!$E:$E,$B$6,DATA_TRANSPORT!$AD:$AD,$B$7))</f>
        <v/>
      </c>
      <c r="H71">
        <f>IF(F71=0,0,SUMIFS(DATA_TRANSPORT!$M:$M,DATA_TRANSPORT!$A:$A,B71,DATA_TRANSPORT!$E:$E,$B$6,DATA_TRANSPORT!$AD:$AD,$B$7))</f>
        <v/>
      </c>
      <c r="I71">
        <f>IF(F71=0,0,SUMIFS(DATA_TRANSPORT!$N:$N,DATA_TRANSPORT!$A:$A,B71,DATA_TRANSPORT!$E:$E,$B$6,DATA_TRANSPORT!$AD:$AD,$B$7))</f>
        <v/>
      </c>
      <c r="J71">
        <f>IF(F71=0,0,SUMIFS(DATA_TRANSPORT!$P:$P,DATA_TRANSPORT!$A:$A,B71,DATA_TRANSPORT!$E:$E,$B$6,DATA_TRANSPORT!$AD:$AD,$B$7))</f>
        <v/>
      </c>
      <c r="K71">
        <f>IF(F71=0,0,SUMIFS(DATA_TRANSPORT!$I:$I,DATA_TRANSPORT!$A:$A,B71,DATA_TRANSPORT!$E:$E,$B$6,DATA_TRANSPORT!$AD:$AD,$B$7))</f>
        <v/>
      </c>
      <c r="L71">
        <f>IF(F71=0,0,SUMIFS(DATA_TRANSPORT!$I:$I,DATA_TRANSPORT!$A:$A,B71,DATA_TRANSPORT!$E:$E,$B$6,DATA_TRANSPORT!$AD:$AD,$B$7,DATA_TRANSPORT!$V:$V,"Ran"))</f>
        <v/>
      </c>
      <c r="M71">
        <f>IF(F71=0,0,SUMIFS(DATA_TRANSPORT!$L:$L,DATA_TRANSPORT!$A:$A,B71,DATA_TRANSPORT!$E:$E,$B$6,DATA_TRANSPORT!$AD:$AD,$B$7))</f>
        <v/>
      </c>
      <c r="N71">
        <f>IF(F71=0,0,SUMIFS(DATA_TRANSPORT!$R:$R,DATA_TRANSPORT!$A:$A,B71,DATA_TRANSPORT!$E:$E,$B$6,DATA_TRANSPORT!$AD:$AD,$B$7))</f>
        <v/>
      </c>
      <c r="O71">
        <f>IF(F71=0,0,SUMIFS(DATA_TRANSPORT!$S:$S,DATA_TRANSPORT!$A:$A,B71,DATA_TRANSPORT!$E:$E,$B$6,DATA_TRANSPORT!$AD:$AD,$B$7))</f>
        <v/>
      </c>
      <c r="P71">
        <f>IF(F71=0,0,SUMIFS(DATA_TRANSPORT!$T:$T,DATA_TRANSPORT!$A:$A,B71,DATA_TRANSPORT!$E:$E,$B$6,DATA_TRANSPORT!$AD:$AD,$B$7))</f>
        <v/>
      </c>
      <c r="Q71">
        <f>IF(OR(B71="",$B$17),0,SUMIFS(DATA_TRANSPORT_COSTS!$M:$M,DATA_TRANSPORT_COSTS!$A:$A,B71,DATA_TRANSPORT_COSTS!$D:$D,$B$6))</f>
        <v/>
      </c>
      <c r="R71">
        <f>P71+Q71</f>
        <v/>
      </c>
      <c r="S71">
        <f>Q71+IF(F71=0,0,SUMIFS(DATA_TRANSPORT!$T:$T,DATA_TRANSPORT!$A:$A,B71,DATA_TRANSPORT!$E:$E,$B$6,DATA_TRANSPORT!$AD:$AD,$B$7,DATA_TRANSPORT!$U:$U,"Central"))</f>
        <v/>
      </c>
      <c r="T71">
        <f>IF(F71=0,0,SUMIFS(DATA_TRANSPORT!$T:$T,DATA_TRANSPORT!$A:$A,B71,DATA_TRANSPORT!$E:$E,$B$6,DATA_TRANSPORT!$AD:$AD,$B$7,DATA_TRANSPORT!$U:$U,"Members"))</f>
        <v/>
      </c>
      <c r="U71">
        <f>IF(OR(B71="",$B$17),0,SUMIFS(DATA_TRANSPORT_BUDGET!$G:$G,DATA_TRANSPORT_BUDGET!$A:$A,B71,DATA_TRANSPORT_BUDGET!$D:$D,$B$6))</f>
        <v/>
      </c>
      <c r="V71">
        <f>IF(F71=0,0,SUMIFS(DATA_TRANSPORT!$T:$T,DATA_TRANSPORT!$A:$A,B71,DATA_TRANSPORT!$E:$E,$B$6,DATA_TRANSPORT!$AD:$AD,$B$7,DATA_TRANSPORT!$C:$C,"FT Procured"))</f>
        <v/>
      </c>
      <c r="W71">
        <f>IF(F71=0,0,COUNTIFS(DATA_TRANSPORT!$A:$A,B71,DATA_TRANSPORT!$E:$E,$B$6,DATA_TRANSPORT!$AD:$AD,$B$7,DATA_TRANSPORT!$V:$V,"Breakdown"))</f>
        <v/>
      </c>
      <c r="X71">
        <f>IF(M71=0,0,N71/M71)</f>
        <v/>
      </c>
      <c r="Y71">
        <f>IF(F71&gt;0,1,0)</f>
        <v/>
      </c>
      <c r="Z71">
        <f>IF(AND(A71&gt;=1,A71&lt;=$B$11),Y71,0)</f>
        <v/>
      </c>
      <c r="AA71">
        <f>IF(AND(C71=$B$12,E71=$B$14),Y71,0)</f>
        <v/>
      </c>
      <c r="AB71">
        <f>IF(AND(D71=$B$13,E71=$B$14),Y71,0)</f>
        <v/>
      </c>
      <c r="AC71">
        <f>IF(E71=$B$14,Y71,0)</f>
        <v/>
      </c>
      <c r="AE71">
        <f>IFERROR(IF(INDEX(MASTER_AREAS!$F:$F,70)="N","",INDEX(MASTER_AREAS!$B:$B,70)&amp;""),"")</f>
        <v/>
      </c>
      <c r="AF71">
        <f>IF(OR(AE71="",$B$10=0),0,SUMIFS(DATA_TRANSPORT!$Q:$Q,DATA_TRANSPORT!$A:$A,$B$10,DATA_TRANSPORT!$E:$E,AE71))</f>
        <v/>
      </c>
      <c r="AG71">
        <f>IF(OR(AE71="",$B$10=0),0,SUMIFS(DATA_TRANSPORT!$I:$I,DATA_TRANSPORT!$A:$A,$B$10,DATA_TRANSPORT!$E:$E,AE71,DATA_TRANSPORT!$V:$V,"Ran"))</f>
        <v/>
      </c>
      <c r="AH71">
        <f>IF(OR(AE71="",$B$10=0),0,SUMIFS(DATA_TRANSPORT!$L:$L,DATA_TRANSPORT!$A:$A,$B$10,DATA_TRANSPORT!$E:$E,AE71))</f>
        <v/>
      </c>
      <c r="AI71">
        <f>IF(OR(AE71="",$B$10=0),0,SUMIFS(DATA_TRANSPORT!$R:$R,DATA_TRANSPORT!$A:$A,$B$10,DATA_TRANSPORT!$E:$E,AE71))</f>
        <v/>
      </c>
      <c r="AJ71">
        <f>IF(OR(AE71="",$B$10=0),0,SUMIFS(DATA_TRANSPORT!$S:$S,DATA_TRANSPORT!$A:$A,$B$10,DATA_TRANSPORT!$E:$E,AE71))</f>
        <v/>
      </c>
      <c r="AK71">
        <f>IF(AH71=0,"",AI71/AH71)</f>
        <v/>
      </c>
      <c r="AL71">
        <f>IF(OR(AE71="",$B$10=0),0,SUMIFS(DATA_TRANSPORT!$T:$T,DATA_TRANSPORT!$A:$A,$B$10,DATA_TRANSPORT!$E:$E,AE71))+IF(OR(AE71="",$B$10=0),0,SUMIFS(DATA_TRANSPORT_COSTS!$M:$M,DATA_TRANSPORT_COSTS!$A:$A,$B$10,DATA_TRANSPORT_COSTS!$D:$D,AE71))</f>
        <v/>
      </c>
      <c r="AM71">
        <f>IF(OR(AF71=0,AL71=0),"",AL71/AF71)</f>
        <v/>
      </c>
      <c r="AN71">
        <f>IF(OR(AE71="",$B$10=0),0,SUMIFS(DATA_TRANSPORT!$T:$T,DATA_TRANSPORT!$A:$A,$B$10,DATA_TRANSPORT!$E:$E,AE71,DATA_TRANSPORT!$C:$C,"FT Procured"))</f>
        <v/>
      </c>
      <c r="AO71">
        <f>IF(OR(AE71="",$B$10=0),0,SUMIFS(DATA_TRANSPORT_BUDGET!$G:$G,DATA_TRANSPORT_BUDGET!$A:$A,$B$10,DATA_TRANSPORT_BUDGET!$D:$D,AE71))</f>
        <v/>
      </c>
      <c r="AP71">
        <f>IF(AO71=0,"",AN71-AO71)</f>
        <v/>
      </c>
      <c r="AQ71">
        <f>IF(OR(AE71="",$B$10=0),0,COUNTIFS(DATA_TRANSPORT!$A:$A,$B$10,DATA_TRANSPORT!$E:$E,AE71,DATA_TRANSPORT!$C:$C,"FT Procured",DATA_TRANSPORT!$Z:$Z,"Y"))</f>
        <v/>
      </c>
      <c r="AR71">
        <f>IF(OR(AE71="",$B$10=0),0,SUMIFS(DATA_TRANSPORT_BUDGET!$E:$E,DATA_TRANSPORT_BUDGET!$A:$A,$B$10,DATA_TRANSPORT_BUDGET!$D:$D,AE71))</f>
        <v/>
      </c>
      <c r="AS71">
        <f>IF(OR(AE71="",$B$10=0),0,COUNTIFS(DATA_TRANSPORT!$A:$A,$B$10,DATA_TRANSPORT!$E:$E,AE71,DATA_TRANSPORT!$V:$V,"Breakdown"))</f>
        <v/>
      </c>
      <c r="AT71">
        <f>IF(IF(OR(AE71="",$B$10=0),0,SUMIFS(DATA_TRANSPORT!$L:$L,DATA_TRANSPORT!$A:$A,$B$10-7,DATA_TRANSPORT!$E:$E,AE71))=0,"",IF(OR(AE71="",$B$10=0),0,SUMIFS(DATA_TRANSPORT!$R:$R,DATA_TRANSPORT!$A:$A,$B$10-7,DATA_TRANSPORT!$E:$E,AE71))/IF(OR(AE71="",$B$10=0),0,SUMIFS(DATA_TRANSPORT!$L:$L,DATA_TRANSPORT!$A:$A,$B$10-7,DATA_TRANSPORT!$E:$E,AE71)))</f>
        <v/>
      </c>
      <c r="AU71">
        <f>IF(IF(OR(AE71="",$B$10=0),0,SUMIFS(DATA_TRANSPORT!$L:$L,DATA_TRANSPORT!$A:$A,$B$10-14,DATA_TRANSPORT!$E:$E,AE71))=0,"",IF(OR(AE71="",$B$10=0),0,SUMIFS(DATA_TRANSPORT!$R:$R,DATA_TRANSPORT!$A:$A,$B$10-14,DATA_TRANSPORT!$E:$E,AE71))/IF(OR(AE71="",$B$10=0),0,SUMIFS(DATA_TRANSPORT!$L:$L,DATA_TRANSPORT!$A:$A,$B$10-14,DATA_TRANSPORT!$E:$E,AE71)))</f>
        <v/>
      </c>
      <c r="AV71">
        <f>IF(IF(OR(AE71="",$B$10=0),0,SUMIFS(DATA_TRANSPORT!$L:$L,DATA_TRANSPORT!$A:$A,$B$10-21,DATA_TRANSPORT!$E:$E,AE71))=0,"",IF(OR(AE71="",$B$10=0),0,SUMIFS(DATA_TRANSPORT!$R:$R,DATA_TRANSPORT!$A:$A,$B$10-21,DATA_TRANSPORT!$E:$E,AE71))/IF(OR(AE71="",$B$10=0),0,SUMIFS(DATA_TRANSPORT!$L:$L,DATA_TRANSPORT!$A:$A,$B$10-21,DATA_TRANSPORT!$E:$E,AE71)))</f>
        <v/>
      </c>
      <c r="AW71">
        <f>IF(AND(ISNUMBER(AK71),AK71&lt;UtilLow),1,0)+IF(AND(ISNUMBER(AT71),AT71&lt;UtilLow),1,0)+IF(AND(ISNUMBER(AU71),AU71&lt;UtilLow),1,0)+IF(AND(ISNUMBER(AV71),AV71&lt;UtilLow),1,0)</f>
        <v/>
      </c>
      <c r="AX71">
        <f>IF(AW71&gt;=UtilLowWeeks,AE71&amp;": seats only "&amp;TEXT(AK71,"0%")&amp;" full, under "&amp;TEXT(UtilLow,"0%")&amp;" for "&amp;AW71&amp;" weeks running",IF(AND(AH71&gt;0,AJ71&gt;=AH71*ExcessShare),AE71&amp;": "&amp;TEXT(AJ71,"#,##0")&amp;" riders beyond the seats — consider more buses",IF(AND(ISNUMBER(AP71),AP71&gt;0),AE71&amp;": FT spend ₦"&amp;TEXT(AP71,"#,##0")&amp;" over the weekly budget",IF(AS71&gt;0,AE71&amp;": "&amp;AS71&amp;" coaster breakdown(s) this week",""))))</f>
        <v/>
      </c>
      <c r="AY71">
        <f>IF(ISNUMBER(AK71),AK71+ROW()/1000000000,"")</f>
        <v/>
      </c>
      <c r="AZ71">
        <f>IF(ISNUMBER(AM71),AM71+ROW()/1000000,"")</f>
        <v/>
      </c>
      <c r="BA71">
        <f>IF(AND(ISNUMBER(AP71),AP71&gt;0),AP71+ROW()/1000000,"")</f>
        <v/>
      </c>
      <c r="BB71">
        <f>IF(AF71&gt;0,AF71+ROW()/1000000,"")</f>
        <v/>
      </c>
      <c r="BC71">
        <f>IF(AX71="","",ROW())</f>
        <v/>
      </c>
      <c r="BD71">
        <f>IF(AJ71&gt;0,AJ71+ROW()/1000000,"")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IF(B72="",0,COUNTIFS(DATA_TRANSPORT!$A:$A,B72,DATA_TRANSPORT!$E:$E,$B$6,DATA_TRANSPORT!$AD:$AD,$B$7))</f>
        <v/>
      </c>
      <c r="G72">
        <f>IF(F72=0,0,SUMIFS(DATA_TRANSPORT!$Q:$Q,DATA_TRANSPORT!$A:$A,B72,DATA_TRANSPORT!$E:$E,$B$6,DATA_TRANSPORT!$AD:$AD,$B$7))</f>
        <v/>
      </c>
      <c r="H72">
        <f>IF(F72=0,0,SUMIFS(DATA_TRANSPORT!$M:$M,DATA_TRANSPORT!$A:$A,B72,DATA_TRANSPORT!$E:$E,$B$6,DATA_TRANSPORT!$AD:$AD,$B$7))</f>
        <v/>
      </c>
      <c r="I72">
        <f>IF(F72=0,0,SUMIFS(DATA_TRANSPORT!$N:$N,DATA_TRANSPORT!$A:$A,B72,DATA_TRANSPORT!$E:$E,$B$6,DATA_TRANSPORT!$AD:$AD,$B$7))</f>
        <v/>
      </c>
      <c r="J72">
        <f>IF(F72=0,0,SUMIFS(DATA_TRANSPORT!$P:$P,DATA_TRANSPORT!$A:$A,B72,DATA_TRANSPORT!$E:$E,$B$6,DATA_TRANSPORT!$AD:$AD,$B$7))</f>
        <v/>
      </c>
      <c r="K72">
        <f>IF(F72=0,0,SUMIFS(DATA_TRANSPORT!$I:$I,DATA_TRANSPORT!$A:$A,B72,DATA_TRANSPORT!$E:$E,$B$6,DATA_TRANSPORT!$AD:$AD,$B$7))</f>
        <v/>
      </c>
      <c r="L72">
        <f>IF(F72=0,0,SUMIFS(DATA_TRANSPORT!$I:$I,DATA_TRANSPORT!$A:$A,B72,DATA_TRANSPORT!$E:$E,$B$6,DATA_TRANSPORT!$AD:$AD,$B$7,DATA_TRANSPORT!$V:$V,"Ran"))</f>
        <v/>
      </c>
      <c r="M72">
        <f>IF(F72=0,0,SUMIFS(DATA_TRANSPORT!$L:$L,DATA_TRANSPORT!$A:$A,B72,DATA_TRANSPORT!$E:$E,$B$6,DATA_TRANSPORT!$AD:$AD,$B$7))</f>
        <v/>
      </c>
      <c r="N72">
        <f>IF(F72=0,0,SUMIFS(DATA_TRANSPORT!$R:$R,DATA_TRANSPORT!$A:$A,B72,DATA_TRANSPORT!$E:$E,$B$6,DATA_TRANSPORT!$AD:$AD,$B$7))</f>
        <v/>
      </c>
      <c r="O72">
        <f>IF(F72=0,0,SUMIFS(DATA_TRANSPORT!$S:$S,DATA_TRANSPORT!$A:$A,B72,DATA_TRANSPORT!$E:$E,$B$6,DATA_TRANSPORT!$AD:$AD,$B$7))</f>
        <v/>
      </c>
      <c r="P72">
        <f>IF(F72=0,0,SUMIFS(DATA_TRANSPORT!$T:$T,DATA_TRANSPORT!$A:$A,B72,DATA_TRANSPORT!$E:$E,$B$6,DATA_TRANSPORT!$AD:$AD,$B$7))</f>
        <v/>
      </c>
      <c r="Q72">
        <f>IF(OR(B72="",$B$17),0,SUMIFS(DATA_TRANSPORT_COSTS!$M:$M,DATA_TRANSPORT_COSTS!$A:$A,B72,DATA_TRANSPORT_COSTS!$D:$D,$B$6))</f>
        <v/>
      </c>
      <c r="R72">
        <f>P72+Q72</f>
        <v/>
      </c>
      <c r="S72">
        <f>Q72+IF(F72=0,0,SUMIFS(DATA_TRANSPORT!$T:$T,DATA_TRANSPORT!$A:$A,B72,DATA_TRANSPORT!$E:$E,$B$6,DATA_TRANSPORT!$AD:$AD,$B$7,DATA_TRANSPORT!$U:$U,"Central"))</f>
        <v/>
      </c>
      <c r="T72">
        <f>IF(F72=0,0,SUMIFS(DATA_TRANSPORT!$T:$T,DATA_TRANSPORT!$A:$A,B72,DATA_TRANSPORT!$E:$E,$B$6,DATA_TRANSPORT!$AD:$AD,$B$7,DATA_TRANSPORT!$U:$U,"Members"))</f>
        <v/>
      </c>
      <c r="U72">
        <f>IF(OR(B72="",$B$17),0,SUMIFS(DATA_TRANSPORT_BUDGET!$G:$G,DATA_TRANSPORT_BUDGET!$A:$A,B72,DATA_TRANSPORT_BUDGET!$D:$D,$B$6))</f>
        <v/>
      </c>
      <c r="V72">
        <f>IF(F72=0,0,SUMIFS(DATA_TRANSPORT!$T:$T,DATA_TRANSPORT!$A:$A,B72,DATA_TRANSPORT!$E:$E,$B$6,DATA_TRANSPORT!$AD:$AD,$B$7,DATA_TRANSPORT!$C:$C,"FT Procured"))</f>
        <v/>
      </c>
      <c r="W72">
        <f>IF(F72=0,0,COUNTIFS(DATA_TRANSPORT!$A:$A,B72,DATA_TRANSPORT!$E:$E,$B$6,DATA_TRANSPORT!$AD:$AD,$B$7,DATA_TRANSPORT!$V:$V,"Breakdown"))</f>
        <v/>
      </c>
      <c r="X72">
        <f>IF(M72=0,0,N72/M72)</f>
        <v/>
      </c>
      <c r="Y72">
        <f>IF(F72&gt;0,1,0)</f>
        <v/>
      </c>
      <c r="Z72">
        <f>IF(AND(A72&gt;=1,A72&lt;=$B$11),Y72,0)</f>
        <v/>
      </c>
      <c r="AA72">
        <f>IF(AND(C72=$B$12,E72=$B$14),Y72,0)</f>
        <v/>
      </c>
      <c r="AB72">
        <f>IF(AND(D72=$B$13,E72=$B$14),Y72,0)</f>
        <v/>
      </c>
      <c r="AC72">
        <f>IF(E72=$B$14,Y72,0)</f>
        <v/>
      </c>
      <c r="AE72">
        <f>IFERROR(IF(INDEX(MASTER_AREAS!$F:$F,71)="N","",INDEX(MASTER_AREAS!$B:$B,71)&amp;""),"")</f>
        <v/>
      </c>
      <c r="AF72">
        <f>IF(OR(AE72="",$B$10=0),0,SUMIFS(DATA_TRANSPORT!$Q:$Q,DATA_TRANSPORT!$A:$A,$B$10,DATA_TRANSPORT!$E:$E,AE72))</f>
        <v/>
      </c>
      <c r="AG72">
        <f>IF(OR(AE72="",$B$10=0),0,SUMIFS(DATA_TRANSPORT!$I:$I,DATA_TRANSPORT!$A:$A,$B$10,DATA_TRANSPORT!$E:$E,AE72,DATA_TRANSPORT!$V:$V,"Ran"))</f>
        <v/>
      </c>
      <c r="AH72">
        <f>IF(OR(AE72="",$B$10=0),0,SUMIFS(DATA_TRANSPORT!$L:$L,DATA_TRANSPORT!$A:$A,$B$10,DATA_TRANSPORT!$E:$E,AE72))</f>
        <v/>
      </c>
      <c r="AI72">
        <f>IF(OR(AE72="",$B$10=0),0,SUMIFS(DATA_TRANSPORT!$R:$R,DATA_TRANSPORT!$A:$A,$B$10,DATA_TRANSPORT!$E:$E,AE72))</f>
        <v/>
      </c>
      <c r="AJ72">
        <f>IF(OR(AE72="",$B$10=0),0,SUMIFS(DATA_TRANSPORT!$S:$S,DATA_TRANSPORT!$A:$A,$B$10,DATA_TRANSPORT!$E:$E,AE72))</f>
        <v/>
      </c>
      <c r="AK72">
        <f>IF(AH72=0,"",AI72/AH72)</f>
        <v/>
      </c>
      <c r="AL72">
        <f>IF(OR(AE72="",$B$10=0),0,SUMIFS(DATA_TRANSPORT!$T:$T,DATA_TRANSPORT!$A:$A,$B$10,DATA_TRANSPORT!$E:$E,AE72))+IF(OR(AE72="",$B$10=0),0,SUMIFS(DATA_TRANSPORT_COSTS!$M:$M,DATA_TRANSPORT_COSTS!$A:$A,$B$10,DATA_TRANSPORT_COSTS!$D:$D,AE72))</f>
        <v/>
      </c>
      <c r="AM72">
        <f>IF(OR(AF72=0,AL72=0),"",AL72/AF72)</f>
        <v/>
      </c>
      <c r="AN72">
        <f>IF(OR(AE72="",$B$10=0),0,SUMIFS(DATA_TRANSPORT!$T:$T,DATA_TRANSPORT!$A:$A,$B$10,DATA_TRANSPORT!$E:$E,AE72,DATA_TRANSPORT!$C:$C,"FT Procured"))</f>
        <v/>
      </c>
      <c r="AO72">
        <f>IF(OR(AE72="",$B$10=0),0,SUMIFS(DATA_TRANSPORT_BUDGET!$G:$G,DATA_TRANSPORT_BUDGET!$A:$A,$B$10,DATA_TRANSPORT_BUDGET!$D:$D,AE72))</f>
        <v/>
      </c>
      <c r="AP72">
        <f>IF(AO72=0,"",AN72-AO72)</f>
        <v/>
      </c>
      <c r="AQ72">
        <f>IF(OR(AE72="",$B$10=0),0,COUNTIFS(DATA_TRANSPORT!$A:$A,$B$10,DATA_TRANSPORT!$E:$E,AE72,DATA_TRANSPORT!$C:$C,"FT Procured",DATA_TRANSPORT!$Z:$Z,"Y"))</f>
        <v/>
      </c>
      <c r="AR72">
        <f>IF(OR(AE72="",$B$10=0),0,SUMIFS(DATA_TRANSPORT_BUDGET!$E:$E,DATA_TRANSPORT_BUDGET!$A:$A,$B$10,DATA_TRANSPORT_BUDGET!$D:$D,AE72))</f>
        <v/>
      </c>
      <c r="AS72">
        <f>IF(OR(AE72="",$B$10=0),0,COUNTIFS(DATA_TRANSPORT!$A:$A,$B$10,DATA_TRANSPORT!$E:$E,AE72,DATA_TRANSPORT!$V:$V,"Breakdown"))</f>
        <v/>
      </c>
      <c r="AT72">
        <f>IF(IF(OR(AE72="",$B$10=0),0,SUMIFS(DATA_TRANSPORT!$L:$L,DATA_TRANSPORT!$A:$A,$B$10-7,DATA_TRANSPORT!$E:$E,AE72))=0,"",IF(OR(AE72="",$B$10=0),0,SUMIFS(DATA_TRANSPORT!$R:$R,DATA_TRANSPORT!$A:$A,$B$10-7,DATA_TRANSPORT!$E:$E,AE72))/IF(OR(AE72="",$B$10=0),0,SUMIFS(DATA_TRANSPORT!$L:$L,DATA_TRANSPORT!$A:$A,$B$10-7,DATA_TRANSPORT!$E:$E,AE72)))</f>
        <v/>
      </c>
      <c r="AU72">
        <f>IF(IF(OR(AE72="",$B$10=0),0,SUMIFS(DATA_TRANSPORT!$L:$L,DATA_TRANSPORT!$A:$A,$B$10-14,DATA_TRANSPORT!$E:$E,AE72))=0,"",IF(OR(AE72="",$B$10=0),0,SUMIFS(DATA_TRANSPORT!$R:$R,DATA_TRANSPORT!$A:$A,$B$10-14,DATA_TRANSPORT!$E:$E,AE72))/IF(OR(AE72="",$B$10=0),0,SUMIFS(DATA_TRANSPORT!$L:$L,DATA_TRANSPORT!$A:$A,$B$10-14,DATA_TRANSPORT!$E:$E,AE72)))</f>
        <v/>
      </c>
      <c r="AV72">
        <f>IF(IF(OR(AE72="",$B$10=0),0,SUMIFS(DATA_TRANSPORT!$L:$L,DATA_TRANSPORT!$A:$A,$B$10-21,DATA_TRANSPORT!$E:$E,AE72))=0,"",IF(OR(AE72="",$B$10=0),0,SUMIFS(DATA_TRANSPORT!$R:$R,DATA_TRANSPORT!$A:$A,$B$10-21,DATA_TRANSPORT!$E:$E,AE72))/IF(OR(AE72="",$B$10=0),0,SUMIFS(DATA_TRANSPORT!$L:$L,DATA_TRANSPORT!$A:$A,$B$10-21,DATA_TRANSPORT!$E:$E,AE72)))</f>
        <v/>
      </c>
      <c r="AW72">
        <f>IF(AND(ISNUMBER(AK72),AK72&lt;UtilLow),1,0)+IF(AND(ISNUMBER(AT72),AT72&lt;UtilLow),1,0)+IF(AND(ISNUMBER(AU72),AU72&lt;UtilLow),1,0)+IF(AND(ISNUMBER(AV72),AV72&lt;UtilLow),1,0)</f>
        <v/>
      </c>
      <c r="AX72">
        <f>IF(AW72&gt;=UtilLowWeeks,AE72&amp;": seats only "&amp;TEXT(AK72,"0%")&amp;" full, under "&amp;TEXT(UtilLow,"0%")&amp;" for "&amp;AW72&amp;" weeks running",IF(AND(AH72&gt;0,AJ72&gt;=AH72*ExcessShare),AE72&amp;": "&amp;TEXT(AJ72,"#,##0")&amp;" riders beyond the seats — consider more buses",IF(AND(ISNUMBER(AP72),AP72&gt;0),AE72&amp;": FT spend ₦"&amp;TEXT(AP72,"#,##0")&amp;" over the weekly budget",IF(AS72&gt;0,AE72&amp;": "&amp;AS72&amp;" coaster breakdown(s) this week",""))))</f>
        <v/>
      </c>
      <c r="AY72">
        <f>IF(ISNUMBER(AK72),AK72+ROW()/1000000000,"")</f>
        <v/>
      </c>
      <c r="AZ72">
        <f>IF(ISNUMBER(AM72),AM72+ROW()/1000000,"")</f>
        <v/>
      </c>
      <c r="BA72">
        <f>IF(AND(ISNUMBER(AP72),AP72&gt;0),AP72+ROW()/1000000,"")</f>
        <v/>
      </c>
      <c r="BB72">
        <f>IF(AF72&gt;0,AF72+ROW()/1000000,"")</f>
        <v/>
      </c>
      <c r="BC72">
        <f>IF(AX72="","",ROW())</f>
        <v/>
      </c>
      <c r="BD72">
        <f>IF(AJ72&gt;0,AJ72+ROW()/1000000,"")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IF(B73="",0,COUNTIFS(DATA_TRANSPORT!$A:$A,B73,DATA_TRANSPORT!$E:$E,$B$6,DATA_TRANSPORT!$AD:$AD,$B$7))</f>
        <v/>
      </c>
      <c r="G73">
        <f>IF(F73=0,0,SUMIFS(DATA_TRANSPORT!$Q:$Q,DATA_TRANSPORT!$A:$A,B73,DATA_TRANSPORT!$E:$E,$B$6,DATA_TRANSPORT!$AD:$AD,$B$7))</f>
        <v/>
      </c>
      <c r="H73">
        <f>IF(F73=0,0,SUMIFS(DATA_TRANSPORT!$M:$M,DATA_TRANSPORT!$A:$A,B73,DATA_TRANSPORT!$E:$E,$B$6,DATA_TRANSPORT!$AD:$AD,$B$7))</f>
        <v/>
      </c>
      <c r="I73">
        <f>IF(F73=0,0,SUMIFS(DATA_TRANSPORT!$N:$N,DATA_TRANSPORT!$A:$A,B73,DATA_TRANSPORT!$E:$E,$B$6,DATA_TRANSPORT!$AD:$AD,$B$7))</f>
        <v/>
      </c>
      <c r="J73">
        <f>IF(F73=0,0,SUMIFS(DATA_TRANSPORT!$P:$P,DATA_TRANSPORT!$A:$A,B73,DATA_TRANSPORT!$E:$E,$B$6,DATA_TRANSPORT!$AD:$AD,$B$7))</f>
        <v/>
      </c>
      <c r="K73">
        <f>IF(F73=0,0,SUMIFS(DATA_TRANSPORT!$I:$I,DATA_TRANSPORT!$A:$A,B73,DATA_TRANSPORT!$E:$E,$B$6,DATA_TRANSPORT!$AD:$AD,$B$7))</f>
        <v/>
      </c>
      <c r="L73">
        <f>IF(F73=0,0,SUMIFS(DATA_TRANSPORT!$I:$I,DATA_TRANSPORT!$A:$A,B73,DATA_TRANSPORT!$E:$E,$B$6,DATA_TRANSPORT!$AD:$AD,$B$7,DATA_TRANSPORT!$V:$V,"Ran"))</f>
        <v/>
      </c>
      <c r="M73">
        <f>IF(F73=0,0,SUMIFS(DATA_TRANSPORT!$L:$L,DATA_TRANSPORT!$A:$A,B73,DATA_TRANSPORT!$E:$E,$B$6,DATA_TRANSPORT!$AD:$AD,$B$7))</f>
        <v/>
      </c>
      <c r="N73">
        <f>IF(F73=0,0,SUMIFS(DATA_TRANSPORT!$R:$R,DATA_TRANSPORT!$A:$A,B73,DATA_TRANSPORT!$E:$E,$B$6,DATA_TRANSPORT!$AD:$AD,$B$7))</f>
        <v/>
      </c>
      <c r="O73">
        <f>IF(F73=0,0,SUMIFS(DATA_TRANSPORT!$S:$S,DATA_TRANSPORT!$A:$A,B73,DATA_TRANSPORT!$E:$E,$B$6,DATA_TRANSPORT!$AD:$AD,$B$7))</f>
        <v/>
      </c>
      <c r="P73">
        <f>IF(F73=0,0,SUMIFS(DATA_TRANSPORT!$T:$T,DATA_TRANSPORT!$A:$A,B73,DATA_TRANSPORT!$E:$E,$B$6,DATA_TRANSPORT!$AD:$AD,$B$7))</f>
        <v/>
      </c>
      <c r="Q73">
        <f>IF(OR(B73="",$B$17),0,SUMIFS(DATA_TRANSPORT_COSTS!$M:$M,DATA_TRANSPORT_COSTS!$A:$A,B73,DATA_TRANSPORT_COSTS!$D:$D,$B$6))</f>
        <v/>
      </c>
      <c r="R73">
        <f>P73+Q73</f>
        <v/>
      </c>
      <c r="S73">
        <f>Q73+IF(F73=0,0,SUMIFS(DATA_TRANSPORT!$T:$T,DATA_TRANSPORT!$A:$A,B73,DATA_TRANSPORT!$E:$E,$B$6,DATA_TRANSPORT!$AD:$AD,$B$7,DATA_TRANSPORT!$U:$U,"Central"))</f>
        <v/>
      </c>
      <c r="T73">
        <f>IF(F73=0,0,SUMIFS(DATA_TRANSPORT!$T:$T,DATA_TRANSPORT!$A:$A,B73,DATA_TRANSPORT!$E:$E,$B$6,DATA_TRANSPORT!$AD:$AD,$B$7,DATA_TRANSPORT!$U:$U,"Members"))</f>
        <v/>
      </c>
      <c r="U73">
        <f>IF(OR(B73="",$B$17),0,SUMIFS(DATA_TRANSPORT_BUDGET!$G:$G,DATA_TRANSPORT_BUDGET!$A:$A,B73,DATA_TRANSPORT_BUDGET!$D:$D,$B$6))</f>
        <v/>
      </c>
      <c r="V73">
        <f>IF(F73=0,0,SUMIFS(DATA_TRANSPORT!$T:$T,DATA_TRANSPORT!$A:$A,B73,DATA_TRANSPORT!$E:$E,$B$6,DATA_TRANSPORT!$AD:$AD,$B$7,DATA_TRANSPORT!$C:$C,"FT Procured"))</f>
        <v/>
      </c>
      <c r="W73">
        <f>IF(F73=0,0,COUNTIFS(DATA_TRANSPORT!$A:$A,B73,DATA_TRANSPORT!$E:$E,$B$6,DATA_TRANSPORT!$AD:$AD,$B$7,DATA_TRANSPORT!$V:$V,"Breakdown"))</f>
        <v/>
      </c>
      <c r="X73">
        <f>IF(M73=0,0,N73/M73)</f>
        <v/>
      </c>
      <c r="Y73">
        <f>IF(F73&gt;0,1,0)</f>
        <v/>
      </c>
      <c r="Z73">
        <f>IF(AND(A73&gt;=1,A73&lt;=$B$11),Y73,0)</f>
        <v/>
      </c>
      <c r="AA73">
        <f>IF(AND(C73=$B$12,E73=$B$14),Y73,0)</f>
        <v/>
      </c>
      <c r="AB73">
        <f>IF(AND(D73=$B$13,E73=$B$14),Y73,0)</f>
        <v/>
      </c>
      <c r="AC73">
        <f>IF(E73=$B$14,Y73,0)</f>
        <v/>
      </c>
      <c r="AE73">
        <f>IFERROR(IF(INDEX(MASTER_AREAS!$F:$F,72)="N","",INDEX(MASTER_AREAS!$B:$B,72)&amp;""),"")</f>
        <v/>
      </c>
      <c r="AF73">
        <f>IF(OR(AE73="",$B$10=0),0,SUMIFS(DATA_TRANSPORT!$Q:$Q,DATA_TRANSPORT!$A:$A,$B$10,DATA_TRANSPORT!$E:$E,AE73))</f>
        <v/>
      </c>
      <c r="AG73">
        <f>IF(OR(AE73="",$B$10=0),0,SUMIFS(DATA_TRANSPORT!$I:$I,DATA_TRANSPORT!$A:$A,$B$10,DATA_TRANSPORT!$E:$E,AE73,DATA_TRANSPORT!$V:$V,"Ran"))</f>
        <v/>
      </c>
      <c r="AH73">
        <f>IF(OR(AE73="",$B$10=0),0,SUMIFS(DATA_TRANSPORT!$L:$L,DATA_TRANSPORT!$A:$A,$B$10,DATA_TRANSPORT!$E:$E,AE73))</f>
        <v/>
      </c>
      <c r="AI73">
        <f>IF(OR(AE73="",$B$10=0),0,SUMIFS(DATA_TRANSPORT!$R:$R,DATA_TRANSPORT!$A:$A,$B$10,DATA_TRANSPORT!$E:$E,AE73))</f>
        <v/>
      </c>
      <c r="AJ73">
        <f>IF(OR(AE73="",$B$10=0),0,SUMIFS(DATA_TRANSPORT!$S:$S,DATA_TRANSPORT!$A:$A,$B$10,DATA_TRANSPORT!$E:$E,AE73))</f>
        <v/>
      </c>
      <c r="AK73">
        <f>IF(AH73=0,"",AI73/AH73)</f>
        <v/>
      </c>
      <c r="AL73">
        <f>IF(OR(AE73="",$B$10=0),0,SUMIFS(DATA_TRANSPORT!$T:$T,DATA_TRANSPORT!$A:$A,$B$10,DATA_TRANSPORT!$E:$E,AE73))+IF(OR(AE73="",$B$10=0),0,SUMIFS(DATA_TRANSPORT_COSTS!$M:$M,DATA_TRANSPORT_COSTS!$A:$A,$B$10,DATA_TRANSPORT_COSTS!$D:$D,AE73))</f>
        <v/>
      </c>
      <c r="AM73">
        <f>IF(OR(AF73=0,AL73=0),"",AL73/AF73)</f>
        <v/>
      </c>
      <c r="AN73">
        <f>IF(OR(AE73="",$B$10=0),0,SUMIFS(DATA_TRANSPORT!$T:$T,DATA_TRANSPORT!$A:$A,$B$10,DATA_TRANSPORT!$E:$E,AE73,DATA_TRANSPORT!$C:$C,"FT Procured"))</f>
        <v/>
      </c>
      <c r="AO73">
        <f>IF(OR(AE73="",$B$10=0),0,SUMIFS(DATA_TRANSPORT_BUDGET!$G:$G,DATA_TRANSPORT_BUDGET!$A:$A,$B$10,DATA_TRANSPORT_BUDGET!$D:$D,AE73))</f>
        <v/>
      </c>
      <c r="AP73">
        <f>IF(AO73=0,"",AN73-AO73)</f>
        <v/>
      </c>
      <c r="AQ73">
        <f>IF(OR(AE73="",$B$10=0),0,COUNTIFS(DATA_TRANSPORT!$A:$A,$B$10,DATA_TRANSPORT!$E:$E,AE73,DATA_TRANSPORT!$C:$C,"FT Procured",DATA_TRANSPORT!$Z:$Z,"Y"))</f>
        <v/>
      </c>
      <c r="AR73">
        <f>IF(OR(AE73="",$B$10=0),0,SUMIFS(DATA_TRANSPORT_BUDGET!$E:$E,DATA_TRANSPORT_BUDGET!$A:$A,$B$10,DATA_TRANSPORT_BUDGET!$D:$D,AE73))</f>
        <v/>
      </c>
      <c r="AS73">
        <f>IF(OR(AE73="",$B$10=0),0,COUNTIFS(DATA_TRANSPORT!$A:$A,$B$10,DATA_TRANSPORT!$E:$E,AE73,DATA_TRANSPORT!$V:$V,"Breakdown"))</f>
        <v/>
      </c>
      <c r="AT73">
        <f>IF(IF(OR(AE73="",$B$10=0),0,SUMIFS(DATA_TRANSPORT!$L:$L,DATA_TRANSPORT!$A:$A,$B$10-7,DATA_TRANSPORT!$E:$E,AE73))=0,"",IF(OR(AE73="",$B$10=0),0,SUMIFS(DATA_TRANSPORT!$R:$R,DATA_TRANSPORT!$A:$A,$B$10-7,DATA_TRANSPORT!$E:$E,AE73))/IF(OR(AE73="",$B$10=0),0,SUMIFS(DATA_TRANSPORT!$L:$L,DATA_TRANSPORT!$A:$A,$B$10-7,DATA_TRANSPORT!$E:$E,AE73)))</f>
        <v/>
      </c>
      <c r="AU73">
        <f>IF(IF(OR(AE73="",$B$10=0),0,SUMIFS(DATA_TRANSPORT!$L:$L,DATA_TRANSPORT!$A:$A,$B$10-14,DATA_TRANSPORT!$E:$E,AE73))=0,"",IF(OR(AE73="",$B$10=0),0,SUMIFS(DATA_TRANSPORT!$R:$R,DATA_TRANSPORT!$A:$A,$B$10-14,DATA_TRANSPORT!$E:$E,AE73))/IF(OR(AE73="",$B$10=0),0,SUMIFS(DATA_TRANSPORT!$L:$L,DATA_TRANSPORT!$A:$A,$B$10-14,DATA_TRANSPORT!$E:$E,AE73)))</f>
        <v/>
      </c>
      <c r="AV73">
        <f>IF(IF(OR(AE73="",$B$10=0),0,SUMIFS(DATA_TRANSPORT!$L:$L,DATA_TRANSPORT!$A:$A,$B$10-21,DATA_TRANSPORT!$E:$E,AE73))=0,"",IF(OR(AE73="",$B$10=0),0,SUMIFS(DATA_TRANSPORT!$R:$R,DATA_TRANSPORT!$A:$A,$B$10-21,DATA_TRANSPORT!$E:$E,AE73))/IF(OR(AE73="",$B$10=0),0,SUMIFS(DATA_TRANSPORT!$L:$L,DATA_TRANSPORT!$A:$A,$B$10-21,DATA_TRANSPORT!$E:$E,AE73)))</f>
        <v/>
      </c>
      <c r="AW73">
        <f>IF(AND(ISNUMBER(AK73),AK73&lt;UtilLow),1,0)+IF(AND(ISNUMBER(AT73),AT73&lt;UtilLow),1,0)+IF(AND(ISNUMBER(AU73),AU73&lt;UtilLow),1,0)+IF(AND(ISNUMBER(AV73),AV73&lt;UtilLow),1,0)</f>
        <v/>
      </c>
      <c r="AX73">
        <f>IF(AW73&gt;=UtilLowWeeks,AE73&amp;": seats only "&amp;TEXT(AK73,"0%")&amp;" full, under "&amp;TEXT(UtilLow,"0%")&amp;" for "&amp;AW73&amp;" weeks running",IF(AND(AH73&gt;0,AJ73&gt;=AH73*ExcessShare),AE73&amp;": "&amp;TEXT(AJ73,"#,##0")&amp;" riders beyond the seats — consider more buses",IF(AND(ISNUMBER(AP73),AP73&gt;0),AE73&amp;": FT spend ₦"&amp;TEXT(AP73,"#,##0")&amp;" over the weekly budget",IF(AS73&gt;0,AE73&amp;": "&amp;AS73&amp;" coaster breakdown(s) this week",""))))</f>
        <v/>
      </c>
      <c r="AY73">
        <f>IF(ISNUMBER(AK73),AK73+ROW()/1000000000,"")</f>
        <v/>
      </c>
      <c r="AZ73">
        <f>IF(ISNUMBER(AM73),AM73+ROW()/1000000,"")</f>
        <v/>
      </c>
      <c r="BA73">
        <f>IF(AND(ISNUMBER(AP73),AP73&gt;0),AP73+ROW()/1000000,"")</f>
        <v/>
      </c>
      <c r="BB73">
        <f>IF(AF73&gt;0,AF73+ROW()/1000000,"")</f>
        <v/>
      </c>
      <c r="BC73">
        <f>IF(AX73="","",ROW())</f>
        <v/>
      </c>
      <c r="BD73">
        <f>IF(AJ73&gt;0,AJ73+ROW()/1000000,"")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IF(B74="",0,COUNTIFS(DATA_TRANSPORT!$A:$A,B74,DATA_TRANSPORT!$E:$E,$B$6,DATA_TRANSPORT!$AD:$AD,$B$7))</f>
        <v/>
      </c>
      <c r="G74">
        <f>IF(F74=0,0,SUMIFS(DATA_TRANSPORT!$Q:$Q,DATA_TRANSPORT!$A:$A,B74,DATA_TRANSPORT!$E:$E,$B$6,DATA_TRANSPORT!$AD:$AD,$B$7))</f>
        <v/>
      </c>
      <c r="H74">
        <f>IF(F74=0,0,SUMIFS(DATA_TRANSPORT!$M:$M,DATA_TRANSPORT!$A:$A,B74,DATA_TRANSPORT!$E:$E,$B$6,DATA_TRANSPORT!$AD:$AD,$B$7))</f>
        <v/>
      </c>
      <c r="I74">
        <f>IF(F74=0,0,SUMIFS(DATA_TRANSPORT!$N:$N,DATA_TRANSPORT!$A:$A,B74,DATA_TRANSPORT!$E:$E,$B$6,DATA_TRANSPORT!$AD:$AD,$B$7))</f>
        <v/>
      </c>
      <c r="J74">
        <f>IF(F74=0,0,SUMIFS(DATA_TRANSPORT!$P:$P,DATA_TRANSPORT!$A:$A,B74,DATA_TRANSPORT!$E:$E,$B$6,DATA_TRANSPORT!$AD:$AD,$B$7))</f>
        <v/>
      </c>
      <c r="K74">
        <f>IF(F74=0,0,SUMIFS(DATA_TRANSPORT!$I:$I,DATA_TRANSPORT!$A:$A,B74,DATA_TRANSPORT!$E:$E,$B$6,DATA_TRANSPORT!$AD:$AD,$B$7))</f>
        <v/>
      </c>
      <c r="L74">
        <f>IF(F74=0,0,SUMIFS(DATA_TRANSPORT!$I:$I,DATA_TRANSPORT!$A:$A,B74,DATA_TRANSPORT!$E:$E,$B$6,DATA_TRANSPORT!$AD:$AD,$B$7,DATA_TRANSPORT!$V:$V,"Ran"))</f>
        <v/>
      </c>
      <c r="M74">
        <f>IF(F74=0,0,SUMIFS(DATA_TRANSPORT!$L:$L,DATA_TRANSPORT!$A:$A,B74,DATA_TRANSPORT!$E:$E,$B$6,DATA_TRANSPORT!$AD:$AD,$B$7))</f>
        <v/>
      </c>
      <c r="N74">
        <f>IF(F74=0,0,SUMIFS(DATA_TRANSPORT!$R:$R,DATA_TRANSPORT!$A:$A,B74,DATA_TRANSPORT!$E:$E,$B$6,DATA_TRANSPORT!$AD:$AD,$B$7))</f>
        <v/>
      </c>
      <c r="O74">
        <f>IF(F74=0,0,SUMIFS(DATA_TRANSPORT!$S:$S,DATA_TRANSPORT!$A:$A,B74,DATA_TRANSPORT!$E:$E,$B$6,DATA_TRANSPORT!$AD:$AD,$B$7))</f>
        <v/>
      </c>
      <c r="P74">
        <f>IF(F74=0,0,SUMIFS(DATA_TRANSPORT!$T:$T,DATA_TRANSPORT!$A:$A,B74,DATA_TRANSPORT!$E:$E,$B$6,DATA_TRANSPORT!$AD:$AD,$B$7))</f>
        <v/>
      </c>
      <c r="Q74">
        <f>IF(OR(B74="",$B$17),0,SUMIFS(DATA_TRANSPORT_COSTS!$M:$M,DATA_TRANSPORT_COSTS!$A:$A,B74,DATA_TRANSPORT_COSTS!$D:$D,$B$6))</f>
        <v/>
      </c>
      <c r="R74">
        <f>P74+Q74</f>
        <v/>
      </c>
      <c r="S74">
        <f>Q74+IF(F74=0,0,SUMIFS(DATA_TRANSPORT!$T:$T,DATA_TRANSPORT!$A:$A,B74,DATA_TRANSPORT!$E:$E,$B$6,DATA_TRANSPORT!$AD:$AD,$B$7,DATA_TRANSPORT!$U:$U,"Central"))</f>
        <v/>
      </c>
      <c r="T74">
        <f>IF(F74=0,0,SUMIFS(DATA_TRANSPORT!$T:$T,DATA_TRANSPORT!$A:$A,B74,DATA_TRANSPORT!$E:$E,$B$6,DATA_TRANSPORT!$AD:$AD,$B$7,DATA_TRANSPORT!$U:$U,"Members"))</f>
        <v/>
      </c>
      <c r="U74">
        <f>IF(OR(B74="",$B$17),0,SUMIFS(DATA_TRANSPORT_BUDGET!$G:$G,DATA_TRANSPORT_BUDGET!$A:$A,B74,DATA_TRANSPORT_BUDGET!$D:$D,$B$6))</f>
        <v/>
      </c>
      <c r="V74">
        <f>IF(F74=0,0,SUMIFS(DATA_TRANSPORT!$T:$T,DATA_TRANSPORT!$A:$A,B74,DATA_TRANSPORT!$E:$E,$B$6,DATA_TRANSPORT!$AD:$AD,$B$7,DATA_TRANSPORT!$C:$C,"FT Procured"))</f>
        <v/>
      </c>
      <c r="W74">
        <f>IF(F74=0,0,COUNTIFS(DATA_TRANSPORT!$A:$A,B74,DATA_TRANSPORT!$E:$E,$B$6,DATA_TRANSPORT!$AD:$AD,$B$7,DATA_TRANSPORT!$V:$V,"Breakdown"))</f>
        <v/>
      </c>
      <c r="X74">
        <f>IF(M74=0,0,N74/M74)</f>
        <v/>
      </c>
      <c r="Y74">
        <f>IF(F74&gt;0,1,0)</f>
        <v/>
      </c>
      <c r="Z74">
        <f>IF(AND(A74&gt;=1,A74&lt;=$B$11),Y74,0)</f>
        <v/>
      </c>
      <c r="AA74">
        <f>IF(AND(C74=$B$12,E74=$B$14),Y74,0)</f>
        <v/>
      </c>
      <c r="AB74">
        <f>IF(AND(D74=$B$13,E74=$B$14),Y74,0)</f>
        <v/>
      </c>
      <c r="AC74">
        <f>IF(E74=$B$14,Y74,0)</f>
        <v/>
      </c>
      <c r="AE74">
        <f>IFERROR(IF(INDEX(MASTER_AREAS!$F:$F,73)="N","",INDEX(MASTER_AREAS!$B:$B,73)&amp;""),"")</f>
        <v/>
      </c>
      <c r="AF74">
        <f>IF(OR(AE74="",$B$10=0),0,SUMIFS(DATA_TRANSPORT!$Q:$Q,DATA_TRANSPORT!$A:$A,$B$10,DATA_TRANSPORT!$E:$E,AE74))</f>
        <v/>
      </c>
      <c r="AG74">
        <f>IF(OR(AE74="",$B$10=0),0,SUMIFS(DATA_TRANSPORT!$I:$I,DATA_TRANSPORT!$A:$A,$B$10,DATA_TRANSPORT!$E:$E,AE74,DATA_TRANSPORT!$V:$V,"Ran"))</f>
        <v/>
      </c>
      <c r="AH74">
        <f>IF(OR(AE74="",$B$10=0),0,SUMIFS(DATA_TRANSPORT!$L:$L,DATA_TRANSPORT!$A:$A,$B$10,DATA_TRANSPORT!$E:$E,AE74))</f>
        <v/>
      </c>
      <c r="AI74">
        <f>IF(OR(AE74="",$B$10=0),0,SUMIFS(DATA_TRANSPORT!$R:$R,DATA_TRANSPORT!$A:$A,$B$10,DATA_TRANSPORT!$E:$E,AE74))</f>
        <v/>
      </c>
      <c r="AJ74">
        <f>IF(OR(AE74="",$B$10=0),0,SUMIFS(DATA_TRANSPORT!$S:$S,DATA_TRANSPORT!$A:$A,$B$10,DATA_TRANSPORT!$E:$E,AE74))</f>
        <v/>
      </c>
      <c r="AK74">
        <f>IF(AH74=0,"",AI74/AH74)</f>
        <v/>
      </c>
      <c r="AL74">
        <f>IF(OR(AE74="",$B$10=0),0,SUMIFS(DATA_TRANSPORT!$T:$T,DATA_TRANSPORT!$A:$A,$B$10,DATA_TRANSPORT!$E:$E,AE74))+IF(OR(AE74="",$B$10=0),0,SUMIFS(DATA_TRANSPORT_COSTS!$M:$M,DATA_TRANSPORT_COSTS!$A:$A,$B$10,DATA_TRANSPORT_COSTS!$D:$D,AE74))</f>
        <v/>
      </c>
      <c r="AM74">
        <f>IF(OR(AF74=0,AL74=0),"",AL74/AF74)</f>
        <v/>
      </c>
      <c r="AN74">
        <f>IF(OR(AE74="",$B$10=0),0,SUMIFS(DATA_TRANSPORT!$T:$T,DATA_TRANSPORT!$A:$A,$B$10,DATA_TRANSPORT!$E:$E,AE74,DATA_TRANSPORT!$C:$C,"FT Procured"))</f>
        <v/>
      </c>
      <c r="AO74">
        <f>IF(OR(AE74="",$B$10=0),0,SUMIFS(DATA_TRANSPORT_BUDGET!$G:$G,DATA_TRANSPORT_BUDGET!$A:$A,$B$10,DATA_TRANSPORT_BUDGET!$D:$D,AE74))</f>
        <v/>
      </c>
      <c r="AP74">
        <f>IF(AO74=0,"",AN74-AO74)</f>
        <v/>
      </c>
      <c r="AQ74">
        <f>IF(OR(AE74="",$B$10=0),0,COUNTIFS(DATA_TRANSPORT!$A:$A,$B$10,DATA_TRANSPORT!$E:$E,AE74,DATA_TRANSPORT!$C:$C,"FT Procured",DATA_TRANSPORT!$Z:$Z,"Y"))</f>
        <v/>
      </c>
      <c r="AR74">
        <f>IF(OR(AE74="",$B$10=0),0,SUMIFS(DATA_TRANSPORT_BUDGET!$E:$E,DATA_TRANSPORT_BUDGET!$A:$A,$B$10,DATA_TRANSPORT_BUDGET!$D:$D,AE74))</f>
        <v/>
      </c>
      <c r="AS74">
        <f>IF(OR(AE74="",$B$10=0),0,COUNTIFS(DATA_TRANSPORT!$A:$A,$B$10,DATA_TRANSPORT!$E:$E,AE74,DATA_TRANSPORT!$V:$V,"Breakdown"))</f>
        <v/>
      </c>
      <c r="AT74">
        <f>IF(IF(OR(AE74="",$B$10=0),0,SUMIFS(DATA_TRANSPORT!$L:$L,DATA_TRANSPORT!$A:$A,$B$10-7,DATA_TRANSPORT!$E:$E,AE74))=0,"",IF(OR(AE74="",$B$10=0),0,SUMIFS(DATA_TRANSPORT!$R:$R,DATA_TRANSPORT!$A:$A,$B$10-7,DATA_TRANSPORT!$E:$E,AE74))/IF(OR(AE74="",$B$10=0),0,SUMIFS(DATA_TRANSPORT!$L:$L,DATA_TRANSPORT!$A:$A,$B$10-7,DATA_TRANSPORT!$E:$E,AE74)))</f>
        <v/>
      </c>
      <c r="AU74">
        <f>IF(IF(OR(AE74="",$B$10=0),0,SUMIFS(DATA_TRANSPORT!$L:$L,DATA_TRANSPORT!$A:$A,$B$10-14,DATA_TRANSPORT!$E:$E,AE74))=0,"",IF(OR(AE74="",$B$10=0),0,SUMIFS(DATA_TRANSPORT!$R:$R,DATA_TRANSPORT!$A:$A,$B$10-14,DATA_TRANSPORT!$E:$E,AE74))/IF(OR(AE74="",$B$10=0),0,SUMIFS(DATA_TRANSPORT!$L:$L,DATA_TRANSPORT!$A:$A,$B$10-14,DATA_TRANSPORT!$E:$E,AE74)))</f>
        <v/>
      </c>
      <c r="AV74">
        <f>IF(IF(OR(AE74="",$B$10=0),0,SUMIFS(DATA_TRANSPORT!$L:$L,DATA_TRANSPORT!$A:$A,$B$10-21,DATA_TRANSPORT!$E:$E,AE74))=0,"",IF(OR(AE74="",$B$10=0),0,SUMIFS(DATA_TRANSPORT!$R:$R,DATA_TRANSPORT!$A:$A,$B$10-21,DATA_TRANSPORT!$E:$E,AE74))/IF(OR(AE74="",$B$10=0),0,SUMIFS(DATA_TRANSPORT!$L:$L,DATA_TRANSPORT!$A:$A,$B$10-21,DATA_TRANSPORT!$E:$E,AE74)))</f>
        <v/>
      </c>
      <c r="AW74">
        <f>IF(AND(ISNUMBER(AK74),AK74&lt;UtilLow),1,0)+IF(AND(ISNUMBER(AT74),AT74&lt;UtilLow),1,0)+IF(AND(ISNUMBER(AU74),AU74&lt;UtilLow),1,0)+IF(AND(ISNUMBER(AV74),AV74&lt;UtilLow),1,0)</f>
        <v/>
      </c>
      <c r="AX74">
        <f>IF(AW74&gt;=UtilLowWeeks,AE74&amp;": seats only "&amp;TEXT(AK74,"0%")&amp;" full, under "&amp;TEXT(UtilLow,"0%")&amp;" for "&amp;AW74&amp;" weeks running",IF(AND(AH74&gt;0,AJ74&gt;=AH74*ExcessShare),AE74&amp;": "&amp;TEXT(AJ74,"#,##0")&amp;" riders beyond the seats — consider more buses",IF(AND(ISNUMBER(AP74),AP74&gt;0),AE74&amp;": FT spend ₦"&amp;TEXT(AP74,"#,##0")&amp;" over the weekly budget",IF(AS74&gt;0,AE74&amp;": "&amp;AS74&amp;" coaster breakdown(s) this week",""))))</f>
        <v/>
      </c>
      <c r="AY74">
        <f>IF(ISNUMBER(AK74),AK74+ROW()/1000000000,"")</f>
        <v/>
      </c>
      <c r="AZ74">
        <f>IF(ISNUMBER(AM74),AM74+ROW()/1000000,"")</f>
        <v/>
      </c>
      <c r="BA74">
        <f>IF(AND(ISNUMBER(AP74),AP74&gt;0),AP74+ROW()/1000000,"")</f>
        <v/>
      </c>
      <c r="BB74">
        <f>IF(AF74&gt;0,AF74+ROW()/1000000,"")</f>
        <v/>
      </c>
      <c r="BC74">
        <f>IF(AX74="","",ROW())</f>
        <v/>
      </c>
      <c r="BD74">
        <f>IF(AJ74&gt;0,AJ74+ROW()/1000000,"")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IF(B75="",0,COUNTIFS(DATA_TRANSPORT!$A:$A,B75,DATA_TRANSPORT!$E:$E,$B$6,DATA_TRANSPORT!$AD:$AD,$B$7))</f>
        <v/>
      </c>
      <c r="G75">
        <f>IF(F75=0,0,SUMIFS(DATA_TRANSPORT!$Q:$Q,DATA_TRANSPORT!$A:$A,B75,DATA_TRANSPORT!$E:$E,$B$6,DATA_TRANSPORT!$AD:$AD,$B$7))</f>
        <v/>
      </c>
      <c r="H75">
        <f>IF(F75=0,0,SUMIFS(DATA_TRANSPORT!$M:$M,DATA_TRANSPORT!$A:$A,B75,DATA_TRANSPORT!$E:$E,$B$6,DATA_TRANSPORT!$AD:$AD,$B$7))</f>
        <v/>
      </c>
      <c r="I75">
        <f>IF(F75=0,0,SUMIFS(DATA_TRANSPORT!$N:$N,DATA_TRANSPORT!$A:$A,B75,DATA_TRANSPORT!$E:$E,$B$6,DATA_TRANSPORT!$AD:$AD,$B$7))</f>
        <v/>
      </c>
      <c r="J75">
        <f>IF(F75=0,0,SUMIFS(DATA_TRANSPORT!$P:$P,DATA_TRANSPORT!$A:$A,B75,DATA_TRANSPORT!$E:$E,$B$6,DATA_TRANSPORT!$AD:$AD,$B$7))</f>
        <v/>
      </c>
      <c r="K75">
        <f>IF(F75=0,0,SUMIFS(DATA_TRANSPORT!$I:$I,DATA_TRANSPORT!$A:$A,B75,DATA_TRANSPORT!$E:$E,$B$6,DATA_TRANSPORT!$AD:$AD,$B$7))</f>
        <v/>
      </c>
      <c r="L75">
        <f>IF(F75=0,0,SUMIFS(DATA_TRANSPORT!$I:$I,DATA_TRANSPORT!$A:$A,B75,DATA_TRANSPORT!$E:$E,$B$6,DATA_TRANSPORT!$AD:$AD,$B$7,DATA_TRANSPORT!$V:$V,"Ran"))</f>
        <v/>
      </c>
      <c r="M75">
        <f>IF(F75=0,0,SUMIFS(DATA_TRANSPORT!$L:$L,DATA_TRANSPORT!$A:$A,B75,DATA_TRANSPORT!$E:$E,$B$6,DATA_TRANSPORT!$AD:$AD,$B$7))</f>
        <v/>
      </c>
      <c r="N75">
        <f>IF(F75=0,0,SUMIFS(DATA_TRANSPORT!$R:$R,DATA_TRANSPORT!$A:$A,B75,DATA_TRANSPORT!$E:$E,$B$6,DATA_TRANSPORT!$AD:$AD,$B$7))</f>
        <v/>
      </c>
      <c r="O75">
        <f>IF(F75=0,0,SUMIFS(DATA_TRANSPORT!$S:$S,DATA_TRANSPORT!$A:$A,B75,DATA_TRANSPORT!$E:$E,$B$6,DATA_TRANSPORT!$AD:$AD,$B$7))</f>
        <v/>
      </c>
      <c r="P75">
        <f>IF(F75=0,0,SUMIFS(DATA_TRANSPORT!$T:$T,DATA_TRANSPORT!$A:$A,B75,DATA_TRANSPORT!$E:$E,$B$6,DATA_TRANSPORT!$AD:$AD,$B$7))</f>
        <v/>
      </c>
      <c r="Q75">
        <f>IF(OR(B75="",$B$17),0,SUMIFS(DATA_TRANSPORT_COSTS!$M:$M,DATA_TRANSPORT_COSTS!$A:$A,B75,DATA_TRANSPORT_COSTS!$D:$D,$B$6))</f>
        <v/>
      </c>
      <c r="R75">
        <f>P75+Q75</f>
        <v/>
      </c>
      <c r="S75">
        <f>Q75+IF(F75=0,0,SUMIFS(DATA_TRANSPORT!$T:$T,DATA_TRANSPORT!$A:$A,B75,DATA_TRANSPORT!$E:$E,$B$6,DATA_TRANSPORT!$AD:$AD,$B$7,DATA_TRANSPORT!$U:$U,"Central"))</f>
        <v/>
      </c>
      <c r="T75">
        <f>IF(F75=0,0,SUMIFS(DATA_TRANSPORT!$T:$T,DATA_TRANSPORT!$A:$A,B75,DATA_TRANSPORT!$E:$E,$B$6,DATA_TRANSPORT!$AD:$AD,$B$7,DATA_TRANSPORT!$U:$U,"Members"))</f>
        <v/>
      </c>
      <c r="U75">
        <f>IF(OR(B75="",$B$17),0,SUMIFS(DATA_TRANSPORT_BUDGET!$G:$G,DATA_TRANSPORT_BUDGET!$A:$A,B75,DATA_TRANSPORT_BUDGET!$D:$D,$B$6))</f>
        <v/>
      </c>
      <c r="V75">
        <f>IF(F75=0,0,SUMIFS(DATA_TRANSPORT!$T:$T,DATA_TRANSPORT!$A:$A,B75,DATA_TRANSPORT!$E:$E,$B$6,DATA_TRANSPORT!$AD:$AD,$B$7,DATA_TRANSPORT!$C:$C,"FT Procured"))</f>
        <v/>
      </c>
      <c r="W75">
        <f>IF(F75=0,0,COUNTIFS(DATA_TRANSPORT!$A:$A,B75,DATA_TRANSPORT!$E:$E,$B$6,DATA_TRANSPORT!$AD:$AD,$B$7,DATA_TRANSPORT!$V:$V,"Breakdown"))</f>
        <v/>
      </c>
      <c r="X75">
        <f>IF(M75=0,0,N75/M75)</f>
        <v/>
      </c>
      <c r="Y75">
        <f>IF(F75&gt;0,1,0)</f>
        <v/>
      </c>
      <c r="Z75">
        <f>IF(AND(A75&gt;=1,A75&lt;=$B$11),Y75,0)</f>
        <v/>
      </c>
      <c r="AA75">
        <f>IF(AND(C75=$B$12,E75=$B$14),Y75,0)</f>
        <v/>
      </c>
      <c r="AB75">
        <f>IF(AND(D75=$B$13,E75=$B$14),Y75,0)</f>
        <v/>
      </c>
      <c r="AC75">
        <f>IF(E75=$B$14,Y75,0)</f>
        <v/>
      </c>
      <c r="AE75">
        <f>IFERROR(IF(INDEX(MASTER_AREAS!$F:$F,74)="N","",INDEX(MASTER_AREAS!$B:$B,74)&amp;""),"")</f>
        <v/>
      </c>
      <c r="AF75">
        <f>IF(OR(AE75="",$B$10=0),0,SUMIFS(DATA_TRANSPORT!$Q:$Q,DATA_TRANSPORT!$A:$A,$B$10,DATA_TRANSPORT!$E:$E,AE75))</f>
        <v/>
      </c>
      <c r="AG75">
        <f>IF(OR(AE75="",$B$10=0),0,SUMIFS(DATA_TRANSPORT!$I:$I,DATA_TRANSPORT!$A:$A,$B$10,DATA_TRANSPORT!$E:$E,AE75,DATA_TRANSPORT!$V:$V,"Ran"))</f>
        <v/>
      </c>
      <c r="AH75">
        <f>IF(OR(AE75="",$B$10=0),0,SUMIFS(DATA_TRANSPORT!$L:$L,DATA_TRANSPORT!$A:$A,$B$10,DATA_TRANSPORT!$E:$E,AE75))</f>
        <v/>
      </c>
      <c r="AI75">
        <f>IF(OR(AE75="",$B$10=0),0,SUMIFS(DATA_TRANSPORT!$R:$R,DATA_TRANSPORT!$A:$A,$B$10,DATA_TRANSPORT!$E:$E,AE75))</f>
        <v/>
      </c>
      <c r="AJ75">
        <f>IF(OR(AE75="",$B$10=0),0,SUMIFS(DATA_TRANSPORT!$S:$S,DATA_TRANSPORT!$A:$A,$B$10,DATA_TRANSPORT!$E:$E,AE75))</f>
        <v/>
      </c>
      <c r="AK75">
        <f>IF(AH75=0,"",AI75/AH75)</f>
        <v/>
      </c>
      <c r="AL75">
        <f>IF(OR(AE75="",$B$10=0),0,SUMIFS(DATA_TRANSPORT!$T:$T,DATA_TRANSPORT!$A:$A,$B$10,DATA_TRANSPORT!$E:$E,AE75))+IF(OR(AE75="",$B$10=0),0,SUMIFS(DATA_TRANSPORT_COSTS!$M:$M,DATA_TRANSPORT_COSTS!$A:$A,$B$10,DATA_TRANSPORT_COSTS!$D:$D,AE75))</f>
        <v/>
      </c>
      <c r="AM75">
        <f>IF(OR(AF75=0,AL75=0),"",AL75/AF75)</f>
        <v/>
      </c>
      <c r="AN75">
        <f>IF(OR(AE75="",$B$10=0),0,SUMIFS(DATA_TRANSPORT!$T:$T,DATA_TRANSPORT!$A:$A,$B$10,DATA_TRANSPORT!$E:$E,AE75,DATA_TRANSPORT!$C:$C,"FT Procured"))</f>
        <v/>
      </c>
      <c r="AO75">
        <f>IF(OR(AE75="",$B$10=0),0,SUMIFS(DATA_TRANSPORT_BUDGET!$G:$G,DATA_TRANSPORT_BUDGET!$A:$A,$B$10,DATA_TRANSPORT_BUDGET!$D:$D,AE75))</f>
        <v/>
      </c>
      <c r="AP75">
        <f>IF(AO75=0,"",AN75-AO75)</f>
        <v/>
      </c>
      <c r="AQ75">
        <f>IF(OR(AE75="",$B$10=0),0,COUNTIFS(DATA_TRANSPORT!$A:$A,$B$10,DATA_TRANSPORT!$E:$E,AE75,DATA_TRANSPORT!$C:$C,"FT Procured",DATA_TRANSPORT!$Z:$Z,"Y"))</f>
        <v/>
      </c>
      <c r="AR75">
        <f>IF(OR(AE75="",$B$10=0),0,SUMIFS(DATA_TRANSPORT_BUDGET!$E:$E,DATA_TRANSPORT_BUDGET!$A:$A,$B$10,DATA_TRANSPORT_BUDGET!$D:$D,AE75))</f>
        <v/>
      </c>
      <c r="AS75">
        <f>IF(OR(AE75="",$B$10=0),0,COUNTIFS(DATA_TRANSPORT!$A:$A,$B$10,DATA_TRANSPORT!$E:$E,AE75,DATA_TRANSPORT!$V:$V,"Breakdown"))</f>
        <v/>
      </c>
      <c r="AT75">
        <f>IF(IF(OR(AE75="",$B$10=0),0,SUMIFS(DATA_TRANSPORT!$L:$L,DATA_TRANSPORT!$A:$A,$B$10-7,DATA_TRANSPORT!$E:$E,AE75))=0,"",IF(OR(AE75="",$B$10=0),0,SUMIFS(DATA_TRANSPORT!$R:$R,DATA_TRANSPORT!$A:$A,$B$10-7,DATA_TRANSPORT!$E:$E,AE75))/IF(OR(AE75="",$B$10=0),0,SUMIFS(DATA_TRANSPORT!$L:$L,DATA_TRANSPORT!$A:$A,$B$10-7,DATA_TRANSPORT!$E:$E,AE75)))</f>
        <v/>
      </c>
      <c r="AU75">
        <f>IF(IF(OR(AE75="",$B$10=0),0,SUMIFS(DATA_TRANSPORT!$L:$L,DATA_TRANSPORT!$A:$A,$B$10-14,DATA_TRANSPORT!$E:$E,AE75))=0,"",IF(OR(AE75="",$B$10=0),0,SUMIFS(DATA_TRANSPORT!$R:$R,DATA_TRANSPORT!$A:$A,$B$10-14,DATA_TRANSPORT!$E:$E,AE75))/IF(OR(AE75="",$B$10=0),0,SUMIFS(DATA_TRANSPORT!$L:$L,DATA_TRANSPORT!$A:$A,$B$10-14,DATA_TRANSPORT!$E:$E,AE75)))</f>
        <v/>
      </c>
      <c r="AV75">
        <f>IF(IF(OR(AE75="",$B$10=0),0,SUMIFS(DATA_TRANSPORT!$L:$L,DATA_TRANSPORT!$A:$A,$B$10-21,DATA_TRANSPORT!$E:$E,AE75))=0,"",IF(OR(AE75="",$B$10=0),0,SUMIFS(DATA_TRANSPORT!$R:$R,DATA_TRANSPORT!$A:$A,$B$10-21,DATA_TRANSPORT!$E:$E,AE75))/IF(OR(AE75="",$B$10=0),0,SUMIFS(DATA_TRANSPORT!$L:$L,DATA_TRANSPORT!$A:$A,$B$10-21,DATA_TRANSPORT!$E:$E,AE75)))</f>
        <v/>
      </c>
      <c r="AW75">
        <f>IF(AND(ISNUMBER(AK75),AK75&lt;UtilLow),1,0)+IF(AND(ISNUMBER(AT75),AT75&lt;UtilLow),1,0)+IF(AND(ISNUMBER(AU75),AU75&lt;UtilLow),1,0)+IF(AND(ISNUMBER(AV75),AV75&lt;UtilLow),1,0)</f>
        <v/>
      </c>
      <c r="AX75">
        <f>IF(AW75&gt;=UtilLowWeeks,AE75&amp;": seats only "&amp;TEXT(AK75,"0%")&amp;" full, under "&amp;TEXT(UtilLow,"0%")&amp;" for "&amp;AW75&amp;" weeks running",IF(AND(AH75&gt;0,AJ75&gt;=AH75*ExcessShare),AE75&amp;": "&amp;TEXT(AJ75,"#,##0")&amp;" riders beyond the seats — consider more buses",IF(AND(ISNUMBER(AP75),AP75&gt;0),AE75&amp;": FT spend ₦"&amp;TEXT(AP75,"#,##0")&amp;" over the weekly budget",IF(AS75&gt;0,AE75&amp;": "&amp;AS75&amp;" coaster breakdown(s) this week",""))))</f>
        <v/>
      </c>
      <c r="AY75">
        <f>IF(ISNUMBER(AK75),AK75+ROW()/1000000000,"")</f>
        <v/>
      </c>
      <c r="AZ75">
        <f>IF(ISNUMBER(AM75),AM75+ROW()/1000000,"")</f>
        <v/>
      </c>
      <c r="BA75">
        <f>IF(AND(ISNUMBER(AP75),AP75&gt;0),AP75+ROW()/1000000,"")</f>
        <v/>
      </c>
      <c r="BB75">
        <f>IF(AF75&gt;0,AF75+ROW()/1000000,"")</f>
        <v/>
      </c>
      <c r="BC75">
        <f>IF(AX75="","",ROW())</f>
        <v/>
      </c>
      <c r="BD75">
        <f>IF(AJ75&gt;0,AJ75+ROW()/1000000,"")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IF(B76="",0,COUNTIFS(DATA_TRANSPORT!$A:$A,B76,DATA_TRANSPORT!$E:$E,$B$6,DATA_TRANSPORT!$AD:$AD,$B$7))</f>
        <v/>
      </c>
      <c r="G76">
        <f>IF(F76=0,0,SUMIFS(DATA_TRANSPORT!$Q:$Q,DATA_TRANSPORT!$A:$A,B76,DATA_TRANSPORT!$E:$E,$B$6,DATA_TRANSPORT!$AD:$AD,$B$7))</f>
        <v/>
      </c>
      <c r="H76">
        <f>IF(F76=0,0,SUMIFS(DATA_TRANSPORT!$M:$M,DATA_TRANSPORT!$A:$A,B76,DATA_TRANSPORT!$E:$E,$B$6,DATA_TRANSPORT!$AD:$AD,$B$7))</f>
        <v/>
      </c>
      <c r="I76">
        <f>IF(F76=0,0,SUMIFS(DATA_TRANSPORT!$N:$N,DATA_TRANSPORT!$A:$A,B76,DATA_TRANSPORT!$E:$E,$B$6,DATA_TRANSPORT!$AD:$AD,$B$7))</f>
        <v/>
      </c>
      <c r="J76">
        <f>IF(F76=0,0,SUMIFS(DATA_TRANSPORT!$P:$P,DATA_TRANSPORT!$A:$A,B76,DATA_TRANSPORT!$E:$E,$B$6,DATA_TRANSPORT!$AD:$AD,$B$7))</f>
        <v/>
      </c>
      <c r="K76">
        <f>IF(F76=0,0,SUMIFS(DATA_TRANSPORT!$I:$I,DATA_TRANSPORT!$A:$A,B76,DATA_TRANSPORT!$E:$E,$B$6,DATA_TRANSPORT!$AD:$AD,$B$7))</f>
        <v/>
      </c>
      <c r="L76">
        <f>IF(F76=0,0,SUMIFS(DATA_TRANSPORT!$I:$I,DATA_TRANSPORT!$A:$A,B76,DATA_TRANSPORT!$E:$E,$B$6,DATA_TRANSPORT!$AD:$AD,$B$7,DATA_TRANSPORT!$V:$V,"Ran"))</f>
        <v/>
      </c>
      <c r="M76">
        <f>IF(F76=0,0,SUMIFS(DATA_TRANSPORT!$L:$L,DATA_TRANSPORT!$A:$A,B76,DATA_TRANSPORT!$E:$E,$B$6,DATA_TRANSPORT!$AD:$AD,$B$7))</f>
        <v/>
      </c>
      <c r="N76">
        <f>IF(F76=0,0,SUMIFS(DATA_TRANSPORT!$R:$R,DATA_TRANSPORT!$A:$A,B76,DATA_TRANSPORT!$E:$E,$B$6,DATA_TRANSPORT!$AD:$AD,$B$7))</f>
        <v/>
      </c>
      <c r="O76">
        <f>IF(F76=0,0,SUMIFS(DATA_TRANSPORT!$S:$S,DATA_TRANSPORT!$A:$A,B76,DATA_TRANSPORT!$E:$E,$B$6,DATA_TRANSPORT!$AD:$AD,$B$7))</f>
        <v/>
      </c>
      <c r="P76">
        <f>IF(F76=0,0,SUMIFS(DATA_TRANSPORT!$T:$T,DATA_TRANSPORT!$A:$A,B76,DATA_TRANSPORT!$E:$E,$B$6,DATA_TRANSPORT!$AD:$AD,$B$7))</f>
        <v/>
      </c>
      <c r="Q76">
        <f>IF(OR(B76="",$B$17),0,SUMIFS(DATA_TRANSPORT_COSTS!$M:$M,DATA_TRANSPORT_COSTS!$A:$A,B76,DATA_TRANSPORT_COSTS!$D:$D,$B$6))</f>
        <v/>
      </c>
      <c r="R76">
        <f>P76+Q76</f>
        <v/>
      </c>
      <c r="S76">
        <f>Q76+IF(F76=0,0,SUMIFS(DATA_TRANSPORT!$T:$T,DATA_TRANSPORT!$A:$A,B76,DATA_TRANSPORT!$E:$E,$B$6,DATA_TRANSPORT!$AD:$AD,$B$7,DATA_TRANSPORT!$U:$U,"Central"))</f>
        <v/>
      </c>
      <c r="T76">
        <f>IF(F76=0,0,SUMIFS(DATA_TRANSPORT!$T:$T,DATA_TRANSPORT!$A:$A,B76,DATA_TRANSPORT!$E:$E,$B$6,DATA_TRANSPORT!$AD:$AD,$B$7,DATA_TRANSPORT!$U:$U,"Members"))</f>
        <v/>
      </c>
      <c r="U76">
        <f>IF(OR(B76="",$B$17),0,SUMIFS(DATA_TRANSPORT_BUDGET!$G:$G,DATA_TRANSPORT_BUDGET!$A:$A,B76,DATA_TRANSPORT_BUDGET!$D:$D,$B$6))</f>
        <v/>
      </c>
      <c r="V76">
        <f>IF(F76=0,0,SUMIFS(DATA_TRANSPORT!$T:$T,DATA_TRANSPORT!$A:$A,B76,DATA_TRANSPORT!$E:$E,$B$6,DATA_TRANSPORT!$AD:$AD,$B$7,DATA_TRANSPORT!$C:$C,"FT Procured"))</f>
        <v/>
      </c>
      <c r="W76">
        <f>IF(F76=0,0,COUNTIFS(DATA_TRANSPORT!$A:$A,B76,DATA_TRANSPORT!$E:$E,$B$6,DATA_TRANSPORT!$AD:$AD,$B$7,DATA_TRANSPORT!$V:$V,"Breakdown"))</f>
        <v/>
      </c>
      <c r="X76">
        <f>IF(M76=0,0,N76/M76)</f>
        <v/>
      </c>
      <c r="Y76">
        <f>IF(F76&gt;0,1,0)</f>
        <v/>
      </c>
      <c r="Z76">
        <f>IF(AND(A76&gt;=1,A76&lt;=$B$11),Y76,0)</f>
        <v/>
      </c>
      <c r="AA76">
        <f>IF(AND(C76=$B$12,E76=$B$14),Y76,0)</f>
        <v/>
      </c>
      <c r="AB76">
        <f>IF(AND(D76=$B$13,E76=$B$14),Y76,0)</f>
        <v/>
      </c>
      <c r="AC76">
        <f>IF(E76=$B$14,Y76,0)</f>
        <v/>
      </c>
      <c r="AE76">
        <f>IFERROR(IF(INDEX(MASTER_AREAS!$F:$F,75)="N","",INDEX(MASTER_AREAS!$B:$B,75)&amp;""),"")</f>
        <v/>
      </c>
      <c r="AF76">
        <f>IF(OR(AE76="",$B$10=0),0,SUMIFS(DATA_TRANSPORT!$Q:$Q,DATA_TRANSPORT!$A:$A,$B$10,DATA_TRANSPORT!$E:$E,AE76))</f>
        <v/>
      </c>
      <c r="AG76">
        <f>IF(OR(AE76="",$B$10=0),0,SUMIFS(DATA_TRANSPORT!$I:$I,DATA_TRANSPORT!$A:$A,$B$10,DATA_TRANSPORT!$E:$E,AE76,DATA_TRANSPORT!$V:$V,"Ran"))</f>
        <v/>
      </c>
      <c r="AH76">
        <f>IF(OR(AE76="",$B$10=0),0,SUMIFS(DATA_TRANSPORT!$L:$L,DATA_TRANSPORT!$A:$A,$B$10,DATA_TRANSPORT!$E:$E,AE76))</f>
        <v/>
      </c>
      <c r="AI76">
        <f>IF(OR(AE76="",$B$10=0),0,SUMIFS(DATA_TRANSPORT!$R:$R,DATA_TRANSPORT!$A:$A,$B$10,DATA_TRANSPORT!$E:$E,AE76))</f>
        <v/>
      </c>
      <c r="AJ76">
        <f>IF(OR(AE76="",$B$10=0),0,SUMIFS(DATA_TRANSPORT!$S:$S,DATA_TRANSPORT!$A:$A,$B$10,DATA_TRANSPORT!$E:$E,AE76))</f>
        <v/>
      </c>
      <c r="AK76">
        <f>IF(AH76=0,"",AI76/AH76)</f>
        <v/>
      </c>
      <c r="AL76">
        <f>IF(OR(AE76="",$B$10=0),0,SUMIFS(DATA_TRANSPORT!$T:$T,DATA_TRANSPORT!$A:$A,$B$10,DATA_TRANSPORT!$E:$E,AE76))+IF(OR(AE76="",$B$10=0),0,SUMIFS(DATA_TRANSPORT_COSTS!$M:$M,DATA_TRANSPORT_COSTS!$A:$A,$B$10,DATA_TRANSPORT_COSTS!$D:$D,AE76))</f>
        <v/>
      </c>
      <c r="AM76">
        <f>IF(OR(AF76=0,AL76=0),"",AL76/AF76)</f>
        <v/>
      </c>
      <c r="AN76">
        <f>IF(OR(AE76="",$B$10=0),0,SUMIFS(DATA_TRANSPORT!$T:$T,DATA_TRANSPORT!$A:$A,$B$10,DATA_TRANSPORT!$E:$E,AE76,DATA_TRANSPORT!$C:$C,"FT Procured"))</f>
        <v/>
      </c>
      <c r="AO76">
        <f>IF(OR(AE76="",$B$10=0),0,SUMIFS(DATA_TRANSPORT_BUDGET!$G:$G,DATA_TRANSPORT_BUDGET!$A:$A,$B$10,DATA_TRANSPORT_BUDGET!$D:$D,AE76))</f>
        <v/>
      </c>
      <c r="AP76">
        <f>IF(AO76=0,"",AN76-AO76)</f>
        <v/>
      </c>
      <c r="AQ76">
        <f>IF(OR(AE76="",$B$10=0),0,COUNTIFS(DATA_TRANSPORT!$A:$A,$B$10,DATA_TRANSPORT!$E:$E,AE76,DATA_TRANSPORT!$C:$C,"FT Procured",DATA_TRANSPORT!$Z:$Z,"Y"))</f>
        <v/>
      </c>
      <c r="AR76">
        <f>IF(OR(AE76="",$B$10=0),0,SUMIFS(DATA_TRANSPORT_BUDGET!$E:$E,DATA_TRANSPORT_BUDGET!$A:$A,$B$10,DATA_TRANSPORT_BUDGET!$D:$D,AE76))</f>
        <v/>
      </c>
      <c r="AS76">
        <f>IF(OR(AE76="",$B$10=0),0,COUNTIFS(DATA_TRANSPORT!$A:$A,$B$10,DATA_TRANSPORT!$E:$E,AE76,DATA_TRANSPORT!$V:$V,"Breakdown"))</f>
        <v/>
      </c>
      <c r="AT76">
        <f>IF(IF(OR(AE76="",$B$10=0),0,SUMIFS(DATA_TRANSPORT!$L:$L,DATA_TRANSPORT!$A:$A,$B$10-7,DATA_TRANSPORT!$E:$E,AE76))=0,"",IF(OR(AE76="",$B$10=0),0,SUMIFS(DATA_TRANSPORT!$R:$R,DATA_TRANSPORT!$A:$A,$B$10-7,DATA_TRANSPORT!$E:$E,AE76))/IF(OR(AE76="",$B$10=0),0,SUMIFS(DATA_TRANSPORT!$L:$L,DATA_TRANSPORT!$A:$A,$B$10-7,DATA_TRANSPORT!$E:$E,AE76)))</f>
        <v/>
      </c>
      <c r="AU76">
        <f>IF(IF(OR(AE76="",$B$10=0),0,SUMIFS(DATA_TRANSPORT!$L:$L,DATA_TRANSPORT!$A:$A,$B$10-14,DATA_TRANSPORT!$E:$E,AE76))=0,"",IF(OR(AE76="",$B$10=0),0,SUMIFS(DATA_TRANSPORT!$R:$R,DATA_TRANSPORT!$A:$A,$B$10-14,DATA_TRANSPORT!$E:$E,AE76))/IF(OR(AE76="",$B$10=0),0,SUMIFS(DATA_TRANSPORT!$L:$L,DATA_TRANSPORT!$A:$A,$B$10-14,DATA_TRANSPORT!$E:$E,AE76)))</f>
        <v/>
      </c>
      <c r="AV76">
        <f>IF(IF(OR(AE76="",$B$10=0),0,SUMIFS(DATA_TRANSPORT!$L:$L,DATA_TRANSPORT!$A:$A,$B$10-21,DATA_TRANSPORT!$E:$E,AE76))=0,"",IF(OR(AE76="",$B$10=0),0,SUMIFS(DATA_TRANSPORT!$R:$R,DATA_TRANSPORT!$A:$A,$B$10-21,DATA_TRANSPORT!$E:$E,AE76))/IF(OR(AE76="",$B$10=0),0,SUMIFS(DATA_TRANSPORT!$L:$L,DATA_TRANSPORT!$A:$A,$B$10-21,DATA_TRANSPORT!$E:$E,AE76)))</f>
        <v/>
      </c>
      <c r="AW76">
        <f>IF(AND(ISNUMBER(AK76),AK76&lt;UtilLow),1,0)+IF(AND(ISNUMBER(AT76),AT76&lt;UtilLow),1,0)+IF(AND(ISNUMBER(AU76),AU76&lt;UtilLow),1,0)+IF(AND(ISNUMBER(AV76),AV76&lt;UtilLow),1,0)</f>
        <v/>
      </c>
      <c r="AX76">
        <f>IF(AW76&gt;=UtilLowWeeks,AE76&amp;": seats only "&amp;TEXT(AK76,"0%")&amp;" full, under "&amp;TEXT(UtilLow,"0%")&amp;" for "&amp;AW76&amp;" weeks running",IF(AND(AH76&gt;0,AJ76&gt;=AH76*ExcessShare),AE76&amp;": "&amp;TEXT(AJ76,"#,##0")&amp;" riders beyond the seats — consider more buses",IF(AND(ISNUMBER(AP76),AP76&gt;0),AE76&amp;": FT spend ₦"&amp;TEXT(AP76,"#,##0")&amp;" over the weekly budget",IF(AS76&gt;0,AE76&amp;": "&amp;AS76&amp;" coaster breakdown(s) this week",""))))</f>
        <v/>
      </c>
      <c r="AY76">
        <f>IF(ISNUMBER(AK76),AK76+ROW()/1000000000,"")</f>
        <v/>
      </c>
      <c r="AZ76">
        <f>IF(ISNUMBER(AM76),AM76+ROW()/1000000,"")</f>
        <v/>
      </c>
      <c r="BA76">
        <f>IF(AND(ISNUMBER(AP76),AP76&gt;0),AP76+ROW()/1000000,"")</f>
        <v/>
      </c>
      <c r="BB76">
        <f>IF(AF76&gt;0,AF76+ROW()/1000000,"")</f>
        <v/>
      </c>
      <c r="BC76">
        <f>IF(AX76="","",ROW())</f>
        <v/>
      </c>
      <c r="BD76">
        <f>IF(AJ76&gt;0,AJ76+ROW()/1000000,"")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IF(B77="",0,COUNTIFS(DATA_TRANSPORT!$A:$A,B77,DATA_TRANSPORT!$E:$E,$B$6,DATA_TRANSPORT!$AD:$AD,$B$7))</f>
        <v/>
      </c>
      <c r="G77">
        <f>IF(F77=0,0,SUMIFS(DATA_TRANSPORT!$Q:$Q,DATA_TRANSPORT!$A:$A,B77,DATA_TRANSPORT!$E:$E,$B$6,DATA_TRANSPORT!$AD:$AD,$B$7))</f>
        <v/>
      </c>
      <c r="H77">
        <f>IF(F77=0,0,SUMIFS(DATA_TRANSPORT!$M:$M,DATA_TRANSPORT!$A:$A,B77,DATA_TRANSPORT!$E:$E,$B$6,DATA_TRANSPORT!$AD:$AD,$B$7))</f>
        <v/>
      </c>
      <c r="I77">
        <f>IF(F77=0,0,SUMIFS(DATA_TRANSPORT!$N:$N,DATA_TRANSPORT!$A:$A,B77,DATA_TRANSPORT!$E:$E,$B$6,DATA_TRANSPORT!$AD:$AD,$B$7))</f>
        <v/>
      </c>
      <c r="J77">
        <f>IF(F77=0,0,SUMIFS(DATA_TRANSPORT!$P:$P,DATA_TRANSPORT!$A:$A,B77,DATA_TRANSPORT!$E:$E,$B$6,DATA_TRANSPORT!$AD:$AD,$B$7))</f>
        <v/>
      </c>
      <c r="K77">
        <f>IF(F77=0,0,SUMIFS(DATA_TRANSPORT!$I:$I,DATA_TRANSPORT!$A:$A,B77,DATA_TRANSPORT!$E:$E,$B$6,DATA_TRANSPORT!$AD:$AD,$B$7))</f>
        <v/>
      </c>
      <c r="L77">
        <f>IF(F77=0,0,SUMIFS(DATA_TRANSPORT!$I:$I,DATA_TRANSPORT!$A:$A,B77,DATA_TRANSPORT!$E:$E,$B$6,DATA_TRANSPORT!$AD:$AD,$B$7,DATA_TRANSPORT!$V:$V,"Ran"))</f>
        <v/>
      </c>
      <c r="M77">
        <f>IF(F77=0,0,SUMIFS(DATA_TRANSPORT!$L:$L,DATA_TRANSPORT!$A:$A,B77,DATA_TRANSPORT!$E:$E,$B$6,DATA_TRANSPORT!$AD:$AD,$B$7))</f>
        <v/>
      </c>
      <c r="N77">
        <f>IF(F77=0,0,SUMIFS(DATA_TRANSPORT!$R:$R,DATA_TRANSPORT!$A:$A,B77,DATA_TRANSPORT!$E:$E,$B$6,DATA_TRANSPORT!$AD:$AD,$B$7))</f>
        <v/>
      </c>
      <c r="O77">
        <f>IF(F77=0,0,SUMIFS(DATA_TRANSPORT!$S:$S,DATA_TRANSPORT!$A:$A,B77,DATA_TRANSPORT!$E:$E,$B$6,DATA_TRANSPORT!$AD:$AD,$B$7))</f>
        <v/>
      </c>
      <c r="P77">
        <f>IF(F77=0,0,SUMIFS(DATA_TRANSPORT!$T:$T,DATA_TRANSPORT!$A:$A,B77,DATA_TRANSPORT!$E:$E,$B$6,DATA_TRANSPORT!$AD:$AD,$B$7))</f>
        <v/>
      </c>
      <c r="Q77">
        <f>IF(OR(B77="",$B$17),0,SUMIFS(DATA_TRANSPORT_COSTS!$M:$M,DATA_TRANSPORT_COSTS!$A:$A,B77,DATA_TRANSPORT_COSTS!$D:$D,$B$6))</f>
        <v/>
      </c>
      <c r="R77">
        <f>P77+Q77</f>
        <v/>
      </c>
      <c r="S77">
        <f>Q77+IF(F77=0,0,SUMIFS(DATA_TRANSPORT!$T:$T,DATA_TRANSPORT!$A:$A,B77,DATA_TRANSPORT!$E:$E,$B$6,DATA_TRANSPORT!$AD:$AD,$B$7,DATA_TRANSPORT!$U:$U,"Central"))</f>
        <v/>
      </c>
      <c r="T77">
        <f>IF(F77=0,0,SUMIFS(DATA_TRANSPORT!$T:$T,DATA_TRANSPORT!$A:$A,B77,DATA_TRANSPORT!$E:$E,$B$6,DATA_TRANSPORT!$AD:$AD,$B$7,DATA_TRANSPORT!$U:$U,"Members"))</f>
        <v/>
      </c>
      <c r="U77">
        <f>IF(OR(B77="",$B$17),0,SUMIFS(DATA_TRANSPORT_BUDGET!$G:$G,DATA_TRANSPORT_BUDGET!$A:$A,B77,DATA_TRANSPORT_BUDGET!$D:$D,$B$6))</f>
        <v/>
      </c>
      <c r="V77">
        <f>IF(F77=0,0,SUMIFS(DATA_TRANSPORT!$T:$T,DATA_TRANSPORT!$A:$A,B77,DATA_TRANSPORT!$E:$E,$B$6,DATA_TRANSPORT!$AD:$AD,$B$7,DATA_TRANSPORT!$C:$C,"FT Procured"))</f>
        <v/>
      </c>
      <c r="W77">
        <f>IF(F77=0,0,COUNTIFS(DATA_TRANSPORT!$A:$A,B77,DATA_TRANSPORT!$E:$E,$B$6,DATA_TRANSPORT!$AD:$AD,$B$7,DATA_TRANSPORT!$V:$V,"Breakdown"))</f>
        <v/>
      </c>
      <c r="X77">
        <f>IF(M77=0,0,N77/M77)</f>
        <v/>
      </c>
      <c r="Y77">
        <f>IF(F77&gt;0,1,0)</f>
        <v/>
      </c>
      <c r="Z77">
        <f>IF(AND(A77&gt;=1,A77&lt;=$B$11),Y77,0)</f>
        <v/>
      </c>
      <c r="AA77">
        <f>IF(AND(C77=$B$12,E77=$B$14),Y77,0)</f>
        <v/>
      </c>
      <c r="AB77">
        <f>IF(AND(D77=$B$13,E77=$B$14),Y77,0)</f>
        <v/>
      </c>
      <c r="AC77">
        <f>IF(E77=$B$14,Y77,0)</f>
        <v/>
      </c>
      <c r="AE77">
        <f>IFERROR(IF(INDEX(MASTER_AREAS!$F:$F,76)="N","",INDEX(MASTER_AREAS!$B:$B,76)&amp;""),"")</f>
        <v/>
      </c>
      <c r="AF77">
        <f>IF(OR(AE77="",$B$10=0),0,SUMIFS(DATA_TRANSPORT!$Q:$Q,DATA_TRANSPORT!$A:$A,$B$10,DATA_TRANSPORT!$E:$E,AE77))</f>
        <v/>
      </c>
      <c r="AG77">
        <f>IF(OR(AE77="",$B$10=0),0,SUMIFS(DATA_TRANSPORT!$I:$I,DATA_TRANSPORT!$A:$A,$B$10,DATA_TRANSPORT!$E:$E,AE77,DATA_TRANSPORT!$V:$V,"Ran"))</f>
        <v/>
      </c>
      <c r="AH77">
        <f>IF(OR(AE77="",$B$10=0),0,SUMIFS(DATA_TRANSPORT!$L:$L,DATA_TRANSPORT!$A:$A,$B$10,DATA_TRANSPORT!$E:$E,AE77))</f>
        <v/>
      </c>
      <c r="AI77">
        <f>IF(OR(AE77="",$B$10=0),0,SUMIFS(DATA_TRANSPORT!$R:$R,DATA_TRANSPORT!$A:$A,$B$10,DATA_TRANSPORT!$E:$E,AE77))</f>
        <v/>
      </c>
      <c r="AJ77">
        <f>IF(OR(AE77="",$B$10=0),0,SUMIFS(DATA_TRANSPORT!$S:$S,DATA_TRANSPORT!$A:$A,$B$10,DATA_TRANSPORT!$E:$E,AE77))</f>
        <v/>
      </c>
      <c r="AK77">
        <f>IF(AH77=0,"",AI77/AH77)</f>
        <v/>
      </c>
      <c r="AL77">
        <f>IF(OR(AE77="",$B$10=0),0,SUMIFS(DATA_TRANSPORT!$T:$T,DATA_TRANSPORT!$A:$A,$B$10,DATA_TRANSPORT!$E:$E,AE77))+IF(OR(AE77="",$B$10=0),0,SUMIFS(DATA_TRANSPORT_COSTS!$M:$M,DATA_TRANSPORT_COSTS!$A:$A,$B$10,DATA_TRANSPORT_COSTS!$D:$D,AE77))</f>
        <v/>
      </c>
      <c r="AM77">
        <f>IF(OR(AF77=0,AL77=0),"",AL77/AF77)</f>
        <v/>
      </c>
      <c r="AN77">
        <f>IF(OR(AE77="",$B$10=0),0,SUMIFS(DATA_TRANSPORT!$T:$T,DATA_TRANSPORT!$A:$A,$B$10,DATA_TRANSPORT!$E:$E,AE77,DATA_TRANSPORT!$C:$C,"FT Procured"))</f>
        <v/>
      </c>
      <c r="AO77">
        <f>IF(OR(AE77="",$B$10=0),0,SUMIFS(DATA_TRANSPORT_BUDGET!$G:$G,DATA_TRANSPORT_BUDGET!$A:$A,$B$10,DATA_TRANSPORT_BUDGET!$D:$D,AE77))</f>
        <v/>
      </c>
      <c r="AP77">
        <f>IF(AO77=0,"",AN77-AO77)</f>
        <v/>
      </c>
      <c r="AQ77">
        <f>IF(OR(AE77="",$B$10=0),0,COUNTIFS(DATA_TRANSPORT!$A:$A,$B$10,DATA_TRANSPORT!$E:$E,AE77,DATA_TRANSPORT!$C:$C,"FT Procured",DATA_TRANSPORT!$Z:$Z,"Y"))</f>
        <v/>
      </c>
      <c r="AR77">
        <f>IF(OR(AE77="",$B$10=0),0,SUMIFS(DATA_TRANSPORT_BUDGET!$E:$E,DATA_TRANSPORT_BUDGET!$A:$A,$B$10,DATA_TRANSPORT_BUDGET!$D:$D,AE77))</f>
        <v/>
      </c>
      <c r="AS77">
        <f>IF(OR(AE77="",$B$10=0),0,COUNTIFS(DATA_TRANSPORT!$A:$A,$B$10,DATA_TRANSPORT!$E:$E,AE77,DATA_TRANSPORT!$V:$V,"Breakdown"))</f>
        <v/>
      </c>
      <c r="AT77">
        <f>IF(IF(OR(AE77="",$B$10=0),0,SUMIFS(DATA_TRANSPORT!$L:$L,DATA_TRANSPORT!$A:$A,$B$10-7,DATA_TRANSPORT!$E:$E,AE77))=0,"",IF(OR(AE77="",$B$10=0),0,SUMIFS(DATA_TRANSPORT!$R:$R,DATA_TRANSPORT!$A:$A,$B$10-7,DATA_TRANSPORT!$E:$E,AE77))/IF(OR(AE77="",$B$10=0),0,SUMIFS(DATA_TRANSPORT!$L:$L,DATA_TRANSPORT!$A:$A,$B$10-7,DATA_TRANSPORT!$E:$E,AE77)))</f>
        <v/>
      </c>
      <c r="AU77">
        <f>IF(IF(OR(AE77="",$B$10=0),0,SUMIFS(DATA_TRANSPORT!$L:$L,DATA_TRANSPORT!$A:$A,$B$10-14,DATA_TRANSPORT!$E:$E,AE77))=0,"",IF(OR(AE77="",$B$10=0),0,SUMIFS(DATA_TRANSPORT!$R:$R,DATA_TRANSPORT!$A:$A,$B$10-14,DATA_TRANSPORT!$E:$E,AE77))/IF(OR(AE77="",$B$10=0),0,SUMIFS(DATA_TRANSPORT!$L:$L,DATA_TRANSPORT!$A:$A,$B$10-14,DATA_TRANSPORT!$E:$E,AE77)))</f>
        <v/>
      </c>
      <c r="AV77">
        <f>IF(IF(OR(AE77="",$B$10=0),0,SUMIFS(DATA_TRANSPORT!$L:$L,DATA_TRANSPORT!$A:$A,$B$10-21,DATA_TRANSPORT!$E:$E,AE77))=0,"",IF(OR(AE77="",$B$10=0),0,SUMIFS(DATA_TRANSPORT!$R:$R,DATA_TRANSPORT!$A:$A,$B$10-21,DATA_TRANSPORT!$E:$E,AE77))/IF(OR(AE77="",$B$10=0),0,SUMIFS(DATA_TRANSPORT!$L:$L,DATA_TRANSPORT!$A:$A,$B$10-21,DATA_TRANSPORT!$E:$E,AE77)))</f>
        <v/>
      </c>
      <c r="AW77">
        <f>IF(AND(ISNUMBER(AK77),AK77&lt;UtilLow),1,0)+IF(AND(ISNUMBER(AT77),AT77&lt;UtilLow),1,0)+IF(AND(ISNUMBER(AU77),AU77&lt;UtilLow),1,0)+IF(AND(ISNUMBER(AV77),AV77&lt;UtilLow),1,0)</f>
        <v/>
      </c>
      <c r="AX77">
        <f>IF(AW77&gt;=UtilLowWeeks,AE77&amp;": seats only "&amp;TEXT(AK77,"0%")&amp;" full, under "&amp;TEXT(UtilLow,"0%")&amp;" for "&amp;AW77&amp;" weeks running",IF(AND(AH77&gt;0,AJ77&gt;=AH77*ExcessShare),AE77&amp;": "&amp;TEXT(AJ77,"#,##0")&amp;" riders beyond the seats — consider more buses",IF(AND(ISNUMBER(AP77),AP77&gt;0),AE77&amp;": FT spend ₦"&amp;TEXT(AP77,"#,##0")&amp;" over the weekly budget",IF(AS77&gt;0,AE77&amp;": "&amp;AS77&amp;" coaster breakdown(s) this week",""))))</f>
        <v/>
      </c>
      <c r="AY77">
        <f>IF(ISNUMBER(AK77),AK77+ROW()/1000000000,"")</f>
        <v/>
      </c>
      <c r="AZ77">
        <f>IF(ISNUMBER(AM77),AM77+ROW()/1000000,"")</f>
        <v/>
      </c>
      <c r="BA77">
        <f>IF(AND(ISNUMBER(AP77),AP77&gt;0),AP77+ROW()/1000000,"")</f>
        <v/>
      </c>
      <c r="BB77">
        <f>IF(AF77&gt;0,AF77+ROW()/1000000,"")</f>
        <v/>
      </c>
      <c r="BC77">
        <f>IF(AX77="","",ROW())</f>
        <v/>
      </c>
      <c r="BD77">
        <f>IF(AJ77&gt;0,AJ77+ROW()/1000000,"")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IF(B78="",0,COUNTIFS(DATA_TRANSPORT!$A:$A,B78,DATA_TRANSPORT!$E:$E,$B$6,DATA_TRANSPORT!$AD:$AD,$B$7))</f>
        <v/>
      </c>
      <c r="G78">
        <f>IF(F78=0,0,SUMIFS(DATA_TRANSPORT!$Q:$Q,DATA_TRANSPORT!$A:$A,B78,DATA_TRANSPORT!$E:$E,$B$6,DATA_TRANSPORT!$AD:$AD,$B$7))</f>
        <v/>
      </c>
      <c r="H78">
        <f>IF(F78=0,0,SUMIFS(DATA_TRANSPORT!$M:$M,DATA_TRANSPORT!$A:$A,B78,DATA_TRANSPORT!$E:$E,$B$6,DATA_TRANSPORT!$AD:$AD,$B$7))</f>
        <v/>
      </c>
      <c r="I78">
        <f>IF(F78=0,0,SUMIFS(DATA_TRANSPORT!$N:$N,DATA_TRANSPORT!$A:$A,B78,DATA_TRANSPORT!$E:$E,$B$6,DATA_TRANSPORT!$AD:$AD,$B$7))</f>
        <v/>
      </c>
      <c r="J78">
        <f>IF(F78=0,0,SUMIFS(DATA_TRANSPORT!$P:$P,DATA_TRANSPORT!$A:$A,B78,DATA_TRANSPORT!$E:$E,$B$6,DATA_TRANSPORT!$AD:$AD,$B$7))</f>
        <v/>
      </c>
      <c r="K78">
        <f>IF(F78=0,0,SUMIFS(DATA_TRANSPORT!$I:$I,DATA_TRANSPORT!$A:$A,B78,DATA_TRANSPORT!$E:$E,$B$6,DATA_TRANSPORT!$AD:$AD,$B$7))</f>
        <v/>
      </c>
      <c r="L78">
        <f>IF(F78=0,0,SUMIFS(DATA_TRANSPORT!$I:$I,DATA_TRANSPORT!$A:$A,B78,DATA_TRANSPORT!$E:$E,$B$6,DATA_TRANSPORT!$AD:$AD,$B$7,DATA_TRANSPORT!$V:$V,"Ran"))</f>
        <v/>
      </c>
      <c r="M78">
        <f>IF(F78=0,0,SUMIFS(DATA_TRANSPORT!$L:$L,DATA_TRANSPORT!$A:$A,B78,DATA_TRANSPORT!$E:$E,$B$6,DATA_TRANSPORT!$AD:$AD,$B$7))</f>
        <v/>
      </c>
      <c r="N78">
        <f>IF(F78=0,0,SUMIFS(DATA_TRANSPORT!$R:$R,DATA_TRANSPORT!$A:$A,B78,DATA_TRANSPORT!$E:$E,$B$6,DATA_TRANSPORT!$AD:$AD,$B$7))</f>
        <v/>
      </c>
      <c r="O78">
        <f>IF(F78=0,0,SUMIFS(DATA_TRANSPORT!$S:$S,DATA_TRANSPORT!$A:$A,B78,DATA_TRANSPORT!$E:$E,$B$6,DATA_TRANSPORT!$AD:$AD,$B$7))</f>
        <v/>
      </c>
      <c r="P78">
        <f>IF(F78=0,0,SUMIFS(DATA_TRANSPORT!$T:$T,DATA_TRANSPORT!$A:$A,B78,DATA_TRANSPORT!$E:$E,$B$6,DATA_TRANSPORT!$AD:$AD,$B$7))</f>
        <v/>
      </c>
      <c r="Q78">
        <f>IF(OR(B78="",$B$17),0,SUMIFS(DATA_TRANSPORT_COSTS!$M:$M,DATA_TRANSPORT_COSTS!$A:$A,B78,DATA_TRANSPORT_COSTS!$D:$D,$B$6))</f>
        <v/>
      </c>
      <c r="R78">
        <f>P78+Q78</f>
        <v/>
      </c>
      <c r="S78">
        <f>Q78+IF(F78=0,0,SUMIFS(DATA_TRANSPORT!$T:$T,DATA_TRANSPORT!$A:$A,B78,DATA_TRANSPORT!$E:$E,$B$6,DATA_TRANSPORT!$AD:$AD,$B$7,DATA_TRANSPORT!$U:$U,"Central"))</f>
        <v/>
      </c>
      <c r="T78">
        <f>IF(F78=0,0,SUMIFS(DATA_TRANSPORT!$T:$T,DATA_TRANSPORT!$A:$A,B78,DATA_TRANSPORT!$E:$E,$B$6,DATA_TRANSPORT!$AD:$AD,$B$7,DATA_TRANSPORT!$U:$U,"Members"))</f>
        <v/>
      </c>
      <c r="U78">
        <f>IF(OR(B78="",$B$17),0,SUMIFS(DATA_TRANSPORT_BUDGET!$G:$G,DATA_TRANSPORT_BUDGET!$A:$A,B78,DATA_TRANSPORT_BUDGET!$D:$D,$B$6))</f>
        <v/>
      </c>
      <c r="V78">
        <f>IF(F78=0,0,SUMIFS(DATA_TRANSPORT!$T:$T,DATA_TRANSPORT!$A:$A,B78,DATA_TRANSPORT!$E:$E,$B$6,DATA_TRANSPORT!$AD:$AD,$B$7,DATA_TRANSPORT!$C:$C,"FT Procured"))</f>
        <v/>
      </c>
      <c r="W78">
        <f>IF(F78=0,0,COUNTIFS(DATA_TRANSPORT!$A:$A,B78,DATA_TRANSPORT!$E:$E,$B$6,DATA_TRANSPORT!$AD:$AD,$B$7,DATA_TRANSPORT!$V:$V,"Breakdown"))</f>
        <v/>
      </c>
      <c r="X78">
        <f>IF(M78=0,0,N78/M78)</f>
        <v/>
      </c>
      <c r="Y78">
        <f>IF(F78&gt;0,1,0)</f>
        <v/>
      </c>
      <c r="Z78">
        <f>IF(AND(A78&gt;=1,A78&lt;=$B$11),Y78,0)</f>
        <v/>
      </c>
      <c r="AA78">
        <f>IF(AND(C78=$B$12,E78=$B$14),Y78,0)</f>
        <v/>
      </c>
      <c r="AB78">
        <f>IF(AND(D78=$B$13,E78=$B$14),Y78,0)</f>
        <v/>
      </c>
      <c r="AC78">
        <f>IF(E78=$B$14,Y78,0)</f>
        <v/>
      </c>
      <c r="AE78">
        <f>IFERROR(IF(INDEX(MASTER_AREAS!$F:$F,77)="N","",INDEX(MASTER_AREAS!$B:$B,77)&amp;""),"")</f>
        <v/>
      </c>
      <c r="AF78">
        <f>IF(OR(AE78="",$B$10=0),0,SUMIFS(DATA_TRANSPORT!$Q:$Q,DATA_TRANSPORT!$A:$A,$B$10,DATA_TRANSPORT!$E:$E,AE78))</f>
        <v/>
      </c>
      <c r="AG78">
        <f>IF(OR(AE78="",$B$10=0),0,SUMIFS(DATA_TRANSPORT!$I:$I,DATA_TRANSPORT!$A:$A,$B$10,DATA_TRANSPORT!$E:$E,AE78,DATA_TRANSPORT!$V:$V,"Ran"))</f>
        <v/>
      </c>
      <c r="AH78">
        <f>IF(OR(AE78="",$B$10=0),0,SUMIFS(DATA_TRANSPORT!$L:$L,DATA_TRANSPORT!$A:$A,$B$10,DATA_TRANSPORT!$E:$E,AE78))</f>
        <v/>
      </c>
      <c r="AI78">
        <f>IF(OR(AE78="",$B$10=0),0,SUMIFS(DATA_TRANSPORT!$R:$R,DATA_TRANSPORT!$A:$A,$B$10,DATA_TRANSPORT!$E:$E,AE78))</f>
        <v/>
      </c>
      <c r="AJ78">
        <f>IF(OR(AE78="",$B$10=0),0,SUMIFS(DATA_TRANSPORT!$S:$S,DATA_TRANSPORT!$A:$A,$B$10,DATA_TRANSPORT!$E:$E,AE78))</f>
        <v/>
      </c>
      <c r="AK78">
        <f>IF(AH78=0,"",AI78/AH78)</f>
        <v/>
      </c>
      <c r="AL78">
        <f>IF(OR(AE78="",$B$10=0),0,SUMIFS(DATA_TRANSPORT!$T:$T,DATA_TRANSPORT!$A:$A,$B$10,DATA_TRANSPORT!$E:$E,AE78))+IF(OR(AE78="",$B$10=0),0,SUMIFS(DATA_TRANSPORT_COSTS!$M:$M,DATA_TRANSPORT_COSTS!$A:$A,$B$10,DATA_TRANSPORT_COSTS!$D:$D,AE78))</f>
        <v/>
      </c>
      <c r="AM78">
        <f>IF(OR(AF78=0,AL78=0),"",AL78/AF78)</f>
        <v/>
      </c>
      <c r="AN78">
        <f>IF(OR(AE78="",$B$10=0),0,SUMIFS(DATA_TRANSPORT!$T:$T,DATA_TRANSPORT!$A:$A,$B$10,DATA_TRANSPORT!$E:$E,AE78,DATA_TRANSPORT!$C:$C,"FT Procured"))</f>
        <v/>
      </c>
      <c r="AO78">
        <f>IF(OR(AE78="",$B$10=0),0,SUMIFS(DATA_TRANSPORT_BUDGET!$G:$G,DATA_TRANSPORT_BUDGET!$A:$A,$B$10,DATA_TRANSPORT_BUDGET!$D:$D,AE78))</f>
        <v/>
      </c>
      <c r="AP78">
        <f>IF(AO78=0,"",AN78-AO78)</f>
        <v/>
      </c>
      <c r="AQ78">
        <f>IF(OR(AE78="",$B$10=0),0,COUNTIFS(DATA_TRANSPORT!$A:$A,$B$10,DATA_TRANSPORT!$E:$E,AE78,DATA_TRANSPORT!$C:$C,"FT Procured",DATA_TRANSPORT!$Z:$Z,"Y"))</f>
        <v/>
      </c>
      <c r="AR78">
        <f>IF(OR(AE78="",$B$10=0),0,SUMIFS(DATA_TRANSPORT_BUDGET!$E:$E,DATA_TRANSPORT_BUDGET!$A:$A,$B$10,DATA_TRANSPORT_BUDGET!$D:$D,AE78))</f>
        <v/>
      </c>
      <c r="AS78">
        <f>IF(OR(AE78="",$B$10=0),0,COUNTIFS(DATA_TRANSPORT!$A:$A,$B$10,DATA_TRANSPORT!$E:$E,AE78,DATA_TRANSPORT!$V:$V,"Breakdown"))</f>
        <v/>
      </c>
      <c r="AT78">
        <f>IF(IF(OR(AE78="",$B$10=0),0,SUMIFS(DATA_TRANSPORT!$L:$L,DATA_TRANSPORT!$A:$A,$B$10-7,DATA_TRANSPORT!$E:$E,AE78))=0,"",IF(OR(AE78="",$B$10=0),0,SUMIFS(DATA_TRANSPORT!$R:$R,DATA_TRANSPORT!$A:$A,$B$10-7,DATA_TRANSPORT!$E:$E,AE78))/IF(OR(AE78="",$B$10=0),0,SUMIFS(DATA_TRANSPORT!$L:$L,DATA_TRANSPORT!$A:$A,$B$10-7,DATA_TRANSPORT!$E:$E,AE78)))</f>
        <v/>
      </c>
      <c r="AU78">
        <f>IF(IF(OR(AE78="",$B$10=0),0,SUMIFS(DATA_TRANSPORT!$L:$L,DATA_TRANSPORT!$A:$A,$B$10-14,DATA_TRANSPORT!$E:$E,AE78))=0,"",IF(OR(AE78="",$B$10=0),0,SUMIFS(DATA_TRANSPORT!$R:$R,DATA_TRANSPORT!$A:$A,$B$10-14,DATA_TRANSPORT!$E:$E,AE78))/IF(OR(AE78="",$B$10=0),0,SUMIFS(DATA_TRANSPORT!$L:$L,DATA_TRANSPORT!$A:$A,$B$10-14,DATA_TRANSPORT!$E:$E,AE78)))</f>
        <v/>
      </c>
      <c r="AV78">
        <f>IF(IF(OR(AE78="",$B$10=0),0,SUMIFS(DATA_TRANSPORT!$L:$L,DATA_TRANSPORT!$A:$A,$B$10-21,DATA_TRANSPORT!$E:$E,AE78))=0,"",IF(OR(AE78="",$B$10=0),0,SUMIFS(DATA_TRANSPORT!$R:$R,DATA_TRANSPORT!$A:$A,$B$10-21,DATA_TRANSPORT!$E:$E,AE78))/IF(OR(AE78="",$B$10=0),0,SUMIFS(DATA_TRANSPORT!$L:$L,DATA_TRANSPORT!$A:$A,$B$10-21,DATA_TRANSPORT!$E:$E,AE78)))</f>
        <v/>
      </c>
      <c r="AW78">
        <f>IF(AND(ISNUMBER(AK78),AK78&lt;UtilLow),1,0)+IF(AND(ISNUMBER(AT78),AT78&lt;UtilLow),1,0)+IF(AND(ISNUMBER(AU78),AU78&lt;UtilLow),1,0)+IF(AND(ISNUMBER(AV78),AV78&lt;UtilLow),1,0)</f>
        <v/>
      </c>
      <c r="AX78">
        <f>IF(AW78&gt;=UtilLowWeeks,AE78&amp;": seats only "&amp;TEXT(AK78,"0%")&amp;" full, under "&amp;TEXT(UtilLow,"0%")&amp;" for "&amp;AW78&amp;" weeks running",IF(AND(AH78&gt;0,AJ78&gt;=AH78*ExcessShare),AE78&amp;": "&amp;TEXT(AJ78,"#,##0")&amp;" riders beyond the seats — consider more buses",IF(AND(ISNUMBER(AP78),AP78&gt;0),AE78&amp;": FT spend ₦"&amp;TEXT(AP78,"#,##0")&amp;" over the weekly budget",IF(AS78&gt;0,AE78&amp;": "&amp;AS78&amp;" coaster breakdown(s) this week",""))))</f>
        <v/>
      </c>
      <c r="AY78">
        <f>IF(ISNUMBER(AK78),AK78+ROW()/1000000000,"")</f>
        <v/>
      </c>
      <c r="AZ78">
        <f>IF(ISNUMBER(AM78),AM78+ROW()/1000000,"")</f>
        <v/>
      </c>
      <c r="BA78">
        <f>IF(AND(ISNUMBER(AP78),AP78&gt;0),AP78+ROW()/1000000,"")</f>
        <v/>
      </c>
      <c r="BB78">
        <f>IF(AF78&gt;0,AF78+ROW()/1000000,"")</f>
        <v/>
      </c>
      <c r="BC78">
        <f>IF(AX78="","",ROW())</f>
        <v/>
      </c>
      <c r="BD78">
        <f>IF(AJ78&gt;0,AJ78+ROW()/1000000,"")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IF(B79="",0,COUNTIFS(DATA_TRANSPORT!$A:$A,B79,DATA_TRANSPORT!$E:$E,$B$6,DATA_TRANSPORT!$AD:$AD,$B$7))</f>
        <v/>
      </c>
      <c r="G79">
        <f>IF(F79=0,0,SUMIFS(DATA_TRANSPORT!$Q:$Q,DATA_TRANSPORT!$A:$A,B79,DATA_TRANSPORT!$E:$E,$B$6,DATA_TRANSPORT!$AD:$AD,$B$7))</f>
        <v/>
      </c>
      <c r="H79">
        <f>IF(F79=0,0,SUMIFS(DATA_TRANSPORT!$M:$M,DATA_TRANSPORT!$A:$A,B79,DATA_TRANSPORT!$E:$E,$B$6,DATA_TRANSPORT!$AD:$AD,$B$7))</f>
        <v/>
      </c>
      <c r="I79">
        <f>IF(F79=0,0,SUMIFS(DATA_TRANSPORT!$N:$N,DATA_TRANSPORT!$A:$A,B79,DATA_TRANSPORT!$E:$E,$B$6,DATA_TRANSPORT!$AD:$AD,$B$7))</f>
        <v/>
      </c>
      <c r="J79">
        <f>IF(F79=0,0,SUMIFS(DATA_TRANSPORT!$P:$P,DATA_TRANSPORT!$A:$A,B79,DATA_TRANSPORT!$E:$E,$B$6,DATA_TRANSPORT!$AD:$AD,$B$7))</f>
        <v/>
      </c>
      <c r="K79">
        <f>IF(F79=0,0,SUMIFS(DATA_TRANSPORT!$I:$I,DATA_TRANSPORT!$A:$A,B79,DATA_TRANSPORT!$E:$E,$B$6,DATA_TRANSPORT!$AD:$AD,$B$7))</f>
        <v/>
      </c>
      <c r="L79">
        <f>IF(F79=0,0,SUMIFS(DATA_TRANSPORT!$I:$I,DATA_TRANSPORT!$A:$A,B79,DATA_TRANSPORT!$E:$E,$B$6,DATA_TRANSPORT!$AD:$AD,$B$7,DATA_TRANSPORT!$V:$V,"Ran"))</f>
        <v/>
      </c>
      <c r="M79">
        <f>IF(F79=0,0,SUMIFS(DATA_TRANSPORT!$L:$L,DATA_TRANSPORT!$A:$A,B79,DATA_TRANSPORT!$E:$E,$B$6,DATA_TRANSPORT!$AD:$AD,$B$7))</f>
        <v/>
      </c>
      <c r="N79">
        <f>IF(F79=0,0,SUMIFS(DATA_TRANSPORT!$R:$R,DATA_TRANSPORT!$A:$A,B79,DATA_TRANSPORT!$E:$E,$B$6,DATA_TRANSPORT!$AD:$AD,$B$7))</f>
        <v/>
      </c>
      <c r="O79">
        <f>IF(F79=0,0,SUMIFS(DATA_TRANSPORT!$S:$S,DATA_TRANSPORT!$A:$A,B79,DATA_TRANSPORT!$E:$E,$B$6,DATA_TRANSPORT!$AD:$AD,$B$7))</f>
        <v/>
      </c>
      <c r="P79">
        <f>IF(F79=0,0,SUMIFS(DATA_TRANSPORT!$T:$T,DATA_TRANSPORT!$A:$A,B79,DATA_TRANSPORT!$E:$E,$B$6,DATA_TRANSPORT!$AD:$AD,$B$7))</f>
        <v/>
      </c>
      <c r="Q79">
        <f>IF(OR(B79="",$B$17),0,SUMIFS(DATA_TRANSPORT_COSTS!$M:$M,DATA_TRANSPORT_COSTS!$A:$A,B79,DATA_TRANSPORT_COSTS!$D:$D,$B$6))</f>
        <v/>
      </c>
      <c r="R79">
        <f>P79+Q79</f>
        <v/>
      </c>
      <c r="S79">
        <f>Q79+IF(F79=0,0,SUMIFS(DATA_TRANSPORT!$T:$T,DATA_TRANSPORT!$A:$A,B79,DATA_TRANSPORT!$E:$E,$B$6,DATA_TRANSPORT!$AD:$AD,$B$7,DATA_TRANSPORT!$U:$U,"Central"))</f>
        <v/>
      </c>
      <c r="T79">
        <f>IF(F79=0,0,SUMIFS(DATA_TRANSPORT!$T:$T,DATA_TRANSPORT!$A:$A,B79,DATA_TRANSPORT!$E:$E,$B$6,DATA_TRANSPORT!$AD:$AD,$B$7,DATA_TRANSPORT!$U:$U,"Members"))</f>
        <v/>
      </c>
      <c r="U79">
        <f>IF(OR(B79="",$B$17),0,SUMIFS(DATA_TRANSPORT_BUDGET!$G:$G,DATA_TRANSPORT_BUDGET!$A:$A,B79,DATA_TRANSPORT_BUDGET!$D:$D,$B$6))</f>
        <v/>
      </c>
      <c r="V79">
        <f>IF(F79=0,0,SUMIFS(DATA_TRANSPORT!$T:$T,DATA_TRANSPORT!$A:$A,B79,DATA_TRANSPORT!$E:$E,$B$6,DATA_TRANSPORT!$AD:$AD,$B$7,DATA_TRANSPORT!$C:$C,"FT Procured"))</f>
        <v/>
      </c>
      <c r="W79">
        <f>IF(F79=0,0,COUNTIFS(DATA_TRANSPORT!$A:$A,B79,DATA_TRANSPORT!$E:$E,$B$6,DATA_TRANSPORT!$AD:$AD,$B$7,DATA_TRANSPORT!$V:$V,"Breakdown"))</f>
        <v/>
      </c>
      <c r="X79">
        <f>IF(M79=0,0,N79/M79)</f>
        <v/>
      </c>
      <c r="Y79">
        <f>IF(F79&gt;0,1,0)</f>
        <v/>
      </c>
      <c r="Z79">
        <f>IF(AND(A79&gt;=1,A79&lt;=$B$11),Y79,0)</f>
        <v/>
      </c>
      <c r="AA79">
        <f>IF(AND(C79=$B$12,E79=$B$14),Y79,0)</f>
        <v/>
      </c>
      <c r="AB79">
        <f>IF(AND(D79=$B$13,E79=$B$14),Y79,0)</f>
        <v/>
      </c>
      <c r="AC79">
        <f>IF(E79=$B$14,Y79,0)</f>
        <v/>
      </c>
      <c r="AE79">
        <f>IFERROR(IF(INDEX(MASTER_AREAS!$F:$F,78)="N","",INDEX(MASTER_AREAS!$B:$B,78)&amp;""),"")</f>
        <v/>
      </c>
      <c r="AF79">
        <f>IF(OR(AE79="",$B$10=0),0,SUMIFS(DATA_TRANSPORT!$Q:$Q,DATA_TRANSPORT!$A:$A,$B$10,DATA_TRANSPORT!$E:$E,AE79))</f>
        <v/>
      </c>
      <c r="AG79">
        <f>IF(OR(AE79="",$B$10=0),0,SUMIFS(DATA_TRANSPORT!$I:$I,DATA_TRANSPORT!$A:$A,$B$10,DATA_TRANSPORT!$E:$E,AE79,DATA_TRANSPORT!$V:$V,"Ran"))</f>
        <v/>
      </c>
      <c r="AH79">
        <f>IF(OR(AE79="",$B$10=0),0,SUMIFS(DATA_TRANSPORT!$L:$L,DATA_TRANSPORT!$A:$A,$B$10,DATA_TRANSPORT!$E:$E,AE79))</f>
        <v/>
      </c>
      <c r="AI79">
        <f>IF(OR(AE79="",$B$10=0),0,SUMIFS(DATA_TRANSPORT!$R:$R,DATA_TRANSPORT!$A:$A,$B$10,DATA_TRANSPORT!$E:$E,AE79))</f>
        <v/>
      </c>
      <c r="AJ79">
        <f>IF(OR(AE79="",$B$10=0),0,SUMIFS(DATA_TRANSPORT!$S:$S,DATA_TRANSPORT!$A:$A,$B$10,DATA_TRANSPORT!$E:$E,AE79))</f>
        <v/>
      </c>
      <c r="AK79">
        <f>IF(AH79=0,"",AI79/AH79)</f>
        <v/>
      </c>
      <c r="AL79">
        <f>IF(OR(AE79="",$B$10=0),0,SUMIFS(DATA_TRANSPORT!$T:$T,DATA_TRANSPORT!$A:$A,$B$10,DATA_TRANSPORT!$E:$E,AE79))+IF(OR(AE79="",$B$10=0),0,SUMIFS(DATA_TRANSPORT_COSTS!$M:$M,DATA_TRANSPORT_COSTS!$A:$A,$B$10,DATA_TRANSPORT_COSTS!$D:$D,AE79))</f>
        <v/>
      </c>
      <c r="AM79">
        <f>IF(OR(AF79=0,AL79=0),"",AL79/AF79)</f>
        <v/>
      </c>
      <c r="AN79">
        <f>IF(OR(AE79="",$B$10=0),0,SUMIFS(DATA_TRANSPORT!$T:$T,DATA_TRANSPORT!$A:$A,$B$10,DATA_TRANSPORT!$E:$E,AE79,DATA_TRANSPORT!$C:$C,"FT Procured"))</f>
        <v/>
      </c>
      <c r="AO79">
        <f>IF(OR(AE79="",$B$10=0),0,SUMIFS(DATA_TRANSPORT_BUDGET!$G:$G,DATA_TRANSPORT_BUDGET!$A:$A,$B$10,DATA_TRANSPORT_BUDGET!$D:$D,AE79))</f>
        <v/>
      </c>
      <c r="AP79">
        <f>IF(AO79=0,"",AN79-AO79)</f>
        <v/>
      </c>
      <c r="AQ79">
        <f>IF(OR(AE79="",$B$10=0),0,COUNTIFS(DATA_TRANSPORT!$A:$A,$B$10,DATA_TRANSPORT!$E:$E,AE79,DATA_TRANSPORT!$C:$C,"FT Procured",DATA_TRANSPORT!$Z:$Z,"Y"))</f>
        <v/>
      </c>
      <c r="AR79">
        <f>IF(OR(AE79="",$B$10=0),0,SUMIFS(DATA_TRANSPORT_BUDGET!$E:$E,DATA_TRANSPORT_BUDGET!$A:$A,$B$10,DATA_TRANSPORT_BUDGET!$D:$D,AE79))</f>
        <v/>
      </c>
      <c r="AS79">
        <f>IF(OR(AE79="",$B$10=0),0,COUNTIFS(DATA_TRANSPORT!$A:$A,$B$10,DATA_TRANSPORT!$E:$E,AE79,DATA_TRANSPORT!$V:$V,"Breakdown"))</f>
        <v/>
      </c>
      <c r="AT79">
        <f>IF(IF(OR(AE79="",$B$10=0),0,SUMIFS(DATA_TRANSPORT!$L:$L,DATA_TRANSPORT!$A:$A,$B$10-7,DATA_TRANSPORT!$E:$E,AE79))=0,"",IF(OR(AE79="",$B$10=0),0,SUMIFS(DATA_TRANSPORT!$R:$R,DATA_TRANSPORT!$A:$A,$B$10-7,DATA_TRANSPORT!$E:$E,AE79))/IF(OR(AE79="",$B$10=0),0,SUMIFS(DATA_TRANSPORT!$L:$L,DATA_TRANSPORT!$A:$A,$B$10-7,DATA_TRANSPORT!$E:$E,AE79)))</f>
        <v/>
      </c>
      <c r="AU79">
        <f>IF(IF(OR(AE79="",$B$10=0),0,SUMIFS(DATA_TRANSPORT!$L:$L,DATA_TRANSPORT!$A:$A,$B$10-14,DATA_TRANSPORT!$E:$E,AE79))=0,"",IF(OR(AE79="",$B$10=0),0,SUMIFS(DATA_TRANSPORT!$R:$R,DATA_TRANSPORT!$A:$A,$B$10-14,DATA_TRANSPORT!$E:$E,AE79))/IF(OR(AE79="",$B$10=0),0,SUMIFS(DATA_TRANSPORT!$L:$L,DATA_TRANSPORT!$A:$A,$B$10-14,DATA_TRANSPORT!$E:$E,AE79)))</f>
        <v/>
      </c>
      <c r="AV79">
        <f>IF(IF(OR(AE79="",$B$10=0),0,SUMIFS(DATA_TRANSPORT!$L:$L,DATA_TRANSPORT!$A:$A,$B$10-21,DATA_TRANSPORT!$E:$E,AE79))=0,"",IF(OR(AE79="",$B$10=0),0,SUMIFS(DATA_TRANSPORT!$R:$R,DATA_TRANSPORT!$A:$A,$B$10-21,DATA_TRANSPORT!$E:$E,AE79))/IF(OR(AE79="",$B$10=0),0,SUMIFS(DATA_TRANSPORT!$L:$L,DATA_TRANSPORT!$A:$A,$B$10-21,DATA_TRANSPORT!$E:$E,AE79)))</f>
        <v/>
      </c>
      <c r="AW79">
        <f>IF(AND(ISNUMBER(AK79),AK79&lt;UtilLow),1,0)+IF(AND(ISNUMBER(AT79),AT79&lt;UtilLow),1,0)+IF(AND(ISNUMBER(AU79),AU79&lt;UtilLow),1,0)+IF(AND(ISNUMBER(AV79),AV79&lt;UtilLow),1,0)</f>
        <v/>
      </c>
      <c r="AX79">
        <f>IF(AW79&gt;=UtilLowWeeks,AE79&amp;": seats only "&amp;TEXT(AK79,"0%")&amp;" full, under "&amp;TEXT(UtilLow,"0%")&amp;" for "&amp;AW79&amp;" weeks running",IF(AND(AH79&gt;0,AJ79&gt;=AH79*ExcessShare),AE79&amp;": "&amp;TEXT(AJ79,"#,##0")&amp;" riders beyond the seats — consider more buses",IF(AND(ISNUMBER(AP79),AP79&gt;0),AE79&amp;": FT spend ₦"&amp;TEXT(AP79,"#,##0")&amp;" over the weekly budget",IF(AS79&gt;0,AE79&amp;": "&amp;AS79&amp;" coaster breakdown(s) this week",""))))</f>
        <v/>
      </c>
      <c r="AY79">
        <f>IF(ISNUMBER(AK79),AK79+ROW()/1000000000,"")</f>
        <v/>
      </c>
      <c r="AZ79">
        <f>IF(ISNUMBER(AM79),AM79+ROW()/1000000,"")</f>
        <v/>
      </c>
      <c r="BA79">
        <f>IF(AND(ISNUMBER(AP79),AP79&gt;0),AP79+ROW()/1000000,"")</f>
        <v/>
      </c>
      <c r="BB79">
        <f>IF(AF79&gt;0,AF79+ROW()/1000000,"")</f>
        <v/>
      </c>
      <c r="BC79">
        <f>IF(AX79="","",ROW())</f>
        <v/>
      </c>
      <c r="BD79">
        <f>IF(AJ79&gt;0,AJ79+ROW()/1000000,"")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IF(B80="",0,COUNTIFS(DATA_TRANSPORT!$A:$A,B80,DATA_TRANSPORT!$E:$E,$B$6,DATA_TRANSPORT!$AD:$AD,$B$7))</f>
        <v/>
      </c>
      <c r="G80">
        <f>IF(F80=0,0,SUMIFS(DATA_TRANSPORT!$Q:$Q,DATA_TRANSPORT!$A:$A,B80,DATA_TRANSPORT!$E:$E,$B$6,DATA_TRANSPORT!$AD:$AD,$B$7))</f>
        <v/>
      </c>
      <c r="H80">
        <f>IF(F80=0,0,SUMIFS(DATA_TRANSPORT!$M:$M,DATA_TRANSPORT!$A:$A,B80,DATA_TRANSPORT!$E:$E,$B$6,DATA_TRANSPORT!$AD:$AD,$B$7))</f>
        <v/>
      </c>
      <c r="I80">
        <f>IF(F80=0,0,SUMIFS(DATA_TRANSPORT!$N:$N,DATA_TRANSPORT!$A:$A,B80,DATA_TRANSPORT!$E:$E,$B$6,DATA_TRANSPORT!$AD:$AD,$B$7))</f>
        <v/>
      </c>
      <c r="J80">
        <f>IF(F80=0,0,SUMIFS(DATA_TRANSPORT!$P:$P,DATA_TRANSPORT!$A:$A,B80,DATA_TRANSPORT!$E:$E,$B$6,DATA_TRANSPORT!$AD:$AD,$B$7))</f>
        <v/>
      </c>
      <c r="K80">
        <f>IF(F80=0,0,SUMIFS(DATA_TRANSPORT!$I:$I,DATA_TRANSPORT!$A:$A,B80,DATA_TRANSPORT!$E:$E,$B$6,DATA_TRANSPORT!$AD:$AD,$B$7))</f>
        <v/>
      </c>
      <c r="L80">
        <f>IF(F80=0,0,SUMIFS(DATA_TRANSPORT!$I:$I,DATA_TRANSPORT!$A:$A,B80,DATA_TRANSPORT!$E:$E,$B$6,DATA_TRANSPORT!$AD:$AD,$B$7,DATA_TRANSPORT!$V:$V,"Ran"))</f>
        <v/>
      </c>
      <c r="M80">
        <f>IF(F80=0,0,SUMIFS(DATA_TRANSPORT!$L:$L,DATA_TRANSPORT!$A:$A,B80,DATA_TRANSPORT!$E:$E,$B$6,DATA_TRANSPORT!$AD:$AD,$B$7))</f>
        <v/>
      </c>
      <c r="N80">
        <f>IF(F80=0,0,SUMIFS(DATA_TRANSPORT!$R:$R,DATA_TRANSPORT!$A:$A,B80,DATA_TRANSPORT!$E:$E,$B$6,DATA_TRANSPORT!$AD:$AD,$B$7))</f>
        <v/>
      </c>
      <c r="O80">
        <f>IF(F80=0,0,SUMIFS(DATA_TRANSPORT!$S:$S,DATA_TRANSPORT!$A:$A,B80,DATA_TRANSPORT!$E:$E,$B$6,DATA_TRANSPORT!$AD:$AD,$B$7))</f>
        <v/>
      </c>
      <c r="P80">
        <f>IF(F80=0,0,SUMIFS(DATA_TRANSPORT!$T:$T,DATA_TRANSPORT!$A:$A,B80,DATA_TRANSPORT!$E:$E,$B$6,DATA_TRANSPORT!$AD:$AD,$B$7))</f>
        <v/>
      </c>
      <c r="Q80">
        <f>IF(OR(B80="",$B$17),0,SUMIFS(DATA_TRANSPORT_COSTS!$M:$M,DATA_TRANSPORT_COSTS!$A:$A,B80,DATA_TRANSPORT_COSTS!$D:$D,$B$6))</f>
        <v/>
      </c>
      <c r="R80">
        <f>P80+Q80</f>
        <v/>
      </c>
      <c r="S80">
        <f>Q80+IF(F80=0,0,SUMIFS(DATA_TRANSPORT!$T:$T,DATA_TRANSPORT!$A:$A,B80,DATA_TRANSPORT!$E:$E,$B$6,DATA_TRANSPORT!$AD:$AD,$B$7,DATA_TRANSPORT!$U:$U,"Central"))</f>
        <v/>
      </c>
      <c r="T80">
        <f>IF(F80=0,0,SUMIFS(DATA_TRANSPORT!$T:$T,DATA_TRANSPORT!$A:$A,B80,DATA_TRANSPORT!$E:$E,$B$6,DATA_TRANSPORT!$AD:$AD,$B$7,DATA_TRANSPORT!$U:$U,"Members"))</f>
        <v/>
      </c>
      <c r="U80">
        <f>IF(OR(B80="",$B$17),0,SUMIFS(DATA_TRANSPORT_BUDGET!$G:$G,DATA_TRANSPORT_BUDGET!$A:$A,B80,DATA_TRANSPORT_BUDGET!$D:$D,$B$6))</f>
        <v/>
      </c>
      <c r="V80">
        <f>IF(F80=0,0,SUMIFS(DATA_TRANSPORT!$T:$T,DATA_TRANSPORT!$A:$A,B80,DATA_TRANSPORT!$E:$E,$B$6,DATA_TRANSPORT!$AD:$AD,$B$7,DATA_TRANSPORT!$C:$C,"FT Procured"))</f>
        <v/>
      </c>
      <c r="W80">
        <f>IF(F80=0,0,COUNTIFS(DATA_TRANSPORT!$A:$A,B80,DATA_TRANSPORT!$E:$E,$B$6,DATA_TRANSPORT!$AD:$AD,$B$7,DATA_TRANSPORT!$V:$V,"Breakdown"))</f>
        <v/>
      </c>
      <c r="X80">
        <f>IF(M80=0,0,N80/M80)</f>
        <v/>
      </c>
      <c r="Y80">
        <f>IF(F80&gt;0,1,0)</f>
        <v/>
      </c>
      <c r="Z80">
        <f>IF(AND(A80&gt;=1,A80&lt;=$B$11),Y80,0)</f>
        <v/>
      </c>
      <c r="AA80">
        <f>IF(AND(C80=$B$12,E80=$B$14),Y80,0)</f>
        <v/>
      </c>
      <c r="AB80">
        <f>IF(AND(D80=$B$13,E80=$B$14),Y80,0)</f>
        <v/>
      </c>
      <c r="AC80">
        <f>IF(E80=$B$14,Y80,0)</f>
        <v/>
      </c>
      <c r="AE80">
        <f>IFERROR(IF(INDEX(MASTER_AREAS!$F:$F,79)="N","",INDEX(MASTER_AREAS!$B:$B,79)&amp;""),"")</f>
        <v/>
      </c>
      <c r="AF80">
        <f>IF(OR(AE80="",$B$10=0),0,SUMIFS(DATA_TRANSPORT!$Q:$Q,DATA_TRANSPORT!$A:$A,$B$10,DATA_TRANSPORT!$E:$E,AE80))</f>
        <v/>
      </c>
      <c r="AG80">
        <f>IF(OR(AE80="",$B$10=0),0,SUMIFS(DATA_TRANSPORT!$I:$I,DATA_TRANSPORT!$A:$A,$B$10,DATA_TRANSPORT!$E:$E,AE80,DATA_TRANSPORT!$V:$V,"Ran"))</f>
        <v/>
      </c>
      <c r="AH80">
        <f>IF(OR(AE80="",$B$10=0),0,SUMIFS(DATA_TRANSPORT!$L:$L,DATA_TRANSPORT!$A:$A,$B$10,DATA_TRANSPORT!$E:$E,AE80))</f>
        <v/>
      </c>
      <c r="AI80">
        <f>IF(OR(AE80="",$B$10=0),0,SUMIFS(DATA_TRANSPORT!$R:$R,DATA_TRANSPORT!$A:$A,$B$10,DATA_TRANSPORT!$E:$E,AE80))</f>
        <v/>
      </c>
      <c r="AJ80">
        <f>IF(OR(AE80="",$B$10=0),0,SUMIFS(DATA_TRANSPORT!$S:$S,DATA_TRANSPORT!$A:$A,$B$10,DATA_TRANSPORT!$E:$E,AE80))</f>
        <v/>
      </c>
      <c r="AK80">
        <f>IF(AH80=0,"",AI80/AH80)</f>
        <v/>
      </c>
      <c r="AL80">
        <f>IF(OR(AE80="",$B$10=0),0,SUMIFS(DATA_TRANSPORT!$T:$T,DATA_TRANSPORT!$A:$A,$B$10,DATA_TRANSPORT!$E:$E,AE80))+IF(OR(AE80="",$B$10=0),0,SUMIFS(DATA_TRANSPORT_COSTS!$M:$M,DATA_TRANSPORT_COSTS!$A:$A,$B$10,DATA_TRANSPORT_COSTS!$D:$D,AE80))</f>
        <v/>
      </c>
      <c r="AM80">
        <f>IF(OR(AF80=0,AL80=0),"",AL80/AF80)</f>
        <v/>
      </c>
      <c r="AN80">
        <f>IF(OR(AE80="",$B$10=0),0,SUMIFS(DATA_TRANSPORT!$T:$T,DATA_TRANSPORT!$A:$A,$B$10,DATA_TRANSPORT!$E:$E,AE80,DATA_TRANSPORT!$C:$C,"FT Procured"))</f>
        <v/>
      </c>
      <c r="AO80">
        <f>IF(OR(AE80="",$B$10=0),0,SUMIFS(DATA_TRANSPORT_BUDGET!$G:$G,DATA_TRANSPORT_BUDGET!$A:$A,$B$10,DATA_TRANSPORT_BUDGET!$D:$D,AE80))</f>
        <v/>
      </c>
      <c r="AP80">
        <f>IF(AO80=0,"",AN80-AO80)</f>
        <v/>
      </c>
      <c r="AQ80">
        <f>IF(OR(AE80="",$B$10=0),0,COUNTIFS(DATA_TRANSPORT!$A:$A,$B$10,DATA_TRANSPORT!$E:$E,AE80,DATA_TRANSPORT!$C:$C,"FT Procured",DATA_TRANSPORT!$Z:$Z,"Y"))</f>
        <v/>
      </c>
      <c r="AR80">
        <f>IF(OR(AE80="",$B$10=0),0,SUMIFS(DATA_TRANSPORT_BUDGET!$E:$E,DATA_TRANSPORT_BUDGET!$A:$A,$B$10,DATA_TRANSPORT_BUDGET!$D:$D,AE80))</f>
        <v/>
      </c>
      <c r="AS80">
        <f>IF(OR(AE80="",$B$10=0),0,COUNTIFS(DATA_TRANSPORT!$A:$A,$B$10,DATA_TRANSPORT!$E:$E,AE80,DATA_TRANSPORT!$V:$V,"Breakdown"))</f>
        <v/>
      </c>
      <c r="AT80">
        <f>IF(IF(OR(AE80="",$B$10=0),0,SUMIFS(DATA_TRANSPORT!$L:$L,DATA_TRANSPORT!$A:$A,$B$10-7,DATA_TRANSPORT!$E:$E,AE80))=0,"",IF(OR(AE80="",$B$10=0),0,SUMIFS(DATA_TRANSPORT!$R:$R,DATA_TRANSPORT!$A:$A,$B$10-7,DATA_TRANSPORT!$E:$E,AE80))/IF(OR(AE80="",$B$10=0),0,SUMIFS(DATA_TRANSPORT!$L:$L,DATA_TRANSPORT!$A:$A,$B$10-7,DATA_TRANSPORT!$E:$E,AE80)))</f>
        <v/>
      </c>
      <c r="AU80">
        <f>IF(IF(OR(AE80="",$B$10=0),0,SUMIFS(DATA_TRANSPORT!$L:$L,DATA_TRANSPORT!$A:$A,$B$10-14,DATA_TRANSPORT!$E:$E,AE80))=0,"",IF(OR(AE80="",$B$10=0),0,SUMIFS(DATA_TRANSPORT!$R:$R,DATA_TRANSPORT!$A:$A,$B$10-14,DATA_TRANSPORT!$E:$E,AE80))/IF(OR(AE80="",$B$10=0),0,SUMIFS(DATA_TRANSPORT!$L:$L,DATA_TRANSPORT!$A:$A,$B$10-14,DATA_TRANSPORT!$E:$E,AE80)))</f>
        <v/>
      </c>
      <c r="AV80">
        <f>IF(IF(OR(AE80="",$B$10=0),0,SUMIFS(DATA_TRANSPORT!$L:$L,DATA_TRANSPORT!$A:$A,$B$10-21,DATA_TRANSPORT!$E:$E,AE80))=0,"",IF(OR(AE80="",$B$10=0),0,SUMIFS(DATA_TRANSPORT!$R:$R,DATA_TRANSPORT!$A:$A,$B$10-21,DATA_TRANSPORT!$E:$E,AE80))/IF(OR(AE80="",$B$10=0),0,SUMIFS(DATA_TRANSPORT!$L:$L,DATA_TRANSPORT!$A:$A,$B$10-21,DATA_TRANSPORT!$E:$E,AE80)))</f>
        <v/>
      </c>
      <c r="AW80">
        <f>IF(AND(ISNUMBER(AK80),AK80&lt;UtilLow),1,0)+IF(AND(ISNUMBER(AT80),AT80&lt;UtilLow),1,0)+IF(AND(ISNUMBER(AU80),AU80&lt;UtilLow),1,0)+IF(AND(ISNUMBER(AV80),AV80&lt;UtilLow),1,0)</f>
        <v/>
      </c>
      <c r="AX80">
        <f>IF(AW80&gt;=UtilLowWeeks,AE80&amp;": seats only "&amp;TEXT(AK80,"0%")&amp;" full, under "&amp;TEXT(UtilLow,"0%")&amp;" for "&amp;AW80&amp;" weeks running",IF(AND(AH80&gt;0,AJ80&gt;=AH80*ExcessShare),AE80&amp;": "&amp;TEXT(AJ80,"#,##0")&amp;" riders beyond the seats — consider more buses",IF(AND(ISNUMBER(AP80),AP80&gt;0),AE80&amp;": FT spend ₦"&amp;TEXT(AP80,"#,##0")&amp;" over the weekly budget",IF(AS80&gt;0,AE80&amp;": "&amp;AS80&amp;" coaster breakdown(s) this week",""))))</f>
        <v/>
      </c>
      <c r="AY80">
        <f>IF(ISNUMBER(AK80),AK80+ROW()/1000000000,"")</f>
        <v/>
      </c>
      <c r="AZ80">
        <f>IF(ISNUMBER(AM80),AM80+ROW()/1000000,"")</f>
        <v/>
      </c>
      <c r="BA80">
        <f>IF(AND(ISNUMBER(AP80),AP80&gt;0),AP80+ROW()/1000000,"")</f>
        <v/>
      </c>
      <c r="BB80">
        <f>IF(AF80&gt;0,AF80+ROW()/1000000,"")</f>
        <v/>
      </c>
      <c r="BC80">
        <f>IF(AX80="","",ROW())</f>
        <v/>
      </c>
      <c r="BD80">
        <f>IF(AJ80&gt;0,AJ80+ROW()/1000000,"")</f>
        <v/>
      </c>
    </row>
    <row r="81">
      <c r="AE81">
        <f>IFERROR(IF(INDEX(MASTER_AREAS!$F:$F,80)="N","",INDEX(MASTER_AREAS!$B:$B,80)&amp;""),"")</f>
        <v/>
      </c>
      <c r="AF81">
        <f>IF(OR(AE81="",$B$10=0),0,SUMIFS(DATA_TRANSPORT!$Q:$Q,DATA_TRANSPORT!$A:$A,$B$10,DATA_TRANSPORT!$E:$E,AE81))</f>
        <v/>
      </c>
      <c r="AG81">
        <f>IF(OR(AE81="",$B$10=0),0,SUMIFS(DATA_TRANSPORT!$I:$I,DATA_TRANSPORT!$A:$A,$B$10,DATA_TRANSPORT!$E:$E,AE81,DATA_TRANSPORT!$V:$V,"Ran"))</f>
        <v/>
      </c>
      <c r="AH81">
        <f>IF(OR(AE81="",$B$10=0),0,SUMIFS(DATA_TRANSPORT!$L:$L,DATA_TRANSPORT!$A:$A,$B$10,DATA_TRANSPORT!$E:$E,AE81))</f>
        <v/>
      </c>
      <c r="AI81">
        <f>IF(OR(AE81="",$B$10=0),0,SUMIFS(DATA_TRANSPORT!$R:$R,DATA_TRANSPORT!$A:$A,$B$10,DATA_TRANSPORT!$E:$E,AE81))</f>
        <v/>
      </c>
      <c r="AJ81">
        <f>IF(OR(AE81="",$B$10=0),0,SUMIFS(DATA_TRANSPORT!$S:$S,DATA_TRANSPORT!$A:$A,$B$10,DATA_TRANSPORT!$E:$E,AE81))</f>
        <v/>
      </c>
      <c r="AK81">
        <f>IF(AH81=0,"",AI81/AH81)</f>
        <v/>
      </c>
      <c r="AL81">
        <f>IF(OR(AE81="",$B$10=0),0,SUMIFS(DATA_TRANSPORT!$T:$T,DATA_TRANSPORT!$A:$A,$B$10,DATA_TRANSPORT!$E:$E,AE81))+IF(OR(AE81="",$B$10=0),0,SUMIFS(DATA_TRANSPORT_COSTS!$M:$M,DATA_TRANSPORT_COSTS!$A:$A,$B$10,DATA_TRANSPORT_COSTS!$D:$D,AE81))</f>
        <v/>
      </c>
      <c r="AM81">
        <f>IF(OR(AF81=0,AL81=0),"",AL81/AF81)</f>
        <v/>
      </c>
      <c r="AN81">
        <f>IF(OR(AE81="",$B$10=0),0,SUMIFS(DATA_TRANSPORT!$T:$T,DATA_TRANSPORT!$A:$A,$B$10,DATA_TRANSPORT!$E:$E,AE81,DATA_TRANSPORT!$C:$C,"FT Procured"))</f>
        <v/>
      </c>
      <c r="AO81">
        <f>IF(OR(AE81="",$B$10=0),0,SUMIFS(DATA_TRANSPORT_BUDGET!$G:$G,DATA_TRANSPORT_BUDGET!$A:$A,$B$10,DATA_TRANSPORT_BUDGET!$D:$D,AE81))</f>
        <v/>
      </c>
      <c r="AP81">
        <f>IF(AO81=0,"",AN81-AO81)</f>
        <v/>
      </c>
      <c r="AQ81">
        <f>IF(OR(AE81="",$B$10=0),0,COUNTIFS(DATA_TRANSPORT!$A:$A,$B$10,DATA_TRANSPORT!$E:$E,AE81,DATA_TRANSPORT!$C:$C,"FT Procured",DATA_TRANSPORT!$Z:$Z,"Y"))</f>
        <v/>
      </c>
      <c r="AR81">
        <f>IF(OR(AE81="",$B$10=0),0,SUMIFS(DATA_TRANSPORT_BUDGET!$E:$E,DATA_TRANSPORT_BUDGET!$A:$A,$B$10,DATA_TRANSPORT_BUDGET!$D:$D,AE81))</f>
        <v/>
      </c>
      <c r="AS81">
        <f>IF(OR(AE81="",$B$10=0),0,COUNTIFS(DATA_TRANSPORT!$A:$A,$B$10,DATA_TRANSPORT!$E:$E,AE81,DATA_TRANSPORT!$V:$V,"Breakdown"))</f>
        <v/>
      </c>
      <c r="AT81">
        <f>IF(IF(OR(AE81="",$B$10=0),0,SUMIFS(DATA_TRANSPORT!$L:$L,DATA_TRANSPORT!$A:$A,$B$10-7,DATA_TRANSPORT!$E:$E,AE81))=0,"",IF(OR(AE81="",$B$10=0),0,SUMIFS(DATA_TRANSPORT!$R:$R,DATA_TRANSPORT!$A:$A,$B$10-7,DATA_TRANSPORT!$E:$E,AE81))/IF(OR(AE81="",$B$10=0),0,SUMIFS(DATA_TRANSPORT!$L:$L,DATA_TRANSPORT!$A:$A,$B$10-7,DATA_TRANSPORT!$E:$E,AE81)))</f>
        <v/>
      </c>
      <c r="AU81">
        <f>IF(IF(OR(AE81="",$B$10=0),0,SUMIFS(DATA_TRANSPORT!$L:$L,DATA_TRANSPORT!$A:$A,$B$10-14,DATA_TRANSPORT!$E:$E,AE81))=0,"",IF(OR(AE81="",$B$10=0),0,SUMIFS(DATA_TRANSPORT!$R:$R,DATA_TRANSPORT!$A:$A,$B$10-14,DATA_TRANSPORT!$E:$E,AE81))/IF(OR(AE81="",$B$10=0),0,SUMIFS(DATA_TRANSPORT!$L:$L,DATA_TRANSPORT!$A:$A,$B$10-14,DATA_TRANSPORT!$E:$E,AE81)))</f>
        <v/>
      </c>
      <c r="AV81">
        <f>IF(IF(OR(AE81="",$B$10=0),0,SUMIFS(DATA_TRANSPORT!$L:$L,DATA_TRANSPORT!$A:$A,$B$10-21,DATA_TRANSPORT!$E:$E,AE81))=0,"",IF(OR(AE81="",$B$10=0),0,SUMIFS(DATA_TRANSPORT!$R:$R,DATA_TRANSPORT!$A:$A,$B$10-21,DATA_TRANSPORT!$E:$E,AE81))/IF(OR(AE81="",$B$10=0),0,SUMIFS(DATA_TRANSPORT!$L:$L,DATA_TRANSPORT!$A:$A,$B$10-21,DATA_TRANSPORT!$E:$E,AE81)))</f>
        <v/>
      </c>
      <c r="AW81">
        <f>IF(AND(ISNUMBER(AK81),AK81&lt;UtilLow),1,0)+IF(AND(ISNUMBER(AT81),AT81&lt;UtilLow),1,0)+IF(AND(ISNUMBER(AU81),AU81&lt;UtilLow),1,0)+IF(AND(ISNUMBER(AV81),AV81&lt;UtilLow),1,0)</f>
        <v/>
      </c>
      <c r="AX81">
        <f>IF(AW81&gt;=UtilLowWeeks,AE81&amp;": seats only "&amp;TEXT(AK81,"0%")&amp;" full, under "&amp;TEXT(UtilLow,"0%")&amp;" for "&amp;AW81&amp;" weeks running",IF(AND(AH81&gt;0,AJ81&gt;=AH81*ExcessShare),AE81&amp;": "&amp;TEXT(AJ81,"#,##0")&amp;" riders beyond the seats — consider more buses",IF(AND(ISNUMBER(AP81),AP81&gt;0),AE81&amp;": FT spend ₦"&amp;TEXT(AP81,"#,##0")&amp;" over the weekly budget",IF(AS81&gt;0,AE81&amp;": "&amp;AS81&amp;" coaster breakdown(s) this week",""))))</f>
        <v/>
      </c>
      <c r="AY81">
        <f>IF(ISNUMBER(AK81),AK81+ROW()/1000000000,"")</f>
        <v/>
      </c>
      <c r="AZ81">
        <f>IF(ISNUMBER(AM81),AM81+ROW()/1000000,"")</f>
        <v/>
      </c>
      <c r="BA81">
        <f>IF(AND(ISNUMBER(AP81),AP81&gt;0),AP81+ROW()/1000000,"")</f>
        <v/>
      </c>
      <c r="BB81">
        <f>IF(AF81&gt;0,AF81+ROW()/1000000,"")</f>
        <v/>
      </c>
      <c r="BC81">
        <f>IF(AX81="","",ROW())</f>
        <v/>
      </c>
      <c r="BD81">
        <f>IF(AJ81&gt;0,AJ81+ROW()/1000000,"")</f>
        <v/>
      </c>
    </row>
    <row r="82">
      <c r="AE82">
        <f>IFERROR(IF(INDEX(MASTER_AREAS!$F:$F,81)="N","",INDEX(MASTER_AREAS!$B:$B,81)&amp;""),"")</f>
        <v/>
      </c>
      <c r="AF82">
        <f>IF(OR(AE82="",$B$10=0),0,SUMIFS(DATA_TRANSPORT!$Q:$Q,DATA_TRANSPORT!$A:$A,$B$10,DATA_TRANSPORT!$E:$E,AE82))</f>
        <v/>
      </c>
      <c r="AG82">
        <f>IF(OR(AE82="",$B$10=0),0,SUMIFS(DATA_TRANSPORT!$I:$I,DATA_TRANSPORT!$A:$A,$B$10,DATA_TRANSPORT!$E:$E,AE82,DATA_TRANSPORT!$V:$V,"Ran"))</f>
        <v/>
      </c>
      <c r="AH82">
        <f>IF(OR(AE82="",$B$10=0),0,SUMIFS(DATA_TRANSPORT!$L:$L,DATA_TRANSPORT!$A:$A,$B$10,DATA_TRANSPORT!$E:$E,AE82))</f>
        <v/>
      </c>
      <c r="AI82">
        <f>IF(OR(AE82="",$B$10=0),0,SUMIFS(DATA_TRANSPORT!$R:$R,DATA_TRANSPORT!$A:$A,$B$10,DATA_TRANSPORT!$E:$E,AE82))</f>
        <v/>
      </c>
      <c r="AJ82">
        <f>IF(OR(AE82="",$B$10=0),0,SUMIFS(DATA_TRANSPORT!$S:$S,DATA_TRANSPORT!$A:$A,$B$10,DATA_TRANSPORT!$E:$E,AE82))</f>
        <v/>
      </c>
      <c r="AK82">
        <f>IF(AH82=0,"",AI82/AH82)</f>
        <v/>
      </c>
      <c r="AL82">
        <f>IF(OR(AE82="",$B$10=0),0,SUMIFS(DATA_TRANSPORT!$T:$T,DATA_TRANSPORT!$A:$A,$B$10,DATA_TRANSPORT!$E:$E,AE82))+IF(OR(AE82="",$B$10=0),0,SUMIFS(DATA_TRANSPORT_COSTS!$M:$M,DATA_TRANSPORT_COSTS!$A:$A,$B$10,DATA_TRANSPORT_COSTS!$D:$D,AE82))</f>
        <v/>
      </c>
      <c r="AM82">
        <f>IF(OR(AF82=0,AL82=0),"",AL82/AF82)</f>
        <v/>
      </c>
      <c r="AN82">
        <f>IF(OR(AE82="",$B$10=0),0,SUMIFS(DATA_TRANSPORT!$T:$T,DATA_TRANSPORT!$A:$A,$B$10,DATA_TRANSPORT!$E:$E,AE82,DATA_TRANSPORT!$C:$C,"FT Procured"))</f>
        <v/>
      </c>
      <c r="AO82">
        <f>IF(OR(AE82="",$B$10=0),0,SUMIFS(DATA_TRANSPORT_BUDGET!$G:$G,DATA_TRANSPORT_BUDGET!$A:$A,$B$10,DATA_TRANSPORT_BUDGET!$D:$D,AE82))</f>
        <v/>
      </c>
      <c r="AP82">
        <f>IF(AO82=0,"",AN82-AO82)</f>
        <v/>
      </c>
      <c r="AQ82">
        <f>IF(OR(AE82="",$B$10=0),0,COUNTIFS(DATA_TRANSPORT!$A:$A,$B$10,DATA_TRANSPORT!$E:$E,AE82,DATA_TRANSPORT!$C:$C,"FT Procured",DATA_TRANSPORT!$Z:$Z,"Y"))</f>
        <v/>
      </c>
      <c r="AR82">
        <f>IF(OR(AE82="",$B$10=0),0,SUMIFS(DATA_TRANSPORT_BUDGET!$E:$E,DATA_TRANSPORT_BUDGET!$A:$A,$B$10,DATA_TRANSPORT_BUDGET!$D:$D,AE82))</f>
        <v/>
      </c>
      <c r="AS82">
        <f>IF(OR(AE82="",$B$10=0),0,COUNTIFS(DATA_TRANSPORT!$A:$A,$B$10,DATA_TRANSPORT!$E:$E,AE82,DATA_TRANSPORT!$V:$V,"Breakdown"))</f>
        <v/>
      </c>
      <c r="AT82">
        <f>IF(IF(OR(AE82="",$B$10=0),0,SUMIFS(DATA_TRANSPORT!$L:$L,DATA_TRANSPORT!$A:$A,$B$10-7,DATA_TRANSPORT!$E:$E,AE82))=0,"",IF(OR(AE82="",$B$10=0),0,SUMIFS(DATA_TRANSPORT!$R:$R,DATA_TRANSPORT!$A:$A,$B$10-7,DATA_TRANSPORT!$E:$E,AE82))/IF(OR(AE82="",$B$10=0),0,SUMIFS(DATA_TRANSPORT!$L:$L,DATA_TRANSPORT!$A:$A,$B$10-7,DATA_TRANSPORT!$E:$E,AE82)))</f>
        <v/>
      </c>
      <c r="AU82">
        <f>IF(IF(OR(AE82="",$B$10=0),0,SUMIFS(DATA_TRANSPORT!$L:$L,DATA_TRANSPORT!$A:$A,$B$10-14,DATA_TRANSPORT!$E:$E,AE82))=0,"",IF(OR(AE82="",$B$10=0),0,SUMIFS(DATA_TRANSPORT!$R:$R,DATA_TRANSPORT!$A:$A,$B$10-14,DATA_TRANSPORT!$E:$E,AE82))/IF(OR(AE82="",$B$10=0),0,SUMIFS(DATA_TRANSPORT!$L:$L,DATA_TRANSPORT!$A:$A,$B$10-14,DATA_TRANSPORT!$E:$E,AE82)))</f>
        <v/>
      </c>
      <c r="AV82">
        <f>IF(IF(OR(AE82="",$B$10=0),0,SUMIFS(DATA_TRANSPORT!$L:$L,DATA_TRANSPORT!$A:$A,$B$10-21,DATA_TRANSPORT!$E:$E,AE82))=0,"",IF(OR(AE82="",$B$10=0),0,SUMIFS(DATA_TRANSPORT!$R:$R,DATA_TRANSPORT!$A:$A,$B$10-21,DATA_TRANSPORT!$E:$E,AE82))/IF(OR(AE82="",$B$10=0),0,SUMIFS(DATA_TRANSPORT!$L:$L,DATA_TRANSPORT!$A:$A,$B$10-21,DATA_TRANSPORT!$E:$E,AE82)))</f>
        <v/>
      </c>
      <c r="AW82">
        <f>IF(AND(ISNUMBER(AK82),AK82&lt;UtilLow),1,0)+IF(AND(ISNUMBER(AT82),AT82&lt;UtilLow),1,0)+IF(AND(ISNUMBER(AU82),AU82&lt;UtilLow),1,0)+IF(AND(ISNUMBER(AV82),AV82&lt;UtilLow),1,0)</f>
        <v/>
      </c>
      <c r="AX82">
        <f>IF(AW82&gt;=UtilLowWeeks,AE82&amp;": seats only "&amp;TEXT(AK82,"0%")&amp;" full, under "&amp;TEXT(UtilLow,"0%")&amp;" for "&amp;AW82&amp;" weeks running",IF(AND(AH82&gt;0,AJ82&gt;=AH82*ExcessShare),AE82&amp;": "&amp;TEXT(AJ82,"#,##0")&amp;" riders beyond the seats — consider more buses",IF(AND(ISNUMBER(AP82),AP82&gt;0),AE82&amp;": FT spend ₦"&amp;TEXT(AP82,"#,##0")&amp;" over the weekly budget",IF(AS82&gt;0,AE82&amp;": "&amp;AS82&amp;" coaster breakdown(s) this week",""))))</f>
        <v/>
      </c>
      <c r="AY82">
        <f>IF(ISNUMBER(AK82),AK82+ROW()/1000000000,"")</f>
        <v/>
      </c>
      <c r="AZ82">
        <f>IF(ISNUMBER(AM82),AM82+ROW()/1000000,"")</f>
        <v/>
      </c>
      <c r="BA82">
        <f>IF(AND(ISNUMBER(AP82),AP82&gt;0),AP82+ROW()/1000000,"")</f>
        <v/>
      </c>
      <c r="BB82">
        <f>IF(AF82&gt;0,AF82+ROW()/1000000,"")</f>
        <v/>
      </c>
      <c r="BC82">
        <f>IF(AX82="","",ROW())</f>
        <v/>
      </c>
      <c r="BD82">
        <f>IF(AJ82&gt;0,AJ82+ROW()/1000000,"")</f>
        <v/>
      </c>
    </row>
    <row r="83">
      <c r="AE83">
        <f>IFERROR(IF(INDEX(MASTER_AREAS!$F:$F,82)="N","",INDEX(MASTER_AREAS!$B:$B,82)&amp;""),"")</f>
        <v/>
      </c>
      <c r="AF83">
        <f>IF(OR(AE83="",$B$10=0),0,SUMIFS(DATA_TRANSPORT!$Q:$Q,DATA_TRANSPORT!$A:$A,$B$10,DATA_TRANSPORT!$E:$E,AE83))</f>
        <v/>
      </c>
      <c r="AG83">
        <f>IF(OR(AE83="",$B$10=0),0,SUMIFS(DATA_TRANSPORT!$I:$I,DATA_TRANSPORT!$A:$A,$B$10,DATA_TRANSPORT!$E:$E,AE83,DATA_TRANSPORT!$V:$V,"Ran"))</f>
        <v/>
      </c>
      <c r="AH83">
        <f>IF(OR(AE83="",$B$10=0),0,SUMIFS(DATA_TRANSPORT!$L:$L,DATA_TRANSPORT!$A:$A,$B$10,DATA_TRANSPORT!$E:$E,AE83))</f>
        <v/>
      </c>
      <c r="AI83">
        <f>IF(OR(AE83="",$B$10=0),0,SUMIFS(DATA_TRANSPORT!$R:$R,DATA_TRANSPORT!$A:$A,$B$10,DATA_TRANSPORT!$E:$E,AE83))</f>
        <v/>
      </c>
      <c r="AJ83">
        <f>IF(OR(AE83="",$B$10=0),0,SUMIFS(DATA_TRANSPORT!$S:$S,DATA_TRANSPORT!$A:$A,$B$10,DATA_TRANSPORT!$E:$E,AE83))</f>
        <v/>
      </c>
      <c r="AK83">
        <f>IF(AH83=0,"",AI83/AH83)</f>
        <v/>
      </c>
      <c r="AL83">
        <f>IF(OR(AE83="",$B$10=0),0,SUMIFS(DATA_TRANSPORT!$T:$T,DATA_TRANSPORT!$A:$A,$B$10,DATA_TRANSPORT!$E:$E,AE83))+IF(OR(AE83="",$B$10=0),0,SUMIFS(DATA_TRANSPORT_COSTS!$M:$M,DATA_TRANSPORT_COSTS!$A:$A,$B$10,DATA_TRANSPORT_COSTS!$D:$D,AE83))</f>
        <v/>
      </c>
      <c r="AM83">
        <f>IF(OR(AF83=0,AL83=0),"",AL83/AF83)</f>
        <v/>
      </c>
      <c r="AN83">
        <f>IF(OR(AE83="",$B$10=0),0,SUMIFS(DATA_TRANSPORT!$T:$T,DATA_TRANSPORT!$A:$A,$B$10,DATA_TRANSPORT!$E:$E,AE83,DATA_TRANSPORT!$C:$C,"FT Procured"))</f>
        <v/>
      </c>
      <c r="AO83">
        <f>IF(OR(AE83="",$B$10=0),0,SUMIFS(DATA_TRANSPORT_BUDGET!$G:$G,DATA_TRANSPORT_BUDGET!$A:$A,$B$10,DATA_TRANSPORT_BUDGET!$D:$D,AE83))</f>
        <v/>
      </c>
      <c r="AP83">
        <f>IF(AO83=0,"",AN83-AO83)</f>
        <v/>
      </c>
      <c r="AQ83">
        <f>IF(OR(AE83="",$B$10=0),0,COUNTIFS(DATA_TRANSPORT!$A:$A,$B$10,DATA_TRANSPORT!$E:$E,AE83,DATA_TRANSPORT!$C:$C,"FT Procured",DATA_TRANSPORT!$Z:$Z,"Y"))</f>
        <v/>
      </c>
      <c r="AR83">
        <f>IF(OR(AE83="",$B$10=0),0,SUMIFS(DATA_TRANSPORT_BUDGET!$E:$E,DATA_TRANSPORT_BUDGET!$A:$A,$B$10,DATA_TRANSPORT_BUDGET!$D:$D,AE83))</f>
        <v/>
      </c>
      <c r="AS83">
        <f>IF(OR(AE83="",$B$10=0),0,COUNTIFS(DATA_TRANSPORT!$A:$A,$B$10,DATA_TRANSPORT!$E:$E,AE83,DATA_TRANSPORT!$V:$V,"Breakdown"))</f>
        <v/>
      </c>
      <c r="AT83">
        <f>IF(IF(OR(AE83="",$B$10=0),0,SUMIFS(DATA_TRANSPORT!$L:$L,DATA_TRANSPORT!$A:$A,$B$10-7,DATA_TRANSPORT!$E:$E,AE83))=0,"",IF(OR(AE83="",$B$10=0),0,SUMIFS(DATA_TRANSPORT!$R:$R,DATA_TRANSPORT!$A:$A,$B$10-7,DATA_TRANSPORT!$E:$E,AE83))/IF(OR(AE83="",$B$10=0),0,SUMIFS(DATA_TRANSPORT!$L:$L,DATA_TRANSPORT!$A:$A,$B$10-7,DATA_TRANSPORT!$E:$E,AE83)))</f>
        <v/>
      </c>
      <c r="AU83">
        <f>IF(IF(OR(AE83="",$B$10=0),0,SUMIFS(DATA_TRANSPORT!$L:$L,DATA_TRANSPORT!$A:$A,$B$10-14,DATA_TRANSPORT!$E:$E,AE83))=0,"",IF(OR(AE83="",$B$10=0),0,SUMIFS(DATA_TRANSPORT!$R:$R,DATA_TRANSPORT!$A:$A,$B$10-14,DATA_TRANSPORT!$E:$E,AE83))/IF(OR(AE83="",$B$10=0),0,SUMIFS(DATA_TRANSPORT!$L:$L,DATA_TRANSPORT!$A:$A,$B$10-14,DATA_TRANSPORT!$E:$E,AE83)))</f>
        <v/>
      </c>
      <c r="AV83">
        <f>IF(IF(OR(AE83="",$B$10=0),0,SUMIFS(DATA_TRANSPORT!$L:$L,DATA_TRANSPORT!$A:$A,$B$10-21,DATA_TRANSPORT!$E:$E,AE83))=0,"",IF(OR(AE83="",$B$10=0),0,SUMIFS(DATA_TRANSPORT!$R:$R,DATA_TRANSPORT!$A:$A,$B$10-21,DATA_TRANSPORT!$E:$E,AE83))/IF(OR(AE83="",$B$10=0),0,SUMIFS(DATA_TRANSPORT!$L:$L,DATA_TRANSPORT!$A:$A,$B$10-21,DATA_TRANSPORT!$E:$E,AE83)))</f>
        <v/>
      </c>
      <c r="AW83">
        <f>IF(AND(ISNUMBER(AK83),AK83&lt;UtilLow),1,0)+IF(AND(ISNUMBER(AT83),AT83&lt;UtilLow),1,0)+IF(AND(ISNUMBER(AU83),AU83&lt;UtilLow),1,0)+IF(AND(ISNUMBER(AV83),AV83&lt;UtilLow),1,0)</f>
        <v/>
      </c>
      <c r="AX83">
        <f>IF(AW83&gt;=UtilLowWeeks,AE83&amp;": seats only "&amp;TEXT(AK83,"0%")&amp;" full, under "&amp;TEXT(UtilLow,"0%")&amp;" for "&amp;AW83&amp;" weeks running",IF(AND(AH83&gt;0,AJ83&gt;=AH83*ExcessShare),AE83&amp;": "&amp;TEXT(AJ83,"#,##0")&amp;" riders beyond the seats — consider more buses",IF(AND(ISNUMBER(AP83),AP83&gt;0),AE83&amp;": FT spend ₦"&amp;TEXT(AP83,"#,##0")&amp;" over the weekly budget",IF(AS83&gt;0,AE83&amp;": "&amp;AS83&amp;" coaster breakdown(s) this week",""))))</f>
        <v/>
      </c>
      <c r="AY83">
        <f>IF(ISNUMBER(AK83),AK83+ROW()/1000000000,"")</f>
        <v/>
      </c>
      <c r="AZ83">
        <f>IF(ISNUMBER(AM83),AM83+ROW()/1000000,"")</f>
        <v/>
      </c>
      <c r="BA83">
        <f>IF(AND(ISNUMBER(AP83),AP83&gt;0),AP83+ROW()/1000000,"")</f>
        <v/>
      </c>
      <c r="BB83">
        <f>IF(AF83&gt;0,AF83+ROW()/1000000,"")</f>
        <v/>
      </c>
      <c r="BC83">
        <f>IF(AX83="","",ROW())</f>
        <v/>
      </c>
      <c r="BD83">
        <f>IF(AJ83&gt;0,AJ83+ROW()/1000000,"")</f>
        <v/>
      </c>
    </row>
    <row r="84">
      <c r="AE84">
        <f>IFERROR(IF(INDEX(MASTER_AREAS!$F:$F,83)="N","",INDEX(MASTER_AREAS!$B:$B,83)&amp;""),"")</f>
        <v/>
      </c>
      <c r="AF84">
        <f>IF(OR(AE84="",$B$10=0),0,SUMIFS(DATA_TRANSPORT!$Q:$Q,DATA_TRANSPORT!$A:$A,$B$10,DATA_TRANSPORT!$E:$E,AE84))</f>
        <v/>
      </c>
      <c r="AG84">
        <f>IF(OR(AE84="",$B$10=0),0,SUMIFS(DATA_TRANSPORT!$I:$I,DATA_TRANSPORT!$A:$A,$B$10,DATA_TRANSPORT!$E:$E,AE84,DATA_TRANSPORT!$V:$V,"Ran"))</f>
        <v/>
      </c>
      <c r="AH84">
        <f>IF(OR(AE84="",$B$10=0),0,SUMIFS(DATA_TRANSPORT!$L:$L,DATA_TRANSPORT!$A:$A,$B$10,DATA_TRANSPORT!$E:$E,AE84))</f>
        <v/>
      </c>
      <c r="AI84">
        <f>IF(OR(AE84="",$B$10=0),0,SUMIFS(DATA_TRANSPORT!$R:$R,DATA_TRANSPORT!$A:$A,$B$10,DATA_TRANSPORT!$E:$E,AE84))</f>
        <v/>
      </c>
      <c r="AJ84">
        <f>IF(OR(AE84="",$B$10=0),0,SUMIFS(DATA_TRANSPORT!$S:$S,DATA_TRANSPORT!$A:$A,$B$10,DATA_TRANSPORT!$E:$E,AE84))</f>
        <v/>
      </c>
      <c r="AK84">
        <f>IF(AH84=0,"",AI84/AH84)</f>
        <v/>
      </c>
      <c r="AL84">
        <f>IF(OR(AE84="",$B$10=0),0,SUMIFS(DATA_TRANSPORT!$T:$T,DATA_TRANSPORT!$A:$A,$B$10,DATA_TRANSPORT!$E:$E,AE84))+IF(OR(AE84="",$B$10=0),0,SUMIFS(DATA_TRANSPORT_COSTS!$M:$M,DATA_TRANSPORT_COSTS!$A:$A,$B$10,DATA_TRANSPORT_COSTS!$D:$D,AE84))</f>
        <v/>
      </c>
      <c r="AM84">
        <f>IF(OR(AF84=0,AL84=0),"",AL84/AF84)</f>
        <v/>
      </c>
      <c r="AN84">
        <f>IF(OR(AE84="",$B$10=0),0,SUMIFS(DATA_TRANSPORT!$T:$T,DATA_TRANSPORT!$A:$A,$B$10,DATA_TRANSPORT!$E:$E,AE84,DATA_TRANSPORT!$C:$C,"FT Procured"))</f>
        <v/>
      </c>
      <c r="AO84">
        <f>IF(OR(AE84="",$B$10=0),0,SUMIFS(DATA_TRANSPORT_BUDGET!$G:$G,DATA_TRANSPORT_BUDGET!$A:$A,$B$10,DATA_TRANSPORT_BUDGET!$D:$D,AE84))</f>
        <v/>
      </c>
      <c r="AP84">
        <f>IF(AO84=0,"",AN84-AO84)</f>
        <v/>
      </c>
      <c r="AQ84">
        <f>IF(OR(AE84="",$B$10=0),0,COUNTIFS(DATA_TRANSPORT!$A:$A,$B$10,DATA_TRANSPORT!$E:$E,AE84,DATA_TRANSPORT!$C:$C,"FT Procured",DATA_TRANSPORT!$Z:$Z,"Y"))</f>
        <v/>
      </c>
      <c r="AR84">
        <f>IF(OR(AE84="",$B$10=0),0,SUMIFS(DATA_TRANSPORT_BUDGET!$E:$E,DATA_TRANSPORT_BUDGET!$A:$A,$B$10,DATA_TRANSPORT_BUDGET!$D:$D,AE84))</f>
        <v/>
      </c>
      <c r="AS84">
        <f>IF(OR(AE84="",$B$10=0),0,COUNTIFS(DATA_TRANSPORT!$A:$A,$B$10,DATA_TRANSPORT!$E:$E,AE84,DATA_TRANSPORT!$V:$V,"Breakdown"))</f>
        <v/>
      </c>
      <c r="AT84">
        <f>IF(IF(OR(AE84="",$B$10=0),0,SUMIFS(DATA_TRANSPORT!$L:$L,DATA_TRANSPORT!$A:$A,$B$10-7,DATA_TRANSPORT!$E:$E,AE84))=0,"",IF(OR(AE84="",$B$10=0),0,SUMIFS(DATA_TRANSPORT!$R:$R,DATA_TRANSPORT!$A:$A,$B$10-7,DATA_TRANSPORT!$E:$E,AE84))/IF(OR(AE84="",$B$10=0),0,SUMIFS(DATA_TRANSPORT!$L:$L,DATA_TRANSPORT!$A:$A,$B$10-7,DATA_TRANSPORT!$E:$E,AE84)))</f>
        <v/>
      </c>
      <c r="AU84">
        <f>IF(IF(OR(AE84="",$B$10=0),0,SUMIFS(DATA_TRANSPORT!$L:$L,DATA_TRANSPORT!$A:$A,$B$10-14,DATA_TRANSPORT!$E:$E,AE84))=0,"",IF(OR(AE84="",$B$10=0),0,SUMIFS(DATA_TRANSPORT!$R:$R,DATA_TRANSPORT!$A:$A,$B$10-14,DATA_TRANSPORT!$E:$E,AE84))/IF(OR(AE84="",$B$10=0),0,SUMIFS(DATA_TRANSPORT!$L:$L,DATA_TRANSPORT!$A:$A,$B$10-14,DATA_TRANSPORT!$E:$E,AE84)))</f>
        <v/>
      </c>
      <c r="AV84">
        <f>IF(IF(OR(AE84="",$B$10=0),0,SUMIFS(DATA_TRANSPORT!$L:$L,DATA_TRANSPORT!$A:$A,$B$10-21,DATA_TRANSPORT!$E:$E,AE84))=0,"",IF(OR(AE84="",$B$10=0),0,SUMIFS(DATA_TRANSPORT!$R:$R,DATA_TRANSPORT!$A:$A,$B$10-21,DATA_TRANSPORT!$E:$E,AE84))/IF(OR(AE84="",$B$10=0),0,SUMIFS(DATA_TRANSPORT!$L:$L,DATA_TRANSPORT!$A:$A,$B$10-21,DATA_TRANSPORT!$E:$E,AE84)))</f>
        <v/>
      </c>
      <c r="AW84">
        <f>IF(AND(ISNUMBER(AK84),AK84&lt;UtilLow),1,0)+IF(AND(ISNUMBER(AT84),AT84&lt;UtilLow),1,0)+IF(AND(ISNUMBER(AU84),AU84&lt;UtilLow),1,0)+IF(AND(ISNUMBER(AV84),AV84&lt;UtilLow),1,0)</f>
        <v/>
      </c>
      <c r="AX84">
        <f>IF(AW84&gt;=UtilLowWeeks,AE84&amp;": seats only "&amp;TEXT(AK84,"0%")&amp;" full, under "&amp;TEXT(UtilLow,"0%")&amp;" for "&amp;AW84&amp;" weeks running",IF(AND(AH84&gt;0,AJ84&gt;=AH84*ExcessShare),AE84&amp;": "&amp;TEXT(AJ84,"#,##0")&amp;" riders beyond the seats — consider more buses",IF(AND(ISNUMBER(AP84),AP84&gt;0),AE84&amp;": FT spend ₦"&amp;TEXT(AP84,"#,##0")&amp;" over the weekly budget",IF(AS84&gt;0,AE84&amp;": "&amp;AS84&amp;" coaster breakdown(s) this week",""))))</f>
        <v/>
      </c>
      <c r="AY84">
        <f>IF(ISNUMBER(AK84),AK84+ROW()/1000000000,"")</f>
        <v/>
      </c>
      <c r="AZ84">
        <f>IF(ISNUMBER(AM84),AM84+ROW()/1000000,"")</f>
        <v/>
      </c>
      <c r="BA84">
        <f>IF(AND(ISNUMBER(AP84),AP84&gt;0),AP84+ROW()/1000000,"")</f>
        <v/>
      </c>
      <c r="BB84">
        <f>IF(AF84&gt;0,AF84+ROW()/1000000,"")</f>
        <v/>
      </c>
      <c r="BC84">
        <f>IF(AX84="","",ROW())</f>
        <v/>
      </c>
      <c r="BD84">
        <f>IF(AJ84&gt;0,AJ84+ROW()/1000000,"")</f>
        <v/>
      </c>
    </row>
    <row r="85">
      <c r="AE85">
        <f>IFERROR(IF(INDEX(MASTER_AREAS!$F:$F,84)="N","",INDEX(MASTER_AREAS!$B:$B,84)&amp;""),"")</f>
        <v/>
      </c>
      <c r="AF85">
        <f>IF(OR(AE85="",$B$10=0),0,SUMIFS(DATA_TRANSPORT!$Q:$Q,DATA_TRANSPORT!$A:$A,$B$10,DATA_TRANSPORT!$E:$E,AE85))</f>
        <v/>
      </c>
      <c r="AG85">
        <f>IF(OR(AE85="",$B$10=0),0,SUMIFS(DATA_TRANSPORT!$I:$I,DATA_TRANSPORT!$A:$A,$B$10,DATA_TRANSPORT!$E:$E,AE85,DATA_TRANSPORT!$V:$V,"Ran"))</f>
        <v/>
      </c>
      <c r="AH85">
        <f>IF(OR(AE85="",$B$10=0),0,SUMIFS(DATA_TRANSPORT!$L:$L,DATA_TRANSPORT!$A:$A,$B$10,DATA_TRANSPORT!$E:$E,AE85))</f>
        <v/>
      </c>
      <c r="AI85">
        <f>IF(OR(AE85="",$B$10=0),0,SUMIFS(DATA_TRANSPORT!$R:$R,DATA_TRANSPORT!$A:$A,$B$10,DATA_TRANSPORT!$E:$E,AE85))</f>
        <v/>
      </c>
      <c r="AJ85">
        <f>IF(OR(AE85="",$B$10=0),0,SUMIFS(DATA_TRANSPORT!$S:$S,DATA_TRANSPORT!$A:$A,$B$10,DATA_TRANSPORT!$E:$E,AE85))</f>
        <v/>
      </c>
      <c r="AK85">
        <f>IF(AH85=0,"",AI85/AH85)</f>
        <v/>
      </c>
      <c r="AL85">
        <f>IF(OR(AE85="",$B$10=0),0,SUMIFS(DATA_TRANSPORT!$T:$T,DATA_TRANSPORT!$A:$A,$B$10,DATA_TRANSPORT!$E:$E,AE85))+IF(OR(AE85="",$B$10=0),0,SUMIFS(DATA_TRANSPORT_COSTS!$M:$M,DATA_TRANSPORT_COSTS!$A:$A,$B$10,DATA_TRANSPORT_COSTS!$D:$D,AE85))</f>
        <v/>
      </c>
      <c r="AM85">
        <f>IF(OR(AF85=0,AL85=0),"",AL85/AF85)</f>
        <v/>
      </c>
      <c r="AN85">
        <f>IF(OR(AE85="",$B$10=0),0,SUMIFS(DATA_TRANSPORT!$T:$T,DATA_TRANSPORT!$A:$A,$B$10,DATA_TRANSPORT!$E:$E,AE85,DATA_TRANSPORT!$C:$C,"FT Procured"))</f>
        <v/>
      </c>
      <c r="AO85">
        <f>IF(OR(AE85="",$B$10=0),0,SUMIFS(DATA_TRANSPORT_BUDGET!$G:$G,DATA_TRANSPORT_BUDGET!$A:$A,$B$10,DATA_TRANSPORT_BUDGET!$D:$D,AE85))</f>
        <v/>
      </c>
      <c r="AP85">
        <f>IF(AO85=0,"",AN85-AO85)</f>
        <v/>
      </c>
      <c r="AQ85">
        <f>IF(OR(AE85="",$B$10=0),0,COUNTIFS(DATA_TRANSPORT!$A:$A,$B$10,DATA_TRANSPORT!$E:$E,AE85,DATA_TRANSPORT!$C:$C,"FT Procured",DATA_TRANSPORT!$Z:$Z,"Y"))</f>
        <v/>
      </c>
      <c r="AR85">
        <f>IF(OR(AE85="",$B$10=0),0,SUMIFS(DATA_TRANSPORT_BUDGET!$E:$E,DATA_TRANSPORT_BUDGET!$A:$A,$B$10,DATA_TRANSPORT_BUDGET!$D:$D,AE85))</f>
        <v/>
      </c>
      <c r="AS85">
        <f>IF(OR(AE85="",$B$10=0),0,COUNTIFS(DATA_TRANSPORT!$A:$A,$B$10,DATA_TRANSPORT!$E:$E,AE85,DATA_TRANSPORT!$V:$V,"Breakdown"))</f>
        <v/>
      </c>
      <c r="AT85">
        <f>IF(IF(OR(AE85="",$B$10=0),0,SUMIFS(DATA_TRANSPORT!$L:$L,DATA_TRANSPORT!$A:$A,$B$10-7,DATA_TRANSPORT!$E:$E,AE85))=0,"",IF(OR(AE85="",$B$10=0),0,SUMIFS(DATA_TRANSPORT!$R:$R,DATA_TRANSPORT!$A:$A,$B$10-7,DATA_TRANSPORT!$E:$E,AE85))/IF(OR(AE85="",$B$10=0),0,SUMIFS(DATA_TRANSPORT!$L:$L,DATA_TRANSPORT!$A:$A,$B$10-7,DATA_TRANSPORT!$E:$E,AE85)))</f>
        <v/>
      </c>
      <c r="AU85">
        <f>IF(IF(OR(AE85="",$B$10=0),0,SUMIFS(DATA_TRANSPORT!$L:$L,DATA_TRANSPORT!$A:$A,$B$10-14,DATA_TRANSPORT!$E:$E,AE85))=0,"",IF(OR(AE85="",$B$10=0),0,SUMIFS(DATA_TRANSPORT!$R:$R,DATA_TRANSPORT!$A:$A,$B$10-14,DATA_TRANSPORT!$E:$E,AE85))/IF(OR(AE85="",$B$10=0),0,SUMIFS(DATA_TRANSPORT!$L:$L,DATA_TRANSPORT!$A:$A,$B$10-14,DATA_TRANSPORT!$E:$E,AE85)))</f>
        <v/>
      </c>
      <c r="AV85">
        <f>IF(IF(OR(AE85="",$B$10=0),0,SUMIFS(DATA_TRANSPORT!$L:$L,DATA_TRANSPORT!$A:$A,$B$10-21,DATA_TRANSPORT!$E:$E,AE85))=0,"",IF(OR(AE85="",$B$10=0),0,SUMIFS(DATA_TRANSPORT!$R:$R,DATA_TRANSPORT!$A:$A,$B$10-21,DATA_TRANSPORT!$E:$E,AE85))/IF(OR(AE85="",$B$10=0),0,SUMIFS(DATA_TRANSPORT!$L:$L,DATA_TRANSPORT!$A:$A,$B$10-21,DATA_TRANSPORT!$E:$E,AE85)))</f>
        <v/>
      </c>
      <c r="AW85">
        <f>IF(AND(ISNUMBER(AK85),AK85&lt;UtilLow),1,0)+IF(AND(ISNUMBER(AT85),AT85&lt;UtilLow),1,0)+IF(AND(ISNUMBER(AU85),AU85&lt;UtilLow),1,0)+IF(AND(ISNUMBER(AV85),AV85&lt;UtilLow),1,0)</f>
        <v/>
      </c>
      <c r="AX85">
        <f>IF(AW85&gt;=UtilLowWeeks,AE85&amp;": seats only "&amp;TEXT(AK85,"0%")&amp;" full, under "&amp;TEXT(UtilLow,"0%")&amp;" for "&amp;AW85&amp;" weeks running",IF(AND(AH85&gt;0,AJ85&gt;=AH85*ExcessShare),AE85&amp;": "&amp;TEXT(AJ85,"#,##0")&amp;" riders beyond the seats — consider more buses",IF(AND(ISNUMBER(AP85),AP85&gt;0),AE85&amp;": FT spend ₦"&amp;TEXT(AP85,"#,##0")&amp;" over the weekly budget",IF(AS85&gt;0,AE85&amp;": "&amp;AS85&amp;" coaster breakdown(s) this week",""))))</f>
        <v/>
      </c>
      <c r="AY85">
        <f>IF(ISNUMBER(AK85),AK85+ROW()/1000000000,"")</f>
        <v/>
      </c>
      <c r="AZ85">
        <f>IF(ISNUMBER(AM85),AM85+ROW()/1000000,"")</f>
        <v/>
      </c>
      <c r="BA85">
        <f>IF(AND(ISNUMBER(AP85),AP85&gt;0),AP85+ROW()/1000000,"")</f>
        <v/>
      </c>
      <c r="BB85">
        <f>IF(AF85&gt;0,AF85+ROW()/1000000,"")</f>
        <v/>
      </c>
      <c r="BC85">
        <f>IF(AX85="","",ROW())</f>
        <v/>
      </c>
      <c r="BD85">
        <f>IF(AJ85&gt;0,AJ85+ROW()/1000000,"")</f>
        <v/>
      </c>
    </row>
    <row r="86">
      <c r="AE86">
        <f>IFERROR(IF(INDEX(MASTER_AREAS!$F:$F,85)="N","",INDEX(MASTER_AREAS!$B:$B,85)&amp;""),"")</f>
        <v/>
      </c>
      <c r="AF86">
        <f>IF(OR(AE86="",$B$10=0),0,SUMIFS(DATA_TRANSPORT!$Q:$Q,DATA_TRANSPORT!$A:$A,$B$10,DATA_TRANSPORT!$E:$E,AE86))</f>
        <v/>
      </c>
      <c r="AG86">
        <f>IF(OR(AE86="",$B$10=0),0,SUMIFS(DATA_TRANSPORT!$I:$I,DATA_TRANSPORT!$A:$A,$B$10,DATA_TRANSPORT!$E:$E,AE86,DATA_TRANSPORT!$V:$V,"Ran"))</f>
        <v/>
      </c>
      <c r="AH86">
        <f>IF(OR(AE86="",$B$10=0),0,SUMIFS(DATA_TRANSPORT!$L:$L,DATA_TRANSPORT!$A:$A,$B$10,DATA_TRANSPORT!$E:$E,AE86))</f>
        <v/>
      </c>
      <c r="AI86">
        <f>IF(OR(AE86="",$B$10=0),0,SUMIFS(DATA_TRANSPORT!$R:$R,DATA_TRANSPORT!$A:$A,$B$10,DATA_TRANSPORT!$E:$E,AE86))</f>
        <v/>
      </c>
      <c r="AJ86">
        <f>IF(OR(AE86="",$B$10=0),0,SUMIFS(DATA_TRANSPORT!$S:$S,DATA_TRANSPORT!$A:$A,$B$10,DATA_TRANSPORT!$E:$E,AE86))</f>
        <v/>
      </c>
      <c r="AK86">
        <f>IF(AH86=0,"",AI86/AH86)</f>
        <v/>
      </c>
      <c r="AL86">
        <f>IF(OR(AE86="",$B$10=0),0,SUMIFS(DATA_TRANSPORT!$T:$T,DATA_TRANSPORT!$A:$A,$B$10,DATA_TRANSPORT!$E:$E,AE86))+IF(OR(AE86="",$B$10=0),0,SUMIFS(DATA_TRANSPORT_COSTS!$M:$M,DATA_TRANSPORT_COSTS!$A:$A,$B$10,DATA_TRANSPORT_COSTS!$D:$D,AE86))</f>
        <v/>
      </c>
      <c r="AM86">
        <f>IF(OR(AF86=0,AL86=0),"",AL86/AF86)</f>
        <v/>
      </c>
      <c r="AN86">
        <f>IF(OR(AE86="",$B$10=0),0,SUMIFS(DATA_TRANSPORT!$T:$T,DATA_TRANSPORT!$A:$A,$B$10,DATA_TRANSPORT!$E:$E,AE86,DATA_TRANSPORT!$C:$C,"FT Procured"))</f>
        <v/>
      </c>
      <c r="AO86">
        <f>IF(OR(AE86="",$B$10=0),0,SUMIFS(DATA_TRANSPORT_BUDGET!$G:$G,DATA_TRANSPORT_BUDGET!$A:$A,$B$10,DATA_TRANSPORT_BUDGET!$D:$D,AE86))</f>
        <v/>
      </c>
      <c r="AP86">
        <f>IF(AO86=0,"",AN86-AO86)</f>
        <v/>
      </c>
      <c r="AQ86">
        <f>IF(OR(AE86="",$B$10=0),0,COUNTIFS(DATA_TRANSPORT!$A:$A,$B$10,DATA_TRANSPORT!$E:$E,AE86,DATA_TRANSPORT!$C:$C,"FT Procured",DATA_TRANSPORT!$Z:$Z,"Y"))</f>
        <v/>
      </c>
      <c r="AR86">
        <f>IF(OR(AE86="",$B$10=0),0,SUMIFS(DATA_TRANSPORT_BUDGET!$E:$E,DATA_TRANSPORT_BUDGET!$A:$A,$B$10,DATA_TRANSPORT_BUDGET!$D:$D,AE86))</f>
        <v/>
      </c>
      <c r="AS86">
        <f>IF(OR(AE86="",$B$10=0),0,COUNTIFS(DATA_TRANSPORT!$A:$A,$B$10,DATA_TRANSPORT!$E:$E,AE86,DATA_TRANSPORT!$V:$V,"Breakdown"))</f>
        <v/>
      </c>
      <c r="AT86">
        <f>IF(IF(OR(AE86="",$B$10=0),0,SUMIFS(DATA_TRANSPORT!$L:$L,DATA_TRANSPORT!$A:$A,$B$10-7,DATA_TRANSPORT!$E:$E,AE86))=0,"",IF(OR(AE86="",$B$10=0),0,SUMIFS(DATA_TRANSPORT!$R:$R,DATA_TRANSPORT!$A:$A,$B$10-7,DATA_TRANSPORT!$E:$E,AE86))/IF(OR(AE86="",$B$10=0),0,SUMIFS(DATA_TRANSPORT!$L:$L,DATA_TRANSPORT!$A:$A,$B$10-7,DATA_TRANSPORT!$E:$E,AE86)))</f>
        <v/>
      </c>
      <c r="AU86">
        <f>IF(IF(OR(AE86="",$B$10=0),0,SUMIFS(DATA_TRANSPORT!$L:$L,DATA_TRANSPORT!$A:$A,$B$10-14,DATA_TRANSPORT!$E:$E,AE86))=0,"",IF(OR(AE86="",$B$10=0),0,SUMIFS(DATA_TRANSPORT!$R:$R,DATA_TRANSPORT!$A:$A,$B$10-14,DATA_TRANSPORT!$E:$E,AE86))/IF(OR(AE86="",$B$10=0),0,SUMIFS(DATA_TRANSPORT!$L:$L,DATA_TRANSPORT!$A:$A,$B$10-14,DATA_TRANSPORT!$E:$E,AE86)))</f>
        <v/>
      </c>
      <c r="AV86">
        <f>IF(IF(OR(AE86="",$B$10=0),0,SUMIFS(DATA_TRANSPORT!$L:$L,DATA_TRANSPORT!$A:$A,$B$10-21,DATA_TRANSPORT!$E:$E,AE86))=0,"",IF(OR(AE86="",$B$10=0),0,SUMIFS(DATA_TRANSPORT!$R:$R,DATA_TRANSPORT!$A:$A,$B$10-21,DATA_TRANSPORT!$E:$E,AE86))/IF(OR(AE86="",$B$10=0),0,SUMIFS(DATA_TRANSPORT!$L:$L,DATA_TRANSPORT!$A:$A,$B$10-21,DATA_TRANSPORT!$E:$E,AE86)))</f>
        <v/>
      </c>
      <c r="AW86">
        <f>IF(AND(ISNUMBER(AK86),AK86&lt;UtilLow),1,0)+IF(AND(ISNUMBER(AT86),AT86&lt;UtilLow),1,0)+IF(AND(ISNUMBER(AU86),AU86&lt;UtilLow),1,0)+IF(AND(ISNUMBER(AV86),AV86&lt;UtilLow),1,0)</f>
        <v/>
      </c>
      <c r="AX86">
        <f>IF(AW86&gt;=UtilLowWeeks,AE86&amp;": seats only "&amp;TEXT(AK86,"0%")&amp;" full, under "&amp;TEXT(UtilLow,"0%")&amp;" for "&amp;AW86&amp;" weeks running",IF(AND(AH86&gt;0,AJ86&gt;=AH86*ExcessShare),AE86&amp;": "&amp;TEXT(AJ86,"#,##0")&amp;" riders beyond the seats — consider more buses",IF(AND(ISNUMBER(AP86),AP86&gt;0),AE86&amp;": FT spend ₦"&amp;TEXT(AP86,"#,##0")&amp;" over the weekly budget",IF(AS86&gt;0,AE86&amp;": "&amp;AS86&amp;" coaster breakdown(s) this week",""))))</f>
        <v/>
      </c>
      <c r="AY86">
        <f>IF(ISNUMBER(AK86),AK86+ROW()/1000000000,"")</f>
        <v/>
      </c>
      <c r="AZ86">
        <f>IF(ISNUMBER(AM86),AM86+ROW()/1000000,"")</f>
        <v/>
      </c>
      <c r="BA86">
        <f>IF(AND(ISNUMBER(AP86),AP86&gt;0),AP86+ROW()/1000000,"")</f>
        <v/>
      </c>
      <c r="BB86">
        <f>IF(AF86&gt;0,AF86+ROW()/1000000,"")</f>
        <v/>
      </c>
      <c r="BC86">
        <f>IF(AX86="","",ROW())</f>
        <v/>
      </c>
      <c r="BD86">
        <f>IF(AJ86&gt;0,AJ86+ROW()/1000000,"")</f>
        <v/>
      </c>
    </row>
    <row r="87">
      <c r="AE87">
        <f>IFERROR(IF(INDEX(MASTER_AREAS!$F:$F,86)="N","",INDEX(MASTER_AREAS!$B:$B,86)&amp;""),"")</f>
        <v/>
      </c>
      <c r="AF87">
        <f>IF(OR(AE87="",$B$10=0),0,SUMIFS(DATA_TRANSPORT!$Q:$Q,DATA_TRANSPORT!$A:$A,$B$10,DATA_TRANSPORT!$E:$E,AE87))</f>
        <v/>
      </c>
      <c r="AG87">
        <f>IF(OR(AE87="",$B$10=0),0,SUMIFS(DATA_TRANSPORT!$I:$I,DATA_TRANSPORT!$A:$A,$B$10,DATA_TRANSPORT!$E:$E,AE87,DATA_TRANSPORT!$V:$V,"Ran"))</f>
        <v/>
      </c>
      <c r="AH87">
        <f>IF(OR(AE87="",$B$10=0),0,SUMIFS(DATA_TRANSPORT!$L:$L,DATA_TRANSPORT!$A:$A,$B$10,DATA_TRANSPORT!$E:$E,AE87))</f>
        <v/>
      </c>
      <c r="AI87">
        <f>IF(OR(AE87="",$B$10=0),0,SUMIFS(DATA_TRANSPORT!$R:$R,DATA_TRANSPORT!$A:$A,$B$10,DATA_TRANSPORT!$E:$E,AE87))</f>
        <v/>
      </c>
      <c r="AJ87">
        <f>IF(OR(AE87="",$B$10=0),0,SUMIFS(DATA_TRANSPORT!$S:$S,DATA_TRANSPORT!$A:$A,$B$10,DATA_TRANSPORT!$E:$E,AE87))</f>
        <v/>
      </c>
      <c r="AK87">
        <f>IF(AH87=0,"",AI87/AH87)</f>
        <v/>
      </c>
      <c r="AL87">
        <f>IF(OR(AE87="",$B$10=0),0,SUMIFS(DATA_TRANSPORT!$T:$T,DATA_TRANSPORT!$A:$A,$B$10,DATA_TRANSPORT!$E:$E,AE87))+IF(OR(AE87="",$B$10=0),0,SUMIFS(DATA_TRANSPORT_COSTS!$M:$M,DATA_TRANSPORT_COSTS!$A:$A,$B$10,DATA_TRANSPORT_COSTS!$D:$D,AE87))</f>
        <v/>
      </c>
      <c r="AM87">
        <f>IF(OR(AF87=0,AL87=0),"",AL87/AF87)</f>
        <v/>
      </c>
      <c r="AN87">
        <f>IF(OR(AE87="",$B$10=0),0,SUMIFS(DATA_TRANSPORT!$T:$T,DATA_TRANSPORT!$A:$A,$B$10,DATA_TRANSPORT!$E:$E,AE87,DATA_TRANSPORT!$C:$C,"FT Procured"))</f>
        <v/>
      </c>
      <c r="AO87">
        <f>IF(OR(AE87="",$B$10=0),0,SUMIFS(DATA_TRANSPORT_BUDGET!$G:$G,DATA_TRANSPORT_BUDGET!$A:$A,$B$10,DATA_TRANSPORT_BUDGET!$D:$D,AE87))</f>
        <v/>
      </c>
      <c r="AP87">
        <f>IF(AO87=0,"",AN87-AO87)</f>
        <v/>
      </c>
      <c r="AQ87">
        <f>IF(OR(AE87="",$B$10=0),0,COUNTIFS(DATA_TRANSPORT!$A:$A,$B$10,DATA_TRANSPORT!$E:$E,AE87,DATA_TRANSPORT!$C:$C,"FT Procured",DATA_TRANSPORT!$Z:$Z,"Y"))</f>
        <v/>
      </c>
      <c r="AR87">
        <f>IF(OR(AE87="",$B$10=0),0,SUMIFS(DATA_TRANSPORT_BUDGET!$E:$E,DATA_TRANSPORT_BUDGET!$A:$A,$B$10,DATA_TRANSPORT_BUDGET!$D:$D,AE87))</f>
        <v/>
      </c>
      <c r="AS87">
        <f>IF(OR(AE87="",$B$10=0),0,COUNTIFS(DATA_TRANSPORT!$A:$A,$B$10,DATA_TRANSPORT!$E:$E,AE87,DATA_TRANSPORT!$V:$V,"Breakdown"))</f>
        <v/>
      </c>
      <c r="AT87">
        <f>IF(IF(OR(AE87="",$B$10=0),0,SUMIFS(DATA_TRANSPORT!$L:$L,DATA_TRANSPORT!$A:$A,$B$10-7,DATA_TRANSPORT!$E:$E,AE87))=0,"",IF(OR(AE87="",$B$10=0),0,SUMIFS(DATA_TRANSPORT!$R:$R,DATA_TRANSPORT!$A:$A,$B$10-7,DATA_TRANSPORT!$E:$E,AE87))/IF(OR(AE87="",$B$10=0),0,SUMIFS(DATA_TRANSPORT!$L:$L,DATA_TRANSPORT!$A:$A,$B$10-7,DATA_TRANSPORT!$E:$E,AE87)))</f>
        <v/>
      </c>
      <c r="AU87">
        <f>IF(IF(OR(AE87="",$B$10=0),0,SUMIFS(DATA_TRANSPORT!$L:$L,DATA_TRANSPORT!$A:$A,$B$10-14,DATA_TRANSPORT!$E:$E,AE87))=0,"",IF(OR(AE87="",$B$10=0),0,SUMIFS(DATA_TRANSPORT!$R:$R,DATA_TRANSPORT!$A:$A,$B$10-14,DATA_TRANSPORT!$E:$E,AE87))/IF(OR(AE87="",$B$10=0),0,SUMIFS(DATA_TRANSPORT!$L:$L,DATA_TRANSPORT!$A:$A,$B$10-14,DATA_TRANSPORT!$E:$E,AE87)))</f>
        <v/>
      </c>
      <c r="AV87">
        <f>IF(IF(OR(AE87="",$B$10=0),0,SUMIFS(DATA_TRANSPORT!$L:$L,DATA_TRANSPORT!$A:$A,$B$10-21,DATA_TRANSPORT!$E:$E,AE87))=0,"",IF(OR(AE87="",$B$10=0),0,SUMIFS(DATA_TRANSPORT!$R:$R,DATA_TRANSPORT!$A:$A,$B$10-21,DATA_TRANSPORT!$E:$E,AE87))/IF(OR(AE87="",$B$10=0),0,SUMIFS(DATA_TRANSPORT!$L:$L,DATA_TRANSPORT!$A:$A,$B$10-21,DATA_TRANSPORT!$E:$E,AE87)))</f>
        <v/>
      </c>
      <c r="AW87">
        <f>IF(AND(ISNUMBER(AK87),AK87&lt;UtilLow),1,0)+IF(AND(ISNUMBER(AT87),AT87&lt;UtilLow),1,0)+IF(AND(ISNUMBER(AU87),AU87&lt;UtilLow),1,0)+IF(AND(ISNUMBER(AV87),AV87&lt;UtilLow),1,0)</f>
        <v/>
      </c>
      <c r="AX87">
        <f>IF(AW87&gt;=UtilLowWeeks,AE87&amp;": seats only "&amp;TEXT(AK87,"0%")&amp;" full, under "&amp;TEXT(UtilLow,"0%")&amp;" for "&amp;AW87&amp;" weeks running",IF(AND(AH87&gt;0,AJ87&gt;=AH87*ExcessShare),AE87&amp;": "&amp;TEXT(AJ87,"#,##0")&amp;" riders beyond the seats — consider more buses",IF(AND(ISNUMBER(AP87),AP87&gt;0),AE87&amp;": FT spend ₦"&amp;TEXT(AP87,"#,##0")&amp;" over the weekly budget",IF(AS87&gt;0,AE87&amp;": "&amp;AS87&amp;" coaster breakdown(s) this week",""))))</f>
        <v/>
      </c>
      <c r="AY87">
        <f>IF(ISNUMBER(AK87),AK87+ROW()/1000000000,"")</f>
        <v/>
      </c>
      <c r="AZ87">
        <f>IF(ISNUMBER(AM87),AM87+ROW()/1000000,"")</f>
        <v/>
      </c>
      <c r="BA87">
        <f>IF(AND(ISNUMBER(AP87),AP87&gt;0),AP87+ROW()/1000000,"")</f>
        <v/>
      </c>
      <c r="BB87">
        <f>IF(AF87&gt;0,AF87+ROW()/1000000,"")</f>
        <v/>
      </c>
      <c r="BC87">
        <f>IF(AX87="","",ROW())</f>
        <v/>
      </c>
      <c r="BD87">
        <f>IF(AJ87&gt;0,AJ87+ROW()/1000000,"")</f>
        <v/>
      </c>
    </row>
    <row r="88">
      <c r="AE88">
        <f>IFERROR(IF(INDEX(MASTER_AREAS!$F:$F,87)="N","",INDEX(MASTER_AREAS!$B:$B,87)&amp;""),"")</f>
        <v/>
      </c>
      <c r="AF88">
        <f>IF(OR(AE88="",$B$10=0),0,SUMIFS(DATA_TRANSPORT!$Q:$Q,DATA_TRANSPORT!$A:$A,$B$10,DATA_TRANSPORT!$E:$E,AE88))</f>
        <v/>
      </c>
      <c r="AG88">
        <f>IF(OR(AE88="",$B$10=0),0,SUMIFS(DATA_TRANSPORT!$I:$I,DATA_TRANSPORT!$A:$A,$B$10,DATA_TRANSPORT!$E:$E,AE88,DATA_TRANSPORT!$V:$V,"Ran"))</f>
        <v/>
      </c>
      <c r="AH88">
        <f>IF(OR(AE88="",$B$10=0),0,SUMIFS(DATA_TRANSPORT!$L:$L,DATA_TRANSPORT!$A:$A,$B$10,DATA_TRANSPORT!$E:$E,AE88))</f>
        <v/>
      </c>
      <c r="AI88">
        <f>IF(OR(AE88="",$B$10=0),0,SUMIFS(DATA_TRANSPORT!$R:$R,DATA_TRANSPORT!$A:$A,$B$10,DATA_TRANSPORT!$E:$E,AE88))</f>
        <v/>
      </c>
      <c r="AJ88">
        <f>IF(OR(AE88="",$B$10=0),0,SUMIFS(DATA_TRANSPORT!$S:$S,DATA_TRANSPORT!$A:$A,$B$10,DATA_TRANSPORT!$E:$E,AE88))</f>
        <v/>
      </c>
      <c r="AK88">
        <f>IF(AH88=0,"",AI88/AH88)</f>
        <v/>
      </c>
      <c r="AL88">
        <f>IF(OR(AE88="",$B$10=0),0,SUMIFS(DATA_TRANSPORT!$T:$T,DATA_TRANSPORT!$A:$A,$B$10,DATA_TRANSPORT!$E:$E,AE88))+IF(OR(AE88="",$B$10=0),0,SUMIFS(DATA_TRANSPORT_COSTS!$M:$M,DATA_TRANSPORT_COSTS!$A:$A,$B$10,DATA_TRANSPORT_COSTS!$D:$D,AE88))</f>
        <v/>
      </c>
      <c r="AM88">
        <f>IF(OR(AF88=0,AL88=0),"",AL88/AF88)</f>
        <v/>
      </c>
      <c r="AN88">
        <f>IF(OR(AE88="",$B$10=0),0,SUMIFS(DATA_TRANSPORT!$T:$T,DATA_TRANSPORT!$A:$A,$B$10,DATA_TRANSPORT!$E:$E,AE88,DATA_TRANSPORT!$C:$C,"FT Procured"))</f>
        <v/>
      </c>
      <c r="AO88">
        <f>IF(OR(AE88="",$B$10=0),0,SUMIFS(DATA_TRANSPORT_BUDGET!$G:$G,DATA_TRANSPORT_BUDGET!$A:$A,$B$10,DATA_TRANSPORT_BUDGET!$D:$D,AE88))</f>
        <v/>
      </c>
      <c r="AP88">
        <f>IF(AO88=0,"",AN88-AO88)</f>
        <v/>
      </c>
      <c r="AQ88">
        <f>IF(OR(AE88="",$B$10=0),0,COUNTIFS(DATA_TRANSPORT!$A:$A,$B$10,DATA_TRANSPORT!$E:$E,AE88,DATA_TRANSPORT!$C:$C,"FT Procured",DATA_TRANSPORT!$Z:$Z,"Y"))</f>
        <v/>
      </c>
      <c r="AR88">
        <f>IF(OR(AE88="",$B$10=0),0,SUMIFS(DATA_TRANSPORT_BUDGET!$E:$E,DATA_TRANSPORT_BUDGET!$A:$A,$B$10,DATA_TRANSPORT_BUDGET!$D:$D,AE88))</f>
        <v/>
      </c>
      <c r="AS88">
        <f>IF(OR(AE88="",$B$10=0),0,COUNTIFS(DATA_TRANSPORT!$A:$A,$B$10,DATA_TRANSPORT!$E:$E,AE88,DATA_TRANSPORT!$V:$V,"Breakdown"))</f>
        <v/>
      </c>
      <c r="AT88">
        <f>IF(IF(OR(AE88="",$B$10=0),0,SUMIFS(DATA_TRANSPORT!$L:$L,DATA_TRANSPORT!$A:$A,$B$10-7,DATA_TRANSPORT!$E:$E,AE88))=0,"",IF(OR(AE88="",$B$10=0),0,SUMIFS(DATA_TRANSPORT!$R:$R,DATA_TRANSPORT!$A:$A,$B$10-7,DATA_TRANSPORT!$E:$E,AE88))/IF(OR(AE88="",$B$10=0),0,SUMIFS(DATA_TRANSPORT!$L:$L,DATA_TRANSPORT!$A:$A,$B$10-7,DATA_TRANSPORT!$E:$E,AE88)))</f>
        <v/>
      </c>
      <c r="AU88">
        <f>IF(IF(OR(AE88="",$B$10=0),0,SUMIFS(DATA_TRANSPORT!$L:$L,DATA_TRANSPORT!$A:$A,$B$10-14,DATA_TRANSPORT!$E:$E,AE88))=0,"",IF(OR(AE88="",$B$10=0),0,SUMIFS(DATA_TRANSPORT!$R:$R,DATA_TRANSPORT!$A:$A,$B$10-14,DATA_TRANSPORT!$E:$E,AE88))/IF(OR(AE88="",$B$10=0),0,SUMIFS(DATA_TRANSPORT!$L:$L,DATA_TRANSPORT!$A:$A,$B$10-14,DATA_TRANSPORT!$E:$E,AE88)))</f>
        <v/>
      </c>
      <c r="AV88">
        <f>IF(IF(OR(AE88="",$B$10=0),0,SUMIFS(DATA_TRANSPORT!$L:$L,DATA_TRANSPORT!$A:$A,$B$10-21,DATA_TRANSPORT!$E:$E,AE88))=0,"",IF(OR(AE88="",$B$10=0),0,SUMIFS(DATA_TRANSPORT!$R:$R,DATA_TRANSPORT!$A:$A,$B$10-21,DATA_TRANSPORT!$E:$E,AE88))/IF(OR(AE88="",$B$10=0),0,SUMIFS(DATA_TRANSPORT!$L:$L,DATA_TRANSPORT!$A:$A,$B$10-21,DATA_TRANSPORT!$E:$E,AE88)))</f>
        <v/>
      </c>
      <c r="AW88">
        <f>IF(AND(ISNUMBER(AK88),AK88&lt;UtilLow),1,0)+IF(AND(ISNUMBER(AT88),AT88&lt;UtilLow),1,0)+IF(AND(ISNUMBER(AU88),AU88&lt;UtilLow),1,0)+IF(AND(ISNUMBER(AV88),AV88&lt;UtilLow),1,0)</f>
        <v/>
      </c>
      <c r="AX88">
        <f>IF(AW88&gt;=UtilLowWeeks,AE88&amp;": seats only "&amp;TEXT(AK88,"0%")&amp;" full, under "&amp;TEXT(UtilLow,"0%")&amp;" for "&amp;AW88&amp;" weeks running",IF(AND(AH88&gt;0,AJ88&gt;=AH88*ExcessShare),AE88&amp;": "&amp;TEXT(AJ88,"#,##0")&amp;" riders beyond the seats — consider more buses",IF(AND(ISNUMBER(AP88),AP88&gt;0),AE88&amp;": FT spend ₦"&amp;TEXT(AP88,"#,##0")&amp;" over the weekly budget",IF(AS88&gt;0,AE88&amp;": "&amp;AS88&amp;" coaster breakdown(s) this week",""))))</f>
        <v/>
      </c>
      <c r="AY88">
        <f>IF(ISNUMBER(AK88),AK88+ROW()/1000000000,"")</f>
        <v/>
      </c>
      <c r="AZ88">
        <f>IF(ISNUMBER(AM88),AM88+ROW()/1000000,"")</f>
        <v/>
      </c>
      <c r="BA88">
        <f>IF(AND(ISNUMBER(AP88),AP88&gt;0),AP88+ROW()/1000000,"")</f>
        <v/>
      </c>
      <c r="BB88">
        <f>IF(AF88&gt;0,AF88+ROW()/1000000,"")</f>
        <v/>
      </c>
      <c r="BC88">
        <f>IF(AX88="","",ROW())</f>
        <v/>
      </c>
      <c r="BD88">
        <f>IF(AJ88&gt;0,AJ88+ROW()/1000000,"")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E89">
        <f>IFERROR(IF(INDEX(MASTER_AREAS!$F:$F,88)="N","",INDEX(MASTER_AREAS!$B:$B,88)&amp;""),"")</f>
        <v/>
      </c>
      <c r="AF89">
        <f>IF(OR(AE89="",$B$10=0),0,SUMIFS(DATA_TRANSPORT!$Q:$Q,DATA_TRANSPORT!$A:$A,$B$10,DATA_TRANSPORT!$E:$E,AE89))</f>
        <v/>
      </c>
      <c r="AG89">
        <f>IF(OR(AE89="",$B$10=0),0,SUMIFS(DATA_TRANSPORT!$I:$I,DATA_TRANSPORT!$A:$A,$B$10,DATA_TRANSPORT!$E:$E,AE89,DATA_TRANSPORT!$V:$V,"Ran"))</f>
        <v/>
      </c>
      <c r="AH89">
        <f>IF(OR(AE89="",$B$10=0),0,SUMIFS(DATA_TRANSPORT!$L:$L,DATA_TRANSPORT!$A:$A,$B$10,DATA_TRANSPORT!$E:$E,AE89))</f>
        <v/>
      </c>
      <c r="AI89">
        <f>IF(OR(AE89="",$B$10=0),0,SUMIFS(DATA_TRANSPORT!$R:$R,DATA_TRANSPORT!$A:$A,$B$10,DATA_TRANSPORT!$E:$E,AE89))</f>
        <v/>
      </c>
      <c r="AJ89">
        <f>IF(OR(AE89="",$B$10=0),0,SUMIFS(DATA_TRANSPORT!$S:$S,DATA_TRANSPORT!$A:$A,$B$10,DATA_TRANSPORT!$E:$E,AE89))</f>
        <v/>
      </c>
      <c r="AK89">
        <f>IF(AH89=0,"",AI89/AH89)</f>
        <v/>
      </c>
      <c r="AL89">
        <f>IF(OR(AE89="",$B$10=0),0,SUMIFS(DATA_TRANSPORT!$T:$T,DATA_TRANSPORT!$A:$A,$B$10,DATA_TRANSPORT!$E:$E,AE89))+IF(OR(AE89="",$B$10=0),0,SUMIFS(DATA_TRANSPORT_COSTS!$M:$M,DATA_TRANSPORT_COSTS!$A:$A,$B$10,DATA_TRANSPORT_COSTS!$D:$D,AE89))</f>
        <v/>
      </c>
      <c r="AM89">
        <f>IF(OR(AF89=0,AL89=0),"",AL89/AF89)</f>
        <v/>
      </c>
      <c r="AN89">
        <f>IF(OR(AE89="",$B$10=0),0,SUMIFS(DATA_TRANSPORT!$T:$T,DATA_TRANSPORT!$A:$A,$B$10,DATA_TRANSPORT!$E:$E,AE89,DATA_TRANSPORT!$C:$C,"FT Procured"))</f>
        <v/>
      </c>
      <c r="AO89">
        <f>IF(OR(AE89="",$B$10=0),0,SUMIFS(DATA_TRANSPORT_BUDGET!$G:$G,DATA_TRANSPORT_BUDGET!$A:$A,$B$10,DATA_TRANSPORT_BUDGET!$D:$D,AE89))</f>
        <v/>
      </c>
      <c r="AP89">
        <f>IF(AO89=0,"",AN89-AO89)</f>
        <v/>
      </c>
      <c r="AQ89">
        <f>IF(OR(AE89="",$B$10=0),0,COUNTIFS(DATA_TRANSPORT!$A:$A,$B$10,DATA_TRANSPORT!$E:$E,AE89,DATA_TRANSPORT!$C:$C,"FT Procured",DATA_TRANSPORT!$Z:$Z,"Y"))</f>
        <v/>
      </c>
      <c r="AR89">
        <f>IF(OR(AE89="",$B$10=0),0,SUMIFS(DATA_TRANSPORT_BUDGET!$E:$E,DATA_TRANSPORT_BUDGET!$A:$A,$B$10,DATA_TRANSPORT_BUDGET!$D:$D,AE89))</f>
        <v/>
      </c>
      <c r="AS89">
        <f>IF(OR(AE89="",$B$10=0),0,COUNTIFS(DATA_TRANSPORT!$A:$A,$B$10,DATA_TRANSPORT!$E:$E,AE89,DATA_TRANSPORT!$V:$V,"Breakdown"))</f>
        <v/>
      </c>
      <c r="AT89">
        <f>IF(IF(OR(AE89="",$B$10=0),0,SUMIFS(DATA_TRANSPORT!$L:$L,DATA_TRANSPORT!$A:$A,$B$10-7,DATA_TRANSPORT!$E:$E,AE89))=0,"",IF(OR(AE89="",$B$10=0),0,SUMIFS(DATA_TRANSPORT!$R:$R,DATA_TRANSPORT!$A:$A,$B$10-7,DATA_TRANSPORT!$E:$E,AE89))/IF(OR(AE89="",$B$10=0),0,SUMIFS(DATA_TRANSPORT!$L:$L,DATA_TRANSPORT!$A:$A,$B$10-7,DATA_TRANSPORT!$E:$E,AE89)))</f>
        <v/>
      </c>
      <c r="AU89">
        <f>IF(IF(OR(AE89="",$B$10=0),0,SUMIFS(DATA_TRANSPORT!$L:$L,DATA_TRANSPORT!$A:$A,$B$10-14,DATA_TRANSPORT!$E:$E,AE89))=0,"",IF(OR(AE89="",$B$10=0),0,SUMIFS(DATA_TRANSPORT!$R:$R,DATA_TRANSPORT!$A:$A,$B$10-14,DATA_TRANSPORT!$E:$E,AE89))/IF(OR(AE89="",$B$10=0),0,SUMIFS(DATA_TRANSPORT!$L:$L,DATA_TRANSPORT!$A:$A,$B$10-14,DATA_TRANSPORT!$E:$E,AE89)))</f>
        <v/>
      </c>
      <c r="AV89">
        <f>IF(IF(OR(AE89="",$B$10=0),0,SUMIFS(DATA_TRANSPORT!$L:$L,DATA_TRANSPORT!$A:$A,$B$10-21,DATA_TRANSPORT!$E:$E,AE89))=0,"",IF(OR(AE89="",$B$10=0),0,SUMIFS(DATA_TRANSPORT!$R:$R,DATA_TRANSPORT!$A:$A,$B$10-21,DATA_TRANSPORT!$E:$E,AE89))/IF(OR(AE89="",$B$10=0),0,SUMIFS(DATA_TRANSPORT!$L:$L,DATA_TRANSPORT!$A:$A,$B$10-21,DATA_TRANSPORT!$E:$E,AE89)))</f>
        <v/>
      </c>
      <c r="AW89">
        <f>IF(AND(ISNUMBER(AK89),AK89&lt;UtilLow),1,0)+IF(AND(ISNUMBER(AT89),AT89&lt;UtilLow),1,0)+IF(AND(ISNUMBER(AU89),AU89&lt;UtilLow),1,0)+IF(AND(ISNUMBER(AV89),AV89&lt;UtilLow),1,0)</f>
        <v/>
      </c>
      <c r="AX89">
        <f>IF(AW89&gt;=UtilLowWeeks,AE89&amp;": seats only "&amp;TEXT(AK89,"0%")&amp;" full, under "&amp;TEXT(UtilLow,"0%")&amp;" for "&amp;AW89&amp;" weeks running",IF(AND(AH89&gt;0,AJ89&gt;=AH89*ExcessShare),AE89&amp;": "&amp;TEXT(AJ89,"#,##0")&amp;" riders beyond the seats — consider more buses",IF(AND(ISNUMBER(AP89),AP89&gt;0),AE89&amp;": FT spend ₦"&amp;TEXT(AP89,"#,##0")&amp;" over the weekly budget",IF(AS89&gt;0,AE89&amp;": "&amp;AS89&amp;" coaster breakdown(s) this week",""))))</f>
        <v/>
      </c>
      <c r="AY89">
        <f>IF(ISNUMBER(AK89),AK89+ROW()/1000000000,"")</f>
        <v/>
      </c>
      <c r="AZ89">
        <f>IF(ISNUMBER(AM89),AM89+ROW()/1000000,"")</f>
        <v/>
      </c>
      <c r="BA89">
        <f>IF(AND(ISNUMBER(AP89),AP89&gt;0),AP89+ROW()/1000000,"")</f>
        <v/>
      </c>
      <c r="BB89">
        <f>IF(AF89&gt;0,AF89+ROW()/1000000,"")</f>
        <v/>
      </c>
      <c r="BC89">
        <f>IF(AX89="","",ROW())</f>
        <v/>
      </c>
      <c r="BD89">
        <f>IF(AJ89&gt;0,AJ89+ROW()/1000000,"")</f>
        <v/>
      </c>
    </row>
    <row r="90">
      <c r="A90" t="inlineStr">
        <is>
          <t>Riders carried</t>
        </is>
      </c>
      <c r="B90">
        <f>IF($Y$21=0,"",G21)</f>
        <v/>
      </c>
      <c r="C90">
        <f>IF($Y$22=0,"",G22)</f>
        <v/>
      </c>
      <c r="D90">
        <f>IF(OR(B90="",C90=""),"",B90-C90)</f>
        <v/>
      </c>
      <c r="E90">
        <f>IF(OR(B90="",C90=""),"",IF(C90=0,"",B90/C90-1))</f>
        <v/>
      </c>
      <c r="F90">
        <f>IF(SUM($Z$21:$Z$80)=0,"",SUMPRODUCT($G$21:$G$80,$Z$21:$Z$80)/SUM($Z$21:$Z$80))</f>
        <v/>
      </c>
      <c r="G90">
        <f>IF(OR(B90="",F90=""),"",IF(F90=0,"",B90/F90-1))</f>
        <v/>
      </c>
      <c r="H90">
        <f>IF(SUM($AA$21:$AA$80)=0,"",SUMPRODUCT($G$21:$G$80,$AA$21:$AA$80))</f>
        <v/>
      </c>
      <c r="I90">
        <f>IF(SUM($AB$21:$AB$80)=0,"",SUMPRODUCT($G$21:$G$80,$AB$21:$AB$80))</f>
        <v/>
      </c>
      <c r="J90">
        <f>IF(SUM($AC$21:$AC$80)=0,"",SUMPRODUCT($G$21:$G$80,$AC$21:$AC$80))</f>
        <v/>
      </c>
      <c r="K90">
        <f>IF(H90="","",H90/SUM($AA$21:$AA$80))</f>
        <v/>
      </c>
      <c r="L90">
        <f>IF(I90="","",I90/SUM($AB$21:$AB$80))</f>
        <v/>
      </c>
      <c r="M90">
        <f>IF(J90="","",J90/SUM($AC$21:$AC$80))</f>
        <v/>
      </c>
      <c r="AE90">
        <f>IFERROR(IF(INDEX(MASTER_AREAS!$F:$F,89)="N","",INDEX(MASTER_AREAS!$B:$B,89)&amp;""),"")</f>
        <v/>
      </c>
      <c r="AF90">
        <f>IF(OR(AE90="",$B$10=0),0,SUMIFS(DATA_TRANSPORT!$Q:$Q,DATA_TRANSPORT!$A:$A,$B$10,DATA_TRANSPORT!$E:$E,AE90))</f>
        <v/>
      </c>
      <c r="AG90">
        <f>IF(OR(AE90="",$B$10=0),0,SUMIFS(DATA_TRANSPORT!$I:$I,DATA_TRANSPORT!$A:$A,$B$10,DATA_TRANSPORT!$E:$E,AE90,DATA_TRANSPORT!$V:$V,"Ran"))</f>
        <v/>
      </c>
      <c r="AH90">
        <f>IF(OR(AE90="",$B$10=0),0,SUMIFS(DATA_TRANSPORT!$L:$L,DATA_TRANSPORT!$A:$A,$B$10,DATA_TRANSPORT!$E:$E,AE90))</f>
        <v/>
      </c>
      <c r="AI90">
        <f>IF(OR(AE90="",$B$10=0),0,SUMIFS(DATA_TRANSPORT!$R:$R,DATA_TRANSPORT!$A:$A,$B$10,DATA_TRANSPORT!$E:$E,AE90))</f>
        <v/>
      </c>
      <c r="AJ90">
        <f>IF(OR(AE90="",$B$10=0),0,SUMIFS(DATA_TRANSPORT!$S:$S,DATA_TRANSPORT!$A:$A,$B$10,DATA_TRANSPORT!$E:$E,AE90))</f>
        <v/>
      </c>
      <c r="AK90">
        <f>IF(AH90=0,"",AI90/AH90)</f>
        <v/>
      </c>
      <c r="AL90">
        <f>IF(OR(AE90="",$B$10=0),0,SUMIFS(DATA_TRANSPORT!$T:$T,DATA_TRANSPORT!$A:$A,$B$10,DATA_TRANSPORT!$E:$E,AE90))+IF(OR(AE90="",$B$10=0),0,SUMIFS(DATA_TRANSPORT_COSTS!$M:$M,DATA_TRANSPORT_COSTS!$A:$A,$B$10,DATA_TRANSPORT_COSTS!$D:$D,AE90))</f>
        <v/>
      </c>
      <c r="AM90">
        <f>IF(OR(AF90=0,AL90=0),"",AL90/AF90)</f>
        <v/>
      </c>
      <c r="AN90">
        <f>IF(OR(AE90="",$B$10=0),0,SUMIFS(DATA_TRANSPORT!$T:$T,DATA_TRANSPORT!$A:$A,$B$10,DATA_TRANSPORT!$E:$E,AE90,DATA_TRANSPORT!$C:$C,"FT Procured"))</f>
        <v/>
      </c>
      <c r="AO90">
        <f>IF(OR(AE90="",$B$10=0),0,SUMIFS(DATA_TRANSPORT_BUDGET!$G:$G,DATA_TRANSPORT_BUDGET!$A:$A,$B$10,DATA_TRANSPORT_BUDGET!$D:$D,AE90))</f>
        <v/>
      </c>
      <c r="AP90">
        <f>IF(AO90=0,"",AN90-AO90)</f>
        <v/>
      </c>
      <c r="AQ90">
        <f>IF(OR(AE90="",$B$10=0),0,COUNTIFS(DATA_TRANSPORT!$A:$A,$B$10,DATA_TRANSPORT!$E:$E,AE90,DATA_TRANSPORT!$C:$C,"FT Procured",DATA_TRANSPORT!$Z:$Z,"Y"))</f>
        <v/>
      </c>
      <c r="AR90">
        <f>IF(OR(AE90="",$B$10=0),0,SUMIFS(DATA_TRANSPORT_BUDGET!$E:$E,DATA_TRANSPORT_BUDGET!$A:$A,$B$10,DATA_TRANSPORT_BUDGET!$D:$D,AE90))</f>
        <v/>
      </c>
      <c r="AS90">
        <f>IF(OR(AE90="",$B$10=0),0,COUNTIFS(DATA_TRANSPORT!$A:$A,$B$10,DATA_TRANSPORT!$E:$E,AE90,DATA_TRANSPORT!$V:$V,"Breakdown"))</f>
        <v/>
      </c>
      <c r="AT90">
        <f>IF(IF(OR(AE90="",$B$10=0),0,SUMIFS(DATA_TRANSPORT!$L:$L,DATA_TRANSPORT!$A:$A,$B$10-7,DATA_TRANSPORT!$E:$E,AE90))=0,"",IF(OR(AE90="",$B$10=0),0,SUMIFS(DATA_TRANSPORT!$R:$R,DATA_TRANSPORT!$A:$A,$B$10-7,DATA_TRANSPORT!$E:$E,AE90))/IF(OR(AE90="",$B$10=0),0,SUMIFS(DATA_TRANSPORT!$L:$L,DATA_TRANSPORT!$A:$A,$B$10-7,DATA_TRANSPORT!$E:$E,AE90)))</f>
        <v/>
      </c>
      <c r="AU90">
        <f>IF(IF(OR(AE90="",$B$10=0),0,SUMIFS(DATA_TRANSPORT!$L:$L,DATA_TRANSPORT!$A:$A,$B$10-14,DATA_TRANSPORT!$E:$E,AE90))=0,"",IF(OR(AE90="",$B$10=0),0,SUMIFS(DATA_TRANSPORT!$R:$R,DATA_TRANSPORT!$A:$A,$B$10-14,DATA_TRANSPORT!$E:$E,AE90))/IF(OR(AE90="",$B$10=0),0,SUMIFS(DATA_TRANSPORT!$L:$L,DATA_TRANSPORT!$A:$A,$B$10-14,DATA_TRANSPORT!$E:$E,AE90)))</f>
        <v/>
      </c>
      <c r="AV90">
        <f>IF(IF(OR(AE90="",$B$10=0),0,SUMIFS(DATA_TRANSPORT!$L:$L,DATA_TRANSPORT!$A:$A,$B$10-21,DATA_TRANSPORT!$E:$E,AE90))=0,"",IF(OR(AE90="",$B$10=0),0,SUMIFS(DATA_TRANSPORT!$R:$R,DATA_TRANSPORT!$A:$A,$B$10-21,DATA_TRANSPORT!$E:$E,AE90))/IF(OR(AE90="",$B$10=0),0,SUMIFS(DATA_TRANSPORT!$L:$L,DATA_TRANSPORT!$A:$A,$B$10-21,DATA_TRANSPORT!$E:$E,AE90)))</f>
        <v/>
      </c>
      <c r="AW90">
        <f>IF(AND(ISNUMBER(AK90),AK90&lt;UtilLow),1,0)+IF(AND(ISNUMBER(AT90),AT90&lt;UtilLow),1,0)+IF(AND(ISNUMBER(AU90),AU90&lt;UtilLow),1,0)+IF(AND(ISNUMBER(AV90),AV90&lt;UtilLow),1,0)</f>
        <v/>
      </c>
      <c r="AX90">
        <f>IF(AW90&gt;=UtilLowWeeks,AE90&amp;": seats only "&amp;TEXT(AK90,"0%")&amp;" full, under "&amp;TEXT(UtilLow,"0%")&amp;" for "&amp;AW90&amp;" weeks running",IF(AND(AH90&gt;0,AJ90&gt;=AH90*ExcessShare),AE90&amp;": "&amp;TEXT(AJ90,"#,##0")&amp;" riders beyond the seats — consider more buses",IF(AND(ISNUMBER(AP90),AP90&gt;0),AE90&amp;": FT spend ₦"&amp;TEXT(AP90,"#,##0")&amp;" over the weekly budget",IF(AS90&gt;0,AE90&amp;": "&amp;AS90&amp;" coaster breakdown(s) this week",""))))</f>
        <v/>
      </c>
      <c r="AY90">
        <f>IF(ISNUMBER(AK90),AK90+ROW()/1000000000,"")</f>
        <v/>
      </c>
      <c r="AZ90">
        <f>IF(ISNUMBER(AM90),AM90+ROW()/1000000,"")</f>
        <v/>
      </c>
      <c r="BA90">
        <f>IF(AND(ISNUMBER(AP90),AP90&gt;0),AP90+ROW()/1000000,"")</f>
        <v/>
      </c>
      <c r="BB90">
        <f>IF(AF90&gt;0,AF90+ROW()/1000000,"")</f>
        <v/>
      </c>
      <c r="BC90">
        <f>IF(AX90="","",ROW())</f>
        <v/>
      </c>
      <c r="BD90">
        <f>IF(AJ90&gt;0,AJ90+ROW()/1000000,"")</f>
        <v/>
      </c>
    </row>
    <row r="91">
      <c r="A91" t="inlineStr">
        <is>
          <t>Buses that ran</t>
        </is>
      </c>
      <c r="B91">
        <f>IF($Y$21=0,"",L21)</f>
        <v/>
      </c>
      <c r="C91">
        <f>IF($Y$22=0,"",L22)</f>
        <v/>
      </c>
      <c r="D91">
        <f>IF(OR(B91="",C91=""),"",B91-C91)</f>
        <v/>
      </c>
      <c r="E91">
        <f>IF(OR(B91="",C91=""),"",IF(C91=0,"",B91/C91-1))</f>
        <v/>
      </c>
      <c r="F91">
        <f>IF(SUM($Z$21:$Z$80)=0,"",SUMPRODUCT($L$21:$L$80,$Z$21:$Z$80)/SUM($Z$21:$Z$80))</f>
        <v/>
      </c>
      <c r="G91">
        <f>IF(OR(B91="",F91=""),"",IF(F91=0,"",B91/F91-1))</f>
        <v/>
      </c>
      <c r="H91">
        <f>IF(SUM($AA$21:$AA$80)=0,"",SUMPRODUCT($L$21:$L$80,$AA$21:$AA$80))</f>
        <v/>
      </c>
      <c r="I91">
        <f>IF(SUM($AB$21:$AB$80)=0,"",SUMPRODUCT($L$21:$L$80,$AB$21:$AB$80))</f>
        <v/>
      </c>
      <c r="J91">
        <f>IF(SUM($AC$21:$AC$80)=0,"",SUMPRODUCT($L$21:$L$80,$AC$21:$AC$80))</f>
        <v/>
      </c>
      <c r="K91">
        <f>IF(H91="","",H91/SUM($AA$21:$AA$80))</f>
        <v/>
      </c>
      <c r="L91">
        <f>IF(I91="","",I91/SUM($AB$21:$AB$80))</f>
        <v/>
      </c>
      <c r="M91">
        <f>IF(J91="","",J91/SUM($AC$21:$AC$80))</f>
        <v/>
      </c>
      <c r="AE91">
        <f>IFERROR(IF(INDEX(MASTER_AREAS!$F:$F,90)="N","",INDEX(MASTER_AREAS!$B:$B,90)&amp;""),"")</f>
        <v/>
      </c>
      <c r="AF91">
        <f>IF(OR(AE91="",$B$10=0),0,SUMIFS(DATA_TRANSPORT!$Q:$Q,DATA_TRANSPORT!$A:$A,$B$10,DATA_TRANSPORT!$E:$E,AE91))</f>
        <v/>
      </c>
      <c r="AG91">
        <f>IF(OR(AE91="",$B$10=0),0,SUMIFS(DATA_TRANSPORT!$I:$I,DATA_TRANSPORT!$A:$A,$B$10,DATA_TRANSPORT!$E:$E,AE91,DATA_TRANSPORT!$V:$V,"Ran"))</f>
        <v/>
      </c>
      <c r="AH91">
        <f>IF(OR(AE91="",$B$10=0),0,SUMIFS(DATA_TRANSPORT!$L:$L,DATA_TRANSPORT!$A:$A,$B$10,DATA_TRANSPORT!$E:$E,AE91))</f>
        <v/>
      </c>
      <c r="AI91">
        <f>IF(OR(AE91="",$B$10=0),0,SUMIFS(DATA_TRANSPORT!$R:$R,DATA_TRANSPORT!$A:$A,$B$10,DATA_TRANSPORT!$E:$E,AE91))</f>
        <v/>
      </c>
      <c r="AJ91">
        <f>IF(OR(AE91="",$B$10=0),0,SUMIFS(DATA_TRANSPORT!$S:$S,DATA_TRANSPORT!$A:$A,$B$10,DATA_TRANSPORT!$E:$E,AE91))</f>
        <v/>
      </c>
      <c r="AK91">
        <f>IF(AH91=0,"",AI91/AH91)</f>
        <v/>
      </c>
      <c r="AL91">
        <f>IF(OR(AE91="",$B$10=0),0,SUMIFS(DATA_TRANSPORT!$T:$T,DATA_TRANSPORT!$A:$A,$B$10,DATA_TRANSPORT!$E:$E,AE91))+IF(OR(AE91="",$B$10=0),0,SUMIFS(DATA_TRANSPORT_COSTS!$M:$M,DATA_TRANSPORT_COSTS!$A:$A,$B$10,DATA_TRANSPORT_COSTS!$D:$D,AE91))</f>
        <v/>
      </c>
      <c r="AM91">
        <f>IF(OR(AF91=0,AL91=0),"",AL91/AF91)</f>
        <v/>
      </c>
      <c r="AN91">
        <f>IF(OR(AE91="",$B$10=0),0,SUMIFS(DATA_TRANSPORT!$T:$T,DATA_TRANSPORT!$A:$A,$B$10,DATA_TRANSPORT!$E:$E,AE91,DATA_TRANSPORT!$C:$C,"FT Procured"))</f>
        <v/>
      </c>
      <c r="AO91">
        <f>IF(OR(AE91="",$B$10=0),0,SUMIFS(DATA_TRANSPORT_BUDGET!$G:$G,DATA_TRANSPORT_BUDGET!$A:$A,$B$10,DATA_TRANSPORT_BUDGET!$D:$D,AE91))</f>
        <v/>
      </c>
      <c r="AP91">
        <f>IF(AO91=0,"",AN91-AO91)</f>
        <v/>
      </c>
      <c r="AQ91">
        <f>IF(OR(AE91="",$B$10=0),0,COUNTIFS(DATA_TRANSPORT!$A:$A,$B$10,DATA_TRANSPORT!$E:$E,AE91,DATA_TRANSPORT!$C:$C,"FT Procured",DATA_TRANSPORT!$Z:$Z,"Y"))</f>
        <v/>
      </c>
      <c r="AR91">
        <f>IF(OR(AE91="",$B$10=0),0,SUMIFS(DATA_TRANSPORT_BUDGET!$E:$E,DATA_TRANSPORT_BUDGET!$A:$A,$B$10,DATA_TRANSPORT_BUDGET!$D:$D,AE91))</f>
        <v/>
      </c>
      <c r="AS91">
        <f>IF(OR(AE91="",$B$10=0),0,COUNTIFS(DATA_TRANSPORT!$A:$A,$B$10,DATA_TRANSPORT!$E:$E,AE91,DATA_TRANSPORT!$V:$V,"Breakdown"))</f>
        <v/>
      </c>
      <c r="AT91">
        <f>IF(IF(OR(AE91="",$B$10=0),0,SUMIFS(DATA_TRANSPORT!$L:$L,DATA_TRANSPORT!$A:$A,$B$10-7,DATA_TRANSPORT!$E:$E,AE91))=0,"",IF(OR(AE91="",$B$10=0),0,SUMIFS(DATA_TRANSPORT!$R:$R,DATA_TRANSPORT!$A:$A,$B$10-7,DATA_TRANSPORT!$E:$E,AE91))/IF(OR(AE91="",$B$10=0),0,SUMIFS(DATA_TRANSPORT!$L:$L,DATA_TRANSPORT!$A:$A,$B$10-7,DATA_TRANSPORT!$E:$E,AE91)))</f>
        <v/>
      </c>
      <c r="AU91">
        <f>IF(IF(OR(AE91="",$B$10=0),0,SUMIFS(DATA_TRANSPORT!$L:$L,DATA_TRANSPORT!$A:$A,$B$10-14,DATA_TRANSPORT!$E:$E,AE91))=0,"",IF(OR(AE91="",$B$10=0),0,SUMIFS(DATA_TRANSPORT!$R:$R,DATA_TRANSPORT!$A:$A,$B$10-14,DATA_TRANSPORT!$E:$E,AE91))/IF(OR(AE91="",$B$10=0),0,SUMIFS(DATA_TRANSPORT!$L:$L,DATA_TRANSPORT!$A:$A,$B$10-14,DATA_TRANSPORT!$E:$E,AE91)))</f>
        <v/>
      </c>
      <c r="AV91">
        <f>IF(IF(OR(AE91="",$B$10=0),0,SUMIFS(DATA_TRANSPORT!$L:$L,DATA_TRANSPORT!$A:$A,$B$10-21,DATA_TRANSPORT!$E:$E,AE91))=0,"",IF(OR(AE91="",$B$10=0),0,SUMIFS(DATA_TRANSPORT!$R:$R,DATA_TRANSPORT!$A:$A,$B$10-21,DATA_TRANSPORT!$E:$E,AE91))/IF(OR(AE91="",$B$10=0),0,SUMIFS(DATA_TRANSPORT!$L:$L,DATA_TRANSPORT!$A:$A,$B$10-21,DATA_TRANSPORT!$E:$E,AE91)))</f>
        <v/>
      </c>
      <c r="AW91">
        <f>IF(AND(ISNUMBER(AK91),AK91&lt;UtilLow),1,0)+IF(AND(ISNUMBER(AT91),AT91&lt;UtilLow),1,0)+IF(AND(ISNUMBER(AU91),AU91&lt;UtilLow),1,0)+IF(AND(ISNUMBER(AV91),AV91&lt;UtilLow),1,0)</f>
        <v/>
      </c>
      <c r="AX91">
        <f>IF(AW91&gt;=UtilLowWeeks,AE91&amp;": seats only "&amp;TEXT(AK91,"0%")&amp;" full, under "&amp;TEXT(UtilLow,"0%")&amp;" for "&amp;AW91&amp;" weeks running",IF(AND(AH91&gt;0,AJ91&gt;=AH91*ExcessShare),AE91&amp;": "&amp;TEXT(AJ91,"#,##0")&amp;" riders beyond the seats — consider more buses",IF(AND(ISNUMBER(AP91),AP91&gt;0),AE91&amp;": FT spend ₦"&amp;TEXT(AP91,"#,##0")&amp;" over the weekly budget",IF(AS91&gt;0,AE91&amp;": "&amp;AS91&amp;" coaster breakdown(s) this week",""))))</f>
        <v/>
      </c>
      <c r="AY91">
        <f>IF(ISNUMBER(AK91),AK91+ROW()/1000000000,"")</f>
        <v/>
      </c>
      <c r="AZ91">
        <f>IF(ISNUMBER(AM91),AM91+ROW()/1000000,"")</f>
        <v/>
      </c>
      <c r="BA91">
        <f>IF(AND(ISNUMBER(AP91),AP91&gt;0),AP91+ROW()/1000000,"")</f>
        <v/>
      </c>
      <c r="BB91">
        <f>IF(AF91&gt;0,AF91+ROW()/1000000,"")</f>
        <v/>
      </c>
      <c r="BC91">
        <f>IF(AX91="","",ROW())</f>
        <v/>
      </c>
      <c r="BD91">
        <f>IF(AJ91&gt;0,AJ91+ROW()/1000000,"")</f>
        <v/>
      </c>
    </row>
    <row r="92">
      <c r="A92" t="inlineStr">
        <is>
          <t>Buses listed in reports</t>
        </is>
      </c>
      <c r="B92">
        <f>IF($Y$21=0,"",K21)</f>
        <v/>
      </c>
      <c r="C92">
        <f>IF($Y$22=0,"",K22)</f>
        <v/>
      </c>
      <c r="D92">
        <f>IF(OR(B92="",C92=""),"",B92-C92)</f>
        <v/>
      </c>
      <c r="E92">
        <f>IF(OR(B92="",C92=""),"",IF(C92=0,"",B92/C92-1))</f>
        <v/>
      </c>
      <c r="F92">
        <f>IF(SUM($Z$21:$Z$80)=0,"",SUMPRODUCT($K$21:$K$80,$Z$21:$Z$80)/SUM($Z$21:$Z$80))</f>
        <v/>
      </c>
      <c r="G92">
        <f>IF(OR(B92="",F92=""),"",IF(F92=0,"",B92/F92-1))</f>
        <v/>
      </c>
      <c r="H92">
        <f>IF(SUM($AA$21:$AA$80)=0,"",SUMPRODUCT($K$21:$K$80,$AA$21:$AA$80))</f>
        <v/>
      </c>
      <c r="I92">
        <f>IF(SUM($AB$21:$AB$80)=0,"",SUMPRODUCT($K$21:$K$80,$AB$21:$AB$80))</f>
        <v/>
      </c>
      <c r="J92">
        <f>IF(SUM($AC$21:$AC$80)=0,"",SUMPRODUCT($K$21:$K$80,$AC$21:$AC$80))</f>
        <v/>
      </c>
      <c r="K92">
        <f>IF(H92="","",H92/SUM($AA$21:$AA$80))</f>
        <v/>
      </c>
      <c r="L92">
        <f>IF(I92="","",I92/SUM($AB$21:$AB$80))</f>
        <v/>
      </c>
      <c r="M92">
        <f>IF(J92="","",J92/SUM($AC$21:$AC$80))</f>
        <v/>
      </c>
      <c r="AE92">
        <f>IFERROR(IF(INDEX(MASTER_AREAS!$F:$F,91)="N","",INDEX(MASTER_AREAS!$B:$B,91)&amp;""),"")</f>
        <v/>
      </c>
      <c r="AF92">
        <f>IF(OR(AE92="",$B$10=0),0,SUMIFS(DATA_TRANSPORT!$Q:$Q,DATA_TRANSPORT!$A:$A,$B$10,DATA_TRANSPORT!$E:$E,AE92))</f>
        <v/>
      </c>
      <c r="AG92">
        <f>IF(OR(AE92="",$B$10=0),0,SUMIFS(DATA_TRANSPORT!$I:$I,DATA_TRANSPORT!$A:$A,$B$10,DATA_TRANSPORT!$E:$E,AE92,DATA_TRANSPORT!$V:$V,"Ran"))</f>
        <v/>
      </c>
      <c r="AH92">
        <f>IF(OR(AE92="",$B$10=0),0,SUMIFS(DATA_TRANSPORT!$L:$L,DATA_TRANSPORT!$A:$A,$B$10,DATA_TRANSPORT!$E:$E,AE92))</f>
        <v/>
      </c>
      <c r="AI92">
        <f>IF(OR(AE92="",$B$10=0),0,SUMIFS(DATA_TRANSPORT!$R:$R,DATA_TRANSPORT!$A:$A,$B$10,DATA_TRANSPORT!$E:$E,AE92))</f>
        <v/>
      </c>
      <c r="AJ92">
        <f>IF(OR(AE92="",$B$10=0),0,SUMIFS(DATA_TRANSPORT!$S:$S,DATA_TRANSPORT!$A:$A,$B$10,DATA_TRANSPORT!$E:$E,AE92))</f>
        <v/>
      </c>
      <c r="AK92">
        <f>IF(AH92=0,"",AI92/AH92)</f>
        <v/>
      </c>
      <c r="AL92">
        <f>IF(OR(AE92="",$B$10=0),0,SUMIFS(DATA_TRANSPORT!$T:$T,DATA_TRANSPORT!$A:$A,$B$10,DATA_TRANSPORT!$E:$E,AE92))+IF(OR(AE92="",$B$10=0),0,SUMIFS(DATA_TRANSPORT_COSTS!$M:$M,DATA_TRANSPORT_COSTS!$A:$A,$B$10,DATA_TRANSPORT_COSTS!$D:$D,AE92))</f>
        <v/>
      </c>
      <c r="AM92">
        <f>IF(OR(AF92=0,AL92=0),"",AL92/AF92)</f>
        <v/>
      </c>
      <c r="AN92">
        <f>IF(OR(AE92="",$B$10=0),0,SUMIFS(DATA_TRANSPORT!$T:$T,DATA_TRANSPORT!$A:$A,$B$10,DATA_TRANSPORT!$E:$E,AE92,DATA_TRANSPORT!$C:$C,"FT Procured"))</f>
        <v/>
      </c>
      <c r="AO92">
        <f>IF(OR(AE92="",$B$10=0),0,SUMIFS(DATA_TRANSPORT_BUDGET!$G:$G,DATA_TRANSPORT_BUDGET!$A:$A,$B$10,DATA_TRANSPORT_BUDGET!$D:$D,AE92))</f>
        <v/>
      </c>
      <c r="AP92">
        <f>IF(AO92=0,"",AN92-AO92)</f>
        <v/>
      </c>
      <c r="AQ92">
        <f>IF(OR(AE92="",$B$10=0),0,COUNTIFS(DATA_TRANSPORT!$A:$A,$B$10,DATA_TRANSPORT!$E:$E,AE92,DATA_TRANSPORT!$C:$C,"FT Procured",DATA_TRANSPORT!$Z:$Z,"Y"))</f>
        <v/>
      </c>
      <c r="AR92">
        <f>IF(OR(AE92="",$B$10=0),0,SUMIFS(DATA_TRANSPORT_BUDGET!$E:$E,DATA_TRANSPORT_BUDGET!$A:$A,$B$10,DATA_TRANSPORT_BUDGET!$D:$D,AE92))</f>
        <v/>
      </c>
      <c r="AS92">
        <f>IF(OR(AE92="",$B$10=0),0,COUNTIFS(DATA_TRANSPORT!$A:$A,$B$10,DATA_TRANSPORT!$E:$E,AE92,DATA_TRANSPORT!$V:$V,"Breakdown"))</f>
        <v/>
      </c>
      <c r="AT92">
        <f>IF(IF(OR(AE92="",$B$10=0),0,SUMIFS(DATA_TRANSPORT!$L:$L,DATA_TRANSPORT!$A:$A,$B$10-7,DATA_TRANSPORT!$E:$E,AE92))=0,"",IF(OR(AE92="",$B$10=0),0,SUMIFS(DATA_TRANSPORT!$R:$R,DATA_TRANSPORT!$A:$A,$B$10-7,DATA_TRANSPORT!$E:$E,AE92))/IF(OR(AE92="",$B$10=0),0,SUMIFS(DATA_TRANSPORT!$L:$L,DATA_TRANSPORT!$A:$A,$B$10-7,DATA_TRANSPORT!$E:$E,AE92)))</f>
        <v/>
      </c>
      <c r="AU92">
        <f>IF(IF(OR(AE92="",$B$10=0),0,SUMIFS(DATA_TRANSPORT!$L:$L,DATA_TRANSPORT!$A:$A,$B$10-14,DATA_TRANSPORT!$E:$E,AE92))=0,"",IF(OR(AE92="",$B$10=0),0,SUMIFS(DATA_TRANSPORT!$R:$R,DATA_TRANSPORT!$A:$A,$B$10-14,DATA_TRANSPORT!$E:$E,AE92))/IF(OR(AE92="",$B$10=0),0,SUMIFS(DATA_TRANSPORT!$L:$L,DATA_TRANSPORT!$A:$A,$B$10-14,DATA_TRANSPORT!$E:$E,AE92)))</f>
        <v/>
      </c>
      <c r="AV92">
        <f>IF(IF(OR(AE92="",$B$10=0),0,SUMIFS(DATA_TRANSPORT!$L:$L,DATA_TRANSPORT!$A:$A,$B$10-21,DATA_TRANSPORT!$E:$E,AE92))=0,"",IF(OR(AE92="",$B$10=0),0,SUMIFS(DATA_TRANSPORT!$R:$R,DATA_TRANSPORT!$A:$A,$B$10-21,DATA_TRANSPORT!$E:$E,AE92))/IF(OR(AE92="",$B$10=0),0,SUMIFS(DATA_TRANSPORT!$L:$L,DATA_TRANSPORT!$A:$A,$B$10-21,DATA_TRANSPORT!$E:$E,AE92)))</f>
        <v/>
      </c>
      <c r="AW92">
        <f>IF(AND(ISNUMBER(AK92),AK92&lt;UtilLow),1,0)+IF(AND(ISNUMBER(AT92),AT92&lt;UtilLow),1,0)+IF(AND(ISNUMBER(AU92),AU92&lt;UtilLow),1,0)+IF(AND(ISNUMBER(AV92),AV92&lt;UtilLow),1,0)</f>
        <v/>
      </c>
      <c r="AX92">
        <f>IF(AW92&gt;=UtilLowWeeks,AE92&amp;": seats only "&amp;TEXT(AK92,"0%")&amp;" full, under "&amp;TEXT(UtilLow,"0%")&amp;" for "&amp;AW92&amp;" weeks running",IF(AND(AH92&gt;0,AJ92&gt;=AH92*ExcessShare),AE92&amp;": "&amp;TEXT(AJ92,"#,##0")&amp;" riders beyond the seats — consider more buses",IF(AND(ISNUMBER(AP92),AP92&gt;0),AE92&amp;": FT spend ₦"&amp;TEXT(AP92,"#,##0")&amp;" over the weekly budget",IF(AS92&gt;0,AE92&amp;": "&amp;AS92&amp;" coaster breakdown(s) this week",""))))</f>
        <v/>
      </c>
      <c r="AY92">
        <f>IF(ISNUMBER(AK92),AK92+ROW()/1000000000,"")</f>
        <v/>
      </c>
      <c r="AZ92">
        <f>IF(ISNUMBER(AM92),AM92+ROW()/1000000,"")</f>
        <v/>
      </c>
      <c r="BA92">
        <f>IF(AND(ISNUMBER(AP92),AP92&gt;0),AP92+ROW()/1000000,"")</f>
        <v/>
      </c>
      <c r="BB92">
        <f>IF(AF92&gt;0,AF92+ROW()/1000000,"")</f>
        <v/>
      </c>
      <c r="BC92">
        <f>IF(AX92="","",ROW())</f>
        <v/>
      </c>
      <c r="BD92">
        <f>IF(AJ92&gt;0,AJ92+ROW()/1000000,"")</f>
        <v/>
      </c>
    </row>
    <row r="93">
      <c r="A93" t="inlineStr">
        <is>
          <t>% buses that ran</t>
        </is>
      </c>
      <c r="B93">
        <f>IF(OR($Y$21=0,K21=0),"",L21/K21)</f>
        <v/>
      </c>
      <c r="C93">
        <f>IF(OR($Y$22=0,K22=0),"",L22/K22)</f>
        <v/>
      </c>
      <c r="D93">
        <f>IF(OR(B93="",C93=""),"",B93-C93)</f>
        <v/>
      </c>
      <c r="E93">
        <f>IF(OR(B93="",C93=""),"",IF(C93=0,"",B93/C93-1))</f>
        <v/>
      </c>
      <c r="F93">
        <f>IF(SUMPRODUCT($K$21:$K$80,$Z$21:$Z$80)=0,"",SUMPRODUCT($L$21:$L$80,$Z$21:$Z$80)/SUMPRODUCT($K$21:$K$80,$Z$21:$Z$80))</f>
        <v/>
      </c>
      <c r="G93">
        <f>IF(OR(B93="",F93=""),"",IF(F93=0,"",B93/F93-1))</f>
        <v/>
      </c>
      <c r="H93">
        <f>IF(SUMPRODUCT($K$21:$K$80,$AA$21:$AA$80)=0,"",SUMPRODUCT($L$21:$L$80,$AA$21:$AA$80)/SUMPRODUCT($K$21:$K$80,$AA$21:$AA$80))</f>
        <v/>
      </c>
      <c r="I93">
        <f>IF(SUMPRODUCT($K$21:$K$80,$AB$21:$AB$80)=0,"",SUMPRODUCT($L$21:$L$80,$AB$21:$AB$80)/SUMPRODUCT($K$21:$K$80,$AB$21:$AB$80))</f>
        <v/>
      </c>
      <c r="J93">
        <f>IF(SUMPRODUCT($K$21:$K$80,$AC$21:$AC$80)=0,"",SUMPRODUCT($L$21:$L$80,$AC$21:$AC$80)/SUMPRODUCT($K$21:$K$80,$AC$21:$AC$80))</f>
        <v/>
      </c>
      <c r="K93">
        <f>H93</f>
        <v/>
      </c>
      <c r="L93">
        <f>I93</f>
        <v/>
      </c>
      <c r="M93">
        <f>J93</f>
        <v/>
      </c>
      <c r="AE93">
        <f>IFERROR(IF(INDEX(MASTER_AREAS!$F:$F,92)="N","",INDEX(MASTER_AREAS!$B:$B,92)&amp;""),"")</f>
        <v/>
      </c>
      <c r="AF93">
        <f>IF(OR(AE93="",$B$10=0),0,SUMIFS(DATA_TRANSPORT!$Q:$Q,DATA_TRANSPORT!$A:$A,$B$10,DATA_TRANSPORT!$E:$E,AE93))</f>
        <v/>
      </c>
      <c r="AG93">
        <f>IF(OR(AE93="",$B$10=0),0,SUMIFS(DATA_TRANSPORT!$I:$I,DATA_TRANSPORT!$A:$A,$B$10,DATA_TRANSPORT!$E:$E,AE93,DATA_TRANSPORT!$V:$V,"Ran"))</f>
        <v/>
      </c>
      <c r="AH93">
        <f>IF(OR(AE93="",$B$10=0),0,SUMIFS(DATA_TRANSPORT!$L:$L,DATA_TRANSPORT!$A:$A,$B$10,DATA_TRANSPORT!$E:$E,AE93))</f>
        <v/>
      </c>
      <c r="AI93">
        <f>IF(OR(AE93="",$B$10=0),0,SUMIFS(DATA_TRANSPORT!$R:$R,DATA_TRANSPORT!$A:$A,$B$10,DATA_TRANSPORT!$E:$E,AE93))</f>
        <v/>
      </c>
      <c r="AJ93">
        <f>IF(OR(AE93="",$B$10=0),0,SUMIFS(DATA_TRANSPORT!$S:$S,DATA_TRANSPORT!$A:$A,$B$10,DATA_TRANSPORT!$E:$E,AE93))</f>
        <v/>
      </c>
      <c r="AK93">
        <f>IF(AH93=0,"",AI93/AH93)</f>
        <v/>
      </c>
      <c r="AL93">
        <f>IF(OR(AE93="",$B$10=0),0,SUMIFS(DATA_TRANSPORT!$T:$T,DATA_TRANSPORT!$A:$A,$B$10,DATA_TRANSPORT!$E:$E,AE93))+IF(OR(AE93="",$B$10=0),0,SUMIFS(DATA_TRANSPORT_COSTS!$M:$M,DATA_TRANSPORT_COSTS!$A:$A,$B$10,DATA_TRANSPORT_COSTS!$D:$D,AE93))</f>
        <v/>
      </c>
      <c r="AM93">
        <f>IF(OR(AF93=0,AL93=0),"",AL93/AF93)</f>
        <v/>
      </c>
      <c r="AN93">
        <f>IF(OR(AE93="",$B$10=0),0,SUMIFS(DATA_TRANSPORT!$T:$T,DATA_TRANSPORT!$A:$A,$B$10,DATA_TRANSPORT!$E:$E,AE93,DATA_TRANSPORT!$C:$C,"FT Procured"))</f>
        <v/>
      </c>
      <c r="AO93">
        <f>IF(OR(AE93="",$B$10=0),0,SUMIFS(DATA_TRANSPORT_BUDGET!$G:$G,DATA_TRANSPORT_BUDGET!$A:$A,$B$10,DATA_TRANSPORT_BUDGET!$D:$D,AE93))</f>
        <v/>
      </c>
      <c r="AP93">
        <f>IF(AO93=0,"",AN93-AO93)</f>
        <v/>
      </c>
      <c r="AQ93">
        <f>IF(OR(AE93="",$B$10=0),0,COUNTIFS(DATA_TRANSPORT!$A:$A,$B$10,DATA_TRANSPORT!$E:$E,AE93,DATA_TRANSPORT!$C:$C,"FT Procured",DATA_TRANSPORT!$Z:$Z,"Y"))</f>
        <v/>
      </c>
      <c r="AR93">
        <f>IF(OR(AE93="",$B$10=0),0,SUMIFS(DATA_TRANSPORT_BUDGET!$E:$E,DATA_TRANSPORT_BUDGET!$A:$A,$B$10,DATA_TRANSPORT_BUDGET!$D:$D,AE93))</f>
        <v/>
      </c>
      <c r="AS93">
        <f>IF(OR(AE93="",$B$10=0),0,COUNTIFS(DATA_TRANSPORT!$A:$A,$B$10,DATA_TRANSPORT!$E:$E,AE93,DATA_TRANSPORT!$V:$V,"Breakdown"))</f>
        <v/>
      </c>
      <c r="AT93">
        <f>IF(IF(OR(AE93="",$B$10=0),0,SUMIFS(DATA_TRANSPORT!$L:$L,DATA_TRANSPORT!$A:$A,$B$10-7,DATA_TRANSPORT!$E:$E,AE93))=0,"",IF(OR(AE93="",$B$10=0),0,SUMIFS(DATA_TRANSPORT!$R:$R,DATA_TRANSPORT!$A:$A,$B$10-7,DATA_TRANSPORT!$E:$E,AE93))/IF(OR(AE93="",$B$10=0),0,SUMIFS(DATA_TRANSPORT!$L:$L,DATA_TRANSPORT!$A:$A,$B$10-7,DATA_TRANSPORT!$E:$E,AE93)))</f>
        <v/>
      </c>
      <c r="AU93">
        <f>IF(IF(OR(AE93="",$B$10=0),0,SUMIFS(DATA_TRANSPORT!$L:$L,DATA_TRANSPORT!$A:$A,$B$10-14,DATA_TRANSPORT!$E:$E,AE93))=0,"",IF(OR(AE93="",$B$10=0),0,SUMIFS(DATA_TRANSPORT!$R:$R,DATA_TRANSPORT!$A:$A,$B$10-14,DATA_TRANSPORT!$E:$E,AE93))/IF(OR(AE93="",$B$10=0),0,SUMIFS(DATA_TRANSPORT!$L:$L,DATA_TRANSPORT!$A:$A,$B$10-14,DATA_TRANSPORT!$E:$E,AE93)))</f>
        <v/>
      </c>
      <c r="AV93">
        <f>IF(IF(OR(AE93="",$B$10=0),0,SUMIFS(DATA_TRANSPORT!$L:$L,DATA_TRANSPORT!$A:$A,$B$10-21,DATA_TRANSPORT!$E:$E,AE93))=0,"",IF(OR(AE93="",$B$10=0),0,SUMIFS(DATA_TRANSPORT!$R:$R,DATA_TRANSPORT!$A:$A,$B$10-21,DATA_TRANSPORT!$E:$E,AE93))/IF(OR(AE93="",$B$10=0),0,SUMIFS(DATA_TRANSPORT!$L:$L,DATA_TRANSPORT!$A:$A,$B$10-21,DATA_TRANSPORT!$E:$E,AE93)))</f>
        <v/>
      </c>
      <c r="AW93">
        <f>IF(AND(ISNUMBER(AK93),AK93&lt;UtilLow),1,0)+IF(AND(ISNUMBER(AT93),AT93&lt;UtilLow),1,0)+IF(AND(ISNUMBER(AU93),AU93&lt;UtilLow),1,0)+IF(AND(ISNUMBER(AV93),AV93&lt;UtilLow),1,0)</f>
        <v/>
      </c>
      <c r="AX93">
        <f>IF(AW93&gt;=UtilLowWeeks,AE93&amp;": seats only "&amp;TEXT(AK93,"0%")&amp;" full, under "&amp;TEXT(UtilLow,"0%")&amp;" for "&amp;AW93&amp;" weeks running",IF(AND(AH93&gt;0,AJ93&gt;=AH93*ExcessShare),AE93&amp;": "&amp;TEXT(AJ93,"#,##0")&amp;" riders beyond the seats — consider more buses",IF(AND(ISNUMBER(AP93),AP93&gt;0),AE93&amp;": FT spend ₦"&amp;TEXT(AP93,"#,##0")&amp;" over the weekly budget",IF(AS93&gt;0,AE93&amp;": "&amp;AS93&amp;" coaster breakdown(s) this week",""))))</f>
        <v/>
      </c>
      <c r="AY93">
        <f>IF(ISNUMBER(AK93),AK93+ROW()/1000000000,"")</f>
        <v/>
      </c>
      <c r="AZ93">
        <f>IF(ISNUMBER(AM93),AM93+ROW()/1000000,"")</f>
        <v/>
      </c>
      <c r="BA93">
        <f>IF(AND(ISNUMBER(AP93),AP93&gt;0),AP93+ROW()/1000000,"")</f>
        <v/>
      </c>
      <c r="BB93">
        <f>IF(AF93&gt;0,AF93+ROW()/1000000,"")</f>
        <v/>
      </c>
      <c r="BC93">
        <f>IF(AX93="","",ROW())</f>
        <v/>
      </c>
      <c r="BD93">
        <f>IF(AJ93&gt;0,AJ93+ROW()/1000000,"")</f>
        <v/>
      </c>
    </row>
    <row r="94">
      <c r="A94" t="inlineStr">
        <is>
          <t>Seats offered</t>
        </is>
      </c>
      <c r="B94">
        <f>IF($Y$21=0,"",M21)</f>
        <v/>
      </c>
      <c r="C94">
        <f>IF($Y$22=0,"",M22)</f>
        <v/>
      </c>
      <c r="D94">
        <f>IF(OR(B94="",C94=""),"",B94-C94)</f>
        <v/>
      </c>
      <c r="E94">
        <f>IF(OR(B94="",C94=""),"",IF(C94=0,"",B94/C94-1))</f>
        <v/>
      </c>
      <c r="F94">
        <f>IF(SUM($Z$21:$Z$80)=0,"",SUMPRODUCT($M$21:$M$80,$Z$21:$Z$80)/SUM($Z$21:$Z$80))</f>
        <v/>
      </c>
      <c r="G94">
        <f>IF(OR(B94="",F94=""),"",IF(F94=0,"",B94/F94-1))</f>
        <v/>
      </c>
      <c r="H94">
        <f>IF(SUM($AA$21:$AA$80)=0,"",SUMPRODUCT($M$21:$M$80,$AA$21:$AA$80))</f>
        <v/>
      </c>
      <c r="I94">
        <f>IF(SUM($AB$21:$AB$80)=0,"",SUMPRODUCT($M$21:$M$80,$AB$21:$AB$80))</f>
        <v/>
      </c>
      <c r="J94">
        <f>IF(SUM($AC$21:$AC$80)=0,"",SUMPRODUCT($M$21:$M$80,$AC$21:$AC$80))</f>
        <v/>
      </c>
      <c r="K94">
        <f>IF(H94="","",H94/SUM($AA$21:$AA$80))</f>
        <v/>
      </c>
      <c r="L94">
        <f>IF(I94="","",I94/SUM($AB$21:$AB$80))</f>
        <v/>
      </c>
      <c r="M94">
        <f>IF(J94="","",J94/SUM($AC$21:$AC$80))</f>
        <v/>
      </c>
      <c r="AE94">
        <f>IFERROR(IF(INDEX(MASTER_AREAS!$F:$F,93)="N","",INDEX(MASTER_AREAS!$B:$B,93)&amp;""),"")</f>
        <v/>
      </c>
      <c r="AF94">
        <f>IF(OR(AE94="",$B$10=0),0,SUMIFS(DATA_TRANSPORT!$Q:$Q,DATA_TRANSPORT!$A:$A,$B$10,DATA_TRANSPORT!$E:$E,AE94))</f>
        <v/>
      </c>
      <c r="AG94">
        <f>IF(OR(AE94="",$B$10=0),0,SUMIFS(DATA_TRANSPORT!$I:$I,DATA_TRANSPORT!$A:$A,$B$10,DATA_TRANSPORT!$E:$E,AE94,DATA_TRANSPORT!$V:$V,"Ran"))</f>
        <v/>
      </c>
      <c r="AH94">
        <f>IF(OR(AE94="",$B$10=0),0,SUMIFS(DATA_TRANSPORT!$L:$L,DATA_TRANSPORT!$A:$A,$B$10,DATA_TRANSPORT!$E:$E,AE94))</f>
        <v/>
      </c>
      <c r="AI94">
        <f>IF(OR(AE94="",$B$10=0),0,SUMIFS(DATA_TRANSPORT!$R:$R,DATA_TRANSPORT!$A:$A,$B$10,DATA_TRANSPORT!$E:$E,AE94))</f>
        <v/>
      </c>
      <c r="AJ94">
        <f>IF(OR(AE94="",$B$10=0),0,SUMIFS(DATA_TRANSPORT!$S:$S,DATA_TRANSPORT!$A:$A,$B$10,DATA_TRANSPORT!$E:$E,AE94))</f>
        <v/>
      </c>
      <c r="AK94">
        <f>IF(AH94=0,"",AI94/AH94)</f>
        <v/>
      </c>
      <c r="AL94">
        <f>IF(OR(AE94="",$B$10=0),0,SUMIFS(DATA_TRANSPORT!$T:$T,DATA_TRANSPORT!$A:$A,$B$10,DATA_TRANSPORT!$E:$E,AE94))+IF(OR(AE94="",$B$10=0),0,SUMIFS(DATA_TRANSPORT_COSTS!$M:$M,DATA_TRANSPORT_COSTS!$A:$A,$B$10,DATA_TRANSPORT_COSTS!$D:$D,AE94))</f>
        <v/>
      </c>
      <c r="AM94">
        <f>IF(OR(AF94=0,AL94=0),"",AL94/AF94)</f>
        <v/>
      </c>
      <c r="AN94">
        <f>IF(OR(AE94="",$B$10=0),0,SUMIFS(DATA_TRANSPORT!$T:$T,DATA_TRANSPORT!$A:$A,$B$10,DATA_TRANSPORT!$E:$E,AE94,DATA_TRANSPORT!$C:$C,"FT Procured"))</f>
        <v/>
      </c>
      <c r="AO94">
        <f>IF(OR(AE94="",$B$10=0),0,SUMIFS(DATA_TRANSPORT_BUDGET!$G:$G,DATA_TRANSPORT_BUDGET!$A:$A,$B$10,DATA_TRANSPORT_BUDGET!$D:$D,AE94))</f>
        <v/>
      </c>
      <c r="AP94">
        <f>IF(AO94=0,"",AN94-AO94)</f>
        <v/>
      </c>
      <c r="AQ94">
        <f>IF(OR(AE94="",$B$10=0),0,COUNTIFS(DATA_TRANSPORT!$A:$A,$B$10,DATA_TRANSPORT!$E:$E,AE94,DATA_TRANSPORT!$C:$C,"FT Procured",DATA_TRANSPORT!$Z:$Z,"Y"))</f>
        <v/>
      </c>
      <c r="AR94">
        <f>IF(OR(AE94="",$B$10=0),0,SUMIFS(DATA_TRANSPORT_BUDGET!$E:$E,DATA_TRANSPORT_BUDGET!$A:$A,$B$10,DATA_TRANSPORT_BUDGET!$D:$D,AE94))</f>
        <v/>
      </c>
      <c r="AS94">
        <f>IF(OR(AE94="",$B$10=0),0,COUNTIFS(DATA_TRANSPORT!$A:$A,$B$10,DATA_TRANSPORT!$E:$E,AE94,DATA_TRANSPORT!$V:$V,"Breakdown"))</f>
        <v/>
      </c>
      <c r="AT94">
        <f>IF(IF(OR(AE94="",$B$10=0),0,SUMIFS(DATA_TRANSPORT!$L:$L,DATA_TRANSPORT!$A:$A,$B$10-7,DATA_TRANSPORT!$E:$E,AE94))=0,"",IF(OR(AE94="",$B$10=0),0,SUMIFS(DATA_TRANSPORT!$R:$R,DATA_TRANSPORT!$A:$A,$B$10-7,DATA_TRANSPORT!$E:$E,AE94))/IF(OR(AE94="",$B$10=0),0,SUMIFS(DATA_TRANSPORT!$L:$L,DATA_TRANSPORT!$A:$A,$B$10-7,DATA_TRANSPORT!$E:$E,AE94)))</f>
        <v/>
      </c>
      <c r="AU94">
        <f>IF(IF(OR(AE94="",$B$10=0),0,SUMIFS(DATA_TRANSPORT!$L:$L,DATA_TRANSPORT!$A:$A,$B$10-14,DATA_TRANSPORT!$E:$E,AE94))=0,"",IF(OR(AE94="",$B$10=0),0,SUMIFS(DATA_TRANSPORT!$R:$R,DATA_TRANSPORT!$A:$A,$B$10-14,DATA_TRANSPORT!$E:$E,AE94))/IF(OR(AE94="",$B$10=0),0,SUMIFS(DATA_TRANSPORT!$L:$L,DATA_TRANSPORT!$A:$A,$B$10-14,DATA_TRANSPORT!$E:$E,AE94)))</f>
        <v/>
      </c>
      <c r="AV94">
        <f>IF(IF(OR(AE94="",$B$10=0),0,SUMIFS(DATA_TRANSPORT!$L:$L,DATA_TRANSPORT!$A:$A,$B$10-21,DATA_TRANSPORT!$E:$E,AE94))=0,"",IF(OR(AE94="",$B$10=0),0,SUMIFS(DATA_TRANSPORT!$R:$R,DATA_TRANSPORT!$A:$A,$B$10-21,DATA_TRANSPORT!$E:$E,AE94))/IF(OR(AE94="",$B$10=0),0,SUMIFS(DATA_TRANSPORT!$L:$L,DATA_TRANSPORT!$A:$A,$B$10-21,DATA_TRANSPORT!$E:$E,AE94)))</f>
        <v/>
      </c>
      <c r="AW94">
        <f>IF(AND(ISNUMBER(AK94),AK94&lt;UtilLow),1,0)+IF(AND(ISNUMBER(AT94),AT94&lt;UtilLow),1,0)+IF(AND(ISNUMBER(AU94),AU94&lt;UtilLow),1,0)+IF(AND(ISNUMBER(AV94),AV94&lt;UtilLow),1,0)</f>
        <v/>
      </c>
      <c r="AX94">
        <f>IF(AW94&gt;=UtilLowWeeks,AE94&amp;": seats only "&amp;TEXT(AK94,"0%")&amp;" full, under "&amp;TEXT(UtilLow,"0%")&amp;" for "&amp;AW94&amp;" weeks running",IF(AND(AH94&gt;0,AJ94&gt;=AH94*ExcessShare),AE94&amp;": "&amp;TEXT(AJ94,"#,##0")&amp;" riders beyond the seats — consider more buses",IF(AND(ISNUMBER(AP94),AP94&gt;0),AE94&amp;": FT spend ₦"&amp;TEXT(AP94,"#,##0")&amp;" over the weekly budget",IF(AS94&gt;0,AE94&amp;": "&amp;AS94&amp;" coaster breakdown(s) this week",""))))</f>
        <v/>
      </c>
      <c r="AY94">
        <f>IF(ISNUMBER(AK94),AK94+ROW()/1000000000,"")</f>
        <v/>
      </c>
      <c r="AZ94">
        <f>IF(ISNUMBER(AM94),AM94+ROW()/1000000,"")</f>
        <v/>
      </c>
      <c r="BA94">
        <f>IF(AND(ISNUMBER(AP94),AP94&gt;0),AP94+ROW()/1000000,"")</f>
        <v/>
      </c>
      <c r="BB94">
        <f>IF(AF94&gt;0,AF94+ROW()/1000000,"")</f>
        <v/>
      </c>
      <c r="BC94">
        <f>IF(AX94="","",ROW())</f>
        <v/>
      </c>
      <c r="BD94">
        <f>IF(AJ94&gt;0,AJ94+ROW()/1000000,"")</f>
        <v/>
      </c>
    </row>
    <row r="95">
      <c r="A95" t="inlineStr">
        <is>
          <t>Seat utilisation %</t>
        </is>
      </c>
      <c r="B95">
        <f>IF(OR($Y$21=0,M21=0),"",N21/M21)</f>
        <v/>
      </c>
      <c r="C95">
        <f>IF(OR($Y$22=0,M22=0),"",N22/M22)</f>
        <v/>
      </c>
      <c r="D95">
        <f>IF(OR(B95="",C95=""),"",B95-C95)</f>
        <v/>
      </c>
      <c r="E95">
        <f>IF(OR(B95="",C95=""),"",IF(C95=0,"",B95/C95-1))</f>
        <v/>
      </c>
      <c r="F95">
        <f>IF(SUMPRODUCT($M$21:$M$80,$Z$21:$Z$80)=0,"",SUMPRODUCT($N$21:$N$80,$Z$21:$Z$80)/SUMPRODUCT($M$21:$M$80,$Z$21:$Z$80))</f>
        <v/>
      </c>
      <c r="G95">
        <f>IF(OR(B95="",F95=""),"",IF(F95=0,"",B95/F95-1))</f>
        <v/>
      </c>
      <c r="H95">
        <f>IF(SUMPRODUCT($M$21:$M$80,$AA$21:$AA$80)=0,"",SUMPRODUCT($N$21:$N$80,$AA$21:$AA$80)/SUMPRODUCT($M$21:$M$80,$AA$21:$AA$80))</f>
        <v/>
      </c>
      <c r="I95">
        <f>IF(SUMPRODUCT($M$21:$M$80,$AB$21:$AB$80)=0,"",SUMPRODUCT($N$21:$N$80,$AB$21:$AB$80)/SUMPRODUCT($M$21:$M$80,$AB$21:$AB$80))</f>
        <v/>
      </c>
      <c r="J95">
        <f>IF(SUMPRODUCT($M$21:$M$80,$AC$21:$AC$80)=0,"",SUMPRODUCT($N$21:$N$80,$AC$21:$AC$80)/SUMPRODUCT($M$21:$M$80,$AC$21:$AC$80))</f>
        <v/>
      </c>
      <c r="K95">
        <f>H95</f>
        <v/>
      </c>
      <c r="L95">
        <f>I95</f>
        <v/>
      </c>
      <c r="M95">
        <f>J95</f>
        <v/>
      </c>
      <c r="AE95">
        <f>IFERROR(IF(INDEX(MASTER_AREAS!$F:$F,94)="N","",INDEX(MASTER_AREAS!$B:$B,94)&amp;""),"")</f>
        <v/>
      </c>
      <c r="AF95">
        <f>IF(OR(AE95="",$B$10=0),0,SUMIFS(DATA_TRANSPORT!$Q:$Q,DATA_TRANSPORT!$A:$A,$B$10,DATA_TRANSPORT!$E:$E,AE95))</f>
        <v/>
      </c>
      <c r="AG95">
        <f>IF(OR(AE95="",$B$10=0),0,SUMIFS(DATA_TRANSPORT!$I:$I,DATA_TRANSPORT!$A:$A,$B$10,DATA_TRANSPORT!$E:$E,AE95,DATA_TRANSPORT!$V:$V,"Ran"))</f>
        <v/>
      </c>
      <c r="AH95">
        <f>IF(OR(AE95="",$B$10=0),0,SUMIFS(DATA_TRANSPORT!$L:$L,DATA_TRANSPORT!$A:$A,$B$10,DATA_TRANSPORT!$E:$E,AE95))</f>
        <v/>
      </c>
      <c r="AI95">
        <f>IF(OR(AE95="",$B$10=0),0,SUMIFS(DATA_TRANSPORT!$R:$R,DATA_TRANSPORT!$A:$A,$B$10,DATA_TRANSPORT!$E:$E,AE95))</f>
        <v/>
      </c>
      <c r="AJ95">
        <f>IF(OR(AE95="",$B$10=0),0,SUMIFS(DATA_TRANSPORT!$S:$S,DATA_TRANSPORT!$A:$A,$B$10,DATA_TRANSPORT!$E:$E,AE95))</f>
        <v/>
      </c>
      <c r="AK95">
        <f>IF(AH95=0,"",AI95/AH95)</f>
        <v/>
      </c>
      <c r="AL95">
        <f>IF(OR(AE95="",$B$10=0),0,SUMIFS(DATA_TRANSPORT!$T:$T,DATA_TRANSPORT!$A:$A,$B$10,DATA_TRANSPORT!$E:$E,AE95))+IF(OR(AE95="",$B$10=0),0,SUMIFS(DATA_TRANSPORT_COSTS!$M:$M,DATA_TRANSPORT_COSTS!$A:$A,$B$10,DATA_TRANSPORT_COSTS!$D:$D,AE95))</f>
        <v/>
      </c>
      <c r="AM95">
        <f>IF(OR(AF95=0,AL95=0),"",AL95/AF95)</f>
        <v/>
      </c>
      <c r="AN95">
        <f>IF(OR(AE95="",$B$10=0),0,SUMIFS(DATA_TRANSPORT!$T:$T,DATA_TRANSPORT!$A:$A,$B$10,DATA_TRANSPORT!$E:$E,AE95,DATA_TRANSPORT!$C:$C,"FT Procured"))</f>
        <v/>
      </c>
      <c r="AO95">
        <f>IF(OR(AE95="",$B$10=0),0,SUMIFS(DATA_TRANSPORT_BUDGET!$G:$G,DATA_TRANSPORT_BUDGET!$A:$A,$B$10,DATA_TRANSPORT_BUDGET!$D:$D,AE95))</f>
        <v/>
      </c>
      <c r="AP95">
        <f>IF(AO95=0,"",AN95-AO95)</f>
        <v/>
      </c>
      <c r="AQ95">
        <f>IF(OR(AE95="",$B$10=0),0,COUNTIFS(DATA_TRANSPORT!$A:$A,$B$10,DATA_TRANSPORT!$E:$E,AE95,DATA_TRANSPORT!$C:$C,"FT Procured",DATA_TRANSPORT!$Z:$Z,"Y"))</f>
        <v/>
      </c>
      <c r="AR95">
        <f>IF(OR(AE95="",$B$10=0),0,SUMIFS(DATA_TRANSPORT_BUDGET!$E:$E,DATA_TRANSPORT_BUDGET!$A:$A,$B$10,DATA_TRANSPORT_BUDGET!$D:$D,AE95))</f>
        <v/>
      </c>
      <c r="AS95">
        <f>IF(OR(AE95="",$B$10=0),0,COUNTIFS(DATA_TRANSPORT!$A:$A,$B$10,DATA_TRANSPORT!$E:$E,AE95,DATA_TRANSPORT!$V:$V,"Breakdown"))</f>
        <v/>
      </c>
      <c r="AT95">
        <f>IF(IF(OR(AE95="",$B$10=0),0,SUMIFS(DATA_TRANSPORT!$L:$L,DATA_TRANSPORT!$A:$A,$B$10-7,DATA_TRANSPORT!$E:$E,AE95))=0,"",IF(OR(AE95="",$B$10=0),0,SUMIFS(DATA_TRANSPORT!$R:$R,DATA_TRANSPORT!$A:$A,$B$10-7,DATA_TRANSPORT!$E:$E,AE95))/IF(OR(AE95="",$B$10=0),0,SUMIFS(DATA_TRANSPORT!$L:$L,DATA_TRANSPORT!$A:$A,$B$10-7,DATA_TRANSPORT!$E:$E,AE95)))</f>
        <v/>
      </c>
      <c r="AU95">
        <f>IF(IF(OR(AE95="",$B$10=0),0,SUMIFS(DATA_TRANSPORT!$L:$L,DATA_TRANSPORT!$A:$A,$B$10-14,DATA_TRANSPORT!$E:$E,AE95))=0,"",IF(OR(AE95="",$B$10=0),0,SUMIFS(DATA_TRANSPORT!$R:$R,DATA_TRANSPORT!$A:$A,$B$10-14,DATA_TRANSPORT!$E:$E,AE95))/IF(OR(AE95="",$B$10=0),0,SUMIFS(DATA_TRANSPORT!$L:$L,DATA_TRANSPORT!$A:$A,$B$10-14,DATA_TRANSPORT!$E:$E,AE95)))</f>
        <v/>
      </c>
      <c r="AV95">
        <f>IF(IF(OR(AE95="",$B$10=0),0,SUMIFS(DATA_TRANSPORT!$L:$L,DATA_TRANSPORT!$A:$A,$B$10-21,DATA_TRANSPORT!$E:$E,AE95))=0,"",IF(OR(AE95="",$B$10=0),0,SUMIFS(DATA_TRANSPORT!$R:$R,DATA_TRANSPORT!$A:$A,$B$10-21,DATA_TRANSPORT!$E:$E,AE95))/IF(OR(AE95="",$B$10=0),0,SUMIFS(DATA_TRANSPORT!$L:$L,DATA_TRANSPORT!$A:$A,$B$10-21,DATA_TRANSPORT!$E:$E,AE95)))</f>
        <v/>
      </c>
      <c r="AW95">
        <f>IF(AND(ISNUMBER(AK95),AK95&lt;UtilLow),1,0)+IF(AND(ISNUMBER(AT95),AT95&lt;UtilLow),1,0)+IF(AND(ISNUMBER(AU95),AU95&lt;UtilLow),1,0)+IF(AND(ISNUMBER(AV95),AV95&lt;UtilLow),1,0)</f>
        <v/>
      </c>
      <c r="AX95">
        <f>IF(AW95&gt;=UtilLowWeeks,AE95&amp;": seats only "&amp;TEXT(AK95,"0%")&amp;" full, under "&amp;TEXT(UtilLow,"0%")&amp;" for "&amp;AW95&amp;" weeks running",IF(AND(AH95&gt;0,AJ95&gt;=AH95*ExcessShare),AE95&amp;": "&amp;TEXT(AJ95,"#,##0")&amp;" riders beyond the seats — consider more buses",IF(AND(ISNUMBER(AP95),AP95&gt;0),AE95&amp;": FT spend ₦"&amp;TEXT(AP95,"#,##0")&amp;" over the weekly budget",IF(AS95&gt;0,AE95&amp;": "&amp;AS95&amp;" coaster breakdown(s) this week",""))))</f>
        <v/>
      </c>
      <c r="AY95">
        <f>IF(ISNUMBER(AK95),AK95+ROW()/1000000000,"")</f>
        <v/>
      </c>
      <c r="AZ95">
        <f>IF(ISNUMBER(AM95),AM95+ROW()/1000000,"")</f>
        <v/>
      </c>
      <c r="BA95">
        <f>IF(AND(ISNUMBER(AP95),AP95&gt;0),AP95+ROW()/1000000,"")</f>
        <v/>
      </c>
      <c r="BB95">
        <f>IF(AF95&gt;0,AF95+ROW()/1000000,"")</f>
        <v/>
      </c>
      <c r="BC95">
        <f>IF(AX95="","",ROW())</f>
        <v/>
      </c>
      <c r="BD95">
        <f>IF(AJ95&gt;0,AJ95+ROW()/1000000,"")</f>
        <v/>
      </c>
    </row>
    <row r="96">
      <c r="A96" t="inlineStr">
        <is>
          <t>Riders beyond seats (unmet demand)</t>
        </is>
      </c>
      <c r="B96">
        <f>IF($Y$21=0,"",O21)</f>
        <v/>
      </c>
      <c r="C96">
        <f>IF($Y$22=0,"",O22)</f>
        <v/>
      </c>
      <c r="D96">
        <f>IF(OR(B96="",C96=""),"",B96-C96)</f>
        <v/>
      </c>
      <c r="E96">
        <f>IF(OR(B96="",C96=""),"",IF(C96=0,"",B96/C96-1))</f>
        <v/>
      </c>
      <c r="F96">
        <f>IF(SUM($Z$21:$Z$80)=0,"",SUMPRODUCT($O$21:$O$80,$Z$21:$Z$80)/SUM($Z$21:$Z$80))</f>
        <v/>
      </c>
      <c r="G96">
        <f>IF(OR(B96="",F96=""),"",IF(F96=0,"",B96/F96-1))</f>
        <v/>
      </c>
      <c r="H96">
        <f>IF(SUM($AA$21:$AA$80)=0,"",SUMPRODUCT($O$21:$O$80,$AA$21:$AA$80))</f>
        <v/>
      </c>
      <c r="I96">
        <f>IF(SUM($AB$21:$AB$80)=0,"",SUMPRODUCT($O$21:$O$80,$AB$21:$AB$80))</f>
        <v/>
      </c>
      <c r="J96">
        <f>IF(SUM($AC$21:$AC$80)=0,"",SUMPRODUCT($O$21:$O$80,$AC$21:$AC$80))</f>
        <v/>
      </c>
      <c r="K96">
        <f>IF(H96="","",H96/SUM($AA$21:$AA$80))</f>
        <v/>
      </c>
      <c r="L96">
        <f>IF(I96="","",I96/SUM($AB$21:$AB$80))</f>
        <v/>
      </c>
      <c r="M96">
        <f>IF(J96="","",J96/SUM($AC$21:$AC$80))</f>
        <v/>
      </c>
    </row>
    <row r="97">
      <c r="A97" t="inlineStr">
        <is>
          <t>Total spend</t>
        </is>
      </c>
      <c r="B97">
        <f>IF($Y$21=0,"",R21)</f>
        <v/>
      </c>
      <c r="C97">
        <f>IF($Y$22=0,"",R22)</f>
        <v/>
      </c>
      <c r="D97">
        <f>IF(OR(B97="",C97=""),"",B97-C97)</f>
        <v/>
      </c>
      <c r="E97">
        <f>IF(OR(B97="",C97=""),"",IF(C97=0,"",B97/C97-1))</f>
        <v/>
      </c>
      <c r="F97">
        <f>IF(SUM($Z$21:$Z$80)=0,"",SUMPRODUCT($R$21:$R$80,$Z$21:$Z$80)/SUM($Z$21:$Z$80))</f>
        <v/>
      </c>
      <c r="G97">
        <f>IF(OR(B97="",F97=""),"",IF(F97=0,"",B97/F97-1))</f>
        <v/>
      </c>
      <c r="H97">
        <f>IF(SUM($AA$21:$AA$80)=0,"",SUMPRODUCT($R$21:$R$80,$AA$21:$AA$80))</f>
        <v/>
      </c>
      <c r="I97">
        <f>IF(SUM($AB$21:$AB$80)=0,"",SUMPRODUCT($R$21:$R$80,$AB$21:$AB$80))</f>
        <v/>
      </c>
      <c r="J97">
        <f>IF(SUM($AC$21:$AC$80)=0,"",SUMPRODUCT($R$21:$R$80,$AC$21:$AC$80))</f>
        <v/>
      </c>
      <c r="K97">
        <f>IF(H97="","",H97/SUM($AA$21:$AA$80))</f>
        <v/>
      </c>
      <c r="L97">
        <f>IF(I97="","",I97/SUM($AB$21:$AB$80))</f>
        <v/>
      </c>
      <c r="M97">
        <f>IF(J97="","",J97/SUM($AC$21:$AC$80))</f>
        <v/>
      </c>
    </row>
    <row r="98">
      <c r="A98" t="inlineStr">
        <is>
          <t>Central spend (FT hire + coaster fuel)</t>
        </is>
      </c>
      <c r="B98">
        <f>IF($Y$21=0,"",S21)</f>
        <v/>
      </c>
      <c r="C98">
        <f>IF($Y$22=0,"",S22)</f>
        <v/>
      </c>
      <c r="D98">
        <f>IF(OR(B98="",C98=""),"",B98-C98)</f>
        <v/>
      </c>
      <c r="E98">
        <f>IF(OR(B98="",C98=""),"",IF(C98=0,"",B98/C98-1))</f>
        <v/>
      </c>
      <c r="F98">
        <f>IF(SUM($Z$21:$Z$80)=0,"",SUMPRODUCT($S$21:$S$80,$Z$21:$Z$80)/SUM($Z$21:$Z$80))</f>
        <v/>
      </c>
      <c r="G98">
        <f>IF(OR(B98="",F98=""),"",IF(F98=0,"",B98/F98-1))</f>
        <v/>
      </c>
      <c r="H98">
        <f>IF(SUM($AA$21:$AA$80)=0,"",SUMPRODUCT($S$21:$S$80,$AA$21:$AA$80))</f>
        <v/>
      </c>
      <c r="I98">
        <f>IF(SUM($AB$21:$AB$80)=0,"",SUMPRODUCT($S$21:$S$80,$AB$21:$AB$80))</f>
        <v/>
      </c>
      <c r="J98">
        <f>IF(SUM($AC$21:$AC$80)=0,"",SUMPRODUCT($S$21:$S$80,$AC$21:$AC$80))</f>
        <v/>
      </c>
      <c r="K98">
        <f>IF(H98="","",H98/SUM($AA$21:$AA$80))</f>
        <v/>
      </c>
      <c r="L98">
        <f>IF(I98="","",I98/SUM($AB$21:$AB$80))</f>
        <v/>
      </c>
      <c r="M98">
        <f>IF(J98="","",J98/SUM($AC$21:$AC$80))</f>
        <v/>
      </c>
    </row>
    <row r="99">
      <c r="A99" t="inlineStr">
        <is>
          <t>Member-paid (WSF Procured)</t>
        </is>
      </c>
      <c r="B99">
        <f>IF($Y$21=0,"",T21)</f>
        <v/>
      </c>
      <c r="C99">
        <f>IF($Y$22=0,"",T22)</f>
        <v/>
      </c>
      <c r="D99">
        <f>IF(OR(B99="",C99=""),"",B99-C99)</f>
        <v/>
      </c>
      <c r="E99">
        <f>IF(OR(B99="",C99=""),"",IF(C99=0,"",B99/C99-1))</f>
        <v/>
      </c>
      <c r="F99">
        <f>IF(SUM($Z$21:$Z$80)=0,"",SUMPRODUCT($T$21:$T$80,$Z$21:$Z$80)/SUM($Z$21:$Z$80))</f>
        <v/>
      </c>
      <c r="G99">
        <f>IF(OR(B99="",F99=""),"",IF(F99=0,"",B99/F99-1))</f>
        <v/>
      </c>
      <c r="H99">
        <f>IF(SUM($AA$21:$AA$80)=0,"",SUMPRODUCT($T$21:$T$80,$AA$21:$AA$80))</f>
        <v/>
      </c>
      <c r="I99">
        <f>IF(SUM($AB$21:$AB$80)=0,"",SUMPRODUCT($T$21:$T$80,$AB$21:$AB$80))</f>
        <v/>
      </c>
      <c r="J99">
        <f>IF(SUM($AC$21:$AC$80)=0,"",SUMPRODUCT($T$21:$T$80,$AC$21:$AC$80))</f>
        <v/>
      </c>
      <c r="K99">
        <f>IF(H99="","",H99/SUM($AA$21:$AA$80))</f>
        <v/>
      </c>
      <c r="L99">
        <f>IF(I99="","",I99/SUM($AB$21:$AB$80))</f>
        <v/>
      </c>
      <c r="M99">
        <f>IF(J99="","",J99/SUM($AC$21:$AC$80))</f>
        <v/>
      </c>
    </row>
    <row r="100">
      <c r="A100" t="inlineStr">
        <is>
          <t>Coaster fuel paid (hubs)</t>
        </is>
      </c>
      <c r="B100">
        <f>IF($Y$21=0,"",Q21)</f>
        <v/>
      </c>
      <c r="C100">
        <f>IF($Y$22=0,"",Q22)</f>
        <v/>
      </c>
      <c r="D100">
        <f>IF(OR(B100="",C100=""),"",B100-C100)</f>
        <v/>
      </c>
      <c r="E100">
        <f>IF(OR(B100="",C100=""),"",IF(C100=0,"",B100/C100-1))</f>
        <v/>
      </c>
      <c r="F100">
        <f>IF(SUM($Z$21:$Z$80)=0,"",SUMPRODUCT($Q$21:$Q$80,$Z$21:$Z$80)/SUM($Z$21:$Z$80))</f>
        <v/>
      </c>
      <c r="G100">
        <f>IF(OR(B100="",F100=""),"",IF(F100=0,"",B100/F100-1))</f>
        <v/>
      </c>
      <c r="H100">
        <f>IF(SUM($AA$21:$AA$80)=0,"",SUMPRODUCT($Q$21:$Q$80,$AA$21:$AA$80))</f>
        <v/>
      </c>
      <c r="I100">
        <f>IF(SUM($AB$21:$AB$80)=0,"",SUMPRODUCT($Q$21:$Q$80,$AB$21:$AB$80))</f>
        <v/>
      </c>
      <c r="J100">
        <f>IF(SUM($AC$21:$AC$80)=0,"",SUMPRODUCT($Q$21:$Q$80,$AC$21:$AC$80))</f>
        <v/>
      </c>
      <c r="K100">
        <f>IF(H100="","",H100/SUM($AA$21:$AA$80))</f>
        <v/>
      </c>
      <c r="L100">
        <f>IF(I100="","",I100/SUM($AB$21:$AB$80))</f>
        <v/>
      </c>
      <c r="M100">
        <f>IF(J100="","",J100/SUM($AC$21:$AC$80))</f>
        <v/>
      </c>
    </row>
    <row r="101">
      <c r="A101" t="inlineStr">
        <is>
          <t>Cost per rider</t>
        </is>
      </c>
      <c r="B101">
        <f>IF(OR($Y$21=0,G21=0),"",R21/G21)</f>
        <v/>
      </c>
      <c r="C101">
        <f>IF(OR($Y$22=0,G22=0),"",R22/G22)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IF(SUMPRODUCT($G$21:$G$80,$Z$21:$Z$80)=0,"",SUMPRODUCT($R$21:$R$80,$Z$21:$Z$80)/SUMPRODUCT($G$21:$G$80,$Z$21:$Z$80))</f>
        <v/>
      </c>
      <c r="G101">
        <f>IF(OR(B101="",F101=""),"",IF(F101=0,"",B101/F101-1))</f>
        <v/>
      </c>
      <c r="H101">
        <f>IF(SUMPRODUCT($G$21:$G$80,$AA$21:$AA$80)=0,"",SUMPRODUCT($R$21:$R$80,$AA$21:$AA$80)/SUMPRODUCT($G$21:$G$80,$AA$21:$AA$80))</f>
        <v/>
      </c>
      <c r="I101">
        <f>IF(SUMPRODUCT($G$21:$G$80,$AB$21:$AB$80)=0,"",SUMPRODUCT($R$21:$R$80,$AB$21:$AB$80)/SUMPRODUCT($G$21:$G$80,$AB$21:$AB$80))</f>
        <v/>
      </c>
      <c r="J101">
        <f>IF(SUMPRODUCT($G$21:$G$80,$AC$21:$AC$80)=0,"",SUMPRODUCT($R$21:$R$80,$AC$21:$AC$80)/SUMPRODUCT($G$21:$G$80,$AC$21:$AC$80))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Cost per bus that ran</t>
        </is>
      </c>
      <c r="B102">
        <f>IF(OR($Y$21=0,L21=0),"",R21/L21)</f>
        <v/>
      </c>
      <c r="C102">
        <f>IF(OR($Y$22=0,L22=0),"",R22/L22)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IF(SUMPRODUCT($L$21:$L$80,$Z$21:$Z$80)=0,"",SUMPRODUCT($R$21:$R$80,$Z$21:$Z$80)/SUMPRODUCT($L$21:$L$80,$Z$21:$Z$80))</f>
        <v/>
      </c>
      <c r="G102">
        <f>IF(OR(B102="",F102=""),"",IF(F102=0,"",B102/F102-1))</f>
        <v/>
      </c>
      <c r="H102">
        <f>IF(SUMPRODUCT($L$21:$L$80,$AA$21:$AA$80)=0,"",SUMPRODUCT($R$21:$R$80,$AA$21:$AA$80)/SUMPRODUCT($L$21:$L$80,$AA$21:$AA$80))</f>
        <v/>
      </c>
      <c r="I102">
        <f>IF(SUMPRODUCT($L$21:$L$80,$AB$21:$AB$80)=0,"",SUMPRODUCT($R$21:$R$80,$AB$21:$AB$80)/SUMPRODUCT($L$21:$L$80,$AB$21:$AB$80))</f>
        <v/>
      </c>
      <c r="J102">
        <f>IF(SUMPRODUCT($L$21:$L$80,$AC$21:$AC$80)=0,"",SUMPRODUCT($R$21:$R$80,$AC$21:$AC$80)/SUMPRODUCT($L$21:$L$80,$AC$21:$AC$80))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Cost per seat offered</t>
        </is>
      </c>
      <c r="B103">
        <f>IF(OR($Y$21=0,M21=0),"",R21/M21)</f>
        <v/>
      </c>
      <c r="C103">
        <f>IF(OR($Y$22=0,M22=0),"",R22/M22)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IF(SUMPRODUCT($M$21:$M$80,$Z$21:$Z$80)=0,"",SUMPRODUCT($R$21:$R$80,$Z$21:$Z$80)/SUMPRODUCT($M$21:$M$80,$Z$21:$Z$80))</f>
        <v/>
      </c>
      <c r="G103">
        <f>IF(OR(B103="",F103=""),"",IF(F103=0,"",B103/F103-1))</f>
        <v/>
      </c>
      <c r="H103">
        <f>IF(SUMPRODUCT($M$21:$M$80,$AA$21:$AA$80)=0,"",SUMPRODUCT($R$21:$R$80,$AA$21:$AA$80)/SUMPRODUCT($M$21:$M$80,$AA$21:$AA$80))</f>
        <v/>
      </c>
      <c r="I103">
        <f>IF(SUMPRODUCT($M$21:$M$80,$AB$21:$AB$80)=0,"",SUMPRODUCT($R$21:$R$80,$AB$21:$AB$80)/SUMPRODUCT($M$21:$M$80,$AB$21:$AB$80))</f>
        <v/>
      </c>
      <c r="J103">
        <f>IF(SUMPRODUCT($M$21:$M$80,$AC$21:$AC$80)=0,"",SUMPRODUCT($R$21:$R$80,$AC$21:$AC$80)/SUMPRODUCT($M$21:$M$80,$AC$21:$AC$80))</f>
        <v/>
      </c>
      <c r="K103">
        <f>H103</f>
        <v/>
      </c>
      <c r="L103">
        <f>I103</f>
        <v/>
      </c>
      <c r="M103">
        <f>J103</f>
        <v/>
      </c>
    </row>
    <row r="104">
      <c r="A104" t="inlineStr">
        <is>
          <t>FT spend vs FT budget</t>
        </is>
      </c>
      <c r="B104">
        <f>IF(OR($Y$21=0,U21=0),"",V21/U21)</f>
        <v/>
      </c>
      <c r="C104">
        <f>IF(OR($Y$22=0,U22=0),"",V22/U22)</f>
        <v/>
      </c>
      <c r="D104">
        <f>IF(OR(B104="",C104=""),"",B104-C104)</f>
        <v/>
      </c>
      <c r="E104">
        <f>IF(OR(B104="",C104=""),"",IF(C104=0,"",B104/C104-1))</f>
        <v/>
      </c>
      <c r="F104">
        <f>IF(SUMPRODUCT($U$21:$U$80,$Z$21:$Z$80)=0,"",SUMPRODUCT($V$21:$V$80,$Z$21:$Z$80)/SUMPRODUCT($U$21:$U$80,$Z$21:$Z$80))</f>
        <v/>
      </c>
      <c r="G104">
        <f>IF(OR(B104="",F104=""),"",IF(F104=0,"",B104/F104-1))</f>
        <v/>
      </c>
      <c r="H104">
        <f>IF(SUMPRODUCT($U$21:$U$80,$AA$21:$AA$80)=0,"",SUMPRODUCT($V$21:$V$80,$AA$21:$AA$80)/SUMPRODUCT($U$21:$U$80,$AA$21:$AA$80))</f>
        <v/>
      </c>
      <c r="I104">
        <f>IF(SUMPRODUCT($U$21:$U$80,$AB$21:$AB$80)=0,"",SUMPRODUCT($V$21:$V$80,$AB$21:$AB$80)/SUMPRODUCT($U$21:$U$80,$AB$21:$AB$80))</f>
        <v/>
      </c>
      <c r="J104">
        <f>IF(SUMPRODUCT($U$21:$U$80,$AC$21:$AC$80)=0,"",SUMPRODUCT($V$21:$V$80,$AC$21:$AC$80)/SUMPRODUCT($U$21:$U$80,$AC$21:$AC$80))</f>
        <v/>
      </c>
      <c r="K104">
        <f>H104</f>
        <v/>
      </c>
      <c r="L104">
        <f>I104</f>
        <v/>
      </c>
      <c r="M104">
        <f>J104</f>
        <v/>
      </c>
    </row>
    <row r="105">
      <c r="A105" t="inlineStr">
        <is>
          <t>Breakdowns</t>
        </is>
      </c>
      <c r="B105">
        <f>IF($Y$21=0,"",W21)</f>
        <v/>
      </c>
      <c r="C105">
        <f>IF($Y$22=0,"",W22)</f>
        <v/>
      </c>
      <c r="D105">
        <f>IF(OR(B105="",C105=""),"",B105-C105)</f>
        <v/>
      </c>
      <c r="E105">
        <f>IF(OR(B105="",C105=""),"",IF(C105=0,"",B105/C105-1))</f>
        <v/>
      </c>
      <c r="F105">
        <f>IF(SUM($Z$21:$Z$80)=0,"",SUMPRODUCT($W$21:$W$80,$Z$21:$Z$80)/SUM($Z$21:$Z$80))</f>
        <v/>
      </c>
      <c r="G105">
        <f>IF(OR(B105="",F105=""),"",IF(F105=0,"",B105/F105-1))</f>
        <v/>
      </c>
      <c r="H105">
        <f>IF(SUM($AA$21:$AA$80)=0,"",SUMPRODUCT($W$21:$W$80,$AA$21:$AA$80))</f>
        <v/>
      </c>
      <c r="I105">
        <f>IF(SUM($AB$21:$AB$80)=0,"",SUMPRODUCT($W$21:$W$80,$AB$21:$AB$80))</f>
        <v/>
      </c>
      <c r="J105">
        <f>IF(SUM($AC$21:$AC$80)=0,"",SUMPRODUCT($W$21:$W$80,$AC$21:$AC$80))</f>
        <v/>
      </c>
      <c r="K105">
        <f>IF(H105="","",H105/SUM($AA$21:$AA$80))</f>
        <v/>
      </c>
      <c r="L105">
        <f>IF(I105="","",I105/SUM($AB$21:$AB$80))</f>
        <v/>
      </c>
      <c r="M105">
        <f>IF(J105="","",J105/SUM($AC$21:$AC$80))</f>
        <v/>
      </c>
    </row>
    <row r="109">
      <c r="A109" t="inlineStr">
        <is>
          <t>Category</t>
        </is>
      </c>
      <c r="B109" t="inlineStr">
        <is>
          <t>Listed</t>
        </is>
      </c>
      <c r="C109" t="inlineStr">
        <is>
          <t>Ran</t>
        </is>
      </c>
      <c r="D109" t="inlineStr">
        <is>
          <t>% ran</t>
        </is>
      </c>
      <c r="E109" t="inlineStr">
        <is>
          <t>Riders</t>
        </is>
      </c>
      <c r="F109" t="inlineStr">
        <is>
          <t>Seats</t>
        </is>
      </c>
      <c r="G109" t="inlineStr">
        <is>
          <t>Riders seated</t>
        </is>
      </c>
      <c r="H109" t="inlineStr">
        <is>
          <t>Utilisation</t>
        </is>
      </c>
      <c r="I109" t="inlineStr">
        <is>
          <t>Hire cost</t>
        </is>
      </c>
      <c r="J109" t="inlineStr">
        <is>
          <t>Fuel paid</t>
        </is>
      </c>
      <c r="K109" t="inlineStr">
        <is>
          <t>Spend</t>
        </is>
      </c>
      <c r="L109" t="inlineStr">
        <is>
          <t>Cost/rider</t>
        </is>
      </c>
      <c r="M109" t="inlineStr">
        <is>
          <t>Cost/bus</t>
        </is>
      </c>
      <c r="N109" t="inlineStr">
        <is>
          <t>Cost/seat</t>
        </is>
      </c>
      <c r="O109" t="inlineStr">
        <is>
          <t>Riders prev wk</t>
        </is>
      </c>
      <c r="P109" t="inlineStr">
        <is>
          <t>Riders WoW</t>
        </is>
      </c>
      <c r="Q109" t="inlineStr">
        <is>
          <t>Paid by</t>
        </is>
      </c>
      <c r="R109" t="inlineStr">
        <is>
          <t>Excess riders</t>
        </is>
      </c>
    </row>
    <row r="110">
      <c r="A110" t="inlineStr">
        <is>
          <t>FT Procured</t>
        </is>
      </c>
      <c r="B110">
        <f>IF($B$10=0,0,SUMIFS(DATA_TRANSPORT!$I:$I,DATA_TRANSPORT!$A:$A,$B$10,DATA_TRANSPORT!$E:$E,$B$6,DATA_TRANSPORT!$AD:$AD,$B$7,DATA_TRANSPORT!$C:$C,"FT Procured"))</f>
        <v/>
      </c>
      <c r="C110">
        <f>IF($B$10=0,0,SUMIFS(DATA_TRANSPORT!$I:$I,DATA_TRANSPORT!$A:$A,$B$10,DATA_TRANSPORT!$E:$E,$B$6,DATA_TRANSPORT!$AD:$AD,$B$7,DATA_TRANSPORT!$C:$C,"FT Procured",DATA_TRANSPORT!$V:$V,"Ran"))</f>
        <v/>
      </c>
      <c r="D110">
        <f>IF(B110=0,"",C110/B110)</f>
        <v/>
      </c>
      <c r="E110">
        <f>IF($B$10=0,0,SUMIFS(DATA_TRANSPORT!$Q:$Q,DATA_TRANSPORT!$A:$A,$B$10,DATA_TRANSPORT!$E:$E,$B$6,DATA_TRANSPORT!$AD:$AD,$B$7,DATA_TRANSPORT!$C:$C,"FT Procured"))</f>
        <v/>
      </c>
      <c r="F110">
        <f>IF($B$10=0,0,SUMIFS(DATA_TRANSPORT!$L:$L,DATA_TRANSPORT!$A:$A,$B$10,DATA_TRANSPORT!$E:$E,$B$6,DATA_TRANSPORT!$AD:$AD,$B$7,DATA_TRANSPORT!$C:$C,"FT Procured"))</f>
        <v/>
      </c>
      <c r="G110">
        <f>IF($B$10=0,0,SUMIFS(DATA_TRANSPORT!$R:$R,DATA_TRANSPORT!$A:$A,$B$10,DATA_TRANSPORT!$E:$E,$B$6,DATA_TRANSPORT!$AD:$AD,$B$7,DATA_TRANSPORT!$C:$C,"FT Procured"))</f>
        <v/>
      </c>
      <c r="H110">
        <f>IF(F110=0,"",G110/F110)</f>
        <v/>
      </c>
      <c r="I110">
        <f>IF($B$10=0,0,SUMIFS(DATA_TRANSPORT!$T:$T,DATA_TRANSPORT!$A:$A,$B$10,DATA_TRANSPORT!$E:$E,$B$6,DATA_TRANSPORT!$AD:$AD,$B$7,DATA_TRANSPORT!$C:$C,"FT Procured"))</f>
        <v/>
      </c>
      <c r="J110" t="n">
        <v>0</v>
      </c>
      <c r="K110">
        <f>I110+J110</f>
        <v/>
      </c>
      <c r="L110">
        <f>IF(OR(E110=0,K110=0),"",K110/E110)</f>
        <v/>
      </c>
      <c r="M110">
        <f>IF(OR(C110=0,K110=0),"",K110/C110)</f>
        <v/>
      </c>
      <c r="N110">
        <f>IF(OR(F110=0,K110=0),"",K110/F110)</f>
        <v/>
      </c>
      <c r="O110">
        <f>IF($B$10=0,0,SUMIFS(DATA_TRANSPORT!$Q:$Q,DATA_TRANSPORT!$A:$A,$B$10-7,DATA_TRANSPORT!$E:$E,$B$6,DATA_TRANSPORT!$AD:$AD,$B$7,DATA_TRANSPORT!$C:$C,"FT Procured"))</f>
        <v/>
      </c>
      <c r="P110">
        <f>IF(O110=0,"",E110/O110-1)</f>
        <v/>
      </c>
      <c r="Q110" t="inlineStr">
        <is>
          <t>Central (hire)</t>
        </is>
      </c>
      <c r="R110">
        <f>IF($B$10=0,0,SUMIFS(DATA_TRANSPORT!$S:$S,DATA_TRANSPORT!$A:$A,$B$10,DATA_TRANSPORT!$E:$E,$B$6,DATA_TRANSPORT!$AD:$AD,$B$7,DATA_TRANSPORT!$C:$C,"FT Procured"))</f>
        <v/>
      </c>
    </row>
    <row r="111">
      <c r="A111" t="inlineStr">
        <is>
          <t>Church Coaster</t>
        </is>
      </c>
      <c r="B111">
        <f>IF($B$10=0,0,SUMIFS(DATA_TRANSPORT!$I:$I,DATA_TRANSPORT!$A:$A,$B$10,DATA_TRANSPORT!$E:$E,$B$6,DATA_TRANSPORT!$AD:$AD,$B$7,DATA_TRANSPORT!$C:$C,"Church Coaster"))</f>
        <v/>
      </c>
      <c r="C111">
        <f>IF($B$10=0,0,SUMIFS(DATA_TRANSPORT!$I:$I,DATA_TRANSPORT!$A:$A,$B$10,DATA_TRANSPORT!$E:$E,$B$6,DATA_TRANSPORT!$AD:$AD,$B$7,DATA_TRANSPORT!$C:$C,"Church Coaster",DATA_TRANSPORT!$V:$V,"Ran"))</f>
        <v/>
      </c>
      <c r="D111">
        <f>IF(B111=0,"",C111/B111)</f>
        <v/>
      </c>
      <c r="E111">
        <f>IF($B$10=0,0,SUMIFS(DATA_TRANSPORT!$Q:$Q,DATA_TRANSPORT!$A:$A,$B$10,DATA_TRANSPORT!$E:$E,$B$6,DATA_TRANSPORT!$AD:$AD,$B$7,DATA_TRANSPORT!$C:$C,"Church Coaster"))</f>
        <v/>
      </c>
      <c r="F111">
        <f>IF($B$10=0,0,SUMIFS(DATA_TRANSPORT!$L:$L,DATA_TRANSPORT!$A:$A,$B$10,DATA_TRANSPORT!$E:$E,$B$6,DATA_TRANSPORT!$AD:$AD,$B$7,DATA_TRANSPORT!$C:$C,"Church Coaster"))</f>
        <v/>
      </c>
      <c r="G111">
        <f>IF($B$10=0,0,SUMIFS(DATA_TRANSPORT!$R:$R,DATA_TRANSPORT!$A:$A,$B$10,DATA_TRANSPORT!$E:$E,$B$6,DATA_TRANSPORT!$AD:$AD,$B$7,DATA_TRANSPORT!$C:$C,"Church Coaster"))</f>
        <v/>
      </c>
      <c r="H111">
        <f>IF(F111=0,"",G111/F111)</f>
        <v/>
      </c>
      <c r="I111">
        <f>IF($B$10=0,0,SUMIFS(DATA_TRANSPORT!$T:$T,DATA_TRANSPORT!$A:$A,$B$10,DATA_TRANSPORT!$E:$E,$B$6,DATA_TRANSPORT!$AD:$AD,$B$7,DATA_TRANSPORT!$C:$C,"Church Coaster"))</f>
        <v/>
      </c>
      <c r="J111">
        <f>IF(OR($B$10=0,$B$17),0,SUMIFS(DATA_TRANSPORT_COSTS!$M:$M,DATA_TRANSPORT_COSTS!$A:$A,$B$10,DATA_TRANSPORT_COSTS!$D:$D,$B$6))</f>
        <v/>
      </c>
      <c r="K111">
        <f>I111+J111</f>
        <v/>
      </c>
      <c r="L111">
        <f>IF(OR(E111=0,K111=0),"",K111/E111)</f>
        <v/>
      </c>
      <c r="M111">
        <f>IF(OR(C111=0,K111=0),"",K111/C111)</f>
        <v/>
      </c>
      <c r="N111">
        <f>IF(OR(F111=0,K111=0),"",K111/F111)</f>
        <v/>
      </c>
      <c r="O111">
        <f>IF($B$10=0,0,SUMIFS(DATA_TRANSPORT!$Q:$Q,DATA_TRANSPORT!$A:$A,$B$10-7,DATA_TRANSPORT!$E:$E,$B$6,DATA_TRANSPORT!$AD:$AD,$B$7,DATA_TRANSPORT!$C:$C,"Church Coaster"))</f>
        <v/>
      </c>
      <c r="P111">
        <f>IF(O111=0,"",E111/O111-1)</f>
        <v/>
      </c>
      <c r="Q111" t="inlineStr">
        <is>
          <t>Central (fuel)</t>
        </is>
      </c>
      <c r="R111">
        <f>IF($B$10=0,0,SUMIFS(DATA_TRANSPORT!$S:$S,DATA_TRANSPORT!$A:$A,$B$10,DATA_TRANSPORT!$E:$E,$B$6,DATA_TRANSPORT!$AD:$AD,$B$7,DATA_TRANSPORT!$C:$C,"Church Coaster"))</f>
        <v/>
      </c>
    </row>
    <row r="112">
      <c r="A112" t="inlineStr">
        <is>
          <t>EV/TATA</t>
        </is>
      </c>
      <c r="B112">
        <f>IF($B$10=0,0,SUMIFS(DATA_TRANSPORT!$I:$I,DATA_TRANSPORT!$A:$A,$B$10,DATA_TRANSPORT!$E:$E,$B$6,DATA_TRANSPORT!$AD:$AD,$B$7,DATA_TRANSPORT!$C:$C,"EV/TATA"))</f>
        <v/>
      </c>
      <c r="C112">
        <f>IF($B$10=0,0,SUMIFS(DATA_TRANSPORT!$I:$I,DATA_TRANSPORT!$A:$A,$B$10,DATA_TRANSPORT!$E:$E,$B$6,DATA_TRANSPORT!$AD:$AD,$B$7,DATA_TRANSPORT!$C:$C,"EV/TATA",DATA_TRANSPORT!$V:$V,"Ran"))</f>
        <v/>
      </c>
      <c r="D112">
        <f>IF(B112=0,"",C112/B112)</f>
        <v/>
      </c>
      <c r="E112">
        <f>IF($B$10=0,0,SUMIFS(DATA_TRANSPORT!$Q:$Q,DATA_TRANSPORT!$A:$A,$B$10,DATA_TRANSPORT!$E:$E,$B$6,DATA_TRANSPORT!$AD:$AD,$B$7,DATA_TRANSPORT!$C:$C,"EV/TATA"))</f>
        <v/>
      </c>
      <c r="F112">
        <f>IF($B$10=0,0,SUMIFS(DATA_TRANSPORT!$L:$L,DATA_TRANSPORT!$A:$A,$B$10,DATA_TRANSPORT!$E:$E,$B$6,DATA_TRANSPORT!$AD:$AD,$B$7,DATA_TRANSPORT!$C:$C,"EV/TATA"))</f>
        <v/>
      </c>
      <c r="G112">
        <f>IF($B$10=0,0,SUMIFS(DATA_TRANSPORT!$R:$R,DATA_TRANSPORT!$A:$A,$B$10,DATA_TRANSPORT!$E:$E,$B$6,DATA_TRANSPORT!$AD:$AD,$B$7,DATA_TRANSPORT!$C:$C,"EV/TATA"))</f>
        <v/>
      </c>
      <c r="H112">
        <f>IF(F112=0,"",G112/F112)</f>
        <v/>
      </c>
      <c r="I112">
        <f>IF($B$10=0,0,SUMIFS(DATA_TRANSPORT!$T:$T,DATA_TRANSPORT!$A:$A,$B$10,DATA_TRANSPORT!$E:$E,$B$6,DATA_TRANSPORT!$AD:$AD,$B$7,DATA_TRANSPORT!$C:$C,"EV/TATA"))</f>
        <v/>
      </c>
      <c r="J112" t="n">
        <v>0</v>
      </c>
      <c r="K112">
        <f>I112+J112</f>
        <v/>
      </c>
      <c r="L112">
        <f>IF(OR(E112=0,K112=0),"",K112/E112)</f>
        <v/>
      </c>
      <c r="M112">
        <f>IF(OR(C112=0,K112=0),"",K112/C112)</f>
        <v/>
      </c>
      <c r="N112">
        <f>IF(OR(F112=0,K112=0),"",K112/F112)</f>
        <v/>
      </c>
      <c r="O112">
        <f>IF($B$10=0,0,SUMIFS(DATA_TRANSPORT!$Q:$Q,DATA_TRANSPORT!$A:$A,$B$10-7,DATA_TRANSPORT!$E:$E,$B$6,DATA_TRANSPORT!$AD:$AD,$B$7,DATA_TRANSPORT!$C:$C,"EV/TATA"))</f>
        <v/>
      </c>
      <c r="P112">
        <f>IF(O112=0,"",E112/O112-1)</f>
        <v/>
      </c>
      <c r="Q112" t="inlineStr">
        <is>
          <t>Central (no cost)</t>
        </is>
      </c>
      <c r="R112">
        <f>IF($B$10=0,0,SUMIFS(DATA_TRANSPORT!$S:$S,DATA_TRANSPORT!$A:$A,$B$10,DATA_TRANSPORT!$E:$E,$B$6,DATA_TRANSPORT!$AD:$AD,$B$7,DATA_TRANSPORT!$C:$C,"EV/TATA"))</f>
        <v/>
      </c>
    </row>
    <row r="113">
      <c r="A113" t="inlineStr">
        <is>
          <t>WSF Procured</t>
        </is>
      </c>
      <c r="B113">
        <f>IF($B$10=0,0,SUMIFS(DATA_TRANSPORT!$I:$I,DATA_TRANSPORT!$A:$A,$B$10,DATA_TRANSPORT!$E:$E,$B$6,DATA_TRANSPORT!$AD:$AD,$B$7,DATA_TRANSPORT!$C:$C,"WSF Procured"))</f>
        <v/>
      </c>
      <c r="C113">
        <f>IF($B$10=0,0,SUMIFS(DATA_TRANSPORT!$I:$I,DATA_TRANSPORT!$A:$A,$B$10,DATA_TRANSPORT!$E:$E,$B$6,DATA_TRANSPORT!$AD:$AD,$B$7,DATA_TRANSPORT!$C:$C,"WSF Procured",DATA_TRANSPORT!$V:$V,"Ran"))</f>
        <v/>
      </c>
      <c r="D113">
        <f>IF(B113=0,"",C113/B113)</f>
        <v/>
      </c>
      <c r="E113">
        <f>IF($B$10=0,0,SUMIFS(DATA_TRANSPORT!$Q:$Q,DATA_TRANSPORT!$A:$A,$B$10,DATA_TRANSPORT!$E:$E,$B$6,DATA_TRANSPORT!$AD:$AD,$B$7,DATA_TRANSPORT!$C:$C,"WSF Procured"))</f>
        <v/>
      </c>
      <c r="F113">
        <f>IF($B$10=0,0,SUMIFS(DATA_TRANSPORT!$L:$L,DATA_TRANSPORT!$A:$A,$B$10,DATA_TRANSPORT!$E:$E,$B$6,DATA_TRANSPORT!$AD:$AD,$B$7,DATA_TRANSPORT!$C:$C,"WSF Procured"))</f>
        <v/>
      </c>
      <c r="G113">
        <f>IF($B$10=0,0,SUMIFS(DATA_TRANSPORT!$R:$R,DATA_TRANSPORT!$A:$A,$B$10,DATA_TRANSPORT!$E:$E,$B$6,DATA_TRANSPORT!$AD:$AD,$B$7,DATA_TRANSPORT!$C:$C,"WSF Procured"))</f>
        <v/>
      </c>
      <c r="H113">
        <f>IF(F113=0,"",G113/F113)</f>
        <v/>
      </c>
      <c r="I113">
        <f>IF($B$10=0,0,SUMIFS(DATA_TRANSPORT!$T:$T,DATA_TRANSPORT!$A:$A,$B$10,DATA_TRANSPORT!$E:$E,$B$6,DATA_TRANSPORT!$AD:$AD,$B$7,DATA_TRANSPORT!$C:$C,"WSF Procured"))</f>
        <v/>
      </c>
      <c r="J113" t="n">
        <v>0</v>
      </c>
      <c r="K113">
        <f>I113+J113</f>
        <v/>
      </c>
      <c r="L113">
        <f>IF(OR(E113=0,K113=0),"",K113/E113)</f>
        <v/>
      </c>
      <c r="M113">
        <f>IF(OR(C113=0,K113=0),"",K113/C113)</f>
        <v/>
      </c>
      <c r="N113">
        <f>IF(OR(F113=0,K113=0),"",K113/F113)</f>
        <v/>
      </c>
      <c r="O113">
        <f>IF($B$10=0,0,SUMIFS(DATA_TRANSPORT!$Q:$Q,DATA_TRANSPORT!$A:$A,$B$10-7,DATA_TRANSPORT!$E:$E,$B$6,DATA_TRANSPORT!$AD:$AD,$B$7,DATA_TRANSPORT!$C:$C,"WSF Procured"))</f>
        <v/>
      </c>
      <c r="P113">
        <f>IF(O113=0,"",E113/O113-1)</f>
        <v/>
      </c>
      <c r="Q113" t="inlineStr">
        <is>
          <t>Members</t>
        </is>
      </c>
      <c r="R113">
        <f>IF($B$10=0,0,SUMIFS(DATA_TRANSPORT!$S:$S,DATA_TRANSPORT!$A:$A,$B$10,DATA_TRANSPORT!$E:$E,$B$6,DATA_TRANSPORT!$AD:$AD,$B$7,DATA_TRANSPORT!$C:$C,"WSF Procured"))</f>
        <v/>
      </c>
    </row>
    <row r="114">
      <c r="A114" t="inlineStr">
        <is>
          <t>All categories</t>
        </is>
      </c>
      <c r="B114">
        <f>IF($B$10=0,0,SUMIFS(DATA_TRANSPORT!$I:$I,DATA_TRANSPORT!$A:$A,$B$10,DATA_TRANSPORT!$E:$E,$B$6,DATA_TRANSPORT!$AD:$AD,$B$7))</f>
        <v/>
      </c>
      <c r="C114">
        <f>IF($B$10=0,0,SUMIFS(DATA_TRANSPORT!$I:$I,DATA_TRANSPORT!$A:$A,$B$10,DATA_TRANSPORT!$E:$E,$B$6,DATA_TRANSPORT!$AD:$AD,$B$7,DATA_TRANSPORT!$V:$V,"Ran"))</f>
        <v/>
      </c>
      <c r="D114">
        <f>IF(B114=0,"",C114/B114)</f>
        <v/>
      </c>
      <c r="E114">
        <f>IF($B$10=0,0,SUMIFS(DATA_TRANSPORT!$Q:$Q,DATA_TRANSPORT!$A:$A,$B$10,DATA_TRANSPORT!$E:$E,$B$6,DATA_TRANSPORT!$AD:$AD,$B$7))</f>
        <v/>
      </c>
      <c r="F114">
        <f>IF($B$10=0,0,SUMIFS(DATA_TRANSPORT!$L:$L,DATA_TRANSPORT!$A:$A,$B$10,DATA_TRANSPORT!$E:$E,$B$6,DATA_TRANSPORT!$AD:$AD,$B$7))</f>
        <v/>
      </c>
      <c r="G114">
        <f>IF($B$10=0,0,SUMIFS(DATA_TRANSPORT!$R:$R,DATA_TRANSPORT!$A:$A,$B$10,DATA_TRANSPORT!$E:$E,$B$6,DATA_TRANSPORT!$AD:$AD,$B$7))</f>
        <v/>
      </c>
      <c r="H114">
        <f>IF(F114=0,"",G114/F114)</f>
        <v/>
      </c>
      <c r="I114">
        <f>IF($B$10=0,0,SUMIFS(DATA_TRANSPORT!$T:$T,DATA_TRANSPORT!$A:$A,$B$10,DATA_TRANSPORT!$E:$E,$B$6,DATA_TRANSPORT!$AD:$AD,$B$7))</f>
        <v/>
      </c>
      <c r="J114">
        <f>IF(OR($B$10=0,$B$17),0,SUMIFS(DATA_TRANSPORT_COSTS!$M:$M,DATA_TRANSPORT_COSTS!$A:$A,$B$10,DATA_TRANSPORT_COSTS!$D:$D,$B$6))</f>
        <v/>
      </c>
      <c r="K114">
        <f>I114+J114</f>
        <v/>
      </c>
      <c r="L114">
        <f>IF(OR(E114=0,K114=0),"",K114/E114)</f>
        <v/>
      </c>
      <c r="M114">
        <f>IF(OR(C114=0,K114=0),"",K114/C114)</f>
        <v/>
      </c>
      <c r="N114">
        <f>IF(OR(F114=0,K114=0),"",K114/F114)</f>
        <v/>
      </c>
      <c r="O114">
        <f>IF($B$10=0,0,SUMIFS(DATA_TRANSPORT!$Q:$Q,DATA_TRANSPORT!$A:$A,$B$10-7,DATA_TRANSPORT!$E:$E,$B$6,DATA_TRANSPORT!$AD:$AD,$B$7))</f>
        <v/>
      </c>
      <c r="P114">
        <f>IF(O114=0,"",E114/O114-1)</f>
        <v/>
      </c>
      <c r="Q114" t="inlineStr"/>
      <c r="R114">
        <f>IF($B$10=0,0,SUMIFS(DATA_TRANSPORT!$S:$S,DATA_TRANSPORT!$A:$A,$B$10,DATA_TRANSPORT!$E:$E,$B$6,DATA_TRANSPORT!$AD:$AD,$B$7))</f>
        <v/>
      </c>
    </row>
    <row r="115">
      <c r="A115" t="inlineStr">
        <is>
          <t>Hub</t>
        </is>
      </c>
      <c r="B115">
        <f>IF($B$10=0,0,SUMIFS(DATA_TRANSPORT!$I:$I,DATA_TRANSPORT!$A:$A,$B$10,DATA_TRANSPORT!$E:$E,$B$6,DATA_TRANSPORT!$AD:$AD,$B$7,DATA_TRANSPORT!$AA:$AA,"Hub"))</f>
        <v/>
      </c>
      <c r="C115">
        <f>IF($B$10=0,0,SUMIFS(DATA_TRANSPORT!$I:$I,DATA_TRANSPORT!$A:$A,$B$10,DATA_TRANSPORT!$E:$E,$B$6,DATA_TRANSPORT!$AD:$AD,$B$7,DATA_TRANSPORT!$AA:$AA,"Hub",DATA_TRANSPORT!$V:$V,"Ran"))</f>
        <v/>
      </c>
      <c r="D115">
        <f>IF(B115=0,"",C115/B115)</f>
        <v/>
      </c>
      <c r="E115">
        <f>IF($B$10=0,0,SUMIFS(DATA_TRANSPORT!$Q:$Q,DATA_TRANSPORT!$A:$A,$B$10,DATA_TRANSPORT!$E:$E,$B$6,DATA_TRANSPORT!$AD:$AD,$B$7,DATA_TRANSPORT!$AA:$AA,"Hub"))</f>
        <v/>
      </c>
      <c r="F115">
        <f>IF($B$10=0,0,SUMIFS(DATA_TRANSPORT!$L:$L,DATA_TRANSPORT!$A:$A,$B$10,DATA_TRANSPORT!$E:$E,$B$6,DATA_TRANSPORT!$AD:$AD,$B$7,DATA_TRANSPORT!$AA:$AA,"Hub"))</f>
        <v/>
      </c>
      <c r="G115">
        <f>IF($B$10=0,0,SUMIFS(DATA_TRANSPORT!$R:$R,DATA_TRANSPORT!$A:$A,$B$10,DATA_TRANSPORT!$E:$E,$B$6,DATA_TRANSPORT!$AD:$AD,$B$7,DATA_TRANSPORT!$AA:$AA,"Hub"))</f>
        <v/>
      </c>
      <c r="H115">
        <f>IF(F115=0,"",G115/F115)</f>
        <v/>
      </c>
      <c r="I115">
        <f>IF($B$10=0,0,SUMIFS(DATA_TRANSPORT!$T:$T,DATA_TRANSPORT!$A:$A,$B$10,DATA_TRANSPORT!$E:$E,$B$6,DATA_TRANSPORT!$AD:$AD,$B$7,DATA_TRANSPORT!$AA:$AA,"Hub"))</f>
        <v/>
      </c>
      <c r="J115">
        <f>IF(OR($B$10=0,$B$17),0,SUMIFS(DATA_TRANSPORT_COSTS!$M:$M,DATA_TRANSPORT_COSTS!$A:$A,$B$10,DATA_TRANSPORT_COSTS!$D:$D,$B$6,DATA_TRANSPORT_COSTS!$G:$G,"HUB"))</f>
        <v/>
      </c>
      <c r="K115">
        <f>I115+J115</f>
        <v/>
      </c>
      <c r="L115">
        <f>IF(OR(E115=0,K115=0),"",K115/E115)</f>
        <v/>
      </c>
      <c r="M115">
        <f>IF(OR(C115=0,K115=0),"",K115/C115)</f>
        <v/>
      </c>
      <c r="N115">
        <f>IF(OR(F115=0,K115=0),"",K115/F115)</f>
        <v/>
      </c>
      <c r="O115">
        <f>IF($B$10=0,0,SUMIFS(DATA_TRANSPORT!$Q:$Q,DATA_TRANSPORT!$A:$A,$B$10-7,DATA_TRANSPORT!$E:$E,$B$6,DATA_TRANSPORT!$AD:$AD,$B$7,DATA_TRANSPORT!$AA:$AA,"Hub"))</f>
        <v/>
      </c>
      <c r="P115">
        <f>IF(O115=0,"",E115/O115-1)</f>
        <v/>
      </c>
      <c r="Q115" t="inlineStr">
        <is>
          <t>Mixed</t>
        </is>
      </c>
      <c r="R115">
        <f>IF($B$10=0,0,SUMIFS(DATA_TRANSPORT!$S:$S,DATA_TRANSPORT!$A:$A,$B$10,DATA_TRANSPORT!$E:$E,$B$6,DATA_TRANSPORT!$AD:$AD,$B$7,DATA_TRANSPORT!$AA:$AA,"Hub"))</f>
        <v/>
      </c>
    </row>
    <row r="116">
      <c r="A116" t="inlineStr">
        <is>
          <t>Loading Bay</t>
        </is>
      </c>
      <c r="B116">
        <f>IF($B$10=0,0,SUMIFS(DATA_TRANSPORT!$I:$I,DATA_TRANSPORT!$A:$A,$B$10,DATA_TRANSPORT!$E:$E,$B$6,DATA_TRANSPORT!$AD:$AD,$B$7,DATA_TRANSPORT!$AA:$AA,"Loading Bay"))</f>
        <v/>
      </c>
      <c r="C116">
        <f>IF($B$10=0,0,SUMIFS(DATA_TRANSPORT!$I:$I,DATA_TRANSPORT!$A:$A,$B$10,DATA_TRANSPORT!$E:$E,$B$6,DATA_TRANSPORT!$AD:$AD,$B$7,DATA_TRANSPORT!$AA:$AA,"Loading Bay",DATA_TRANSPORT!$V:$V,"Ran"))</f>
        <v/>
      </c>
      <c r="D116">
        <f>IF(B116=0,"",C116/B116)</f>
        <v/>
      </c>
      <c r="E116">
        <f>IF($B$10=0,0,SUMIFS(DATA_TRANSPORT!$Q:$Q,DATA_TRANSPORT!$A:$A,$B$10,DATA_TRANSPORT!$E:$E,$B$6,DATA_TRANSPORT!$AD:$AD,$B$7,DATA_TRANSPORT!$AA:$AA,"Loading Bay"))</f>
        <v/>
      </c>
      <c r="F116">
        <f>IF($B$10=0,0,SUMIFS(DATA_TRANSPORT!$L:$L,DATA_TRANSPORT!$A:$A,$B$10,DATA_TRANSPORT!$E:$E,$B$6,DATA_TRANSPORT!$AD:$AD,$B$7,DATA_TRANSPORT!$AA:$AA,"Loading Bay"))</f>
        <v/>
      </c>
      <c r="G116">
        <f>IF($B$10=0,0,SUMIFS(DATA_TRANSPORT!$R:$R,DATA_TRANSPORT!$A:$A,$B$10,DATA_TRANSPORT!$E:$E,$B$6,DATA_TRANSPORT!$AD:$AD,$B$7,DATA_TRANSPORT!$AA:$AA,"Loading Bay"))</f>
        <v/>
      </c>
      <c r="H116">
        <f>IF(F116=0,"",G116/F116)</f>
        <v/>
      </c>
      <c r="I116">
        <f>IF($B$10=0,0,SUMIFS(DATA_TRANSPORT!$T:$T,DATA_TRANSPORT!$A:$A,$B$10,DATA_TRANSPORT!$E:$E,$B$6,DATA_TRANSPORT!$AD:$AD,$B$7,DATA_TRANSPORT!$AA:$AA,"Loading Bay"))</f>
        <v/>
      </c>
      <c r="J116">
        <f>IF(OR($B$10=0,$B$17),0,SUMIFS(DATA_TRANSPORT_COSTS!$M:$M,DATA_TRANSPORT_COSTS!$A:$A,$B$10,DATA_TRANSPORT_COSTS!$D:$D,$B$6,DATA_TRANSPORT_COSTS!$G:$G,"ZONE"))</f>
        <v/>
      </c>
      <c r="K116">
        <f>I116+J116</f>
        <v/>
      </c>
      <c r="L116">
        <f>IF(OR(E116=0,K116=0),"",K116/E116)</f>
        <v/>
      </c>
      <c r="M116">
        <f>IF(OR(C116=0,K116=0),"",K116/C116)</f>
        <v/>
      </c>
      <c r="N116">
        <f>IF(OR(F116=0,K116=0),"",K116/F116)</f>
        <v/>
      </c>
      <c r="O116">
        <f>IF($B$10=0,0,SUMIFS(DATA_TRANSPORT!$Q:$Q,DATA_TRANSPORT!$A:$A,$B$10-7,DATA_TRANSPORT!$E:$E,$B$6,DATA_TRANSPORT!$AD:$AD,$B$7,DATA_TRANSPORT!$AA:$AA,"Loading Bay"))</f>
        <v/>
      </c>
      <c r="P116">
        <f>IF(O116=0,"",E116/O116-1)</f>
        <v/>
      </c>
      <c r="Q116" t="inlineStr">
        <is>
          <t>Mixed</t>
        </is>
      </c>
      <c r="R116">
        <f>IF($B$10=0,0,SUMIFS(DATA_TRANSPORT!$S:$S,DATA_TRANSPORT!$A:$A,$B$10,DATA_TRANSPORT!$E:$E,$B$6,DATA_TRANSPORT!$AD:$AD,$B$7,DATA_TRANSPORT!$AA:$AA,"Loading Bay"))</f>
        <v/>
      </c>
    </row>
    <row r="125">
      <c r="A125" t="inlineStr">
        <is>
          <t>Week</t>
        </is>
      </c>
      <c r="B125" t="inlineStr">
        <is>
          <t>FT Procured</t>
        </is>
      </c>
      <c r="C125" t="inlineStr">
        <is>
          <t>Church Coaster</t>
        </is>
      </c>
      <c r="D125" t="inlineStr">
        <is>
          <t>EV/TATA</t>
        </is>
      </c>
      <c r="E125" t="inlineStr">
        <is>
          <t>WSF Procured</t>
        </is>
      </c>
      <c r="G125" t="inlineStr">
        <is>
          <t>FT Procured</t>
        </is>
      </c>
      <c r="H125" t="inlineStr">
        <is>
          <t>Church Coaster</t>
        </is>
      </c>
      <c r="I125" t="inlineStr">
        <is>
          <t>EV/TATA</t>
        </is>
      </c>
      <c r="J125" t="inlineStr">
        <is>
          <t>WSF Procured</t>
        </is>
      </c>
      <c r="K125" t="inlineStr">
        <is>
          <t>Seat utilisation</t>
        </is>
      </c>
    </row>
    <row r="126">
      <c r="A126">
        <f>IF(B33="","",TEXT(B33,"dd mmm"))</f>
        <v/>
      </c>
      <c r="B126">
        <f>IF(B33="",0,SUMIFS(DATA_TRANSPORT!$Q:$Q,DATA_TRANSPORT!$A:$A,B33,DATA_TRANSPORT!$E:$E,$B$6,DATA_TRANSPORT!$AD:$AD,$B$7,DATA_TRANSPORT!$C:$C,"FT Procured"))</f>
        <v/>
      </c>
      <c r="C126">
        <f>IF(B33="",0,SUMIFS(DATA_TRANSPORT!$Q:$Q,DATA_TRANSPORT!$A:$A,B33,DATA_TRANSPORT!$E:$E,$B$6,DATA_TRANSPORT!$AD:$AD,$B$7,DATA_TRANSPORT!$C:$C,"Church Coaster"))</f>
        <v/>
      </c>
      <c r="D126">
        <f>IF(B33="",0,SUMIFS(DATA_TRANSPORT!$Q:$Q,DATA_TRANSPORT!$A:$A,B33,DATA_TRANSPORT!$E:$E,$B$6,DATA_TRANSPORT!$AD:$AD,$B$7,DATA_TRANSPORT!$C:$C,"EV/TATA"))</f>
        <v/>
      </c>
      <c r="E126">
        <f>IF(B33="",0,SUMIFS(DATA_TRANSPORT!$Q:$Q,DATA_TRANSPORT!$A:$A,B33,DATA_TRANSPORT!$E:$E,$B$6,DATA_TRANSPORT!$AD:$AD,$B$7,DATA_TRANSPORT!$C:$C,"WSF Procured"))</f>
        <v/>
      </c>
      <c r="G126">
        <f>IF(B33="",0,SUMIFS(DATA_TRANSPORT!$T:$T,DATA_TRANSPORT!$A:$A,B33,DATA_TRANSPORT!$E:$E,$B$6,DATA_TRANSPORT!$AD:$AD,$B$7,DATA_TRANSPORT!$C:$C,"FT Procured"))</f>
        <v/>
      </c>
      <c r="H126">
        <f>IF(B33="",0,SUMIFS(DATA_TRANSPORT!$T:$T,DATA_TRANSPORT!$A:$A,B33,DATA_TRANSPORT!$E:$E,$B$6,DATA_TRANSPORT!$AD:$AD,$B$7,DATA_TRANSPORT!$C:$C,"Church Coaster")+IF($B$17,0,SUMIFS(DATA_TRANSPORT_COSTS!$M:$M,DATA_TRANSPORT_COSTS!$A:$A,B33,DATA_TRANSPORT_COSTS!$D:$D,$B$6)))</f>
        <v/>
      </c>
      <c r="I126">
        <f>IF(B33="",0,SUMIFS(DATA_TRANSPORT!$T:$T,DATA_TRANSPORT!$A:$A,B33,DATA_TRANSPORT!$E:$E,$B$6,DATA_TRANSPORT!$AD:$AD,$B$7,DATA_TRANSPORT!$C:$C,"EV/TATA"))</f>
        <v/>
      </c>
      <c r="J126">
        <f>IF(B33="",0,SUMIFS(DATA_TRANSPORT!$T:$T,DATA_TRANSPORT!$A:$A,B33,DATA_TRANSPORT!$E:$E,$B$6,DATA_TRANSPORT!$AD:$AD,$B$7,DATA_TRANSPORT!$C:$C,"WSF Procured"))</f>
        <v/>
      </c>
      <c r="K126">
        <f>X33</f>
        <v/>
      </c>
    </row>
    <row r="127">
      <c r="A127">
        <f>IF(B32="","",TEXT(B32,"dd mmm"))</f>
        <v/>
      </c>
      <c r="B127">
        <f>IF(B32="",0,SUMIFS(DATA_TRANSPORT!$Q:$Q,DATA_TRANSPORT!$A:$A,B32,DATA_TRANSPORT!$E:$E,$B$6,DATA_TRANSPORT!$AD:$AD,$B$7,DATA_TRANSPORT!$C:$C,"FT Procured"))</f>
        <v/>
      </c>
      <c r="C127">
        <f>IF(B32="",0,SUMIFS(DATA_TRANSPORT!$Q:$Q,DATA_TRANSPORT!$A:$A,B32,DATA_TRANSPORT!$E:$E,$B$6,DATA_TRANSPORT!$AD:$AD,$B$7,DATA_TRANSPORT!$C:$C,"Church Coaster"))</f>
        <v/>
      </c>
      <c r="D127">
        <f>IF(B32="",0,SUMIFS(DATA_TRANSPORT!$Q:$Q,DATA_TRANSPORT!$A:$A,B32,DATA_TRANSPORT!$E:$E,$B$6,DATA_TRANSPORT!$AD:$AD,$B$7,DATA_TRANSPORT!$C:$C,"EV/TATA"))</f>
        <v/>
      </c>
      <c r="E127">
        <f>IF(B32="",0,SUMIFS(DATA_TRANSPORT!$Q:$Q,DATA_TRANSPORT!$A:$A,B32,DATA_TRANSPORT!$E:$E,$B$6,DATA_TRANSPORT!$AD:$AD,$B$7,DATA_TRANSPORT!$C:$C,"WSF Procured"))</f>
        <v/>
      </c>
      <c r="G127">
        <f>IF(B32="",0,SUMIFS(DATA_TRANSPORT!$T:$T,DATA_TRANSPORT!$A:$A,B32,DATA_TRANSPORT!$E:$E,$B$6,DATA_TRANSPORT!$AD:$AD,$B$7,DATA_TRANSPORT!$C:$C,"FT Procured"))</f>
        <v/>
      </c>
      <c r="H127">
        <f>IF(B32="",0,SUMIFS(DATA_TRANSPORT!$T:$T,DATA_TRANSPORT!$A:$A,B32,DATA_TRANSPORT!$E:$E,$B$6,DATA_TRANSPORT!$AD:$AD,$B$7,DATA_TRANSPORT!$C:$C,"Church Coaster")+IF($B$17,0,SUMIFS(DATA_TRANSPORT_COSTS!$M:$M,DATA_TRANSPORT_COSTS!$A:$A,B32,DATA_TRANSPORT_COSTS!$D:$D,$B$6)))</f>
        <v/>
      </c>
      <c r="I127">
        <f>IF(B32="",0,SUMIFS(DATA_TRANSPORT!$T:$T,DATA_TRANSPORT!$A:$A,B32,DATA_TRANSPORT!$E:$E,$B$6,DATA_TRANSPORT!$AD:$AD,$B$7,DATA_TRANSPORT!$C:$C,"EV/TATA"))</f>
        <v/>
      </c>
      <c r="J127">
        <f>IF(B32="",0,SUMIFS(DATA_TRANSPORT!$T:$T,DATA_TRANSPORT!$A:$A,B32,DATA_TRANSPORT!$E:$E,$B$6,DATA_TRANSPORT!$AD:$AD,$B$7,DATA_TRANSPORT!$C:$C,"WSF Procured"))</f>
        <v/>
      </c>
      <c r="K127">
        <f>X32</f>
        <v/>
      </c>
    </row>
    <row r="128">
      <c r="A128">
        <f>IF(B31="","",TEXT(B31,"dd mmm"))</f>
        <v/>
      </c>
      <c r="B128">
        <f>IF(B31="",0,SUMIFS(DATA_TRANSPORT!$Q:$Q,DATA_TRANSPORT!$A:$A,B31,DATA_TRANSPORT!$E:$E,$B$6,DATA_TRANSPORT!$AD:$AD,$B$7,DATA_TRANSPORT!$C:$C,"FT Procured"))</f>
        <v/>
      </c>
      <c r="C128">
        <f>IF(B31="",0,SUMIFS(DATA_TRANSPORT!$Q:$Q,DATA_TRANSPORT!$A:$A,B31,DATA_TRANSPORT!$E:$E,$B$6,DATA_TRANSPORT!$AD:$AD,$B$7,DATA_TRANSPORT!$C:$C,"Church Coaster"))</f>
        <v/>
      </c>
      <c r="D128">
        <f>IF(B31="",0,SUMIFS(DATA_TRANSPORT!$Q:$Q,DATA_TRANSPORT!$A:$A,B31,DATA_TRANSPORT!$E:$E,$B$6,DATA_TRANSPORT!$AD:$AD,$B$7,DATA_TRANSPORT!$C:$C,"EV/TATA"))</f>
        <v/>
      </c>
      <c r="E128">
        <f>IF(B31="",0,SUMIFS(DATA_TRANSPORT!$Q:$Q,DATA_TRANSPORT!$A:$A,B31,DATA_TRANSPORT!$E:$E,$B$6,DATA_TRANSPORT!$AD:$AD,$B$7,DATA_TRANSPORT!$C:$C,"WSF Procured"))</f>
        <v/>
      </c>
      <c r="G128">
        <f>IF(B31="",0,SUMIFS(DATA_TRANSPORT!$T:$T,DATA_TRANSPORT!$A:$A,B31,DATA_TRANSPORT!$E:$E,$B$6,DATA_TRANSPORT!$AD:$AD,$B$7,DATA_TRANSPORT!$C:$C,"FT Procured"))</f>
        <v/>
      </c>
      <c r="H128">
        <f>IF(B31="",0,SUMIFS(DATA_TRANSPORT!$T:$T,DATA_TRANSPORT!$A:$A,B31,DATA_TRANSPORT!$E:$E,$B$6,DATA_TRANSPORT!$AD:$AD,$B$7,DATA_TRANSPORT!$C:$C,"Church Coaster")+IF($B$17,0,SUMIFS(DATA_TRANSPORT_COSTS!$M:$M,DATA_TRANSPORT_COSTS!$A:$A,B31,DATA_TRANSPORT_COSTS!$D:$D,$B$6)))</f>
        <v/>
      </c>
      <c r="I128">
        <f>IF(B31="",0,SUMIFS(DATA_TRANSPORT!$T:$T,DATA_TRANSPORT!$A:$A,B31,DATA_TRANSPORT!$E:$E,$B$6,DATA_TRANSPORT!$AD:$AD,$B$7,DATA_TRANSPORT!$C:$C,"EV/TATA"))</f>
        <v/>
      </c>
      <c r="J128">
        <f>IF(B31="",0,SUMIFS(DATA_TRANSPORT!$T:$T,DATA_TRANSPORT!$A:$A,B31,DATA_TRANSPORT!$E:$E,$B$6,DATA_TRANSPORT!$AD:$AD,$B$7,DATA_TRANSPORT!$C:$C,"WSF Procured"))</f>
        <v/>
      </c>
      <c r="K128">
        <f>X31</f>
        <v/>
      </c>
    </row>
    <row r="129">
      <c r="A129">
        <f>IF(B30="","",TEXT(B30,"dd mmm"))</f>
        <v/>
      </c>
      <c r="B129">
        <f>IF(B30="",0,SUMIFS(DATA_TRANSPORT!$Q:$Q,DATA_TRANSPORT!$A:$A,B30,DATA_TRANSPORT!$E:$E,$B$6,DATA_TRANSPORT!$AD:$AD,$B$7,DATA_TRANSPORT!$C:$C,"FT Procured"))</f>
        <v/>
      </c>
      <c r="C129">
        <f>IF(B30="",0,SUMIFS(DATA_TRANSPORT!$Q:$Q,DATA_TRANSPORT!$A:$A,B30,DATA_TRANSPORT!$E:$E,$B$6,DATA_TRANSPORT!$AD:$AD,$B$7,DATA_TRANSPORT!$C:$C,"Church Coaster"))</f>
        <v/>
      </c>
      <c r="D129">
        <f>IF(B30="",0,SUMIFS(DATA_TRANSPORT!$Q:$Q,DATA_TRANSPORT!$A:$A,B30,DATA_TRANSPORT!$E:$E,$B$6,DATA_TRANSPORT!$AD:$AD,$B$7,DATA_TRANSPORT!$C:$C,"EV/TATA"))</f>
        <v/>
      </c>
      <c r="E129">
        <f>IF(B30="",0,SUMIFS(DATA_TRANSPORT!$Q:$Q,DATA_TRANSPORT!$A:$A,B30,DATA_TRANSPORT!$E:$E,$B$6,DATA_TRANSPORT!$AD:$AD,$B$7,DATA_TRANSPORT!$C:$C,"WSF Procured"))</f>
        <v/>
      </c>
      <c r="G129">
        <f>IF(B30="",0,SUMIFS(DATA_TRANSPORT!$T:$T,DATA_TRANSPORT!$A:$A,B30,DATA_TRANSPORT!$E:$E,$B$6,DATA_TRANSPORT!$AD:$AD,$B$7,DATA_TRANSPORT!$C:$C,"FT Procured"))</f>
        <v/>
      </c>
      <c r="H129">
        <f>IF(B30="",0,SUMIFS(DATA_TRANSPORT!$T:$T,DATA_TRANSPORT!$A:$A,B30,DATA_TRANSPORT!$E:$E,$B$6,DATA_TRANSPORT!$AD:$AD,$B$7,DATA_TRANSPORT!$C:$C,"Church Coaster")+IF($B$17,0,SUMIFS(DATA_TRANSPORT_COSTS!$M:$M,DATA_TRANSPORT_COSTS!$A:$A,B30,DATA_TRANSPORT_COSTS!$D:$D,$B$6)))</f>
        <v/>
      </c>
      <c r="I129">
        <f>IF(B30="",0,SUMIFS(DATA_TRANSPORT!$T:$T,DATA_TRANSPORT!$A:$A,B30,DATA_TRANSPORT!$E:$E,$B$6,DATA_TRANSPORT!$AD:$AD,$B$7,DATA_TRANSPORT!$C:$C,"EV/TATA"))</f>
        <v/>
      </c>
      <c r="J129">
        <f>IF(B30="",0,SUMIFS(DATA_TRANSPORT!$T:$T,DATA_TRANSPORT!$A:$A,B30,DATA_TRANSPORT!$E:$E,$B$6,DATA_TRANSPORT!$AD:$AD,$B$7,DATA_TRANSPORT!$C:$C,"WSF Procured"))</f>
        <v/>
      </c>
      <c r="K129">
        <f>X30</f>
        <v/>
      </c>
    </row>
    <row r="130">
      <c r="A130">
        <f>IF(B29="","",TEXT(B29,"dd mmm"))</f>
        <v/>
      </c>
      <c r="B130">
        <f>IF(B29="",0,SUMIFS(DATA_TRANSPORT!$Q:$Q,DATA_TRANSPORT!$A:$A,B29,DATA_TRANSPORT!$E:$E,$B$6,DATA_TRANSPORT!$AD:$AD,$B$7,DATA_TRANSPORT!$C:$C,"FT Procured"))</f>
        <v/>
      </c>
      <c r="C130">
        <f>IF(B29="",0,SUMIFS(DATA_TRANSPORT!$Q:$Q,DATA_TRANSPORT!$A:$A,B29,DATA_TRANSPORT!$E:$E,$B$6,DATA_TRANSPORT!$AD:$AD,$B$7,DATA_TRANSPORT!$C:$C,"Church Coaster"))</f>
        <v/>
      </c>
      <c r="D130">
        <f>IF(B29="",0,SUMIFS(DATA_TRANSPORT!$Q:$Q,DATA_TRANSPORT!$A:$A,B29,DATA_TRANSPORT!$E:$E,$B$6,DATA_TRANSPORT!$AD:$AD,$B$7,DATA_TRANSPORT!$C:$C,"EV/TATA"))</f>
        <v/>
      </c>
      <c r="E130">
        <f>IF(B29="",0,SUMIFS(DATA_TRANSPORT!$Q:$Q,DATA_TRANSPORT!$A:$A,B29,DATA_TRANSPORT!$E:$E,$B$6,DATA_TRANSPORT!$AD:$AD,$B$7,DATA_TRANSPORT!$C:$C,"WSF Procured"))</f>
        <v/>
      </c>
      <c r="G130">
        <f>IF(B29="",0,SUMIFS(DATA_TRANSPORT!$T:$T,DATA_TRANSPORT!$A:$A,B29,DATA_TRANSPORT!$E:$E,$B$6,DATA_TRANSPORT!$AD:$AD,$B$7,DATA_TRANSPORT!$C:$C,"FT Procured"))</f>
        <v/>
      </c>
      <c r="H130">
        <f>IF(B29="",0,SUMIFS(DATA_TRANSPORT!$T:$T,DATA_TRANSPORT!$A:$A,B29,DATA_TRANSPORT!$E:$E,$B$6,DATA_TRANSPORT!$AD:$AD,$B$7,DATA_TRANSPORT!$C:$C,"Church Coaster")+IF($B$17,0,SUMIFS(DATA_TRANSPORT_COSTS!$M:$M,DATA_TRANSPORT_COSTS!$A:$A,B29,DATA_TRANSPORT_COSTS!$D:$D,$B$6)))</f>
        <v/>
      </c>
      <c r="I130">
        <f>IF(B29="",0,SUMIFS(DATA_TRANSPORT!$T:$T,DATA_TRANSPORT!$A:$A,B29,DATA_TRANSPORT!$E:$E,$B$6,DATA_TRANSPORT!$AD:$AD,$B$7,DATA_TRANSPORT!$C:$C,"EV/TATA"))</f>
        <v/>
      </c>
      <c r="J130">
        <f>IF(B29="",0,SUMIFS(DATA_TRANSPORT!$T:$T,DATA_TRANSPORT!$A:$A,B29,DATA_TRANSPORT!$E:$E,$B$6,DATA_TRANSPORT!$AD:$AD,$B$7,DATA_TRANSPORT!$C:$C,"WSF Procured"))</f>
        <v/>
      </c>
      <c r="K130">
        <f>X29</f>
        <v/>
      </c>
    </row>
    <row r="131">
      <c r="A131">
        <f>IF(B28="","",TEXT(B28,"dd mmm"))</f>
        <v/>
      </c>
      <c r="B131">
        <f>IF(B28="",0,SUMIFS(DATA_TRANSPORT!$Q:$Q,DATA_TRANSPORT!$A:$A,B28,DATA_TRANSPORT!$E:$E,$B$6,DATA_TRANSPORT!$AD:$AD,$B$7,DATA_TRANSPORT!$C:$C,"FT Procured"))</f>
        <v/>
      </c>
      <c r="C131">
        <f>IF(B28="",0,SUMIFS(DATA_TRANSPORT!$Q:$Q,DATA_TRANSPORT!$A:$A,B28,DATA_TRANSPORT!$E:$E,$B$6,DATA_TRANSPORT!$AD:$AD,$B$7,DATA_TRANSPORT!$C:$C,"Church Coaster"))</f>
        <v/>
      </c>
      <c r="D131">
        <f>IF(B28="",0,SUMIFS(DATA_TRANSPORT!$Q:$Q,DATA_TRANSPORT!$A:$A,B28,DATA_TRANSPORT!$E:$E,$B$6,DATA_TRANSPORT!$AD:$AD,$B$7,DATA_TRANSPORT!$C:$C,"EV/TATA"))</f>
        <v/>
      </c>
      <c r="E131">
        <f>IF(B28="",0,SUMIFS(DATA_TRANSPORT!$Q:$Q,DATA_TRANSPORT!$A:$A,B28,DATA_TRANSPORT!$E:$E,$B$6,DATA_TRANSPORT!$AD:$AD,$B$7,DATA_TRANSPORT!$C:$C,"WSF Procured"))</f>
        <v/>
      </c>
      <c r="G131">
        <f>IF(B28="",0,SUMIFS(DATA_TRANSPORT!$T:$T,DATA_TRANSPORT!$A:$A,B28,DATA_TRANSPORT!$E:$E,$B$6,DATA_TRANSPORT!$AD:$AD,$B$7,DATA_TRANSPORT!$C:$C,"FT Procured"))</f>
        <v/>
      </c>
      <c r="H131">
        <f>IF(B28="",0,SUMIFS(DATA_TRANSPORT!$T:$T,DATA_TRANSPORT!$A:$A,B28,DATA_TRANSPORT!$E:$E,$B$6,DATA_TRANSPORT!$AD:$AD,$B$7,DATA_TRANSPORT!$C:$C,"Church Coaster")+IF($B$17,0,SUMIFS(DATA_TRANSPORT_COSTS!$M:$M,DATA_TRANSPORT_COSTS!$A:$A,B28,DATA_TRANSPORT_COSTS!$D:$D,$B$6)))</f>
        <v/>
      </c>
      <c r="I131">
        <f>IF(B28="",0,SUMIFS(DATA_TRANSPORT!$T:$T,DATA_TRANSPORT!$A:$A,B28,DATA_TRANSPORT!$E:$E,$B$6,DATA_TRANSPORT!$AD:$AD,$B$7,DATA_TRANSPORT!$C:$C,"EV/TATA"))</f>
        <v/>
      </c>
      <c r="J131">
        <f>IF(B28="",0,SUMIFS(DATA_TRANSPORT!$T:$T,DATA_TRANSPORT!$A:$A,B28,DATA_TRANSPORT!$E:$E,$B$6,DATA_TRANSPORT!$AD:$AD,$B$7,DATA_TRANSPORT!$C:$C,"WSF Procured"))</f>
        <v/>
      </c>
      <c r="K131">
        <f>X28</f>
        <v/>
      </c>
    </row>
    <row r="132">
      <c r="A132">
        <f>IF(B27="","",TEXT(B27,"dd mmm"))</f>
        <v/>
      </c>
      <c r="B132">
        <f>IF(B27="",0,SUMIFS(DATA_TRANSPORT!$Q:$Q,DATA_TRANSPORT!$A:$A,B27,DATA_TRANSPORT!$E:$E,$B$6,DATA_TRANSPORT!$AD:$AD,$B$7,DATA_TRANSPORT!$C:$C,"FT Procured"))</f>
        <v/>
      </c>
      <c r="C132">
        <f>IF(B27="",0,SUMIFS(DATA_TRANSPORT!$Q:$Q,DATA_TRANSPORT!$A:$A,B27,DATA_TRANSPORT!$E:$E,$B$6,DATA_TRANSPORT!$AD:$AD,$B$7,DATA_TRANSPORT!$C:$C,"Church Coaster"))</f>
        <v/>
      </c>
      <c r="D132">
        <f>IF(B27="",0,SUMIFS(DATA_TRANSPORT!$Q:$Q,DATA_TRANSPORT!$A:$A,B27,DATA_TRANSPORT!$E:$E,$B$6,DATA_TRANSPORT!$AD:$AD,$B$7,DATA_TRANSPORT!$C:$C,"EV/TATA"))</f>
        <v/>
      </c>
      <c r="E132">
        <f>IF(B27="",0,SUMIFS(DATA_TRANSPORT!$Q:$Q,DATA_TRANSPORT!$A:$A,B27,DATA_TRANSPORT!$E:$E,$B$6,DATA_TRANSPORT!$AD:$AD,$B$7,DATA_TRANSPORT!$C:$C,"WSF Procured"))</f>
        <v/>
      </c>
      <c r="G132">
        <f>IF(B27="",0,SUMIFS(DATA_TRANSPORT!$T:$T,DATA_TRANSPORT!$A:$A,B27,DATA_TRANSPORT!$E:$E,$B$6,DATA_TRANSPORT!$AD:$AD,$B$7,DATA_TRANSPORT!$C:$C,"FT Procured"))</f>
        <v/>
      </c>
      <c r="H132">
        <f>IF(B27="",0,SUMIFS(DATA_TRANSPORT!$T:$T,DATA_TRANSPORT!$A:$A,B27,DATA_TRANSPORT!$E:$E,$B$6,DATA_TRANSPORT!$AD:$AD,$B$7,DATA_TRANSPORT!$C:$C,"Church Coaster")+IF($B$17,0,SUMIFS(DATA_TRANSPORT_COSTS!$M:$M,DATA_TRANSPORT_COSTS!$A:$A,B27,DATA_TRANSPORT_COSTS!$D:$D,$B$6)))</f>
        <v/>
      </c>
      <c r="I132">
        <f>IF(B27="",0,SUMIFS(DATA_TRANSPORT!$T:$T,DATA_TRANSPORT!$A:$A,B27,DATA_TRANSPORT!$E:$E,$B$6,DATA_TRANSPORT!$AD:$AD,$B$7,DATA_TRANSPORT!$C:$C,"EV/TATA"))</f>
        <v/>
      </c>
      <c r="J132">
        <f>IF(B27="",0,SUMIFS(DATA_TRANSPORT!$T:$T,DATA_TRANSPORT!$A:$A,B27,DATA_TRANSPORT!$E:$E,$B$6,DATA_TRANSPORT!$AD:$AD,$B$7,DATA_TRANSPORT!$C:$C,"WSF Procured"))</f>
        <v/>
      </c>
      <c r="K132">
        <f>X27</f>
        <v/>
      </c>
    </row>
    <row r="133">
      <c r="A133">
        <f>IF(B26="","",TEXT(B26,"dd mmm"))</f>
        <v/>
      </c>
      <c r="B133">
        <f>IF(B26="",0,SUMIFS(DATA_TRANSPORT!$Q:$Q,DATA_TRANSPORT!$A:$A,B26,DATA_TRANSPORT!$E:$E,$B$6,DATA_TRANSPORT!$AD:$AD,$B$7,DATA_TRANSPORT!$C:$C,"FT Procured"))</f>
        <v/>
      </c>
      <c r="C133">
        <f>IF(B26="",0,SUMIFS(DATA_TRANSPORT!$Q:$Q,DATA_TRANSPORT!$A:$A,B26,DATA_TRANSPORT!$E:$E,$B$6,DATA_TRANSPORT!$AD:$AD,$B$7,DATA_TRANSPORT!$C:$C,"Church Coaster"))</f>
        <v/>
      </c>
      <c r="D133">
        <f>IF(B26="",0,SUMIFS(DATA_TRANSPORT!$Q:$Q,DATA_TRANSPORT!$A:$A,B26,DATA_TRANSPORT!$E:$E,$B$6,DATA_TRANSPORT!$AD:$AD,$B$7,DATA_TRANSPORT!$C:$C,"EV/TATA"))</f>
        <v/>
      </c>
      <c r="E133">
        <f>IF(B26="",0,SUMIFS(DATA_TRANSPORT!$Q:$Q,DATA_TRANSPORT!$A:$A,B26,DATA_TRANSPORT!$E:$E,$B$6,DATA_TRANSPORT!$AD:$AD,$B$7,DATA_TRANSPORT!$C:$C,"WSF Procured"))</f>
        <v/>
      </c>
      <c r="G133">
        <f>IF(B26="",0,SUMIFS(DATA_TRANSPORT!$T:$T,DATA_TRANSPORT!$A:$A,B26,DATA_TRANSPORT!$E:$E,$B$6,DATA_TRANSPORT!$AD:$AD,$B$7,DATA_TRANSPORT!$C:$C,"FT Procured"))</f>
        <v/>
      </c>
      <c r="H133">
        <f>IF(B26="",0,SUMIFS(DATA_TRANSPORT!$T:$T,DATA_TRANSPORT!$A:$A,B26,DATA_TRANSPORT!$E:$E,$B$6,DATA_TRANSPORT!$AD:$AD,$B$7,DATA_TRANSPORT!$C:$C,"Church Coaster")+IF($B$17,0,SUMIFS(DATA_TRANSPORT_COSTS!$M:$M,DATA_TRANSPORT_COSTS!$A:$A,B26,DATA_TRANSPORT_COSTS!$D:$D,$B$6)))</f>
        <v/>
      </c>
      <c r="I133">
        <f>IF(B26="",0,SUMIFS(DATA_TRANSPORT!$T:$T,DATA_TRANSPORT!$A:$A,B26,DATA_TRANSPORT!$E:$E,$B$6,DATA_TRANSPORT!$AD:$AD,$B$7,DATA_TRANSPORT!$C:$C,"EV/TATA"))</f>
        <v/>
      </c>
      <c r="J133">
        <f>IF(B26="",0,SUMIFS(DATA_TRANSPORT!$T:$T,DATA_TRANSPORT!$A:$A,B26,DATA_TRANSPORT!$E:$E,$B$6,DATA_TRANSPORT!$AD:$AD,$B$7,DATA_TRANSPORT!$C:$C,"WSF Procured"))</f>
        <v/>
      </c>
      <c r="K133">
        <f>X26</f>
        <v/>
      </c>
    </row>
    <row r="134">
      <c r="A134">
        <f>IF(B25="","",TEXT(B25,"dd mmm"))</f>
        <v/>
      </c>
      <c r="B134">
        <f>IF(B25="",0,SUMIFS(DATA_TRANSPORT!$Q:$Q,DATA_TRANSPORT!$A:$A,B25,DATA_TRANSPORT!$E:$E,$B$6,DATA_TRANSPORT!$AD:$AD,$B$7,DATA_TRANSPORT!$C:$C,"FT Procured"))</f>
        <v/>
      </c>
      <c r="C134">
        <f>IF(B25="",0,SUMIFS(DATA_TRANSPORT!$Q:$Q,DATA_TRANSPORT!$A:$A,B25,DATA_TRANSPORT!$E:$E,$B$6,DATA_TRANSPORT!$AD:$AD,$B$7,DATA_TRANSPORT!$C:$C,"Church Coaster"))</f>
        <v/>
      </c>
      <c r="D134">
        <f>IF(B25="",0,SUMIFS(DATA_TRANSPORT!$Q:$Q,DATA_TRANSPORT!$A:$A,B25,DATA_TRANSPORT!$E:$E,$B$6,DATA_TRANSPORT!$AD:$AD,$B$7,DATA_TRANSPORT!$C:$C,"EV/TATA"))</f>
        <v/>
      </c>
      <c r="E134">
        <f>IF(B25="",0,SUMIFS(DATA_TRANSPORT!$Q:$Q,DATA_TRANSPORT!$A:$A,B25,DATA_TRANSPORT!$E:$E,$B$6,DATA_TRANSPORT!$AD:$AD,$B$7,DATA_TRANSPORT!$C:$C,"WSF Procured"))</f>
        <v/>
      </c>
      <c r="G134">
        <f>IF(B25="",0,SUMIFS(DATA_TRANSPORT!$T:$T,DATA_TRANSPORT!$A:$A,B25,DATA_TRANSPORT!$E:$E,$B$6,DATA_TRANSPORT!$AD:$AD,$B$7,DATA_TRANSPORT!$C:$C,"FT Procured"))</f>
        <v/>
      </c>
      <c r="H134">
        <f>IF(B25="",0,SUMIFS(DATA_TRANSPORT!$T:$T,DATA_TRANSPORT!$A:$A,B25,DATA_TRANSPORT!$E:$E,$B$6,DATA_TRANSPORT!$AD:$AD,$B$7,DATA_TRANSPORT!$C:$C,"Church Coaster")+IF($B$17,0,SUMIFS(DATA_TRANSPORT_COSTS!$M:$M,DATA_TRANSPORT_COSTS!$A:$A,B25,DATA_TRANSPORT_COSTS!$D:$D,$B$6)))</f>
        <v/>
      </c>
      <c r="I134">
        <f>IF(B25="",0,SUMIFS(DATA_TRANSPORT!$T:$T,DATA_TRANSPORT!$A:$A,B25,DATA_TRANSPORT!$E:$E,$B$6,DATA_TRANSPORT!$AD:$AD,$B$7,DATA_TRANSPORT!$C:$C,"EV/TATA"))</f>
        <v/>
      </c>
      <c r="J134">
        <f>IF(B25="",0,SUMIFS(DATA_TRANSPORT!$T:$T,DATA_TRANSPORT!$A:$A,B25,DATA_TRANSPORT!$E:$E,$B$6,DATA_TRANSPORT!$AD:$AD,$B$7,DATA_TRANSPORT!$C:$C,"WSF Procured"))</f>
        <v/>
      </c>
      <c r="K134">
        <f>X25</f>
        <v/>
      </c>
    </row>
    <row r="135">
      <c r="A135">
        <f>IF(B24="","",TEXT(B24,"dd mmm"))</f>
        <v/>
      </c>
      <c r="B135">
        <f>IF(B24="",0,SUMIFS(DATA_TRANSPORT!$Q:$Q,DATA_TRANSPORT!$A:$A,B24,DATA_TRANSPORT!$E:$E,$B$6,DATA_TRANSPORT!$AD:$AD,$B$7,DATA_TRANSPORT!$C:$C,"FT Procured"))</f>
        <v/>
      </c>
      <c r="C135">
        <f>IF(B24="",0,SUMIFS(DATA_TRANSPORT!$Q:$Q,DATA_TRANSPORT!$A:$A,B24,DATA_TRANSPORT!$E:$E,$B$6,DATA_TRANSPORT!$AD:$AD,$B$7,DATA_TRANSPORT!$C:$C,"Church Coaster"))</f>
        <v/>
      </c>
      <c r="D135">
        <f>IF(B24="",0,SUMIFS(DATA_TRANSPORT!$Q:$Q,DATA_TRANSPORT!$A:$A,B24,DATA_TRANSPORT!$E:$E,$B$6,DATA_TRANSPORT!$AD:$AD,$B$7,DATA_TRANSPORT!$C:$C,"EV/TATA"))</f>
        <v/>
      </c>
      <c r="E135">
        <f>IF(B24="",0,SUMIFS(DATA_TRANSPORT!$Q:$Q,DATA_TRANSPORT!$A:$A,B24,DATA_TRANSPORT!$E:$E,$B$6,DATA_TRANSPORT!$AD:$AD,$B$7,DATA_TRANSPORT!$C:$C,"WSF Procured"))</f>
        <v/>
      </c>
      <c r="G135">
        <f>IF(B24="",0,SUMIFS(DATA_TRANSPORT!$T:$T,DATA_TRANSPORT!$A:$A,B24,DATA_TRANSPORT!$E:$E,$B$6,DATA_TRANSPORT!$AD:$AD,$B$7,DATA_TRANSPORT!$C:$C,"FT Procured"))</f>
        <v/>
      </c>
      <c r="H135">
        <f>IF(B24="",0,SUMIFS(DATA_TRANSPORT!$T:$T,DATA_TRANSPORT!$A:$A,B24,DATA_TRANSPORT!$E:$E,$B$6,DATA_TRANSPORT!$AD:$AD,$B$7,DATA_TRANSPORT!$C:$C,"Church Coaster")+IF($B$17,0,SUMIFS(DATA_TRANSPORT_COSTS!$M:$M,DATA_TRANSPORT_COSTS!$A:$A,B24,DATA_TRANSPORT_COSTS!$D:$D,$B$6)))</f>
        <v/>
      </c>
      <c r="I135">
        <f>IF(B24="",0,SUMIFS(DATA_TRANSPORT!$T:$T,DATA_TRANSPORT!$A:$A,B24,DATA_TRANSPORT!$E:$E,$B$6,DATA_TRANSPORT!$AD:$AD,$B$7,DATA_TRANSPORT!$C:$C,"EV/TATA"))</f>
        <v/>
      </c>
      <c r="J135">
        <f>IF(B24="",0,SUMIFS(DATA_TRANSPORT!$T:$T,DATA_TRANSPORT!$A:$A,B24,DATA_TRANSPORT!$E:$E,$B$6,DATA_TRANSPORT!$AD:$AD,$B$7,DATA_TRANSPORT!$C:$C,"WSF Procured"))</f>
        <v/>
      </c>
      <c r="K135">
        <f>X24</f>
        <v/>
      </c>
    </row>
    <row r="136">
      <c r="A136">
        <f>IF(B23="","",TEXT(B23,"dd mmm"))</f>
        <v/>
      </c>
      <c r="B136">
        <f>IF(B23="",0,SUMIFS(DATA_TRANSPORT!$Q:$Q,DATA_TRANSPORT!$A:$A,B23,DATA_TRANSPORT!$E:$E,$B$6,DATA_TRANSPORT!$AD:$AD,$B$7,DATA_TRANSPORT!$C:$C,"FT Procured"))</f>
        <v/>
      </c>
      <c r="C136">
        <f>IF(B23="",0,SUMIFS(DATA_TRANSPORT!$Q:$Q,DATA_TRANSPORT!$A:$A,B23,DATA_TRANSPORT!$E:$E,$B$6,DATA_TRANSPORT!$AD:$AD,$B$7,DATA_TRANSPORT!$C:$C,"Church Coaster"))</f>
        <v/>
      </c>
      <c r="D136">
        <f>IF(B23="",0,SUMIFS(DATA_TRANSPORT!$Q:$Q,DATA_TRANSPORT!$A:$A,B23,DATA_TRANSPORT!$E:$E,$B$6,DATA_TRANSPORT!$AD:$AD,$B$7,DATA_TRANSPORT!$C:$C,"EV/TATA"))</f>
        <v/>
      </c>
      <c r="E136">
        <f>IF(B23="",0,SUMIFS(DATA_TRANSPORT!$Q:$Q,DATA_TRANSPORT!$A:$A,B23,DATA_TRANSPORT!$E:$E,$B$6,DATA_TRANSPORT!$AD:$AD,$B$7,DATA_TRANSPORT!$C:$C,"WSF Procured"))</f>
        <v/>
      </c>
      <c r="G136">
        <f>IF(B23="",0,SUMIFS(DATA_TRANSPORT!$T:$T,DATA_TRANSPORT!$A:$A,B23,DATA_TRANSPORT!$E:$E,$B$6,DATA_TRANSPORT!$AD:$AD,$B$7,DATA_TRANSPORT!$C:$C,"FT Procured"))</f>
        <v/>
      </c>
      <c r="H136">
        <f>IF(B23="",0,SUMIFS(DATA_TRANSPORT!$T:$T,DATA_TRANSPORT!$A:$A,B23,DATA_TRANSPORT!$E:$E,$B$6,DATA_TRANSPORT!$AD:$AD,$B$7,DATA_TRANSPORT!$C:$C,"Church Coaster")+IF($B$17,0,SUMIFS(DATA_TRANSPORT_COSTS!$M:$M,DATA_TRANSPORT_COSTS!$A:$A,B23,DATA_TRANSPORT_COSTS!$D:$D,$B$6)))</f>
        <v/>
      </c>
      <c r="I136">
        <f>IF(B23="",0,SUMIFS(DATA_TRANSPORT!$T:$T,DATA_TRANSPORT!$A:$A,B23,DATA_TRANSPORT!$E:$E,$B$6,DATA_TRANSPORT!$AD:$AD,$B$7,DATA_TRANSPORT!$C:$C,"EV/TATA"))</f>
        <v/>
      </c>
      <c r="J136">
        <f>IF(B23="",0,SUMIFS(DATA_TRANSPORT!$T:$T,DATA_TRANSPORT!$A:$A,B23,DATA_TRANSPORT!$E:$E,$B$6,DATA_TRANSPORT!$AD:$AD,$B$7,DATA_TRANSPORT!$C:$C,"WSF Procured"))</f>
        <v/>
      </c>
      <c r="K136">
        <f>X23</f>
        <v/>
      </c>
    </row>
    <row r="137">
      <c r="A137">
        <f>IF(B22="","",TEXT(B22,"dd mmm"))</f>
        <v/>
      </c>
      <c r="B137">
        <f>IF(B22="",0,SUMIFS(DATA_TRANSPORT!$Q:$Q,DATA_TRANSPORT!$A:$A,B22,DATA_TRANSPORT!$E:$E,$B$6,DATA_TRANSPORT!$AD:$AD,$B$7,DATA_TRANSPORT!$C:$C,"FT Procured"))</f>
        <v/>
      </c>
      <c r="C137">
        <f>IF(B22="",0,SUMIFS(DATA_TRANSPORT!$Q:$Q,DATA_TRANSPORT!$A:$A,B22,DATA_TRANSPORT!$E:$E,$B$6,DATA_TRANSPORT!$AD:$AD,$B$7,DATA_TRANSPORT!$C:$C,"Church Coaster"))</f>
        <v/>
      </c>
      <c r="D137">
        <f>IF(B22="",0,SUMIFS(DATA_TRANSPORT!$Q:$Q,DATA_TRANSPORT!$A:$A,B22,DATA_TRANSPORT!$E:$E,$B$6,DATA_TRANSPORT!$AD:$AD,$B$7,DATA_TRANSPORT!$C:$C,"EV/TATA"))</f>
        <v/>
      </c>
      <c r="E137">
        <f>IF(B22="",0,SUMIFS(DATA_TRANSPORT!$Q:$Q,DATA_TRANSPORT!$A:$A,B22,DATA_TRANSPORT!$E:$E,$B$6,DATA_TRANSPORT!$AD:$AD,$B$7,DATA_TRANSPORT!$C:$C,"WSF Procured"))</f>
        <v/>
      </c>
      <c r="G137">
        <f>IF(B22="",0,SUMIFS(DATA_TRANSPORT!$T:$T,DATA_TRANSPORT!$A:$A,B22,DATA_TRANSPORT!$E:$E,$B$6,DATA_TRANSPORT!$AD:$AD,$B$7,DATA_TRANSPORT!$C:$C,"FT Procured"))</f>
        <v/>
      </c>
      <c r="H137">
        <f>IF(B22="",0,SUMIFS(DATA_TRANSPORT!$T:$T,DATA_TRANSPORT!$A:$A,B22,DATA_TRANSPORT!$E:$E,$B$6,DATA_TRANSPORT!$AD:$AD,$B$7,DATA_TRANSPORT!$C:$C,"Church Coaster")+IF($B$17,0,SUMIFS(DATA_TRANSPORT_COSTS!$M:$M,DATA_TRANSPORT_COSTS!$A:$A,B22,DATA_TRANSPORT_COSTS!$D:$D,$B$6)))</f>
        <v/>
      </c>
      <c r="I137">
        <f>IF(B22="",0,SUMIFS(DATA_TRANSPORT!$T:$T,DATA_TRANSPORT!$A:$A,B22,DATA_TRANSPORT!$E:$E,$B$6,DATA_TRANSPORT!$AD:$AD,$B$7,DATA_TRANSPORT!$C:$C,"EV/TATA"))</f>
        <v/>
      </c>
      <c r="J137">
        <f>IF(B22="",0,SUMIFS(DATA_TRANSPORT!$T:$T,DATA_TRANSPORT!$A:$A,B22,DATA_TRANSPORT!$E:$E,$B$6,DATA_TRANSPORT!$AD:$AD,$B$7,DATA_TRANSPORT!$C:$C,"WSF Procured"))</f>
        <v/>
      </c>
      <c r="K137">
        <f>X22</f>
        <v/>
      </c>
    </row>
    <row r="138">
      <c r="A138">
        <f>IF(B21="","",TEXT(B21,"dd mmm"))</f>
        <v/>
      </c>
      <c r="B138">
        <f>IF(B21="",0,SUMIFS(DATA_TRANSPORT!$Q:$Q,DATA_TRANSPORT!$A:$A,B21,DATA_TRANSPORT!$E:$E,$B$6,DATA_TRANSPORT!$AD:$AD,$B$7,DATA_TRANSPORT!$C:$C,"FT Procured"))</f>
        <v/>
      </c>
      <c r="C138">
        <f>IF(B21="",0,SUMIFS(DATA_TRANSPORT!$Q:$Q,DATA_TRANSPORT!$A:$A,B21,DATA_TRANSPORT!$E:$E,$B$6,DATA_TRANSPORT!$AD:$AD,$B$7,DATA_TRANSPORT!$C:$C,"Church Coaster"))</f>
        <v/>
      </c>
      <c r="D138">
        <f>IF(B21="",0,SUMIFS(DATA_TRANSPORT!$Q:$Q,DATA_TRANSPORT!$A:$A,B21,DATA_TRANSPORT!$E:$E,$B$6,DATA_TRANSPORT!$AD:$AD,$B$7,DATA_TRANSPORT!$C:$C,"EV/TATA"))</f>
        <v/>
      </c>
      <c r="E138">
        <f>IF(B21="",0,SUMIFS(DATA_TRANSPORT!$Q:$Q,DATA_TRANSPORT!$A:$A,B21,DATA_TRANSPORT!$E:$E,$B$6,DATA_TRANSPORT!$AD:$AD,$B$7,DATA_TRANSPORT!$C:$C,"WSF Procured"))</f>
        <v/>
      </c>
      <c r="G138">
        <f>IF(B21="",0,SUMIFS(DATA_TRANSPORT!$T:$T,DATA_TRANSPORT!$A:$A,B21,DATA_TRANSPORT!$E:$E,$B$6,DATA_TRANSPORT!$AD:$AD,$B$7,DATA_TRANSPORT!$C:$C,"FT Procured"))</f>
        <v/>
      </c>
      <c r="H138">
        <f>IF(B21="",0,SUMIFS(DATA_TRANSPORT!$T:$T,DATA_TRANSPORT!$A:$A,B21,DATA_TRANSPORT!$E:$E,$B$6,DATA_TRANSPORT!$AD:$AD,$B$7,DATA_TRANSPORT!$C:$C,"Church Coaster")+IF($B$17,0,SUMIFS(DATA_TRANSPORT_COSTS!$M:$M,DATA_TRANSPORT_COSTS!$A:$A,B21,DATA_TRANSPORT_COSTS!$D:$D,$B$6)))</f>
        <v/>
      </c>
      <c r="I138">
        <f>IF(B21="",0,SUMIFS(DATA_TRANSPORT!$T:$T,DATA_TRANSPORT!$A:$A,B21,DATA_TRANSPORT!$E:$E,$B$6,DATA_TRANSPORT!$AD:$AD,$B$7,DATA_TRANSPORT!$C:$C,"EV/TATA"))</f>
        <v/>
      </c>
      <c r="J138">
        <f>IF(B21="",0,SUMIFS(DATA_TRANSPORT!$T:$T,DATA_TRANSPORT!$A:$A,B21,DATA_TRANSPORT!$E:$E,$B$6,DATA_TRANSPORT!$AD:$AD,$B$7,DATA_TRANSPORT!$C:$C,"WSF Procured"))</f>
        <v/>
      </c>
      <c r="K138">
        <f>X21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F117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CALC_MIDWEEK — helper calculations for the MIDWEEK DASHBOARD (hidden; do not edit)</t>
        </is>
      </c>
      <c r="BB1">
        <f>COUNT($AM$3:$AM$95)</f>
        <v/>
      </c>
      <c r="BC1">
        <f>SUM($AL$3:$AL$95)</f>
        <v/>
      </c>
    </row>
    <row r="2">
      <c r="AA2" t="inlineStr">
        <is>
          <t>Area</t>
        </is>
      </c>
      <c r="AB2" t="inlineStr">
        <is>
          <t>Rows</t>
        </is>
      </c>
      <c r="AC2" t="inlineStr">
        <is>
          <t>Grand</t>
        </is>
      </c>
      <c r="AD2" t="inlineStr">
        <is>
          <t>Grand prev</t>
        </is>
      </c>
      <c r="AE2" t="inlineStr">
        <is>
          <t>Universe</t>
        </is>
      </c>
      <c r="AF2" t="inlineStr">
        <is>
          <t>Reported</t>
        </is>
      </c>
      <c r="AG2" t="inlineStr">
        <is>
          <t>% reporting</t>
        </is>
      </c>
      <c r="AH2" t="inlineStr">
        <is>
          <t>Growth</t>
        </is>
      </c>
      <c r="AI2" t="inlineStr">
        <is>
          <t>Score att</t>
        </is>
      </c>
      <c r="AJ2" t="inlineStr">
        <is>
          <t>Score pct</t>
        </is>
      </c>
      <c r="AK2" t="inlineStr">
        <is>
          <t>Score growth</t>
        </is>
      </c>
      <c r="AL2" t="inlineStr">
        <is>
          <t>Missing</t>
        </is>
      </c>
      <c r="AM2" t="inlineStr">
        <is>
          <t>Missing row</t>
        </is>
      </c>
    </row>
    <row r="3">
      <c r="A3" t="inlineStr">
        <is>
          <t>Scope</t>
        </is>
      </c>
      <c r="B3">
        <f>'MIDWEEK DASHBOARD'!B4</f>
        <v/>
      </c>
      <c r="AA3">
        <f>IFERROR(INDEX(MASTER_AREAS!$B:$B,2)&amp;"","")</f>
        <v/>
      </c>
      <c r="AB3">
        <f>IF(OR(AA3="",$B$10=0),0,COUNTIFS(DATA_MIDWEEK!$A:$A,$B$10,DATA_MIDWEEK!$C:$C,AA3))</f>
        <v/>
      </c>
      <c r="AC3">
        <f>IF(AB3=0,0,SUMIFS(DATA_MIDWEEK!$I:$I,DATA_MIDWEEK!$A:$A,$B$10,DATA_MIDWEEK!$C:$C,AA3))</f>
        <v/>
      </c>
      <c r="AD3">
        <f>IF(OR(AA3="",$B$10=0),0,SUMIFS(DATA_MIDWEEK!$I:$I,DATA_MIDWEEK!$A:$A,$B$10-7,DATA_MIDWEEK!$C:$C,AA3))</f>
        <v/>
      </c>
      <c r="AE3">
        <f>IF(OR(AA3="",$B$10=0),0,MAX(0,SUMIFS(DATA_SERVICE_AREAS!$E:$E,DATA_SERVICE_AREAS!$A:$A,$B$10,DATA_SERVICE_AREAS!$C:$C,"MIDWEEK",DATA_SERVICE_AREAS!$D:$D,AA3)-COUNTIFS(MASTER_ZONES!$C:$C,AA3,MASTER_ZONES!$I:$I,"Y")))</f>
        <v/>
      </c>
      <c r="AF3">
        <f>IF(OR(AA3="",$B$10=0),0,MAX(0,SUMIFS(DATA_SERVICE_AREAS!$F:$F,DATA_SERVICE_AREAS!$A:$A,$B$10,DATA_SERVICE_AREAS!$C:$C,"MIDWEEK",DATA_SERVICE_AREAS!$D:$D,AA3)-COUNTIFS(DATA_COMMUNITY!$A:$A,$B$10,DATA_COMMUNITY!$D:$D,"Midweek",DATA_COMMUNITY!$E:$E,AA3)))</f>
        <v/>
      </c>
      <c r="AG3">
        <f>IF(AE3=0,"",MIN(1,AF3/AE3))</f>
        <v/>
      </c>
      <c r="AH3">
        <f>IF(OR(AB3=0,AD3=0),"",AC3/AD3-1)</f>
        <v/>
      </c>
      <c r="AI3">
        <f>IF(AB3=0,"",AC3+ROW()/1000000)</f>
        <v/>
      </c>
      <c r="AJ3">
        <f>IF(AG3="","",AG3+ROW()/1000000000)</f>
        <v/>
      </c>
      <c r="AK3">
        <f>IF(AH3="","",AH3+ROW()/1000000000)</f>
        <v/>
      </c>
      <c r="AL3">
        <f>MAX(0,AE3-AF3)</f>
        <v/>
      </c>
      <c r="AM3">
        <f>IF(AND(AL3&gt;0,OR($B$6="*",AA3=$B$6)),ROW(),"")</f>
        <v/>
      </c>
      <c r="AO3">
        <f>IFERROR(INDEX($AA$3:$AA$95,MATCH(LARGE($AI$3:$AI$95,1),$AI$3:$AI$95,0)),"")</f>
        <v/>
      </c>
      <c r="AP3">
        <f>IFERROR(INDEX($AC$3:$AC$95,MATCH(LARGE($AI$3:$AI$95,1),$AI$3:$AI$95,0)),"")</f>
        <v/>
      </c>
      <c r="AQ3">
        <f>IFERROR(INDEX($AA$3:$AA$95,MATCH(SMALL($AI$3:$AI$95,1),$AI$3:$AI$95,0)),"")</f>
        <v/>
      </c>
      <c r="AR3">
        <f>IFERROR(INDEX($AC$3:$AC$95,MATCH(SMALL($AI$3:$AI$95,1),$AI$3:$AI$95,0)),"")</f>
        <v/>
      </c>
      <c r="AS3">
        <f>IFERROR(INDEX($AA$3:$AA$95,MATCH(LARGE($AJ$3:$AJ$95,1),$AJ$3:$AJ$95,0)),"")</f>
        <v/>
      </c>
      <c r="AT3">
        <f>IFERROR(INDEX($AG$3:$AG$95,MATCH(LARGE($AJ$3:$AJ$95,1),$AJ$3:$AJ$95,0)),"")</f>
        <v/>
      </c>
      <c r="AU3">
        <f>IFERROR(INDEX($AA$3:$AA$95,MATCH(SMALL($AJ$3:$AJ$95,1),$AJ$3:$AJ$95,0)),"")</f>
        <v/>
      </c>
      <c r="AV3">
        <f>IFERROR(INDEX($AG$3:$AG$95,MATCH(SMALL($AJ$3:$AJ$95,1),$AJ$3:$AJ$95,0)),"")</f>
        <v/>
      </c>
      <c r="AW3">
        <f>IFERROR(INDEX($AA$3:$AA$95,MATCH(LARGE($AK$3:$AK$95,1),$AK$3:$AK$95,0)),"")</f>
        <v/>
      </c>
      <c r="AX3">
        <f>IFERROR(INDEX($AH$3:$AH$95,MATCH(LARGE($AK$3:$AK$95,1),$AK$3:$AK$95,0)),"")</f>
        <v/>
      </c>
      <c r="AY3">
        <f>IFERROR(INDEX($AA$3:$AA$95,MATCH(SMALL($AK$3:$AK$95,1),$AK$3:$AK$95,0)),"")</f>
        <v/>
      </c>
      <c r="AZ3">
        <f>IFERROR(INDEX($AH$3:$AH$95,MATCH(SMALL($AK$3:$AK$95,1),$AK$3:$AK$95,0)),"")</f>
        <v/>
      </c>
      <c r="BA3">
        <f>IF($B$3&lt;&gt;"Area","",IFERROR(COUNTIF($AI$3:$AI$95,"&gt;"&amp;INDEX($AI$3:$AI$95,MATCH($B$4,$AA$3:$AA$95,0)))+1,""))</f>
        <v/>
      </c>
      <c r="BB3">
        <f>IFERROR(SMALL($AM$3:$AM$95,1),"")</f>
        <v/>
      </c>
      <c r="BC3">
        <f>IF(BB3="","",INDEX($AA:$AA,BB3))</f>
        <v/>
      </c>
      <c r="BD3">
        <f>IF(BB3="","",INDEX($AE:$AE,BB3))</f>
        <v/>
      </c>
      <c r="BE3">
        <f>IF(BB3="","",INDEX($AF:$AF,BB3))</f>
        <v/>
      </c>
      <c r="BF3">
        <f>IF(BB3="","",INDEX($AL:$AL,BB3))</f>
        <v/>
      </c>
    </row>
    <row r="4">
      <c r="A4" t="inlineStr">
        <is>
          <t>Selection</t>
        </is>
      </c>
      <c r="B4">
        <f>IF('MIDWEEK DASHBOARD'!E4="","",'MIDWEEK DASHBOARD'!E4)</f>
        <v/>
      </c>
      <c r="AA4">
        <f>IFERROR(INDEX(MASTER_AREAS!$B:$B,3)&amp;"","")</f>
        <v/>
      </c>
      <c r="AB4">
        <f>IF(OR(AA4="",$B$10=0),0,COUNTIFS(DATA_MIDWEEK!$A:$A,$B$10,DATA_MIDWEEK!$C:$C,AA4))</f>
        <v/>
      </c>
      <c r="AC4">
        <f>IF(AB4=0,0,SUMIFS(DATA_MIDWEEK!$I:$I,DATA_MIDWEEK!$A:$A,$B$10,DATA_MIDWEEK!$C:$C,AA4))</f>
        <v/>
      </c>
      <c r="AD4">
        <f>IF(OR(AA4="",$B$10=0),0,SUMIFS(DATA_MIDWEEK!$I:$I,DATA_MIDWEEK!$A:$A,$B$10-7,DATA_MIDWEEK!$C:$C,AA4))</f>
        <v/>
      </c>
      <c r="AE4">
        <f>IF(OR(AA4="",$B$10=0),0,MAX(0,SUMIFS(DATA_SERVICE_AREAS!$E:$E,DATA_SERVICE_AREAS!$A:$A,$B$10,DATA_SERVICE_AREAS!$C:$C,"MIDWEEK",DATA_SERVICE_AREAS!$D:$D,AA4)-COUNTIFS(MASTER_ZONES!$C:$C,AA4,MASTER_ZONES!$I:$I,"Y")))</f>
        <v/>
      </c>
      <c r="AF4">
        <f>IF(OR(AA4="",$B$10=0),0,MAX(0,SUMIFS(DATA_SERVICE_AREAS!$F:$F,DATA_SERVICE_AREAS!$A:$A,$B$10,DATA_SERVICE_AREAS!$C:$C,"MIDWEEK",DATA_SERVICE_AREAS!$D:$D,AA4)-COUNTIFS(DATA_COMMUNITY!$A:$A,$B$10,DATA_COMMUNITY!$D:$D,"Midweek",DATA_COMMUNITY!$E:$E,AA4)))</f>
        <v/>
      </c>
      <c r="AG4">
        <f>IF(AE4=0,"",MIN(1,AF4/AE4))</f>
        <v/>
      </c>
      <c r="AH4">
        <f>IF(OR(AB4=0,AD4=0),"",AC4/AD4-1)</f>
        <v/>
      </c>
      <c r="AI4">
        <f>IF(AB4=0,"",AC4+ROW()/1000000)</f>
        <v/>
      </c>
      <c r="AJ4">
        <f>IF(AG4="","",AG4+ROW()/1000000000)</f>
        <v/>
      </c>
      <c r="AK4">
        <f>IF(AH4="","",AH4+ROW()/1000000000)</f>
        <v/>
      </c>
      <c r="AL4">
        <f>MAX(0,AE4-AF4)</f>
        <v/>
      </c>
      <c r="AM4">
        <f>IF(AND(AL4&gt;0,OR($B$6="*",AA4=$B$6)),ROW(),"")</f>
        <v/>
      </c>
      <c r="AO4">
        <f>IFERROR(INDEX($AA$3:$AA$95,MATCH(LARGE($AI$3:$AI$95,2),$AI$3:$AI$95,0)),"")</f>
        <v/>
      </c>
      <c r="AP4">
        <f>IFERROR(INDEX($AC$3:$AC$95,MATCH(LARGE($AI$3:$AI$95,2),$AI$3:$AI$95,0)),"")</f>
        <v/>
      </c>
      <c r="AQ4">
        <f>IFERROR(INDEX($AA$3:$AA$95,MATCH(SMALL($AI$3:$AI$95,2),$AI$3:$AI$95,0)),"")</f>
        <v/>
      </c>
      <c r="AR4">
        <f>IFERROR(INDEX($AC$3:$AC$95,MATCH(SMALL($AI$3:$AI$95,2),$AI$3:$AI$95,0)),"")</f>
        <v/>
      </c>
      <c r="AS4">
        <f>IFERROR(INDEX($AA$3:$AA$95,MATCH(LARGE($AJ$3:$AJ$95,2),$AJ$3:$AJ$95,0)),"")</f>
        <v/>
      </c>
      <c r="AT4">
        <f>IFERROR(INDEX($AG$3:$AG$95,MATCH(LARGE($AJ$3:$AJ$95,2),$AJ$3:$AJ$95,0)),"")</f>
        <v/>
      </c>
      <c r="AU4">
        <f>IFERROR(INDEX($AA$3:$AA$95,MATCH(SMALL($AJ$3:$AJ$95,2),$AJ$3:$AJ$95,0)),"")</f>
        <v/>
      </c>
      <c r="AV4">
        <f>IFERROR(INDEX($AG$3:$AG$95,MATCH(SMALL($AJ$3:$AJ$95,2),$AJ$3:$AJ$95,0)),"")</f>
        <v/>
      </c>
      <c r="AW4">
        <f>IFERROR(INDEX($AA$3:$AA$95,MATCH(LARGE($AK$3:$AK$95,2),$AK$3:$AK$95,0)),"")</f>
        <v/>
      </c>
      <c r="AX4">
        <f>IFERROR(INDEX($AH$3:$AH$95,MATCH(LARGE($AK$3:$AK$95,2),$AK$3:$AK$95,0)),"")</f>
        <v/>
      </c>
      <c r="AY4">
        <f>IFERROR(INDEX($AA$3:$AA$95,MATCH(SMALL($AK$3:$AK$95,2),$AK$3:$AK$95,0)),"")</f>
        <v/>
      </c>
      <c r="AZ4">
        <f>IFERROR(INDEX($AH$3:$AH$95,MATCH(SMALL($AK$3:$AK$95,2),$AK$3:$AK$95,0)),"")</f>
        <v/>
      </c>
      <c r="BA4">
        <f>IF($B$3&lt;&gt;"Area","",IFERROR(COUNTIF($AJ$3:$AJ$95,"&gt;"&amp;INDEX($AJ$3:$AJ$95,MATCH($B$4,$AA$3:$AA$95,0)))+1,""))</f>
        <v/>
      </c>
      <c r="BB4">
        <f>IFERROR(SMALL($AM$3:$AM$95,2),"")</f>
        <v/>
      </c>
      <c r="BC4">
        <f>IF(BB4="","",INDEX($AA:$AA,BB4))</f>
        <v/>
      </c>
      <c r="BD4">
        <f>IF(BB4="","",INDEX($AE:$AE,BB4))</f>
        <v/>
      </c>
      <c r="BE4">
        <f>IF(BB4="","",INDEX($AF:$AF,BB4))</f>
        <v/>
      </c>
      <c r="BF4">
        <f>IF(BB4="","",INDEX($AL:$AL,BB4))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A5">
        <f>IFERROR(INDEX(MASTER_AREAS!$B:$B,4)&amp;"","")</f>
        <v/>
      </c>
      <c r="AB5">
        <f>IF(OR(AA5="",$B$10=0),0,COUNTIFS(DATA_MIDWEEK!$A:$A,$B$10,DATA_MIDWEEK!$C:$C,AA5))</f>
        <v/>
      </c>
      <c r="AC5">
        <f>IF(AB5=0,0,SUMIFS(DATA_MIDWEEK!$I:$I,DATA_MIDWEEK!$A:$A,$B$10,DATA_MIDWEEK!$C:$C,AA5))</f>
        <v/>
      </c>
      <c r="AD5">
        <f>IF(OR(AA5="",$B$10=0),0,SUMIFS(DATA_MIDWEEK!$I:$I,DATA_MIDWEEK!$A:$A,$B$10-7,DATA_MIDWEEK!$C:$C,AA5))</f>
        <v/>
      </c>
      <c r="AE5">
        <f>IF(OR(AA5="",$B$10=0),0,MAX(0,SUMIFS(DATA_SERVICE_AREAS!$E:$E,DATA_SERVICE_AREAS!$A:$A,$B$10,DATA_SERVICE_AREAS!$C:$C,"MIDWEEK",DATA_SERVICE_AREAS!$D:$D,AA5)-COUNTIFS(MASTER_ZONES!$C:$C,AA5,MASTER_ZONES!$I:$I,"Y")))</f>
        <v/>
      </c>
      <c r="AF5">
        <f>IF(OR(AA5="",$B$10=0),0,MAX(0,SUMIFS(DATA_SERVICE_AREAS!$F:$F,DATA_SERVICE_AREAS!$A:$A,$B$10,DATA_SERVICE_AREAS!$C:$C,"MIDWEEK",DATA_SERVICE_AREAS!$D:$D,AA5)-COUNTIFS(DATA_COMMUNITY!$A:$A,$B$10,DATA_COMMUNITY!$D:$D,"Midweek",DATA_COMMUNITY!$E:$E,AA5)))</f>
        <v/>
      </c>
      <c r="AG5">
        <f>IF(AE5=0,"",MIN(1,AF5/AE5))</f>
        <v/>
      </c>
      <c r="AH5">
        <f>IF(OR(AB5=0,AD5=0),"",AC5/AD5-1)</f>
        <v/>
      </c>
      <c r="AI5">
        <f>IF(AB5=0,"",AC5+ROW()/1000000)</f>
        <v/>
      </c>
      <c r="AJ5">
        <f>IF(AG5="","",AG5+ROW()/1000000000)</f>
        <v/>
      </c>
      <c r="AK5">
        <f>IF(AH5="","",AH5+ROW()/1000000000)</f>
        <v/>
      </c>
      <c r="AL5">
        <f>MAX(0,AE5-AF5)</f>
        <v/>
      </c>
      <c r="AM5">
        <f>IF(AND(AL5&gt;0,OR($B$6="*",AA5=$B$6)),ROW(),"")</f>
        <v/>
      </c>
      <c r="AO5">
        <f>IFERROR(INDEX($AA$3:$AA$95,MATCH(LARGE($AI$3:$AI$95,3),$AI$3:$AI$95,0)),"")</f>
        <v/>
      </c>
      <c r="AP5">
        <f>IFERROR(INDEX($AC$3:$AC$95,MATCH(LARGE($AI$3:$AI$95,3),$AI$3:$AI$95,0)),"")</f>
        <v/>
      </c>
      <c r="AQ5">
        <f>IFERROR(INDEX($AA$3:$AA$95,MATCH(SMALL($AI$3:$AI$95,3),$AI$3:$AI$95,0)),"")</f>
        <v/>
      </c>
      <c r="AR5">
        <f>IFERROR(INDEX($AC$3:$AC$95,MATCH(SMALL($AI$3:$AI$95,3),$AI$3:$AI$95,0)),"")</f>
        <v/>
      </c>
      <c r="AS5">
        <f>IFERROR(INDEX($AA$3:$AA$95,MATCH(LARGE($AJ$3:$AJ$95,3),$AJ$3:$AJ$95,0)),"")</f>
        <v/>
      </c>
      <c r="AT5">
        <f>IFERROR(INDEX($AG$3:$AG$95,MATCH(LARGE($AJ$3:$AJ$95,3),$AJ$3:$AJ$95,0)),"")</f>
        <v/>
      </c>
      <c r="AU5">
        <f>IFERROR(INDEX($AA$3:$AA$95,MATCH(SMALL($AJ$3:$AJ$95,3),$AJ$3:$AJ$95,0)),"")</f>
        <v/>
      </c>
      <c r="AV5">
        <f>IFERROR(INDEX($AG$3:$AG$95,MATCH(SMALL($AJ$3:$AJ$95,3),$AJ$3:$AJ$95,0)),"")</f>
        <v/>
      </c>
      <c r="AW5">
        <f>IFERROR(INDEX($AA$3:$AA$95,MATCH(LARGE($AK$3:$AK$95,3),$AK$3:$AK$95,0)),"")</f>
        <v/>
      </c>
      <c r="AX5">
        <f>IFERROR(INDEX($AH$3:$AH$95,MATCH(LARGE($AK$3:$AK$95,3),$AK$3:$AK$95,0)),"")</f>
        <v/>
      </c>
      <c r="AY5">
        <f>IFERROR(INDEX($AA$3:$AA$95,MATCH(SMALL($AK$3:$AK$95,3),$AK$3:$AK$95,0)),"")</f>
        <v/>
      </c>
      <c r="AZ5">
        <f>IFERROR(INDEX($AH$3:$AH$95,MATCH(SMALL($AK$3:$AK$95,3),$AK$3:$AK$95,0)),"")</f>
        <v/>
      </c>
      <c r="BA5">
        <f>IF($B$3&lt;&gt;"Area","",IFERROR(COUNTIF($AK$3:$AK$95,"&gt;"&amp;INDEX($AK$3:$AK$95,MATCH($B$4,$AA$3:$AA$95,0)))+1,""))</f>
        <v/>
      </c>
      <c r="BB5">
        <f>IFERROR(SMALL($AM$3:$AM$95,3),"")</f>
        <v/>
      </c>
      <c r="BC5">
        <f>IF(BB5="","",INDEX($AA:$AA,BB5))</f>
        <v/>
      </c>
      <c r="BD5">
        <f>IF(BB5="","",INDEX($AE:$AE,BB5))</f>
        <v/>
      </c>
      <c r="BE5">
        <f>IF(BB5="","",INDEX($AF:$AF,BB5))</f>
        <v/>
      </c>
      <c r="BF5">
        <f>IF(BB5="","",INDEX($AL:$AL,BB5))</f>
        <v/>
      </c>
    </row>
    <row r="6">
      <c r="A6" t="inlineStr">
        <is>
          <t>Area criterion</t>
        </is>
      </c>
      <c r="B6">
        <f>IF(B3="Area",B4,IF(B3="Zone",B8,"*"))</f>
        <v/>
      </c>
      <c r="AA6">
        <f>IFERROR(INDEX(MASTER_AREAS!$B:$B,5)&amp;"","")</f>
        <v/>
      </c>
      <c r="AB6">
        <f>IF(OR(AA6="",$B$10=0),0,COUNTIFS(DATA_MIDWEEK!$A:$A,$B$10,DATA_MIDWEEK!$C:$C,AA6))</f>
        <v/>
      </c>
      <c r="AC6">
        <f>IF(AB6=0,0,SUMIFS(DATA_MIDWEEK!$I:$I,DATA_MIDWEEK!$A:$A,$B$10,DATA_MIDWEEK!$C:$C,AA6))</f>
        <v/>
      </c>
      <c r="AD6">
        <f>IF(OR(AA6="",$B$10=0),0,SUMIFS(DATA_MIDWEEK!$I:$I,DATA_MIDWEEK!$A:$A,$B$10-7,DATA_MIDWEEK!$C:$C,AA6))</f>
        <v/>
      </c>
      <c r="AE6">
        <f>IF(OR(AA6="",$B$10=0),0,MAX(0,SUMIFS(DATA_SERVICE_AREAS!$E:$E,DATA_SERVICE_AREAS!$A:$A,$B$10,DATA_SERVICE_AREAS!$C:$C,"MIDWEEK",DATA_SERVICE_AREAS!$D:$D,AA6)-COUNTIFS(MASTER_ZONES!$C:$C,AA6,MASTER_ZONES!$I:$I,"Y")))</f>
        <v/>
      </c>
      <c r="AF6">
        <f>IF(OR(AA6="",$B$10=0),0,MAX(0,SUMIFS(DATA_SERVICE_AREAS!$F:$F,DATA_SERVICE_AREAS!$A:$A,$B$10,DATA_SERVICE_AREAS!$C:$C,"MIDWEEK",DATA_SERVICE_AREAS!$D:$D,AA6)-COUNTIFS(DATA_COMMUNITY!$A:$A,$B$10,DATA_COMMUNITY!$D:$D,"Midweek",DATA_COMMUNITY!$E:$E,AA6)))</f>
        <v/>
      </c>
      <c r="AG6">
        <f>IF(AE6=0,"",MIN(1,AF6/AE6))</f>
        <v/>
      </c>
      <c r="AH6">
        <f>IF(OR(AB6=0,AD6=0),"",AC6/AD6-1)</f>
        <v/>
      </c>
      <c r="AI6">
        <f>IF(AB6=0,"",AC6+ROW()/1000000)</f>
        <v/>
      </c>
      <c r="AJ6">
        <f>IF(AG6="","",AG6+ROW()/1000000000)</f>
        <v/>
      </c>
      <c r="AK6">
        <f>IF(AH6="","",AH6+ROW()/1000000000)</f>
        <v/>
      </c>
      <c r="AL6">
        <f>MAX(0,AE6-AF6)</f>
        <v/>
      </c>
      <c r="AM6">
        <f>IF(AND(AL6&gt;0,OR($B$6="*",AA6=$B$6)),ROW(),"")</f>
        <v/>
      </c>
      <c r="AO6">
        <f>IFERROR(INDEX($AA$3:$AA$95,MATCH(LARGE($AI$3:$AI$95,4),$AI$3:$AI$95,0)),"")</f>
        <v/>
      </c>
      <c r="AP6">
        <f>IFERROR(INDEX($AC$3:$AC$95,MATCH(LARGE($AI$3:$AI$95,4),$AI$3:$AI$95,0)),"")</f>
        <v/>
      </c>
      <c r="AQ6">
        <f>IFERROR(INDEX($AA$3:$AA$95,MATCH(SMALL($AI$3:$AI$95,4),$AI$3:$AI$95,0)),"")</f>
        <v/>
      </c>
      <c r="AR6">
        <f>IFERROR(INDEX($AC$3:$AC$95,MATCH(SMALL($AI$3:$AI$95,4),$AI$3:$AI$95,0)),"")</f>
        <v/>
      </c>
      <c r="AS6">
        <f>IFERROR(INDEX($AA$3:$AA$95,MATCH(LARGE($AJ$3:$AJ$95,4),$AJ$3:$AJ$95,0)),"")</f>
        <v/>
      </c>
      <c r="AT6">
        <f>IFERROR(INDEX($AG$3:$AG$95,MATCH(LARGE($AJ$3:$AJ$95,4),$AJ$3:$AJ$95,0)),"")</f>
        <v/>
      </c>
      <c r="AU6">
        <f>IFERROR(INDEX($AA$3:$AA$95,MATCH(SMALL($AJ$3:$AJ$95,4),$AJ$3:$AJ$95,0)),"")</f>
        <v/>
      </c>
      <c r="AV6">
        <f>IFERROR(INDEX($AG$3:$AG$95,MATCH(SMALL($AJ$3:$AJ$95,4),$AJ$3:$AJ$95,0)),"")</f>
        <v/>
      </c>
      <c r="AW6">
        <f>IFERROR(INDEX($AA$3:$AA$95,MATCH(LARGE($AK$3:$AK$95,4),$AK$3:$AK$95,0)),"")</f>
        <v/>
      </c>
      <c r="AX6">
        <f>IFERROR(INDEX($AH$3:$AH$95,MATCH(LARGE($AK$3:$AK$95,4),$AK$3:$AK$95,0)),"")</f>
        <v/>
      </c>
      <c r="AY6">
        <f>IFERROR(INDEX($AA$3:$AA$95,MATCH(SMALL($AK$3:$AK$95,4),$AK$3:$AK$95,0)),"")</f>
        <v/>
      </c>
      <c r="AZ6">
        <f>IFERROR(INDEX($AH$3:$AH$95,MATCH(SMALL($AK$3:$AK$95,4),$AK$3:$AK$95,0)),"")</f>
        <v/>
      </c>
      <c r="BA6">
        <f>COUNT($AI$3:$AI$95)</f>
        <v/>
      </c>
      <c r="BB6">
        <f>IFERROR(SMALL($AM$3:$AM$95,4),"")</f>
        <v/>
      </c>
      <c r="BC6">
        <f>IF(BB6="","",INDEX($AA:$AA,BB6))</f>
        <v/>
      </c>
      <c r="BD6">
        <f>IF(BB6="","",INDEX($AE:$AE,BB6))</f>
        <v/>
      </c>
      <c r="BE6">
        <f>IF(BB6="","",INDEX($AF:$AF,BB6))</f>
        <v/>
      </c>
      <c r="BF6">
        <f>IF(BB6="","",INDEX($AL:$AL,BB6))</f>
        <v/>
      </c>
    </row>
    <row r="7">
      <c r="A7" t="inlineStr">
        <is>
          <t>Zone criterion</t>
        </is>
      </c>
      <c r="B7">
        <f>IF(B3="Zone",B4,"*")</f>
        <v/>
      </c>
      <c r="AA7">
        <f>IFERROR(INDEX(MASTER_AREAS!$B:$B,6)&amp;"","")</f>
        <v/>
      </c>
      <c r="AB7">
        <f>IF(OR(AA7="",$B$10=0),0,COUNTIFS(DATA_MIDWEEK!$A:$A,$B$10,DATA_MIDWEEK!$C:$C,AA7))</f>
        <v/>
      </c>
      <c r="AC7">
        <f>IF(AB7=0,0,SUMIFS(DATA_MIDWEEK!$I:$I,DATA_MIDWEEK!$A:$A,$B$10,DATA_MIDWEEK!$C:$C,AA7))</f>
        <v/>
      </c>
      <c r="AD7">
        <f>IF(OR(AA7="",$B$10=0),0,SUMIFS(DATA_MIDWEEK!$I:$I,DATA_MIDWEEK!$A:$A,$B$10-7,DATA_MIDWEEK!$C:$C,AA7))</f>
        <v/>
      </c>
      <c r="AE7">
        <f>IF(OR(AA7="",$B$10=0),0,MAX(0,SUMIFS(DATA_SERVICE_AREAS!$E:$E,DATA_SERVICE_AREAS!$A:$A,$B$10,DATA_SERVICE_AREAS!$C:$C,"MIDWEEK",DATA_SERVICE_AREAS!$D:$D,AA7)-COUNTIFS(MASTER_ZONES!$C:$C,AA7,MASTER_ZONES!$I:$I,"Y")))</f>
        <v/>
      </c>
      <c r="AF7">
        <f>IF(OR(AA7="",$B$10=0),0,MAX(0,SUMIFS(DATA_SERVICE_AREAS!$F:$F,DATA_SERVICE_AREAS!$A:$A,$B$10,DATA_SERVICE_AREAS!$C:$C,"MIDWEEK",DATA_SERVICE_AREAS!$D:$D,AA7)-COUNTIFS(DATA_COMMUNITY!$A:$A,$B$10,DATA_COMMUNITY!$D:$D,"Midweek",DATA_COMMUNITY!$E:$E,AA7)))</f>
        <v/>
      </c>
      <c r="AG7">
        <f>IF(AE7=0,"",MIN(1,AF7/AE7))</f>
        <v/>
      </c>
      <c r="AH7">
        <f>IF(OR(AB7=0,AD7=0),"",AC7/AD7-1)</f>
        <v/>
      </c>
      <c r="AI7">
        <f>IF(AB7=0,"",AC7+ROW()/1000000)</f>
        <v/>
      </c>
      <c r="AJ7">
        <f>IF(AG7="","",AG7+ROW()/1000000000)</f>
        <v/>
      </c>
      <c r="AK7">
        <f>IF(AH7="","",AH7+ROW()/1000000000)</f>
        <v/>
      </c>
      <c r="AL7">
        <f>MAX(0,AE7-AF7)</f>
        <v/>
      </c>
      <c r="AM7">
        <f>IF(AND(AL7&gt;0,OR($B$6="*",AA7=$B$6)),ROW(),"")</f>
        <v/>
      </c>
      <c r="AO7">
        <f>IFERROR(INDEX($AA$3:$AA$95,MATCH(LARGE($AI$3:$AI$95,5),$AI$3:$AI$95,0)),"")</f>
        <v/>
      </c>
      <c r="AP7">
        <f>IFERROR(INDEX($AC$3:$AC$95,MATCH(LARGE($AI$3:$AI$95,5),$AI$3:$AI$95,0)),"")</f>
        <v/>
      </c>
      <c r="AQ7">
        <f>IFERROR(INDEX($AA$3:$AA$95,MATCH(SMALL($AI$3:$AI$95,5),$AI$3:$AI$95,0)),"")</f>
        <v/>
      </c>
      <c r="AR7">
        <f>IFERROR(INDEX($AC$3:$AC$95,MATCH(SMALL($AI$3:$AI$95,5),$AI$3:$AI$95,0)),"")</f>
        <v/>
      </c>
      <c r="AS7">
        <f>IFERROR(INDEX($AA$3:$AA$95,MATCH(LARGE($AJ$3:$AJ$95,5),$AJ$3:$AJ$95,0)),"")</f>
        <v/>
      </c>
      <c r="AT7">
        <f>IFERROR(INDEX($AG$3:$AG$95,MATCH(LARGE($AJ$3:$AJ$95,5),$AJ$3:$AJ$95,0)),"")</f>
        <v/>
      </c>
      <c r="AU7">
        <f>IFERROR(INDEX($AA$3:$AA$95,MATCH(SMALL($AJ$3:$AJ$95,5),$AJ$3:$AJ$95,0)),"")</f>
        <v/>
      </c>
      <c r="AV7">
        <f>IFERROR(INDEX($AG$3:$AG$95,MATCH(SMALL($AJ$3:$AJ$95,5),$AJ$3:$AJ$95,0)),"")</f>
        <v/>
      </c>
      <c r="AW7">
        <f>IFERROR(INDEX($AA$3:$AA$95,MATCH(LARGE($AK$3:$AK$95,5),$AK$3:$AK$95,0)),"")</f>
        <v/>
      </c>
      <c r="AX7">
        <f>IFERROR(INDEX($AH$3:$AH$95,MATCH(LARGE($AK$3:$AK$95,5),$AK$3:$AK$95,0)),"")</f>
        <v/>
      </c>
      <c r="AY7">
        <f>IFERROR(INDEX($AA$3:$AA$95,MATCH(SMALL($AK$3:$AK$95,5),$AK$3:$AK$95,0)),"")</f>
        <v/>
      </c>
      <c r="AZ7">
        <f>IFERROR(INDEX($AH$3:$AH$95,MATCH(SMALL($AK$3:$AK$95,5),$AK$3:$AK$95,0)),"")</f>
        <v/>
      </c>
      <c r="BB7">
        <f>IFERROR(SMALL($AM$3:$AM$95,5),"")</f>
        <v/>
      </c>
      <c r="BC7">
        <f>IF(BB7="","",INDEX($AA:$AA,BB7))</f>
        <v/>
      </c>
      <c r="BD7">
        <f>IF(BB7="","",INDEX($AE:$AE,BB7))</f>
        <v/>
      </c>
      <c r="BE7">
        <f>IF(BB7="","",INDEX($AF:$AF,BB7))</f>
        <v/>
      </c>
      <c r="BF7">
        <f>IF(BB7="","",INDEX($AL:$AL,BB7))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A8">
        <f>IFERROR(INDEX(MASTER_AREAS!$B:$B,7)&amp;"","")</f>
        <v/>
      </c>
      <c r="AB8">
        <f>IF(OR(AA8="",$B$10=0),0,COUNTIFS(DATA_MIDWEEK!$A:$A,$B$10,DATA_MIDWEEK!$C:$C,AA8))</f>
        <v/>
      </c>
      <c r="AC8">
        <f>IF(AB8=0,0,SUMIFS(DATA_MIDWEEK!$I:$I,DATA_MIDWEEK!$A:$A,$B$10,DATA_MIDWEEK!$C:$C,AA8))</f>
        <v/>
      </c>
      <c r="AD8">
        <f>IF(OR(AA8="",$B$10=0),0,SUMIFS(DATA_MIDWEEK!$I:$I,DATA_MIDWEEK!$A:$A,$B$10-7,DATA_MIDWEEK!$C:$C,AA8))</f>
        <v/>
      </c>
      <c r="AE8">
        <f>IF(OR(AA8="",$B$10=0),0,MAX(0,SUMIFS(DATA_SERVICE_AREAS!$E:$E,DATA_SERVICE_AREAS!$A:$A,$B$10,DATA_SERVICE_AREAS!$C:$C,"MIDWEEK",DATA_SERVICE_AREAS!$D:$D,AA8)-COUNTIFS(MASTER_ZONES!$C:$C,AA8,MASTER_ZONES!$I:$I,"Y")))</f>
        <v/>
      </c>
      <c r="AF8">
        <f>IF(OR(AA8="",$B$10=0),0,MAX(0,SUMIFS(DATA_SERVICE_AREAS!$F:$F,DATA_SERVICE_AREAS!$A:$A,$B$10,DATA_SERVICE_AREAS!$C:$C,"MIDWEEK",DATA_SERVICE_AREAS!$D:$D,AA8)-COUNTIFS(DATA_COMMUNITY!$A:$A,$B$10,DATA_COMMUNITY!$D:$D,"Midweek",DATA_COMMUNITY!$E:$E,AA8)))</f>
        <v/>
      </c>
      <c r="AG8">
        <f>IF(AE8=0,"",MIN(1,AF8/AE8))</f>
        <v/>
      </c>
      <c r="AH8">
        <f>IF(OR(AB8=0,AD8=0),"",AC8/AD8-1)</f>
        <v/>
      </c>
      <c r="AI8">
        <f>IF(AB8=0,"",AC8+ROW()/1000000)</f>
        <v/>
      </c>
      <c r="AJ8">
        <f>IF(AG8="","",AG8+ROW()/1000000000)</f>
        <v/>
      </c>
      <c r="AK8">
        <f>IF(AH8="","",AH8+ROW()/1000000000)</f>
        <v/>
      </c>
      <c r="AL8">
        <f>MAX(0,AE8-AF8)</f>
        <v/>
      </c>
      <c r="AM8">
        <f>IF(AND(AL8&gt;0,OR($B$6="*",AA8=$B$6)),ROW(),"")</f>
        <v/>
      </c>
      <c r="AO8">
        <f>IFERROR(INDEX($AA$3:$AA$95,MATCH(LARGE($AI$3:$AI$95,6),$AI$3:$AI$95,0)),"")</f>
        <v/>
      </c>
      <c r="AP8">
        <f>IFERROR(INDEX($AC$3:$AC$95,MATCH(LARGE($AI$3:$AI$95,6),$AI$3:$AI$95,0)),"")</f>
        <v/>
      </c>
      <c r="AQ8">
        <f>IFERROR(INDEX($AA$3:$AA$95,MATCH(SMALL($AI$3:$AI$95,6),$AI$3:$AI$95,0)),"")</f>
        <v/>
      </c>
      <c r="AR8">
        <f>IFERROR(INDEX($AC$3:$AC$95,MATCH(SMALL($AI$3:$AI$95,6),$AI$3:$AI$95,0)),"")</f>
        <v/>
      </c>
      <c r="AS8">
        <f>IFERROR(INDEX($AA$3:$AA$95,MATCH(LARGE($AJ$3:$AJ$95,6),$AJ$3:$AJ$95,0)),"")</f>
        <v/>
      </c>
      <c r="AT8">
        <f>IFERROR(INDEX($AG$3:$AG$95,MATCH(LARGE($AJ$3:$AJ$95,6),$AJ$3:$AJ$95,0)),"")</f>
        <v/>
      </c>
      <c r="AU8">
        <f>IFERROR(INDEX($AA$3:$AA$95,MATCH(SMALL($AJ$3:$AJ$95,6),$AJ$3:$AJ$95,0)),"")</f>
        <v/>
      </c>
      <c r="AV8">
        <f>IFERROR(INDEX($AG$3:$AG$95,MATCH(SMALL($AJ$3:$AJ$95,6),$AJ$3:$AJ$95,0)),"")</f>
        <v/>
      </c>
      <c r="AW8">
        <f>IFERROR(INDEX($AA$3:$AA$95,MATCH(LARGE($AK$3:$AK$95,6),$AK$3:$AK$95,0)),"")</f>
        <v/>
      </c>
      <c r="AX8">
        <f>IFERROR(INDEX($AH$3:$AH$95,MATCH(LARGE($AK$3:$AK$95,6),$AK$3:$AK$95,0)),"")</f>
        <v/>
      </c>
      <c r="AY8">
        <f>IFERROR(INDEX($AA$3:$AA$95,MATCH(SMALL($AK$3:$AK$95,6),$AK$3:$AK$95,0)),"")</f>
        <v/>
      </c>
      <c r="AZ8">
        <f>IFERROR(INDEX($AH$3:$AH$95,MATCH(SMALL($AK$3:$AK$95,6),$AK$3:$AK$95,0)),"")</f>
        <v/>
      </c>
      <c r="BB8">
        <f>IFERROR(SMALL($AM$3:$AM$95,6),"")</f>
        <v/>
      </c>
      <c r="BC8">
        <f>IF(BB8="","",INDEX($AA:$AA,BB8))</f>
        <v/>
      </c>
      <c r="BD8">
        <f>IF(BB8="","",INDEX($AE:$AE,BB8))</f>
        <v/>
      </c>
      <c r="BE8">
        <f>IF(BB8="","",INDEX($AF:$AF,BB8))</f>
        <v/>
      </c>
      <c r="BF8">
        <f>IF(BB8="","",INDEX($AL:$AL,BB8))</f>
        <v/>
      </c>
    </row>
    <row r="9">
      <c r="A9" t="inlineStr">
        <is>
          <t>Latest week with data</t>
        </is>
      </c>
      <c r="B9" s="284">
        <f>MAX(DATA_MIDWEEK!$A:$A)</f>
        <v/>
      </c>
      <c r="AA9">
        <f>IFERROR(INDEX(MASTER_AREAS!$B:$B,8)&amp;"","")</f>
        <v/>
      </c>
      <c r="AB9">
        <f>IF(OR(AA9="",$B$10=0),0,COUNTIFS(DATA_MIDWEEK!$A:$A,$B$10,DATA_MIDWEEK!$C:$C,AA9))</f>
        <v/>
      </c>
      <c r="AC9">
        <f>IF(AB9=0,0,SUMIFS(DATA_MIDWEEK!$I:$I,DATA_MIDWEEK!$A:$A,$B$10,DATA_MIDWEEK!$C:$C,AA9))</f>
        <v/>
      </c>
      <c r="AD9">
        <f>IF(OR(AA9="",$B$10=0),0,SUMIFS(DATA_MIDWEEK!$I:$I,DATA_MIDWEEK!$A:$A,$B$10-7,DATA_MIDWEEK!$C:$C,AA9))</f>
        <v/>
      </c>
      <c r="AE9">
        <f>IF(OR(AA9="",$B$10=0),0,MAX(0,SUMIFS(DATA_SERVICE_AREAS!$E:$E,DATA_SERVICE_AREAS!$A:$A,$B$10,DATA_SERVICE_AREAS!$C:$C,"MIDWEEK",DATA_SERVICE_AREAS!$D:$D,AA9)-COUNTIFS(MASTER_ZONES!$C:$C,AA9,MASTER_ZONES!$I:$I,"Y")))</f>
        <v/>
      </c>
      <c r="AF9">
        <f>IF(OR(AA9="",$B$10=0),0,MAX(0,SUMIFS(DATA_SERVICE_AREAS!$F:$F,DATA_SERVICE_AREAS!$A:$A,$B$10,DATA_SERVICE_AREAS!$C:$C,"MIDWEEK",DATA_SERVICE_AREAS!$D:$D,AA9)-COUNTIFS(DATA_COMMUNITY!$A:$A,$B$10,DATA_COMMUNITY!$D:$D,"Midweek",DATA_COMMUNITY!$E:$E,AA9)))</f>
        <v/>
      </c>
      <c r="AG9">
        <f>IF(AE9=0,"",MIN(1,AF9/AE9))</f>
        <v/>
      </c>
      <c r="AH9">
        <f>IF(OR(AB9=0,AD9=0),"",AC9/AD9-1)</f>
        <v/>
      </c>
      <c r="AI9">
        <f>IF(AB9=0,"",AC9+ROW()/1000000)</f>
        <v/>
      </c>
      <c r="AJ9">
        <f>IF(AG9="","",AG9+ROW()/1000000000)</f>
        <v/>
      </c>
      <c r="AK9">
        <f>IF(AH9="","",AH9+ROW()/1000000000)</f>
        <v/>
      </c>
      <c r="AL9">
        <f>MAX(0,AE9-AF9)</f>
        <v/>
      </c>
      <c r="AM9">
        <f>IF(AND(AL9&gt;0,OR($B$6="*",AA9=$B$6)),ROW(),"")</f>
        <v/>
      </c>
      <c r="AO9">
        <f>IFERROR(INDEX($AA$3:$AA$95,MATCH(LARGE($AI$3:$AI$95,7),$AI$3:$AI$95,0)),"")</f>
        <v/>
      </c>
      <c r="AP9">
        <f>IFERROR(INDEX($AC$3:$AC$95,MATCH(LARGE($AI$3:$AI$95,7),$AI$3:$AI$95,0)),"")</f>
        <v/>
      </c>
      <c r="AQ9">
        <f>IFERROR(INDEX($AA$3:$AA$95,MATCH(SMALL($AI$3:$AI$95,7),$AI$3:$AI$95,0)),"")</f>
        <v/>
      </c>
      <c r="AR9">
        <f>IFERROR(INDEX($AC$3:$AC$95,MATCH(SMALL($AI$3:$AI$95,7),$AI$3:$AI$95,0)),"")</f>
        <v/>
      </c>
      <c r="AS9">
        <f>IFERROR(INDEX($AA$3:$AA$95,MATCH(LARGE($AJ$3:$AJ$95,7),$AJ$3:$AJ$95,0)),"")</f>
        <v/>
      </c>
      <c r="AT9">
        <f>IFERROR(INDEX($AG$3:$AG$95,MATCH(LARGE($AJ$3:$AJ$95,7),$AJ$3:$AJ$95,0)),"")</f>
        <v/>
      </c>
      <c r="AU9">
        <f>IFERROR(INDEX($AA$3:$AA$95,MATCH(SMALL($AJ$3:$AJ$95,7),$AJ$3:$AJ$95,0)),"")</f>
        <v/>
      </c>
      <c r="AV9">
        <f>IFERROR(INDEX($AG$3:$AG$95,MATCH(SMALL($AJ$3:$AJ$95,7),$AJ$3:$AJ$95,0)),"")</f>
        <v/>
      </c>
      <c r="AW9">
        <f>IFERROR(INDEX($AA$3:$AA$95,MATCH(LARGE($AK$3:$AK$95,7),$AK$3:$AK$95,0)),"")</f>
        <v/>
      </c>
      <c r="AX9">
        <f>IFERROR(INDEX($AH$3:$AH$95,MATCH(LARGE($AK$3:$AK$95,7),$AK$3:$AK$95,0)),"")</f>
        <v/>
      </c>
      <c r="AY9">
        <f>IFERROR(INDEX($AA$3:$AA$95,MATCH(SMALL($AK$3:$AK$95,7),$AK$3:$AK$95,0)),"")</f>
        <v/>
      </c>
      <c r="AZ9">
        <f>IFERROR(INDEX($AH$3:$AH$95,MATCH(SMALL($AK$3:$AK$95,7),$AK$3:$AK$95,0)),"")</f>
        <v/>
      </c>
      <c r="BB9">
        <f>IFERROR(SMALL($AM$3:$AM$95,7),"")</f>
        <v/>
      </c>
      <c r="BC9">
        <f>IF(BB9="","",INDEX($AA:$AA,BB9))</f>
        <v/>
      </c>
      <c r="BD9">
        <f>IF(BB9="","",INDEX($AE:$AE,BB9))</f>
        <v/>
      </c>
      <c r="BE9">
        <f>IF(BB9="","",INDEX($AF:$AF,BB9))</f>
        <v/>
      </c>
      <c r="BF9">
        <f>IF(BB9="","",INDEX($AL:$AL,BB9))</f>
        <v/>
      </c>
    </row>
    <row r="10">
      <c r="A10" t="inlineStr">
        <is>
          <t>Selected week</t>
        </is>
      </c>
      <c r="B10" s="284">
        <f>IF(ISNUMBER('MIDWEEK DASHBOARD'!I4),'MIDWEEK DASHBOARD'!I4,B9)</f>
        <v/>
      </c>
      <c r="AA10">
        <f>IFERROR(INDEX(MASTER_AREAS!$B:$B,9)&amp;"","")</f>
        <v/>
      </c>
      <c r="AB10">
        <f>IF(OR(AA10="",$B$10=0),0,COUNTIFS(DATA_MIDWEEK!$A:$A,$B$10,DATA_MIDWEEK!$C:$C,AA10))</f>
        <v/>
      </c>
      <c r="AC10">
        <f>IF(AB10=0,0,SUMIFS(DATA_MIDWEEK!$I:$I,DATA_MIDWEEK!$A:$A,$B$10,DATA_MIDWEEK!$C:$C,AA10))</f>
        <v/>
      </c>
      <c r="AD10">
        <f>IF(OR(AA10="",$B$10=0),0,SUMIFS(DATA_MIDWEEK!$I:$I,DATA_MIDWEEK!$A:$A,$B$10-7,DATA_MIDWEEK!$C:$C,AA10))</f>
        <v/>
      </c>
      <c r="AE10">
        <f>IF(OR(AA10="",$B$10=0),0,MAX(0,SUMIFS(DATA_SERVICE_AREAS!$E:$E,DATA_SERVICE_AREAS!$A:$A,$B$10,DATA_SERVICE_AREAS!$C:$C,"MIDWEEK",DATA_SERVICE_AREAS!$D:$D,AA10)-COUNTIFS(MASTER_ZONES!$C:$C,AA10,MASTER_ZONES!$I:$I,"Y")))</f>
        <v/>
      </c>
      <c r="AF10">
        <f>IF(OR(AA10="",$B$10=0),0,MAX(0,SUMIFS(DATA_SERVICE_AREAS!$F:$F,DATA_SERVICE_AREAS!$A:$A,$B$10,DATA_SERVICE_AREAS!$C:$C,"MIDWEEK",DATA_SERVICE_AREAS!$D:$D,AA10)-COUNTIFS(DATA_COMMUNITY!$A:$A,$B$10,DATA_COMMUNITY!$D:$D,"Midweek",DATA_COMMUNITY!$E:$E,AA10)))</f>
        <v/>
      </c>
      <c r="AG10">
        <f>IF(AE10=0,"",MIN(1,AF10/AE10))</f>
        <v/>
      </c>
      <c r="AH10">
        <f>IF(OR(AB10=0,AD10=0),"",AC10/AD10-1)</f>
        <v/>
      </c>
      <c r="AI10">
        <f>IF(AB10=0,"",AC10+ROW()/1000000)</f>
        <v/>
      </c>
      <c r="AJ10">
        <f>IF(AG10="","",AG10+ROW()/1000000000)</f>
        <v/>
      </c>
      <c r="AK10">
        <f>IF(AH10="","",AH10+ROW()/1000000000)</f>
        <v/>
      </c>
      <c r="AL10">
        <f>MAX(0,AE10-AF10)</f>
        <v/>
      </c>
      <c r="AM10">
        <f>IF(AND(AL10&gt;0,OR($B$6="*",AA10=$B$6)),ROW(),"")</f>
        <v/>
      </c>
      <c r="AO10">
        <f>IFERROR(INDEX($AA$3:$AA$95,MATCH(LARGE($AI$3:$AI$95,8),$AI$3:$AI$95,0)),"")</f>
        <v/>
      </c>
      <c r="AP10">
        <f>IFERROR(INDEX($AC$3:$AC$95,MATCH(LARGE($AI$3:$AI$95,8),$AI$3:$AI$95,0)),"")</f>
        <v/>
      </c>
      <c r="AQ10">
        <f>IFERROR(INDEX($AA$3:$AA$95,MATCH(SMALL($AI$3:$AI$95,8),$AI$3:$AI$95,0)),"")</f>
        <v/>
      </c>
      <c r="AR10">
        <f>IFERROR(INDEX($AC$3:$AC$95,MATCH(SMALL($AI$3:$AI$95,8),$AI$3:$AI$95,0)),"")</f>
        <v/>
      </c>
      <c r="AS10">
        <f>IFERROR(INDEX($AA$3:$AA$95,MATCH(LARGE($AJ$3:$AJ$95,8),$AJ$3:$AJ$95,0)),"")</f>
        <v/>
      </c>
      <c r="AT10">
        <f>IFERROR(INDEX($AG$3:$AG$95,MATCH(LARGE($AJ$3:$AJ$95,8),$AJ$3:$AJ$95,0)),"")</f>
        <v/>
      </c>
      <c r="AU10">
        <f>IFERROR(INDEX($AA$3:$AA$95,MATCH(SMALL($AJ$3:$AJ$95,8),$AJ$3:$AJ$95,0)),"")</f>
        <v/>
      </c>
      <c r="AV10">
        <f>IFERROR(INDEX($AG$3:$AG$95,MATCH(SMALL($AJ$3:$AJ$95,8),$AJ$3:$AJ$95,0)),"")</f>
        <v/>
      </c>
      <c r="AW10">
        <f>IFERROR(INDEX($AA$3:$AA$95,MATCH(LARGE($AK$3:$AK$95,8),$AK$3:$AK$95,0)),"")</f>
        <v/>
      </c>
      <c r="AX10">
        <f>IFERROR(INDEX($AH$3:$AH$95,MATCH(LARGE($AK$3:$AK$95,8),$AK$3:$AK$95,0)),"")</f>
        <v/>
      </c>
      <c r="AY10">
        <f>IFERROR(INDEX($AA$3:$AA$95,MATCH(SMALL($AK$3:$AK$95,8),$AK$3:$AK$95,0)),"")</f>
        <v/>
      </c>
      <c r="AZ10">
        <f>IFERROR(INDEX($AH$3:$AH$95,MATCH(SMALL($AK$3:$AK$95,8),$AK$3:$AK$95,0)),"")</f>
        <v/>
      </c>
      <c r="BB10">
        <f>IFERROR(SMALL($AM$3:$AM$95,8),"")</f>
        <v/>
      </c>
      <c r="BC10">
        <f>IF(BB10="","",INDEX($AA:$AA,BB10))</f>
        <v/>
      </c>
      <c r="BD10">
        <f>IF(BB10="","",INDEX($AE:$AE,BB10))</f>
        <v/>
      </c>
      <c r="BE10">
        <f>IF(BB10="","",INDEX($AF:$AF,BB10))</f>
        <v/>
      </c>
      <c r="BF10">
        <f>IF(BB10="","",INDEX($AL:$AL,BB10))</f>
        <v/>
      </c>
    </row>
    <row r="11">
      <c r="A11" t="inlineStr">
        <is>
          <t>Window N (weeks)</t>
        </is>
      </c>
      <c r="B11">
        <f>IF(ISNUMBER('MIDWEEK DASHBOARD'!K4),'MIDWEEK DASHBOARD'!K4,DefaultWindow)</f>
        <v/>
      </c>
      <c r="AA11">
        <f>IFERROR(INDEX(MASTER_AREAS!$B:$B,10)&amp;"","")</f>
        <v/>
      </c>
      <c r="AB11">
        <f>IF(OR(AA11="",$B$10=0),0,COUNTIFS(DATA_MIDWEEK!$A:$A,$B$10,DATA_MIDWEEK!$C:$C,AA11))</f>
        <v/>
      </c>
      <c r="AC11">
        <f>IF(AB11=0,0,SUMIFS(DATA_MIDWEEK!$I:$I,DATA_MIDWEEK!$A:$A,$B$10,DATA_MIDWEEK!$C:$C,AA11))</f>
        <v/>
      </c>
      <c r="AD11">
        <f>IF(OR(AA11="",$B$10=0),0,SUMIFS(DATA_MIDWEEK!$I:$I,DATA_MIDWEEK!$A:$A,$B$10-7,DATA_MIDWEEK!$C:$C,AA11))</f>
        <v/>
      </c>
      <c r="AE11">
        <f>IF(OR(AA11="",$B$10=0),0,MAX(0,SUMIFS(DATA_SERVICE_AREAS!$E:$E,DATA_SERVICE_AREAS!$A:$A,$B$10,DATA_SERVICE_AREAS!$C:$C,"MIDWEEK",DATA_SERVICE_AREAS!$D:$D,AA11)-COUNTIFS(MASTER_ZONES!$C:$C,AA11,MASTER_ZONES!$I:$I,"Y")))</f>
        <v/>
      </c>
      <c r="AF11">
        <f>IF(OR(AA11="",$B$10=0),0,MAX(0,SUMIFS(DATA_SERVICE_AREAS!$F:$F,DATA_SERVICE_AREAS!$A:$A,$B$10,DATA_SERVICE_AREAS!$C:$C,"MIDWEEK",DATA_SERVICE_AREAS!$D:$D,AA11)-COUNTIFS(DATA_COMMUNITY!$A:$A,$B$10,DATA_COMMUNITY!$D:$D,"Midweek",DATA_COMMUNITY!$E:$E,AA11)))</f>
        <v/>
      </c>
      <c r="AG11">
        <f>IF(AE11=0,"",MIN(1,AF11/AE11))</f>
        <v/>
      </c>
      <c r="AH11">
        <f>IF(OR(AB11=0,AD11=0),"",AC11/AD11-1)</f>
        <v/>
      </c>
      <c r="AI11">
        <f>IF(AB11=0,"",AC11+ROW()/1000000)</f>
        <v/>
      </c>
      <c r="AJ11">
        <f>IF(AG11="","",AG11+ROW()/1000000000)</f>
        <v/>
      </c>
      <c r="AK11">
        <f>IF(AH11="","",AH11+ROW()/1000000000)</f>
        <v/>
      </c>
      <c r="AL11">
        <f>MAX(0,AE11-AF11)</f>
        <v/>
      </c>
      <c r="AM11">
        <f>IF(AND(AL11&gt;0,OR($B$6="*",AA11=$B$6)),ROW(),"")</f>
        <v/>
      </c>
      <c r="AO11">
        <f>IFERROR(INDEX($AA$3:$AA$95,MATCH(LARGE($AI$3:$AI$95,9),$AI$3:$AI$95,0)),"")</f>
        <v/>
      </c>
      <c r="AP11">
        <f>IFERROR(INDEX($AC$3:$AC$95,MATCH(LARGE($AI$3:$AI$95,9),$AI$3:$AI$95,0)),"")</f>
        <v/>
      </c>
      <c r="AQ11">
        <f>IFERROR(INDEX($AA$3:$AA$95,MATCH(SMALL($AI$3:$AI$95,9),$AI$3:$AI$95,0)),"")</f>
        <v/>
      </c>
      <c r="AR11">
        <f>IFERROR(INDEX($AC$3:$AC$95,MATCH(SMALL($AI$3:$AI$95,9),$AI$3:$AI$95,0)),"")</f>
        <v/>
      </c>
      <c r="AS11">
        <f>IFERROR(INDEX($AA$3:$AA$95,MATCH(LARGE($AJ$3:$AJ$95,9),$AJ$3:$AJ$95,0)),"")</f>
        <v/>
      </c>
      <c r="AT11">
        <f>IFERROR(INDEX($AG$3:$AG$95,MATCH(LARGE($AJ$3:$AJ$95,9),$AJ$3:$AJ$95,0)),"")</f>
        <v/>
      </c>
      <c r="AU11">
        <f>IFERROR(INDEX($AA$3:$AA$95,MATCH(SMALL($AJ$3:$AJ$95,9),$AJ$3:$AJ$95,0)),"")</f>
        <v/>
      </c>
      <c r="AV11">
        <f>IFERROR(INDEX($AG$3:$AG$95,MATCH(SMALL($AJ$3:$AJ$95,9),$AJ$3:$AJ$95,0)),"")</f>
        <v/>
      </c>
      <c r="AW11">
        <f>IFERROR(INDEX($AA$3:$AA$95,MATCH(LARGE($AK$3:$AK$95,9),$AK$3:$AK$95,0)),"")</f>
        <v/>
      </c>
      <c r="AX11">
        <f>IFERROR(INDEX($AH$3:$AH$95,MATCH(LARGE($AK$3:$AK$95,9),$AK$3:$AK$95,0)),"")</f>
        <v/>
      </c>
      <c r="AY11">
        <f>IFERROR(INDEX($AA$3:$AA$95,MATCH(SMALL($AK$3:$AK$95,9),$AK$3:$AK$95,0)),"")</f>
        <v/>
      </c>
      <c r="AZ11">
        <f>IFERROR(INDEX($AH$3:$AH$95,MATCH(SMALL($AK$3:$AK$95,9),$AK$3:$AK$95,0)),"")</f>
        <v/>
      </c>
      <c r="BB11">
        <f>IFERROR(SMALL($AM$3:$AM$95,9),"")</f>
        <v/>
      </c>
      <c r="BC11">
        <f>IF(BB11="","",INDEX($AA:$AA,BB11))</f>
        <v/>
      </c>
      <c r="BD11">
        <f>IF(BB11="","",INDEX($AE:$AE,BB11))</f>
        <v/>
      </c>
      <c r="BE11">
        <f>IF(BB11="","",INDEX($AF:$AF,BB11))</f>
        <v/>
      </c>
      <c r="BF11">
        <f>IF(BB11="","",INDEX($AL:$AL,BB11))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IFERROR(INDEX(MASTER_AREAS!$B:$B,11)&amp;"","")</f>
        <v/>
      </c>
      <c r="AB12">
        <f>IF(OR(AA12="",$B$10=0),0,COUNTIFS(DATA_MIDWEEK!$A:$A,$B$10,DATA_MIDWEEK!$C:$C,AA12))</f>
        <v/>
      </c>
      <c r="AC12">
        <f>IF(AB12=0,0,SUMIFS(DATA_MIDWEEK!$I:$I,DATA_MIDWEEK!$A:$A,$B$10,DATA_MIDWEEK!$C:$C,AA12))</f>
        <v/>
      </c>
      <c r="AD12">
        <f>IF(OR(AA12="",$B$10=0),0,SUMIFS(DATA_MIDWEEK!$I:$I,DATA_MIDWEEK!$A:$A,$B$10-7,DATA_MIDWEEK!$C:$C,AA12))</f>
        <v/>
      </c>
      <c r="AE12">
        <f>IF(OR(AA12="",$B$10=0),0,MAX(0,SUMIFS(DATA_SERVICE_AREAS!$E:$E,DATA_SERVICE_AREAS!$A:$A,$B$10,DATA_SERVICE_AREAS!$C:$C,"MIDWEEK",DATA_SERVICE_AREAS!$D:$D,AA12)-COUNTIFS(MASTER_ZONES!$C:$C,AA12,MASTER_ZONES!$I:$I,"Y")))</f>
        <v/>
      </c>
      <c r="AF12">
        <f>IF(OR(AA12="",$B$10=0),0,MAX(0,SUMIFS(DATA_SERVICE_AREAS!$F:$F,DATA_SERVICE_AREAS!$A:$A,$B$10,DATA_SERVICE_AREAS!$C:$C,"MIDWEEK",DATA_SERVICE_AREAS!$D:$D,AA12)-COUNTIFS(DATA_COMMUNITY!$A:$A,$B$10,DATA_COMMUNITY!$D:$D,"Midweek",DATA_COMMUNITY!$E:$E,AA12)))</f>
        <v/>
      </c>
      <c r="AG12">
        <f>IF(AE12=0,"",MIN(1,AF12/AE12))</f>
        <v/>
      </c>
      <c r="AH12">
        <f>IF(OR(AB12=0,AD12=0),"",AC12/AD12-1)</f>
        <v/>
      </c>
      <c r="AI12">
        <f>IF(AB12=0,"",AC12+ROW()/1000000)</f>
        <v/>
      </c>
      <c r="AJ12">
        <f>IF(AG12="","",AG12+ROW()/1000000000)</f>
        <v/>
      </c>
      <c r="AK12">
        <f>IF(AH12="","",AH12+ROW()/1000000000)</f>
        <v/>
      </c>
      <c r="AL12">
        <f>MAX(0,AE12-AF12)</f>
        <v/>
      </c>
      <c r="AM12">
        <f>IF(AND(AL12&gt;0,OR($B$6="*",AA12=$B$6)),ROW(),"")</f>
        <v/>
      </c>
      <c r="AO12">
        <f>IFERROR(INDEX($AA$3:$AA$95,MATCH(LARGE($AI$3:$AI$95,10),$AI$3:$AI$95,0)),"")</f>
        <v/>
      </c>
      <c r="AP12">
        <f>IFERROR(INDEX($AC$3:$AC$95,MATCH(LARGE($AI$3:$AI$95,10),$AI$3:$AI$95,0)),"")</f>
        <v/>
      </c>
      <c r="AQ12">
        <f>IFERROR(INDEX($AA$3:$AA$95,MATCH(SMALL($AI$3:$AI$95,10),$AI$3:$AI$95,0)),"")</f>
        <v/>
      </c>
      <c r="AR12">
        <f>IFERROR(INDEX($AC$3:$AC$95,MATCH(SMALL($AI$3:$AI$95,10),$AI$3:$AI$95,0)),"")</f>
        <v/>
      </c>
      <c r="AS12">
        <f>IFERROR(INDEX($AA$3:$AA$95,MATCH(LARGE($AJ$3:$AJ$95,10),$AJ$3:$AJ$95,0)),"")</f>
        <v/>
      </c>
      <c r="AT12">
        <f>IFERROR(INDEX($AG$3:$AG$95,MATCH(LARGE($AJ$3:$AJ$95,10),$AJ$3:$AJ$95,0)),"")</f>
        <v/>
      </c>
      <c r="AU12">
        <f>IFERROR(INDEX($AA$3:$AA$95,MATCH(SMALL($AJ$3:$AJ$95,10),$AJ$3:$AJ$95,0)),"")</f>
        <v/>
      </c>
      <c r="AV12">
        <f>IFERROR(INDEX($AG$3:$AG$95,MATCH(SMALL($AJ$3:$AJ$95,10),$AJ$3:$AJ$95,0)),"")</f>
        <v/>
      </c>
      <c r="AW12">
        <f>IFERROR(INDEX($AA$3:$AA$95,MATCH(LARGE($AK$3:$AK$95,10),$AK$3:$AK$95,0)),"")</f>
        <v/>
      </c>
      <c r="AX12">
        <f>IFERROR(INDEX($AH$3:$AH$95,MATCH(LARGE($AK$3:$AK$95,10),$AK$3:$AK$95,0)),"")</f>
        <v/>
      </c>
      <c r="AY12">
        <f>IFERROR(INDEX($AA$3:$AA$95,MATCH(SMALL($AK$3:$AK$95,10),$AK$3:$AK$95,0)),"")</f>
        <v/>
      </c>
      <c r="AZ12">
        <f>IFERROR(INDEX($AH$3:$AH$95,MATCH(SMALL($AK$3:$AK$95,10),$AK$3:$AK$95,0)),"")</f>
        <v/>
      </c>
      <c r="BB12">
        <f>IFERROR(SMALL($AM$3:$AM$95,10),"")</f>
        <v/>
      </c>
      <c r="BC12">
        <f>IF(BB12="","",INDEX($AA:$AA,BB12))</f>
        <v/>
      </c>
      <c r="BD12">
        <f>IF(BB12="","",INDEX($AE:$AE,BB12))</f>
        <v/>
      </c>
      <c r="BE12">
        <f>IF(BB12="","",INDEX($AF:$AF,BB12))</f>
        <v/>
      </c>
      <c r="BF12">
        <f>IF(BB12="","",INDEX($AL:$AL,BB12))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IFERROR(INDEX(MASTER_AREAS!$B:$B,12)&amp;"","")</f>
        <v/>
      </c>
      <c r="AB13">
        <f>IF(OR(AA13="",$B$10=0),0,COUNTIFS(DATA_MIDWEEK!$A:$A,$B$10,DATA_MIDWEEK!$C:$C,AA13))</f>
        <v/>
      </c>
      <c r="AC13">
        <f>IF(AB13=0,0,SUMIFS(DATA_MIDWEEK!$I:$I,DATA_MIDWEEK!$A:$A,$B$10,DATA_MIDWEEK!$C:$C,AA13))</f>
        <v/>
      </c>
      <c r="AD13">
        <f>IF(OR(AA13="",$B$10=0),0,SUMIFS(DATA_MIDWEEK!$I:$I,DATA_MIDWEEK!$A:$A,$B$10-7,DATA_MIDWEEK!$C:$C,AA13))</f>
        <v/>
      </c>
      <c r="AE13">
        <f>IF(OR(AA13="",$B$10=0),0,MAX(0,SUMIFS(DATA_SERVICE_AREAS!$E:$E,DATA_SERVICE_AREAS!$A:$A,$B$10,DATA_SERVICE_AREAS!$C:$C,"MIDWEEK",DATA_SERVICE_AREAS!$D:$D,AA13)-COUNTIFS(MASTER_ZONES!$C:$C,AA13,MASTER_ZONES!$I:$I,"Y")))</f>
        <v/>
      </c>
      <c r="AF13">
        <f>IF(OR(AA13="",$B$10=0),0,MAX(0,SUMIFS(DATA_SERVICE_AREAS!$F:$F,DATA_SERVICE_AREAS!$A:$A,$B$10,DATA_SERVICE_AREAS!$C:$C,"MIDWEEK",DATA_SERVICE_AREAS!$D:$D,AA13)-COUNTIFS(DATA_COMMUNITY!$A:$A,$B$10,DATA_COMMUNITY!$D:$D,"Midweek",DATA_COMMUNITY!$E:$E,AA13)))</f>
        <v/>
      </c>
      <c r="AG13">
        <f>IF(AE13=0,"",MIN(1,AF13/AE13))</f>
        <v/>
      </c>
      <c r="AH13">
        <f>IF(OR(AB13=0,AD13=0),"",AC13/AD13-1)</f>
        <v/>
      </c>
      <c r="AI13">
        <f>IF(AB13=0,"",AC13+ROW()/1000000)</f>
        <v/>
      </c>
      <c r="AJ13">
        <f>IF(AG13="","",AG13+ROW()/1000000000)</f>
        <v/>
      </c>
      <c r="AK13">
        <f>IF(AH13="","",AH13+ROW()/1000000000)</f>
        <v/>
      </c>
      <c r="AL13">
        <f>MAX(0,AE13-AF13)</f>
        <v/>
      </c>
      <c r="AM13">
        <f>IF(AND(AL13&gt;0,OR($B$6="*",AA13=$B$6)),ROW(),"")</f>
        <v/>
      </c>
      <c r="BB13">
        <f>IFERROR(SMALL($AM$3:$AM$95,11),"")</f>
        <v/>
      </c>
      <c r="BC13">
        <f>IF(BB13="","",INDEX($AA:$AA,BB13))</f>
        <v/>
      </c>
      <c r="BD13">
        <f>IF(BB13="","",INDEX($AE:$AE,BB13))</f>
        <v/>
      </c>
      <c r="BE13">
        <f>IF(BB13="","",INDEX($AF:$AF,BB13))</f>
        <v/>
      </c>
      <c r="BF13">
        <f>IF(BB13="","",INDEX($AL:$AL,BB13))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IFERROR(INDEX(MASTER_AREAS!$B:$B,13)&amp;"","")</f>
        <v/>
      </c>
      <c r="AB14">
        <f>IF(OR(AA14="",$B$10=0),0,COUNTIFS(DATA_MIDWEEK!$A:$A,$B$10,DATA_MIDWEEK!$C:$C,AA14))</f>
        <v/>
      </c>
      <c r="AC14">
        <f>IF(AB14=0,0,SUMIFS(DATA_MIDWEEK!$I:$I,DATA_MIDWEEK!$A:$A,$B$10,DATA_MIDWEEK!$C:$C,AA14))</f>
        <v/>
      </c>
      <c r="AD14">
        <f>IF(OR(AA14="",$B$10=0),0,SUMIFS(DATA_MIDWEEK!$I:$I,DATA_MIDWEEK!$A:$A,$B$10-7,DATA_MIDWEEK!$C:$C,AA14))</f>
        <v/>
      </c>
      <c r="AE14">
        <f>IF(OR(AA14="",$B$10=0),0,MAX(0,SUMIFS(DATA_SERVICE_AREAS!$E:$E,DATA_SERVICE_AREAS!$A:$A,$B$10,DATA_SERVICE_AREAS!$C:$C,"MIDWEEK",DATA_SERVICE_AREAS!$D:$D,AA14)-COUNTIFS(MASTER_ZONES!$C:$C,AA14,MASTER_ZONES!$I:$I,"Y")))</f>
        <v/>
      </c>
      <c r="AF14">
        <f>IF(OR(AA14="",$B$10=0),0,MAX(0,SUMIFS(DATA_SERVICE_AREAS!$F:$F,DATA_SERVICE_AREAS!$A:$A,$B$10,DATA_SERVICE_AREAS!$C:$C,"MIDWEEK",DATA_SERVICE_AREAS!$D:$D,AA14)-COUNTIFS(DATA_COMMUNITY!$A:$A,$B$10,DATA_COMMUNITY!$D:$D,"Midweek",DATA_COMMUNITY!$E:$E,AA14)))</f>
        <v/>
      </c>
      <c r="AG14">
        <f>IF(AE14=0,"",MIN(1,AF14/AE14))</f>
        <v/>
      </c>
      <c r="AH14">
        <f>IF(OR(AB14=0,AD14=0),"",AC14/AD14-1)</f>
        <v/>
      </c>
      <c r="AI14">
        <f>IF(AB14=0,"",AC14+ROW()/1000000)</f>
        <v/>
      </c>
      <c r="AJ14">
        <f>IF(AG14="","",AG14+ROW()/1000000000)</f>
        <v/>
      </c>
      <c r="AK14">
        <f>IF(AH14="","",AH14+ROW()/1000000000)</f>
        <v/>
      </c>
      <c r="AL14">
        <f>MAX(0,AE14-AF14)</f>
        <v/>
      </c>
      <c r="AM14">
        <f>IF(AND(AL14&gt;0,OR($B$6="*",AA14=$B$6)),ROW(),"")</f>
        <v/>
      </c>
      <c r="BB14">
        <f>IFERROR(SMALL($AM$3:$AM$95,12),"")</f>
        <v/>
      </c>
      <c r="BC14">
        <f>IF(BB14="","",INDEX($AA:$AA,BB14))</f>
        <v/>
      </c>
      <c r="BD14">
        <f>IF(BB14="","",INDEX($AE:$AE,BB14))</f>
        <v/>
      </c>
      <c r="BE14">
        <f>IF(BB14="","",INDEX($AF:$AF,BB14))</f>
        <v/>
      </c>
      <c r="BF14">
        <f>IF(BB14="","",INDEX($AL:$AL,BB14))</f>
        <v/>
      </c>
    </row>
    <row r="15">
      <c r="A15" t="inlineStr">
        <is>
          <t>Any data</t>
        </is>
      </c>
      <c r="B15">
        <f>B9&gt;0</f>
        <v/>
      </c>
      <c r="AA15">
        <f>IFERROR(INDEX(MASTER_AREAS!$B:$B,14)&amp;"","")</f>
        <v/>
      </c>
      <c r="AB15">
        <f>IF(OR(AA15="",$B$10=0),0,COUNTIFS(DATA_MIDWEEK!$A:$A,$B$10,DATA_MIDWEEK!$C:$C,AA15))</f>
        <v/>
      </c>
      <c r="AC15">
        <f>IF(AB15=0,0,SUMIFS(DATA_MIDWEEK!$I:$I,DATA_MIDWEEK!$A:$A,$B$10,DATA_MIDWEEK!$C:$C,AA15))</f>
        <v/>
      </c>
      <c r="AD15">
        <f>IF(OR(AA15="",$B$10=0),0,SUMIFS(DATA_MIDWEEK!$I:$I,DATA_MIDWEEK!$A:$A,$B$10-7,DATA_MIDWEEK!$C:$C,AA15))</f>
        <v/>
      </c>
      <c r="AE15">
        <f>IF(OR(AA15="",$B$10=0),0,MAX(0,SUMIFS(DATA_SERVICE_AREAS!$E:$E,DATA_SERVICE_AREAS!$A:$A,$B$10,DATA_SERVICE_AREAS!$C:$C,"MIDWEEK",DATA_SERVICE_AREAS!$D:$D,AA15)-COUNTIFS(MASTER_ZONES!$C:$C,AA15,MASTER_ZONES!$I:$I,"Y")))</f>
        <v/>
      </c>
      <c r="AF15">
        <f>IF(OR(AA15="",$B$10=0),0,MAX(0,SUMIFS(DATA_SERVICE_AREAS!$F:$F,DATA_SERVICE_AREAS!$A:$A,$B$10,DATA_SERVICE_AREAS!$C:$C,"MIDWEEK",DATA_SERVICE_AREAS!$D:$D,AA15)-COUNTIFS(DATA_COMMUNITY!$A:$A,$B$10,DATA_COMMUNITY!$D:$D,"Midweek",DATA_COMMUNITY!$E:$E,AA15)))</f>
        <v/>
      </c>
      <c r="AG15">
        <f>IF(AE15=0,"",MIN(1,AF15/AE15))</f>
        <v/>
      </c>
      <c r="AH15">
        <f>IF(OR(AB15=0,AD15=0),"",AC15/AD15-1)</f>
        <v/>
      </c>
      <c r="AI15">
        <f>IF(AB15=0,"",AC15+ROW()/1000000)</f>
        <v/>
      </c>
      <c r="AJ15">
        <f>IF(AG15="","",AG15+ROW()/1000000000)</f>
        <v/>
      </c>
      <c r="AK15">
        <f>IF(AH15="","",AH15+ROW()/1000000000)</f>
        <v/>
      </c>
      <c r="AL15">
        <f>MAX(0,AE15-AF15)</f>
        <v/>
      </c>
      <c r="AM15">
        <f>IF(AND(AL15&gt;0,OR($B$6="*",AA15=$B$6)),ROW(),"")</f>
        <v/>
      </c>
      <c r="BB15">
        <f>IFERROR(SMALL($AM$3:$AM$95,13),"")</f>
        <v/>
      </c>
      <c r="BC15">
        <f>IF(BB15="","",INDEX($AA:$AA,BB15))</f>
        <v/>
      </c>
      <c r="BD15">
        <f>IF(BB15="","",INDEX($AE:$AE,BB15))</f>
        <v/>
      </c>
      <c r="BE15">
        <f>IF(BB15="","",INDEX($AF:$AF,BB15))</f>
        <v/>
      </c>
      <c r="BF15">
        <f>IF(BB15="","",INDEX($AL:$AL,BB15))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A16">
        <f>IFERROR(INDEX(MASTER_AREAS!$B:$B,15)&amp;"","")</f>
        <v/>
      </c>
      <c r="AB16">
        <f>IF(OR(AA16="",$B$10=0),0,COUNTIFS(DATA_MIDWEEK!$A:$A,$B$10,DATA_MIDWEEK!$C:$C,AA16))</f>
        <v/>
      </c>
      <c r="AC16">
        <f>IF(AB16=0,0,SUMIFS(DATA_MIDWEEK!$I:$I,DATA_MIDWEEK!$A:$A,$B$10,DATA_MIDWEEK!$C:$C,AA16))</f>
        <v/>
      </c>
      <c r="AD16">
        <f>IF(OR(AA16="",$B$10=0),0,SUMIFS(DATA_MIDWEEK!$I:$I,DATA_MIDWEEK!$A:$A,$B$10-7,DATA_MIDWEEK!$C:$C,AA16))</f>
        <v/>
      </c>
      <c r="AE16">
        <f>IF(OR(AA16="",$B$10=0),0,MAX(0,SUMIFS(DATA_SERVICE_AREAS!$E:$E,DATA_SERVICE_AREAS!$A:$A,$B$10,DATA_SERVICE_AREAS!$C:$C,"MIDWEEK",DATA_SERVICE_AREAS!$D:$D,AA16)-COUNTIFS(MASTER_ZONES!$C:$C,AA16,MASTER_ZONES!$I:$I,"Y")))</f>
        <v/>
      </c>
      <c r="AF16">
        <f>IF(OR(AA16="",$B$10=0),0,MAX(0,SUMIFS(DATA_SERVICE_AREAS!$F:$F,DATA_SERVICE_AREAS!$A:$A,$B$10,DATA_SERVICE_AREAS!$C:$C,"MIDWEEK",DATA_SERVICE_AREAS!$D:$D,AA16)-COUNTIFS(DATA_COMMUNITY!$A:$A,$B$10,DATA_COMMUNITY!$D:$D,"Midweek",DATA_COMMUNITY!$E:$E,AA16)))</f>
        <v/>
      </c>
      <c r="AG16">
        <f>IF(AE16=0,"",MIN(1,AF16/AE16))</f>
        <v/>
      </c>
      <c r="AH16">
        <f>IF(OR(AB16=0,AD16=0),"",AC16/AD16-1)</f>
        <v/>
      </c>
      <c r="AI16">
        <f>IF(AB16=0,"",AC16+ROW()/1000000)</f>
        <v/>
      </c>
      <c r="AJ16">
        <f>IF(AG16="","",AG16+ROW()/1000000000)</f>
        <v/>
      </c>
      <c r="AK16">
        <f>IF(AH16="","",AH16+ROW()/1000000000)</f>
        <v/>
      </c>
      <c r="AL16">
        <f>MAX(0,AE16-AF16)</f>
        <v/>
      </c>
      <c r="AM16">
        <f>IF(AND(AL16&gt;0,OR($B$6="*",AA16=$B$6)),ROW(),"")</f>
        <v/>
      </c>
      <c r="BB16">
        <f>IFERROR(SMALL($AM$3:$AM$95,14),"")</f>
        <v/>
      </c>
      <c r="BC16">
        <f>IF(BB16="","",INDEX($AA:$AA,BB16))</f>
        <v/>
      </c>
      <c r="BD16">
        <f>IF(BB16="","",INDEX($AE:$AE,BB16))</f>
        <v/>
      </c>
      <c r="BE16">
        <f>IF(BB16="","",INDEX($AF:$AF,BB16))</f>
        <v/>
      </c>
      <c r="BF16">
        <f>IF(BB16="","",INDEX($AL:$AL,BB16))</f>
        <v/>
      </c>
    </row>
    <row r="17">
      <c r="A17" t="inlineStr">
        <is>
          <t>Zone is in this service</t>
        </is>
      </c>
      <c r="B17">
        <f>IF(B3&lt;&gt;"Zone",TRUE,TRUE)</f>
        <v/>
      </c>
      <c r="AA17">
        <f>IFERROR(INDEX(MASTER_AREAS!$B:$B,16)&amp;"","")</f>
        <v/>
      </c>
      <c r="AB17">
        <f>IF(OR(AA17="",$B$10=0),0,COUNTIFS(DATA_MIDWEEK!$A:$A,$B$10,DATA_MIDWEEK!$C:$C,AA17))</f>
        <v/>
      </c>
      <c r="AC17">
        <f>IF(AB17=0,0,SUMIFS(DATA_MIDWEEK!$I:$I,DATA_MIDWEEK!$A:$A,$B$10,DATA_MIDWEEK!$C:$C,AA17))</f>
        <v/>
      </c>
      <c r="AD17">
        <f>IF(OR(AA17="",$B$10=0),0,SUMIFS(DATA_MIDWEEK!$I:$I,DATA_MIDWEEK!$A:$A,$B$10-7,DATA_MIDWEEK!$C:$C,AA17))</f>
        <v/>
      </c>
      <c r="AE17">
        <f>IF(OR(AA17="",$B$10=0),0,MAX(0,SUMIFS(DATA_SERVICE_AREAS!$E:$E,DATA_SERVICE_AREAS!$A:$A,$B$10,DATA_SERVICE_AREAS!$C:$C,"MIDWEEK",DATA_SERVICE_AREAS!$D:$D,AA17)-COUNTIFS(MASTER_ZONES!$C:$C,AA17,MASTER_ZONES!$I:$I,"Y")))</f>
        <v/>
      </c>
      <c r="AF17">
        <f>IF(OR(AA17="",$B$10=0),0,MAX(0,SUMIFS(DATA_SERVICE_AREAS!$F:$F,DATA_SERVICE_AREAS!$A:$A,$B$10,DATA_SERVICE_AREAS!$C:$C,"MIDWEEK",DATA_SERVICE_AREAS!$D:$D,AA17)-COUNTIFS(DATA_COMMUNITY!$A:$A,$B$10,DATA_COMMUNITY!$D:$D,"Midweek",DATA_COMMUNITY!$E:$E,AA17)))</f>
        <v/>
      </c>
      <c r="AG17">
        <f>IF(AE17=0,"",MIN(1,AF17/AE17))</f>
        <v/>
      </c>
      <c r="AH17">
        <f>IF(OR(AB17=0,AD17=0),"",AC17/AD17-1)</f>
        <v/>
      </c>
      <c r="AI17">
        <f>IF(AB17=0,"",AC17+ROW()/1000000)</f>
        <v/>
      </c>
      <c r="AJ17">
        <f>IF(AG17="","",AG17+ROW()/1000000000)</f>
        <v/>
      </c>
      <c r="AK17">
        <f>IF(AH17="","",AH17+ROW()/1000000000)</f>
        <v/>
      </c>
      <c r="AL17">
        <f>MAX(0,AE17-AF17)</f>
        <v/>
      </c>
      <c r="AM17">
        <f>IF(AND(AL17&gt;0,OR($B$6="*",AA17=$B$6)),ROW(),"")</f>
        <v/>
      </c>
      <c r="BB17">
        <f>IFERROR(SMALL($AM$3:$AM$95,15),"")</f>
        <v/>
      </c>
      <c r="BC17">
        <f>IF(BB17="","",INDEX($AA:$AA,BB17))</f>
        <v/>
      </c>
      <c r="BD17">
        <f>IF(BB17="","",INDEX($AE:$AE,BB17))</f>
        <v/>
      </c>
      <c r="BE17">
        <f>IF(BB17="","",INDEX($AF:$AF,BB17))</f>
        <v/>
      </c>
      <c r="BF17">
        <f>IF(BB17="","",INDEX($AL:$AL,BB17))</f>
        <v/>
      </c>
    </row>
    <row r="18">
      <c r="A18" t="inlineStr">
        <is>
          <t>Zone is a Community Church</t>
        </is>
      </c>
      <c r="B18">
        <f>IF(B3&lt;&gt;"Zone",FALSE,IFERROR(INDEX(MASTER_ZONES!$I:$I,MATCH(B4,MASTER_ZONES!$B:$B,0))="Y",FALSE))</f>
        <v/>
      </c>
      <c r="AA18">
        <f>IFERROR(INDEX(MASTER_AREAS!$B:$B,17)&amp;"","")</f>
        <v/>
      </c>
      <c r="AB18">
        <f>IF(OR(AA18="",$B$10=0),0,COUNTIFS(DATA_MIDWEEK!$A:$A,$B$10,DATA_MIDWEEK!$C:$C,AA18))</f>
        <v/>
      </c>
      <c r="AC18">
        <f>IF(AB18=0,0,SUMIFS(DATA_MIDWEEK!$I:$I,DATA_MIDWEEK!$A:$A,$B$10,DATA_MIDWEEK!$C:$C,AA18))</f>
        <v/>
      </c>
      <c r="AD18">
        <f>IF(OR(AA18="",$B$10=0),0,SUMIFS(DATA_MIDWEEK!$I:$I,DATA_MIDWEEK!$A:$A,$B$10-7,DATA_MIDWEEK!$C:$C,AA18))</f>
        <v/>
      </c>
      <c r="AE18">
        <f>IF(OR(AA18="",$B$10=0),0,MAX(0,SUMIFS(DATA_SERVICE_AREAS!$E:$E,DATA_SERVICE_AREAS!$A:$A,$B$10,DATA_SERVICE_AREAS!$C:$C,"MIDWEEK",DATA_SERVICE_AREAS!$D:$D,AA18)-COUNTIFS(MASTER_ZONES!$C:$C,AA18,MASTER_ZONES!$I:$I,"Y")))</f>
        <v/>
      </c>
      <c r="AF18">
        <f>IF(OR(AA18="",$B$10=0),0,MAX(0,SUMIFS(DATA_SERVICE_AREAS!$F:$F,DATA_SERVICE_AREAS!$A:$A,$B$10,DATA_SERVICE_AREAS!$C:$C,"MIDWEEK",DATA_SERVICE_AREAS!$D:$D,AA18)-COUNTIFS(DATA_COMMUNITY!$A:$A,$B$10,DATA_COMMUNITY!$D:$D,"Midweek",DATA_COMMUNITY!$E:$E,AA18)))</f>
        <v/>
      </c>
      <c r="AG18">
        <f>IF(AE18=0,"",MIN(1,AF18/AE18))</f>
        <v/>
      </c>
      <c r="AH18">
        <f>IF(OR(AB18=0,AD18=0),"",AC18/AD18-1)</f>
        <v/>
      </c>
      <c r="AI18">
        <f>IF(AB18=0,"",AC18+ROW()/1000000)</f>
        <v/>
      </c>
      <c r="AJ18">
        <f>IF(AG18="","",AG18+ROW()/1000000000)</f>
        <v/>
      </c>
      <c r="AK18">
        <f>IF(AH18="","",AH18+ROW()/1000000000)</f>
        <v/>
      </c>
      <c r="AL18">
        <f>MAX(0,AE18-AF18)</f>
        <v/>
      </c>
      <c r="AM18">
        <f>IF(AND(AL18&gt;0,OR($B$6="*",AA18=$B$6)),ROW(),"")</f>
        <v/>
      </c>
      <c r="BB18">
        <f>IFERROR(SMALL($AM$3:$AM$95,16),"")</f>
        <v/>
      </c>
      <c r="BC18">
        <f>IF(BB18="","",INDEX($AA:$AA,BB18))</f>
        <v/>
      </c>
      <c r="BD18">
        <f>IF(BB18="","",INDEX($AE:$AE,BB18))</f>
        <v/>
      </c>
      <c r="BE18">
        <f>IF(BB18="","",INDEX($AF:$AF,BB18))</f>
        <v/>
      </c>
      <c r="BF18">
        <f>IF(BB18="","",INDEX($AL:$AL,BB18))</f>
        <v/>
      </c>
    </row>
    <row r="19">
      <c r="AA19">
        <f>IFERROR(INDEX(MASTER_AREAS!$B:$B,18)&amp;"","")</f>
        <v/>
      </c>
      <c r="AB19">
        <f>IF(OR(AA19="",$B$10=0),0,COUNTIFS(DATA_MIDWEEK!$A:$A,$B$10,DATA_MIDWEEK!$C:$C,AA19))</f>
        <v/>
      </c>
      <c r="AC19">
        <f>IF(AB19=0,0,SUMIFS(DATA_MIDWEEK!$I:$I,DATA_MIDWEEK!$A:$A,$B$10,DATA_MIDWEEK!$C:$C,AA19))</f>
        <v/>
      </c>
      <c r="AD19">
        <f>IF(OR(AA19="",$B$10=0),0,SUMIFS(DATA_MIDWEEK!$I:$I,DATA_MIDWEEK!$A:$A,$B$10-7,DATA_MIDWEEK!$C:$C,AA19))</f>
        <v/>
      </c>
      <c r="AE19">
        <f>IF(OR(AA19="",$B$10=0),0,MAX(0,SUMIFS(DATA_SERVICE_AREAS!$E:$E,DATA_SERVICE_AREAS!$A:$A,$B$10,DATA_SERVICE_AREAS!$C:$C,"MIDWEEK",DATA_SERVICE_AREAS!$D:$D,AA19)-COUNTIFS(MASTER_ZONES!$C:$C,AA19,MASTER_ZONES!$I:$I,"Y")))</f>
        <v/>
      </c>
      <c r="AF19">
        <f>IF(OR(AA19="",$B$10=0),0,MAX(0,SUMIFS(DATA_SERVICE_AREAS!$F:$F,DATA_SERVICE_AREAS!$A:$A,$B$10,DATA_SERVICE_AREAS!$C:$C,"MIDWEEK",DATA_SERVICE_AREAS!$D:$D,AA19)-COUNTIFS(DATA_COMMUNITY!$A:$A,$B$10,DATA_COMMUNITY!$D:$D,"Midweek",DATA_COMMUNITY!$E:$E,AA19)))</f>
        <v/>
      </c>
      <c r="AG19">
        <f>IF(AE19=0,"",MIN(1,AF19/AE19))</f>
        <v/>
      </c>
      <c r="AH19">
        <f>IF(OR(AB19=0,AD19=0),"",AC19/AD19-1)</f>
        <v/>
      </c>
      <c r="AI19">
        <f>IF(AB19=0,"",AC19+ROW()/1000000)</f>
        <v/>
      </c>
      <c r="AJ19">
        <f>IF(AG19="","",AG19+ROW()/1000000000)</f>
        <v/>
      </c>
      <c r="AK19">
        <f>IF(AH19="","",AH19+ROW()/1000000000)</f>
        <v/>
      </c>
      <c r="AL19">
        <f>MAX(0,AE19-AF19)</f>
        <v/>
      </c>
      <c r="AM19">
        <f>IF(AND(AL19&gt;0,OR($B$6="*",AA19=$B$6)),ROW(),"")</f>
        <v/>
      </c>
      <c r="BB19">
        <f>IFERROR(SMALL($AM$3:$AM$95,17),"")</f>
        <v/>
      </c>
      <c r="BC19">
        <f>IF(BB19="","",INDEX($AA:$AA,BB19))</f>
        <v/>
      </c>
      <c r="BD19">
        <f>IF(BB19="","",INDEX($AE:$AE,BB19))</f>
        <v/>
      </c>
      <c r="BE19">
        <f>IF(BB19="","",INDEX($AF:$AF,BB19))</f>
        <v/>
      </c>
      <c r="BF19">
        <f>IF(BB19="","",INDEX($AL:$AL,BB19))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universe</t>
        </is>
      </c>
      <c r="O20" t="inlineStr">
        <is>
          <t>reported</t>
        </is>
      </c>
      <c r="P20" t="inlineStr">
        <is>
          <t>notrep</t>
        </is>
      </c>
      <c r="Q20" t="inlineStr">
        <is>
          <t>pct</t>
        </is>
      </c>
      <c r="R20" t="inlineStr">
        <is>
          <t>avg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IFERROR(INDEX(MASTER_AREAS!$B:$B,19)&amp;"","")</f>
        <v/>
      </c>
      <c r="AB20">
        <f>IF(OR(AA20="",$B$10=0),0,COUNTIFS(DATA_MIDWEEK!$A:$A,$B$10,DATA_MIDWEEK!$C:$C,AA20))</f>
        <v/>
      </c>
      <c r="AC20">
        <f>IF(AB20=0,0,SUMIFS(DATA_MIDWEEK!$I:$I,DATA_MIDWEEK!$A:$A,$B$10,DATA_MIDWEEK!$C:$C,AA20))</f>
        <v/>
      </c>
      <c r="AD20">
        <f>IF(OR(AA20="",$B$10=0),0,SUMIFS(DATA_MIDWEEK!$I:$I,DATA_MIDWEEK!$A:$A,$B$10-7,DATA_MIDWEEK!$C:$C,AA20))</f>
        <v/>
      </c>
      <c r="AE20">
        <f>IF(OR(AA20="",$B$10=0),0,MAX(0,SUMIFS(DATA_SERVICE_AREAS!$E:$E,DATA_SERVICE_AREAS!$A:$A,$B$10,DATA_SERVICE_AREAS!$C:$C,"MIDWEEK",DATA_SERVICE_AREAS!$D:$D,AA20)-COUNTIFS(MASTER_ZONES!$C:$C,AA20,MASTER_ZONES!$I:$I,"Y")))</f>
        <v/>
      </c>
      <c r="AF20">
        <f>IF(OR(AA20="",$B$10=0),0,MAX(0,SUMIFS(DATA_SERVICE_AREAS!$F:$F,DATA_SERVICE_AREAS!$A:$A,$B$10,DATA_SERVICE_AREAS!$C:$C,"MIDWEEK",DATA_SERVICE_AREAS!$D:$D,AA20)-COUNTIFS(DATA_COMMUNITY!$A:$A,$B$10,DATA_COMMUNITY!$D:$D,"Midweek",DATA_COMMUNITY!$E:$E,AA20)))</f>
        <v/>
      </c>
      <c r="AG20">
        <f>IF(AE20=0,"",MIN(1,AF20/AE20))</f>
        <v/>
      </c>
      <c r="AH20">
        <f>IF(OR(AB20=0,AD20=0),"",AC20/AD20-1)</f>
        <v/>
      </c>
      <c r="AI20">
        <f>IF(AB20=0,"",AC20+ROW()/1000000)</f>
        <v/>
      </c>
      <c r="AJ20">
        <f>IF(AG20="","",AG20+ROW()/1000000000)</f>
        <v/>
      </c>
      <c r="AK20">
        <f>IF(AH20="","",AH20+ROW()/1000000000)</f>
        <v/>
      </c>
      <c r="AL20">
        <f>MAX(0,AE20-AF20)</f>
        <v/>
      </c>
      <c r="AM20">
        <f>IF(AND(AL20&gt;0,OR($B$6="*",AA20=$B$6)),ROW(),"")</f>
        <v/>
      </c>
      <c r="BB20">
        <f>IFERROR(SMALL($AM$3:$AM$95,18),"")</f>
        <v/>
      </c>
      <c r="BC20">
        <f>IF(BB20="","",INDEX($AA:$AA,BB20))</f>
        <v/>
      </c>
      <c r="BD20">
        <f>IF(BB20="","",INDEX($AE:$AE,BB20))</f>
        <v/>
      </c>
      <c r="BE20">
        <f>IF(BB20="","",INDEX($AF:$AF,BB20))</f>
        <v/>
      </c>
      <c r="BF20">
        <f>IF(BB20="","",INDEX($AL:$AL,BB20))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IF(B21="",0,COUNTIFS(DATA_MIDWEEK!$A:$A,B21,DATA_MIDWEEK!$C:$C,$B$6,DATA_MIDWEEK!$D:$D,$B$7))</f>
        <v/>
      </c>
      <c r="G21">
        <f>IF(F21=0,0,SUMIFS(DATA_MIDWEEK!$E:$E,DATA_MIDWEEK!$A:$A,B21,DATA_MIDWEEK!$C:$C,$B$6,DATA_MIDWEEK!$D:$D,$B$7))</f>
        <v/>
      </c>
      <c r="H21">
        <f>IF(F21=0,0,SUMIFS(DATA_MIDWEEK!$F:$F,DATA_MIDWEEK!$A:$A,B21,DATA_MIDWEEK!$C:$C,$B$6,DATA_MIDWEEK!$D:$D,$B$7))</f>
        <v/>
      </c>
      <c r="I21">
        <f>IF(F21=0,0,SUMIFS(DATA_MIDWEEK!$H:$H,DATA_MIDWEEK!$A:$A,B21,DATA_MIDWEEK!$C:$C,$B$6,DATA_MIDWEEK!$D:$D,$B$7))</f>
        <v/>
      </c>
      <c r="J21">
        <f>G21+H21</f>
        <v/>
      </c>
      <c r="K21">
        <f>J21+I21</f>
        <v/>
      </c>
      <c r="L21">
        <f>IF(F21=0,0,SUMIFS(DATA_MIDWEEK!$J:$J,DATA_MIDWEEK!$A:$A,B21,DATA_MIDWEEK!$C:$C,$B$6,DATA_MIDWEEK!$D:$D,$B$7))</f>
        <v/>
      </c>
      <c r="M21">
        <f>IF(F21=0,0,SUMIFS(DATA_MIDWEEK!$K:$K,DATA_MIDWEEK!$A:$A,B21,DATA_MIDWEEK!$C:$C,$B$6,DATA_MIDWEEK!$D:$D,$B$7))</f>
        <v/>
      </c>
      <c r="N21">
        <f>IF(B21="",0,IF($B$3="Zone",IF(AND($B$17,NOT($B$18)),1,0),MAX(0,SUMIFS(DATA_SERVICE_AREAS!$E:$E,DATA_SERVICE_AREAS!$A:$A,B21,DATA_SERVICE_AREAS!$C:$C,"MIDWEEK",DATA_SERVICE_AREAS!$D:$D,$B$6)-COUNTIFS(MASTER_ZONES!$C:$C,$B$6,MASTER_ZONES!$I:$I,"Y"))))</f>
        <v/>
      </c>
      <c r="O21">
        <f>IF(B21="",0,IF($B$3="Zone",IF(AND($B$17,NOT($B$18),F21&gt;0),1,0),MAX(0,SUMIFS(DATA_SERVICE_AREAS!$F:$F,DATA_SERVICE_AREAS!$A:$A,B21,DATA_SERVICE_AREAS!$C:$C,"MIDWEEK",DATA_SERVICE_AREAS!$D:$D,$B$6)-COUNTIFS(DATA_COMMUNITY!$A:$A,B21,DATA_COMMUNITY!$D:$D,"Midweek",DATA_COMMUNITY!$E:$E,$B$6))))</f>
        <v/>
      </c>
      <c r="P21">
        <f>MAX(0,N21-O21)</f>
        <v/>
      </c>
      <c r="Q21">
        <f>IF(N21=0,0,O21/N21)</f>
        <v/>
      </c>
      <c r="R21">
        <f>IF(O21=0,0,K21/O21)</f>
        <v/>
      </c>
      <c r="S21">
        <f>IF(OR(F21&gt;0,N21&gt;0),1,0)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IFERROR(INDEX(MASTER_AREAS!$B:$B,20)&amp;"","")</f>
        <v/>
      </c>
      <c r="AB21">
        <f>IF(OR(AA21="",$B$10=0),0,COUNTIFS(DATA_MIDWEEK!$A:$A,$B$10,DATA_MIDWEEK!$C:$C,AA21))</f>
        <v/>
      </c>
      <c r="AC21">
        <f>IF(AB21=0,0,SUMIFS(DATA_MIDWEEK!$I:$I,DATA_MIDWEEK!$A:$A,$B$10,DATA_MIDWEEK!$C:$C,AA21))</f>
        <v/>
      </c>
      <c r="AD21">
        <f>IF(OR(AA21="",$B$10=0),0,SUMIFS(DATA_MIDWEEK!$I:$I,DATA_MIDWEEK!$A:$A,$B$10-7,DATA_MIDWEEK!$C:$C,AA21))</f>
        <v/>
      </c>
      <c r="AE21">
        <f>IF(OR(AA21="",$B$10=0),0,MAX(0,SUMIFS(DATA_SERVICE_AREAS!$E:$E,DATA_SERVICE_AREAS!$A:$A,$B$10,DATA_SERVICE_AREAS!$C:$C,"MIDWEEK",DATA_SERVICE_AREAS!$D:$D,AA21)-COUNTIFS(MASTER_ZONES!$C:$C,AA21,MASTER_ZONES!$I:$I,"Y")))</f>
        <v/>
      </c>
      <c r="AF21">
        <f>IF(OR(AA21="",$B$10=0),0,MAX(0,SUMIFS(DATA_SERVICE_AREAS!$F:$F,DATA_SERVICE_AREAS!$A:$A,$B$10,DATA_SERVICE_AREAS!$C:$C,"MIDWEEK",DATA_SERVICE_AREAS!$D:$D,AA21)-COUNTIFS(DATA_COMMUNITY!$A:$A,$B$10,DATA_COMMUNITY!$D:$D,"Midweek",DATA_COMMUNITY!$E:$E,AA21)))</f>
        <v/>
      </c>
      <c r="AG21">
        <f>IF(AE21=0,"",MIN(1,AF21/AE21))</f>
        <v/>
      </c>
      <c r="AH21">
        <f>IF(OR(AB21=0,AD21=0),"",AC21/AD21-1)</f>
        <v/>
      </c>
      <c r="AI21">
        <f>IF(AB21=0,"",AC21+ROW()/1000000)</f>
        <v/>
      </c>
      <c r="AJ21">
        <f>IF(AG21="","",AG21+ROW()/1000000000)</f>
        <v/>
      </c>
      <c r="AK21">
        <f>IF(AH21="","",AH21+ROW()/1000000000)</f>
        <v/>
      </c>
      <c r="AL21">
        <f>MAX(0,AE21-AF21)</f>
        <v/>
      </c>
      <c r="AM21">
        <f>IF(AND(AL21&gt;0,OR($B$6="*",AA21=$B$6)),ROW(),"")</f>
        <v/>
      </c>
      <c r="BB21">
        <f>IFERROR(SMALL($AM$3:$AM$95,19),"")</f>
        <v/>
      </c>
      <c r="BC21">
        <f>IF(BB21="","",INDEX($AA:$AA,BB21))</f>
        <v/>
      </c>
      <c r="BD21">
        <f>IF(BB21="","",INDEX($AE:$AE,BB21))</f>
        <v/>
      </c>
      <c r="BE21">
        <f>IF(BB21="","",INDEX($AF:$AF,BB21))</f>
        <v/>
      </c>
      <c r="BF21">
        <f>IF(BB21="","",INDEX($AL:$AL,BB21))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IF(B22="",0,COUNTIFS(DATA_MIDWEEK!$A:$A,B22,DATA_MIDWEEK!$C:$C,$B$6,DATA_MIDWEEK!$D:$D,$B$7))</f>
        <v/>
      </c>
      <c r="G22">
        <f>IF(F22=0,0,SUMIFS(DATA_MIDWEEK!$E:$E,DATA_MIDWEEK!$A:$A,B22,DATA_MIDWEEK!$C:$C,$B$6,DATA_MIDWEEK!$D:$D,$B$7))</f>
        <v/>
      </c>
      <c r="H22">
        <f>IF(F22=0,0,SUMIFS(DATA_MIDWEEK!$F:$F,DATA_MIDWEEK!$A:$A,B22,DATA_MIDWEEK!$C:$C,$B$6,DATA_MIDWEEK!$D:$D,$B$7))</f>
        <v/>
      </c>
      <c r="I22">
        <f>IF(F22=0,0,SUMIFS(DATA_MIDWEEK!$H:$H,DATA_MIDWEEK!$A:$A,B22,DATA_MIDWEEK!$C:$C,$B$6,DATA_MIDWEEK!$D:$D,$B$7))</f>
        <v/>
      </c>
      <c r="J22">
        <f>G22+H22</f>
        <v/>
      </c>
      <c r="K22">
        <f>J22+I22</f>
        <v/>
      </c>
      <c r="L22">
        <f>IF(F22=0,0,SUMIFS(DATA_MIDWEEK!$J:$J,DATA_MIDWEEK!$A:$A,B22,DATA_MIDWEEK!$C:$C,$B$6,DATA_MIDWEEK!$D:$D,$B$7))</f>
        <v/>
      </c>
      <c r="M22">
        <f>IF(F22=0,0,SUMIFS(DATA_MIDWEEK!$K:$K,DATA_MIDWEEK!$A:$A,B22,DATA_MIDWEEK!$C:$C,$B$6,DATA_MIDWEEK!$D:$D,$B$7))</f>
        <v/>
      </c>
      <c r="N22">
        <f>IF(B22="",0,IF($B$3="Zone",IF(AND($B$17,NOT($B$18)),1,0),MAX(0,SUMIFS(DATA_SERVICE_AREAS!$E:$E,DATA_SERVICE_AREAS!$A:$A,B22,DATA_SERVICE_AREAS!$C:$C,"MIDWEEK",DATA_SERVICE_AREAS!$D:$D,$B$6)-COUNTIFS(MASTER_ZONES!$C:$C,$B$6,MASTER_ZONES!$I:$I,"Y"))))</f>
        <v/>
      </c>
      <c r="O22">
        <f>IF(B22="",0,IF($B$3="Zone",IF(AND($B$17,NOT($B$18),F22&gt;0),1,0),MAX(0,SUMIFS(DATA_SERVICE_AREAS!$F:$F,DATA_SERVICE_AREAS!$A:$A,B22,DATA_SERVICE_AREAS!$C:$C,"MIDWEEK",DATA_SERVICE_AREAS!$D:$D,$B$6)-COUNTIFS(DATA_COMMUNITY!$A:$A,B22,DATA_COMMUNITY!$D:$D,"Midweek",DATA_COMMUNITY!$E:$E,$B$6))))</f>
        <v/>
      </c>
      <c r="P22">
        <f>MAX(0,N22-O22)</f>
        <v/>
      </c>
      <c r="Q22">
        <f>IF(N22=0,0,O22/N22)</f>
        <v/>
      </c>
      <c r="R22">
        <f>IF(O22=0,0,K22/O22)</f>
        <v/>
      </c>
      <c r="S22">
        <f>IF(OR(F22&gt;0,N22&gt;0),1,0)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IFERROR(INDEX(MASTER_AREAS!$B:$B,21)&amp;"","")</f>
        <v/>
      </c>
      <c r="AB22">
        <f>IF(OR(AA22="",$B$10=0),0,COUNTIFS(DATA_MIDWEEK!$A:$A,$B$10,DATA_MIDWEEK!$C:$C,AA22))</f>
        <v/>
      </c>
      <c r="AC22">
        <f>IF(AB22=0,0,SUMIFS(DATA_MIDWEEK!$I:$I,DATA_MIDWEEK!$A:$A,$B$10,DATA_MIDWEEK!$C:$C,AA22))</f>
        <v/>
      </c>
      <c r="AD22">
        <f>IF(OR(AA22="",$B$10=0),0,SUMIFS(DATA_MIDWEEK!$I:$I,DATA_MIDWEEK!$A:$A,$B$10-7,DATA_MIDWEEK!$C:$C,AA22))</f>
        <v/>
      </c>
      <c r="AE22">
        <f>IF(OR(AA22="",$B$10=0),0,MAX(0,SUMIFS(DATA_SERVICE_AREAS!$E:$E,DATA_SERVICE_AREAS!$A:$A,$B$10,DATA_SERVICE_AREAS!$C:$C,"MIDWEEK",DATA_SERVICE_AREAS!$D:$D,AA22)-COUNTIFS(MASTER_ZONES!$C:$C,AA22,MASTER_ZONES!$I:$I,"Y")))</f>
        <v/>
      </c>
      <c r="AF22">
        <f>IF(OR(AA22="",$B$10=0),0,MAX(0,SUMIFS(DATA_SERVICE_AREAS!$F:$F,DATA_SERVICE_AREAS!$A:$A,$B$10,DATA_SERVICE_AREAS!$C:$C,"MIDWEEK",DATA_SERVICE_AREAS!$D:$D,AA22)-COUNTIFS(DATA_COMMUNITY!$A:$A,$B$10,DATA_COMMUNITY!$D:$D,"Midweek",DATA_COMMUNITY!$E:$E,AA22)))</f>
        <v/>
      </c>
      <c r="AG22">
        <f>IF(AE22=0,"",MIN(1,AF22/AE22))</f>
        <v/>
      </c>
      <c r="AH22">
        <f>IF(OR(AB22=0,AD22=0),"",AC22/AD22-1)</f>
        <v/>
      </c>
      <c r="AI22">
        <f>IF(AB22=0,"",AC22+ROW()/1000000)</f>
        <v/>
      </c>
      <c r="AJ22">
        <f>IF(AG22="","",AG22+ROW()/1000000000)</f>
        <v/>
      </c>
      <c r="AK22">
        <f>IF(AH22="","",AH22+ROW()/1000000000)</f>
        <v/>
      </c>
      <c r="AL22">
        <f>MAX(0,AE22-AF22)</f>
        <v/>
      </c>
      <c r="AM22">
        <f>IF(AND(AL22&gt;0,OR($B$6="*",AA22=$B$6)),ROW(),"")</f>
        <v/>
      </c>
      <c r="BB22">
        <f>IFERROR(SMALL($AM$3:$AM$95,20),"")</f>
        <v/>
      </c>
      <c r="BC22">
        <f>IF(BB22="","",INDEX($AA:$AA,BB22))</f>
        <v/>
      </c>
      <c r="BD22">
        <f>IF(BB22="","",INDEX($AE:$AE,BB22))</f>
        <v/>
      </c>
      <c r="BE22">
        <f>IF(BB22="","",INDEX($AF:$AF,BB22))</f>
        <v/>
      </c>
      <c r="BF22">
        <f>IF(BB22="","",INDEX($AL:$AL,BB22))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IF(B23="",0,COUNTIFS(DATA_MIDWEEK!$A:$A,B23,DATA_MIDWEEK!$C:$C,$B$6,DATA_MIDWEEK!$D:$D,$B$7))</f>
        <v/>
      </c>
      <c r="G23">
        <f>IF(F23=0,0,SUMIFS(DATA_MIDWEEK!$E:$E,DATA_MIDWEEK!$A:$A,B23,DATA_MIDWEEK!$C:$C,$B$6,DATA_MIDWEEK!$D:$D,$B$7))</f>
        <v/>
      </c>
      <c r="H23">
        <f>IF(F23=0,0,SUMIFS(DATA_MIDWEEK!$F:$F,DATA_MIDWEEK!$A:$A,B23,DATA_MIDWEEK!$C:$C,$B$6,DATA_MIDWEEK!$D:$D,$B$7))</f>
        <v/>
      </c>
      <c r="I23">
        <f>IF(F23=0,0,SUMIFS(DATA_MIDWEEK!$H:$H,DATA_MIDWEEK!$A:$A,B23,DATA_MIDWEEK!$C:$C,$B$6,DATA_MIDWEEK!$D:$D,$B$7))</f>
        <v/>
      </c>
      <c r="J23">
        <f>G23+H23</f>
        <v/>
      </c>
      <c r="K23">
        <f>J23+I23</f>
        <v/>
      </c>
      <c r="L23">
        <f>IF(F23=0,0,SUMIFS(DATA_MIDWEEK!$J:$J,DATA_MIDWEEK!$A:$A,B23,DATA_MIDWEEK!$C:$C,$B$6,DATA_MIDWEEK!$D:$D,$B$7))</f>
        <v/>
      </c>
      <c r="M23">
        <f>IF(F23=0,0,SUMIFS(DATA_MIDWEEK!$K:$K,DATA_MIDWEEK!$A:$A,B23,DATA_MIDWEEK!$C:$C,$B$6,DATA_MIDWEEK!$D:$D,$B$7))</f>
        <v/>
      </c>
      <c r="N23">
        <f>IF(B23="",0,IF($B$3="Zone",IF(AND($B$17,NOT($B$18)),1,0),MAX(0,SUMIFS(DATA_SERVICE_AREAS!$E:$E,DATA_SERVICE_AREAS!$A:$A,B23,DATA_SERVICE_AREAS!$C:$C,"MIDWEEK",DATA_SERVICE_AREAS!$D:$D,$B$6)-COUNTIFS(MASTER_ZONES!$C:$C,$B$6,MASTER_ZONES!$I:$I,"Y"))))</f>
        <v/>
      </c>
      <c r="O23">
        <f>IF(B23="",0,IF($B$3="Zone",IF(AND($B$17,NOT($B$18),F23&gt;0),1,0),MAX(0,SUMIFS(DATA_SERVICE_AREAS!$F:$F,DATA_SERVICE_AREAS!$A:$A,B23,DATA_SERVICE_AREAS!$C:$C,"MIDWEEK",DATA_SERVICE_AREAS!$D:$D,$B$6)-COUNTIFS(DATA_COMMUNITY!$A:$A,B23,DATA_COMMUNITY!$D:$D,"Midweek",DATA_COMMUNITY!$E:$E,$B$6))))</f>
        <v/>
      </c>
      <c r="P23">
        <f>MAX(0,N23-O23)</f>
        <v/>
      </c>
      <c r="Q23">
        <f>IF(N23=0,0,O23/N23)</f>
        <v/>
      </c>
      <c r="R23">
        <f>IF(O23=0,0,K23/O23)</f>
        <v/>
      </c>
      <c r="S23">
        <f>IF(OR(F23&gt;0,N23&gt;0),1,0)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IFERROR(INDEX(MASTER_AREAS!$B:$B,22)&amp;"","")</f>
        <v/>
      </c>
      <c r="AB23">
        <f>IF(OR(AA23="",$B$10=0),0,COUNTIFS(DATA_MIDWEEK!$A:$A,$B$10,DATA_MIDWEEK!$C:$C,AA23))</f>
        <v/>
      </c>
      <c r="AC23">
        <f>IF(AB23=0,0,SUMIFS(DATA_MIDWEEK!$I:$I,DATA_MIDWEEK!$A:$A,$B$10,DATA_MIDWEEK!$C:$C,AA23))</f>
        <v/>
      </c>
      <c r="AD23">
        <f>IF(OR(AA23="",$B$10=0),0,SUMIFS(DATA_MIDWEEK!$I:$I,DATA_MIDWEEK!$A:$A,$B$10-7,DATA_MIDWEEK!$C:$C,AA23))</f>
        <v/>
      </c>
      <c r="AE23">
        <f>IF(OR(AA23="",$B$10=0),0,MAX(0,SUMIFS(DATA_SERVICE_AREAS!$E:$E,DATA_SERVICE_AREAS!$A:$A,$B$10,DATA_SERVICE_AREAS!$C:$C,"MIDWEEK",DATA_SERVICE_AREAS!$D:$D,AA23)-COUNTIFS(MASTER_ZONES!$C:$C,AA23,MASTER_ZONES!$I:$I,"Y")))</f>
        <v/>
      </c>
      <c r="AF23">
        <f>IF(OR(AA23="",$B$10=0),0,MAX(0,SUMIFS(DATA_SERVICE_AREAS!$F:$F,DATA_SERVICE_AREAS!$A:$A,$B$10,DATA_SERVICE_AREAS!$C:$C,"MIDWEEK",DATA_SERVICE_AREAS!$D:$D,AA23)-COUNTIFS(DATA_COMMUNITY!$A:$A,$B$10,DATA_COMMUNITY!$D:$D,"Midweek",DATA_COMMUNITY!$E:$E,AA23)))</f>
        <v/>
      </c>
      <c r="AG23">
        <f>IF(AE23=0,"",MIN(1,AF23/AE23))</f>
        <v/>
      </c>
      <c r="AH23">
        <f>IF(OR(AB23=0,AD23=0),"",AC23/AD23-1)</f>
        <v/>
      </c>
      <c r="AI23">
        <f>IF(AB23=0,"",AC23+ROW()/1000000)</f>
        <v/>
      </c>
      <c r="AJ23">
        <f>IF(AG23="","",AG23+ROW()/1000000000)</f>
        <v/>
      </c>
      <c r="AK23">
        <f>IF(AH23="","",AH23+ROW()/1000000000)</f>
        <v/>
      </c>
      <c r="AL23">
        <f>MAX(0,AE23-AF23)</f>
        <v/>
      </c>
      <c r="AM23">
        <f>IF(AND(AL23&gt;0,OR($B$6="*",AA23=$B$6)),ROW(),"")</f>
        <v/>
      </c>
      <c r="BB23">
        <f>IFERROR(SMALL($AM$3:$AM$95,21),"")</f>
        <v/>
      </c>
      <c r="BC23">
        <f>IF(BB23="","",INDEX($AA:$AA,BB23))</f>
        <v/>
      </c>
      <c r="BD23">
        <f>IF(BB23="","",INDEX($AE:$AE,BB23))</f>
        <v/>
      </c>
      <c r="BE23">
        <f>IF(BB23="","",INDEX($AF:$AF,BB23))</f>
        <v/>
      </c>
      <c r="BF23">
        <f>IF(BB23="","",INDEX($AL:$AL,BB23))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IF(B24="",0,COUNTIFS(DATA_MIDWEEK!$A:$A,B24,DATA_MIDWEEK!$C:$C,$B$6,DATA_MIDWEEK!$D:$D,$B$7))</f>
        <v/>
      </c>
      <c r="G24">
        <f>IF(F24=0,0,SUMIFS(DATA_MIDWEEK!$E:$E,DATA_MIDWEEK!$A:$A,B24,DATA_MIDWEEK!$C:$C,$B$6,DATA_MIDWEEK!$D:$D,$B$7))</f>
        <v/>
      </c>
      <c r="H24">
        <f>IF(F24=0,0,SUMIFS(DATA_MIDWEEK!$F:$F,DATA_MIDWEEK!$A:$A,B24,DATA_MIDWEEK!$C:$C,$B$6,DATA_MIDWEEK!$D:$D,$B$7))</f>
        <v/>
      </c>
      <c r="I24">
        <f>IF(F24=0,0,SUMIFS(DATA_MIDWEEK!$H:$H,DATA_MIDWEEK!$A:$A,B24,DATA_MIDWEEK!$C:$C,$B$6,DATA_MIDWEEK!$D:$D,$B$7))</f>
        <v/>
      </c>
      <c r="J24">
        <f>G24+H24</f>
        <v/>
      </c>
      <c r="K24">
        <f>J24+I24</f>
        <v/>
      </c>
      <c r="L24">
        <f>IF(F24=0,0,SUMIFS(DATA_MIDWEEK!$J:$J,DATA_MIDWEEK!$A:$A,B24,DATA_MIDWEEK!$C:$C,$B$6,DATA_MIDWEEK!$D:$D,$B$7))</f>
        <v/>
      </c>
      <c r="M24">
        <f>IF(F24=0,0,SUMIFS(DATA_MIDWEEK!$K:$K,DATA_MIDWEEK!$A:$A,B24,DATA_MIDWEEK!$C:$C,$B$6,DATA_MIDWEEK!$D:$D,$B$7))</f>
        <v/>
      </c>
      <c r="N24">
        <f>IF(B24="",0,IF($B$3="Zone",IF(AND($B$17,NOT($B$18)),1,0),MAX(0,SUMIFS(DATA_SERVICE_AREAS!$E:$E,DATA_SERVICE_AREAS!$A:$A,B24,DATA_SERVICE_AREAS!$C:$C,"MIDWEEK",DATA_SERVICE_AREAS!$D:$D,$B$6)-COUNTIFS(MASTER_ZONES!$C:$C,$B$6,MASTER_ZONES!$I:$I,"Y"))))</f>
        <v/>
      </c>
      <c r="O24">
        <f>IF(B24="",0,IF($B$3="Zone",IF(AND($B$17,NOT($B$18),F24&gt;0),1,0),MAX(0,SUMIFS(DATA_SERVICE_AREAS!$F:$F,DATA_SERVICE_AREAS!$A:$A,B24,DATA_SERVICE_AREAS!$C:$C,"MIDWEEK",DATA_SERVICE_AREAS!$D:$D,$B$6)-COUNTIFS(DATA_COMMUNITY!$A:$A,B24,DATA_COMMUNITY!$D:$D,"Midweek",DATA_COMMUNITY!$E:$E,$B$6))))</f>
        <v/>
      </c>
      <c r="P24">
        <f>MAX(0,N24-O24)</f>
        <v/>
      </c>
      <c r="Q24">
        <f>IF(N24=0,0,O24/N24)</f>
        <v/>
      </c>
      <c r="R24">
        <f>IF(O24=0,0,K24/O24)</f>
        <v/>
      </c>
      <c r="S24">
        <f>IF(OR(F24&gt;0,N24&gt;0),1,0)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IFERROR(INDEX(MASTER_AREAS!$B:$B,23)&amp;"","")</f>
        <v/>
      </c>
      <c r="AB24">
        <f>IF(OR(AA24="",$B$10=0),0,COUNTIFS(DATA_MIDWEEK!$A:$A,$B$10,DATA_MIDWEEK!$C:$C,AA24))</f>
        <v/>
      </c>
      <c r="AC24">
        <f>IF(AB24=0,0,SUMIFS(DATA_MIDWEEK!$I:$I,DATA_MIDWEEK!$A:$A,$B$10,DATA_MIDWEEK!$C:$C,AA24))</f>
        <v/>
      </c>
      <c r="AD24">
        <f>IF(OR(AA24="",$B$10=0),0,SUMIFS(DATA_MIDWEEK!$I:$I,DATA_MIDWEEK!$A:$A,$B$10-7,DATA_MIDWEEK!$C:$C,AA24))</f>
        <v/>
      </c>
      <c r="AE24">
        <f>IF(OR(AA24="",$B$10=0),0,MAX(0,SUMIFS(DATA_SERVICE_AREAS!$E:$E,DATA_SERVICE_AREAS!$A:$A,$B$10,DATA_SERVICE_AREAS!$C:$C,"MIDWEEK",DATA_SERVICE_AREAS!$D:$D,AA24)-COUNTIFS(MASTER_ZONES!$C:$C,AA24,MASTER_ZONES!$I:$I,"Y")))</f>
        <v/>
      </c>
      <c r="AF24">
        <f>IF(OR(AA24="",$B$10=0),0,MAX(0,SUMIFS(DATA_SERVICE_AREAS!$F:$F,DATA_SERVICE_AREAS!$A:$A,$B$10,DATA_SERVICE_AREAS!$C:$C,"MIDWEEK",DATA_SERVICE_AREAS!$D:$D,AA24)-COUNTIFS(DATA_COMMUNITY!$A:$A,$B$10,DATA_COMMUNITY!$D:$D,"Midweek",DATA_COMMUNITY!$E:$E,AA24)))</f>
        <v/>
      </c>
      <c r="AG24">
        <f>IF(AE24=0,"",MIN(1,AF24/AE24))</f>
        <v/>
      </c>
      <c r="AH24">
        <f>IF(OR(AB24=0,AD24=0),"",AC24/AD24-1)</f>
        <v/>
      </c>
      <c r="AI24">
        <f>IF(AB24=0,"",AC24+ROW()/1000000)</f>
        <v/>
      </c>
      <c r="AJ24">
        <f>IF(AG24="","",AG24+ROW()/1000000000)</f>
        <v/>
      </c>
      <c r="AK24">
        <f>IF(AH24="","",AH24+ROW()/1000000000)</f>
        <v/>
      </c>
      <c r="AL24">
        <f>MAX(0,AE24-AF24)</f>
        <v/>
      </c>
      <c r="AM24">
        <f>IF(AND(AL24&gt;0,OR($B$6="*",AA24=$B$6)),ROW(),"")</f>
        <v/>
      </c>
      <c r="BB24">
        <f>IFERROR(SMALL($AM$3:$AM$95,22),"")</f>
        <v/>
      </c>
      <c r="BC24">
        <f>IF(BB24="","",INDEX($AA:$AA,BB24))</f>
        <v/>
      </c>
      <c r="BD24">
        <f>IF(BB24="","",INDEX($AE:$AE,BB24))</f>
        <v/>
      </c>
      <c r="BE24">
        <f>IF(BB24="","",INDEX($AF:$AF,BB24))</f>
        <v/>
      </c>
      <c r="BF24">
        <f>IF(BB24="","",INDEX($AL:$AL,BB24))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IF(B25="",0,COUNTIFS(DATA_MIDWEEK!$A:$A,B25,DATA_MIDWEEK!$C:$C,$B$6,DATA_MIDWEEK!$D:$D,$B$7))</f>
        <v/>
      </c>
      <c r="G25">
        <f>IF(F25=0,0,SUMIFS(DATA_MIDWEEK!$E:$E,DATA_MIDWEEK!$A:$A,B25,DATA_MIDWEEK!$C:$C,$B$6,DATA_MIDWEEK!$D:$D,$B$7))</f>
        <v/>
      </c>
      <c r="H25">
        <f>IF(F25=0,0,SUMIFS(DATA_MIDWEEK!$F:$F,DATA_MIDWEEK!$A:$A,B25,DATA_MIDWEEK!$C:$C,$B$6,DATA_MIDWEEK!$D:$D,$B$7))</f>
        <v/>
      </c>
      <c r="I25">
        <f>IF(F25=0,0,SUMIFS(DATA_MIDWEEK!$H:$H,DATA_MIDWEEK!$A:$A,B25,DATA_MIDWEEK!$C:$C,$B$6,DATA_MIDWEEK!$D:$D,$B$7))</f>
        <v/>
      </c>
      <c r="J25">
        <f>G25+H25</f>
        <v/>
      </c>
      <c r="K25">
        <f>J25+I25</f>
        <v/>
      </c>
      <c r="L25">
        <f>IF(F25=0,0,SUMIFS(DATA_MIDWEEK!$J:$J,DATA_MIDWEEK!$A:$A,B25,DATA_MIDWEEK!$C:$C,$B$6,DATA_MIDWEEK!$D:$D,$B$7))</f>
        <v/>
      </c>
      <c r="M25">
        <f>IF(F25=0,0,SUMIFS(DATA_MIDWEEK!$K:$K,DATA_MIDWEEK!$A:$A,B25,DATA_MIDWEEK!$C:$C,$B$6,DATA_MIDWEEK!$D:$D,$B$7))</f>
        <v/>
      </c>
      <c r="N25">
        <f>IF(B25="",0,IF($B$3="Zone",IF(AND($B$17,NOT($B$18)),1,0),MAX(0,SUMIFS(DATA_SERVICE_AREAS!$E:$E,DATA_SERVICE_AREAS!$A:$A,B25,DATA_SERVICE_AREAS!$C:$C,"MIDWEEK",DATA_SERVICE_AREAS!$D:$D,$B$6)-COUNTIFS(MASTER_ZONES!$C:$C,$B$6,MASTER_ZONES!$I:$I,"Y"))))</f>
        <v/>
      </c>
      <c r="O25">
        <f>IF(B25="",0,IF($B$3="Zone",IF(AND($B$17,NOT($B$18),F25&gt;0),1,0),MAX(0,SUMIFS(DATA_SERVICE_AREAS!$F:$F,DATA_SERVICE_AREAS!$A:$A,B25,DATA_SERVICE_AREAS!$C:$C,"MIDWEEK",DATA_SERVICE_AREAS!$D:$D,$B$6)-COUNTIFS(DATA_COMMUNITY!$A:$A,B25,DATA_COMMUNITY!$D:$D,"Midweek",DATA_COMMUNITY!$E:$E,$B$6))))</f>
        <v/>
      </c>
      <c r="P25">
        <f>MAX(0,N25-O25)</f>
        <v/>
      </c>
      <c r="Q25">
        <f>IF(N25=0,0,O25/N25)</f>
        <v/>
      </c>
      <c r="R25">
        <f>IF(O25=0,0,K25/O25)</f>
        <v/>
      </c>
      <c r="S25">
        <f>IF(OR(F25&gt;0,N25&gt;0),1,0)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IFERROR(INDEX(MASTER_AREAS!$B:$B,24)&amp;"","")</f>
        <v/>
      </c>
      <c r="AB25">
        <f>IF(OR(AA25="",$B$10=0),0,COUNTIFS(DATA_MIDWEEK!$A:$A,$B$10,DATA_MIDWEEK!$C:$C,AA25))</f>
        <v/>
      </c>
      <c r="AC25">
        <f>IF(AB25=0,0,SUMIFS(DATA_MIDWEEK!$I:$I,DATA_MIDWEEK!$A:$A,$B$10,DATA_MIDWEEK!$C:$C,AA25))</f>
        <v/>
      </c>
      <c r="AD25">
        <f>IF(OR(AA25="",$B$10=0),0,SUMIFS(DATA_MIDWEEK!$I:$I,DATA_MIDWEEK!$A:$A,$B$10-7,DATA_MIDWEEK!$C:$C,AA25))</f>
        <v/>
      </c>
      <c r="AE25">
        <f>IF(OR(AA25="",$B$10=0),0,MAX(0,SUMIFS(DATA_SERVICE_AREAS!$E:$E,DATA_SERVICE_AREAS!$A:$A,$B$10,DATA_SERVICE_AREAS!$C:$C,"MIDWEEK",DATA_SERVICE_AREAS!$D:$D,AA25)-COUNTIFS(MASTER_ZONES!$C:$C,AA25,MASTER_ZONES!$I:$I,"Y")))</f>
        <v/>
      </c>
      <c r="AF25">
        <f>IF(OR(AA25="",$B$10=0),0,MAX(0,SUMIFS(DATA_SERVICE_AREAS!$F:$F,DATA_SERVICE_AREAS!$A:$A,$B$10,DATA_SERVICE_AREAS!$C:$C,"MIDWEEK",DATA_SERVICE_AREAS!$D:$D,AA25)-COUNTIFS(DATA_COMMUNITY!$A:$A,$B$10,DATA_COMMUNITY!$D:$D,"Midweek",DATA_COMMUNITY!$E:$E,AA25)))</f>
        <v/>
      </c>
      <c r="AG25">
        <f>IF(AE25=0,"",MIN(1,AF25/AE25))</f>
        <v/>
      </c>
      <c r="AH25">
        <f>IF(OR(AB25=0,AD25=0),"",AC25/AD25-1)</f>
        <v/>
      </c>
      <c r="AI25">
        <f>IF(AB25=0,"",AC25+ROW()/1000000)</f>
        <v/>
      </c>
      <c r="AJ25">
        <f>IF(AG25="","",AG25+ROW()/1000000000)</f>
        <v/>
      </c>
      <c r="AK25">
        <f>IF(AH25="","",AH25+ROW()/1000000000)</f>
        <v/>
      </c>
      <c r="AL25">
        <f>MAX(0,AE25-AF25)</f>
        <v/>
      </c>
      <c r="AM25">
        <f>IF(AND(AL25&gt;0,OR($B$6="*",AA25=$B$6)),ROW(),"")</f>
        <v/>
      </c>
      <c r="BB25">
        <f>IFERROR(SMALL($AM$3:$AM$95,23),"")</f>
        <v/>
      </c>
      <c r="BC25">
        <f>IF(BB25="","",INDEX($AA:$AA,BB25))</f>
        <v/>
      </c>
      <c r="BD25">
        <f>IF(BB25="","",INDEX($AE:$AE,BB25))</f>
        <v/>
      </c>
      <c r="BE25">
        <f>IF(BB25="","",INDEX($AF:$AF,BB25))</f>
        <v/>
      </c>
      <c r="BF25">
        <f>IF(BB25="","",INDEX($AL:$AL,BB25))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IF(B26="",0,COUNTIFS(DATA_MIDWEEK!$A:$A,B26,DATA_MIDWEEK!$C:$C,$B$6,DATA_MIDWEEK!$D:$D,$B$7))</f>
        <v/>
      </c>
      <c r="G26">
        <f>IF(F26=0,0,SUMIFS(DATA_MIDWEEK!$E:$E,DATA_MIDWEEK!$A:$A,B26,DATA_MIDWEEK!$C:$C,$B$6,DATA_MIDWEEK!$D:$D,$B$7))</f>
        <v/>
      </c>
      <c r="H26">
        <f>IF(F26=0,0,SUMIFS(DATA_MIDWEEK!$F:$F,DATA_MIDWEEK!$A:$A,B26,DATA_MIDWEEK!$C:$C,$B$6,DATA_MIDWEEK!$D:$D,$B$7))</f>
        <v/>
      </c>
      <c r="I26">
        <f>IF(F26=0,0,SUMIFS(DATA_MIDWEEK!$H:$H,DATA_MIDWEEK!$A:$A,B26,DATA_MIDWEEK!$C:$C,$B$6,DATA_MIDWEEK!$D:$D,$B$7))</f>
        <v/>
      </c>
      <c r="J26">
        <f>G26+H26</f>
        <v/>
      </c>
      <c r="K26">
        <f>J26+I26</f>
        <v/>
      </c>
      <c r="L26">
        <f>IF(F26=0,0,SUMIFS(DATA_MIDWEEK!$J:$J,DATA_MIDWEEK!$A:$A,B26,DATA_MIDWEEK!$C:$C,$B$6,DATA_MIDWEEK!$D:$D,$B$7))</f>
        <v/>
      </c>
      <c r="M26">
        <f>IF(F26=0,0,SUMIFS(DATA_MIDWEEK!$K:$K,DATA_MIDWEEK!$A:$A,B26,DATA_MIDWEEK!$C:$C,$B$6,DATA_MIDWEEK!$D:$D,$B$7))</f>
        <v/>
      </c>
      <c r="N26">
        <f>IF(B26="",0,IF($B$3="Zone",IF(AND($B$17,NOT($B$18)),1,0),MAX(0,SUMIFS(DATA_SERVICE_AREAS!$E:$E,DATA_SERVICE_AREAS!$A:$A,B26,DATA_SERVICE_AREAS!$C:$C,"MIDWEEK",DATA_SERVICE_AREAS!$D:$D,$B$6)-COUNTIFS(MASTER_ZONES!$C:$C,$B$6,MASTER_ZONES!$I:$I,"Y"))))</f>
        <v/>
      </c>
      <c r="O26">
        <f>IF(B26="",0,IF($B$3="Zone",IF(AND($B$17,NOT($B$18),F26&gt;0),1,0),MAX(0,SUMIFS(DATA_SERVICE_AREAS!$F:$F,DATA_SERVICE_AREAS!$A:$A,B26,DATA_SERVICE_AREAS!$C:$C,"MIDWEEK",DATA_SERVICE_AREAS!$D:$D,$B$6)-COUNTIFS(DATA_COMMUNITY!$A:$A,B26,DATA_COMMUNITY!$D:$D,"Midweek",DATA_COMMUNITY!$E:$E,$B$6))))</f>
        <v/>
      </c>
      <c r="P26">
        <f>MAX(0,N26-O26)</f>
        <v/>
      </c>
      <c r="Q26">
        <f>IF(N26=0,0,O26/N26)</f>
        <v/>
      </c>
      <c r="R26">
        <f>IF(O26=0,0,K26/O26)</f>
        <v/>
      </c>
      <c r="S26">
        <f>IF(OR(F26&gt;0,N26&gt;0),1,0)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IFERROR(INDEX(MASTER_AREAS!$B:$B,25)&amp;"","")</f>
        <v/>
      </c>
      <c r="AB26">
        <f>IF(OR(AA26="",$B$10=0),0,COUNTIFS(DATA_MIDWEEK!$A:$A,$B$10,DATA_MIDWEEK!$C:$C,AA26))</f>
        <v/>
      </c>
      <c r="AC26">
        <f>IF(AB26=0,0,SUMIFS(DATA_MIDWEEK!$I:$I,DATA_MIDWEEK!$A:$A,$B$10,DATA_MIDWEEK!$C:$C,AA26))</f>
        <v/>
      </c>
      <c r="AD26">
        <f>IF(OR(AA26="",$B$10=0),0,SUMIFS(DATA_MIDWEEK!$I:$I,DATA_MIDWEEK!$A:$A,$B$10-7,DATA_MIDWEEK!$C:$C,AA26))</f>
        <v/>
      </c>
      <c r="AE26">
        <f>IF(OR(AA26="",$B$10=0),0,MAX(0,SUMIFS(DATA_SERVICE_AREAS!$E:$E,DATA_SERVICE_AREAS!$A:$A,$B$10,DATA_SERVICE_AREAS!$C:$C,"MIDWEEK",DATA_SERVICE_AREAS!$D:$D,AA26)-COUNTIFS(MASTER_ZONES!$C:$C,AA26,MASTER_ZONES!$I:$I,"Y")))</f>
        <v/>
      </c>
      <c r="AF26">
        <f>IF(OR(AA26="",$B$10=0),0,MAX(0,SUMIFS(DATA_SERVICE_AREAS!$F:$F,DATA_SERVICE_AREAS!$A:$A,$B$10,DATA_SERVICE_AREAS!$C:$C,"MIDWEEK",DATA_SERVICE_AREAS!$D:$D,AA26)-COUNTIFS(DATA_COMMUNITY!$A:$A,$B$10,DATA_COMMUNITY!$D:$D,"Midweek",DATA_COMMUNITY!$E:$E,AA26)))</f>
        <v/>
      </c>
      <c r="AG26">
        <f>IF(AE26=0,"",MIN(1,AF26/AE26))</f>
        <v/>
      </c>
      <c r="AH26">
        <f>IF(OR(AB26=0,AD26=0),"",AC26/AD26-1)</f>
        <v/>
      </c>
      <c r="AI26">
        <f>IF(AB26=0,"",AC26+ROW()/1000000)</f>
        <v/>
      </c>
      <c r="AJ26">
        <f>IF(AG26="","",AG26+ROW()/1000000000)</f>
        <v/>
      </c>
      <c r="AK26">
        <f>IF(AH26="","",AH26+ROW()/1000000000)</f>
        <v/>
      </c>
      <c r="AL26">
        <f>MAX(0,AE26-AF26)</f>
        <v/>
      </c>
      <c r="AM26">
        <f>IF(AND(AL26&gt;0,OR($B$6="*",AA26=$B$6)),ROW(),"")</f>
        <v/>
      </c>
      <c r="BB26">
        <f>IFERROR(SMALL($AM$3:$AM$95,24),"")</f>
        <v/>
      </c>
      <c r="BC26">
        <f>IF(BB26="","",INDEX($AA:$AA,BB26))</f>
        <v/>
      </c>
      <c r="BD26">
        <f>IF(BB26="","",INDEX($AE:$AE,BB26))</f>
        <v/>
      </c>
      <c r="BE26">
        <f>IF(BB26="","",INDEX($AF:$AF,BB26))</f>
        <v/>
      </c>
      <c r="BF26">
        <f>IF(BB26="","",INDEX($AL:$AL,BB26))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IF(B27="",0,COUNTIFS(DATA_MIDWEEK!$A:$A,B27,DATA_MIDWEEK!$C:$C,$B$6,DATA_MIDWEEK!$D:$D,$B$7))</f>
        <v/>
      </c>
      <c r="G27">
        <f>IF(F27=0,0,SUMIFS(DATA_MIDWEEK!$E:$E,DATA_MIDWEEK!$A:$A,B27,DATA_MIDWEEK!$C:$C,$B$6,DATA_MIDWEEK!$D:$D,$B$7))</f>
        <v/>
      </c>
      <c r="H27">
        <f>IF(F27=0,0,SUMIFS(DATA_MIDWEEK!$F:$F,DATA_MIDWEEK!$A:$A,B27,DATA_MIDWEEK!$C:$C,$B$6,DATA_MIDWEEK!$D:$D,$B$7))</f>
        <v/>
      </c>
      <c r="I27">
        <f>IF(F27=0,0,SUMIFS(DATA_MIDWEEK!$H:$H,DATA_MIDWEEK!$A:$A,B27,DATA_MIDWEEK!$C:$C,$B$6,DATA_MIDWEEK!$D:$D,$B$7))</f>
        <v/>
      </c>
      <c r="J27">
        <f>G27+H27</f>
        <v/>
      </c>
      <c r="K27">
        <f>J27+I27</f>
        <v/>
      </c>
      <c r="L27">
        <f>IF(F27=0,0,SUMIFS(DATA_MIDWEEK!$J:$J,DATA_MIDWEEK!$A:$A,B27,DATA_MIDWEEK!$C:$C,$B$6,DATA_MIDWEEK!$D:$D,$B$7))</f>
        <v/>
      </c>
      <c r="M27">
        <f>IF(F27=0,0,SUMIFS(DATA_MIDWEEK!$K:$K,DATA_MIDWEEK!$A:$A,B27,DATA_MIDWEEK!$C:$C,$B$6,DATA_MIDWEEK!$D:$D,$B$7))</f>
        <v/>
      </c>
      <c r="N27">
        <f>IF(B27="",0,IF($B$3="Zone",IF(AND($B$17,NOT($B$18)),1,0),MAX(0,SUMIFS(DATA_SERVICE_AREAS!$E:$E,DATA_SERVICE_AREAS!$A:$A,B27,DATA_SERVICE_AREAS!$C:$C,"MIDWEEK",DATA_SERVICE_AREAS!$D:$D,$B$6)-COUNTIFS(MASTER_ZONES!$C:$C,$B$6,MASTER_ZONES!$I:$I,"Y"))))</f>
        <v/>
      </c>
      <c r="O27">
        <f>IF(B27="",0,IF($B$3="Zone",IF(AND($B$17,NOT($B$18),F27&gt;0),1,0),MAX(0,SUMIFS(DATA_SERVICE_AREAS!$F:$F,DATA_SERVICE_AREAS!$A:$A,B27,DATA_SERVICE_AREAS!$C:$C,"MIDWEEK",DATA_SERVICE_AREAS!$D:$D,$B$6)-COUNTIFS(DATA_COMMUNITY!$A:$A,B27,DATA_COMMUNITY!$D:$D,"Midweek",DATA_COMMUNITY!$E:$E,$B$6))))</f>
        <v/>
      </c>
      <c r="P27">
        <f>MAX(0,N27-O27)</f>
        <v/>
      </c>
      <c r="Q27">
        <f>IF(N27=0,0,O27/N27)</f>
        <v/>
      </c>
      <c r="R27">
        <f>IF(O27=0,0,K27/O27)</f>
        <v/>
      </c>
      <c r="S27">
        <f>IF(OR(F27&gt;0,N27&gt;0),1,0)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IFERROR(INDEX(MASTER_AREAS!$B:$B,26)&amp;"","")</f>
        <v/>
      </c>
      <c r="AB27">
        <f>IF(OR(AA27="",$B$10=0),0,COUNTIFS(DATA_MIDWEEK!$A:$A,$B$10,DATA_MIDWEEK!$C:$C,AA27))</f>
        <v/>
      </c>
      <c r="AC27">
        <f>IF(AB27=0,0,SUMIFS(DATA_MIDWEEK!$I:$I,DATA_MIDWEEK!$A:$A,$B$10,DATA_MIDWEEK!$C:$C,AA27))</f>
        <v/>
      </c>
      <c r="AD27">
        <f>IF(OR(AA27="",$B$10=0),0,SUMIFS(DATA_MIDWEEK!$I:$I,DATA_MIDWEEK!$A:$A,$B$10-7,DATA_MIDWEEK!$C:$C,AA27))</f>
        <v/>
      </c>
      <c r="AE27">
        <f>IF(OR(AA27="",$B$10=0),0,MAX(0,SUMIFS(DATA_SERVICE_AREAS!$E:$E,DATA_SERVICE_AREAS!$A:$A,$B$10,DATA_SERVICE_AREAS!$C:$C,"MIDWEEK",DATA_SERVICE_AREAS!$D:$D,AA27)-COUNTIFS(MASTER_ZONES!$C:$C,AA27,MASTER_ZONES!$I:$I,"Y")))</f>
        <v/>
      </c>
      <c r="AF27">
        <f>IF(OR(AA27="",$B$10=0),0,MAX(0,SUMIFS(DATA_SERVICE_AREAS!$F:$F,DATA_SERVICE_AREAS!$A:$A,$B$10,DATA_SERVICE_AREAS!$C:$C,"MIDWEEK",DATA_SERVICE_AREAS!$D:$D,AA27)-COUNTIFS(DATA_COMMUNITY!$A:$A,$B$10,DATA_COMMUNITY!$D:$D,"Midweek",DATA_COMMUNITY!$E:$E,AA27)))</f>
        <v/>
      </c>
      <c r="AG27">
        <f>IF(AE27=0,"",MIN(1,AF27/AE27))</f>
        <v/>
      </c>
      <c r="AH27">
        <f>IF(OR(AB27=0,AD27=0),"",AC27/AD27-1)</f>
        <v/>
      </c>
      <c r="AI27">
        <f>IF(AB27=0,"",AC27+ROW()/1000000)</f>
        <v/>
      </c>
      <c r="AJ27">
        <f>IF(AG27="","",AG27+ROW()/1000000000)</f>
        <v/>
      </c>
      <c r="AK27">
        <f>IF(AH27="","",AH27+ROW()/1000000000)</f>
        <v/>
      </c>
      <c r="AL27">
        <f>MAX(0,AE27-AF27)</f>
        <v/>
      </c>
      <c r="AM27">
        <f>IF(AND(AL27&gt;0,OR($B$6="*",AA27=$B$6)),ROW(),"")</f>
        <v/>
      </c>
      <c r="BB27">
        <f>IFERROR(SMALL($AM$3:$AM$95,25),"")</f>
        <v/>
      </c>
      <c r="BC27">
        <f>IF(BB27="","",INDEX($AA:$AA,BB27))</f>
        <v/>
      </c>
      <c r="BD27">
        <f>IF(BB27="","",INDEX($AE:$AE,BB27))</f>
        <v/>
      </c>
      <c r="BE27">
        <f>IF(BB27="","",INDEX($AF:$AF,BB27))</f>
        <v/>
      </c>
      <c r="BF27">
        <f>IF(BB27="","",INDEX($AL:$AL,BB27))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IF(B28="",0,COUNTIFS(DATA_MIDWEEK!$A:$A,B28,DATA_MIDWEEK!$C:$C,$B$6,DATA_MIDWEEK!$D:$D,$B$7))</f>
        <v/>
      </c>
      <c r="G28">
        <f>IF(F28=0,0,SUMIFS(DATA_MIDWEEK!$E:$E,DATA_MIDWEEK!$A:$A,B28,DATA_MIDWEEK!$C:$C,$B$6,DATA_MIDWEEK!$D:$D,$B$7))</f>
        <v/>
      </c>
      <c r="H28">
        <f>IF(F28=0,0,SUMIFS(DATA_MIDWEEK!$F:$F,DATA_MIDWEEK!$A:$A,B28,DATA_MIDWEEK!$C:$C,$B$6,DATA_MIDWEEK!$D:$D,$B$7))</f>
        <v/>
      </c>
      <c r="I28">
        <f>IF(F28=0,0,SUMIFS(DATA_MIDWEEK!$H:$H,DATA_MIDWEEK!$A:$A,B28,DATA_MIDWEEK!$C:$C,$B$6,DATA_MIDWEEK!$D:$D,$B$7))</f>
        <v/>
      </c>
      <c r="J28">
        <f>G28+H28</f>
        <v/>
      </c>
      <c r="K28">
        <f>J28+I28</f>
        <v/>
      </c>
      <c r="L28">
        <f>IF(F28=0,0,SUMIFS(DATA_MIDWEEK!$J:$J,DATA_MIDWEEK!$A:$A,B28,DATA_MIDWEEK!$C:$C,$B$6,DATA_MIDWEEK!$D:$D,$B$7))</f>
        <v/>
      </c>
      <c r="M28">
        <f>IF(F28=0,0,SUMIFS(DATA_MIDWEEK!$K:$K,DATA_MIDWEEK!$A:$A,B28,DATA_MIDWEEK!$C:$C,$B$6,DATA_MIDWEEK!$D:$D,$B$7))</f>
        <v/>
      </c>
      <c r="N28">
        <f>IF(B28="",0,IF($B$3="Zone",IF(AND($B$17,NOT($B$18)),1,0),MAX(0,SUMIFS(DATA_SERVICE_AREAS!$E:$E,DATA_SERVICE_AREAS!$A:$A,B28,DATA_SERVICE_AREAS!$C:$C,"MIDWEEK",DATA_SERVICE_AREAS!$D:$D,$B$6)-COUNTIFS(MASTER_ZONES!$C:$C,$B$6,MASTER_ZONES!$I:$I,"Y"))))</f>
        <v/>
      </c>
      <c r="O28">
        <f>IF(B28="",0,IF($B$3="Zone",IF(AND($B$17,NOT($B$18),F28&gt;0),1,0),MAX(0,SUMIFS(DATA_SERVICE_AREAS!$F:$F,DATA_SERVICE_AREAS!$A:$A,B28,DATA_SERVICE_AREAS!$C:$C,"MIDWEEK",DATA_SERVICE_AREAS!$D:$D,$B$6)-COUNTIFS(DATA_COMMUNITY!$A:$A,B28,DATA_COMMUNITY!$D:$D,"Midweek",DATA_COMMUNITY!$E:$E,$B$6))))</f>
        <v/>
      </c>
      <c r="P28">
        <f>MAX(0,N28-O28)</f>
        <v/>
      </c>
      <c r="Q28">
        <f>IF(N28=0,0,O28/N28)</f>
        <v/>
      </c>
      <c r="R28">
        <f>IF(O28=0,0,K28/O28)</f>
        <v/>
      </c>
      <c r="S28">
        <f>IF(OR(F28&gt;0,N28&gt;0),1,0)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IFERROR(INDEX(MASTER_AREAS!$B:$B,27)&amp;"","")</f>
        <v/>
      </c>
      <c r="AB28">
        <f>IF(OR(AA28="",$B$10=0),0,COUNTIFS(DATA_MIDWEEK!$A:$A,$B$10,DATA_MIDWEEK!$C:$C,AA28))</f>
        <v/>
      </c>
      <c r="AC28">
        <f>IF(AB28=0,0,SUMIFS(DATA_MIDWEEK!$I:$I,DATA_MIDWEEK!$A:$A,$B$10,DATA_MIDWEEK!$C:$C,AA28))</f>
        <v/>
      </c>
      <c r="AD28">
        <f>IF(OR(AA28="",$B$10=0),0,SUMIFS(DATA_MIDWEEK!$I:$I,DATA_MIDWEEK!$A:$A,$B$10-7,DATA_MIDWEEK!$C:$C,AA28))</f>
        <v/>
      </c>
      <c r="AE28">
        <f>IF(OR(AA28="",$B$10=0),0,MAX(0,SUMIFS(DATA_SERVICE_AREAS!$E:$E,DATA_SERVICE_AREAS!$A:$A,$B$10,DATA_SERVICE_AREAS!$C:$C,"MIDWEEK",DATA_SERVICE_AREAS!$D:$D,AA28)-COUNTIFS(MASTER_ZONES!$C:$C,AA28,MASTER_ZONES!$I:$I,"Y")))</f>
        <v/>
      </c>
      <c r="AF28">
        <f>IF(OR(AA28="",$B$10=0),0,MAX(0,SUMIFS(DATA_SERVICE_AREAS!$F:$F,DATA_SERVICE_AREAS!$A:$A,$B$10,DATA_SERVICE_AREAS!$C:$C,"MIDWEEK",DATA_SERVICE_AREAS!$D:$D,AA28)-COUNTIFS(DATA_COMMUNITY!$A:$A,$B$10,DATA_COMMUNITY!$D:$D,"Midweek",DATA_COMMUNITY!$E:$E,AA28)))</f>
        <v/>
      </c>
      <c r="AG28">
        <f>IF(AE28=0,"",MIN(1,AF28/AE28))</f>
        <v/>
      </c>
      <c r="AH28">
        <f>IF(OR(AB28=0,AD28=0),"",AC28/AD28-1)</f>
        <v/>
      </c>
      <c r="AI28">
        <f>IF(AB28=0,"",AC28+ROW()/1000000)</f>
        <v/>
      </c>
      <c r="AJ28">
        <f>IF(AG28="","",AG28+ROW()/1000000000)</f>
        <v/>
      </c>
      <c r="AK28">
        <f>IF(AH28="","",AH28+ROW()/1000000000)</f>
        <v/>
      </c>
      <c r="AL28">
        <f>MAX(0,AE28-AF28)</f>
        <v/>
      </c>
      <c r="AM28">
        <f>IF(AND(AL28&gt;0,OR($B$6="*",AA28=$B$6)),ROW(),"")</f>
        <v/>
      </c>
      <c r="BB28">
        <f>IFERROR(SMALL($AM$3:$AM$95,26),"")</f>
        <v/>
      </c>
      <c r="BC28">
        <f>IF(BB28="","",INDEX($AA:$AA,BB28))</f>
        <v/>
      </c>
      <c r="BD28">
        <f>IF(BB28="","",INDEX($AE:$AE,BB28))</f>
        <v/>
      </c>
      <c r="BE28">
        <f>IF(BB28="","",INDEX($AF:$AF,BB28))</f>
        <v/>
      </c>
      <c r="BF28">
        <f>IF(BB28="","",INDEX($AL:$AL,BB28))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IF(B29="",0,COUNTIFS(DATA_MIDWEEK!$A:$A,B29,DATA_MIDWEEK!$C:$C,$B$6,DATA_MIDWEEK!$D:$D,$B$7))</f>
        <v/>
      </c>
      <c r="G29">
        <f>IF(F29=0,0,SUMIFS(DATA_MIDWEEK!$E:$E,DATA_MIDWEEK!$A:$A,B29,DATA_MIDWEEK!$C:$C,$B$6,DATA_MIDWEEK!$D:$D,$B$7))</f>
        <v/>
      </c>
      <c r="H29">
        <f>IF(F29=0,0,SUMIFS(DATA_MIDWEEK!$F:$F,DATA_MIDWEEK!$A:$A,B29,DATA_MIDWEEK!$C:$C,$B$6,DATA_MIDWEEK!$D:$D,$B$7))</f>
        <v/>
      </c>
      <c r="I29">
        <f>IF(F29=0,0,SUMIFS(DATA_MIDWEEK!$H:$H,DATA_MIDWEEK!$A:$A,B29,DATA_MIDWEEK!$C:$C,$B$6,DATA_MIDWEEK!$D:$D,$B$7))</f>
        <v/>
      </c>
      <c r="J29">
        <f>G29+H29</f>
        <v/>
      </c>
      <c r="K29">
        <f>J29+I29</f>
        <v/>
      </c>
      <c r="L29">
        <f>IF(F29=0,0,SUMIFS(DATA_MIDWEEK!$J:$J,DATA_MIDWEEK!$A:$A,B29,DATA_MIDWEEK!$C:$C,$B$6,DATA_MIDWEEK!$D:$D,$B$7))</f>
        <v/>
      </c>
      <c r="M29">
        <f>IF(F29=0,0,SUMIFS(DATA_MIDWEEK!$K:$K,DATA_MIDWEEK!$A:$A,B29,DATA_MIDWEEK!$C:$C,$B$6,DATA_MIDWEEK!$D:$D,$B$7))</f>
        <v/>
      </c>
      <c r="N29">
        <f>IF(B29="",0,IF($B$3="Zone",IF(AND($B$17,NOT($B$18)),1,0),MAX(0,SUMIFS(DATA_SERVICE_AREAS!$E:$E,DATA_SERVICE_AREAS!$A:$A,B29,DATA_SERVICE_AREAS!$C:$C,"MIDWEEK",DATA_SERVICE_AREAS!$D:$D,$B$6)-COUNTIFS(MASTER_ZONES!$C:$C,$B$6,MASTER_ZONES!$I:$I,"Y"))))</f>
        <v/>
      </c>
      <c r="O29">
        <f>IF(B29="",0,IF($B$3="Zone",IF(AND($B$17,NOT($B$18),F29&gt;0),1,0),MAX(0,SUMIFS(DATA_SERVICE_AREAS!$F:$F,DATA_SERVICE_AREAS!$A:$A,B29,DATA_SERVICE_AREAS!$C:$C,"MIDWEEK",DATA_SERVICE_AREAS!$D:$D,$B$6)-COUNTIFS(DATA_COMMUNITY!$A:$A,B29,DATA_COMMUNITY!$D:$D,"Midweek",DATA_COMMUNITY!$E:$E,$B$6))))</f>
        <v/>
      </c>
      <c r="P29">
        <f>MAX(0,N29-O29)</f>
        <v/>
      </c>
      <c r="Q29">
        <f>IF(N29=0,0,O29/N29)</f>
        <v/>
      </c>
      <c r="R29">
        <f>IF(O29=0,0,K29/O29)</f>
        <v/>
      </c>
      <c r="S29">
        <f>IF(OR(F29&gt;0,N29&gt;0),1,0)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IFERROR(INDEX(MASTER_AREAS!$B:$B,28)&amp;"","")</f>
        <v/>
      </c>
      <c r="AB29">
        <f>IF(OR(AA29="",$B$10=0),0,COUNTIFS(DATA_MIDWEEK!$A:$A,$B$10,DATA_MIDWEEK!$C:$C,AA29))</f>
        <v/>
      </c>
      <c r="AC29">
        <f>IF(AB29=0,0,SUMIFS(DATA_MIDWEEK!$I:$I,DATA_MIDWEEK!$A:$A,$B$10,DATA_MIDWEEK!$C:$C,AA29))</f>
        <v/>
      </c>
      <c r="AD29">
        <f>IF(OR(AA29="",$B$10=0),0,SUMIFS(DATA_MIDWEEK!$I:$I,DATA_MIDWEEK!$A:$A,$B$10-7,DATA_MIDWEEK!$C:$C,AA29))</f>
        <v/>
      </c>
      <c r="AE29">
        <f>IF(OR(AA29="",$B$10=0),0,MAX(0,SUMIFS(DATA_SERVICE_AREAS!$E:$E,DATA_SERVICE_AREAS!$A:$A,$B$10,DATA_SERVICE_AREAS!$C:$C,"MIDWEEK",DATA_SERVICE_AREAS!$D:$D,AA29)-COUNTIFS(MASTER_ZONES!$C:$C,AA29,MASTER_ZONES!$I:$I,"Y")))</f>
        <v/>
      </c>
      <c r="AF29">
        <f>IF(OR(AA29="",$B$10=0),0,MAX(0,SUMIFS(DATA_SERVICE_AREAS!$F:$F,DATA_SERVICE_AREAS!$A:$A,$B$10,DATA_SERVICE_AREAS!$C:$C,"MIDWEEK",DATA_SERVICE_AREAS!$D:$D,AA29)-COUNTIFS(DATA_COMMUNITY!$A:$A,$B$10,DATA_COMMUNITY!$D:$D,"Midweek",DATA_COMMUNITY!$E:$E,AA29)))</f>
        <v/>
      </c>
      <c r="AG29">
        <f>IF(AE29=0,"",MIN(1,AF29/AE29))</f>
        <v/>
      </c>
      <c r="AH29">
        <f>IF(OR(AB29=0,AD29=0),"",AC29/AD29-1)</f>
        <v/>
      </c>
      <c r="AI29">
        <f>IF(AB29=0,"",AC29+ROW()/1000000)</f>
        <v/>
      </c>
      <c r="AJ29">
        <f>IF(AG29="","",AG29+ROW()/1000000000)</f>
        <v/>
      </c>
      <c r="AK29">
        <f>IF(AH29="","",AH29+ROW()/1000000000)</f>
        <v/>
      </c>
      <c r="AL29">
        <f>MAX(0,AE29-AF29)</f>
        <v/>
      </c>
      <c r="AM29">
        <f>IF(AND(AL29&gt;0,OR($B$6="*",AA29=$B$6)),ROW(),"")</f>
        <v/>
      </c>
      <c r="BB29">
        <f>IFERROR(SMALL($AM$3:$AM$95,27),"")</f>
        <v/>
      </c>
      <c r="BC29">
        <f>IF(BB29="","",INDEX($AA:$AA,BB29))</f>
        <v/>
      </c>
      <c r="BD29">
        <f>IF(BB29="","",INDEX($AE:$AE,BB29))</f>
        <v/>
      </c>
      <c r="BE29">
        <f>IF(BB29="","",INDEX($AF:$AF,BB29))</f>
        <v/>
      </c>
      <c r="BF29">
        <f>IF(BB29="","",INDEX($AL:$AL,BB29))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IF(B30="",0,COUNTIFS(DATA_MIDWEEK!$A:$A,B30,DATA_MIDWEEK!$C:$C,$B$6,DATA_MIDWEEK!$D:$D,$B$7))</f>
        <v/>
      </c>
      <c r="G30">
        <f>IF(F30=0,0,SUMIFS(DATA_MIDWEEK!$E:$E,DATA_MIDWEEK!$A:$A,B30,DATA_MIDWEEK!$C:$C,$B$6,DATA_MIDWEEK!$D:$D,$B$7))</f>
        <v/>
      </c>
      <c r="H30">
        <f>IF(F30=0,0,SUMIFS(DATA_MIDWEEK!$F:$F,DATA_MIDWEEK!$A:$A,B30,DATA_MIDWEEK!$C:$C,$B$6,DATA_MIDWEEK!$D:$D,$B$7))</f>
        <v/>
      </c>
      <c r="I30">
        <f>IF(F30=0,0,SUMIFS(DATA_MIDWEEK!$H:$H,DATA_MIDWEEK!$A:$A,B30,DATA_MIDWEEK!$C:$C,$B$6,DATA_MIDWEEK!$D:$D,$B$7))</f>
        <v/>
      </c>
      <c r="J30">
        <f>G30+H30</f>
        <v/>
      </c>
      <c r="K30">
        <f>J30+I30</f>
        <v/>
      </c>
      <c r="L30">
        <f>IF(F30=0,0,SUMIFS(DATA_MIDWEEK!$J:$J,DATA_MIDWEEK!$A:$A,B30,DATA_MIDWEEK!$C:$C,$B$6,DATA_MIDWEEK!$D:$D,$B$7))</f>
        <v/>
      </c>
      <c r="M30">
        <f>IF(F30=0,0,SUMIFS(DATA_MIDWEEK!$K:$K,DATA_MIDWEEK!$A:$A,B30,DATA_MIDWEEK!$C:$C,$B$6,DATA_MIDWEEK!$D:$D,$B$7))</f>
        <v/>
      </c>
      <c r="N30">
        <f>IF(B30="",0,IF($B$3="Zone",IF(AND($B$17,NOT($B$18)),1,0),MAX(0,SUMIFS(DATA_SERVICE_AREAS!$E:$E,DATA_SERVICE_AREAS!$A:$A,B30,DATA_SERVICE_AREAS!$C:$C,"MIDWEEK",DATA_SERVICE_AREAS!$D:$D,$B$6)-COUNTIFS(MASTER_ZONES!$C:$C,$B$6,MASTER_ZONES!$I:$I,"Y"))))</f>
        <v/>
      </c>
      <c r="O30">
        <f>IF(B30="",0,IF($B$3="Zone",IF(AND($B$17,NOT($B$18),F30&gt;0),1,0),MAX(0,SUMIFS(DATA_SERVICE_AREAS!$F:$F,DATA_SERVICE_AREAS!$A:$A,B30,DATA_SERVICE_AREAS!$C:$C,"MIDWEEK",DATA_SERVICE_AREAS!$D:$D,$B$6)-COUNTIFS(DATA_COMMUNITY!$A:$A,B30,DATA_COMMUNITY!$D:$D,"Midweek",DATA_COMMUNITY!$E:$E,$B$6))))</f>
        <v/>
      </c>
      <c r="P30">
        <f>MAX(0,N30-O30)</f>
        <v/>
      </c>
      <c r="Q30">
        <f>IF(N30=0,0,O30/N30)</f>
        <v/>
      </c>
      <c r="R30">
        <f>IF(O30=0,0,K30/O30)</f>
        <v/>
      </c>
      <c r="S30">
        <f>IF(OR(F30&gt;0,N30&gt;0),1,0)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IFERROR(INDEX(MASTER_AREAS!$B:$B,29)&amp;"","")</f>
        <v/>
      </c>
      <c r="AB30">
        <f>IF(OR(AA30="",$B$10=0),0,COUNTIFS(DATA_MIDWEEK!$A:$A,$B$10,DATA_MIDWEEK!$C:$C,AA30))</f>
        <v/>
      </c>
      <c r="AC30">
        <f>IF(AB30=0,0,SUMIFS(DATA_MIDWEEK!$I:$I,DATA_MIDWEEK!$A:$A,$B$10,DATA_MIDWEEK!$C:$C,AA30))</f>
        <v/>
      </c>
      <c r="AD30">
        <f>IF(OR(AA30="",$B$10=0),0,SUMIFS(DATA_MIDWEEK!$I:$I,DATA_MIDWEEK!$A:$A,$B$10-7,DATA_MIDWEEK!$C:$C,AA30))</f>
        <v/>
      </c>
      <c r="AE30">
        <f>IF(OR(AA30="",$B$10=0),0,MAX(0,SUMIFS(DATA_SERVICE_AREAS!$E:$E,DATA_SERVICE_AREAS!$A:$A,$B$10,DATA_SERVICE_AREAS!$C:$C,"MIDWEEK",DATA_SERVICE_AREAS!$D:$D,AA30)-COUNTIFS(MASTER_ZONES!$C:$C,AA30,MASTER_ZONES!$I:$I,"Y")))</f>
        <v/>
      </c>
      <c r="AF30">
        <f>IF(OR(AA30="",$B$10=0),0,MAX(0,SUMIFS(DATA_SERVICE_AREAS!$F:$F,DATA_SERVICE_AREAS!$A:$A,$B$10,DATA_SERVICE_AREAS!$C:$C,"MIDWEEK",DATA_SERVICE_AREAS!$D:$D,AA30)-COUNTIFS(DATA_COMMUNITY!$A:$A,$B$10,DATA_COMMUNITY!$D:$D,"Midweek",DATA_COMMUNITY!$E:$E,AA30)))</f>
        <v/>
      </c>
      <c r="AG30">
        <f>IF(AE30=0,"",MIN(1,AF30/AE30))</f>
        <v/>
      </c>
      <c r="AH30">
        <f>IF(OR(AB30=0,AD30=0),"",AC30/AD30-1)</f>
        <v/>
      </c>
      <c r="AI30">
        <f>IF(AB30=0,"",AC30+ROW()/1000000)</f>
        <v/>
      </c>
      <c r="AJ30">
        <f>IF(AG30="","",AG30+ROW()/1000000000)</f>
        <v/>
      </c>
      <c r="AK30">
        <f>IF(AH30="","",AH30+ROW()/1000000000)</f>
        <v/>
      </c>
      <c r="AL30">
        <f>MAX(0,AE30-AF30)</f>
        <v/>
      </c>
      <c r="AM30">
        <f>IF(AND(AL30&gt;0,OR($B$6="*",AA30=$B$6)),ROW(),"")</f>
        <v/>
      </c>
      <c r="BB30">
        <f>IFERROR(SMALL($AM$3:$AM$95,28),"")</f>
        <v/>
      </c>
      <c r="BC30">
        <f>IF(BB30="","",INDEX($AA:$AA,BB30))</f>
        <v/>
      </c>
      <c r="BD30">
        <f>IF(BB30="","",INDEX($AE:$AE,BB30))</f>
        <v/>
      </c>
      <c r="BE30">
        <f>IF(BB30="","",INDEX($AF:$AF,BB30))</f>
        <v/>
      </c>
      <c r="BF30">
        <f>IF(BB30="","",INDEX($AL:$AL,BB30))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IF(B31="",0,COUNTIFS(DATA_MIDWEEK!$A:$A,B31,DATA_MIDWEEK!$C:$C,$B$6,DATA_MIDWEEK!$D:$D,$B$7))</f>
        <v/>
      </c>
      <c r="G31">
        <f>IF(F31=0,0,SUMIFS(DATA_MIDWEEK!$E:$E,DATA_MIDWEEK!$A:$A,B31,DATA_MIDWEEK!$C:$C,$B$6,DATA_MIDWEEK!$D:$D,$B$7))</f>
        <v/>
      </c>
      <c r="H31">
        <f>IF(F31=0,0,SUMIFS(DATA_MIDWEEK!$F:$F,DATA_MIDWEEK!$A:$A,B31,DATA_MIDWEEK!$C:$C,$B$6,DATA_MIDWEEK!$D:$D,$B$7))</f>
        <v/>
      </c>
      <c r="I31">
        <f>IF(F31=0,0,SUMIFS(DATA_MIDWEEK!$H:$H,DATA_MIDWEEK!$A:$A,B31,DATA_MIDWEEK!$C:$C,$B$6,DATA_MIDWEEK!$D:$D,$B$7))</f>
        <v/>
      </c>
      <c r="J31">
        <f>G31+H31</f>
        <v/>
      </c>
      <c r="K31">
        <f>J31+I31</f>
        <v/>
      </c>
      <c r="L31">
        <f>IF(F31=0,0,SUMIFS(DATA_MIDWEEK!$J:$J,DATA_MIDWEEK!$A:$A,B31,DATA_MIDWEEK!$C:$C,$B$6,DATA_MIDWEEK!$D:$D,$B$7))</f>
        <v/>
      </c>
      <c r="M31">
        <f>IF(F31=0,0,SUMIFS(DATA_MIDWEEK!$K:$K,DATA_MIDWEEK!$A:$A,B31,DATA_MIDWEEK!$C:$C,$B$6,DATA_MIDWEEK!$D:$D,$B$7))</f>
        <v/>
      </c>
      <c r="N31">
        <f>IF(B31="",0,IF($B$3="Zone",IF(AND($B$17,NOT($B$18)),1,0),MAX(0,SUMIFS(DATA_SERVICE_AREAS!$E:$E,DATA_SERVICE_AREAS!$A:$A,B31,DATA_SERVICE_AREAS!$C:$C,"MIDWEEK",DATA_SERVICE_AREAS!$D:$D,$B$6)-COUNTIFS(MASTER_ZONES!$C:$C,$B$6,MASTER_ZONES!$I:$I,"Y"))))</f>
        <v/>
      </c>
      <c r="O31">
        <f>IF(B31="",0,IF($B$3="Zone",IF(AND($B$17,NOT($B$18),F31&gt;0),1,0),MAX(0,SUMIFS(DATA_SERVICE_AREAS!$F:$F,DATA_SERVICE_AREAS!$A:$A,B31,DATA_SERVICE_AREAS!$C:$C,"MIDWEEK",DATA_SERVICE_AREAS!$D:$D,$B$6)-COUNTIFS(DATA_COMMUNITY!$A:$A,B31,DATA_COMMUNITY!$D:$D,"Midweek",DATA_COMMUNITY!$E:$E,$B$6))))</f>
        <v/>
      </c>
      <c r="P31">
        <f>MAX(0,N31-O31)</f>
        <v/>
      </c>
      <c r="Q31">
        <f>IF(N31=0,0,O31/N31)</f>
        <v/>
      </c>
      <c r="R31">
        <f>IF(O31=0,0,K31/O31)</f>
        <v/>
      </c>
      <c r="S31">
        <f>IF(OR(F31&gt;0,N31&gt;0),1,0)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IFERROR(INDEX(MASTER_AREAS!$B:$B,30)&amp;"","")</f>
        <v/>
      </c>
      <c r="AB31">
        <f>IF(OR(AA31="",$B$10=0),0,COUNTIFS(DATA_MIDWEEK!$A:$A,$B$10,DATA_MIDWEEK!$C:$C,AA31))</f>
        <v/>
      </c>
      <c r="AC31">
        <f>IF(AB31=0,0,SUMIFS(DATA_MIDWEEK!$I:$I,DATA_MIDWEEK!$A:$A,$B$10,DATA_MIDWEEK!$C:$C,AA31))</f>
        <v/>
      </c>
      <c r="AD31">
        <f>IF(OR(AA31="",$B$10=0),0,SUMIFS(DATA_MIDWEEK!$I:$I,DATA_MIDWEEK!$A:$A,$B$10-7,DATA_MIDWEEK!$C:$C,AA31))</f>
        <v/>
      </c>
      <c r="AE31">
        <f>IF(OR(AA31="",$B$10=0),0,MAX(0,SUMIFS(DATA_SERVICE_AREAS!$E:$E,DATA_SERVICE_AREAS!$A:$A,$B$10,DATA_SERVICE_AREAS!$C:$C,"MIDWEEK",DATA_SERVICE_AREAS!$D:$D,AA31)-COUNTIFS(MASTER_ZONES!$C:$C,AA31,MASTER_ZONES!$I:$I,"Y")))</f>
        <v/>
      </c>
      <c r="AF31">
        <f>IF(OR(AA31="",$B$10=0),0,MAX(0,SUMIFS(DATA_SERVICE_AREAS!$F:$F,DATA_SERVICE_AREAS!$A:$A,$B$10,DATA_SERVICE_AREAS!$C:$C,"MIDWEEK",DATA_SERVICE_AREAS!$D:$D,AA31)-COUNTIFS(DATA_COMMUNITY!$A:$A,$B$10,DATA_COMMUNITY!$D:$D,"Midweek",DATA_COMMUNITY!$E:$E,AA31)))</f>
        <v/>
      </c>
      <c r="AG31">
        <f>IF(AE31=0,"",MIN(1,AF31/AE31))</f>
        <v/>
      </c>
      <c r="AH31">
        <f>IF(OR(AB31=0,AD31=0),"",AC31/AD31-1)</f>
        <v/>
      </c>
      <c r="AI31">
        <f>IF(AB31=0,"",AC31+ROW()/1000000)</f>
        <v/>
      </c>
      <c r="AJ31">
        <f>IF(AG31="","",AG31+ROW()/1000000000)</f>
        <v/>
      </c>
      <c r="AK31">
        <f>IF(AH31="","",AH31+ROW()/1000000000)</f>
        <v/>
      </c>
      <c r="AL31">
        <f>MAX(0,AE31-AF31)</f>
        <v/>
      </c>
      <c r="AM31">
        <f>IF(AND(AL31&gt;0,OR($B$6="*",AA31=$B$6)),ROW(),"")</f>
        <v/>
      </c>
      <c r="BB31">
        <f>IFERROR(SMALL($AM$3:$AM$95,29),"")</f>
        <v/>
      </c>
      <c r="BC31">
        <f>IF(BB31="","",INDEX($AA:$AA,BB31))</f>
        <v/>
      </c>
      <c r="BD31">
        <f>IF(BB31="","",INDEX($AE:$AE,BB31))</f>
        <v/>
      </c>
      <c r="BE31">
        <f>IF(BB31="","",INDEX($AF:$AF,BB31))</f>
        <v/>
      </c>
      <c r="BF31">
        <f>IF(BB31="","",INDEX($AL:$AL,BB31))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IF(B32="",0,COUNTIFS(DATA_MIDWEEK!$A:$A,B32,DATA_MIDWEEK!$C:$C,$B$6,DATA_MIDWEEK!$D:$D,$B$7))</f>
        <v/>
      </c>
      <c r="G32">
        <f>IF(F32=0,0,SUMIFS(DATA_MIDWEEK!$E:$E,DATA_MIDWEEK!$A:$A,B32,DATA_MIDWEEK!$C:$C,$B$6,DATA_MIDWEEK!$D:$D,$B$7))</f>
        <v/>
      </c>
      <c r="H32">
        <f>IF(F32=0,0,SUMIFS(DATA_MIDWEEK!$F:$F,DATA_MIDWEEK!$A:$A,B32,DATA_MIDWEEK!$C:$C,$B$6,DATA_MIDWEEK!$D:$D,$B$7))</f>
        <v/>
      </c>
      <c r="I32">
        <f>IF(F32=0,0,SUMIFS(DATA_MIDWEEK!$H:$H,DATA_MIDWEEK!$A:$A,B32,DATA_MIDWEEK!$C:$C,$B$6,DATA_MIDWEEK!$D:$D,$B$7))</f>
        <v/>
      </c>
      <c r="J32">
        <f>G32+H32</f>
        <v/>
      </c>
      <c r="K32">
        <f>J32+I32</f>
        <v/>
      </c>
      <c r="L32">
        <f>IF(F32=0,0,SUMIFS(DATA_MIDWEEK!$J:$J,DATA_MIDWEEK!$A:$A,B32,DATA_MIDWEEK!$C:$C,$B$6,DATA_MIDWEEK!$D:$D,$B$7))</f>
        <v/>
      </c>
      <c r="M32">
        <f>IF(F32=0,0,SUMIFS(DATA_MIDWEEK!$K:$K,DATA_MIDWEEK!$A:$A,B32,DATA_MIDWEEK!$C:$C,$B$6,DATA_MIDWEEK!$D:$D,$B$7))</f>
        <v/>
      </c>
      <c r="N32">
        <f>IF(B32="",0,IF($B$3="Zone",IF(AND($B$17,NOT($B$18)),1,0),MAX(0,SUMIFS(DATA_SERVICE_AREAS!$E:$E,DATA_SERVICE_AREAS!$A:$A,B32,DATA_SERVICE_AREAS!$C:$C,"MIDWEEK",DATA_SERVICE_AREAS!$D:$D,$B$6)-COUNTIFS(MASTER_ZONES!$C:$C,$B$6,MASTER_ZONES!$I:$I,"Y"))))</f>
        <v/>
      </c>
      <c r="O32">
        <f>IF(B32="",0,IF($B$3="Zone",IF(AND($B$17,NOT($B$18),F32&gt;0),1,0),MAX(0,SUMIFS(DATA_SERVICE_AREAS!$F:$F,DATA_SERVICE_AREAS!$A:$A,B32,DATA_SERVICE_AREAS!$C:$C,"MIDWEEK",DATA_SERVICE_AREAS!$D:$D,$B$6)-COUNTIFS(DATA_COMMUNITY!$A:$A,B32,DATA_COMMUNITY!$D:$D,"Midweek",DATA_COMMUNITY!$E:$E,$B$6))))</f>
        <v/>
      </c>
      <c r="P32">
        <f>MAX(0,N32-O32)</f>
        <v/>
      </c>
      <c r="Q32">
        <f>IF(N32=0,0,O32/N32)</f>
        <v/>
      </c>
      <c r="R32">
        <f>IF(O32=0,0,K32/O32)</f>
        <v/>
      </c>
      <c r="S32">
        <f>IF(OR(F32&gt;0,N32&gt;0),1,0)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IFERROR(INDEX(MASTER_AREAS!$B:$B,31)&amp;"","")</f>
        <v/>
      </c>
      <c r="AB32">
        <f>IF(OR(AA32="",$B$10=0),0,COUNTIFS(DATA_MIDWEEK!$A:$A,$B$10,DATA_MIDWEEK!$C:$C,AA32))</f>
        <v/>
      </c>
      <c r="AC32">
        <f>IF(AB32=0,0,SUMIFS(DATA_MIDWEEK!$I:$I,DATA_MIDWEEK!$A:$A,$B$10,DATA_MIDWEEK!$C:$C,AA32))</f>
        <v/>
      </c>
      <c r="AD32">
        <f>IF(OR(AA32="",$B$10=0),0,SUMIFS(DATA_MIDWEEK!$I:$I,DATA_MIDWEEK!$A:$A,$B$10-7,DATA_MIDWEEK!$C:$C,AA32))</f>
        <v/>
      </c>
      <c r="AE32">
        <f>IF(OR(AA32="",$B$10=0),0,MAX(0,SUMIFS(DATA_SERVICE_AREAS!$E:$E,DATA_SERVICE_AREAS!$A:$A,$B$10,DATA_SERVICE_AREAS!$C:$C,"MIDWEEK",DATA_SERVICE_AREAS!$D:$D,AA32)-COUNTIFS(MASTER_ZONES!$C:$C,AA32,MASTER_ZONES!$I:$I,"Y")))</f>
        <v/>
      </c>
      <c r="AF32">
        <f>IF(OR(AA32="",$B$10=0),0,MAX(0,SUMIFS(DATA_SERVICE_AREAS!$F:$F,DATA_SERVICE_AREAS!$A:$A,$B$10,DATA_SERVICE_AREAS!$C:$C,"MIDWEEK",DATA_SERVICE_AREAS!$D:$D,AA32)-COUNTIFS(DATA_COMMUNITY!$A:$A,$B$10,DATA_COMMUNITY!$D:$D,"Midweek",DATA_COMMUNITY!$E:$E,AA32)))</f>
        <v/>
      </c>
      <c r="AG32">
        <f>IF(AE32=0,"",MIN(1,AF32/AE32))</f>
        <v/>
      </c>
      <c r="AH32">
        <f>IF(OR(AB32=0,AD32=0),"",AC32/AD32-1)</f>
        <v/>
      </c>
      <c r="AI32">
        <f>IF(AB32=0,"",AC32+ROW()/1000000)</f>
        <v/>
      </c>
      <c r="AJ32">
        <f>IF(AG32="","",AG32+ROW()/1000000000)</f>
        <v/>
      </c>
      <c r="AK32">
        <f>IF(AH32="","",AH32+ROW()/1000000000)</f>
        <v/>
      </c>
      <c r="AL32">
        <f>MAX(0,AE32-AF32)</f>
        <v/>
      </c>
      <c r="AM32">
        <f>IF(AND(AL32&gt;0,OR($B$6="*",AA32=$B$6)),ROW(),"")</f>
        <v/>
      </c>
      <c r="BB32">
        <f>IFERROR(SMALL($AM$3:$AM$95,30),"")</f>
        <v/>
      </c>
      <c r="BC32">
        <f>IF(BB32="","",INDEX($AA:$AA,BB32))</f>
        <v/>
      </c>
      <c r="BD32">
        <f>IF(BB32="","",INDEX($AE:$AE,BB32))</f>
        <v/>
      </c>
      <c r="BE32">
        <f>IF(BB32="","",INDEX($AF:$AF,BB32))</f>
        <v/>
      </c>
      <c r="BF32">
        <f>IF(BB32="","",INDEX($AL:$AL,BB32))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IF(B33="",0,COUNTIFS(DATA_MIDWEEK!$A:$A,B33,DATA_MIDWEEK!$C:$C,$B$6,DATA_MIDWEEK!$D:$D,$B$7))</f>
        <v/>
      </c>
      <c r="G33">
        <f>IF(F33=0,0,SUMIFS(DATA_MIDWEEK!$E:$E,DATA_MIDWEEK!$A:$A,B33,DATA_MIDWEEK!$C:$C,$B$6,DATA_MIDWEEK!$D:$D,$B$7))</f>
        <v/>
      </c>
      <c r="H33">
        <f>IF(F33=0,0,SUMIFS(DATA_MIDWEEK!$F:$F,DATA_MIDWEEK!$A:$A,B33,DATA_MIDWEEK!$C:$C,$B$6,DATA_MIDWEEK!$D:$D,$B$7))</f>
        <v/>
      </c>
      <c r="I33">
        <f>IF(F33=0,0,SUMIFS(DATA_MIDWEEK!$H:$H,DATA_MIDWEEK!$A:$A,B33,DATA_MIDWEEK!$C:$C,$B$6,DATA_MIDWEEK!$D:$D,$B$7))</f>
        <v/>
      </c>
      <c r="J33">
        <f>G33+H33</f>
        <v/>
      </c>
      <c r="K33">
        <f>J33+I33</f>
        <v/>
      </c>
      <c r="L33">
        <f>IF(F33=0,0,SUMIFS(DATA_MIDWEEK!$J:$J,DATA_MIDWEEK!$A:$A,B33,DATA_MIDWEEK!$C:$C,$B$6,DATA_MIDWEEK!$D:$D,$B$7))</f>
        <v/>
      </c>
      <c r="M33">
        <f>IF(F33=0,0,SUMIFS(DATA_MIDWEEK!$K:$K,DATA_MIDWEEK!$A:$A,B33,DATA_MIDWEEK!$C:$C,$B$6,DATA_MIDWEEK!$D:$D,$B$7))</f>
        <v/>
      </c>
      <c r="N33">
        <f>IF(B33="",0,IF($B$3="Zone",IF(AND($B$17,NOT($B$18)),1,0),MAX(0,SUMIFS(DATA_SERVICE_AREAS!$E:$E,DATA_SERVICE_AREAS!$A:$A,B33,DATA_SERVICE_AREAS!$C:$C,"MIDWEEK",DATA_SERVICE_AREAS!$D:$D,$B$6)-COUNTIFS(MASTER_ZONES!$C:$C,$B$6,MASTER_ZONES!$I:$I,"Y"))))</f>
        <v/>
      </c>
      <c r="O33">
        <f>IF(B33="",0,IF($B$3="Zone",IF(AND($B$17,NOT($B$18),F33&gt;0),1,0),MAX(0,SUMIFS(DATA_SERVICE_AREAS!$F:$F,DATA_SERVICE_AREAS!$A:$A,B33,DATA_SERVICE_AREAS!$C:$C,"MIDWEEK",DATA_SERVICE_AREAS!$D:$D,$B$6)-COUNTIFS(DATA_COMMUNITY!$A:$A,B33,DATA_COMMUNITY!$D:$D,"Midweek",DATA_COMMUNITY!$E:$E,$B$6))))</f>
        <v/>
      </c>
      <c r="P33">
        <f>MAX(0,N33-O33)</f>
        <v/>
      </c>
      <c r="Q33">
        <f>IF(N33=0,0,O33/N33)</f>
        <v/>
      </c>
      <c r="R33">
        <f>IF(O33=0,0,K33/O33)</f>
        <v/>
      </c>
      <c r="S33">
        <f>IF(OR(F33&gt;0,N33&gt;0),1,0)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IFERROR(INDEX(MASTER_AREAS!$B:$B,32)&amp;"","")</f>
        <v/>
      </c>
      <c r="AB33">
        <f>IF(OR(AA33="",$B$10=0),0,COUNTIFS(DATA_MIDWEEK!$A:$A,$B$10,DATA_MIDWEEK!$C:$C,AA33))</f>
        <v/>
      </c>
      <c r="AC33">
        <f>IF(AB33=0,0,SUMIFS(DATA_MIDWEEK!$I:$I,DATA_MIDWEEK!$A:$A,$B$10,DATA_MIDWEEK!$C:$C,AA33))</f>
        <v/>
      </c>
      <c r="AD33">
        <f>IF(OR(AA33="",$B$10=0),0,SUMIFS(DATA_MIDWEEK!$I:$I,DATA_MIDWEEK!$A:$A,$B$10-7,DATA_MIDWEEK!$C:$C,AA33))</f>
        <v/>
      </c>
      <c r="AE33">
        <f>IF(OR(AA33="",$B$10=0),0,MAX(0,SUMIFS(DATA_SERVICE_AREAS!$E:$E,DATA_SERVICE_AREAS!$A:$A,$B$10,DATA_SERVICE_AREAS!$C:$C,"MIDWEEK",DATA_SERVICE_AREAS!$D:$D,AA33)-COUNTIFS(MASTER_ZONES!$C:$C,AA33,MASTER_ZONES!$I:$I,"Y")))</f>
        <v/>
      </c>
      <c r="AF33">
        <f>IF(OR(AA33="",$B$10=0),0,MAX(0,SUMIFS(DATA_SERVICE_AREAS!$F:$F,DATA_SERVICE_AREAS!$A:$A,$B$10,DATA_SERVICE_AREAS!$C:$C,"MIDWEEK",DATA_SERVICE_AREAS!$D:$D,AA33)-COUNTIFS(DATA_COMMUNITY!$A:$A,$B$10,DATA_COMMUNITY!$D:$D,"Midweek",DATA_COMMUNITY!$E:$E,AA33)))</f>
        <v/>
      </c>
      <c r="AG33">
        <f>IF(AE33=0,"",MIN(1,AF33/AE33))</f>
        <v/>
      </c>
      <c r="AH33">
        <f>IF(OR(AB33=0,AD33=0),"",AC33/AD33-1)</f>
        <v/>
      </c>
      <c r="AI33">
        <f>IF(AB33=0,"",AC33+ROW()/1000000)</f>
        <v/>
      </c>
      <c r="AJ33">
        <f>IF(AG33="","",AG33+ROW()/1000000000)</f>
        <v/>
      </c>
      <c r="AK33">
        <f>IF(AH33="","",AH33+ROW()/1000000000)</f>
        <v/>
      </c>
      <c r="AL33">
        <f>MAX(0,AE33-AF33)</f>
        <v/>
      </c>
      <c r="AM33">
        <f>IF(AND(AL33&gt;0,OR($B$6="*",AA33=$B$6)),ROW(),"")</f>
        <v/>
      </c>
      <c r="BB33">
        <f>IFERROR(SMALL($AM$3:$AM$95,31),"")</f>
        <v/>
      </c>
      <c r="BC33">
        <f>IF(BB33="","",INDEX($AA:$AA,BB33))</f>
        <v/>
      </c>
      <c r="BD33">
        <f>IF(BB33="","",INDEX($AE:$AE,BB33))</f>
        <v/>
      </c>
      <c r="BE33">
        <f>IF(BB33="","",INDEX($AF:$AF,BB33))</f>
        <v/>
      </c>
      <c r="BF33">
        <f>IF(BB33="","",INDEX($AL:$AL,BB33))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IF(B34="",0,COUNTIFS(DATA_MIDWEEK!$A:$A,B34,DATA_MIDWEEK!$C:$C,$B$6,DATA_MIDWEEK!$D:$D,$B$7))</f>
        <v/>
      </c>
      <c r="G34">
        <f>IF(F34=0,0,SUMIFS(DATA_MIDWEEK!$E:$E,DATA_MIDWEEK!$A:$A,B34,DATA_MIDWEEK!$C:$C,$B$6,DATA_MIDWEEK!$D:$D,$B$7))</f>
        <v/>
      </c>
      <c r="H34">
        <f>IF(F34=0,0,SUMIFS(DATA_MIDWEEK!$F:$F,DATA_MIDWEEK!$A:$A,B34,DATA_MIDWEEK!$C:$C,$B$6,DATA_MIDWEEK!$D:$D,$B$7))</f>
        <v/>
      </c>
      <c r="I34">
        <f>IF(F34=0,0,SUMIFS(DATA_MIDWEEK!$H:$H,DATA_MIDWEEK!$A:$A,B34,DATA_MIDWEEK!$C:$C,$B$6,DATA_MIDWEEK!$D:$D,$B$7))</f>
        <v/>
      </c>
      <c r="J34">
        <f>G34+H34</f>
        <v/>
      </c>
      <c r="K34">
        <f>J34+I34</f>
        <v/>
      </c>
      <c r="L34">
        <f>IF(F34=0,0,SUMIFS(DATA_MIDWEEK!$J:$J,DATA_MIDWEEK!$A:$A,B34,DATA_MIDWEEK!$C:$C,$B$6,DATA_MIDWEEK!$D:$D,$B$7))</f>
        <v/>
      </c>
      <c r="M34">
        <f>IF(F34=0,0,SUMIFS(DATA_MIDWEEK!$K:$K,DATA_MIDWEEK!$A:$A,B34,DATA_MIDWEEK!$C:$C,$B$6,DATA_MIDWEEK!$D:$D,$B$7))</f>
        <v/>
      </c>
      <c r="N34">
        <f>IF(B34="",0,IF($B$3="Zone",IF(AND($B$17,NOT($B$18)),1,0),MAX(0,SUMIFS(DATA_SERVICE_AREAS!$E:$E,DATA_SERVICE_AREAS!$A:$A,B34,DATA_SERVICE_AREAS!$C:$C,"MIDWEEK",DATA_SERVICE_AREAS!$D:$D,$B$6)-COUNTIFS(MASTER_ZONES!$C:$C,$B$6,MASTER_ZONES!$I:$I,"Y"))))</f>
        <v/>
      </c>
      <c r="O34">
        <f>IF(B34="",0,IF($B$3="Zone",IF(AND($B$17,NOT($B$18),F34&gt;0),1,0),MAX(0,SUMIFS(DATA_SERVICE_AREAS!$F:$F,DATA_SERVICE_AREAS!$A:$A,B34,DATA_SERVICE_AREAS!$C:$C,"MIDWEEK",DATA_SERVICE_AREAS!$D:$D,$B$6)-COUNTIFS(DATA_COMMUNITY!$A:$A,B34,DATA_COMMUNITY!$D:$D,"Midweek",DATA_COMMUNITY!$E:$E,$B$6))))</f>
        <v/>
      </c>
      <c r="P34">
        <f>MAX(0,N34-O34)</f>
        <v/>
      </c>
      <c r="Q34">
        <f>IF(N34=0,0,O34/N34)</f>
        <v/>
      </c>
      <c r="R34">
        <f>IF(O34=0,0,K34/O34)</f>
        <v/>
      </c>
      <c r="S34">
        <f>IF(OR(F34&gt;0,N34&gt;0),1,0)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IFERROR(INDEX(MASTER_AREAS!$B:$B,33)&amp;"","")</f>
        <v/>
      </c>
      <c r="AB34">
        <f>IF(OR(AA34="",$B$10=0),0,COUNTIFS(DATA_MIDWEEK!$A:$A,$B$10,DATA_MIDWEEK!$C:$C,AA34))</f>
        <v/>
      </c>
      <c r="AC34">
        <f>IF(AB34=0,0,SUMIFS(DATA_MIDWEEK!$I:$I,DATA_MIDWEEK!$A:$A,$B$10,DATA_MIDWEEK!$C:$C,AA34))</f>
        <v/>
      </c>
      <c r="AD34">
        <f>IF(OR(AA34="",$B$10=0),0,SUMIFS(DATA_MIDWEEK!$I:$I,DATA_MIDWEEK!$A:$A,$B$10-7,DATA_MIDWEEK!$C:$C,AA34))</f>
        <v/>
      </c>
      <c r="AE34">
        <f>IF(OR(AA34="",$B$10=0),0,MAX(0,SUMIFS(DATA_SERVICE_AREAS!$E:$E,DATA_SERVICE_AREAS!$A:$A,$B$10,DATA_SERVICE_AREAS!$C:$C,"MIDWEEK",DATA_SERVICE_AREAS!$D:$D,AA34)-COUNTIFS(MASTER_ZONES!$C:$C,AA34,MASTER_ZONES!$I:$I,"Y")))</f>
        <v/>
      </c>
      <c r="AF34">
        <f>IF(OR(AA34="",$B$10=0),0,MAX(0,SUMIFS(DATA_SERVICE_AREAS!$F:$F,DATA_SERVICE_AREAS!$A:$A,$B$10,DATA_SERVICE_AREAS!$C:$C,"MIDWEEK",DATA_SERVICE_AREAS!$D:$D,AA34)-COUNTIFS(DATA_COMMUNITY!$A:$A,$B$10,DATA_COMMUNITY!$D:$D,"Midweek",DATA_COMMUNITY!$E:$E,AA34)))</f>
        <v/>
      </c>
      <c r="AG34">
        <f>IF(AE34=0,"",MIN(1,AF34/AE34))</f>
        <v/>
      </c>
      <c r="AH34">
        <f>IF(OR(AB34=0,AD34=0),"",AC34/AD34-1)</f>
        <v/>
      </c>
      <c r="AI34">
        <f>IF(AB34=0,"",AC34+ROW()/1000000)</f>
        <v/>
      </c>
      <c r="AJ34">
        <f>IF(AG34="","",AG34+ROW()/1000000000)</f>
        <v/>
      </c>
      <c r="AK34">
        <f>IF(AH34="","",AH34+ROW()/1000000000)</f>
        <v/>
      </c>
      <c r="AL34">
        <f>MAX(0,AE34-AF34)</f>
        <v/>
      </c>
      <c r="AM34">
        <f>IF(AND(AL34&gt;0,OR($B$6="*",AA34=$B$6)),ROW(),"")</f>
        <v/>
      </c>
      <c r="BB34">
        <f>IFERROR(SMALL($AM$3:$AM$95,32),"")</f>
        <v/>
      </c>
      <c r="BC34">
        <f>IF(BB34="","",INDEX($AA:$AA,BB34))</f>
        <v/>
      </c>
      <c r="BD34">
        <f>IF(BB34="","",INDEX($AE:$AE,BB34))</f>
        <v/>
      </c>
      <c r="BE34">
        <f>IF(BB34="","",INDEX($AF:$AF,BB34))</f>
        <v/>
      </c>
      <c r="BF34">
        <f>IF(BB34="","",INDEX($AL:$AL,BB34))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IF(B35="",0,COUNTIFS(DATA_MIDWEEK!$A:$A,B35,DATA_MIDWEEK!$C:$C,$B$6,DATA_MIDWEEK!$D:$D,$B$7))</f>
        <v/>
      </c>
      <c r="G35">
        <f>IF(F35=0,0,SUMIFS(DATA_MIDWEEK!$E:$E,DATA_MIDWEEK!$A:$A,B35,DATA_MIDWEEK!$C:$C,$B$6,DATA_MIDWEEK!$D:$D,$B$7))</f>
        <v/>
      </c>
      <c r="H35">
        <f>IF(F35=0,0,SUMIFS(DATA_MIDWEEK!$F:$F,DATA_MIDWEEK!$A:$A,B35,DATA_MIDWEEK!$C:$C,$B$6,DATA_MIDWEEK!$D:$D,$B$7))</f>
        <v/>
      </c>
      <c r="I35">
        <f>IF(F35=0,0,SUMIFS(DATA_MIDWEEK!$H:$H,DATA_MIDWEEK!$A:$A,B35,DATA_MIDWEEK!$C:$C,$B$6,DATA_MIDWEEK!$D:$D,$B$7))</f>
        <v/>
      </c>
      <c r="J35">
        <f>G35+H35</f>
        <v/>
      </c>
      <c r="K35">
        <f>J35+I35</f>
        <v/>
      </c>
      <c r="L35">
        <f>IF(F35=0,0,SUMIFS(DATA_MIDWEEK!$J:$J,DATA_MIDWEEK!$A:$A,B35,DATA_MIDWEEK!$C:$C,$B$6,DATA_MIDWEEK!$D:$D,$B$7))</f>
        <v/>
      </c>
      <c r="M35">
        <f>IF(F35=0,0,SUMIFS(DATA_MIDWEEK!$K:$K,DATA_MIDWEEK!$A:$A,B35,DATA_MIDWEEK!$C:$C,$B$6,DATA_MIDWEEK!$D:$D,$B$7))</f>
        <v/>
      </c>
      <c r="N35">
        <f>IF(B35="",0,IF($B$3="Zone",IF(AND($B$17,NOT($B$18)),1,0),MAX(0,SUMIFS(DATA_SERVICE_AREAS!$E:$E,DATA_SERVICE_AREAS!$A:$A,B35,DATA_SERVICE_AREAS!$C:$C,"MIDWEEK",DATA_SERVICE_AREAS!$D:$D,$B$6)-COUNTIFS(MASTER_ZONES!$C:$C,$B$6,MASTER_ZONES!$I:$I,"Y"))))</f>
        <v/>
      </c>
      <c r="O35">
        <f>IF(B35="",0,IF($B$3="Zone",IF(AND($B$17,NOT($B$18),F35&gt;0),1,0),MAX(0,SUMIFS(DATA_SERVICE_AREAS!$F:$F,DATA_SERVICE_AREAS!$A:$A,B35,DATA_SERVICE_AREAS!$C:$C,"MIDWEEK",DATA_SERVICE_AREAS!$D:$D,$B$6)-COUNTIFS(DATA_COMMUNITY!$A:$A,B35,DATA_COMMUNITY!$D:$D,"Midweek",DATA_COMMUNITY!$E:$E,$B$6))))</f>
        <v/>
      </c>
      <c r="P35">
        <f>MAX(0,N35-O35)</f>
        <v/>
      </c>
      <c r="Q35">
        <f>IF(N35=0,0,O35/N35)</f>
        <v/>
      </c>
      <c r="R35">
        <f>IF(O35=0,0,K35/O35)</f>
        <v/>
      </c>
      <c r="S35">
        <f>IF(OR(F35&gt;0,N35&gt;0),1,0)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IFERROR(INDEX(MASTER_AREAS!$B:$B,34)&amp;"","")</f>
        <v/>
      </c>
      <c r="AB35">
        <f>IF(OR(AA35="",$B$10=0),0,COUNTIFS(DATA_MIDWEEK!$A:$A,$B$10,DATA_MIDWEEK!$C:$C,AA35))</f>
        <v/>
      </c>
      <c r="AC35">
        <f>IF(AB35=0,0,SUMIFS(DATA_MIDWEEK!$I:$I,DATA_MIDWEEK!$A:$A,$B$10,DATA_MIDWEEK!$C:$C,AA35))</f>
        <v/>
      </c>
      <c r="AD35">
        <f>IF(OR(AA35="",$B$10=0),0,SUMIFS(DATA_MIDWEEK!$I:$I,DATA_MIDWEEK!$A:$A,$B$10-7,DATA_MIDWEEK!$C:$C,AA35))</f>
        <v/>
      </c>
      <c r="AE35">
        <f>IF(OR(AA35="",$B$10=0),0,MAX(0,SUMIFS(DATA_SERVICE_AREAS!$E:$E,DATA_SERVICE_AREAS!$A:$A,$B$10,DATA_SERVICE_AREAS!$C:$C,"MIDWEEK",DATA_SERVICE_AREAS!$D:$D,AA35)-COUNTIFS(MASTER_ZONES!$C:$C,AA35,MASTER_ZONES!$I:$I,"Y")))</f>
        <v/>
      </c>
      <c r="AF35">
        <f>IF(OR(AA35="",$B$10=0),0,MAX(0,SUMIFS(DATA_SERVICE_AREAS!$F:$F,DATA_SERVICE_AREAS!$A:$A,$B$10,DATA_SERVICE_AREAS!$C:$C,"MIDWEEK",DATA_SERVICE_AREAS!$D:$D,AA35)-COUNTIFS(DATA_COMMUNITY!$A:$A,$B$10,DATA_COMMUNITY!$D:$D,"Midweek",DATA_COMMUNITY!$E:$E,AA35)))</f>
        <v/>
      </c>
      <c r="AG35">
        <f>IF(AE35=0,"",MIN(1,AF35/AE35))</f>
        <v/>
      </c>
      <c r="AH35">
        <f>IF(OR(AB35=0,AD35=0),"",AC35/AD35-1)</f>
        <v/>
      </c>
      <c r="AI35">
        <f>IF(AB35=0,"",AC35+ROW()/1000000)</f>
        <v/>
      </c>
      <c r="AJ35">
        <f>IF(AG35="","",AG35+ROW()/1000000000)</f>
        <v/>
      </c>
      <c r="AK35">
        <f>IF(AH35="","",AH35+ROW()/1000000000)</f>
        <v/>
      </c>
      <c r="AL35">
        <f>MAX(0,AE35-AF35)</f>
        <v/>
      </c>
      <c r="AM35">
        <f>IF(AND(AL35&gt;0,OR($B$6="*",AA35=$B$6)),ROW(),"")</f>
        <v/>
      </c>
      <c r="BB35">
        <f>IFERROR(SMALL($AM$3:$AM$95,33),"")</f>
        <v/>
      </c>
      <c r="BC35">
        <f>IF(BB35="","",INDEX($AA:$AA,BB35))</f>
        <v/>
      </c>
      <c r="BD35">
        <f>IF(BB35="","",INDEX($AE:$AE,BB35))</f>
        <v/>
      </c>
      <c r="BE35">
        <f>IF(BB35="","",INDEX($AF:$AF,BB35))</f>
        <v/>
      </c>
      <c r="BF35">
        <f>IF(BB35="","",INDEX($AL:$AL,BB35))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IF(B36="",0,COUNTIFS(DATA_MIDWEEK!$A:$A,B36,DATA_MIDWEEK!$C:$C,$B$6,DATA_MIDWEEK!$D:$D,$B$7))</f>
        <v/>
      </c>
      <c r="G36">
        <f>IF(F36=0,0,SUMIFS(DATA_MIDWEEK!$E:$E,DATA_MIDWEEK!$A:$A,B36,DATA_MIDWEEK!$C:$C,$B$6,DATA_MIDWEEK!$D:$D,$B$7))</f>
        <v/>
      </c>
      <c r="H36">
        <f>IF(F36=0,0,SUMIFS(DATA_MIDWEEK!$F:$F,DATA_MIDWEEK!$A:$A,B36,DATA_MIDWEEK!$C:$C,$B$6,DATA_MIDWEEK!$D:$D,$B$7))</f>
        <v/>
      </c>
      <c r="I36">
        <f>IF(F36=0,0,SUMIFS(DATA_MIDWEEK!$H:$H,DATA_MIDWEEK!$A:$A,B36,DATA_MIDWEEK!$C:$C,$B$6,DATA_MIDWEEK!$D:$D,$B$7))</f>
        <v/>
      </c>
      <c r="J36">
        <f>G36+H36</f>
        <v/>
      </c>
      <c r="K36">
        <f>J36+I36</f>
        <v/>
      </c>
      <c r="L36">
        <f>IF(F36=0,0,SUMIFS(DATA_MIDWEEK!$J:$J,DATA_MIDWEEK!$A:$A,B36,DATA_MIDWEEK!$C:$C,$B$6,DATA_MIDWEEK!$D:$D,$B$7))</f>
        <v/>
      </c>
      <c r="M36">
        <f>IF(F36=0,0,SUMIFS(DATA_MIDWEEK!$K:$K,DATA_MIDWEEK!$A:$A,B36,DATA_MIDWEEK!$C:$C,$B$6,DATA_MIDWEEK!$D:$D,$B$7))</f>
        <v/>
      </c>
      <c r="N36">
        <f>IF(B36="",0,IF($B$3="Zone",IF(AND($B$17,NOT($B$18)),1,0),MAX(0,SUMIFS(DATA_SERVICE_AREAS!$E:$E,DATA_SERVICE_AREAS!$A:$A,B36,DATA_SERVICE_AREAS!$C:$C,"MIDWEEK",DATA_SERVICE_AREAS!$D:$D,$B$6)-COUNTIFS(MASTER_ZONES!$C:$C,$B$6,MASTER_ZONES!$I:$I,"Y"))))</f>
        <v/>
      </c>
      <c r="O36">
        <f>IF(B36="",0,IF($B$3="Zone",IF(AND($B$17,NOT($B$18),F36&gt;0),1,0),MAX(0,SUMIFS(DATA_SERVICE_AREAS!$F:$F,DATA_SERVICE_AREAS!$A:$A,B36,DATA_SERVICE_AREAS!$C:$C,"MIDWEEK",DATA_SERVICE_AREAS!$D:$D,$B$6)-COUNTIFS(DATA_COMMUNITY!$A:$A,B36,DATA_COMMUNITY!$D:$D,"Midweek",DATA_COMMUNITY!$E:$E,$B$6))))</f>
        <v/>
      </c>
      <c r="P36">
        <f>MAX(0,N36-O36)</f>
        <v/>
      </c>
      <c r="Q36">
        <f>IF(N36=0,0,O36/N36)</f>
        <v/>
      </c>
      <c r="R36">
        <f>IF(O36=0,0,K36/O36)</f>
        <v/>
      </c>
      <c r="S36">
        <f>IF(OR(F36&gt;0,N36&gt;0),1,0)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IFERROR(INDEX(MASTER_AREAS!$B:$B,35)&amp;"","")</f>
        <v/>
      </c>
      <c r="AB36">
        <f>IF(OR(AA36="",$B$10=0),0,COUNTIFS(DATA_MIDWEEK!$A:$A,$B$10,DATA_MIDWEEK!$C:$C,AA36))</f>
        <v/>
      </c>
      <c r="AC36">
        <f>IF(AB36=0,0,SUMIFS(DATA_MIDWEEK!$I:$I,DATA_MIDWEEK!$A:$A,$B$10,DATA_MIDWEEK!$C:$C,AA36))</f>
        <v/>
      </c>
      <c r="AD36">
        <f>IF(OR(AA36="",$B$10=0),0,SUMIFS(DATA_MIDWEEK!$I:$I,DATA_MIDWEEK!$A:$A,$B$10-7,DATA_MIDWEEK!$C:$C,AA36))</f>
        <v/>
      </c>
      <c r="AE36">
        <f>IF(OR(AA36="",$B$10=0),0,MAX(0,SUMIFS(DATA_SERVICE_AREAS!$E:$E,DATA_SERVICE_AREAS!$A:$A,$B$10,DATA_SERVICE_AREAS!$C:$C,"MIDWEEK",DATA_SERVICE_AREAS!$D:$D,AA36)-COUNTIFS(MASTER_ZONES!$C:$C,AA36,MASTER_ZONES!$I:$I,"Y")))</f>
        <v/>
      </c>
      <c r="AF36">
        <f>IF(OR(AA36="",$B$10=0),0,MAX(0,SUMIFS(DATA_SERVICE_AREAS!$F:$F,DATA_SERVICE_AREAS!$A:$A,$B$10,DATA_SERVICE_AREAS!$C:$C,"MIDWEEK",DATA_SERVICE_AREAS!$D:$D,AA36)-COUNTIFS(DATA_COMMUNITY!$A:$A,$B$10,DATA_COMMUNITY!$D:$D,"Midweek",DATA_COMMUNITY!$E:$E,AA36)))</f>
        <v/>
      </c>
      <c r="AG36">
        <f>IF(AE36=0,"",MIN(1,AF36/AE36))</f>
        <v/>
      </c>
      <c r="AH36">
        <f>IF(OR(AB36=0,AD36=0),"",AC36/AD36-1)</f>
        <v/>
      </c>
      <c r="AI36">
        <f>IF(AB36=0,"",AC36+ROW()/1000000)</f>
        <v/>
      </c>
      <c r="AJ36">
        <f>IF(AG36="","",AG36+ROW()/1000000000)</f>
        <v/>
      </c>
      <c r="AK36">
        <f>IF(AH36="","",AH36+ROW()/1000000000)</f>
        <v/>
      </c>
      <c r="AL36">
        <f>MAX(0,AE36-AF36)</f>
        <v/>
      </c>
      <c r="AM36">
        <f>IF(AND(AL36&gt;0,OR($B$6="*",AA36=$B$6)),ROW(),"")</f>
        <v/>
      </c>
      <c r="BB36">
        <f>IFERROR(SMALL($AM$3:$AM$95,34),"")</f>
        <v/>
      </c>
      <c r="BC36">
        <f>IF(BB36="","",INDEX($AA:$AA,BB36))</f>
        <v/>
      </c>
      <c r="BD36">
        <f>IF(BB36="","",INDEX($AE:$AE,BB36))</f>
        <v/>
      </c>
      <c r="BE36">
        <f>IF(BB36="","",INDEX($AF:$AF,BB36))</f>
        <v/>
      </c>
      <c r="BF36">
        <f>IF(BB36="","",INDEX($AL:$AL,BB36))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IF(B37="",0,COUNTIFS(DATA_MIDWEEK!$A:$A,B37,DATA_MIDWEEK!$C:$C,$B$6,DATA_MIDWEEK!$D:$D,$B$7))</f>
        <v/>
      </c>
      <c r="G37">
        <f>IF(F37=0,0,SUMIFS(DATA_MIDWEEK!$E:$E,DATA_MIDWEEK!$A:$A,B37,DATA_MIDWEEK!$C:$C,$B$6,DATA_MIDWEEK!$D:$D,$B$7))</f>
        <v/>
      </c>
      <c r="H37">
        <f>IF(F37=0,0,SUMIFS(DATA_MIDWEEK!$F:$F,DATA_MIDWEEK!$A:$A,B37,DATA_MIDWEEK!$C:$C,$B$6,DATA_MIDWEEK!$D:$D,$B$7))</f>
        <v/>
      </c>
      <c r="I37">
        <f>IF(F37=0,0,SUMIFS(DATA_MIDWEEK!$H:$H,DATA_MIDWEEK!$A:$A,B37,DATA_MIDWEEK!$C:$C,$B$6,DATA_MIDWEEK!$D:$D,$B$7))</f>
        <v/>
      </c>
      <c r="J37">
        <f>G37+H37</f>
        <v/>
      </c>
      <c r="K37">
        <f>J37+I37</f>
        <v/>
      </c>
      <c r="L37">
        <f>IF(F37=0,0,SUMIFS(DATA_MIDWEEK!$J:$J,DATA_MIDWEEK!$A:$A,B37,DATA_MIDWEEK!$C:$C,$B$6,DATA_MIDWEEK!$D:$D,$B$7))</f>
        <v/>
      </c>
      <c r="M37">
        <f>IF(F37=0,0,SUMIFS(DATA_MIDWEEK!$K:$K,DATA_MIDWEEK!$A:$A,B37,DATA_MIDWEEK!$C:$C,$B$6,DATA_MIDWEEK!$D:$D,$B$7))</f>
        <v/>
      </c>
      <c r="N37">
        <f>IF(B37="",0,IF($B$3="Zone",IF(AND($B$17,NOT($B$18)),1,0),MAX(0,SUMIFS(DATA_SERVICE_AREAS!$E:$E,DATA_SERVICE_AREAS!$A:$A,B37,DATA_SERVICE_AREAS!$C:$C,"MIDWEEK",DATA_SERVICE_AREAS!$D:$D,$B$6)-COUNTIFS(MASTER_ZONES!$C:$C,$B$6,MASTER_ZONES!$I:$I,"Y"))))</f>
        <v/>
      </c>
      <c r="O37">
        <f>IF(B37="",0,IF($B$3="Zone",IF(AND($B$17,NOT($B$18),F37&gt;0),1,0),MAX(0,SUMIFS(DATA_SERVICE_AREAS!$F:$F,DATA_SERVICE_AREAS!$A:$A,B37,DATA_SERVICE_AREAS!$C:$C,"MIDWEEK",DATA_SERVICE_AREAS!$D:$D,$B$6)-COUNTIFS(DATA_COMMUNITY!$A:$A,B37,DATA_COMMUNITY!$D:$D,"Midweek",DATA_COMMUNITY!$E:$E,$B$6))))</f>
        <v/>
      </c>
      <c r="P37">
        <f>MAX(0,N37-O37)</f>
        <v/>
      </c>
      <c r="Q37">
        <f>IF(N37=0,0,O37/N37)</f>
        <v/>
      </c>
      <c r="R37">
        <f>IF(O37=0,0,K37/O37)</f>
        <v/>
      </c>
      <c r="S37">
        <f>IF(OR(F37&gt;0,N37&gt;0),1,0)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IFERROR(INDEX(MASTER_AREAS!$B:$B,36)&amp;"","")</f>
        <v/>
      </c>
      <c r="AB37">
        <f>IF(OR(AA37="",$B$10=0),0,COUNTIFS(DATA_MIDWEEK!$A:$A,$B$10,DATA_MIDWEEK!$C:$C,AA37))</f>
        <v/>
      </c>
      <c r="AC37">
        <f>IF(AB37=0,0,SUMIFS(DATA_MIDWEEK!$I:$I,DATA_MIDWEEK!$A:$A,$B$10,DATA_MIDWEEK!$C:$C,AA37))</f>
        <v/>
      </c>
      <c r="AD37">
        <f>IF(OR(AA37="",$B$10=0),0,SUMIFS(DATA_MIDWEEK!$I:$I,DATA_MIDWEEK!$A:$A,$B$10-7,DATA_MIDWEEK!$C:$C,AA37))</f>
        <v/>
      </c>
      <c r="AE37">
        <f>IF(OR(AA37="",$B$10=0),0,MAX(0,SUMIFS(DATA_SERVICE_AREAS!$E:$E,DATA_SERVICE_AREAS!$A:$A,$B$10,DATA_SERVICE_AREAS!$C:$C,"MIDWEEK",DATA_SERVICE_AREAS!$D:$D,AA37)-COUNTIFS(MASTER_ZONES!$C:$C,AA37,MASTER_ZONES!$I:$I,"Y")))</f>
        <v/>
      </c>
      <c r="AF37">
        <f>IF(OR(AA37="",$B$10=0),0,MAX(0,SUMIFS(DATA_SERVICE_AREAS!$F:$F,DATA_SERVICE_AREAS!$A:$A,$B$10,DATA_SERVICE_AREAS!$C:$C,"MIDWEEK",DATA_SERVICE_AREAS!$D:$D,AA37)-COUNTIFS(DATA_COMMUNITY!$A:$A,$B$10,DATA_COMMUNITY!$D:$D,"Midweek",DATA_COMMUNITY!$E:$E,AA37)))</f>
        <v/>
      </c>
      <c r="AG37">
        <f>IF(AE37=0,"",MIN(1,AF37/AE37))</f>
        <v/>
      </c>
      <c r="AH37">
        <f>IF(OR(AB37=0,AD37=0),"",AC37/AD37-1)</f>
        <v/>
      </c>
      <c r="AI37">
        <f>IF(AB37=0,"",AC37+ROW()/1000000)</f>
        <v/>
      </c>
      <c r="AJ37">
        <f>IF(AG37="","",AG37+ROW()/1000000000)</f>
        <v/>
      </c>
      <c r="AK37">
        <f>IF(AH37="","",AH37+ROW()/1000000000)</f>
        <v/>
      </c>
      <c r="AL37">
        <f>MAX(0,AE37-AF37)</f>
        <v/>
      </c>
      <c r="AM37">
        <f>IF(AND(AL37&gt;0,OR($B$6="*",AA37=$B$6)),ROW(),"")</f>
        <v/>
      </c>
      <c r="BB37">
        <f>IFERROR(SMALL($AM$3:$AM$95,35),"")</f>
        <v/>
      </c>
      <c r="BC37">
        <f>IF(BB37="","",INDEX($AA:$AA,BB37))</f>
        <v/>
      </c>
      <c r="BD37">
        <f>IF(BB37="","",INDEX($AE:$AE,BB37))</f>
        <v/>
      </c>
      <c r="BE37">
        <f>IF(BB37="","",INDEX($AF:$AF,BB37))</f>
        <v/>
      </c>
      <c r="BF37">
        <f>IF(BB37="","",INDEX($AL:$AL,BB37))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IF(B38="",0,COUNTIFS(DATA_MIDWEEK!$A:$A,B38,DATA_MIDWEEK!$C:$C,$B$6,DATA_MIDWEEK!$D:$D,$B$7))</f>
        <v/>
      </c>
      <c r="G38">
        <f>IF(F38=0,0,SUMIFS(DATA_MIDWEEK!$E:$E,DATA_MIDWEEK!$A:$A,B38,DATA_MIDWEEK!$C:$C,$B$6,DATA_MIDWEEK!$D:$D,$B$7))</f>
        <v/>
      </c>
      <c r="H38">
        <f>IF(F38=0,0,SUMIFS(DATA_MIDWEEK!$F:$F,DATA_MIDWEEK!$A:$A,B38,DATA_MIDWEEK!$C:$C,$B$6,DATA_MIDWEEK!$D:$D,$B$7))</f>
        <v/>
      </c>
      <c r="I38">
        <f>IF(F38=0,0,SUMIFS(DATA_MIDWEEK!$H:$H,DATA_MIDWEEK!$A:$A,B38,DATA_MIDWEEK!$C:$C,$B$6,DATA_MIDWEEK!$D:$D,$B$7))</f>
        <v/>
      </c>
      <c r="J38">
        <f>G38+H38</f>
        <v/>
      </c>
      <c r="K38">
        <f>J38+I38</f>
        <v/>
      </c>
      <c r="L38">
        <f>IF(F38=0,0,SUMIFS(DATA_MIDWEEK!$J:$J,DATA_MIDWEEK!$A:$A,B38,DATA_MIDWEEK!$C:$C,$B$6,DATA_MIDWEEK!$D:$D,$B$7))</f>
        <v/>
      </c>
      <c r="M38">
        <f>IF(F38=0,0,SUMIFS(DATA_MIDWEEK!$K:$K,DATA_MIDWEEK!$A:$A,B38,DATA_MIDWEEK!$C:$C,$B$6,DATA_MIDWEEK!$D:$D,$B$7))</f>
        <v/>
      </c>
      <c r="N38">
        <f>IF(B38="",0,IF($B$3="Zone",IF(AND($B$17,NOT($B$18)),1,0),MAX(0,SUMIFS(DATA_SERVICE_AREAS!$E:$E,DATA_SERVICE_AREAS!$A:$A,B38,DATA_SERVICE_AREAS!$C:$C,"MIDWEEK",DATA_SERVICE_AREAS!$D:$D,$B$6)-COUNTIFS(MASTER_ZONES!$C:$C,$B$6,MASTER_ZONES!$I:$I,"Y"))))</f>
        <v/>
      </c>
      <c r="O38">
        <f>IF(B38="",0,IF($B$3="Zone",IF(AND($B$17,NOT($B$18),F38&gt;0),1,0),MAX(0,SUMIFS(DATA_SERVICE_AREAS!$F:$F,DATA_SERVICE_AREAS!$A:$A,B38,DATA_SERVICE_AREAS!$C:$C,"MIDWEEK",DATA_SERVICE_AREAS!$D:$D,$B$6)-COUNTIFS(DATA_COMMUNITY!$A:$A,B38,DATA_COMMUNITY!$D:$D,"Midweek",DATA_COMMUNITY!$E:$E,$B$6))))</f>
        <v/>
      </c>
      <c r="P38">
        <f>MAX(0,N38-O38)</f>
        <v/>
      </c>
      <c r="Q38">
        <f>IF(N38=0,0,O38/N38)</f>
        <v/>
      </c>
      <c r="R38">
        <f>IF(O38=0,0,K38/O38)</f>
        <v/>
      </c>
      <c r="S38">
        <f>IF(OR(F38&gt;0,N38&gt;0),1,0)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IFERROR(INDEX(MASTER_AREAS!$B:$B,37)&amp;"","")</f>
        <v/>
      </c>
      <c r="AB38">
        <f>IF(OR(AA38="",$B$10=0),0,COUNTIFS(DATA_MIDWEEK!$A:$A,$B$10,DATA_MIDWEEK!$C:$C,AA38))</f>
        <v/>
      </c>
      <c r="AC38">
        <f>IF(AB38=0,0,SUMIFS(DATA_MIDWEEK!$I:$I,DATA_MIDWEEK!$A:$A,$B$10,DATA_MIDWEEK!$C:$C,AA38))</f>
        <v/>
      </c>
      <c r="AD38">
        <f>IF(OR(AA38="",$B$10=0),0,SUMIFS(DATA_MIDWEEK!$I:$I,DATA_MIDWEEK!$A:$A,$B$10-7,DATA_MIDWEEK!$C:$C,AA38))</f>
        <v/>
      </c>
      <c r="AE38">
        <f>IF(OR(AA38="",$B$10=0),0,MAX(0,SUMIFS(DATA_SERVICE_AREAS!$E:$E,DATA_SERVICE_AREAS!$A:$A,$B$10,DATA_SERVICE_AREAS!$C:$C,"MIDWEEK",DATA_SERVICE_AREAS!$D:$D,AA38)-COUNTIFS(MASTER_ZONES!$C:$C,AA38,MASTER_ZONES!$I:$I,"Y")))</f>
        <v/>
      </c>
      <c r="AF38">
        <f>IF(OR(AA38="",$B$10=0),0,MAX(0,SUMIFS(DATA_SERVICE_AREAS!$F:$F,DATA_SERVICE_AREAS!$A:$A,$B$10,DATA_SERVICE_AREAS!$C:$C,"MIDWEEK",DATA_SERVICE_AREAS!$D:$D,AA38)-COUNTIFS(DATA_COMMUNITY!$A:$A,$B$10,DATA_COMMUNITY!$D:$D,"Midweek",DATA_COMMUNITY!$E:$E,AA38)))</f>
        <v/>
      </c>
      <c r="AG38">
        <f>IF(AE38=0,"",MIN(1,AF38/AE38))</f>
        <v/>
      </c>
      <c r="AH38">
        <f>IF(OR(AB38=0,AD38=0),"",AC38/AD38-1)</f>
        <v/>
      </c>
      <c r="AI38">
        <f>IF(AB38=0,"",AC38+ROW()/1000000)</f>
        <v/>
      </c>
      <c r="AJ38">
        <f>IF(AG38="","",AG38+ROW()/1000000000)</f>
        <v/>
      </c>
      <c r="AK38">
        <f>IF(AH38="","",AH38+ROW()/1000000000)</f>
        <v/>
      </c>
      <c r="AL38">
        <f>MAX(0,AE38-AF38)</f>
        <v/>
      </c>
      <c r="AM38">
        <f>IF(AND(AL38&gt;0,OR($B$6="*",AA38=$B$6)),ROW(),"")</f>
        <v/>
      </c>
      <c r="BB38">
        <f>IFERROR(SMALL($AM$3:$AM$95,36),"")</f>
        <v/>
      </c>
      <c r="BC38">
        <f>IF(BB38="","",INDEX($AA:$AA,BB38))</f>
        <v/>
      </c>
      <c r="BD38">
        <f>IF(BB38="","",INDEX($AE:$AE,BB38))</f>
        <v/>
      </c>
      <c r="BE38">
        <f>IF(BB38="","",INDEX($AF:$AF,BB38))</f>
        <v/>
      </c>
      <c r="BF38">
        <f>IF(BB38="","",INDEX($AL:$AL,BB38))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IF(B39="",0,COUNTIFS(DATA_MIDWEEK!$A:$A,B39,DATA_MIDWEEK!$C:$C,$B$6,DATA_MIDWEEK!$D:$D,$B$7))</f>
        <v/>
      </c>
      <c r="G39">
        <f>IF(F39=0,0,SUMIFS(DATA_MIDWEEK!$E:$E,DATA_MIDWEEK!$A:$A,B39,DATA_MIDWEEK!$C:$C,$B$6,DATA_MIDWEEK!$D:$D,$B$7))</f>
        <v/>
      </c>
      <c r="H39">
        <f>IF(F39=0,0,SUMIFS(DATA_MIDWEEK!$F:$F,DATA_MIDWEEK!$A:$A,B39,DATA_MIDWEEK!$C:$C,$B$6,DATA_MIDWEEK!$D:$D,$B$7))</f>
        <v/>
      </c>
      <c r="I39">
        <f>IF(F39=0,0,SUMIFS(DATA_MIDWEEK!$H:$H,DATA_MIDWEEK!$A:$A,B39,DATA_MIDWEEK!$C:$C,$B$6,DATA_MIDWEEK!$D:$D,$B$7))</f>
        <v/>
      </c>
      <c r="J39">
        <f>G39+H39</f>
        <v/>
      </c>
      <c r="K39">
        <f>J39+I39</f>
        <v/>
      </c>
      <c r="L39">
        <f>IF(F39=0,0,SUMIFS(DATA_MIDWEEK!$J:$J,DATA_MIDWEEK!$A:$A,B39,DATA_MIDWEEK!$C:$C,$B$6,DATA_MIDWEEK!$D:$D,$B$7))</f>
        <v/>
      </c>
      <c r="M39">
        <f>IF(F39=0,0,SUMIFS(DATA_MIDWEEK!$K:$K,DATA_MIDWEEK!$A:$A,B39,DATA_MIDWEEK!$C:$C,$B$6,DATA_MIDWEEK!$D:$D,$B$7))</f>
        <v/>
      </c>
      <c r="N39">
        <f>IF(B39="",0,IF($B$3="Zone",IF(AND($B$17,NOT($B$18)),1,0),MAX(0,SUMIFS(DATA_SERVICE_AREAS!$E:$E,DATA_SERVICE_AREAS!$A:$A,B39,DATA_SERVICE_AREAS!$C:$C,"MIDWEEK",DATA_SERVICE_AREAS!$D:$D,$B$6)-COUNTIFS(MASTER_ZONES!$C:$C,$B$6,MASTER_ZONES!$I:$I,"Y"))))</f>
        <v/>
      </c>
      <c r="O39">
        <f>IF(B39="",0,IF($B$3="Zone",IF(AND($B$17,NOT($B$18),F39&gt;0),1,0),MAX(0,SUMIFS(DATA_SERVICE_AREAS!$F:$F,DATA_SERVICE_AREAS!$A:$A,B39,DATA_SERVICE_AREAS!$C:$C,"MIDWEEK",DATA_SERVICE_AREAS!$D:$D,$B$6)-COUNTIFS(DATA_COMMUNITY!$A:$A,B39,DATA_COMMUNITY!$D:$D,"Midweek",DATA_COMMUNITY!$E:$E,$B$6))))</f>
        <v/>
      </c>
      <c r="P39">
        <f>MAX(0,N39-O39)</f>
        <v/>
      </c>
      <c r="Q39">
        <f>IF(N39=0,0,O39/N39)</f>
        <v/>
      </c>
      <c r="R39">
        <f>IF(O39=0,0,K39/O39)</f>
        <v/>
      </c>
      <c r="S39">
        <f>IF(OR(F39&gt;0,N39&gt;0),1,0)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IFERROR(INDEX(MASTER_AREAS!$B:$B,38)&amp;"","")</f>
        <v/>
      </c>
      <c r="AB39">
        <f>IF(OR(AA39="",$B$10=0),0,COUNTIFS(DATA_MIDWEEK!$A:$A,$B$10,DATA_MIDWEEK!$C:$C,AA39))</f>
        <v/>
      </c>
      <c r="AC39">
        <f>IF(AB39=0,0,SUMIFS(DATA_MIDWEEK!$I:$I,DATA_MIDWEEK!$A:$A,$B$10,DATA_MIDWEEK!$C:$C,AA39))</f>
        <v/>
      </c>
      <c r="AD39">
        <f>IF(OR(AA39="",$B$10=0),0,SUMIFS(DATA_MIDWEEK!$I:$I,DATA_MIDWEEK!$A:$A,$B$10-7,DATA_MIDWEEK!$C:$C,AA39))</f>
        <v/>
      </c>
      <c r="AE39">
        <f>IF(OR(AA39="",$B$10=0),0,MAX(0,SUMIFS(DATA_SERVICE_AREAS!$E:$E,DATA_SERVICE_AREAS!$A:$A,$B$10,DATA_SERVICE_AREAS!$C:$C,"MIDWEEK",DATA_SERVICE_AREAS!$D:$D,AA39)-COUNTIFS(MASTER_ZONES!$C:$C,AA39,MASTER_ZONES!$I:$I,"Y")))</f>
        <v/>
      </c>
      <c r="AF39">
        <f>IF(OR(AA39="",$B$10=0),0,MAX(0,SUMIFS(DATA_SERVICE_AREAS!$F:$F,DATA_SERVICE_AREAS!$A:$A,$B$10,DATA_SERVICE_AREAS!$C:$C,"MIDWEEK",DATA_SERVICE_AREAS!$D:$D,AA39)-COUNTIFS(DATA_COMMUNITY!$A:$A,$B$10,DATA_COMMUNITY!$D:$D,"Midweek",DATA_COMMUNITY!$E:$E,AA39)))</f>
        <v/>
      </c>
      <c r="AG39">
        <f>IF(AE39=0,"",MIN(1,AF39/AE39))</f>
        <v/>
      </c>
      <c r="AH39">
        <f>IF(OR(AB39=0,AD39=0),"",AC39/AD39-1)</f>
        <v/>
      </c>
      <c r="AI39">
        <f>IF(AB39=0,"",AC39+ROW()/1000000)</f>
        <v/>
      </c>
      <c r="AJ39">
        <f>IF(AG39="","",AG39+ROW()/1000000000)</f>
        <v/>
      </c>
      <c r="AK39">
        <f>IF(AH39="","",AH39+ROW()/1000000000)</f>
        <v/>
      </c>
      <c r="AL39">
        <f>MAX(0,AE39-AF39)</f>
        <v/>
      </c>
      <c r="AM39">
        <f>IF(AND(AL39&gt;0,OR($B$6="*",AA39=$B$6)),ROW(),"")</f>
        <v/>
      </c>
      <c r="BB39">
        <f>IFERROR(SMALL($AM$3:$AM$95,37),"")</f>
        <v/>
      </c>
      <c r="BC39">
        <f>IF(BB39="","",INDEX($AA:$AA,BB39))</f>
        <v/>
      </c>
      <c r="BD39">
        <f>IF(BB39="","",INDEX($AE:$AE,BB39))</f>
        <v/>
      </c>
      <c r="BE39">
        <f>IF(BB39="","",INDEX($AF:$AF,BB39))</f>
        <v/>
      </c>
      <c r="BF39">
        <f>IF(BB39="","",INDEX($AL:$AL,BB39))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IF(B40="",0,COUNTIFS(DATA_MIDWEEK!$A:$A,B40,DATA_MIDWEEK!$C:$C,$B$6,DATA_MIDWEEK!$D:$D,$B$7))</f>
        <v/>
      </c>
      <c r="G40">
        <f>IF(F40=0,0,SUMIFS(DATA_MIDWEEK!$E:$E,DATA_MIDWEEK!$A:$A,B40,DATA_MIDWEEK!$C:$C,$B$6,DATA_MIDWEEK!$D:$D,$B$7))</f>
        <v/>
      </c>
      <c r="H40">
        <f>IF(F40=0,0,SUMIFS(DATA_MIDWEEK!$F:$F,DATA_MIDWEEK!$A:$A,B40,DATA_MIDWEEK!$C:$C,$B$6,DATA_MIDWEEK!$D:$D,$B$7))</f>
        <v/>
      </c>
      <c r="I40">
        <f>IF(F40=0,0,SUMIFS(DATA_MIDWEEK!$H:$H,DATA_MIDWEEK!$A:$A,B40,DATA_MIDWEEK!$C:$C,$B$6,DATA_MIDWEEK!$D:$D,$B$7))</f>
        <v/>
      </c>
      <c r="J40">
        <f>G40+H40</f>
        <v/>
      </c>
      <c r="K40">
        <f>J40+I40</f>
        <v/>
      </c>
      <c r="L40">
        <f>IF(F40=0,0,SUMIFS(DATA_MIDWEEK!$J:$J,DATA_MIDWEEK!$A:$A,B40,DATA_MIDWEEK!$C:$C,$B$6,DATA_MIDWEEK!$D:$D,$B$7))</f>
        <v/>
      </c>
      <c r="M40">
        <f>IF(F40=0,0,SUMIFS(DATA_MIDWEEK!$K:$K,DATA_MIDWEEK!$A:$A,B40,DATA_MIDWEEK!$C:$C,$B$6,DATA_MIDWEEK!$D:$D,$B$7))</f>
        <v/>
      </c>
      <c r="N40">
        <f>IF(B40="",0,IF($B$3="Zone",IF(AND($B$17,NOT($B$18)),1,0),MAX(0,SUMIFS(DATA_SERVICE_AREAS!$E:$E,DATA_SERVICE_AREAS!$A:$A,B40,DATA_SERVICE_AREAS!$C:$C,"MIDWEEK",DATA_SERVICE_AREAS!$D:$D,$B$6)-COUNTIFS(MASTER_ZONES!$C:$C,$B$6,MASTER_ZONES!$I:$I,"Y"))))</f>
        <v/>
      </c>
      <c r="O40">
        <f>IF(B40="",0,IF($B$3="Zone",IF(AND($B$17,NOT($B$18),F40&gt;0),1,0),MAX(0,SUMIFS(DATA_SERVICE_AREAS!$F:$F,DATA_SERVICE_AREAS!$A:$A,B40,DATA_SERVICE_AREAS!$C:$C,"MIDWEEK",DATA_SERVICE_AREAS!$D:$D,$B$6)-COUNTIFS(DATA_COMMUNITY!$A:$A,B40,DATA_COMMUNITY!$D:$D,"Midweek",DATA_COMMUNITY!$E:$E,$B$6))))</f>
        <v/>
      </c>
      <c r="P40">
        <f>MAX(0,N40-O40)</f>
        <v/>
      </c>
      <c r="Q40">
        <f>IF(N40=0,0,O40/N40)</f>
        <v/>
      </c>
      <c r="R40">
        <f>IF(O40=0,0,K40/O40)</f>
        <v/>
      </c>
      <c r="S40">
        <f>IF(OR(F40&gt;0,N40&gt;0),1,0)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IFERROR(INDEX(MASTER_AREAS!$B:$B,39)&amp;"","")</f>
        <v/>
      </c>
      <c r="AB40">
        <f>IF(OR(AA40="",$B$10=0),0,COUNTIFS(DATA_MIDWEEK!$A:$A,$B$10,DATA_MIDWEEK!$C:$C,AA40))</f>
        <v/>
      </c>
      <c r="AC40">
        <f>IF(AB40=0,0,SUMIFS(DATA_MIDWEEK!$I:$I,DATA_MIDWEEK!$A:$A,$B$10,DATA_MIDWEEK!$C:$C,AA40))</f>
        <v/>
      </c>
      <c r="AD40">
        <f>IF(OR(AA40="",$B$10=0),0,SUMIFS(DATA_MIDWEEK!$I:$I,DATA_MIDWEEK!$A:$A,$B$10-7,DATA_MIDWEEK!$C:$C,AA40))</f>
        <v/>
      </c>
      <c r="AE40">
        <f>IF(OR(AA40="",$B$10=0),0,MAX(0,SUMIFS(DATA_SERVICE_AREAS!$E:$E,DATA_SERVICE_AREAS!$A:$A,$B$10,DATA_SERVICE_AREAS!$C:$C,"MIDWEEK",DATA_SERVICE_AREAS!$D:$D,AA40)-COUNTIFS(MASTER_ZONES!$C:$C,AA40,MASTER_ZONES!$I:$I,"Y")))</f>
        <v/>
      </c>
      <c r="AF40">
        <f>IF(OR(AA40="",$B$10=0),0,MAX(0,SUMIFS(DATA_SERVICE_AREAS!$F:$F,DATA_SERVICE_AREAS!$A:$A,$B$10,DATA_SERVICE_AREAS!$C:$C,"MIDWEEK",DATA_SERVICE_AREAS!$D:$D,AA40)-COUNTIFS(DATA_COMMUNITY!$A:$A,$B$10,DATA_COMMUNITY!$D:$D,"Midweek",DATA_COMMUNITY!$E:$E,AA40)))</f>
        <v/>
      </c>
      <c r="AG40">
        <f>IF(AE40=0,"",MIN(1,AF40/AE40))</f>
        <v/>
      </c>
      <c r="AH40">
        <f>IF(OR(AB40=0,AD40=0),"",AC40/AD40-1)</f>
        <v/>
      </c>
      <c r="AI40">
        <f>IF(AB40=0,"",AC40+ROW()/1000000)</f>
        <v/>
      </c>
      <c r="AJ40">
        <f>IF(AG40="","",AG40+ROW()/1000000000)</f>
        <v/>
      </c>
      <c r="AK40">
        <f>IF(AH40="","",AH40+ROW()/1000000000)</f>
        <v/>
      </c>
      <c r="AL40">
        <f>MAX(0,AE40-AF40)</f>
        <v/>
      </c>
      <c r="AM40">
        <f>IF(AND(AL40&gt;0,OR($B$6="*",AA40=$B$6)),ROW(),"")</f>
        <v/>
      </c>
      <c r="BB40">
        <f>IFERROR(SMALL($AM$3:$AM$95,38),"")</f>
        <v/>
      </c>
      <c r="BC40">
        <f>IF(BB40="","",INDEX($AA:$AA,BB40))</f>
        <v/>
      </c>
      <c r="BD40">
        <f>IF(BB40="","",INDEX($AE:$AE,BB40))</f>
        <v/>
      </c>
      <c r="BE40">
        <f>IF(BB40="","",INDEX($AF:$AF,BB40))</f>
        <v/>
      </c>
      <c r="BF40">
        <f>IF(BB40="","",INDEX($AL:$AL,BB40))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IF(B41="",0,COUNTIFS(DATA_MIDWEEK!$A:$A,B41,DATA_MIDWEEK!$C:$C,$B$6,DATA_MIDWEEK!$D:$D,$B$7))</f>
        <v/>
      </c>
      <c r="G41">
        <f>IF(F41=0,0,SUMIFS(DATA_MIDWEEK!$E:$E,DATA_MIDWEEK!$A:$A,B41,DATA_MIDWEEK!$C:$C,$B$6,DATA_MIDWEEK!$D:$D,$B$7))</f>
        <v/>
      </c>
      <c r="H41">
        <f>IF(F41=0,0,SUMIFS(DATA_MIDWEEK!$F:$F,DATA_MIDWEEK!$A:$A,B41,DATA_MIDWEEK!$C:$C,$B$6,DATA_MIDWEEK!$D:$D,$B$7))</f>
        <v/>
      </c>
      <c r="I41">
        <f>IF(F41=0,0,SUMIFS(DATA_MIDWEEK!$H:$H,DATA_MIDWEEK!$A:$A,B41,DATA_MIDWEEK!$C:$C,$B$6,DATA_MIDWEEK!$D:$D,$B$7))</f>
        <v/>
      </c>
      <c r="J41">
        <f>G41+H41</f>
        <v/>
      </c>
      <c r="K41">
        <f>J41+I41</f>
        <v/>
      </c>
      <c r="L41">
        <f>IF(F41=0,0,SUMIFS(DATA_MIDWEEK!$J:$J,DATA_MIDWEEK!$A:$A,B41,DATA_MIDWEEK!$C:$C,$B$6,DATA_MIDWEEK!$D:$D,$B$7))</f>
        <v/>
      </c>
      <c r="M41">
        <f>IF(F41=0,0,SUMIFS(DATA_MIDWEEK!$K:$K,DATA_MIDWEEK!$A:$A,B41,DATA_MIDWEEK!$C:$C,$B$6,DATA_MIDWEEK!$D:$D,$B$7))</f>
        <v/>
      </c>
      <c r="N41">
        <f>IF(B41="",0,IF($B$3="Zone",IF(AND($B$17,NOT($B$18)),1,0),MAX(0,SUMIFS(DATA_SERVICE_AREAS!$E:$E,DATA_SERVICE_AREAS!$A:$A,B41,DATA_SERVICE_AREAS!$C:$C,"MIDWEEK",DATA_SERVICE_AREAS!$D:$D,$B$6)-COUNTIFS(MASTER_ZONES!$C:$C,$B$6,MASTER_ZONES!$I:$I,"Y"))))</f>
        <v/>
      </c>
      <c r="O41">
        <f>IF(B41="",0,IF($B$3="Zone",IF(AND($B$17,NOT($B$18),F41&gt;0),1,0),MAX(0,SUMIFS(DATA_SERVICE_AREAS!$F:$F,DATA_SERVICE_AREAS!$A:$A,B41,DATA_SERVICE_AREAS!$C:$C,"MIDWEEK",DATA_SERVICE_AREAS!$D:$D,$B$6)-COUNTIFS(DATA_COMMUNITY!$A:$A,B41,DATA_COMMUNITY!$D:$D,"Midweek",DATA_COMMUNITY!$E:$E,$B$6))))</f>
        <v/>
      </c>
      <c r="P41">
        <f>MAX(0,N41-O41)</f>
        <v/>
      </c>
      <c r="Q41">
        <f>IF(N41=0,0,O41/N41)</f>
        <v/>
      </c>
      <c r="R41">
        <f>IF(O41=0,0,K41/O41)</f>
        <v/>
      </c>
      <c r="S41">
        <f>IF(OR(F41&gt;0,N41&gt;0),1,0)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IFERROR(INDEX(MASTER_AREAS!$B:$B,40)&amp;"","")</f>
        <v/>
      </c>
      <c r="AB41">
        <f>IF(OR(AA41="",$B$10=0),0,COUNTIFS(DATA_MIDWEEK!$A:$A,$B$10,DATA_MIDWEEK!$C:$C,AA41))</f>
        <v/>
      </c>
      <c r="AC41">
        <f>IF(AB41=0,0,SUMIFS(DATA_MIDWEEK!$I:$I,DATA_MIDWEEK!$A:$A,$B$10,DATA_MIDWEEK!$C:$C,AA41))</f>
        <v/>
      </c>
      <c r="AD41">
        <f>IF(OR(AA41="",$B$10=0),0,SUMIFS(DATA_MIDWEEK!$I:$I,DATA_MIDWEEK!$A:$A,$B$10-7,DATA_MIDWEEK!$C:$C,AA41))</f>
        <v/>
      </c>
      <c r="AE41">
        <f>IF(OR(AA41="",$B$10=0),0,MAX(0,SUMIFS(DATA_SERVICE_AREAS!$E:$E,DATA_SERVICE_AREAS!$A:$A,$B$10,DATA_SERVICE_AREAS!$C:$C,"MIDWEEK",DATA_SERVICE_AREAS!$D:$D,AA41)-COUNTIFS(MASTER_ZONES!$C:$C,AA41,MASTER_ZONES!$I:$I,"Y")))</f>
        <v/>
      </c>
      <c r="AF41">
        <f>IF(OR(AA41="",$B$10=0),0,MAX(0,SUMIFS(DATA_SERVICE_AREAS!$F:$F,DATA_SERVICE_AREAS!$A:$A,$B$10,DATA_SERVICE_AREAS!$C:$C,"MIDWEEK",DATA_SERVICE_AREAS!$D:$D,AA41)-COUNTIFS(DATA_COMMUNITY!$A:$A,$B$10,DATA_COMMUNITY!$D:$D,"Midweek",DATA_COMMUNITY!$E:$E,AA41)))</f>
        <v/>
      </c>
      <c r="AG41">
        <f>IF(AE41=0,"",MIN(1,AF41/AE41))</f>
        <v/>
      </c>
      <c r="AH41">
        <f>IF(OR(AB41=0,AD41=0),"",AC41/AD41-1)</f>
        <v/>
      </c>
      <c r="AI41">
        <f>IF(AB41=0,"",AC41+ROW()/1000000)</f>
        <v/>
      </c>
      <c r="AJ41">
        <f>IF(AG41="","",AG41+ROW()/1000000000)</f>
        <v/>
      </c>
      <c r="AK41">
        <f>IF(AH41="","",AH41+ROW()/1000000000)</f>
        <v/>
      </c>
      <c r="AL41">
        <f>MAX(0,AE41-AF41)</f>
        <v/>
      </c>
      <c r="AM41">
        <f>IF(AND(AL41&gt;0,OR($B$6="*",AA41=$B$6)),ROW(),"")</f>
        <v/>
      </c>
      <c r="BB41">
        <f>IFERROR(SMALL($AM$3:$AM$95,39),"")</f>
        <v/>
      </c>
      <c r="BC41">
        <f>IF(BB41="","",INDEX($AA:$AA,BB41))</f>
        <v/>
      </c>
      <c r="BD41">
        <f>IF(BB41="","",INDEX($AE:$AE,BB41))</f>
        <v/>
      </c>
      <c r="BE41">
        <f>IF(BB41="","",INDEX($AF:$AF,BB41))</f>
        <v/>
      </c>
      <c r="BF41">
        <f>IF(BB41="","",INDEX($AL:$AL,BB41))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IF(B42="",0,COUNTIFS(DATA_MIDWEEK!$A:$A,B42,DATA_MIDWEEK!$C:$C,$B$6,DATA_MIDWEEK!$D:$D,$B$7))</f>
        <v/>
      </c>
      <c r="G42">
        <f>IF(F42=0,0,SUMIFS(DATA_MIDWEEK!$E:$E,DATA_MIDWEEK!$A:$A,B42,DATA_MIDWEEK!$C:$C,$B$6,DATA_MIDWEEK!$D:$D,$B$7))</f>
        <v/>
      </c>
      <c r="H42">
        <f>IF(F42=0,0,SUMIFS(DATA_MIDWEEK!$F:$F,DATA_MIDWEEK!$A:$A,B42,DATA_MIDWEEK!$C:$C,$B$6,DATA_MIDWEEK!$D:$D,$B$7))</f>
        <v/>
      </c>
      <c r="I42">
        <f>IF(F42=0,0,SUMIFS(DATA_MIDWEEK!$H:$H,DATA_MIDWEEK!$A:$A,B42,DATA_MIDWEEK!$C:$C,$B$6,DATA_MIDWEEK!$D:$D,$B$7))</f>
        <v/>
      </c>
      <c r="J42">
        <f>G42+H42</f>
        <v/>
      </c>
      <c r="K42">
        <f>J42+I42</f>
        <v/>
      </c>
      <c r="L42">
        <f>IF(F42=0,0,SUMIFS(DATA_MIDWEEK!$J:$J,DATA_MIDWEEK!$A:$A,B42,DATA_MIDWEEK!$C:$C,$B$6,DATA_MIDWEEK!$D:$D,$B$7))</f>
        <v/>
      </c>
      <c r="M42">
        <f>IF(F42=0,0,SUMIFS(DATA_MIDWEEK!$K:$K,DATA_MIDWEEK!$A:$A,B42,DATA_MIDWEEK!$C:$C,$B$6,DATA_MIDWEEK!$D:$D,$B$7))</f>
        <v/>
      </c>
      <c r="N42">
        <f>IF(B42="",0,IF($B$3="Zone",IF(AND($B$17,NOT($B$18)),1,0),MAX(0,SUMIFS(DATA_SERVICE_AREAS!$E:$E,DATA_SERVICE_AREAS!$A:$A,B42,DATA_SERVICE_AREAS!$C:$C,"MIDWEEK",DATA_SERVICE_AREAS!$D:$D,$B$6)-COUNTIFS(MASTER_ZONES!$C:$C,$B$6,MASTER_ZONES!$I:$I,"Y"))))</f>
        <v/>
      </c>
      <c r="O42">
        <f>IF(B42="",0,IF($B$3="Zone",IF(AND($B$17,NOT($B$18),F42&gt;0),1,0),MAX(0,SUMIFS(DATA_SERVICE_AREAS!$F:$F,DATA_SERVICE_AREAS!$A:$A,B42,DATA_SERVICE_AREAS!$C:$C,"MIDWEEK",DATA_SERVICE_AREAS!$D:$D,$B$6)-COUNTIFS(DATA_COMMUNITY!$A:$A,B42,DATA_COMMUNITY!$D:$D,"Midweek",DATA_COMMUNITY!$E:$E,$B$6))))</f>
        <v/>
      </c>
      <c r="P42">
        <f>MAX(0,N42-O42)</f>
        <v/>
      </c>
      <c r="Q42">
        <f>IF(N42=0,0,O42/N42)</f>
        <v/>
      </c>
      <c r="R42">
        <f>IF(O42=0,0,K42/O42)</f>
        <v/>
      </c>
      <c r="S42">
        <f>IF(OR(F42&gt;0,N42&gt;0),1,0)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IFERROR(INDEX(MASTER_AREAS!$B:$B,41)&amp;"","")</f>
        <v/>
      </c>
      <c r="AB42">
        <f>IF(OR(AA42="",$B$10=0),0,COUNTIFS(DATA_MIDWEEK!$A:$A,$B$10,DATA_MIDWEEK!$C:$C,AA42))</f>
        <v/>
      </c>
      <c r="AC42">
        <f>IF(AB42=0,0,SUMIFS(DATA_MIDWEEK!$I:$I,DATA_MIDWEEK!$A:$A,$B$10,DATA_MIDWEEK!$C:$C,AA42))</f>
        <v/>
      </c>
      <c r="AD42">
        <f>IF(OR(AA42="",$B$10=0),0,SUMIFS(DATA_MIDWEEK!$I:$I,DATA_MIDWEEK!$A:$A,$B$10-7,DATA_MIDWEEK!$C:$C,AA42))</f>
        <v/>
      </c>
      <c r="AE42">
        <f>IF(OR(AA42="",$B$10=0),0,MAX(0,SUMIFS(DATA_SERVICE_AREAS!$E:$E,DATA_SERVICE_AREAS!$A:$A,$B$10,DATA_SERVICE_AREAS!$C:$C,"MIDWEEK",DATA_SERVICE_AREAS!$D:$D,AA42)-COUNTIFS(MASTER_ZONES!$C:$C,AA42,MASTER_ZONES!$I:$I,"Y")))</f>
        <v/>
      </c>
      <c r="AF42">
        <f>IF(OR(AA42="",$B$10=0),0,MAX(0,SUMIFS(DATA_SERVICE_AREAS!$F:$F,DATA_SERVICE_AREAS!$A:$A,$B$10,DATA_SERVICE_AREAS!$C:$C,"MIDWEEK",DATA_SERVICE_AREAS!$D:$D,AA42)-COUNTIFS(DATA_COMMUNITY!$A:$A,$B$10,DATA_COMMUNITY!$D:$D,"Midweek",DATA_COMMUNITY!$E:$E,AA42)))</f>
        <v/>
      </c>
      <c r="AG42">
        <f>IF(AE42=0,"",MIN(1,AF42/AE42))</f>
        <v/>
      </c>
      <c r="AH42">
        <f>IF(OR(AB42=0,AD42=0),"",AC42/AD42-1)</f>
        <v/>
      </c>
      <c r="AI42">
        <f>IF(AB42=0,"",AC42+ROW()/1000000)</f>
        <v/>
      </c>
      <c r="AJ42">
        <f>IF(AG42="","",AG42+ROW()/1000000000)</f>
        <v/>
      </c>
      <c r="AK42">
        <f>IF(AH42="","",AH42+ROW()/1000000000)</f>
        <v/>
      </c>
      <c r="AL42">
        <f>MAX(0,AE42-AF42)</f>
        <v/>
      </c>
      <c r="AM42">
        <f>IF(AND(AL42&gt;0,OR($B$6="*",AA42=$B$6)),ROW(),"")</f>
        <v/>
      </c>
      <c r="BB42">
        <f>IFERROR(SMALL($AM$3:$AM$95,40),"")</f>
        <v/>
      </c>
      <c r="BC42">
        <f>IF(BB42="","",INDEX($AA:$AA,BB42))</f>
        <v/>
      </c>
      <c r="BD42">
        <f>IF(BB42="","",INDEX($AE:$AE,BB42))</f>
        <v/>
      </c>
      <c r="BE42">
        <f>IF(BB42="","",INDEX($AF:$AF,BB42))</f>
        <v/>
      </c>
      <c r="BF42">
        <f>IF(BB42="","",INDEX($AL:$AL,BB42))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IF(B43="",0,COUNTIFS(DATA_MIDWEEK!$A:$A,B43,DATA_MIDWEEK!$C:$C,$B$6,DATA_MIDWEEK!$D:$D,$B$7))</f>
        <v/>
      </c>
      <c r="G43">
        <f>IF(F43=0,0,SUMIFS(DATA_MIDWEEK!$E:$E,DATA_MIDWEEK!$A:$A,B43,DATA_MIDWEEK!$C:$C,$B$6,DATA_MIDWEEK!$D:$D,$B$7))</f>
        <v/>
      </c>
      <c r="H43">
        <f>IF(F43=0,0,SUMIFS(DATA_MIDWEEK!$F:$F,DATA_MIDWEEK!$A:$A,B43,DATA_MIDWEEK!$C:$C,$B$6,DATA_MIDWEEK!$D:$D,$B$7))</f>
        <v/>
      </c>
      <c r="I43">
        <f>IF(F43=0,0,SUMIFS(DATA_MIDWEEK!$H:$H,DATA_MIDWEEK!$A:$A,B43,DATA_MIDWEEK!$C:$C,$B$6,DATA_MIDWEEK!$D:$D,$B$7))</f>
        <v/>
      </c>
      <c r="J43">
        <f>G43+H43</f>
        <v/>
      </c>
      <c r="K43">
        <f>J43+I43</f>
        <v/>
      </c>
      <c r="L43">
        <f>IF(F43=0,0,SUMIFS(DATA_MIDWEEK!$J:$J,DATA_MIDWEEK!$A:$A,B43,DATA_MIDWEEK!$C:$C,$B$6,DATA_MIDWEEK!$D:$D,$B$7))</f>
        <v/>
      </c>
      <c r="M43">
        <f>IF(F43=0,0,SUMIFS(DATA_MIDWEEK!$K:$K,DATA_MIDWEEK!$A:$A,B43,DATA_MIDWEEK!$C:$C,$B$6,DATA_MIDWEEK!$D:$D,$B$7))</f>
        <v/>
      </c>
      <c r="N43">
        <f>IF(B43="",0,IF($B$3="Zone",IF(AND($B$17,NOT($B$18)),1,0),MAX(0,SUMIFS(DATA_SERVICE_AREAS!$E:$E,DATA_SERVICE_AREAS!$A:$A,B43,DATA_SERVICE_AREAS!$C:$C,"MIDWEEK",DATA_SERVICE_AREAS!$D:$D,$B$6)-COUNTIFS(MASTER_ZONES!$C:$C,$B$6,MASTER_ZONES!$I:$I,"Y"))))</f>
        <v/>
      </c>
      <c r="O43">
        <f>IF(B43="",0,IF($B$3="Zone",IF(AND($B$17,NOT($B$18),F43&gt;0),1,0),MAX(0,SUMIFS(DATA_SERVICE_AREAS!$F:$F,DATA_SERVICE_AREAS!$A:$A,B43,DATA_SERVICE_AREAS!$C:$C,"MIDWEEK",DATA_SERVICE_AREAS!$D:$D,$B$6)-COUNTIFS(DATA_COMMUNITY!$A:$A,B43,DATA_COMMUNITY!$D:$D,"Midweek",DATA_COMMUNITY!$E:$E,$B$6))))</f>
        <v/>
      </c>
      <c r="P43">
        <f>MAX(0,N43-O43)</f>
        <v/>
      </c>
      <c r="Q43">
        <f>IF(N43=0,0,O43/N43)</f>
        <v/>
      </c>
      <c r="R43">
        <f>IF(O43=0,0,K43/O43)</f>
        <v/>
      </c>
      <c r="S43">
        <f>IF(OR(F43&gt;0,N43&gt;0),1,0)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IFERROR(INDEX(MASTER_AREAS!$B:$B,42)&amp;"","")</f>
        <v/>
      </c>
      <c r="AB43">
        <f>IF(OR(AA43="",$B$10=0),0,COUNTIFS(DATA_MIDWEEK!$A:$A,$B$10,DATA_MIDWEEK!$C:$C,AA43))</f>
        <v/>
      </c>
      <c r="AC43">
        <f>IF(AB43=0,0,SUMIFS(DATA_MIDWEEK!$I:$I,DATA_MIDWEEK!$A:$A,$B$10,DATA_MIDWEEK!$C:$C,AA43))</f>
        <v/>
      </c>
      <c r="AD43">
        <f>IF(OR(AA43="",$B$10=0),0,SUMIFS(DATA_MIDWEEK!$I:$I,DATA_MIDWEEK!$A:$A,$B$10-7,DATA_MIDWEEK!$C:$C,AA43))</f>
        <v/>
      </c>
      <c r="AE43">
        <f>IF(OR(AA43="",$B$10=0),0,MAX(0,SUMIFS(DATA_SERVICE_AREAS!$E:$E,DATA_SERVICE_AREAS!$A:$A,$B$10,DATA_SERVICE_AREAS!$C:$C,"MIDWEEK",DATA_SERVICE_AREAS!$D:$D,AA43)-COUNTIFS(MASTER_ZONES!$C:$C,AA43,MASTER_ZONES!$I:$I,"Y")))</f>
        <v/>
      </c>
      <c r="AF43">
        <f>IF(OR(AA43="",$B$10=0),0,MAX(0,SUMIFS(DATA_SERVICE_AREAS!$F:$F,DATA_SERVICE_AREAS!$A:$A,$B$10,DATA_SERVICE_AREAS!$C:$C,"MIDWEEK",DATA_SERVICE_AREAS!$D:$D,AA43)-COUNTIFS(DATA_COMMUNITY!$A:$A,$B$10,DATA_COMMUNITY!$D:$D,"Midweek",DATA_COMMUNITY!$E:$E,AA43)))</f>
        <v/>
      </c>
      <c r="AG43">
        <f>IF(AE43=0,"",MIN(1,AF43/AE43))</f>
        <v/>
      </c>
      <c r="AH43">
        <f>IF(OR(AB43=0,AD43=0),"",AC43/AD43-1)</f>
        <v/>
      </c>
      <c r="AI43">
        <f>IF(AB43=0,"",AC43+ROW()/1000000)</f>
        <v/>
      </c>
      <c r="AJ43">
        <f>IF(AG43="","",AG43+ROW()/1000000000)</f>
        <v/>
      </c>
      <c r="AK43">
        <f>IF(AH43="","",AH43+ROW()/1000000000)</f>
        <v/>
      </c>
      <c r="AL43">
        <f>MAX(0,AE43-AF43)</f>
        <v/>
      </c>
      <c r="AM43">
        <f>IF(AND(AL43&gt;0,OR($B$6="*",AA43=$B$6)),ROW(),"")</f>
        <v/>
      </c>
      <c r="BB43">
        <f>IFERROR(SMALL($AM$3:$AM$95,41),"")</f>
        <v/>
      </c>
      <c r="BC43">
        <f>IF(BB43="","",INDEX($AA:$AA,BB43))</f>
        <v/>
      </c>
      <c r="BD43">
        <f>IF(BB43="","",INDEX($AE:$AE,BB43))</f>
        <v/>
      </c>
      <c r="BE43">
        <f>IF(BB43="","",INDEX($AF:$AF,BB43))</f>
        <v/>
      </c>
      <c r="BF43">
        <f>IF(BB43="","",INDEX($AL:$AL,BB43))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IF(B44="",0,COUNTIFS(DATA_MIDWEEK!$A:$A,B44,DATA_MIDWEEK!$C:$C,$B$6,DATA_MIDWEEK!$D:$D,$B$7))</f>
        <v/>
      </c>
      <c r="G44">
        <f>IF(F44=0,0,SUMIFS(DATA_MIDWEEK!$E:$E,DATA_MIDWEEK!$A:$A,B44,DATA_MIDWEEK!$C:$C,$B$6,DATA_MIDWEEK!$D:$D,$B$7))</f>
        <v/>
      </c>
      <c r="H44">
        <f>IF(F44=0,0,SUMIFS(DATA_MIDWEEK!$F:$F,DATA_MIDWEEK!$A:$A,B44,DATA_MIDWEEK!$C:$C,$B$6,DATA_MIDWEEK!$D:$D,$B$7))</f>
        <v/>
      </c>
      <c r="I44">
        <f>IF(F44=0,0,SUMIFS(DATA_MIDWEEK!$H:$H,DATA_MIDWEEK!$A:$A,B44,DATA_MIDWEEK!$C:$C,$B$6,DATA_MIDWEEK!$D:$D,$B$7))</f>
        <v/>
      </c>
      <c r="J44">
        <f>G44+H44</f>
        <v/>
      </c>
      <c r="K44">
        <f>J44+I44</f>
        <v/>
      </c>
      <c r="L44">
        <f>IF(F44=0,0,SUMIFS(DATA_MIDWEEK!$J:$J,DATA_MIDWEEK!$A:$A,B44,DATA_MIDWEEK!$C:$C,$B$6,DATA_MIDWEEK!$D:$D,$B$7))</f>
        <v/>
      </c>
      <c r="M44">
        <f>IF(F44=0,0,SUMIFS(DATA_MIDWEEK!$K:$K,DATA_MIDWEEK!$A:$A,B44,DATA_MIDWEEK!$C:$C,$B$6,DATA_MIDWEEK!$D:$D,$B$7))</f>
        <v/>
      </c>
      <c r="N44">
        <f>IF(B44="",0,IF($B$3="Zone",IF(AND($B$17,NOT($B$18)),1,0),MAX(0,SUMIFS(DATA_SERVICE_AREAS!$E:$E,DATA_SERVICE_AREAS!$A:$A,B44,DATA_SERVICE_AREAS!$C:$C,"MIDWEEK",DATA_SERVICE_AREAS!$D:$D,$B$6)-COUNTIFS(MASTER_ZONES!$C:$C,$B$6,MASTER_ZONES!$I:$I,"Y"))))</f>
        <v/>
      </c>
      <c r="O44">
        <f>IF(B44="",0,IF($B$3="Zone",IF(AND($B$17,NOT($B$18),F44&gt;0),1,0),MAX(0,SUMIFS(DATA_SERVICE_AREAS!$F:$F,DATA_SERVICE_AREAS!$A:$A,B44,DATA_SERVICE_AREAS!$C:$C,"MIDWEEK",DATA_SERVICE_AREAS!$D:$D,$B$6)-COUNTIFS(DATA_COMMUNITY!$A:$A,B44,DATA_COMMUNITY!$D:$D,"Midweek",DATA_COMMUNITY!$E:$E,$B$6))))</f>
        <v/>
      </c>
      <c r="P44">
        <f>MAX(0,N44-O44)</f>
        <v/>
      </c>
      <c r="Q44">
        <f>IF(N44=0,0,O44/N44)</f>
        <v/>
      </c>
      <c r="R44">
        <f>IF(O44=0,0,K44/O44)</f>
        <v/>
      </c>
      <c r="S44">
        <f>IF(OR(F44&gt;0,N44&gt;0),1,0)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IFERROR(INDEX(MASTER_AREAS!$B:$B,43)&amp;"","")</f>
        <v/>
      </c>
      <c r="AB44">
        <f>IF(OR(AA44="",$B$10=0),0,COUNTIFS(DATA_MIDWEEK!$A:$A,$B$10,DATA_MIDWEEK!$C:$C,AA44))</f>
        <v/>
      </c>
      <c r="AC44">
        <f>IF(AB44=0,0,SUMIFS(DATA_MIDWEEK!$I:$I,DATA_MIDWEEK!$A:$A,$B$10,DATA_MIDWEEK!$C:$C,AA44))</f>
        <v/>
      </c>
      <c r="AD44">
        <f>IF(OR(AA44="",$B$10=0),0,SUMIFS(DATA_MIDWEEK!$I:$I,DATA_MIDWEEK!$A:$A,$B$10-7,DATA_MIDWEEK!$C:$C,AA44))</f>
        <v/>
      </c>
      <c r="AE44">
        <f>IF(OR(AA44="",$B$10=0),0,MAX(0,SUMIFS(DATA_SERVICE_AREAS!$E:$E,DATA_SERVICE_AREAS!$A:$A,$B$10,DATA_SERVICE_AREAS!$C:$C,"MIDWEEK",DATA_SERVICE_AREAS!$D:$D,AA44)-COUNTIFS(MASTER_ZONES!$C:$C,AA44,MASTER_ZONES!$I:$I,"Y")))</f>
        <v/>
      </c>
      <c r="AF44">
        <f>IF(OR(AA44="",$B$10=0),0,MAX(0,SUMIFS(DATA_SERVICE_AREAS!$F:$F,DATA_SERVICE_AREAS!$A:$A,$B$10,DATA_SERVICE_AREAS!$C:$C,"MIDWEEK",DATA_SERVICE_AREAS!$D:$D,AA44)-COUNTIFS(DATA_COMMUNITY!$A:$A,$B$10,DATA_COMMUNITY!$D:$D,"Midweek",DATA_COMMUNITY!$E:$E,AA44)))</f>
        <v/>
      </c>
      <c r="AG44">
        <f>IF(AE44=0,"",MIN(1,AF44/AE44))</f>
        <v/>
      </c>
      <c r="AH44">
        <f>IF(OR(AB44=0,AD44=0),"",AC44/AD44-1)</f>
        <v/>
      </c>
      <c r="AI44">
        <f>IF(AB44=0,"",AC44+ROW()/1000000)</f>
        <v/>
      </c>
      <c r="AJ44">
        <f>IF(AG44="","",AG44+ROW()/1000000000)</f>
        <v/>
      </c>
      <c r="AK44">
        <f>IF(AH44="","",AH44+ROW()/1000000000)</f>
        <v/>
      </c>
      <c r="AL44">
        <f>MAX(0,AE44-AF44)</f>
        <v/>
      </c>
      <c r="AM44">
        <f>IF(AND(AL44&gt;0,OR($B$6="*",AA44=$B$6)),ROW(),"")</f>
        <v/>
      </c>
      <c r="BB44">
        <f>IFERROR(SMALL($AM$3:$AM$95,42),"")</f>
        <v/>
      </c>
      <c r="BC44">
        <f>IF(BB44="","",INDEX($AA:$AA,BB44))</f>
        <v/>
      </c>
      <c r="BD44">
        <f>IF(BB44="","",INDEX($AE:$AE,BB44))</f>
        <v/>
      </c>
      <c r="BE44">
        <f>IF(BB44="","",INDEX($AF:$AF,BB44))</f>
        <v/>
      </c>
      <c r="BF44">
        <f>IF(BB44="","",INDEX($AL:$AL,BB44))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IF(B45="",0,COUNTIFS(DATA_MIDWEEK!$A:$A,B45,DATA_MIDWEEK!$C:$C,$B$6,DATA_MIDWEEK!$D:$D,$B$7))</f>
        <v/>
      </c>
      <c r="G45">
        <f>IF(F45=0,0,SUMIFS(DATA_MIDWEEK!$E:$E,DATA_MIDWEEK!$A:$A,B45,DATA_MIDWEEK!$C:$C,$B$6,DATA_MIDWEEK!$D:$D,$B$7))</f>
        <v/>
      </c>
      <c r="H45">
        <f>IF(F45=0,0,SUMIFS(DATA_MIDWEEK!$F:$F,DATA_MIDWEEK!$A:$A,B45,DATA_MIDWEEK!$C:$C,$B$6,DATA_MIDWEEK!$D:$D,$B$7))</f>
        <v/>
      </c>
      <c r="I45">
        <f>IF(F45=0,0,SUMIFS(DATA_MIDWEEK!$H:$H,DATA_MIDWEEK!$A:$A,B45,DATA_MIDWEEK!$C:$C,$B$6,DATA_MIDWEEK!$D:$D,$B$7))</f>
        <v/>
      </c>
      <c r="J45">
        <f>G45+H45</f>
        <v/>
      </c>
      <c r="K45">
        <f>J45+I45</f>
        <v/>
      </c>
      <c r="L45">
        <f>IF(F45=0,0,SUMIFS(DATA_MIDWEEK!$J:$J,DATA_MIDWEEK!$A:$A,B45,DATA_MIDWEEK!$C:$C,$B$6,DATA_MIDWEEK!$D:$D,$B$7))</f>
        <v/>
      </c>
      <c r="M45">
        <f>IF(F45=0,0,SUMIFS(DATA_MIDWEEK!$K:$K,DATA_MIDWEEK!$A:$A,B45,DATA_MIDWEEK!$C:$C,$B$6,DATA_MIDWEEK!$D:$D,$B$7))</f>
        <v/>
      </c>
      <c r="N45">
        <f>IF(B45="",0,IF($B$3="Zone",IF(AND($B$17,NOT($B$18)),1,0),MAX(0,SUMIFS(DATA_SERVICE_AREAS!$E:$E,DATA_SERVICE_AREAS!$A:$A,B45,DATA_SERVICE_AREAS!$C:$C,"MIDWEEK",DATA_SERVICE_AREAS!$D:$D,$B$6)-COUNTIFS(MASTER_ZONES!$C:$C,$B$6,MASTER_ZONES!$I:$I,"Y"))))</f>
        <v/>
      </c>
      <c r="O45">
        <f>IF(B45="",0,IF($B$3="Zone",IF(AND($B$17,NOT($B$18),F45&gt;0),1,0),MAX(0,SUMIFS(DATA_SERVICE_AREAS!$F:$F,DATA_SERVICE_AREAS!$A:$A,B45,DATA_SERVICE_AREAS!$C:$C,"MIDWEEK",DATA_SERVICE_AREAS!$D:$D,$B$6)-COUNTIFS(DATA_COMMUNITY!$A:$A,B45,DATA_COMMUNITY!$D:$D,"Midweek",DATA_COMMUNITY!$E:$E,$B$6))))</f>
        <v/>
      </c>
      <c r="P45">
        <f>MAX(0,N45-O45)</f>
        <v/>
      </c>
      <c r="Q45">
        <f>IF(N45=0,0,O45/N45)</f>
        <v/>
      </c>
      <c r="R45">
        <f>IF(O45=0,0,K45/O45)</f>
        <v/>
      </c>
      <c r="S45">
        <f>IF(OR(F45&gt;0,N45&gt;0),1,0)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IFERROR(INDEX(MASTER_AREAS!$B:$B,44)&amp;"","")</f>
        <v/>
      </c>
      <c r="AB45">
        <f>IF(OR(AA45="",$B$10=0),0,COUNTIFS(DATA_MIDWEEK!$A:$A,$B$10,DATA_MIDWEEK!$C:$C,AA45))</f>
        <v/>
      </c>
      <c r="AC45">
        <f>IF(AB45=0,0,SUMIFS(DATA_MIDWEEK!$I:$I,DATA_MIDWEEK!$A:$A,$B$10,DATA_MIDWEEK!$C:$C,AA45))</f>
        <v/>
      </c>
      <c r="AD45">
        <f>IF(OR(AA45="",$B$10=0),0,SUMIFS(DATA_MIDWEEK!$I:$I,DATA_MIDWEEK!$A:$A,$B$10-7,DATA_MIDWEEK!$C:$C,AA45))</f>
        <v/>
      </c>
      <c r="AE45">
        <f>IF(OR(AA45="",$B$10=0),0,MAX(0,SUMIFS(DATA_SERVICE_AREAS!$E:$E,DATA_SERVICE_AREAS!$A:$A,$B$10,DATA_SERVICE_AREAS!$C:$C,"MIDWEEK",DATA_SERVICE_AREAS!$D:$D,AA45)-COUNTIFS(MASTER_ZONES!$C:$C,AA45,MASTER_ZONES!$I:$I,"Y")))</f>
        <v/>
      </c>
      <c r="AF45">
        <f>IF(OR(AA45="",$B$10=0),0,MAX(0,SUMIFS(DATA_SERVICE_AREAS!$F:$F,DATA_SERVICE_AREAS!$A:$A,$B$10,DATA_SERVICE_AREAS!$C:$C,"MIDWEEK",DATA_SERVICE_AREAS!$D:$D,AA45)-COUNTIFS(DATA_COMMUNITY!$A:$A,$B$10,DATA_COMMUNITY!$D:$D,"Midweek",DATA_COMMUNITY!$E:$E,AA45)))</f>
        <v/>
      </c>
      <c r="AG45">
        <f>IF(AE45=0,"",MIN(1,AF45/AE45))</f>
        <v/>
      </c>
      <c r="AH45">
        <f>IF(OR(AB45=0,AD45=0),"",AC45/AD45-1)</f>
        <v/>
      </c>
      <c r="AI45">
        <f>IF(AB45=0,"",AC45+ROW()/1000000)</f>
        <v/>
      </c>
      <c r="AJ45">
        <f>IF(AG45="","",AG45+ROW()/1000000000)</f>
        <v/>
      </c>
      <c r="AK45">
        <f>IF(AH45="","",AH45+ROW()/1000000000)</f>
        <v/>
      </c>
      <c r="AL45">
        <f>MAX(0,AE45-AF45)</f>
        <v/>
      </c>
      <c r="AM45">
        <f>IF(AND(AL45&gt;0,OR($B$6="*",AA45=$B$6)),ROW(),"")</f>
        <v/>
      </c>
      <c r="BB45">
        <f>IFERROR(SMALL($AM$3:$AM$95,43),"")</f>
        <v/>
      </c>
      <c r="BC45">
        <f>IF(BB45="","",INDEX($AA:$AA,BB45))</f>
        <v/>
      </c>
      <c r="BD45">
        <f>IF(BB45="","",INDEX($AE:$AE,BB45))</f>
        <v/>
      </c>
      <c r="BE45">
        <f>IF(BB45="","",INDEX($AF:$AF,BB45))</f>
        <v/>
      </c>
      <c r="BF45">
        <f>IF(BB45="","",INDEX($AL:$AL,BB45))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IF(B46="",0,COUNTIFS(DATA_MIDWEEK!$A:$A,B46,DATA_MIDWEEK!$C:$C,$B$6,DATA_MIDWEEK!$D:$D,$B$7))</f>
        <v/>
      </c>
      <c r="G46">
        <f>IF(F46=0,0,SUMIFS(DATA_MIDWEEK!$E:$E,DATA_MIDWEEK!$A:$A,B46,DATA_MIDWEEK!$C:$C,$B$6,DATA_MIDWEEK!$D:$D,$B$7))</f>
        <v/>
      </c>
      <c r="H46">
        <f>IF(F46=0,0,SUMIFS(DATA_MIDWEEK!$F:$F,DATA_MIDWEEK!$A:$A,B46,DATA_MIDWEEK!$C:$C,$B$6,DATA_MIDWEEK!$D:$D,$B$7))</f>
        <v/>
      </c>
      <c r="I46">
        <f>IF(F46=0,0,SUMIFS(DATA_MIDWEEK!$H:$H,DATA_MIDWEEK!$A:$A,B46,DATA_MIDWEEK!$C:$C,$B$6,DATA_MIDWEEK!$D:$D,$B$7))</f>
        <v/>
      </c>
      <c r="J46">
        <f>G46+H46</f>
        <v/>
      </c>
      <c r="K46">
        <f>J46+I46</f>
        <v/>
      </c>
      <c r="L46">
        <f>IF(F46=0,0,SUMIFS(DATA_MIDWEEK!$J:$J,DATA_MIDWEEK!$A:$A,B46,DATA_MIDWEEK!$C:$C,$B$6,DATA_MIDWEEK!$D:$D,$B$7))</f>
        <v/>
      </c>
      <c r="M46">
        <f>IF(F46=0,0,SUMIFS(DATA_MIDWEEK!$K:$K,DATA_MIDWEEK!$A:$A,B46,DATA_MIDWEEK!$C:$C,$B$6,DATA_MIDWEEK!$D:$D,$B$7))</f>
        <v/>
      </c>
      <c r="N46">
        <f>IF(B46="",0,IF($B$3="Zone",IF(AND($B$17,NOT($B$18)),1,0),MAX(0,SUMIFS(DATA_SERVICE_AREAS!$E:$E,DATA_SERVICE_AREAS!$A:$A,B46,DATA_SERVICE_AREAS!$C:$C,"MIDWEEK",DATA_SERVICE_AREAS!$D:$D,$B$6)-COUNTIFS(MASTER_ZONES!$C:$C,$B$6,MASTER_ZONES!$I:$I,"Y"))))</f>
        <v/>
      </c>
      <c r="O46">
        <f>IF(B46="",0,IF($B$3="Zone",IF(AND($B$17,NOT($B$18),F46&gt;0),1,0),MAX(0,SUMIFS(DATA_SERVICE_AREAS!$F:$F,DATA_SERVICE_AREAS!$A:$A,B46,DATA_SERVICE_AREAS!$C:$C,"MIDWEEK",DATA_SERVICE_AREAS!$D:$D,$B$6)-COUNTIFS(DATA_COMMUNITY!$A:$A,B46,DATA_COMMUNITY!$D:$D,"Midweek",DATA_COMMUNITY!$E:$E,$B$6))))</f>
        <v/>
      </c>
      <c r="P46">
        <f>MAX(0,N46-O46)</f>
        <v/>
      </c>
      <c r="Q46">
        <f>IF(N46=0,0,O46/N46)</f>
        <v/>
      </c>
      <c r="R46">
        <f>IF(O46=0,0,K46/O46)</f>
        <v/>
      </c>
      <c r="S46">
        <f>IF(OR(F46&gt;0,N46&gt;0),1,0)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IFERROR(INDEX(MASTER_AREAS!$B:$B,45)&amp;"","")</f>
        <v/>
      </c>
      <c r="AB46">
        <f>IF(OR(AA46="",$B$10=0),0,COUNTIFS(DATA_MIDWEEK!$A:$A,$B$10,DATA_MIDWEEK!$C:$C,AA46))</f>
        <v/>
      </c>
      <c r="AC46">
        <f>IF(AB46=0,0,SUMIFS(DATA_MIDWEEK!$I:$I,DATA_MIDWEEK!$A:$A,$B$10,DATA_MIDWEEK!$C:$C,AA46))</f>
        <v/>
      </c>
      <c r="AD46">
        <f>IF(OR(AA46="",$B$10=0),0,SUMIFS(DATA_MIDWEEK!$I:$I,DATA_MIDWEEK!$A:$A,$B$10-7,DATA_MIDWEEK!$C:$C,AA46))</f>
        <v/>
      </c>
      <c r="AE46">
        <f>IF(OR(AA46="",$B$10=0),0,MAX(0,SUMIFS(DATA_SERVICE_AREAS!$E:$E,DATA_SERVICE_AREAS!$A:$A,$B$10,DATA_SERVICE_AREAS!$C:$C,"MIDWEEK",DATA_SERVICE_AREAS!$D:$D,AA46)-COUNTIFS(MASTER_ZONES!$C:$C,AA46,MASTER_ZONES!$I:$I,"Y")))</f>
        <v/>
      </c>
      <c r="AF46">
        <f>IF(OR(AA46="",$B$10=0),0,MAX(0,SUMIFS(DATA_SERVICE_AREAS!$F:$F,DATA_SERVICE_AREAS!$A:$A,$B$10,DATA_SERVICE_AREAS!$C:$C,"MIDWEEK",DATA_SERVICE_AREAS!$D:$D,AA46)-COUNTIFS(DATA_COMMUNITY!$A:$A,$B$10,DATA_COMMUNITY!$D:$D,"Midweek",DATA_COMMUNITY!$E:$E,AA46)))</f>
        <v/>
      </c>
      <c r="AG46">
        <f>IF(AE46=0,"",MIN(1,AF46/AE46))</f>
        <v/>
      </c>
      <c r="AH46">
        <f>IF(OR(AB46=0,AD46=0),"",AC46/AD46-1)</f>
        <v/>
      </c>
      <c r="AI46">
        <f>IF(AB46=0,"",AC46+ROW()/1000000)</f>
        <v/>
      </c>
      <c r="AJ46">
        <f>IF(AG46="","",AG46+ROW()/1000000000)</f>
        <v/>
      </c>
      <c r="AK46">
        <f>IF(AH46="","",AH46+ROW()/1000000000)</f>
        <v/>
      </c>
      <c r="AL46">
        <f>MAX(0,AE46-AF46)</f>
        <v/>
      </c>
      <c r="AM46">
        <f>IF(AND(AL46&gt;0,OR($B$6="*",AA46=$B$6)),ROW(),"")</f>
        <v/>
      </c>
      <c r="BB46">
        <f>IFERROR(SMALL($AM$3:$AM$95,44),"")</f>
        <v/>
      </c>
      <c r="BC46">
        <f>IF(BB46="","",INDEX($AA:$AA,BB46))</f>
        <v/>
      </c>
      <c r="BD46">
        <f>IF(BB46="","",INDEX($AE:$AE,BB46))</f>
        <v/>
      </c>
      <c r="BE46">
        <f>IF(BB46="","",INDEX($AF:$AF,BB46))</f>
        <v/>
      </c>
      <c r="BF46">
        <f>IF(BB46="","",INDEX($AL:$AL,BB46))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IF(B47="",0,COUNTIFS(DATA_MIDWEEK!$A:$A,B47,DATA_MIDWEEK!$C:$C,$B$6,DATA_MIDWEEK!$D:$D,$B$7))</f>
        <v/>
      </c>
      <c r="G47">
        <f>IF(F47=0,0,SUMIFS(DATA_MIDWEEK!$E:$E,DATA_MIDWEEK!$A:$A,B47,DATA_MIDWEEK!$C:$C,$B$6,DATA_MIDWEEK!$D:$D,$B$7))</f>
        <v/>
      </c>
      <c r="H47">
        <f>IF(F47=0,0,SUMIFS(DATA_MIDWEEK!$F:$F,DATA_MIDWEEK!$A:$A,B47,DATA_MIDWEEK!$C:$C,$B$6,DATA_MIDWEEK!$D:$D,$B$7))</f>
        <v/>
      </c>
      <c r="I47">
        <f>IF(F47=0,0,SUMIFS(DATA_MIDWEEK!$H:$H,DATA_MIDWEEK!$A:$A,B47,DATA_MIDWEEK!$C:$C,$B$6,DATA_MIDWEEK!$D:$D,$B$7))</f>
        <v/>
      </c>
      <c r="J47">
        <f>G47+H47</f>
        <v/>
      </c>
      <c r="K47">
        <f>J47+I47</f>
        <v/>
      </c>
      <c r="L47">
        <f>IF(F47=0,0,SUMIFS(DATA_MIDWEEK!$J:$J,DATA_MIDWEEK!$A:$A,B47,DATA_MIDWEEK!$C:$C,$B$6,DATA_MIDWEEK!$D:$D,$B$7))</f>
        <v/>
      </c>
      <c r="M47">
        <f>IF(F47=0,0,SUMIFS(DATA_MIDWEEK!$K:$K,DATA_MIDWEEK!$A:$A,B47,DATA_MIDWEEK!$C:$C,$B$6,DATA_MIDWEEK!$D:$D,$B$7))</f>
        <v/>
      </c>
      <c r="N47">
        <f>IF(B47="",0,IF($B$3="Zone",IF(AND($B$17,NOT($B$18)),1,0),MAX(0,SUMIFS(DATA_SERVICE_AREAS!$E:$E,DATA_SERVICE_AREAS!$A:$A,B47,DATA_SERVICE_AREAS!$C:$C,"MIDWEEK",DATA_SERVICE_AREAS!$D:$D,$B$6)-COUNTIFS(MASTER_ZONES!$C:$C,$B$6,MASTER_ZONES!$I:$I,"Y"))))</f>
        <v/>
      </c>
      <c r="O47">
        <f>IF(B47="",0,IF($B$3="Zone",IF(AND($B$17,NOT($B$18),F47&gt;0),1,0),MAX(0,SUMIFS(DATA_SERVICE_AREAS!$F:$F,DATA_SERVICE_AREAS!$A:$A,B47,DATA_SERVICE_AREAS!$C:$C,"MIDWEEK",DATA_SERVICE_AREAS!$D:$D,$B$6)-COUNTIFS(DATA_COMMUNITY!$A:$A,B47,DATA_COMMUNITY!$D:$D,"Midweek",DATA_COMMUNITY!$E:$E,$B$6))))</f>
        <v/>
      </c>
      <c r="P47">
        <f>MAX(0,N47-O47)</f>
        <v/>
      </c>
      <c r="Q47">
        <f>IF(N47=0,0,O47/N47)</f>
        <v/>
      </c>
      <c r="R47">
        <f>IF(O47=0,0,K47/O47)</f>
        <v/>
      </c>
      <c r="S47">
        <f>IF(OR(F47&gt;0,N47&gt;0),1,0)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IFERROR(INDEX(MASTER_AREAS!$B:$B,46)&amp;"","")</f>
        <v/>
      </c>
      <c r="AB47">
        <f>IF(OR(AA47="",$B$10=0),0,COUNTIFS(DATA_MIDWEEK!$A:$A,$B$10,DATA_MIDWEEK!$C:$C,AA47))</f>
        <v/>
      </c>
      <c r="AC47">
        <f>IF(AB47=0,0,SUMIFS(DATA_MIDWEEK!$I:$I,DATA_MIDWEEK!$A:$A,$B$10,DATA_MIDWEEK!$C:$C,AA47))</f>
        <v/>
      </c>
      <c r="AD47">
        <f>IF(OR(AA47="",$B$10=0),0,SUMIFS(DATA_MIDWEEK!$I:$I,DATA_MIDWEEK!$A:$A,$B$10-7,DATA_MIDWEEK!$C:$C,AA47))</f>
        <v/>
      </c>
      <c r="AE47">
        <f>IF(OR(AA47="",$B$10=0),0,MAX(0,SUMIFS(DATA_SERVICE_AREAS!$E:$E,DATA_SERVICE_AREAS!$A:$A,$B$10,DATA_SERVICE_AREAS!$C:$C,"MIDWEEK",DATA_SERVICE_AREAS!$D:$D,AA47)-COUNTIFS(MASTER_ZONES!$C:$C,AA47,MASTER_ZONES!$I:$I,"Y")))</f>
        <v/>
      </c>
      <c r="AF47">
        <f>IF(OR(AA47="",$B$10=0),0,MAX(0,SUMIFS(DATA_SERVICE_AREAS!$F:$F,DATA_SERVICE_AREAS!$A:$A,$B$10,DATA_SERVICE_AREAS!$C:$C,"MIDWEEK",DATA_SERVICE_AREAS!$D:$D,AA47)-COUNTIFS(DATA_COMMUNITY!$A:$A,$B$10,DATA_COMMUNITY!$D:$D,"Midweek",DATA_COMMUNITY!$E:$E,AA47)))</f>
        <v/>
      </c>
      <c r="AG47">
        <f>IF(AE47=0,"",MIN(1,AF47/AE47))</f>
        <v/>
      </c>
      <c r="AH47">
        <f>IF(OR(AB47=0,AD47=0),"",AC47/AD47-1)</f>
        <v/>
      </c>
      <c r="AI47">
        <f>IF(AB47=0,"",AC47+ROW()/1000000)</f>
        <v/>
      </c>
      <c r="AJ47">
        <f>IF(AG47="","",AG47+ROW()/1000000000)</f>
        <v/>
      </c>
      <c r="AK47">
        <f>IF(AH47="","",AH47+ROW()/1000000000)</f>
        <v/>
      </c>
      <c r="AL47">
        <f>MAX(0,AE47-AF47)</f>
        <v/>
      </c>
      <c r="AM47">
        <f>IF(AND(AL47&gt;0,OR($B$6="*",AA47=$B$6)),ROW(),"")</f>
        <v/>
      </c>
      <c r="BB47">
        <f>IFERROR(SMALL($AM$3:$AM$95,45),"")</f>
        <v/>
      </c>
      <c r="BC47">
        <f>IF(BB47="","",INDEX($AA:$AA,BB47))</f>
        <v/>
      </c>
      <c r="BD47">
        <f>IF(BB47="","",INDEX($AE:$AE,BB47))</f>
        <v/>
      </c>
      <c r="BE47">
        <f>IF(BB47="","",INDEX($AF:$AF,BB47))</f>
        <v/>
      </c>
      <c r="BF47">
        <f>IF(BB47="","",INDEX($AL:$AL,BB47))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IF(B48="",0,COUNTIFS(DATA_MIDWEEK!$A:$A,B48,DATA_MIDWEEK!$C:$C,$B$6,DATA_MIDWEEK!$D:$D,$B$7))</f>
        <v/>
      </c>
      <c r="G48">
        <f>IF(F48=0,0,SUMIFS(DATA_MIDWEEK!$E:$E,DATA_MIDWEEK!$A:$A,B48,DATA_MIDWEEK!$C:$C,$B$6,DATA_MIDWEEK!$D:$D,$B$7))</f>
        <v/>
      </c>
      <c r="H48">
        <f>IF(F48=0,0,SUMIFS(DATA_MIDWEEK!$F:$F,DATA_MIDWEEK!$A:$A,B48,DATA_MIDWEEK!$C:$C,$B$6,DATA_MIDWEEK!$D:$D,$B$7))</f>
        <v/>
      </c>
      <c r="I48">
        <f>IF(F48=0,0,SUMIFS(DATA_MIDWEEK!$H:$H,DATA_MIDWEEK!$A:$A,B48,DATA_MIDWEEK!$C:$C,$B$6,DATA_MIDWEEK!$D:$D,$B$7))</f>
        <v/>
      </c>
      <c r="J48">
        <f>G48+H48</f>
        <v/>
      </c>
      <c r="K48">
        <f>J48+I48</f>
        <v/>
      </c>
      <c r="L48">
        <f>IF(F48=0,0,SUMIFS(DATA_MIDWEEK!$J:$J,DATA_MIDWEEK!$A:$A,B48,DATA_MIDWEEK!$C:$C,$B$6,DATA_MIDWEEK!$D:$D,$B$7))</f>
        <v/>
      </c>
      <c r="M48">
        <f>IF(F48=0,0,SUMIFS(DATA_MIDWEEK!$K:$K,DATA_MIDWEEK!$A:$A,B48,DATA_MIDWEEK!$C:$C,$B$6,DATA_MIDWEEK!$D:$D,$B$7))</f>
        <v/>
      </c>
      <c r="N48">
        <f>IF(B48="",0,IF($B$3="Zone",IF(AND($B$17,NOT($B$18)),1,0),MAX(0,SUMIFS(DATA_SERVICE_AREAS!$E:$E,DATA_SERVICE_AREAS!$A:$A,B48,DATA_SERVICE_AREAS!$C:$C,"MIDWEEK",DATA_SERVICE_AREAS!$D:$D,$B$6)-COUNTIFS(MASTER_ZONES!$C:$C,$B$6,MASTER_ZONES!$I:$I,"Y"))))</f>
        <v/>
      </c>
      <c r="O48">
        <f>IF(B48="",0,IF($B$3="Zone",IF(AND($B$17,NOT($B$18),F48&gt;0),1,0),MAX(0,SUMIFS(DATA_SERVICE_AREAS!$F:$F,DATA_SERVICE_AREAS!$A:$A,B48,DATA_SERVICE_AREAS!$C:$C,"MIDWEEK",DATA_SERVICE_AREAS!$D:$D,$B$6)-COUNTIFS(DATA_COMMUNITY!$A:$A,B48,DATA_COMMUNITY!$D:$D,"Midweek",DATA_COMMUNITY!$E:$E,$B$6))))</f>
        <v/>
      </c>
      <c r="P48">
        <f>MAX(0,N48-O48)</f>
        <v/>
      </c>
      <c r="Q48">
        <f>IF(N48=0,0,O48/N48)</f>
        <v/>
      </c>
      <c r="R48">
        <f>IF(O48=0,0,K48/O48)</f>
        <v/>
      </c>
      <c r="S48">
        <f>IF(OR(F48&gt;0,N48&gt;0),1,0)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IFERROR(INDEX(MASTER_AREAS!$B:$B,47)&amp;"","")</f>
        <v/>
      </c>
      <c r="AB48">
        <f>IF(OR(AA48="",$B$10=0),0,COUNTIFS(DATA_MIDWEEK!$A:$A,$B$10,DATA_MIDWEEK!$C:$C,AA48))</f>
        <v/>
      </c>
      <c r="AC48">
        <f>IF(AB48=0,0,SUMIFS(DATA_MIDWEEK!$I:$I,DATA_MIDWEEK!$A:$A,$B$10,DATA_MIDWEEK!$C:$C,AA48))</f>
        <v/>
      </c>
      <c r="AD48">
        <f>IF(OR(AA48="",$B$10=0),0,SUMIFS(DATA_MIDWEEK!$I:$I,DATA_MIDWEEK!$A:$A,$B$10-7,DATA_MIDWEEK!$C:$C,AA48))</f>
        <v/>
      </c>
      <c r="AE48">
        <f>IF(OR(AA48="",$B$10=0),0,MAX(0,SUMIFS(DATA_SERVICE_AREAS!$E:$E,DATA_SERVICE_AREAS!$A:$A,$B$10,DATA_SERVICE_AREAS!$C:$C,"MIDWEEK",DATA_SERVICE_AREAS!$D:$D,AA48)-COUNTIFS(MASTER_ZONES!$C:$C,AA48,MASTER_ZONES!$I:$I,"Y")))</f>
        <v/>
      </c>
      <c r="AF48">
        <f>IF(OR(AA48="",$B$10=0),0,MAX(0,SUMIFS(DATA_SERVICE_AREAS!$F:$F,DATA_SERVICE_AREAS!$A:$A,$B$10,DATA_SERVICE_AREAS!$C:$C,"MIDWEEK",DATA_SERVICE_AREAS!$D:$D,AA48)-COUNTIFS(DATA_COMMUNITY!$A:$A,$B$10,DATA_COMMUNITY!$D:$D,"Midweek",DATA_COMMUNITY!$E:$E,AA48)))</f>
        <v/>
      </c>
      <c r="AG48">
        <f>IF(AE48=0,"",MIN(1,AF48/AE48))</f>
        <v/>
      </c>
      <c r="AH48">
        <f>IF(OR(AB48=0,AD48=0),"",AC48/AD48-1)</f>
        <v/>
      </c>
      <c r="AI48">
        <f>IF(AB48=0,"",AC48+ROW()/1000000)</f>
        <v/>
      </c>
      <c r="AJ48">
        <f>IF(AG48="","",AG48+ROW()/1000000000)</f>
        <v/>
      </c>
      <c r="AK48">
        <f>IF(AH48="","",AH48+ROW()/1000000000)</f>
        <v/>
      </c>
      <c r="AL48">
        <f>MAX(0,AE48-AF48)</f>
        <v/>
      </c>
      <c r="AM48">
        <f>IF(AND(AL48&gt;0,OR($B$6="*",AA48=$B$6)),ROW(),"")</f>
        <v/>
      </c>
      <c r="BB48">
        <f>IFERROR(SMALL($AM$3:$AM$95,46),"")</f>
        <v/>
      </c>
      <c r="BC48">
        <f>IF(BB48="","",INDEX($AA:$AA,BB48))</f>
        <v/>
      </c>
      <c r="BD48">
        <f>IF(BB48="","",INDEX($AE:$AE,BB48))</f>
        <v/>
      </c>
      <c r="BE48">
        <f>IF(BB48="","",INDEX($AF:$AF,BB48))</f>
        <v/>
      </c>
      <c r="BF48">
        <f>IF(BB48="","",INDEX($AL:$AL,BB48))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IF(B49="",0,COUNTIFS(DATA_MIDWEEK!$A:$A,B49,DATA_MIDWEEK!$C:$C,$B$6,DATA_MIDWEEK!$D:$D,$B$7))</f>
        <v/>
      </c>
      <c r="G49">
        <f>IF(F49=0,0,SUMIFS(DATA_MIDWEEK!$E:$E,DATA_MIDWEEK!$A:$A,B49,DATA_MIDWEEK!$C:$C,$B$6,DATA_MIDWEEK!$D:$D,$B$7))</f>
        <v/>
      </c>
      <c r="H49">
        <f>IF(F49=0,0,SUMIFS(DATA_MIDWEEK!$F:$F,DATA_MIDWEEK!$A:$A,B49,DATA_MIDWEEK!$C:$C,$B$6,DATA_MIDWEEK!$D:$D,$B$7))</f>
        <v/>
      </c>
      <c r="I49">
        <f>IF(F49=0,0,SUMIFS(DATA_MIDWEEK!$H:$H,DATA_MIDWEEK!$A:$A,B49,DATA_MIDWEEK!$C:$C,$B$6,DATA_MIDWEEK!$D:$D,$B$7))</f>
        <v/>
      </c>
      <c r="J49">
        <f>G49+H49</f>
        <v/>
      </c>
      <c r="K49">
        <f>J49+I49</f>
        <v/>
      </c>
      <c r="L49">
        <f>IF(F49=0,0,SUMIFS(DATA_MIDWEEK!$J:$J,DATA_MIDWEEK!$A:$A,B49,DATA_MIDWEEK!$C:$C,$B$6,DATA_MIDWEEK!$D:$D,$B$7))</f>
        <v/>
      </c>
      <c r="M49">
        <f>IF(F49=0,0,SUMIFS(DATA_MIDWEEK!$K:$K,DATA_MIDWEEK!$A:$A,B49,DATA_MIDWEEK!$C:$C,$B$6,DATA_MIDWEEK!$D:$D,$B$7))</f>
        <v/>
      </c>
      <c r="N49">
        <f>IF(B49="",0,IF($B$3="Zone",IF(AND($B$17,NOT($B$18)),1,0),MAX(0,SUMIFS(DATA_SERVICE_AREAS!$E:$E,DATA_SERVICE_AREAS!$A:$A,B49,DATA_SERVICE_AREAS!$C:$C,"MIDWEEK",DATA_SERVICE_AREAS!$D:$D,$B$6)-COUNTIFS(MASTER_ZONES!$C:$C,$B$6,MASTER_ZONES!$I:$I,"Y"))))</f>
        <v/>
      </c>
      <c r="O49">
        <f>IF(B49="",0,IF($B$3="Zone",IF(AND($B$17,NOT($B$18),F49&gt;0),1,0),MAX(0,SUMIFS(DATA_SERVICE_AREAS!$F:$F,DATA_SERVICE_AREAS!$A:$A,B49,DATA_SERVICE_AREAS!$C:$C,"MIDWEEK",DATA_SERVICE_AREAS!$D:$D,$B$6)-COUNTIFS(DATA_COMMUNITY!$A:$A,B49,DATA_COMMUNITY!$D:$D,"Midweek",DATA_COMMUNITY!$E:$E,$B$6))))</f>
        <v/>
      </c>
      <c r="P49">
        <f>MAX(0,N49-O49)</f>
        <v/>
      </c>
      <c r="Q49">
        <f>IF(N49=0,0,O49/N49)</f>
        <v/>
      </c>
      <c r="R49">
        <f>IF(O49=0,0,K49/O49)</f>
        <v/>
      </c>
      <c r="S49">
        <f>IF(OR(F49&gt;0,N49&gt;0),1,0)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IFERROR(INDEX(MASTER_AREAS!$B:$B,48)&amp;"","")</f>
        <v/>
      </c>
      <c r="AB49">
        <f>IF(OR(AA49="",$B$10=0),0,COUNTIFS(DATA_MIDWEEK!$A:$A,$B$10,DATA_MIDWEEK!$C:$C,AA49))</f>
        <v/>
      </c>
      <c r="AC49">
        <f>IF(AB49=0,0,SUMIFS(DATA_MIDWEEK!$I:$I,DATA_MIDWEEK!$A:$A,$B$10,DATA_MIDWEEK!$C:$C,AA49))</f>
        <v/>
      </c>
      <c r="AD49">
        <f>IF(OR(AA49="",$B$10=0),0,SUMIFS(DATA_MIDWEEK!$I:$I,DATA_MIDWEEK!$A:$A,$B$10-7,DATA_MIDWEEK!$C:$C,AA49))</f>
        <v/>
      </c>
      <c r="AE49">
        <f>IF(OR(AA49="",$B$10=0),0,MAX(0,SUMIFS(DATA_SERVICE_AREAS!$E:$E,DATA_SERVICE_AREAS!$A:$A,$B$10,DATA_SERVICE_AREAS!$C:$C,"MIDWEEK",DATA_SERVICE_AREAS!$D:$D,AA49)-COUNTIFS(MASTER_ZONES!$C:$C,AA49,MASTER_ZONES!$I:$I,"Y")))</f>
        <v/>
      </c>
      <c r="AF49">
        <f>IF(OR(AA49="",$B$10=0),0,MAX(0,SUMIFS(DATA_SERVICE_AREAS!$F:$F,DATA_SERVICE_AREAS!$A:$A,$B$10,DATA_SERVICE_AREAS!$C:$C,"MIDWEEK",DATA_SERVICE_AREAS!$D:$D,AA49)-COUNTIFS(DATA_COMMUNITY!$A:$A,$B$10,DATA_COMMUNITY!$D:$D,"Midweek",DATA_COMMUNITY!$E:$E,AA49)))</f>
        <v/>
      </c>
      <c r="AG49">
        <f>IF(AE49=0,"",MIN(1,AF49/AE49))</f>
        <v/>
      </c>
      <c r="AH49">
        <f>IF(OR(AB49=0,AD49=0),"",AC49/AD49-1)</f>
        <v/>
      </c>
      <c r="AI49">
        <f>IF(AB49=0,"",AC49+ROW()/1000000)</f>
        <v/>
      </c>
      <c r="AJ49">
        <f>IF(AG49="","",AG49+ROW()/1000000000)</f>
        <v/>
      </c>
      <c r="AK49">
        <f>IF(AH49="","",AH49+ROW()/1000000000)</f>
        <v/>
      </c>
      <c r="AL49">
        <f>MAX(0,AE49-AF49)</f>
        <v/>
      </c>
      <c r="AM49">
        <f>IF(AND(AL49&gt;0,OR($B$6="*",AA49=$B$6)),ROW(),"")</f>
        <v/>
      </c>
      <c r="BB49">
        <f>IFERROR(SMALL($AM$3:$AM$95,47),"")</f>
        <v/>
      </c>
      <c r="BC49">
        <f>IF(BB49="","",INDEX($AA:$AA,BB49))</f>
        <v/>
      </c>
      <c r="BD49">
        <f>IF(BB49="","",INDEX($AE:$AE,BB49))</f>
        <v/>
      </c>
      <c r="BE49">
        <f>IF(BB49="","",INDEX($AF:$AF,BB49))</f>
        <v/>
      </c>
      <c r="BF49">
        <f>IF(BB49="","",INDEX($AL:$AL,BB49))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IF(B50="",0,COUNTIFS(DATA_MIDWEEK!$A:$A,B50,DATA_MIDWEEK!$C:$C,$B$6,DATA_MIDWEEK!$D:$D,$B$7))</f>
        <v/>
      </c>
      <c r="G50">
        <f>IF(F50=0,0,SUMIFS(DATA_MIDWEEK!$E:$E,DATA_MIDWEEK!$A:$A,B50,DATA_MIDWEEK!$C:$C,$B$6,DATA_MIDWEEK!$D:$D,$B$7))</f>
        <v/>
      </c>
      <c r="H50">
        <f>IF(F50=0,0,SUMIFS(DATA_MIDWEEK!$F:$F,DATA_MIDWEEK!$A:$A,B50,DATA_MIDWEEK!$C:$C,$B$6,DATA_MIDWEEK!$D:$D,$B$7))</f>
        <v/>
      </c>
      <c r="I50">
        <f>IF(F50=0,0,SUMIFS(DATA_MIDWEEK!$H:$H,DATA_MIDWEEK!$A:$A,B50,DATA_MIDWEEK!$C:$C,$B$6,DATA_MIDWEEK!$D:$D,$B$7))</f>
        <v/>
      </c>
      <c r="J50">
        <f>G50+H50</f>
        <v/>
      </c>
      <c r="K50">
        <f>J50+I50</f>
        <v/>
      </c>
      <c r="L50">
        <f>IF(F50=0,0,SUMIFS(DATA_MIDWEEK!$J:$J,DATA_MIDWEEK!$A:$A,B50,DATA_MIDWEEK!$C:$C,$B$6,DATA_MIDWEEK!$D:$D,$B$7))</f>
        <v/>
      </c>
      <c r="M50">
        <f>IF(F50=0,0,SUMIFS(DATA_MIDWEEK!$K:$K,DATA_MIDWEEK!$A:$A,B50,DATA_MIDWEEK!$C:$C,$B$6,DATA_MIDWEEK!$D:$D,$B$7))</f>
        <v/>
      </c>
      <c r="N50">
        <f>IF(B50="",0,IF($B$3="Zone",IF(AND($B$17,NOT($B$18)),1,0),MAX(0,SUMIFS(DATA_SERVICE_AREAS!$E:$E,DATA_SERVICE_AREAS!$A:$A,B50,DATA_SERVICE_AREAS!$C:$C,"MIDWEEK",DATA_SERVICE_AREAS!$D:$D,$B$6)-COUNTIFS(MASTER_ZONES!$C:$C,$B$6,MASTER_ZONES!$I:$I,"Y"))))</f>
        <v/>
      </c>
      <c r="O50">
        <f>IF(B50="",0,IF($B$3="Zone",IF(AND($B$17,NOT($B$18),F50&gt;0),1,0),MAX(0,SUMIFS(DATA_SERVICE_AREAS!$F:$F,DATA_SERVICE_AREAS!$A:$A,B50,DATA_SERVICE_AREAS!$C:$C,"MIDWEEK",DATA_SERVICE_AREAS!$D:$D,$B$6)-COUNTIFS(DATA_COMMUNITY!$A:$A,B50,DATA_COMMUNITY!$D:$D,"Midweek",DATA_COMMUNITY!$E:$E,$B$6))))</f>
        <v/>
      </c>
      <c r="P50">
        <f>MAX(0,N50-O50)</f>
        <v/>
      </c>
      <c r="Q50">
        <f>IF(N50=0,0,O50/N50)</f>
        <v/>
      </c>
      <c r="R50">
        <f>IF(O50=0,0,K50/O50)</f>
        <v/>
      </c>
      <c r="S50">
        <f>IF(OR(F50&gt;0,N50&gt;0),1,0)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IFERROR(INDEX(MASTER_AREAS!$B:$B,49)&amp;"","")</f>
        <v/>
      </c>
      <c r="AB50">
        <f>IF(OR(AA50="",$B$10=0),0,COUNTIFS(DATA_MIDWEEK!$A:$A,$B$10,DATA_MIDWEEK!$C:$C,AA50))</f>
        <v/>
      </c>
      <c r="AC50">
        <f>IF(AB50=0,0,SUMIFS(DATA_MIDWEEK!$I:$I,DATA_MIDWEEK!$A:$A,$B$10,DATA_MIDWEEK!$C:$C,AA50))</f>
        <v/>
      </c>
      <c r="AD50">
        <f>IF(OR(AA50="",$B$10=0),0,SUMIFS(DATA_MIDWEEK!$I:$I,DATA_MIDWEEK!$A:$A,$B$10-7,DATA_MIDWEEK!$C:$C,AA50))</f>
        <v/>
      </c>
      <c r="AE50">
        <f>IF(OR(AA50="",$B$10=0),0,MAX(0,SUMIFS(DATA_SERVICE_AREAS!$E:$E,DATA_SERVICE_AREAS!$A:$A,$B$10,DATA_SERVICE_AREAS!$C:$C,"MIDWEEK",DATA_SERVICE_AREAS!$D:$D,AA50)-COUNTIFS(MASTER_ZONES!$C:$C,AA50,MASTER_ZONES!$I:$I,"Y")))</f>
        <v/>
      </c>
      <c r="AF50">
        <f>IF(OR(AA50="",$B$10=0),0,MAX(0,SUMIFS(DATA_SERVICE_AREAS!$F:$F,DATA_SERVICE_AREAS!$A:$A,$B$10,DATA_SERVICE_AREAS!$C:$C,"MIDWEEK",DATA_SERVICE_AREAS!$D:$D,AA50)-COUNTIFS(DATA_COMMUNITY!$A:$A,$B$10,DATA_COMMUNITY!$D:$D,"Midweek",DATA_COMMUNITY!$E:$E,AA50)))</f>
        <v/>
      </c>
      <c r="AG50">
        <f>IF(AE50=0,"",MIN(1,AF50/AE50))</f>
        <v/>
      </c>
      <c r="AH50">
        <f>IF(OR(AB50=0,AD50=0),"",AC50/AD50-1)</f>
        <v/>
      </c>
      <c r="AI50">
        <f>IF(AB50=0,"",AC50+ROW()/1000000)</f>
        <v/>
      </c>
      <c r="AJ50">
        <f>IF(AG50="","",AG50+ROW()/1000000000)</f>
        <v/>
      </c>
      <c r="AK50">
        <f>IF(AH50="","",AH50+ROW()/1000000000)</f>
        <v/>
      </c>
      <c r="AL50">
        <f>MAX(0,AE50-AF50)</f>
        <v/>
      </c>
      <c r="AM50">
        <f>IF(AND(AL50&gt;0,OR($B$6="*",AA50=$B$6)),ROW(),"")</f>
        <v/>
      </c>
      <c r="BB50">
        <f>IFERROR(SMALL($AM$3:$AM$95,48),"")</f>
        <v/>
      </c>
      <c r="BC50">
        <f>IF(BB50="","",INDEX($AA:$AA,BB50))</f>
        <v/>
      </c>
      <c r="BD50">
        <f>IF(BB50="","",INDEX($AE:$AE,BB50))</f>
        <v/>
      </c>
      <c r="BE50">
        <f>IF(BB50="","",INDEX($AF:$AF,BB50))</f>
        <v/>
      </c>
      <c r="BF50">
        <f>IF(BB50="","",INDEX($AL:$AL,BB50))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IF(B51="",0,COUNTIFS(DATA_MIDWEEK!$A:$A,B51,DATA_MIDWEEK!$C:$C,$B$6,DATA_MIDWEEK!$D:$D,$B$7))</f>
        <v/>
      </c>
      <c r="G51">
        <f>IF(F51=0,0,SUMIFS(DATA_MIDWEEK!$E:$E,DATA_MIDWEEK!$A:$A,B51,DATA_MIDWEEK!$C:$C,$B$6,DATA_MIDWEEK!$D:$D,$B$7))</f>
        <v/>
      </c>
      <c r="H51">
        <f>IF(F51=0,0,SUMIFS(DATA_MIDWEEK!$F:$F,DATA_MIDWEEK!$A:$A,B51,DATA_MIDWEEK!$C:$C,$B$6,DATA_MIDWEEK!$D:$D,$B$7))</f>
        <v/>
      </c>
      <c r="I51">
        <f>IF(F51=0,0,SUMIFS(DATA_MIDWEEK!$H:$H,DATA_MIDWEEK!$A:$A,B51,DATA_MIDWEEK!$C:$C,$B$6,DATA_MIDWEEK!$D:$D,$B$7))</f>
        <v/>
      </c>
      <c r="J51">
        <f>G51+H51</f>
        <v/>
      </c>
      <c r="K51">
        <f>J51+I51</f>
        <v/>
      </c>
      <c r="L51">
        <f>IF(F51=0,0,SUMIFS(DATA_MIDWEEK!$J:$J,DATA_MIDWEEK!$A:$A,B51,DATA_MIDWEEK!$C:$C,$B$6,DATA_MIDWEEK!$D:$D,$B$7))</f>
        <v/>
      </c>
      <c r="M51">
        <f>IF(F51=0,0,SUMIFS(DATA_MIDWEEK!$K:$K,DATA_MIDWEEK!$A:$A,B51,DATA_MIDWEEK!$C:$C,$B$6,DATA_MIDWEEK!$D:$D,$B$7))</f>
        <v/>
      </c>
      <c r="N51">
        <f>IF(B51="",0,IF($B$3="Zone",IF(AND($B$17,NOT($B$18)),1,0),MAX(0,SUMIFS(DATA_SERVICE_AREAS!$E:$E,DATA_SERVICE_AREAS!$A:$A,B51,DATA_SERVICE_AREAS!$C:$C,"MIDWEEK",DATA_SERVICE_AREAS!$D:$D,$B$6)-COUNTIFS(MASTER_ZONES!$C:$C,$B$6,MASTER_ZONES!$I:$I,"Y"))))</f>
        <v/>
      </c>
      <c r="O51">
        <f>IF(B51="",0,IF($B$3="Zone",IF(AND($B$17,NOT($B$18),F51&gt;0),1,0),MAX(0,SUMIFS(DATA_SERVICE_AREAS!$F:$F,DATA_SERVICE_AREAS!$A:$A,B51,DATA_SERVICE_AREAS!$C:$C,"MIDWEEK",DATA_SERVICE_AREAS!$D:$D,$B$6)-COUNTIFS(DATA_COMMUNITY!$A:$A,B51,DATA_COMMUNITY!$D:$D,"Midweek",DATA_COMMUNITY!$E:$E,$B$6))))</f>
        <v/>
      </c>
      <c r="P51">
        <f>MAX(0,N51-O51)</f>
        <v/>
      </c>
      <c r="Q51">
        <f>IF(N51=0,0,O51/N51)</f>
        <v/>
      </c>
      <c r="R51">
        <f>IF(O51=0,0,K51/O51)</f>
        <v/>
      </c>
      <c r="S51">
        <f>IF(OR(F51&gt;0,N51&gt;0),1,0)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IFERROR(INDEX(MASTER_AREAS!$B:$B,50)&amp;"","")</f>
        <v/>
      </c>
      <c r="AB51">
        <f>IF(OR(AA51="",$B$10=0),0,COUNTIFS(DATA_MIDWEEK!$A:$A,$B$10,DATA_MIDWEEK!$C:$C,AA51))</f>
        <v/>
      </c>
      <c r="AC51">
        <f>IF(AB51=0,0,SUMIFS(DATA_MIDWEEK!$I:$I,DATA_MIDWEEK!$A:$A,$B$10,DATA_MIDWEEK!$C:$C,AA51))</f>
        <v/>
      </c>
      <c r="AD51">
        <f>IF(OR(AA51="",$B$10=0),0,SUMIFS(DATA_MIDWEEK!$I:$I,DATA_MIDWEEK!$A:$A,$B$10-7,DATA_MIDWEEK!$C:$C,AA51))</f>
        <v/>
      </c>
      <c r="AE51">
        <f>IF(OR(AA51="",$B$10=0),0,MAX(0,SUMIFS(DATA_SERVICE_AREAS!$E:$E,DATA_SERVICE_AREAS!$A:$A,$B$10,DATA_SERVICE_AREAS!$C:$C,"MIDWEEK",DATA_SERVICE_AREAS!$D:$D,AA51)-COUNTIFS(MASTER_ZONES!$C:$C,AA51,MASTER_ZONES!$I:$I,"Y")))</f>
        <v/>
      </c>
      <c r="AF51">
        <f>IF(OR(AA51="",$B$10=0),0,MAX(0,SUMIFS(DATA_SERVICE_AREAS!$F:$F,DATA_SERVICE_AREAS!$A:$A,$B$10,DATA_SERVICE_AREAS!$C:$C,"MIDWEEK",DATA_SERVICE_AREAS!$D:$D,AA51)-COUNTIFS(DATA_COMMUNITY!$A:$A,$B$10,DATA_COMMUNITY!$D:$D,"Midweek",DATA_COMMUNITY!$E:$E,AA51)))</f>
        <v/>
      </c>
      <c r="AG51">
        <f>IF(AE51=0,"",MIN(1,AF51/AE51))</f>
        <v/>
      </c>
      <c r="AH51">
        <f>IF(OR(AB51=0,AD51=0),"",AC51/AD51-1)</f>
        <v/>
      </c>
      <c r="AI51">
        <f>IF(AB51=0,"",AC51+ROW()/1000000)</f>
        <v/>
      </c>
      <c r="AJ51">
        <f>IF(AG51="","",AG51+ROW()/1000000000)</f>
        <v/>
      </c>
      <c r="AK51">
        <f>IF(AH51="","",AH51+ROW()/1000000000)</f>
        <v/>
      </c>
      <c r="AL51">
        <f>MAX(0,AE51-AF51)</f>
        <v/>
      </c>
      <c r="AM51">
        <f>IF(AND(AL51&gt;0,OR($B$6="*",AA51=$B$6)),ROW(),"")</f>
        <v/>
      </c>
      <c r="BB51">
        <f>IFERROR(SMALL($AM$3:$AM$95,49),"")</f>
        <v/>
      </c>
      <c r="BC51">
        <f>IF(BB51="","",INDEX($AA:$AA,BB51))</f>
        <v/>
      </c>
      <c r="BD51">
        <f>IF(BB51="","",INDEX($AE:$AE,BB51))</f>
        <v/>
      </c>
      <c r="BE51">
        <f>IF(BB51="","",INDEX($AF:$AF,BB51))</f>
        <v/>
      </c>
      <c r="BF51">
        <f>IF(BB51="","",INDEX($AL:$AL,BB51))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IF(B52="",0,COUNTIFS(DATA_MIDWEEK!$A:$A,B52,DATA_MIDWEEK!$C:$C,$B$6,DATA_MIDWEEK!$D:$D,$B$7))</f>
        <v/>
      </c>
      <c r="G52">
        <f>IF(F52=0,0,SUMIFS(DATA_MIDWEEK!$E:$E,DATA_MIDWEEK!$A:$A,B52,DATA_MIDWEEK!$C:$C,$B$6,DATA_MIDWEEK!$D:$D,$B$7))</f>
        <v/>
      </c>
      <c r="H52">
        <f>IF(F52=0,0,SUMIFS(DATA_MIDWEEK!$F:$F,DATA_MIDWEEK!$A:$A,B52,DATA_MIDWEEK!$C:$C,$B$6,DATA_MIDWEEK!$D:$D,$B$7))</f>
        <v/>
      </c>
      <c r="I52">
        <f>IF(F52=0,0,SUMIFS(DATA_MIDWEEK!$H:$H,DATA_MIDWEEK!$A:$A,B52,DATA_MIDWEEK!$C:$C,$B$6,DATA_MIDWEEK!$D:$D,$B$7))</f>
        <v/>
      </c>
      <c r="J52">
        <f>G52+H52</f>
        <v/>
      </c>
      <c r="K52">
        <f>J52+I52</f>
        <v/>
      </c>
      <c r="L52">
        <f>IF(F52=0,0,SUMIFS(DATA_MIDWEEK!$J:$J,DATA_MIDWEEK!$A:$A,B52,DATA_MIDWEEK!$C:$C,$B$6,DATA_MIDWEEK!$D:$D,$B$7))</f>
        <v/>
      </c>
      <c r="M52">
        <f>IF(F52=0,0,SUMIFS(DATA_MIDWEEK!$K:$K,DATA_MIDWEEK!$A:$A,B52,DATA_MIDWEEK!$C:$C,$B$6,DATA_MIDWEEK!$D:$D,$B$7))</f>
        <v/>
      </c>
      <c r="N52">
        <f>IF(B52="",0,IF($B$3="Zone",IF(AND($B$17,NOT($B$18)),1,0),MAX(0,SUMIFS(DATA_SERVICE_AREAS!$E:$E,DATA_SERVICE_AREAS!$A:$A,B52,DATA_SERVICE_AREAS!$C:$C,"MIDWEEK",DATA_SERVICE_AREAS!$D:$D,$B$6)-COUNTIFS(MASTER_ZONES!$C:$C,$B$6,MASTER_ZONES!$I:$I,"Y"))))</f>
        <v/>
      </c>
      <c r="O52">
        <f>IF(B52="",0,IF($B$3="Zone",IF(AND($B$17,NOT($B$18),F52&gt;0),1,0),MAX(0,SUMIFS(DATA_SERVICE_AREAS!$F:$F,DATA_SERVICE_AREAS!$A:$A,B52,DATA_SERVICE_AREAS!$C:$C,"MIDWEEK",DATA_SERVICE_AREAS!$D:$D,$B$6)-COUNTIFS(DATA_COMMUNITY!$A:$A,B52,DATA_COMMUNITY!$D:$D,"Midweek",DATA_COMMUNITY!$E:$E,$B$6))))</f>
        <v/>
      </c>
      <c r="P52">
        <f>MAX(0,N52-O52)</f>
        <v/>
      </c>
      <c r="Q52">
        <f>IF(N52=0,0,O52/N52)</f>
        <v/>
      </c>
      <c r="R52">
        <f>IF(O52=0,0,K52/O52)</f>
        <v/>
      </c>
      <c r="S52">
        <f>IF(OR(F52&gt;0,N52&gt;0),1,0)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IFERROR(INDEX(MASTER_AREAS!$B:$B,51)&amp;"","")</f>
        <v/>
      </c>
      <c r="AB52">
        <f>IF(OR(AA52="",$B$10=0),0,COUNTIFS(DATA_MIDWEEK!$A:$A,$B$10,DATA_MIDWEEK!$C:$C,AA52))</f>
        <v/>
      </c>
      <c r="AC52">
        <f>IF(AB52=0,0,SUMIFS(DATA_MIDWEEK!$I:$I,DATA_MIDWEEK!$A:$A,$B$10,DATA_MIDWEEK!$C:$C,AA52))</f>
        <v/>
      </c>
      <c r="AD52">
        <f>IF(OR(AA52="",$B$10=0),0,SUMIFS(DATA_MIDWEEK!$I:$I,DATA_MIDWEEK!$A:$A,$B$10-7,DATA_MIDWEEK!$C:$C,AA52))</f>
        <v/>
      </c>
      <c r="AE52">
        <f>IF(OR(AA52="",$B$10=0),0,MAX(0,SUMIFS(DATA_SERVICE_AREAS!$E:$E,DATA_SERVICE_AREAS!$A:$A,$B$10,DATA_SERVICE_AREAS!$C:$C,"MIDWEEK",DATA_SERVICE_AREAS!$D:$D,AA52)-COUNTIFS(MASTER_ZONES!$C:$C,AA52,MASTER_ZONES!$I:$I,"Y")))</f>
        <v/>
      </c>
      <c r="AF52">
        <f>IF(OR(AA52="",$B$10=0),0,MAX(0,SUMIFS(DATA_SERVICE_AREAS!$F:$F,DATA_SERVICE_AREAS!$A:$A,$B$10,DATA_SERVICE_AREAS!$C:$C,"MIDWEEK",DATA_SERVICE_AREAS!$D:$D,AA52)-COUNTIFS(DATA_COMMUNITY!$A:$A,$B$10,DATA_COMMUNITY!$D:$D,"Midweek",DATA_COMMUNITY!$E:$E,AA52)))</f>
        <v/>
      </c>
      <c r="AG52">
        <f>IF(AE52=0,"",MIN(1,AF52/AE52))</f>
        <v/>
      </c>
      <c r="AH52">
        <f>IF(OR(AB52=0,AD52=0),"",AC52/AD52-1)</f>
        <v/>
      </c>
      <c r="AI52">
        <f>IF(AB52=0,"",AC52+ROW()/1000000)</f>
        <v/>
      </c>
      <c r="AJ52">
        <f>IF(AG52="","",AG52+ROW()/1000000000)</f>
        <v/>
      </c>
      <c r="AK52">
        <f>IF(AH52="","",AH52+ROW()/1000000000)</f>
        <v/>
      </c>
      <c r="AL52">
        <f>MAX(0,AE52-AF52)</f>
        <v/>
      </c>
      <c r="AM52">
        <f>IF(AND(AL52&gt;0,OR($B$6="*",AA52=$B$6)),ROW(),"")</f>
        <v/>
      </c>
      <c r="BB52">
        <f>IFERROR(SMALL($AM$3:$AM$95,50),"")</f>
        <v/>
      </c>
      <c r="BC52">
        <f>IF(BB52="","",INDEX($AA:$AA,BB52))</f>
        <v/>
      </c>
      <c r="BD52">
        <f>IF(BB52="","",INDEX($AE:$AE,BB52))</f>
        <v/>
      </c>
      <c r="BE52">
        <f>IF(BB52="","",INDEX($AF:$AF,BB52))</f>
        <v/>
      </c>
      <c r="BF52">
        <f>IF(BB52="","",INDEX($AL:$AL,BB52))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IF(B53="",0,COUNTIFS(DATA_MIDWEEK!$A:$A,B53,DATA_MIDWEEK!$C:$C,$B$6,DATA_MIDWEEK!$D:$D,$B$7))</f>
        <v/>
      </c>
      <c r="G53">
        <f>IF(F53=0,0,SUMIFS(DATA_MIDWEEK!$E:$E,DATA_MIDWEEK!$A:$A,B53,DATA_MIDWEEK!$C:$C,$B$6,DATA_MIDWEEK!$D:$D,$B$7))</f>
        <v/>
      </c>
      <c r="H53">
        <f>IF(F53=0,0,SUMIFS(DATA_MIDWEEK!$F:$F,DATA_MIDWEEK!$A:$A,B53,DATA_MIDWEEK!$C:$C,$B$6,DATA_MIDWEEK!$D:$D,$B$7))</f>
        <v/>
      </c>
      <c r="I53">
        <f>IF(F53=0,0,SUMIFS(DATA_MIDWEEK!$H:$H,DATA_MIDWEEK!$A:$A,B53,DATA_MIDWEEK!$C:$C,$B$6,DATA_MIDWEEK!$D:$D,$B$7))</f>
        <v/>
      </c>
      <c r="J53">
        <f>G53+H53</f>
        <v/>
      </c>
      <c r="K53">
        <f>J53+I53</f>
        <v/>
      </c>
      <c r="L53">
        <f>IF(F53=0,0,SUMIFS(DATA_MIDWEEK!$J:$J,DATA_MIDWEEK!$A:$A,B53,DATA_MIDWEEK!$C:$C,$B$6,DATA_MIDWEEK!$D:$D,$B$7))</f>
        <v/>
      </c>
      <c r="M53">
        <f>IF(F53=0,0,SUMIFS(DATA_MIDWEEK!$K:$K,DATA_MIDWEEK!$A:$A,B53,DATA_MIDWEEK!$C:$C,$B$6,DATA_MIDWEEK!$D:$D,$B$7))</f>
        <v/>
      </c>
      <c r="N53">
        <f>IF(B53="",0,IF($B$3="Zone",IF(AND($B$17,NOT($B$18)),1,0),MAX(0,SUMIFS(DATA_SERVICE_AREAS!$E:$E,DATA_SERVICE_AREAS!$A:$A,B53,DATA_SERVICE_AREAS!$C:$C,"MIDWEEK",DATA_SERVICE_AREAS!$D:$D,$B$6)-COUNTIFS(MASTER_ZONES!$C:$C,$B$6,MASTER_ZONES!$I:$I,"Y"))))</f>
        <v/>
      </c>
      <c r="O53">
        <f>IF(B53="",0,IF($B$3="Zone",IF(AND($B$17,NOT($B$18),F53&gt;0),1,0),MAX(0,SUMIFS(DATA_SERVICE_AREAS!$F:$F,DATA_SERVICE_AREAS!$A:$A,B53,DATA_SERVICE_AREAS!$C:$C,"MIDWEEK",DATA_SERVICE_AREAS!$D:$D,$B$6)-COUNTIFS(DATA_COMMUNITY!$A:$A,B53,DATA_COMMUNITY!$D:$D,"Midweek",DATA_COMMUNITY!$E:$E,$B$6))))</f>
        <v/>
      </c>
      <c r="P53">
        <f>MAX(0,N53-O53)</f>
        <v/>
      </c>
      <c r="Q53">
        <f>IF(N53=0,0,O53/N53)</f>
        <v/>
      </c>
      <c r="R53">
        <f>IF(O53=0,0,K53/O53)</f>
        <v/>
      </c>
      <c r="S53">
        <f>IF(OR(F53&gt;0,N53&gt;0),1,0)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IFERROR(INDEX(MASTER_AREAS!$B:$B,52)&amp;"","")</f>
        <v/>
      </c>
      <c r="AB53">
        <f>IF(OR(AA53="",$B$10=0),0,COUNTIFS(DATA_MIDWEEK!$A:$A,$B$10,DATA_MIDWEEK!$C:$C,AA53))</f>
        <v/>
      </c>
      <c r="AC53">
        <f>IF(AB53=0,0,SUMIFS(DATA_MIDWEEK!$I:$I,DATA_MIDWEEK!$A:$A,$B$10,DATA_MIDWEEK!$C:$C,AA53))</f>
        <v/>
      </c>
      <c r="AD53">
        <f>IF(OR(AA53="",$B$10=0),0,SUMIFS(DATA_MIDWEEK!$I:$I,DATA_MIDWEEK!$A:$A,$B$10-7,DATA_MIDWEEK!$C:$C,AA53))</f>
        <v/>
      </c>
      <c r="AE53">
        <f>IF(OR(AA53="",$B$10=0),0,MAX(0,SUMIFS(DATA_SERVICE_AREAS!$E:$E,DATA_SERVICE_AREAS!$A:$A,$B$10,DATA_SERVICE_AREAS!$C:$C,"MIDWEEK",DATA_SERVICE_AREAS!$D:$D,AA53)-COUNTIFS(MASTER_ZONES!$C:$C,AA53,MASTER_ZONES!$I:$I,"Y")))</f>
        <v/>
      </c>
      <c r="AF53">
        <f>IF(OR(AA53="",$B$10=0),0,MAX(0,SUMIFS(DATA_SERVICE_AREAS!$F:$F,DATA_SERVICE_AREAS!$A:$A,$B$10,DATA_SERVICE_AREAS!$C:$C,"MIDWEEK",DATA_SERVICE_AREAS!$D:$D,AA53)-COUNTIFS(DATA_COMMUNITY!$A:$A,$B$10,DATA_COMMUNITY!$D:$D,"Midweek",DATA_COMMUNITY!$E:$E,AA53)))</f>
        <v/>
      </c>
      <c r="AG53">
        <f>IF(AE53=0,"",MIN(1,AF53/AE53))</f>
        <v/>
      </c>
      <c r="AH53">
        <f>IF(OR(AB53=0,AD53=0),"",AC53/AD53-1)</f>
        <v/>
      </c>
      <c r="AI53">
        <f>IF(AB53=0,"",AC53+ROW()/1000000)</f>
        <v/>
      </c>
      <c r="AJ53">
        <f>IF(AG53="","",AG53+ROW()/1000000000)</f>
        <v/>
      </c>
      <c r="AK53">
        <f>IF(AH53="","",AH53+ROW()/1000000000)</f>
        <v/>
      </c>
      <c r="AL53">
        <f>MAX(0,AE53-AF53)</f>
        <v/>
      </c>
      <c r="AM53">
        <f>IF(AND(AL53&gt;0,OR($B$6="*",AA53=$B$6)),ROW(),"")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IF(B54="",0,COUNTIFS(DATA_MIDWEEK!$A:$A,B54,DATA_MIDWEEK!$C:$C,$B$6,DATA_MIDWEEK!$D:$D,$B$7))</f>
        <v/>
      </c>
      <c r="G54">
        <f>IF(F54=0,0,SUMIFS(DATA_MIDWEEK!$E:$E,DATA_MIDWEEK!$A:$A,B54,DATA_MIDWEEK!$C:$C,$B$6,DATA_MIDWEEK!$D:$D,$B$7))</f>
        <v/>
      </c>
      <c r="H54">
        <f>IF(F54=0,0,SUMIFS(DATA_MIDWEEK!$F:$F,DATA_MIDWEEK!$A:$A,B54,DATA_MIDWEEK!$C:$C,$B$6,DATA_MIDWEEK!$D:$D,$B$7))</f>
        <v/>
      </c>
      <c r="I54">
        <f>IF(F54=0,0,SUMIFS(DATA_MIDWEEK!$H:$H,DATA_MIDWEEK!$A:$A,B54,DATA_MIDWEEK!$C:$C,$B$6,DATA_MIDWEEK!$D:$D,$B$7))</f>
        <v/>
      </c>
      <c r="J54">
        <f>G54+H54</f>
        <v/>
      </c>
      <c r="K54">
        <f>J54+I54</f>
        <v/>
      </c>
      <c r="L54">
        <f>IF(F54=0,0,SUMIFS(DATA_MIDWEEK!$J:$J,DATA_MIDWEEK!$A:$A,B54,DATA_MIDWEEK!$C:$C,$B$6,DATA_MIDWEEK!$D:$D,$B$7))</f>
        <v/>
      </c>
      <c r="M54">
        <f>IF(F54=0,0,SUMIFS(DATA_MIDWEEK!$K:$K,DATA_MIDWEEK!$A:$A,B54,DATA_MIDWEEK!$C:$C,$B$6,DATA_MIDWEEK!$D:$D,$B$7))</f>
        <v/>
      </c>
      <c r="N54">
        <f>IF(B54="",0,IF($B$3="Zone",IF(AND($B$17,NOT($B$18)),1,0),MAX(0,SUMIFS(DATA_SERVICE_AREAS!$E:$E,DATA_SERVICE_AREAS!$A:$A,B54,DATA_SERVICE_AREAS!$C:$C,"MIDWEEK",DATA_SERVICE_AREAS!$D:$D,$B$6)-COUNTIFS(MASTER_ZONES!$C:$C,$B$6,MASTER_ZONES!$I:$I,"Y"))))</f>
        <v/>
      </c>
      <c r="O54">
        <f>IF(B54="",0,IF($B$3="Zone",IF(AND($B$17,NOT($B$18),F54&gt;0),1,0),MAX(0,SUMIFS(DATA_SERVICE_AREAS!$F:$F,DATA_SERVICE_AREAS!$A:$A,B54,DATA_SERVICE_AREAS!$C:$C,"MIDWEEK",DATA_SERVICE_AREAS!$D:$D,$B$6)-COUNTIFS(DATA_COMMUNITY!$A:$A,B54,DATA_COMMUNITY!$D:$D,"Midweek",DATA_COMMUNITY!$E:$E,$B$6))))</f>
        <v/>
      </c>
      <c r="P54">
        <f>MAX(0,N54-O54)</f>
        <v/>
      </c>
      <c r="Q54">
        <f>IF(N54=0,0,O54/N54)</f>
        <v/>
      </c>
      <c r="R54">
        <f>IF(O54=0,0,K54/O54)</f>
        <v/>
      </c>
      <c r="S54">
        <f>IF(OR(F54&gt;0,N54&gt;0),1,0)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IFERROR(INDEX(MASTER_AREAS!$B:$B,53)&amp;"","")</f>
        <v/>
      </c>
      <c r="AB54">
        <f>IF(OR(AA54="",$B$10=0),0,COUNTIFS(DATA_MIDWEEK!$A:$A,$B$10,DATA_MIDWEEK!$C:$C,AA54))</f>
        <v/>
      </c>
      <c r="AC54">
        <f>IF(AB54=0,0,SUMIFS(DATA_MIDWEEK!$I:$I,DATA_MIDWEEK!$A:$A,$B$10,DATA_MIDWEEK!$C:$C,AA54))</f>
        <v/>
      </c>
      <c r="AD54">
        <f>IF(OR(AA54="",$B$10=0),0,SUMIFS(DATA_MIDWEEK!$I:$I,DATA_MIDWEEK!$A:$A,$B$10-7,DATA_MIDWEEK!$C:$C,AA54))</f>
        <v/>
      </c>
      <c r="AE54">
        <f>IF(OR(AA54="",$B$10=0),0,MAX(0,SUMIFS(DATA_SERVICE_AREAS!$E:$E,DATA_SERVICE_AREAS!$A:$A,$B$10,DATA_SERVICE_AREAS!$C:$C,"MIDWEEK",DATA_SERVICE_AREAS!$D:$D,AA54)-COUNTIFS(MASTER_ZONES!$C:$C,AA54,MASTER_ZONES!$I:$I,"Y")))</f>
        <v/>
      </c>
      <c r="AF54">
        <f>IF(OR(AA54="",$B$10=0),0,MAX(0,SUMIFS(DATA_SERVICE_AREAS!$F:$F,DATA_SERVICE_AREAS!$A:$A,$B$10,DATA_SERVICE_AREAS!$C:$C,"MIDWEEK",DATA_SERVICE_AREAS!$D:$D,AA54)-COUNTIFS(DATA_COMMUNITY!$A:$A,$B$10,DATA_COMMUNITY!$D:$D,"Midweek",DATA_COMMUNITY!$E:$E,AA54)))</f>
        <v/>
      </c>
      <c r="AG54">
        <f>IF(AE54=0,"",MIN(1,AF54/AE54))</f>
        <v/>
      </c>
      <c r="AH54">
        <f>IF(OR(AB54=0,AD54=0),"",AC54/AD54-1)</f>
        <v/>
      </c>
      <c r="AI54">
        <f>IF(AB54=0,"",AC54+ROW()/1000000)</f>
        <v/>
      </c>
      <c r="AJ54">
        <f>IF(AG54="","",AG54+ROW()/1000000000)</f>
        <v/>
      </c>
      <c r="AK54">
        <f>IF(AH54="","",AH54+ROW()/1000000000)</f>
        <v/>
      </c>
      <c r="AL54">
        <f>MAX(0,AE54-AF54)</f>
        <v/>
      </c>
      <c r="AM54">
        <f>IF(AND(AL54&gt;0,OR($B$6="*",AA54=$B$6)),ROW(),"")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IF(B55="",0,COUNTIFS(DATA_MIDWEEK!$A:$A,B55,DATA_MIDWEEK!$C:$C,$B$6,DATA_MIDWEEK!$D:$D,$B$7))</f>
        <v/>
      </c>
      <c r="G55">
        <f>IF(F55=0,0,SUMIFS(DATA_MIDWEEK!$E:$E,DATA_MIDWEEK!$A:$A,B55,DATA_MIDWEEK!$C:$C,$B$6,DATA_MIDWEEK!$D:$D,$B$7))</f>
        <v/>
      </c>
      <c r="H55">
        <f>IF(F55=0,0,SUMIFS(DATA_MIDWEEK!$F:$F,DATA_MIDWEEK!$A:$A,B55,DATA_MIDWEEK!$C:$C,$B$6,DATA_MIDWEEK!$D:$D,$B$7))</f>
        <v/>
      </c>
      <c r="I55">
        <f>IF(F55=0,0,SUMIFS(DATA_MIDWEEK!$H:$H,DATA_MIDWEEK!$A:$A,B55,DATA_MIDWEEK!$C:$C,$B$6,DATA_MIDWEEK!$D:$D,$B$7))</f>
        <v/>
      </c>
      <c r="J55">
        <f>G55+H55</f>
        <v/>
      </c>
      <c r="K55">
        <f>J55+I55</f>
        <v/>
      </c>
      <c r="L55">
        <f>IF(F55=0,0,SUMIFS(DATA_MIDWEEK!$J:$J,DATA_MIDWEEK!$A:$A,B55,DATA_MIDWEEK!$C:$C,$B$6,DATA_MIDWEEK!$D:$D,$B$7))</f>
        <v/>
      </c>
      <c r="M55">
        <f>IF(F55=0,0,SUMIFS(DATA_MIDWEEK!$K:$K,DATA_MIDWEEK!$A:$A,B55,DATA_MIDWEEK!$C:$C,$B$6,DATA_MIDWEEK!$D:$D,$B$7))</f>
        <v/>
      </c>
      <c r="N55">
        <f>IF(B55="",0,IF($B$3="Zone",IF(AND($B$17,NOT($B$18)),1,0),MAX(0,SUMIFS(DATA_SERVICE_AREAS!$E:$E,DATA_SERVICE_AREAS!$A:$A,B55,DATA_SERVICE_AREAS!$C:$C,"MIDWEEK",DATA_SERVICE_AREAS!$D:$D,$B$6)-COUNTIFS(MASTER_ZONES!$C:$C,$B$6,MASTER_ZONES!$I:$I,"Y"))))</f>
        <v/>
      </c>
      <c r="O55">
        <f>IF(B55="",0,IF($B$3="Zone",IF(AND($B$17,NOT($B$18),F55&gt;0),1,0),MAX(0,SUMIFS(DATA_SERVICE_AREAS!$F:$F,DATA_SERVICE_AREAS!$A:$A,B55,DATA_SERVICE_AREAS!$C:$C,"MIDWEEK",DATA_SERVICE_AREAS!$D:$D,$B$6)-COUNTIFS(DATA_COMMUNITY!$A:$A,B55,DATA_COMMUNITY!$D:$D,"Midweek",DATA_COMMUNITY!$E:$E,$B$6))))</f>
        <v/>
      </c>
      <c r="P55">
        <f>MAX(0,N55-O55)</f>
        <v/>
      </c>
      <c r="Q55">
        <f>IF(N55=0,0,O55/N55)</f>
        <v/>
      </c>
      <c r="R55">
        <f>IF(O55=0,0,K55/O55)</f>
        <v/>
      </c>
      <c r="S55">
        <f>IF(OR(F55&gt;0,N55&gt;0),1,0)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IFERROR(INDEX(MASTER_AREAS!$B:$B,54)&amp;"","")</f>
        <v/>
      </c>
      <c r="AB55">
        <f>IF(OR(AA55="",$B$10=0),0,COUNTIFS(DATA_MIDWEEK!$A:$A,$B$10,DATA_MIDWEEK!$C:$C,AA55))</f>
        <v/>
      </c>
      <c r="AC55">
        <f>IF(AB55=0,0,SUMIFS(DATA_MIDWEEK!$I:$I,DATA_MIDWEEK!$A:$A,$B$10,DATA_MIDWEEK!$C:$C,AA55))</f>
        <v/>
      </c>
      <c r="AD55">
        <f>IF(OR(AA55="",$B$10=0),0,SUMIFS(DATA_MIDWEEK!$I:$I,DATA_MIDWEEK!$A:$A,$B$10-7,DATA_MIDWEEK!$C:$C,AA55))</f>
        <v/>
      </c>
      <c r="AE55">
        <f>IF(OR(AA55="",$B$10=0),0,MAX(0,SUMIFS(DATA_SERVICE_AREAS!$E:$E,DATA_SERVICE_AREAS!$A:$A,$B$10,DATA_SERVICE_AREAS!$C:$C,"MIDWEEK",DATA_SERVICE_AREAS!$D:$D,AA55)-COUNTIFS(MASTER_ZONES!$C:$C,AA55,MASTER_ZONES!$I:$I,"Y")))</f>
        <v/>
      </c>
      <c r="AF55">
        <f>IF(OR(AA55="",$B$10=0),0,MAX(0,SUMIFS(DATA_SERVICE_AREAS!$F:$F,DATA_SERVICE_AREAS!$A:$A,$B$10,DATA_SERVICE_AREAS!$C:$C,"MIDWEEK",DATA_SERVICE_AREAS!$D:$D,AA55)-COUNTIFS(DATA_COMMUNITY!$A:$A,$B$10,DATA_COMMUNITY!$D:$D,"Midweek",DATA_COMMUNITY!$E:$E,AA55)))</f>
        <v/>
      </c>
      <c r="AG55">
        <f>IF(AE55=0,"",MIN(1,AF55/AE55))</f>
        <v/>
      </c>
      <c r="AH55">
        <f>IF(OR(AB55=0,AD55=0),"",AC55/AD55-1)</f>
        <v/>
      </c>
      <c r="AI55">
        <f>IF(AB55=0,"",AC55+ROW()/1000000)</f>
        <v/>
      </c>
      <c r="AJ55">
        <f>IF(AG55="","",AG55+ROW()/1000000000)</f>
        <v/>
      </c>
      <c r="AK55">
        <f>IF(AH55="","",AH55+ROW()/1000000000)</f>
        <v/>
      </c>
      <c r="AL55">
        <f>MAX(0,AE55-AF55)</f>
        <v/>
      </c>
      <c r="AM55">
        <f>IF(AND(AL55&gt;0,OR($B$6="*",AA55=$B$6)),ROW(),"")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IF(B56="",0,COUNTIFS(DATA_MIDWEEK!$A:$A,B56,DATA_MIDWEEK!$C:$C,$B$6,DATA_MIDWEEK!$D:$D,$B$7))</f>
        <v/>
      </c>
      <c r="G56">
        <f>IF(F56=0,0,SUMIFS(DATA_MIDWEEK!$E:$E,DATA_MIDWEEK!$A:$A,B56,DATA_MIDWEEK!$C:$C,$B$6,DATA_MIDWEEK!$D:$D,$B$7))</f>
        <v/>
      </c>
      <c r="H56">
        <f>IF(F56=0,0,SUMIFS(DATA_MIDWEEK!$F:$F,DATA_MIDWEEK!$A:$A,B56,DATA_MIDWEEK!$C:$C,$B$6,DATA_MIDWEEK!$D:$D,$B$7))</f>
        <v/>
      </c>
      <c r="I56">
        <f>IF(F56=0,0,SUMIFS(DATA_MIDWEEK!$H:$H,DATA_MIDWEEK!$A:$A,B56,DATA_MIDWEEK!$C:$C,$B$6,DATA_MIDWEEK!$D:$D,$B$7))</f>
        <v/>
      </c>
      <c r="J56">
        <f>G56+H56</f>
        <v/>
      </c>
      <c r="K56">
        <f>J56+I56</f>
        <v/>
      </c>
      <c r="L56">
        <f>IF(F56=0,0,SUMIFS(DATA_MIDWEEK!$J:$J,DATA_MIDWEEK!$A:$A,B56,DATA_MIDWEEK!$C:$C,$B$6,DATA_MIDWEEK!$D:$D,$B$7))</f>
        <v/>
      </c>
      <c r="M56">
        <f>IF(F56=0,0,SUMIFS(DATA_MIDWEEK!$K:$K,DATA_MIDWEEK!$A:$A,B56,DATA_MIDWEEK!$C:$C,$B$6,DATA_MIDWEEK!$D:$D,$B$7))</f>
        <v/>
      </c>
      <c r="N56">
        <f>IF(B56="",0,IF($B$3="Zone",IF(AND($B$17,NOT($B$18)),1,0),MAX(0,SUMIFS(DATA_SERVICE_AREAS!$E:$E,DATA_SERVICE_AREAS!$A:$A,B56,DATA_SERVICE_AREAS!$C:$C,"MIDWEEK",DATA_SERVICE_AREAS!$D:$D,$B$6)-COUNTIFS(MASTER_ZONES!$C:$C,$B$6,MASTER_ZONES!$I:$I,"Y"))))</f>
        <v/>
      </c>
      <c r="O56">
        <f>IF(B56="",0,IF($B$3="Zone",IF(AND($B$17,NOT($B$18),F56&gt;0),1,0),MAX(0,SUMIFS(DATA_SERVICE_AREAS!$F:$F,DATA_SERVICE_AREAS!$A:$A,B56,DATA_SERVICE_AREAS!$C:$C,"MIDWEEK",DATA_SERVICE_AREAS!$D:$D,$B$6)-COUNTIFS(DATA_COMMUNITY!$A:$A,B56,DATA_COMMUNITY!$D:$D,"Midweek",DATA_COMMUNITY!$E:$E,$B$6))))</f>
        <v/>
      </c>
      <c r="P56">
        <f>MAX(0,N56-O56)</f>
        <v/>
      </c>
      <c r="Q56">
        <f>IF(N56=0,0,O56/N56)</f>
        <v/>
      </c>
      <c r="R56">
        <f>IF(O56=0,0,K56/O56)</f>
        <v/>
      </c>
      <c r="S56">
        <f>IF(OR(F56&gt;0,N56&gt;0),1,0)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IFERROR(INDEX(MASTER_AREAS!$B:$B,55)&amp;"","")</f>
        <v/>
      </c>
      <c r="AB56">
        <f>IF(OR(AA56="",$B$10=0),0,COUNTIFS(DATA_MIDWEEK!$A:$A,$B$10,DATA_MIDWEEK!$C:$C,AA56))</f>
        <v/>
      </c>
      <c r="AC56">
        <f>IF(AB56=0,0,SUMIFS(DATA_MIDWEEK!$I:$I,DATA_MIDWEEK!$A:$A,$B$10,DATA_MIDWEEK!$C:$C,AA56))</f>
        <v/>
      </c>
      <c r="AD56">
        <f>IF(OR(AA56="",$B$10=0),0,SUMIFS(DATA_MIDWEEK!$I:$I,DATA_MIDWEEK!$A:$A,$B$10-7,DATA_MIDWEEK!$C:$C,AA56))</f>
        <v/>
      </c>
      <c r="AE56">
        <f>IF(OR(AA56="",$B$10=0),0,MAX(0,SUMIFS(DATA_SERVICE_AREAS!$E:$E,DATA_SERVICE_AREAS!$A:$A,$B$10,DATA_SERVICE_AREAS!$C:$C,"MIDWEEK",DATA_SERVICE_AREAS!$D:$D,AA56)-COUNTIFS(MASTER_ZONES!$C:$C,AA56,MASTER_ZONES!$I:$I,"Y")))</f>
        <v/>
      </c>
      <c r="AF56">
        <f>IF(OR(AA56="",$B$10=0),0,MAX(0,SUMIFS(DATA_SERVICE_AREAS!$F:$F,DATA_SERVICE_AREAS!$A:$A,$B$10,DATA_SERVICE_AREAS!$C:$C,"MIDWEEK",DATA_SERVICE_AREAS!$D:$D,AA56)-COUNTIFS(DATA_COMMUNITY!$A:$A,$B$10,DATA_COMMUNITY!$D:$D,"Midweek",DATA_COMMUNITY!$E:$E,AA56)))</f>
        <v/>
      </c>
      <c r="AG56">
        <f>IF(AE56=0,"",MIN(1,AF56/AE56))</f>
        <v/>
      </c>
      <c r="AH56">
        <f>IF(OR(AB56=0,AD56=0),"",AC56/AD56-1)</f>
        <v/>
      </c>
      <c r="AI56">
        <f>IF(AB56=0,"",AC56+ROW()/1000000)</f>
        <v/>
      </c>
      <c r="AJ56">
        <f>IF(AG56="","",AG56+ROW()/1000000000)</f>
        <v/>
      </c>
      <c r="AK56">
        <f>IF(AH56="","",AH56+ROW()/1000000000)</f>
        <v/>
      </c>
      <c r="AL56">
        <f>MAX(0,AE56-AF56)</f>
        <v/>
      </c>
      <c r="AM56">
        <f>IF(AND(AL56&gt;0,OR($B$6="*",AA56=$B$6)),ROW(),"")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IF(B57="",0,COUNTIFS(DATA_MIDWEEK!$A:$A,B57,DATA_MIDWEEK!$C:$C,$B$6,DATA_MIDWEEK!$D:$D,$B$7))</f>
        <v/>
      </c>
      <c r="G57">
        <f>IF(F57=0,0,SUMIFS(DATA_MIDWEEK!$E:$E,DATA_MIDWEEK!$A:$A,B57,DATA_MIDWEEK!$C:$C,$B$6,DATA_MIDWEEK!$D:$D,$B$7))</f>
        <v/>
      </c>
      <c r="H57">
        <f>IF(F57=0,0,SUMIFS(DATA_MIDWEEK!$F:$F,DATA_MIDWEEK!$A:$A,B57,DATA_MIDWEEK!$C:$C,$B$6,DATA_MIDWEEK!$D:$D,$B$7))</f>
        <v/>
      </c>
      <c r="I57">
        <f>IF(F57=0,0,SUMIFS(DATA_MIDWEEK!$H:$H,DATA_MIDWEEK!$A:$A,B57,DATA_MIDWEEK!$C:$C,$B$6,DATA_MIDWEEK!$D:$D,$B$7))</f>
        <v/>
      </c>
      <c r="J57">
        <f>G57+H57</f>
        <v/>
      </c>
      <c r="K57">
        <f>J57+I57</f>
        <v/>
      </c>
      <c r="L57">
        <f>IF(F57=0,0,SUMIFS(DATA_MIDWEEK!$J:$J,DATA_MIDWEEK!$A:$A,B57,DATA_MIDWEEK!$C:$C,$B$6,DATA_MIDWEEK!$D:$D,$B$7))</f>
        <v/>
      </c>
      <c r="M57">
        <f>IF(F57=0,0,SUMIFS(DATA_MIDWEEK!$K:$K,DATA_MIDWEEK!$A:$A,B57,DATA_MIDWEEK!$C:$C,$B$6,DATA_MIDWEEK!$D:$D,$B$7))</f>
        <v/>
      </c>
      <c r="N57">
        <f>IF(B57="",0,IF($B$3="Zone",IF(AND($B$17,NOT($B$18)),1,0),MAX(0,SUMIFS(DATA_SERVICE_AREAS!$E:$E,DATA_SERVICE_AREAS!$A:$A,B57,DATA_SERVICE_AREAS!$C:$C,"MIDWEEK",DATA_SERVICE_AREAS!$D:$D,$B$6)-COUNTIFS(MASTER_ZONES!$C:$C,$B$6,MASTER_ZONES!$I:$I,"Y"))))</f>
        <v/>
      </c>
      <c r="O57">
        <f>IF(B57="",0,IF($B$3="Zone",IF(AND($B$17,NOT($B$18),F57&gt;0),1,0),MAX(0,SUMIFS(DATA_SERVICE_AREAS!$F:$F,DATA_SERVICE_AREAS!$A:$A,B57,DATA_SERVICE_AREAS!$C:$C,"MIDWEEK",DATA_SERVICE_AREAS!$D:$D,$B$6)-COUNTIFS(DATA_COMMUNITY!$A:$A,B57,DATA_COMMUNITY!$D:$D,"Midweek",DATA_COMMUNITY!$E:$E,$B$6))))</f>
        <v/>
      </c>
      <c r="P57">
        <f>MAX(0,N57-O57)</f>
        <v/>
      </c>
      <c r="Q57">
        <f>IF(N57=0,0,O57/N57)</f>
        <v/>
      </c>
      <c r="R57">
        <f>IF(O57=0,0,K57/O57)</f>
        <v/>
      </c>
      <c r="S57">
        <f>IF(OR(F57&gt;0,N57&gt;0),1,0)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IFERROR(INDEX(MASTER_AREAS!$B:$B,56)&amp;"","")</f>
        <v/>
      </c>
      <c r="AB57">
        <f>IF(OR(AA57="",$B$10=0),0,COUNTIFS(DATA_MIDWEEK!$A:$A,$B$10,DATA_MIDWEEK!$C:$C,AA57))</f>
        <v/>
      </c>
      <c r="AC57">
        <f>IF(AB57=0,0,SUMIFS(DATA_MIDWEEK!$I:$I,DATA_MIDWEEK!$A:$A,$B$10,DATA_MIDWEEK!$C:$C,AA57))</f>
        <v/>
      </c>
      <c r="AD57">
        <f>IF(OR(AA57="",$B$10=0),0,SUMIFS(DATA_MIDWEEK!$I:$I,DATA_MIDWEEK!$A:$A,$B$10-7,DATA_MIDWEEK!$C:$C,AA57))</f>
        <v/>
      </c>
      <c r="AE57">
        <f>IF(OR(AA57="",$B$10=0),0,MAX(0,SUMIFS(DATA_SERVICE_AREAS!$E:$E,DATA_SERVICE_AREAS!$A:$A,$B$10,DATA_SERVICE_AREAS!$C:$C,"MIDWEEK",DATA_SERVICE_AREAS!$D:$D,AA57)-COUNTIFS(MASTER_ZONES!$C:$C,AA57,MASTER_ZONES!$I:$I,"Y")))</f>
        <v/>
      </c>
      <c r="AF57">
        <f>IF(OR(AA57="",$B$10=0),0,MAX(0,SUMIFS(DATA_SERVICE_AREAS!$F:$F,DATA_SERVICE_AREAS!$A:$A,$B$10,DATA_SERVICE_AREAS!$C:$C,"MIDWEEK",DATA_SERVICE_AREAS!$D:$D,AA57)-COUNTIFS(DATA_COMMUNITY!$A:$A,$B$10,DATA_COMMUNITY!$D:$D,"Midweek",DATA_COMMUNITY!$E:$E,AA57)))</f>
        <v/>
      </c>
      <c r="AG57">
        <f>IF(AE57=0,"",MIN(1,AF57/AE57))</f>
        <v/>
      </c>
      <c r="AH57">
        <f>IF(OR(AB57=0,AD57=0),"",AC57/AD57-1)</f>
        <v/>
      </c>
      <c r="AI57">
        <f>IF(AB57=0,"",AC57+ROW()/1000000)</f>
        <v/>
      </c>
      <c r="AJ57">
        <f>IF(AG57="","",AG57+ROW()/1000000000)</f>
        <v/>
      </c>
      <c r="AK57">
        <f>IF(AH57="","",AH57+ROW()/1000000000)</f>
        <v/>
      </c>
      <c r="AL57">
        <f>MAX(0,AE57-AF57)</f>
        <v/>
      </c>
      <c r="AM57">
        <f>IF(AND(AL57&gt;0,OR($B$6="*",AA57=$B$6)),ROW(),"")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IF(B58="",0,COUNTIFS(DATA_MIDWEEK!$A:$A,B58,DATA_MIDWEEK!$C:$C,$B$6,DATA_MIDWEEK!$D:$D,$B$7))</f>
        <v/>
      </c>
      <c r="G58">
        <f>IF(F58=0,0,SUMIFS(DATA_MIDWEEK!$E:$E,DATA_MIDWEEK!$A:$A,B58,DATA_MIDWEEK!$C:$C,$B$6,DATA_MIDWEEK!$D:$D,$B$7))</f>
        <v/>
      </c>
      <c r="H58">
        <f>IF(F58=0,0,SUMIFS(DATA_MIDWEEK!$F:$F,DATA_MIDWEEK!$A:$A,B58,DATA_MIDWEEK!$C:$C,$B$6,DATA_MIDWEEK!$D:$D,$B$7))</f>
        <v/>
      </c>
      <c r="I58">
        <f>IF(F58=0,0,SUMIFS(DATA_MIDWEEK!$H:$H,DATA_MIDWEEK!$A:$A,B58,DATA_MIDWEEK!$C:$C,$B$6,DATA_MIDWEEK!$D:$D,$B$7))</f>
        <v/>
      </c>
      <c r="J58">
        <f>G58+H58</f>
        <v/>
      </c>
      <c r="K58">
        <f>J58+I58</f>
        <v/>
      </c>
      <c r="L58">
        <f>IF(F58=0,0,SUMIFS(DATA_MIDWEEK!$J:$J,DATA_MIDWEEK!$A:$A,B58,DATA_MIDWEEK!$C:$C,$B$6,DATA_MIDWEEK!$D:$D,$B$7))</f>
        <v/>
      </c>
      <c r="M58">
        <f>IF(F58=0,0,SUMIFS(DATA_MIDWEEK!$K:$K,DATA_MIDWEEK!$A:$A,B58,DATA_MIDWEEK!$C:$C,$B$6,DATA_MIDWEEK!$D:$D,$B$7))</f>
        <v/>
      </c>
      <c r="N58">
        <f>IF(B58="",0,IF($B$3="Zone",IF(AND($B$17,NOT($B$18)),1,0),MAX(0,SUMIFS(DATA_SERVICE_AREAS!$E:$E,DATA_SERVICE_AREAS!$A:$A,B58,DATA_SERVICE_AREAS!$C:$C,"MIDWEEK",DATA_SERVICE_AREAS!$D:$D,$B$6)-COUNTIFS(MASTER_ZONES!$C:$C,$B$6,MASTER_ZONES!$I:$I,"Y"))))</f>
        <v/>
      </c>
      <c r="O58">
        <f>IF(B58="",0,IF($B$3="Zone",IF(AND($B$17,NOT($B$18),F58&gt;0),1,0),MAX(0,SUMIFS(DATA_SERVICE_AREAS!$F:$F,DATA_SERVICE_AREAS!$A:$A,B58,DATA_SERVICE_AREAS!$C:$C,"MIDWEEK",DATA_SERVICE_AREAS!$D:$D,$B$6)-COUNTIFS(DATA_COMMUNITY!$A:$A,B58,DATA_COMMUNITY!$D:$D,"Midweek",DATA_COMMUNITY!$E:$E,$B$6))))</f>
        <v/>
      </c>
      <c r="P58">
        <f>MAX(0,N58-O58)</f>
        <v/>
      </c>
      <c r="Q58">
        <f>IF(N58=0,0,O58/N58)</f>
        <v/>
      </c>
      <c r="R58">
        <f>IF(O58=0,0,K58/O58)</f>
        <v/>
      </c>
      <c r="S58">
        <f>IF(OR(F58&gt;0,N58&gt;0),1,0)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IFERROR(INDEX(MASTER_AREAS!$B:$B,57)&amp;"","")</f>
        <v/>
      </c>
      <c r="AB58">
        <f>IF(OR(AA58="",$B$10=0),0,COUNTIFS(DATA_MIDWEEK!$A:$A,$B$10,DATA_MIDWEEK!$C:$C,AA58))</f>
        <v/>
      </c>
      <c r="AC58">
        <f>IF(AB58=0,0,SUMIFS(DATA_MIDWEEK!$I:$I,DATA_MIDWEEK!$A:$A,$B$10,DATA_MIDWEEK!$C:$C,AA58))</f>
        <v/>
      </c>
      <c r="AD58">
        <f>IF(OR(AA58="",$B$10=0),0,SUMIFS(DATA_MIDWEEK!$I:$I,DATA_MIDWEEK!$A:$A,$B$10-7,DATA_MIDWEEK!$C:$C,AA58))</f>
        <v/>
      </c>
      <c r="AE58">
        <f>IF(OR(AA58="",$B$10=0),0,MAX(0,SUMIFS(DATA_SERVICE_AREAS!$E:$E,DATA_SERVICE_AREAS!$A:$A,$B$10,DATA_SERVICE_AREAS!$C:$C,"MIDWEEK",DATA_SERVICE_AREAS!$D:$D,AA58)-COUNTIFS(MASTER_ZONES!$C:$C,AA58,MASTER_ZONES!$I:$I,"Y")))</f>
        <v/>
      </c>
      <c r="AF58">
        <f>IF(OR(AA58="",$B$10=0),0,MAX(0,SUMIFS(DATA_SERVICE_AREAS!$F:$F,DATA_SERVICE_AREAS!$A:$A,$B$10,DATA_SERVICE_AREAS!$C:$C,"MIDWEEK",DATA_SERVICE_AREAS!$D:$D,AA58)-COUNTIFS(DATA_COMMUNITY!$A:$A,$B$10,DATA_COMMUNITY!$D:$D,"Midweek",DATA_COMMUNITY!$E:$E,AA58)))</f>
        <v/>
      </c>
      <c r="AG58">
        <f>IF(AE58=0,"",MIN(1,AF58/AE58))</f>
        <v/>
      </c>
      <c r="AH58">
        <f>IF(OR(AB58=0,AD58=0),"",AC58/AD58-1)</f>
        <v/>
      </c>
      <c r="AI58">
        <f>IF(AB58=0,"",AC58+ROW()/1000000)</f>
        <v/>
      </c>
      <c r="AJ58">
        <f>IF(AG58="","",AG58+ROW()/1000000000)</f>
        <v/>
      </c>
      <c r="AK58">
        <f>IF(AH58="","",AH58+ROW()/1000000000)</f>
        <v/>
      </c>
      <c r="AL58">
        <f>MAX(0,AE58-AF58)</f>
        <v/>
      </c>
      <c r="AM58">
        <f>IF(AND(AL58&gt;0,OR($B$6="*",AA58=$B$6)),ROW(),"")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IF(B59="",0,COUNTIFS(DATA_MIDWEEK!$A:$A,B59,DATA_MIDWEEK!$C:$C,$B$6,DATA_MIDWEEK!$D:$D,$B$7))</f>
        <v/>
      </c>
      <c r="G59">
        <f>IF(F59=0,0,SUMIFS(DATA_MIDWEEK!$E:$E,DATA_MIDWEEK!$A:$A,B59,DATA_MIDWEEK!$C:$C,$B$6,DATA_MIDWEEK!$D:$D,$B$7))</f>
        <v/>
      </c>
      <c r="H59">
        <f>IF(F59=0,0,SUMIFS(DATA_MIDWEEK!$F:$F,DATA_MIDWEEK!$A:$A,B59,DATA_MIDWEEK!$C:$C,$B$6,DATA_MIDWEEK!$D:$D,$B$7))</f>
        <v/>
      </c>
      <c r="I59">
        <f>IF(F59=0,0,SUMIFS(DATA_MIDWEEK!$H:$H,DATA_MIDWEEK!$A:$A,B59,DATA_MIDWEEK!$C:$C,$B$6,DATA_MIDWEEK!$D:$D,$B$7))</f>
        <v/>
      </c>
      <c r="J59">
        <f>G59+H59</f>
        <v/>
      </c>
      <c r="K59">
        <f>J59+I59</f>
        <v/>
      </c>
      <c r="L59">
        <f>IF(F59=0,0,SUMIFS(DATA_MIDWEEK!$J:$J,DATA_MIDWEEK!$A:$A,B59,DATA_MIDWEEK!$C:$C,$B$6,DATA_MIDWEEK!$D:$D,$B$7))</f>
        <v/>
      </c>
      <c r="M59">
        <f>IF(F59=0,0,SUMIFS(DATA_MIDWEEK!$K:$K,DATA_MIDWEEK!$A:$A,B59,DATA_MIDWEEK!$C:$C,$B$6,DATA_MIDWEEK!$D:$D,$B$7))</f>
        <v/>
      </c>
      <c r="N59">
        <f>IF(B59="",0,IF($B$3="Zone",IF(AND($B$17,NOT($B$18)),1,0),MAX(0,SUMIFS(DATA_SERVICE_AREAS!$E:$E,DATA_SERVICE_AREAS!$A:$A,B59,DATA_SERVICE_AREAS!$C:$C,"MIDWEEK",DATA_SERVICE_AREAS!$D:$D,$B$6)-COUNTIFS(MASTER_ZONES!$C:$C,$B$6,MASTER_ZONES!$I:$I,"Y"))))</f>
        <v/>
      </c>
      <c r="O59">
        <f>IF(B59="",0,IF($B$3="Zone",IF(AND($B$17,NOT($B$18),F59&gt;0),1,0),MAX(0,SUMIFS(DATA_SERVICE_AREAS!$F:$F,DATA_SERVICE_AREAS!$A:$A,B59,DATA_SERVICE_AREAS!$C:$C,"MIDWEEK",DATA_SERVICE_AREAS!$D:$D,$B$6)-COUNTIFS(DATA_COMMUNITY!$A:$A,B59,DATA_COMMUNITY!$D:$D,"Midweek",DATA_COMMUNITY!$E:$E,$B$6))))</f>
        <v/>
      </c>
      <c r="P59">
        <f>MAX(0,N59-O59)</f>
        <v/>
      </c>
      <c r="Q59">
        <f>IF(N59=0,0,O59/N59)</f>
        <v/>
      </c>
      <c r="R59">
        <f>IF(O59=0,0,K59/O59)</f>
        <v/>
      </c>
      <c r="S59">
        <f>IF(OR(F59&gt;0,N59&gt;0),1,0)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IFERROR(INDEX(MASTER_AREAS!$B:$B,58)&amp;"","")</f>
        <v/>
      </c>
      <c r="AB59">
        <f>IF(OR(AA59="",$B$10=0),0,COUNTIFS(DATA_MIDWEEK!$A:$A,$B$10,DATA_MIDWEEK!$C:$C,AA59))</f>
        <v/>
      </c>
      <c r="AC59">
        <f>IF(AB59=0,0,SUMIFS(DATA_MIDWEEK!$I:$I,DATA_MIDWEEK!$A:$A,$B$10,DATA_MIDWEEK!$C:$C,AA59))</f>
        <v/>
      </c>
      <c r="AD59">
        <f>IF(OR(AA59="",$B$10=0),0,SUMIFS(DATA_MIDWEEK!$I:$I,DATA_MIDWEEK!$A:$A,$B$10-7,DATA_MIDWEEK!$C:$C,AA59))</f>
        <v/>
      </c>
      <c r="AE59">
        <f>IF(OR(AA59="",$B$10=0),0,MAX(0,SUMIFS(DATA_SERVICE_AREAS!$E:$E,DATA_SERVICE_AREAS!$A:$A,$B$10,DATA_SERVICE_AREAS!$C:$C,"MIDWEEK",DATA_SERVICE_AREAS!$D:$D,AA59)-COUNTIFS(MASTER_ZONES!$C:$C,AA59,MASTER_ZONES!$I:$I,"Y")))</f>
        <v/>
      </c>
      <c r="AF59">
        <f>IF(OR(AA59="",$B$10=0),0,MAX(0,SUMIFS(DATA_SERVICE_AREAS!$F:$F,DATA_SERVICE_AREAS!$A:$A,$B$10,DATA_SERVICE_AREAS!$C:$C,"MIDWEEK",DATA_SERVICE_AREAS!$D:$D,AA59)-COUNTIFS(DATA_COMMUNITY!$A:$A,$B$10,DATA_COMMUNITY!$D:$D,"Midweek",DATA_COMMUNITY!$E:$E,AA59)))</f>
        <v/>
      </c>
      <c r="AG59">
        <f>IF(AE59=0,"",MIN(1,AF59/AE59))</f>
        <v/>
      </c>
      <c r="AH59">
        <f>IF(OR(AB59=0,AD59=0),"",AC59/AD59-1)</f>
        <v/>
      </c>
      <c r="AI59">
        <f>IF(AB59=0,"",AC59+ROW()/1000000)</f>
        <v/>
      </c>
      <c r="AJ59">
        <f>IF(AG59="","",AG59+ROW()/1000000000)</f>
        <v/>
      </c>
      <c r="AK59">
        <f>IF(AH59="","",AH59+ROW()/1000000000)</f>
        <v/>
      </c>
      <c r="AL59">
        <f>MAX(0,AE59-AF59)</f>
        <v/>
      </c>
      <c r="AM59">
        <f>IF(AND(AL59&gt;0,OR($B$6="*",AA59=$B$6)),ROW(),"")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IF(B60="",0,COUNTIFS(DATA_MIDWEEK!$A:$A,B60,DATA_MIDWEEK!$C:$C,$B$6,DATA_MIDWEEK!$D:$D,$B$7))</f>
        <v/>
      </c>
      <c r="G60">
        <f>IF(F60=0,0,SUMIFS(DATA_MIDWEEK!$E:$E,DATA_MIDWEEK!$A:$A,B60,DATA_MIDWEEK!$C:$C,$B$6,DATA_MIDWEEK!$D:$D,$B$7))</f>
        <v/>
      </c>
      <c r="H60">
        <f>IF(F60=0,0,SUMIFS(DATA_MIDWEEK!$F:$F,DATA_MIDWEEK!$A:$A,B60,DATA_MIDWEEK!$C:$C,$B$6,DATA_MIDWEEK!$D:$D,$B$7))</f>
        <v/>
      </c>
      <c r="I60">
        <f>IF(F60=0,0,SUMIFS(DATA_MIDWEEK!$H:$H,DATA_MIDWEEK!$A:$A,B60,DATA_MIDWEEK!$C:$C,$B$6,DATA_MIDWEEK!$D:$D,$B$7))</f>
        <v/>
      </c>
      <c r="J60">
        <f>G60+H60</f>
        <v/>
      </c>
      <c r="K60">
        <f>J60+I60</f>
        <v/>
      </c>
      <c r="L60">
        <f>IF(F60=0,0,SUMIFS(DATA_MIDWEEK!$J:$J,DATA_MIDWEEK!$A:$A,B60,DATA_MIDWEEK!$C:$C,$B$6,DATA_MIDWEEK!$D:$D,$B$7))</f>
        <v/>
      </c>
      <c r="M60">
        <f>IF(F60=0,0,SUMIFS(DATA_MIDWEEK!$K:$K,DATA_MIDWEEK!$A:$A,B60,DATA_MIDWEEK!$C:$C,$B$6,DATA_MIDWEEK!$D:$D,$B$7))</f>
        <v/>
      </c>
      <c r="N60">
        <f>IF(B60="",0,IF($B$3="Zone",IF(AND($B$17,NOT($B$18)),1,0),MAX(0,SUMIFS(DATA_SERVICE_AREAS!$E:$E,DATA_SERVICE_AREAS!$A:$A,B60,DATA_SERVICE_AREAS!$C:$C,"MIDWEEK",DATA_SERVICE_AREAS!$D:$D,$B$6)-COUNTIFS(MASTER_ZONES!$C:$C,$B$6,MASTER_ZONES!$I:$I,"Y"))))</f>
        <v/>
      </c>
      <c r="O60">
        <f>IF(B60="",0,IF($B$3="Zone",IF(AND($B$17,NOT($B$18),F60&gt;0),1,0),MAX(0,SUMIFS(DATA_SERVICE_AREAS!$F:$F,DATA_SERVICE_AREAS!$A:$A,B60,DATA_SERVICE_AREAS!$C:$C,"MIDWEEK",DATA_SERVICE_AREAS!$D:$D,$B$6)-COUNTIFS(DATA_COMMUNITY!$A:$A,B60,DATA_COMMUNITY!$D:$D,"Midweek",DATA_COMMUNITY!$E:$E,$B$6))))</f>
        <v/>
      </c>
      <c r="P60">
        <f>MAX(0,N60-O60)</f>
        <v/>
      </c>
      <c r="Q60">
        <f>IF(N60=0,0,O60/N60)</f>
        <v/>
      </c>
      <c r="R60">
        <f>IF(O60=0,0,K60/O60)</f>
        <v/>
      </c>
      <c r="S60">
        <f>IF(OR(F60&gt;0,N60&gt;0),1,0)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IFERROR(INDEX(MASTER_AREAS!$B:$B,59)&amp;"","")</f>
        <v/>
      </c>
      <c r="AB60">
        <f>IF(OR(AA60="",$B$10=0),0,COUNTIFS(DATA_MIDWEEK!$A:$A,$B$10,DATA_MIDWEEK!$C:$C,AA60))</f>
        <v/>
      </c>
      <c r="AC60">
        <f>IF(AB60=0,0,SUMIFS(DATA_MIDWEEK!$I:$I,DATA_MIDWEEK!$A:$A,$B$10,DATA_MIDWEEK!$C:$C,AA60))</f>
        <v/>
      </c>
      <c r="AD60">
        <f>IF(OR(AA60="",$B$10=0),0,SUMIFS(DATA_MIDWEEK!$I:$I,DATA_MIDWEEK!$A:$A,$B$10-7,DATA_MIDWEEK!$C:$C,AA60))</f>
        <v/>
      </c>
      <c r="AE60">
        <f>IF(OR(AA60="",$B$10=0),0,MAX(0,SUMIFS(DATA_SERVICE_AREAS!$E:$E,DATA_SERVICE_AREAS!$A:$A,$B$10,DATA_SERVICE_AREAS!$C:$C,"MIDWEEK",DATA_SERVICE_AREAS!$D:$D,AA60)-COUNTIFS(MASTER_ZONES!$C:$C,AA60,MASTER_ZONES!$I:$I,"Y")))</f>
        <v/>
      </c>
      <c r="AF60">
        <f>IF(OR(AA60="",$B$10=0),0,MAX(0,SUMIFS(DATA_SERVICE_AREAS!$F:$F,DATA_SERVICE_AREAS!$A:$A,$B$10,DATA_SERVICE_AREAS!$C:$C,"MIDWEEK",DATA_SERVICE_AREAS!$D:$D,AA60)-COUNTIFS(DATA_COMMUNITY!$A:$A,$B$10,DATA_COMMUNITY!$D:$D,"Midweek",DATA_COMMUNITY!$E:$E,AA60)))</f>
        <v/>
      </c>
      <c r="AG60">
        <f>IF(AE60=0,"",MIN(1,AF60/AE60))</f>
        <v/>
      </c>
      <c r="AH60">
        <f>IF(OR(AB60=0,AD60=0),"",AC60/AD60-1)</f>
        <v/>
      </c>
      <c r="AI60">
        <f>IF(AB60=0,"",AC60+ROW()/1000000)</f>
        <v/>
      </c>
      <c r="AJ60">
        <f>IF(AG60="","",AG60+ROW()/1000000000)</f>
        <v/>
      </c>
      <c r="AK60">
        <f>IF(AH60="","",AH60+ROW()/1000000000)</f>
        <v/>
      </c>
      <c r="AL60">
        <f>MAX(0,AE60-AF60)</f>
        <v/>
      </c>
      <c r="AM60">
        <f>IF(AND(AL60&gt;0,OR($B$6="*",AA60=$B$6)),ROW(),"")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IF(B61="",0,COUNTIFS(DATA_MIDWEEK!$A:$A,B61,DATA_MIDWEEK!$C:$C,$B$6,DATA_MIDWEEK!$D:$D,$B$7))</f>
        <v/>
      </c>
      <c r="G61">
        <f>IF(F61=0,0,SUMIFS(DATA_MIDWEEK!$E:$E,DATA_MIDWEEK!$A:$A,B61,DATA_MIDWEEK!$C:$C,$B$6,DATA_MIDWEEK!$D:$D,$B$7))</f>
        <v/>
      </c>
      <c r="H61">
        <f>IF(F61=0,0,SUMIFS(DATA_MIDWEEK!$F:$F,DATA_MIDWEEK!$A:$A,B61,DATA_MIDWEEK!$C:$C,$B$6,DATA_MIDWEEK!$D:$D,$B$7))</f>
        <v/>
      </c>
      <c r="I61">
        <f>IF(F61=0,0,SUMIFS(DATA_MIDWEEK!$H:$H,DATA_MIDWEEK!$A:$A,B61,DATA_MIDWEEK!$C:$C,$B$6,DATA_MIDWEEK!$D:$D,$B$7))</f>
        <v/>
      </c>
      <c r="J61">
        <f>G61+H61</f>
        <v/>
      </c>
      <c r="K61">
        <f>J61+I61</f>
        <v/>
      </c>
      <c r="L61">
        <f>IF(F61=0,0,SUMIFS(DATA_MIDWEEK!$J:$J,DATA_MIDWEEK!$A:$A,B61,DATA_MIDWEEK!$C:$C,$B$6,DATA_MIDWEEK!$D:$D,$B$7))</f>
        <v/>
      </c>
      <c r="M61">
        <f>IF(F61=0,0,SUMIFS(DATA_MIDWEEK!$K:$K,DATA_MIDWEEK!$A:$A,B61,DATA_MIDWEEK!$C:$C,$B$6,DATA_MIDWEEK!$D:$D,$B$7))</f>
        <v/>
      </c>
      <c r="N61">
        <f>IF(B61="",0,IF($B$3="Zone",IF(AND($B$17,NOT($B$18)),1,0),MAX(0,SUMIFS(DATA_SERVICE_AREAS!$E:$E,DATA_SERVICE_AREAS!$A:$A,B61,DATA_SERVICE_AREAS!$C:$C,"MIDWEEK",DATA_SERVICE_AREAS!$D:$D,$B$6)-COUNTIFS(MASTER_ZONES!$C:$C,$B$6,MASTER_ZONES!$I:$I,"Y"))))</f>
        <v/>
      </c>
      <c r="O61">
        <f>IF(B61="",0,IF($B$3="Zone",IF(AND($B$17,NOT($B$18),F61&gt;0),1,0),MAX(0,SUMIFS(DATA_SERVICE_AREAS!$F:$F,DATA_SERVICE_AREAS!$A:$A,B61,DATA_SERVICE_AREAS!$C:$C,"MIDWEEK",DATA_SERVICE_AREAS!$D:$D,$B$6)-COUNTIFS(DATA_COMMUNITY!$A:$A,B61,DATA_COMMUNITY!$D:$D,"Midweek",DATA_COMMUNITY!$E:$E,$B$6))))</f>
        <v/>
      </c>
      <c r="P61">
        <f>MAX(0,N61-O61)</f>
        <v/>
      </c>
      <c r="Q61">
        <f>IF(N61=0,0,O61/N61)</f>
        <v/>
      </c>
      <c r="R61">
        <f>IF(O61=0,0,K61/O61)</f>
        <v/>
      </c>
      <c r="S61">
        <f>IF(OR(F61&gt;0,N61&gt;0),1,0)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IFERROR(INDEX(MASTER_AREAS!$B:$B,60)&amp;"","")</f>
        <v/>
      </c>
      <c r="AB61">
        <f>IF(OR(AA61="",$B$10=0),0,COUNTIFS(DATA_MIDWEEK!$A:$A,$B$10,DATA_MIDWEEK!$C:$C,AA61))</f>
        <v/>
      </c>
      <c r="AC61">
        <f>IF(AB61=0,0,SUMIFS(DATA_MIDWEEK!$I:$I,DATA_MIDWEEK!$A:$A,$B$10,DATA_MIDWEEK!$C:$C,AA61))</f>
        <v/>
      </c>
      <c r="AD61">
        <f>IF(OR(AA61="",$B$10=0),0,SUMIFS(DATA_MIDWEEK!$I:$I,DATA_MIDWEEK!$A:$A,$B$10-7,DATA_MIDWEEK!$C:$C,AA61))</f>
        <v/>
      </c>
      <c r="AE61">
        <f>IF(OR(AA61="",$B$10=0),0,MAX(0,SUMIFS(DATA_SERVICE_AREAS!$E:$E,DATA_SERVICE_AREAS!$A:$A,$B$10,DATA_SERVICE_AREAS!$C:$C,"MIDWEEK",DATA_SERVICE_AREAS!$D:$D,AA61)-COUNTIFS(MASTER_ZONES!$C:$C,AA61,MASTER_ZONES!$I:$I,"Y")))</f>
        <v/>
      </c>
      <c r="AF61">
        <f>IF(OR(AA61="",$B$10=0),0,MAX(0,SUMIFS(DATA_SERVICE_AREAS!$F:$F,DATA_SERVICE_AREAS!$A:$A,$B$10,DATA_SERVICE_AREAS!$C:$C,"MIDWEEK",DATA_SERVICE_AREAS!$D:$D,AA61)-COUNTIFS(DATA_COMMUNITY!$A:$A,$B$10,DATA_COMMUNITY!$D:$D,"Midweek",DATA_COMMUNITY!$E:$E,AA61)))</f>
        <v/>
      </c>
      <c r="AG61">
        <f>IF(AE61=0,"",MIN(1,AF61/AE61))</f>
        <v/>
      </c>
      <c r="AH61">
        <f>IF(OR(AB61=0,AD61=0),"",AC61/AD61-1)</f>
        <v/>
      </c>
      <c r="AI61">
        <f>IF(AB61=0,"",AC61+ROW()/1000000)</f>
        <v/>
      </c>
      <c r="AJ61">
        <f>IF(AG61="","",AG61+ROW()/1000000000)</f>
        <v/>
      </c>
      <c r="AK61">
        <f>IF(AH61="","",AH61+ROW()/1000000000)</f>
        <v/>
      </c>
      <c r="AL61">
        <f>MAX(0,AE61-AF61)</f>
        <v/>
      </c>
      <c r="AM61">
        <f>IF(AND(AL61&gt;0,OR($B$6="*",AA61=$B$6)),ROW(),"")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IF(B62="",0,COUNTIFS(DATA_MIDWEEK!$A:$A,B62,DATA_MIDWEEK!$C:$C,$B$6,DATA_MIDWEEK!$D:$D,$B$7))</f>
        <v/>
      </c>
      <c r="G62">
        <f>IF(F62=0,0,SUMIFS(DATA_MIDWEEK!$E:$E,DATA_MIDWEEK!$A:$A,B62,DATA_MIDWEEK!$C:$C,$B$6,DATA_MIDWEEK!$D:$D,$B$7))</f>
        <v/>
      </c>
      <c r="H62">
        <f>IF(F62=0,0,SUMIFS(DATA_MIDWEEK!$F:$F,DATA_MIDWEEK!$A:$A,B62,DATA_MIDWEEK!$C:$C,$B$6,DATA_MIDWEEK!$D:$D,$B$7))</f>
        <v/>
      </c>
      <c r="I62">
        <f>IF(F62=0,0,SUMIFS(DATA_MIDWEEK!$H:$H,DATA_MIDWEEK!$A:$A,B62,DATA_MIDWEEK!$C:$C,$B$6,DATA_MIDWEEK!$D:$D,$B$7))</f>
        <v/>
      </c>
      <c r="J62">
        <f>G62+H62</f>
        <v/>
      </c>
      <c r="K62">
        <f>J62+I62</f>
        <v/>
      </c>
      <c r="L62">
        <f>IF(F62=0,0,SUMIFS(DATA_MIDWEEK!$J:$J,DATA_MIDWEEK!$A:$A,B62,DATA_MIDWEEK!$C:$C,$B$6,DATA_MIDWEEK!$D:$D,$B$7))</f>
        <v/>
      </c>
      <c r="M62">
        <f>IF(F62=0,0,SUMIFS(DATA_MIDWEEK!$K:$K,DATA_MIDWEEK!$A:$A,B62,DATA_MIDWEEK!$C:$C,$B$6,DATA_MIDWEEK!$D:$D,$B$7))</f>
        <v/>
      </c>
      <c r="N62">
        <f>IF(B62="",0,IF($B$3="Zone",IF(AND($B$17,NOT($B$18)),1,0),MAX(0,SUMIFS(DATA_SERVICE_AREAS!$E:$E,DATA_SERVICE_AREAS!$A:$A,B62,DATA_SERVICE_AREAS!$C:$C,"MIDWEEK",DATA_SERVICE_AREAS!$D:$D,$B$6)-COUNTIFS(MASTER_ZONES!$C:$C,$B$6,MASTER_ZONES!$I:$I,"Y"))))</f>
        <v/>
      </c>
      <c r="O62">
        <f>IF(B62="",0,IF($B$3="Zone",IF(AND($B$17,NOT($B$18),F62&gt;0),1,0),MAX(0,SUMIFS(DATA_SERVICE_AREAS!$F:$F,DATA_SERVICE_AREAS!$A:$A,B62,DATA_SERVICE_AREAS!$C:$C,"MIDWEEK",DATA_SERVICE_AREAS!$D:$D,$B$6)-COUNTIFS(DATA_COMMUNITY!$A:$A,B62,DATA_COMMUNITY!$D:$D,"Midweek",DATA_COMMUNITY!$E:$E,$B$6))))</f>
        <v/>
      </c>
      <c r="P62">
        <f>MAX(0,N62-O62)</f>
        <v/>
      </c>
      <c r="Q62">
        <f>IF(N62=0,0,O62/N62)</f>
        <v/>
      </c>
      <c r="R62">
        <f>IF(O62=0,0,K62/O62)</f>
        <v/>
      </c>
      <c r="S62">
        <f>IF(OR(F62&gt;0,N62&gt;0),1,0)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IFERROR(INDEX(MASTER_AREAS!$B:$B,61)&amp;"","")</f>
        <v/>
      </c>
      <c r="AB62">
        <f>IF(OR(AA62="",$B$10=0),0,COUNTIFS(DATA_MIDWEEK!$A:$A,$B$10,DATA_MIDWEEK!$C:$C,AA62))</f>
        <v/>
      </c>
      <c r="AC62">
        <f>IF(AB62=0,0,SUMIFS(DATA_MIDWEEK!$I:$I,DATA_MIDWEEK!$A:$A,$B$10,DATA_MIDWEEK!$C:$C,AA62))</f>
        <v/>
      </c>
      <c r="AD62">
        <f>IF(OR(AA62="",$B$10=0),0,SUMIFS(DATA_MIDWEEK!$I:$I,DATA_MIDWEEK!$A:$A,$B$10-7,DATA_MIDWEEK!$C:$C,AA62))</f>
        <v/>
      </c>
      <c r="AE62">
        <f>IF(OR(AA62="",$B$10=0),0,MAX(0,SUMIFS(DATA_SERVICE_AREAS!$E:$E,DATA_SERVICE_AREAS!$A:$A,$B$10,DATA_SERVICE_AREAS!$C:$C,"MIDWEEK",DATA_SERVICE_AREAS!$D:$D,AA62)-COUNTIFS(MASTER_ZONES!$C:$C,AA62,MASTER_ZONES!$I:$I,"Y")))</f>
        <v/>
      </c>
      <c r="AF62">
        <f>IF(OR(AA62="",$B$10=0),0,MAX(0,SUMIFS(DATA_SERVICE_AREAS!$F:$F,DATA_SERVICE_AREAS!$A:$A,$B$10,DATA_SERVICE_AREAS!$C:$C,"MIDWEEK",DATA_SERVICE_AREAS!$D:$D,AA62)-COUNTIFS(DATA_COMMUNITY!$A:$A,$B$10,DATA_COMMUNITY!$D:$D,"Midweek",DATA_COMMUNITY!$E:$E,AA62)))</f>
        <v/>
      </c>
      <c r="AG62">
        <f>IF(AE62=0,"",MIN(1,AF62/AE62))</f>
        <v/>
      </c>
      <c r="AH62">
        <f>IF(OR(AB62=0,AD62=0),"",AC62/AD62-1)</f>
        <v/>
      </c>
      <c r="AI62">
        <f>IF(AB62=0,"",AC62+ROW()/1000000)</f>
        <v/>
      </c>
      <c r="AJ62">
        <f>IF(AG62="","",AG62+ROW()/1000000000)</f>
        <v/>
      </c>
      <c r="AK62">
        <f>IF(AH62="","",AH62+ROW()/1000000000)</f>
        <v/>
      </c>
      <c r="AL62">
        <f>MAX(0,AE62-AF62)</f>
        <v/>
      </c>
      <c r="AM62">
        <f>IF(AND(AL62&gt;0,OR($B$6="*",AA62=$B$6)),ROW(),"")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IF(B63="",0,COUNTIFS(DATA_MIDWEEK!$A:$A,B63,DATA_MIDWEEK!$C:$C,$B$6,DATA_MIDWEEK!$D:$D,$B$7))</f>
        <v/>
      </c>
      <c r="G63">
        <f>IF(F63=0,0,SUMIFS(DATA_MIDWEEK!$E:$E,DATA_MIDWEEK!$A:$A,B63,DATA_MIDWEEK!$C:$C,$B$6,DATA_MIDWEEK!$D:$D,$B$7))</f>
        <v/>
      </c>
      <c r="H63">
        <f>IF(F63=0,0,SUMIFS(DATA_MIDWEEK!$F:$F,DATA_MIDWEEK!$A:$A,B63,DATA_MIDWEEK!$C:$C,$B$6,DATA_MIDWEEK!$D:$D,$B$7))</f>
        <v/>
      </c>
      <c r="I63">
        <f>IF(F63=0,0,SUMIFS(DATA_MIDWEEK!$H:$H,DATA_MIDWEEK!$A:$A,B63,DATA_MIDWEEK!$C:$C,$B$6,DATA_MIDWEEK!$D:$D,$B$7))</f>
        <v/>
      </c>
      <c r="J63">
        <f>G63+H63</f>
        <v/>
      </c>
      <c r="K63">
        <f>J63+I63</f>
        <v/>
      </c>
      <c r="L63">
        <f>IF(F63=0,0,SUMIFS(DATA_MIDWEEK!$J:$J,DATA_MIDWEEK!$A:$A,B63,DATA_MIDWEEK!$C:$C,$B$6,DATA_MIDWEEK!$D:$D,$B$7))</f>
        <v/>
      </c>
      <c r="M63">
        <f>IF(F63=0,0,SUMIFS(DATA_MIDWEEK!$K:$K,DATA_MIDWEEK!$A:$A,B63,DATA_MIDWEEK!$C:$C,$B$6,DATA_MIDWEEK!$D:$D,$B$7))</f>
        <v/>
      </c>
      <c r="N63">
        <f>IF(B63="",0,IF($B$3="Zone",IF(AND($B$17,NOT($B$18)),1,0),MAX(0,SUMIFS(DATA_SERVICE_AREAS!$E:$E,DATA_SERVICE_AREAS!$A:$A,B63,DATA_SERVICE_AREAS!$C:$C,"MIDWEEK",DATA_SERVICE_AREAS!$D:$D,$B$6)-COUNTIFS(MASTER_ZONES!$C:$C,$B$6,MASTER_ZONES!$I:$I,"Y"))))</f>
        <v/>
      </c>
      <c r="O63">
        <f>IF(B63="",0,IF($B$3="Zone",IF(AND($B$17,NOT($B$18),F63&gt;0),1,0),MAX(0,SUMIFS(DATA_SERVICE_AREAS!$F:$F,DATA_SERVICE_AREAS!$A:$A,B63,DATA_SERVICE_AREAS!$C:$C,"MIDWEEK",DATA_SERVICE_AREAS!$D:$D,$B$6)-COUNTIFS(DATA_COMMUNITY!$A:$A,B63,DATA_COMMUNITY!$D:$D,"Midweek",DATA_COMMUNITY!$E:$E,$B$6))))</f>
        <v/>
      </c>
      <c r="P63">
        <f>MAX(0,N63-O63)</f>
        <v/>
      </c>
      <c r="Q63">
        <f>IF(N63=0,0,O63/N63)</f>
        <v/>
      </c>
      <c r="R63">
        <f>IF(O63=0,0,K63/O63)</f>
        <v/>
      </c>
      <c r="S63">
        <f>IF(OR(F63&gt;0,N63&gt;0),1,0)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  <c r="AA63">
        <f>IFERROR(INDEX(MASTER_AREAS!$B:$B,62)&amp;"","")</f>
        <v/>
      </c>
      <c r="AB63">
        <f>IF(OR(AA63="",$B$10=0),0,COUNTIFS(DATA_MIDWEEK!$A:$A,$B$10,DATA_MIDWEEK!$C:$C,AA63))</f>
        <v/>
      </c>
      <c r="AC63">
        <f>IF(AB63=0,0,SUMIFS(DATA_MIDWEEK!$I:$I,DATA_MIDWEEK!$A:$A,$B$10,DATA_MIDWEEK!$C:$C,AA63))</f>
        <v/>
      </c>
      <c r="AD63">
        <f>IF(OR(AA63="",$B$10=0),0,SUMIFS(DATA_MIDWEEK!$I:$I,DATA_MIDWEEK!$A:$A,$B$10-7,DATA_MIDWEEK!$C:$C,AA63))</f>
        <v/>
      </c>
      <c r="AE63">
        <f>IF(OR(AA63="",$B$10=0),0,MAX(0,SUMIFS(DATA_SERVICE_AREAS!$E:$E,DATA_SERVICE_AREAS!$A:$A,$B$10,DATA_SERVICE_AREAS!$C:$C,"MIDWEEK",DATA_SERVICE_AREAS!$D:$D,AA63)-COUNTIFS(MASTER_ZONES!$C:$C,AA63,MASTER_ZONES!$I:$I,"Y")))</f>
        <v/>
      </c>
      <c r="AF63">
        <f>IF(OR(AA63="",$B$10=0),0,MAX(0,SUMIFS(DATA_SERVICE_AREAS!$F:$F,DATA_SERVICE_AREAS!$A:$A,$B$10,DATA_SERVICE_AREAS!$C:$C,"MIDWEEK",DATA_SERVICE_AREAS!$D:$D,AA63)-COUNTIFS(DATA_COMMUNITY!$A:$A,$B$10,DATA_COMMUNITY!$D:$D,"Midweek",DATA_COMMUNITY!$E:$E,AA63)))</f>
        <v/>
      </c>
      <c r="AG63">
        <f>IF(AE63=0,"",MIN(1,AF63/AE63))</f>
        <v/>
      </c>
      <c r="AH63">
        <f>IF(OR(AB63=0,AD63=0),"",AC63/AD63-1)</f>
        <v/>
      </c>
      <c r="AI63">
        <f>IF(AB63=0,"",AC63+ROW()/1000000)</f>
        <v/>
      </c>
      <c r="AJ63">
        <f>IF(AG63="","",AG63+ROW()/1000000000)</f>
        <v/>
      </c>
      <c r="AK63">
        <f>IF(AH63="","",AH63+ROW()/1000000000)</f>
        <v/>
      </c>
      <c r="AL63">
        <f>MAX(0,AE63-AF63)</f>
        <v/>
      </c>
      <c r="AM63">
        <f>IF(AND(AL63&gt;0,OR($B$6="*",AA63=$B$6)),ROW(),"")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IF(B64="",0,COUNTIFS(DATA_MIDWEEK!$A:$A,B64,DATA_MIDWEEK!$C:$C,$B$6,DATA_MIDWEEK!$D:$D,$B$7))</f>
        <v/>
      </c>
      <c r="G64">
        <f>IF(F64=0,0,SUMIFS(DATA_MIDWEEK!$E:$E,DATA_MIDWEEK!$A:$A,B64,DATA_MIDWEEK!$C:$C,$B$6,DATA_MIDWEEK!$D:$D,$B$7))</f>
        <v/>
      </c>
      <c r="H64">
        <f>IF(F64=0,0,SUMIFS(DATA_MIDWEEK!$F:$F,DATA_MIDWEEK!$A:$A,B64,DATA_MIDWEEK!$C:$C,$B$6,DATA_MIDWEEK!$D:$D,$B$7))</f>
        <v/>
      </c>
      <c r="I64">
        <f>IF(F64=0,0,SUMIFS(DATA_MIDWEEK!$H:$H,DATA_MIDWEEK!$A:$A,B64,DATA_MIDWEEK!$C:$C,$B$6,DATA_MIDWEEK!$D:$D,$B$7))</f>
        <v/>
      </c>
      <c r="J64">
        <f>G64+H64</f>
        <v/>
      </c>
      <c r="K64">
        <f>J64+I64</f>
        <v/>
      </c>
      <c r="L64">
        <f>IF(F64=0,0,SUMIFS(DATA_MIDWEEK!$J:$J,DATA_MIDWEEK!$A:$A,B64,DATA_MIDWEEK!$C:$C,$B$6,DATA_MIDWEEK!$D:$D,$B$7))</f>
        <v/>
      </c>
      <c r="M64">
        <f>IF(F64=0,0,SUMIFS(DATA_MIDWEEK!$K:$K,DATA_MIDWEEK!$A:$A,B64,DATA_MIDWEEK!$C:$C,$B$6,DATA_MIDWEEK!$D:$D,$B$7))</f>
        <v/>
      </c>
      <c r="N64">
        <f>IF(B64="",0,IF($B$3="Zone",IF(AND($B$17,NOT($B$18)),1,0),MAX(0,SUMIFS(DATA_SERVICE_AREAS!$E:$E,DATA_SERVICE_AREAS!$A:$A,B64,DATA_SERVICE_AREAS!$C:$C,"MIDWEEK",DATA_SERVICE_AREAS!$D:$D,$B$6)-COUNTIFS(MASTER_ZONES!$C:$C,$B$6,MASTER_ZONES!$I:$I,"Y"))))</f>
        <v/>
      </c>
      <c r="O64">
        <f>IF(B64="",0,IF($B$3="Zone",IF(AND($B$17,NOT($B$18),F64&gt;0),1,0),MAX(0,SUMIFS(DATA_SERVICE_AREAS!$F:$F,DATA_SERVICE_AREAS!$A:$A,B64,DATA_SERVICE_AREAS!$C:$C,"MIDWEEK",DATA_SERVICE_AREAS!$D:$D,$B$6)-COUNTIFS(DATA_COMMUNITY!$A:$A,B64,DATA_COMMUNITY!$D:$D,"Midweek",DATA_COMMUNITY!$E:$E,$B$6))))</f>
        <v/>
      </c>
      <c r="P64">
        <f>MAX(0,N64-O64)</f>
        <v/>
      </c>
      <c r="Q64">
        <f>IF(N64=0,0,O64/N64)</f>
        <v/>
      </c>
      <c r="R64">
        <f>IF(O64=0,0,K64/O64)</f>
        <v/>
      </c>
      <c r="S64">
        <f>IF(OR(F64&gt;0,N64&gt;0),1,0)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  <c r="AA64">
        <f>IFERROR(INDEX(MASTER_AREAS!$B:$B,63)&amp;"","")</f>
        <v/>
      </c>
      <c r="AB64">
        <f>IF(OR(AA64="",$B$10=0),0,COUNTIFS(DATA_MIDWEEK!$A:$A,$B$10,DATA_MIDWEEK!$C:$C,AA64))</f>
        <v/>
      </c>
      <c r="AC64">
        <f>IF(AB64=0,0,SUMIFS(DATA_MIDWEEK!$I:$I,DATA_MIDWEEK!$A:$A,$B$10,DATA_MIDWEEK!$C:$C,AA64))</f>
        <v/>
      </c>
      <c r="AD64">
        <f>IF(OR(AA64="",$B$10=0),0,SUMIFS(DATA_MIDWEEK!$I:$I,DATA_MIDWEEK!$A:$A,$B$10-7,DATA_MIDWEEK!$C:$C,AA64))</f>
        <v/>
      </c>
      <c r="AE64">
        <f>IF(OR(AA64="",$B$10=0),0,MAX(0,SUMIFS(DATA_SERVICE_AREAS!$E:$E,DATA_SERVICE_AREAS!$A:$A,$B$10,DATA_SERVICE_AREAS!$C:$C,"MIDWEEK",DATA_SERVICE_AREAS!$D:$D,AA64)-COUNTIFS(MASTER_ZONES!$C:$C,AA64,MASTER_ZONES!$I:$I,"Y")))</f>
        <v/>
      </c>
      <c r="AF64">
        <f>IF(OR(AA64="",$B$10=0),0,MAX(0,SUMIFS(DATA_SERVICE_AREAS!$F:$F,DATA_SERVICE_AREAS!$A:$A,$B$10,DATA_SERVICE_AREAS!$C:$C,"MIDWEEK",DATA_SERVICE_AREAS!$D:$D,AA64)-COUNTIFS(DATA_COMMUNITY!$A:$A,$B$10,DATA_COMMUNITY!$D:$D,"Midweek",DATA_COMMUNITY!$E:$E,AA64)))</f>
        <v/>
      </c>
      <c r="AG64">
        <f>IF(AE64=0,"",MIN(1,AF64/AE64))</f>
        <v/>
      </c>
      <c r="AH64">
        <f>IF(OR(AB64=0,AD64=0),"",AC64/AD64-1)</f>
        <v/>
      </c>
      <c r="AI64">
        <f>IF(AB64=0,"",AC64+ROW()/1000000)</f>
        <v/>
      </c>
      <c r="AJ64">
        <f>IF(AG64="","",AG64+ROW()/1000000000)</f>
        <v/>
      </c>
      <c r="AK64">
        <f>IF(AH64="","",AH64+ROW()/1000000000)</f>
        <v/>
      </c>
      <c r="AL64">
        <f>MAX(0,AE64-AF64)</f>
        <v/>
      </c>
      <c r="AM64">
        <f>IF(AND(AL64&gt;0,OR($B$6="*",AA64=$B$6)),ROW(),"")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IF(B65="",0,COUNTIFS(DATA_MIDWEEK!$A:$A,B65,DATA_MIDWEEK!$C:$C,$B$6,DATA_MIDWEEK!$D:$D,$B$7))</f>
        <v/>
      </c>
      <c r="G65">
        <f>IF(F65=0,0,SUMIFS(DATA_MIDWEEK!$E:$E,DATA_MIDWEEK!$A:$A,B65,DATA_MIDWEEK!$C:$C,$B$6,DATA_MIDWEEK!$D:$D,$B$7))</f>
        <v/>
      </c>
      <c r="H65">
        <f>IF(F65=0,0,SUMIFS(DATA_MIDWEEK!$F:$F,DATA_MIDWEEK!$A:$A,B65,DATA_MIDWEEK!$C:$C,$B$6,DATA_MIDWEEK!$D:$D,$B$7))</f>
        <v/>
      </c>
      <c r="I65">
        <f>IF(F65=0,0,SUMIFS(DATA_MIDWEEK!$H:$H,DATA_MIDWEEK!$A:$A,B65,DATA_MIDWEEK!$C:$C,$B$6,DATA_MIDWEEK!$D:$D,$B$7))</f>
        <v/>
      </c>
      <c r="J65">
        <f>G65+H65</f>
        <v/>
      </c>
      <c r="K65">
        <f>J65+I65</f>
        <v/>
      </c>
      <c r="L65">
        <f>IF(F65=0,0,SUMIFS(DATA_MIDWEEK!$J:$J,DATA_MIDWEEK!$A:$A,B65,DATA_MIDWEEK!$C:$C,$B$6,DATA_MIDWEEK!$D:$D,$B$7))</f>
        <v/>
      </c>
      <c r="M65">
        <f>IF(F65=0,0,SUMIFS(DATA_MIDWEEK!$K:$K,DATA_MIDWEEK!$A:$A,B65,DATA_MIDWEEK!$C:$C,$B$6,DATA_MIDWEEK!$D:$D,$B$7))</f>
        <v/>
      </c>
      <c r="N65">
        <f>IF(B65="",0,IF($B$3="Zone",IF(AND($B$17,NOT($B$18)),1,0),MAX(0,SUMIFS(DATA_SERVICE_AREAS!$E:$E,DATA_SERVICE_AREAS!$A:$A,B65,DATA_SERVICE_AREAS!$C:$C,"MIDWEEK",DATA_SERVICE_AREAS!$D:$D,$B$6)-COUNTIFS(MASTER_ZONES!$C:$C,$B$6,MASTER_ZONES!$I:$I,"Y"))))</f>
        <v/>
      </c>
      <c r="O65">
        <f>IF(B65="",0,IF($B$3="Zone",IF(AND($B$17,NOT($B$18),F65&gt;0),1,0),MAX(0,SUMIFS(DATA_SERVICE_AREAS!$F:$F,DATA_SERVICE_AREAS!$A:$A,B65,DATA_SERVICE_AREAS!$C:$C,"MIDWEEK",DATA_SERVICE_AREAS!$D:$D,$B$6)-COUNTIFS(DATA_COMMUNITY!$A:$A,B65,DATA_COMMUNITY!$D:$D,"Midweek",DATA_COMMUNITY!$E:$E,$B$6))))</f>
        <v/>
      </c>
      <c r="P65">
        <f>MAX(0,N65-O65)</f>
        <v/>
      </c>
      <c r="Q65">
        <f>IF(N65=0,0,O65/N65)</f>
        <v/>
      </c>
      <c r="R65">
        <f>IF(O65=0,0,K65/O65)</f>
        <v/>
      </c>
      <c r="S65">
        <f>IF(OR(F65&gt;0,N65&gt;0),1,0)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  <c r="AA65">
        <f>IFERROR(INDEX(MASTER_AREAS!$B:$B,64)&amp;"","")</f>
        <v/>
      </c>
      <c r="AB65">
        <f>IF(OR(AA65="",$B$10=0),0,COUNTIFS(DATA_MIDWEEK!$A:$A,$B$10,DATA_MIDWEEK!$C:$C,AA65))</f>
        <v/>
      </c>
      <c r="AC65">
        <f>IF(AB65=0,0,SUMIFS(DATA_MIDWEEK!$I:$I,DATA_MIDWEEK!$A:$A,$B$10,DATA_MIDWEEK!$C:$C,AA65))</f>
        <v/>
      </c>
      <c r="AD65">
        <f>IF(OR(AA65="",$B$10=0),0,SUMIFS(DATA_MIDWEEK!$I:$I,DATA_MIDWEEK!$A:$A,$B$10-7,DATA_MIDWEEK!$C:$C,AA65))</f>
        <v/>
      </c>
      <c r="AE65">
        <f>IF(OR(AA65="",$B$10=0),0,MAX(0,SUMIFS(DATA_SERVICE_AREAS!$E:$E,DATA_SERVICE_AREAS!$A:$A,$B$10,DATA_SERVICE_AREAS!$C:$C,"MIDWEEK",DATA_SERVICE_AREAS!$D:$D,AA65)-COUNTIFS(MASTER_ZONES!$C:$C,AA65,MASTER_ZONES!$I:$I,"Y")))</f>
        <v/>
      </c>
      <c r="AF65">
        <f>IF(OR(AA65="",$B$10=0),0,MAX(0,SUMIFS(DATA_SERVICE_AREAS!$F:$F,DATA_SERVICE_AREAS!$A:$A,$B$10,DATA_SERVICE_AREAS!$C:$C,"MIDWEEK",DATA_SERVICE_AREAS!$D:$D,AA65)-COUNTIFS(DATA_COMMUNITY!$A:$A,$B$10,DATA_COMMUNITY!$D:$D,"Midweek",DATA_COMMUNITY!$E:$E,AA65)))</f>
        <v/>
      </c>
      <c r="AG65">
        <f>IF(AE65=0,"",MIN(1,AF65/AE65))</f>
        <v/>
      </c>
      <c r="AH65">
        <f>IF(OR(AB65=0,AD65=0),"",AC65/AD65-1)</f>
        <v/>
      </c>
      <c r="AI65">
        <f>IF(AB65=0,"",AC65+ROW()/1000000)</f>
        <v/>
      </c>
      <c r="AJ65">
        <f>IF(AG65="","",AG65+ROW()/1000000000)</f>
        <v/>
      </c>
      <c r="AK65">
        <f>IF(AH65="","",AH65+ROW()/1000000000)</f>
        <v/>
      </c>
      <c r="AL65">
        <f>MAX(0,AE65-AF65)</f>
        <v/>
      </c>
      <c r="AM65">
        <f>IF(AND(AL65&gt;0,OR($B$6="*",AA65=$B$6)),ROW(),"")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IF(B66="",0,COUNTIFS(DATA_MIDWEEK!$A:$A,B66,DATA_MIDWEEK!$C:$C,$B$6,DATA_MIDWEEK!$D:$D,$B$7))</f>
        <v/>
      </c>
      <c r="G66">
        <f>IF(F66=0,0,SUMIFS(DATA_MIDWEEK!$E:$E,DATA_MIDWEEK!$A:$A,B66,DATA_MIDWEEK!$C:$C,$B$6,DATA_MIDWEEK!$D:$D,$B$7))</f>
        <v/>
      </c>
      <c r="H66">
        <f>IF(F66=0,0,SUMIFS(DATA_MIDWEEK!$F:$F,DATA_MIDWEEK!$A:$A,B66,DATA_MIDWEEK!$C:$C,$B$6,DATA_MIDWEEK!$D:$D,$B$7))</f>
        <v/>
      </c>
      <c r="I66">
        <f>IF(F66=0,0,SUMIFS(DATA_MIDWEEK!$H:$H,DATA_MIDWEEK!$A:$A,B66,DATA_MIDWEEK!$C:$C,$B$6,DATA_MIDWEEK!$D:$D,$B$7))</f>
        <v/>
      </c>
      <c r="J66">
        <f>G66+H66</f>
        <v/>
      </c>
      <c r="K66">
        <f>J66+I66</f>
        <v/>
      </c>
      <c r="L66">
        <f>IF(F66=0,0,SUMIFS(DATA_MIDWEEK!$J:$J,DATA_MIDWEEK!$A:$A,B66,DATA_MIDWEEK!$C:$C,$B$6,DATA_MIDWEEK!$D:$D,$B$7))</f>
        <v/>
      </c>
      <c r="M66">
        <f>IF(F66=0,0,SUMIFS(DATA_MIDWEEK!$K:$K,DATA_MIDWEEK!$A:$A,B66,DATA_MIDWEEK!$C:$C,$B$6,DATA_MIDWEEK!$D:$D,$B$7))</f>
        <v/>
      </c>
      <c r="N66">
        <f>IF(B66="",0,IF($B$3="Zone",IF(AND($B$17,NOT($B$18)),1,0),MAX(0,SUMIFS(DATA_SERVICE_AREAS!$E:$E,DATA_SERVICE_AREAS!$A:$A,B66,DATA_SERVICE_AREAS!$C:$C,"MIDWEEK",DATA_SERVICE_AREAS!$D:$D,$B$6)-COUNTIFS(MASTER_ZONES!$C:$C,$B$6,MASTER_ZONES!$I:$I,"Y"))))</f>
        <v/>
      </c>
      <c r="O66">
        <f>IF(B66="",0,IF($B$3="Zone",IF(AND($B$17,NOT($B$18),F66&gt;0),1,0),MAX(0,SUMIFS(DATA_SERVICE_AREAS!$F:$F,DATA_SERVICE_AREAS!$A:$A,B66,DATA_SERVICE_AREAS!$C:$C,"MIDWEEK",DATA_SERVICE_AREAS!$D:$D,$B$6)-COUNTIFS(DATA_COMMUNITY!$A:$A,B66,DATA_COMMUNITY!$D:$D,"Midweek",DATA_COMMUNITY!$E:$E,$B$6))))</f>
        <v/>
      </c>
      <c r="P66">
        <f>MAX(0,N66-O66)</f>
        <v/>
      </c>
      <c r="Q66">
        <f>IF(N66=0,0,O66/N66)</f>
        <v/>
      </c>
      <c r="R66">
        <f>IF(O66=0,0,K66/O66)</f>
        <v/>
      </c>
      <c r="S66">
        <f>IF(OR(F66&gt;0,N66&gt;0),1,0)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  <c r="AA66">
        <f>IFERROR(INDEX(MASTER_AREAS!$B:$B,65)&amp;"","")</f>
        <v/>
      </c>
      <c r="AB66">
        <f>IF(OR(AA66="",$B$10=0),0,COUNTIFS(DATA_MIDWEEK!$A:$A,$B$10,DATA_MIDWEEK!$C:$C,AA66))</f>
        <v/>
      </c>
      <c r="AC66">
        <f>IF(AB66=0,0,SUMIFS(DATA_MIDWEEK!$I:$I,DATA_MIDWEEK!$A:$A,$B$10,DATA_MIDWEEK!$C:$C,AA66))</f>
        <v/>
      </c>
      <c r="AD66">
        <f>IF(OR(AA66="",$B$10=0),0,SUMIFS(DATA_MIDWEEK!$I:$I,DATA_MIDWEEK!$A:$A,$B$10-7,DATA_MIDWEEK!$C:$C,AA66))</f>
        <v/>
      </c>
      <c r="AE66">
        <f>IF(OR(AA66="",$B$10=0),0,MAX(0,SUMIFS(DATA_SERVICE_AREAS!$E:$E,DATA_SERVICE_AREAS!$A:$A,$B$10,DATA_SERVICE_AREAS!$C:$C,"MIDWEEK",DATA_SERVICE_AREAS!$D:$D,AA66)-COUNTIFS(MASTER_ZONES!$C:$C,AA66,MASTER_ZONES!$I:$I,"Y")))</f>
        <v/>
      </c>
      <c r="AF66">
        <f>IF(OR(AA66="",$B$10=0),0,MAX(0,SUMIFS(DATA_SERVICE_AREAS!$F:$F,DATA_SERVICE_AREAS!$A:$A,$B$10,DATA_SERVICE_AREAS!$C:$C,"MIDWEEK",DATA_SERVICE_AREAS!$D:$D,AA66)-COUNTIFS(DATA_COMMUNITY!$A:$A,$B$10,DATA_COMMUNITY!$D:$D,"Midweek",DATA_COMMUNITY!$E:$E,AA66)))</f>
        <v/>
      </c>
      <c r="AG66">
        <f>IF(AE66=0,"",MIN(1,AF66/AE66))</f>
        <v/>
      </c>
      <c r="AH66">
        <f>IF(OR(AB66=0,AD66=0),"",AC66/AD66-1)</f>
        <v/>
      </c>
      <c r="AI66">
        <f>IF(AB66=0,"",AC66+ROW()/1000000)</f>
        <v/>
      </c>
      <c r="AJ66">
        <f>IF(AG66="","",AG66+ROW()/1000000000)</f>
        <v/>
      </c>
      <c r="AK66">
        <f>IF(AH66="","",AH66+ROW()/1000000000)</f>
        <v/>
      </c>
      <c r="AL66">
        <f>MAX(0,AE66-AF66)</f>
        <v/>
      </c>
      <c r="AM66">
        <f>IF(AND(AL66&gt;0,OR($B$6="*",AA66=$B$6)),ROW(),"")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IF(B67="",0,COUNTIFS(DATA_MIDWEEK!$A:$A,B67,DATA_MIDWEEK!$C:$C,$B$6,DATA_MIDWEEK!$D:$D,$B$7))</f>
        <v/>
      </c>
      <c r="G67">
        <f>IF(F67=0,0,SUMIFS(DATA_MIDWEEK!$E:$E,DATA_MIDWEEK!$A:$A,B67,DATA_MIDWEEK!$C:$C,$B$6,DATA_MIDWEEK!$D:$D,$B$7))</f>
        <v/>
      </c>
      <c r="H67">
        <f>IF(F67=0,0,SUMIFS(DATA_MIDWEEK!$F:$F,DATA_MIDWEEK!$A:$A,B67,DATA_MIDWEEK!$C:$C,$B$6,DATA_MIDWEEK!$D:$D,$B$7))</f>
        <v/>
      </c>
      <c r="I67">
        <f>IF(F67=0,0,SUMIFS(DATA_MIDWEEK!$H:$H,DATA_MIDWEEK!$A:$A,B67,DATA_MIDWEEK!$C:$C,$B$6,DATA_MIDWEEK!$D:$D,$B$7))</f>
        <v/>
      </c>
      <c r="J67">
        <f>G67+H67</f>
        <v/>
      </c>
      <c r="K67">
        <f>J67+I67</f>
        <v/>
      </c>
      <c r="L67">
        <f>IF(F67=0,0,SUMIFS(DATA_MIDWEEK!$J:$J,DATA_MIDWEEK!$A:$A,B67,DATA_MIDWEEK!$C:$C,$B$6,DATA_MIDWEEK!$D:$D,$B$7))</f>
        <v/>
      </c>
      <c r="M67">
        <f>IF(F67=0,0,SUMIFS(DATA_MIDWEEK!$K:$K,DATA_MIDWEEK!$A:$A,B67,DATA_MIDWEEK!$C:$C,$B$6,DATA_MIDWEEK!$D:$D,$B$7))</f>
        <v/>
      </c>
      <c r="N67">
        <f>IF(B67="",0,IF($B$3="Zone",IF(AND($B$17,NOT($B$18)),1,0),MAX(0,SUMIFS(DATA_SERVICE_AREAS!$E:$E,DATA_SERVICE_AREAS!$A:$A,B67,DATA_SERVICE_AREAS!$C:$C,"MIDWEEK",DATA_SERVICE_AREAS!$D:$D,$B$6)-COUNTIFS(MASTER_ZONES!$C:$C,$B$6,MASTER_ZONES!$I:$I,"Y"))))</f>
        <v/>
      </c>
      <c r="O67">
        <f>IF(B67="",0,IF($B$3="Zone",IF(AND($B$17,NOT($B$18),F67&gt;0),1,0),MAX(0,SUMIFS(DATA_SERVICE_AREAS!$F:$F,DATA_SERVICE_AREAS!$A:$A,B67,DATA_SERVICE_AREAS!$C:$C,"MIDWEEK",DATA_SERVICE_AREAS!$D:$D,$B$6)-COUNTIFS(DATA_COMMUNITY!$A:$A,B67,DATA_COMMUNITY!$D:$D,"Midweek",DATA_COMMUNITY!$E:$E,$B$6))))</f>
        <v/>
      </c>
      <c r="P67">
        <f>MAX(0,N67-O67)</f>
        <v/>
      </c>
      <c r="Q67">
        <f>IF(N67=0,0,O67/N67)</f>
        <v/>
      </c>
      <c r="R67">
        <f>IF(O67=0,0,K67/O67)</f>
        <v/>
      </c>
      <c r="S67">
        <f>IF(OR(F67&gt;0,N67&gt;0),1,0)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  <c r="AA67">
        <f>IFERROR(INDEX(MASTER_AREAS!$B:$B,66)&amp;"","")</f>
        <v/>
      </c>
      <c r="AB67">
        <f>IF(OR(AA67="",$B$10=0),0,COUNTIFS(DATA_MIDWEEK!$A:$A,$B$10,DATA_MIDWEEK!$C:$C,AA67))</f>
        <v/>
      </c>
      <c r="AC67">
        <f>IF(AB67=0,0,SUMIFS(DATA_MIDWEEK!$I:$I,DATA_MIDWEEK!$A:$A,$B$10,DATA_MIDWEEK!$C:$C,AA67))</f>
        <v/>
      </c>
      <c r="AD67">
        <f>IF(OR(AA67="",$B$10=0),0,SUMIFS(DATA_MIDWEEK!$I:$I,DATA_MIDWEEK!$A:$A,$B$10-7,DATA_MIDWEEK!$C:$C,AA67))</f>
        <v/>
      </c>
      <c r="AE67">
        <f>IF(OR(AA67="",$B$10=0),0,MAX(0,SUMIFS(DATA_SERVICE_AREAS!$E:$E,DATA_SERVICE_AREAS!$A:$A,$B$10,DATA_SERVICE_AREAS!$C:$C,"MIDWEEK",DATA_SERVICE_AREAS!$D:$D,AA67)-COUNTIFS(MASTER_ZONES!$C:$C,AA67,MASTER_ZONES!$I:$I,"Y")))</f>
        <v/>
      </c>
      <c r="AF67">
        <f>IF(OR(AA67="",$B$10=0),0,MAX(0,SUMIFS(DATA_SERVICE_AREAS!$F:$F,DATA_SERVICE_AREAS!$A:$A,$B$10,DATA_SERVICE_AREAS!$C:$C,"MIDWEEK",DATA_SERVICE_AREAS!$D:$D,AA67)-COUNTIFS(DATA_COMMUNITY!$A:$A,$B$10,DATA_COMMUNITY!$D:$D,"Midweek",DATA_COMMUNITY!$E:$E,AA67)))</f>
        <v/>
      </c>
      <c r="AG67">
        <f>IF(AE67=0,"",MIN(1,AF67/AE67))</f>
        <v/>
      </c>
      <c r="AH67">
        <f>IF(OR(AB67=0,AD67=0),"",AC67/AD67-1)</f>
        <v/>
      </c>
      <c r="AI67">
        <f>IF(AB67=0,"",AC67+ROW()/1000000)</f>
        <v/>
      </c>
      <c r="AJ67">
        <f>IF(AG67="","",AG67+ROW()/1000000000)</f>
        <v/>
      </c>
      <c r="AK67">
        <f>IF(AH67="","",AH67+ROW()/1000000000)</f>
        <v/>
      </c>
      <c r="AL67">
        <f>MAX(0,AE67-AF67)</f>
        <v/>
      </c>
      <c r="AM67">
        <f>IF(AND(AL67&gt;0,OR($B$6="*",AA67=$B$6)),ROW(),"")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IF(B68="",0,COUNTIFS(DATA_MIDWEEK!$A:$A,B68,DATA_MIDWEEK!$C:$C,$B$6,DATA_MIDWEEK!$D:$D,$B$7))</f>
        <v/>
      </c>
      <c r="G68">
        <f>IF(F68=0,0,SUMIFS(DATA_MIDWEEK!$E:$E,DATA_MIDWEEK!$A:$A,B68,DATA_MIDWEEK!$C:$C,$B$6,DATA_MIDWEEK!$D:$D,$B$7))</f>
        <v/>
      </c>
      <c r="H68">
        <f>IF(F68=0,0,SUMIFS(DATA_MIDWEEK!$F:$F,DATA_MIDWEEK!$A:$A,B68,DATA_MIDWEEK!$C:$C,$B$6,DATA_MIDWEEK!$D:$D,$B$7))</f>
        <v/>
      </c>
      <c r="I68">
        <f>IF(F68=0,0,SUMIFS(DATA_MIDWEEK!$H:$H,DATA_MIDWEEK!$A:$A,B68,DATA_MIDWEEK!$C:$C,$B$6,DATA_MIDWEEK!$D:$D,$B$7))</f>
        <v/>
      </c>
      <c r="J68">
        <f>G68+H68</f>
        <v/>
      </c>
      <c r="K68">
        <f>J68+I68</f>
        <v/>
      </c>
      <c r="L68">
        <f>IF(F68=0,0,SUMIFS(DATA_MIDWEEK!$J:$J,DATA_MIDWEEK!$A:$A,B68,DATA_MIDWEEK!$C:$C,$B$6,DATA_MIDWEEK!$D:$D,$B$7))</f>
        <v/>
      </c>
      <c r="M68">
        <f>IF(F68=0,0,SUMIFS(DATA_MIDWEEK!$K:$K,DATA_MIDWEEK!$A:$A,B68,DATA_MIDWEEK!$C:$C,$B$6,DATA_MIDWEEK!$D:$D,$B$7))</f>
        <v/>
      </c>
      <c r="N68">
        <f>IF(B68="",0,IF($B$3="Zone",IF(AND($B$17,NOT($B$18)),1,0),MAX(0,SUMIFS(DATA_SERVICE_AREAS!$E:$E,DATA_SERVICE_AREAS!$A:$A,B68,DATA_SERVICE_AREAS!$C:$C,"MIDWEEK",DATA_SERVICE_AREAS!$D:$D,$B$6)-COUNTIFS(MASTER_ZONES!$C:$C,$B$6,MASTER_ZONES!$I:$I,"Y"))))</f>
        <v/>
      </c>
      <c r="O68">
        <f>IF(B68="",0,IF($B$3="Zone",IF(AND($B$17,NOT($B$18),F68&gt;0),1,0),MAX(0,SUMIFS(DATA_SERVICE_AREAS!$F:$F,DATA_SERVICE_AREAS!$A:$A,B68,DATA_SERVICE_AREAS!$C:$C,"MIDWEEK",DATA_SERVICE_AREAS!$D:$D,$B$6)-COUNTIFS(DATA_COMMUNITY!$A:$A,B68,DATA_COMMUNITY!$D:$D,"Midweek",DATA_COMMUNITY!$E:$E,$B$6))))</f>
        <v/>
      </c>
      <c r="P68">
        <f>MAX(0,N68-O68)</f>
        <v/>
      </c>
      <c r="Q68">
        <f>IF(N68=0,0,O68/N68)</f>
        <v/>
      </c>
      <c r="R68">
        <f>IF(O68=0,0,K68/O68)</f>
        <v/>
      </c>
      <c r="S68">
        <f>IF(OR(F68&gt;0,N68&gt;0),1,0)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  <c r="AA68">
        <f>IFERROR(INDEX(MASTER_AREAS!$B:$B,67)&amp;"","")</f>
        <v/>
      </c>
      <c r="AB68">
        <f>IF(OR(AA68="",$B$10=0),0,COUNTIFS(DATA_MIDWEEK!$A:$A,$B$10,DATA_MIDWEEK!$C:$C,AA68))</f>
        <v/>
      </c>
      <c r="AC68">
        <f>IF(AB68=0,0,SUMIFS(DATA_MIDWEEK!$I:$I,DATA_MIDWEEK!$A:$A,$B$10,DATA_MIDWEEK!$C:$C,AA68))</f>
        <v/>
      </c>
      <c r="AD68">
        <f>IF(OR(AA68="",$B$10=0),0,SUMIFS(DATA_MIDWEEK!$I:$I,DATA_MIDWEEK!$A:$A,$B$10-7,DATA_MIDWEEK!$C:$C,AA68))</f>
        <v/>
      </c>
      <c r="AE68">
        <f>IF(OR(AA68="",$B$10=0),0,MAX(0,SUMIFS(DATA_SERVICE_AREAS!$E:$E,DATA_SERVICE_AREAS!$A:$A,$B$10,DATA_SERVICE_AREAS!$C:$C,"MIDWEEK",DATA_SERVICE_AREAS!$D:$D,AA68)-COUNTIFS(MASTER_ZONES!$C:$C,AA68,MASTER_ZONES!$I:$I,"Y")))</f>
        <v/>
      </c>
      <c r="AF68">
        <f>IF(OR(AA68="",$B$10=0),0,MAX(0,SUMIFS(DATA_SERVICE_AREAS!$F:$F,DATA_SERVICE_AREAS!$A:$A,$B$10,DATA_SERVICE_AREAS!$C:$C,"MIDWEEK",DATA_SERVICE_AREAS!$D:$D,AA68)-COUNTIFS(DATA_COMMUNITY!$A:$A,$B$10,DATA_COMMUNITY!$D:$D,"Midweek",DATA_COMMUNITY!$E:$E,AA68)))</f>
        <v/>
      </c>
      <c r="AG68">
        <f>IF(AE68=0,"",MIN(1,AF68/AE68))</f>
        <v/>
      </c>
      <c r="AH68">
        <f>IF(OR(AB68=0,AD68=0),"",AC68/AD68-1)</f>
        <v/>
      </c>
      <c r="AI68">
        <f>IF(AB68=0,"",AC68+ROW()/1000000)</f>
        <v/>
      </c>
      <c r="AJ68">
        <f>IF(AG68="","",AG68+ROW()/1000000000)</f>
        <v/>
      </c>
      <c r="AK68">
        <f>IF(AH68="","",AH68+ROW()/1000000000)</f>
        <v/>
      </c>
      <c r="AL68">
        <f>MAX(0,AE68-AF68)</f>
        <v/>
      </c>
      <c r="AM68">
        <f>IF(AND(AL68&gt;0,OR($B$6="*",AA68=$B$6)),ROW(),"")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IF(B69="",0,COUNTIFS(DATA_MIDWEEK!$A:$A,B69,DATA_MIDWEEK!$C:$C,$B$6,DATA_MIDWEEK!$D:$D,$B$7))</f>
        <v/>
      </c>
      <c r="G69">
        <f>IF(F69=0,0,SUMIFS(DATA_MIDWEEK!$E:$E,DATA_MIDWEEK!$A:$A,B69,DATA_MIDWEEK!$C:$C,$B$6,DATA_MIDWEEK!$D:$D,$B$7))</f>
        <v/>
      </c>
      <c r="H69">
        <f>IF(F69=0,0,SUMIFS(DATA_MIDWEEK!$F:$F,DATA_MIDWEEK!$A:$A,B69,DATA_MIDWEEK!$C:$C,$B$6,DATA_MIDWEEK!$D:$D,$B$7))</f>
        <v/>
      </c>
      <c r="I69">
        <f>IF(F69=0,0,SUMIFS(DATA_MIDWEEK!$H:$H,DATA_MIDWEEK!$A:$A,B69,DATA_MIDWEEK!$C:$C,$B$6,DATA_MIDWEEK!$D:$D,$B$7))</f>
        <v/>
      </c>
      <c r="J69">
        <f>G69+H69</f>
        <v/>
      </c>
      <c r="K69">
        <f>J69+I69</f>
        <v/>
      </c>
      <c r="L69">
        <f>IF(F69=0,0,SUMIFS(DATA_MIDWEEK!$J:$J,DATA_MIDWEEK!$A:$A,B69,DATA_MIDWEEK!$C:$C,$B$6,DATA_MIDWEEK!$D:$D,$B$7))</f>
        <v/>
      </c>
      <c r="M69">
        <f>IF(F69=0,0,SUMIFS(DATA_MIDWEEK!$K:$K,DATA_MIDWEEK!$A:$A,B69,DATA_MIDWEEK!$C:$C,$B$6,DATA_MIDWEEK!$D:$D,$B$7))</f>
        <v/>
      </c>
      <c r="N69">
        <f>IF(B69="",0,IF($B$3="Zone",IF(AND($B$17,NOT($B$18)),1,0),MAX(0,SUMIFS(DATA_SERVICE_AREAS!$E:$E,DATA_SERVICE_AREAS!$A:$A,B69,DATA_SERVICE_AREAS!$C:$C,"MIDWEEK",DATA_SERVICE_AREAS!$D:$D,$B$6)-COUNTIFS(MASTER_ZONES!$C:$C,$B$6,MASTER_ZONES!$I:$I,"Y"))))</f>
        <v/>
      </c>
      <c r="O69">
        <f>IF(B69="",0,IF($B$3="Zone",IF(AND($B$17,NOT($B$18),F69&gt;0),1,0),MAX(0,SUMIFS(DATA_SERVICE_AREAS!$F:$F,DATA_SERVICE_AREAS!$A:$A,B69,DATA_SERVICE_AREAS!$C:$C,"MIDWEEK",DATA_SERVICE_AREAS!$D:$D,$B$6)-COUNTIFS(DATA_COMMUNITY!$A:$A,B69,DATA_COMMUNITY!$D:$D,"Midweek",DATA_COMMUNITY!$E:$E,$B$6))))</f>
        <v/>
      </c>
      <c r="P69">
        <f>MAX(0,N69-O69)</f>
        <v/>
      </c>
      <c r="Q69">
        <f>IF(N69=0,0,O69/N69)</f>
        <v/>
      </c>
      <c r="R69">
        <f>IF(O69=0,0,K69/O69)</f>
        <v/>
      </c>
      <c r="S69">
        <f>IF(OR(F69&gt;0,N69&gt;0),1,0)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  <c r="AA69">
        <f>IFERROR(INDEX(MASTER_AREAS!$B:$B,68)&amp;"","")</f>
        <v/>
      </c>
      <c r="AB69">
        <f>IF(OR(AA69="",$B$10=0),0,COUNTIFS(DATA_MIDWEEK!$A:$A,$B$10,DATA_MIDWEEK!$C:$C,AA69))</f>
        <v/>
      </c>
      <c r="AC69">
        <f>IF(AB69=0,0,SUMIFS(DATA_MIDWEEK!$I:$I,DATA_MIDWEEK!$A:$A,$B$10,DATA_MIDWEEK!$C:$C,AA69))</f>
        <v/>
      </c>
      <c r="AD69">
        <f>IF(OR(AA69="",$B$10=0),0,SUMIFS(DATA_MIDWEEK!$I:$I,DATA_MIDWEEK!$A:$A,$B$10-7,DATA_MIDWEEK!$C:$C,AA69))</f>
        <v/>
      </c>
      <c r="AE69">
        <f>IF(OR(AA69="",$B$10=0),0,MAX(0,SUMIFS(DATA_SERVICE_AREAS!$E:$E,DATA_SERVICE_AREAS!$A:$A,$B$10,DATA_SERVICE_AREAS!$C:$C,"MIDWEEK",DATA_SERVICE_AREAS!$D:$D,AA69)-COUNTIFS(MASTER_ZONES!$C:$C,AA69,MASTER_ZONES!$I:$I,"Y")))</f>
        <v/>
      </c>
      <c r="AF69">
        <f>IF(OR(AA69="",$B$10=0),0,MAX(0,SUMIFS(DATA_SERVICE_AREAS!$F:$F,DATA_SERVICE_AREAS!$A:$A,$B$10,DATA_SERVICE_AREAS!$C:$C,"MIDWEEK",DATA_SERVICE_AREAS!$D:$D,AA69)-COUNTIFS(DATA_COMMUNITY!$A:$A,$B$10,DATA_COMMUNITY!$D:$D,"Midweek",DATA_COMMUNITY!$E:$E,AA69)))</f>
        <v/>
      </c>
      <c r="AG69">
        <f>IF(AE69=0,"",MIN(1,AF69/AE69))</f>
        <v/>
      </c>
      <c r="AH69">
        <f>IF(OR(AB69=0,AD69=0),"",AC69/AD69-1)</f>
        <v/>
      </c>
      <c r="AI69">
        <f>IF(AB69=0,"",AC69+ROW()/1000000)</f>
        <v/>
      </c>
      <c r="AJ69">
        <f>IF(AG69="","",AG69+ROW()/1000000000)</f>
        <v/>
      </c>
      <c r="AK69">
        <f>IF(AH69="","",AH69+ROW()/1000000000)</f>
        <v/>
      </c>
      <c r="AL69">
        <f>MAX(0,AE69-AF69)</f>
        <v/>
      </c>
      <c r="AM69">
        <f>IF(AND(AL69&gt;0,OR($B$6="*",AA69=$B$6)),ROW(),"")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IF(B70="",0,COUNTIFS(DATA_MIDWEEK!$A:$A,B70,DATA_MIDWEEK!$C:$C,$B$6,DATA_MIDWEEK!$D:$D,$B$7))</f>
        <v/>
      </c>
      <c r="G70">
        <f>IF(F70=0,0,SUMIFS(DATA_MIDWEEK!$E:$E,DATA_MIDWEEK!$A:$A,B70,DATA_MIDWEEK!$C:$C,$B$6,DATA_MIDWEEK!$D:$D,$B$7))</f>
        <v/>
      </c>
      <c r="H70">
        <f>IF(F70=0,0,SUMIFS(DATA_MIDWEEK!$F:$F,DATA_MIDWEEK!$A:$A,B70,DATA_MIDWEEK!$C:$C,$B$6,DATA_MIDWEEK!$D:$D,$B$7))</f>
        <v/>
      </c>
      <c r="I70">
        <f>IF(F70=0,0,SUMIFS(DATA_MIDWEEK!$H:$H,DATA_MIDWEEK!$A:$A,B70,DATA_MIDWEEK!$C:$C,$B$6,DATA_MIDWEEK!$D:$D,$B$7))</f>
        <v/>
      </c>
      <c r="J70">
        <f>G70+H70</f>
        <v/>
      </c>
      <c r="K70">
        <f>J70+I70</f>
        <v/>
      </c>
      <c r="L70">
        <f>IF(F70=0,0,SUMIFS(DATA_MIDWEEK!$J:$J,DATA_MIDWEEK!$A:$A,B70,DATA_MIDWEEK!$C:$C,$B$6,DATA_MIDWEEK!$D:$D,$B$7))</f>
        <v/>
      </c>
      <c r="M70">
        <f>IF(F70=0,0,SUMIFS(DATA_MIDWEEK!$K:$K,DATA_MIDWEEK!$A:$A,B70,DATA_MIDWEEK!$C:$C,$B$6,DATA_MIDWEEK!$D:$D,$B$7))</f>
        <v/>
      </c>
      <c r="N70">
        <f>IF(B70="",0,IF($B$3="Zone",IF(AND($B$17,NOT($B$18)),1,0),MAX(0,SUMIFS(DATA_SERVICE_AREAS!$E:$E,DATA_SERVICE_AREAS!$A:$A,B70,DATA_SERVICE_AREAS!$C:$C,"MIDWEEK",DATA_SERVICE_AREAS!$D:$D,$B$6)-COUNTIFS(MASTER_ZONES!$C:$C,$B$6,MASTER_ZONES!$I:$I,"Y"))))</f>
        <v/>
      </c>
      <c r="O70">
        <f>IF(B70="",0,IF($B$3="Zone",IF(AND($B$17,NOT($B$18),F70&gt;0),1,0),MAX(0,SUMIFS(DATA_SERVICE_AREAS!$F:$F,DATA_SERVICE_AREAS!$A:$A,B70,DATA_SERVICE_AREAS!$C:$C,"MIDWEEK",DATA_SERVICE_AREAS!$D:$D,$B$6)-COUNTIFS(DATA_COMMUNITY!$A:$A,B70,DATA_COMMUNITY!$D:$D,"Midweek",DATA_COMMUNITY!$E:$E,$B$6))))</f>
        <v/>
      </c>
      <c r="P70">
        <f>MAX(0,N70-O70)</f>
        <v/>
      </c>
      <c r="Q70">
        <f>IF(N70=0,0,O70/N70)</f>
        <v/>
      </c>
      <c r="R70">
        <f>IF(O70=0,0,K70/O70)</f>
        <v/>
      </c>
      <c r="S70">
        <f>IF(OR(F70&gt;0,N70&gt;0),1,0)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  <c r="AA70">
        <f>IFERROR(INDEX(MASTER_AREAS!$B:$B,69)&amp;"","")</f>
        <v/>
      </c>
      <c r="AB70">
        <f>IF(OR(AA70="",$B$10=0),0,COUNTIFS(DATA_MIDWEEK!$A:$A,$B$10,DATA_MIDWEEK!$C:$C,AA70))</f>
        <v/>
      </c>
      <c r="AC70">
        <f>IF(AB70=0,0,SUMIFS(DATA_MIDWEEK!$I:$I,DATA_MIDWEEK!$A:$A,$B$10,DATA_MIDWEEK!$C:$C,AA70))</f>
        <v/>
      </c>
      <c r="AD70">
        <f>IF(OR(AA70="",$B$10=0),0,SUMIFS(DATA_MIDWEEK!$I:$I,DATA_MIDWEEK!$A:$A,$B$10-7,DATA_MIDWEEK!$C:$C,AA70))</f>
        <v/>
      </c>
      <c r="AE70">
        <f>IF(OR(AA70="",$B$10=0),0,MAX(0,SUMIFS(DATA_SERVICE_AREAS!$E:$E,DATA_SERVICE_AREAS!$A:$A,$B$10,DATA_SERVICE_AREAS!$C:$C,"MIDWEEK",DATA_SERVICE_AREAS!$D:$D,AA70)-COUNTIFS(MASTER_ZONES!$C:$C,AA70,MASTER_ZONES!$I:$I,"Y")))</f>
        <v/>
      </c>
      <c r="AF70">
        <f>IF(OR(AA70="",$B$10=0),0,MAX(0,SUMIFS(DATA_SERVICE_AREAS!$F:$F,DATA_SERVICE_AREAS!$A:$A,$B$10,DATA_SERVICE_AREAS!$C:$C,"MIDWEEK",DATA_SERVICE_AREAS!$D:$D,AA70)-COUNTIFS(DATA_COMMUNITY!$A:$A,$B$10,DATA_COMMUNITY!$D:$D,"Midweek",DATA_COMMUNITY!$E:$E,AA70)))</f>
        <v/>
      </c>
      <c r="AG70">
        <f>IF(AE70=0,"",MIN(1,AF70/AE70))</f>
        <v/>
      </c>
      <c r="AH70">
        <f>IF(OR(AB70=0,AD70=0),"",AC70/AD70-1)</f>
        <v/>
      </c>
      <c r="AI70">
        <f>IF(AB70=0,"",AC70+ROW()/1000000)</f>
        <v/>
      </c>
      <c r="AJ70">
        <f>IF(AG70="","",AG70+ROW()/1000000000)</f>
        <v/>
      </c>
      <c r="AK70">
        <f>IF(AH70="","",AH70+ROW()/1000000000)</f>
        <v/>
      </c>
      <c r="AL70">
        <f>MAX(0,AE70-AF70)</f>
        <v/>
      </c>
      <c r="AM70">
        <f>IF(AND(AL70&gt;0,OR($B$6="*",AA70=$B$6)),ROW(),"")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IF(B71="",0,COUNTIFS(DATA_MIDWEEK!$A:$A,B71,DATA_MIDWEEK!$C:$C,$B$6,DATA_MIDWEEK!$D:$D,$B$7))</f>
        <v/>
      </c>
      <c r="G71">
        <f>IF(F71=0,0,SUMIFS(DATA_MIDWEEK!$E:$E,DATA_MIDWEEK!$A:$A,B71,DATA_MIDWEEK!$C:$C,$B$6,DATA_MIDWEEK!$D:$D,$B$7))</f>
        <v/>
      </c>
      <c r="H71">
        <f>IF(F71=0,0,SUMIFS(DATA_MIDWEEK!$F:$F,DATA_MIDWEEK!$A:$A,B71,DATA_MIDWEEK!$C:$C,$B$6,DATA_MIDWEEK!$D:$D,$B$7))</f>
        <v/>
      </c>
      <c r="I71">
        <f>IF(F71=0,0,SUMIFS(DATA_MIDWEEK!$H:$H,DATA_MIDWEEK!$A:$A,B71,DATA_MIDWEEK!$C:$C,$B$6,DATA_MIDWEEK!$D:$D,$B$7))</f>
        <v/>
      </c>
      <c r="J71">
        <f>G71+H71</f>
        <v/>
      </c>
      <c r="K71">
        <f>J71+I71</f>
        <v/>
      </c>
      <c r="L71">
        <f>IF(F71=0,0,SUMIFS(DATA_MIDWEEK!$J:$J,DATA_MIDWEEK!$A:$A,B71,DATA_MIDWEEK!$C:$C,$B$6,DATA_MIDWEEK!$D:$D,$B$7))</f>
        <v/>
      </c>
      <c r="M71">
        <f>IF(F71=0,0,SUMIFS(DATA_MIDWEEK!$K:$K,DATA_MIDWEEK!$A:$A,B71,DATA_MIDWEEK!$C:$C,$B$6,DATA_MIDWEEK!$D:$D,$B$7))</f>
        <v/>
      </c>
      <c r="N71">
        <f>IF(B71="",0,IF($B$3="Zone",IF(AND($B$17,NOT($B$18)),1,0),MAX(0,SUMIFS(DATA_SERVICE_AREAS!$E:$E,DATA_SERVICE_AREAS!$A:$A,B71,DATA_SERVICE_AREAS!$C:$C,"MIDWEEK",DATA_SERVICE_AREAS!$D:$D,$B$6)-COUNTIFS(MASTER_ZONES!$C:$C,$B$6,MASTER_ZONES!$I:$I,"Y"))))</f>
        <v/>
      </c>
      <c r="O71">
        <f>IF(B71="",0,IF($B$3="Zone",IF(AND($B$17,NOT($B$18),F71&gt;0),1,0),MAX(0,SUMIFS(DATA_SERVICE_AREAS!$F:$F,DATA_SERVICE_AREAS!$A:$A,B71,DATA_SERVICE_AREAS!$C:$C,"MIDWEEK",DATA_SERVICE_AREAS!$D:$D,$B$6)-COUNTIFS(DATA_COMMUNITY!$A:$A,B71,DATA_COMMUNITY!$D:$D,"Midweek",DATA_COMMUNITY!$E:$E,$B$6))))</f>
        <v/>
      </c>
      <c r="P71">
        <f>MAX(0,N71-O71)</f>
        <v/>
      </c>
      <c r="Q71">
        <f>IF(N71=0,0,O71/N71)</f>
        <v/>
      </c>
      <c r="R71">
        <f>IF(O71=0,0,K71/O71)</f>
        <v/>
      </c>
      <c r="S71">
        <f>IF(OR(F71&gt;0,N71&gt;0),1,0)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  <c r="AA71">
        <f>IFERROR(INDEX(MASTER_AREAS!$B:$B,70)&amp;"","")</f>
        <v/>
      </c>
      <c r="AB71">
        <f>IF(OR(AA71="",$B$10=0),0,COUNTIFS(DATA_MIDWEEK!$A:$A,$B$10,DATA_MIDWEEK!$C:$C,AA71))</f>
        <v/>
      </c>
      <c r="AC71">
        <f>IF(AB71=0,0,SUMIFS(DATA_MIDWEEK!$I:$I,DATA_MIDWEEK!$A:$A,$B$10,DATA_MIDWEEK!$C:$C,AA71))</f>
        <v/>
      </c>
      <c r="AD71">
        <f>IF(OR(AA71="",$B$10=0),0,SUMIFS(DATA_MIDWEEK!$I:$I,DATA_MIDWEEK!$A:$A,$B$10-7,DATA_MIDWEEK!$C:$C,AA71))</f>
        <v/>
      </c>
      <c r="AE71">
        <f>IF(OR(AA71="",$B$10=0),0,MAX(0,SUMIFS(DATA_SERVICE_AREAS!$E:$E,DATA_SERVICE_AREAS!$A:$A,$B$10,DATA_SERVICE_AREAS!$C:$C,"MIDWEEK",DATA_SERVICE_AREAS!$D:$D,AA71)-COUNTIFS(MASTER_ZONES!$C:$C,AA71,MASTER_ZONES!$I:$I,"Y")))</f>
        <v/>
      </c>
      <c r="AF71">
        <f>IF(OR(AA71="",$B$10=0),0,MAX(0,SUMIFS(DATA_SERVICE_AREAS!$F:$F,DATA_SERVICE_AREAS!$A:$A,$B$10,DATA_SERVICE_AREAS!$C:$C,"MIDWEEK",DATA_SERVICE_AREAS!$D:$D,AA71)-COUNTIFS(DATA_COMMUNITY!$A:$A,$B$10,DATA_COMMUNITY!$D:$D,"Midweek",DATA_COMMUNITY!$E:$E,AA71)))</f>
        <v/>
      </c>
      <c r="AG71">
        <f>IF(AE71=0,"",MIN(1,AF71/AE71))</f>
        <v/>
      </c>
      <c r="AH71">
        <f>IF(OR(AB71=0,AD71=0),"",AC71/AD71-1)</f>
        <v/>
      </c>
      <c r="AI71">
        <f>IF(AB71=0,"",AC71+ROW()/1000000)</f>
        <v/>
      </c>
      <c r="AJ71">
        <f>IF(AG71="","",AG71+ROW()/1000000000)</f>
        <v/>
      </c>
      <c r="AK71">
        <f>IF(AH71="","",AH71+ROW()/1000000000)</f>
        <v/>
      </c>
      <c r="AL71">
        <f>MAX(0,AE71-AF71)</f>
        <v/>
      </c>
      <c r="AM71">
        <f>IF(AND(AL71&gt;0,OR($B$6="*",AA71=$B$6)),ROW(),"")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IF(B72="",0,COUNTIFS(DATA_MIDWEEK!$A:$A,B72,DATA_MIDWEEK!$C:$C,$B$6,DATA_MIDWEEK!$D:$D,$B$7))</f>
        <v/>
      </c>
      <c r="G72">
        <f>IF(F72=0,0,SUMIFS(DATA_MIDWEEK!$E:$E,DATA_MIDWEEK!$A:$A,B72,DATA_MIDWEEK!$C:$C,$B$6,DATA_MIDWEEK!$D:$D,$B$7))</f>
        <v/>
      </c>
      <c r="H72">
        <f>IF(F72=0,0,SUMIFS(DATA_MIDWEEK!$F:$F,DATA_MIDWEEK!$A:$A,B72,DATA_MIDWEEK!$C:$C,$B$6,DATA_MIDWEEK!$D:$D,$B$7))</f>
        <v/>
      </c>
      <c r="I72">
        <f>IF(F72=0,0,SUMIFS(DATA_MIDWEEK!$H:$H,DATA_MIDWEEK!$A:$A,B72,DATA_MIDWEEK!$C:$C,$B$6,DATA_MIDWEEK!$D:$D,$B$7))</f>
        <v/>
      </c>
      <c r="J72">
        <f>G72+H72</f>
        <v/>
      </c>
      <c r="K72">
        <f>J72+I72</f>
        <v/>
      </c>
      <c r="L72">
        <f>IF(F72=0,0,SUMIFS(DATA_MIDWEEK!$J:$J,DATA_MIDWEEK!$A:$A,B72,DATA_MIDWEEK!$C:$C,$B$6,DATA_MIDWEEK!$D:$D,$B$7))</f>
        <v/>
      </c>
      <c r="M72">
        <f>IF(F72=0,0,SUMIFS(DATA_MIDWEEK!$K:$K,DATA_MIDWEEK!$A:$A,B72,DATA_MIDWEEK!$C:$C,$B$6,DATA_MIDWEEK!$D:$D,$B$7))</f>
        <v/>
      </c>
      <c r="N72">
        <f>IF(B72="",0,IF($B$3="Zone",IF(AND($B$17,NOT($B$18)),1,0),MAX(0,SUMIFS(DATA_SERVICE_AREAS!$E:$E,DATA_SERVICE_AREAS!$A:$A,B72,DATA_SERVICE_AREAS!$C:$C,"MIDWEEK",DATA_SERVICE_AREAS!$D:$D,$B$6)-COUNTIFS(MASTER_ZONES!$C:$C,$B$6,MASTER_ZONES!$I:$I,"Y"))))</f>
        <v/>
      </c>
      <c r="O72">
        <f>IF(B72="",0,IF($B$3="Zone",IF(AND($B$17,NOT($B$18),F72&gt;0),1,0),MAX(0,SUMIFS(DATA_SERVICE_AREAS!$F:$F,DATA_SERVICE_AREAS!$A:$A,B72,DATA_SERVICE_AREAS!$C:$C,"MIDWEEK",DATA_SERVICE_AREAS!$D:$D,$B$6)-COUNTIFS(DATA_COMMUNITY!$A:$A,B72,DATA_COMMUNITY!$D:$D,"Midweek",DATA_COMMUNITY!$E:$E,$B$6))))</f>
        <v/>
      </c>
      <c r="P72">
        <f>MAX(0,N72-O72)</f>
        <v/>
      </c>
      <c r="Q72">
        <f>IF(N72=0,0,O72/N72)</f>
        <v/>
      </c>
      <c r="R72">
        <f>IF(O72=0,0,K72/O72)</f>
        <v/>
      </c>
      <c r="S72">
        <f>IF(OR(F72&gt;0,N72&gt;0),1,0)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  <c r="AA72">
        <f>IFERROR(INDEX(MASTER_AREAS!$B:$B,71)&amp;"","")</f>
        <v/>
      </c>
      <c r="AB72">
        <f>IF(OR(AA72="",$B$10=0),0,COUNTIFS(DATA_MIDWEEK!$A:$A,$B$10,DATA_MIDWEEK!$C:$C,AA72))</f>
        <v/>
      </c>
      <c r="AC72">
        <f>IF(AB72=0,0,SUMIFS(DATA_MIDWEEK!$I:$I,DATA_MIDWEEK!$A:$A,$B$10,DATA_MIDWEEK!$C:$C,AA72))</f>
        <v/>
      </c>
      <c r="AD72">
        <f>IF(OR(AA72="",$B$10=0),0,SUMIFS(DATA_MIDWEEK!$I:$I,DATA_MIDWEEK!$A:$A,$B$10-7,DATA_MIDWEEK!$C:$C,AA72))</f>
        <v/>
      </c>
      <c r="AE72">
        <f>IF(OR(AA72="",$B$10=0),0,MAX(0,SUMIFS(DATA_SERVICE_AREAS!$E:$E,DATA_SERVICE_AREAS!$A:$A,$B$10,DATA_SERVICE_AREAS!$C:$C,"MIDWEEK",DATA_SERVICE_AREAS!$D:$D,AA72)-COUNTIFS(MASTER_ZONES!$C:$C,AA72,MASTER_ZONES!$I:$I,"Y")))</f>
        <v/>
      </c>
      <c r="AF72">
        <f>IF(OR(AA72="",$B$10=0),0,MAX(0,SUMIFS(DATA_SERVICE_AREAS!$F:$F,DATA_SERVICE_AREAS!$A:$A,$B$10,DATA_SERVICE_AREAS!$C:$C,"MIDWEEK",DATA_SERVICE_AREAS!$D:$D,AA72)-COUNTIFS(DATA_COMMUNITY!$A:$A,$B$10,DATA_COMMUNITY!$D:$D,"Midweek",DATA_COMMUNITY!$E:$E,AA72)))</f>
        <v/>
      </c>
      <c r="AG72">
        <f>IF(AE72=0,"",MIN(1,AF72/AE72))</f>
        <v/>
      </c>
      <c r="AH72">
        <f>IF(OR(AB72=0,AD72=0),"",AC72/AD72-1)</f>
        <v/>
      </c>
      <c r="AI72">
        <f>IF(AB72=0,"",AC72+ROW()/1000000)</f>
        <v/>
      </c>
      <c r="AJ72">
        <f>IF(AG72="","",AG72+ROW()/1000000000)</f>
        <v/>
      </c>
      <c r="AK72">
        <f>IF(AH72="","",AH72+ROW()/1000000000)</f>
        <v/>
      </c>
      <c r="AL72">
        <f>MAX(0,AE72-AF72)</f>
        <v/>
      </c>
      <c r="AM72">
        <f>IF(AND(AL72&gt;0,OR($B$6="*",AA72=$B$6)),ROW(),"")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IF(B73="",0,COUNTIFS(DATA_MIDWEEK!$A:$A,B73,DATA_MIDWEEK!$C:$C,$B$6,DATA_MIDWEEK!$D:$D,$B$7))</f>
        <v/>
      </c>
      <c r="G73">
        <f>IF(F73=0,0,SUMIFS(DATA_MIDWEEK!$E:$E,DATA_MIDWEEK!$A:$A,B73,DATA_MIDWEEK!$C:$C,$B$6,DATA_MIDWEEK!$D:$D,$B$7))</f>
        <v/>
      </c>
      <c r="H73">
        <f>IF(F73=0,0,SUMIFS(DATA_MIDWEEK!$F:$F,DATA_MIDWEEK!$A:$A,B73,DATA_MIDWEEK!$C:$C,$B$6,DATA_MIDWEEK!$D:$D,$B$7))</f>
        <v/>
      </c>
      <c r="I73">
        <f>IF(F73=0,0,SUMIFS(DATA_MIDWEEK!$H:$H,DATA_MIDWEEK!$A:$A,B73,DATA_MIDWEEK!$C:$C,$B$6,DATA_MIDWEEK!$D:$D,$B$7))</f>
        <v/>
      </c>
      <c r="J73">
        <f>G73+H73</f>
        <v/>
      </c>
      <c r="K73">
        <f>J73+I73</f>
        <v/>
      </c>
      <c r="L73">
        <f>IF(F73=0,0,SUMIFS(DATA_MIDWEEK!$J:$J,DATA_MIDWEEK!$A:$A,B73,DATA_MIDWEEK!$C:$C,$B$6,DATA_MIDWEEK!$D:$D,$B$7))</f>
        <v/>
      </c>
      <c r="M73">
        <f>IF(F73=0,0,SUMIFS(DATA_MIDWEEK!$K:$K,DATA_MIDWEEK!$A:$A,B73,DATA_MIDWEEK!$C:$C,$B$6,DATA_MIDWEEK!$D:$D,$B$7))</f>
        <v/>
      </c>
      <c r="N73">
        <f>IF(B73="",0,IF($B$3="Zone",IF(AND($B$17,NOT($B$18)),1,0),MAX(0,SUMIFS(DATA_SERVICE_AREAS!$E:$E,DATA_SERVICE_AREAS!$A:$A,B73,DATA_SERVICE_AREAS!$C:$C,"MIDWEEK",DATA_SERVICE_AREAS!$D:$D,$B$6)-COUNTIFS(MASTER_ZONES!$C:$C,$B$6,MASTER_ZONES!$I:$I,"Y"))))</f>
        <v/>
      </c>
      <c r="O73">
        <f>IF(B73="",0,IF($B$3="Zone",IF(AND($B$17,NOT($B$18),F73&gt;0),1,0),MAX(0,SUMIFS(DATA_SERVICE_AREAS!$F:$F,DATA_SERVICE_AREAS!$A:$A,B73,DATA_SERVICE_AREAS!$C:$C,"MIDWEEK",DATA_SERVICE_AREAS!$D:$D,$B$6)-COUNTIFS(DATA_COMMUNITY!$A:$A,B73,DATA_COMMUNITY!$D:$D,"Midweek",DATA_COMMUNITY!$E:$E,$B$6))))</f>
        <v/>
      </c>
      <c r="P73">
        <f>MAX(0,N73-O73)</f>
        <v/>
      </c>
      <c r="Q73">
        <f>IF(N73=0,0,O73/N73)</f>
        <v/>
      </c>
      <c r="R73">
        <f>IF(O73=0,0,K73/O73)</f>
        <v/>
      </c>
      <c r="S73">
        <f>IF(OR(F73&gt;0,N73&gt;0),1,0)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  <c r="AA73">
        <f>IFERROR(INDEX(MASTER_AREAS!$B:$B,72)&amp;"","")</f>
        <v/>
      </c>
      <c r="AB73">
        <f>IF(OR(AA73="",$B$10=0),0,COUNTIFS(DATA_MIDWEEK!$A:$A,$B$10,DATA_MIDWEEK!$C:$C,AA73))</f>
        <v/>
      </c>
      <c r="AC73">
        <f>IF(AB73=0,0,SUMIFS(DATA_MIDWEEK!$I:$I,DATA_MIDWEEK!$A:$A,$B$10,DATA_MIDWEEK!$C:$C,AA73))</f>
        <v/>
      </c>
      <c r="AD73">
        <f>IF(OR(AA73="",$B$10=0),0,SUMIFS(DATA_MIDWEEK!$I:$I,DATA_MIDWEEK!$A:$A,$B$10-7,DATA_MIDWEEK!$C:$C,AA73))</f>
        <v/>
      </c>
      <c r="AE73">
        <f>IF(OR(AA73="",$B$10=0),0,MAX(0,SUMIFS(DATA_SERVICE_AREAS!$E:$E,DATA_SERVICE_AREAS!$A:$A,$B$10,DATA_SERVICE_AREAS!$C:$C,"MIDWEEK",DATA_SERVICE_AREAS!$D:$D,AA73)-COUNTIFS(MASTER_ZONES!$C:$C,AA73,MASTER_ZONES!$I:$I,"Y")))</f>
        <v/>
      </c>
      <c r="AF73">
        <f>IF(OR(AA73="",$B$10=0),0,MAX(0,SUMIFS(DATA_SERVICE_AREAS!$F:$F,DATA_SERVICE_AREAS!$A:$A,$B$10,DATA_SERVICE_AREAS!$C:$C,"MIDWEEK",DATA_SERVICE_AREAS!$D:$D,AA73)-COUNTIFS(DATA_COMMUNITY!$A:$A,$B$10,DATA_COMMUNITY!$D:$D,"Midweek",DATA_COMMUNITY!$E:$E,AA73)))</f>
        <v/>
      </c>
      <c r="AG73">
        <f>IF(AE73=0,"",MIN(1,AF73/AE73))</f>
        <v/>
      </c>
      <c r="AH73">
        <f>IF(OR(AB73=0,AD73=0),"",AC73/AD73-1)</f>
        <v/>
      </c>
      <c r="AI73">
        <f>IF(AB73=0,"",AC73+ROW()/1000000)</f>
        <v/>
      </c>
      <c r="AJ73">
        <f>IF(AG73="","",AG73+ROW()/1000000000)</f>
        <v/>
      </c>
      <c r="AK73">
        <f>IF(AH73="","",AH73+ROW()/1000000000)</f>
        <v/>
      </c>
      <c r="AL73">
        <f>MAX(0,AE73-AF73)</f>
        <v/>
      </c>
      <c r="AM73">
        <f>IF(AND(AL73&gt;0,OR($B$6="*",AA73=$B$6)),ROW(),"")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IF(B74="",0,COUNTIFS(DATA_MIDWEEK!$A:$A,B74,DATA_MIDWEEK!$C:$C,$B$6,DATA_MIDWEEK!$D:$D,$B$7))</f>
        <v/>
      </c>
      <c r="G74">
        <f>IF(F74=0,0,SUMIFS(DATA_MIDWEEK!$E:$E,DATA_MIDWEEK!$A:$A,B74,DATA_MIDWEEK!$C:$C,$B$6,DATA_MIDWEEK!$D:$D,$B$7))</f>
        <v/>
      </c>
      <c r="H74">
        <f>IF(F74=0,0,SUMIFS(DATA_MIDWEEK!$F:$F,DATA_MIDWEEK!$A:$A,B74,DATA_MIDWEEK!$C:$C,$B$6,DATA_MIDWEEK!$D:$D,$B$7))</f>
        <v/>
      </c>
      <c r="I74">
        <f>IF(F74=0,0,SUMIFS(DATA_MIDWEEK!$H:$H,DATA_MIDWEEK!$A:$A,B74,DATA_MIDWEEK!$C:$C,$B$6,DATA_MIDWEEK!$D:$D,$B$7))</f>
        <v/>
      </c>
      <c r="J74">
        <f>G74+H74</f>
        <v/>
      </c>
      <c r="K74">
        <f>J74+I74</f>
        <v/>
      </c>
      <c r="L74">
        <f>IF(F74=0,0,SUMIFS(DATA_MIDWEEK!$J:$J,DATA_MIDWEEK!$A:$A,B74,DATA_MIDWEEK!$C:$C,$B$6,DATA_MIDWEEK!$D:$D,$B$7))</f>
        <v/>
      </c>
      <c r="M74">
        <f>IF(F74=0,0,SUMIFS(DATA_MIDWEEK!$K:$K,DATA_MIDWEEK!$A:$A,B74,DATA_MIDWEEK!$C:$C,$B$6,DATA_MIDWEEK!$D:$D,$B$7))</f>
        <v/>
      </c>
      <c r="N74">
        <f>IF(B74="",0,IF($B$3="Zone",IF(AND($B$17,NOT($B$18)),1,0),MAX(0,SUMIFS(DATA_SERVICE_AREAS!$E:$E,DATA_SERVICE_AREAS!$A:$A,B74,DATA_SERVICE_AREAS!$C:$C,"MIDWEEK",DATA_SERVICE_AREAS!$D:$D,$B$6)-COUNTIFS(MASTER_ZONES!$C:$C,$B$6,MASTER_ZONES!$I:$I,"Y"))))</f>
        <v/>
      </c>
      <c r="O74">
        <f>IF(B74="",0,IF($B$3="Zone",IF(AND($B$17,NOT($B$18),F74&gt;0),1,0),MAX(0,SUMIFS(DATA_SERVICE_AREAS!$F:$F,DATA_SERVICE_AREAS!$A:$A,B74,DATA_SERVICE_AREAS!$C:$C,"MIDWEEK",DATA_SERVICE_AREAS!$D:$D,$B$6)-COUNTIFS(DATA_COMMUNITY!$A:$A,B74,DATA_COMMUNITY!$D:$D,"Midweek",DATA_COMMUNITY!$E:$E,$B$6))))</f>
        <v/>
      </c>
      <c r="P74">
        <f>MAX(0,N74-O74)</f>
        <v/>
      </c>
      <c r="Q74">
        <f>IF(N74=0,0,O74/N74)</f>
        <v/>
      </c>
      <c r="R74">
        <f>IF(O74=0,0,K74/O74)</f>
        <v/>
      </c>
      <c r="S74">
        <f>IF(OR(F74&gt;0,N74&gt;0),1,0)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  <c r="AA74">
        <f>IFERROR(INDEX(MASTER_AREAS!$B:$B,73)&amp;"","")</f>
        <v/>
      </c>
      <c r="AB74">
        <f>IF(OR(AA74="",$B$10=0),0,COUNTIFS(DATA_MIDWEEK!$A:$A,$B$10,DATA_MIDWEEK!$C:$C,AA74))</f>
        <v/>
      </c>
      <c r="AC74">
        <f>IF(AB74=0,0,SUMIFS(DATA_MIDWEEK!$I:$I,DATA_MIDWEEK!$A:$A,$B$10,DATA_MIDWEEK!$C:$C,AA74))</f>
        <v/>
      </c>
      <c r="AD74">
        <f>IF(OR(AA74="",$B$10=0),0,SUMIFS(DATA_MIDWEEK!$I:$I,DATA_MIDWEEK!$A:$A,$B$10-7,DATA_MIDWEEK!$C:$C,AA74))</f>
        <v/>
      </c>
      <c r="AE74">
        <f>IF(OR(AA74="",$B$10=0),0,MAX(0,SUMIFS(DATA_SERVICE_AREAS!$E:$E,DATA_SERVICE_AREAS!$A:$A,$B$10,DATA_SERVICE_AREAS!$C:$C,"MIDWEEK",DATA_SERVICE_AREAS!$D:$D,AA74)-COUNTIFS(MASTER_ZONES!$C:$C,AA74,MASTER_ZONES!$I:$I,"Y")))</f>
        <v/>
      </c>
      <c r="AF74">
        <f>IF(OR(AA74="",$B$10=0),0,MAX(0,SUMIFS(DATA_SERVICE_AREAS!$F:$F,DATA_SERVICE_AREAS!$A:$A,$B$10,DATA_SERVICE_AREAS!$C:$C,"MIDWEEK",DATA_SERVICE_AREAS!$D:$D,AA74)-COUNTIFS(DATA_COMMUNITY!$A:$A,$B$10,DATA_COMMUNITY!$D:$D,"Midweek",DATA_COMMUNITY!$E:$E,AA74)))</f>
        <v/>
      </c>
      <c r="AG74">
        <f>IF(AE74=0,"",MIN(1,AF74/AE74))</f>
        <v/>
      </c>
      <c r="AH74">
        <f>IF(OR(AB74=0,AD74=0),"",AC74/AD74-1)</f>
        <v/>
      </c>
      <c r="AI74">
        <f>IF(AB74=0,"",AC74+ROW()/1000000)</f>
        <v/>
      </c>
      <c r="AJ74">
        <f>IF(AG74="","",AG74+ROW()/1000000000)</f>
        <v/>
      </c>
      <c r="AK74">
        <f>IF(AH74="","",AH74+ROW()/1000000000)</f>
        <v/>
      </c>
      <c r="AL74">
        <f>MAX(0,AE74-AF74)</f>
        <v/>
      </c>
      <c r="AM74">
        <f>IF(AND(AL74&gt;0,OR($B$6="*",AA74=$B$6)),ROW(),"")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IF(B75="",0,COUNTIFS(DATA_MIDWEEK!$A:$A,B75,DATA_MIDWEEK!$C:$C,$B$6,DATA_MIDWEEK!$D:$D,$B$7))</f>
        <v/>
      </c>
      <c r="G75">
        <f>IF(F75=0,0,SUMIFS(DATA_MIDWEEK!$E:$E,DATA_MIDWEEK!$A:$A,B75,DATA_MIDWEEK!$C:$C,$B$6,DATA_MIDWEEK!$D:$D,$B$7))</f>
        <v/>
      </c>
      <c r="H75">
        <f>IF(F75=0,0,SUMIFS(DATA_MIDWEEK!$F:$F,DATA_MIDWEEK!$A:$A,B75,DATA_MIDWEEK!$C:$C,$B$6,DATA_MIDWEEK!$D:$D,$B$7))</f>
        <v/>
      </c>
      <c r="I75">
        <f>IF(F75=0,0,SUMIFS(DATA_MIDWEEK!$H:$H,DATA_MIDWEEK!$A:$A,B75,DATA_MIDWEEK!$C:$C,$B$6,DATA_MIDWEEK!$D:$D,$B$7))</f>
        <v/>
      </c>
      <c r="J75">
        <f>G75+H75</f>
        <v/>
      </c>
      <c r="K75">
        <f>J75+I75</f>
        <v/>
      </c>
      <c r="L75">
        <f>IF(F75=0,0,SUMIFS(DATA_MIDWEEK!$J:$J,DATA_MIDWEEK!$A:$A,B75,DATA_MIDWEEK!$C:$C,$B$6,DATA_MIDWEEK!$D:$D,$B$7))</f>
        <v/>
      </c>
      <c r="M75">
        <f>IF(F75=0,0,SUMIFS(DATA_MIDWEEK!$K:$K,DATA_MIDWEEK!$A:$A,B75,DATA_MIDWEEK!$C:$C,$B$6,DATA_MIDWEEK!$D:$D,$B$7))</f>
        <v/>
      </c>
      <c r="N75">
        <f>IF(B75="",0,IF($B$3="Zone",IF(AND($B$17,NOT($B$18)),1,0),MAX(0,SUMIFS(DATA_SERVICE_AREAS!$E:$E,DATA_SERVICE_AREAS!$A:$A,B75,DATA_SERVICE_AREAS!$C:$C,"MIDWEEK",DATA_SERVICE_AREAS!$D:$D,$B$6)-COUNTIFS(MASTER_ZONES!$C:$C,$B$6,MASTER_ZONES!$I:$I,"Y"))))</f>
        <v/>
      </c>
      <c r="O75">
        <f>IF(B75="",0,IF($B$3="Zone",IF(AND($B$17,NOT($B$18),F75&gt;0),1,0),MAX(0,SUMIFS(DATA_SERVICE_AREAS!$F:$F,DATA_SERVICE_AREAS!$A:$A,B75,DATA_SERVICE_AREAS!$C:$C,"MIDWEEK",DATA_SERVICE_AREAS!$D:$D,$B$6)-COUNTIFS(DATA_COMMUNITY!$A:$A,B75,DATA_COMMUNITY!$D:$D,"Midweek",DATA_COMMUNITY!$E:$E,$B$6))))</f>
        <v/>
      </c>
      <c r="P75">
        <f>MAX(0,N75-O75)</f>
        <v/>
      </c>
      <c r="Q75">
        <f>IF(N75=0,0,O75/N75)</f>
        <v/>
      </c>
      <c r="R75">
        <f>IF(O75=0,0,K75/O75)</f>
        <v/>
      </c>
      <c r="S75">
        <f>IF(OR(F75&gt;0,N75&gt;0),1,0)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  <c r="AA75">
        <f>IFERROR(INDEX(MASTER_AREAS!$B:$B,74)&amp;"","")</f>
        <v/>
      </c>
      <c r="AB75">
        <f>IF(OR(AA75="",$B$10=0),0,COUNTIFS(DATA_MIDWEEK!$A:$A,$B$10,DATA_MIDWEEK!$C:$C,AA75))</f>
        <v/>
      </c>
      <c r="AC75">
        <f>IF(AB75=0,0,SUMIFS(DATA_MIDWEEK!$I:$I,DATA_MIDWEEK!$A:$A,$B$10,DATA_MIDWEEK!$C:$C,AA75))</f>
        <v/>
      </c>
      <c r="AD75">
        <f>IF(OR(AA75="",$B$10=0),0,SUMIFS(DATA_MIDWEEK!$I:$I,DATA_MIDWEEK!$A:$A,$B$10-7,DATA_MIDWEEK!$C:$C,AA75))</f>
        <v/>
      </c>
      <c r="AE75">
        <f>IF(OR(AA75="",$B$10=0),0,MAX(0,SUMIFS(DATA_SERVICE_AREAS!$E:$E,DATA_SERVICE_AREAS!$A:$A,$B$10,DATA_SERVICE_AREAS!$C:$C,"MIDWEEK",DATA_SERVICE_AREAS!$D:$D,AA75)-COUNTIFS(MASTER_ZONES!$C:$C,AA75,MASTER_ZONES!$I:$I,"Y")))</f>
        <v/>
      </c>
      <c r="AF75">
        <f>IF(OR(AA75="",$B$10=0),0,MAX(0,SUMIFS(DATA_SERVICE_AREAS!$F:$F,DATA_SERVICE_AREAS!$A:$A,$B$10,DATA_SERVICE_AREAS!$C:$C,"MIDWEEK",DATA_SERVICE_AREAS!$D:$D,AA75)-COUNTIFS(DATA_COMMUNITY!$A:$A,$B$10,DATA_COMMUNITY!$D:$D,"Midweek",DATA_COMMUNITY!$E:$E,AA75)))</f>
        <v/>
      </c>
      <c r="AG75">
        <f>IF(AE75=0,"",MIN(1,AF75/AE75))</f>
        <v/>
      </c>
      <c r="AH75">
        <f>IF(OR(AB75=0,AD75=0),"",AC75/AD75-1)</f>
        <v/>
      </c>
      <c r="AI75">
        <f>IF(AB75=0,"",AC75+ROW()/1000000)</f>
        <v/>
      </c>
      <c r="AJ75">
        <f>IF(AG75="","",AG75+ROW()/1000000000)</f>
        <v/>
      </c>
      <c r="AK75">
        <f>IF(AH75="","",AH75+ROW()/1000000000)</f>
        <v/>
      </c>
      <c r="AL75">
        <f>MAX(0,AE75-AF75)</f>
        <v/>
      </c>
      <c r="AM75">
        <f>IF(AND(AL75&gt;0,OR($B$6="*",AA75=$B$6)),ROW(),"")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IF(B76="",0,COUNTIFS(DATA_MIDWEEK!$A:$A,B76,DATA_MIDWEEK!$C:$C,$B$6,DATA_MIDWEEK!$D:$D,$B$7))</f>
        <v/>
      </c>
      <c r="G76">
        <f>IF(F76=0,0,SUMIFS(DATA_MIDWEEK!$E:$E,DATA_MIDWEEK!$A:$A,B76,DATA_MIDWEEK!$C:$C,$B$6,DATA_MIDWEEK!$D:$D,$B$7))</f>
        <v/>
      </c>
      <c r="H76">
        <f>IF(F76=0,0,SUMIFS(DATA_MIDWEEK!$F:$F,DATA_MIDWEEK!$A:$A,B76,DATA_MIDWEEK!$C:$C,$B$6,DATA_MIDWEEK!$D:$D,$B$7))</f>
        <v/>
      </c>
      <c r="I76">
        <f>IF(F76=0,0,SUMIFS(DATA_MIDWEEK!$H:$H,DATA_MIDWEEK!$A:$A,B76,DATA_MIDWEEK!$C:$C,$B$6,DATA_MIDWEEK!$D:$D,$B$7))</f>
        <v/>
      </c>
      <c r="J76">
        <f>G76+H76</f>
        <v/>
      </c>
      <c r="K76">
        <f>J76+I76</f>
        <v/>
      </c>
      <c r="L76">
        <f>IF(F76=0,0,SUMIFS(DATA_MIDWEEK!$J:$J,DATA_MIDWEEK!$A:$A,B76,DATA_MIDWEEK!$C:$C,$B$6,DATA_MIDWEEK!$D:$D,$B$7))</f>
        <v/>
      </c>
      <c r="M76">
        <f>IF(F76=0,0,SUMIFS(DATA_MIDWEEK!$K:$K,DATA_MIDWEEK!$A:$A,B76,DATA_MIDWEEK!$C:$C,$B$6,DATA_MIDWEEK!$D:$D,$B$7))</f>
        <v/>
      </c>
      <c r="N76">
        <f>IF(B76="",0,IF($B$3="Zone",IF(AND($B$17,NOT($B$18)),1,0),MAX(0,SUMIFS(DATA_SERVICE_AREAS!$E:$E,DATA_SERVICE_AREAS!$A:$A,B76,DATA_SERVICE_AREAS!$C:$C,"MIDWEEK",DATA_SERVICE_AREAS!$D:$D,$B$6)-COUNTIFS(MASTER_ZONES!$C:$C,$B$6,MASTER_ZONES!$I:$I,"Y"))))</f>
        <v/>
      </c>
      <c r="O76">
        <f>IF(B76="",0,IF($B$3="Zone",IF(AND($B$17,NOT($B$18),F76&gt;0),1,0),MAX(0,SUMIFS(DATA_SERVICE_AREAS!$F:$F,DATA_SERVICE_AREAS!$A:$A,B76,DATA_SERVICE_AREAS!$C:$C,"MIDWEEK",DATA_SERVICE_AREAS!$D:$D,$B$6)-COUNTIFS(DATA_COMMUNITY!$A:$A,B76,DATA_COMMUNITY!$D:$D,"Midweek",DATA_COMMUNITY!$E:$E,$B$6))))</f>
        <v/>
      </c>
      <c r="P76">
        <f>MAX(0,N76-O76)</f>
        <v/>
      </c>
      <c r="Q76">
        <f>IF(N76=0,0,O76/N76)</f>
        <v/>
      </c>
      <c r="R76">
        <f>IF(O76=0,0,K76/O76)</f>
        <v/>
      </c>
      <c r="S76">
        <f>IF(OR(F76&gt;0,N76&gt;0),1,0)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  <c r="AA76">
        <f>IFERROR(INDEX(MASTER_AREAS!$B:$B,75)&amp;"","")</f>
        <v/>
      </c>
      <c r="AB76">
        <f>IF(OR(AA76="",$B$10=0),0,COUNTIFS(DATA_MIDWEEK!$A:$A,$B$10,DATA_MIDWEEK!$C:$C,AA76))</f>
        <v/>
      </c>
      <c r="AC76">
        <f>IF(AB76=0,0,SUMIFS(DATA_MIDWEEK!$I:$I,DATA_MIDWEEK!$A:$A,$B$10,DATA_MIDWEEK!$C:$C,AA76))</f>
        <v/>
      </c>
      <c r="AD76">
        <f>IF(OR(AA76="",$B$10=0),0,SUMIFS(DATA_MIDWEEK!$I:$I,DATA_MIDWEEK!$A:$A,$B$10-7,DATA_MIDWEEK!$C:$C,AA76))</f>
        <v/>
      </c>
      <c r="AE76">
        <f>IF(OR(AA76="",$B$10=0),0,MAX(0,SUMIFS(DATA_SERVICE_AREAS!$E:$E,DATA_SERVICE_AREAS!$A:$A,$B$10,DATA_SERVICE_AREAS!$C:$C,"MIDWEEK",DATA_SERVICE_AREAS!$D:$D,AA76)-COUNTIFS(MASTER_ZONES!$C:$C,AA76,MASTER_ZONES!$I:$I,"Y")))</f>
        <v/>
      </c>
      <c r="AF76">
        <f>IF(OR(AA76="",$B$10=0),0,MAX(0,SUMIFS(DATA_SERVICE_AREAS!$F:$F,DATA_SERVICE_AREAS!$A:$A,$B$10,DATA_SERVICE_AREAS!$C:$C,"MIDWEEK",DATA_SERVICE_AREAS!$D:$D,AA76)-COUNTIFS(DATA_COMMUNITY!$A:$A,$B$10,DATA_COMMUNITY!$D:$D,"Midweek",DATA_COMMUNITY!$E:$E,AA76)))</f>
        <v/>
      </c>
      <c r="AG76">
        <f>IF(AE76=0,"",MIN(1,AF76/AE76))</f>
        <v/>
      </c>
      <c r="AH76">
        <f>IF(OR(AB76=0,AD76=0),"",AC76/AD76-1)</f>
        <v/>
      </c>
      <c r="AI76">
        <f>IF(AB76=0,"",AC76+ROW()/1000000)</f>
        <v/>
      </c>
      <c r="AJ76">
        <f>IF(AG76="","",AG76+ROW()/1000000000)</f>
        <v/>
      </c>
      <c r="AK76">
        <f>IF(AH76="","",AH76+ROW()/1000000000)</f>
        <v/>
      </c>
      <c r="AL76">
        <f>MAX(0,AE76-AF76)</f>
        <v/>
      </c>
      <c r="AM76">
        <f>IF(AND(AL76&gt;0,OR($B$6="*",AA76=$B$6)),ROW(),"")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IF(B77="",0,COUNTIFS(DATA_MIDWEEK!$A:$A,B77,DATA_MIDWEEK!$C:$C,$B$6,DATA_MIDWEEK!$D:$D,$B$7))</f>
        <v/>
      </c>
      <c r="G77">
        <f>IF(F77=0,0,SUMIFS(DATA_MIDWEEK!$E:$E,DATA_MIDWEEK!$A:$A,B77,DATA_MIDWEEK!$C:$C,$B$6,DATA_MIDWEEK!$D:$D,$B$7))</f>
        <v/>
      </c>
      <c r="H77">
        <f>IF(F77=0,0,SUMIFS(DATA_MIDWEEK!$F:$F,DATA_MIDWEEK!$A:$A,B77,DATA_MIDWEEK!$C:$C,$B$6,DATA_MIDWEEK!$D:$D,$B$7))</f>
        <v/>
      </c>
      <c r="I77">
        <f>IF(F77=0,0,SUMIFS(DATA_MIDWEEK!$H:$H,DATA_MIDWEEK!$A:$A,B77,DATA_MIDWEEK!$C:$C,$B$6,DATA_MIDWEEK!$D:$D,$B$7))</f>
        <v/>
      </c>
      <c r="J77">
        <f>G77+H77</f>
        <v/>
      </c>
      <c r="K77">
        <f>J77+I77</f>
        <v/>
      </c>
      <c r="L77">
        <f>IF(F77=0,0,SUMIFS(DATA_MIDWEEK!$J:$J,DATA_MIDWEEK!$A:$A,B77,DATA_MIDWEEK!$C:$C,$B$6,DATA_MIDWEEK!$D:$D,$B$7))</f>
        <v/>
      </c>
      <c r="M77">
        <f>IF(F77=0,0,SUMIFS(DATA_MIDWEEK!$K:$K,DATA_MIDWEEK!$A:$A,B77,DATA_MIDWEEK!$C:$C,$B$6,DATA_MIDWEEK!$D:$D,$B$7))</f>
        <v/>
      </c>
      <c r="N77">
        <f>IF(B77="",0,IF($B$3="Zone",IF(AND($B$17,NOT($B$18)),1,0),MAX(0,SUMIFS(DATA_SERVICE_AREAS!$E:$E,DATA_SERVICE_AREAS!$A:$A,B77,DATA_SERVICE_AREAS!$C:$C,"MIDWEEK",DATA_SERVICE_AREAS!$D:$D,$B$6)-COUNTIFS(MASTER_ZONES!$C:$C,$B$6,MASTER_ZONES!$I:$I,"Y"))))</f>
        <v/>
      </c>
      <c r="O77">
        <f>IF(B77="",0,IF($B$3="Zone",IF(AND($B$17,NOT($B$18),F77&gt;0),1,0),MAX(0,SUMIFS(DATA_SERVICE_AREAS!$F:$F,DATA_SERVICE_AREAS!$A:$A,B77,DATA_SERVICE_AREAS!$C:$C,"MIDWEEK",DATA_SERVICE_AREAS!$D:$D,$B$6)-COUNTIFS(DATA_COMMUNITY!$A:$A,B77,DATA_COMMUNITY!$D:$D,"Midweek",DATA_COMMUNITY!$E:$E,$B$6))))</f>
        <v/>
      </c>
      <c r="P77">
        <f>MAX(0,N77-O77)</f>
        <v/>
      </c>
      <c r="Q77">
        <f>IF(N77=0,0,O77/N77)</f>
        <v/>
      </c>
      <c r="R77">
        <f>IF(O77=0,0,K77/O77)</f>
        <v/>
      </c>
      <c r="S77">
        <f>IF(OR(F77&gt;0,N77&gt;0),1,0)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  <c r="AA77">
        <f>IFERROR(INDEX(MASTER_AREAS!$B:$B,76)&amp;"","")</f>
        <v/>
      </c>
      <c r="AB77">
        <f>IF(OR(AA77="",$B$10=0),0,COUNTIFS(DATA_MIDWEEK!$A:$A,$B$10,DATA_MIDWEEK!$C:$C,AA77))</f>
        <v/>
      </c>
      <c r="AC77">
        <f>IF(AB77=0,0,SUMIFS(DATA_MIDWEEK!$I:$I,DATA_MIDWEEK!$A:$A,$B$10,DATA_MIDWEEK!$C:$C,AA77))</f>
        <v/>
      </c>
      <c r="AD77">
        <f>IF(OR(AA77="",$B$10=0),0,SUMIFS(DATA_MIDWEEK!$I:$I,DATA_MIDWEEK!$A:$A,$B$10-7,DATA_MIDWEEK!$C:$C,AA77))</f>
        <v/>
      </c>
      <c r="AE77">
        <f>IF(OR(AA77="",$B$10=0),0,MAX(0,SUMIFS(DATA_SERVICE_AREAS!$E:$E,DATA_SERVICE_AREAS!$A:$A,$B$10,DATA_SERVICE_AREAS!$C:$C,"MIDWEEK",DATA_SERVICE_AREAS!$D:$D,AA77)-COUNTIFS(MASTER_ZONES!$C:$C,AA77,MASTER_ZONES!$I:$I,"Y")))</f>
        <v/>
      </c>
      <c r="AF77">
        <f>IF(OR(AA77="",$B$10=0),0,MAX(0,SUMIFS(DATA_SERVICE_AREAS!$F:$F,DATA_SERVICE_AREAS!$A:$A,$B$10,DATA_SERVICE_AREAS!$C:$C,"MIDWEEK",DATA_SERVICE_AREAS!$D:$D,AA77)-COUNTIFS(DATA_COMMUNITY!$A:$A,$B$10,DATA_COMMUNITY!$D:$D,"Midweek",DATA_COMMUNITY!$E:$E,AA77)))</f>
        <v/>
      </c>
      <c r="AG77">
        <f>IF(AE77=0,"",MIN(1,AF77/AE77))</f>
        <v/>
      </c>
      <c r="AH77">
        <f>IF(OR(AB77=0,AD77=0),"",AC77/AD77-1)</f>
        <v/>
      </c>
      <c r="AI77">
        <f>IF(AB77=0,"",AC77+ROW()/1000000)</f>
        <v/>
      </c>
      <c r="AJ77">
        <f>IF(AG77="","",AG77+ROW()/1000000000)</f>
        <v/>
      </c>
      <c r="AK77">
        <f>IF(AH77="","",AH77+ROW()/1000000000)</f>
        <v/>
      </c>
      <c r="AL77">
        <f>MAX(0,AE77-AF77)</f>
        <v/>
      </c>
      <c r="AM77">
        <f>IF(AND(AL77&gt;0,OR($B$6="*",AA77=$B$6)),ROW(),"")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IF(B78="",0,COUNTIFS(DATA_MIDWEEK!$A:$A,B78,DATA_MIDWEEK!$C:$C,$B$6,DATA_MIDWEEK!$D:$D,$B$7))</f>
        <v/>
      </c>
      <c r="G78">
        <f>IF(F78=0,0,SUMIFS(DATA_MIDWEEK!$E:$E,DATA_MIDWEEK!$A:$A,B78,DATA_MIDWEEK!$C:$C,$B$6,DATA_MIDWEEK!$D:$D,$B$7))</f>
        <v/>
      </c>
      <c r="H78">
        <f>IF(F78=0,0,SUMIFS(DATA_MIDWEEK!$F:$F,DATA_MIDWEEK!$A:$A,B78,DATA_MIDWEEK!$C:$C,$B$6,DATA_MIDWEEK!$D:$D,$B$7))</f>
        <v/>
      </c>
      <c r="I78">
        <f>IF(F78=0,0,SUMIFS(DATA_MIDWEEK!$H:$H,DATA_MIDWEEK!$A:$A,B78,DATA_MIDWEEK!$C:$C,$B$6,DATA_MIDWEEK!$D:$D,$B$7))</f>
        <v/>
      </c>
      <c r="J78">
        <f>G78+H78</f>
        <v/>
      </c>
      <c r="K78">
        <f>J78+I78</f>
        <v/>
      </c>
      <c r="L78">
        <f>IF(F78=0,0,SUMIFS(DATA_MIDWEEK!$J:$J,DATA_MIDWEEK!$A:$A,B78,DATA_MIDWEEK!$C:$C,$B$6,DATA_MIDWEEK!$D:$D,$B$7))</f>
        <v/>
      </c>
      <c r="M78">
        <f>IF(F78=0,0,SUMIFS(DATA_MIDWEEK!$K:$K,DATA_MIDWEEK!$A:$A,B78,DATA_MIDWEEK!$C:$C,$B$6,DATA_MIDWEEK!$D:$D,$B$7))</f>
        <v/>
      </c>
      <c r="N78">
        <f>IF(B78="",0,IF($B$3="Zone",IF(AND($B$17,NOT($B$18)),1,0),MAX(0,SUMIFS(DATA_SERVICE_AREAS!$E:$E,DATA_SERVICE_AREAS!$A:$A,B78,DATA_SERVICE_AREAS!$C:$C,"MIDWEEK",DATA_SERVICE_AREAS!$D:$D,$B$6)-COUNTIFS(MASTER_ZONES!$C:$C,$B$6,MASTER_ZONES!$I:$I,"Y"))))</f>
        <v/>
      </c>
      <c r="O78">
        <f>IF(B78="",0,IF($B$3="Zone",IF(AND($B$17,NOT($B$18),F78&gt;0),1,0),MAX(0,SUMIFS(DATA_SERVICE_AREAS!$F:$F,DATA_SERVICE_AREAS!$A:$A,B78,DATA_SERVICE_AREAS!$C:$C,"MIDWEEK",DATA_SERVICE_AREAS!$D:$D,$B$6)-COUNTIFS(DATA_COMMUNITY!$A:$A,B78,DATA_COMMUNITY!$D:$D,"Midweek",DATA_COMMUNITY!$E:$E,$B$6))))</f>
        <v/>
      </c>
      <c r="P78">
        <f>MAX(0,N78-O78)</f>
        <v/>
      </c>
      <c r="Q78">
        <f>IF(N78=0,0,O78/N78)</f>
        <v/>
      </c>
      <c r="R78">
        <f>IF(O78=0,0,K78/O78)</f>
        <v/>
      </c>
      <c r="S78">
        <f>IF(OR(F78&gt;0,N78&gt;0),1,0)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  <c r="AA78">
        <f>IFERROR(INDEX(MASTER_AREAS!$B:$B,77)&amp;"","")</f>
        <v/>
      </c>
      <c r="AB78">
        <f>IF(OR(AA78="",$B$10=0),0,COUNTIFS(DATA_MIDWEEK!$A:$A,$B$10,DATA_MIDWEEK!$C:$C,AA78))</f>
        <v/>
      </c>
      <c r="AC78">
        <f>IF(AB78=0,0,SUMIFS(DATA_MIDWEEK!$I:$I,DATA_MIDWEEK!$A:$A,$B$10,DATA_MIDWEEK!$C:$C,AA78))</f>
        <v/>
      </c>
      <c r="AD78">
        <f>IF(OR(AA78="",$B$10=0),0,SUMIFS(DATA_MIDWEEK!$I:$I,DATA_MIDWEEK!$A:$A,$B$10-7,DATA_MIDWEEK!$C:$C,AA78))</f>
        <v/>
      </c>
      <c r="AE78">
        <f>IF(OR(AA78="",$B$10=0),0,MAX(0,SUMIFS(DATA_SERVICE_AREAS!$E:$E,DATA_SERVICE_AREAS!$A:$A,$B$10,DATA_SERVICE_AREAS!$C:$C,"MIDWEEK",DATA_SERVICE_AREAS!$D:$D,AA78)-COUNTIFS(MASTER_ZONES!$C:$C,AA78,MASTER_ZONES!$I:$I,"Y")))</f>
        <v/>
      </c>
      <c r="AF78">
        <f>IF(OR(AA78="",$B$10=0),0,MAX(0,SUMIFS(DATA_SERVICE_AREAS!$F:$F,DATA_SERVICE_AREAS!$A:$A,$B$10,DATA_SERVICE_AREAS!$C:$C,"MIDWEEK",DATA_SERVICE_AREAS!$D:$D,AA78)-COUNTIFS(DATA_COMMUNITY!$A:$A,$B$10,DATA_COMMUNITY!$D:$D,"Midweek",DATA_COMMUNITY!$E:$E,AA78)))</f>
        <v/>
      </c>
      <c r="AG78">
        <f>IF(AE78=0,"",MIN(1,AF78/AE78))</f>
        <v/>
      </c>
      <c r="AH78">
        <f>IF(OR(AB78=0,AD78=0),"",AC78/AD78-1)</f>
        <v/>
      </c>
      <c r="AI78">
        <f>IF(AB78=0,"",AC78+ROW()/1000000)</f>
        <v/>
      </c>
      <c r="AJ78">
        <f>IF(AG78="","",AG78+ROW()/1000000000)</f>
        <v/>
      </c>
      <c r="AK78">
        <f>IF(AH78="","",AH78+ROW()/1000000000)</f>
        <v/>
      </c>
      <c r="AL78">
        <f>MAX(0,AE78-AF78)</f>
        <v/>
      </c>
      <c r="AM78">
        <f>IF(AND(AL78&gt;0,OR($B$6="*",AA78=$B$6)),ROW(),"")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IF(B79="",0,COUNTIFS(DATA_MIDWEEK!$A:$A,B79,DATA_MIDWEEK!$C:$C,$B$6,DATA_MIDWEEK!$D:$D,$B$7))</f>
        <v/>
      </c>
      <c r="G79">
        <f>IF(F79=0,0,SUMIFS(DATA_MIDWEEK!$E:$E,DATA_MIDWEEK!$A:$A,B79,DATA_MIDWEEK!$C:$C,$B$6,DATA_MIDWEEK!$D:$D,$B$7))</f>
        <v/>
      </c>
      <c r="H79">
        <f>IF(F79=0,0,SUMIFS(DATA_MIDWEEK!$F:$F,DATA_MIDWEEK!$A:$A,B79,DATA_MIDWEEK!$C:$C,$B$6,DATA_MIDWEEK!$D:$D,$B$7))</f>
        <v/>
      </c>
      <c r="I79">
        <f>IF(F79=0,0,SUMIFS(DATA_MIDWEEK!$H:$H,DATA_MIDWEEK!$A:$A,B79,DATA_MIDWEEK!$C:$C,$B$6,DATA_MIDWEEK!$D:$D,$B$7))</f>
        <v/>
      </c>
      <c r="J79">
        <f>G79+H79</f>
        <v/>
      </c>
      <c r="K79">
        <f>J79+I79</f>
        <v/>
      </c>
      <c r="L79">
        <f>IF(F79=0,0,SUMIFS(DATA_MIDWEEK!$J:$J,DATA_MIDWEEK!$A:$A,B79,DATA_MIDWEEK!$C:$C,$B$6,DATA_MIDWEEK!$D:$D,$B$7))</f>
        <v/>
      </c>
      <c r="M79">
        <f>IF(F79=0,0,SUMIFS(DATA_MIDWEEK!$K:$K,DATA_MIDWEEK!$A:$A,B79,DATA_MIDWEEK!$C:$C,$B$6,DATA_MIDWEEK!$D:$D,$B$7))</f>
        <v/>
      </c>
      <c r="N79">
        <f>IF(B79="",0,IF($B$3="Zone",IF(AND($B$17,NOT($B$18)),1,0),MAX(0,SUMIFS(DATA_SERVICE_AREAS!$E:$E,DATA_SERVICE_AREAS!$A:$A,B79,DATA_SERVICE_AREAS!$C:$C,"MIDWEEK",DATA_SERVICE_AREAS!$D:$D,$B$6)-COUNTIFS(MASTER_ZONES!$C:$C,$B$6,MASTER_ZONES!$I:$I,"Y"))))</f>
        <v/>
      </c>
      <c r="O79">
        <f>IF(B79="",0,IF($B$3="Zone",IF(AND($B$17,NOT($B$18),F79&gt;0),1,0),MAX(0,SUMIFS(DATA_SERVICE_AREAS!$F:$F,DATA_SERVICE_AREAS!$A:$A,B79,DATA_SERVICE_AREAS!$C:$C,"MIDWEEK",DATA_SERVICE_AREAS!$D:$D,$B$6)-COUNTIFS(DATA_COMMUNITY!$A:$A,B79,DATA_COMMUNITY!$D:$D,"Midweek",DATA_COMMUNITY!$E:$E,$B$6))))</f>
        <v/>
      </c>
      <c r="P79">
        <f>MAX(0,N79-O79)</f>
        <v/>
      </c>
      <c r="Q79">
        <f>IF(N79=0,0,O79/N79)</f>
        <v/>
      </c>
      <c r="R79">
        <f>IF(O79=0,0,K79/O79)</f>
        <v/>
      </c>
      <c r="S79">
        <f>IF(OR(F79&gt;0,N79&gt;0),1,0)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  <c r="AA79">
        <f>IFERROR(INDEX(MASTER_AREAS!$B:$B,78)&amp;"","")</f>
        <v/>
      </c>
      <c r="AB79">
        <f>IF(OR(AA79="",$B$10=0),0,COUNTIFS(DATA_MIDWEEK!$A:$A,$B$10,DATA_MIDWEEK!$C:$C,AA79))</f>
        <v/>
      </c>
      <c r="AC79">
        <f>IF(AB79=0,0,SUMIFS(DATA_MIDWEEK!$I:$I,DATA_MIDWEEK!$A:$A,$B$10,DATA_MIDWEEK!$C:$C,AA79))</f>
        <v/>
      </c>
      <c r="AD79">
        <f>IF(OR(AA79="",$B$10=0),0,SUMIFS(DATA_MIDWEEK!$I:$I,DATA_MIDWEEK!$A:$A,$B$10-7,DATA_MIDWEEK!$C:$C,AA79))</f>
        <v/>
      </c>
      <c r="AE79">
        <f>IF(OR(AA79="",$B$10=0),0,MAX(0,SUMIFS(DATA_SERVICE_AREAS!$E:$E,DATA_SERVICE_AREAS!$A:$A,$B$10,DATA_SERVICE_AREAS!$C:$C,"MIDWEEK",DATA_SERVICE_AREAS!$D:$D,AA79)-COUNTIFS(MASTER_ZONES!$C:$C,AA79,MASTER_ZONES!$I:$I,"Y")))</f>
        <v/>
      </c>
      <c r="AF79">
        <f>IF(OR(AA79="",$B$10=0),0,MAX(0,SUMIFS(DATA_SERVICE_AREAS!$F:$F,DATA_SERVICE_AREAS!$A:$A,$B$10,DATA_SERVICE_AREAS!$C:$C,"MIDWEEK",DATA_SERVICE_AREAS!$D:$D,AA79)-COUNTIFS(DATA_COMMUNITY!$A:$A,$B$10,DATA_COMMUNITY!$D:$D,"Midweek",DATA_COMMUNITY!$E:$E,AA79)))</f>
        <v/>
      </c>
      <c r="AG79">
        <f>IF(AE79=0,"",MIN(1,AF79/AE79))</f>
        <v/>
      </c>
      <c r="AH79">
        <f>IF(OR(AB79=0,AD79=0),"",AC79/AD79-1)</f>
        <v/>
      </c>
      <c r="AI79">
        <f>IF(AB79=0,"",AC79+ROW()/1000000)</f>
        <v/>
      </c>
      <c r="AJ79">
        <f>IF(AG79="","",AG79+ROW()/1000000000)</f>
        <v/>
      </c>
      <c r="AK79">
        <f>IF(AH79="","",AH79+ROW()/1000000000)</f>
        <v/>
      </c>
      <c r="AL79">
        <f>MAX(0,AE79-AF79)</f>
        <v/>
      </c>
      <c r="AM79">
        <f>IF(AND(AL79&gt;0,OR($B$6="*",AA79=$B$6)),ROW(),"")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IF(B80="",0,COUNTIFS(DATA_MIDWEEK!$A:$A,B80,DATA_MIDWEEK!$C:$C,$B$6,DATA_MIDWEEK!$D:$D,$B$7))</f>
        <v/>
      </c>
      <c r="G80">
        <f>IF(F80=0,0,SUMIFS(DATA_MIDWEEK!$E:$E,DATA_MIDWEEK!$A:$A,B80,DATA_MIDWEEK!$C:$C,$B$6,DATA_MIDWEEK!$D:$D,$B$7))</f>
        <v/>
      </c>
      <c r="H80">
        <f>IF(F80=0,0,SUMIFS(DATA_MIDWEEK!$F:$F,DATA_MIDWEEK!$A:$A,B80,DATA_MIDWEEK!$C:$C,$B$6,DATA_MIDWEEK!$D:$D,$B$7))</f>
        <v/>
      </c>
      <c r="I80">
        <f>IF(F80=0,0,SUMIFS(DATA_MIDWEEK!$H:$H,DATA_MIDWEEK!$A:$A,B80,DATA_MIDWEEK!$C:$C,$B$6,DATA_MIDWEEK!$D:$D,$B$7))</f>
        <v/>
      </c>
      <c r="J80">
        <f>G80+H80</f>
        <v/>
      </c>
      <c r="K80">
        <f>J80+I80</f>
        <v/>
      </c>
      <c r="L80">
        <f>IF(F80=0,0,SUMIFS(DATA_MIDWEEK!$J:$J,DATA_MIDWEEK!$A:$A,B80,DATA_MIDWEEK!$C:$C,$B$6,DATA_MIDWEEK!$D:$D,$B$7))</f>
        <v/>
      </c>
      <c r="M80">
        <f>IF(F80=0,0,SUMIFS(DATA_MIDWEEK!$K:$K,DATA_MIDWEEK!$A:$A,B80,DATA_MIDWEEK!$C:$C,$B$6,DATA_MIDWEEK!$D:$D,$B$7))</f>
        <v/>
      </c>
      <c r="N80">
        <f>IF(B80="",0,IF($B$3="Zone",IF(AND($B$17,NOT($B$18)),1,0),MAX(0,SUMIFS(DATA_SERVICE_AREAS!$E:$E,DATA_SERVICE_AREAS!$A:$A,B80,DATA_SERVICE_AREAS!$C:$C,"MIDWEEK",DATA_SERVICE_AREAS!$D:$D,$B$6)-COUNTIFS(MASTER_ZONES!$C:$C,$B$6,MASTER_ZONES!$I:$I,"Y"))))</f>
        <v/>
      </c>
      <c r="O80">
        <f>IF(B80="",0,IF($B$3="Zone",IF(AND($B$17,NOT($B$18),F80&gt;0),1,0),MAX(0,SUMIFS(DATA_SERVICE_AREAS!$F:$F,DATA_SERVICE_AREAS!$A:$A,B80,DATA_SERVICE_AREAS!$C:$C,"MIDWEEK",DATA_SERVICE_AREAS!$D:$D,$B$6)-COUNTIFS(DATA_COMMUNITY!$A:$A,B80,DATA_COMMUNITY!$D:$D,"Midweek",DATA_COMMUNITY!$E:$E,$B$6))))</f>
        <v/>
      </c>
      <c r="P80">
        <f>MAX(0,N80-O80)</f>
        <v/>
      </c>
      <c r="Q80">
        <f>IF(N80=0,0,O80/N80)</f>
        <v/>
      </c>
      <c r="R80">
        <f>IF(O80=0,0,K80/O80)</f>
        <v/>
      </c>
      <c r="S80">
        <f>IF(OR(F80&gt;0,N80&gt;0),1,0)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  <c r="AA80">
        <f>IFERROR(INDEX(MASTER_AREAS!$B:$B,79)&amp;"","")</f>
        <v/>
      </c>
      <c r="AB80">
        <f>IF(OR(AA80="",$B$10=0),0,COUNTIFS(DATA_MIDWEEK!$A:$A,$B$10,DATA_MIDWEEK!$C:$C,AA80))</f>
        <v/>
      </c>
      <c r="AC80">
        <f>IF(AB80=0,0,SUMIFS(DATA_MIDWEEK!$I:$I,DATA_MIDWEEK!$A:$A,$B$10,DATA_MIDWEEK!$C:$C,AA80))</f>
        <v/>
      </c>
      <c r="AD80">
        <f>IF(OR(AA80="",$B$10=0),0,SUMIFS(DATA_MIDWEEK!$I:$I,DATA_MIDWEEK!$A:$A,$B$10-7,DATA_MIDWEEK!$C:$C,AA80))</f>
        <v/>
      </c>
      <c r="AE80">
        <f>IF(OR(AA80="",$B$10=0),0,MAX(0,SUMIFS(DATA_SERVICE_AREAS!$E:$E,DATA_SERVICE_AREAS!$A:$A,$B$10,DATA_SERVICE_AREAS!$C:$C,"MIDWEEK",DATA_SERVICE_AREAS!$D:$D,AA80)-COUNTIFS(MASTER_ZONES!$C:$C,AA80,MASTER_ZONES!$I:$I,"Y")))</f>
        <v/>
      </c>
      <c r="AF80">
        <f>IF(OR(AA80="",$B$10=0),0,MAX(0,SUMIFS(DATA_SERVICE_AREAS!$F:$F,DATA_SERVICE_AREAS!$A:$A,$B$10,DATA_SERVICE_AREAS!$C:$C,"MIDWEEK",DATA_SERVICE_AREAS!$D:$D,AA80)-COUNTIFS(DATA_COMMUNITY!$A:$A,$B$10,DATA_COMMUNITY!$D:$D,"Midweek",DATA_COMMUNITY!$E:$E,AA80)))</f>
        <v/>
      </c>
      <c r="AG80">
        <f>IF(AE80=0,"",MIN(1,AF80/AE80))</f>
        <v/>
      </c>
      <c r="AH80">
        <f>IF(OR(AB80=0,AD80=0),"",AC80/AD80-1)</f>
        <v/>
      </c>
      <c r="AI80">
        <f>IF(AB80=0,"",AC80+ROW()/1000000)</f>
        <v/>
      </c>
      <c r="AJ80">
        <f>IF(AG80="","",AG80+ROW()/1000000000)</f>
        <v/>
      </c>
      <c r="AK80">
        <f>IF(AH80="","",AH80+ROW()/1000000000)</f>
        <v/>
      </c>
      <c r="AL80">
        <f>MAX(0,AE80-AF80)</f>
        <v/>
      </c>
      <c r="AM80">
        <f>IF(AND(AL80&gt;0,OR($B$6="*",AA80=$B$6)),ROW(),"")</f>
        <v/>
      </c>
    </row>
    <row r="81">
      <c r="AA81">
        <f>IFERROR(INDEX(MASTER_AREAS!$B:$B,80)&amp;"","")</f>
        <v/>
      </c>
      <c r="AB81">
        <f>IF(OR(AA81="",$B$10=0),0,COUNTIFS(DATA_MIDWEEK!$A:$A,$B$10,DATA_MIDWEEK!$C:$C,AA81))</f>
        <v/>
      </c>
      <c r="AC81">
        <f>IF(AB81=0,0,SUMIFS(DATA_MIDWEEK!$I:$I,DATA_MIDWEEK!$A:$A,$B$10,DATA_MIDWEEK!$C:$C,AA81))</f>
        <v/>
      </c>
      <c r="AD81">
        <f>IF(OR(AA81="",$B$10=0),0,SUMIFS(DATA_MIDWEEK!$I:$I,DATA_MIDWEEK!$A:$A,$B$10-7,DATA_MIDWEEK!$C:$C,AA81))</f>
        <v/>
      </c>
      <c r="AE81">
        <f>IF(OR(AA81="",$B$10=0),0,MAX(0,SUMIFS(DATA_SERVICE_AREAS!$E:$E,DATA_SERVICE_AREAS!$A:$A,$B$10,DATA_SERVICE_AREAS!$C:$C,"MIDWEEK",DATA_SERVICE_AREAS!$D:$D,AA81)-COUNTIFS(MASTER_ZONES!$C:$C,AA81,MASTER_ZONES!$I:$I,"Y")))</f>
        <v/>
      </c>
      <c r="AF81">
        <f>IF(OR(AA81="",$B$10=0),0,MAX(0,SUMIFS(DATA_SERVICE_AREAS!$F:$F,DATA_SERVICE_AREAS!$A:$A,$B$10,DATA_SERVICE_AREAS!$C:$C,"MIDWEEK",DATA_SERVICE_AREAS!$D:$D,AA81)-COUNTIFS(DATA_COMMUNITY!$A:$A,$B$10,DATA_COMMUNITY!$D:$D,"Midweek",DATA_COMMUNITY!$E:$E,AA81)))</f>
        <v/>
      </c>
      <c r="AG81">
        <f>IF(AE81=0,"",MIN(1,AF81/AE81))</f>
        <v/>
      </c>
      <c r="AH81">
        <f>IF(OR(AB81=0,AD81=0),"",AC81/AD81-1)</f>
        <v/>
      </c>
      <c r="AI81">
        <f>IF(AB81=0,"",AC81+ROW()/1000000)</f>
        <v/>
      </c>
      <c r="AJ81">
        <f>IF(AG81="","",AG81+ROW()/1000000000)</f>
        <v/>
      </c>
      <c r="AK81">
        <f>IF(AH81="","",AH81+ROW()/1000000000)</f>
        <v/>
      </c>
      <c r="AL81">
        <f>MAX(0,AE81-AF81)</f>
        <v/>
      </c>
      <c r="AM81">
        <f>IF(AND(AL81&gt;0,OR($B$6="*",AA81=$B$6)),ROW(),"")</f>
        <v/>
      </c>
    </row>
    <row r="82">
      <c r="AA82">
        <f>IFERROR(INDEX(MASTER_AREAS!$B:$B,81)&amp;"","")</f>
        <v/>
      </c>
      <c r="AB82">
        <f>IF(OR(AA82="",$B$10=0),0,COUNTIFS(DATA_MIDWEEK!$A:$A,$B$10,DATA_MIDWEEK!$C:$C,AA82))</f>
        <v/>
      </c>
      <c r="AC82">
        <f>IF(AB82=0,0,SUMIFS(DATA_MIDWEEK!$I:$I,DATA_MIDWEEK!$A:$A,$B$10,DATA_MIDWEEK!$C:$C,AA82))</f>
        <v/>
      </c>
      <c r="AD82">
        <f>IF(OR(AA82="",$B$10=0),0,SUMIFS(DATA_MIDWEEK!$I:$I,DATA_MIDWEEK!$A:$A,$B$10-7,DATA_MIDWEEK!$C:$C,AA82))</f>
        <v/>
      </c>
      <c r="AE82">
        <f>IF(OR(AA82="",$B$10=0),0,MAX(0,SUMIFS(DATA_SERVICE_AREAS!$E:$E,DATA_SERVICE_AREAS!$A:$A,$B$10,DATA_SERVICE_AREAS!$C:$C,"MIDWEEK",DATA_SERVICE_AREAS!$D:$D,AA82)-COUNTIFS(MASTER_ZONES!$C:$C,AA82,MASTER_ZONES!$I:$I,"Y")))</f>
        <v/>
      </c>
      <c r="AF82">
        <f>IF(OR(AA82="",$B$10=0),0,MAX(0,SUMIFS(DATA_SERVICE_AREAS!$F:$F,DATA_SERVICE_AREAS!$A:$A,$B$10,DATA_SERVICE_AREAS!$C:$C,"MIDWEEK",DATA_SERVICE_AREAS!$D:$D,AA82)-COUNTIFS(DATA_COMMUNITY!$A:$A,$B$10,DATA_COMMUNITY!$D:$D,"Midweek",DATA_COMMUNITY!$E:$E,AA82)))</f>
        <v/>
      </c>
      <c r="AG82">
        <f>IF(AE82=0,"",MIN(1,AF82/AE82))</f>
        <v/>
      </c>
      <c r="AH82">
        <f>IF(OR(AB82=0,AD82=0),"",AC82/AD82-1)</f>
        <v/>
      </c>
      <c r="AI82">
        <f>IF(AB82=0,"",AC82+ROW()/1000000)</f>
        <v/>
      </c>
      <c r="AJ82">
        <f>IF(AG82="","",AG82+ROW()/1000000000)</f>
        <v/>
      </c>
      <c r="AK82">
        <f>IF(AH82="","",AH82+ROW()/1000000000)</f>
        <v/>
      </c>
      <c r="AL82">
        <f>MAX(0,AE82-AF82)</f>
        <v/>
      </c>
      <c r="AM82">
        <f>IF(AND(AL82&gt;0,OR($B$6="*",AA82=$B$6)),ROW(),"")</f>
        <v/>
      </c>
    </row>
    <row r="83">
      <c r="AA83">
        <f>IFERROR(INDEX(MASTER_AREAS!$B:$B,82)&amp;"","")</f>
        <v/>
      </c>
      <c r="AB83">
        <f>IF(OR(AA83="",$B$10=0),0,COUNTIFS(DATA_MIDWEEK!$A:$A,$B$10,DATA_MIDWEEK!$C:$C,AA83))</f>
        <v/>
      </c>
      <c r="AC83">
        <f>IF(AB83=0,0,SUMIFS(DATA_MIDWEEK!$I:$I,DATA_MIDWEEK!$A:$A,$B$10,DATA_MIDWEEK!$C:$C,AA83))</f>
        <v/>
      </c>
      <c r="AD83">
        <f>IF(OR(AA83="",$B$10=0),0,SUMIFS(DATA_MIDWEEK!$I:$I,DATA_MIDWEEK!$A:$A,$B$10-7,DATA_MIDWEEK!$C:$C,AA83))</f>
        <v/>
      </c>
      <c r="AE83">
        <f>IF(OR(AA83="",$B$10=0),0,MAX(0,SUMIFS(DATA_SERVICE_AREAS!$E:$E,DATA_SERVICE_AREAS!$A:$A,$B$10,DATA_SERVICE_AREAS!$C:$C,"MIDWEEK",DATA_SERVICE_AREAS!$D:$D,AA83)-COUNTIFS(MASTER_ZONES!$C:$C,AA83,MASTER_ZONES!$I:$I,"Y")))</f>
        <v/>
      </c>
      <c r="AF83">
        <f>IF(OR(AA83="",$B$10=0),0,MAX(0,SUMIFS(DATA_SERVICE_AREAS!$F:$F,DATA_SERVICE_AREAS!$A:$A,$B$10,DATA_SERVICE_AREAS!$C:$C,"MIDWEEK",DATA_SERVICE_AREAS!$D:$D,AA83)-COUNTIFS(DATA_COMMUNITY!$A:$A,$B$10,DATA_COMMUNITY!$D:$D,"Midweek",DATA_COMMUNITY!$E:$E,AA83)))</f>
        <v/>
      </c>
      <c r="AG83">
        <f>IF(AE83=0,"",MIN(1,AF83/AE83))</f>
        <v/>
      </c>
      <c r="AH83">
        <f>IF(OR(AB83=0,AD83=0),"",AC83/AD83-1)</f>
        <v/>
      </c>
      <c r="AI83">
        <f>IF(AB83=0,"",AC83+ROW()/1000000)</f>
        <v/>
      </c>
      <c r="AJ83">
        <f>IF(AG83="","",AG83+ROW()/1000000000)</f>
        <v/>
      </c>
      <c r="AK83">
        <f>IF(AH83="","",AH83+ROW()/1000000000)</f>
        <v/>
      </c>
      <c r="AL83">
        <f>MAX(0,AE83-AF83)</f>
        <v/>
      </c>
      <c r="AM83">
        <f>IF(AND(AL83&gt;0,OR($B$6="*",AA83=$B$6)),ROW(),"")</f>
        <v/>
      </c>
    </row>
    <row r="84">
      <c r="AA84">
        <f>IFERROR(INDEX(MASTER_AREAS!$B:$B,83)&amp;"","")</f>
        <v/>
      </c>
      <c r="AB84">
        <f>IF(OR(AA84="",$B$10=0),0,COUNTIFS(DATA_MIDWEEK!$A:$A,$B$10,DATA_MIDWEEK!$C:$C,AA84))</f>
        <v/>
      </c>
      <c r="AC84">
        <f>IF(AB84=0,0,SUMIFS(DATA_MIDWEEK!$I:$I,DATA_MIDWEEK!$A:$A,$B$10,DATA_MIDWEEK!$C:$C,AA84))</f>
        <v/>
      </c>
      <c r="AD84">
        <f>IF(OR(AA84="",$B$10=0),0,SUMIFS(DATA_MIDWEEK!$I:$I,DATA_MIDWEEK!$A:$A,$B$10-7,DATA_MIDWEEK!$C:$C,AA84))</f>
        <v/>
      </c>
      <c r="AE84">
        <f>IF(OR(AA84="",$B$10=0),0,MAX(0,SUMIFS(DATA_SERVICE_AREAS!$E:$E,DATA_SERVICE_AREAS!$A:$A,$B$10,DATA_SERVICE_AREAS!$C:$C,"MIDWEEK",DATA_SERVICE_AREAS!$D:$D,AA84)-COUNTIFS(MASTER_ZONES!$C:$C,AA84,MASTER_ZONES!$I:$I,"Y")))</f>
        <v/>
      </c>
      <c r="AF84">
        <f>IF(OR(AA84="",$B$10=0),0,MAX(0,SUMIFS(DATA_SERVICE_AREAS!$F:$F,DATA_SERVICE_AREAS!$A:$A,$B$10,DATA_SERVICE_AREAS!$C:$C,"MIDWEEK",DATA_SERVICE_AREAS!$D:$D,AA84)-COUNTIFS(DATA_COMMUNITY!$A:$A,$B$10,DATA_COMMUNITY!$D:$D,"Midweek",DATA_COMMUNITY!$E:$E,AA84)))</f>
        <v/>
      </c>
      <c r="AG84">
        <f>IF(AE84=0,"",MIN(1,AF84/AE84))</f>
        <v/>
      </c>
      <c r="AH84">
        <f>IF(OR(AB84=0,AD84=0),"",AC84/AD84-1)</f>
        <v/>
      </c>
      <c r="AI84">
        <f>IF(AB84=0,"",AC84+ROW()/1000000)</f>
        <v/>
      </c>
      <c r="AJ84">
        <f>IF(AG84="","",AG84+ROW()/1000000000)</f>
        <v/>
      </c>
      <c r="AK84">
        <f>IF(AH84="","",AH84+ROW()/1000000000)</f>
        <v/>
      </c>
      <c r="AL84">
        <f>MAX(0,AE84-AF84)</f>
        <v/>
      </c>
      <c r="AM84">
        <f>IF(AND(AL84&gt;0,OR($B$6="*",AA84=$B$6)),ROW(),"")</f>
        <v/>
      </c>
    </row>
    <row r="85">
      <c r="AA85">
        <f>IFERROR(INDEX(MASTER_AREAS!$B:$B,84)&amp;"","")</f>
        <v/>
      </c>
      <c r="AB85">
        <f>IF(OR(AA85="",$B$10=0),0,COUNTIFS(DATA_MIDWEEK!$A:$A,$B$10,DATA_MIDWEEK!$C:$C,AA85))</f>
        <v/>
      </c>
      <c r="AC85">
        <f>IF(AB85=0,0,SUMIFS(DATA_MIDWEEK!$I:$I,DATA_MIDWEEK!$A:$A,$B$10,DATA_MIDWEEK!$C:$C,AA85))</f>
        <v/>
      </c>
      <c r="AD85">
        <f>IF(OR(AA85="",$B$10=0),0,SUMIFS(DATA_MIDWEEK!$I:$I,DATA_MIDWEEK!$A:$A,$B$10-7,DATA_MIDWEEK!$C:$C,AA85))</f>
        <v/>
      </c>
      <c r="AE85">
        <f>IF(OR(AA85="",$B$10=0),0,MAX(0,SUMIFS(DATA_SERVICE_AREAS!$E:$E,DATA_SERVICE_AREAS!$A:$A,$B$10,DATA_SERVICE_AREAS!$C:$C,"MIDWEEK",DATA_SERVICE_AREAS!$D:$D,AA85)-COUNTIFS(MASTER_ZONES!$C:$C,AA85,MASTER_ZONES!$I:$I,"Y")))</f>
        <v/>
      </c>
      <c r="AF85">
        <f>IF(OR(AA85="",$B$10=0),0,MAX(0,SUMIFS(DATA_SERVICE_AREAS!$F:$F,DATA_SERVICE_AREAS!$A:$A,$B$10,DATA_SERVICE_AREAS!$C:$C,"MIDWEEK",DATA_SERVICE_AREAS!$D:$D,AA85)-COUNTIFS(DATA_COMMUNITY!$A:$A,$B$10,DATA_COMMUNITY!$D:$D,"Midweek",DATA_COMMUNITY!$E:$E,AA85)))</f>
        <v/>
      </c>
      <c r="AG85">
        <f>IF(AE85=0,"",MIN(1,AF85/AE85))</f>
        <v/>
      </c>
      <c r="AH85">
        <f>IF(OR(AB85=0,AD85=0),"",AC85/AD85-1)</f>
        <v/>
      </c>
      <c r="AI85">
        <f>IF(AB85=0,"",AC85+ROW()/1000000)</f>
        <v/>
      </c>
      <c r="AJ85">
        <f>IF(AG85="","",AG85+ROW()/1000000000)</f>
        <v/>
      </c>
      <c r="AK85">
        <f>IF(AH85="","",AH85+ROW()/1000000000)</f>
        <v/>
      </c>
      <c r="AL85">
        <f>MAX(0,AE85-AF85)</f>
        <v/>
      </c>
      <c r="AM85">
        <f>IF(AND(AL85&gt;0,OR($B$6="*",AA85=$B$6)),ROW(),"")</f>
        <v/>
      </c>
    </row>
    <row r="86">
      <c r="AA86">
        <f>IFERROR(INDEX(MASTER_AREAS!$B:$B,85)&amp;"","")</f>
        <v/>
      </c>
      <c r="AB86">
        <f>IF(OR(AA86="",$B$10=0),0,COUNTIFS(DATA_MIDWEEK!$A:$A,$B$10,DATA_MIDWEEK!$C:$C,AA86))</f>
        <v/>
      </c>
      <c r="AC86">
        <f>IF(AB86=0,0,SUMIFS(DATA_MIDWEEK!$I:$I,DATA_MIDWEEK!$A:$A,$B$10,DATA_MIDWEEK!$C:$C,AA86))</f>
        <v/>
      </c>
      <c r="AD86">
        <f>IF(OR(AA86="",$B$10=0),0,SUMIFS(DATA_MIDWEEK!$I:$I,DATA_MIDWEEK!$A:$A,$B$10-7,DATA_MIDWEEK!$C:$C,AA86))</f>
        <v/>
      </c>
      <c r="AE86">
        <f>IF(OR(AA86="",$B$10=0),0,MAX(0,SUMIFS(DATA_SERVICE_AREAS!$E:$E,DATA_SERVICE_AREAS!$A:$A,$B$10,DATA_SERVICE_AREAS!$C:$C,"MIDWEEK",DATA_SERVICE_AREAS!$D:$D,AA86)-COUNTIFS(MASTER_ZONES!$C:$C,AA86,MASTER_ZONES!$I:$I,"Y")))</f>
        <v/>
      </c>
      <c r="AF86">
        <f>IF(OR(AA86="",$B$10=0),0,MAX(0,SUMIFS(DATA_SERVICE_AREAS!$F:$F,DATA_SERVICE_AREAS!$A:$A,$B$10,DATA_SERVICE_AREAS!$C:$C,"MIDWEEK",DATA_SERVICE_AREAS!$D:$D,AA86)-COUNTIFS(DATA_COMMUNITY!$A:$A,$B$10,DATA_COMMUNITY!$D:$D,"Midweek",DATA_COMMUNITY!$E:$E,AA86)))</f>
        <v/>
      </c>
      <c r="AG86">
        <f>IF(AE86=0,"",MIN(1,AF86/AE86))</f>
        <v/>
      </c>
      <c r="AH86">
        <f>IF(OR(AB86=0,AD86=0),"",AC86/AD86-1)</f>
        <v/>
      </c>
      <c r="AI86">
        <f>IF(AB86=0,"",AC86+ROW()/1000000)</f>
        <v/>
      </c>
      <c r="AJ86">
        <f>IF(AG86="","",AG86+ROW()/1000000000)</f>
        <v/>
      </c>
      <c r="AK86">
        <f>IF(AH86="","",AH86+ROW()/1000000000)</f>
        <v/>
      </c>
      <c r="AL86">
        <f>MAX(0,AE86-AF86)</f>
        <v/>
      </c>
      <c r="AM86">
        <f>IF(AND(AL86&gt;0,OR($B$6="*",AA86=$B$6)),ROW(),"")</f>
        <v/>
      </c>
    </row>
    <row r="87">
      <c r="AA87">
        <f>IFERROR(INDEX(MASTER_AREAS!$B:$B,86)&amp;"","")</f>
        <v/>
      </c>
      <c r="AB87">
        <f>IF(OR(AA87="",$B$10=0),0,COUNTIFS(DATA_MIDWEEK!$A:$A,$B$10,DATA_MIDWEEK!$C:$C,AA87))</f>
        <v/>
      </c>
      <c r="AC87">
        <f>IF(AB87=0,0,SUMIFS(DATA_MIDWEEK!$I:$I,DATA_MIDWEEK!$A:$A,$B$10,DATA_MIDWEEK!$C:$C,AA87))</f>
        <v/>
      </c>
      <c r="AD87">
        <f>IF(OR(AA87="",$B$10=0),0,SUMIFS(DATA_MIDWEEK!$I:$I,DATA_MIDWEEK!$A:$A,$B$10-7,DATA_MIDWEEK!$C:$C,AA87))</f>
        <v/>
      </c>
      <c r="AE87">
        <f>IF(OR(AA87="",$B$10=0),0,MAX(0,SUMIFS(DATA_SERVICE_AREAS!$E:$E,DATA_SERVICE_AREAS!$A:$A,$B$10,DATA_SERVICE_AREAS!$C:$C,"MIDWEEK",DATA_SERVICE_AREAS!$D:$D,AA87)-COUNTIFS(MASTER_ZONES!$C:$C,AA87,MASTER_ZONES!$I:$I,"Y")))</f>
        <v/>
      </c>
      <c r="AF87">
        <f>IF(OR(AA87="",$B$10=0),0,MAX(0,SUMIFS(DATA_SERVICE_AREAS!$F:$F,DATA_SERVICE_AREAS!$A:$A,$B$10,DATA_SERVICE_AREAS!$C:$C,"MIDWEEK",DATA_SERVICE_AREAS!$D:$D,AA87)-COUNTIFS(DATA_COMMUNITY!$A:$A,$B$10,DATA_COMMUNITY!$D:$D,"Midweek",DATA_COMMUNITY!$E:$E,AA87)))</f>
        <v/>
      </c>
      <c r="AG87">
        <f>IF(AE87=0,"",MIN(1,AF87/AE87))</f>
        <v/>
      </c>
      <c r="AH87">
        <f>IF(OR(AB87=0,AD87=0),"",AC87/AD87-1)</f>
        <v/>
      </c>
      <c r="AI87">
        <f>IF(AB87=0,"",AC87+ROW()/1000000)</f>
        <v/>
      </c>
      <c r="AJ87">
        <f>IF(AG87="","",AG87+ROW()/1000000000)</f>
        <v/>
      </c>
      <c r="AK87">
        <f>IF(AH87="","",AH87+ROW()/1000000000)</f>
        <v/>
      </c>
      <c r="AL87">
        <f>MAX(0,AE87-AF87)</f>
        <v/>
      </c>
      <c r="AM87">
        <f>IF(AND(AL87&gt;0,OR($B$6="*",AA87=$B$6)),ROW(),"")</f>
        <v/>
      </c>
    </row>
    <row r="88">
      <c r="AA88">
        <f>IFERROR(INDEX(MASTER_AREAS!$B:$B,87)&amp;"","")</f>
        <v/>
      </c>
      <c r="AB88">
        <f>IF(OR(AA88="",$B$10=0),0,COUNTIFS(DATA_MIDWEEK!$A:$A,$B$10,DATA_MIDWEEK!$C:$C,AA88))</f>
        <v/>
      </c>
      <c r="AC88">
        <f>IF(AB88=0,0,SUMIFS(DATA_MIDWEEK!$I:$I,DATA_MIDWEEK!$A:$A,$B$10,DATA_MIDWEEK!$C:$C,AA88))</f>
        <v/>
      </c>
      <c r="AD88">
        <f>IF(OR(AA88="",$B$10=0),0,SUMIFS(DATA_MIDWEEK!$I:$I,DATA_MIDWEEK!$A:$A,$B$10-7,DATA_MIDWEEK!$C:$C,AA88))</f>
        <v/>
      </c>
      <c r="AE88">
        <f>IF(OR(AA88="",$B$10=0),0,MAX(0,SUMIFS(DATA_SERVICE_AREAS!$E:$E,DATA_SERVICE_AREAS!$A:$A,$B$10,DATA_SERVICE_AREAS!$C:$C,"MIDWEEK",DATA_SERVICE_AREAS!$D:$D,AA88)-COUNTIFS(MASTER_ZONES!$C:$C,AA88,MASTER_ZONES!$I:$I,"Y")))</f>
        <v/>
      </c>
      <c r="AF88">
        <f>IF(OR(AA88="",$B$10=0),0,MAX(0,SUMIFS(DATA_SERVICE_AREAS!$F:$F,DATA_SERVICE_AREAS!$A:$A,$B$10,DATA_SERVICE_AREAS!$C:$C,"MIDWEEK",DATA_SERVICE_AREAS!$D:$D,AA88)-COUNTIFS(DATA_COMMUNITY!$A:$A,$B$10,DATA_COMMUNITY!$D:$D,"Midweek",DATA_COMMUNITY!$E:$E,AA88)))</f>
        <v/>
      </c>
      <c r="AG88">
        <f>IF(AE88=0,"",MIN(1,AF88/AE88))</f>
        <v/>
      </c>
      <c r="AH88">
        <f>IF(OR(AB88=0,AD88=0),"",AC88/AD88-1)</f>
        <v/>
      </c>
      <c r="AI88">
        <f>IF(AB88=0,"",AC88+ROW()/1000000)</f>
        <v/>
      </c>
      <c r="AJ88">
        <f>IF(AG88="","",AG88+ROW()/1000000000)</f>
        <v/>
      </c>
      <c r="AK88">
        <f>IF(AH88="","",AH88+ROW()/1000000000)</f>
        <v/>
      </c>
      <c r="AL88">
        <f>MAX(0,AE88-AF88)</f>
        <v/>
      </c>
      <c r="AM88">
        <f>IF(AND(AL88&gt;0,OR($B$6="*",AA88=$B$6)),ROW(),"")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A89">
        <f>IFERROR(INDEX(MASTER_AREAS!$B:$B,88)&amp;"","")</f>
        <v/>
      </c>
      <c r="AB89">
        <f>IF(OR(AA89="",$B$10=0),0,COUNTIFS(DATA_MIDWEEK!$A:$A,$B$10,DATA_MIDWEEK!$C:$C,AA89))</f>
        <v/>
      </c>
      <c r="AC89">
        <f>IF(AB89=0,0,SUMIFS(DATA_MIDWEEK!$I:$I,DATA_MIDWEEK!$A:$A,$B$10,DATA_MIDWEEK!$C:$C,AA89))</f>
        <v/>
      </c>
      <c r="AD89">
        <f>IF(OR(AA89="",$B$10=0),0,SUMIFS(DATA_MIDWEEK!$I:$I,DATA_MIDWEEK!$A:$A,$B$10-7,DATA_MIDWEEK!$C:$C,AA89))</f>
        <v/>
      </c>
      <c r="AE89">
        <f>IF(OR(AA89="",$B$10=0),0,MAX(0,SUMIFS(DATA_SERVICE_AREAS!$E:$E,DATA_SERVICE_AREAS!$A:$A,$B$10,DATA_SERVICE_AREAS!$C:$C,"MIDWEEK",DATA_SERVICE_AREAS!$D:$D,AA89)-COUNTIFS(MASTER_ZONES!$C:$C,AA89,MASTER_ZONES!$I:$I,"Y")))</f>
        <v/>
      </c>
      <c r="AF89">
        <f>IF(OR(AA89="",$B$10=0),0,MAX(0,SUMIFS(DATA_SERVICE_AREAS!$F:$F,DATA_SERVICE_AREAS!$A:$A,$B$10,DATA_SERVICE_AREAS!$C:$C,"MIDWEEK",DATA_SERVICE_AREAS!$D:$D,AA89)-COUNTIFS(DATA_COMMUNITY!$A:$A,$B$10,DATA_COMMUNITY!$D:$D,"Midweek",DATA_COMMUNITY!$E:$E,AA89)))</f>
        <v/>
      </c>
      <c r="AG89">
        <f>IF(AE89=0,"",MIN(1,AF89/AE89))</f>
        <v/>
      </c>
      <c r="AH89">
        <f>IF(OR(AB89=0,AD89=0),"",AC89/AD89-1)</f>
        <v/>
      </c>
      <c r="AI89">
        <f>IF(AB89=0,"",AC89+ROW()/1000000)</f>
        <v/>
      </c>
      <c r="AJ89">
        <f>IF(AG89="","",AG89+ROW()/1000000000)</f>
        <v/>
      </c>
      <c r="AK89">
        <f>IF(AH89="","",AH89+ROW()/1000000000)</f>
        <v/>
      </c>
      <c r="AL89">
        <f>MAX(0,AE89-AF89)</f>
        <v/>
      </c>
      <c r="AM89">
        <f>IF(AND(AL89&gt;0,OR($B$6="*",AA89=$B$6)),ROW(),"")</f>
        <v/>
      </c>
    </row>
    <row r="90">
      <c r="A90" t="inlineStr">
        <is>
          <t>Grand total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  <c r="AA90">
        <f>IFERROR(INDEX(MASTER_AREAS!$B:$B,89)&amp;"","")</f>
        <v/>
      </c>
      <c r="AB90">
        <f>IF(OR(AA90="",$B$10=0),0,COUNTIFS(DATA_MIDWEEK!$A:$A,$B$10,DATA_MIDWEEK!$C:$C,AA90))</f>
        <v/>
      </c>
      <c r="AC90">
        <f>IF(AB90=0,0,SUMIFS(DATA_MIDWEEK!$I:$I,DATA_MIDWEEK!$A:$A,$B$10,DATA_MIDWEEK!$C:$C,AA90))</f>
        <v/>
      </c>
      <c r="AD90">
        <f>IF(OR(AA90="",$B$10=0),0,SUMIFS(DATA_MIDWEEK!$I:$I,DATA_MIDWEEK!$A:$A,$B$10-7,DATA_MIDWEEK!$C:$C,AA90))</f>
        <v/>
      </c>
      <c r="AE90">
        <f>IF(OR(AA90="",$B$10=0),0,MAX(0,SUMIFS(DATA_SERVICE_AREAS!$E:$E,DATA_SERVICE_AREAS!$A:$A,$B$10,DATA_SERVICE_AREAS!$C:$C,"MIDWEEK",DATA_SERVICE_AREAS!$D:$D,AA90)-COUNTIFS(MASTER_ZONES!$C:$C,AA90,MASTER_ZONES!$I:$I,"Y")))</f>
        <v/>
      </c>
      <c r="AF90">
        <f>IF(OR(AA90="",$B$10=0),0,MAX(0,SUMIFS(DATA_SERVICE_AREAS!$F:$F,DATA_SERVICE_AREAS!$A:$A,$B$10,DATA_SERVICE_AREAS!$C:$C,"MIDWEEK",DATA_SERVICE_AREAS!$D:$D,AA90)-COUNTIFS(DATA_COMMUNITY!$A:$A,$B$10,DATA_COMMUNITY!$D:$D,"Midweek",DATA_COMMUNITY!$E:$E,AA90)))</f>
        <v/>
      </c>
      <c r="AG90">
        <f>IF(AE90=0,"",MIN(1,AF90/AE90))</f>
        <v/>
      </c>
      <c r="AH90">
        <f>IF(OR(AB90=0,AD90=0),"",AC90/AD90-1)</f>
        <v/>
      </c>
      <c r="AI90">
        <f>IF(AB90=0,"",AC90+ROW()/1000000)</f>
        <v/>
      </c>
      <c r="AJ90">
        <f>IF(AG90="","",AG90+ROW()/1000000000)</f>
        <v/>
      </c>
      <c r="AK90">
        <f>IF(AH90="","",AH90+ROW()/1000000000)</f>
        <v/>
      </c>
      <c r="AL90">
        <f>MAX(0,AE90-AF90)</f>
        <v/>
      </c>
      <c r="AM90">
        <f>IF(AND(AL90&gt;0,OR($B$6="*",AA90=$B$6)),ROW(),"")</f>
        <v/>
      </c>
    </row>
    <row r="91">
      <c r="A91" t="inlineStr">
        <is>
          <t>Adult total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  <c r="AA91">
        <f>IFERROR(INDEX(MASTER_AREAS!$B:$B,90)&amp;"","")</f>
        <v/>
      </c>
      <c r="AB91">
        <f>IF(OR(AA91="",$B$10=0),0,COUNTIFS(DATA_MIDWEEK!$A:$A,$B$10,DATA_MIDWEEK!$C:$C,AA91))</f>
        <v/>
      </c>
      <c r="AC91">
        <f>IF(AB91=0,0,SUMIFS(DATA_MIDWEEK!$I:$I,DATA_MIDWEEK!$A:$A,$B$10,DATA_MIDWEEK!$C:$C,AA91))</f>
        <v/>
      </c>
      <c r="AD91">
        <f>IF(OR(AA91="",$B$10=0),0,SUMIFS(DATA_MIDWEEK!$I:$I,DATA_MIDWEEK!$A:$A,$B$10-7,DATA_MIDWEEK!$C:$C,AA91))</f>
        <v/>
      </c>
      <c r="AE91">
        <f>IF(OR(AA91="",$B$10=0),0,MAX(0,SUMIFS(DATA_SERVICE_AREAS!$E:$E,DATA_SERVICE_AREAS!$A:$A,$B$10,DATA_SERVICE_AREAS!$C:$C,"MIDWEEK",DATA_SERVICE_AREAS!$D:$D,AA91)-COUNTIFS(MASTER_ZONES!$C:$C,AA91,MASTER_ZONES!$I:$I,"Y")))</f>
        <v/>
      </c>
      <c r="AF91">
        <f>IF(OR(AA91="",$B$10=0),0,MAX(0,SUMIFS(DATA_SERVICE_AREAS!$F:$F,DATA_SERVICE_AREAS!$A:$A,$B$10,DATA_SERVICE_AREAS!$C:$C,"MIDWEEK",DATA_SERVICE_AREAS!$D:$D,AA91)-COUNTIFS(DATA_COMMUNITY!$A:$A,$B$10,DATA_COMMUNITY!$D:$D,"Midweek",DATA_COMMUNITY!$E:$E,AA91)))</f>
        <v/>
      </c>
      <c r="AG91">
        <f>IF(AE91=0,"",MIN(1,AF91/AE91))</f>
        <v/>
      </c>
      <c r="AH91">
        <f>IF(OR(AB91=0,AD91=0),"",AC91/AD91-1)</f>
        <v/>
      </c>
      <c r="AI91">
        <f>IF(AB91=0,"",AC91+ROW()/1000000)</f>
        <v/>
      </c>
      <c r="AJ91">
        <f>IF(AG91="","",AG91+ROW()/1000000000)</f>
        <v/>
      </c>
      <c r="AK91">
        <f>IF(AH91="","",AH91+ROW()/1000000000)</f>
        <v/>
      </c>
      <c r="AL91">
        <f>MAX(0,AE91-AF91)</f>
        <v/>
      </c>
      <c r="AM91">
        <f>IF(AND(AL91&gt;0,OR($B$6="*",AA91=$B$6)),ROW(),"")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  <c r="AA92">
        <f>IFERROR(INDEX(MASTER_AREAS!$B:$B,91)&amp;"","")</f>
        <v/>
      </c>
      <c r="AB92">
        <f>IF(OR(AA92="",$B$10=0),0,COUNTIFS(DATA_MIDWEEK!$A:$A,$B$10,DATA_MIDWEEK!$C:$C,AA92))</f>
        <v/>
      </c>
      <c r="AC92">
        <f>IF(AB92=0,0,SUMIFS(DATA_MIDWEEK!$I:$I,DATA_MIDWEEK!$A:$A,$B$10,DATA_MIDWEEK!$C:$C,AA92))</f>
        <v/>
      </c>
      <c r="AD92">
        <f>IF(OR(AA92="",$B$10=0),0,SUMIFS(DATA_MIDWEEK!$I:$I,DATA_MIDWEEK!$A:$A,$B$10-7,DATA_MIDWEEK!$C:$C,AA92))</f>
        <v/>
      </c>
      <c r="AE92">
        <f>IF(OR(AA92="",$B$10=0),0,MAX(0,SUMIFS(DATA_SERVICE_AREAS!$E:$E,DATA_SERVICE_AREAS!$A:$A,$B$10,DATA_SERVICE_AREAS!$C:$C,"MIDWEEK",DATA_SERVICE_AREAS!$D:$D,AA92)-COUNTIFS(MASTER_ZONES!$C:$C,AA92,MASTER_ZONES!$I:$I,"Y")))</f>
        <v/>
      </c>
      <c r="AF92">
        <f>IF(OR(AA92="",$B$10=0),0,MAX(0,SUMIFS(DATA_SERVICE_AREAS!$F:$F,DATA_SERVICE_AREAS!$A:$A,$B$10,DATA_SERVICE_AREAS!$C:$C,"MIDWEEK",DATA_SERVICE_AREAS!$D:$D,AA92)-COUNTIFS(DATA_COMMUNITY!$A:$A,$B$10,DATA_COMMUNITY!$D:$D,"Midweek",DATA_COMMUNITY!$E:$E,AA92)))</f>
        <v/>
      </c>
      <c r="AG92">
        <f>IF(AE92=0,"",MIN(1,AF92/AE92))</f>
        <v/>
      </c>
      <c r="AH92">
        <f>IF(OR(AB92=0,AD92=0),"",AC92/AD92-1)</f>
        <v/>
      </c>
      <c r="AI92">
        <f>IF(AB92=0,"",AC92+ROW()/1000000)</f>
        <v/>
      </c>
      <c r="AJ92">
        <f>IF(AG92="","",AG92+ROW()/1000000000)</f>
        <v/>
      </c>
      <c r="AK92">
        <f>IF(AH92="","",AH92+ROW()/1000000000)</f>
        <v/>
      </c>
      <c r="AL92">
        <f>MAX(0,AE92-AF92)</f>
        <v/>
      </c>
      <c r="AM92">
        <f>IF(AND(AL92&gt;0,OR($B$6="*",AA92=$B$6)),ROW(),"")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  <c r="AA93">
        <f>IFERROR(INDEX(MASTER_AREAS!$B:$B,92)&amp;"","")</f>
        <v/>
      </c>
      <c r="AB93">
        <f>IF(OR(AA93="",$B$10=0),0,COUNTIFS(DATA_MIDWEEK!$A:$A,$B$10,DATA_MIDWEEK!$C:$C,AA93))</f>
        <v/>
      </c>
      <c r="AC93">
        <f>IF(AB93=0,0,SUMIFS(DATA_MIDWEEK!$I:$I,DATA_MIDWEEK!$A:$A,$B$10,DATA_MIDWEEK!$C:$C,AA93))</f>
        <v/>
      </c>
      <c r="AD93">
        <f>IF(OR(AA93="",$B$10=0),0,SUMIFS(DATA_MIDWEEK!$I:$I,DATA_MIDWEEK!$A:$A,$B$10-7,DATA_MIDWEEK!$C:$C,AA93))</f>
        <v/>
      </c>
      <c r="AE93">
        <f>IF(OR(AA93="",$B$10=0),0,MAX(0,SUMIFS(DATA_SERVICE_AREAS!$E:$E,DATA_SERVICE_AREAS!$A:$A,$B$10,DATA_SERVICE_AREAS!$C:$C,"MIDWEEK",DATA_SERVICE_AREAS!$D:$D,AA93)-COUNTIFS(MASTER_ZONES!$C:$C,AA93,MASTER_ZONES!$I:$I,"Y")))</f>
        <v/>
      </c>
      <c r="AF93">
        <f>IF(OR(AA93="",$B$10=0),0,MAX(0,SUMIFS(DATA_SERVICE_AREAS!$F:$F,DATA_SERVICE_AREAS!$A:$A,$B$10,DATA_SERVICE_AREAS!$C:$C,"MIDWEEK",DATA_SERVICE_AREAS!$D:$D,AA93)-COUNTIFS(DATA_COMMUNITY!$A:$A,$B$10,DATA_COMMUNITY!$D:$D,"Midweek",DATA_COMMUNITY!$E:$E,AA93)))</f>
        <v/>
      </c>
      <c r="AG93">
        <f>IF(AE93=0,"",MIN(1,AF93/AE93))</f>
        <v/>
      </c>
      <c r="AH93">
        <f>IF(OR(AB93=0,AD93=0),"",AC93/AD93-1)</f>
        <v/>
      </c>
      <c r="AI93">
        <f>IF(AB93=0,"",AC93+ROW()/1000000)</f>
        <v/>
      </c>
      <c r="AJ93">
        <f>IF(AG93="","",AG93+ROW()/1000000000)</f>
        <v/>
      </c>
      <c r="AK93">
        <f>IF(AH93="","",AH93+ROW()/1000000000)</f>
        <v/>
      </c>
      <c r="AL93">
        <f>MAX(0,AE93-AF93)</f>
        <v/>
      </c>
      <c r="AM93">
        <f>IF(AND(AL93&gt;0,OR($B$6="*",AA93=$B$6)),ROW(),"")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  <c r="AA94">
        <f>IFERROR(INDEX(MASTER_AREAS!$B:$B,93)&amp;"","")</f>
        <v/>
      </c>
      <c r="AB94">
        <f>IF(OR(AA94="",$B$10=0),0,COUNTIFS(DATA_MIDWEEK!$A:$A,$B$10,DATA_MIDWEEK!$C:$C,AA94))</f>
        <v/>
      </c>
      <c r="AC94">
        <f>IF(AB94=0,0,SUMIFS(DATA_MIDWEEK!$I:$I,DATA_MIDWEEK!$A:$A,$B$10,DATA_MIDWEEK!$C:$C,AA94))</f>
        <v/>
      </c>
      <c r="AD94">
        <f>IF(OR(AA94="",$B$10=0),0,SUMIFS(DATA_MIDWEEK!$I:$I,DATA_MIDWEEK!$A:$A,$B$10-7,DATA_MIDWEEK!$C:$C,AA94))</f>
        <v/>
      </c>
      <c r="AE94">
        <f>IF(OR(AA94="",$B$10=0),0,MAX(0,SUMIFS(DATA_SERVICE_AREAS!$E:$E,DATA_SERVICE_AREAS!$A:$A,$B$10,DATA_SERVICE_AREAS!$C:$C,"MIDWEEK",DATA_SERVICE_AREAS!$D:$D,AA94)-COUNTIFS(MASTER_ZONES!$C:$C,AA94,MASTER_ZONES!$I:$I,"Y")))</f>
        <v/>
      </c>
      <c r="AF94">
        <f>IF(OR(AA94="",$B$10=0),0,MAX(0,SUMIFS(DATA_SERVICE_AREAS!$F:$F,DATA_SERVICE_AREAS!$A:$A,$B$10,DATA_SERVICE_AREAS!$C:$C,"MIDWEEK",DATA_SERVICE_AREAS!$D:$D,AA94)-COUNTIFS(DATA_COMMUNITY!$A:$A,$B$10,DATA_COMMUNITY!$D:$D,"Midweek",DATA_COMMUNITY!$E:$E,AA94)))</f>
        <v/>
      </c>
      <c r="AG94">
        <f>IF(AE94=0,"",MIN(1,AF94/AE94))</f>
        <v/>
      </c>
      <c r="AH94">
        <f>IF(OR(AB94=0,AD94=0),"",AC94/AD94-1)</f>
        <v/>
      </c>
      <c r="AI94">
        <f>IF(AB94=0,"",AC94+ROW()/1000000)</f>
        <v/>
      </c>
      <c r="AJ94">
        <f>IF(AG94="","",AG94+ROW()/1000000000)</f>
        <v/>
      </c>
      <c r="AK94">
        <f>IF(AH94="","",AH94+ROW()/1000000000)</f>
        <v/>
      </c>
      <c r="AL94">
        <f>MAX(0,AE94-AF94)</f>
        <v/>
      </c>
      <c r="AM94">
        <f>IF(AND(AL94&gt;0,OR($B$6="*",AA94=$B$6)),ROW(),"")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  <c r="AA95">
        <f>IFERROR(INDEX(MASTER_AREAS!$B:$B,94)&amp;"","")</f>
        <v/>
      </c>
      <c r="AB95">
        <f>IF(OR(AA95="",$B$10=0),0,COUNTIFS(DATA_MIDWEEK!$A:$A,$B$10,DATA_MIDWEEK!$C:$C,AA95))</f>
        <v/>
      </c>
      <c r="AC95">
        <f>IF(AB95=0,0,SUMIFS(DATA_MIDWEEK!$I:$I,DATA_MIDWEEK!$A:$A,$B$10,DATA_MIDWEEK!$C:$C,AA95))</f>
        <v/>
      </c>
      <c r="AD95">
        <f>IF(OR(AA95="",$B$10=0),0,SUMIFS(DATA_MIDWEEK!$I:$I,DATA_MIDWEEK!$A:$A,$B$10-7,DATA_MIDWEEK!$C:$C,AA95))</f>
        <v/>
      </c>
      <c r="AE95">
        <f>IF(OR(AA95="",$B$10=0),0,MAX(0,SUMIFS(DATA_SERVICE_AREAS!$E:$E,DATA_SERVICE_AREAS!$A:$A,$B$10,DATA_SERVICE_AREAS!$C:$C,"MIDWEEK",DATA_SERVICE_AREAS!$D:$D,AA95)-COUNTIFS(MASTER_ZONES!$C:$C,AA95,MASTER_ZONES!$I:$I,"Y")))</f>
        <v/>
      </c>
      <c r="AF95">
        <f>IF(OR(AA95="",$B$10=0),0,MAX(0,SUMIFS(DATA_SERVICE_AREAS!$F:$F,DATA_SERVICE_AREAS!$A:$A,$B$10,DATA_SERVICE_AREAS!$C:$C,"MIDWEEK",DATA_SERVICE_AREAS!$D:$D,AA95)-COUNTIFS(DATA_COMMUNITY!$A:$A,$B$10,DATA_COMMUNITY!$D:$D,"Midweek",DATA_COMMUNITY!$E:$E,AA95)))</f>
        <v/>
      </c>
      <c r="AG95">
        <f>IF(AE95=0,"",MIN(1,AF95/AE95))</f>
        <v/>
      </c>
      <c r="AH95">
        <f>IF(OR(AB95=0,AD95=0),"",AC95/AD95-1)</f>
        <v/>
      </c>
      <c r="AI95">
        <f>IF(AB95=0,"",AC95+ROW()/1000000)</f>
        <v/>
      </c>
      <c r="AJ95">
        <f>IF(AG95="","",AG95+ROW()/1000000000)</f>
        <v/>
      </c>
      <c r="AK95">
        <f>IF(AH95="","",AH95+ROW()/1000000000)</f>
        <v/>
      </c>
      <c r="AL95">
        <f>MAX(0,AE95-AF95)</f>
        <v/>
      </c>
      <c r="AM95">
        <f>IF(AND(AL95&gt;0,OR($B$6="*",AA95=$B$6)),ROW(),"")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Zones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Zones that reported</t>
        </is>
      </c>
      <c r="B98">
        <f>IF($S$21=0,"",O21)</f>
        <v/>
      </c>
      <c r="C98">
        <f>IF($S$22=0,"",O22)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IF(SUM($T$21:$T$80)=0,"",SUMPRODUCT($O$21:$O$80,$T$21:$T$80)/SUM($T$21:$T$80))</f>
        <v/>
      </c>
      <c r="G98">
        <f>IF(OR(B98="",F98=""),"",IF(F98=0,"",B98/F98-1))</f>
        <v/>
      </c>
      <c r="H98">
        <f>IF(SUM($U$21:$U$80)=0,"",SUMPRODUCT($O$21:$O$80,$U$21:$U$80))</f>
        <v/>
      </c>
      <c r="I98">
        <f>IF(SUM($V$21:$V$80)=0,"",SUMPRODUCT($O$21:$O$80,$V$21:$V$80))</f>
        <v/>
      </c>
      <c r="J98">
        <f>IF(SUM($W$21:$W$80)=0,"",SUMPRODUCT($O$21:$O$80,$W$21:$W$80))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Zones with no report</t>
        </is>
      </c>
      <c r="B99">
        <f>IF($S$21=0,"",P21)</f>
        <v/>
      </c>
      <c r="C99">
        <f>IF($S$22=0,"",P22)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IF(SUM($T$21:$T$80)=0,"",SUMPRODUCT($P$21:$P$80,$T$21:$T$80)/SUM($T$21:$T$80))</f>
        <v/>
      </c>
      <c r="G99">
        <f>IF(OR(B99="",F99=""),"",IF(F99=0,"",B99/F99-1))</f>
        <v/>
      </c>
      <c r="H99">
        <f>IF(SUM($U$21:$U$80)=0,"",SUMPRODUCT($P$21:$P$80,$U$21:$U$80))</f>
        <v/>
      </c>
      <c r="I99">
        <f>IF(SUM($V$21:$V$80)=0,"",SUMPRODUCT($P$21:$P$80,$V$21:$V$80))</f>
        <v/>
      </c>
      <c r="J99">
        <f>IF(SUM($W$21:$W$80)=0,"",SUMPRODUCT($P$21:$P$80,$W$21:$W$80))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% zones reporting</t>
        </is>
      </c>
      <c r="B100">
        <f>IF(OR($S$21=0,N21=0),"",O21/N21)</f>
        <v/>
      </c>
      <c r="C100">
        <f>IF(OR($S$22=0,N22=0),"",O22/N22)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IF(SUMPRODUCT($N$21:$N$80,$T$21:$T$80)=0,"",SUMPRODUCT($O$21:$O$80,$T$21:$T$80)/SUMPRODUCT($N$21:$N$80,$T$21:$T$80))</f>
        <v/>
      </c>
      <c r="G100">
        <f>IF(OR(B100="",F100=""),"",IF(F100=0,"",B100/F100-1))</f>
        <v/>
      </c>
      <c r="H100">
        <f>IF(SUMPRODUCT($N$21:$N$80,$U$21:$U$80)=0,"",SUMPRODUCT($O$21:$O$80,$U$21:$U$80)/SUMPRODUCT($N$21:$N$80,$U$21:$U$80))</f>
        <v/>
      </c>
      <c r="I100">
        <f>IF(SUMPRODUCT($N$21:$N$80,$V$21:$V$80)=0,"",SUMPRODUCT($O$21:$O$80,$V$21:$V$80)/SUMPRODUCT($N$21:$N$80,$V$21:$V$80))</f>
        <v/>
      </c>
      <c r="J100">
        <f>IF(SUMPRODUCT($N$21:$N$80,$W$21:$W$80)=0,"",SUMPRODUCT($O$21:$O$80,$W$21:$W$80)/SUMPRODUCT($N$21:$N$80,$W$21:$W$80))</f>
        <v/>
      </c>
      <c r="K100">
        <f>H100</f>
        <v/>
      </c>
      <c r="L100">
        <f>I100</f>
        <v/>
      </c>
      <c r="M100">
        <f>J100</f>
        <v/>
      </c>
    </row>
    <row r="101">
      <c r="A101" t="inlineStr">
        <is>
          <t>Reporting : non-reporting</t>
        </is>
      </c>
      <c r="B101">
        <f>IF(OR($S$21=0,P21=0),"",O21/P21)</f>
        <v/>
      </c>
      <c r="C101">
        <f>IF(OR($S$22=0,P22=0),"",O22/P22)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IF(SUMPRODUCT($P$21:$P$80,$T$21:$T$80)=0,"",SUMPRODUCT($O$21:$O$80,$T$21:$T$80)/SUMPRODUCT($P$21:$P$80,$T$21:$T$80))</f>
        <v/>
      </c>
      <c r="G101">
        <f>IF(OR(B101="",F101=""),"",IF(F101=0,"",B101/F101-1))</f>
        <v/>
      </c>
      <c r="H101">
        <f>IF(SUMPRODUCT($P$21:$P$80,$U$21:$U$80)=0,"",SUMPRODUCT($O$21:$O$80,$U$21:$U$80)/SUMPRODUCT($P$21:$P$80,$U$21:$U$80))</f>
        <v/>
      </c>
      <c r="I101">
        <f>IF(SUMPRODUCT($P$21:$P$80,$V$21:$V$80)=0,"",SUMPRODUCT($O$21:$O$80,$V$21:$V$80)/SUMPRODUCT($P$21:$P$80,$V$21:$V$80))</f>
        <v/>
      </c>
      <c r="J101">
        <f>IF(SUMPRODUCT($P$21:$P$80,$W$21:$W$80)=0,"",SUMPRODUCT($O$21:$O$80,$W$21:$W$80)/SUMPRODUCT($P$21:$P$80,$W$21:$W$80))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zone</t>
        </is>
      </c>
      <c r="B102">
        <f>IF(OR($S$21=0,O21=0),"",K21/O21)</f>
        <v/>
      </c>
      <c r="C102">
        <f>IF(OR($S$22=0,O22=0),"",K22/O22)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IF(SUMPRODUCT($O$21:$O$80,$T$21:$T$80)=0,"",SUMPRODUCT($K$21:$K$80,$T$21:$T$80)/SUMPRODUCT($O$21:$O$80,$T$21:$T$80))</f>
        <v/>
      </c>
      <c r="G102">
        <f>IF(OR(B102="",F102=""),"",IF(F102=0,"",B102/F102-1))</f>
        <v/>
      </c>
      <c r="H102">
        <f>IF(SUMPRODUCT($O$21:$O$80,$U$21:$U$80)=0,"",SUMPRODUCT($K$21:$K$80,$U$21:$U$80)/SUMPRODUCT($O$21:$O$80,$U$21:$U$80))</f>
        <v/>
      </c>
      <c r="I102">
        <f>IF(SUMPRODUCT($O$21:$O$80,$V$21:$V$80)=0,"",SUMPRODUCT($K$21:$K$80,$V$21:$V$80)/SUMPRODUCT($O$21:$O$80,$V$21:$V$80))</f>
        <v/>
      </c>
      <c r="J102">
        <f>IF(SUMPRODUCT($O$21:$O$80,$W$21:$W$80)=0,"",SUMPRODUCT($K$21:$K$80,$W$21:$W$80)/SUMPRODUCT($O$21:$O$80,$W$21:$W$80))</f>
        <v/>
      </c>
      <c r="K102">
        <f>H102</f>
        <v/>
      </c>
      <c r="L102">
        <f>I102</f>
        <v/>
      </c>
      <c r="M102">
        <f>J102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Q33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Q32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Q31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Q30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Q29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Q28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Q27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Q26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Q25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Q24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Q23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Q22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Q21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F117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CALC_CHOP — helper calculations for the CHOP DASHBOARD (hidden; do not edit)</t>
        </is>
      </c>
      <c r="BB1">
        <f>COUNT($AM$3:$AM$95)</f>
        <v/>
      </c>
      <c r="BC1">
        <f>SUM($AL$3:$AL$95)</f>
        <v/>
      </c>
    </row>
    <row r="2">
      <c r="AA2" t="inlineStr">
        <is>
          <t>Area</t>
        </is>
      </c>
      <c r="AB2" t="inlineStr">
        <is>
          <t>Rows</t>
        </is>
      </c>
      <c r="AC2" t="inlineStr">
        <is>
          <t>Grand</t>
        </is>
      </c>
      <c r="AD2" t="inlineStr">
        <is>
          <t>Grand prev</t>
        </is>
      </c>
      <c r="AE2" t="inlineStr">
        <is>
          <t>Universe</t>
        </is>
      </c>
      <c r="AF2" t="inlineStr">
        <is>
          <t>Reported</t>
        </is>
      </c>
      <c r="AG2" t="inlineStr">
        <is>
          <t>% reporting</t>
        </is>
      </c>
      <c r="AH2" t="inlineStr">
        <is>
          <t>Growth</t>
        </is>
      </c>
      <c r="AI2" t="inlineStr">
        <is>
          <t>Score att</t>
        </is>
      </c>
      <c r="AJ2" t="inlineStr">
        <is>
          <t>Score pct</t>
        </is>
      </c>
      <c r="AK2" t="inlineStr">
        <is>
          <t>Score growth</t>
        </is>
      </c>
      <c r="AL2" t="inlineStr">
        <is>
          <t>Missing</t>
        </is>
      </c>
      <c r="AM2" t="inlineStr">
        <is>
          <t>Missing row</t>
        </is>
      </c>
    </row>
    <row r="3">
      <c r="A3" t="inlineStr">
        <is>
          <t>Scope</t>
        </is>
      </c>
      <c r="B3">
        <f>'CHOP DASHBOARD'!B4</f>
        <v/>
      </c>
      <c r="AA3">
        <f>IFERROR(INDEX(MASTER_AREAS!$B:$B,2)&amp;"","")</f>
        <v/>
      </c>
      <c r="AB3">
        <f>IF(OR(AA3="",$B$10=0),0,COUNTIFS(DATA_CHOP!$A:$A,$B$10,DATA_CHOP!$C:$C,AA3))</f>
        <v/>
      </c>
      <c r="AC3">
        <f>IF(AB3=0,0,SUMIFS(DATA_CHOP!$I:$I,DATA_CHOP!$A:$A,$B$10,DATA_CHOP!$C:$C,AA3))</f>
        <v/>
      </c>
      <c r="AD3">
        <f>IF(OR(AA3="",$B$10=0),0,SUMIFS(DATA_CHOP!$I:$I,DATA_CHOP!$A:$A,$B$10-7,DATA_CHOP!$C:$C,AA3))</f>
        <v/>
      </c>
      <c r="AE3">
        <f>IF(OR(AA3="",$B$10=0),0,MAX(0,SUMIFS(DATA_SERVICE_AREAS!$G:$G,DATA_SERVICE_AREAS!$A:$A,$B$10,DATA_SERVICE_AREAS!$C:$C,"CHOP",DATA_SERVICE_AREAS!$D:$D,AA3)-COUNTIFS(MASTER_ZONES!$C:$C,AA3,MASTER_ZONES!$I:$I,"Y",MASTER_ZONES!$D:$D,"Y")))</f>
        <v/>
      </c>
      <c r="AF3">
        <f>IF(OR(AA3="",$B$10=0),0,MAX(0,SUMIFS(DATA_SERVICE_AREAS!$F:$F,DATA_SERVICE_AREAS!$A:$A,$B$10,DATA_SERVICE_AREAS!$C:$C,"CHOP",DATA_SERVICE_AREAS!$D:$D,AA3)-COUNTIFS(DATA_COMMUNITY!$A:$A,$B$10,DATA_COMMUNITY!$D:$D,"CHOP",DATA_COMMUNITY!$E:$E,AA3)))</f>
        <v/>
      </c>
      <c r="AG3">
        <f>IF(AE3=0,"",MIN(1,AF3/AE3))</f>
        <v/>
      </c>
      <c r="AH3">
        <f>IF(OR(AB3=0,AD3=0),"",AC3/AD3-1)</f>
        <v/>
      </c>
      <c r="AI3">
        <f>IF(AB3=0,"",AC3+ROW()/1000000)</f>
        <v/>
      </c>
      <c r="AJ3">
        <f>IF(AG3="","",AG3+ROW()/1000000000)</f>
        <v/>
      </c>
      <c r="AK3">
        <f>IF(AH3="","",AH3+ROW()/1000000000)</f>
        <v/>
      </c>
      <c r="AL3">
        <f>MAX(0,AE3-AF3)</f>
        <v/>
      </c>
      <c r="AM3">
        <f>IF(AND(AL3&gt;0,OR($B$6="*",AA3=$B$6)),ROW(),"")</f>
        <v/>
      </c>
      <c r="AO3">
        <f>IFERROR(INDEX($AA$3:$AA$95,MATCH(LARGE($AI$3:$AI$95,1),$AI$3:$AI$95,0)),"")</f>
        <v/>
      </c>
      <c r="AP3">
        <f>IFERROR(INDEX($AC$3:$AC$95,MATCH(LARGE($AI$3:$AI$95,1),$AI$3:$AI$95,0)),"")</f>
        <v/>
      </c>
      <c r="AQ3">
        <f>IFERROR(INDEX($AA$3:$AA$95,MATCH(SMALL($AI$3:$AI$95,1),$AI$3:$AI$95,0)),"")</f>
        <v/>
      </c>
      <c r="AR3">
        <f>IFERROR(INDEX($AC$3:$AC$95,MATCH(SMALL($AI$3:$AI$95,1),$AI$3:$AI$95,0)),"")</f>
        <v/>
      </c>
      <c r="AS3">
        <f>IFERROR(INDEX($AA$3:$AA$95,MATCH(LARGE($AJ$3:$AJ$95,1),$AJ$3:$AJ$95,0)),"")</f>
        <v/>
      </c>
      <c r="AT3">
        <f>IFERROR(INDEX($AG$3:$AG$95,MATCH(LARGE($AJ$3:$AJ$95,1),$AJ$3:$AJ$95,0)),"")</f>
        <v/>
      </c>
      <c r="AU3">
        <f>IFERROR(INDEX($AA$3:$AA$95,MATCH(SMALL($AJ$3:$AJ$95,1),$AJ$3:$AJ$95,0)),"")</f>
        <v/>
      </c>
      <c r="AV3">
        <f>IFERROR(INDEX($AG$3:$AG$95,MATCH(SMALL($AJ$3:$AJ$95,1),$AJ$3:$AJ$95,0)),"")</f>
        <v/>
      </c>
      <c r="AW3">
        <f>IFERROR(INDEX($AA$3:$AA$95,MATCH(LARGE($AK$3:$AK$95,1),$AK$3:$AK$95,0)),"")</f>
        <v/>
      </c>
      <c r="AX3">
        <f>IFERROR(INDEX($AH$3:$AH$95,MATCH(LARGE($AK$3:$AK$95,1),$AK$3:$AK$95,0)),"")</f>
        <v/>
      </c>
      <c r="AY3">
        <f>IFERROR(INDEX($AA$3:$AA$95,MATCH(SMALL($AK$3:$AK$95,1),$AK$3:$AK$95,0)),"")</f>
        <v/>
      </c>
      <c r="AZ3">
        <f>IFERROR(INDEX($AH$3:$AH$95,MATCH(SMALL($AK$3:$AK$95,1),$AK$3:$AK$95,0)),"")</f>
        <v/>
      </c>
      <c r="BA3">
        <f>IF($B$3&lt;&gt;"Area","",IFERROR(COUNTIF($AI$3:$AI$95,"&gt;"&amp;INDEX($AI$3:$AI$95,MATCH($B$4,$AA$3:$AA$95,0)))+1,""))</f>
        <v/>
      </c>
      <c r="BB3">
        <f>IFERROR(SMALL($AM$3:$AM$95,1),"")</f>
        <v/>
      </c>
      <c r="BC3">
        <f>IF(BB3="","",INDEX($AA:$AA,BB3))</f>
        <v/>
      </c>
      <c r="BD3">
        <f>IF(BB3="","",INDEX($AE:$AE,BB3))</f>
        <v/>
      </c>
      <c r="BE3">
        <f>IF(BB3="","",INDEX($AF:$AF,BB3))</f>
        <v/>
      </c>
      <c r="BF3">
        <f>IF(BB3="","",INDEX($AL:$AL,BB3))</f>
        <v/>
      </c>
    </row>
    <row r="4">
      <c r="A4" t="inlineStr">
        <is>
          <t>Selection</t>
        </is>
      </c>
      <c r="B4">
        <f>IF('CHOP DASHBOARD'!E4="","",'CHOP DASHBOARD'!E4)</f>
        <v/>
      </c>
      <c r="AA4">
        <f>IFERROR(INDEX(MASTER_AREAS!$B:$B,3)&amp;"","")</f>
        <v/>
      </c>
      <c r="AB4">
        <f>IF(OR(AA4="",$B$10=0),0,COUNTIFS(DATA_CHOP!$A:$A,$B$10,DATA_CHOP!$C:$C,AA4))</f>
        <v/>
      </c>
      <c r="AC4">
        <f>IF(AB4=0,0,SUMIFS(DATA_CHOP!$I:$I,DATA_CHOP!$A:$A,$B$10,DATA_CHOP!$C:$C,AA4))</f>
        <v/>
      </c>
      <c r="AD4">
        <f>IF(OR(AA4="",$B$10=0),0,SUMIFS(DATA_CHOP!$I:$I,DATA_CHOP!$A:$A,$B$10-7,DATA_CHOP!$C:$C,AA4))</f>
        <v/>
      </c>
      <c r="AE4">
        <f>IF(OR(AA4="",$B$10=0),0,MAX(0,SUMIFS(DATA_SERVICE_AREAS!$G:$G,DATA_SERVICE_AREAS!$A:$A,$B$10,DATA_SERVICE_AREAS!$C:$C,"CHOP",DATA_SERVICE_AREAS!$D:$D,AA4)-COUNTIFS(MASTER_ZONES!$C:$C,AA4,MASTER_ZONES!$I:$I,"Y",MASTER_ZONES!$D:$D,"Y")))</f>
        <v/>
      </c>
      <c r="AF4">
        <f>IF(OR(AA4="",$B$10=0),0,MAX(0,SUMIFS(DATA_SERVICE_AREAS!$F:$F,DATA_SERVICE_AREAS!$A:$A,$B$10,DATA_SERVICE_AREAS!$C:$C,"CHOP",DATA_SERVICE_AREAS!$D:$D,AA4)-COUNTIFS(DATA_COMMUNITY!$A:$A,$B$10,DATA_COMMUNITY!$D:$D,"CHOP",DATA_COMMUNITY!$E:$E,AA4)))</f>
        <v/>
      </c>
      <c r="AG4">
        <f>IF(AE4=0,"",MIN(1,AF4/AE4))</f>
        <v/>
      </c>
      <c r="AH4">
        <f>IF(OR(AB4=0,AD4=0),"",AC4/AD4-1)</f>
        <v/>
      </c>
      <c r="AI4">
        <f>IF(AB4=0,"",AC4+ROW()/1000000)</f>
        <v/>
      </c>
      <c r="AJ4">
        <f>IF(AG4="","",AG4+ROW()/1000000000)</f>
        <v/>
      </c>
      <c r="AK4">
        <f>IF(AH4="","",AH4+ROW()/1000000000)</f>
        <v/>
      </c>
      <c r="AL4">
        <f>MAX(0,AE4-AF4)</f>
        <v/>
      </c>
      <c r="AM4">
        <f>IF(AND(AL4&gt;0,OR($B$6="*",AA4=$B$6)),ROW(),"")</f>
        <v/>
      </c>
      <c r="AO4">
        <f>IFERROR(INDEX($AA$3:$AA$95,MATCH(LARGE($AI$3:$AI$95,2),$AI$3:$AI$95,0)),"")</f>
        <v/>
      </c>
      <c r="AP4">
        <f>IFERROR(INDEX($AC$3:$AC$95,MATCH(LARGE($AI$3:$AI$95,2),$AI$3:$AI$95,0)),"")</f>
        <v/>
      </c>
      <c r="AQ4">
        <f>IFERROR(INDEX($AA$3:$AA$95,MATCH(SMALL($AI$3:$AI$95,2),$AI$3:$AI$95,0)),"")</f>
        <v/>
      </c>
      <c r="AR4">
        <f>IFERROR(INDEX($AC$3:$AC$95,MATCH(SMALL($AI$3:$AI$95,2),$AI$3:$AI$95,0)),"")</f>
        <v/>
      </c>
      <c r="AS4">
        <f>IFERROR(INDEX($AA$3:$AA$95,MATCH(LARGE($AJ$3:$AJ$95,2),$AJ$3:$AJ$95,0)),"")</f>
        <v/>
      </c>
      <c r="AT4">
        <f>IFERROR(INDEX($AG$3:$AG$95,MATCH(LARGE($AJ$3:$AJ$95,2),$AJ$3:$AJ$95,0)),"")</f>
        <v/>
      </c>
      <c r="AU4">
        <f>IFERROR(INDEX($AA$3:$AA$95,MATCH(SMALL($AJ$3:$AJ$95,2),$AJ$3:$AJ$95,0)),"")</f>
        <v/>
      </c>
      <c r="AV4">
        <f>IFERROR(INDEX($AG$3:$AG$95,MATCH(SMALL($AJ$3:$AJ$95,2),$AJ$3:$AJ$95,0)),"")</f>
        <v/>
      </c>
      <c r="AW4">
        <f>IFERROR(INDEX($AA$3:$AA$95,MATCH(LARGE($AK$3:$AK$95,2),$AK$3:$AK$95,0)),"")</f>
        <v/>
      </c>
      <c r="AX4">
        <f>IFERROR(INDEX($AH$3:$AH$95,MATCH(LARGE($AK$3:$AK$95,2),$AK$3:$AK$95,0)),"")</f>
        <v/>
      </c>
      <c r="AY4">
        <f>IFERROR(INDEX($AA$3:$AA$95,MATCH(SMALL($AK$3:$AK$95,2),$AK$3:$AK$95,0)),"")</f>
        <v/>
      </c>
      <c r="AZ4">
        <f>IFERROR(INDEX($AH$3:$AH$95,MATCH(SMALL($AK$3:$AK$95,2),$AK$3:$AK$95,0)),"")</f>
        <v/>
      </c>
      <c r="BA4">
        <f>IF($B$3&lt;&gt;"Area","",IFERROR(COUNTIF($AJ$3:$AJ$95,"&gt;"&amp;INDEX($AJ$3:$AJ$95,MATCH($B$4,$AA$3:$AA$95,0)))+1,""))</f>
        <v/>
      </c>
      <c r="BB4">
        <f>IFERROR(SMALL($AM$3:$AM$95,2),"")</f>
        <v/>
      </c>
      <c r="BC4">
        <f>IF(BB4="","",INDEX($AA:$AA,BB4))</f>
        <v/>
      </c>
      <c r="BD4">
        <f>IF(BB4="","",INDEX($AE:$AE,BB4))</f>
        <v/>
      </c>
      <c r="BE4">
        <f>IF(BB4="","",INDEX($AF:$AF,BB4))</f>
        <v/>
      </c>
      <c r="BF4">
        <f>IF(BB4="","",INDEX($AL:$AL,BB4))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A5">
        <f>IFERROR(INDEX(MASTER_AREAS!$B:$B,4)&amp;"","")</f>
        <v/>
      </c>
      <c r="AB5">
        <f>IF(OR(AA5="",$B$10=0),0,COUNTIFS(DATA_CHOP!$A:$A,$B$10,DATA_CHOP!$C:$C,AA5))</f>
        <v/>
      </c>
      <c r="AC5">
        <f>IF(AB5=0,0,SUMIFS(DATA_CHOP!$I:$I,DATA_CHOP!$A:$A,$B$10,DATA_CHOP!$C:$C,AA5))</f>
        <v/>
      </c>
      <c r="AD5">
        <f>IF(OR(AA5="",$B$10=0),0,SUMIFS(DATA_CHOP!$I:$I,DATA_CHOP!$A:$A,$B$10-7,DATA_CHOP!$C:$C,AA5))</f>
        <v/>
      </c>
      <c r="AE5">
        <f>IF(OR(AA5="",$B$10=0),0,MAX(0,SUMIFS(DATA_SERVICE_AREAS!$G:$G,DATA_SERVICE_AREAS!$A:$A,$B$10,DATA_SERVICE_AREAS!$C:$C,"CHOP",DATA_SERVICE_AREAS!$D:$D,AA5)-COUNTIFS(MASTER_ZONES!$C:$C,AA5,MASTER_ZONES!$I:$I,"Y",MASTER_ZONES!$D:$D,"Y")))</f>
        <v/>
      </c>
      <c r="AF5">
        <f>IF(OR(AA5="",$B$10=0),0,MAX(0,SUMIFS(DATA_SERVICE_AREAS!$F:$F,DATA_SERVICE_AREAS!$A:$A,$B$10,DATA_SERVICE_AREAS!$C:$C,"CHOP",DATA_SERVICE_AREAS!$D:$D,AA5)-COUNTIFS(DATA_COMMUNITY!$A:$A,$B$10,DATA_COMMUNITY!$D:$D,"CHOP",DATA_COMMUNITY!$E:$E,AA5)))</f>
        <v/>
      </c>
      <c r="AG5">
        <f>IF(AE5=0,"",MIN(1,AF5/AE5))</f>
        <v/>
      </c>
      <c r="AH5">
        <f>IF(OR(AB5=0,AD5=0),"",AC5/AD5-1)</f>
        <v/>
      </c>
      <c r="AI5">
        <f>IF(AB5=0,"",AC5+ROW()/1000000)</f>
        <v/>
      </c>
      <c r="AJ5">
        <f>IF(AG5="","",AG5+ROW()/1000000000)</f>
        <v/>
      </c>
      <c r="AK5">
        <f>IF(AH5="","",AH5+ROW()/1000000000)</f>
        <v/>
      </c>
      <c r="AL5">
        <f>MAX(0,AE5-AF5)</f>
        <v/>
      </c>
      <c r="AM5">
        <f>IF(AND(AL5&gt;0,OR($B$6="*",AA5=$B$6)),ROW(),"")</f>
        <v/>
      </c>
      <c r="AO5">
        <f>IFERROR(INDEX($AA$3:$AA$95,MATCH(LARGE($AI$3:$AI$95,3),$AI$3:$AI$95,0)),"")</f>
        <v/>
      </c>
      <c r="AP5">
        <f>IFERROR(INDEX($AC$3:$AC$95,MATCH(LARGE($AI$3:$AI$95,3),$AI$3:$AI$95,0)),"")</f>
        <v/>
      </c>
      <c r="AQ5">
        <f>IFERROR(INDEX($AA$3:$AA$95,MATCH(SMALL($AI$3:$AI$95,3),$AI$3:$AI$95,0)),"")</f>
        <v/>
      </c>
      <c r="AR5">
        <f>IFERROR(INDEX($AC$3:$AC$95,MATCH(SMALL($AI$3:$AI$95,3),$AI$3:$AI$95,0)),"")</f>
        <v/>
      </c>
      <c r="AS5">
        <f>IFERROR(INDEX($AA$3:$AA$95,MATCH(LARGE($AJ$3:$AJ$95,3),$AJ$3:$AJ$95,0)),"")</f>
        <v/>
      </c>
      <c r="AT5">
        <f>IFERROR(INDEX($AG$3:$AG$95,MATCH(LARGE($AJ$3:$AJ$95,3),$AJ$3:$AJ$95,0)),"")</f>
        <v/>
      </c>
      <c r="AU5">
        <f>IFERROR(INDEX($AA$3:$AA$95,MATCH(SMALL($AJ$3:$AJ$95,3),$AJ$3:$AJ$95,0)),"")</f>
        <v/>
      </c>
      <c r="AV5">
        <f>IFERROR(INDEX($AG$3:$AG$95,MATCH(SMALL($AJ$3:$AJ$95,3),$AJ$3:$AJ$95,0)),"")</f>
        <v/>
      </c>
      <c r="AW5">
        <f>IFERROR(INDEX($AA$3:$AA$95,MATCH(LARGE($AK$3:$AK$95,3),$AK$3:$AK$95,0)),"")</f>
        <v/>
      </c>
      <c r="AX5">
        <f>IFERROR(INDEX($AH$3:$AH$95,MATCH(LARGE($AK$3:$AK$95,3),$AK$3:$AK$95,0)),"")</f>
        <v/>
      </c>
      <c r="AY5">
        <f>IFERROR(INDEX($AA$3:$AA$95,MATCH(SMALL($AK$3:$AK$95,3),$AK$3:$AK$95,0)),"")</f>
        <v/>
      </c>
      <c r="AZ5">
        <f>IFERROR(INDEX($AH$3:$AH$95,MATCH(SMALL($AK$3:$AK$95,3),$AK$3:$AK$95,0)),"")</f>
        <v/>
      </c>
      <c r="BA5">
        <f>IF($B$3&lt;&gt;"Area","",IFERROR(COUNTIF($AK$3:$AK$95,"&gt;"&amp;INDEX($AK$3:$AK$95,MATCH($B$4,$AA$3:$AA$95,0)))+1,""))</f>
        <v/>
      </c>
      <c r="BB5">
        <f>IFERROR(SMALL($AM$3:$AM$95,3),"")</f>
        <v/>
      </c>
      <c r="BC5">
        <f>IF(BB5="","",INDEX($AA:$AA,BB5))</f>
        <v/>
      </c>
      <c r="BD5">
        <f>IF(BB5="","",INDEX($AE:$AE,BB5))</f>
        <v/>
      </c>
      <c r="BE5">
        <f>IF(BB5="","",INDEX($AF:$AF,BB5))</f>
        <v/>
      </c>
      <c r="BF5">
        <f>IF(BB5="","",INDEX($AL:$AL,BB5))</f>
        <v/>
      </c>
    </row>
    <row r="6">
      <c r="A6" t="inlineStr">
        <is>
          <t>Area criterion</t>
        </is>
      </c>
      <c r="B6">
        <f>IF(B3="Area",B4,IF(B3="Zone",B8,"*"))</f>
        <v/>
      </c>
      <c r="AA6">
        <f>IFERROR(INDEX(MASTER_AREAS!$B:$B,5)&amp;"","")</f>
        <v/>
      </c>
      <c r="AB6">
        <f>IF(OR(AA6="",$B$10=0),0,COUNTIFS(DATA_CHOP!$A:$A,$B$10,DATA_CHOP!$C:$C,AA6))</f>
        <v/>
      </c>
      <c r="AC6">
        <f>IF(AB6=0,0,SUMIFS(DATA_CHOP!$I:$I,DATA_CHOP!$A:$A,$B$10,DATA_CHOP!$C:$C,AA6))</f>
        <v/>
      </c>
      <c r="AD6">
        <f>IF(OR(AA6="",$B$10=0),0,SUMIFS(DATA_CHOP!$I:$I,DATA_CHOP!$A:$A,$B$10-7,DATA_CHOP!$C:$C,AA6))</f>
        <v/>
      </c>
      <c r="AE6">
        <f>IF(OR(AA6="",$B$10=0),0,MAX(0,SUMIFS(DATA_SERVICE_AREAS!$G:$G,DATA_SERVICE_AREAS!$A:$A,$B$10,DATA_SERVICE_AREAS!$C:$C,"CHOP",DATA_SERVICE_AREAS!$D:$D,AA6)-COUNTIFS(MASTER_ZONES!$C:$C,AA6,MASTER_ZONES!$I:$I,"Y",MASTER_ZONES!$D:$D,"Y")))</f>
        <v/>
      </c>
      <c r="AF6">
        <f>IF(OR(AA6="",$B$10=0),0,MAX(0,SUMIFS(DATA_SERVICE_AREAS!$F:$F,DATA_SERVICE_AREAS!$A:$A,$B$10,DATA_SERVICE_AREAS!$C:$C,"CHOP",DATA_SERVICE_AREAS!$D:$D,AA6)-COUNTIFS(DATA_COMMUNITY!$A:$A,$B$10,DATA_COMMUNITY!$D:$D,"CHOP",DATA_COMMUNITY!$E:$E,AA6)))</f>
        <v/>
      </c>
      <c r="AG6">
        <f>IF(AE6=0,"",MIN(1,AF6/AE6))</f>
        <v/>
      </c>
      <c r="AH6">
        <f>IF(OR(AB6=0,AD6=0),"",AC6/AD6-1)</f>
        <v/>
      </c>
      <c r="AI6">
        <f>IF(AB6=0,"",AC6+ROW()/1000000)</f>
        <v/>
      </c>
      <c r="AJ6">
        <f>IF(AG6="","",AG6+ROW()/1000000000)</f>
        <v/>
      </c>
      <c r="AK6">
        <f>IF(AH6="","",AH6+ROW()/1000000000)</f>
        <v/>
      </c>
      <c r="AL6">
        <f>MAX(0,AE6-AF6)</f>
        <v/>
      </c>
      <c r="AM6">
        <f>IF(AND(AL6&gt;0,OR($B$6="*",AA6=$B$6)),ROW(),"")</f>
        <v/>
      </c>
      <c r="AO6">
        <f>IFERROR(INDEX($AA$3:$AA$95,MATCH(LARGE($AI$3:$AI$95,4),$AI$3:$AI$95,0)),"")</f>
        <v/>
      </c>
      <c r="AP6">
        <f>IFERROR(INDEX($AC$3:$AC$95,MATCH(LARGE($AI$3:$AI$95,4),$AI$3:$AI$95,0)),"")</f>
        <v/>
      </c>
      <c r="AQ6">
        <f>IFERROR(INDEX($AA$3:$AA$95,MATCH(SMALL($AI$3:$AI$95,4),$AI$3:$AI$95,0)),"")</f>
        <v/>
      </c>
      <c r="AR6">
        <f>IFERROR(INDEX($AC$3:$AC$95,MATCH(SMALL($AI$3:$AI$95,4),$AI$3:$AI$95,0)),"")</f>
        <v/>
      </c>
      <c r="AS6">
        <f>IFERROR(INDEX($AA$3:$AA$95,MATCH(LARGE($AJ$3:$AJ$95,4),$AJ$3:$AJ$95,0)),"")</f>
        <v/>
      </c>
      <c r="AT6">
        <f>IFERROR(INDEX($AG$3:$AG$95,MATCH(LARGE($AJ$3:$AJ$95,4),$AJ$3:$AJ$95,0)),"")</f>
        <v/>
      </c>
      <c r="AU6">
        <f>IFERROR(INDEX($AA$3:$AA$95,MATCH(SMALL($AJ$3:$AJ$95,4),$AJ$3:$AJ$95,0)),"")</f>
        <v/>
      </c>
      <c r="AV6">
        <f>IFERROR(INDEX($AG$3:$AG$95,MATCH(SMALL($AJ$3:$AJ$95,4),$AJ$3:$AJ$95,0)),"")</f>
        <v/>
      </c>
      <c r="AW6">
        <f>IFERROR(INDEX($AA$3:$AA$95,MATCH(LARGE($AK$3:$AK$95,4),$AK$3:$AK$95,0)),"")</f>
        <v/>
      </c>
      <c r="AX6">
        <f>IFERROR(INDEX($AH$3:$AH$95,MATCH(LARGE($AK$3:$AK$95,4),$AK$3:$AK$95,0)),"")</f>
        <v/>
      </c>
      <c r="AY6">
        <f>IFERROR(INDEX($AA$3:$AA$95,MATCH(SMALL($AK$3:$AK$95,4),$AK$3:$AK$95,0)),"")</f>
        <v/>
      </c>
      <c r="AZ6">
        <f>IFERROR(INDEX($AH$3:$AH$95,MATCH(SMALL($AK$3:$AK$95,4),$AK$3:$AK$95,0)),"")</f>
        <v/>
      </c>
      <c r="BA6">
        <f>COUNT($AI$3:$AI$95)</f>
        <v/>
      </c>
      <c r="BB6">
        <f>IFERROR(SMALL($AM$3:$AM$95,4),"")</f>
        <v/>
      </c>
      <c r="BC6">
        <f>IF(BB6="","",INDEX($AA:$AA,BB6))</f>
        <v/>
      </c>
      <c r="BD6">
        <f>IF(BB6="","",INDEX($AE:$AE,BB6))</f>
        <v/>
      </c>
      <c r="BE6">
        <f>IF(BB6="","",INDEX($AF:$AF,BB6))</f>
        <v/>
      </c>
      <c r="BF6">
        <f>IF(BB6="","",INDEX($AL:$AL,BB6))</f>
        <v/>
      </c>
    </row>
    <row r="7">
      <c r="A7" t="inlineStr">
        <is>
          <t>Zone criterion</t>
        </is>
      </c>
      <c r="B7">
        <f>IF(B3="Zone",B4,"*")</f>
        <v/>
      </c>
      <c r="AA7">
        <f>IFERROR(INDEX(MASTER_AREAS!$B:$B,6)&amp;"","")</f>
        <v/>
      </c>
      <c r="AB7">
        <f>IF(OR(AA7="",$B$10=0),0,COUNTIFS(DATA_CHOP!$A:$A,$B$10,DATA_CHOP!$C:$C,AA7))</f>
        <v/>
      </c>
      <c r="AC7">
        <f>IF(AB7=0,0,SUMIFS(DATA_CHOP!$I:$I,DATA_CHOP!$A:$A,$B$10,DATA_CHOP!$C:$C,AA7))</f>
        <v/>
      </c>
      <c r="AD7">
        <f>IF(OR(AA7="",$B$10=0),0,SUMIFS(DATA_CHOP!$I:$I,DATA_CHOP!$A:$A,$B$10-7,DATA_CHOP!$C:$C,AA7))</f>
        <v/>
      </c>
      <c r="AE7">
        <f>IF(OR(AA7="",$B$10=0),0,MAX(0,SUMIFS(DATA_SERVICE_AREAS!$G:$G,DATA_SERVICE_AREAS!$A:$A,$B$10,DATA_SERVICE_AREAS!$C:$C,"CHOP",DATA_SERVICE_AREAS!$D:$D,AA7)-COUNTIFS(MASTER_ZONES!$C:$C,AA7,MASTER_ZONES!$I:$I,"Y",MASTER_ZONES!$D:$D,"Y")))</f>
        <v/>
      </c>
      <c r="AF7">
        <f>IF(OR(AA7="",$B$10=0),0,MAX(0,SUMIFS(DATA_SERVICE_AREAS!$F:$F,DATA_SERVICE_AREAS!$A:$A,$B$10,DATA_SERVICE_AREAS!$C:$C,"CHOP",DATA_SERVICE_AREAS!$D:$D,AA7)-COUNTIFS(DATA_COMMUNITY!$A:$A,$B$10,DATA_COMMUNITY!$D:$D,"CHOP",DATA_COMMUNITY!$E:$E,AA7)))</f>
        <v/>
      </c>
      <c r="AG7">
        <f>IF(AE7=0,"",MIN(1,AF7/AE7))</f>
        <v/>
      </c>
      <c r="AH7">
        <f>IF(OR(AB7=0,AD7=0),"",AC7/AD7-1)</f>
        <v/>
      </c>
      <c r="AI7">
        <f>IF(AB7=0,"",AC7+ROW()/1000000)</f>
        <v/>
      </c>
      <c r="AJ7">
        <f>IF(AG7="","",AG7+ROW()/1000000000)</f>
        <v/>
      </c>
      <c r="AK7">
        <f>IF(AH7="","",AH7+ROW()/1000000000)</f>
        <v/>
      </c>
      <c r="AL7">
        <f>MAX(0,AE7-AF7)</f>
        <v/>
      </c>
      <c r="AM7">
        <f>IF(AND(AL7&gt;0,OR($B$6="*",AA7=$B$6)),ROW(),"")</f>
        <v/>
      </c>
      <c r="AO7">
        <f>IFERROR(INDEX($AA$3:$AA$95,MATCH(LARGE($AI$3:$AI$95,5),$AI$3:$AI$95,0)),"")</f>
        <v/>
      </c>
      <c r="AP7">
        <f>IFERROR(INDEX($AC$3:$AC$95,MATCH(LARGE($AI$3:$AI$95,5),$AI$3:$AI$95,0)),"")</f>
        <v/>
      </c>
      <c r="AQ7">
        <f>IFERROR(INDEX($AA$3:$AA$95,MATCH(SMALL($AI$3:$AI$95,5),$AI$3:$AI$95,0)),"")</f>
        <v/>
      </c>
      <c r="AR7">
        <f>IFERROR(INDEX($AC$3:$AC$95,MATCH(SMALL($AI$3:$AI$95,5),$AI$3:$AI$95,0)),"")</f>
        <v/>
      </c>
      <c r="AS7">
        <f>IFERROR(INDEX($AA$3:$AA$95,MATCH(LARGE($AJ$3:$AJ$95,5),$AJ$3:$AJ$95,0)),"")</f>
        <v/>
      </c>
      <c r="AT7">
        <f>IFERROR(INDEX($AG$3:$AG$95,MATCH(LARGE($AJ$3:$AJ$95,5),$AJ$3:$AJ$95,0)),"")</f>
        <v/>
      </c>
      <c r="AU7">
        <f>IFERROR(INDEX($AA$3:$AA$95,MATCH(SMALL($AJ$3:$AJ$95,5),$AJ$3:$AJ$95,0)),"")</f>
        <v/>
      </c>
      <c r="AV7">
        <f>IFERROR(INDEX($AG$3:$AG$95,MATCH(SMALL($AJ$3:$AJ$95,5),$AJ$3:$AJ$95,0)),"")</f>
        <v/>
      </c>
      <c r="AW7">
        <f>IFERROR(INDEX($AA$3:$AA$95,MATCH(LARGE($AK$3:$AK$95,5),$AK$3:$AK$95,0)),"")</f>
        <v/>
      </c>
      <c r="AX7">
        <f>IFERROR(INDEX($AH$3:$AH$95,MATCH(LARGE($AK$3:$AK$95,5),$AK$3:$AK$95,0)),"")</f>
        <v/>
      </c>
      <c r="AY7">
        <f>IFERROR(INDEX($AA$3:$AA$95,MATCH(SMALL($AK$3:$AK$95,5),$AK$3:$AK$95,0)),"")</f>
        <v/>
      </c>
      <c r="AZ7">
        <f>IFERROR(INDEX($AH$3:$AH$95,MATCH(SMALL($AK$3:$AK$95,5),$AK$3:$AK$95,0)),"")</f>
        <v/>
      </c>
      <c r="BB7">
        <f>IFERROR(SMALL($AM$3:$AM$95,5),"")</f>
        <v/>
      </c>
      <c r="BC7">
        <f>IF(BB7="","",INDEX($AA:$AA,BB7))</f>
        <v/>
      </c>
      <c r="BD7">
        <f>IF(BB7="","",INDEX($AE:$AE,BB7))</f>
        <v/>
      </c>
      <c r="BE7">
        <f>IF(BB7="","",INDEX($AF:$AF,BB7))</f>
        <v/>
      </c>
      <c r="BF7">
        <f>IF(BB7="","",INDEX($AL:$AL,BB7))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A8">
        <f>IFERROR(INDEX(MASTER_AREAS!$B:$B,7)&amp;"","")</f>
        <v/>
      </c>
      <c r="AB8">
        <f>IF(OR(AA8="",$B$10=0),0,COUNTIFS(DATA_CHOP!$A:$A,$B$10,DATA_CHOP!$C:$C,AA8))</f>
        <v/>
      </c>
      <c r="AC8">
        <f>IF(AB8=0,0,SUMIFS(DATA_CHOP!$I:$I,DATA_CHOP!$A:$A,$B$10,DATA_CHOP!$C:$C,AA8))</f>
        <v/>
      </c>
      <c r="AD8">
        <f>IF(OR(AA8="",$B$10=0),0,SUMIFS(DATA_CHOP!$I:$I,DATA_CHOP!$A:$A,$B$10-7,DATA_CHOP!$C:$C,AA8))</f>
        <v/>
      </c>
      <c r="AE8">
        <f>IF(OR(AA8="",$B$10=0),0,MAX(0,SUMIFS(DATA_SERVICE_AREAS!$G:$G,DATA_SERVICE_AREAS!$A:$A,$B$10,DATA_SERVICE_AREAS!$C:$C,"CHOP",DATA_SERVICE_AREAS!$D:$D,AA8)-COUNTIFS(MASTER_ZONES!$C:$C,AA8,MASTER_ZONES!$I:$I,"Y",MASTER_ZONES!$D:$D,"Y")))</f>
        <v/>
      </c>
      <c r="AF8">
        <f>IF(OR(AA8="",$B$10=0),0,MAX(0,SUMIFS(DATA_SERVICE_AREAS!$F:$F,DATA_SERVICE_AREAS!$A:$A,$B$10,DATA_SERVICE_AREAS!$C:$C,"CHOP",DATA_SERVICE_AREAS!$D:$D,AA8)-COUNTIFS(DATA_COMMUNITY!$A:$A,$B$10,DATA_COMMUNITY!$D:$D,"CHOP",DATA_COMMUNITY!$E:$E,AA8)))</f>
        <v/>
      </c>
      <c r="AG8">
        <f>IF(AE8=0,"",MIN(1,AF8/AE8))</f>
        <v/>
      </c>
      <c r="AH8">
        <f>IF(OR(AB8=0,AD8=0),"",AC8/AD8-1)</f>
        <v/>
      </c>
      <c r="AI8">
        <f>IF(AB8=0,"",AC8+ROW()/1000000)</f>
        <v/>
      </c>
      <c r="AJ8">
        <f>IF(AG8="","",AG8+ROW()/1000000000)</f>
        <v/>
      </c>
      <c r="AK8">
        <f>IF(AH8="","",AH8+ROW()/1000000000)</f>
        <v/>
      </c>
      <c r="AL8">
        <f>MAX(0,AE8-AF8)</f>
        <v/>
      </c>
      <c r="AM8">
        <f>IF(AND(AL8&gt;0,OR($B$6="*",AA8=$B$6)),ROW(),"")</f>
        <v/>
      </c>
      <c r="AO8">
        <f>IFERROR(INDEX($AA$3:$AA$95,MATCH(LARGE($AI$3:$AI$95,6),$AI$3:$AI$95,0)),"")</f>
        <v/>
      </c>
      <c r="AP8">
        <f>IFERROR(INDEX($AC$3:$AC$95,MATCH(LARGE($AI$3:$AI$95,6),$AI$3:$AI$95,0)),"")</f>
        <v/>
      </c>
      <c r="AQ8">
        <f>IFERROR(INDEX($AA$3:$AA$95,MATCH(SMALL($AI$3:$AI$95,6),$AI$3:$AI$95,0)),"")</f>
        <v/>
      </c>
      <c r="AR8">
        <f>IFERROR(INDEX($AC$3:$AC$95,MATCH(SMALL($AI$3:$AI$95,6),$AI$3:$AI$95,0)),"")</f>
        <v/>
      </c>
      <c r="AS8">
        <f>IFERROR(INDEX($AA$3:$AA$95,MATCH(LARGE($AJ$3:$AJ$95,6),$AJ$3:$AJ$95,0)),"")</f>
        <v/>
      </c>
      <c r="AT8">
        <f>IFERROR(INDEX($AG$3:$AG$95,MATCH(LARGE($AJ$3:$AJ$95,6),$AJ$3:$AJ$95,0)),"")</f>
        <v/>
      </c>
      <c r="AU8">
        <f>IFERROR(INDEX($AA$3:$AA$95,MATCH(SMALL($AJ$3:$AJ$95,6),$AJ$3:$AJ$95,0)),"")</f>
        <v/>
      </c>
      <c r="AV8">
        <f>IFERROR(INDEX($AG$3:$AG$95,MATCH(SMALL($AJ$3:$AJ$95,6),$AJ$3:$AJ$95,0)),"")</f>
        <v/>
      </c>
      <c r="AW8">
        <f>IFERROR(INDEX($AA$3:$AA$95,MATCH(LARGE($AK$3:$AK$95,6),$AK$3:$AK$95,0)),"")</f>
        <v/>
      </c>
      <c r="AX8">
        <f>IFERROR(INDEX($AH$3:$AH$95,MATCH(LARGE($AK$3:$AK$95,6),$AK$3:$AK$95,0)),"")</f>
        <v/>
      </c>
      <c r="AY8">
        <f>IFERROR(INDEX($AA$3:$AA$95,MATCH(SMALL($AK$3:$AK$95,6),$AK$3:$AK$95,0)),"")</f>
        <v/>
      </c>
      <c r="AZ8">
        <f>IFERROR(INDEX($AH$3:$AH$95,MATCH(SMALL($AK$3:$AK$95,6),$AK$3:$AK$95,0)),"")</f>
        <v/>
      </c>
      <c r="BB8">
        <f>IFERROR(SMALL($AM$3:$AM$95,6),"")</f>
        <v/>
      </c>
      <c r="BC8">
        <f>IF(BB8="","",INDEX($AA:$AA,BB8))</f>
        <v/>
      </c>
      <c r="BD8">
        <f>IF(BB8="","",INDEX($AE:$AE,BB8))</f>
        <v/>
      </c>
      <c r="BE8">
        <f>IF(BB8="","",INDEX($AF:$AF,BB8))</f>
        <v/>
      </c>
      <c r="BF8">
        <f>IF(BB8="","",INDEX($AL:$AL,BB8))</f>
        <v/>
      </c>
    </row>
    <row r="9">
      <c r="A9" t="inlineStr">
        <is>
          <t>Latest week with data</t>
        </is>
      </c>
      <c r="B9" s="284">
        <f>MAX(DATA_CHOP!$A:$A)</f>
        <v/>
      </c>
      <c r="AA9">
        <f>IFERROR(INDEX(MASTER_AREAS!$B:$B,8)&amp;"","")</f>
        <v/>
      </c>
      <c r="AB9">
        <f>IF(OR(AA9="",$B$10=0),0,COUNTIFS(DATA_CHOP!$A:$A,$B$10,DATA_CHOP!$C:$C,AA9))</f>
        <v/>
      </c>
      <c r="AC9">
        <f>IF(AB9=0,0,SUMIFS(DATA_CHOP!$I:$I,DATA_CHOP!$A:$A,$B$10,DATA_CHOP!$C:$C,AA9))</f>
        <v/>
      </c>
      <c r="AD9">
        <f>IF(OR(AA9="",$B$10=0),0,SUMIFS(DATA_CHOP!$I:$I,DATA_CHOP!$A:$A,$B$10-7,DATA_CHOP!$C:$C,AA9))</f>
        <v/>
      </c>
      <c r="AE9">
        <f>IF(OR(AA9="",$B$10=0),0,MAX(0,SUMIFS(DATA_SERVICE_AREAS!$G:$G,DATA_SERVICE_AREAS!$A:$A,$B$10,DATA_SERVICE_AREAS!$C:$C,"CHOP",DATA_SERVICE_AREAS!$D:$D,AA9)-COUNTIFS(MASTER_ZONES!$C:$C,AA9,MASTER_ZONES!$I:$I,"Y",MASTER_ZONES!$D:$D,"Y")))</f>
        <v/>
      </c>
      <c r="AF9">
        <f>IF(OR(AA9="",$B$10=0),0,MAX(0,SUMIFS(DATA_SERVICE_AREAS!$F:$F,DATA_SERVICE_AREAS!$A:$A,$B$10,DATA_SERVICE_AREAS!$C:$C,"CHOP",DATA_SERVICE_AREAS!$D:$D,AA9)-COUNTIFS(DATA_COMMUNITY!$A:$A,$B$10,DATA_COMMUNITY!$D:$D,"CHOP",DATA_COMMUNITY!$E:$E,AA9)))</f>
        <v/>
      </c>
      <c r="AG9">
        <f>IF(AE9=0,"",MIN(1,AF9/AE9))</f>
        <v/>
      </c>
      <c r="AH9">
        <f>IF(OR(AB9=0,AD9=0),"",AC9/AD9-1)</f>
        <v/>
      </c>
      <c r="AI9">
        <f>IF(AB9=0,"",AC9+ROW()/1000000)</f>
        <v/>
      </c>
      <c r="AJ9">
        <f>IF(AG9="","",AG9+ROW()/1000000000)</f>
        <v/>
      </c>
      <c r="AK9">
        <f>IF(AH9="","",AH9+ROW()/1000000000)</f>
        <v/>
      </c>
      <c r="AL9">
        <f>MAX(0,AE9-AF9)</f>
        <v/>
      </c>
      <c r="AM9">
        <f>IF(AND(AL9&gt;0,OR($B$6="*",AA9=$B$6)),ROW(),"")</f>
        <v/>
      </c>
      <c r="AO9">
        <f>IFERROR(INDEX($AA$3:$AA$95,MATCH(LARGE($AI$3:$AI$95,7),$AI$3:$AI$95,0)),"")</f>
        <v/>
      </c>
      <c r="AP9">
        <f>IFERROR(INDEX($AC$3:$AC$95,MATCH(LARGE($AI$3:$AI$95,7),$AI$3:$AI$95,0)),"")</f>
        <v/>
      </c>
      <c r="AQ9">
        <f>IFERROR(INDEX($AA$3:$AA$95,MATCH(SMALL($AI$3:$AI$95,7),$AI$3:$AI$95,0)),"")</f>
        <v/>
      </c>
      <c r="AR9">
        <f>IFERROR(INDEX($AC$3:$AC$95,MATCH(SMALL($AI$3:$AI$95,7),$AI$3:$AI$95,0)),"")</f>
        <v/>
      </c>
      <c r="AS9">
        <f>IFERROR(INDEX($AA$3:$AA$95,MATCH(LARGE($AJ$3:$AJ$95,7),$AJ$3:$AJ$95,0)),"")</f>
        <v/>
      </c>
      <c r="AT9">
        <f>IFERROR(INDEX($AG$3:$AG$95,MATCH(LARGE($AJ$3:$AJ$95,7),$AJ$3:$AJ$95,0)),"")</f>
        <v/>
      </c>
      <c r="AU9">
        <f>IFERROR(INDEX($AA$3:$AA$95,MATCH(SMALL($AJ$3:$AJ$95,7),$AJ$3:$AJ$95,0)),"")</f>
        <v/>
      </c>
      <c r="AV9">
        <f>IFERROR(INDEX($AG$3:$AG$95,MATCH(SMALL($AJ$3:$AJ$95,7),$AJ$3:$AJ$95,0)),"")</f>
        <v/>
      </c>
      <c r="AW9">
        <f>IFERROR(INDEX($AA$3:$AA$95,MATCH(LARGE($AK$3:$AK$95,7),$AK$3:$AK$95,0)),"")</f>
        <v/>
      </c>
      <c r="AX9">
        <f>IFERROR(INDEX($AH$3:$AH$95,MATCH(LARGE($AK$3:$AK$95,7),$AK$3:$AK$95,0)),"")</f>
        <v/>
      </c>
      <c r="AY9">
        <f>IFERROR(INDEX($AA$3:$AA$95,MATCH(SMALL($AK$3:$AK$95,7),$AK$3:$AK$95,0)),"")</f>
        <v/>
      </c>
      <c r="AZ9">
        <f>IFERROR(INDEX($AH$3:$AH$95,MATCH(SMALL($AK$3:$AK$95,7),$AK$3:$AK$95,0)),"")</f>
        <v/>
      </c>
      <c r="BB9">
        <f>IFERROR(SMALL($AM$3:$AM$95,7),"")</f>
        <v/>
      </c>
      <c r="BC9">
        <f>IF(BB9="","",INDEX($AA:$AA,BB9))</f>
        <v/>
      </c>
      <c r="BD9">
        <f>IF(BB9="","",INDEX($AE:$AE,BB9))</f>
        <v/>
      </c>
      <c r="BE9">
        <f>IF(BB9="","",INDEX($AF:$AF,BB9))</f>
        <v/>
      </c>
      <c r="BF9">
        <f>IF(BB9="","",INDEX($AL:$AL,BB9))</f>
        <v/>
      </c>
    </row>
    <row r="10">
      <c r="A10" t="inlineStr">
        <is>
          <t>Selected week</t>
        </is>
      </c>
      <c r="B10" s="284">
        <f>IF(ISNUMBER('CHOP DASHBOARD'!I4),'CHOP DASHBOARD'!I4,B9)</f>
        <v/>
      </c>
      <c r="AA10">
        <f>IFERROR(INDEX(MASTER_AREAS!$B:$B,9)&amp;"","")</f>
        <v/>
      </c>
      <c r="AB10">
        <f>IF(OR(AA10="",$B$10=0),0,COUNTIFS(DATA_CHOP!$A:$A,$B$10,DATA_CHOP!$C:$C,AA10))</f>
        <v/>
      </c>
      <c r="AC10">
        <f>IF(AB10=0,0,SUMIFS(DATA_CHOP!$I:$I,DATA_CHOP!$A:$A,$B$10,DATA_CHOP!$C:$C,AA10))</f>
        <v/>
      </c>
      <c r="AD10">
        <f>IF(OR(AA10="",$B$10=0),0,SUMIFS(DATA_CHOP!$I:$I,DATA_CHOP!$A:$A,$B$10-7,DATA_CHOP!$C:$C,AA10))</f>
        <v/>
      </c>
      <c r="AE10">
        <f>IF(OR(AA10="",$B$10=0),0,MAX(0,SUMIFS(DATA_SERVICE_AREAS!$G:$G,DATA_SERVICE_AREAS!$A:$A,$B$10,DATA_SERVICE_AREAS!$C:$C,"CHOP",DATA_SERVICE_AREAS!$D:$D,AA10)-COUNTIFS(MASTER_ZONES!$C:$C,AA10,MASTER_ZONES!$I:$I,"Y",MASTER_ZONES!$D:$D,"Y")))</f>
        <v/>
      </c>
      <c r="AF10">
        <f>IF(OR(AA10="",$B$10=0),0,MAX(0,SUMIFS(DATA_SERVICE_AREAS!$F:$F,DATA_SERVICE_AREAS!$A:$A,$B$10,DATA_SERVICE_AREAS!$C:$C,"CHOP",DATA_SERVICE_AREAS!$D:$D,AA10)-COUNTIFS(DATA_COMMUNITY!$A:$A,$B$10,DATA_COMMUNITY!$D:$D,"CHOP",DATA_COMMUNITY!$E:$E,AA10)))</f>
        <v/>
      </c>
      <c r="AG10">
        <f>IF(AE10=0,"",MIN(1,AF10/AE10))</f>
        <v/>
      </c>
      <c r="AH10">
        <f>IF(OR(AB10=0,AD10=0),"",AC10/AD10-1)</f>
        <v/>
      </c>
      <c r="AI10">
        <f>IF(AB10=0,"",AC10+ROW()/1000000)</f>
        <v/>
      </c>
      <c r="AJ10">
        <f>IF(AG10="","",AG10+ROW()/1000000000)</f>
        <v/>
      </c>
      <c r="AK10">
        <f>IF(AH10="","",AH10+ROW()/1000000000)</f>
        <v/>
      </c>
      <c r="AL10">
        <f>MAX(0,AE10-AF10)</f>
        <v/>
      </c>
      <c r="AM10">
        <f>IF(AND(AL10&gt;0,OR($B$6="*",AA10=$B$6)),ROW(),"")</f>
        <v/>
      </c>
      <c r="AO10">
        <f>IFERROR(INDEX($AA$3:$AA$95,MATCH(LARGE($AI$3:$AI$95,8),$AI$3:$AI$95,0)),"")</f>
        <v/>
      </c>
      <c r="AP10">
        <f>IFERROR(INDEX($AC$3:$AC$95,MATCH(LARGE($AI$3:$AI$95,8),$AI$3:$AI$95,0)),"")</f>
        <v/>
      </c>
      <c r="AQ10">
        <f>IFERROR(INDEX($AA$3:$AA$95,MATCH(SMALL($AI$3:$AI$95,8),$AI$3:$AI$95,0)),"")</f>
        <v/>
      </c>
      <c r="AR10">
        <f>IFERROR(INDEX($AC$3:$AC$95,MATCH(SMALL($AI$3:$AI$95,8),$AI$3:$AI$95,0)),"")</f>
        <v/>
      </c>
      <c r="AS10">
        <f>IFERROR(INDEX($AA$3:$AA$95,MATCH(LARGE($AJ$3:$AJ$95,8),$AJ$3:$AJ$95,0)),"")</f>
        <v/>
      </c>
      <c r="AT10">
        <f>IFERROR(INDEX($AG$3:$AG$95,MATCH(LARGE($AJ$3:$AJ$95,8),$AJ$3:$AJ$95,0)),"")</f>
        <v/>
      </c>
      <c r="AU10">
        <f>IFERROR(INDEX($AA$3:$AA$95,MATCH(SMALL($AJ$3:$AJ$95,8),$AJ$3:$AJ$95,0)),"")</f>
        <v/>
      </c>
      <c r="AV10">
        <f>IFERROR(INDEX($AG$3:$AG$95,MATCH(SMALL($AJ$3:$AJ$95,8),$AJ$3:$AJ$95,0)),"")</f>
        <v/>
      </c>
      <c r="AW10">
        <f>IFERROR(INDEX($AA$3:$AA$95,MATCH(LARGE($AK$3:$AK$95,8),$AK$3:$AK$95,0)),"")</f>
        <v/>
      </c>
      <c r="AX10">
        <f>IFERROR(INDEX($AH$3:$AH$95,MATCH(LARGE($AK$3:$AK$95,8),$AK$3:$AK$95,0)),"")</f>
        <v/>
      </c>
      <c r="AY10">
        <f>IFERROR(INDEX($AA$3:$AA$95,MATCH(SMALL($AK$3:$AK$95,8),$AK$3:$AK$95,0)),"")</f>
        <v/>
      </c>
      <c r="AZ10">
        <f>IFERROR(INDEX($AH$3:$AH$95,MATCH(SMALL($AK$3:$AK$95,8),$AK$3:$AK$95,0)),"")</f>
        <v/>
      </c>
      <c r="BB10">
        <f>IFERROR(SMALL($AM$3:$AM$95,8),"")</f>
        <v/>
      </c>
      <c r="BC10">
        <f>IF(BB10="","",INDEX($AA:$AA,BB10))</f>
        <v/>
      </c>
      <c r="BD10">
        <f>IF(BB10="","",INDEX($AE:$AE,BB10))</f>
        <v/>
      </c>
      <c r="BE10">
        <f>IF(BB10="","",INDEX($AF:$AF,BB10))</f>
        <v/>
      </c>
      <c r="BF10">
        <f>IF(BB10="","",INDEX($AL:$AL,BB10))</f>
        <v/>
      </c>
    </row>
    <row r="11">
      <c r="A11" t="inlineStr">
        <is>
          <t>Window N (weeks)</t>
        </is>
      </c>
      <c r="B11">
        <f>IF(ISNUMBER('CHOP DASHBOARD'!K4),'CHOP DASHBOARD'!K4,DefaultWindow)</f>
        <v/>
      </c>
      <c r="AA11">
        <f>IFERROR(INDEX(MASTER_AREAS!$B:$B,10)&amp;"","")</f>
        <v/>
      </c>
      <c r="AB11">
        <f>IF(OR(AA11="",$B$10=0),0,COUNTIFS(DATA_CHOP!$A:$A,$B$10,DATA_CHOP!$C:$C,AA11))</f>
        <v/>
      </c>
      <c r="AC11">
        <f>IF(AB11=0,0,SUMIFS(DATA_CHOP!$I:$I,DATA_CHOP!$A:$A,$B$10,DATA_CHOP!$C:$C,AA11))</f>
        <v/>
      </c>
      <c r="AD11">
        <f>IF(OR(AA11="",$B$10=0),0,SUMIFS(DATA_CHOP!$I:$I,DATA_CHOP!$A:$A,$B$10-7,DATA_CHOP!$C:$C,AA11))</f>
        <v/>
      </c>
      <c r="AE11">
        <f>IF(OR(AA11="",$B$10=0),0,MAX(0,SUMIFS(DATA_SERVICE_AREAS!$G:$G,DATA_SERVICE_AREAS!$A:$A,$B$10,DATA_SERVICE_AREAS!$C:$C,"CHOP",DATA_SERVICE_AREAS!$D:$D,AA11)-COUNTIFS(MASTER_ZONES!$C:$C,AA11,MASTER_ZONES!$I:$I,"Y",MASTER_ZONES!$D:$D,"Y")))</f>
        <v/>
      </c>
      <c r="AF11">
        <f>IF(OR(AA11="",$B$10=0),0,MAX(0,SUMIFS(DATA_SERVICE_AREAS!$F:$F,DATA_SERVICE_AREAS!$A:$A,$B$10,DATA_SERVICE_AREAS!$C:$C,"CHOP",DATA_SERVICE_AREAS!$D:$D,AA11)-COUNTIFS(DATA_COMMUNITY!$A:$A,$B$10,DATA_COMMUNITY!$D:$D,"CHOP",DATA_COMMUNITY!$E:$E,AA11)))</f>
        <v/>
      </c>
      <c r="AG11">
        <f>IF(AE11=0,"",MIN(1,AF11/AE11))</f>
        <v/>
      </c>
      <c r="AH11">
        <f>IF(OR(AB11=0,AD11=0),"",AC11/AD11-1)</f>
        <v/>
      </c>
      <c r="AI11">
        <f>IF(AB11=0,"",AC11+ROW()/1000000)</f>
        <v/>
      </c>
      <c r="AJ11">
        <f>IF(AG11="","",AG11+ROW()/1000000000)</f>
        <v/>
      </c>
      <c r="AK11">
        <f>IF(AH11="","",AH11+ROW()/1000000000)</f>
        <v/>
      </c>
      <c r="AL11">
        <f>MAX(0,AE11-AF11)</f>
        <v/>
      </c>
      <c r="AM11">
        <f>IF(AND(AL11&gt;0,OR($B$6="*",AA11=$B$6)),ROW(),"")</f>
        <v/>
      </c>
      <c r="AO11">
        <f>IFERROR(INDEX($AA$3:$AA$95,MATCH(LARGE($AI$3:$AI$95,9),$AI$3:$AI$95,0)),"")</f>
        <v/>
      </c>
      <c r="AP11">
        <f>IFERROR(INDEX($AC$3:$AC$95,MATCH(LARGE($AI$3:$AI$95,9),$AI$3:$AI$95,0)),"")</f>
        <v/>
      </c>
      <c r="AQ11">
        <f>IFERROR(INDEX($AA$3:$AA$95,MATCH(SMALL($AI$3:$AI$95,9),$AI$3:$AI$95,0)),"")</f>
        <v/>
      </c>
      <c r="AR11">
        <f>IFERROR(INDEX($AC$3:$AC$95,MATCH(SMALL($AI$3:$AI$95,9),$AI$3:$AI$95,0)),"")</f>
        <v/>
      </c>
      <c r="AS11">
        <f>IFERROR(INDEX($AA$3:$AA$95,MATCH(LARGE($AJ$3:$AJ$95,9),$AJ$3:$AJ$95,0)),"")</f>
        <v/>
      </c>
      <c r="AT11">
        <f>IFERROR(INDEX($AG$3:$AG$95,MATCH(LARGE($AJ$3:$AJ$95,9),$AJ$3:$AJ$95,0)),"")</f>
        <v/>
      </c>
      <c r="AU11">
        <f>IFERROR(INDEX($AA$3:$AA$95,MATCH(SMALL($AJ$3:$AJ$95,9),$AJ$3:$AJ$95,0)),"")</f>
        <v/>
      </c>
      <c r="AV11">
        <f>IFERROR(INDEX($AG$3:$AG$95,MATCH(SMALL($AJ$3:$AJ$95,9),$AJ$3:$AJ$95,0)),"")</f>
        <v/>
      </c>
      <c r="AW11">
        <f>IFERROR(INDEX($AA$3:$AA$95,MATCH(LARGE($AK$3:$AK$95,9),$AK$3:$AK$95,0)),"")</f>
        <v/>
      </c>
      <c r="AX11">
        <f>IFERROR(INDEX($AH$3:$AH$95,MATCH(LARGE($AK$3:$AK$95,9),$AK$3:$AK$95,0)),"")</f>
        <v/>
      </c>
      <c r="AY11">
        <f>IFERROR(INDEX($AA$3:$AA$95,MATCH(SMALL($AK$3:$AK$95,9),$AK$3:$AK$95,0)),"")</f>
        <v/>
      </c>
      <c r="AZ11">
        <f>IFERROR(INDEX($AH$3:$AH$95,MATCH(SMALL($AK$3:$AK$95,9),$AK$3:$AK$95,0)),"")</f>
        <v/>
      </c>
      <c r="BB11">
        <f>IFERROR(SMALL($AM$3:$AM$95,9),"")</f>
        <v/>
      </c>
      <c r="BC11">
        <f>IF(BB11="","",INDEX($AA:$AA,BB11))</f>
        <v/>
      </c>
      <c r="BD11">
        <f>IF(BB11="","",INDEX($AE:$AE,BB11))</f>
        <v/>
      </c>
      <c r="BE11">
        <f>IF(BB11="","",INDEX($AF:$AF,BB11))</f>
        <v/>
      </c>
      <c r="BF11">
        <f>IF(BB11="","",INDEX($AL:$AL,BB11))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IFERROR(INDEX(MASTER_AREAS!$B:$B,11)&amp;"","")</f>
        <v/>
      </c>
      <c r="AB12">
        <f>IF(OR(AA12="",$B$10=0),0,COUNTIFS(DATA_CHOP!$A:$A,$B$10,DATA_CHOP!$C:$C,AA12))</f>
        <v/>
      </c>
      <c r="AC12">
        <f>IF(AB12=0,0,SUMIFS(DATA_CHOP!$I:$I,DATA_CHOP!$A:$A,$B$10,DATA_CHOP!$C:$C,AA12))</f>
        <v/>
      </c>
      <c r="AD12">
        <f>IF(OR(AA12="",$B$10=0),0,SUMIFS(DATA_CHOP!$I:$I,DATA_CHOP!$A:$A,$B$10-7,DATA_CHOP!$C:$C,AA12))</f>
        <v/>
      </c>
      <c r="AE12">
        <f>IF(OR(AA12="",$B$10=0),0,MAX(0,SUMIFS(DATA_SERVICE_AREAS!$G:$G,DATA_SERVICE_AREAS!$A:$A,$B$10,DATA_SERVICE_AREAS!$C:$C,"CHOP",DATA_SERVICE_AREAS!$D:$D,AA12)-COUNTIFS(MASTER_ZONES!$C:$C,AA12,MASTER_ZONES!$I:$I,"Y",MASTER_ZONES!$D:$D,"Y")))</f>
        <v/>
      </c>
      <c r="AF12">
        <f>IF(OR(AA12="",$B$10=0),0,MAX(0,SUMIFS(DATA_SERVICE_AREAS!$F:$F,DATA_SERVICE_AREAS!$A:$A,$B$10,DATA_SERVICE_AREAS!$C:$C,"CHOP",DATA_SERVICE_AREAS!$D:$D,AA12)-COUNTIFS(DATA_COMMUNITY!$A:$A,$B$10,DATA_COMMUNITY!$D:$D,"CHOP",DATA_COMMUNITY!$E:$E,AA12)))</f>
        <v/>
      </c>
      <c r="AG12">
        <f>IF(AE12=0,"",MIN(1,AF12/AE12))</f>
        <v/>
      </c>
      <c r="AH12">
        <f>IF(OR(AB12=0,AD12=0),"",AC12/AD12-1)</f>
        <v/>
      </c>
      <c r="AI12">
        <f>IF(AB12=0,"",AC12+ROW()/1000000)</f>
        <v/>
      </c>
      <c r="AJ12">
        <f>IF(AG12="","",AG12+ROW()/1000000000)</f>
        <v/>
      </c>
      <c r="AK12">
        <f>IF(AH12="","",AH12+ROW()/1000000000)</f>
        <v/>
      </c>
      <c r="AL12">
        <f>MAX(0,AE12-AF12)</f>
        <v/>
      </c>
      <c r="AM12">
        <f>IF(AND(AL12&gt;0,OR($B$6="*",AA12=$B$6)),ROW(),"")</f>
        <v/>
      </c>
      <c r="AO12">
        <f>IFERROR(INDEX($AA$3:$AA$95,MATCH(LARGE($AI$3:$AI$95,10),$AI$3:$AI$95,0)),"")</f>
        <v/>
      </c>
      <c r="AP12">
        <f>IFERROR(INDEX($AC$3:$AC$95,MATCH(LARGE($AI$3:$AI$95,10),$AI$3:$AI$95,0)),"")</f>
        <v/>
      </c>
      <c r="AQ12">
        <f>IFERROR(INDEX($AA$3:$AA$95,MATCH(SMALL($AI$3:$AI$95,10),$AI$3:$AI$95,0)),"")</f>
        <v/>
      </c>
      <c r="AR12">
        <f>IFERROR(INDEX($AC$3:$AC$95,MATCH(SMALL($AI$3:$AI$95,10),$AI$3:$AI$95,0)),"")</f>
        <v/>
      </c>
      <c r="AS12">
        <f>IFERROR(INDEX($AA$3:$AA$95,MATCH(LARGE($AJ$3:$AJ$95,10),$AJ$3:$AJ$95,0)),"")</f>
        <v/>
      </c>
      <c r="AT12">
        <f>IFERROR(INDEX($AG$3:$AG$95,MATCH(LARGE($AJ$3:$AJ$95,10),$AJ$3:$AJ$95,0)),"")</f>
        <v/>
      </c>
      <c r="AU12">
        <f>IFERROR(INDEX($AA$3:$AA$95,MATCH(SMALL($AJ$3:$AJ$95,10),$AJ$3:$AJ$95,0)),"")</f>
        <v/>
      </c>
      <c r="AV12">
        <f>IFERROR(INDEX($AG$3:$AG$95,MATCH(SMALL($AJ$3:$AJ$95,10),$AJ$3:$AJ$95,0)),"")</f>
        <v/>
      </c>
      <c r="AW12">
        <f>IFERROR(INDEX($AA$3:$AA$95,MATCH(LARGE($AK$3:$AK$95,10),$AK$3:$AK$95,0)),"")</f>
        <v/>
      </c>
      <c r="AX12">
        <f>IFERROR(INDEX($AH$3:$AH$95,MATCH(LARGE($AK$3:$AK$95,10),$AK$3:$AK$95,0)),"")</f>
        <v/>
      </c>
      <c r="AY12">
        <f>IFERROR(INDEX($AA$3:$AA$95,MATCH(SMALL($AK$3:$AK$95,10),$AK$3:$AK$95,0)),"")</f>
        <v/>
      </c>
      <c r="AZ12">
        <f>IFERROR(INDEX($AH$3:$AH$95,MATCH(SMALL($AK$3:$AK$95,10),$AK$3:$AK$95,0)),"")</f>
        <v/>
      </c>
      <c r="BB12">
        <f>IFERROR(SMALL($AM$3:$AM$95,10),"")</f>
        <v/>
      </c>
      <c r="BC12">
        <f>IF(BB12="","",INDEX($AA:$AA,BB12))</f>
        <v/>
      </c>
      <c r="BD12">
        <f>IF(BB12="","",INDEX($AE:$AE,BB12))</f>
        <v/>
      </c>
      <c r="BE12">
        <f>IF(BB12="","",INDEX($AF:$AF,BB12))</f>
        <v/>
      </c>
      <c r="BF12">
        <f>IF(BB12="","",INDEX($AL:$AL,BB12))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IFERROR(INDEX(MASTER_AREAS!$B:$B,12)&amp;"","")</f>
        <v/>
      </c>
      <c r="AB13">
        <f>IF(OR(AA13="",$B$10=0),0,COUNTIFS(DATA_CHOP!$A:$A,$B$10,DATA_CHOP!$C:$C,AA13))</f>
        <v/>
      </c>
      <c r="AC13">
        <f>IF(AB13=0,0,SUMIFS(DATA_CHOP!$I:$I,DATA_CHOP!$A:$A,$B$10,DATA_CHOP!$C:$C,AA13))</f>
        <v/>
      </c>
      <c r="AD13">
        <f>IF(OR(AA13="",$B$10=0),0,SUMIFS(DATA_CHOP!$I:$I,DATA_CHOP!$A:$A,$B$10-7,DATA_CHOP!$C:$C,AA13))</f>
        <v/>
      </c>
      <c r="AE13">
        <f>IF(OR(AA13="",$B$10=0),0,MAX(0,SUMIFS(DATA_SERVICE_AREAS!$G:$G,DATA_SERVICE_AREAS!$A:$A,$B$10,DATA_SERVICE_AREAS!$C:$C,"CHOP",DATA_SERVICE_AREAS!$D:$D,AA13)-COUNTIFS(MASTER_ZONES!$C:$C,AA13,MASTER_ZONES!$I:$I,"Y",MASTER_ZONES!$D:$D,"Y")))</f>
        <v/>
      </c>
      <c r="AF13">
        <f>IF(OR(AA13="",$B$10=0),0,MAX(0,SUMIFS(DATA_SERVICE_AREAS!$F:$F,DATA_SERVICE_AREAS!$A:$A,$B$10,DATA_SERVICE_AREAS!$C:$C,"CHOP",DATA_SERVICE_AREAS!$D:$D,AA13)-COUNTIFS(DATA_COMMUNITY!$A:$A,$B$10,DATA_COMMUNITY!$D:$D,"CHOP",DATA_COMMUNITY!$E:$E,AA13)))</f>
        <v/>
      </c>
      <c r="AG13">
        <f>IF(AE13=0,"",MIN(1,AF13/AE13))</f>
        <v/>
      </c>
      <c r="AH13">
        <f>IF(OR(AB13=0,AD13=0),"",AC13/AD13-1)</f>
        <v/>
      </c>
      <c r="AI13">
        <f>IF(AB13=0,"",AC13+ROW()/1000000)</f>
        <v/>
      </c>
      <c r="AJ13">
        <f>IF(AG13="","",AG13+ROW()/1000000000)</f>
        <v/>
      </c>
      <c r="AK13">
        <f>IF(AH13="","",AH13+ROW()/1000000000)</f>
        <v/>
      </c>
      <c r="AL13">
        <f>MAX(0,AE13-AF13)</f>
        <v/>
      </c>
      <c r="AM13">
        <f>IF(AND(AL13&gt;0,OR($B$6="*",AA13=$B$6)),ROW(),"")</f>
        <v/>
      </c>
      <c r="BB13">
        <f>IFERROR(SMALL($AM$3:$AM$95,11),"")</f>
        <v/>
      </c>
      <c r="BC13">
        <f>IF(BB13="","",INDEX($AA:$AA,BB13))</f>
        <v/>
      </c>
      <c r="BD13">
        <f>IF(BB13="","",INDEX($AE:$AE,BB13))</f>
        <v/>
      </c>
      <c r="BE13">
        <f>IF(BB13="","",INDEX($AF:$AF,BB13))</f>
        <v/>
      </c>
      <c r="BF13">
        <f>IF(BB13="","",INDEX($AL:$AL,BB13))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IFERROR(INDEX(MASTER_AREAS!$B:$B,13)&amp;"","")</f>
        <v/>
      </c>
      <c r="AB14">
        <f>IF(OR(AA14="",$B$10=0),0,COUNTIFS(DATA_CHOP!$A:$A,$B$10,DATA_CHOP!$C:$C,AA14))</f>
        <v/>
      </c>
      <c r="AC14">
        <f>IF(AB14=0,0,SUMIFS(DATA_CHOP!$I:$I,DATA_CHOP!$A:$A,$B$10,DATA_CHOP!$C:$C,AA14))</f>
        <v/>
      </c>
      <c r="AD14">
        <f>IF(OR(AA14="",$B$10=0),0,SUMIFS(DATA_CHOP!$I:$I,DATA_CHOP!$A:$A,$B$10-7,DATA_CHOP!$C:$C,AA14))</f>
        <v/>
      </c>
      <c r="AE14">
        <f>IF(OR(AA14="",$B$10=0),0,MAX(0,SUMIFS(DATA_SERVICE_AREAS!$G:$G,DATA_SERVICE_AREAS!$A:$A,$B$10,DATA_SERVICE_AREAS!$C:$C,"CHOP",DATA_SERVICE_AREAS!$D:$D,AA14)-COUNTIFS(MASTER_ZONES!$C:$C,AA14,MASTER_ZONES!$I:$I,"Y",MASTER_ZONES!$D:$D,"Y")))</f>
        <v/>
      </c>
      <c r="AF14">
        <f>IF(OR(AA14="",$B$10=0),0,MAX(0,SUMIFS(DATA_SERVICE_AREAS!$F:$F,DATA_SERVICE_AREAS!$A:$A,$B$10,DATA_SERVICE_AREAS!$C:$C,"CHOP",DATA_SERVICE_AREAS!$D:$D,AA14)-COUNTIFS(DATA_COMMUNITY!$A:$A,$B$10,DATA_COMMUNITY!$D:$D,"CHOP",DATA_COMMUNITY!$E:$E,AA14)))</f>
        <v/>
      </c>
      <c r="AG14">
        <f>IF(AE14=0,"",MIN(1,AF14/AE14))</f>
        <v/>
      </c>
      <c r="AH14">
        <f>IF(OR(AB14=0,AD14=0),"",AC14/AD14-1)</f>
        <v/>
      </c>
      <c r="AI14">
        <f>IF(AB14=0,"",AC14+ROW()/1000000)</f>
        <v/>
      </c>
      <c r="AJ14">
        <f>IF(AG14="","",AG14+ROW()/1000000000)</f>
        <v/>
      </c>
      <c r="AK14">
        <f>IF(AH14="","",AH14+ROW()/1000000000)</f>
        <v/>
      </c>
      <c r="AL14">
        <f>MAX(0,AE14-AF14)</f>
        <v/>
      </c>
      <c r="AM14">
        <f>IF(AND(AL14&gt;0,OR($B$6="*",AA14=$B$6)),ROW(),"")</f>
        <v/>
      </c>
      <c r="BB14">
        <f>IFERROR(SMALL($AM$3:$AM$95,12),"")</f>
        <v/>
      </c>
      <c r="BC14">
        <f>IF(BB14="","",INDEX($AA:$AA,BB14))</f>
        <v/>
      </c>
      <c r="BD14">
        <f>IF(BB14="","",INDEX($AE:$AE,BB14))</f>
        <v/>
      </c>
      <c r="BE14">
        <f>IF(BB14="","",INDEX($AF:$AF,BB14))</f>
        <v/>
      </c>
      <c r="BF14">
        <f>IF(BB14="","",INDEX($AL:$AL,BB14))</f>
        <v/>
      </c>
    </row>
    <row r="15">
      <c r="A15" t="inlineStr">
        <is>
          <t>Any data</t>
        </is>
      </c>
      <c r="B15">
        <f>B9&gt;0</f>
        <v/>
      </c>
      <c r="AA15">
        <f>IFERROR(INDEX(MASTER_AREAS!$B:$B,14)&amp;"","")</f>
        <v/>
      </c>
      <c r="AB15">
        <f>IF(OR(AA15="",$B$10=0),0,COUNTIFS(DATA_CHOP!$A:$A,$B$10,DATA_CHOP!$C:$C,AA15))</f>
        <v/>
      </c>
      <c r="AC15">
        <f>IF(AB15=0,0,SUMIFS(DATA_CHOP!$I:$I,DATA_CHOP!$A:$A,$B$10,DATA_CHOP!$C:$C,AA15))</f>
        <v/>
      </c>
      <c r="AD15">
        <f>IF(OR(AA15="",$B$10=0),0,SUMIFS(DATA_CHOP!$I:$I,DATA_CHOP!$A:$A,$B$10-7,DATA_CHOP!$C:$C,AA15))</f>
        <v/>
      </c>
      <c r="AE15">
        <f>IF(OR(AA15="",$B$10=0),0,MAX(0,SUMIFS(DATA_SERVICE_AREAS!$G:$G,DATA_SERVICE_AREAS!$A:$A,$B$10,DATA_SERVICE_AREAS!$C:$C,"CHOP",DATA_SERVICE_AREAS!$D:$D,AA15)-COUNTIFS(MASTER_ZONES!$C:$C,AA15,MASTER_ZONES!$I:$I,"Y",MASTER_ZONES!$D:$D,"Y")))</f>
        <v/>
      </c>
      <c r="AF15">
        <f>IF(OR(AA15="",$B$10=0),0,MAX(0,SUMIFS(DATA_SERVICE_AREAS!$F:$F,DATA_SERVICE_AREAS!$A:$A,$B$10,DATA_SERVICE_AREAS!$C:$C,"CHOP",DATA_SERVICE_AREAS!$D:$D,AA15)-COUNTIFS(DATA_COMMUNITY!$A:$A,$B$10,DATA_COMMUNITY!$D:$D,"CHOP",DATA_COMMUNITY!$E:$E,AA15)))</f>
        <v/>
      </c>
      <c r="AG15">
        <f>IF(AE15=0,"",MIN(1,AF15/AE15))</f>
        <v/>
      </c>
      <c r="AH15">
        <f>IF(OR(AB15=0,AD15=0),"",AC15/AD15-1)</f>
        <v/>
      </c>
      <c r="AI15">
        <f>IF(AB15=0,"",AC15+ROW()/1000000)</f>
        <v/>
      </c>
      <c r="AJ15">
        <f>IF(AG15="","",AG15+ROW()/1000000000)</f>
        <v/>
      </c>
      <c r="AK15">
        <f>IF(AH15="","",AH15+ROW()/1000000000)</f>
        <v/>
      </c>
      <c r="AL15">
        <f>MAX(0,AE15-AF15)</f>
        <v/>
      </c>
      <c r="AM15">
        <f>IF(AND(AL15&gt;0,OR($B$6="*",AA15=$B$6)),ROW(),"")</f>
        <v/>
      </c>
      <c r="BB15">
        <f>IFERROR(SMALL($AM$3:$AM$95,13),"")</f>
        <v/>
      </c>
      <c r="BC15">
        <f>IF(BB15="","",INDEX($AA:$AA,BB15))</f>
        <v/>
      </c>
      <c r="BD15">
        <f>IF(BB15="","",INDEX($AE:$AE,BB15))</f>
        <v/>
      </c>
      <c r="BE15">
        <f>IF(BB15="","",INDEX($AF:$AF,BB15))</f>
        <v/>
      </c>
      <c r="BF15">
        <f>IF(BB15="","",INDEX($AL:$AL,BB15))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A16">
        <f>IFERROR(INDEX(MASTER_AREAS!$B:$B,15)&amp;"","")</f>
        <v/>
      </c>
      <c r="AB16">
        <f>IF(OR(AA16="",$B$10=0),0,COUNTIFS(DATA_CHOP!$A:$A,$B$10,DATA_CHOP!$C:$C,AA16))</f>
        <v/>
      </c>
      <c r="AC16">
        <f>IF(AB16=0,0,SUMIFS(DATA_CHOP!$I:$I,DATA_CHOP!$A:$A,$B$10,DATA_CHOP!$C:$C,AA16))</f>
        <v/>
      </c>
      <c r="AD16">
        <f>IF(OR(AA16="",$B$10=0),0,SUMIFS(DATA_CHOP!$I:$I,DATA_CHOP!$A:$A,$B$10-7,DATA_CHOP!$C:$C,AA16))</f>
        <v/>
      </c>
      <c r="AE16">
        <f>IF(OR(AA16="",$B$10=0),0,MAX(0,SUMIFS(DATA_SERVICE_AREAS!$G:$G,DATA_SERVICE_AREAS!$A:$A,$B$10,DATA_SERVICE_AREAS!$C:$C,"CHOP",DATA_SERVICE_AREAS!$D:$D,AA16)-COUNTIFS(MASTER_ZONES!$C:$C,AA16,MASTER_ZONES!$I:$I,"Y",MASTER_ZONES!$D:$D,"Y")))</f>
        <v/>
      </c>
      <c r="AF16">
        <f>IF(OR(AA16="",$B$10=0),0,MAX(0,SUMIFS(DATA_SERVICE_AREAS!$F:$F,DATA_SERVICE_AREAS!$A:$A,$B$10,DATA_SERVICE_AREAS!$C:$C,"CHOP",DATA_SERVICE_AREAS!$D:$D,AA16)-COUNTIFS(DATA_COMMUNITY!$A:$A,$B$10,DATA_COMMUNITY!$D:$D,"CHOP",DATA_COMMUNITY!$E:$E,AA16)))</f>
        <v/>
      </c>
      <c r="AG16">
        <f>IF(AE16=0,"",MIN(1,AF16/AE16))</f>
        <v/>
      </c>
      <c r="AH16">
        <f>IF(OR(AB16=0,AD16=0),"",AC16/AD16-1)</f>
        <v/>
      </c>
      <c r="AI16">
        <f>IF(AB16=0,"",AC16+ROW()/1000000)</f>
        <v/>
      </c>
      <c r="AJ16">
        <f>IF(AG16="","",AG16+ROW()/1000000000)</f>
        <v/>
      </c>
      <c r="AK16">
        <f>IF(AH16="","",AH16+ROW()/1000000000)</f>
        <v/>
      </c>
      <c r="AL16">
        <f>MAX(0,AE16-AF16)</f>
        <v/>
      </c>
      <c r="AM16">
        <f>IF(AND(AL16&gt;0,OR($B$6="*",AA16=$B$6)),ROW(),"")</f>
        <v/>
      </c>
      <c r="BB16">
        <f>IFERROR(SMALL($AM$3:$AM$95,14),"")</f>
        <v/>
      </c>
      <c r="BC16">
        <f>IF(BB16="","",INDEX($AA:$AA,BB16))</f>
        <v/>
      </c>
      <c r="BD16">
        <f>IF(BB16="","",INDEX($AE:$AE,BB16))</f>
        <v/>
      </c>
      <c r="BE16">
        <f>IF(BB16="","",INDEX($AF:$AF,BB16))</f>
        <v/>
      </c>
      <c r="BF16">
        <f>IF(BB16="","",INDEX($AL:$AL,BB16))</f>
        <v/>
      </c>
    </row>
    <row r="17">
      <c r="A17" t="inlineStr">
        <is>
          <t>Zone is in this service</t>
        </is>
      </c>
      <c r="B17">
        <f>IF(B3&lt;&gt;"Zone",TRUE,IFERROR(INDEX(MASTER_ZONES!$D:$D,MATCH(B4,MASTER_ZONES!$B:$B,0))="Y",FALSE))</f>
        <v/>
      </c>
      <c r="AA17">
        <f>IFERROR(INDEX(MASTER_AREAS!$B:$B,16)&amp;"","")</f>
        <v/>
      </c>
      <c r="AB17">
        <f>IF(OR(AA17="",$B$10=0),0,COUNTIFS(DATA_CHOP!$A:$A,$B$10,DATA_CHOP!$C:$C,AA17))</f>
        <v/>
      </c>
      <c r="AC17">
        <f>IF(AB17=0,0,SUMIFS(DATA_CHOP!$I:$I,DATA_CHOP!$A:$A,$B$10,DATA_CHOP!$C:$C,AA17))</f>
        <v/>
      </c>
      <c r="AD17">
        <f>IF(OR(AA17="",$B$10=0),0,SUMIFS(DATA_CHOP!$I:$I,DATA_CHOP!$A:$A,$B$10-7,DATA_CHOP!$C:$C,AA17))</f>
        <v/>
      </c>
      <c r="AE17">
        <f>IF(OR(AA17="",$B$10=0),0,MAX(0,SUMIFS(DATA_SERVICE_AREAS!$G:$G,DATA_SERVICE_AREAS!$A:$A,$B$10,DATA_SERVICE_AREAS!$C:$C,"CHOP",DATA_SERVICE_AREAS!$D:$D,AA17)-COUNTIFS(MASTER_ZONES!$C:$C,AA17,MASTER_ZONES!$I:$I,"Y",MASTER_ZONES!$D:$D,"Y")))</f>
        <v/>
      </c>
      <c r="AF17">
        <f>IF(OR(AA17="",$B$10=0),0,MAX(0,SUMIFS(DATA_SERVICE_AREAS!$F:$F,DATA_SERVICE_AREAS!$A:$A,$B$10,DATA_SERVICE_AREAS!$C:$C,"CHOP",DATA_SERVICE_AREAS!$D:$D,AA17)-COUNTIFS(DATA_COMMUNITY!$A:$A,$B$10,DATA_COMMUNITY!$D:$D,"CHOP",DATA_COMMUNITY!$E:$E,AA17)))</f>
        <v/>
      </c>
      <c r="AG17">
        <f>IF(AE17=0,"",MIN(1,AF17/AE17))</f>
        <v/>
      </c>
      <c r="AH17">
        <f>IF(OR(AB17=0,AD17=0),"",AC17/AD17-1)</f>
        <v/>
      </c>
      <c r="AI17">
        <f>IF(AB17=0,"",AC17+ROW()/1000000)</f>
        <v/>
      </c>
      <c r="AJ17">
        <f>IF(AG17="","",AG17+ROW()/1000000000)</f>
        <v/>
      </c>
      <c r="AK17">
        <f>IF(AH17="","",AH17+ROW()/1000000000)</f>
        <v/>
      </c>
      <c r="AL17">
        <f>MAX(0,AE17-AF17)</f>
        <v/>
      </c>
      <c r="AM17">
        <f>IF(AND(AL17&gt;0,OR($B$6="*",AA17=$B$6)),ROW(),"")</f>
        <v/>
      </c>
      <c r="BB17">
        <f>IFERROR(SMALL($AM$3:$AM$95,15),"")</f>
        <v/>
      </c>
      <c r="BC17">
        <f>IF(BB17="","",INDEX($AA:$AA,BB17))</f>
        <v/>
      </c>
      <c r="BD17">
        <f>IF(BB17="","",INDEX($AE:$AE,BB17))</f>
        <v/>
      </c>
      <c r="BE17">
        <f>IF(BB17="","",INDEX($AF:$AF,BB17))</f>
        <v/>
      </c>
      <c r="BF17">
        <f>IF(BB17="","",INDEX($AL:$AL,BB17))</f>
        <v/>
      </c>
    </row>
    <row r="18">
      <c r="A18" t="inlineStr">
        <is>
          <t>Zone is a Community Church</t>
        </is>
      </c>
      <c r="B18">
        <f>IF(B3&lt;&gt;"Zone",FALSE,IFERROR(INDEX(MASTER_ZONES!$I:$I,MATCH(B4,MASTER_ZONES!$B:$B,0))="Y",FALSE))</f>
        <v/>
      </c>
      <c r="AA18">
        <f>IFERROR(INDEX(MASTER_AREAS!$B:$B,17)&amp;"","")</f>
        <v/>
      </c>
      <c r="AB18">
        <f>IF(OR(AA18="",$B$10=0),0,COUNTIFS(DATA_CHOP!$A:$A,$B$10,DATA_CHOP!$C:$C,AA18))</f>
        <v/>
      </c>
      <c r="AC18">
        <f>IF(AB18=0,0,SUMIFS(DATA_CHOP!$I:$I,DATA_CHOP!$A:$A,$B$10,DATA_CHOP!$C:$C,AA18))</f>
        <v/>
      </c>
      <c r="AD18">
        <f>IF(OR(AA18="",$B$10=0),0,SUMIFS(DATA_CHOP!$I:$I,DATA_CHOP!$A:$A,$B$10-7,DATA_CHOP!$C:$C,AA18))</f>
        <v/>
      </c>
      <c r="AE18">
        <f>IF(OR(AA18="",$B$10=0),0,MAX(0,SUMIFS(DATA_SERVICE_AREAS!$G:$G,DATA_SERVICE_AREAS!$A:$A,$B$10,DATA_SERVICE_AREAS!$C:$C,"CHOP",DATA_SERVICE_AREAS!$D:$D,AA18)-COUNTIFS(MASTER_ZONES!$C:$C,AA18,MASTER_ZONES!$I:$I,"Y",MASTER_ZONES!$D:$D,"Y")))</f>
        <v/>
      </c>
      <c r="AF18">
        <f>IF(OR(AA18="",$B$10=0),0,MAX(0,SUMIFS(DATA_SERVICE_AREAS!$F:$F,DATA_SERVICE_AREAS!$A:$A,$B$10,DATA_SERVICE_AREAS!$C:$C,"CHOP",DATA_SERVICE_AREAS!$D:$D,AA18)-COUNTIFS(DATA_COMMUNITY!$A:$A,$B$10,DATA_COMMUNITY!$D:$D,"CHOP",DATA_COMMUNITY!$E:$E,AA18)))</f>
        <v/>
      </c>
      <c r="AG18">
        <f>IF(AE18=0,"",MIN(1,AF18/AE18))</f>
        <v/>
      </c>
      <c r="AH18">
        <f>IF(OR(AB18=0,AD18=0),"",AC18/AD18-1)</f>
        <v/>
      </c>
      <c r="AI18">
        <f>IF(AB18=0,"",AC18+ROW()/1000000)</f>
        <v/>
      </c>
      <c r="AJ18">
        <f>IF(AG18="","",AG18+ROW()/1000000000)</f>
        <v/>
      </c>
      <c r="AK18">
        <f>IF(AH18="","",AH18+ROW()/1000000000)</f>
        <v/>
      </c>
      <c r="AL18">
        <f>MAX(0,AE18-AF18)</f>
        <v/>
      </c>
      <c r="AM18">
        <f>IF(AND(AL18&gt;0,OR($B$6="*",AA18=$B$6)),ROW(),"")</f>
        <v/>
      </c>
      <c r="BB18">
        <f>IFERROR(SMALL($AM$3:$AM$95,16),"")</f>
        <v/>
      </c>
      <c r="BC18">
        <f>IF(BB18="","",INDEX($AA:$AA,BB18))</f>
        <v/>
      </c>
      <c r="BD18">
        <f>IF(BB18="","",INDEX($AE:$AE,BB18))</f>
        <v/>
      </c>
      <c r="BE18">
        <f>IF(BB18="","",INDEX($AF:$AF,BB18))</f>
        <v/>
      </c>
      <c r="BF18">
        <f>IF(BB18="","",INDEX($AL:$AL,BB18))</f>
        <v/>
      </c>
    </row>
    <row r="19">
      <c r="AA19">
        <f>IFERROR(INDEX(MASTER_AREAS!$B:$B,18)&amp;"","")</f>
        <v/>
      </c>
      <c r="AB19">
        <f>IF(OR(AA19="",$B$10=0),0,COUNTIFS(DATA_CHOP!$A:$A,$B$10,DATA_CHOP!$C:$C,AA19))</f>
        <v/>
      </c>
      <c r="AC19">
        <f>IF(AB19=0,0,SUMIFS(DATA_CHOP!$I:$I,DATA_CHOP!$A:$A,$B$10,DATA_CHOP!$C:$C,AA19))</f>
        <v/>
      </c>
      <c r="AD19">
        <f>IF(OR(AA19="",$B$10=0),0,SUMIFS(DATA_CHOP!$I:$I,DATA_CHOP!$A:$A,$B$10-7,DATA_CHOP!$C:$C,AA19))</f>
        <v/>
      </c>
      <c r="AE19">
        <f>IF(OR(AA19="",$B$10=0),0,MAX(0,SUMIFS(DATA_SERVICE_AREAS!$G:$G,DATA_SERVICE_AREAS!$A:$A,$B$10,DATA_SERVICE_AREAS!$C:$C,"CHOP",DATA_SERVICE_AREAS!$D:$D,AA19)-COUNTIFS(MASTER_ZONES!$C:$C,AA19,MASTER_ZONES!$I:$I,"Y",MASTER_ZONES!$D:$D,"Y")))</f>
        <v/>
      </c>
      <c r="AF19">
        <f>IF(OR(AA19="",$B$10=0),0,MAX(0,SUMIFS(DATA_SERVICE_AREAS!$F:$F,DATA_SERVICE_AREAS!$A:$A,$B$10,DATA_SERVICE_AREAS!$C:$C,"CHOP",DATA_SERVICE_AREAS!$D:$D,AA19)-COUNTIFS(DATA_COMMUNITY!$A:$A,$B$10,DATA_COMMUNITY!$D:$D,"CHOP",DATA_COMMUNITY!$E:$E,AA19)))</f>
        <v/>
      </c>
      <c r="AG19">
        <f>IF(AE19=0,"",MIN(1,AF19/AE19))</f>
        <v/>
      </c>
      <c r="AH19">
        <f>IF(OR(AB19=0,AD19=0),"",AC19/AD19-1)</f>
        <v/>
      </c>
      <c r="AI19">
        <f>IF(AB19=0,"",AC19+ROW()/1000000)</f>
        <v/>
      </c>
      <c r="AJ19">
        <f>IF(AG19="","",AG19+ROW()/1000000000)</f>
        <v/>
      </c>
      <c r="AK19">
        <f>IF(AH19="","",AH19+ROW()/1000000000)</f>
        <v/>
      </c>
      <c r="AL19">
        <f>MAX(0,AE19-AF19)</f>
        <v/>
      </c>
      <c r="AM19">
        <f>IF(AND(AL19&gt;0,OR($B$6="*",AA19=$B$6)),ROW(),"")</f>
        <v/>
      </c>
      <c r="BB19">
        <f>IFERROR(SMALL($AM$3:$AM$95,17),"")</f>
        <v/>
      </c>
      <c r="BC19">
        <f>IF(BB19="","",INDEX($AA:$AA,BB19))</f>
        <v/>
      </c>
      <c r="BD19">
        <f>IF(BB19="","",INDEX($AE:$AE,BB19))</f>
        <v/>
      </c>
      <c r="BE19">
        <f>IF(BB19="","",INDEX($AF:$AF,BB19))</f>
        <v/>
      </c>
      <c r="BF19">
        <f>IF(BB19="","",INDEX($AL:$AL,BB19))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universe</t>
        </is>
      </c>
      <c r="O20" t="inlineStr">
        <is>
          <t>reported</t>
        </is>
      </c>
      <c r="P20" t="inlineStr">
        <is>
          <t>notrep</t>
        </is>
      </c>
      <c r="Q20" t="inlineStr">
        <is>
          <t>pct</t>
        </is>
      </c>
      <c r="R20" t="inlineStr">
        <is>
          <t>avg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IFERROR(INDEX(MASTER_AREAS!$B:$B,19)&amp;"","")</f>
        <v/>
      </c>
      <c r="AB20">
        <f>IF(OR(AA20="",$B$10=0),0,COUNTIFS(DATA_CHOP!$A:$A,$B$10,DATA_CHOP!$C:$C,AA20))</f>
        <v/>
      </c>
      <c r="AC20">
        <f>IF(AB20=0,0,SUMIFS(DATA_CHOP!$I:$I,DATA_CHOP!$A:$A,$B$10,DATA_CHOP!$C:$C,AA20))</f>
        <v/>
      </c>
      <c r="AD20">
        <f>IF(OR(AA20="",$B$10=0),0,SUMIFS(DATA_CHOP!$I:$I,DATA_CHOP!$A:$A,$B$10-7,DATA_CHOP!$C:$C,AA20))</f>
        <v/>
      </c>
      <c r="AE20">
        <f>IF(OR(AA20="",$B$10=0),0,MAX(0,SUMIFS(DATA_SERVICE_AREAS!$G:$G,DATA_SERVICE_AREAS!$A:$A,$B$10,DATA_SERVICE_AREAS!$C:$C,"CHOP",DATA_SERVICE_AREAS!$D:$D,AA20)-COUNTIFS(MASTER_ZONES!$C:$C,AA20,MASTER_ZONES!$I:$I,"Y",MASTER_ZONES!$D:$D,"Y")))</f>
        <v/>
      </c>
      <c r="AF20">
        <f>IF(OR(AA20="",$B$10=0),0,MAX(0,SUMIFS(DATA_SERVICE_AREAS!$F:$F,DATA_SERVICE_AREAS!$A:$A,$B$10,DATA_SERVICE_AREAS!$C:$C,"CHOP",DATA_SERVICE_AREAS!$D:$D,AA20)-COUNTIFS(DATA_COMMUNITY!$A:$A,$B$10,DATA_COMMUNITY!$D:$D,"CHOP",DATA_COMMUNITY!$E:$E,AA20)))</f>
        <v/>
      </c>
      <c r="AG20">
        <f>IF(AE20=0,"",MIN(1,AF20/AE20))</f>
        <v/>
      </c>
      <c r="AH20">
        <f>IF(OR(AB20=0,AD20=0),"",AC20/AD20-1)</f>
        <v/>
      </c>
      <c r="AI20">
        <f>IF(AB20=0,"",AC20+ROW()/1000000)</f>
        <v/>
      </c>
      <c r="AJ20">
        <f>IF(AG20="","",AG20+ROW()/1000000000)</f>
        <v/>
      </c>
      <c r="AK20">
        <f>IF(AH20="","",AH20+ROW()/1000000000)</f>
        <v/>
      </c>
      <c r="AL20">
        <f>MAX(0,AE20-AF20)</f>
        <v/>
      </c>
      <c r="AM20">
        <f>IF(AND(AL20&gt;0,OR($B$6="*",AA20=$B$6)),ROW(),"")</f>
        <v/>
      </c>
      <c r="BB20">
        <f>IFERROR(SMALL($AM$3:$AM$95,18),"")</f>
        <v/>
      </c>
      <c r="BC20">
        <f>IF(BB20="","",INDEX($AA:$AA,BB20))</f>
        <v/>
      </c>
      <c r="BD20">
        <f>IF(BB20="","",INDEX($AE:$AE,BB20))</f>
        <v/>
      </c>
      <c r="BE20">
        <f>IF(BB20="","",INDEX($AF:$AF,BB20))</f>
        <v/>
      </c>
      <c r="BF20">
        <f>IF(BB20="","",INDEX($AL:$AL,BB20))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IF(B21="",0,COUNTIFS(DATA_CHOP!$A:$A,B21,DATA_CHOP!$C:$C,$B$6,DATA_CHOP!$D:$D,$B$7))</f>
        <v/>
      </c>
      <c r="G21">
        <f>IF(F21=0,0,SUMIFS(DATA_CHOP!$E:$E,DATA_CHOP!$A:$A,B21,DATA_CHOP!$C:$C,$B$6,DATA_CHOP!$D:$D,$B$7))</f>
        <v/>
      </c>
      <c r="H21">
        <f>IF(F21=0,0,SUMIFS(DATA_CHOP!$F:$F,DATA_CHOP!$A:$A,B21,DATA_CHOP!$C:$C,$B$6,DATA_CHOP!$D:$D,$B$7))</f>
        <v/>
      </c>
      <c r="I21">
        <f>IF(F21=0,0,SUMIFS(DATA_CHOP!$H:$H,DATA_CHOP!$A:$A,B21,DATA_CHOP!$C:$C,$B$6,DATA_CHOP!$D:$D,$B$7))</f>
        <v/>
      </c>
      <c r="J21">
        <f>G21+H21</f>
        <v/>
      </c>
      <c r="K21">
        <f>J21+I21</f>
        <v/>
      </c>
      <c r="L21">
        <f>IF(F21=0,0,SUMIFS(DATA_CHOP!$J:$J,DATA_CHOP!$A:$A,B21,DATA_CHOP!$C:$C,$B$6,DATA_CHOP!$D:$D,$B$7))</f>
        <v/>
      </c>
      <c r="M21">
        <f>IF(F21=0,0,SUMIFS(DATA_CHOP!$K:$K,DATA_CHOP!$A:$A,B21,DATA_CHOP!$C:$C,$B$6,DATA_CHOP!$D:$D,$B$7))</f>
        <v/>
      </c>
      <c r="N21">
        <f>IF(B21="",0,IF($B$3="Zone",IF(AND($B$17,NOT($B$18)),1,0),MAX(0,SUMIFS(DATA_SERVICE_AREAS!$G:$G,DATA_SERVICE_AREAS!$A:$A,B21,DATA_SERVICE_AREAS!$C:$C,"CHOP",DATA_SERVICE_AREAS!$D:$D,$B$6)-COUNTIFS(MASTER_ZONES!$C:$C,$B$6,MASTER_ZONES!$I:$I,"Y",MASTER_ZONES!$D:$D,"Y"))))</f>
        <v/>
      </c>
      <c r="O21">
        <f>IF(B21="",0,IF($B$3="Zone",IF(AND($B$17,NOT($B$18),F21&gt;0),1,0),MAX(0,SUMIFS(DATA_SERVICE_AREAS!$F:$F,DATA_SERVICE_AREAS!$A:$A,B21,DATA_SERVICE_AREAS!$C:$C,"CHOP",DATA_SERVICE_AREAS!$D:$D,$B$6)-COUNTIFS(DATA_COMMUNITY!$A:$A,B21,DATA_COMMUNITY!$D:$D,"CHOP",DATA_COMMUNITY!$E:$E,$B$6))))</f>
        <v/>
      </c>
      <c r="P21">
        <f>MAX(0,N21-O21)</f>
        <v/>
      </c>
      <c r="Q21">
        <f>IF(N21=0,0,O21/N21)</f>
        <v/>
      </c>
      <c r="R21">
        <f>IF(O21=0,0,K21/O21)</f>
        <v/>
      </c>
      <c r="S21">
        <f>IF(OR(F21&gt;0,N21&gt;0),1,0)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IFERROR(INDEX(MASTER_AREAS!$B:$B,20)&amp;"","")</f>
        <v/>
      </c>
      <c r="AB21">
        <f>IF(OR(AA21="",$B$10=0),0,COUNTIFS(DATA_CHOP!$A:$A,$B$10,DATA_CHOP!$C:$C,AA21))</f>
        <v/>
      </c>
      <c r="AC21">
        <f>IF(AB21=0,0,SUMIFS(DATA_CHOP!$I:$I,DATA_CHOP!$A:$A,$B$10,DATA_CHOP!$C:$C,AA21))</f>
        <v/>
      </c>
      <c r="AD21">
        <f>IF(OR(AA21="",$B$10=0),0,SUMIFS(DATA_CHOP!$I:$I,DATA_CHOP!$A:$A,$B$10-7,DATA_CHOP!$C:$C,AA21))</f>
        <v/>
      </c>
      <c r="AE21">
        <f>IF(OR(AA21="",$B$10=0),0,MAX(0,SUMIFS(DATA_SERVICE_AREAS!$G:$G,DATA_SERVICE_AREAS!$A:$A,$B$10,DATA_SERVICE_AREAS!$C:$C,"CHOP",DATA_SERVICE_AREAS!$D:$D,AA21)-COUNTIFS(MASTER_ZONES!$C:$C,AA21,MASTER_ZONES!$I:$I,"Y",MASTER_ZONES!$D:$D,"Y")))</f>
        <v/>
      </c>
      <c r="AF21">
        <f>IF(OR(AA21="",$B$10=0),0,MAX(0,SUMIFS(DATA_SERVICE_AREAS!$F:$F,DATA_SERVICE_AREAS!$A:$A,$B$10,DATA_SERVICE_AREAS!$C:$C,"CHOP",DATA_SERVICE_AREAS!$D:$D,AA21)-COUNTIFS(DATA_COMMUNITY!$A:$A,$B$10,DATA_COMMUNITY!$D:$D,"CHOP",DATA_COMMUNITY!$E:$E,AA21)))</f>
        <v/>
      </c>
      <c r="AG21">
        <f>IF(AE21=0,"",MIN(1,AF21/AE21))</f>
        <v/>
      </c>
      <c r="AH21">
        <f>IF(OR(AB21=0,AD21=0),"",AC21/AD21-1)</f>
        <v/>
      </c>
      <c r="AI21">
        <f>IF(AB21=0,"",AC21+ROW()/1000000)</f>
        <v/>
      </c>
      <c r="AJ21">
        <f>IF(AG21="","",AG21+ROW()/1000000000)</f>
        <v/>
      </c>
      <c r="AK21">
        <f>IF(AH21="","",AH21+ROW()/1000000000)</f>
        <v/>
      </c>
      <c r="AL21">
        <f>MAX(0,AE21-AF21)</f>
        <v/>
      </c>
      <c r="AM21">
        <f>IF(AND(AL21&gt;0,OR($B$6="*",AA21=$B$6)),ROW(),"")</f>
        <v/>
      </c>
      <c r="BB21">
        <f>IFERROR(SMALL($AM$3:$AM$95,19),"")</f>
        <v/>
      </c>
      <c r="BC21">
        <f>IF(BB21="","",INDEX($AA:$AA,BB21))</f>
        <v/>
      </c>
      <c r="BD21">
        <f>IF(BB21="","",INDEX($AE:$AE,BB21))</f>
        <v/>
      </c>
      <c r="BE21">
        <f>IF(BB21="","",INDEX($AF:$AF,BB21))</f>
        <v/>
      </c>
      <c r="BF21">
        <f>IF(BB21="","",INDEX($AL:$AL,BB21))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IF(B22="",0,COUNTIFS(DATA_CHOP!$A:$A,B22,DATA_CHOP!$C:$C,$B$6,DATA_CHOP!$D:$D,$B$7))</f>
        <v/>
      </c>
      <c r="G22">
        <f>IF(F22=0,0,SUMIFS(DATA_CHOP!$E:$E,DATA_CHOP!$A:$A,B22,DATA_CHOP!$C:$C,$B$6,DATA_CHOP!$D:$D,$B$7))</f>
        <v/>
      </c>
      <c r="H22">
        <f>IF(F22=0,0,SUMIFS(DATA_CHOP!$F:$F,DATA_CHOP!$A:$A,B22,DATA_CHOP!$C:$C,$B$6,DATA_CHOP!$D:$D,$B$7))</f>
        <v/>
      </c>
      <c r="I22">
        <f>IF(F22=0,0,SUMIFS(DATA_CHOP!$H:$H,DATA_CHOP!$A:$A,B22,DATA_CHOP!$C:$C,$B$6,DATA_CHOP!$D:$D,$B$7))</f>
        <v/>
      </c>
      <c r="J22">
        <f>G22+H22</f>
        <v/>
      </c>
      <c r="K22">
        <f>J22+I22</f>
        <v/>
      </c>
      <c r="L22">
        <f>IF(F22=0,0,SUMIFS(DATA_CHOP!$J:$J,DATA_CHOP!$A:$A,B22,DATA_CHOP!$C:$C,$B$6,DATA_CHOP!$D:$D,$B$7))</f>
        <v/>
      </c>
      <c r="M22">
        <f>IF(F22=0,0,SUMIFS(DATA_CHOP!$K:$K,DATA_CHOP!$A:$A,B22,DATA_CHOP!$C:$C,$B$6,DATA_CHOP!$D:$D,$B$7))</f>
        <v/>
      </c>
      <c r="N22">
        <f>IF(B22="",0,IF($B$3="Zone",IF(AND($B$17,NOT($B$18)),1,0),MAX(0,SUMIFS(DATA_SERVICE_AREAS!$G:$G,DATA_SERVICE_AREAS!$A:$A,B22,DATA_SERVICE_AREAS!$C:$C,"CHOP",DATA_SERVICE_AREAS!$D:$D,$B$6)-COUNTIFS(MASTER_ZONES!$C:$C,$B$6,MASTER_ZONES!$I:$I,"Y",MASTER_ZONES!$D:$D,"Y"))))</f>
        <v/>
      </c>
      <c r="O22">
        <f>IF(B22="",0,IF($B$3="Zone",IF(AND($B$17,NOT($B$18),F22&gt;0),1,0),MAX(0,SUMIFS(DATA_SERVICE_AREAS!$F:$F,DATA_SERVICE_AREAS!$A:$A,B22,DATA_SERVICE_AREAS!$C:$C,"CHOP",DATA_SERVICE_AREAS!$D:$D,$B$6)-COUNTIFS(DATA_COMMUNITY!$A:$A,B22,DATA_COMMUNITY!$D:$D,"CHOP",DATA_COMMUNITY!$E:$E,$B$6))))</f>
        <v/>
      </c>
      <c r="P22">
        <f>MAX(0,N22-O22)</f>
        <v/>
      </c>
      <c r="Q22">
        <f>IF(N22=0,0,O22/N22)</f>
        <v/>
      </c>
      <c r="R22">
        <f>IF(O22=0,0,K22/O22)</f>
        <v/>
      </c>
      <c r="S22">
        <f>IF(OR(F22&gt;0,N22&gt;0),1,0)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IFERROR(INDEX(MASTER_AREAS!$B:$B,21)&amp;"","")</f>
        <v/>
      </c>
      <c r="AB22">
        <f>IF(OR(AA22="",$B$10=0),0,COUNTIFS(DATA_CHOP!$A:$A,$B$10,DATA_CHOP!$C:$C,AA22))</f>
        <v/>
      </c>
      <c r="AC22">
        <f>IF(AB22=0,0,SUMIFS(DATA_CHOP!$I:$I,DATA_CHOP!$A:$A,$B$10,DATA_CHOP!$C:$C,AA22))</f>
        <v/>
      </c>
      <c r="AD22">
        <f>IF(OR(AA22="",$B$10=0),0,SUMIFS(DATA_CHOP!$I:$I,DATA_CHOP!$A:$A,$B$10-7,DATA_CHOP!$C:$C,AA22))</f>
        <v/>
      </c>
      <c r="AE22">
        <f>IF(OR(AA22="",$B$10=0),0,MAX(0,SUMIFS(DATA_SERVICE_AREAS!$G:$G,DATA_SERVICE_AREAS!$A:$A,$B$10,DATA_SERVICE_AREAS!$C:$C,"CHOP",DATA_SERVICE_AREAS!$D:$D,AA22)-COUNTIFS(MASTER_ZONES!$C:$C,AA22,MASTER_ZONES!$I:$I,"Y",MASTER_ZONES!$D:$D,"Y")))</f>
        <v/>
      </c>
      <c r="AF22">
        <f>IF(OR(AA22="",$B$10=0),0,MAX(0,SUMIFS(DATA_SERVICE_AREAS!$F:$F,DATA_SERVICE_AREAS!$A:$A,$B$10,DATA_SERVICE_AREAS!$C:$C,"CHOP",DATA_SERVICE_AREAS!$D:$D,AA22)-COUNTIFS(DATA_COMMUNITY!$A:$A,$B$10,DATA_COMMUNITY!$D:$D,"CHOP",DATA_COMMUNITY!$E:$E,AA22)))</f>
        <v/>
      </c>
      <c r="AG22">
        <f>IF(AE22=0,"",MIN(1,AF22/AE22))</f>
        <v/>
      </c>
      <c r="AH22">
        <f>IF(OR(AB22=0,AD22=0),"",AC22/AD22-1)</f>
        <v/>
      </c>
      <c r="AI22">
        <f>IF(AB22=0,"",AC22+ROW()/1000000)</f>
        <v/>
      </c>
      <c r="AJ22">
        <f>IF(AG22="","",AG22+ROW()/1000000000)</f>
        <v/>
      </c>
      <c r="AK22">
        <f>IF(AH22="","",AH22+ROW()/1000000000)</f>
        <v/>
      </c>
      <c r="AL22">
        <f>MAX(0,AE22-AF22)</f>
        <v/>
      </c>
      <c r="AM22">
        <f>IF(AND(AL22&gt;0,OR($B$6="*",AA22=$B$6)),ROW(),"")</f>
        <v/>
      </c>
      <c r="BB22">
        <f>IFERROR(SMALL($AM$3:$AM$95,20),"")</f>
        <v/>
      </c>
      <c r="BC22">
        <f>IF(BB22="","",INDEX($AA:$AA,BB22))</f>
        <v/>
      </c>
      <c r="BD22">
        <f>IF(BB22="","",INDEX($AE:$AE,BB22))</f>
        <v/>
      </c>
      <c r="BE22">
        <f>IF(BB22="","",INDEX($AF:$AF,BB22))</f>
        <v/>
      </c>
      <c r="BF22">
        <f>IF(BB22="","",INDEX($AL:$AL,BB22))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IF(B23="",0,COUNTIFS(DATA_CHOP!$A:$A,B23,DATA_CHOP!$C:$C,$B$6,DATA_CHOP!$D:$D,$B$7))</f>
        <v/>
      </c>
      <c r="G23">
        <f>IF(F23=0,0,SUMIFS(DATA_CHOP!$E:$E,DATA_CHOP!$A:$A,B23,DATA_CHOP!$C:$C,$B$6,DATA_CHOP!$D:$D,$B$7))</f>
        <v/>
      </c>
      <c r="H23">
        <f>IF(F23=0,0,SUMIFS(DATA_CHOP!$F:$F,DATA_CHOP!$A:$A,B23,DATA_CHOP!$C:$C,$B$6,DATA_CHOP!$D:$D,$B$7))</f>
        <v/>
      </c>
      <c r="I23">
        <f>IF(F23=0,0,SUMIFS(DATA_CHOP!$H:$H,DATA_CHOP!$A:$A,B23,DATA_CHOP!$C:$C,$B$6,DATA_CHOP!$D:$D,$B$7))</f>
        <v/>
      </c>
      <c r="J23">
        <f>G23+H23</f>
        <v/>
      </c>
      <c r="K23">
        <f>J23+I23</f>
        <v/>
      </c>
      <c r="L23">
        <f>IF(F23=0,0,SUMIFS(DATA_CHOP!$J:$J,DATA_CHOP!$A:$A,B23,DATA_CHOP!$C:$C,$B$6,DATA_CHOP!$D:$D,$B$7))</f>
        <v/>
      </c>
      <c r="M23">
        <f>IF(F23=0,0,SUMIFS(DATA_CHOP!$K:$K,DATA_CHOP!$A:$A,B23,DATA_CHOP!$C:$C,$B$6,DATA_CHOP!$D:$D,$B$7))</f>
        <v/>
      </c>
      <c r="N23">
        <f>IF(B23="",0,IF($B$3="Zone",IF(AND($B$17,NOT($B$18)),1,0),MAX(0,SUMIFS(DATA_SERVICE_AREAS!$G:$G,DATA_SERVICE_AREAS!$A:$A,B23,DATA_SERVICE_AREAS!$C:$C,"CHOP",DATA_SERVICE_AREAS!$D:$D,$B$6)-COUNTIFS(MASTER_ZONES!$C:$C,$B$6,MASTER_ZONES!$I:$I,"Y",MASTER_ZONES!$D:$D,"Y"))))</f>
        <v/>
      </c>
      <c r="O23">
        <f>IF(B23="",0,IF($B$3="Zone",IF(AND($B$17,NOT($B$18),F23&gt;0),1,0),MAX(0,SUMIFS(DATA_SERVICE_AREAS!$F:$F,DATA_SERVICE_AREAS!$A:$A,B23,DATA_SERVICE_AREAS!$C:$C,"CHOP",DATA_SERVICE_AREAS!$D:$D,$B$6)-COUNTIFS(DATA_COMMUNITY!$A:$A,B23,DATA_COMMUNITY!$D:$D,"CHOP",DATA_COMMUNITY!$E:$E,$B$6))))</f>
        <v/>
      </c>
      <c r="P23">
        <f>MAX(0,N23-O23)</f>
        <v/>
      </c>
      <c r="Q23">
        <f>IF(N23=0,0,O23/N23)</f>
        <v/>
      </c>
      <c r="R23">
        <f>IF(O23=0,0,K23/O23)</f>
        <v/>
      </c>
      <c r="S23">
        <f>IF(OR(F23&gt;0,N23&gt;0),1,0)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IFERROR(INDEX(MASTER_AREAS!$B:$B,22)&amp;"","")</f>
        <v/>
      </c>
      <c r="AB23">
        <f>IF(OR(AA23="",$B$10=0),0,COUNTIFS(DATA_CHOP!$A:$A,$B$10,DATA_CHOP!$C:$C,AA23))</f>
        <v/>
      </c>
      <c r="AC23">
        <f>IF(AB23=0,0,SUMIFS(DATA_CHOP!$I:$I,DATA_CHOP!$A:$A,$B$10,DATA_CHOP!$C:$C,AA23))</f>
        <v/>
      </c>
      <c r="AD23">
        <f>IF(OR(AA23="",$B$10=0),0,SUMIFS(DATA_CHOP!$I:$I,DATA_CHOP!$A:$A,$B$10-7,DATA_CHOP!$C:$C,AA23))</f>
        <v/>
      </c>
      <c r="AE23">
        <f>IF(OR(AA23="",$B$10=0),0,MAX(0,SUMIFS(DATA_SERVICE_AREAS!$G:$G,DATA_SERVICE_AREAS!$A:$A,$B$10,DATA_SERVICE_AREAS!$C:$C,"CHOP",DATA_SERVICE_AREAS!$D:$D,AA23)-COUNTIFS(MASTER_ZONES!$C:$C,AA23,MASTER_ZONES!$I:$I,"Y",MASTER_ZONES!$D:$D,"Y")))</f>
        <v/>
      </c>
      <c r="AF23">
        <f>IF(OR(AA23="",$B$10=0),0,MAX(0,SUMIFS(DATA_SERVICE_AREAS!$F:$F,DATA_SERVICE_AREAS!$A:$A,$B$10,DATA_SERVICE_AREAS!$C:$C,"CHOP",DATA_SERVICE_AREAS!$D:$D,AA23)-COUNTIFS(DATA_COMMUNITY!$A:$A,$B$10,DATA_COMMUNITY!$D:$D,"CHOP",DATA_COMMUNITY!$E:$E,AA23)))</f>
        <v/>
      </c>
      <c r="AG23">
        <f>IF(AE23=0,"",MIN(1,AF23/AE23))</f>
        <v/>
      </c>
      <c r="AH23">
        <f>IF(OR(AB23=0,AD23=0),"",AC23/AD23-1)</f>
        <v/>
      </c>
      <c r="AI23">
        <f>IF(AB23=0,"",AC23+ROW()/1000000)</f>
        <v/>
      </c>
      <c r="AJ23">
        <f>IF(AG23="","",AG23+ROW()/1000000000)</f>
        <v/>
      </c>
      <c r="AK23">
        <f>IF(AH23="","",AH23+ROW()/1000000000)</f>
        <v/>
      </c>
      <c r="AL23">
        <f>MAX(0,AE23-AF23)</f>
        <v/>
      </c>
      <c r="AM23">
        <f>IF(AND(AL23&gt;0,OR($B$6="*",AA23=$B$6)),ROW(),"")</f>
        <v/>
      </c>
      <c r="BB23">
        <f>IFERROR(SMALL($AM$3:$AM$95,21),"")</f>
        <v/>
      </c>
      <c r="BC23">
        <f>IF(BB23="","",INDEX($AA:$AA,BB23))</f>
        <v/>
      </c>
      <c r="BD23">
        <f>IF(BB23="","",INDEX($AE:$AE,BB23))</f>
        <v/>
      </c>
      <c r="BE23">
        <f>IF(BB23="","",INDEX($AF:$AF,BB23))</f>
        <v/>
      </c>
      <c r="BF23">
        <f>IF(BB23="","",INDEX($AL:$AL,BB23))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IF(B24="",0,COUNTIFS(DATA_CHOP!$A:$A,B24,DATA_CHOP!$C:$C,$B$6,DATA_CHOP!$D:$D,$B$7))</f>
        <v/>
      </c>
      <c r="G24">
        <f>IF(F24=0,0,SUMIFS(DATA_CHOP!$E:$E,DATA_CHOP!$A:$A,B24,DATA_CHOP!$C:$C,$B$6,DATA_CHOP!$D:$D,$B$7))</f>
        <v/>
      </c>
      <c r="H24">
        <f>IF(F24=0,0,SUMIFS(DATA_CHOP!$F:$F,DATA_CHOP!$A:$A,B24,DATA_CHOP!$C:$C,$B$6,DATA_CHOP!$D:$D,$B$7))</f>
        <v/>
      </c>
      <c r="I24">
        <f>IF(F24=0,0,SUMIFS(DATA_CHOP!$H:$H,DATA_CHOP!$A:$A,B24,DATA_CHOP!$C:$C,$B$6,DATA_CHOP!$D:$D,$B$7))</f>
        <v/>
      </c>
      <c r="J24">
        <f>G24+H24</f>
        <v/>
      </c>
      <c r="K24">
        <f>J24+I24</f>
        <v/>
      </c>
      <c r="L24">
        <f>IF(F24=0,0,SUMIFS(DATA_CHOP!$J:$J,DATA_CHOP!$A:$A,B24,DATA_CHOP!$C:$C,$B$6,DATA_CHOP!$D:$D,$B$7))</f>
        <v/>
      </c>
      <c r="M24">
        <f>IF(F24=0,0,SUMIFS(DATA_CHOP!$K:$K,DATA_CHOP!$A:$A,B24,DATA_CHOP!$C:$C,$B$6,DATA_CHOP!$D:$D,$B$7))</f>
        <v/>
      </c>
      <c r="N24">
        <f>IF(B24="",0,IF($B$3="Zone",IF(AND($B$17,NOT($B$18)),1,0),MAX(0,SUMIFS(DATA_SERVICE_AREAS!$G:$G,DATA_SERVICE_AREAS!$A:$A,B24,DATA_SERVICE_AREAS!$C:$C,"CHOP",DATA_SERVICE_AREAS!$D:$D,$B$6)-COUNTIFS(MASTER_ZONES!$C:$C,$B$6,MASTER_ZONES!$I:$I,"Y",MASTER_ZONES!$D:$D,"Y"))))</f>
        <v/>
      </c>
      <c r="O24">
        <f>IF(B24="",0,IF($B$3="Zone",IF(AND($B$17,NOT($B$18),F24&gt;0),1,0),MAX(0,SUMIFS(DATA_SERVICE_AREAS!$F:$F,DATA_SERVICE_AREAS!$A:$A,B24,DATA_SERVICE_AREAS!$C:$C,"CHOP",DATA_SERVICE_AREAS!$D:$D,$B$6)-COUNTIFS(DATA_COMMUNITY!$A:$A,B24,DATA_COMMUNITY!$D:$D,"CHOP",DATA_COMMUNITY!$E:$E,$B$6))))</f>
        <v/>
      </c>
      <c r="P24">
        <f>MAX(0,N24-O24)</f>
        <v/>
      </c>
      <c r="Q24">
        <f>IF(N24=0,0,O24/N24)</f>
        <v/>
      </c>
      <c r="R24">
        <f>IF(O24=0,0,K24/O24)</f>
        <v/>
      </c>
      <c r="S24">
        <f>IF(OR(F24&gt;0,N24&gt;0),1,0)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IFERROR(INDEX(MASTER_AREAS!$B:$B,23)&amp;"","")</f>
        <v/>
      </c>
      <c r="AB24">
        <f>IF(OR(AA24="",$B$10=0),0,COUNTIFS(DATA_CHOP!$A:$A,$B$10,DATA_CHOP!$C:$C,AA24))</f>
        <v/>
      </c>
      <c r="AC24">
        <f>IF(AB24=0,0,SUMIFS(DATA_CHOP!$I:$I,DATA_CHOP!$A:$A,$B$10,DATA_CHOP!$C:$C,AA24))</f>
        <v/>
      </c>
      <c r="AD24">
        <f>IF(OR(AA24="",$B$10=0),0,SUMIFS(DATA_CHOP!$I:$I,DATA_CHOP!$A:$A,$B$10-7,DATA_CHOP!$C:$C,AA24))</f>
        <v/>
      </c>
      <c r="AE24">
        <f>IF(OR(AA24="",$B$10=0),0,MAX(0,SUMIFS(DATA_SERVICE_AREAS!$G:$G,DATA_SERVICE_AREAS!$A:$A,$B$10,DATA_SERVICE_AREAS!$C:$C,"CHOP",DATA_SERVICE_AREAS!$D:$D,AA24)-COUNTIFS(MASTER_ZONES!$C:$C,AA24,MASTER_ZONES!$I:$I,"Y",MASTER_ZONES!$D:$D,"Y")))</f>
        <v/>
      </c>
      <c r="AF24">
        <f>IF(OR(AA24="",$B$10=0),0,MAX(0,SUMIFS(DATA_SERVICE_AREAS!$F:$F,DATA_SERVICE_AREAS!$A:$A,$B$10,DATA_SERVICE_AREAS!$C:$C,"CHOP",DATA_SERVICE_AREAS!$D:$D,AA24)-COUNTIFS(DATA_COMMUNITY!$A:$A,$B$10,DATA_COMMUNITY!$D:$D,"CHOP",DATA_COMMUNITY!$E:$E,AA24)))</f>
        <v/>
      </c>
      <c r="AG24">
        <f>IF(AE24=0,"",MIN(1,AF24/AE24))</f>
        <v/>
      </c>
      <c r="AH24">
        <f>IF(OR(AB24=0,AD24=0),"",AC24/AD24-1)</f>
        <v/>
      </c>
      <c r="AI24">
        <f>IF(AB24=0,"",AC24+ROW()/1000000)</f>
        <v/>
      </c>
      <c r="AJ24">
        <f>IF(AG24="","",AG24+ROW()/1000000000)</f>
        <v/>
      </c>
      <c r="AK24">
        <f>IF(AH24="","",AH24+ROW()/1000000000)</f>
        <v/>
      </c>
      <c r="AL24">
        <f>MAX(0,AE24-AF24)</f>
        <v/>
      </c>
      <c r="AM24">
        <f>IF(AND(AL24&gt;0,OR($B$6="*",AA24=$B$6)),ROW(),"")</f>
        <v/>
      </c>
      <c r="BB24">
        <f>IFERROR(SMALL($AM$3:$AM$95,22),"")</f>
        <v/>
      </c>
      <c r="BC24">
        <f>IF(BB24="","",INDEX($AA:$AA,BB24))</f>
        <v/>
      </c>
      <c r="BD24">
        <f>IF(BB24="","",INDEX($AE:$AE,BB24))</f>
        <v/>
      </c>
      <c r="BE24">
        <f>IF(BB24="","",INDEX($AF:$AF,BB24))</f>
        <v/>
      </c>
      <c r="BF24">
        <f>IF(BB24="","",INDEX($AL:$AL,BB24))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IF(B25="",0,COUNTIFS(DATA_CHOP!$A:$A,B25,DATA_CHOP!$C:$C,$B$6,DATA_CHOP!$D:$D,$B$7))</f>
        <v/>
      </c>
      <c r="G25">
        <f>IF(F25=0,0,SUMIFS(DATA_CHOP!$E:$E,DATA_CHOP!$A:$A,B25,DATA_CHOP!$C:$C,$B$6,DATA_CHOP!$D:$D,$B$7))</f>
        <v/>
      </c>
      <c r="H25">
        <f>IF(F25=0,0,SUMIFS(DATA_CHOP!$F:$F,DATA_CHOP!$A:$A,B25,DATA_CHOP!$C:$C,$B$6,DATA_CHOP!$D:$D,$B$7))</f>
        <v/>
      </c>
      <c r="I25">
        <f>IF(F25=0,0,SUMIFS(DATA_CHOP!$H:$H,DATA_CHOP!$A:$A,B25,DATA_CHOP!$C:$C,$B$6,DATA_CHOP!$D:$D,$B$7))</f>
        <v/>
      </c>
      <c r="J25">
        <f>G25+H25</f>
        <v/>
      </c>
      <c r="K25">
        <f>J25+I25</f>
        <v/>
      </c>
      <c r="L25">
        <f>IF(F25=0,0,SUMIFS(DATA_CHOP!$J:$J,DATA_CHOP!$A:$A,B25,DATA_CHOP!$C:$C,$B$6,DATA_CHOP!$D:$D,$B$7))</f>
        <v/>
      </c>
      <c r="M25">
        <f>IF(F25=0,0,SUMIFS(DATA_CHOP!$K:$K,DATA_CHOP!$A:$A,B25,DATA_CHOP!$C:$C,$B$6,DATA_CHOP!$D:$D,$B$7))</f>
        <v/>
      </c>
      <c r="N25">
        <f>IF(B25="",0,IF($B$3="Zone",IF(AND($B$17,NOT($B$18)),1,0),MAX(0,SUMIFS(DATA_SERVICE_AREAS!$G:$G,DATA_SERVICE_AREAS!$A:$A,B25,DATA_SERVICE_AREAS!$C:$C,"CHOP",DATA_SERVICE_AREAS!$D:$D,$B$6)-COUNTIFS(MASTER_ZONES!$C:$C,$B$6,MASTER_ZONES!$I:$I,"Y",MASTER_ZONES!$D:$D,"Y"))))</f>
        <v/>
      </c>
      <c r="O25">
        <f>IF(B25="",0,IF($B$3="Zone",IF(AND($B$17,NOT($B$18),F25&gt;0),1,0),MAX(0,SUMIFS(DATA_SERVICE_AREAS!$F:$F,DATA_SERVICE_AREAS!$A:$A,B25,DATA_SERVICE_AREAS!$C:$C,"CHOP",DATA_SERVICE_AREAS!$D:$D,$B$6)-COUNTIFS(DATA_COMMUNITY!$A:$A,B25,DATA_COMMUNITY!$D:$D,"CHOP",DATA_COMMUNITY!$E:$E,$B$6))))</f>
        <v/>
      </c>
      <c r="P25">
        <f>MAX(0,N25-O25)</f>
        <v/>
      </c>
      <c r="Q25">
        <f>IF(N25=0,0,O25/N25)</f>
        <v/>
      </c>
      <c r="R25">
        <f>IF(O25=0,0,K25/O25)</f>
        <v/>
      </c>
      <c r="S25">
        <f>IF(OR(F25&gt;0,N25&gt;0),1,0)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IFERROR(INDEX(MASTER_AREAS!$B:$B,24)&amp;"","")</f>
        <v/>
      </c>
      <c r="AB25">
        <f>IF(OR(AA25="",$B$10=0),0,COUNTIFS(DATA_CHOP!$A:$A,$B$10,DATA_CHOP!$C:$C,AA25))</f>
        <v/>
      </c>
      <c r="AC25">
        <f>IF(AB25=0,0,SUMIFS(DATA_CHOP!$I:$I,DATA_CHOP!$A:$A,$B$10,DATA_CHOP!$C:$C,AA25))</f>
        <v/>
      </c>
      <c r="AD25">
        <f>IF(OR(AA25="",$B$10=0),0,SUMIFS(DATA_CHOP!$I:$I,DATA_CHOP!$A:$A,$B$10-7,DATA_CHOP!$C:$C,AA25))</f>
        <v/>
      </c>
      <c r="AE25">
        <f>IF(OR(AA25="",$B$10=0),0,MAX(0,SUMIFS(DATA_SERVICE_AREAS!$G:$G,DATA_SERVICE_AREAS!$A:$A,$B$10,DATA_SERVICE_AREAS!$C:$C,"CHOP",DATA_SERVICE_AREAS!$D:$D,AA25)-COUNTIFS(MASTER_ZONES!$C:$C,AA25,MASTER_ZONES!$I:$I,"Y",MASTER_ZONES!$D:$D,"Y")))</f>
        <v/>
      </c>
      <c r="AF25">
        <f>IF(OR(AA25="",$B$10=0),0,MAX(0,SUMIFS(DATA_SERVICE_AREAS!$F:$F,DATA_SERVICE_AREAS!$A:$A,$B$10,DATA_SERVICE_AREAS!$C:$C,"CHOP",DATA_SERVICE_AREAS!$D:$D,AA25)-COUNTIFS(DATA_COMMUNITY!$A:$A,$B$10,DATA_COMMUNITY!$D:$D,"CHOP",DATA_COMMUNITY!$E:$E,AA25)))</f>
        <v/>
      </c>
      <c r="AG25">
        <f>IF(AE25=0,"",MIN(1,AF25/AE25))</f>
        <v/>
      </c>
      <c r="AH25">
        <f>IF(OR(AB25=0,AD25=0),"",AC25/AD25-1)</f>
        <v/>
      </c>
      <c r="AI25">
        <f>IF(AB25=0,"",AC25+ROW()/1000000)</f>
        <v/>
      </c>
      <c r="AJ25">
        <f>IF(AG25="","",AG25+ROW()/1000000000)</f>
        <v/>
      </c>
      <c r="AK25">
        <f>IF(AH25="","",AH25+ROW()/1000000000)</f>
        <v/>
      </c>
      <c r="AL25">
        <f>MAX(0,AE25-AF25)</f>
        <v/>
      </c>
      <c r="AM25">
        <f>IF(AND(AL25&gt;0,OR($B$6="*",AA25=$B$6)),ROW(),"")</f>
        <v/>
      </c>
      <c r="BB25">
        <f>IFERROR(SMALL($AM$3:$AM$95,23),"")</f>
        <v/>
      </c>
      <c r="BC25">
        <f>IF(BB25="","",INDEX($AA:$AA,BB25))</f>
        <v/>
      </c>
      <c r="BD25">
        <f>IF(BB25="","",INDEX($AE:$AE,BB25))</f>
        <v/>
      </c>
      <c r="BE25">
        <f>IF(BB25="","",INDEX($AF:$AF,BB25))</f>
        <v/>
      </c>
      <c r="BF25">
        <f>IF(BB25="","",INDEX($AL:$AL,BB25))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IF(B26="",0,COUNTIFS(DATA_CHOP!$A:$A,B26,DATA_CHOP!$C:$C,$B$6,DATA_CHOP!$D:$D,$B$7))</f>
        <v/>
      </c>
      <c r="G26">
        <f>IF(F26=0,0,SUMIFS(DATA_CHOP!$E:$E,DATA_CHOP!$A:$A,B26,DATA_CHOP!$C:$C,$B$6,DATA_CHOP!$D:$D,$B$7))</f>
        <v/>
      </c>
      <c r="H26">
        <f>IF(F26=0,0,SUMIFS(DATA_CHOP!$F:$F,DATA_CHOP!$A:$A,B26,DATA_CHOP!$C:$C,$B$6,DATA_CHOP!$D:$D,$B$7))</f>
        <v/>
      </c>
      <c r="I26">
        <f>IF(F26=0,0,SUMIFS(DATA_CHOP!$H:$H,DATA_CHOP!$A:$A,B26,DATA_CHOP!$C:$C,$B$6,DATA_CHOP!$D:$D,$B$7))</f>
        <v/>
      </c>
      <c r="J26">
        <f>G26+H26</f>
        <v/>
      </c>
      <c r="K26">
        <f>J26+I26</f>
        <v/>
      </c>
      <c r="L26">
        <f>IF(F26=0,0,SUMIFS(DATA_CHOP!$J:$J,DATA_CHOP!$A:$A,B26,DATA_CHOP!$C:$C,$B$6,DATA_CHOP!$D:$D,$B$7))</f>
        <v/>
      </c>
      <c r="M26">
        <f>IF(F26=0,0,SUMIFS(DATA_CHOP!$K:$K,DATA_CHOP!$A:$A,B26,DATA_CHOP!$C:$C,$B$6,DATA_CHOP!$D:$D,$B$7))</f>
        <v/>
      </c>
      <c r="N26">
        <f>IF(B26="",0,IF($B$3="Zone",IF(AND($B$17,NOT($B$18)),1,0),MAX(0,SUMIFS(DATA_SERVICE_AREAS!$G:$G,DATA_SERVICE_AREAS!$A:$A,B26,DATA_SERVICE_AREAS!$C:$C,"CHOP",DATA_SERVICE_AREAS!$D:$D,$B$6)-COUNTIFS(MASTER_ZONES!$C:$C,$B$6,MASTER_ZONES!$I:$I,"Y",MASTER_ZONES!$D:$D,"Y"))))</f>
        <v/>
      </c>
      <c r="O26">
        <f>IF(B26="",0,IF($B$3="Zone",IF(AND($B$17,NOT($B$18),F26&gt;0),1,0),MAX(0,SUMIFS(DATA_SERVICE_AREAS!$F:$F,DATA_SERVICE_AREAS!$A:$A,B26,DATA_SERVICE_AREAS!$C:$C,"CHOP",DATA_SERVICE_AREAS!$D:$D,$B$6)-COUNTIFS(DATA_COMMUNITY!$A:$A,B26,DATA_COMMUNITY!$D:$D,"CHOP",DATA_COMMUNITY!$E:$E,$B$6))))</f>
        <v/>
      </c>
      <c r="P26">
        <f>MAX(0,N26-O26)</f>
        <v/>
      </c>
      <c r="Q26">
        <f>IF(N26=0,0,O26/N26)</f>
        <v/>
      </c>
      <c r="R26">
        <f>IF(O26=0,0,K26/O26)</f>
        <v/>
      </c>
      <c r="S26">
        <f>IF(OR(F26&gt;0,N26&gt;0),1,0)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IFERROR(INDEX(MASTER_AREAS!$B:$B,25)&amp;"","")</f>
        <v/>
      </c>
      <c r="AB26">
        <f>IF(OR(AA26="",$B$10=0),0,COUNTIFS(DATA_CHOP!$A:$A,$B$10,DATA_CHOP!$C:$C,AA26))</f>
        <v/>
      </c>
      <c r="AC26">
        <f>IF(AB26=0,0,SUMIFS(DATA_CHOP!$I:$I,DATA_CHOP!$A:$A,$B$10,DATA_CHOP!$C:$C,AA26))</f>
        <v/>
      </c>
      <c r="AD26">
        <f>IF(OR(AA26="",$B$10=0),0,SUMIFS(DATA_CHOP!$I:$I,DATA_CHOP!$A:$A,$B$10-7,DATA_CHOP!$C:$C,AA26))</f>
        <v/>
      </c>
      <c r="AE26">
        <f>IF(OR(AA26="",$B$10=0),0,MAX(0,SUMIFS(DATA_SERVICE_AREAS!$G:$G,DATA_SERVICE_AREAS!$A:$A,$B$10,DATA_SERVICE_AREAS!$C:$C,"CHOP",DATA_SERVICE_AREAS!$D:$D,AA26)-COUNTIFS(MASTER_ZONES!$C:$C,AA26,MASTER_ZONES!$I:$I,"Y",MASTER_ZONES!$D:$D,"Y")))</f>
        <v/>
      </c>
      <c r="AF26">
        <f>IF(OR(AA26="",$B$10=0),0,MAX(0,SUMIFS(DATA_SERVICE_AREAS!$F:$F,DATA_SERVICE_AREAS!$A:$A,$B$10,DATA_SERVICE_AREAS!$C:$C,"CHOP",DATA_SERVICE_AREAS!$D:$D,AA26)-COUNTIFS(DATA_COMMUNITY!$A:$A,$B$10,DATA_COMMUNITY!$D:$D,"CHOP",DATA_COMMUNITY!$E:$E,AA26)))</f>
        <v/>
      </c>
      <c r="AG26">
        <f>IF(AE26=0,"",MIN(1,AF26/AE26))</f>
        <v/>
      </c>
      <c r="AH26">
        <f>IF(OR(AB26=0,AD26=0),"",AC26/AD26-1)</f>
        <v/>
      </c>
      <c r="AI26">
        <f>IF(AB26=0,"",AC26+ROW()/1000000)</f>
        <v/>
      </c>
      <c r="AJ26">
        <f>IF(AG26="","",AG26+ROW()/1000000000)</f>
        <v/>
      </c>
      <c r="AK26">
        <f>IF(AH26="","",AH26+ROW()/1000000000)</f>
        <v/>
      </c>
      <c r="AL26">
        <f>MAX(0,AE26-AF26)</f>
        <v/>
      </c>
      <c r="AM26">
        <f>IF(AND(AL26&gt;0,OR($B$6="*",AA26=$B$6)),ROW(),"")</f>
        <v/>
      </c>
      <c r="BB26">
        <f>IFERROR(SMALL($AM$3:$AM$95,24),"")</f>
        <v/>
      </c>
      <c r="BC26">
        <f>IF(BB26="","",INDEX($AA:$AA,BB26))</f>
        <v/>
      </c>
      <c r="BD26">
        <f>IF(BB26="","",INDEX($AE:$AE,BB26))</f>
        <v/>
      </c>
      <c r="BE26">
        <f>IF(BB26="","",INDEX($AF:$AF,BB26))</f>
        <v/>
      </c>
      <c r="BF26">
        <f>IF(BB26="","",INDEX($AL:$AL,BB26))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IF(B27="",0,COUNTIFS(DATA_CHOP!$A:$A,B27,DATA_CHOP!$C:$C,$B$6,DATA_CHOP!$D:$D,$B$7))</f>
        <v/>
      </c>
      <c r="G27">
        <f>IF(F27=0,0,SUMIFS(DATA_CHOP!$E:$E,DATA_CHOP!$A:$A,B27,DATA_CHOP!$C:$C,$B$6,DATA_CHOP!$D:$D,$B$7))</f>
        <v/>
      </c>
      <c r="H27">
        <f>IF(F27=0,0,SUMIFS(DATA_CHOP!$F:$F,DATA_CHOP!$A:$A,B27,DATA_CHOP!$C:$C,$B$6,DATA_CHOP!$D:$D,$B$7))</f>
        <v/>
      </c>
      <c r="I27">
        <f>IF(F27=0,0,SUMIFS(DATA_CHOP!$H:$H,DATA_CHOP!$A:$A,B27,DATA_CHOP!$C:$C,$B$6,DATA_CHOP!$D:$D,$B$7))</f>
        <v/>
      </c>
      <c r="J27">
        <f>G27+H27</f>
        <v/>
      </c>
      <c r="K27">
        <f>J27+I27</f>
        <v/>
      </c>
      <c r="L27">
        <f>IF(F27=0,0,SUMIFS(DATA_CHOP!$J:$J,DATA_CHOP!$A:$A,B27,DATA_CHOP!$C:$C,$B$6,DATA_CHOP!$D:$D,$B$7))</f>
        <v/>
      </c>
      <c r="M27">
        <f>IF(F27=0,0,SUMIFS(DATA_CHOP!$K:$K,DATA_CHOP!$A:$A,B27,DATA_CHOP!$C:$C,$B$6,DATA_CHOP!$D:$D,$B$7))</f>
        <v/>
      </c>
      <c r="N27">
        <f>IF(B27="",0,IF($B$3="Zone",IF(AND($B$17,NOT($B$18)),1,0),MAX(0,SUMIFS(DATA_SERVICE_AREAS!$G:$G,DATA_SERVICE_AREAS!$A:$A,B27,DATA_SERVICE_AREAS!$C:$C,"CHOP",DATA_SERVICE_AREAS!$D:$D,$B$6)-COUNTIFS(MASTER_ZONES!$C:$C,$B$6,MASTER_ZONES!$I:$I,"Y",MASTER_ZONES!$D:$D,"Y"))))</f>
        <v/>
      </c>
      <c r="O27">
        <f>IF(B27="",0,IF($B$3="Zone",IF(AND($B$17,NOT($B$18),F27&gt;0),1,0),MAX(0,SUMIFS(DATA_SERVICE_AREAS!$F:$F,DATA_SERVICE_AREAS!$A:$A,B27,DATA_SERVICE_AREAS!$C:$C,"CHOP",DATA_SERVICE_AREAS!$D:$D,$B$6)-COUNTIFS(DATA_COMMUNITY!$A:$A,B27,DATA_COMMUNITY!$D:$D,"CHOP",DATA_COMMUNITY!$E:$E,$B$6))))</f>
        <v/>
      </c>
      <c r="P27">
        <f>MAX(0,N27-O27)</f>
        <v/>
      </c>
      <c r="Q27">
        <f>IF(N27=0,0,O27/N27)</f>
        <v/>
      </c>
      <c r="R27">
        <f>IF(O27=0,0,K27/O27)</f>
        <v/>
      </c>
      <c r="S27">
        <f>IF(OR(F27&gt;0,N27&gt;0),1,0)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IFERROR(INDEX(MASTER_AREAS!$B:$B,26)&amp;"","")</f>
        <v/>
      </c>
      <c r="AB27">
        <f>IF(OR(AA27="",$B$10=0),0,COUNTIFS(DATA_CHOP!$A:$A,$B$10,DATA_CHOP!$C:$C,AA27))</f>
        <v/>
      </c>
      <c r="AC27">
        <f>IF(AB27=0,0,SUMIFS(DATA_CHOP!$I:$I,DATA_CHOP!$A:$A,$B$10,DATA_CHOP!$C:$C,AA27))</f>
        <v/>
      </c>
      <c r="AD27">
        <f>IF(OR(AA27="",$B$10=0),0,SUMIFS(DATA_CHOP!$I:$I,DATA_CHOP!$A:$A,$B$10-7,DATA_CHOP!$C:$C,AA27))</f>
        <v/>
      </c>
      <c r="AE27">
        <f>IF(OR(AA27="",$B$10=0),0,MAX(0,SUMIFS(DATA_SERVICE_AREAS!$G:$G,DATA_SERVICE_AREAS!$A:$A,$B$10,DATA_SERVICE_AREAS!$C:$C,"CHOP",DATA_SERVICE_AREAS!$D:$D,AA27)-COUNTIFS(MASTER_ZONES!$C:$C,AA27,MASTER_ZONES!$I:$I,"Y",MASTER_ZONES!$D:$D,"Y")))</f>
        <v/>
      </c>
      <c r="AF27">
        <f>IF(OR(AA27="",$B$10=0),0,MAX(0,SUMIFS(DATA_SERVICE_AREAS!$F:$F,DATA_SERVICE_AREAS!$A:$A,$B$10,DATA_SERVICE_AREAS!$C:$C,"CHOP",DATA_SERVICE_AREAS!$D:$D,AA27)-COUNTIFS(DATA_COMMUNITY!$A:$A,$B$10,DATA_COMMUNITY!$D:$D,"CHOP",DATA_COMMUNITY!$E:$E,AA27)))</f>
        <v/>
      </c>
      <c r="AG27">
        <f>IF(AE27=0,"",MIN(1,AF27/AE27))</f>
        <v/>
      </c>
      <c r="AH27">
        <f>IF(OR(AB27=0,AD27=0),"",AC27/AD27-1)</f>
        <v/>
      </c>
      <c r="AI27">
        <f>IF(AB27=0,"",AC27+ROW()/1000000)</f>
        <v/>
      </c>
      <c r="AJ27">
        <f>IF(AG27="","",AG27+ROW()/1000000000)</f>
        <v/>
      </c>
      <c r="AK27">
        <f>IF(AH27="","",AH27+ROW()/1000000000)</f>
        <v/>
      </c>
      <c r="AL27">
        <f>MAX(0,AE27-AF27)</f>
        <v/>
      </c>
      <c r="AM27">
        <f>IF(AND(AL27&gt;0,OR($B$6="*",AA27=$B$6)),ROW(),"")</f>
        <v/>
      </c>
      <c r="BB27">
        <f>IFERROR(SMALL($AM$3:$AM$95,25),"")</f>
        <v/>
      </c>
      <c r="BC27">
        <f>IF(BB27="","",INDEX($AA:$AA,BB27))</f>
        <v/>
      </c>
      <c r="BD27">
        <f>IF(BB27="","",INDEX($AE:$AE,BB27))</f>
        <v/>
      </c>
      <c r="BE27">
        <f>IF(BB27="","",INDEX($AF:$AF,BB27))</f>
        <v/>
      </c>
      <c r="BF27">
        <f>IF(BB27="","",INDEX($AL:$AL,BB27))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IF(B28="",0,COUNTIFS(DATA_CHOP!$A:$A,B28,DATA_CHOP!$C:$C,$B$6,DATA_CHOP!$D:$D,$B$7))</f>
        <v/>
      </c>
      <c r="G28">
        <f>IF(F28=0,0,SUMIFS(DATA_CHOP!$E:$E,DATA_CHOP!$A:$A,B28,DATA_CHOP!$C:$C,$B$6,DATA_CHOP!$D:$D,$B$7))</f>
        <v/>
      </c>
      <c r="H28">
        <f>IF(F28=0,0,SUMIFS(DATA_CHOP!$F:$F,DATA_CHOP!$A:$A,B28,DATA_CHOP!$C:$C,$B$6,DATA_CHOP!$D:$D,$B$7))</f>
        <v/>
      </c>
      <c r="I28">
        <f>IF(F28=0,0,SUMIFS(DATA_CHOP!$H:$H,DATA_CHOP!$A:$A,B28,DATA_CHOP!$C:$C,$B$6,DATA_CHOP!$D:$D,$B$7))</f>
        <v/>
      </c>
      <c r="J28">
        <f>G28+H28</f>
        <v/>
      </c>
      <c r="K28">
        <f>J28+I28</f>
        <v/>
      </c>
      <c r="L28">
        <f>IF(F28=0,0,SUMIFS(DATA_CHOP!$J:$J,DATA_CHOP!$A:$A,B28,DATA_CHOP!$C:$C,$B$6,DATA_CHOP!$D:$D,$B$7))</f>
        <v/>
      </c>
      <c r="M28">
        <f>IF(F28=0,0,SUMIFS(DATA_CHOP!$K:$K,DATA_CHOP!$A:$A,B28,DATA_CHOP!$C:$C,$B$6,DATA_CHOP!$D:$D,$B$7))</f>
        <v/>
      </c>
      <c r="N28">
        <f>IF(B28="",0,IF($B$3="Zone",IF(AND($B$17,NOT($B$18)),1,0),MAX(0,SUMIFS(DATA_SERVICE_AREAS!$G:$G,DATA_SERVICE_AREAS!$A:$A,B28,DATA_SERVICE_AREAS!$C:$C,"CHOP",DATA_SERVICE_AREAS!$D:$D,$B$6)-COUNTIFS(MASTER_ZONES!$C:$C,$B$6,MASTER_ZONES!$I:$I,"Y",MASTER_ZONES!$D:$D,"Y"))))</f>
        <v/>
      </c>
      <c r="O28">
        <f>IF(B28="",0,IF($B$3="Zone",IF(AND($B$17,NOT($B$18),F28&gt;0),1,0),MAX(0,SUMIFS(DATA_SERVICE_AREAS!$F:$F,DATA_SERVICE_AREAS!$A:$A,B28,DATA_SERVICE_AREAS!$C:$C,"CHOP",DATA_SERVICE_AREAS!$D:$D,$B$6)-COUNTIFS(DATA_COMMUNITY!$A:$A,B28,DATA_COMMUNITY!$D:$D,"CHOP",DATA_COMMUNITY!$E:$E,$B$6))))</f>
        <v/>
      </c>
      <c r="P28">
        <f>MAX(0,N28-O28)</f>
        <v/>
      </c>
      <c r="Q28">
        <f>IF(N28=0,0,O28/N28)</f>
        <v/>
      </c>
      <c r="R28">
        <f>IF(O28=0,0,K28/O28)</f>
        <v/>
      </c>
      <c r="S28">
        <f>IF(OR(F28&gt;0,N28&gt;0),1,0)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IFERROR(INDEX(MASTER_AREAS!$B:$B,27)&amp;"","")</f>
        <v/>
      </c>
      <c r="AB28">
        <f>IF(OR(AA28="",$B$10=0),0,COUNTIFS(DATA_CHOP!$A:$A,$B$10,DATA_CHOP!$C:$C,AA28))</f>
        <v/>
      </c>
      <c r="AC28">
        <f>IF(AB28=0,0,SUMIFS(DATA_CHOP!$I:$I,DATA_CHOP!$A:$A,$B$10,DATA_CHOP!$C:$C,AA28))</f>
        <v/>
      </c>
      <c r="AD28">
        <f>IF(OR(AA28="",$B$10=0),0,SUMIFS(DATA_CHOP!$I:$I,DATA_CHOP!$A:$A,$B$10-7,DATA_CHOP!$C:$C,AA28))</f>
        <v/>
      </c>
      <c r="AE28">
        <f>IF(OR(AA28="",$B$10=0),0,MAX(0,SUMIFS(DATA_SERVICE_AREAS!$G:$G,DATA_SERVICE_AREAS!$A:$A,$B$10,DATA_SERVICE_AREAS!$C:$C,"CHOP",DATA_SERVICE_AREAS!$D:$D,AA28)-COUNTIFS(MASTER_ZONES!$C:$C,AA28,MASTER_ZONES!$I:$I,"Y",MASTER_ZONES!$D:$D,"Y")))</f>
        <v/>
      </c>
      <c r="AF28">
        <f>IF(OR(AA28="",$B$10=0),0,MAX(0,SUMIFS(DATA_SERVICE_AREAS!$F:$F,DATA_SERVICE_AREAS!$A:$A,$B$10,DATA_SERVICE_AREAS!$C:$C,"CHOP",DATA_SERVICE_AREAS!$D:$D,AA28)-COUNTIFS(DATA_COMMUNITY!$A:$A,$B$10,DATA_COMMUNITY!$D:$D,"CHOP",DATA_COMMUNITY!$E:$E,AA28)))</f>
        <v/>
      </c>
      <c r="AG28">
        <f>IF(AE28=0,"",MIN(1,AF28/AE28))</f>
        <v/>
      </c>
      <c r="AH28">
        <f>IF(OR(AB28=0,AD28=0),"",AC28/AD28-1)</f>
        <v/>
      </c>
      <c r="AI28">
        <f>IF(AB28=0,"",AC28+ROW()/1000000)</f>
        <v/>
      </c>
      <c r="AJ28">
        <f>IF(AG28="","",AG28+ROW()/1000000000)</f>
        <v/>
      </c>
      <c r="AK28">
        <f>IF(AH28="","",AH28+ROW()/1000000000)</f>
        <v/>
      </c>
      <c r="AL28">
        <f>MAX(0,AE28-AF28)</f>
        <v/>
      </c>
      <c r="AM28">
        <f>IF(AND(AL28&gt;0,OR($B$6="*",AA28=$B$6)),ROW(),"")</f>
        <v/>
      </c>
      <c r="BB28">
        <f>IFERROR(SMALL($AM$3:$AM$95,26),"")</f>
        <v/>
      </c>
      <c r="BC28">
        <f>IF(BB28="","",INDEX($AA:$AA,BB28))</f>
        <v/>
      </c>
      <c r="BD28">
        <f>IF(BB28="","",INDEX($AE:$AE,BB28))</f>
        <v/>
      </c>
      <c r="BE28">
        <f>IF(BB28="","",INDEX($AF:$AF,BB28))</f>
        <v/>
      </c>
      <c r="BF28">
        <f>IF(BB28="","",INDEX($AL:$AL,BB28))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IF(B29="",0,COUNTIFS(DATA_CHOP!$A:$A,B29,DATA_CHOP!$C:$C,$B$6,DATA_CHOP!$D:$D,$B$7))</f>
        <v/>
      </c>
      <c r="G29">
        <f>IF(F29=0,0,SUMIFS(DATA_CHOP!$E:$E,DATA_CHOP!$A:$A,B29,DATA_CHOP!$C:$C,$B$6,DATA_CHOP!$D:$D,$B$7))</f>
        <v/>
      </c>
      <c r="H29">
        <f>IF(F29=0,0,SUMIFS(DATA_CHOP!$F:$F,DATA_CHOP!$A:$A,B29,DATA_CHOP!$C:$C,$B$6,DATA_CHOP!$D:$D,$B$7))</f>
        <v/>
      </c>
      <c r="I29">
        <f>IF(F29=0,0,SUMIFS(DATA_CHOP!$H:$H,DATA_CHOP!$A:$A,B29,DATA_CHOP!$C:$C,$B$6,DATA_CHOP!$D:$D,$B$7))</f>
        <v/>
      </c>
      <c r="J29">
        <f>G29+H29</f>
        <v/>
      </c>
      <c r="K29">
        <f>J29+I29</f>
        <v/>
      </c>
      <c r="L29">
        <f>IF(F29=0,0,SUMIFS(DATA_CHOP!$J:$J,DATA_CHOP!$A:$A,B29,DATA_CHOP!$C:$C,$B$6,DATA_CHOP!$D:$D,$B$7))</f>
        <v/>
      </c>
      <c r="M29">
        <f>IF(F29=0,0,SUMIFS(DATA_CHOP!$K:$K,DATA_CHOP!$A:$A,B29,DATA_CHOP!$C:$C,$B$6,DATA_CHOP!$D:$D,$B$7))</f>
        <v/>
      </c>
      <c r="N29">
        <f>IF(B29="",0,IF($B$3="Zone",IF(AND($B$17,NOT($B$18)),1,0),MAX(0,SUMIFS(DATA_SERVICE_AREAS!$G:$G,DATA_SERVICE_AREAS!$A:$A,B29,DATA_SERVICE_AREAS!$C:$C,"CHOP",DATA_SERVICE_AREAS!$D:$D,$B$6)-COUNTIFS(MASTER_ZONES!$C:$C,$B$6,MASTER_ZONES!$I:$I,"Y",MASTER_ZONES!$D:$D,"Y"))))</f>
        <v/>
      </c>
      <c r="O29">
        <f>IF(B29="",0,IF($B$3="Zone",IF(AND($B$17,NOT($B$18),F29&gt;0),1,0),MAX(0,SUMIFS(DATA_SERVICE_AREAS!$F:$F,DATA_SERVICE_AREAS!$A:$A,B29,DATA_SERVICE_AREAS!$C:$C,"CHOP",DATA_SERVICE_AREAS!$D:$D,$B$6)-COUNTIFS(DATA_COMMUNITY!$A:$A,B29,DATA_COMMUNITY!$D:$D,"CHOP",DATA_COMMUNITY!$E:$E,$B$6))))</f>
        <v/>
      </c>
      <c r="P29">
        <f>MAX(0,N29-O29)</f>
        <v/>
      </c>
      <c r="Q29">
        <f>IF(N29=0,0,O29/N29)</f>
        <v/>
      </c>
      <c r="R29">
        <f>IF(O29=0,0,K29/O29)</f>
        <v/>
      </c>
      <c r="S29">
        <f>IF(OR(F29&gt;0,N29&gt;0),1,0)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IFERROR(INDEX(MASTER_AREAS!$B:$B,28)&amp;"","")</f>
        <v/>
      </c>
      <c r="AB29">
        <f>IF(OR(AA29="",$B$10=0),0,COUNTIFS(DATA_CHOP!$A:$A,$B$10,DATA_CHOP!$C:$C,AA29))</f>
        <v/>
      </c>
      <c r="AC29">
        <f>IF(AB29=0,0,SUMIFS(DATA_CHOP!$I:$I,DATA_CHOP!$A:$A,$B$10,DATA_CHOP!$C:$C,AA29))</f>
        <v/>
      </c>
      <c r="AD29">
        <f>IF(OR(AA29="",$B$10=0),0,SUMIFS(DATA_CHOP!$I:$I,DATA_CHOP!$A:$A,$B$10-7,DATA_CHOP!$C:$C,AA29))</f>
        <v/>
      </c>
      <c r="AE29">
        <f>IF(OR(AA29="",$B$10=0),0,MAX(0,SUMIFS(DATA_SERVICE_AREAS!$G:$G,DATA_SERVICE_AREAS!$A:$A,$B$10,DATA_SERVICE_AREAS!$C:$C,"CHOP",DATA_SERVICE_AREAS!$D:$D,AA29)-COUNTIFS(MASTER_ZONES!$C:$C,AA29,MASTER_ZONES!$I:$I,"Y",MASTER_ZONES!$D:$D,"Y")))</f>
        <v/>
      </c>
      <c r="AF29">
        <f>IF(OR(AA29="",$B$10=0),0,MAX(0,SUMIFS(DATA_SERVICE_AREAS!$F:$F,DATA_SERVICE_AREAS!$A:$A,$B$10,DATA_SERVICE_AREAS!$C:$C,"CHOP",DATA_SERVICE_AREAS!$D:$D,AA29)-COUNTIFS(DATA_COMMUNITY!$A:$A,$B$10,DATA_COMMUNITY!$D:$D,"CHOP",DATA_COMMUNITY!$E:$E,AA29)))</f>
        <v/>
      </c>
      <c r="AG29">
        <f>IF(AE29=0,"",MIN(1,AF29/AE29))</f>
        <v/>
      </c>
      <c r="AH29">
        <f>IF(OR(AB29=0,AD29=0),"",AC29/AD29-1)</f>
        <v/>
      </c>
      <c r="AI29">
        <f>IF(AB29=0,"",AC29+ROW()/1000000)</f>
        <v/>
      </c>
      <c r="AJ29">
        <f>IF(AG29="","",AG29+ROW()/1000000000)</f>
        <v/>
      </c>
      <c r="AK29">
        <f>IF(AH29="","",AH29+ROW()/1000000000)</f>
        <v/>
      </c>
      <c r="AL29">
        <f>MAX(0,AE29-AF29)</f>
        <v/>
      </c>
      <c r="AM29">
        <f>IF(AND(AL29&gt;0,OR($B$6="*",AA29=$B$6)),ROW(),"")</f>
        <v/>
      </c>
      <c r="BB29">
        <f>IFERROR(SMALL($AM$3:$AM$95,27),"")</f>
        <v/>
      </c>
      <c r="BC29">
        <f>IF(BB29="","",INDEX($AA:$AA,BB29))</f>
        <v/>
      </c>
      <c r="BD29">
        <f>IF(BB29="","",INDEX($AE:$AE,BB29))</f>
        <v/>
      </c>
      <c r="BE29">
        <f>IF(BB29="","",INDEX($AF:$AF,BB29))</f>
        <v/>
      </c>
      <c r="BF29">
        <f>IF(BB29="","",INDEX($AL:$AL,BB29))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IF(B30="",0,COUNTIFS(DATA_CHOP!$A:$A,B30,DATA_CHOP!$C:$C,$B$6,DATA_CHOP!$D:$D,$B$7))</f>
        <v/>
      </c>
      <c r="G30">
        <f>IF(F30=0,0,SUMIFS(DATA_CHOP!$E:$E,DATA_CHOP!$A:$A,B30,DATA_CHOP!$C:$C,$B$6,DATA_CHOP!$D:$D,$B$7))</f>
        <v/>
      </c>
      <c r="H30">
        <f>IF(F30=0,0,SUMIFS(DATA_CHOP!$F:$F,DATA_CHOP!$A:$A,B30,DATA_CHOP!$C:$C,$B$6,DATA_CHOP!$D:$D,$B$7))</f>
        <v/>
      </c>
      <c r="I30">
        <f>IF(F30=0,0,SUMIFS(DATA_CHOP!$H:$H,DATA_CHOP!$A:$A,B30,DATA_CHOP!$C:$C,$B$6,DATA_CHOP!$D:$D,$B$7))</f>
        <v/>
      </c>
      <c r="J30">
        <f>G30+H30</f>
        <v/>
      </c>
      <c r="K30">
        <f>J30+I30</f>
        <v/>
      </c>
      <c r="L30">
        <f>IF(F30=0,0,SUMIFS(DATA_CHOP!$J:$J,DATA_CHOP!$A:$A,B30,DATA_CHOP!$C:$C,$B$6,DATA_CHOP!$D:$D,$B$7))</f>
        <v/>
      </c>
      <c r="M30">
        <f>IF(F30=0,0,SUMIFS(DATA_CHOP!$K:$K,DATA_CHOP!$A:$A,B30,DATA_CHOP!$C:$C,$B$6,DATA_CHOP!$D:$D,$B$7))</f>
        <v/>
      </c>
      <c r="N30">
        <f>IF(B30="",0,IF($B$3="Zone",IF(AND($B$17,NOT($B$18)),1,0),MAX(0,SUMIFS(DATA_SERVICE_AREAS!$G:$G,DATA_SERVICE_AREAS!$A:$A,B30,DATA_SERVICE_AREAS!$C:$C,"CHOP",DATA_SERVICE_AREAS!$D:$D,$B$6)-COUNTIFS(MASTER_ZONES!$C:$C,$B$6,MASTER_ZONES!$I:$I,"Y",MASTER_ZONES!$D:$D,"Y"))))</f>
        <v/>
      </c>
      <c r="O30">
        <f>IF(B30="",0,IF($B$3="Zone",IF(AND($B$17,NOT($B$18),F30&gt;0),1,0),MAX(0,SUMIFS(DATA_SERVICE_AREAS!$F:$F,DATA_SERVICE_AREAS!$A:$A,B30,DATA_SERVICE_AREAS!$C:$C,"CHOP",DATA_SERVICE_AREAS!$D:$D,$B$6)-COUNTIFS(DATA_COMMUNITY!$A:$A,B30,DATA_COMMUNITY!$D:$D,"CHOP",DATA_COMMUNITY!$E:$E,$B$6))))</f>
        <v/>
      </c>
      <c r="P30">
        <f>MAX(0,N30-O30)</f>
        <v/>
      </c>
      <c r="Q30">
        <f>IF(N30=0,0,O30/N30)</f>
        <v/>
      </c>
      <c r="R30">
        <f>IF(O30=0,0,K30/O30)</f>
        <v/>
      </c>
      <c r="S30">
        <f>IF(OR(F30&gt;0,N30&gt;0),1,0)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IFERROR(INDEX(MASTER_AREAS!$B:$B,29)&amp;"","")</f>
        <v/>
      </c>
      <c r="AB30">
        <f>IF(OR(AA30="",$B$10=0),0,COUNTIFS(DATA_CHOP!$A:$A,$B$10,DATA_CHOP!$C:$C,AA30))</f>
        <v/>
      </c>
      <c r="AC30">
        <f>IF(AB30=0,0,SUMIFS(DATA_CHOP!$I:$I,DATA_CHOP!$A:$A,$B$10,DATA_CHOP!$C:$C,AA30))</f>
        <v/>
      </c>
      <c r="AD30">
        <f>IF(OR(AA30="",$B$10=0),0,SUMIFS(DATA_CHOP!$I:$I,DATA_CHOP!$A:$A,$B$10-7,DATA_CHOP!$C:$C,AA30))</f>
        <v/>
      </c>
      <c r="AE30">
        <f>IF(OR(AA30="",$B$10=0),0,MAX(0,SUMIFS(DATA_SERVICE_AREAS!$G:$G,DATA_SERVICE_AREAS!$A:$A,$B$10,DATA_SERVICE_AREAS!$C:$C,"CHOP",DATA_SERVICE_AREAS!$D:$D,AA30)-COUNTIFS(MASTER_ZONES!$C:$C,AA30,MASTER_ZONES!$I:$I,"Y",MASTER_ZONES!$D:$D,"Y")))</f>
        <v/>
      </c>
      <c r="AF30">
        <f>IF(OR(AA30="",$B$10=0),0,MAX(0,SUMIFS(DATA_SERVICE_AREAS!$F:$F,DATA_SERVICE_AREAS!$A:$A,$B$10,DATA_SERVICE_AREAS!$C:$C,"CHOP",DATA_SERVICE_AREAS!$D:$D,AA30)-COUNTIFS(DATA_COMMUNITY!$A:$A,$B$10,DATA_COMMUNITY!$D:$D,"CHOP",DATA_COMMUNITY!$E:$E,AA30)))</f>
        <v/>
      </c>
      <c r="AG30">
        <f>IF(AE30=0,"",MIN(1,AF30/AE30))</f>
        <v/>
      </c>
      <c r="AH30">
        <f>IF(OR(AB30=0,AD30=0),"",AC30/AD30-1)</f>
        <v/>
      </c>
      <c r="AI30">
        <f>IF(AB30=0,"",AC30+ROW()/1000000)</f>
        <v/>
      </c>
      <c r="AJ30">
        <f>IF(AG30="","",AG30+ROW()/1000000000)</f>
        <v/>
      </c>
      <c r="AK30">
        <f>IF(AH30="","",AH30+ROW()/1000000000)</f>
        <v/>
      </c>
      <c r="AL30">
        <f>MAX(0,AE30-AF30)</f>
        <v/>
      </c>
      <c r="AM30">
        <f>IF(AND(AL30&gt;0,OR($B$6="*",AA30=$B$6)),ROW(),"")</f>
        <v/>
      </c>
      <c r="BB30">
        <f>IFERROR(SMALL($AM$3:$AM$95,28),"")</f>
        <v/>
      </c>
      <c r="BC30">
        <f>IF(BB30="","",INDEX($AA:$AA,BB30))</f>
        <v/>
      </c>
      <c r="BD30">
        <f>IF(BB30="","",INDEX($AE:$AE,BB30))</f>
        <v/>
      </c>
      <c r="BE30">
        <f>IF(BB30="","",INDEX($AF:$AF,BB30))</f>
        <v/>
      </c>
      <c r="BF30">
        <f>IF(BB30="","",INDEX($AL:$AL,BB30))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IF(B31="",0,COUNTIFS(DATA_CHOP!$A:$A,B31,DATA_CHOP!$C:$C,$B$6,DATA_CHOP!$D:$D,$B$7))</f>
        <v/>
      </c>
      <c r="G31">
        <f>IF(F31=0,0,SUMIFS(DATA_CHOP!$E:$E,DATA_CHOP!$A:$A,B31,DATA_CHOP!$C:$C,$B$6,DATA_CHOP!$D:$D,$B$7))</f>
        <v/>
      </c>
      <c r="H31">
        <f>IF(F31=0,0,SUMIFS(DATA_CHOP!$F:$F,DATA_CHOP!$A:$A,B31,DATA_CHOP!$C:$C,$B$6,DATA_CHOP!$D:$D,$B$7))</f>
        <v/>
      </c>
      <c r="I31">
        <f>IF(F31=0,0,SUMIFS(DATA_CHOP!$H:$H,DATA_CHOP!$A:$A,B31,DATA_CHOP!$C:$C,$B$6,DATA_CHOP!$D:$D,$B$7))</f>
        <v/>
      </c>
      <c r="J31">
        <f>G31+H31</f>
        <v/>
      </c>
      <c r="K31">
        <f>J31+I31</f>
        <v/>
      </c>
      <c r="L31">
        <f>IF(F31=0,0,SUMIFS(DATA_CHOP!$J:$J,DATA_CHOP!$A:$A,B31,DATA_CHOP!$C:$C,$B$6,DATA_CHOP!$D:$D,$B$7))</f>
        <v/>
      </c>
      <c r="M31">
        <f>IF(F31=0,0,SUMIFS(DATA_CHOP!$K:$K,DATA_CHOP!$A:$A,B31,DATA_CHOP!$C:$C,$B$6,DATA_CHOP!$D:$D,$B$7))</f>
        <v/>
      </c>
      <c r="N31">
        <f>IF(B31="",0,IF($B$3="Zone",IF(AND($B$17,NOT($B$18)),1,0),MAX(0,SUMIFS(DATA_SERVICE_AREAS!$G:$G,DATA_SERVICE_AREAS!$A:$A,B31,DATA_SERVICE_AREAS!$C:$C,"CHOP",DATA_SERVICE_AREAS!$D:$D,$B$6)-COUNTIFS(MASTER_ZONES!$C:$C,$B$6,MASTER_ZONES!$I:$I,"Y",MASTER_ZONES!$D:$D,"Y"))))</f>
        <v/>
      </c>
      <c r="O31">
        <f>IF(B31="",0,IF($B$3="Zone",IF(AND($B$17,NOT($B$18),F31&gt;0),1,0),MAX(0,SUMIFS(DATA_SERVICE_AREAS!$F:$F,DATA_SERVICE_AREAS!$A:$A,B31,DATA_SERVICE_AREAS!$C:$C,"CHOP",DATA_SERVICE_AREAS!$D:$D,$B$6)-COUNTIFS(DATA_COMMUNITY!$A:$A,B31,DATA_COMMUNITY!$D:$D,"CHOP",DATA_COMMUNITY!$E:$E,$B$6))))</f>
        <v/>
      </c>
      <c r="P31">
        <f>MAX(0,N31-O31)</f>
        <v/>
      </c>
      <c r="Q31">
        <f>IF(N31=0,0,O31/N31)</f>
        <v/>
      </c>
      <c r="R31">
        <f>IF(O31=0,0,K31/O31)</f>
        <v/>
      </c>
      <c r="S31">
        <f>IF(OR(F31&gt;0,N31&gt;0),1,0)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IFERROR(INDEX(MASTER_AREAS!$B:$B,30)&amp;"","")</f>
        <v/>
      </c>
      <c r="AB31">
        <f>IF(OR(AA31="",$B$10=0),0,COUNTIFS(DATA_CHOP!$A:$A,$B$10,DATA_CHOP!$C:$C,AA31))</f>
        <v/>
      </c>
      <c r="AC31">
        <f>IF(AB31=0,0,SUMIFS(DATA_CHOP!$I:$I,DATA_CHOP!$A:$A,$B$10,DATA_CHOP!$C:$C,AA31))</f>
        <v/>
      </c>
      <c r="AD31">
        <f>IF(OR(AA31="",$B$10=0),0,SUMIFS(DATA_CHOP!$I:$I,DATA_CHOP!$A:$A,$B$10-7,DATA_CHOP!$C:$C,AA31))</f>
        <v/>
      </c>
      <c r="AE31">
        <f>IF(OR(AA31="",$B$10=0),0,MAX(0,SUMIFS(DATA_SERVICE_AREAS!$G:$G,DATA_SERVICE_AREAS!$A:$A,$B$10,DATA_SERVICE_AREAS!$C:$C,"CHOP",DATA_SERVICE_AREAS!$D:$D,AA31)-COUNTIFS(MASTER_ZONES!$C:$C,AA31,MASTER_ZONES!$I:$I,"Y",MASTER_ZONES!$D:$D,"Y")))</f>
        <v/>
      </c>
      <c r="AF31">
        <f>IF(OR(AA31="",$B$10=0),0,MAX(0,SUMIFS(DATA_SERVICE_AREAS!$F:$F,DATA_SERVICE_AREAS!$A:$A,$B$10,DATA_SERVICE_AREAS!$C:$C,"CHOP",DATA_SERVICE_AREAS!$D:$D,AA31)-COUNTIFS(DATA_COMMUNITY!$A:$A,$B$10,DATA_COMMUNITY!$D:$D,"CHOP",DATA_COMMUNITY!$E:$E,AA31)))</f>
        <v/>
      </c>
      <c r="AG31">
        <f>IF(AE31=0,"",MIN(1,AF31/AE31))</f>
        <v/>
      </c>
      <c r="AH31">
        <f>IF(OR(AB31=0,AD31=0),"",AC31/AD31-1)</f>
        <v/>
      </c>
      <c r="AI31">
        <f>IF(AB31=0,"",AC31+ROW()/1000000)</f>
        <v/>
      </c>
      <c r="AJ31">
        <f>IF(AG31="","",AG31+ROW()/1000000000)</f>
        <v/>
      </c>
      <c r="AK31">
        <f>IF(AH31="","",AH31+ROW()/1000000000)</f>
        <v/>
      </c>
      <c r="AL31">
        <f>MAX(0,AE31-AF31)</f>
        <v/>
      </c>
      <c r="AM31">
        <f>IF(AND(AL31&gt;0,OR($B$6="*",AA31=$B$6)),ROW(),"")</f>
        <v/>
      </c>
      <c r="BB31">
        <f>IFERROR(SMALL($AM$3:$AM$95,29),"")</f>
        <v/>
      </c>
      <c r="BC31">
        <f>IF(BB31="","",INDEX($AA:$AA,BB31))</f>
        <v/>
      </c>
      <c r="BD31">
        <f>IF(BB31="","",INDEX($AE:$AE,BB31))</f>
        <v/>
      </c>
      <c r="BE31">
        <f>IF(BB31="","",INDEX($AF:$AF,BB31))</f>
        <v/>
      </c>
      <c r="BF31">
        <f>IF(BB31="","",INDEX($AL:$AL,BB31))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IF(B32="",0,COUNTIFS(DATA_CHOP!$A:$A,B32,DATA_CHOP!$C:$C,$B$6,DATA_CHOP!$D:$D,$B$7))</f>
        <v/>
      </c>
      <c r="G32">
        <f>IF(F32=0,0,SUMIFS(DATA_CHOP!$E:$E,DATA_CHOP!$A:$A,B32,DATA_CHOP!$C:$C,$B$6,DATA_CHOP!$D:$D,$B$7))</f>
        <v/>
      </c>
      <c r="H32">
        <f>IF(F32=0,0,SUMIFS(DATA_CHOP!$F:$F,DATA_CHOP!$A:$A,B32,DATA_CHOP!$C:$C,$B$6,DATA_CHOP!$D:$D,$B$7))</f>
        <v/>
      </c>
      <c r="I32">
        <f>IF(F32=0,0,SUMIFS(DATA_CHOP!$H:$H,DATA_CHOP!$A:$A,B32,DATA_CHOP!$C:$C,$B$6,DATA_CHOP!$D:$D,$B$7))</f>
        <v/>
      </c>
      <c r="J32">
        <f>G32+H32</f>
        <v/>
      </c>
      <c r="K32">
        <f>J32+I32</f>
        <v/>
      </c>
      <c r="L32">
        <f>IF(F32=0,0,SUMIFS(DATA_CHOP!$J:$J,DATA_CHOP!$A:$A,B32,DATA_CHOP!$C:$C,$B$6,DATA_CHOP!$D:$D,$B$7))</f>
        <v/>
      </c>
      <c r="M32">
        <f>IF(F32=0,0,SUMIFS(DATA_CHOP!$K:$K,DATA_CHOP!$A:$A,B32,DATA_CHOP!$C:$C,$B$6,DATA_CHOP!$D:$D,$B$7))</f>
        <v/>
      </c>
      <c r="N32">
        <f>IF(B32="",0,IF($B$3="Zone",IF(AND($B$17,NOT($B$18)),1,0),MAX(0,SUMIFS(DATA_SERVICE_AREAS!$G:$G,DATA_SERVICE_AREAS!$A:$A,B32,DATA_SERVICE_AREAS!$C:$C,"CHOP",DATA_SERVICE_AREAS!$D:$D,$B$6)-COUNTIFS(MASTER_ZONES!$C:$C,$B$6,MASTER_ZONES!$I:$I,"Y",MASTER_ZONES!$D:$D,"Y"))))</f>
        <v/>
      </c>
      <c r="O32">
        <f>IF(B32="",0,IF($B$3="Zone",IF(AND($B$17,NOT($B$18),F32&gt;0),1,0),MAX(0,SUMIFS(DATA_SERVICE_AREAS!$F:$F,DATA_SERVICE_AREAS!$A:$A,B32,DATA_SERVICE_AREAS!$C:$C,"CHOP",DATA_SERVICE_AREAS!$D:$D,$B$6)-COUNTIFS(DATA_COMMUNITY!$A:$A,B32,DATA_COMMUNITY!$D:$D,"CHOP",DATA_COMMUNITY!$E:$E,$B$6))))</f>
        <v/>
      </c>
      <c r="P32">
        <f>MAX(0,N32-O32)</f>
        <v/>
      </c>
      <c r="Q32">
        <f>IF(N32=0,0,O32/N32)</f>
        <v/>
      </c>
      <c r="R32">
        <f>IF(O32=0,0,K32/O32)</f>
        <v/>
      </c>
      <c r="S32">
        <f>IF(OR(F32&gt;0,N32&gt;0),1,0)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IFERROR(INDEX(MASTER_AREAS!$B:$B,31)&amp;"","")</f>
        <v/>
      </c>
      <c r="AB32">
        <f>IF(OR(AA32="",$B$10=0),0,COUNTIFS(DATA_CHOP!$A:$A,$B$10,DATA_CHOP!$C:$C,AA32))</f>
        <v/>
      </c>
      <c r="AC32">
        <f>IF(AB32=0,0,SUMIFS(DATA_CHOP!$I:$I,DATA_CHOP!$A:$A,$B$10,DATA_CHOP!$C:$C,AA32))</f>
        <v/>
      </c>
      <c r="AD32">
        <f>IF(OR(AA32="",$B$10=0),0,SUMIFS(DATA_CHOP!$I:$I,DATA_CHOP!$A:$A,$B$10-7,DATA_CHOP!$C:$C,AA32))</f>
        <v/>
      </c>
      <c r="AE32">
        <f>IF(OR(AA32="",$B$10=0),0,MAX(0,SUMIFS(DATA_SERVICE_AREAS!$G:$G,DATA_SERVICE_AREAS!$A:$A,$B$10,DATA_SERVICE_AREAS!$C:$C,"CHOP",DATA_SERVICE_AREAS!$D:$D,AA32)-COUNTIFS(MASTER_ZONES!$C:$C,AA32,MASTER_ZONES!$I:$I,"Y",MASTER_ZONES!$D:$D,"Y")))</f>
        <v/>
      </c>
      <c r="AF32">
        <f>IF(OR(AA32="",$B$10=0),0,MAX(0,SUMIFS(DATA_SERVICE_AREAS!$F:$F,DATA_SERVICE_AREAS!$A:$A,$B$10,DATA_SERVICE_AREAS!$C:$C,"CHOP",DATA_SERVICE_AREAS!$D:$D,AA32)-COUNTIFS(DATA_COMMUNITY!$A:$A,$B$10,DATA_COMMUNITY!$D:$D,"CHOP",DATA_COMMUNITY!$E:$E,AA32)))</f>
        <v/>
      </c>
      <c r="AG32">
        <f>IF(AE32=0,"",MIN(1,AF32/AE32))</f>
        <v/>
      </c>
      <c r="AH32">
        <f>IF(OR(AB32=0,AD32=0),"",AC32/AD32-1)</f>
        <v/>
      </c>
      <c r="AI32">
        <f>IF(AB32=0,"",AC32+ROW()/1000000)</f>
        <v/>
      </c>
      <c r="AJ32">
        <f>IF(AG32="","",AG32+ROW()/1000000000)</f>
        <v/>
      </c>
      <c r="AK32">
        <f>IF(AH32="","",AH32+ROW()/1000000000)</f>
        <v/>
      </c>
      <c r="AL32">
        <f>MAX(0,AE32-AF32)</f>
        <v/>
      </c>
      <c r="AM32">
        <f>IF(AND(AL32&gt;0,OR($B$6="*",AA32=$B$6)),ROW(),"")</f>
        <v/>
      </c>
      <c r="BB32">
        <f>IFERROR(SMALL($AM$3:$AM$95,30),"")</f>
        <v/>
      </c>
      <c r="BC32">
        <f>IF(BB32="","",INDEX($AA:$AA,BB32))</f>
        <v/>
      </c>
      <c r="BD32">
        <f>IF(BB32="","",INDEX($AE:$AE,BB32))</f>
        <v/>
      </c>
      <c r="BE32">
        <f>IF(BB32="","",INDEX($AF:$AF,BB32))</f>
        <v/>
      </c>
      <c r="BF32">
        <f>IF(BB32="","",INDEX($AL:$AL,BB32))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IF(B33="",0,COUNTIFS(DATA_CHOP!$A:$A,B33,DATA_CHOP!$C:$C,$B$6,DATA_CHOP!$D:$D,$B$7))</f>
        <v/>
      </c>
      <c r="G33">
        <f>IF(F33=0,0,SUMIFS(DATA_CHOP!$E:$E,DATA_CHOP!$A:$A,B33,DATA_CHOP!$C:$C,$B$6,DATA_CHOP!$D:$D,$B$7))</f>
        <v/>
      </c>
      <c r="H33">
        <f>IF(F33=0,0,SUMIFS(DATA_CHOP!$F:$F,DATA_CHOP!$A:$A,B33,DATA_CHOP!$C:$C,$B$6,DATA_CHOP!$D:$D,$B$7))</f>
        <v/>
      </c>
      <c r="I33">
        <f>IF(F33=0,0,SUMIFS(DATA_CHOP!$H:$H,DATA_CHOP!$A:$A,B33,DATA_CHOP!$C:$C,$B$6,DATA_CHOP!$D:$D,$B$7))</f>
        <v/>
      </c>
      <c r="J33">
        <f>G33+H33</f>
        <v/>
      </c>
      <c r="K33">
        <f>J33+I33</f>
        <v/>
      </c>
      <c r="L33">
        <f>IF(F33=0,0,SUMIFS(DATA_CHOP!$J:$J,DATA_CHOP!$A:$A,B33,DATA_CHOP!$C:$C,$B$6,DATA_CHOP!$D:$D,$B$7))</f>
        <v/>
      </c>
      <c r="M33">
        <f>IF(F33=0,0,SUMIFS(DATA_CHOP!$K:$K,DATA_CHOP!$A:$A,B33,DATA_CHOP!$C:$C,$B$6,DATA_CHOP!$D:$D,$B$7))</f>
        <v/>
      </c>
      <c r="N33">
        <f>IF(B33="",0,IF($B$3="Zone",IF(AND($B$17,NOT($B$18)),1,0),MAX(0,SUMIFS(DATA_SERVICE_AREAS!$G:$G,DATA_SERVICE_AREAS!$A:$A,B33,DATA_SERVICE_AREAS!$C:$C,"CHOP",DATA_SERVICE_AREAS!$D:$D,$B$6)-COUNTIFS(MASTER_ZONES!$C:$C,$B$6,MASTER_ZONES!$I:$I,"Y",MASTER_ZONES!$D:$D,"Y"))))</f>
        <v/>
      </c>
      <c r="O33">
        <f>IF(B33="",0,IF($B$3="Zone",IF(AND($B$17,NOT($B$18),F33&gt;0),1,0),MAX(0,SUMIFS(DATA_SERVICE_AREAS!$F:$F,DATA_SERVICE_AREAS!$A:$A,B33,DATA_SERVICE_AREAS!$C:$C,"CHOP",DATA_SERVICE_AREAS!$D:$D,$B$6)-COUNTIFS(DATA_COMMUNITY!$A:$A,B33,DATA_COMMUNITY!$D:$D,"CHOP",DATA_COMMUNITY!$E:$E,$B$6))))</f>
        <v/>
      </c>
      <c r="P33">
        <f>MAX(0,N33-O33)</f>
        <v/>
      </c>
      <c r="Q33">
        <f>IF(N33=0,0,O33/N33)</f>
        <v/>
      </c>
      <c r="R33">
        <f>IF(O33=0,0,K33/O33)</f>
        <v/>
      </c>
      <c r="S33">
        <f>IF(OR(F33&gt;0,N33&gt;0),1,0)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IFERROR(INDEX(MASTER_AREAS!$B:$B,32)&amp;"","")</f>
        <v/>
      </c>
      <c r="AB33">
        <f>IF(OR(AA33="",$B$10=0),0,COUNTIFS(DATA_CHOP!$A:$A,$B$10,DATA_CHOP!$C:$C,AA33))</f>
        <v/>
      </c>
      <c r="AC33">
        <f>IF(AB33=0,0,SUMIFS(DATA_CHOP!$I:$I,DATA_CHOP!$A:$A,$B$10,DATA_CHOP!$C:$C,AA33))</f>
        <v/>
      </c>
      <c r="AD33">
        <f>IF(OR(AA33="",$B$10=0),0,SUMIFS(DATA_CHOP!$I:$I,DATA_CHOP!$A:$A,$B$10-7,DATA_CHOP!$C:$C,AA33))</f>
        <v/>
      </c>
      <c r="AE33">
        <f>IF(OR(AA33="",$B$10=0),0,MAX(0,SUMIFS(DATA_SERVICE_AREAS!$G:$G,DATA_SERVICE_AREAS!$A:$A,$B$10,DATA_SERVICE_AREAS!$C:$C,"CHOP",DATA_SERVICE_AREAS!$D:$D,AA33)-COUNTIFS(MASTER_ZONES!$C:$C,AA33,MASTER_ZONES!$I:$I,"Y",MASTER_ZONES!$D:$D,"Y")))</f>
        <v/>
      </c>
      <c r="AF33">
        <f>IF(OR(AA33="",$B$10=0),0,MAX(0,SUMIFS(DATA_SERVICE_AREAS!$F:$F,DATA_SERVICE_AREAS!$A:$A,$B$10,DATA_SERVICE_AREAS!$C:$C,"CHOP",DATA_SERVICE_AREAS!$D:$D,AA33)-COUNTIFS(DATA_COMMUNITY!$A:$A,$B$10,DATA_COMMUNITY!$D:$D,"CHOP",DATA_COMMUNITY!$E:$E,AA33)))</f>
        <v/>
      </c>
      <c r="AG33">
        <f>IF(AE33=0,"",MIN(1,AF33/AE33))</f>
        <v/>
      </c>
      <c r="AH33">
        <f>IF(OR(AB33=0,AD33=0),"",AC33/AD33-1)</f>
        <v/>
      </c>
      <c r="AI33">
        <f>IF(AB33=0,"",AC33+ROW()/1000000)</f>
        <v/>
      </c>
      <c r="AJ33">
        <f>IF(AG33="","",AG33+ROW()/1000000000)</f>
        <v/>
      </c>
      <c r="AK33">
        <f>IF(AH33="","",AH33+ROW()/1000000000)</f>
        <v/>
      </c>
      <c r="AL33">
        <f>MAX(0,AE33-AF33)</f>
        <v/>
      </c>
      <c r="AM33">
        <f>IF(AND(AL33&gt;0,OR($B$6="*",AA33=$B$6)),ROW(),"")</f>
        <v/>
      </c>
      <c r="BB33">
        <f>IFERROR(SMALL($AM$3:$AM$95,31),"")</f>
        <v/>
      </c>
      <c r="BC33">
        <f>IF(BB33="","",INDEX($AA:$AA,BB33))</f>
        <v/>
      </c>
      <c r="BD33">
        <f>IF(BB33="","",INDEX($AE:$AE,BB33))</f>
        <v/>
      </c>
      <c r="BE33">
        <f>IF(BB33="","",INDEX($AF:$AF,BB33))</f>
        <v/>
      </c>
      <c r="BF33">
        <f>IF(BB33="","",INDEX($AL:$AL,BB33))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IF(B34="",0,COUNTIFS(DATA_CHOP!$A:$A,B34,DATA_CHOP!$C:$C,$B$6,DATA_CHOP!$D:$D,$B$7))</f>
        <v/>
      </c>
      <c r="G34">
        <f>IF(F34=0,0,SUMIFS(DATA_CHOP!$E:$E,DATA_CHOP!$A:$A,B34,DATA_CHOP!$C:$C,$B$6,DATA_CHOP!$D:$D,$B$7))</f>
        <v/>
      </c>
      <c r="H34">
        <f>IF(F34=0,0,SUMIFS(DATA_CHOP!$F:$F,DATA_CHOP!$A:$A,B34,DATA_CHOP!$C:$C,$B$6,DATA_CHOP!$D:$D,$B$7))</f>
        <v/>
      </c>
      <c r="I34">
        <f>IF(F34=0,0,SUMIFS(DATA_CHOP!$H:$H,DATA_CHOP!$A:$A,B34,DATA_CHOP!$C:$C,$B$6,DATA_CHOP!$D:$D,$B$7))</f>
        <v/>
      </c>
      <c r="J34">
        <f>G34+H34</f>
        <v/>
      </c>
      <c r="K34">
        <f>J34+I34</f>
        <v/>
      </c>
      <c r="L34">
        <f>IF(F34=0,0,SUMIFS(DATA_CHOP!$J:$J,DATA_CHOP!$A:$A,B34,DATA_CHOP!$C:$C,$B$6,DATA_CHOP!$D:$D,$B$7))</f>
        <v/>
      </c>
      <c r="M34">
        <f>IF(F34=0,0,SUMIFS(DATA_CHOP!$K:$K,DATA_CHOP!$A:$A,B34,DATA_CHOP!$C:$C,$B$6,DATA_CHOP!$D:$D,$B$7))</f>
        <v/>
      </c>
      <c r="N34">
        <f>IF(B34="",0,IF($B$3="Zone",IF(AND($B$17,NOT($B$18)),1,0),MAX(0,SUMIFS(DATA_SERVICE_AREAS!$G:$G,DATA_SERVICE_AREAS!$A:$A,B34,DATA_SERVICE_AREAS!$C:$C,"CHOP",DATA_SERVICE_AREAS!$D:$D,$B$6)-COUNTIFS(MASTER_ZONES!$C:$C,$B$6,MASTER_ZONES!$I:$I,"Y",MASTER_ZONES!$D:$D,"Y"))))</f>
        <v/>
      </c>
      <c r="O34">
        <f>IF(B34="",0,IF($B$3="Zone",IF(AND($B$17,NOT($B$18),F34&gt;0),1,0),MAX(0,SUMIFS(DATA_SERVICE_AREAS!$F:$F,DATA_SERVICE_AREAS!$A:$A,B34,DATA_SERVICE_AREAS!$C:$C,"CHOP",DATA_SERVICE_AREAS!$D:$D,$B$6)-COUNTIFS(DATA_COMMUNITY!$A:$A,B34,DATA_COMMUNITY!$D:$D,"CHOP",DATA_COMMUNITY!$E:$E,$B$6))))</f>
        <v/>
      </c>
      <c r="P34">
        <f>MAX(0,N34-O34)</f>
        <v/>
      </c>
      <c r="Q34">
        <f>IF(N34=0,0,O34/N34)</f>
        <v/>
      </c>
      <c r="R34">
        <f>IF(O34=0,0,K34/O34)</f>
        <v/>
      </c>
      <c r="S34">
        <f>IF(OR(F34&gt;0,N34&gt;0),1,0)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IFERROR(INDEX(MASTER_AREAS!$B:$B,33)&amp;"","")</f>
        <v/>
      </c>
      <c r="AB34">
        <f>IF(OR(AA34="",$B$10=0),0,COUNTIFS(DATA_CHOP!$A:$A,$B$10,DATA_CHOP!$C:$C,AA34))</f>
        <v/>
      </c>
      <c r="AC34">
        <f>IF(AB34=0,0,SUMIFS(DATA_CHOP!$I:$I,DATA_CHOP!$A:$A,$B$10,DATA_CHOP!$C:$C,AA34))</f>
        <v/>
      </c>
      <c r="AD34">
        <f>IF(OR(AA34="",$B$10=0),0,SUMIFS(DATA_CHOP!$I:$I,DATA_CHOP!$A:$A,$B$10-7,DATA_CHOP!$C:$C,AA34))</f>
        <v/>
      </c>
      <c r="AE34">
        <f>IF(OR(AA34="",$B$10=0),0,MAX(0,SUMIFS(DATA_SERVICE_AREAS!$G:$G,DATA_SERVICE_AREAS!$A:$A,$B$10,DATA_SERVICE_AREAS!$C:$C,"CHOP",DATA_SERVICE_AREAS!$D:$D,AA34)-COUNTIFS(MASTER_ZONES!$C:$C,AA34,MASTER_ZONES!$I:$I,"Y",MASTER_ZONES!$D:$D,"Y")))</f>
        <v/>
      </c>
      <c r="AF34">
        <f>IF(OR(AA34="",$B$10=0),0,MAX(0,SUMIFS(DATA_SERVICE_AREAS!$F:$F,DATA_SERVICE_AREAS!$A:$A,$B$10,DATA_SERVICE_AREAS!$C:$C,"CHOP",DATA_SERVICE_AREAS!$D:$D,AA34)-COUNTIFS(DATA_COMMUNITY!$A:$A,$B$10,DATA_COMMUNITY!$D:$D,"CHOP",DATA_COMMUNITY!$E:$E,AA34)))</f>
        <v/>
      </c>
      <c r="AG34">
        <f>IF(AE34=0,"",MIN(1,AF34/AE34))</f>
        <v/>
      </c>
      <c r="AH34">
        <f>IF(OR(AB34=0,AD34=0),"",AC34/AD34-1)</f>
        <v/>
      </c>
      <c r="AI34">
        <f>IF(AB34=0,"",AC34+ROW()/1000000)</f>
        <v/>
      </c>
      <c r="AJ34">
        <f>IF(AG34="","",AG34+ROW()/1000000000)</f>
        <v/>
      </c>
      <c r="AK34">
        <f>IF(AH34="","",AH34+ROW()/1000000000)</f>
        <v/>
      </c>
      <c r="AL34">
        <f>MAX(0,AE34-AF34)</f>
        <v/>
      </c>
      <c r="AM34">
        <f>IF(AND(AL34&gt;0,OR($B$6="*",AA34=$B$6)),ROW(),"")</f>
        <v/>
      </c>
      <c r="BB34">
        <f>IFERROR(SMALL($AM$3:$AM$95,32),"")</f>
        <v/>
      </c>
      <c r="BC34">
        <f>IF(BB34="","",INDEX($AA:$AA,BB34))</f>
        <v/>
      </c>
      <c r="BD34">
        <f>IF(BB34="","",INDEX($AE:$AE,BB34))</f>
        <v/>
      </c>
      <c r="BE34">
        <f>IF(BB34="","",INDEX($AF:$AF,BB34))</f>
        <v/>
      </c>
      <c r="BF34">
        <f>IF(BB34="","",INDEX($AL:$AL,BB34))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IF(B35="",0,COUNTIFS(DATA_CHOP!$A:$A,B35,DATA_CHOP!$C:$C,$B$6,DATA_CHOP!$D:$D,$B$7))</f>
        <v/>
      </c>
      <c r="G35">
        <f>IF(F35=0,0,SUMIFS(DATA_CHOP!$E:$E,DATA_CHOP!$A:$A,B35,DATA_CHOP!$C:$C,$B$6,DATA_CHOP!$D:$D,$B$7))</f>
        <v/>
      </c>
      <c r="H35">
        <f>IF(F35=0,0,SUMIFS(DATA_CHOP!$F:$F,DATA_CHOP!$A:$A,B35,DATA_CHOP!$C:$C,$B$6,DATA_CHOP!$D:$D,$B$7))</f>
        <v/>
      </c>
      <c r="I35">
        <f>IF(F35=0,0,SUMIFS(DATA_CHOP!$H:$H,DATA_CHOP!$A:$A,B35,DATA_CHOP!$C:$C,$B$6,DATA_CHOP!$D:$D,$B$7))</f>
        <v/>
      </c>
      <c r="J35">
        <f>G35+H35</f>
        <v/>
      </c>
      <c r="K35">
        <f>J35+I35</f>
        <v/>
      </c>
      <c r="L35">
        <f>IF(F35=0,0,SUMIFS(DATA_CHOP!$J:$J,DATA_CHOP!$A:$A,B35,DATA_CHOP!$C:$C,$B$6,DATA_CHOP!$D:$D,$B$7))</f>
        <v/>
      </c>
      <c r="M35">
        <f>IF(F35=0,0,SUMIFS(DATA_CHOP!$K:$K,DATA_CHOP!$A:$A,B35,DATA_CHOP!$C:$C,$B$6,DATA_CHOP!$D:$D,$B$7))</f>
        <v/>
      </c>
      <c r="N35">
        <f>IF(B35="",0,IF($B$3="Zone",IF(AND($B$17,NOT($B$18)),1,0),MAX(0,SUMIFS(DATA_SERVICE_AREAS!$G:$G,DATA_SERVICE_AREAS!$A:$A,B35,DATA_SERVICE_AREAS!$C:$C,"CHOP",DATA_SERVICE_AREAS!$D:$D,$B$6)-COUNTIFS(MASTER_ZONES!$C:$C,$B$6,MASTER_ZONES!$I:$I,"Y",MASTER_ZONES!$D:$D,"Y"))))</f>
        <v/>
      </c>
      <c r="O35">
        <f>IF(B35="",0,IF($B$3="Zone",IF(AND($B$17,NOT($B$18),F35&gt;0),1,0),MAX(0,SUMIFS(DATA_SERVICE_AREAS!$F:$F,DATA_SERVICE_AREAS!$A:$A,B35,DATA_SERVICE_AREAS!$C:$C,"CHOP",DATA_SERVICE_AREAS!$D:$D,$B$6)-COUNTIFS(DATA_COMMUNITY!$A:$A,B35,DATA_COMMUNITY!$D:$D,"CHOP",DATA_COMMUNITY!$E:$E,$B$6))))</f>
        <v/>
      </c>
      <c r="P35">
        <f>MAX(0,N35-O35)</f>
        <v/>
      </c>
      <c r="Q35">
        <f>IF(N35=0,0,O35/N35)</f>
        <v/>
      </c>
      <c r="R35">
        <f>IF(O35=0,0,K35/O35)</f>
        <v/>
      </c>
      <c r="S35">
        <f>IF(OR(F35&gt;0,N35&gt;0),1,0)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IFERROR(INDEX(MASTER_AREAS!$B:$B,34)&amp;"","")</f>
        <v/>
      </c>
      <c r="AB35">
        <f>IF(OR(AA35="",$B$10=0),0,COUNTIFS(DATA_CHOP!$A:$A,$B$10,DATA_CHOP!$C:$C,AA35))</f>
        <v/>
      </c>
      <c r="AC35">
        <f>IF(AB35=0,0,SUMIFS(DATA_CHOP!$I:$I,DATA_CHOP!$A:$A,$B$10,DATA_CHOP!$C:$C,AA35))</f>
        <v/>
      </c>
      <c r="AD35">
        <f>IF(OR(AA35="",$B$10=0),0,SUMIFS(DATA_CHOP!$I:$I,DATA_CHOP!$A:$A,$B$10-7,DATA_CHOP!$C:$C,AA35))</f>
        <v/>
      </c>
      <c r="AE35">
        <f>IF(OR(AA35="",$B$10=0),0,MAX(0,SUMIFS(DATA_SERVICE_AREAS!$G:$G,DATA_SERVICE_AREAS!$A:$A,$B$10,DATA_SERVICE_AREAS!$C:$C,"CHOP",DATA_SERVICE_AREAS!$D:$D,AA35)-COUNTIFS(MASTER_ZONES!$C:$C,AA35,MASTER_ZONES!$I:$I,"Y",MASTER_ZONES!$D:$D,"Y")))</f>
        <v/>
      </c>
      <c r="AF35">
        <f>IF(OR(AA35="",$B$10=0),0,MAX(0,SUMIFS(DATA_SERVICE_AREAS!$F:$F,DATA_SERVICE_AREAS!$A:$A,$B$10,DATA_SERVICE_AREAS!$C:$C,"CHOP",DATA_SERVICE_AREAS!$D:$D,AA35)-COUNTIFS(DATA_COMMUNITY!$A:$A,$B$10,DATA_COMMUNITY!$D:$D,"CHOP",DATA_COMMUNITY!$E:$E,AA35)))</f>
        <v/>
      </c>
      <c r="AG35">
        <f>IF(AE35=0,"",MIN(1,AF35/AE35))</f>
        <v/>
      </c>
      <c r="AH35">
        <f>IF(OR(AB35=0,AD35=0),"",AC35/AD35-1)</f>
        <v/>
      </c>
      <c r="AI35">
        <f>IF(AB35=0,"",AC35+ROW()/1000000)</f>
        <v/>
      </c>
      <c r="AJ35">
        <f>IF(AG35="","",AG35+ROW()/1000000000)</f>
        <v/>
      </c>
      <c r="AK35">
        <f>IF(AH35="","",AH35+ROW()/1000000000)</f>
        <v/>
      </c>
      <c r="AL35">
        <f>MAX(0,AE35-AF35)</f>
        <v/>
      </c>
      <c r="AM35">
        <f>IF(AND(AL35&gt;0,OR($B$6="*",AA35=$B$6)),ROW(),"")</f>
        <v/>
      </c>
      <c r="BB35">
        <f>IFERROR(SMALL($AM$3:$AM$95,33),"")</f>
        <v/>
      </c>
      <c r="BC35">
        <f>IF(BB35="","",INDEX($AA:$AA,BB35))</f>
        <v/>
      </c>
      <c r="BD35">
        <f>IF(BB35="","",INDEX($AE:$AE,BB35))</f>
        <v/>
      </c>
      <c r="BE35">
        <f>IF(BB35="","",INDEX($AF:$AF,BB35))</f>
        <v/>
      </c>
      <c r="BF35">
        <f>IF(BB35="","",INDEX($AL:$AL,BB35))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IF(B36="",0,COUNTIFS(DATA_CHOP!$A:$A,B36,DATA_CHOP!$C:$C,$B$6,DATA_CHOP!$D:$D,$B$7))</f>
        <v/>
      </c>
      <c r="G36">
        <f>IF(F36=0,0,SUMIFS(DATA_CHOP!$E:$E,DATA_CHOP!$A:$A,B36,DATA_CHOP!$C:$C,$B$6,DATA_CHOP!$D:$D,$B$7))</f>
        <v/>
      </c>
      <c r="H36">
        <f>IF(F36=0,0,SUMIFS(DATA_CHOP!$F:$F,DATA_CHOP!$A:$A,B36,DATA_CHOP!$C:$C,$B$6,DATA_CHOP!$D:$D,$B$7))</f>
        <v/>
      </c>
      <c r="I36">
        <f>IF(F36=0,0,SUMIFS(DATA_CHOP!$H:$H,DATA_CHOP!$A:$A,B36,DATA_CHOP!$C:$C,$B$6,DATA_CHOP!$D:$D,$B$7))</f>
        <v/>
      </c>
      <c r="J36">
        <f>G36+H36</f>
        <v/>
      </c>
      <c r="K36">
        <f>J36+I36</f>
        <v/>
      </c>
      <c r="L36">
        <f>IF(F36=0,0,SUMIFS(DATA_CHOP!$J:$J,DATA_CHOP!$A:$A,B36,DATA_CHOP!$C:$C,$B$6,DATA_CHOP!$D:$D,$B$7))</f>
        <v/>
      </c>
      <c r="M36">
        <f>IF(F36=0,0,SUMIFS(DATA_CHOP!$K:$K,DATA_CHOP!$A:$A,B36,DATA_CHOP!$C:$C,$B$6,DATA_CHOP!$D:$D,$B$7))</f>
        <v/>
      </c>
      <c r="N36">
        <f>IF(B36="",0,IF($B$3="Zone",IF(AND($B$17,NOT($B$18)),1,0),MAX(0,SUMIFS(DATA_SERVICE_AREAS!$G:$G,DATA_SERVICE_AREAS!$A:$A,B36,DATA_SERVICE_AREAS!$C:$C,"CHOP",DATA_SERVICE_AREAS!$D:$D,$B$6)-COUNTIFS(MASTER_ZONES!$C:$C,$B$6,MASTER_ZONES!$I:$I,"Y",MASTER_ZONES!$D:$D,"Y"))))</f>
        <v/>
      </c>
      <c r="O36">
        <f>IF(B36="",0,IF($B$3="Zone",IF(AND($B$17,NOT($B$18),F36&gt;0),1,0),MAX(0,SUMIFS(DATA_SERVICE_AREAS!$F:$F,DATA_SERVICE_AREAS!$A:$A,B36,DATA_SERVICE_AREAS!$C:$C,"CHOP",DATA_SERVICE_AREAS!$D:$D,$B$6)-COUNTIFS(DATA_COMMUNITY!$A:$A,B36,DATA_COMMUNITY!$D:$D,"CHOP",DATA_COMMUNITY!$E:$E,$B$6))))</f>
        <v/>
      </c>
      <c r="P36">
        <f>MAX(0,N36-O36)</f>
        <v/>
      </c>
      <c r="Q36">
        <f>IF(N36=0,0,O36/N36)</f>
        <v/>
      </c>
      <c r="R36">
        <f>IF(O36=0,0,K36/O36)</f>
        <v/>
      </c>
      <c r="S36">
        <f>IF(OR(F36&gt;0,N36&gt;0),1,0)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IFERROR(INDEX(MASTER_AREAS!$B:$B,35)&amp;"","")</f>
        <v/>
      </c>
      <c r="AB36">
        <f>IF(OR(AA36="",$B$10=0),0,COUNTIFS(DATA_CHOP!$A:$A,$B$10,DATA_CHOP!$C:$C,AA36))</f>
        <v/>
      </c>
      <c r="AC36">
        <f>IF(AB36=0,0,SUMIFS(DATA_CHOP!$I:$I,DATA_CHOP!$A:$A,$B$10,DATA_CHOP!$C:$C,AA36))</f>
        <v/>
      </c>
      <c r="AD36">
        <f>IF(OR(AA36="",$B$10=0),0,SUMIFS(DATA_CHOP!$I:$I,DATA_CHOP!$A:$A,$B$10-7,DATA_CHOP!$C:$C,AA36))</f>
        <v/>
      </c>
      <c r="AE36">
        <f>IF(OR(AA36="",$B$10=0),0,MAX(0,SUMIFS(DATA_SERVICE_AREAS!$G:$G,DATA_SERVICE_AREAS!$A:$A,$B$10,DATA_SERVICE_AREAS!$C:$C,"CHOP",DATA_SERVICE_AREAS!$D:$D,AA36)-COUNTIFS(MASTER_ZONES!$C:$C,AA36,MASTER_ZONES!$I:$I,"Y",MASTER_ZONES!$D:$D,"Y")))</f>
        <v/>
      </c>
      <c r="AF36">
        <f>IF(OR(AA36="",$B$10=0),0,MAX(0,SUMIFS(DATA_SERVICE_AREAS!$F:$F,DATA_SERVICE_AREAS!$A:$A,$B$10,DATA_SERVICE_AREAS!$C:$C,"CHOP",DATA_SERVICE_AREAS!$D:$D,AA36)-COUNTIFS(DATA_COMMUNITY!$A:$A,$B$10,DATA_COMMUNITY!$D:$D,"CHOP",DATA_COMMUNITY!$E:$E,AA36)))</f>
        <v/>
      </c>
      <c r="AG36">
        <f>IF(AE36=0,"",MIN(1,AF36/AE36))</f>
        <v/>
      </c>
      <c r="AH36">
        <f>IF(OR(AB36=0,AD36=0),"",AC36/AD36-1)</f>
        <v/>
      </c>
      <c r="AI36">
        <f>IF(AB36=0,"",AC36+ROW()/1000000)</f>
        <v/>
      </c>
      <c r="AJ36">
        <f>IF(AG36="","",AG36+ROW()/1000000000)</f>
        <v/>
      </c>
      <c r="AK36">
        <f>IF(AH36="","",AH36+ROW()/1000000000)</f>
        <v/>
      </c>
      <c r="AL36">
        <f>MAX(0,AE36-AF36)</f>
        <v/>
      </c>
      <c r="AM36">
        <f>IF(AND(AL36&gt;0,OR($B$6="*",AA36=$B$6)),ROW(),"")</f>
        <v/>
      </c>
      <c r="BB36">
        <f>IFERROR(SMALL($AM$3:$AM$95,34),"")</f>
        <v/>
      </c>
      <c r="BC36">
        <f>IF(BB36="","",INDEX($AA:$AA,BB36))</f>
        <v/>
      </c>
      <c r="BD36">
        <f>IF(BB36="","",INDEX($AE:$AE,BB36))</f>
        <v/>
      </c>
      <c r="BE36">
        <f>IF(BB36="","",INDEX($AF:$AF,BB36))</f>
        <v/>
      </c>
      <c r="BF36">
        <f>IF(BB36="","",INDEX($AL:$AL,BB36))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IF(B37="",0,COUNTIFS(DATA_CHOP!$A:$A,B37,DATA_CHOP!$C:$C,$B$6,DATA_CHOP!$D:$D,$B$7))</f>
        <v/>
      </c>
      <c r="G37">
        <f>IF(F37=0,0,SUMIFS(DATA_CHOP!$E:$E,DATA_CHOP!$A:$A,B37,DATA_CHOP!$C:$C,$B$6,DATA_CHOP!$D:$D,$B$7))</f>
        <v/>
      </c>
      <c r="H37">
        <f>IF(F37=0,0,SUMIFS(DATA_CHOP!$F:$F,DATA_CHOP!$A:$A,B37,DATA_CHOP!$C:$C,$B$6,DATA_CHOP!$D:$D,$B$7))</f>
        <v/>
      </c>
      <c r="I37">
        <f>IF(F37=0,0,SUMIFS(DATA_CHOP!$H:$H,DATA_CHOP!$A:$A,B37,DATA_CHOP!$C:$C,$B$6,DATA_CHOP!$D:$D,$B$7))</f>
        <v/>
      </c>
      <c r="J37">
        <f>G37+H37</f>
        <v/>
      </c>
      <c r="K37">
        <f>J37+I37</f>
        <v/>
      </c>
      <c r="L37">
        <f>IF(F37=0,0,SUMIFS(DATA_CHOP!$J:$J,DATA_CHOP!$A:$A,B37,DATA_CHOP!$C:$C,$B$6,DATA_CHOP!$D:$D,$B$7))</f>
        <v/>
      </c>
      <c r="M37">
        <f>IF(F37=0,0,SUMIFS(DATA_CHOP!$K:$K,DATA_CHOP!$A:$A,B37,DATA_CHOP!$C:$C,$B$6,DATA_CHOP!$D:$D,$B$7))</f>
        <v/>
      </c>
      <c r="N37">
        <f>IF(B37="",0,IF($B$3="Zone",IF(AND($B$17,NOT($B$18)),1,0),MAX(0,SUMIFS(DATA_SERVICE_AREAS!$G:$G,DATA_SERVICE_AREAS!$A:$A,B37,DATA_SERVICE_AREAS!$C:$C,"CHOP",DATA_SERVICE_AREAS!$D:$D,$B$6)-COUNTIFS(MASTER_ZONES!$C:$C,$B$6,MASTER_ZONES!$I:$I,"Y",MASTER_ZONES!$D:$D,"Y"))))</f>
        <v/>
      </c>
      <c r="O37">
        <f>IF(B37="",0,IF($B$3="Zone",IF(AND($B$17,NOT($B$18),F37&gt;0),1,0),MAX(0,SUMIFS(DATA_SERVICE_AREAS!$F:$F,DATA_SERVICE_AREAS!$A:$A,B37,DATA_SERVICE_AREAS!$C:$C,"CHOP",DATA_SERVICE_AREAS!$D:$D,$B$6)-COUNTIFS(DATA_COMMUNITY!$A:$A,B37,DATA_COMMUNITY!$D:$D,"CHOP",DATA_COMMUNITY!$E:$E,$B$6))))</f>
        <v/>
      </c>
      <c r="P37">
        <f>MAX(0,N37-O37)</f>
        <v/>
      </c>
      <c r="Q37">
        <f>IF(N37=0,0,O37/N37)</f>
        <v/>
      </c>
      <c r="R37">
        <f>IF(O37=0,0,K37/O37)</f>
        <v/>
      </c>
      <c r="S37">
        <f>IF(OR(F37&gt;0,N37&gt;0),1,0)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IFERROR(INDEX(MASTER_AREAS!$B:$B,36)&amp;"","")</f>
        <v/>
      </c>
      <c r="AB37">
        <f>IF(OR(AA37="",$B$10=0),0,COUNTIFS(DATA_CHOP!$A:$A,$B$10,DATA_CHOP!$C:$C,AA37))</f>
        <v/>
      </c>
      <c r="AC37">
        <f>IF(AB37=0,0,SUMIFS(DATA_CHOP!$I:$I,DATA_CHOP!$A:$A,$B$10,DATA_CHOP!$C:$C,AA37))</f>
        <v/>
      </c>
      <c r="AD37">
        <f>IF(OR(AA37="",$B$10=0),0,SUMIFS(DATA_CHOP!$I:$I,DATA_CHOP!$A:$A,$B$10-7,DATA_CHOP!$C:$C,AA37))</f>
        <v/>
      </c>
      <c r="AE37">
        <f>IF(OR(AA37="",$B$10=0),0,MAX(0,SUMIFS(DATA_SERVICE_AREAS!$G:$G,DATA_SERVICE_AREAS!$A:$A,$B$10,DATA_SERVICE_AREAS!$C:$C,"CHOP",DATA_SERVICE_AREAS!$D:$D,AA37)-COUNTIFS(MASTER_ZONES!$C:$C,AA37,MASTER_ZONES!$I:$I,"Y",MASTER_ZONES!$D:$D,"Y")))</f>
        <v/>
      </c>
      <c r="AF37">
        <f>IF(OR(AA37="",$B$10=0),0,MAX(0,SUMIFS(DATA_SERVICE_AREAS!$F:$F,DATA_SERVICE_AREAS!$A:$A,$B$10,DATA_SERVICE_AREAS!$C:$C,"CHOP",DATA_SERVICE_AREAS!$D:$D,AA37)-COUNTIFS(DATA_COMMUNITY!$A:$A,$B$10,DATA_COMMUNITY!$D:$D,"CHOP",DATA_COMMUNITY!$E:$E,AA37)))</f>
        <v/>
      </c>
      <c r="AG37">
        <f>IF(AE37=0,"",MIN(1,AF37/AE37))</f>
        <v/>
      </c>
      <c r="AH37">
        <f>IF(OR(AB37=0,AD37=0),"",AC37/AD37-1)</f>
        <v/>
      </c>
      <c r="AI37">
        <f>IF(AB37=0,"",AC37+ROW()/1000000)</f>
        <v/>
      </c>
      <c r="AJ37">
        <f>IF(AG37="","",AG37+ROW()/1000000000)</f>
        <v/>
      </c>
      <c r="AK37">
        <f>IF(AH37="","",AH37+ROW()/1000000000)</f>
        <v/>
      </c>
      <c r="AL37">
        <f>MAX(0,AE37-AF37)</f>
        <v/>
      </c>
      <c r="AM37">
        <f>IF(AND(AL37&gt;0,OR($B$6="*",AA37=$B$6)),ROW(),"")</f>
        <v/>
      </c>
      <c r="BB37">
        <f>IFERROR(SMALL($AM$3:$AM$95,35),"")</f>
        <v/>
      </c>
      <c r="BC37">
        <f>IF(BB37="","",INDEX($AA:$AA,BB37))</f>
        <v/>
      </c>
      <c r="BD37">
        <f>IF(BB37="","",INDEX($AE:$AE,BB37))</f>
        <v/>
      </c>
      <c r="BE37">
        <f>IF(BB37="","",INDEX($AF:$AF,BB37))</f>
        <v/>
      </c>
      <c r="BF37">
        <f>IF(BB37="","",INDEX($AL:$AL,BB37))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IF(B38="",0,COUNTIFS(DATA_CHOP!$A:$A,B38,DATA_CHOP!$C:$C,$B$6,DATA_CHOP!$D:$D,$B$7))</f>
        <v/>
      </c>
      <c r="G38">
        <f>IF(F38=0,0,SUMIFS(DATA_CHOP!$E:$E,DATA_CHOP!$A:$A,B38,DATA_CHOP!$C:$C,$B$6,DATA_CHOP!$D:$D,$B$7))</f>
        <v/>
      </c>
      <c r="H38">
        <f>IF(F38=0,0,SUMIFS(DATA_CHOP!$F:$F,DATA_CHOP!$A:$A,B38,DATA_CHOP!$C:$C,$B$6,DATA_CHOP!$D:$D,$B$7))</f>
        <v/>
      </c>
      <c r="I38">
        <f>IF(F38=0,0,SUMIFS(DATA_CHOP!$H:$H,DATA_CHOP!$A:$A,B38,DATA_CHOP!$C:$C,$B$6,DATA_CHOP!$D:$D,$B$7))</f>
        <v/>
      </c>
      <c r="J38">
        <f>G38+H38</f>
        <v/>
      </c>
      <c r="K38">
        <f>J38+I38</f>
        <v/>
      </c>
      <c r="L38">
        <f>IF(F38=0,0,SUMIFS(DATA_CHOP!$J:$J,DATA_CHOP!$A:$A,B38,DATA_CHOP!$C:$C,$B$6,DATA_CHOP!$D:$D,$B$7))</f>
        <v/>
      </c>
      <c r="M38">
        <f>IF(F38=0,0,SUMIFS(DATA_CHOP!$K:$K,DATA_CHOP!$A:$A,B38,DATA_CHOP!$C:$C,$B$6,DATA_CHOP!$D:$D,$B$7))</f>
        <v/>
      </c>
      <c r="N38">
        <f>IF(B38="",0,IF($B$3="Zone",IF(AND($B$17,NOT($B$18)),1,0),MAX(0,SUMIFS(DATA_SERVICE_AREAS!$G:$G,DATA_SERVICE_AREAS!$A:$A,B38,DATA_SERVICE_AREAS!$C:$C,"CHOP",DATA_SERVICE_AREAS!$D:$D,$B$6)-COUNTIFS(MASTER_ZONES!$C:$C,$B$6,MASTER_ZONES!$I:$I,"Y",MASTER_ZONES!$D:$D,"Y"))))</f>
        <v/>
      </c>
      <c r="O38">
        <f>IF(B38="",0,IF($B$3="Zone",IF(AND($B$17,NOT($B$18),F38&gt;0),1,0),MAX(0,SUMIFS(DATA_SERVICE_AREAS!$F:$F,DATA_SERVICE_AREAS!$A:$A,B38,DATA_SERVICE_AREAS!$C:$C,"CHOP",DATA_SERVICE_AREAS!$D:$D,$B$6)-COUNTIFS(DATA_COMMUNITY!$A:$A,B38,DATA_COMMUNITY!$D:$D,"CHOP",DATA_COMMUNITY!$E:$E,$B$6))))</f>
        <v/>
      </c>
      <c r="P38">
        <f>MAX(0,N38-O38)</f>
        <v/>
      </c>
      <c r="Q38">
        <f>IF(N38=0,0,O38/N38)</f>
        <v/>
      </c>
      <c r="R38">
        <f>IF(O38=0,0,K38/O38)</f>
        <v/>
      </c>
      <c r="S38">
        <f>IF(OR(F38&gt;0,N38&gt;0),1,0)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IFERROR(INDEX(MASTER_AREAS!$B:$B,37)&amp;"","")</f>
        <v/>
      </c>
      <c r="AB38">
        <f>IF(OR(AA38="",$B$10=0),0,COUNTIFS(DATA_CHOP!$A:$A,$B$10,DATA_CHOP!$C:$C,AA38))</f>
        <v/>
      </c>
      <c r="AC38">
        <f>IF(AB38=0,0,SUMIFS(DATA_CHOP!$I:$I,DATA_CHOP!$A:$A,$B$10,DATA_CHOP!$C:$C,AA38))</f>
        <v/>
      </c>
      <c r="AD38">
        <f>IF(OR(AA38="",$B$10=0),0,SUMIFS(DATA_CHOP!$I:$I,DATA_CHOP!$A:$A,$B$10-7,DATA_CHOP!$C:$C,AA38))</f>
        <v/>
      </c>
      <c r="AE38">
        <f>IF(OR(AA38="",$B$10=0),0,MAX(0,SUMIFS(DATA_SERVICE_AREAS!$G:$G,DATA_SERVICE_AREAS!$A:$A,$B$10,DATA_SERVICE_AREAS!$C:$C,"CHOP",DATA_SERVICE_AREAS!$D:$D,AA38)-COUNTIFS(MASTER_ZONES!$C:$C,AA38,MASTER_ZONES!$I:$I,"Y",MASTER_ZONES!$D:$D,"Y")))</f>
        <v/>
      </c>
      <c r="AF38">
        <f>IF(OR(AA38="",$B$10=0),0,MAX(0,SUMIFS(DATA_SERVICE_AREAS!$F:$F,DATA_SERVICE_AREAS!$A:$A,$B$10,DATA_SERVICE_AREAS!$C:$C,"CHOP",DATA_SERVICE_AREAS!$D:$D,AA38)-COUNTIFS(DATA_COMMUNITY!$A:$A,$B$10,DATA_COMMUNITY!$D:$D,"CHOP",DATA_COMMUNITY!$E:$E,AA38)))</f>
        <v/>
      </c>
      <c r="AG38">
        <f>IF(AE38=0,"",MIN(1,AF38/AE38))</f>
        <v/>
      </c>
      <c r="AH38">
        <f>IF(OR(AB38=0,AD38=0),"",AC38/AD38-1)</f>
        <v/>
      </c>
      <c r="AI38">
        <f>IF(AB38=0,"",AC38+ROW()/1000000)</f>
        <v/>
      </c>
      <c r="AJ38">
        <f>IF(AG38="","",AG38+ROW()/1000000000)</f>
        <v/>
      </c>
      <c r="AK38">
        <f>IF(AH38="","",AH38+ROW()/1000000000)</f>
        <v/>
      </c>
      <c r="AL38">
        <f>MAX(0,AE38-AF38)</f>
        <v/>
      </c>
      <c r="AM38">
        <f>IF(AND(AL38&gt;0,OR($B$6="*",AA38=$B$6)),ROW(),"")</f>
        <v/>
      </c>
      <c r="BB38">
        <f>IFERROR(SMALL($AM$3:$AM$95,36),"")</f>
        <v/>
      </c>
      <c r="BC38">
        <f>IF(BB38="","",INDEX($AA:$AA,BB38))</f>
        <v/>
      </c>
      <c r="BD38">
        <f>IF(BB38="","",INDEX($AE:$AE,BB38))</f>
        <v/>
      </c>
      <c r="BE38">
        <f>IF(BB38="","",INDEX($AF:$AF,BB38))</f>
        <v/>
      </c>
      <c r="BF38">
        <f>IF(BB38="","",INDEX($AL:$AL,BB38))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IF(B39="",0,COUNTIFS(DATA_CHOP!$A:$A,B39,DATA_CHOP!$C:$C,$B$6,DATA_CHOP!$D:$D,$B$7))</f>
        <v/>
      </c>
      <c r="G39">
        <f>IF(F39=0,0,SUMIFS(DATA_CHOP!$E:$E,DATA_CHOP!$A:$A,B39,DATA_CHOP!$C:$C,$B$6,DATA_CHOP!$D:$D,$B$7))</f>
        <v/>
      </c>
      <c r="H39">
        <f>IF(F39=0,0,SUMIFS(DATA_CHOP!$F:$F,DATA_CHOP!$A:$A,B39,DATA_CHOP!$C:$C,$B$6,DATA_CHOP!$D:$D,$B$7))</f>
        <v/>
      </c>
      <c r="I39">
        <f>IF(F39=0,0,SUMIFS(DATA_CHOP!$H:$H,DATA_CHOP!$A:$A,B39,DATA_CHOP!$C:$C,$B$6,DATA_CHOP!$D:$D,$B$7))</f>
        <v/>
      </c>
      <c r="J39">
        <f>G39+H39</f>
        <v/>
      </c>
      <c r="K39">
        <f>J39+I39</f>
        <v/>
      </c>
      <c r="L39">
        <f>IF(F39=0,0,SUMIFS(DATA_CHOP!$J:$J,DATA_CHOP!$A:$A,B39,DATA_CHOP!$C:$C,$B$6,DATA_CHOP!$D:$D,$B$7))</f>
        <v/>
      </c>
      <c r="M39">
        <f>IF(F39=0,0,SUMIFS(DATA_CHOP!$K:$K,DATA_CHOP!$A:$A,B39,DATA_CHOP!$C:$C,$B$6,DATA_CHOP!$D:$D,$B$7))</f>
        <v/>
      </c>
      <c r="N39">
        <f>IF(B39="",0,IF($B$3="Zone",IF(AND($B$17,NOT($B$18)),1,0),MAX(0,SUMIFS(DATA_SERVICE_AREAS!$G:$G,DATA_SERVICE_AREAS!$A:$A,B39,DATA_SERVICE_AREAS!$C:$C,"CHOP",DATA_SERVICE_AREAS!$D:$D,$B$6)-COUNTIFS(MASTER_ZONES!$C:$C,$B$6,MASTER_ZONES!$I:$I,"Y",MASTER_ZONES!$D:$D,"Y"))))</f>
        <v/>
      </c>
      <c r="O39">
        <f>IF(B39="",0,IF($B$3="Zone",IF(AND($B$17,NOT($B$18),F39&gt;0),1,0),MAX(0,SUMIFS(DATA_SERVICE_AREAS!$F:$F,DATA_SERVICE_AREAS!$A:$A,B39,DATA_SERVICE_AREAS!$C:$C,"CHOP",DATA_SERVICE_AREAS!$D:$D,$B$6)-COUNTIFS(DATA_COMMUNITY!$A:$A,B39,DATA_COMMUNITY!$D:$D,"CHOP",DATA_COMMUNITY!$E:$E,$B$6))))</f>
        <v/>
      </c>
      <c r="P39">
        <f>MAX(0,N39-O39)</f>
        <v/>
      </c>
      <c r="Q39">
        <f>IF(N39=0,0,O39/N39)</f>
        <v/>
      </c>
      <c r="R39">
        <f>IF(O39=0,0,K39/O39)</f>
        <v/>
      </c>
      <c r="S39">
        <f>IF(OR(F39&gt;0,N39&gt;0),1,0)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IFERROR(INDEX(MASTER_AREAS!$B:$B,38)&amp;"","")</f>
        <v/>
      </c>
      <c r="AB39">
        <f>IF(OR(AA39="",$B$10=0),0,COUNTIFS(DATA_CHOP!$A:$A,$B$10,DATA_CHOP!$C:$C,AA39))</f>
        <v/>
      </c>
      <c r="AC39">
        <f>IF(AB39=0,0,SUMIFS(DATA_CHOP!$I:$I,DATA_CHOP!$A:$A,$B$10,DATA_CHOP!$C:$C,AA39))</f>
        <v/>
      </c>
      <c r="AD39">
        <f>IF(OR(AA39="",$B$10=0),0,SUMIFS(DATA_CHOP!$I:$I,DATA_CHOP!$A:$A,$B$10-7,DATA_CHOP!$C:$C,AA39))</f>
        <v/>
      </c>
      <c r="AE39">
        <f>IF(OR(AA39="",$B$10=0),0,MAX(0,SUMIFS(DATA_SERVICE_AREAS!$G:$G,DATA_SERVICE_AREAS!$A:$A,$B$10,DATA_SERVICE_AREAS!$C:$C,"CHOP",DATA_SERVICE_AREAS!$D:$D,AA39)-COUNTIFS(MASTER_ZONES!$C:$C,AA39,MASTER_ZONES!$I:$I,"Y",MASTER_ZONES!$D:$D,"Y")))</f>
        <v/>
      </c>
      <c r="AF39">
        <f>IF(OR(AA39="",$B$10=0),0,MAX(0,SUMIFS(DATA_SERVICE_AREAS!$F:$F,DATA_SERVICE_AREAS!$A:$A,$B$10,DATA_SERVICE_AREAS!$C:$C,"CHOP",DATA_SERVICE_AREAS!$D:$D,AA39)-COUNTIFS(DATA_COMMUNITY!$A:$A,$B$10,DATA_COMMUNITY!$D:$D,"CHOP",DATA_COMMUNITY!$E:$E,AA39)))</f>
        <v/>
      </c>
      <c r="AG39">
        <f>IF(AE39=0,"",MIN(1,AF39/AE39))</f>
        <v/>
      </c>
      <c r="AH39">
        <f>IF(OR(AB39=0,AD39=0),"",AC39/AD39-1)</f>
        <v/>
      </c>
      <c r="AI39">
        <f>IF(AB39=0,"",AC39+ROW()/1000000)</f>
        <v/>
      </c>
      <c r="AJ39">
        <f>IF(AG39="","",AG39+ROW()/1000000000)</f>
        <v/>
      </c>
      <c r="AK39">
        <f>IF(AH39="","",AH39+ROW()/1000000000)</f>
        <v/>
      </c>
      <c r="AL39">
        <f>MAX(0,AE39-AF39)</f>
        <v/>
      </c>
      <c r="AM39">
        <f>IF(AND(AL39&gt;0,OR($B$6="*",AA39=$B$6)),ROW(),"")</f>
        <v/>
      </c>
      <c r="BB39">
        <f>IFERROR(SMALL($AM$3:$AM$95,37),"")</f>
        <v/>
      </c>
      <c r="BC39">
        <f>IF(BB39="","",INDEX($AA:$AA,BB39))</f>
        <v/>
      </c>
      <c r="BD39">
        <f>IF(BB39="","",INDEX($AE:$AE,BB39))</f>
        <v/>
      </c>
      <c r="BE39">
        <f>IF(BB39="","",INDEX($AF:$AF,BB39))</f>
        <v/>
      </c>
      <c r="BF39">
        <f>IF(BB39="","",INDEX($AL:$AL,BB39))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IF(B40="",0,COUNTIFS(DATA_CHOP!$A:$A,B40,DATA_CHOP!$C:$C,$B$6,DATA_CHOP!$D:$D,$B$7))</f>
        <v/>
      </c>
      <c r="G40">
        <f>IF(F40=0,0,SUMIFS(DATA_CHOP!$E:$E,DATA_CHOP!$A:$A,B40,DATA_CHOP!$C:$C,$B$6,DATA_CHOP!$D:$D,$B$7))</f>
        <v/>
      </c>
      <c r="H40">
        <f>IF(F40=0,0,SUMIFS(DATA_CHOP!$F:$F,DATA_CHOP!$A:$A,B40,DATA_CHOP!$C:$C,$B$6,DATA_CHOP!$D:$D,$B$7))</f>
        <v/>
      </c>
      <c r="I40">
        <f>IF(F40=0,0,SUMIFS(DATA_CHOP!$H:$H,DATA_CHOP!$A:$A,B40,DATA_CHOP!$C:$C,$B$6,DATA_CHOP!$D:$D,$B$7))</f>
        <v/>
      </c>
      <c r="J40">
        <f>G40+H40</f>
        <v/>
      </c>
      <c r="K40">
        <f>J40+I40</f>
        <v/>
      </c>
      <c r="L40">
        <f>IF(F40=0,0,SUMIFS(DATA_CHOP!$J:$J,DATA_CHOP!$A:$A,B40,DATA_CHOP!$C:$C,$B$6,DATA_CHOP!$D:$D,$B$7))</f>
        <v/>
      </c>
      <c r="M40">
        <f>IF(F40=0,0,SUMIFS(DATA_CHOP!$K:$K,DATA_CHOP!$A:$A,B40,DATA_CHOP!$C:$C,$B$6,DATA_CHOP!$D:$D,$B$7))</f>
        <v/>
      </c>
      <c r="N40">
        <f>IF(B40="",0,IF($B$3="Zone",IF(AND($B$17,NOT($B$18)),1,0),MAX(0,SUMIFS(DATA_SERVICE_AREAS!$G:$G,DATA_SERVICE_AREAS!$A:$A,B40,DATA_SERVICE_AREAS!$C:$C,"CHOP",DATA_SERVICE_AREAS!$D:$D,$B$6)-COUNTIFS(MASTER_ZONES!$C:$C,$B$6,MASTER_ZONES!$I:$I,"Y",MASTER_ZONES!$D:$D,"Y"))))</f>
        <v/>
      </c>
      <c r="O40">
        <f>IF(B40="",0,IF($B$3="Zone",IF(AND($B$17,NOT($B$18),F40&gt;0),1,0),MAX(0,SUMIFS(DATA_SERVICE_AREAS!$F:$F,DATA_SERVICE_AREAS!$A:$A,B40,DATA_SERVICE_AREAS!$C:$C,"CHOP",DATA_SERVICE_AREAS!$D:$D,$B$6)-COUNTIFS(DATA_COMMUNITY!$A:$A,B40,DATA_COMMUNITY!$D:$D,"CHOP",DATA_COMMUNITY!$E:$E,$B$6))))</f>
        <v/>
      </c>
      <c r="P40">
        <f>MAX(0,N40-O40)</f>
        <v/>
      </c>
      <c r="Q40">
        <f>IF(N40=0,0,O40/N40)</f>
        <v/>
      </c>
      <c r="R40">
        <f>IF(O40=0,0,K40/O40)</f>
        <v/>
      </c>
      <c r="S40">
        <f>IF(OR(F40&gt;0,N40&gt;0),1,0)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IFERROR(INDEX(MASTER_AREAS!$B:$B,39)&amp;"","")</f>
        <v/>
      </c>
      <c r="AB40">
        <f>IF(OR(AA40="",$B$10=0),0,COUNTIFS(DATA_CHOP!$A:$A,$B$10,DATA_CHOP!$C:$C,AA40))</f>
        <v/>
      </c>
      <c r="AC40">
        <f>IF(AB40=0,0,SUMIFS(DATA_CHOP!$I:$I,DATA_CHOP!$A:$A,$B$10,DATA_CHOP!$C:$C,AA40))</f>
        <v/>
      </c>
      <c r="AD40">
        <f>IF(OR(AA40="",$B$10=0),0,SUMIFS(DATA_CHOP!$I:$I,DATA_CHOP!$A:$A,$B$10-7,DATA_CHOP!$C:$C,AA40))</f>
        <v/>
      </c>
      <c r="AE40">
        <f>IF(OR(AA40="",$B$10=0),0,MAX(0,SUMIFS(DATA_SERVICE_AREAS!$G:$G,DATA_SERVICE_AREAS!$A:$A,$B$10,DATA_SERVICE_AREAS!$C:$C,"CHOP",DATA_SERVICE_AREAS!$D:$D,AA40)-COUNTIFS(MASTER_ZONES!$C:$C,AA40,MASTER_ZONES!$I:$I,"Y",MASTER_ZONES!$D:$D,"Y")))</f>
        <v/>
      </c>
      <c r="AF40">
        <f>IF(OR(AA40="",$B$10=0),0,MAX(0,SUMIFS(DATA_SERVICE_AREAS!$F:$F,DATA_SERVICE_AREAS!$A:$A,$B$10,DATA_SERVICE_AREAS!$C:$C,"CHOP",DATA_SERVICE_AREAS!$D:$D,AA40)-COUNTIFS(DATA_COMMUNITY!$A:$A,$B$10,DATA_COMMUNITY!$D:$D,"CHOP",DATA_COMMUNITY!$E:$E,AA40)))</f>
        <v/>
      </c>
      <c r="AG40">
        <f>IF(AE40=0,"",MIN(1,AF40/AE40))</f>
        <v/>
      </c>
      <c r="AH40">
        <f>IF(OR(AB40=0,AD40=0),"",AC40/AD40-1)</f>
        <v/>
      </c>
      <c r="AI40">
        <f>IF(AB40=0,"",AC40+ROW()/1000000)</f>
        <v/>
      </c>
      <c r="AJ40">
        <f>IF(AG40="","",AG40+ROW()/1000000000)</f>
        <v/>
      </c>
      <c r="AK40">
        <f>IF(AH40="","",AH40+ROW()/1000000000)</f>
        <v/>
      </c>
      <c r="AL40">
        <f>MAX(0,AE40-AF40)</f>
        <v/>
      </c>
      <c r="AM40">
        <f>IF(AND(AL40&gt;0,OR($B$6="*",AA40=$B$6)),ROW(),"")</f>
        <v/>
      </c>
      <c r="BB40">
        <f>IFERROR(SMALL($AM$3:$AM$95,38),"")</f>
        <v/>
      </c>
      <c r="BC40">
        <f>IF(BB40="","",INDEX($AA:$AA,BB40))</f>
        <v/>
      </c>
      <c r="BD40">
        <f>IF(BB40="","",INDEX($AE:$AE,BB40))</f>
        <v/>
      </c>
      <c r="BE40">
        <f>IF(BB40="","",INDEX($AF:$AF,BB40))</f>
        <v/>
      </c>
      <c r="BF40">
        <f>IF(BB40="","",INDEX($AL:$AL,BB40))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IF(B41="",0,COUNTIFS(DATA_CHOP!$A:$A,B41,DATA_CHOP!$C:$C,$B$6,DATA_CHOP!$D:$D,$B$7))</f>
        <v/>
      </c>
      <c r="G41">
        <f>IF(F41=0,0,SUMIFS(DATA_CHOP!$E:$E,DATA_CHOP!$A:$A,B41,DATA_CHOP!$C:$C,$B$6,DATA_CHOP!$D:$D,$B$7))</f>
        <v/>
      </c>
      <c r="H41">
        <f>IF(F41=0,0,SUMIFS(DATA_CHOP!$F:$F,DATA_CHOP!$A:$A,B41,DATA_CHOP!$C:$C,$B$6,DATA_CHOP!$D:$D,$B$7))</f>
        <v/>
      </c>
      <c r="I41">
        <f>IF(F41=0,0,SUMIFS(DATA_CHOP!$H:$H,DATA_CHOP!$A:$A,B41,DATA_CHOP!$C:$C,$B$6,DATA_CHOP!$D:$D,$B$7))</f>
        <v/>
      </c>
      <c r="J41">
        <f>G41+H41</f>
        <v/>
      </c>
      <c r="K41">
        <f>J41+I41</f>
        <v/>
      </c>
      <c r="L41">
        <f>IF(F41=0,0,SUMIFS(DATA_CHOP!$J:$J,DATA_CHOP!$A:$A,B41,DATA_CHOP!$C:$C,$B$6,DATA_CHOP!$D:$D,$B$7))</f>
        <v/>
      </c>
      <c r="M41">
        <f>IF(F41=0,0,SUMIFS(DATA_CHOP!$K:$K,DATA_CHOP!$A:$A,B41,DATA_CHOP!$C:$C,$B$6,DATA_CHOP!$D:$D,$B$7))</f>
        <v/>
      </c>
      <c r="N41">
        <f>IF(B41="",0,IF($B$3="Zone",IF(AND($B$17,NOT($B$18)),1,0),MAX(0,SUMIFS(DATA_SERVICE_AREAS!$G:$G,DATA_SERVICE_AREAS!$A:$A,B41,DATA_SERVICE_AREAS!$C:$C,"CHOP",DATA_SERVICE_AREAS!$D:$D,$B$6)-COUNTIFS(MASTER_ZONES!$C:$C,$B$6,MASTER_ZONES!$I:$I,"Y",MASTER_ZONES!$D:$D,"Y"))))</f>
        <v/>
      </c>
      <c r="O41">
        <f>IF(B41="",0,IF($B$3="Zone",IF(AND($B$17,NOT($B$18),F41&gt;0),1,0),MAX(0,SUMIFS(DATA_SERVICE_AREAS!$F:$F,DATA_SERVICE_AREAS!$A:$A,B41,DATA_SERVICE_AREAS!$C:$C,"CHOP",DATA_SERVICE_AREAS!$D:$D,$B$6)-COUNTIFS(DATA_COMMUNITY!$A:$A,B41,DATA_COMMUNITY!$D:$D,"CHOP",DATA_COMMUNITY!$E:$E,$B$6))))</f>
        <v/>
      </c>
      <c r="P41">
        <f>MAX(0,N41-O41)</f>
        <v/>
      </c>
      <c r="Q41">
        <f>IF(N41=0,0,O41/N41)</f>
        <v/>
      </c>
      <c r="R41">
        <f>IF(O41=0,0,K41/O41)</f>
        <v/>
      </c>
      <c r="S41">
        <f>IF(OR(F41&gt;0,N41&gt;0),1,0)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IFERROR(INDEX(MASTER_AREAS!$B:$B,40)&amp;"","")</f>
        <v/>
      </c>
      <c r="AB41">
        <f>IF(OR(AA41="",$B$10=0),0,COUNTIFS(DATA_CHOP!$A:$A,$B$10,DATA_CHOP!$C:$C,AA41))</f>
        <v/>
      </c>
      <c r="AC41">
        <f>IF(AB41=0,0,SUMIFS(DATA_CHOP!$I:$I,DATA_CHOP!$A:$A,$B$10,DATA_CHOP!$C:$C,AA41))</f>
        <v/>
      </c>
      <c r="AD41">
        <f>IF(OR(AA41="",$B$10=0),0,SUMIFS(DATA_CHOP!$I:$I,DATA_CHOP!$A:$A,$B$10-7,DATA_CHOP!$C:$C,AA41))</f>
        <v/>
      </c>
      <c r="AE41">
        <f>IF(OR(AA41="",$B$10=0),0,MAX(0,SUMIFS(DATA_SERVICE_AREAS!$G:$G,DATA_SERVICE_AREAS!$A:$A,$B$10,DATA_SERVICE_AREAS!$C:$C,"CHOP",DATA_SERVICE_AREAS!$D:$D,AA41)-COUNTIFS(MASTER_ZONES!$C:$C,AA41,MASTER_ZONES!$I:$I,"Y",MASTER_ZONES!$D:$D,"Y")))</f>
        <v/>
      </c>
      <c r="AF41">
        <f>IF(OR(AA41="",$B$10=0),0,MAX(0,SUMIFS(DATA_SERVICE_AREAS!$F:$F,DATA_SERVICE_AREAS!$A:$A,$B$10,DATA_SERVICE_AREAS!$C:$C,"CHOP",DATA_SERVICE_AREAS!$D:$D,AA41)-COUNTIFS(DATA_COMMUNITY!$A:$A,$B$10,DATA_COMMUNITY!$D:$D,"CHOP",DATA_COMMUNITY!$E:$E,AA41)))</f>
        <v/>
      </c>
      <c r="AG41">
        <f>IF(AE41=0,"",MIN(1,AF41/AE41))</f>
        <v/>
      </c>
      <c r="AH41">
        <f>IF(OR(AB41=0,AD41=0),"",AC41/AD41-1)</f>
        <v/>
      </c>
      <c r="AI41">
        <f>IF(AB41=0,"",AC41+ROW()/1000000)</f>
        <v/>
      </c>
      <c r="AJ41">
        <f>IF(AG41="","",AG41+ROW()/1000000000)</f>
        <v/>
      </c>
      <c r="AK41">
        <f>IF(AH41="","",AH41+ROW()/1000000000)</f>
        <v/>
      </c>
      <c r="AL41">
        <f>MAX(0,AE41-AF41)</f>
        <v/>
      </c>
      <c r="AM41">
        <f>IF(AND(AL41&gt;0,OR($B$6="*",AA41=$B$6)),ROW(),"")</f>
        <v/>
      </c>
      <c r="BB41">
        <f>IFERROR(SMALL($AM$3:$AM$95,39),"")</f>
        <v/>
      </c>
      <c r="BC41">
        <f>IF(BB41="","",INDEX($AA:$AA,BB41))</f>
        <v/>
      </c>
      <c r="BD41">
        <f>IF(BB41="","",INDEX($AE:$AE,BB41))</f>
        <v/>
      </c>
      <c r="BE41">
        <f>IF(BB41="","",INDEX($AF:$AF,BB41))</f>
        <v/>
      </c>
      <c r="BF41">
        <f>IF(BB41="","",INDEX($AL:$AL,BB41))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IF(B42="",0,COUNTIFS(DATA_CHOP!$A:$A,B42,DATA_CHOP!$C:$C,$B$6,DATA_CHOP!$D:$D,$B$7))</f>
        <v/>
      </c>
      <c r="G42">
        <f>IF(F42=0,0,SUMIFS(DATA_CHOP!$E:$E,DATA_CHOP!$A:$A,B42,DATA_CHOP!$C:$C,$B$6,DATA_CHOP!$D:$D,$B$7))</f>
        <v/>
      </c>
      <c r="H42">
        <f>IF(F42=0,0,SUMIFS(DATA_CHOP!$F:$F,DATA_CHOP!$A:$A,B42,DATA_CHOP!$C:$C,$B$6,DATA_CHOP!$D:$D,$B$7))</f>
        <v/>
      </c>
      <c r="I42">
        <f>IF(F42=0,0,SUMIFS(DATA_CHOP!$H:$H,DATA_CHOP!$A:$A,B42,DATA_CHOP!$C:$C,$B$6,DATA_CHOP!$D:$D,$B$7))</f>
        <v/>
      </c>
      <c r="J42">
        <f>G42+H42</f>
        <v/>
      </c>
      <c r="K42">
        <f>J42+I42</f>
        <v/>
      </c>
      <c r="L42">
        <f>IF(F42=0,0,SUMIFS(DATA_CHOP!$J:$J,DATA_CHOP!$A:$A,B42,DATA_CHOP!$C:$C,$B$6,DATA_CHOP!$D:$D,$B$7))</f>
        <v/>
      </c>
      <c r="M42">
        <f>IF(F42=0,0,SUMIFS(DATA_CHOP!$K:$K,DATA_CHOP!$A:$A,B42,DATA_CHOP!$C:$C,$B$6,DATA_CHOP!$D:$D,$B$7))</f>
        <v/>
      </c>
      <c r="N42">
        <f>IF(B42="",0,IF($B$3="Zone",IF(AND($B$17,NOT($B$18)),1,0),MAX(0,SUMIFS(DATA_SERVICE_AREAS!$G:$G,DATA_SERVICE_AREAS!$A:$A,B42,DATA_SERVICE_AREAS!$C:$C,"CHOP",DATA_SERVICE_AREAS!$D:$D,$B$6)-COUNTIFS(MASTER_ZONES!$C:$C,$B$6,MASTER_ZONES!$I:$I,"Y",MASTER_ZONES!$D:$D,"Y"))))</f>
        <v/>
      </c>
      <c r="O42">
        <f>IF(B42="",0,IF($B$3="Zone",IF(AND($B$17,NOT($B$18),F42&gt;0),1,0),MAX(0,SUMIFS(DATA_SERVICE_AREAS!$F:$F,DATA_SERVICE_AREAS!$A:$A,B42,DATA_SERVICE_AREAS!$C:$C,"CHOP",DATA_SERVICE_AREAS!$D:$D,$B$6)-COUNTIFS(DATA_COMMUNITY!$A:$A,B42,DATA_COMMUNITY!$D:$D,"CHOP",DATA_COMMUNITY!$E:$E,$B$6))))</f>
        <v/>
      </c>
      <c r="P42">
        <f>MAX(0,N42-O42)</f>
        <v/>
      </c>
      <c r="Q42">
        <f>IF(N42=0,0,O42/N42)</f>
        <v/>
      </c>
      <c r="R42">
        <f>IF(O42=0,0,K42/O42)</f>
        <v/>
      </c>
      <c r="S42">
        <f>IF(OR(F42&gt;0,N42&gt;0),1,0)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IFERROR(INDEX(MASTER_AREAS!$B:$B,41)&amp;"","")</f>
        <v/>
      </c>
      <c r="AB42">
        <f>IF(OR(AA42="",$B$10=0),0,COUNTIFS(DATA_CHOP!$A:$A,$B$10,DATA_CHOP!$C:$C,AA42))</f>
        <v/>
      </c>
      <c r="AC42">
        <f>IF(AB42=0,0,SUMIFS(DATA_CHOP!$I:$I,DATA_CHOP!$A:$A,$B$10,DATA_CHOP!$C:$C,AA42))</f>
        <v/>
      </c>
      <c r="AD42">
        <f>IF(OR(AA42="",$B$10=0),0,SUMIFS(DATA_CHOP!$I:$I,DATA_CHOP!$A:$A,$B$10-7,DATA_CHOP!$C:$C,AA42))</f>
        <v/>
      </c>
      <c r="AE42">
        <f>IF(OR(AA42="",$B$10=0),0,MAX(0,SUMIFS(DATA_SERVICE_AREAS!$G:$G,DATA_SERVICE_AREAS!$A:$A,$B$10,DATA_SERVICE_AREAS!$C:$C,"CHOP",DATA_SERVICE_AREAS!$D:$D,AA42)-COUNTIFS(MASTER_ZONES!$C:$C,AA42,MASTER_ZONES!$I:$I,"Y",MASTER_ZONES!$D:$D,"Y")))</f>
        <v/>
      </c>
      <c r="AF42">
        <f>IF(OR(AA42="",$B$10=0),0,MAX(0,SUMIFS(DATA_SERVICE_AREAS!$F:$F,DATA_SERVICE_AREAS!$A:$A,$B$10,DATA_SERVICE_AREAS!$C:$C,"CHOP",DATA_SERVICE_AREAS!$D:$D,AA42)-COUNTIFS(DATA_COMMUNITY!$A:$A,$B$10,DATA_COMMUNITY!$D:$D,"CHOP",DATA_COMMUNITY!$E:$E,AA42)))</f>
        <v/>
      </c>
      <c r="AG42">
        <f>IF(AE42=0,"",MIN(1,AF42/AE42))</f>
        <v/>
      </c>
      <c r="AH42">
        <f>IF(OR(AB42=0,AD42=0),"",AC42/AD42-1)</f>
        <v/>
      </c>
      <c r="AI42">
        <f>IF(AB42=0,"",AC42+ROW()/1000000)</f>
        <v/>
      </c>
      <c r="AJ42">
        <f>IF(AG42="","",AG42+ROW()/1000000000)</f>
        <v/>
      </c>
      <c r="AK42">
        <f>IF(AH42="","",AH42+ROW()/1000000000)</f>
        <v/>
      </c>
      <c r="AL42">
        <f>MAX(0,AE42-AF42)</f>
        <v/>
      </c>
      <c r="AM42">
        <f>IF(AND(AL42&gt;0,OR($B$6="*",AA42=$B$6)),ROW(),"")</f>
        <v/>
      </c>
      <c r="BB42">
        <f>IFERROR(SMALL($AM$3:$AM$95,40),"")</f>
        <v/>
      </c>
      <c r="BC42">
        <f>IF(BB42="","",INDEX($AA:$AA,BB42))</f>
        <v/>
      </c>
      <c r="BD42">
        <f>IF(BB42="","",INDEX($AE:$AE,BB42))</f>
        <v/>
      </c>
      <c r="BE42">
        <f>IF(BB42="","",INDEX($AF:$AF,BB42))</f>
        <v/>
      </c>
      <c r="BF42">
        <f>IF(BB42="","",INDEX($AL:$AL,BB42))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IF(B43="",0,COUNTIFS(DATA_CHOP!$A:$A,B43,DATA_CHOP!$C:$C,$B$6,DATA_CHOP!$D:$D,$B$7))</f>
        <v/>
      </c>
      <c r="G43">
        <f>IF(F43=0,0,SUMIFS(DATA_CHOP!$E:$E,DATA_CHOP!$A:$A,B43,DATA_CHOP!$C:$C,$B$6,DATA_CHOP!$D:$D,$B$7))</f>
        <v/>
      </c>
      <c r="H43">
        <f>IF(F43=0,0,SUMIFS(DATA_CHOP!$F:$F,DATA_CHOP!$A:$A,B43,DATA_CHOP!$C:$C,$B$6,DATA_CHOP!$D:$D,$B$7))</f>
        <v/>
      </c>
      <c r="I43">
        <f>IF(F43=0,0,SUMIFS(DATA_CHOP!$H:$H,DATA_CHOP!$A:$A,B43,DATA_CHOP!$C:$C,$B$6,DATA_CHOP!$D:$D,$B$7))</f>
        <v/>
      </c>
      <c r="J43">
        <f>G43+H43</f>
        <v/>
      </c>
      <c r="K43">
        <f>J43+I43</f>
        <v/>
      </c>
      <c r="L43">
        <f>IF(F43=0,0,SUMIFS(DATA_CHOP!$J:$J,DATA_CHOP!$A:$A,B43,DATA_CHOP!$C:$C,$B$6,DATA_CHOP!$D:$D,$B$7))</f>
        <v/>
      </c>
      <c r="M43">
        <f>IF(F43=0,0,SUMIFS(DATA_CHOP!$K:$K,DATA_CHOP!$A:$A,B43,DATA_CHOP!$C:$C,$B$6,DATA_CHOP!$D:$D,$B$7))</f>
        <v/>
      </c>
      <c r="N43">
        <f>IF(B43="",0,IF($B$3="Zone",IF(AND($B$17,NOT($B$18)),1,0),MAX(0,SUMIFS(DATA_SERVICE_AREAS!$G:$G,DATA_SERVICE_AREAS!$A:$A,B43,DATA_SERVICE_AREAS!$C:$C,"CHOP",DATA_SERVICE_AREAS!$D:$D,$B$6)-COUNTIFS(MASTER_ZONES!$C:$C,$B$6,MASTER_ZONES!$I:$I,"Y",MASTER_ZONES!$D:$D,"Y"))))</f>
        <v/>
      </c>
      <c r="O43">
        <f>IF(B43="",0,IF($B$3="Zone",IF(AND($B$17,NOT($B$18),F43&gt;0),1,0),MAX(0,SUMIFS(DATA_SERVICE_AREAS!$F:$F,DATA_SERVICE_AREAS!$A:$A,B43,DATA_SERVICE_AREAS!$C:$C,"CHOP",DATA_SERVICE_AREAS!$D:$D,$B$6)-COUNTIFS(DATA_COMMUNITY!$A:$A,B43,DATA_COMMUNITY!$D:$D,"CHOP",DATA_COMMUNITY!$E:$E,$B$6))))</f>
        <v/>
      </c>
      <c r="P43">
        <f>MAX(0,N43-O43)</f>
        <v/>
      </c>
      <c r="Q43">
        <f>IF(N43=0,0,O43/N43)</f>
        <v/>
      </c>
      <c r="R43">
        <f>IF(O43=0,0,K43/O43)</f>
        <v/>
      </c>
      <c r="S43">
        <f>IF(OR(F43&gt;0,N43&gt;0),1,0)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IFERROR(INDEX(MASTER_AREAS!$B:$B,42)&amp;"","")</f>
        <v/>
      </c>
      <c r="AB43">
        <f>IF(OR(AA43="",$B$10=0),0,COUNTIFS(DATA_CHOP!$A:$A,$B$10,DATA_CHOP!$C:$C,AA43))</f>
        <v/>
      </c>
      <c r="AC43">
        <f>IF(AB43=0,0,SUMIFS(DATA_CHOP!$I:$I,DATA_CHOP!$A:$A,$B$10,DATA_CHOP!$C:$C,AA43))</f>
        <v/>
      </c>
      <c r="AD43">
        <f>IF(OR(AA43="",$B$10=0),0,SUMIFS(DATA_CHOP!$I:$I,DATA_CHOP!$A:$A,$B$10-7,DATA_CHOP!$C:$C,AA43))</f>
        <v/>
      </c>
      <c r="AE43">
        <f>IF(OR(AA43="",$B$10=0),0,MAX(0,SUMIFS(DATA_SERVICE_AREAS!$G:$G,DATA_SERVICE_AREAS!$A:$A,$B$10,DATA_SERVICE_AREAS!$C:$C,"CHOP",DATA_SERVICE_AREAS!$D:$D,AA43)-COUNTIFS(MASTER_ZONES!$C:$C,AA43,MASTER_ZONES!$I:$I,"Y",MASTER_ZONES!$D:$D,"Y")))</f>
        <v/>
      </c>
      <c r="AF43">
        <f>IF(OR(AA43="",$B$10=0),0,MAX(0,SUMIFS(DATA_SERVICE_AREAS!$F:$F,DATA_SERVICE_AREAS!$A:$A,$B$10,DATA_SERVICE_AREAS!$C:$C,"CHOP",DATA_SERVICE_AREAS!$D:$D,AA43)-COUNTIFS(DATA_COMMUNITY!$A:$A,$B$10,DATA_COMMUNITY!$D:$D,"CHOP",DATA_COMMUNITY!$E:$E,AA43)))</f>
        <v/>
      </c>
      <c r="AG43">
        <f>IF(AE43=0,"",MIN(1,AF43/AE43))</f>
        <v/>
      </c>
      <c r="AH43">
        <f>IF(OR(AB43=0,AD43=0),"",AC43/AD43-1)</f>
        <v/>
      </c>
      <c r="AI43">
        <f>IF(AB43=0,"",AC43+ROW()/1000000)</f>
        <v/>
      </c>
      <c r="AJ43">
        <f>IF(AG43="","",AG43+ROW()/1000000000)</f>
        <v/>
      </c>
      <c r="AK43">
        <f>IF(AH43="","",AH43+ROW()/1000000000)</f>
        <v/>
      </c>
      <c r="AL43">
        <f>MAX(0,AE43-AF43)</f>
        <v/>
      </c>
      <c r="AM43">
        <f>IF(AND(AL43&gt;0,OR($B$6="*",AA43=$B$6)),ROW(),"")</f>
        <v/>
      </c>
      <c r="BB43">
        <f>IFERROR(SMALL($AM$3:$AM$95,41),"")</f>
        <v/>
      </c>
      <c r="BC43">
        <f>IF(BB43="","",INDEX($AA:$AA,BB43))</f>
        <v/>
      </c>
      <c r="BD43">
        <f>IF(BB43="","",INDEX($AE:$AE,BB43))</f>
        <v/>
      </c>
      <c r="BE43">
        <f>IF(BB43="","",INDEX($AF:$AF,BB43))</f>
        <v/>
      </c>
      <c r="BF43">
        <f>IF(BB43="","",INDEX($AL:$AL,BB43))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IF(B44="",0,COUNTIFS(DATA_CHOP!$A:$A,B44,DATA_CHOP!$C:$C,$B$6,DATA_CHOP!$D:$D,$B$7))</f>
        <v/>
      </c>
      <c r="G44">
        <f>IF(F44=0,0,SUMIFS(DATA_CHOP!$E:$E,DATA_CHOP!$A:$A,B44,DATA_CHOP!$C:$C,$B$6,DATA_CHOP!$D:$D,$B$7))</f>
        <v/>
      </c>
      <c r="H44">
        <f>IF(F44=0,0,SUMIFS(DATA_CHOP!$F:$F,DATA_CHOP!$A:$A,B44,DATA_CHOP!$C:$C,$B$6,DATA_CHOP!$D:$D,$B$7))</f>
        <v/>
      </c>
      <c r="I44">
        <f>IF(F44=0,0,SUMIFS(DATA_CHOP!$H:$H,DATA_CHOP!$A:$A,B44,DATA_CHOP!$C:$C,$B$6,DATA_CHOP!$D:$D,$B$7))</f>
        <v/>
      </c>
      <c r="J44">
        <f>G44+H44</f>
        <v/>
      </c>
      <c r="K44">
        <f>J44+I44</f>
        <v/>
      </c>
      <c r="L44">
        <f>IF(F44=0,0,SUMIFS(DATA_CHOP!$J:$J,DATA_CHOP!$A:$A,B44,DATA_CHOP!$C:$C,$B$6,DATA_CHOP!$D:$D,$B$7))</f>
        <v/>
      </c>
      <c r="M44">
        <f>IF(F44=0,0,SUMIFS(DATA_CHOP!$K:$K,DATA_CHOP!$A:$A,B44,DATA_CHOP!$C:$C,$B$6,DATA_CHOP!$D:$D,$B$7))</f>
        <v/>
      </c>
      <c r="N44">
        <f>IF(B44="",0,IF($B$3="Zone",IF(AND($B$17,NOT($B$18)),1,0),MAX(0,SUMIFS(DATA_SERVICE_AREAS!$G:$G,DATA_SERVICE_AREAS!$A:$A,B44,DATA_SERVICE_AREAS!$C:$C,"CHOP",DATA_SERVICE_AREAS!$D:$D,$B$6)-COUNTIFS(MASTER_ZONES!$C:$C,$B$6,MASTER_ZONES!$I:$I,"Y",MASTER_ZONES!$D:$D,"Y"))))</f>
        <v/>
      </c>
      <c r="O44">
        <f>IF(B44="",0,IF($B$3="Zone",IF(AND($B$17,NOT($B$18),F44&gt;0),1,0),MAX(0,SUMIFS(DATA_SERVICE_AREAS!$F:$F,DATA_SERVICE_AREAS!$A:$A,B44,DATA_SERVICE_AREAS!$C:$C,"CHOP",DATA_SERVICE_AREAS!$D:$D,$B$6)-COUNTIFS(DATA_COMMUNITY!$A:$A,B44,DATA_COMMUNITY!$D:$D,"CHOP",DATA_COMMUNITY!$E:$E,$B$6))))</f>
        <v/>
      </c>
      <c r="P44">
        <f>MAX(0,N44-O44)</f>
        <v/>
      </c>
      <c r="Q44">
        <f>IF(N44=0,0,O44/N44)</f>
        <v/>
      </c>
      <c r="R44">
        <f>IF(O44=0,0,K44/O44)</f>
        <v/>
      </c>
      <c r="S44">
        <f>IF(OR(F44&gt;0,N44&gt;0),1,0)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IFERROR(INDEX(MASTER_AREAS!$B:$B,43)&amp;"","")</f>
        <v/>
      </c>
      <c r="AB44">
        <f>IF(OR(AA44="",$B$10=0),0,COUNTIFS(DATA_CHOP!$A:$A,$B$10,DATA_CHOP!$C:$C,AA44))</f>
        <v/>
      </c>
      <c r="AC44">
        <f>IF(AB44=0,0,SUMIFS(DATA_CHOP!$I:$I,DATA_CHOP!$A:$A,$B$10,DATA_CHOP!$C:$C,AA44))</f>
        <v/>
      </c>
      <c r="AD44">
        <f>IF(OR(AA44="",$B$10=0),0,SUMIFS(DATA_CHOP!$I:$I,DATA_CHOP!$A:$A,$B$10-7,DATA_CHOP!$C:$C,AA44))</f>
        <v/>
      </c>
      <c r="AE44">
        <f>IF(OR(AA44="",$B$10=0),0,MAX(0,SUMIFS(DATA_SERVICE_AREAS!$G:$G,DATA_SERVICE_AREAS!$A:$A,$B$10,DATA_SERVICE_AREAS!$C:$C,"CHOP",DATA_SERVICE_AREAS!$D:$D,AA44)-COUNTIFS(MASTER_ZONES!$C:$C,AA44,MASTER_ZONES!$I:$I,"Y",MASTER_ZONES!$D:$D,"Y")))</f>
        <v/>
      </c>
      <c r="AF44">
        <f>IF(OR(AA44="",$B$10=0),0,MAX(0,SUMIFS(DATA_SERVICE_AREAS!$F:$F,DATA_SERVICE_AREAS!$A:$A,$B$10,DATA_SERVICE_AREAS!$C:$C,"CHOP",DATA_SERVICE_AREAS!$D:$D,AA44)-COUNTIFS(DATA_COMMUNITY!$A:$A,$B$10,DATA_COMMUNITY!$D:$D,"CHOP",DATA_COMMUNITY!$E:$E,AA44)))</f>
        <v/>
      </c>
      <c r="AG44">
        <f>IF(AE44=0,"",MIN(1,AF44/AE44))</f>
        <v/>
      </c>
      <c r="AH44">
        <f>IF(OR(AB44=0,AD44=0),"",AC44/AD44-1)</f>
        <v/>
      </c>
      <c r="AI44">
        <f>IF(AB44=0,"",AC44+ROW()/1000000)</f>
        <v/>
      </c>
      <c r="AJ44">
        <f>IF(AG44="","",AG44+ROW()/1000000000)</f>
        <v/>
      </c>
      <c r="AK44">
        <f>IF(AH44="","",AH44+ROW()/1000000000)</f>
        <v/>
      </c>
      <c r="AL44">
        <f>MAX(0,AE44-AF44)</f>
        <v/>
      </c>
      <c r="AM44">
        <f>IF(AND(AL44&gt;0,OR($B$6="*",AA44=$B$6)),ROW(),"")</f>
        <v/>
      </c>
      <c r="BB44">
        <f>IFERROR(SMALL($AM$3:$AM$95,42),"")</f>
        <v/>
      </c>
      <c r="BC44">
        <f>IF(BB44="","",INDEX($AA:$AA,BB44))</f>
        <v/>
      </c>
      <c r="BD44">
        <f>IF(BB44="","",INDEX($AE:$AE,BB44))</f>
        <v/>
      </c>
      <c r="BE44">
        <f>IF(BB44="","",INDEX($AF:$AF,BB44))</f>
        <v/>
      </c>
      <c r="BF44">
        <f>IF(BB44="","",INDEX($AL:$AL,BB44))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IF(B45="",0,COUNTIFS(DATA_CHOP!$A:$A,B45,DATA_CHOP!$C:$C,$B$6,DATA_CHOP!$D:$D,$B$7))</f>
        <v/>
      </c>
      <c r="G45">
        <f>IF(F45=0,0,SUMIFS(DATA_CHOP!$E:$E,DATA_CHOP!$A:$A,B45,DATA_CHOP!$C:$C,$B$6,DATA_CHOP!$D:$D,$B$7))</f>
        <v/>
      </c>
      <c r="H45">
        <f>IF(F45=0,0,SUMIFS(DATA_CHOP!$F:$F,DATA_CHOP!$A:$A,B45,DATA_CHOP!$C:$C,$B$6,DATA_CHOP!$D:$D,$B$7))</f>
        <v/>
      </c>
      <c r="I45">
        <f>IF(F45=0,0,SUMIFS(DATA_CHOP!$H:$H,DATA_CHOP!$A:$A,B45,DATA_CHOP!$C:$C,$B$6,DATA_CHOP!$D:$D,$B$7))</f>
        <v/>
      </c>
      <c r="J45">
        <f>G45+H45</f>
        <v/>
      </c>
      <c r="K45">
        <f>J45+I45</f>
        <v/>
      </c>
      <c r="L45">
        <f>IF(F45=0,0,SUMIFS(DATA_CHOP!$J:$J,DATA_CHOP!$A:$A,B45,DATA_CHOP!$C:$C,$B$6,DATA_CHOP!$D:$D,$B$7))</f>
        <v/>
      </c>
      <c r="M45">
        <f>IF(F45=0,0,SUMIFS(DATA_CHOP!$K:$K,DATA_CHOP!$A:$A,B45,DATA_CHOP!$C:$C,$B$6,DATA_CHOP!$D:$D,$B$7))</f>
        <v/>
      </c>
      <c r="N45">
        <f>IF(B45="",0,IF($B$3="Zone",IF(AND($B$17,NOT($B$18)),1,0),MAX(0,SUMIFS(DATA_SERVICE_AREAS!$G:$G,DATA_SERVICE_AREAS!$A:$A,B45,DATA_SERVICE_AREAS!$C:$C,"CHOP",DATA_SERVICE_AREAS!$D:$D,$B$6)-COUNTIFS(MASTER_ZONES!$C:$C,$B$6,MASTER_ZONES!$I:$I,"Y",MASTER_ZONES!$D:$D,"Y"))))</f>
        <v/>
      </c>
      <c r="O45">
        <f>IF(B45="",0,IF($B$3="Zone",IF(AND($B$17,NOT($B$18),F45&gt;0),1,0),MAX(0,SUMIFS(DATA_SERVICE_AREAS!$F:$F,DATA_SERVICE_AREAS!$A:$A,B45,DATA_SERVICE_AREAS!$C:$C,"CHOP",DATA_SERVICE_AREAS!$D:$D,$B$6)-COUNTIFS(DATA_COMMUNITY!$A:$A,B45,DATA_COMMUNITY!$D:$D,"CHOP",DATA_COMMUNITY!$E:$E,$B$6))))</f>
        <v/>
      </c>
      <c r="P45">
        <f>MAX(0,N45-O45)</f>
        <v/>
      </c>
      <c r="Q45">
        <f>IF(N45=0,0,O45/N45)</f>
        <v/>
      </c>
      <c r="R45">
        <f>IF(O45=0,0,K45/O45)</f>
        <v/>
      </c>
      <c r="S45">
        <f>IF(OR(F45&gt;0,N45&gt;0),1,0)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IFERROR(INDEX(MASTER_AREAS!$B:$B,44)&amp;"","")</f>
        <v/>
      </c>
      <c r="AB45">
        <f>IF(OR(AA45="",$B$10=0),0,COUNTIFS(DATA_CHOP!$A:$A,$B$10,DATA_CHOP!$C:$C,AA45))</f>
        <v/>
      </c>
      <c r="AC45">
        <f>IF(AB45=0,0,SUMIFS(DATA_CHOP!$I:$I,DATA_CHOP!$A:$A,$B$10,DATA_CHOP!$C:$C,AA45))</f>
        <v/>
      </c>
      <c r="AD45">
        <f>IF(OR(AA45="",$B$10=0),0,SUMIFS(DATA_CHOP!$I:$I,DATA_CHOP!$A:$A,$B$10-7,DATA_CHOP!$C:$C,AA45))</f>
        <v/>
      </c>
      <c r="AE45">
        <f>IF(OR(AA45="",$B$10=0),0,MAX(0,SUMIFS(DATA_SERVICE_AREAS!$G:$G,DATA_SERVICE_AREAS!$A:$A,$B$10,DATA_SERVICE_AREAS!$C:$C,"CHOP",DATA_SERVICE_AREAS!$D:$D,AA45)-COUNTIFS(MASTER_ZONES!$C:$C,AA45,MASTER_ZONES!$I:$I,"Y",MASTER_ZONES!$D:$D,"Y")))</f>
        <v/>
      </c>
      <c r="AF45">
        <f>IF(OR(AA45="",$B$10=0),0,MAX(0,SUMIFS(DATA_SERVICE_AREAS!$F:$F,DATA_SERVICE_AREAS!$A:$A,$B$10,DATA_SERVICE_AREAS!$C:$C,"CHOP",DATA_SERVICE_AREAS!$D:$D,AA45)-COUNTIFS(DATA_COMMUNITY!$A:$A,$B$10,DATA_COMMUNITY!$D:$D,"CHOP",DATA_COMMUNITY!$E:$E,AA45)))</f>
        <v/>
      </c>
      <c r="AG45">
        <f>IF(AE45=0,"",MIN(1,AF45/AE45))</f>
        <v/>
      </c>
      <c r="AH45">
        <f>IF(OR(AB45=0,AD45=0),"",AC45/AD45-1)</f>
        <v/>
      </c>
      <c r="AI45">
        <f>IF(AB45=0,"",AC45+ROW()/1000000)</f>
        <v/>
      </c>
      <c r="AJ45">
        <f>IF(AG45="","",AG45+ROW()/1000000000)</f>
        <v/>
      </c>
      <c r="AK45">
        <f>IF(AH45="","",AH45+ROW()/1000000000)</f>
        <v/>
      </c>
      <c r="AL45">
        <f>MAX(0,AE45-AF45)</f>
        <v/>
      </c>
      <c r="AM45">
        <f>IF(AND(AL45&gt;0,OR($B$6="*",AA45=$B$6)),ROW(),"")</f>
        <v/>
      </c>
      <c r="BB45">
        <f>IFERROR(SMALL($AM$3:$AM$95,43),"")</f>
        <v/>
      </c>
      <c r="BC45">
        <f>IF(BB45="","",INDEX($AA:$AA,BB45))</f>
        <v/>
      </c>
      <c r="BD45">
        <f>IF(BB45="","",INDEX($AE:$AE,BB45))</f>
        <v/>
      </c>
      <c r="BE45">
        <f>IF(BB45="","",INDEX($AF:$AF,BB45))</f>
        <v/>
      </c>
      <c r="BF45">
        <f>IF(BB45="","",INDEX($AL:$AL,BB45))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IF(B46="",0,COUNTIFS(DATA_CHOP!$A:$A,B46,DATA_CHOP!$C:$C,$B$6,DATA_CHOP!$D:$D,$B$7))</f>
        <v/>
      </c>
      <c r="G46">
        <f>IF(F46=0,0,SUMIFS(DATA_CHOP!$E:$E,DATA_CHOP!$A:$A,B46,DATA_CHOP!$C:$C,$B$6,DATA_CHOP!$D:$D,$B$7))</f>
        <v/>
      </c>
      <c r="H46">
        <f>IF(F46=0,0,SUMIFS(DATA_CHOP!$F:$F,DATA_CHOP!$A:$A,B46,DATA_CHOP!$C:$C,$B$6,DATA_CHOP!$D:$D,$B$7))</f>
        <v/>
      </c>
      <c r="I46">
        <f>IF(F46=0,0,SUMIFS(DATA_CHOP!$H:$H,DATA_CHOP!$A:$A,B46,DATA_CHOP!$C:$C,$B$6,DATA_CHOP!$D:$D,$B$7))</f>
        <v/>
      </c>
      <c r="J46">
        <f>G46+H46</f>
        <v/>
      </c>
      <c r="K46">
        <f>J46+I46</f>
        <v/>
      </c>
      <c r="L46">
        <f>IF(F46=0,0,SUMIFS(DATA_CHOP!$J:$J,DATA_CHOP!$A:$A,B46,DATA_CHOP!$C:$C,$B$6,DATA_CHOP!$D:$D,$B$7))</f>
        <v/>
      </c>
      <c r="M46">
        <f>IF(F46=0,0,SUMIFS(DATA_CHOP!$K:$K,DATA_CHOP!$A:$A,B46,DATA_CHOP!$C:$C,$B$6,DATA_CHOP!$D:$D,$B$7))</f>
        <v/>
      </c>
      <c r="N46">
        <f>IF(B46="",0,IF($B$3="Zone",IF(AND($B$17,NOT($B$18)),1,0),MAX(0,SUMIFS(DATA_SERVICE_AREAS!$G:$G,DATA_SERVICE_AREAS!$A:$A,B46,DATA_SERVICE_AREAS!$C:$C,"CHOP",DATA_SERVICE_AREAS!$D:$D,$B$6)-COUNTIFS(MASTER_ZONES!$C:$C,$B$6,MASTER_ZONES!$I:$I,"Y",MASTER_ZONES!$D:$D,"Y"))))</f>
        <v/>
      </c>
      <c r="O46">
        <f>IF(B46="",0,IF($B$3="Zone",IF(AND($B$17,NOT($B$18),F46&gt;0),1,0),MAX(0,SUMIFS(DATA_SERVICE_AREAS!$F:$F,DATA_SERVICE_AREAS!$A:$A,B46,DATA_SERVICE_AREAS!$C:$C,"CHOP",DATA_SERVICE_AREAS!$D:$D,$B$6)-COUNTIFS(DATA_COMMUNITY!$A:$A,B46,DATA_COMMUNITY!$D:$D,"CHOP",DATA_COMMUNITY!$E:$E,$B$6))))</f>
        <v/>
      </c>
      <c r="P46">
        <f>MAX(0,N46-O46)</f>
        <v/>
      </c>
      <c r="Q46">
        <f>IF(N46=0,0,O46/N46)</f>
        <v/>
      </c>
      <c r="R46">
        <f>IF(O46=0,0,K46/O46)</f>
        <v/>
      </c>
      <c r="S46">
        <f>IF(OR(F46&gt;0,N46&gt;0),1,0)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IFERROR(INDEX(MASTER_AREAS!$B:$B,45)&amp;"","")</f>
        <v/>
      </c>
      <c r="AB46">
        <f>IF(OR(AA46="",$B$10=0),0,COUNTIFS(DATA_CHOP!$A:$A,$B$10,DATA_CHOP!$C:$C,AA46))</f>
        <v/>
      </c>
      <c r="AC46">
        <f>IF(AB46=0,0,SUMIFS(DATA_CHOP!$I:$I,DATA_CHOP!$A:$A,$B$10,DATA_CHOP!$C:$C,AA46))</f>
        <v/>
      </c>
      <c r="AD46">
        <f>IF(OR(AA46="",$B$10=0),0,SUMIFS(DATA_CHOP!$I:$I,DATA_CHOP!$A:$A,$B$10-7,DATA_CHOP!$C:$C,AA46))</f>
        <v/>
      </c>
      <c r="AE46">
        <f>IF(OR(AA46="",$B$10=0),0,MAX(0,SUMIFS(DATA_SERVICE_AREAS!$G:$G,DATA_SERVICE_AREAS!$A:$A,$B$10,DATA_SERVICE_AREAS!$C:$C,"CHOP",DATA_SERVICE_AREAS!$D:$D,AA46)-COUNTIFS(MASTER_ZONES!$C:$C,AA46,MASTER_ZONES!$I:$I,"Y",MASTER_ZONES!$D:$D,"Y")))</f>
        <v/>
      </c>
      <c r="AF46">
        <f>IF(OR(AA46="",$B$10=0),0,MAX(0,SUMIFS(DATA_SERVICE_AREAS!$F:$F,DATA_SERVICE_AREAS!$A:$A,$B$10,DATA_SERVICE_AREAS!$C:$C,"CHOP",DATA_SERVICE_AREAS!$D:$D,AA46)-COUNTIFS(DATA_COMMUNITY!$A:$A,$B$10,DATA_COMMUNITY!$D:$D,"CHOP",DATA_COMMUNITY!$E:$E,AA46)))</f>
        <v/>
      </c>
      <c r="AG46">
        <f>IF(AE46=0,"",MIN(1,AF46/AE46))</f>
        <v/>
      </c>
      <c r="AH46">
        <f>IF(OR(AB46=0,AD46=0),"",AC46/AD46-1)</f>
        <v/>
      </c>
      <c r="AI46">
        <f>IF(AB46=0,"",AC46+ROW()/1000000)</f>
        <v/>
      </c>
      <c r="AJ46">
        <f>IF(AG46="","",AG46+ROW()/1000000000)</f>
        <v/>
      </c>
      <c r="AK46">
        <f>IF(AH46="","",AH46+ROW()/1000000000)</f>
        <v/>
      </c>
      <c r="AL46">
        <f>MAX(0,AE46-AF46)</f>
        <v/>
      </c>
      <c r="AM46">
        <f>IF(AND(AL46&gt;0,OR($B$6="*",AA46=$B$6)),ROW(),"")</f>
        <v/>
      </c>
      <c r="BB46">
        <f>IFERROR(SMALL($AM$3:$AM$95,44),"")</f>
        <v/>
      </c>
      <c r="BC46">
        <f>IF(BB46="","",INDEX($AA:$AA,BB46))</f>
        <v/>
      </c>
      <c r="BD46">
        <f>IF(BB46="","",INDEX($AE:$AE,BB46))</f>
        <v/>
      </c>
      <c r="BE46">
        <f>IF(BB46="","",INDEX($AF:$AF,BB46))</f>
        <v/>
      </c>
      <c r="BF46">
        <f>IF(BB46="","",INDEX($AL:$AL,BB46))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IF(B47="",0,COUNTIFS(DATA_CHOP!$A:$A,B47,DATA_CHOP!$C:$C,$B$6,DATA_CHOP!$D:$D,$B$7))</f>
        <v/>
      </c>
      <c r="G47">
        <f>IF(F47=0,0,SUMIFS(DATA_CHOP!$E:$E,DATA_CHOP!$A:$A,B47,DATA_CHOP!$C:$C,$B$6,DATA_CHOP!$D:$D,$B$7))</f>
        <v/>
      </c>
      <c r="H47">
        <f>IF(F47=0,0,SUMIFS(DATA_CHOP!$F:$F,DATA_CHOP!$A:$A,B47,DATA_CHOP!$C:$C,$B$6,DATA_CHOP!$D:$D,$B$7))</f>
        <v/>
      </c>
      <c r="I47">
        <f>IF(F47=0,0,SUMIFS(DATA_CHOP!$H:$H,DATA_CHOP!$A:$A,B47,DATA_CHOP!$C:$C,$B$6,DATA_CHOP!$D:$D,$B$7))</f>
        <v/>
      </c>
      <c r="J47">
        <f>G47+H47</f>
        <v/>
      </c>
      <c r="K47">
        <f>J47+I47</f>
        <v/>
      </c>
      <c r="L47">
        <f>IF(F47=0,0,SUMIFS(DATA_CHOP!$J:$J,DATA_CHOP!$A:$A,B47,DATA_CHOP!$C:$C,$B$6,DATA_CHOP!$D:$D,$B$7))</f>
        <v/>
      </c>
      <c r="M47">
        <f>IF(F47=0,0,SUMIFS(DATA_CHOP!$K:$K,DATA_CHOP!$A:$A,B47,DATA_CHOP!$C:$C,$B$6,DATA_CHOP!$D:$D,$B$7))</f>
        <v/>
      </c>
      <c r="N47">
        <f>IF(B47="",0,IF($B$3="Zone",IF(AND($B$17,NOT($B$18)),1,0),MAX(0,SUMIFS(DATA_SERVICE_AREAS!$G:$G,DATA_SERVICE_AREAS!$A:$A,B47,DATA_SERVICE_AREAS!$C:$C,"CHOP",DATA_SERVICE_AREAS!$D:$D,$B$6)-COUNTIFS(MASTER_ZONES!$C:$C,$B$6,MASTER_ZONES!$I:$I,"Y",MASTER_ZONES!$D:$D,"Y"))))</f>
        <v/>
      </c>
      <c r="O47">
        <f>IF(B47="",0,IF($B$3="Zone",IF(AND($B$17,NOT($B$18),F47&gt;0),1,0),MAX(0,SUMIFS(DATA_SERVICE_AREAS!$F:$F,DATA_SERVICE_AREAS!$A:$A,B47,DATA_SERVICE_AREAS!$C:$C,"CHOP",DATA_SERVICE_AREAS!$D:$D,$B$6)-COUNTIFS(DATA_COMMUNITY!$A:$A,B47,DATA_COMMUNITY!$D:$D,"CHOP",DATA_COMMUNITY!$E:$E,$B$6))))</f>
        <v/>
      </c>
      <c r="P47">
        <f>MAX(0,N47-O47)</f>
        <v/>
      </c>
      <c r="Q47">
        <f>IF(N47=0,0,O47/N47)</f>
        <v/>
      </c>
      <c r="R47">
        <f>IF(O47=0,0,K47/O47)</f>
        <v/>
      </c>
      <c r="S47">
        <f>IF(OR(F47&gt;0,N47&gt;0),1,0)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IFERROR(INDEX(MASTER_AREAS!$B:$B,46)&amp;"","")</f>
        <v/>
      </c>
      <c r="AB47">
        <f>IF(OR(AA47="",$B$10=0),0,COUNTIFS(DATA_CHOP!$A:$A,$B$10,DATA_CHOP!$C:$C,AA47))</f>
        <v/>
      </c>
      <c r="AC47">
        <f>IF(AB47=0,0,SUMIFS(DATA_CHOP!$I:$I,DATA_CHOP!$A:$A,$B$10,DATA_CHOP!$C:$C,AA47))</f>
        <v/>
      </c>
      <c r="AD47">
        <f>IF(OR(AA47="",$B$10=0),0,SUMIFS(DATA_CHOP!$I:$I,DATA_CHOP!$A:$A,$B$10-7,DATA_CHOP!$C:$C,AA47))</f>
        <v/>
      </c>
      <c r="AE47">
        <f>IF(OR(AA47="",$B$10=0),0,MAX(0,SUMIFS(DATA_SERVICE_AREAS!$G:$G,DATA_SERVICE_AREAS!$A:$A,$B$10,DATA_SERVICE_AREAS!$C:$C,"CHOP",DATA_SERVICE_AREAS!$D:$D,AA47)-COUNTIFS(MASTER_ZONES!$C:$C,AA47,MASTER_ZONES!$I:$I,"Y",MASTER_ZONES!$D:$D,"Y")))</f>
        <v/>
      </c>
      <c r="AF47">
        <f>IF(OR(AA47="",$B$10=0),0,MAX(0,SUMIFS(DATA_SERVICE_AREAS!$F:$F,DATA_SERVICE_AREAS!$A:$A,$B$10,DATA_SERVICE_AREAS!$C:$C,"CHOP",DATA_SERVICE_AREAS!$D:$D,AA47)-COUNTIFS(DATA_COMMUNITY!$A:$A,$B$10,DATA_COMMUNITY!$D:$D,"CHOP",DATA_COMMUNITY!$E:$E,AA47)))</f>
        <v/>
      </c>
      <c r="AG47">
        <f>IF(AE47=0,"",MIN(1,AF47/AE47))</f>
        <v/>
      </c>
      <c r="AH47">
        <f>IF(OR(AB47=0,AD47=0),"",AC47/AD47-1)</f>
        <v/>
      </c>
      <c r="AI47">
        <f>IF(AB47=0,"",AC47+ROW()/1000000)</f>
        <v/>
      </c>
      <c r="AJ47">
        <f>IF(AG47="","",AG47+ROW()/1000000000)</f>
        <v/>
      </c>
      <c r="AK47">
        <f>IF(AH47="","",AH47+ROW()/1000000000)</f>
        <v/>
      </c>
      <c r="AL47">
        <f>MAX(0,AE47-AF47)</f>
        <v/>
      </c>
      <c r="AM47">
        <f>IF(AND(AL47&gt;0,OR($B$6="*",AA47=$B$6)),ROW(),"")</f>
        <v/>
      </c>
      <c r="BB47">
        <f>IFERROR(SMALL($AM$3:$AM$95,45),"")</f>
        <v/>
      </c>
      <c r="BC47">
        <f>IF(BB47="","",INDEX($AA:$AA,BB47))</f>
        <v/>
      </c>
      <c r="BD47">
        <f>IF(BB47="","",INDEX($AE:$AE,BB47))</f>
        <v/>
      </c>
      <c r="BE47">
        <f>IF(BB47="","",INDEX($AF:$AF,BB47))</f>
        <v/>
      </c>
      <c r="BF47">
        <f>IF(BB47="","",INDEX($AL:$AL,BB47))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IF(B48="",0,COUNTIFS(DATA_CHOP!$A:$A,B48,DATA_CHOP!$C:$C,$B$6,DATA_CHOP!$D:$D,$B$7))</f>
        <v/>
      </c>
      <c r="G48">
        <f>IF(F48=0,0,SUMIFS(DATA_CHOP!$E:$E,DATA_CHOP!$A:$A,B48,DATA_CHOP!$C:$C,$B$6,DATA_CHOP!$D:$D,$B$7))</f>
        <v/>
      </c>
      <c r="H48">
        <f>IF(F48=0,0,SUMIFS(DATA_CHOP!$F:$F,DATA_CHOP!$A:$A,B48,DATA_CHOP!$C:$C,$B$6,DATA_CHOP!$D:$D,$B$7))</f>
        <v/>
      </c>
      <c r="I48">
        <f>IF(F48=0,0,SUMIFS(DATA_CHOP!$H:$H,DATA_CHOP!$A:$A,B48,DATA_CHOP!$C:$C,$B$6,DATA_CHOP!$D:$D,$B$7))</f>
        <v/>
      </c>
      <c r="J48">
        <f>G48+H48</f>
        <v/>
      </c>
      <c r="K48">
        <f>J48+I48</f>
        <v/>
      </c>
      <c r="L48">
        <f>IF(F48=0,0,SUMIFS(DATA_CHOP!$J:$J,DATA_CHOP!$A:$A,B48,DATA_CHOP!$C:$C,$B$6,DATA_CHOP!$D:$D,$B$7))</f>
        <v/>
      </c>
      <c r="M48">
        <f>IF(F48=0,0,SUMIFS(DATA_CHOP!$K:$K,DATA_CHOP!$A:$A,B48,DATA_CHOP!$C:$C,$B$6,DATA_CHOP!$D:$D,$B$7))</f>
        <v/>
      </c>
      <c r="N48">
        <f>IF(B48="",0,IF($B$3="Zone",IF(AND($B$17,NOT($B$18)),1,0),MAX(0,SUMIFS(DATA_SERVICE_AREAS!$G:$G,DATA_SERVICE_AREAS!$A:$A,B48,DATA_SERVICE_AREAS!$C:$C,"CHOP",DATA_SERVICE_AREAS!$D:$D,$B$6)-COUNTIFS(MASTER_ZONES!$C:$C,$B$6,MASTER_ZONES!$I:$I,"Y",MASTER_ZONES!$D:$D,"Y"))))</f>
        <v/>
      </c>
      <c r="O48">
        <f>IF(B48="",0,IF($B$3="Zone",IF(AND($B$17,NOT($B$18),F48&gt;0),1,0),MAX(0,SUMIFS(DATA_SERVICE_AREAS!$F:$F,DATA_SERVICE_AREAS!$A:$A,B48,DATA_SERVICE_AREAS!$C:$C,"CHOP",DATA_SERVICE_AREAS!$D:$D,$B$6)-COUNTIFS(DATA_COMMUNITY!$A:$A,B48,DATA_COMMUNITY!$D:$D,"CHOP",DATA_COMMUNITY!$E:$E,$B$6))))</f>
        <v/>
      </c>
      <c r="P48">
        <f>MAX(0,N48-O48)</f>
        <v/>
      </c>
      <c r="Q48">
        <f>IF(N48=0,0,O48/N48)</f>
        <v/>
      </c>
      <c r="R48">
        <f>IF(O48=0,0,K48/O48)</f>
        <v/>
      </c>
      <c r="S48">
        <f>IF(OR(F48&gt;0,N48&gt;0),1,0)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IFERROR(INDEX(MASTER_AREAS!$B:$B,47)&amp;"","")</f>
        <v/>
      </c>
      <c r="AB48">
        <f>IF(OR(AA48="",$B$10=0),0,COUNTIFS(DATA_CHOP!$A:$A,$B$10,DATA_CHOP!$C:$C,AA48))</f>
        <v/>
      </c>
      <c r="AC48">
        <f>IF(AB48=0,0,SUMIFS(DATA_CHOP!$I:$I,DATA_CHOP!$A:$A,$B$10,DATA_CHOP!$C:$C,AA48))</f>
        <v/>
      </c>
      <c r="AD48">
        <f>IF(OR(AA48="",$B$10=0),0,SUMIFS(DATA_CHOP!$I:$I,DATA_CHOP!$A:$A,$B$10-7,DATA_CHOP!$C:$C,AA48))</f>
        <v/>
      </c>
      <c r="AE48">
        <f>IF(OR(AA48="",$B$10=0),0,MAX(0,SUMIFS(DATA_SERVICE_AREAS!$G:$G,DATA_SERVICE_AREAS!$A:$A,$B$10,DATA_SERVICE_AREAS!$C:$C,"CHOP",DATA_SERVICE_AREAS!$D:$D,AA48)-COUNTIFS(MASTER_ZONES!$C:$C,AA48,MASTER_ZONES!$I:$I,"Y",MASTER_ZONES!$D:$D,"Y")))</f>
        <v/>
      </c>
      <c r="AF48">
        <f>IF(OR(AA48="",$B$10=0),0,MAX(0,SUMIFS(DATA_SERVICE_AREAS!$F:$F,DATA_SERVICE_AREAS!$A:$A,$B$10,DATA_SERVICE_AREAS!$C:$C,"CHOP",DATA_SERVICE_AREAS!$D:$D,AA48)-COUNTIFS(DATA_COMMUNITY!$A:$A,$B$10,DATA_COMMUNITY!$D:$D,"CHOP",DATA_COMMUNITY!$E:$E,AA48)))</f>
        <v/>
      </c>
      <c r="AG48">
        <f>IF(AE48=0,"",MIN(1,AF48/AE48))</f>
        <v/>
      </c>
      <c r="AH48">
        <f>IF(OR(AB48=0,AD48=0),"",AC48/AD48-1)</f>
        <v/>
      </c>
      <c r="AI48">
        <f>IF(AB48=0,"",AC48+ROW()/1000000)</f>
        <v/>
      </c>
      <c r="AJ48">
        <f>IF(AG48="","",AG48+ROW()/1000000000)</f>
        <v/>
      </c>
      <c r="AK48">
        <f>IF(AH48="","",AH48+ROW()/1000000000)</f>
        <v/>
      </c>
      <c r="AL48">
        <f>MAX(0,AE48-AF48)</f>
        <v/>
      </c>
      <c r="AM48">
        <f>IF(AND(AL48&gt;0,OR($B$6="*",AA48=$B$6)),ROW(),"")</f>
        <v/>
      </c>
      <c r="BB48">
        <f>IFERROR(SMALL($AM$3:$AM$95,46),"")</f>
        <v/>
      </c>
      <c r="BC48">
        <f>IF(BB48="","",INDEX($AA:$AA,BB48))</f>
        <v/>
      </c>
      <c r="BD48">
        <f>IF(BB48="","",INDEX($AE:$AE,BB48))</f>
        <v/>
      </c>
      <c r="BE48">
        <f>IF(BB48="","",INDEX($AF:$AF,BB48))</f>
        <v/>
      </c>
      <c r="BF48">
        <f>IF(BB48="","",INDEX($AL:$AL,BB48))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IF(B49="",0,COUNTIFS(DATA_CHOP!$A:$A,B49,DATA_CHOP!$C:$C,$B$6,DATA_CHOP!$D:$D,$B$7))</f>
        <v/>
      </c>
      <c r="G49">
        <f>IF(F49=0,0,SUMIFS(DATA_CHOP!$E:$E,DATA_CHOP!$A:$A,B49,DATA_CHOP!$C:$C,$B$6,DATA_CHOP!$D:$D,$B$7))</f>
        <v/>
      </c>
      <c r="H49">
        <f>IF(F49=0,0,SUMIFS(DATA_CHOP!$F:$F,DATA_CHOP!$A:$A,B49,DATA_CHOP!$C:$C,$B$6,DATA_CHOP!$D:$D,$B$7))</f>
        <v/>
      </c>
      <c r="I49">
        <f>IF(F49=0,0,SUMIFS(DATA_CHOP!$H:$H,DATA_CHOP!$A:$A,B49,DATA_CHOP!$C:$C,$B$6,DATA_CHOP!$D:$D,$B$7))</f>
        <v/>
      </c>
      <c r="J49">
        <f>G49+H49</f>
        <v/>
      </c>
      <c r="K49">
        <f>J49+I49</f>
        <v/>
      </c>
      <c r="L49">
        <f>IF(F49=0,0,SUMIFS(DATA_CHOP!$J:$J,DATA_CHOP!$A:$A,B49,DATA_CHOP!$C:$C,$B$6,DATA_CHOP!$D:$D,$B$7))</f>
        <v/>
      </c>
      <c r="M49">
        <f>IF(F49=0,0,SUMIFS(DATA_CHOP!$K:$K,DATA_CHOP!$A:$A,B49,DATA_CHOP!$C:$C,$B$6,DATA_CHOP!$D:$D,$B$7))</f>
        <v/>
      </c>
      <c r="N49">
        <f>IF(B49="",0,IF($B$3="Zone",IF(AND($B$17,NOT($B$18)),1,0),MAX(0,SUMIFS(DATA_SERVICE_AREAS!$G:$G,DATA_SERVICE_AREAS!$A:$A,B49,DATA_SERVICE_AREAS!$C:$C,"CHOP",DATA_SERVICE_AREAS!$D:$D,$B$6)-COUNTIFS(MASTER_ZONES!$C:$C,$B$6,MASTER_ZONES!$I:$I,"Y",MASTER_ZONES!$D:$D,"Y"))))</f>
        <v/>
      </c>
      <c r="O49">
        <f>IF(B49="",0,IF($B$3="Zone",IF(AND($B$17,NOT($B$18),F49&gt;0),1,0),MAX(0,SUMIFS(DATA_SERVICE_AREAS!$F:$F,DATA_SERVICE_AREAS!$A:$A,B49,DATA_SERVICE_AREAS!$C:$C,"CHOP",DATA_SERVICE_AREAS!$D:$D,$B$6)-COUNTIFS(DATA_COMMUNITY!$A:$A,B49,DATA_COMMUNITY!$D:$D,"CHOP",DATA_COMMUNITY!$E:$E,$B$6))))</f>
        <v/>
      </c>
      <c r="P49">
        <f>MAX(0,N49-O49)</f>
        <v/>
      </c>
      <c r="Q49">
        <f>IF(N49=0,0,O49/N49)</f>
        <v/>
      </c>
      <c r="R49">
        <f>IF(O49=0,0,K49/O49)</f>
        <v/>
      </c>
      <c r="S49">
        <f>IF(OR(F49&gt;0,N49&gt;0),1,0)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IFERROR(INDEX(MASTER_AREAS!$B:$B,48)&amp;"","")</f>
        <v/>
      </c>
      <c r="AB49">
        <f>IF(OR(AA49="",$B$10=0),0,COUNTIFS(DATA_CHOP!$A:$A,$B$10,DATA_CHOP!$C:$C,AA49))</f>
        <v/>
      </c>
      <c r="AC49">
        <f>IF(AB49=0,0,SUMIFS(DATA_CHOP!$I:$I,DATA_CHOP!$A:$A,$B$10,DATA_CHOP!$C:$C,AA49))</f>
        <v/>
      </c>
      <c r="AD49">
        <f>IF(OR(AA49="",$B$10=0),0,SUMIFS(DATA_CHOP!$I:$I,DATA_CHOP!$A:$A,$B$10-7,DATA_CHOP!$C:$C,AA49))</f>
        <v/>
      </c>
      <c r="AE49">
        <f>IF(OR(AA49="",$B$10=0),0,MAX(0,SUMIFS(DATA_SERVICE_AREAS!$G:$G,DATA_SERVICE_AREAS!$A:$A,$B$10,DATA_SERVICE_AREAS!$C:$C,"CHOP",DATA_SERVICE_AREAS!$D:$D,AA49)-COUNTIFS(MASTER_ZONES!$C:$C,AA49,MASTER_ZONES!$I:$I,"Y",MASTER_ZONES!$D:$D,"Y")))</f>
        <v/>
      </c>
      <c r="AF49">
        <f>IF(OR(AA49="",$B$10=0),0,MAX(0,SUMIFS(DATA_SERVICE_AREAS!$F:$F,DATA_SERVICE_AREAS!$A:$A,$B$10,DATA_SERVICE_AREAS!$C:$C,"CHOP",DATA_SERVICE_AREAS!$D:$D,AA49)-COUNTIFS(DATA_COMMUNITY!$A:$A,$B$10,DATA_COMMUNITY!$D:$D,"CHOP",DATA_COMMUNITY!$E:$E,AA49)))</f>
        <v/>
      </c>
      <c r="AG49">
        <f>IF(AE49=0,"",MIN(1,AF49/AE49))</f>
        <v/>
      </c>
      <c r="AH49">
        <f>IF(OR(AB49=0,AD49=0),"",AC49/AD49-1)</f>
        <v/>
      </c>
      <c r="AI49">
        <f>IF(AB49=0,"",AC49+ROW()/1000000)</f>
        <v/>
      </c>
      <c r="AJ49">
        <f>IF(AG49="","",AG49+ROW()/1000000000)</f>
        <v/>
      </c>
      <c r="AK49">
        <f>IF(AH49="","",AH49+ROW()/1000000000)</f>
        <v/>
      </c>
      <c r="AL49">
        <f>MAX(0,AE49-AF49)</f>
        <v/>
      </c>
      <c r="AM49">
        <f>IF(AND(AL49&gt;0,OR($B$6="*",AA49=$B$6)),ROW(),"")</f>
        <v/>
      </c>
      <c r="BB49">
        <f>IFERROR(SMALL($AM$3:$AM$95,47),"")</f>
        <v/>
      </c>
      <c r="BC49">
        <f>IF(BB49="","",INDEX($AA:$AA,BB49))</f>
        <v/>
      </c>
      <c r="BD49">
        <f>IF(BB49="","",INDEX($AE:$AE,BB49))</f>
        <v/>
      </c>
      <c r="BE49">
        <f>IF(BB49="","",INDEX($AF:$AF,BB49))</f>
        <v/>
      </c>
      <c r="BF49">
        <f>IF(BB49="","",INDEX($AL:$AL,BB49))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IF(B50="",0,COUNTIFS(DATA_CHOP!$A:$A,B50,DATA_CHOP!$C:$C,$B$6,DATA_CHOP!$D:$D,$B$7))</f>
        <v/>
      </c>
      <c r="G50">
        <f>IF(F50=0,0,SUMIFS(DATA_CHOP!$E:$E,DATA_CHOP!$A:$A,B50,DATA_CHOP!$C:$C,$B$6,DATA_CHOP!$D:$D,$B$7))</f>
        <v/>
      </c>
      <c r="H50">
        <f>IF(F50=0,0,SUMIFS(DATA_CHOP!$F:$F,DATA_CHOP!$A:$A,B50,DATA_CHOP!$C:$C,$B$6,DATA_CHOP!$D:$D,$B$7))</f>
        <v/>
      </c>
      <c r="I50">
        <f>IF(F50=0,0,SUMIFS(DATA_CHOP!$H:$H,DATA_CHOP!$A:$A,B50,DATA_CHOP!$C:$C,$B$6,DATA_CHOP!$D:$D,$B$7))</f>
        <v/>
      </c>
      <c r="J50">
        <f>G50+H50</f>
        <v/>
      </c>
      <c r="K50">
        <f>J50+I50</f>
        <v/>
      </c>
      <c r="L50">
        <f>IF(F50=0,0,SUMIFS(DATA_CHOP!$J:$J,DATA_CHOP!$A:$A,B50,DATA_CHOP!$C:$C,$B$6,DATA_CHOP!$D:$D,$B$7))</f>
        <v/>
      </c>
      <c r="M50">
        <f>IF(F50=0,0,SUMIFS(DATA_CHOP!$K:$K,DATA_CHOP!$A:$A,B50,DATA_CHOP!$C:$C,$B$6,DATA_CHOP!$D:$D,$B$7))</f>
        <v/>
      </c>
      <c r="N50">
        <f>IF(B50="",0,IF($B$3="Zone",IF(AND($B$17,NOT($B$18)),1,0),MAX(0,SUMIFS(DATA_SERVICE_AREAS!$G:$G,DATA_SERVICE_AREAS!$A:$A,B50,DATA_SERVICE_AREAS!$C:$C,"CHOP",DATA_SERVICE_AREAS!$D:$D,$B$6)-COUNTIFS(MASTER_ZONES!$C:$C,$B$6,MASTER_ZONES!$I:$I,"Y",MASTER_ZONES!$D:$D,"Y"))))</f>
        <v/>
      </c>
      <c r="O50">
        <f>IF(B50="",0,IF($B$3="Zone",IF(AND($B$17,NOT($B$18),F50&gt;0),1,0),MAX(0,SUMIFS(DATA_SERVICE_AREAS!$F:$F,DATA_SERVICE_AREAS!$A:$A,B50,DATA_SERVICE_AREAS!$C:$C,"CHOP",DATA_SERVICE_AREAS!$D:$D,$B$6)-COUNTIFS(DATA_COMMUNITY!$A:$A,B50,DATA_COMMUNITY!$D:$D,"CHOP",DATA_COMMUNITY!$E:$E,$B$6))))</f>
        <v/>
      </c>
      <c r="P50">
        <f>MAX(0,N50-O50)</f>
        <v/>
      </c>
      <c r="Q50">
        <f>IF(N50=0,0,O50/N50)</f>
        <v/>
      </c>
      <c r="R50">
        <f>IF(O50=0,0,K50/O50)</f>
        <v/>
      </c>
      <c r="S50">
        <f>IF(OR(F50&gt;0,N50&gt;0),1,0)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IFERROR(INDEX(MASTER_AREAS!$B:$B,49)&amp;"","")</f>
        <v/>
      </c>
      <c r="AB50">
        <f>IF(OR(AA50="",$B$10=0),0,COUNTIFS(DATA_CHOP!$A:$A,$B$10,DATA_CHOP!$C:$C,AA50))</f>
        <v/>
      </c>
      <c r="AC50">
        <f>IF(AB50=0,0,SUMIFS(DATA_CHOP!$I:$I,DATA_CHOP!$A:$A,$B$10,DATA_CHOP!$C:$C,AA50))</f>
        <v/>
      </c>
      <c r="AD50">
        <f>IF(OR(AA50="",$B$10=0),0,SUMIFS(DATA_CHOP!$I:$I,DATA_CHOP!$A:$A,$B$10-7,DATA_CHOP!$C:$C,AA50))</f>
        <v/>
      </c>
      <c r="AE50">
        <f>IF(OR(AA50="",$B$10=0),0,MAX(0,SUMIFS(DATA_SERVICE_AREAS!$G:$G,DATA_SERVICE_AREAS!$A:$A,$B$10,DATA_SERVICE_AREAS!$C:$C,"CHOP",DATA_SERVICE_AREAS!$D:$D,AA50)-COUNTIFS(MASTER_ZONES!$C:$C,AA50,MASTER_ZONES!$I:$I,"Y",MASTER_ZONES!$D:$D,"Y")))</f>
        <v/>
      </c>
      <c r="AF50">
        <f>IF(OR(AA50="",$B$10=0),0,MAX(0,SUMIFS(DATA_SERVICE_AREAS!$F:$F,DATA_SERVICE_AREAS!$A:$A,$B$10,DATA_SERVICE_AREAS!$C:$C,"CHOP",DATA_SERVICE_AREAS!$D:$D,AA50)-COUNTIFS(DATA_COMMUNITY!$A:$A,$B$10,DATA_COMMUNITY!$D:$D,"CHOP",DATA_COMMUNITY!$E:$E,AA50)))</f>
        <v/>
      </c>
      <c r="AG50">
        <f>IF(AE50=0,"",MIN(1,AF50/AE50))</f>
        <v/>
      </c>
      <c r="AH50">
        <f>IF(OR(AB50=0,AD50=0),"",AC50/AD50-1)</f>
        <v/>
      </c>
      <c r="AI50">
        <f>IF(AB50=0,"",AC50+ROW()/1000000)</f>
        <v/>
      </c>
      <c r="AJ50">
        <f>IF(AG50="","",AG50+ROW()/1000000000)</f>
        <v/>
      </c>
      <c r="AK50">
        <f>IF(AH50="","",AH50+ROW()/1000000000)</f>
        <v/>
      </c>
      <c r="AL50">
        <f>MAX(0,AE50-AF50)</f>
        <v/>
      </c>
      <c r="AM50">
        <f>IF(AND(AL50&gt;0,OR($B$6="*",AA50=$B$6)),ROW(),"")</f>
        <v/>
      </c>
      <c r="BB50">
        <f>IFERROR(SMALL($AM$3:$AM$95,48),"")</f>
        <v/>
      </c>
      <c r="BC50">
        <f>IF(BB50="","",INDEX($AA:$AA,BB50))</f>
        <v/>
      </c>
      <c r="BD50">
        <f>IF(BB50="","",INDEX($AE:$AE,BB50))</f>
        <v/>
      </c>
      <c r="BE50">
        <f>IF(BB50="","",INDEX($AF:$AF,BB50))</f>
        <v/>
      </c>
      <c r="BF50">
        <f>IF(BB50="","",INDEX($AL:$AL,BB50))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IF(B51="",0,COUNTIFS(DATA_CHOP!$A:$A,B51,DATA_CHOP!$C:$C,$B$6,DATA_CHOP!$D:$D,$B$7))</f>
        <v/>
      </c>
      <c r="G51">
        <f>IF(F51=0,0,SUMIFS(DATA_CHOP!$E:$E,DATA_CHOP!$A:$A,B51,DATA_CHOP!$C:$C,$B$6,DATA_CHOP!$D:$D,$B$7))</f>
        <v/>
      </c>
      <c r="H51">
        <f>IF(F51=0,0,SUMIFS(DATA_CHOP!$F:$F,DATA_CHOP!$A:$A,B51,DATA_CHOP!$C:$C,$B$6,DATA_CHOP!$D:$D,$B$7))</f>
        <v/>
      </c>
      <c r="I51">
        <f>IF(F51=0,0,SUMIFS(DATA_CHOP!$H:$H,DATA_CHOP!$A:$A,B51,DATA_CHOP!$C:$C,$B$6,DATA_CHOP!$D:$D,$B$7))</f>
        <v/>
      </c>
      <c r="J51">
        <f>G51+H51</f>
        <v/>
      </c>
      <c r="K51">
        <f>J51+I51</f>
        <v/>
      </c>
      <c r="L51">
        <f>IF(F51=0,0,SUMIFS(DATA_CHOP!$J:$J,DATA_CHOP!$A:$A,B51,DATA_CHOP!$C:$C,$B$6,DATA_CHOP!$D:$D,$B$7))</f>
        <v/>
      </c>
      <c r="M51">
        <f>IF(F51=0,0,SUMIFS(DATA_CHOP!$K:$K,DATA_CHOP!$A:$A,B51,DATA_CHOP!$C:$C,$B$6,DATA_CHOP!$D:$D,$B$7))</f>
        <v/>
      </c>
      <c r="N51">
        <f>IF(B51="",0,IF($B$3="Zone",IF(AND($B$17,NOT($B$18)),1,0),MAX(0,SUMIFS(DATA_SERVICE_AREAS!$G:$G,DATA_SERVICE_AREAS!$A:$A,B51,DATA_SERVICE_AREAS!$C:$C,"CHOP",DATA_SERVICE_AREAS!$D:$D,$B$6)-COUNTIFS(MASTER_ZONES!$C:$C,$B$6,MASTER_ZONES!$I:$I,"Y",MASTER_ZONES!$D:$D,"Y"))))</f>
        <v/>
      </c>
      <c r="O51">
        <f>IF(B51="",0,IF($B$3="Zone",IF(AND($B$17,NOT($B$18),F51&gt;0),1,0),MAX(0,SUMIFS(DATA_SERVICE_AREAS!$F:$F,DATA_SERVICE_AREAS!$A:$A,B51,DATA_SERVICE_AREAS!$C:$C,"CHOP",DATA_SERVICE_AREAS!$D:$D,$B$6)-COUNTIFS(DATA_COMMUNITY!$A:$A,B51,DATA_COMMUNITY!$D:$D,"CHOP",DATA_COMMUNITY!$E:$E,$B$6))))</f>
        <v/>
      </c>
      <c r="P51">
        <f>MAX(0,N51-O51)</f>
        <v/>
      </c>
      <c r="Q51">
        <f>IF(N51=0,0,O51/N51)</f>
        <v/>
      </c>
      <c r="R51">
        <f>IF(O51=0,0,K51/O51)</f>
        <v/>
      </c>
      <c r="S51">
        <f>IF(OR(F51&gt;0,N51&gt;0),1,0)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IFERROR(INDEX(MASTER_AREAS!$B:$B,50)&amp;"","")</f>
        <v/>
      </c>
      <c r="AB51">
        <f>IF(OR(AA51="",$B$10=0),0,COUNTIFS(DATA_CHOP!$A:$A,$B$10,DATA_CHOP!$C:$C,AA51))</f>
        <v/>
      </c>
      <c r="AC51">
        <f>IF(AB51=0,0,SUMIFS(DATA_CHOP!$I:$I,DATA_CHOP!$A:$A,$B$10,DATA_CHOP!$C:$C,AA51))</f>
        <v/>
      </c>
      <c r="AD51">
        <f>IF(OR(AA51="",$B$10=0),0,SUMIFS(DATA_CHOP!$I:$I,DATA_CHOP!$A:$A,$B$10-7,DATA_CHOP!$C:$C,AA51))</f>
        <v/>
      </c>
      <c r="AE51">
        <f>IF(OR(AA51="",$B$10=0),0,MAX(0,SUMIFS(DATA_SERVICE_AREAS!$G:$G,DATA_SERVICE_AREAS!$A:$A,$B$10,DATA_SERVICE_AREAS!$C:$C,"CHOP",DATA_SERVICE_AREAS!$D:$D,AA51)-COUNTIFS(MASTER_ZONES!$C:$C,AA51,MASTER_ZONES!$I:$I,"Y",MASTER_ZONES!$D:$D,"Y")))</f>
        <v/>
      </c>
      <c r="AF51">
        <f>IF(OR(AA51="",$B$10=0),0,MAX(0,SUMIFS(DATA_SERVICE_AREAS!$F:$F,DATA_SERVICE_AREAS!$A:$A,$B$10,DATA_SERVICE_AREAS!$C:$C,"CHOP",DATA_SERVICE_AREAS!$D:$D,AA51)-COUNTIFS(DATA_COMMUNITY!$A:$A,$B$10,DATA_COMMUNITY!$D:$D,"CHOP",DATA_COMMUNITY!$E:$E,AA51)))</f>
        <v/>
      </c>
      <c r="AG51">
        <f>IF(AE51=0,"",MIN(1,AF51/AE51))</f>
        <v/>
      </c>
      <c r="AH51">
        <f>IF(OR(AB51=0,AD51=0),"",AC51/AD51-1)</f>
        <v/>
      </c>
      <c r="AI51">
        <f>IF(AB51=0,"",AC51+ROW()/1000000)</f>
        <v/>
      </c>
      <c r="AJ51">
        <f>IF(AG51="","",AG51+ROW()/1000000000)</f>
        <v/>
      </c>
      <c r="AK51">
        <f>IF(AH51="","",AH51+ROW()/1000000000)</f>
        <v/>
      </c>
      <c r="AL51">
        <f>MAX(0,AE51-AF51)</f>
        <v/>
      </c>
      <c r="AM51">
        <f>IF(AND(AL51&gt;0,OR($B$6="*",AA51=$B$6)),ROW(),"")</f>
        <v/>
      </c>
      <c r="BB51">
        <f>IFERROR(SMALL($AM$3:$AM$95,49),"")</f>
        <v/>
      </c>
      <c r="BC51">
        <f>IF(BB51="","",INDEX($AA:$AA,BB51))</f>
        <v/>
      </c>
      <c r="BD51">
        <f>IF(BB51="","",INDEX($AE:$AE,BB51))</f>
        <v/>
      </c>
      <c r="BE51">
        <f>IF(BB51="","",INDEX($AF:$AF,BB51))</f>
        <v/>
      </c>
      <c r="BF51">
        <f>IF(BB51="","",INDEX($AL:$AL,BB51))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IF(B52="",0,COUNTIFS(DATA_CHOP!$A:$A,B52,DATA_CHOP!$C:$C,$B$6,DATA_CHOP!$D:$D,$B$7))</f>
        <v/>
      </c>
      <c r="G52">
        <f>IF(F52=0,0,SUMIFS(DATA_CHOP!$E:$E,DATA_CHOP!$A:$A,B52,DATA_CHOP!$C:$C,$B$6,DATA_CHOP!$D:$D,$B$7))</f>
        <v/>
      </c>
      <c r="H52">
        <f>IF(F52=0,0,SUMIFS(DATA_CHOP!$F:$F,DATA_CHOP!$A:$A,B52,DATA_CHOP!$C:$C,$B$6,DATA_CHOP!$D:$D,$B$7))</f>
        <v/>
      </c>
      <c r="I52">
        <f>IF(F52=0,0,SUMIFS(DATA_CHOP!$H:$H,DATA_CHOP!$A:$A,B52,DATA_CHOP!$C:$C,$B$6,DATA_CHOP!$D:$D,$B$7))</f>
        <v/>
      </c>
      <c r="J52">
        <f>G52+H52</f>
        <v/>
      </c>
      <c r="K52">
        <f>J52+I52</f>
        <v/>
      </c>
      <c r="L52">
        <f>IF(F52=0,0,SUMIFS(DATA_CHOP!$J:$J,DATA_CHOP!$A:$A,B52,DATA_CHOP!$C:$C,$B$6,DATA_CHOP!$D:$D,$B$7))</f>
        <v/>
      </c>
      <c r="M52">
        <f>IF(F52=0,0,SUMIFS(DATA_CHOP!$K:$K,DATA_CHOP!$A:$A,B52,DATA_CHOP!$C:$C,$B$6,DATA_CHOP!$D:$D,$B$7))</f>
        <v/>
      </c>
      <c r="N52">
        <f>IF(B52="",0,IF($B$3="Zone",IF(AND($B$17,NOT($B$18)),1,0),MAX(0,SUMIFS(DATA_SERVICE_AREAS!$G:$G,DATA_SERVICE_AREAS!$A:$A,B52,DATA_SERVICE_AREAS!$C:$C,"CHOP",DATA_SERVICE_AREAS!$D:$D,$B$6)-COUNTIFS(MASTER_ZONES!$C:$C,$B$6,MASTER_ZONES!$I:$I,"Y",MASTER_ZONES!$D:$D,"Y"))))</f>
        <v/>
      </c>
      <c r="O52">
        <f>IF(B52="",0,IF($B$3="Zone",IF(AND($B$17,NOT($B$18),F52&gt;0),1,0),MAX(0,SUMIFS(DATA_SERVICE_AREAS!$F:$F,DATA_SERVICE_AREAS!$A:$A,B52,DATA_SERVICE_AREAS!$C:$C,"CHOP",DATA_SERVICE_AREAS!$D:$D,$B$6)-COUNTIFS(DATA_COMMUNITY!$A:$A,B52,DATA_COMMUNITY!$D:$D,"CHOP",DATA_COMMUNITY!$E:$E,$B$6))))</f>
        <v/>
      </c>
      <c r="P52">
        <f>MAX(0,N52-O52)</f>
        <v/>
      </c>
      <c r="Q52">
        <f>IF(N52=0,0,O52/N52)</f>
        <v/>
      </c>
      <c r="R52">
        <f>IF(O52=0,0,K52/O52)</f>
        <v/>
      </c>
      <c r="S52">
        <f>IF(OR(F52&gt;0,N52&gt;0),1,0)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IFERROR(INDEX(MASTER_AREAS!$B:$B,51)&amp;"","")</f>
        <v/>
      </c>
      <c r="AB52">
        <f>IF(OR(AA52="",$B$10=0),0,COUNTIFS(DATA_CHOP!$A:$A,$B$10,DATA_CHOP!$C:$C,AA52))</f>
        <v/>
      </c>
      <c r="AC52">
        <f>IF(AB52=0,0,SUMIFS(DATA_CHOP!$I:$I,DATA_CHOP!$A:$A,$B$10,DATA_CHOP!$C:$C,AA52))</f>
        <v/>
      </c>
      <c r="AD52">
        <f>IF(OR(AA52="",$B$10=0),0,SUMIFS(DATA_CHOP!$I:$I,DATA_CHOP!$A:$A,$B$10-7,DATA_CHOP!$C:$C,AA52))</f>
        <v/>
      </c>
      <c r="AE52">
        <f>IF(OR(AA52="",$B$10=0),0,MAX(0,SUMIFS(DATA_SERVICE_AREAS!$G:$G,DATA_SERVICE_AREAS!$A:$A,$B$10,DATA_SERVICE_AREAS!$C:$C,"CHOP",DATA_SERVICE_AREAS!$D:$D,AA52)-COUNTIFS(MASTER_ZONES!$C:$C,AA52,MASTER_ZONES!$I:$I,"Y",MASTER_ZONES!$D:$D,"Y")))</f>
        <v/>
      </c>
      <c r="AF52">
        <f>IF(OR(AA52="",$B$10=0),0,MAX(0,SUMIFS(DATA_SERVICE_AREAS!$F:$F,DATA_SERVICE_AREAS!$A:$A,$B$10,DATA_SERVICE_AREAS!$C:$C,"CHOP",DATA_SERVICE_AREAS!$D:$D,AA52)-COUNTIFS(DATA_COMMUNITY!$A:$A,$B$10,DATA_COMMUNITY!$D:$D,"CHOP",DATA_COMMUNITY!$E:$E,AA52)))</f>
        <v/>
      </c>
      <c r="AG52">
        <f>IF(AE52=0,"",MIN(1,AF52/AE52))</f>
        <v/>
      </c>
      <c r="AH52">
        <f>IF(OR(AB52=0,AD52=0),"",AC52/AD52-1)</f>
        <v/>
      </c>
      <c r="AI52">
        <f>IF(AB52=0,"",AC52+ROW()/1000000)</f>
        <v/>
      </c>
      <c r="AJ52">
        <f>IF(AG52="","",AG52+ROW()/1000000000)</f>
        <v/>
      </c>
      <c r="AK52">
        <f>IF(AH52="","",AH52+ROW()/1000000000)</f>
        <v/>
      </c>
      <c r="AL52">
        <f>MAX(0,AE52-AF52)</f>
        <v/>
      </c>
      <c r="AM52">
        <f>IF(AND(AL52&gt;0,OR($B$6="*",AA52=$B$6)),ROW(),"")</f>
        <v/>
      </c>
      <c r="BB52">
        <f>IFERROR(SMALL($AM$3:$AM$95,50),"")</f>
        <v/>
      </c>
      <c r="BC52">
        <f>IF(BB52="","",INDEX($AA:$AA,BB52))</f>
        <v/>
      </c>
      <c r="BD52">
        <f>IF(BB52="","",INDEX($AE:$AE,BB52))</f>
        <v/>
      </c>
      <c r="BE52">
        <f>IF(BB52="","",INDEX($AF:$AF,BB52))</f>
        <v/>
      </c>
      <c r="BF52">
        <f>IF(BB52="","",INDEX($AL:$AL,BB52))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IF(B53="",0,COUNTIFS(DATA_CHOP!$A:$A,B53,DATA_CHOP!$C:$C,$B$6,DATA_CHOP!$D:$D,$B$7))</f>
        <v/>
      </c>
      <c r="G53">
        <f>IF(F53=0,0,SUMIFS(DATA_CHOP!$E:$E,DATA_CHOP!$A:$A,B53,DATA_CHOP!$C:$C,$B$6,DATA_CHOP!$D:$D,$B$7))</f>
        <v/>
      </c>
      <c r="H53">
        <f>IF(F53=0,0,SUMIFS(DATA_CHOP!$F:$F,DATA_CHOP!$A:$A,B53,DATA_CHOP!$C:$C,$B$6,DATA_CHOP!$D:$D,$B$7))</f>
        <v/>
      </c>
      <c r="I53">
        <f>IF(F53=0,0,SUMIFS(DATA_CHOP!$H:$H,DATA_CHOP!$A:$A,B53,DATA_CHOP!$C:$C,$B$6,DATA_CHOP!$D:$D,$B$7))</f>
        <v/>
      </c>
      <c r="J53">
        <f>G53+H53</f>
        <v/>
      </c>
      <c r="K53">
        <f>J53+I53</f>
        <v/>
      </c>
      <c r="L53">
        <f>IF(F53=0,0,SUMIFS(DATA_CHOP!$J:$J,DATA_CHOP!$A:$A,B53,DATA_CHOP!$C:$C,$B$6,DATA_CHOP!$D:$D,$B$7))</f>
        <v/>
      </c>
      <c r="M53">
        <f>IF(F53=0,0,SUMIFS(DATA_CHOP!$K:$K,DATA_CHOP!$A:$A,B53,DATA_CHOP!$C:$C,$B$6,DATA_CHOP!$D:$D,$B$7))</f>
        <v/>
      </c>
      <c r="N53">
        <f>IF(B53="",0,IF($B$3="Zone",IF(AND($B$17,NOT($B$18)),1,0),MAX(0,SUMIFS(DATA_SERVICE_AREAS!$G:$G,DATA_SERVICE_AREAS!$A:$A,B53,DATA_SERVICE_AREAS!$C:$C,"CHOP",DATA_SERVICE_AREAS!$D:$D,$B$6)-COUNTIFS(MASTER_ZONES!$C:$C,$B$6,MASTER_ZONES!$I:$I,"Y",MASTER_ZONES!$D:$D,"Y"))))</f>
        <v/>
      </c>
      <c r="O53">
        <f>IF(B53="",0,IF($B$3="Zone",IF(AND($B$17,NOT($B$18),F53&gt;0),1,0),MAX(0,SUMIFS(DATA_SERVICE_AREAS!$F:$F,DATA_SERVICE_AREAS!$A:$A,B53,DATA_SERVICE_AREAS!$C:$C,"CHOP",DATA_SERVICE_AREAS!$D:$D,$B$6)-COUNTIFS(DATA_COMMUNITY!$A:$A,B53,DATA_COMMUNITY!$D:$D,"CHOP",DATA_COMMUNITY!$E:$E,$B$6))))</f>
        <v/>
      </c>
      <c r="P53">
        <f>MAX(0,N53-O53)</f>
        <v/>
      </c>
      <c r="Q53">
        <f>IF(N53=0,0,O53/N53)</f>
        <v/>
      </c>
      <c r="R53">
        <f>IF(O53=0,0,K53/O53)</f>
        <v/>
      </c>
      <c r="S53">
        <f>IF(OR(F53&gt;0,N53&gt;0),1,0)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IFERROR(INDEX(MASTER_AREAS!$B:$B,52)&amp;"","")</f>
        <v/>
      </c>
      <c r="AB53">
        <f>IF(OR(AA53="",$B$10=0),0,COUNTIFS(DATA_CHOP!$A:$A,$B$10,DATA_CHOP!$C:$C,AA53))</f>
        <v/>
      </c>
      <c r="AC53">
        <f>IF(AB53=0,0,SUMIFS(DATA_CHOP!$I:$I,DATA_CHOP!$A:$A,$B$10,DATA_CHOP!$C:$C,AA53))</f>
        <v/>
      </c>
      <c r="AD53">
        <f>IF(OR(AA53="",$B$10=0),0,SUMIFS(DATA_CHOP!$I:$I,DATA_CHOP!$A:$A,$B$10-7,DATA_CHOP!$C:$C,AA53))</f>
        <v/>
      </c>
      <c r="AE53">
        <f>IF(OR(AA53="",$B$10=0),0,MAX(0,SUMIFS(DATA_SERVICE_AREAS!$G:$G,DATA_SERVICE_AREAS!$A:$A,$B$10,DATA_SERVICE_AREAS!$C:$C,"CHOP",DATA_SERVICE_AREAS!$D:$D,AA53)-COUNTIFS(MASTER_ZONES!$C:$C,AA53,MASTER_ZONES!$I:$I,"Y",MASTER_ZONES!$D:$D,"Y")))</f>
        <v/>
      </c>
      <c r="AF53">
        <f>IF(OR(AA53="",$B$10=0),0,MAX(0,SUMIFS(DATA_SERVICE_AREAS!$F:$F,DATA_SERVICE_AREAS!$A:$A,$B$10,DATA_SERVICE_AREAS!$C:$C,"CHOP",DATA_SERVICE_AREAS!$D:$D,AA53)-COUNTIFS(DATA_COMMUNITY!$A:$A,$B$10,DATA_COMMUNITY!$D:$D,"CHOP",DATA_COMMUNITY!$E:$E,AA53)))</f>
        <v/>
      </c>
      <c r="AG53">
        <f>IF(AE53=0,"",MIN(1,AF53/AE53))</f>
        <v/>
      </c>
      <c r="AH53">
        <f>IF(OR(AB53=0,AD53=0),"",AC53/AD53-1)</f>
        <v/>
      </c>
      <c r="AI53">
        <f>IF(AB53=0,"",AC53+ROW()/1000000)</f>
        <v/>
      </c>
      <c r="AJ53">
        <f>IF(AG53="","",AG53+ROW()/1000000000)</f>
        <v/>
      </c>
      <c r="AK53">
        <f>IF(AH53="","",AH53+ROW()/1000000000)</f>
        <v/>
      </c>
      <c r="AL53">
        <f>MAX(0,AE53-AF53)</f>
        <v/>
      </c>
      <c r="AM53">
        <f>IF(AND(AL53&gt;0,OR($B$6="*",AA53=$B$6)),ROW(),"")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IF(B54="",0,COUNTIFS(DATA_CHOP!$A:$A,B54,DATA_CHOP!$C:$C,$B$6,DATA_CHOP!$D:$D,$B$7))</f>
        <v/>
      </c>
      <c r="G54">
        <f>IF(F54=0,0,SUMIFS(DATA_CHOP!$E:$E,DATA_CHOP!$A:$A,B54,DATA_CHOP!$C:$C,$B$6,DATA_CHOP!$D:$D,$B$7))</f>
        <v/>
      </c>
      <c r="H54">
        <f>IF(F54=0,0,SUMIFS(DATA_CHOP!$F:$F,DATA_CHOP!$A:$A,B54,DATA_CHOP!$C:$C,$B$6,DATA_CHOP!$D:$D,$B$7))</f>
        <v/>
      </c>
      <c r="I54">
        <f>IF(F54=0,0,SUMIFS(DATA_CHOP!$H:$H,DATA_CHOP!$A:$A,B54,DATA_CHOP!$C:$C,$B$6,DATA_CHOP!$D:$D,$B$7))</f>
        <v/>
      </c>
      <c r="J54">
        <f>G54+H54</f>
        <v/>
      </c>
      <c r="K54">
        <f>J54+I54</f>
        <v/>
      </c>
      <c r="L54">
        <f>IF(F54=0,0,SUMIFS(DATA_CHOP!$J:$J,DATA_CHOP!$A:$A,B54,DATA_CHOP!$C:$C,$B$6,DATA_CHOP!$D:$D,$B$7))</f>
        <v/>
      </c>
      <c r="M54">
        <f>IF(F54=0,0,SUMIFS(DATA_CHOP!$K:$K,DATA_CHOP!$A:$A,B54,DATA_CHOP!$C:$C,$B$6,DATA_CHOP!$D:$D,$B$7))</f>
        <v/>
      </c>
      <c r="N54">
        <f>IF(B54="",0,IF($B$3="Zone",IF(AND($B$17,NOT($B$18)),1,0),MAX(0,SUMIFS(DATA_SERVICE_AREAS!$G:$G,DATA_SERVICE_AREAS!$A:$A,B54,DATA_SERVICE_AREAS!$C:$C,"CHOP",DATA_SERVICE_AREAS!$D:$D,$B$6)-COUNTIFS(MASTER_ZONES!$C:$C,$B$6,MASTER_ZONES!$I:$I,"Y",MASTER_ZONES!$D:$D,"Y"))))</f>
        <v/>
      </c>
      <c r="O54">
        <f>IF(B54="",0,IF($B$3="Zone",IF(AND($B$17,NOT($B$18),F54&gt;0),1,0),MAX(0,SUMIFS(DATA_SERVICE_AREAS!$F:$F,DATA_SERVICE_AREAS!$A:$A,B54,DATA_SERVICE_AREAS!$C:$C,"CHOP",DATA_SERVICE_AREAS!$D:$D,$B$6)-COUNTIFS(DATA_COMMUNITY!$A:$A,B54,DATA_COMMUNITY!$D:$D,"CHOP",DATA_COMMUNITY!$E:$E,$B$6))))</f>
        <v/>
      </c>
      <c r="P54">
        <f>MAX(0,N54-O54)</f>
        <v/>
      </c>
      <c r="Q54">
        <f>IF(N54=0,0,O54/N54)</f>
        <v/>
      </c>
      <c r="R54">
        <f>IF(O54=0,0,K54/O54)</f>
        <v/>
      </c>
      <c r="S54">
        <f>IF(OR(F54&gt;0,N54&gt;0),1,0)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IFERROR(INDEX(MASTER_AREAS!$B:$B,53)&amp;"","")</f>
        <v/>
      </c>
      <c r="AB54">
        <f>IF(OR(AA54="",$B$10=0),0,COUNTIFS(DATA_CHOP!$A:$A,$B$10,DATA_CHOP!$C:$C,AA54))</f>
        <v/>
      </c>
      <c r="AC54">
        <f>IF(AB54=0,0,SUMIFS(DATA_CHOP!$I:$I,DATA_CHOP!$A:$A,$B$10,DATA_CHOP!$C:$C,AA54))</f>
        <v/>
      </c>
      <c r="AD54">
        <f>IF(OR(AA54="",$B$10=0),0,SUMIFS(DATA_CHOP!$I:$I,DATA_CHOP!$A:$A,$B$10-7,DATA_CHOP!$C:$C,AA54))</f>
        <v/>
      </c>
      <c r="AE54">
        <f>IF(OR(AA54="",$B$10=0),0,MAX(0,SUMIFS(DATA_SERVICE_AREAS!$G:$G,DATA_SERVICE_AREAS!$A:$A,$B$10,DATA_SERVICE_AREAS!$C:$C,"CHOP",DATA_SERVICE_AREAS!$D:$D,AA54)-COUNTIFS(MASTER_ZONES!$C:$C,AA54,MASTER_ZONES!$I:$I,"Y",MASTER_ZONES!$D:$D,"Y")))</f>
        <v/>
      </c>
      <c r="AF54">
        <f>IF(OR(AA54="",$B$10=0),0,MAX(0,SUMIFS(DATA_SERVICE_AREAS!$F:$F,DATA_SERVICE_AREAS!$A:$A,$B$10,DATA_SERVICE_AREAS!$C:$C,"CHOP",DATA_SERVICE_AREAS!$D:$D,AA54)-COUNTIFS(DATA_COMMUNITY!$A:$A,$B$10,DATA_COMMUNITY!$D:$D,"CHOP",DATA_COMMUNITY!$E:$E,AA54)))</f>
        <v/>
      </c>
      <c r="AG54">
        <f>IF(AE54=0,"",MIN(1,AF54/AE54))</f>
        <v/>
      </c>
      <c r="AH54">
        <f>IF(OR(AB54=0,AD54=0),"",AC54/AD54-1)</f>
        <v/>
      </c>
      <c r="AI54">
        <f>IF(AB54=0,"",AC54+ROW()/1000000)</f>
        <v/>
      </c>
      <c r="AJ54">
        <f>IF(AG54="","",AG54+ROW()/1000000000)</f>
        <v/>
      </c>
      <c r="AK54">
        <f>IF(AH54="","",AH54+ROW()/1000000000)</f>
        <v/>
      </c>
      <c r="AL54">
        <f>MAX(0,AE54-AF54)</f>
        <v/>
      </c>
      <c r="AM54">
        <f>IF(AND(AL54&gt;0,OR($B$6="*",AA54=$B$6)),ROW(),"")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IF(B55="",0,COUNTIFS(DATA_CHOP!$A:$A,B55,DATA_CHOP!$C:$C,$B$6,DATA_CHOP!$D:$D,$B$7))</f>
        <v/>
      </c>
      <c r="G55">
        <f>IF(F55=0,0,SUMIFS(DATA_CHOP!$E:$E,DATA_CHOP!$A:$A,B55,DATA_CHOP!$C:$C,$B$6,DATA_CHOP!$D:$D,$B$7))</f>
        <v/>
      </c>
      <c r="H55">
        <f>IF(F55=0,0,SUMIFS(DATA_CHOP!$F:$F,DATA_CHOP!$A:$A,B55,DATA_CHOP!$C:$C,$B$6,DATA_CHOP!$D:$D,$B$7))</f>
        <v/>
      </c>
      <c r="I55">
        <f>IF(F55=0,0,SUMIFS(DATA_CHOP!$H:$H,DATA_CHOP!$A:$A,B55,DATA_CHOP!$C:$C,$B$6,DATA_CHOP!$D:$D,$B$7))</f>
        <v/>
      </c>
      <c r="J55">
        <f>G55+H55</f>
        <v/>
      </c>
      <c r="K55">
        <f>J55+I55</f>
        <v/>
      </c>
      <c r="L55">
        <f>IF(F55=0,0,SUMIFS(DATA_CHOP!$J:$J,DATA_CHOP!$A:$A,B55,DATA_CHOP!$C:$C,$B$6,DATA_CHOP!$D:$D,$B$7))</f>
        <v/>
      </c>
      <c r="M55">
        <f>IF(F55=0,0,SUMIFS(DATA_CHOP!$K:$K,DATA_CHOP!$A:$A,B55,DATA_CHOP!$C:$C,$B$6,DATA_CHOP!$D:$D,$B$7))</f>
        <v/>
      </c>
      <c r="N55">
        <f>IF(B55="",0,IF($B$3="Zone",IF(AND($B$17,NOT($B$18)),1,0),MAX(0,SUMIFS(DATA_SERVICE_AREAS!$G:$G,DATA_SERVICE_AREAS!$A:$A,B55,DATA_SERVICE_AREAS!$C:$C,"CHOP",DATA_SERVICE_AREAS!$D:$D,$B$6)-COUNTIFS(MASTER_ZONES!$C:$C,$B$6,MASTER_ZONES!$I:$I,"Y",MASTER_ZONES!$D:$D,"Y"))))</f>
        <v/>
      </c>
      <c r="O55">
        <f>IF(B55="",0,IF($B$3="Zone",IF(AND($B$17,NOT($B$18),F55&gt;0),1,0),MAX(0,SUMIFS(DATA_SERVICE_AREAS!$F:$F,DATA_SERVICE_AREAS!$A:$A,B55,DATA_SERVICE_AREAS!$C:$C,"CHOP",DATA_SERVICE_AREAS!$D:$D,$B$6)-COUNTIFS(DATA_COMMUNITY!$A:$A,B55,DATA_COMMUNITY!$D:$D,"CHOP",DATA_COMMUNITY!$E:$E,$B$6))))</f>
        <v/>
      </c>
      <c r="P55">
        <f>MAX(0,N55-O55)</f>
        <v/>
      </c>
      <c r="Q55">
        <f>IF(N55=0,0,O55/N55)</f>
        <v/>
      </c>
      <c r="R55">
        <f>IF(O55=0,0,K55/O55)</f>
        <v/>
      </c>
      <c r="S55">
        <f>IF(OR(F55&gt;0,N55&gt;0),1,0)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IFERROR(INDEX(MASTER_AREAS!$B:$B,54)&amp;"","")</f>
        <v/>
      </c>
      <c r="AB55">
        <f>IF(OR(AA55="",$B$10=0),0,COUNTIFS(DATA_CHOP!$A:$A,$B$10,DATA_CHOP!$C:$C,AA55))</f>
        <v/>
      </c>
      <c r="AC55">
        <f>IF(AB55=0,0,SUMIFS(DATA_CHOP!$I:$I,DATA_CHOP!$A:$A,$B$10,DATA_CHOP!$C:$C,AA55))</f>
        <v/>
      </c>
      <c r="AD55">
        <f>IF(OR(AA55="",$B$10=0),0,SUMIFS(DATA_CHOP!$I:$I,DATA_CHOP!$A:$A,$B$10-7,DATA_CHOP!$C:$C,AA55))</f>
        <v/>
      </c>
      <c r="AE55">
        <f>IF(OR(AA55="",$B$10=0),0,MAX(0,SUMIFS(DATA_SERVICE_AREAS!$G:$G,DATA_SERVICE_AREAS!$A:$A,$B$10,DATA_SERVICE_AREAS!$C:$C,"CHOP",DATA_SERVICE_AREAS!$D:$D,AA55)-COUNTIFS(MASTER_ZONES!$C:$C,AA55,MASTER_ZONES!$I:$I,"Y",MASTER_ZONES!$D:$D,"Y")))</f>
        <v/>
      </c>
      <c r="AF55">
        <f>IF(OR(AA55="",$B$10=0),0,MAX(0,SUMIFS(DATA_SERVICE_AREAS!$F:$F,DATA_SERVICE_AREAS!$A:$A,$B$10,DATA_SERVICE_AREAS!$C:$C,"CHOP",DATA_SERVICE_AREAS!$D:$D,AA55)-COUNTIFS(DATA_COMMUNITY!$A:$A,$B$10,DATA_COMMUNITY!$D:$D,"CHOP",DATA_COMMUNITY!$E:$E,AA55)))</f>
        <v/>
      </c>
      <c r="AG55">
        <f>IF(AE55=0,"",MIN(1,AF55/AE55))</f>
        <v/>
      </c>
      <c r="AH55">
        <f>IF(OR(AB55=0,AD55=0),"",AC55/AD55-1)</f>
        <v/>
      </c>
      <c r="AI55">
        <f>IF(AB55=0,"",AC55+ROW()/1000000)</f>
        <v/>
      </c>
      <c r="AJ55">
        <f>IF(AG55="","",AG55+ROW()/1000000000)</f>
        <v/>
      </c>
      <c r="AK55">
        <f>IF(AH55="","",AH55+ROW()/1000000000)</f>
        <v/>
      </c>
      <c r="AL55">
        <f>MAX(0,AE55-AF55)</f>
        <v/>
      </c>
      <c r="AM55">
        <f>IF(AND(AL55&gt;0,OR($B$6="*",AA55=$B$6)),ROW(),"")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IF(B56="",0,COUNTIFS(DATA_CHOP!$A:$A,B56,DATA_CHOP!$C:$C,$B$6,DATA_CHOP!$D:$D,$B$7))</f>
        <v/>
      </c>
      <c r="G56">
        <f>IF(F56=0,0,SUMIFS(DATA_CHOP!$E:$E,DATA_CHOP!$A:$A,B56,DATA_CHOP!$C:$C,$B$6,DATA_CHOP!$D:$D,$B$7))</f>
        <v/>
      </c>
      <c r="H56">
        <f>IF(F56=0,0,SUMIFS(DATA_CHOP!$F:$F,DATA_CHOP!$A:$A,B56,DATA_CHOP!$C:$C,$B$6,DATA_CHOP!$D:$D,$B$7))</f>
        <v/>
      </c>
      <c r="I56">
        <f>IF(F56=0,0,SUMIFS(DATA_CHOP!$H:$H,DATA_CHOP!$A:$A,B56,DATA_CHOP!$C:$C,$B$6,DATA_CHOP!$D:$D,$B$7))</f>
        <v/>
      </c>
      <c r="J56">
        <f>G56+H56</f>
        <v/>
      </c>
      <c r="K56">
        <f>J56+I56</f>
        <v/>
      </c>
      <c r="L56">
        <f>IF(F56=0,0,SUMIFS(DATA_CHOP!$J:$J,DATA_CHOP!$A:$A,B56,DATA_CHOP!$C:$C,$B$6,DATA_CHOP!$D:$D,$B$7))</f>
        <v/>
      </c>
      <c r="M56">
        <f>IF(F56=0,0,SUMIFS(DATA_CHOP!$K:$K,DATA_CHOP!$A:$A,B56,DATA_CHOP!$C:$C,$B$6,DATA_CHOP!$D:$D,$B$7))</f>
        <v/>
      </c>
      <c r="N56">
        <f>IF(B56="",0,IF($B$3="Zone",IF(AND($B$17,NOT($B$18)),1,0),MAX(0,SUMIFS(DATA_SERVICE_AREAS!$G:$G,DATA_SERVICE_AREAS!$A:$A,B56,DATA_SERVICE_AREAS!$C:$C,"CHOP",DATA_SERVICE_AREAS!$D:$D,$B$6)-COUNTIFS(MASTER_ZONES!$C:$C,$B$6,MASTER_ZONES!$I:$I,"Y",MASTER_ZONES!$D:$D,"Y"))))</f>
        <v/>
      </c>
      <c r="O56">
        <f>IF(B56="",0,IF($B$3="Zone",IF(AND($B$17,NOT($B$18),F56&gt;0),1,0),MAX(0,SUMIFS(DATA_SERVICE_AREAS!$F:$F,DATA_SERVICE_AREAS!$A:$A,B56,DATA_SERVICE_AREAS!$C:$C,"CHOP",DATA_SERVICE_AREAS!$D:$D,$B$6)-COUNTIFS(DATA_COMMUNITY!$A:$A,B56,DATA_COMMUNITY!$D:$D,"CHOP",DATA_COMMUNITY!$E:$E,$B$6))))</f>
        <v/>
      </c>
      <c r="P56">
        <f>MAX(0,N56-O56)</f>
        <v/>
      </c>
      <c r="Q56">
        <f>IF(N56=0,0,O56/N56)</f>
        <v/>
      </c>
      <c r="R56">
        <f>IF(O56=0,0,K56/O56)</f>
        <v/>
      </c>
      <c r="S56">
        <f>IF(OR(F56&gt;0,N56&gt;0),1,0)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IFERROR(INDEX(MASTER_AREAS!$B:$B,55)&amp;"","")</f>
        <v/>
      </c>
      <c r="AB56">
        <f>IF(OR(AA56="",$B$10=0),0,COUNTIFS(DATA_CHOP!$A:$A,$B$10,DATA_CHOP!$C:$C,AA56))</f>
        <v/>
      </c>
      <c r="AC56">
        <f>IF(AB56=0,0,SUMIFS(DATA_CHOP!$I:$I,DATA_CHOP!$A:$A,$B$10,DATA_CHOP!$C:$C,AA56))</f>
        <v/>
      </c>
      <c r="AD56">
        <f>IF(OR(AA56="",$B$10=0),0,SUMIFS(DATA_CHOP!$I:$I,DATA_CHOP!$A:$A,$B$10-7,DATA_CHOP!$C:$C,AA56))</f>
        <v/>
      </c>
      <c r="AE56">
        <f>IF(OR(AA56="",$B$10=0),0,MAX(0,SUMIFS(DATA_SERVICE_AREAS!$G:$G,DATA_SERVICE_AREAS!$A:$A,$B$10,DATA_SERVICE_AREAS!$C:$C,"CHOP",DATA_SERVICE_AREAS!$D:$D,AA56)-COUNTIFS(MASTER_ZONES!$C:$C,AA56,MASTER_ZONES!$I:$I,"Y",MASTER_ZONES!$D:$D,"Y")))</f>
        <v/>
      </c>
      <c r="AF56">
        <f>IF(OR(AA56="",$B$10=0),0,MAX(0,SUMIFS(DATA_SERVICE_AREAS!$F:$F,DATA_SERVICE_AREAS!$A:$A,$B$10,DATA_SERVICE_AREAS!$C:$C,"CHOP",DATA_SERVICE_AREAS!$D:$D,AA56)-COUNTIFS(DATA_COMMUNITY!$A:$A,$B$10,DATA_COMMUNITY!$D:$D,"CHOP",DATA_COMMUNITY!$E:$E,AA56)))</f>
        <v/>
      </c>
      <c r="AG56">
        <f>IF(AE56=0,"",MIN(1,AF56/AE56))</f>
        <v/>
      </c>
      <c r="AH56">
        <f>IF(OR(AB56=0,AD56=0),"",AC56/AD56-1)</f>
        <v/>
      </c>
      <c r="AI56">
        <f>IF(AB56=0,"",AC56+ROW()/1000000)</f>
        <v/>
      </c>
      <c r="AJ56">
        <f>IF(AG56="","",AG56+ROW()/1000000000)</f>
        <v/>
      </c>
      <c r="AK56">
        <f>IF(AH56="","",AH56+ROW()/1000000000)</f>
        <v/>
      </c>
      <c r="AL56">
        <f>MAX(0,AE56-AF56)</f>
        <v/>
      </c>
      <c r="AM56">
        <f>IF(AND(AL56&gt;0,OR($B$6="*",AA56=$B$6)),ROW(),"")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IF(B57="",0,COUNTIFS(DATA_CHOP!$A:$A,B57,DATA_CHOP!$C:$C,$B$6,DATA_CHOP!$D:$D,$B$7))</f>
        <v/>
      </c>
      <c r="G57">
        <f>IF(F57=0,0,SUMIFS(DATA_CHOP!$E:$E,DATA_CHOP!$A:$A,B57,DATA_CHOP!$C:$C,$B$6,DATA_CHOP!$D:$D,$B$7))</f>
        <v/>
      </c>
      <c r="H57">
        <f>IF(F57=0,0,SUMIFS(DATA_CHOP!$F:$F,DATA_CHOP!$A:$A,B57,DATA_CHOP!$C:$C,$B$6,DATA_CHOP!$D:$D,$B$7))</f>
        <v/>
      </c>
      <c r="I57">
        <f>IF(F57=0,0,SUMIFS(DATA_CHOP!$H:$H,DATA_CHOP!$A:$A,B57,DATA_CHOP!$C:$C,$B$6,DATA_CHOP!$D:$D,$B$7))</f>
        <v/>
      </c>
      <c r="J57">
        <f>G57+H57</f>
        <v/>
      </c>
      <c r="K57">
        <f>J57+I57</f>
        <v/>
      </c>
      <c r="L57">
        <f>IF(F57=0,0,SUMIFS(DATA_CHOP!$J:$J,DATA_CHOP!$A:$A,B57,DATA_CHOP!$C:$C,$B$6,DATA_CHOP!$D:$D,$B$7))</f>
        <v/>
      </c>
      <c r="M57">
        <f>IF(F57=0,0,SUMIFS(DATA_CHOP!$K:$K,DATA_CHOP!$A:$A,B57,DATA_CHOP!$C:$C,$B$6,DATA_CHOP!$D:$D,$B$7))</f>
        <v/>
      </c>
      <c r="N57">
        <f>IF(B57="",0,IF($B$3="Zone",IF(AND($B$17,NOT($B$18)),1,0),MAX(0,SUMIFS(DATA_SERVICE_AREAS!$G:$G,DATA_SERVICE_AREAS!$A:$A,B57,DATA_SERVICE_AREAS!$C:$C,"CHOP",DATA_SERVICE_AREAS!$D:$D,$B$6)-COUNTIFS(MASTER_ZONES!$C:$C,$B$6,MASTER_ZONES!$I:$I,"Y",MASTER_ZONES!$D:$D,"Y"))))</f>
        <v/>
      </c>
      <c r="O57">
        <f>IF(B57="",0,IF($B$3="Zone",IF(AND($B$17,NOT($B$18),F57&gt;0),1,0),MAX(0,SUMIFS(DATA_SERVICE_AREAS!$F:$F,DATA_SERVICE_AREAS!$A:$A,B57,DATA_SERVICE_AREAS!$C:$C,"CHOP",DATA_SERVICE_AREAS!$D:$D,$B$6)-COUNTIFS(DATA_COMMUNITY!$A:$A,B57,DATA_COMMUNITY!$D:$D,"CHOP",DATA_COMMUNITY!$E:$E,$B$6))))</f>
        <v/>
      </c>
      <c r="P57">
        <f>MAX(0,N57-O57)</f>
        <v/>
      </c>
      <c r="Q57">
        <f>IF(N57=0,0,O57/N57)</f>
        <v/>
      </c>
      <c r="R57">
        <f>IF(O57=0,0,K57/O57)</f>
        <v/>
      </c>
      <c r="S57">
        <f>IF(OR(F57&gt;0,N57&gt;0),1,0)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IFERROR(INDEX(MASTER_AREAS!$B:$B,56)&amp;"","")</f>
        <v/>
      </c>
      <c r="AB57">
        <f>IF(OR(AA57="",$B$10=0),0,COUNTIFS(DATA_CHOP!$A:$A,$B$10,DATA_CHOP!$C:$C,AA57))</f>
        <v/>
      </c>
      <c r="AC57">
        <f>IF(AB57=0,0,SUMIFS(DATA_CHOP!$I:$I,DATA_CHOP!$A:$A,$B$10,DATA_CHOP!$C:$C,AA57))</f>
        <v/>
      </c>
      <c r="AD57">
        <f>IF(OR(AA57="",$B$10=0),0,SUMIFS(DATA_CHOP!$I:$I,DATA_CHOP!$A:$A,$B$10-7,DATA_CHOP!$C:$C,AA57))</f>
        <v/>
      </c>
      <c r="AE57">
        <f>IF(OR(AA57="",$B$10=0),0,MAX(0,SUMIFS(DATA_SERVICE_AREAS!$G:$G,DATA_SERVICE_AREAS!$A:$A,$B$10,DATA_SERVICE_AREAS!$C:$C,"CHOP",DATA_SERVICE_AREAS!$D:$D,AA57)-COUNTIFS(MASTER_ZONES!$C:$C,AA57,MASTER_ZONES!$I:$I,"Y",MASTER_ZONES!$D:$D,"Y")))</f>
        <v/>
      </c>
      <c r="AF57">
        <f>IF(OR(AA57="",$B$10=0),0,MAX(0,SUMIFS(DATA_SERVICE_AREAS!$F:$F,DATA_SERVICE_AREAS!$A:$A,$B$10,DATA_SERVICE_AREAS!$C:$C,"CHOP",DATA_SERVICE_AREAS!$D:$D,AA57)-COUNTIFS(DATA_COMMUNITY!$A:$A,$B$10,DATA_COMMUNITY!$D:$D,"CHOP",DATA_COMMUNITY!$E:$E,AA57)))</f>
        <v/>
      </c>
      <c r="AG57">
        <f>IF(AE57=0,"",MIN(1,AF57/AE57))</f>
        <v/>
      </c>
      <c r="AH57">
        <f>IF(OR(AB57=0,AD57=0),"",AC57/AD57-1)</f>
        <v/>
      </c>
      <c r="AI57">
        <f>IF(AB57=0,"",AC57+ROW()/1000000)</f>
        <v/>
      </c>
      <c r="AJ57">
        <f>IF(AG57="","",AG57+ROW()/1000000000)</f>
        <v/>
      </c>
      <c r="AK57">
        <f>IF(AH57="","",AH57+ROW()/1000000000)</f>
        <v/>
      </c>
      <c r="AL57">
        <f>MAX(0,AE57-AF57)</f>
        <v/>
      </c>
      <c r="AM57">
        <f>IF(AND(AL57&gt;0,OR($B$6="*",AA57=$B$6)),ROW(),"")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IF(B58="",0,COUNTIFS(DATA_CHOP!$A:$A,B58,DATA_CHOP!$C:$C,$B$6,DATA_CHOP!$D:$D,$B$7))</f>
        <v/>
      </c>
      <c r="G58">
        <f>IF(F58=0,0,SUMIFS(DATA_CHOP!$E:$E,DATA_CHOP!$A:$A,B58,DATA_CHOP!$C:$C,$B$6,DATA_CHOP!$D:$D,$B$7))</f>
        <v/>
      </c>
      <c r="H58">
        <f>IF(F58=0,0,SUMIFS(DATA_CHOP!$F:$F,DATA_CHOP!$A:$A,B58,DATA_CHOP!$C:$C,$B$6,DATA_CHOP!$D:$D,$B$7))</f>
        <v/>
      </c>
      <c r="I58">
        <f>IF(F58=0,0,SUMIFS(DATA_CHOP!$H:$H,DATA_CHOP!$A:$A,B58,DATA_CHOP!$C:$C,$B$6,DATA_CHOP!$D:$D,$B$7))</f>
        <v/>
      </c>
      <c r="J58">
        <f>G58+H58</f>
        <v/>
      </c>
      <c r="K58">
        <f>J58+I58</f>
        <v/>
      </c>
      <c r="L58">
        <f>IF(F58=0,0,SUMIFS(DATA_CHOP!$J:$J,DATA_CHOP!$A:$A,B58,DATA_CHOP!$C:$C,$B$6,DATA_CHOP!$D:$D,$B$7))</f>
        <v/>
      </c>
      <c r="M58">
        <f>IF(F58=0,0,SUMIFS(DATA_CHOP!$K:$K,DATA_CHOP!$A:$A,B58,DATA_CHOP!$C:$C,$B$6,DATA_CHOP!$D:$D,$B$7))</f>
        <v/>
      </c>
      <c r="N58">
        <f>IF(B58="",0,IF($B$3="Zone",IF(AND($B$17,NOT($B$18)),1,0),MAX(0,SUMIFS(DATA_SERVICE_AREAS!$G:$G,DATA_SERVICE_AREAS!$A:$A,B58,DATA_SERVICE_AREAS!$C:$C,"CHOP",DATA_SERVICE_AREAS!$D:$D,$B$6)-COUNTIFS(MASTER_ZONES!$C:$C,$B$6,MASTER_ZONES!$I:$I,"Y",MASTER_ZONES!$D:$D,"Y"))))</f>
        <v/>
      </c>
      <c r="O58">
        <f>IF(B58="",0,IF($B$3="Zone",IF(AND($B$17,NOT($B$18),F58&gt;0),1,0),MAX(0,SUMIFS(DATA_SERVICE_AREAS!$F:$F,DATA_SERVICE_AREAS!$A:$A,B58,DATA_SERVICE_AREAS!$C:$C,"CHOP",DATA_SERVICE_AREAS!$D:$D,$B$6)-COUNTIFS(DATA_COMMUNITY!$A:$A,B58,DATA_COMMUNITY!$D:$D,"CHOP",DATA_COMMUNITY!$E:$E,$B$6))))</f>
        <v/>
      </c>
      <c r="P58">
        <f>MAX(0,N58-O58)</f>
        <v/>
      </c>
      <c r="Q58">
        <f>IF(N58=0,0,O58/N58)</f>
        <v/>
      </c>
      <c r="R58">
        <f>IF(O58=0,0,K58/O58)</f>
        <v/>
      </c>
      <c r="S58">
        <f>IF(OR(F58&gt;0,N58&gt;0),1,0)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IFERROR(INDEX(MASTER_AREAS!$B:$B,57)&amp;"","")</f>
        <v/>
      </c>
      <c r="AB58">
        <f>IF(OR(AA58="",$B$10=0),0,COUNTIFS(DATA_CHOP!$A:$A,$B$10,DATA_CHOP!$C:$C,AA58))</f>
        <v/>
      </c>
      <c r="AC58">
        <f>IF(AB58=0,0,SUMIFS(DATA_CHOP!$I:$I,DATA_CHOP!$A:$A,$B$10,DATA_CHOP!$C:$C,AA58))</f>
        <v/>
      </c>
      <c r="AD58">
        <f>IF(OR(AA58="",$B$10=0),0,SUMIFS(DATA_CHOP!$I:$I,DATA_CHOP!$A:$A,$B$10-7,DATA_CHOP!$C:$C,AA58))</f>
        <v/>
      </c>
      <c r="AE58">
        <f>IF(OR(AA58="",$B$10=0),0,MAX(0,SUMIFS(DATA_SERVICE_AREAS!$G:$G,DATA_SERVICE_AREAS!$A:$A,$B$10,DATA_SERVICE_AREAS!$C:$C,"CHOP",DATA_SERVICE_AREAS!$D:$D,AA58)-COUNTIFS(MASTER_ZONES!$C:$C,AA58,MASTER_ZONES!$I:$I,"Y",MASTER_ZONES!$D:$D,"Y")))</f>
        <v/>
      </c>
      <c r="AF58">
        <f>IF(OR(AA58="",$B$10=0),0,MAX(0,SUMIFS(DATA_SERVICE_AREAS!$F:$F,DATA_SERVICE_AREAS!$A:$A,$B$10,DATA_SERVICE_AREAS!$C:$C,"CHOP",DATA_SERVICE_AREAS!$D:$D,AA58)-COUNTIFS(DATA_COMMUNITY!$A:$A,$B$10,DATA_COMMUNITY!$D:$D,"CHOP",DATA_COMMUNITY!$E:$E,AA58)))</f>
        <v/>
      </c>
      <c r="AG58">
        <f>IF(AE58=0,"",MIN(1,AF58/AE58))</f>
        <v/>
      </c>
      <c r="AH58">
        <f>IF(OR(AB58=0,AD58=0),"",AC58/AD58-1)</f>
        <v/>
      </c>
      <c r="AI58">
        <f>IF(AB58=0,"",AC58+ROW()/1000000)</f>
        <v/>
      </c>
      <c r="AJ58">
        <f>IF(AG58="","",AG58+ROW()/1000000000)</f>
        <v/>
      </c>
      <c r="AK58">
        <f>IF(AH58="","",AH58+ROW()/1000000000)</f>
        <v/>
      </c>
      <c r="AL58">
        <f>MAX(0,AE58-AF58)</f>
        <v/>
      </c>
      <c r="AM58">
        <f>IF(AND(AL58&gt;0,OR($B$6="*",AA58=$B$6)),ROW(),"")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IF(B59="",0,COUNTIFS(DATA_CHOP!$A:$A,B59,DATA_CHOP!$C:$C,$B$6,DATA_CHOP!$D:$D,$B$7))</f>
        <v/>
      </c>
      <c r="G59">
        <f>IF(F59=0,0,SUMIFS(DATA_CHOP!$E:$E,DATA_CHOP!$A:$A,B59,DATA_CHOP!$C:$C,$B$6,DATA_CHOP!$D:$D,$B$7))</f>
        <v/>
      </c>
      <c r="H59">
        <f>IF(F59=0,0,SUMIFS(DATA_CHOP!$F:$F,DATA_CHOP!$A:$A,B59,DATA_CHOP!$C:$C,$B$6,DATA_CHOP!$D:$D,$B$7))</f>
        <v/>
      </c>
      <c r="I59">
        <f>IF(F59=0,0,SUMIFS(DATA_CHOP!$H:$H,DATA_CHOP!$A:$A,B59,DATA_CHOP!$C:$C,$B$6,DATA_CHOP!$D:$D,$B$7))</f>
        <v/>
      </c>
      <c r="J59">
        <f>G59+H59</f>
        <v/>
      </c>
      <c r="K59">
        <f>J59+I59</f>
        <v/>
      </c>
      <c r="L59">
        <f>IF(F59=0,0,SUMIFS(DATA_CHOP!$J:$J,DATA_CHOP!$A:$A,B59,DATA_CHOP!$C:$C,$B$6,DATA_CHOP!$D:$D,$B$7))</f>
        <v/>
      </c>
      <c r="M59">
        <f>IF(F59=0,0,SUMIFS(DATA_CHOP!$K:$K,DATA_CHOP!$A:$A,B59,DATA_CHOP!$C:$C,$B$6,DATA_CHOP!$D:$D,$B$7))</f>
        <v/>
      </c>
      <c r="N59">
        <f>IF(B59="",0,IF($B$3="Zone",IF(AND($B$17,NOT($B$18)),1,0),MAX(0,SUMIFS(DATA_SERVICE_AREAS!$G:$G,DATA_SERVICE_AREAS!$A:$A,B59,DATA_SERVICE_AREAS!$C:$C,"CHOP",DATA_SERVICE_AREAS!$D:$D,$B$6)-COUNTIFS(MASTER_ZONES!$C:$C,$B$6,MASTER_ZONES!$I:$I,"Y",MASTER_ZONES!$D:$D,"Y"))))</f>
        <v/>
      </c>
      <c r="O59">
        <f>IF(B59="",0,IF($B$3="Zone",IF(AND($B$17,NOT($B$18),F59&gt;0),1,0),MAX(0,SUMIFS(DATA_SERVICE_AREAS!$F:$F,DATA_SERVICE_AREAS!$A:$A,B59,DATA_SERVICE_AREAS!$C:$C,"CHOP",DATA_SERVICE_AREAS!$D:$D,$B$6)-COUNTIFS(DATA_COMMUNITY!$A:$A,B59,DATA_COMMUNITY!$D:$D,"CHOP",DATA_COMMUNITY!$E:$E,$B$6))))</f>
        <v/>
      </c>
      <c r="P59">
        <f>MAX(0,N59-O59)</f>
        <v/>
      </c>
      <c r="Q59">
        <f>IF(N59=0,0,O59/N59)</f>
        <v/>
      </c>
      <c r="R59">
        <f>IF(O59=0,0,K59/O59)</f>
        <v/>
      </c>
      <c r="S59">
        <f>IF(OR(F59&gt;0,N59&gt;0),1,0)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IFERROR(INDEX(MASTER_AREAS!$B:$B,58)&amp;"","")</f>
        <v/>
      </c>
      <c r="AB59">
        <f>IF(OR(AA59="",$B$10=0),0,COUNTIFS(DATA_CHOP!$A:$A,$B$10,DATA_CHOP!$C:$C,AA59))</f>
        <v/>
      </c>
      <c r="AC59">
        <f>IF(AB59=0,0,SUMIFS(DATA_CHOP!$I:$I,DATA_CHOP!$A:$A,$B$10,DATA_CHOP!$C:$C,AA59))</f>
        <v/>
      </c>
      <c r="AD59">
        <f>IF(OR(AA59="",$B$10=0),0,SUMIFS(DATA_CHOP!$I:$I,DATA_CHOP!$A:$A,$B$10-7,DATA_CHOP!$C:$C,AA59))</f>
        <v/>
      </c>
      <c r="AE59">
        <f>IF(OR(AA59="",$B$10=0),0,MAX(0,SUMIFS(DATA_SERVICE_AREAS!$G:$G,DATA_SERVICE_AREAS!$A:$A,$B$10,DATA_SERVICE_AREAS!$C:$C,"CHOP",DATA_SERVICE_AREAS!$D:$D,AA59)-COUNTIFS(MASTER_ZONES!$C:$C,AA59,MASTER_ZONES!$I:$I,"Y",MASTER_ZONES!$D:$D,"Y")))</f>
        <v/>
      </c>
      <c r="AF59">
        <f>IF(OR(AA59="",$B$10=0),0,MAX(0,SUMIFS(DATA_SERVICE_AREAS!$F:$F,DATA_SERVICE_AREAS!$A:$A,$B$10,DATA_SERVICE_AREAS!$C:$C,"CHOP",DATA_SERVICE_AREAS!$D:$D,AA59)-COUNTIFS(DATA_COMMUNITY!$A:$A,$B$10,DATA_COMMUNITY!$D:$D,"CHOP",DATA_COMMUNITY!$E:$E,AA59)))</f>
        <v/>
      </c>
      <c r="AG59">
        <f>IF(AE59=0,"",MIN(1,AF59/AE59))</f>
        <v/>
      </c>
      <c r="AH59">
        <f>IF(OR(AB59=0,AD59=0),"",AC59/AD59-1)</f>
        <v/>
      </c>
      <c r="AI59">
        <f>IF(AB59=0,"",AC59+ROW()/1000000)</f>
        <v/>
      </c>
      <c r="AJ59">
        <f>IF(AG59="","",AG59+ROW()/1000000000)</f>
        <v/>
      </c>
      <c r="AK59">
        <f>IF(AH59="","",AH59+ROW()/1000000000)</f>
        <v/>
      </c>
      <c r="AL59">
        <f>MAX(0,AE59-AF59)</f>
        <v/>
      </c>
      <c r="AM59">
        <f>IF(AND(AL59&gt;0,OR($B$6="*",AA59=$B$6)),ROW(),"")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IF(B60="",0,COUNTIFS(DATA_CHOP!$A:$A,B60,DATA_CHOP!$C:$C,$B$6,DATA_CHOP!$D:$D,$B$7))</f>
        <v/>
      </c>
      <c r="G60">
        <f>IF(F60=0,0,SUMIFS(DATA_CHOP!$E:$E,DATA_CHOP!$A:$A,B60,DATA_CHOP!$C:$C,$B$6,DATA_CHOP!$D:$D,$B$7))</f>
        <v/>
      </c>
      <c r="H60">
        <f>IF(F60=0,0,SUMIFS(DATA_CHOP!$F:$F,DATA_CHOP!$A:$A,B60,DATA_CHOP!$C:$C,$B$6,DATA_CHOP!$D:$D,$B$7))</f>
        <v/>
      </c>
      <c r="I60">
        <f>IF(F60=0,0,SUMIFS(DATA_CHOP!$H:$H,DATA_CHOP!$A:$A,B60,DATA_CHOP!$C:$C,$B$6,DATA_CHOP!$D:$D,$B$7))</f>
        <v/>
      </c>
      <c r="J60">
        <f>G60+H60</f>
        <v/>
      </c>
      <c r="K60">
        <f>J60+I60</f>
        <v/>
      </c>
      <c r="L60">
        <f>IF(F60=0,0,SUMIFS(DATA_CHOP!$J:$J,DATA_CHOP!$A:$A,B60,DATA_CHOP!$C:$C,$B$6,DATA_CHOP!$D:$D,$B$7))</f>
        <v/>
      </c>
      <c r="M60">
        <f>IF(F60=0,0,SUMIFS(DATA_CHOP!$K:$K,DATA_CHOP!$A:$A,B60,DATA_CHOP!$C:$C,$B$6,DATA_CHOP!$D:$D,$B$7))</f>
        <v/>
      </c>
      <c r="N60">
        <f>IF(B60="",0,IF($B$3="Zone",IF(AND($B$17,NOT($B$18)),1,0),MAX(0,SUMIFS(DATA_SERVICE_AREAS!$G:$G,DATA_SERVICE_AREAS!$A:$A,B60,DATA_SERVICE_AREAS!$C:$C,"CHOP",DATA_SERVICE_AREAS!$D:$D,$B$6)-COUNTIFS(MASTER_ZONES!$C:$C,$B$6,MASTER_ZONES!$I:$I,"Y",MASTER_ZONES!$D:$D,"Y"))))</f>
        <v/>
      </c>
      <c r="O60">
        <f>IF(B60="",0,IF($B$3="Zone",IF(AND($B$17,NOT($B$18),F60&gt;0),1,0),MAX(0,SUMIFS(DATA_SERVICE_AREAS!$F:$F,DATA_SERVICE_AREAS!$A:$A,B60,DATA_SERVICE_AREAS!$C:$C,"CHOP",DATA_SERVICE_AREAS!$D:$D,$B$6)-COUNTIFS(DATA_COMMUNITY!$A:$A,B60,DATA_COMMUNITY!$D:$D,"CHOP",DATA_COMMUNITY!$E:$E,$B$6))))</f>
        <v/>
      </c>
      <c r="P60">
        <f>MAX(0,N60-O60)</f>
        <v/>
      </c>
      <c r="Q60">
        <f>IF(N60=0,0,O60/N60)</f>
        <v/>
      </c>
      <c r="R60">
        <f>IF(O60=0,0,K60/O60)</f>
        <v/>
      </c>
      <c r="S60">
        <f>IF(OR(F60&gt;0,N60&gt;0),1,0)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IFERROR(INDEX(MASTER_AREAS!$B:$B,59)&amp;"","")</f>
        <v/>
      </c>
      <c r="AB60">
        <f>IF(OR(AA60="",$B$10=0),0,COUNTIFS(DATA_CHOP!$A:$A,$B$10,DATA_CHOP!$C:$C,AA60))</f>
        <v/>
      </c>
      <c r="AC60">
        <f>IF(AB60=0,0,SUMIFS(DATA_CHOP!$I:$I,DATA_CHOP!$A:$A,$B$10,DATA_CHOP!$C:$C,AA60))</f>
        <v/>
      </c>
      <c r="AD60">
        <f>IF(OR(AA60="",$B$10=0),0,SUMIFS(DATA_CHOP!$I:$I,DATA_CHOP!$A:$A,$B$10-7,DATA_CHOP!$C:$C,AA60))</f>
        <v/>
      </c>
      <c r="AE60">
        <f>IF(OR(AA60="",$B$10=0),0,MAX(0,SUMIFS(DATA_SERVICE_AREAS!$G:$G,DATA_SERVICE_AREAS!$A:$A,$B$10,DATA_SERVICE_AREAS!$C:$C,"CHOP",DATA_SERVICE_AREAS!$D:$D,AA60)-COUNTIFS(MASTER_ZONES!$C:$C,AA60,MASTER_ZONES!$I:$I,"Y",MASTER_ZONES!$D:$D,"Y")))</f>
        <v/>
      </c>
      <c r="AF60">
        <f>IF(OR(AA60="",$B$10=0),0,MAX(0,SUMIFS(DATA_SERVICE_AREAS!$F:$F,DATA_SERVICE_AREAS!$A:$A,$B$10,DATA_SERVICE_AREAS!$C:$C,"CHOP",DATA_SERVICE_AREAS!$D:$D,AA60)-COUNTIFS(DATA_COMMUNITY!$A:$A,$B$10,DATA_COMMUNITY!$D:$D,"CHOP",DATA_COMMUNITY!$E:$E,AA60)))</f>
        <v/>
      </c>
      <c r="AG60">
        <f>IF(AE60=0,"",MIN(1,AF60/AE60))</f>
        <v/>
      </c>
      <c r="AH60">
        <f>IF(OR(AB60=0,AD60=0),"",AC60/AD60-1)</f>
        <v/>
      </c>
      <c r="AI60">
        <f>IF(AB60=0,"",AC60+ROW()/1000000)</f>
        <v/>
      </c>
      <c r="AJ60">
        <f>IF(AG60="","",AG60+ROW()/1000000000)</f>
        <v/>
      </c>
      <c r="AK60">
        <f>IF(AH60="","",AH60+ROW()/1000000000)</f>
        <v/>
      </c>
      <c r="AL60">
        <f>MAX(0,AE60-AF60)</f>
        <v/>
      </c>
      <c r="AM60">
        <f>IF(AND(AL60&gt;0,OR($B$6="*",AA60=$B$6)),ROW(),"")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IF(B61="",0,COUNTIFS(DATA_CHOP!$A:$A,B61,DATA_CHOP!$C:$C,$B$6,DATA_CHOP!$D:$D,$B$7))</f>
        <v/>
      </c>
      <c r="G61">
        <f>IF(F61=0,0,SUMIFS(DATA_CHOP!$E:$E,DATA_CHOP!$A:$A,B61,DATA_CHOP!$C:$C,$B$6,DATA_CHOP!$D:$D,$B$7))</f>
        <v/>
      </c>
      <c r="H61">
        <f>IF(F61=0,0,SUMIFS(DATA_CHOP!$F:$F,DATA_CHOP!$A:$A,B61,DATA_CHOP!$C:$C,$B$6,DATA_CHOP!$D:$D,$B$7))</f>
        <v/>
      </c>
      <c r="I61">
        <f>IF(F61=0,0,SUMIFS(DATA_CHOP!$H:$H,DATA_CHOP!$A:$A,B61,DATA_CHOP!$C:$C,$B$6,DATA_CHOP!$D:$D,$B$7))</f>
        <v/>
      </c>
      <c r="J61">
        <f>G61+H61</f>
        <v/>
      </c>
      <c r="K61">
        <f>J61+I61</f>
        <v/>
      </c>
      <c r="L61">
        <f>IF(F61=0,0,SUMIFS(DATA_CHOP!$J:$J,DATA_CHOP!$A:$A,B61,DATA_CHOP!$C:$C,$B$6,DATA_CHOP!$D:$D,$B$7))</f>
        <v/>
      </c>
      <c r="M61">
        <f>IF(F61=0,0,SUMIFS(DATA_CHOP!$K:$K,DATA_CHOP!$A:$A,B61,DATA_CHOP!$C:$C,$B$6,DATA_CHOP!$D:$D,$B$7))</f>
        <v/>
      </c>
      <c r="N61">
        <f>IF(B61="",0,IF($B$3="Zone",IF(AND($B$17,NOT($B$18)),1,0),MAX(0,SUMIFS(DATA_SERVICE_AREAS!$G:$G,DATA_SERVICE_AREAS!$A:$A,B61,DATA_SERVICE_AREAS!$C:$C,"CHOP",DATA_SERVICE_AREAS!$D:$D,$B$6)-COUNTIFS(MASTER_ZONES!$C:$C,$B$6,MASTER_ZONES!$I:$I,"Y",MASTER_ZONES!$D:$D,"Y"))))</f>
        <v/>
      </c>
      <c r="O61">
        <f>IF(B61="",0,IF($B$3="Zone",IF(AND($B$17,NOT($B$18),F61&gt;0),1,0),MAX(0,SUMIFS(DATA_SERVICE_AREAS!$F:$F,DATA_SERVICE_AREAS!$A:$A,B61,DATA_SERVICE_AREAS!$C:$C,"CHOP",DATA_SERVICE_AREAS!$D:$D,$B$6)-COUNTIFS(DATA_COMMUNITY!$A:$A,B61,DATA_COMMUNITY!$D:$D,"CHOP",DATA_COMMUNITY!$E:$E,$B$6))))</f>
        <v/>
      </c>
      <c r="P61">
        <f>MAX(0,N61-O61)</f>
        <v/>
      </c>
      <c r="Q61">
        <f>IF(N61=0,0,O61/N61)</f>
        <v/>
      </c>
      <c r="R61">
        <f>IF(O61=0,0,K61/O61)</f>
        <v/>
      </c>
      <c r="S61">
        <f>IF(OR(F61&gt;0,N61&gt;0),1,0)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IFERROR(INDEX(MASTER_AREAS!$B:$B,60)&amp;"","")</f>
        <v/>
      </c>
      <c r="AB61">
        <f>IF(OR(AA61="",$B$10=0),0,COUNTIFS(DATA_CHOP!$A:$A,$B$10,DATA_CHOP!$C:$C,AA61))</f>
        <v/>
      </c>
      <c r="AC61">
        <f>IF(AB61=0,0,SUMIFS(DATA_CHOP!$I:$I,DATA_CHOP!$A:$A,$B$10,DATA_CHOP!$C:$C,AA61))</f>
        <v/>
      </c>
      <c r="AD61">
        <f>IF(OR(AA61="",$B$10=0),0,SUMIFS(DATA_CHOP!$I:$I,DATA_CHOP!$A:$A,$B$10-7,DATA_CHOP!$C:$C,AA61))</f>
        <v/>
      </c>
      <c r="AE61">
        <f>IF(OR(AA61="",$B$10=0),0,MAX(0,SUMIFS(DATA_SERVICE_AREAS!$G:$G,DATA_SERVICE_AREAS!$A:$A,$B$10,DATA_SERVICE_AREAS!$C:$C,"CHOP",DATA_SERVICE_AREAS!$D:$D,AA61)-COUNTIFS(MASTER_ZONES!$C:$C,AA61,MASTER_ZONES!$I:$I,"Y",MASTER_ZONES!$D:$D,"Y")))</f>
        <v/>
      </c>
      <c r="AF61">
        <f>IF(OR(AA61="",$B$10=0),0,MAX(0,SUMIFS(DATA_SERVICE_AREAS!$F:$F,DATA_SERVICE_AREAS!$A:$A,$B$10,DATA_SERVICE_AREAS!$C:$C,"CHOP",DATA_SERVICE_AREAS!$D:$D,AA61)-COUNTIFS(DATA_COMMUNITY!$A:$A,$B$10,DATA_COMMUNITY!$D:$D,"CHOP",DATA_COMMUNITY!$E:$E,AA61)))</f>
        <v/>
      </c>
      <c r="AG61">
        <f>IF(AE61=0,"",MIN(1,AF61/AE61))</f>
        <v/>
      </c>
      <c r="AH61">
        <f>IF(OR(AB61=0,AD61=0),"",AC61/AD61-1)</f>
        <v/>
      </c>
      <c r="AI61">
        <f>IF(AB61=0,"",AC61+ROW()/1000000)</f>
        <v/>
      </c>
      <c r="AJ61">
        <f>IF(AG61="","",AG61+ROW()/1000000000)</f>
        <v/>
      </c>
      <c r="AK61">
        <f>IF(AH61="","",AH61+ROW()/1000000000)</f>
        <v/>
      </c>
      <c r="AL61">
        <f>MAX(0,AE61-AF61)</f>
        <v/>
      </c>
      <c r="AM61">
        <f>IF(AND(AL61&gt;0,OR($B$6="*",AA61=$B$6)),ROW(),"")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IF(B62="",0,COUNTIFS(DATA_CHOP!$A:$A,B62,DATA_CHOP!$C:$C,$B$6,DATA_CHOP!$D:$D,$B$7))</f>
        <v/>
      </c>
      <c r="G62">
        <f>IF(F62=0,0,SUMIFS(DATA_CHOP!$E:$E,DATA_CHOP!$A:$A,B62,DATA_CHOP!$C:$C,$B$6,DATA_CHOP!$D:$D,$B$7))</f>
        <v/>
      </c>
      <c r="H62">
        <f>IF(F62=0,0,SUMIFS(DATA_CHOP!$F:$F,DATA_CHOP!$A:$A,B62,DATA_CHOP!$C:$C,$B$6,DATA_CHOP!$D:$D,$B$7))</f>
        <v/>
      </c>
      <c r="I62">
        <f>IF(F62=0,0,SUMIFS(DATA_CHOP!$H:$H,DATA_CHOP!$A:$A,B62,DATA_CHOP!$C:$C,$B$6,DATA_CHOP!$D:$D,$B$7))</f>
        <v/>
      </c>
      <c r="J62">
        <f>G62+H62</f>
        <v/>
      </c>
      <c r="K62">
        <f>J62+I62</f>
        <v/>
      </c>
      <c r="L62">
        <f>IF(F62=0,0,SUMIFS(DATA_CHOP!$J:$J,DATA_CHOP!$A:$A,B62,DATA_CHOP!$C:$C,$B$6,DATA_CHOP!$D:$D,$B$7))</f>
        <v/>
      </c>
      <c r="M62">
        <f>IF(F62=0,0,SUMIFS(DATA_CHOP!$K:$K,DATA_CHOP!$A:$A,B62,DATA_CHOP!$C:$C,$B$6,DATA_CHOP!$D:$D,$B$7))</f>
        <v/>
      </c>
      <c r="N62">
        <f>IF(B62="",0,IF($B$3="Zone",IF(AND($B$17,NOT($B$18)),1,0),MAX(0,SUMIFS(DATA_SERVICE_AREAS!$G:$G,DATA_SERVICE_AREAS!$A:$A,B62,DATA_SERVICE_AREAS!$C:$C,"CHOP",DATA_SERVICE_AREAS!$D:$D,$B$6)-COUNTIFS(MASTER_ZONES!$C:$C,$B$6,MASTER_ZONES!$I:$I,"Y",MASTER_ZONES!$D:$D,"Y"))))</f>
        <v/>
      </c>
      <c r="O62">
        <f>IF(B62="",0,IF($B$3="Zone",IF(AND($B$17,NOT($B$18),F62&gt;0),1,0),MAX(0,SUMIFS(DATA_SERVICE_AREAS!$F:$F,DATA_SERVICE_AREAS!$A:$A,B62,DATA_SERVICE_AREAS!$C:$C,"CHOP",DATA_SERVICE_AREAS!$D:$D,$B$6)-COUNTIFS(DATA_COMMUNITY!$A:$A,B62,DATA_COMMUNITY!$D:$D,"CHOP",DATA_COMMUNITY!$E:$E,$B$6))))</f>
        <v/>
      </c>
      <c r="P62">
        <f>MAX(0,N62-O62)</f>
        <v/>
      </c>
      <c r="Q62">
        <f>IF(N62=0,0,O62/N62)</f>
        <v/>
      </c>
      <c r="R62">
        <f>IF(O62=0,0,K62/O62)</f>
        <v/>
      </c>
      <c r="S62">
        <f>IF(OR(F62&gt;0,N62&gt;0),1,0)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IFERROR(INDEX(MASTER_AREAS!$B:$B,61)&amp;"","")</f>
        <v/>
      </c>
      <c r="AB62">
        <f>IF(OR(AA62="",$B$10=0),0,COUNTIFS(DATA_CHOP!$A:$A,$B$10,DATA_CHOP!$C:$C,AA62))</f>
        <v/>
      </c>
      <c r="AC62">
        <f>IF(AB62=0,0,SUMIFS(DATA_CHOP!$I:$I,DATA_CHOP!$A:$A,$B$10,DATA_CHOP!$C:$C,AA62))</f>
        <v/>
      </c>
      <c r="AD62">
        <f>IF(OR(AA62="",$B$10=0),0,SUMIFS(DATA_CHOP!$I:$I,DATA_CHOP!$A:$A,$B$10-7,DATA_CHOP!$C:$C,AA62))</f>
        <v/>
      </c>
      <c r="AE62">
        <f>IF(OR(AA62="",$B$10=0),0,MAX(0,SUMIFS(DATA_SERVICE_AREAS!$G:$G,DATA_SERVICE_AREAS!$A:$A,$B$10,DATA_SERVICE_AREAS!$C:$C,"CHOP",DATA_SERVICE_AREAS!$D:$D,AA62)-COUNTIFS(MASTER_ZONES!$C:$C,AA62,MASTER_ZONES!$I:$I,"Y",MASTER_ZONES!$D:$D,"Y")))</f>
        <v/>
      </c>
      <c r="AF62">
        <f>IF(OR(AA62="",$B$10=0),0,MAX(0,SUMIFS(DATA_SERVICE_AREAS!$F:$F,DATA_SERVICE_AREAS!$A:$A,$B$10,DATA_SERVICE_AREAS!$C:$C,"CHOP",DATA_SERVICE_AREAS!$D:$D,AA62)-COUNTIFS(DATA_COMMUNITY!$A:$A,$B$10,DATA_COMMUNITY!$D:$D,"CHOP",DATA_COMMUNITY!$E:$E,AA62)))</f>
        <v/>
      </c>
      <c r="AG62">
        <f>IF(AE62=0,"",MIN(1,AF62/AE62))</f>
        <v/>
      </c>
      <c r="AH62">
        <f>IF(OR(AB62=0,AD62=0),"",AC62/AD62-1)</f>
        <v/>
      </c>
      <c r="AI62">
        <f>IF(AB62=0,"",AC62+ROW()/1000000)</f>
        <v/>
      </c>
      <c r="AJ62">
        <f>IF(AG62="","",AG62+ROW()/1000000000)</f>
        <v/>
      </c>
      <c r="AK62">
        <f>IF(AH62="","",AH62+ROW()/1000000000)</f>
        <v/>
      </c>
      <c r="AL62">
        <f>MAX(0,AE62-AF62)</f>
        <v/>
      </c>
      <c r="AM62">
        <f>IF(AND(AL62&gt;0,OR($B$6="*",AA62=$B$6)),ROW(),"")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IF(B63="",0,COUNTIFS(DATA_CHOP!$A:$A,B63,DATA_CHOP!$C:$C,$B$6,DATA_CHOP!$D:$D,$B$7))</f>
        <v/>
      </c>
      <c r="G63">
        <f>IF(F63=0,0,SUMIFS(DATA_CHOP!$E:$E,DATA_CHOP!$A:$A,B63,DATA_CHOP!$C:$C,$B$6,DATA_CHOP!$D:$D,$B$7))</f>
        <v/>
      </c>
      <c r="H63">
        <f>IF(F63=0,0,SUMIFS(DATA_CHOP!$F:$F,DATA_CHOP!$A:$A,B63,DATA_CHOP!$C:$C,$B$6,DATA_CHOP!$D:$D,$B$7))</f>
        <v/>
      </c>
      <c r="I63">
        <f>IF(F63=0,0,SUMIFS(DATA_CHOP!$H:$H,DATA_CHOP!$A:$A,B63,DATA_CHOP!$C:$C,$B$6,DATA_CHOP!$D:$D,$B$7))</f>
        <v/>
      </c>
      <c r="J63">
        <f>G63+H63</f>
        <v/>
      </c>
      <c r="K63">
        <f>J63+I63</f>
        <v/>
      </c>
      <c r="L63">
        <f>IF(F63=0,0,SUMIFS(DATA_CHOP!$J:$J,DATA_CHOP!$A:$A,B63,DATA_CHOP!$C:$C,$B$6,DATA_CHOP!$D:$D,$B$7))</f>
        <v/>
      </c>
      <c r="M63">
        <f>IF(F63=0,0,SUMIFS(DATA_CHOP!$K:$K,DATA_CHOP!$A:$A,B63,DATA_CHOP!$C:$C,$B$6,DATA_CHOP!$D:$D,$B$7))</f>
        <v/>
      </c>
      <c r="N63">
        <f>IF(B63="",0,IF($B$3="Zone",IF(AND($B$17,NOT($B$18)),1,0),MAX(0,SUMIFS(DATA_SERVICE_AREAS!$G:$G,DATA_SERVICE_AREAS!$A:$A,B63,DATA_SERVICE_AREAS!$C:$C,"CHOP",DATA_SERVICE_AREAS!$D:$D,$B$6)-COUNTIFS(MASTER_ZONES!$C:$C,$B$6,MASTER_ZONES!$I:$I,"Y",MASTER_ZONES!$D:$D,"Y"))))</f>
        <v/>
      </c>
      <c r="O63">
        <f>IF(B63="",0,IF($B$3="Zone",IF(AND($B$17,NOT($B$18),F63&gt;0),1,0),MAX(0,SUMIFS(DATA_SERVICE_AREAS!$F:$F,DATA_SERVICE_AREAS!$A:$A,B63,DATA_SERVICE_AREAS!$C:$C,"CHOP",DATA_SERVICE_AREAS!$D:$D,$B$6)-COUNTIFS(DATA_COMMUNITY!$A:$A,B63,DATA_COMMUNITY!$D:$D,"CHOP",DATA_COMMUNITY!$E:$E,$B$6))))</f>
        <v/>
      </c>
      <c r="P63">
        <f>MAX(0,N63-O63)</f>
        <v/>
      </c>
      <c r="Q63">
        <f>IF(N63=0,0,O63/N63)</f>
        <v/>
      </c>
      <c r="R63">
        <f>IF(O63=0,0,K63/O63)</f>
        <v/>
      </c>
      <c r="S63">
        <f>IF(OR(F63&gt;0,N63&gt;0),1,0)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  <c r="AA63">
        <f>IFERROR(INDEX(MASTER_AREAS!$B:$B,62)&amp;"","")</f>
        <v/>
      </c>
      <c r="AB63">
        <f>IF(OR(AA63="",$B$10=0),0,COUNTIFS(DATA_CHOP!$A:$A,$B$10,DATA_CHOP!$C:$C,AA63))</f>
        <v/>
      </c>
      <c r="AC63">
        <f>IF(AB63=0,0,SUMIFS(DATA_CHOP!$I:$I,DATA_CHOP!$A:$A,$B$10,DATA_CHOP!$C:$C,AA63))</f>
        <v/>
      </c>
      <c r="AD63">
        <f>IF(OR(AA63="",$B$10=0),0,SUMIFS(DATA_CHOP!$I:$I,DATA_CHOP!$A:$A,$B$10-7,DATA_CHOP!$C:$C,AA63))</f>
        <v/>
      </c>
      <c r="AE63">
        <f>IF(OR(AA63="",$B$10=0),0,MAX(0,SUMIFS(DATA_SERVICE_AREAS!$G:$G,DATA_SERVICE_AREAS!$A:$A,$B$10,DATA_SERVICE_AREAS!$C:$C,"CHOP",DATA_SERVICE_AREAS!$D:$D,AA63)-COUNTIFS(MASTER_ZONES!$C:$C,AA63,MASTER_ZONES!$I:$I,"Y",MASTER_ZONES!$D:$D,"Y")))</f>
        <v/>
      </c>
      <c r="AF63">
        <f>IF(OR(AA63="",$B$10=0),0,MAX(0,SUMIFS(DATA_SERVICE_AREAS!$F:$F,DATA_SERVICE_AREAS!$A:$A,$B$10,DATA_SERVICE_AREAS!$C:$C,"CHOP",DATA_SERVICE_AREAS!$D:$D,AA63)-COUNTIFS(DATA_COMMUNITY!$A:$A,$B$10,DATA_COMMUNITY!$D:$D,"CHOP",DATA_COMMUNITY!$E:$E,AA63)))</f>
        <v/>
      </c>
      <c r="AG63">
        <f>IF(AE63=0,"",MIN(1,AF63/AE63))</f>
        <v/>
      </c>
      <c r="AH63">
        <f>IF(OR(AB63=0,AD63=0),"",AC63/AD63-1)</f>
        <v/>
      </c>
      <c r="AI63">
        <f>IF(AB63=0,"",AC63+ROW()/1000000)</f>
        <v/>
      </c>
      <c r="AJ63">
        <f>IF(AG63="","",AG63+ROW()/1000000000)</f>
        <v/>
      </c>
      <c r="AK63">
        <f>IF(AH63="","",AH63+ROW()/1000000000)</f>
        <v/>
      </c>
      <c r="AL63">
        <f>MAX(0,AE63-AF63)</f>
        <v/>
      </c>
      <c r="AM63">
        <f>IF(AND(AL63&gt;0,OR($B$6="*",AA63=$B$6)),ROW(),"")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IF(B64="",0,COUNTIFS(DATA_CHOP!$A:$A,B64,DATA_CHOP!$C:$C,$B$6,DATA_CHOP!$D:$D,$B$7))</f>
        <v/>
      </c>
      <c r="G64">
        <f>IF(F64=0,0,SUMIFS(DATA_CHOP!$E:$E,DATA_CHOP!$A:$A,B64,DATA_CHOP!$C:$C,$B$6,DATA_CHOP!$D:$D,$B$7))</f>
        <v/>
      </c>
      <c r="H64">
        <f>IF(F64=0,0,SUMIFS(DATA_CHOP!$F:$F,DATA_CHOP!$A:$A,B64,DATA_CHOP!$C:$C,$B$6,DATA_CHOP!$D:$D,$B$7))</f>
        <v/>
      </c>
      <c r="I64">
        <f>IF(F64=0,0,SUMIFS(DATA_CHOP!$H:$H,DATA_CHOP!$A:$A,B64,DATA_CHOP!$C:$C,$B$6,DATA_CHOP!$D:$D,$B$7))</f>
        <v/>
      </c>
      <c r="J64">
        <f>G64+H64</f>
        <v/>
      </c>
      <c r="K64">
        <f>J64+I64</f>
        <v/>
      </c>
      <c r="L64">
        <f>IF(F64=0,0,SUMIFS(DATA_CHOP!$J:$J,DATA_CHOP!$A:$A,B64,DATA_CHOP!$C:$C,$B$6,DATA_CHOP!$D:$D,$B$7))</f>
        <v/>
      </c>
      <c r="M64">
        <f>IF(F64=0,0,SUMIFS(DATA_CHOP!$K:$K,DATA_CHOP!$A:$A,B64,DATA_CHOP!$C:$C,$B$6,DATA_CHOP!$D:$D,$B$7))</f>
        <v/>
      </c>
      <c r="N64">
        <f>IF(B64="",0,IF($B$3="Zone",IF(AND($B$17,NOT($B$18)),1,0),MAX(0,SUMIFS(DATA_SERVICE_AREAS!$G:$G,DATA_SERVICE_AREAS!$A:$A,B64,DATA_SERVICE_AREAS!$C:$C,"CHOP",DATA_SERVICE_AREAS!$D:$D,$B$6)-COUNTIFS(MASTER_ZONES!$C:$C,$B$6,MASTER_ZONES!$I:$I,"Y",MASTER_ZONES!$D:$D,"Y"))))</f>
        <v/>
      </c>
      <c r="O64">
        <f>IF(B64="",0,IF($B$3="Zone",IF(AND($B$17,NOT($B$18),F64&gt;0),1,0),MAX(0,SUMIFS(DATA_SERVICE_AREAS!$F:$F,DATA_SERVICE_AREAS!$A:$A,B64,DATA_SERVICE_AREAS!$C:$C,"CHOP",DATA_SERVICE_AREAS!$D:$D,$B$6)-COUNTIFS(DATA_COMMUNITY!$A:$A,B64,DATA_COMMUNITY!$D:$D,"CHOP",DATA_COMMUNITY!$E:$E,$B$6))))</f>
        <v/>
      </c>
      <c r="P64">
        <f>MAX(0,N64-O64)</f>
        <v/>
      </c>
      <c r="Q64">
        <f>IF(N64=0,0,O64/N64)</f>
        <v/>
      </c>
      <c r="R64">
        <f>IF(O64=0,0,K64/O64)</f>
        <v/>
      </c>
      <c r="S64">
        <f>IF(OR(F64&gt;0,N64&gt;0),1,0)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  <c r="AA64">
        <f>IFERROR(INDEX(MASTER_AREAS!$B:$B,63)&amp;"","")</f>
        <v/>
      </c>
      <c r="AB64">
        <f>IF(OR(AA64="",$B$10=0),0,COUNTIFS(DATA_CHOP!$A:$A,$B$10,DATA_CHOP!$C:$C,AA64))</f>
        <v/>
      </c>
      <c r="AC64">
        <f>IF(AB64=0,0,SUMIFS(DATA_CHOP!$I:$I,DATA_CHOP!$A:$A,$B$10,DATA_CHOP!$C:$C,AA64))</f>
        <v/>
      </c>
      <c r="AD64">
        <f>IF(OR(AA64="",$B$10=0),0,SUMIFS(DATA_CHOP!$I:$I,DATA_CHOP!$A:$A,$B$10-7,DATA_CHOP!$C:$C,AA64))</f>
        <v/>
      </c>
      <c r="AE64">
        <f>IF(OR(AA64="",$B$10=0),0,MAX(0,SUMIFS(DATA_SERVICE_AREAS!$G:$G,DATA_SERVICE_AREAS!$A:$A,$B$10,DATA_SERVICE_AREAS!$C:$C,"CHOP",DATA_SERVICE_AREAS!$D:$D,AA64)-COUNTIFS(MASTER_ZONES!$C:$C,AA64,MASTER_ZONES!$I:$I,"Y",MASTER_ZONES!$D:$D,"Y")))</f>
        <v/>
      </c>
      <c r="AF64">
        <f>IF(OR(AA64="",$B$10=0),0,MAX(0,SUMIFS(DATA_SERVICE_AREAS!$F:$F,DATA_SERVICE_AREAS!$A:$A,$B$10,DATA_SERVICE_AREAS!$C:$C,"CHOP",DATA_SERVICE_AREAS!$D:$D,AA64)-COUNTIFS(DATA_COMMUNITY!$A:$A,$B$10,DATA_COMMUNITY!$D:$D,"CHOP",DATA_COMMUNITY!$E:$E,AA64)))</f>
        <v/>
      </c>
      <c r="AG64">
        <f>IF(AE64=0,"",MIN(1,AF64/AE64))</f>
        <v/>
      </c>
      <c r="AH64">
        <f>IF(OR(AB64=0,AD64=0),"",AC64/AD64-1)</f>
        <v/>
      </c>
      <c r="AI64">
        <f>IF(AB64=0,"",AC64+ROW()/1000000)</f>
        <v/>
      </c>
      <c r="AJ64">
        <f>IF(AG64="","",AG64+ROW()/1000000000)</f>
        <v/>
      </c>
      <c r="AK64">
        <f>IF(AH64="","",AH64+ROW()/1000000000)</f>
        <v/>
      </c>
      <c r="AL64">
        <f>MAX(0,AE64-AF64)</f>
        <v/>
      </c>
      <c r="AM64">
        <f>IF(AND(AL64&gt;0,OR($B$6="*",AA64=$B$6)),ROW(),"")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IF(B65="",0,COUNTIFS(DATA_CHOP!$A:$A,B65,DATA_CHOP!$C:$C,$B$6,DATA_CHOP!$D:$D,$B$7))</f>
        <v/>
      </c>
      <c r="G65">
        <f>IF(F65=0,0,SUMIFS(DATA_CHOP!$E:$E,DATA_CHOP!$A:$A,B65,DATA_CHOP!$C:$C,$B$6,DATA_CHOP!$D:$D,$B$7))</f>
        <v/>
      </c>
      <c r="H65">
        <f>IF(F65=0,0,SUMIFS(DATA_CHOP!$F:$F,DATA_CHOP!$A:$A,B65,DATA_CHOP!$C:$C,$B$6,DATA_CHOP!$D:$D,$B$7))</f>
        <v/>
      </c>
      <c r="I65">
        <f>IF(F65=0,0,SUMIFS(DATA_CHOP!$H:$H,DATA_CHOP!$A:$A,B65,DATA_CHOP!$C:$C,$B$6,DATA_CHOP!$D:$D,$B$7))</f>
        <v/>
      </c>
      <c r="J65">
        <f>G65+H65</f>
        <v/>
      </c>
      <c r="K65">
        <f>J65+I65</f>
        <v/>
      </c>
      <c r="L65">
        <f>IF(F65=0,0,SUMIFS(DATA_CHOP!$J:$J,DATA_CHOP!$A:$A,B65,DATA_CHOP!$C:$C,$B$6,DATA_CHOP!$D:$D,$B$7))</f>
        <v/>
      </c>
      <c r="M65">
        <f>IF(F65=0,0,SUMIFS(DATA_CHOP!$K:$K,DATA_CHOP!$A:$A,B65,DATA_CHOP!$C:$C,$B$6,DATA_CHOP!$D:$D,$B$7))</f>
        <v/>
      </c>
      <c r="N65">
        <f>IF(B65="",0,IF($B$3="Zone",IF(AND($B$17,NOT($B$18)),1,0),MAX(0,SUMIFS(DATA_SERVICE_AREAS!$G:$G,DATA_SERVICE_AREAS!$A:$A,B65,DATA_SERVICE_AREAS!$C:$C,"CHOP",DATA_SERVICE_AREAS!$D:$D,$B$6)-COUNTIFS(MASTER_ZONES!$C:$C,$B$6,MASTER_ZONES!$I:$I,"Y",MASTER_ZONES!$D:$D,"Y"))))</f>
        <v/>
      </c>
      <c r="O65">
        <f>IF(B65="",0,IF($B$3="Zone",IF(AND($B$17,NOT($B$18),F65&gt;0),1,0),MAX(0,SUMIFS(DATA_SERVICE_AREAS!$F:$F,DATA_SERVICE_AREAS!$A:$A,B65,DATA_SERVICE_AREAS!$C:$C,"CHOP",DATA_SERVICE_AREAS!$D:$D,$B$6)-COUNTIFS(DATA_COMMUNITY!$A:$A,B65,DATA_COMMUNITY!$D:$D,"CHOP",DATA_COMMUNITY!$E:$E,$B$6))))</f>
        <v/>
      </c>
      <c r="P65">
        <f>MAX(0,N65-O65)</f>
        <v/>
      </c>
      <c r="Q65">
        <f>IF(N65=0,0,O65/N65)</f>
        <v/>
      </c>
      <c r="R65">
        <f>IF(O65=0,0,K65/O65)</f>
        <v/>
      </c>
      <c r="S65">
        <f>IF(OR(F65&gt;0,N65&gt;0),1,0)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  <c r="AA65">
        <f>IFERROR(INDEX(MASTER_AREAS!$B:$B,64)&amp;"","")</f>
        <v/>
      </c>
      <c r="AB65">
        <f>IF(OR(AA65="",$B$10=0),0,COUNTIFS(DATA_CHOP!$A:$A,$B$10,DATA_CHOP!$C:$C,AA65))</f>
        <v/>
      </c>
      <c r="AC65">
        <f>IF(AB65=0,0,SUMIFS(DATA_CHOP!$I:$I,DATA_CHOP!$A:$A,$B$10,DATA_CHOP!$C:$C,AA65))</f>
        <v/>
      </c>
      <c r="AD65">
        <f>IF(OR(AA65="",$B$10=0),0,SUMIFS(DATA_CHOP!$I:$I,DATA_CHOP!$A:$A,$B$10-7,DATA_CHOP!$C:$C,AA65))</f>
        <v/>
      </c>
      <c r="AE65">
        <f>IF(OR(AA65="",$B$10=0),0,MAX(0,SUMIFS(DATA_SERVICE_AREAS!$G:$G,DATA_SERVICE_AREAS!$A:$A,$B$10,DATA_SERVICE_AREAS!$C:$C,"CHOP",DATA_SERVICE_AREAS!$D:$D,AA65)-COUNTIFS(MASTER_ZONES!$C:$C,AA65,MASTER_ZONES!$I:$I,"Y",MASTER_ZONES!$D:$D,"Y")))</f>
        <v/>
      </c>
      <c r="AF65">
        <f>IF(OR(AA65="",$B$10=0),0,MAX(0,SUMIFS(DATA_SERVICE_AREAS!$F:$F,DATA_SERVICE_AREAS!$A:$A,$B$10,DATA_SERVICE_AREAS!$C:$C,"CHOP",DATA_SERVICE_AREAS!$D:$D,AA65)-COUNTIFS(DATA_COMMUNITY!$A:$A,$B$10,DATA_COMMUNITY!$D:$D,"CHOP",DATA_COMMUNITY!$E:$E,AA65)))</f>
        <v/>
      </c>
      <c r="AG65">
        <f>IF(AE65=0,"",MIN(1,AF65/AE65))</f>
        <v/>
      </c>
      <c r="AH65">
        <f>IF(OR(AB65=0,AD65=0),"",AC65/AD65-1)</f>
        <v/>
      </c>
      <c r="AI65">
        <f>IF(AB65=0,"",AC65+ROW()/1000000)</f>
        <v/>
      </c>
      <c r="AJ65">
        <f>IF(AG65="","",AG65+ROW()/1000000000)</f>
        <v/>
      </c>
      <c r="AK65">
        <f>IF(AH65="","",AH65+ROW()/1000000000)</f>
        <v/>
      </c>
      <c r="AL65">
        <f>MAX(0,AE65-AF65)</f>
        <v/>
      </c>
      <c r="AM65">
        <f>IF(AND(AL65&gt;0,OR($B$6="*",AA65=$B$6)),ROW(),"")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IF(B66="",0,COUNTIFS(DATA_CHOP!$A:$A,B66,DATA_CHOP!$C:$C,$B$6,DATA_CHOP!$D:$D,$B$7))</f>
        <v/>
      </c>
      <c r="G66">
        <f>IF(F66=0,0,SUMIFS(DATA_CHOP!$E:$E,DATA_CHOP!$A:$A,B66,DATA_CHOP!$C:$C,$B$6,DATA_CHOP!$D:$D,$B$7))</f>
        <v/>
      </c>
      <c r="H66">
        <f>IF(F66=0,0,SUMIFS(DATA_CHOP!$F:$F,DATA_CHOP!$A:$A,B66,DATA_CHOP!$C:$C,$B$6,DATA_CHOP!$D:$D,$B$7))</f>
        <v/>
      </c>
      <c r="I66">
        <f>IF(F66=0,0,SUMIFS(DATA_CHOP!$H:$H,DATA_CHOP!$A:$A,B66,DATA_CHOP!$C:$C,$B$6,DATA_CHOP!$D:$D,$B$7))</f>
        <v/>
      </c>
      <c r="J66">
        <f>G66+H66</f>
        <v/>
      </c>
      <c r="K66">
        <f>J66+I66</f>
        <v/>
      </c>
      <c r="L66">
        <f>IF(F66=0,0,SUMIFS(DATA_CHOP!$J:$J,DATA_CHOP!$A:$A,B66,DATA_CHOP!$C:$C,$B$6,DATA_CHOP!$D:$D,$B$7))</f>
        <v/>
      </c>
      <c r="M66">
        <f>IF(F66=0,0,SUMIFS(DATA_CHOP!$K:$K,DATA_CHOP!$A:$A,B66,DATA_CHOP!$C:$C,$B$6,DATA_CHOP!$D:$D,$B$7))</f>
        <v/>
      </c>
      <c r="N66">
        <f>IF(B66="",0,IF($B$3="Zone",IF(AND($B$17,NOT($B$18)),1,0),MAX(0,SUMIFS(DATA_SERVICE_AREAS!$G:$G,DATA_SERVICE_AREAS!$A:$A,B66,DATA_SERVICE_AREAS!$C:$C,"CHOP",DATA_SERVICE_AREAS!$D:$D,$B$6)-COUNTIFS(MASTER_ZONES!$C:$C,$B$6,MASTER_ZONES!$I:$I,"Y",MASTER_ZONES!$D:$D,"Y"))))</f>
        <v/>
      </c>
      <c r="O66">
        <f>IF(B66="",0,IF($B$3="Zone",IF(AND($B$17,NOT($B$18),F66&gt;0),1,0),MAX(0,SUMIFS(DATA_SERVICE_AREAS!$F:$F,DATA_SERVICE_AREAS!$A:$A,B66,DATA_SERVICE_AREAS!$C:$C,"CHOP",DATA_SERVICE_AREAS!$D:$D,$B$6)-COUNTIFS(DATA_COMMUNITY!$A:$A,B66,DATA_COMMUNITY!$D:$D,"CHOP",DATA_COMMUNITY!$E:$E,$B$6))))</f>
        <v/>
      </c>
      <c r="P66">
        <f>MAX(0,N66-O66)</f>
        <v/>
      </c>
      <c r="Q66">
        <f>IF(N66=0,0,O66/N66)</f>
        <v/>
      </c>
      <c r="R66">
        <f>IF(O66=0,0,K66/O66)</f>
        <v/>
      </c>
      <c r="S66">
        <f>IF(OR(F66&gt;0,N66&gt;0),1,0)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  <c r="AA66">
        <f>IFERROR(INDEX(MASTER_AREAS!$B:$B,65)&amp;"","")</f>
        <v/>
      </c>
      <c r="AB66">
        <f>IF(OR(AA66="",$B$10=0),0,COUNTIFS(DATA_CHOP!$A:$A,$B$10,DATA_CHOP!$C:$C,AA66))</f>
        <v/>
      </c>
      <c r="AC66">
        <f>IF(AB66=0,0,SUMIFS(DATA_CHOP!$I:$I,DATA_CHOP!$A:$A,$B$10,DATA_CHOP!$C:$C,AA66))</f>
        <v/>
      </c>
      <c r="AD66">
        <f>IF(OR(AA66="",$B$10=0),0,SUMIFS(DATA_CHOP!$I:$I,DATA_CHOP!$A:$A,$B$10-7,DATA_CHOP!$C:$C,AA66))</f>
        <v/>
      </c>
      <c r="AE66">
        <f>IF(OR(AA66="",$B$10=0),0,MAX(0,SUMIFS(DATA_SERVICE_AREAS!$G:$G,DATA_SERVICE_AREAS!$A:$A,$B$10,DATA_SERVICE_AREAS!$C:$C,"CHOP",DATA_SERVICE_AREAS!$D:$D,AA66)-COUNTIFS(MASTER_ZONES!$C:$C,AA66,MASTER_ZONES!$I:$I,"Y",MASTER_ZONES!$D:$D,"Y")))</f>
        <v/>
      </c>
      <c r="AF66">
        <f>IF(OR(AA66="",$B$10=0),0,MAX(0,SUMIFS(DATA_SERVICE_AREAS!$F:$F,DATA_SERVICE_AREAS!$A:$A,$B$10,DATA_SERVICE_AREAS!$C:$C,"CHOP",DATA_SERVICE_AREAS!$D:$D,AA66)-COUNTIFS(DATA_COMMUNITY!$A:$A,$B$10,DATA_COMMUNITY!$D:$D,"CHOP",DATA_COMMUNITY!$E:$E,AA66)))</f>
        <v/>
      </c>
      <c r="AG66">
        <f>IF(AE66=0,"",MIN(1,AF66/AE66))</f>
        <v/>
      </c>
      <c r="AH66">
        <f>IF(OR(AB66=0,AD66=0),"",AC66/AD66-1)</f>
        <v/>
      </c>
      <c r="AI66">
        <f>IF(AB66=0,"",AC66+ROW()/1000000)</f>
        <v/>
      </c>
      <c r="AJ66">
        <f>IF(AG66="","",AG66+ROW()/1000000000)</f>
        <v/>
      </c>
      <c r="AK66">
        <f>IF(AH66="","",AH66+ROW()/1000000000)</f>
        <v/>
      </c>
      <c r="AL66">
        <f>MAX(0,AE66-AF66)</f>
        <v/>
      </c>
      <c r="AM66">
        <f>IF(AND(AL66&gt;0,OR($B$6="*",AA66=$B$6)),ROW(),"")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IF(B67="",0,COUNTIFS(DATA_CHOP!$A:$A,B67,DATA_CHOP!$C:$C,$B$6,DATA_CHOP!$D:$D,$B$7))</f>
        <v/>
      </c>
      <c r="G67">
        <f>IF(F67=0,0,SUMIFS(DATA_CHOP!$E:$E,DATA_CHOP!$A:$A,B67,DATA_CHOP!$C:$C,$B$6,DATA_CHOP!$D:$D,$B$7))</f>
        <v/>
      </c>
      <c r="H67">
        <f>IF(F67=0,0,SUMIFS(DATA_CHOP!$F:$F,DATA_CHOP!$A:$A,B67,DATA_CHOP!$C:$C,$B$6,DATA_CHOP!$D:$D,$B$7))</f>
        <v/>
      </c>
      <c r="I67">
        <f>IF(F67=0,0,SUMIFS(DATA_CHOP!$H:$H,DATA_CHOP!$A:$A,B67,DATA_CHOP!$C:$C,$B$6,DATA_CHOP!$D:$D,$B$7))</f>
        <v/>
      </c>
      <c r="J67">
        <f>G67+H67</f>
        <v/>
      </c>
      <c r="K67">
        <f>J67+I67</f>
        <v/>
      </c>
      <c r="L67">
        <f>IF(F67=0,0,SUMIFS(DATA_CHOP!$J:$J,DATA_CHOP!$A:$A,B67,DATA_CHOP!$C:$C,$B$6,DATA_CHOP!$D:$D,$B$7))</f>
        <v/>
      </c>
      <c r="M67">
        <f>IF(F67=0,0,SUMIFS(DATA_CHOP!$K:$K,DATA_CHOP!$A:$A,B67,DATA_CHOP!$C:$C,$B$6,DATA_CHOP!$D:$D,$B$7))</f>
        <v/>
      </c>
      <c r="N67">
        <f>IF(B67="",0,IF($B$3="Zone",IF(AND($B$17,NOT($B$18)),1,0),MAX(0,SUMIFS(DATA_SERVICE_AREAS!$G:$G,DATA_SERVICE_AREAS!$A:$A,B67,DATA_SERVICE_AREAS!$C:$C,"CHOP",DATA_SERVICE_AREAS!$D:$D,$B$6)-COUNTIFS(MASTER_ZONES!$C:$C,$B$6,MASTER_ZONES!$I:$I,"Y",MASTER_ZONES!$D:$D,"Y"))))</f>
        <v/>
      </c>
      <c r="O67">
        <f>IF(B67="",0,IF($B$3="Zone",IF(AND($B$17,NOT($B$18),F67&gt;0),1,0),MAX(0,SUMIFS(DATA_SERVICE_AREAS!$F:$F,DATA_SERVICE_AREAS!$A:$A,B67,DATA_SERVICE_AREAS!$C:$C,"CHOP",DATA_SERVICE_AREAS!$D:$D,$B$6)-COUNTIFS(DATA_COMMUNITY!$A:$A,B67,DATA_COMMUNITY!$D:$D,"CHOP",DATA_COMMUNITY!$E:$E,$B$6))))</f>
        <v/>
      </c>
      <c r="P67">
        <f>MAX(0,N67-O67)</f>
        <v/>
      </c>
      <c r="Q67">
        <f>IF(N67=0,0,O67/N67)</f>
        <v/>
      </c>
      <c r="R67">
        <f>IF(O67=0,0,K67/O67)</f>
        <v/>
      </c>
      <c r="S67">
        <f>IF(OR(F67&gt;0,N67&gt;0),1,0)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  <c r="AA67">
        <f>IFERROR(INDEX(MASTER_AREAS!$B:$B,66)&amp;"","")</f>
        <v/>
      </c>
      <c r="AB67">
        <f>IF(OR(AA67="",$B$10=0),0,COUNTIFS(DATA_CHOP!$A:$A,$B$10,DATA_CHOP!$C:$C,AA67))</f>
        <v/>
      </c>
      <c r="AC67">
        <f>IF(AB67=0,0,SUMIFS(DATA_CHOP!$I:$I,DATA_CHOP!$A:$A,$B$10,DATA_CHOP!$C:$C,AA67))</f>
        <v/>
      </c>
      <c r="AD67">
        <f>IF(OR(AA67="",$B$10=0),0,SUMIFS(DATA_CHOP!$I:$I,DATA_CHOP!$A:$A,$B$10-7,DATA_CHOP!$C:$C,AA67))</f>
        <v/>
      </c>
      <c r="AE67">
        <f>IF(OR(AA67="",$B$10=0),0,MAX(0,SUMIFS(DATA_SERVICE_AREAS!$G:$G,DATA_SERVICE_AREAS!$A:$A,$B$10,DATA_SERVICE_AREAS!$C:$C,"CHOP",DATA_SERVICE_AREAS!$D:$D,AA67)-COUNTIFS(MASTER_ZONES!$C:$C,AA67,MASTER_ZONES!$I:$I,"Y",MASTER_ZONES!$D:$D,"Y")))</f>
        <v/>
      </c>
      <c r="AF67">
        <f>IF(OR(AA67="",$B$10=0),0,MAX(0,SUMIFS(DATA_SERVICE_AREAS!$F:$F,DATA_SERVICE_AREAS!$A:$A,$B$10,DATA_SERVICE_AREAS!$C:$C,"CHOP",DATA_SERVICE_AREAS!$D:$D,AA67)-COUNTIFS(DATA_COMMUNITY!$A:$A,$B$10,DATA_COMMUNITY!$D:$D,"CHOP",DATA_COMMUNITY!$E:$E,AA67)))</f>
        <v/>
      </c>
      <c r="AG67">
        <f>IF(AE67=0,"",MIN(1,AF67/AE67))</f>
        <v/>
      </c>
      <c r="AH67">
        <f>IF(OR(AB67=0,AD67=0),"",AC67/AD67-1)</f>
        <v/>
      </c>
      <c r="AI67">
        <f>IF(AB67=0,"",AC67+ROW()/1000000)</f>
        <v/>
      </c>
      <c r="AJ67">
        <f>IF(AG67="","",AG67+ROW()/1000000000)</f>
        <v/>
      </c>
      <c r="AK67">
        <f>IF(AH67="","",AH67+ROW()/1000000000)</f>
        <v/>
      </c>
      <c r="AL67">
        <f>MAX(0,AE67-AF67)</f>
        <v/>
      </c>
      <c r="AM67">
        <f>IF(AND(AL67&gt;0,OR($B$6="*",AA67=$B$6)),ROW(),"")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IF(B68="",0,COUNTIFS(DATA_CHOP!$A:$A,B68,DATA_CHOP!$C:$C,$B$6,DATA_CHOP!$D:$D,$B$7))</f>
        <v/>
      </c>
      <c r="G68">
        <f>IF(F68=0,0,SUMIFS(DATA_CHOP!$E:$E,DATA_CHOP!$A:$A,B68,DATA_CHOP!$C:$C,$B$6,DATA_CHOP!$D:$D,$B$7))</f>
        <v/>
      </c>
      <c r="H68">
        <f>IF(F68=0,0,SUMIFS(DATA_CHOP!$F:$F,DATA_CHOP!$A:$A,B68,DATA_CHOP!$C:$C,$B$6,DATA_CHOP!$D:$D,$B$7))</f>
        <v/>
      </c>
      <c r="I68">
        <f>IF(F68=0,0,SUMIFS(DATA_CHOP!$H:$H,DATA_CHOP!$A:$A,B68,DATA_CHOP!$C:$C,$B$6,DATA_CHOP!$D:$D,$B$7))</f>
        <v/>
      </c>
      <c r="J68">
        <f>G68+H68</f>
        <v/>
      </c>
      <c r="K68">
        <f>J68+I68</f>
        <v/>
      </c>
      <c r="L68">
        <f>IF(F68=0,0,SUMIFS(DATA_CHOP!$J:$J,DATA_CHOP!$A:$A,B68,DATA_CHOP!$C:$C,$B$6,DATA_CHOP!$D:$D,$B$7))</f>
        <v/>
      </c>
      <c r="M68">
        <f>IF(F68=0,0,SUMIFS(DATA_CHOP!$K:$K,DATA_CHOP!$A:$A,B68,DATA_CHOP!$C:$C,$B$6,DATA_CHOP!$D:$D,$B$7))</f>
        <v/>
      </c>
      <c r="N68">
        <f>IF(B68="",0,IF($B$3="Zone",IF(AND($B$17,NOT($B$18)),1,0),MAX(0,SUMIFS(DATA_SERVICE_AREAS!$G:$G,DATA_SERVICE_AREAS!$A:$A,B68,DATA_SERVICE_AREAS!$C:$C,"CHOP",DATA_SERVICE_AREAS!$D:$D,$B$6)-COUNTIFS(MASTER_ZONES!$C:$C,$B$6,MASTER_ZONES!$I:$I,"Y",MASTER_ZONES!$D:$D,"Y"))))</f>
        <v/>
      </c>
      <c r="O68">
        <f>IF(B68="",0,IF($B$3="Zone",IF(AND($B$17,NOT($B$18),F68&gt;0),1,0),MAX(0,SUMIFS(DATA_SERVICE_AREAS!$F:$F,DATA_SERVICE_AREAS!$A:$A,B68,DATA_SERVICE_AREAS!$C:$C,"CHOP",DATA_SERVICE_AREAS!$D:$D,$B$6)-COUNTIFS(DATA_COMMUNITY!$A:$A,B68,DATA_COMMUNITY!$D:$D,"CHOP",DATA_COMMUNITY!$E:$E,$B$6))))</f>
        <v/>
      </c>
      <c r="P68">
        <f>MAX(0,N68-O68)</f>
        <v/>
      </c>
      <c r="Q68">
        <f>IF(N68=0,0,O68/N68)</f>
        <v/>
      </c>
      <c r="R68">
        <f>IF(O68=0,0,K68/O68)</f>
        <v/>
      </c>
      <c r="S68">
        <f>IF(OR(F68&gt;0,N68&gt;0),1,0)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  <c r="AA68">
        <f>IFERROR(INDEX(MASTER_AREAS!$B:$B,67)&amp;"","")</f>
        <v/>
      </c>
      <c r="AB68">
        <f>IF(OR(AA68="",$B$10=0),0,COUNTIFS(DATA_CHOP!$A:$A,$B$10,DATA_CHOP!$C:$C,AA68))</f>
        <v/>
      </c>
      <c r="AC68">
        <f>IF(AB68=0,0,SUMIFS(DATA_CHOP!$I:$I,DATA_CHOP!$A:$A,$B$10,DATA_CHOP!$C:$C,AA68))</f>
        <v/>
      </c>
      <c r="AD68">
        <f>IF(OR(AA68="",$B$10=0),0,SUMIFS(DATA_CHOP!$I:$I,DATA_CHOP!$A:$A,$B$10-7,DATA_CHOP!$C:$C,AA68))</f>
        <v/>
      </c>
      <c r="AE68">
        <f>IF(OR(AA68="",$B$10=0),0,MAX(0,SUMIFS(DATA_SERVICE_AREAS!$G:$G,DATA_SERVICE_AREAS!$A:$A,$B$10,DATA_SERVICE_AREAS!$C:$C,"CHOP",DATA_SERVICE_AREAS!$D:$D,AA68)-COUNTIFS(MASTER_ZONES!$C:$C,AA68,MASTER_ZONES!$I:$I,"Y",MASTER_ZONES!$D:$D,"Y")))</f>
        <v/>
      </c>
      <c r="AF68">
        <f>IF(OR(AA68="",$B$10=0),0,MAX(0,SUMIFS(DATA_SERVICE_AREAS!$F:$F,DATA_SERVICE_AREAS!$A:$A,$B$10,DATA_SERVICE_AREAS!$C:$C,"CHOP",DATA_SERVICE_AREAS!$D:$D,AA68)-COUNTIFS(DATA_COMMUNITY!$A:$A,$B$10,DATA_COMMUNITY!$D:$D,"CHOP",DATA_COMMUNITY!$E:$E,AA68)))</f>
        <v/>
      </c>
      <c r="AG68">
        <f>IF(AE68=0,"",MIN(1,AF68/AE68))</f>
        <v/>
      </c>
      <c r="AH68">
        <f>IF(OR(AB68=0,AD68=0),"",AC68/AD68-1)</f>
        <v/>
      </c>
      <c r="AI68">
        <f>IF(AB68=0,"",AC68+ROW()/1000000)</f>
        <v/>
      </c>
      <c r="AJ68">
        <f>IF(AG68="","",AG68+ROW()/1000000000)</f>
        <v/>
      </c>
      <c r="AK68">
        <f>IF(AH68="","",AH68+ROW()/1000000000)</f>
        <v/>
      </c>
      <c r="AL68">
        <f>MAX(0,AE68-AF68)</f>
        <v/>
      </c>
      <c r="AM68">
        <f>IF(AND(AL68&gt;0,OR($B$6="*",AA68=$B$6)),ROW(),"")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IF(B69="",0,COUNTIFS(DATA_CHOP!$A:$A,B69,DATA_CHOP!$C:$C,$B$6,DATA_CHOP!$D:$D,$B$7))</f>
        <v/>
      </c>
      <c r="G69">
        <f>IF(F69=0,0,SUMIFS(DATA_CHOP!$E:$E,DATA_CHOP!$A:$A,B69,DATA_CHOP!$C:$C,$B$6,DATA_CHOP!$D:$D,$B$7))</f>
        <v/>
      </c>
      <c r="H69">
        <f>IF(F69=0,0,SUMIFS(DATA_CHOP!$F:$F,DATA_CHOP!$A:$A,B69,DATA_CHOP!$C:$C,$B$6,DATA_CHOP!$D:$D,$B$7))</f>
        <v/>
      </c>
      <c r="I69">
        <f>IF(F69=0,0,SUMIFS(DATA_CHOP!$H:$H,DATA_CHOP!$A:$A,B69,DATA_CHOP!$C:$C,$B$6,DATA_CHOP!$D:$D,$B$7))</f>
        <v/>
      </c>
      <c r="J69">
        <f>G69+H69</f>
        <v/>
      </c>
      <c r="K69">
        <f>J69+I69</f>
        <v/>
      </c>
      <c r="L69">
        <f>IF(F69=0,0,SUMIFS(DATA_CHOP!$J:$J,DATA_CHOP!$A:$A,B69,DATA_CHOP!$C:$C,$B$6,DATA_CHOP!$D:$D,$B$7))</f>
        <v/>
      </c>
      <c r="M69">
        <f>IF(F69=0,0,SUMIFS(DATA_CHOP!$K:$K,DATA_CHOP!$A:$A,B69,DATA_CHOP!$C:$C,$B$6,DATA_CHOP!$D:$D,$B$7))</f>
        <v/>
      </c>
      <c r="N69">
        <f>IF(B69="",0,IF($B$3="Zone",IF(AND($B$17,NOT($B$18)),1,0),MAX(0,SUMIFS(DATA_SERVICE_AREAS!$G:$G,DATA_SERVICE_AREAS!$A:$A,B69,DATA_SERVICE_AREAS!$C:$C,"CHOP",DATA_SERVICE_AREAS!$D:$D,$B$6)-COUNTIFS(MASTER_ZONES!$C:$C,$B$6,MASTER_ZONES!$I:$I,"Y",MASTER_ZONES!$D:$D,"Y"))))</f>
        <v/>
      </c>
      <c r="O69">
        <f>IF(B69="",0,IF($B$3="Zone",IF(AND($B$17,NOT($B$18),F69&gt;0),1,0),MAX(0,SUMIFS(DATA_SERVICE_AREAS!$F:$F,DATA_SERVICE_AREAS!$A:$A,B69,DATA_SERVICE_AREAS!$C:$C,"CHOP",DATA_SERVICE_AREAS!$D:$D,$B$6)-COUNTIFS(DATA_COMMUNITY!$A:$A,B69,DATA_COMMUNITY!$D:$D,"CHOP",DATA_COMMUNITY!$E:$E,$B$6))))</f>
        <v/>
      </c>
      <c r="P69">
        <f>MAX(0,N69-O69)</f>
        <v/>
      </c>
      <c r="Q69">
        <f>IF(N69=0,0,O69/N69)</f>
        <v/>
      </c>
      <c r="R69">
        <f>IF(O69=0,0,K69/O69)</f>
        <v/>
      </c>
      <c r="S69">
        <f>IF(OR(F69&gt;0,N69&gt;0),1,0)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  <c r="AA69">
        <f>IFERROR(INDEX(MASTER_AREAS!$B:$B,68)&amp;"","")</f>
        <v/>
      </c>
      <c r="AB69">
        <f>IF(OR(AA69="",$B$10=0),0,COUNTIFS(DATA_CHOP!$A:$A,$B$10,DATA_CHOP!$C:$C,AA69))</f>
        <v/>
      </c>
      <c r="AC69">
        <f>IF(AB69=0,0,SUMIFS(DATA_CHOP!$I:$I,DATA_CHOP!$A:$A,$B$10,DATA_CHOP!$C:$C,AA69))</f>
        <v/>
      </c>
      <c r="AD69">
        <f>IF(OR(AA69="",$B$10=0),0,SUMIFS(DATA_CHOP!$I:$I,DATA_CHOP!$A:$A,$B$10-7,DATA_CHOP!$C:$C,AA69))</f>
        <v/>
      </c>
      <c r="AE69">
        <f>IF(OR(AA69="",$B$10=0),0,MAX(0,SUMIFS(DATA_SERVICE_AREAS!$G:$G,DATA_SERVICE_AREAS!$A:$A,$B$10,DATA_SERVICE_AREAS!$C:$C,"CHOP",DATA_SERVICE_AREAS!$D:$D,AA69)-COUNTIFS(MASTER_ZONES!$C:$C,AA69,MASTER_ZONES!$I:$I,"Y",MASTER_ZONES!$D:$D,"Y")))</f>
        <v/>
      </c>
      <c r="AF69">
        <f>IF(OR(AA69="",$B$10=0),0,MAX(0,SUMIFS(DATA_SERVICE_AREAS!$F:$F,DATA_SERVICE_AREAS!$A:$A,$B$10,DATA_SERVICE_AREAS!$C:$C,"CHOP",DATA_SERVICE_AREAS!$D:$D,AA69)-COUNTIFS(DATA_COMMUNITY!$A:$A,$B$10,DATA_COMMUNITY!$D:$D,"CHOP",DATA_COMMUNITY!$E:$E,AA69)))</f>
        <v/>
      </c>
      <c r="AG69">
        <f>IF(AE69=0,"",MIN(1,AF69/AE69))</f>
        <v/>
      </c>
      <c r="AH69">
        <f>IF(OR(AB69=0,AD69=0),"",AC69/AD69-1)</f>
        <v/>
      </c>
      <c r="AI69">
        <f>IF(AB69=0,"",AC69+ROW()/1000000)</f>
        <v/>
      </c>
      <c r="AJ69">
        <f>IF(AG69="","",AG69+ROW()/1000000000)</f>
        <v/>
      </c>
      <c r="AK69">
        <f>IF(AH69="","",AH69+ROW()/1000000000)</f>
        <v/>
      </c>
      <c r="AL69">
        <f>MAX(0,AE69-AF69)</f>
        <v/>
      </c>
      <c r="AM69">
        <f>IF(AND(AL69&gt;0,OR($B$6="*",AA69=$B$6)),ROW(),"")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IF(B70="",0,COUNTIFS(DATA_CHOP!$A:$A,B70,DATA_CHOP!$C:$C,$B$6,DATA_CHOP!$D:$D,$B$7))</f>
        <v/>
      </c>
      <c r="G70">
        <f>IF(F70=0,0,SUMIFS(DATA_CHOP!$E:$E,DATA_CHOP!$A:$A,B70,DATA_CHOP!$C:$C,$B$6,DATA_CHOP!$D:$D,$B$7))</f>
        <v/>
      </c>
      <c r="H70">
        <f>IF(F70=0,0,SUMIFS(DATA_CHOP!$F:$F,DATA_CHOP!$A:$A,B70,DATA_CHOP!$C:$C,$B$6,DATA_CHOP!$D:$D,$B$7))</f>
        <v/>
      </c>
      <c r="I70">
        <f>IF(F70=0,0,SUMIFS(DATA_CHOP!$H:$H,DATA_CHOP!$A:$A,B70,DATA_CHOP!$C:$C,$B$6,DATA_CHOP!$D:$D,$B$7))</f>
        <v/>
      </c>
      <c r="J70">
        <f>G70+H70</f>
        <v/>
      </c>
      <c r="K70">
        <f>J70+I70</f>
        <v/>
      </c>
      <c r="L70">
        <f>IF(F70=0,0,SUMIFS(DATA_CHOP!$J:$J,DATA_CHOP!$A:$A,B70,DATA_CHOP!$C:$C,$B$6,DATA_CHOP!$D:$D,$B$7))</f>
        <v/>
      </c>
      <c r="M70">
        <f>IF(F70=0,0,SUMIFS(DATA_CHOP!$K:$K,DATA_CHOP!$A:$A,B70,DATA_CHOP!$C:$C,$B$6,DATA_CHOP!$D:$D,$B$7))</f>
        <v/>
      </c>
      <c r="N70">
        <f>IF(B70="",0,IF($B$3="Zone",IF(AND($B$17,NOT($B$18)),1,0),MAX(0,SUMIFS(DATA_SERVICE_AREAS!$G:$G,DATA_SERVICE_AREAS!$A:$A,B70,DATA_SERVICE_AREAS!$C:$C,"CHOP",DATA_SERVICE_AREAS!$D:$D,$B$6)-COUNTIFS(MASTER_ZONES!$C:$C,$B$6,MASTER_ZONES!$I:$I,"Y",MASTER_ZONES!$D:$D,"Y"))))</f>
        <v/>
      </c>
      <c r="O70">
        <f>IF(B70="",0,IF($B$3="Zone",IF(AND($B$17,NOT($B$18),F70&gt;0),1,0),MAX(0,SUMIFS(DATA_SERVICE_AREAS!$F:$F,DATA_SERVICE_AREAS!$A:$A,B70,DATA_SERVICE_AREAS!$C:$C,"CHOP",DATA_SERVICE_AREAS!$D:$D,$B$6)-COUNTIFS(DATA_COMMUNITY!$A:$A,B70,DATA_COMMUNITY!$D:$D,"CHOP",DATA_COMMUNITY!$E:$E,$B$6))))</f>
        <v/>
      </c>
      <c r="P70">
        <f>MAX(0,N70-O70)</f>
        <v/>
      </c>
      <c r="Q70">
        <f>IF(N70=0,0,O70/N70)</f>
        <v/>
      </c>
      <c r="R70">
        <f>IF(O70=0,0,K70/O70)</f>
        <v/>
      </c>
      <c r="S70">
        <f>IF(OR(F70&gt;0,N70&gt;0),1,0)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  <c r="AA70">
        <f>IFERROR(INDEX(MASTER_AREAS!$B:$B,69)&amp;"","")</f>
        <v/>
      </c>
      <c r="AB70">
        <f>IF(OR(AA70="",$B$10=0),0,COUNTIFS(DATA_CHOP!$A:$A,$B$10,DATA_CHOP!$C:$C,AA70))</f>
        <v/>
      </c>
      <c r="AC70">
        <f>IF(AB70=0,0,SUMIFS(DATA_CHOP!$I:$I,DATA_CHOP!$A:$A,$B$10,DATA_CHOP!$C:$C,AA70))</f>
        <v/>
      </c>
      <c r="AD70">
        <f>IF(OR(AA70="",$B$10=0),0,SUMIFS(DATA_CHOP!$I:$I,DATA_CHOP!$A:$A,$B$10-7,DATA_CHOP!$C:$C,AA70))</f>
        <v/>
      </c>
      <c r="AE70">
        <f>IF(OR(AA70="",$B$10=0),0,MAX(0,SUMIFS(DATA_SERVICE_AREAS!$G:$G,DATA_SERVICE_AREAS!$A:$A,$B$10,DATA_SERVICE_AREAS!$C:$C,"CHOP",DATA_SERVICE_AREAS!$D:$D,AA70)-COUNTIFS(MASTER_ZONES!$C:$C,AA70,MASTER_ZONES!$I:$I,"Y",MASTER_ZONES!$D:$D,"Y")))</f>
        <v/>
      </c>
      <c r="AF70">
        <f>IF(OR(AA70="",$B$10=0),0,MAX(0,SUMIFS(DATA_SERVICE_AREAS!$F:$F,DATA_SERVICE_AREAS!$A:$A,$B$10,DATA_SERVICE_AREAS!$C:$C,"CHOP",DATA_SERVICE_AREAS!$D:$D,AA70)-COUNTIFS(DATA_COMMUNITY!$A:$A,$B$10,DATA_COMMUNITY!$D:$D,"CHOP",DATA_COMMUNITY!$E:$E,AA70)))</f>
        <v/>
      </c>
      <c r="AG70">
        <f>IF(AE70=0,"",MIN(1,AF70/AE70))</f>
        <v/>
      </c>
      <c r="AH70">
        <f>IF(OR(AB70=0,AD70=0),"",AC70/AD70-1)</f>
        <v/>
      </c>
      <c r="AI70">
        <f>IF(AB70=0,"",AC70+ROW()/1000000)</f>
        <v/>
      </c>
      <c r="AJ70">
        <f>IF(AG70="","",AG70+ROW()/1000000000)</f>
        <v/>
      </c>
      <c r="AK70">
        <f>IF(AH70="","",AH70+ROW()/1000000000)</f>
        <v/>
      </c>
      <c r="AL70">
        <f>MAX(0,AE70-AF70)</f>
        <v/>
      </c>
      <c r="AM70">
        <f>IF(AND(AL70&gt;0,OR($B$6="*",AA70=$B$6)),ROW(),"")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IF(B71="",0,COUNTIFS(DATA_CHOP!$A:$A,B71,DATA_CHOP!$C:$C,$B$6,DATA_CHOP!$D:$D,$B$7))</f>
        <v/>
      </c>
      <c r="G71">
        <f>IF(F71=0,0,SUMIFS(DATA_CHOP!$E:$E,DATA_CHOP!$A:$A,B71,DATA_CHOP!$C:$C,$B$6,DATA_CHOP!$D:$D,$B$7))</f>
        <v/>
      </c>
      <c r="H71">
        <f>IF(F71=0,0,SUMIFS(DATA_CHOP!$F:$F,DATA_CHOP!$A:$A,B71,DATA_CHOP!$C:$C,$B$6,DATA_CHOP!$D:$D,$B$7))</f>
        <v/>
      </c>
      <c r="I71">
        <f>IF(F71=0,0,SUMIFS(DATA_CHOP!$H:$H,DATA_CHOP!$A:$A,B71,DATA_CHOP!$C:$C,$B$6,DATA_CHOP!$D:$D,$B$7))</f>
        <v/>
      </c>
      <c r="J71">
        <f>G71+H71</f>
        <v/>
      </c>
      <c r="K71">
        <f>J71+I71</f>
        <v/>
      </c>
      <c r="L71">
        <f>IF(F71=0,0,SUMIFS(DATA_CHOP!$J:$J,DATA_CHOP!$A:$A,B71,DATA_CHOP!$C:$C,$B$6,DATA_CHOP!$D:$D,$B$7))</f>
        <v/>
      </c>
      <c r="M71">
        <f>IF(F71=0,0,SUMIFS(DATA_CHOP!$K:$K,DATA_CHOP!$A:$A,B71,DATA_CHOP!$C:$C,$B$6,DATA_CHOP!$D:$D,$B$7))</f>
        <v/>
      </c>
      <c r="N71">
        <f>IF(B71="",0,IF($B$3="Zone",IF(AND($B$17,NOT($B$18)),1,0),MAX(0,SUMIFS(DATA_SERVICE_AREAS!$G:$G,DATA_SERVICE_AREAS!$A:$A,B71,DATA_SERVICE_AREAS!$C:$C,"CHOP",DATA_SERVICE_AREAS!$D:$D,$B$6)-COUNTIFS(MASTER_ZONES!$C:$C,$B$6,MASTER_ZONES!$I:$I,"Y",MASTER_ZONES!$D:$D,"Y"))))</f>
        <v/>
      </c>
      <c r="O71">
        <f>IF(B71="",0,IF($B$3="Zone",IF(AND($B$17,NOT($B$18),F71&gt;0),1,0),MAX(0,SUMIFS(DATA_SERVICE_AREAS!$F:$F,DATA_SERVICE_AREAS!$A:$A,B71,DATA_SERVICE_AREAS!$C:$C,"CHOP",DATA_SERVICE_AREAS!$D:$D,$B$6)-COUNTIFS(DATA_COMMUNITY!$A:$A,B71,DATA_COMMUNITY!$D:$D,"CHOP",DATA_COMMUNITY!$E:$E,$B$6))))</f>
        <v/>
      </c>
      <c r="P71">
        <f>MAX(0,N71-O71)</f>
        <v/>
      </c>
      <c r="Q71">
        <f>IF(N71=0,0,O71/N71)</f>
        <v/>
      </c>
      <c r="R71">
        <f>IF(O71=0,0,K71/O71)</f>
        <v/>
      </c>
      <c r="S71">
        <f>IF(OR(F71&gt;0,N71&gt;0),1,0)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  <c r="AA71">
        <f>IFERROR(INDEX(MASTER_AREAS!$B:$B,70)&amp;"","")</f>
        <v/>
      </c>
      <c r="AB71">
        <f>IF(OR(AA71="",$B$10=0),0,COUNTIFS(DATA_CHOP!$A:$A,$B$10,DATA_CHOP!$C:$C,AA71))</f>
        <v/>
      </c>
      <c r="AC71">
        <f>IF(AB71=0,0,SUMIFS(DATA_CHOP!$I:$I,DATA_CHOP!$A:$A,$B$10,DATA_CHOP!$C:$C,AA71))</f>
        <v/>
      </c>
      <c r="AD71">
        <f>IF(OR(AA71="",$B$10=0),0,SUMIFS(DATA_CHOP!$I:$I,DATA_CHOP!$A:$A,$B$10-7,DATA_CHOP!$C:$C,AA71))</f>
        <v/>
      </c>
      <c r="AE71">
        <f>IF(OR(AA71="",$B$10=0),0,MAX(0,SUMIFS(DATA_SERVICE_AREAS!$G:$G,DATA_SERVICE_AREAS!$A:$A,$B$10,DATA_SERVICE_AREAS!$C:$C,"CHOP",DATA_SERVICE_AREAS!$D:$D,AA71)-COUNTIFS(MASTER_ZONES!$C:$C,AA71,MASTER_ZONES!$I:$I,"Y",MASTER_ZONES!$D:$D,"Y")))</f>
        <v/>
      </c>
      <c r="AF71">
        <f>IF(OR(AA71="",$B$10=0),0,MAX(0,SUMIFS(DATA_SERVICE_AREAS!$F:$F,DATA_SERVICE_AREAS!$A:$A,$B$10,DATA_SERVICE_AREAS!$C:$C,"CHOP",DATA_SERVICE_AREAS!$D:$D,AA71)-COUNTIFS(DATA_COMMUNITY!$A:$A,$B$10,DATA_COMMUNITY!$D:$D,"CHOP",DATA_COMMUNITY!$E:$E,AA71)))</f>
        <v/>
      </c>
      <c r="AG71">
        <f>IF(AE71=0,"",MIN(1,AF71/AE71))</f>
        <v/>
      </c>
      <c r="AH71">
        <f>IF(OR(AB71=0,AD71=0),"",AC71/AD71-1)</f>
        <v/>
      </c>
      <c r="AI71">
        <f>IF(AB71=0,"",AC71+ROW()/1000000)</f>
        <v/>
      </c>
      <c r="AJ71">
        <f>IF(AG71="","",AG71+ROW()/1000000000)</f>
        <v/>
      </c>
      <c r="AK71">
        <f>IF(AH71="","",AH71+ROW()/1000000000)</f>
        <v/>
      </c>
      <c r="AL71">
        <f>MAX(0,AE71-AF71)</f>
        <v/>
      </c>
      <c r="AM71">
        <f>IF(AND(AL71&gt;0,OR($B$6="*",AA71=$B$6)),ROW(),"")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IF(B72="",0,COUNTIFS(DATA_CHOP!$A:$A,B72,DATA_CHOP!$C:$C,$B$6,DATA_CHOP!$D:$D,$B$7))</f>
        <v/>
      </c>
      <c r="G72">
        <f>IF(F72=0,0,SUMIFS(DATA_CHOP!$E:$E,DATA_CHOP!$A:$A,B72,DATA_CHOP!$C:$C,$B$6,DATA_CHOP!$D:$D,$B$7))</f>
        <v/>
      </c>
      <c r="H72">
        <f>IF(F72=0,0,SUMIFS(DATA_CHOP!$F:$F,DATA_CHOP!$A:$A,B72,DATA_CHOP!$C:$C,$B$6,DATA_CHOP!$D:$D,$B$7))</f>
        <v/>
      </c>
      <c r="I72">
        <f>IF(F72=0,0,SUMIFS(DATA_CHOP!$H:$H,DATA_CHOP!$A:$A,B72,DATA_CHOP!$C:$C,$B$6,DATA_CHOP!$D:$D,$B$7))</f>
        <v/>
      </c>
      <c r="J72">
        <f>G72+H72</f>
        <v/>
      </c>
      <c r="K72">
        <f>J72+I72</f>
        <v/>
      </c>
      <c r="L72">
        <f>IF(F72=0,0,SUMIFS(DATA_CHOP!$J:$J,DATA_CHOP!$A:$A,B72,DATA_CHOP!$C:$C,$B$6,DATA_CHOP!$D:$D,$B$7))</f>
        <v/>
      </c>
      <c r="M72">
        <f>IF(F72=0,0,SUMIFS(DATA_CHOP!$K:$K,DATA_CHOP!$A:$A,B72,DATA_CHOP!$C:$C,$B$6,DATA_CHOP!$D:$D,$B$7))</f>
        <v/>
      </c>
      <c r="N72">
        <f>IF(B72="",0,IF($B$3="Zone",IF(AND($B$17,NOT($B$18)),1,0),MAX(0,SUMIFS(DATA_SERVICE_AREAS!$G:$G,DATA_SERVICE_AREAS!$A:$A,B72,DATA_SERVICE_AREAS!$C:$C,"CHOP",DATA_SERVICE_AREAS!$D:$D,$B$6)-COUNTIFS(MASTER_ZONES!$C:$C,$B$6,MASTER_ZONES!$I:$I,"Y",MASTER_ZONES!$D:$D,"Y"))))</f>
        <v/>
      </c>
      <c r="O72">
        <f>IF(B72="",0,IF($B$3="Zone",IF(AND($B$17,NOT($B$18),F72&gt;0),1,0),MAX(0,SUMIFS(DATA_SERVICE_AREAS!$F:$F,DATA_SERVICE_AREAS!$A:$A,B72,DATA_SERVICE_AREAS!$C:$C,"CHOP",DATA_SERVICE_AREAS!$D:$D,$B$6)-COUNTIFS(DATA_COMMUNITY!$A:$A,B72,DATA_COMMUNITY!$D:$D,"CHOP",DATA_COMMUNITY!$E:$E,$B$6))))</f>
        <v/>
      </c>
      <c r="P72">
        <f>MAX(0,N72-O72)</f>
        <v/>
      </c>
      <c r="Q72">
        <f>IF(N72=0,0,O72/N72)</f>
        <v/>
      </c>
      <c r="R72">
        <f>IF(O72=0,0,K72/O72)</f>
        <v/>
      </c>
      <c r="S72">
        <f>IF(OR(F72&gt;0,N72&gt;0),1,0)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  <c r="AA72">
        <f>IFERROR(INDEX(MASTER_AREAS!$B:$B,71)&amp;"","")</f>
        <v/>
      </c>
      <c r="AB72">
        <f>IF(OR(AA72="",$B$10=0),0,COUNTIFS(DATA_CHOP!$A:$A,$B$10,DATA_CHOP!$C:$C,AA72))</f>
        <v/>
      </c>
      <c r="AC72">
        <f>IF(AB72=0,0,SUMIFS(DATA_CHOP!$I:$I,DATA_CHOP!$A:$A,$B$10,DATA_CHOP!$C:$C,AA72))</f>
        <v/>
      </c>
      <c r="AD72">
        <f>IF(OR(AA72="",$B$10=0),0,SUMIFS(DATA_CHOP!$I:$I,DATA_CHOP!$A:$A,$B$10-7,DATA_CHOP!$C:$C,AA72))</f>
        <v/>
      </c>
      <c r="AE72">
        <f>IF(OR(AA72="",$B$10=0),0,MAX(0,SUMIFS(DATA_SERVICE_AREAS!$G:$G,DATA_SERVICE_AREAS!$A:$A,$B$10,DATA_SERVICE_AREAS!$C:$C,"CHOP",DATA_SERVICE_AREAS!$D:$D,AA72)-COUNTIFS(MASTER_ZONES!$C:$C,AA72,MASTER_ZONES!$I:$I,"Y",MASTER_ZONES!$D:$D,"Y")))</f>
        <v/>
      </c>
      <c r="AF72">
        <f>IF(OR(AA72="",$B$10=0),0,MAX(0,SUMIFS(DATA_SERVICE_AREAS!$F:$F,DATA_SERVICE_AREAS!$A:$A,$B$10,DATA_SERVICE_AREAS!$C:$C,"CHOP",DATA_SERVICE_AREAS!$D:$D,AA72)-COUNTIFS(DATA_COMMUNITY!$A:$A,$B$10,DATA_COMMUNITY!$D:$D,"CHOP",DATA_COMMUNITY!$E:$E,AA72)))</f>
        <v/>
      </c>
      <c r="AG72">
        <f>IF(AE72=0,"",MIN(1,AF72/AE72))</f>
        <v/>
      </c>
      <c r="AH72">
        <f>IF(OR(AB72=0,AD72=0),"",AC72/AD72-1)</f>
        <v/>
      </c>
      <c r="AI72">
        <f>IF(AB72=0,"",AC72+ROW()/1000000)</f>
        <v/>
      </c>
      <c r="AJ72">
        <f>IF(AG72="","",AG72+ROW()/1000000000)</f>
        <v/>
      </c>
      <c r="AK72">
        <f>IF(AH72="","",AH72+ROW()/1000000000)</f>
        <v/>
      </c>
      <c r="AL72">
        <f>MAX(0,AE72-AF72)</f>
        <v/>
      </c>
      <c r="AM72">
        <f>IF(AND(AL72&gt;0,OR($B$6="*",AA72=$B$6)),ROW(),"")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IF(B73="",0,COUNTIFS(DATA_CHOP!$A:$A,B73,DATA_CHOP!$C:$C,$B$6,DATA_CHOP!$D:$D,$B$7))</f>
        <v/>
      </c>
      <c r="G73">
        <f>IF(F73=0,0,SUMIFS(DATA_CHOP!$E:$E,DATA_CHOP!$A:$A,B73,DATA_CHOP!$C:$C,$B$6,DATA_CHOP!$D:$D,$B$7))</f>
        <v/>
      </c>
      <c r="H73">
        <f>IF(F73=0,0,SUMIFS(DATA_CHOP!$F:$F,DATA_CHOP!$A:$A,B73,DATA_CHOP!$C:$C,$B$6,DATA_CHOP!$D:$D,$B$7))</f>
        <v/>
      </c>
      <c r="I73">
        <f>IF(F73=0,0,SUMIFS(DATA_CHOP!$H:$H,DATA_CHOP!$A:$A,B73,DATA_CHOP!$C:$C,$B$6,DATA_CHOP!$D:$D,$B$7))</f>
        <v/>
      </c>
      <c r="J73">
        <f>G73+H73</f>
        <v/>
      </c>
      <c r="K73">
        <f>J73+I73</f>
        <v/>
      </c>
      <c r="L73">
        <f>IF(F73=0,0,SUMIFS(DATA_CHOP!$J:$J,DATA_CHOP!$A:$A,B73,DATA_CHOP!$C:$C,$B$6,DATA_CHOP!$D:$D,$B$7))</f>
        <v/>
      </c>
      <c r="M73">
        <f>IF(F73=0,0,SUMIFS(DATA_CHOP!$K:$K,DATA_CHOP!$A:$A,B73,DATA_CHOP!$C:$C,$B$6,DATA_CHOP!$D:$D,$B$7))</f>
        <v/>
      </c>
      <c r="N73">
        <f>IF(B73="",0,IF($B$3="Zone",IF(AND($B$17,NOT($B$18)),1,0),MAX(0,SUMIFS(DATA_SERVICE_AREAS!$G:$G,DATA_SERVICE_AREAS!$A:$A,B73,DATA_SERVICE_AREAS!$C:$C,"CHOP",DATA_SERVICE_AREAS!$D:$D,$B$6)-COUNTIFS(MASTER_ZONES!$C:$C,$B$6,MASTER_ZONES!$I:$I,"Y",MASTER_ZONES!$D:$D,"Y"))))</f>
        <v/>
      </c>
      <c r="O73">
        <f>IF(B73="",0,IF($B$3="Zone",IF(AND($B$17,NOT($B$18),F73&gt;0),1,0),MAX(0,SUMIFS(DATA_SERVICE_AREAS!$F:$F,DATA_SERVICE_AREAS!$A:$A,B73,DATA_SERVICE_AREAS!$C:$C,"CHOP",DATA_SERVICE_AREAS!$D:$D,$B$6)-COUNTIFS(DATA_COMMUNITY!$A:$A,B73,DATA_COMMUNITY!$D:$D,"CHOP",DATA_COMMUNITY!$E:$E,$B$6))))</f>
        <v/>
      </c>
      <c r="P73">
        <f>MAX(0,N73-O73)</f>
        <v/>
      </c>
      <c r="Q73">
        <f>IF(N73=0,0,O73/N73)</f>
        <v/>
      </c>
      <c r="R73">
        <f>IF(O73=0,0,K73/O73)</f>
        <v/>
      </c>
      <c r="S73">
        <f>IF(OR(F73&gt;0,N73&gt;0),1,0)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  <c r="AA73">
        <f>IFERROR(INDEX(MASTER_AREAS!$B:$B,72)&amp;"","")</f>
        <v/>
      </c>
      <c r="AB73">
        <f>IF(OR(AA73="",$B$10=0),0,COUNTIFS(DATA_CHOP!$A:$A,$B$10,DATA_CHOP!$C:$C,AA73))</f>
        <v/>
      </c>
      <c r="AC73">
        <f>IF(AB73=0,0,SUMIFS(DATA_CHOP!$I:$I,DATA_CHOP!$A:$A,$B$10,DATA_CHOP!$C:$C,AA73))</f>
        <v/>
      </c>
      <c r="AD73">
        <f>IF(OR(AA73="",$B$10=0),0,SUMIFS(DATA_CHOP!$I:$I,DATA_CHOP!$A:$A,$B$10-7,DATA_CHOP!$C:$C,AA73))</f>
        <v/>
      </c>
      <c r="AE73">
        <f>IF(OR(AA73="",$B$10=0),0,MAX(0,SUMIFS(DATA_SERVICE_AREAS!$G:$G,DATA_SERVICE_AREAS!$A:$A,$B$10,DATA_SERVICE_AREAS!$C:$C,"CHOP",DATA_SERVICE_AREAS!$D:$D,AA73)-COUNTIFS(MASTER_ZONES!$C:$C,AA73,MASTER_ZONES!$I:$I,"Y",MASTER_ZONES!$D:$D,"Y")))</f>
        <v/>
      </c>
      <c r="AF73">
        <f>IF(OR(AA73="",$B$10=0),0,MAX(0,SUMIFS(DATA_SERVICE_AREAS!$F:$F,DATA_SERVICE_AREAS!$A:$A,$B$10,DATA_SERVICE_AREAS!$C:$C,"CHOP",DATA_SERVICE_AREAS!$D:$D,AA73)-COUNTIFS(DATA_COMMUNITY!$A:$A,$B$10,DATA_COMMUNITY!$D:$D,"CHOP",DATA_COMMUNITY!$E:$E,AA73)))</f>
        <v/>
      </c>
      <c r="AG73">
        <f>IF(AE73=0,"",MIN(1,AF73/AE73))</f>
        <v/>
      </c>
      <c r="AH73">
        <f>IF(OR(AB73=0,AD73=0),"",AC73/AD73-1)</f>
        <v/>
      </c>
      <c r="AI73">
        <f>IF(AB73=0,"",AC73+ROW()/1000000)</f>
        <v/>
      </c>
      <c r="AJ73">
        <f>IF(AG73="","",AG73+ROW()/1000000000)</f>
        <v/>
      </c>
      <c r="AK73">
        <f>IF(AH73="","",AH73+ROW()/1000000000)</f>
        <v/>
      </c>
      <c r="AL73">
        <f>MAX(0,AE73-AF73)</f>
        <v/>
      </c>
      <c r="AM73">
        <f>IF(AND(AL73&gt;0,OR($B$6="*",AA73=$B$6)),ROW(),"")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IF(B74="",0,COUNTIFS(DATA_CHOP!$A:$A,B74,DATA_CHOP!$C:$C,$B$6,DATA_CHOP!$D:$D,$B$7))</f>
        <v/>
      </c>
      <c r="G74">
        <f>IF(F74=0,0,SUMIFS(DATA_CHOP!$E:$E,DATA_CHOP!$A:$A,B74,DATA_CHOP!$C:$C,$B$6,DATA_CHOP!$D:$D,$B$7))</f>
        <v/>
      </c>
      <c r="H74">
        <f>IF(F74=0,0,SUMIFS(DATA_CHOP!$F:$F,DATA_CHOP!$A:$A,B74,DATA_CHOP!$C:$C,$B$6,DATA_CHOP!$D:$D,$B$7))</f>
        <v/>
      </c>
      <c r="I74">
        <f>IF(F74=0,0,SUMIFS(DATA_CHOP!$H:$H,DATA_CHOP!$A:$A,B74,DATA_CHOP!$C:$C,$B$6,DATA_CHOP!$D:$D,$B$7))</f>
        <v/>
      </c>
      <c r="J74">
        <f>G74+H74</f>
        <v/>
      </c>
      <c r="K74">
        <f>J74+I74</f>
        <v/>
      </c>
      <c r="L74">
        <f>IF(F74=0,0,SUMIFS(DATA_CHOP!$J:$J,DATA_CHOP!$A:$A,B74,DATA_CHOP!$C:$C,$B$6,DATA_CHOP!$D:$D,$B$7))</f>
        <v/>
      </c>
      <c r="M74">
        <f>IF(F74=0,0,SUMIFS(DATA_CHOP!$K:$K,DATA_CHOP!$A:$A,B74,DATA_CHOP!$C:$C,$B$6,DATA_CHOP!$D:$D,$B$7))</f>
        <v/>
      </c>
      <c r="N74">
        <f>IF(B74="",0,IF($B$3="Zone",IF(AND($B$17,NOT($B$18)),1,0),MAX(0,SUMIFS(DATA_SERVICE_AREAS!$G:$G,DATA_SERVICE_AREAS!$A:$A,B74,DATA_SERVICE_AREAS!$C:$C,"CHOP",DATA_SERVICE_AREAS!$D:$D,$B$6)-COUNTIFS(MASTER_ZONES!$C:$C,$B$6,MASTER_ZONES!$I:$I,"Y",MASTER_ZONES!$D:$D,"Y"))))</f>
        <v/>
      </c>
      <c r="O74">
        <f>IF(B74="",0,IF($B$3="Zone",IF(AND($B$17,NOT($B$18),F74&gt;0),1,0),MAX(0,SUMIFS(DATA_SERVICE_AREAS!$F:$F,DATA_SERVICE_AREAS!$A:$A,B74,DATA_SERVICE_AREAS!$C:$C,"CHOP",DATA_SERVICE_AREAS!$D:$D,$B$6)-COUNTIFS(DATA_COMMUNITY!$A:$A,B74,DATA_COMMUNITY!$D:$D,"CHOP",DATA_COMMUNITY!$E:$E,$B$6))))</f>
        <v/>
      </c>
      <c r="P74">
        <f>MAX(0,N74-O74)</f>
        <v/>
      </c>
      <c r="Q74">
        <f>IF(N74=0,0,O74/N74)</f>
        <v/>
      </c>
      <c r="R74">
        <f>IF(O74=0,0,K74/O74)</f>
        <v/>
      </c>
      <c r="S74">
        <f>IF(OR(F74&gt;0,N74&gt;0),1,0)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  <c r="AA74">
        <f>IFERROR(INDEX(MASTER_AREAS!$B:$B,73)&amp;"","")</f>
        <v/>
      </c>
      <c r="AB74">
        <f>IF(OR(AA74="",$B$10=0),0,COUNTIFS(DATA_CHOP!$A:$A,$B$10,DATA_CHOP!$C:$C,AA74))</f>
        <v/>
      </c>
      <c r="AC74">
        <f>IF(AB74=0,0,SUMIFS(DATA_CHOP!$I:$I,DATA_CHOP!$A:$A,$B$10,DATA_CHOP!$C:$C,AA74))</f>
        <v/>
      </c>
      <c r="AD74">
        <f>IF(OR(AA74="",$B$10=0),0,SUMIFS(DATA_CHOP!$I:$I,DATA_CHOP!$A:$A,$B$10-7,DATA_CHOP!$C:$C,AA74))</f>
        <v/>
      </c>
      <c r="AE74">
        <f>IF(OR(AA74="",$B$10=0),0,MAX(0,SUMIFS(DATA_SERVICE_AREAS!$G:$G,DATA_SERVICE_AREAS!$A:$A,$B$10,DATA_SERVICE_AREAS!$C:$C,"CHOP",DATA_SERVICE_AREAS!$D:$D,AA74)-COUNTIFS(MASTER_ZONES!$C:$C,AA74,MASTER_ZONES!$I:$I,"Y",MASTER_ZONES!$D:$D,"Y")))</f>
        <v/>
      </c>
      <c r="AF74">
        <f>IF(OR(AA74="",$B$10=0),0,MAX(0,SUMIFS(DATA_SERVICE_AREAS!$F:$F,DATA_SERVICE_AREAS!$A:$A,$B$10,DATA_SERVICE_AREAS!$C:$C,"CHOP",DATA_SERVICE_AREAS!$D:$D,AA74)-COUNTIFS(DATA_COMMUNITY!$A:$A,$B$10,DATA_COMMUNITY!$D:$D,"CHOP",DATA_COMMUNITY!$E:$E,AA74)))</f>
        <v/>
      </c>
      <c r="AG74">
        <f>IF(AE74=0,"",MIN(1,AF74/AE74))</f>
        <v/>
      </c>
      <c r="AH74">
        <f>IF(OR(AB74=0,AD74=0),"",AC74/AD74-1)</f>
        <v/>
      </c>
      <c r="AI74">
        <f>IF(AB74=0,"",AC74+ROW()/1000000)</f>
        <v/>
      </c>
      <c r="AJ74">
        <f>IF(AG74="","",AG74+ROW()/1000000000)</f>
        <v/>
      </c>
      <c r="AK74">
        <f>IF(AH74="","",AH74+ROW()/1000000000)</f>
        <v/>
      </c>
      <c r="AL74">
        <f>MAX(0,AE74-AF74)</f>
        <v/>
      </c>
      <c r="AM74">
        <f>IF(AND(AL74&gt;0,OR($B$6="*",AA74=$B$6)),ROW(),"")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IF(B75="",0,COUNTIFS(DATA_CHOP!$A:$A,B75,DATA_CHOP!$C:$C,$B$6,DATA_CHOP!$D:$D,$B$7))</f>
        <v/>
      </c>
      <c r="G75">
        <f>IF(F75=0,0,SUMIFS(DATA_CHOP!$E:$E,DATA_CHOP!$A:$A,B75,DATA_CHOP!$C:$C,$B$6,DATA_CHOP!$D:$D,$B$7))</f>
        <v/>
      </c>
      <c r="H75">
        <f>IF(F75=0,0,SUMIFS(DATA_CHOP!$F:$F,DATA_CHOP!$A:$A,B75,DATA_CHOP!$C:$C,$B$6,DATA_CHOP!$D:$D,$B$7))</f>
        <v/>
      </c>
      <c r="I75">
        <f>IF(F75=0,0,SUMIFS(DATA_CHOP!$H:$H,DATA_CHOP!$A:$A,B75,DATA_CHOP!$C:$C,$B$6,DATA_CHOP!$D:$D,$B$7))</f>
        <v/>
      </c>
      <c r="J75">
        <f>G75+H75</f>
        <v/>
      </c>
      <c r="K75">
        <f>J75+I75</f>
        <v/>
      </c>
      <c r="L75">
        <f>IF(F75=0,0,SUMIFS(DATA_CHOP!$J:$J,DATA_CHOP!$A:$A,B75,DATA_CHOP!$C:$C,$B$6,DATA_CHOP!$D:$D,$B$7))</f>
        <v/>
      </c>
      <c r="M75">
        <f>IF(F75=0,0,SUMIFS(DATA_CHOP!$K:$K,DATA_CHOP!$A:$A,B75,DATA_CHOP!$C:$C,$B$6,DATA_CHOP!$D:$D,$B$7))</f>
        <v/>
      </c>
      <c r="N75">
        <f>IF(B75="",0,IF($B$3="Zone",IF(AND($B$17,NOT($B$18)),1,0),MAX(0,SUMIFS(DATA_SERVICE_AREAS!$G:$G,DATA_SERVICE_AREAS!$A:$A,B75,DATA_SERVICE_AREAS!$C:$C,"CHOP",DATA_SERVICE_AREAS!$D:$D,$B$6)-COUNTIFS(MASTER_ZONES!$C:$C,$B$6,MASTER_ZONES!$I:$I,"Y",MASTER_ZONES!$D:$D,"Y"))))</f>
        <v/>
      </c>
      <c r="O75">
        <f>IF(B75="",0,IF($B$3="Zone",IF(AND($B$17,NOT($B$18),F75&gt;0),1,0),MAX(0,SUMIFS(DATA_SERVICE_AREAS!$F:$F,DATA_SERVICE_AREAS!$A:$A,B75,DATA_SERVICE_AREAS!$C:$C,"CHOP",DATA_SERVICE_AREAS!$D:$D,$B$6)-COUNTIFS(DATA_COMMUNITY!$A:$A,B75,DATA_COMMUNITY!$D:$D,"CHOP",DATA_COMMUNITY!$E:$E,$B$6))))</f>
        <v/>
      </c>
      <c r="P75">
        <f>MAX(0,N75-O75)</f>
        <v/>
      </c>
      <c r="Q75">
        <f>IF(N75=0,0,O75/N75)</f>
        <v/>
      </c>
      <c r="R75">
        <f>IF(O75=0,0,K75/O75)</f>
        <v/>
      </c>
      <c r="S75">
        <f>IF(OR(F75&gt;0,N75&gt;0),1,0)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  <c r="AA75">
        <f>IFERROR(INDEX(MASTER_AREAS!$B:$B,74)&amp;"","")</f>
        <v/>
      </c>
      <c r="AB75">
        <f>IF(OR(AA75="",$B$10=0),0,COUNTIFS(DATA_CHOP!$A:$A,$B$10,DATA_CHOP!$C:$C,AA75))</f>
        <v/>
      </c>
      <c r="AC75">
        <f>IF(AB75=0,0,SUMIFS(DATA_CHOP!$I:$I,DATA_CHOP!$A:$A,$B$10,DATA_CHOP!$C:$C,AA75))</f>
        <v/>
      </c>
      <c r="AD75">
        <f>IF(OR(AA75="",$B$10=0),0,SUMIFS(DATA_CHOP!$I:$I,DATA_CHOP!$A:$A,$B$10-7,DATA_CHOP!$C:$C,AA75))</f>
        <v/>
      </c>
      <c r="AE75">
        <f>IF(OR(AA75="",$B$10=0),0,MAX(0,SUMIFS(DATA_SERVICE_AREAS!$G:$G,DATA_SERVICE_AREAS!$A:$A,$B$10,DATA_SERVICE_AREAS!$C:$C,"CHOP",DATA_SERVICE_AREAS!$D:$D,AA75)-COUNTIFS(MASTER_ZONES!$C:$C,AA75,MASTER_ZONES!$I:$I,"Y",MASTER_ZONES!$D:$D,"Y")))</f>
        <v/>
      </c>
      <c r="AF75">
        <f>IF(OR(AA75="",$B$10=0),0,MAX(0,SUMIFS(DATA_SERVICE_AREAS!$F:$F,DATA_SERVICE_AREAS!$A:$A,$B$10,DATA_SERVICE_AREAS!$C:$C,"CHOP",DATA_SERVICE_AREAS!$D:$D,AA75)-COUNTIFS(DATA_COMMUNITY!$A:$A,$B$10,DATA_COMMUNITY!$D:$D,"CHOP",DATA_COMMUNITY!$E:$E,AA75)))</f>
        <v/>
      </c>
      <c r="AG75">
        <f>IF(AE75=0,"",MIN(1,AF75/AE75))</f>
        <v/>
      </c>
      <c r="AH75">
        <f>IF(OR(AB75=0,AD75=0),"",AC75/AD75-1)</f>
        <v/>
      </c>
      <c r="AI75">
        <f>IF(AB75=0,"",AC75+ROW()/1000000)</f>
        <v/>
      </c>
      <c r="AJ75">
        <f>IF(AG75="","",AG75+ROW()/1000000000)</f>
        <v/>
      </c>
      <c r="AK75">
        <f>IF(AH75="","",AH75+ROW()/1000000000)</f>
        <v/>
      </c>
      <c r="AL75">
        <f>MAX(0,AE75-AF75)</f>
        <v/>
      </c>
      <c r="AM75">
        <f>IF(AND(AL75&gt;0,OR($B$6="*",AA75=$B$6)),ROW(),"")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IF(B76="",0,COUNTIFS(DATA_CHOP!$A:$A,B76,DATA_CHOP!$C:$C,$B$6,DATA_CHOP!$D:$D,$B$7))</f>
        <v/>
      </c>
      <c r="G76">
        <f>IF(F76=0,0,SUMIFS(DATA_CHOP!$E:$E,DATA_CHOP!$A:$A,B76,DATA_CHOP!$C:$C,$B$6,DATA_CHOP!$D:$D,$B$7))</f>
        <v/>
      </c>
      <c r="H76">
        <f>IF(F76=0,0,SUMIFS(DATA_CHOP!$F:$F,DATA_CHOP!$A:$A,B76,DATA_CHOP!$C:$C,$B$6,DATA_CHOP!$D:$D,$B$7))</f>
        <v/>
      </c>
      <c r="I76">
        <f>IF(F76=0,0,SUMIFS(DATA_CHOP!$H:$H,DATA_CHOP!$A:$A,B76,DATA_CHOP!$C:$C,$B$6,DATA_CHOP!$D:$D,$B$7))</f>
        <v/>
      </c>
      <c r="J76">
        <f>G76+H76</f>
        <v/>
      </c>
      <c r="K76">
        <f>J76+I76</f>
        <v/>
      </c>
      <c r="L76">
        <f>IF(F76=0,0,SUMIFS(DATA_CHOP!$J:$J,DATA_CHOP!$A:$A,B76,DATA_CHOP!$C:$C,$B$6,DATA_CHOP!$D:$D,$B$7))</f>
        <v/>
      </c>
      <c r="M76">
        <f>IF(F76=0,0,SUMIFS(DATA_CHOP!$K:$K,DATA_CHOP!$A:$A,B76,DATA_CHOP!$C:$C,$B$6,DATA_CHOP!$D:$D,$B$7))</f>
        <v/>
      </c>
      <c r="N76">
        <f>IF(B76="",0,IF($B$3="Zone",IF(AND($B$17,NOT($B$18)),1,0),MAX(0,SUMIFS(DATA_SERVICE_AREAS!$G:$G,DATA_SERVICE_AREAS!$A:$A,B76,DATA_SERVICE_AREAS!$C:$C,"CHOP",DATA_SERVICE_AREAS!$D:$D,$B$6)-COUNTIFS(MASTER_ZONES!$C:$C,$B$6,MASTER_ZONES!$I:$I,"Y",MASTER_ZONES!$D:$D,"Y"))))</f>
        <v/>
      </c>
      <c r="O76">
        <f>IF(B76="",0,IF($B$3="Zone",IF(AND($B$17,NOT($B$18),F76&gt;0),1,0),MAX(0,SUMIFS(DATA_SERVICE_AREAS!$F:$F,DATA_SERVICE_AREAS!$A:$A,B76,DATA_SERVICE_AREAS!$C:$C,"CHOP",DATA_SERVICE_AREAS!$D:$D,$B$6)-COUNTIFS(DATA_COMMUNITY!$A:$A,B76,DATA_COMMUNITY!$D:$D,"CHOP",DATA_COMMUNITY!$E:$E,$B$6))))</f>
        <v/>
      </c>
      <c r="P76">
        <f>MAX(0,N76-O76)</f>
        <v/>
      </c>
      <c r="Q76">
        <f>IF(N76=0,0,O76/N76)</f>
        <v/>
      </c>
      <c r="R76">
        <f>IF(O76=0,0,K76/O76)</f>
        <v/>
      </c>
      <c r="S76">
        <f>IF(OR(F76&gt;0,N76&gt;0),1,0)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  <c r="AA76">
        <f>IFERROR(INDEX(MASTER_AREAS!$B:$B,75)&amp;"","")</f>
        <v/>
      </c>
      <c r="AB76">
        <f>IF(OR(AA76="",$B$10=0),0,COUNTIFS(DATA_CHOP!$A:$A,$B$10,DATA_CHOP!$C:$C,AA76))</f>
        <v/>
      </c>
      <c r="AC76">
        <f>IF(AB76=0,0,SUMIFS(DATA_CHOP!$I:$I,DATA_CHOP!$A:$A,$B$10,DATA_CHOP!$C:$C,AA76))</f>
        <v/>
      </c>
      <c r="AD76">
        <f>IF(OR(AA76="",$B$10=0),0,SUMIFS(DATA_CHOP!$I:$I,DATA_CHOP!$A:$A,$B$10-7,DATA_CHOP!$C:$C,AA76))</f>
        <v/>
      </c>
      <c r="AE76">
        <f>IF(OR(AA76="",$B$10=0),0,MAX(0,SUMIFS(DATA_SERVICE_AREAS!$G:$G,DATA_SERVICE_AREAS!$A:$A,$B$10,DATA_SERVICE_AREAS!$C:$C,"CHOP",DATA_SERVICE_AREAS!$D:$D,AA76)-COUNTIFS(MASTER_ZONES!$C:$C,AA76,MASTER_ZONES!$I:$I,"Y",MASTER_ZONES!$D:$D,"Y")))</f>
        <v/>
      </c>
      <c r="AF76">
        <f>IF(OR(AA76="",$B$10=0),0,MAX(0,SUMIFS(DATA_SERVICE_AREAS!$F:$F,DATA_SERVICE_AREAS!$A:$A,$B$10,DATA_SERVICE_AREAS!$C:$C,"CHOP",DATA_SERVICE_AREAS!$D:$D,AA76)-COUNTIFS(DATA_COMMUNITY!$A:$A,$B$10,DATA_COMMUNITY!$D:$D,"CHOP",DATA_COMMUNITY!$E:$E,AA76)))</f>
        <v/>
      </c>
      <c r="AG76">
        <f>IF(AE76=0,"",MIN(1,AF76/AE76))</f>
        <v/>
      </c>
      <c r="AH76">
        <f>IF(OR(AB76=0,AD76=0),"",AC76/AD76-1)</f>
        <v/>
      </c>
      <c r="AI76">
        <f>IF(AB76=0,"",AC76+ROW()/1000000)</f>
        <v/>
      </c>
      <c r="AJ76">
        <f>IF(AG76="","",AG76+ROW()/1000000000)</f>
        <v/>
      </c>
      <c r="AK76">
        <f>IF(AH76="","",AH76+ROW()/1000000000)</f>
        <v/>
      </c>
      <c r="AL76">
        <f>MAX(0,AE76-AF76)</f>
        <v/>
      </c>
      <c r="AM76">
        <f>IF(AND(AL76&gt;0,OR($B$6="*",AA76=$B$6)),ROW(),"")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IF(B77="",0,COUNTIFS(DATA_CHOP!$A:$A,B77,DATA_CHOP!$C:$C,$B$6,DATA_CHOP!$D:$D,$B$7))</f>
        <v/>
      </c>
      <c r="G77">
        <f>IF(F77=0,0,SUMIFS(DATA_CHOP!$E:$E,DATA_CHOP!$A:$A,B77,DATA_CHOP!$C:$C,$B$6,DATA_CHOP!$D:$D,$B$7))</f>
        <v/>
      </c>
      <c r="H77">
        <f>IF(F77=0,0,SUMIFS(DATA_CHOP!$F:$F,DATA_CHOP!$A:$A,B77,DATA_CHOP!$C:$C,$B$6,DATA_CHOP!$D:$D,$B$7))</f>
        <v/>
      </c>
      <c r="I77">
        <f>IF(F77=0,0,SUMIFS(DATA_CHOP!$H:$H,DATA_CHOP!$A:$A,B77,DATA_CHOP!$C:$C,$B$6,DATA_CHOP!$D:$D,$B$7))</f>
        <v/>
      </c>
      <c r="J77">
        <f>G77+H77</f>
        <v/>
      </c>
      <c r="K77">
        <f>J77+I77</f>
        <v/>
      </c>
      <c r="L77">
        <f>IF(F77=0,0,SUMIFS(DATA_CHOP!$J:$J,DATA_CHOP!$A:$A,B77,DATA_CHOP!$C:$C,$B$6,DATA_CHOP!$D:$D,$B$7))</f>
        <v/>
      </c>
      <c r="M77">
        <f>IF(F77=0,0,SUMIFS(DATA_CHOP!$K:$K,DATA_CHOP!$A:$A,B77,DATA_CHOP!$C:$C,$B$6,DATA_CHOP!$D:$D,$B$7))</f>
        <v/>
      </c>
      <c r="N77">
        <f>IF(B77="",0,IF($B$3="Zone",IF(AND($B$17,NOT($B$18)),1,0),MAX(0,SUMIFS(DATA_SERVICE_AREAS!$G:$G,DATA_SERVICE_AREAS!$A:$A,B77,DATA_SERVICE_AREAS!$C:$C,"CHOP",DATA_SERVICE_AREAS!$D:$D,$B$6)-COUNTIFS(MASTER_ZONES!$C:$C,$B$6,MASTER_ZONES!$I:$I,"Y",MASTER_ZONES!$D:$D,"Y"))))</f>
        <v/>
      </c>
      <c r="O77">
        <f>IF(B77="",0,IF($B$3="Zone",IF(AND($B$17,NOT($B$18),F77&gt;0),1,0),MAX(0,SUMIFS(DATA_SERVICE_AREAS!$F:$F,DATA_SERVICE_AREAS!$A:$A,B77,DATA_SERVICE_AREAS!$C:$C,"CHOP",DATA_SERVICE_AREAS!$D:$D,$B$6)-COUNTIFS(DATA_COMMUNITY!$A:$A,B77,DATA_COMMUNITY!$D:$D,"CHOP",DATA_COMMUNITY!$E:$E,$B$6))))</f>
        <v/>
      </c>
      <c r="P77">
        <f>MAX(0,N77-O77)</f>
        <v/>
      </c>
      <c r="Q77">
        <f>IF(N77=0,0,O77/N77)</f>
        <v/>
      </c>
      <c r="R77">
        <f>IF(O77=0,0,K77/O77)</f>
        <v/>
      </c>
      <c r="S77">
        <f>IF(OR(F77&gt;0,N77&gt;0),1,0)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  <c r="AA77">
        <f>IFERROR(INDEX(MASTER_AREAS!$B:$B,76)&amp;"","")</f>
        <v/>
      </c>
      <c r="AB77">
        <f>IF(OR(AA77="",$B$10=0),0,COUNTIFS(DATA_CHOP!$A:$A,$B$10,DATA_CHOP!$C:$C,AA77))</f>
        <v/>
      </c>
      <c r="AC77">
        <f>IF(AB77=0,0,SUMIFS(DATA_CHOP!$I:$I,DATA_CHOP!$A:$A,$B$10,DATA_CHOP!$C:$C,AA77))</f>
        <v/>
      </c>
      <c r="AD77">
        <f>IF(OR(AA77="",$B$10=0),0,SUMIFS(DATA_CHOP!$I:$I,DATA_CHOP!$A:$A,$B$10-7,DATA_CHOP!$C:$C,AA77))</f>
        <v/>
      </c>
      <c r="AE77">
        <f>IF(OR(AA77="",$B$10=0),0,MAX(0,SUMIFS(DATA_SERVICE_AREAS!$G:$G,DATA_SERVICE_AREAS!$A:$A,$B$10,DATA_SERVICE_AREAS!$C:$C,"CHOP",DATA_SERVICE_AREAS!$D:$D,AA77)-COUNTIFS(MASTER_ZONES!$C:$C,AA77,MASTER_ZONES!$I:$I,"Y",MASTER_ZONES!$D:$D,"Y")))</f>
        <v/>
      </c>
      <c r="AF77">
        <f>IF(OR(AA77="",$B$10=0),0,MAX(0,SUMIFS(DATA_SERVICE_AREAS!$F:$F,DATA_SERVICE_AREAS!$A:$A,$B$10,DATA_SERVICE_AREAS!$C:$C,"CHOP",DATA_SERVICE_AREAS!$D:$D,AA77)-COUNTIFS(DATA_COMMUNITY!$A:$A,$B$10,DATA_COMMUNITY!$D:$D,"CHOP",DATA_COMMUNITY!$E:$E,AA77)))</f>
        <v/>
      </c>
      <c r="AG77">
        <f>IF(AE77=0,"",MIN(1,AF77/AE77))</f>
        <v/>
      </c>
      <c r="AH77">
        <f>IF(OR(AB77=0,AD77=0),"",AC77/AD77-1)</f>
        <v/>
      </c>
      <c r="AI77">
        <f>IF(AB77=0,"",AC77+ROW()/1000000)</f>
        <v/>
      </c>
      <c r="AJ77">
        <f>IF(AG77="","",AG77+ROW()/1000000000)</f>
        <v/>
      </c>
      <c r="AK77">
        <f>IF(AH77="","",AH77+ROW()/1000000000)</f>
        <v/>
      </c>
      <c r="AL77">
        <f>MAX(0,AE77-AF77)</f>
        <v/>
      </c>
      <c r="AM77">
        <f>IF(AND(AL77&gt;0,OR($B$6="*",AA77=$B$6)),ROW(),"")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IF(B78="",0,COUNTIFS(DATA_CHOP!$A:$A,B78,DATA_CHOP!$C:$C,$B$6,DATA_CHOP!$D:$D,$B$7))</f>
        <v/>
      </c>
      <c r="G78">
        <f>IF(F78=0,0,SUMIFS(DATA_CHOP!$E:$E,DATA_CHOP!$A:$A,B78,DATA_CHOP!$C:$C,$B$6,DATA_CHOP!$D:$D,$B$7))</f>
        <v/>
      </c>
      <c r="H78">
        <f>IF(F78=0,0,SUMIFS(DATA_CHOP!$F:$F,DATA_CHOP!$A:$A,B78,DATA_CHOP!$C:$C,$B$6,DATA_CHOP!$D:$D,$B$7))</f>
        <v/>
      </c>
      <c r="I78">
        <f>IF(F78=0,0,SUMIFS(DATA_CHOP!$H:$H,DATA_CHOP!$A:$A,B78,DATA_CHOP!$C:$C,$B$6,DATA_CHOP!$D:$D,$B$7))</f>
        <v/>
      </c>
      <c r="J78">
        <f>G78+H78</f>
        <v/>
      </c>
      <c r="K78">
        <f>J78+I78</f>
        <v/>
      </c>
      <c r="L78">
        <f>IF(F78=0,0,SUMIFS(DATA_CHOP!$J:$J,DATA_CHOP!$A:$A,B78,DATA_CHOP!$C:$C,$B$6,DATA_CHOP!$D:$D,$B$7))</f>
        <v/>
      </c>
      <c r="M78">
        <f>IF(F78=0,0,SUMIFS(DATA_CHOP!$K:$K,DATA_CHOP!$A:$A,B78,DATA_CHOP!$C:$C,$B$6,DATA_CHOP!$D:$D,$B$7))</f>
        <v/>
      </c>
      <c r="N78">
        <f>IF(B78="",0,IF($B$3="Zone",IF(AND($B$17,NOT($B$18)),1,0),MAX(0,SUMIFS(DATA_SERVICE_AREAS!$G:$G,DATA_SERVICE_AREAS!$A:$A,B78,DATA_SERVICE_AREAS!$C:$C,"CHOP",DATA_SERVICE_AREAS!$D:$D,$B$6)-COUNTIFS(MASTER_ZONES!$C:$C,$B$6,MASTER_ZONES!$I:$I,"Y",MASTER_ZONES!$D:$D,"Y"))))</f>
        <v/>
      </c>
      <c r="O78">
        <f>IF(B78="",0,IF($B$3="Zone",IF(AND($B$17,NOT($B$18),F78&gt;0),1,0),MAX(0,SUMIFS(DATA_SERVICE_AREAS!$F:$F,DATA_SERVICE_AREAS!$A:$A,B78,DATA_SERVICE_AREAS!$C:$C,"CHOP",DATA_SERVICE_AREAS!$D:$D,$B$6)-COUNTIFS(DATA_COMMUNITY!$A:$A,B78,DATA_COMMUNITY!$D:$D,"CHOP",DATA_COMMUNITY!$E:$E,$B$6))))</f>
        <v/>
      </c>
      <c r="P78">
        <f>MAX(0,N78-O78)</f>
        <v/>
      </c>
      <c r="Q78">
        <f>IF(N78=0,0,O78/N78)</f>
        <v/>
      </c>
      <c r="R78">
        <f>IF(O78=0,0,K78/O78)</f>
        <v/>
      </c>
      <c r="S78">
        <f>IF(OR(F78&gt;0,N78&gt;0),1,0)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  <c r="AA78">
        <f>IFERROR(INDEX(MASTER_AREAS!$B:$B,77)&amp;"","")</f>
        <v/>
      </c>
      <c r="AB78">
        <f>IF(OR(AA78="",$B$10=0),0,COUNTIFS(DATA_CHOP!$A:$A,$B$10,DATA_CHOP!$C:$C,AA78))</f>
        <v/>
      </c>
      <c r="AC78">
        <f>IF(AB78=0,0,SUMIFS(DATA_CHOP!$I:$I,DATA_CHOP!$A:$A,$B$10,DATA_CHOP!$C:$C,AA78))</f>
        <v/>
      </c>
      <c r="AD78">
        <f>IF(OR(AA78="",$B$10=0),0,SUMIFS(DATA_CHOP!$I:$I,DATA_CHOP!$A:$A,$B$10-7,DATA_CHOP!$C:$C,AA78))</f>
        <v/>
      </c>
      <c r="AE78">
        <f>IF(OR(AA78="",$B$10=0),0,MAX(0,SUMIFS(DATA_SERVICE_AREAS!$G:$G,DATA_SERVICE_AREAS!$A:$A,$B$10,DATA_SERVICE_AREAS!$C:$C,"CHOP",DATA_SERVICE_AREAS!$D:$D,AA78)-COUNTIFS(MASTER_ZONES!$C:$C,AA78,MASTER_ZONES!$I:$I,"Y",MASTER_ZONES!$D:$D,"Y")))</f>
        <v/>
      </c>
      <c r="AF78">
        <f>IF(OR(AA78="",$B$10=0),0,MAX(0,SUMIFS(DATA_SERVICE_AREAS!$F:$F,DATA_SERVICE_AREAS!$A:$A,$B$10,DATA_SERVICE_AREAS!$C:$C,"CHOP",DATA_SERVICE_AREAS!$D:$D,AA78)-COUNTIFS(DATA_COMMUNITY!$A:$A,$B$10,DATA_COMMUNITY!$D:$D,"CHOP",DATA_COMMUNITY!$E:$E,AA78)))</f>
        <v/>
      </c>
      <c r="AG78">
        <f>IF(AE78=0,"",MIN(1,AF78/AE78))</f>
        <v/>
      </c>
      <c r="AH78">
        <f>IF(OR(AB78=0,AD78=0),"",AC78/AD78-1)</f>
        <v/>
      </c>
      <c r="AI78">
        <f>IF(AB78=0,"",AC78+ROW()/1000000)</f>
        <v/>
      </c>
      <c r="AJ78">
        <f>IF(AG78="","",AG78+ROW()/1000000000)</f>
        <v/>
      </c>
      <c r="AK78">
        <f>IF(AH78="","",AH78+ROW()/1000000000)</f>
        <v/>
      </c>
      <c r="AL78">
        <f>MAX(0,AE78-AF78)</f>
        <v/>
      </c>
      <c r="AM78">
        <f>IF(AND(AL78&gt;0,OR($B$6="*",AA78=$B$6)),ROW(),"")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IF(B79="",0,COUNTIFS(DATA_CHOP!$A:$A,B79,DATA_CHOP!$C:$C,$B$6,DATA_CHOP!$D:$D,$B$7))</f>
        <v/>
      </c>
      <c r="G79">
        <f>IF(F79=0,0,SUMIFS(DATA_CHOP!$E:$E,DATA_CHOP!$A:$A,B79,DATA_CHOP!$C:$C,$B$6,DATA_CHOP!$D:$D,$B$7))</f>
        <v/>
      </c>
      <c r="H79">
        <f>IF(F79=0,0,SUMIFS(DATA_CHOP!$F:$F,DATA_CHOP!$A:$A,B79,DATA_CHOP!$C:$C,$B$6,DATA_CHOP!$D:$D,$B$7))</f>
        <v/>
      </c>
      <c r="I79">
        <f>IF(F79=0,0,SUMIFS(DATA_CHOP!$H:$H,DATA_CHOP!$A:$A,B79,DATA_CHOP!$C:$C,$B$6,DATA_CHOP!$D:$D,$B$7))</f>
        <v/>
      </c>
      <c r="J79">
        <f>G79+H79</f>
        <v/>
      </c>
      <c r="K79">
        <f>J79+I79</f>
        <v/>
      </c>
      <c r="L79">
        <f>IF(F79=0,0,SUMIFS(DATA_CHOP!$J:$J,DATA_CHOP!$A:$A,B79,DATA_CHOP!$C:$C,$B$6,DATA_CHOP!$D:$D,$B$7))</f>
        <v/>
      </c>
      <c r="M79">
        <f>IF(F79=0,0,SUMIFS(DATA_CHOP!$K:$K,DATA_CHOP!$A:$A,B79,DATA_CHOP!$C:$C,$B$6,DATA_CHOP!$D:$D,$B$7))</f>
        <v/>
      </c>
      <c r="N79">
        <f>IF(B79="",0,IF($B$3="Zone",IF(AND($B$17,NOT($B$18)),1,0),MAX(0,SUMIFS(DATA_SERVICE_AREAS!$G:$G,DATA_SERVICE_AREAS!$A:$A,B79,DATA_SERVICE_AREAS!$C:$C,"CHOP",DATA_SERVICE_AREAS!$D:$D,$B$6)-COUNTIFS(MASTER_ZONES!$C:$C,$B$6,MASTER_ZONES!$I:$I,"Y",MASTER_ZONES!$D:$D,"Y"))))</f>
        <v/>
      </c>
      <c r="O79">
        <f>IF(B79="",0,IF($B$3="Zone",IF(AND($B$17,NOT($B$18),F79&gt;0),1,0),MAX(0,SUMIFS(DATA_SERVICE_AREAS!$F:$F,DATA_SERVICE_AREAS!$A:$A,B79,DATA_SERVICE_AREAS!$C:$C,"CHOP",DATA_SERVICE_AREAS!$D:$D,$B$6)-COUNTIFS(DATA_COMMUNITY!$A:$A,B79,DATA_COMMUNITY!$D:$D,"CHOP",DATA_COMMUNITY!$E:$E,$B$6))))</f>
        <v/>
      </c>
      <c r="P79">
        <f>MAX(0,N79-O79)</f>
        <v/>
      </c>
      <c r="Q79">
        <f>IF(N79=0,0,O79/N79)</f>
        <v/>
      </c>
      <c r="R79">
        <f>IF(O79=0,0,K79/O79)</f>
        <v/>
      </c>
      <c r="S79">
        <f>IF(OR(F79&gt;0,N79&gt;0),1,0)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  <c r="AA79">
        <f>IFERROR(INDEX(MASTER_AREAS!$B:$B,78)&amp;"","")</f>
        <v/>
      </c>
      <c r="AB79">
        <f>IF(OR(AA79="",$B$10=0),0,COUNTIFS(DATA_CHOP!$A:$A,$B$10,DATA_CHOP!$C:$C,AA79))</f>
        <v/>
      </c>
      <c r="AC79">
        <f>IF(AB79=0,0,SUMIFS(DATA_CHOP!$I:$I,DATA_CHOP!$A:$A,$B$10,DATA_CHOP!$C:$C,AA79))</f>
        <v/>
      </c>
      <c r="AD79">
        <f>IF(OR(AA79="",$B$10=0),0,SUMIFS(DATA_CHOP!$I:$I,DATA_CHOP!$A:$A,$B$10-7,DATA_CHOP!$C:$C,AA79))</f>
        <v/>
      </c>
      <c r="AE79">
        <f>IF(OR(AA79="",$B$10=0),0,MAX(0,SUMIFS(DATA_SERVICE_AREAS!$G:$G,DATA_SERVICE_AREAS!$A:$A,$B$10,DATA_SERVICE_AREAS!$C:$C,"CHOP",DATA_SERVICE_AREAS!$D:$D,AA79)-COUNTIFS(MASTER_ZONES!$C:$C,AA79,MASTER_ZONES!$I:$I,"Y",MASTER_ZONES!$D:$D,"Y")))</f>
        <v/>
      </c>
      <c r="AF79">
        <f>IF(OR(AA79="",$B$10=0),0,MAX(0,SUMIFS(DATA_SERVICE_AREAS!$F:$F,DATA_SERVICE_AREAS!$A:$A,$B$10,DATA_SERVICE_AREAS!$C:$C,"CHOP",DATA_SERVICE_AREAS!$D:$D,AA79)-COUNTIFS(DATA_COMMUNITY!$A:$A,$B$10,DATA_COMMUNITY!$D:$D,"CHOP",DATA_COMMUNITY!$E:$E,AA79)))</f>
        <v/>
      </c>
      <c r="AG79">
        <f>IF(AE79=0,"",MIN(1,AF79/AE79))</f>
        <v/>
      </c>
      <c r="AH79">
        <f>IF(OR(AB79=0,AD79=0),"",AC79/AD79-1)</f>
        <v/>
      </c>
      <c r="AI79">
        <f>IF(AB79=0,"",AC79+ROW()/1000000)</f>
        <v/>
      </c>
      <c r="AJ79">
        <f>IF(AG79="","",AG79+ROW()/1000000000)</f>
        <v/>
      </c>
      <c r="AK79">
        <f>IF(AH79="","",AH79+ROW()/1000000000)</f>
        <v/>
      </c>
      <c r="AL79">
        <f>MAX(0,AE79-AF79)</f>
        <v/>
      </c>
      <c r="AM79">
        <f>IF(AND(AL79&gt;0,OR($B$6="*",AA79=$B$6)),ROW(),"")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IF(B80="",0,COUNTIFS(DATA_CHOP!$A:$A,B80,DATA_CHOP!$C:$C,$B$6,DATA_CHOP!$D:$D,$B$7))</f>
        <v/>
      </c>
      <c r="G80">
        <f>IF(F80=0,0,SUMIFS(DATA_CHOP!$E:$E,DATA_CHOP!$A:$A,B80,DATA_CHOP!$C:$C,$B$6,DATA_CHOP!$D:$D,$B$7))</f>
        <v/>
      </c>
      <c r="H80">
        <f>IF(F80=0,0,SUMIFS(DATA_CHOP!$F:$F,DATA_CHOP!$A:$A,B80,DATA_CHOP!$C:$C,$B$6,DATA_CHOP!$D:$D,$B$7))</f>
        <v/>
      </c>
      <c r="I80">
        <f>IF(F80=0,0,SUMIFS(DATA_CHOP!$H:$H,DATA_CHOP!$A:$A,B80,DATA_CHOP!$C:$C,$B$6,DATA_CHOP!$D:$D,$B$7))</f>
        <v/>
      </c>
      <c r="J80">
        <f>G80+H80</f>
        <v/>
      </c>
      <c r="K80">
        <f>J80+I80</f>
        <v/>
      </c>
      <c r="L80">
        <f>IF(F80=0,0,SUMIFS(DATA_CHOP!$J:$J,DATA_CHOP!$A:$A,B80,DATA_CHOP!$C:$C,$B$6,DATA_CHOP!$D:$D,$B$7))</f>
        <v/>
      </c>
      <c r="M80">
        <f>IF(F80=0,0,SUMIFS(DATA_CHOP!$K:$K,DATA_CHOP!$A:$A,B80,DATA_CHOP!$C:$C,$B$6,DATA_CHOP!$D:$D,$B$7))</f>
        <v/>
      </c>
      <c r="N80">
        <f>IF(B80="",0,IF($B$3="Zone",IF(AND($B$17,NOT($B$18)),1,0),MAX(0,SUMIFS(DATA_SERVICE_AREAS!$G:$G,DATA_SERVICE_AREAS!$A:$A,B80,DATA_SERVICE_AREAS!$C:$C,"CHOP",DATA_SERVICE_AREAS!$D:$D,$B$6)-COUNTIFS(MASTER_ZONES!$C:$C,$B$6,MASTER_ZONES!$I:$I,"Y",MASTER_ZONES!$D:$D,"Y"))))</f>
        <v/>
      </c>
      <c r="O80">
        <f>IF(B80="",0,IF($B$3="Zone",IF(AND($B$17,NOT($B$18),F80&gt;0),1,0),MAX(0,SUMIFS(DATA_SERVICE_AREAS!$F:$F,DATA_SERVICE_AREAS!$A:$A,B80,DATA_SERVICE_AREAS!$C:$C,"CHOP",DATA_SERVICE_AREAS!$D:$D,$B$6)-COUNTIFS(DATA_COMMUNITY!$A:$A,B80,DATA_COMMUNITY!$D:$D,"CHOP",DATA_COMMUNITY!$E:$E,$B$6))))</f>
        <v/>
      </c>
      <c r="P80">
        <f>MAX(0,N80-O80)</f>
        <v/>
      </c>
      <c r="Q80">
        <f>IF(N80=0,0,O80/N80)</f>
        <v/>
      </c>
      <c r="R80">
        <f>IF(O80=0,0,K80/O80)</f>
        <v/>
      </c>
      <c r="S80">
        <f>IF(OR(F80&gt;0,N80&gt;0),1,0)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  <c r="AA80">
        <f>IFERROR(INDEX(MASTER_AREAS!$B:$B,79)&amp;"","")</f>
        <v/>
      </c>
      <c r="AB80">
        <f>IF(OR(AA80="",$B$10=0),0,COUNTIFS(DATA_CHOP!$A:$A,$B$10,DATA_CHOP!$C:$C,AA80))</f>
        <v/>
      </c>
      <c r="AC80">
        <f>IF(AB80=0,0,SUMIFS(DATA_CHOP!$I:$I,DATA_CHOP!$A:$A,$B$10,DATA_CHOP!$C:$C,AA80))</f>
        <v/>
      </c>
      <c r="AD80">
        <f>IF(OR(AA80="",$B$10=0),0,SUMIFS(DATA_CHOP!$I:$I,DATA_CHOP!$A:$A,$B$10-7,DATA_CHOP!$C:$C,AA80))</f>
        <v/>
      </c>
      <c r="AE80">
        <f>IF(OR(AA80="",$B$10=0),0,MAX(0,SUMIFS(DATA_SERVICE_AREAS!$G:$G,DATA_SERVICE_AREAS!$A:$A,$B$10,DATA_SERVICE_AREAS!$C:$C,"CHOP",DATA_SERVICE_AREAS!$D:$D,AA80)-COUNTIFS(MASTER_ZONES!$C:$C,AA80,MASTER_ZONES!$I:$I,"Y",MASTER_ZONES!$D:$D,"Y")))</f>
        <v/>
      </c>
      <c r="AF80">
        <f>IF(OR(AA80="",$B$10=0),0,MAX(0,SUMIFS(DATA_SERVICE_AREAS!$F:$F,DATA_SERVICE_AREAS!$A:$A,$B$10,DATA_SERVICE_AREAS!$C:$C,"CHOP",DATA_SERVICE_AREAS!$D:$D,AA80)-COUNTIFS(DATA_COMMUNITY!$A:$A,$B$10,DATA_COMMUNITY!$D:$D,"CHOP",DATA_COMMUNITY!$E:$E,AA80)))</f>
        <v/>
      </c>
      <c r="AG80">
        <f>IF(AE80=0,"",MIN(1,AF80/AE80))</f>
        <v/>
      </c>
      <c r="AH80">
        <f>IF(OR(AB80=0,AD80=0),"",AC80/AD80-1)</f>
        <v/>
      </c>
      <c r="AI80">
        <f>IF(AB80=0,"",AC80+ROW()/1000000)</f>
        <v/>
      </c>
      <c r="AJ80">
        <f>IF(AG80="","",AG80+ROW()/1000000000)</f>
        <v/>
      </c>
      <c r="AK80">
        <f>IF(AH80="","",AH80+ROW()/1000000000)</f>
        <v/>
      </c>
      <c r="AL80">
        <f>MAX(0,AE80-AF80)</f>
        <v/>
      </c>
      <c r="AM80">
        <f>IF(AND(AL80&gt;0,OR($B$6="*",AA80=$B$6)),ROW(),"")</f>
        <v/>
      </c>
    </row>
    <row r="81">
      <c r="AA81">
        <f>IFERROR(INDEX(MASTER_AREAS!$B:$B,80)&amp;"","")</f>
        <v/>
      </c>
      <c r="AB81">
        <f>IF(OR(AA81="",$B$10=0),0,COUNTIFS(DATA_CHOP!$A:$A,$B$10,DATA_CHOP!$C:$C,AA81))</f>
        <v/>
      </c>
      <c r="AC81">
        <f>IF(AB81=0,0,SUMIFS(DATA_CHOP!$I:$I,DATA_CHOP!$A:$A,$B$10,DATA_CHOP!$C:$C,AA81))</f>
        <v/>
      </c>
      <c r="AD81">
        <f>IF(OR(AA81="",$B$10=0),0,SUMIFS(DATA_CHOP!$I:$I,DATA_CHOP!$A:$A,$B$10-7,DATA_CHOP!$C:$C,AA81))</f>
        <v/>
      </c>
      <c r="AE81">
        <f>IF(OR(AA81="",$B$10=0),0,MAX(0,SUMIFS(DATA_SERVICE_AREAS!$G:$G,DATA_SERVICE_AREAS!$A:$A,$B$10,DATA_SERVICE_AREAS!$C:$C,"CHOP",DATA_SERVICE_AREAS!$D:$D,AA81)-COUNTIFS(MASTER_ZONES!$C:$C,AA81,MASTER_ZONES!$I:$I,"Y",MASTER_ZONES!$D:$D,"Y")))</f>
        <v/>
      </c>
      <c r="AF81">
        <f>IF(OR(AA81="",$B$10=0),0,MAX(0,SUMIFS(DATA_SERVICE_AREAS!$F:$F,DATA_SERVICE_AREAS!$A:$A,$B$10,DATA_SERVICE_AREAS!$C:$C,"CHOP",DATA_SERVICE_AREAS!$D:$D,AA81)-COUNTIFS(DATA_COMMUNITY!$A:$A,$B$10,DATA_COMMUNITY!$D:$D,"CHOP",DATA_COMMUNITY!$E:$E,AA81)))</f>
        <v/>
      </c>
      <c r="AG81">
        <f>IF(AE81=0,"",MIN(1,AF81/AE81))</f>
        <v/>
      </c>
      <c r="AH81">
        <f>IF(OR(AB81=0,AD81=0),"",AC81/AD81-1)</f>
        <v/>
      </c>
      <c r="AI81">
        <f>IF(AB81=0,"",AC81+ROW()/1000000)</f>
        <v/>
      </c>
      <c r="AJ81">
        <f>IF(AG81="","",AG81+ROW()/1000000000)</f>
        <v/>
      </c>
      <c r="AK81">
        <f>IF(AH81="","",AH81+ROW()/1000000000)</f>
        <v/>
      </c>
      <c r="AL81">
        <f>MAX(0,AE81-AF81)</f>
        <v/>
      </c>
      <c r="AM81">
        <f>IF(AND(AL81&gt;0,OR($B$6="*",AA81=$B$6)),ROW(),"")</f>
        <v/>
      </c>
    </row>
    <row r="82">
      <c r="AA82">
        <f>IFERROR(INDEX(MASTER_AREAS!$B:$B,81)&amp;"","")</f>
        <v/>
      </c>
      <c r="AB82">
        <f>IF(OR(AA82="",$B$10=0),0,COUNTIFS(DATA_CHOP!$A:$A,$B$10,DATA_CHOP!$C:$C,AA82))</f>
        <v/>
      </c>
      <c r="AC82">
        <f>IF(AB82=0,0,SUMIFS(DATA_CHOP!$I:$I,DATA_CHOP!$A:$A,$B$10,DATA_CHOP!$C:$C,AA82))</f>
        <v/>
      </c>
      <c r="AD82">
        <f>IF(OR(AA82="",$B$10=0),0,SUMIFS(DATA_CHOP!$I:$I,DATA_CHOP!$A:$A,$B$10-7,DATA_CHOP!$C:$C,AA82))</f>
        <v/>
      </c>
      <c r="AE82">
        <f>IF(OR(AA82="",$B$10=0),0,MAX(0,SUMIFS(DATA_SERVICE_AREAS!$G:$G,DATA_SERVICE_AREAS!$A:$A,$B$10,DATA_SERVICE_AREAS!$C:$C,"CHOP",DATA_SERVICE_AREAS!$D:$D,AA82)-COUNTIFS(MASTER_ZONES!$C:$C,AA82,MASTER_ZONES!$I:$I,"Y",MASTER_ZONES!$D:$D,"Y")))</f>
        <v/>
      </c>
      <c r="AF82">
        <f>IF(OR(AA82="",$B$10=0),0,MAX(0,SUMIFS(DATA_SERVICE_AREAS!$F:$F,DATA_SERVICE_AREAS!$A:$A,$B$10,DATA_SERVICE_AREAS!$C:$C,"CHOP",DATA_SERVICE_AREAS!$D:$D,AA82)-COUNTIFS(DATA_COMMUNITY!$A:$A,$B$10,DATA_COMMUNITY!$D:$D,"CHOP",DATA_COMMUNITY!$E:$E,AA82)))</f>
        <v/>
      </c>
      <c r="AG82">
        <f>IF(AE82=0,"",MIN(1,AF82/AE82))</f>
        <v/>
      </c>
      <c r="AH82">
        <f>IF(OR(AB82=0,AD82=0),"",AC82/AD82-1)</f>
        <v/>
      </c>
      <c r="AI82">
        <f>IF(AB82=0,"",AC82+ROW()/1000000)</f>
        <v/>
      </c>
      <c r="AJ82">
        <f>IF(AG82="","",AG82+ROW()/1000000000)</f>
        <v/>
      </c>
      <c r="AK82">
        <f>IF(AH82="","",AH82+ROW()/1000000000)</f>
        <v/>
      </c>
      <c r="AL82">
        <f>MAX(0,AE82-AF82)</f>
        <v/>
      </c>
      <c r="AM82">
        <f>IF(AND(AL82&gt;0,OR($B$6="*",AA82=$B$6)),ROW(),"")</f>
        <v/>
      </c>
    </row>
    <row r="83">
      <c r="AA83">
        <f>IFERROR(INDEX(MASTER_AREAS!$B:$B,82)&amp;"","")</f>
        <v/>
      </c>
      <c r="AB83">
        <f>IF(OR(AA83="",$B$10=0),0,COUNTIFS(DATA_CHOP!$A:$A,$B$10,DATA_CHOP!$C:$C,AA83))</f>
        <v/>
      </c>
      <c r="AC83">
        <f>IF(AB83=0,0,SUMIFS(DATA_CHOP!$I:$I,DATA_CHOP!$A:$A,$B$10,DATA_CHOP!$C:$C,AA83))</f>
        <v/>
      </c>
      <c r="AD83">
        <f>IF(OR(AA83="",$B$10=0),0,SUMIFS(DATA_CHOP!$I:$I,DATA_CHOP!$A:$A,$B$10-7,DATA_CHOP!$C:$C,AA83))</f>
        <v/>
      </c>
      <c r="AE83">
        <f>IF(OR(AA83="",$B$10=0),0,MAX(0,SUMIFS(DATA_SERVICE_AREAS!$G:$G,DATA_SERVICE_AREAS!$A:$A,$B$10,DATA_SERVICE_AREAS!$C:$C,"CHOP",DATA_SERVICE_AREAS!$D:$D,AA83)-COUNTIFS(MASTER_ZONES!$C:$C,AA83,MASTER_ZONES!$I:$I,"Y",MASTER_ZONES!$D:$D,"Y")))</f>
        <v/>
      </c>
      <c r="AF83">
        <f>IF(OR(AA83="",$B$10=0),0,MAX(0,SUMIFS(DATA_SERVICE_AREAS!$F:$F,DATA_SERVICE_AREAS!$A:$A,$B$10,DATA_SERVICE_AREAS!$C:$C,"CHOP",DATA_SERVICE_AREAS!$D:$D,AA83)-COUNTIFS(DATA_COMMUNITY!$A:$A,$B$10,DATA_COMMUNITY!$D:$D,"CHOP",DATA_COMMUNITY!$E:$E,AA83)))</f>
        <v/>
      </c>
      <c r="AG83">
        <f>IF(AE83=0,"",MIN(1,AF83/AE83))</f>
        <v/>
      </c>
      <c r="AH83">
        <f>IF(OR(AB83=0,AD83=0),"",AC83/AD83-1)</f>
        <v/>
      </c>
      <c r="AI83">
        <f>IF(AB83=0,"",AC83+ROW()/1000000)</f>
        <v/>
      </c>
      <c r="AJ83">
        <f>IF(AG83="","",AG83+ROW()/1000000000)</f>
        <v/>
      </c>
      <c r="AK83">
        <f>IF(AH83="","",AH83+ROW()/1000000000)</f>
        <v/>
      </c>
      <c r="AL83">
        <f>MAX(0,AE83-AF83)</f>
        <v/>
      </c>
      <c r="AM83">
        <f>IF(AND(AL83&gt;0,OR($B$6="*",AA83=$B$6)),ROW(),"")</f>
        <v/>
      </c>
    </row>
    <row r="84">
      <c r="AA84">
        <f>IFERROR(INDEX(MASTER_AREAS!$B:$B,83)&amp;"","")</f>
        <v/>
      </c>
      <c r="AB84">
        <f>IF(OR(AA84="",$B$10=0),0,COUNTIFS(DATA_CHOP!$A:$A,$B$10,DATA_CHOP!$C:$C,AA84))</f>
        <v/>
      </c>
      <c r="AC84">
        <f>IF(AB84=0,0,SUMIFS(DATA_CHOP!$I:$I,DATA_CHOP!$A:$A,$B$10,DATA_CHOP!$C:$C,AA84))</f>
        <v/>
      </c>
      <c r="AD84">
        <f>IF(OR(AA84="",$B$10=0),0,SUMIFS(DATA_CHOP!$I:$I,DATA_CHOP!$A:$A,$B$10-7,DATA_CHOP!$C:$C,AA84))</f>
        <v/>
      </c>
      <c r="AE84">
        <f>IF(OR(AA84="",$B$10=0),0,MAX(0,SUMIFS(DATA_SERVICE_AREAS!$G:$G,DATA_SERVICE_AREAS!$A:$A,$B$10,DATA_SERVICE_AREAS!$C:$C,"CHOP",DATA_SERVICE_AREAS!$D:$D,AA84)-COUNTIFS(MASTER_ZONES!$C:$C,AA84,MASTER_ZONES!$I:$I,"Y",MASTER_ZONES!$D:$D,"Y")))</f>
        <v/>
      </c>
      <c r="AF84">
        <f>IF(OR(AA84="",$B$10=0),0,MAX(0,SUMIFS(DATA_SERVICE_AREAS!$F:$F,DATA_SERVICE_AREAS!$A:$A,$B$10,DATA_SERVICE_AREAS!$C:$C,"CHOP",DATA_SERVICE_AREAS!$D:$D,AA84)-COUNTIFS(DATA_COMMUNITY!$A:$A,$B$10,DATA_COMMUNITY!$D:$D,"CHOP",DATA_COMMUNITY!$E:$E,AA84)))</f>
        <v/>
      </c>
      <c r="AG84">
        <f>IF(AE84=0,"",MIN(1,AF84/AE84))</f>
        <v/>
      </c>
      <c r="AH84">
        <f>IF(OR(AB84=0,AD84=0),"",AC84/AD84-1)</f>
        <v/>
      </c>
      <c r="AI84">
        <f>IF(AB84=0,"",AC84+ROW()/1000000)</f>
        <v/>
      </c>
      <c r="AJ84">
        <f>IF(AG84="","",AG84+ROW()/1000000000)</f>
        <v/>
      </c>
      <c r="AK84">
        <f>IF(AH84="","",AH84+ROW()/1000000000)</f>
        <v/>
      </c>
      <c r="AL84">
        <f>MAX(0,AE84-AF84)</f>
        <v/>
      </c>
      <c r="AM84">
        <f>IF(AND(AL84&gt;0,OR($B$6="*",AA84=$B$6)),ROW(),"")</f>
        <v/>
      </c>
    </row>
    <row r="85">
      <c r="AA85">
        <f>IFERROR(INDEX(MASTER_AREAS!$B:$B,84)&amp;"","")</f>
        <v/>
      </c>
      <c r="AB85">
        <f>IF(OR(AA85="",$B$10=0),0,COUNTIFS(DATA_CHOP!$A:$A,$B$10,DATA_CHOP!$C:$C,AA85))</f>
        <v/>
      </c>
      <c r="AC85">
        <f>IF(AB85=0,0,SUMIFS(DATA_CHOP!$I:$I,DATA_CHOP!$A:$A,$B$10,DATA_CHOP!$C:$C,AA85))</f>
        <v/>
      </c>
      <c r="AD85">
        <f>IF(OR(AA85="",$B$10=0),0,SUMIFS(DATA_CHOP!$I:$I,DATA_CHOP!$A:$A,$B$10-7,DATA_CHOP!$C:$C,AA85))</f>
        <v/>
      </c>
      <c r="AE85">
        <f>IF(OR(AA85="",$B$10=0),0,MAX(0,SUMIFS(DATA_SERVICE_AREAS!$G:$G,DATA_SERVICE_AREAS!$A:$A,$B$10,DATA_SERVICE_AREAS!$C:$C,"CHOP",DATA_SERVICE_AREAS!$D:$D,AA85)-COUNTIFS(MASTER_ZONES!$C:$C,AA85,MASTER_ZONES!$I:$I,"Y",MASTER_ZONES!$D:$D,"Y")))</f>
        <v/>
      </c>
      <c r="AF85">
        <f>IF(OR(AA85="",$B$10=0),0,MAX(0,SUMIFS(DATA_SERVICE_AREAS!$F:$F,DATA_SERVICE_AREAS!$A:$A,$B$10,DATA_SERVICE_AREAS!$C:$C,"CHOP",DATA_SERVICE_AREAS!$D:$D,AA85)-COUNTIFS(DATA_COMMUNITY!$A:$A,$B$10,DATA_COMMUNITY!$D:$D,"CHOP",DATA_COMMUNITY!$E:$E,AA85)))</f>
        <v/>
      </c>
      <c r="AG85">
        <f>IF(AE85=0,"",MIN(1,AF85/AE85))</f>
        <v/>
      </c>
      <c r="AH85">
        <f>IF(OR(AB85=0,AD85=0),"",AC85/AD85-1)</f>
        <v/>
      </c>
      <c r="AI85">
        <f>IF(AB85=0,"",AC85+ROW()/1000000)</f>
        <v/>
      </c>
      <c r="AJ85">
        <f>IF(AG85="","",AG85+ROW()/1000000000)</f>
        <v/>
      </c>
      <c r="AK85">
        <f>IF(AH85="","",AH85+ROW()/1000000000)</f>
        <v/>
      </c>
      <c r="AL85">
        <f>MAX(0,AE85-AF85)</f>
        <v/>
      </c>
      <c r="AM85">
        <f>IF(AND(AL85&gt;0,OR($B$6="*",AA85=$B$6)),ROW(),"")</f>
        <v/>
      </c>
    </row>
    <row r="86">
      <c r="AA86">
        <f>IFERROR(INDEX(MASTER_AREAS!$B:$B,85)&amp;"","")</f>
        <v/>
      </c>
      <c r="AB86">
        <f>IF(OR(AA86="",$B$10=0),0,COUNTIFS(DATA_CHOP!$A:$A,$B$10,DATA_CHOP!$C:$C,AA86))</f>
        <v/>
      </c>
      <c r="AC86">
        <f>IF(AB86=0,0,SUMIFS(DATA_CHOP!$I:$I,DATA_CHOP!$A:$A,$B$10,DATA_CHOP!$C:$C,AA86))</f>
        <v/>
      </c>
      <c r="AD86">
        <f>IF(OR(AA86="",$B$10=0),0,SUMIFS(DATA_CHOP!$I:$I,DATA_CHOP!$A:$A,$B$10-7,DATA_CHOP!$C:$C,AA86))</f>
        <v/>
      </c>
      <c r="AE86">
        <f>IF(OR(AA86="",$B$10=0),0,MAX(0,SUMIFS(DATA_SERVICE_AREAS!$G:$G,DATA_SERVICE_AREAS!$A:$A,$B$10,DATA_SERVICE_AREAS!$C:$C,"CHOP",DATA_SERVICE_AREAS!$D:$D,AA86)-COUNTIFS(MASTER_ZONES!$C:$C,AA86,MASTER_ZONES!$I:$I,"Y",MASTER_ZONES!$D:$D,"Y")))</f>
        <v/>
      </c>
      <c r="AF86">
        <f>IF(OR(AA86="",$B$10=0),0,MAX(0,SUMIFS(DATA_SERVICE_AREAS!$F:$F,DATA_SERVICE_AREAS!$A:$A,$B$10,DATA_SERVICE_AREAS!$C:$C,"CHOP",DATA_SERVICE_AREAS!$D:$D,AA86)-COUNTIFS(DATA_COMMUNITY!$A:$A,$B$10,DATA_COMMUNITY!$D:$D,"CHOP",DATA_COMMUNITY!$E:$E,AA86)))</f>
        <v/>
      </c>
      <c r="AG86">
        <f>IF(AE86=0,"",MIN(1,AF86/AE86))</f>
        <v/>
      </c>
      <c r="AH86">
        <f>IF(OR(AB86=0,AD86=0),"",AC86/AD86-1)</f>
        <v/>
      </c>
      <c r="AI86">
        <f>IF(AB86=0,"",AC86+ROW()/1000000)</f>
        <v/>
      </c>
      <c r="AJ86">
        <f>IF(AG86="","",AG86+ROW()/1000000000)</f>
        <v/>
      </c>
      <c r="AK86">
        <f>IF(AH86="","",AH86+ROW()/1000000000)</f>
        <v/>
      </c>
      <c r="AL86">
        <f>MAX(0,AE86-AF86)</f>
        <v/>
      </c>
      <c r="AM86">
        <f>IF(AND(AL86&gt;0,OR($B$6="*",AA86=$B$6)),ROW(),"")</f>
        <v/>
      </c>
    </row>
    <row r="87">
      <c r="AA87">
        <f>IFERROR(INDEX(MASTER_AREAS!$B:$B,86)&amp;"","")</f>
        <v/>
      </c>
      <c r="AB87">
        <f>IF(OR(AA87="",$B$10=0),0,COUNTIFS(DATA_CHOP!$A:$A,$B$10,DATA_CHOP!$C:$C,AA87))</f>
        <v/>
      </c>
      <c r="AC87">
        <f>IF(AB87=0,0,SUMIFS(DATA_CHOP!$I:$I,DATA_CHOP!$A:$A,$B$10,DATA_CHOP!$C:$C,AA87))</f>
        <v/>
      </c>
      <c r="AD87">
        <f>IF(OR(AA87="",$B$10=0),0,SUMIFS(DATA_CHOP!$I:$I,DATA_CHOP!$A:$A,$B$10-7,DATA_CHOP!$C:$C,AA87))</f>
        <v/>
      </c>
      <c r="AE87">
        <f>IF(OR(AA87="",$B$10=0),0,MAX(0,SUMIFS(DATA_SERVICE_AREAS!$G:$G,DATA_SERVICE_AREAS!$A:$A,$B$10,DATA_SERVICE_AREAS!$C:$C,"CHOP",DATA_SERVICE_AREAS!$D:$D,AA87)-COUNTIFS(MASTER_ZONES!$C:$C,AA87,MASTER_ZONES!$I:$I,"Y",MASTER_ZONES!$D:$D,"Y")))</f>
        <v/>
      </c>
      <c r="AF87">
        <f>IF(OR(AA87="",$B$10=0),0,MAX(0,SUMIFS(DATA_SERVICE_AREAS!$F:$F,DATA_SERVICE_AREAS!$A:$A,$B$10,DATA_SERVICE_AREAS!$C:$C,"CHOP",DATA_SERVICE_AREAS!$D:$D,AA87)-COUNTIFS(DATA_COMMUNITY!$A:$A,$B$10,DATA_COMMUNITY!$D:$D,"CHOP",DATA_COMMUNITY!$E:$E,AA87)))</f>
        <v/>
      </c>
      <c r="AG87">
        <f>IF(AE87=0,"",MIN(1,AF87/AE87))</f>
        <v/>
      </c>
      <c r="AH87">
        <f>IF(OR(AB87=0,AD87=0),"",AC87/AD87-1)</f>
        <v/>
      </c>
      <c r="AI87">
        <f>IF(AB87=0,"",AC87+ROW()/1000000)</f>
        <v/>
      </c>
      <c r="AJ87">
        <f>IF(AG87="","",AG87+ROW()/1000000000)</f>
        <v/>
      </c>
      <c r="AK87">
        <f>IF(AH87="","",AH87+ROW()/1000000000)</f>
        <v/>
      </c>
      <c r="AL87">
        <f>MAX(0,AE87-AF87)</f>
        <v/>
      </c>
      <c r="AM87">
        <f>IF(AND(AL87&gt;0,OR($B$6="*",AA87=$B$6)),ROW(),"")</f>
        <v/>
      </c>
    </row>
    <row r="88">
      <c r="AA88">
        <f>IFERROR(INDEX(MASTER_AREAS!$B:$B,87)&amp;"","")</f>
        <v/>
      </c>
      <c r="AB88">
        <f>IF(OR(AA88="",$B$10=0),0,COUNTIFS(DATA_CHOP!$A:$A,$B$10,DATA_CHOP!$C:$C,AA88))</f>
        <v/>
      </c>
      <c r="AC88">
        <f>IF(AB88=0,0,SUMIFS(DATA_CHOP!$I:$I,DATA_CHOP!$A:$A,$B$10,DATA_CHOP!$C:$C,AA88))</f>
        <v/>
      </c>
      <c r="AD88">
        <f>IF(OR(AA88="",$B$10=0),0,SUMIFS(DATA_CHOP!$I:$I,DATA_CHOP!$A:$A,$B$10-7,DATA_CHOP!$C:$C,AA88))</f>
        <v/>
      </c>
      <c r="AE88">
        <f>IF(OR(AA88="",$B$10=0),0,MAX(0,SUMIFS(DATA_SERVICE_AREAS!$G:$G,DATA_SERVICE_AREAS!$A:$A,$B$10,DATA_SERVICE_AREAS!$C:$C,"CHOP",DATA_SERVICE_AREAS!$D:$D,AA88)-COUNTIFS(MASTER_ZONES!$C:$C,AA88,MASTER_ZONES!$I:$I,"Y",MASTER_ZONES!$D:$D,"Y")))</f>
        <v/>
      </c>
      <c r="AF88">
        <f>IF(OR(AA88="",$B$10=0),0,MAX(0,SUMIFS(DATA_SERVICE_AREAS!$F:$F,DATA_SERVICE_AREAS!$A:$A,$B$10,DATA_SERVICE_AREAS!$C:$C,"CHOP",DATA_SERVICE_AREAS!$D:$D,AA88)-COUNTIFS(DATA_COMMUNITY!$A:$A,$B$10,DATA_COMMUNITY!$D:$D,"CHOP",DATA_COMMUNITY!$E:$E,AA88)))</f>
        <v/>
      </c>
      <c r="AG88">
        <f>IF(AE88=0,"",MIN(1,AF88/AE88))</f>
        <v/>
      </c>
      <c r="AH88">
        <f>IF(OR(AB88=0,AD88=0),"",AC88/AD88-1)</f>
        <v/>
      </c>
      <c r="AI88">
        <f>IF(AB88=0,"",AC88+ROW()/1000000)</f>
        <v/>
      </c>
      <c r="AJ88">
        <f>IF(AG88="","",AG88+ROW()/1000000000)</f>
        <v/>
      </c>
      <c r="AK88">
        <f>IF(AH88="","",AH88+ROW()/1000000000)</f>
        <v/>
      </c>
      <c r="AL88">
        <f>MAX(0,AE88-AF88)</f>
        <v/>
      </c>
      <c r="AM88">
        <f>IF(AND(AL88&gt;0,OR($B$6="*",AA88=$B$6)),ROW(),"")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A89">
        <f>IFERROR(INDEX(MASTER_AREAS!$B:$B,88)&amp;"","")</f>
        <v/>
      </c>
      <c r="AB89">
        <f>IF(OR(AA89="",$B$10=0),0,COUNTIFS(DATA_CHOP!$A:$A,$B$10,DATA_CHOP!$C:$C,AA89))</f>
        <v/>
      </c>
      <c r="AC89">
        <f>IF(AB89=0,0,SUMIFS(DATA_CHOP!$I:$I,DATA_CHOP!$A:$A,$B$10,DATA_CHOP!$C:$C,AA89))</f>
        <v/>
      </c>
      <c r="AD89">
        <f>IF(OR(AA89="",$B$10=0),0,SUMIFS(DATA_CHOP!$I:$I,DATA_CHOP!$A:$A,$B$10-7,DATA_CHOP!$C:$C,AA89))</f>
        <v/>
      </c>
      <c r="AE89">
        <f>IF(OR(AA89="",$B$10=0),0,MAX(0,SUMIFS(DATA_SERVICE_AREAS!$G:$G,DATA_SERVICE_AREAS!$A:$A,$B$10,DATA_SERVICE_AREAS!$C:$C,"CHOP",DATA_SERVICE_AREAS!$D:$D,AA89)-COUNTIFS(MASTER_ZONES!$C:$C,AA89,MASTER_ZONES!$I:$I,"Y",MASTER_ZONES!$D:$D,"Y")))</f>
        <v/>
      </c>
      <c r="AF89">
        <f>IF(OR(AA89="",$B$10=0),0,MAX(0,SUMIFS(DATA_SERVICE_AREAS!$F:$F,DATA_SERVICE_AREAS!$A:$A,$B$10,DATA_SERVICE_AREAS!$C:$C,"CHOP",DATA_SERVICE_AREAS!$D:$D,AA89)-COUNTIFS(DATA_COMMUNITY!$A:$A,$B$10,DATA_COMMUNITY!$D:$D,"CHOP",DATA_COMMUNITY!$E:$E,AA89)))</f>
        <v/>
      </c>
      <c r="AG89">
        <f>IF(AE89=0,"",MIN(1,AF89/AE89))</f>
        <v/>
      </c>
      <c r="AH89">
        <f>IF(OR(AB89=0,AD89=0),"",AC89/AD89-1)</f>
        <v/>
      </c>
      <c r="AI89">
        <f>IF(AB89=0,"",AC89+ROW()/1000000)</f>
        <v/>
      </c>
      <c r="AJ89">
        <f>IF(AG89="","",AG89+ROW()/1000000000)</f>
        <v/>
      </c>
      <c r="AK89">
        <f>IF(AH89="","",AH89+ROW()/1000000000)</f>
        <v/>
      </c>
      <c r="AL89">
        <f>MAX(0,AE89-AF89)</f>
        <v/>
      </c>
      <c r="AM89">
        <f>IF(AND(AL89&gt;0,OR($B$6="*",AA89=$B$6)),ROW(),"")</f>
        <v/>
      </c>
    </row>
    <row r="90">
      <c r="A90" t="inlineStr">
        <is>
          <t>Grand total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  <c r="AA90">
        <f>IFERROR(INDEX(MASTER_AREAS!$B:$B,89)&amp;"","")</f>
        <v/>
      </c>
      <c r="AB90">
        <f>IF(OR(AA90="",$B$10=0),0,COUNTIFS(DATA_CHOP!$A:$A,$B$10,DATA_CHOP!$C:$C,AA90))</f>
        <v/>
      </c>
      <c r="AC90">
        <f>IF(AB90=0,0,SUMIFS(DATA_CHOP!$I:$I,DATA_CHOP!$A:$A,$B$10,DATA_CHOP!$C:$C,AA90))</f>
        <v/>
      </c>
      <c r="AD90">
        <f>IF(OR(AA90="",$B$10=0),0,SUMIFS(DATA_CHOP!$I:$I,DATA_CHOP!$A:$A,$B$10-7,DATA_CHOP!$C:$C,AA90))</f>
        <v/>
      </c>
      <c r="AE90">
        <f>IF(OR(AA90="",$B$10=0),0,MAX(0,SUMIFS(DATA_SERVICE_AREAS!$G:$G,DATA_SERVICE_AREAS!$A:$A,$B$10,DATA_SERVICE_AREAS!$C:$C,"CHOP",DATA_SERVICE_AREAS!$D:$D,AA90)-COUNTIFS(MASTER_ZONES!$C:$C,AA90,MASTER_ZONES!$I:$I,"Y",MASTER_ZONES!$D:$D,"Y")))</f>
        <v/>
      </c>
      <c r="AF90">
        <f>IF(OR(AA90="",$B$10=0),0,MAX(0,SUMIFS(DATA_SERVICE_AREAS!$F:$F,DATA_SERVICE_AREAS!$A:$A,$B$10,DATA_SERVICE_AREAS!$C:$C,"CHOP",DATA_SERVICE_AREAS!$D:$D,AA90)-COUNTIFS(DATA_COMMUNITY!$A:$A,$B$10,DATA_COMMUNITY!$D:$D,"CHOP",DATA_COMMUNITY!$E:$E,AA90)))</f>
        <v/>
      </c>
      <c r="AG90">
        <f>IF(AE90=0,"",MIN(1,AF90/AE90))</f>
        <v/>
      </c>
      <c r="AH90">
        <f>IF(OR(AB90=0,AD90=0),"",AC90/AD90-1)</f>
        <v/>
      </c>
      <c r="AI90">
        <f>IF(AB90=0,"",AC90+ROW()/1000000)</f>
        <v/>
      </c>
      <c r="AJ90">
        <f>IF(AG90="","",AG90+ROW()/1000000000)</f>
        <v/>
      </c>
      <c r="AK90">
        <f>IF(AH90="","",AH90+ROW()/1000000000)</f>
        <v/>
      </c>
      <c r="AL90">
        <f>MAX(0,AE90-AF90)</f>
        <v/>
      </c>
      <c r="AM90">
        <f>IF(AND(AL90&gt;0,OR($B$6="*",AA90=$B$6)),ROW(),"")</f>
        <v/>
      </c>
    </row>
    <row r="91">
      <c r="A91" t="inlineStr">
        <is>
          <t>Adult total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  <c r="AA91">
        <f>IFERROR(INDEX(MASTER_AREAS!$B:$B,90)&amp;"","")</f>
        <v/>
      </c>
      <c r="AB91">
        <f>IF(OR(AA91="",$B$10=0),0,COUNTIFS(DATA_CHOP!$A:$A,$B$10,DATA_CHOP!$C:$C,AA91))</f>
        <v/>
      </c>
      <c r="AC91">
        <f>IF(AB91=0,0,SUMIFS(DATA_CHOP!$I:$I,DATA_CHOP!$A:$A,$B$10,DATA_CHOP!$C:$C,AA91))</f>
        <v/>
      </c>
      <c r="AD91">
        <f>IF(OR(AA91="",$B$10=0),0,SUMIFS(DATA_CHOP!$I:$I,DATA_CHOP!$A:$A,$B$10-7,DATA_CHOP!$C:$C,AA91))</f>
        <v/>
      </c>
      <c r="AE91">
        <f>IF(OR(AA91="",$B$10=0),0,MAX(0,SUMIFS(DATA_SERVICE_AREAS!$G:$G,DATA_SERVICE_AREAS!$A:$A,$B$10,DATA_SERVICE_AREAS!$C:$C,"CHOP",DATA_SERVICE_AREAS!$D:$D,AA91)-COUNTIFS(MASTER_ZONES!$C:$C,AA91,MASTER_ZONES!$I:$I,"Y",MASTER_ZONES!$D:$D,"Y")))</f>
        <v/>
      </c>
      <c r="AF91">
        <f>IF(OR(AA91="",$B$10=0),0,MAX(0,SUMIFS(DATA_SERVICE_AREAS!$F:$F,DATA_SERVICE_AREAS!$A:$A,$B$10,DATA_SERVICE_AREAS!$C:$C,"CHOP",DATA_SERVICE_AREAS!$D:$D,AA91)-COUNTIFS(DATA_COMMUNITY!$A:$A,$B$10,DATA_COMMUNITY!$D:$D,"CHOP",DATA_COMMUNITY!$E:$E,AA91)))</f>
        <v/>
      </c>
      <c r="AG91">
        <f>IF(AE91=0,"",MIN(1,AF91/AE91))</f>
        <v/>
      </c>
      <c r="AH91">
        <f>IF(OR(AB91=0,AD91=0),"",AC91/AD91-1)</f>
        <v/>
      </c>
      <c r="AI91">
        <f>IF(AB91=0,"",AC91+ROW()/1000000)</f>
        <v/>
      </c>
      <c r="AJ91">
        <f>IF(AG91="","",AG91+ROW()/1000000000)</f>
        <v/>
      </c>
      <c r="AK91">
        <f>IF(AH91="","",AH91+ROW()/1000000000)</f>
        <v/>
      </c>
      <c r="AL91">
        <f>MAX(0,AE91-AF91)</f>
        <v/>
      </c>
      <c r="AM91">
        <f>IF(AND(AL91&gt;0,OR($B$6="*",AA91=$B$6)),ROW(),"")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  <c r="AA92">
        <f>IFERROR(INDEX(MASTER_AREAS!$B:$B,91)&amp;"","")</f>
        <v/>
      </c>
      <c r="AB92">
        <f>IF(OR(AA92="",$B$10=0),0,COUNTIFS(DATA_CHOP!$A:$A,$B$10,DATA_CHOP!$C:$C,AA92))</f>
        <v/>
      </c>
      <c r="AC92">
        <f>IF(AB92=0,0,SUMIFS(DATA_CHOP!$I:$I,DATA_CHOP!$A:$A,$B$10,DATA_CHOP!$C:$C,AA92))</f>
        <v/>
      </c>
      <c r="AD92">
        <f>IF(OR(AA92="",$B$10=0),0,SUMIFS(DATA_CHOP!$I:$I,DATA_CHOP!$A:$A,$B$10-7,DATA_CHOP!$C:$C,AA92))</f>
        <v/>
      </c>
      <c r="AE92">
        <f>IF(OR(AA92="",$B$10=0),0,MAX(0,SUMIFS(DATA_SERVICE_AREAS!$G:$G,DATA_SERVICE_AREAS!$A:$A,$B$10,DATA_SERVICE_AREAS!$C:$C,"CHOP",DATA_SERVICE_AREAS!$D:$D,AA92)-COUNTIFS(MASTER_ZONES!$C:$C,AA92,MASTER_ZONES!$I:$I,"Y",MASTER_ZONES!$D:$D,"Y")))</f>
        <v/>
      </c>
      <c r="AF92">
        <f>IF(OR(AA92="",$B$10=0),0,MAX(0,SUMIFS(DATA_SERVICE_AREAS!$F:$F,DATA_SERVICE_AREAS!$A:$A,$B$10,DATA_SERVICE_AREAS!$C:$C,"CHOP",DATA_SERVICE_AREAS!$D:$D,AA92)-COUNTIFS(DATA_COMMUNITY!$A:$A,$B$10,DATA_COMMUNITY!$D:$D,"CHOP",DATA_COMMUNITY!$E:$E,AA92)))</f>
        <v/>
      </c>
      <c r="AG92">
        <f>IF(AE92=0,"",MIN(1,AF92/AE92))</f>
        <v/>
      </c>
      <c r="AH92">
        <f>IF(OR(AB92=0,AD92=0),"",AC92/AD92-1)</f>
        <v/>
      </c>
      <c r="AI92">
        <f>IF(AB92=0,"",AC92+ROW()/1000000)</f>
        <v/>
      </c>
      <c r="AJ92">
        <f>IF(AG92="","",AG92+ROW()/1000000000)</f>
        <v/>
      </c>
      <c r="AK92">
        <f>IF(AH92="","",AH92+ROW()/1000000000)</f>
        <v/>
      </c>
      <c r="AL92">
        <f>MAX(0,AE92-AF92)</f>
        <v/>
      </c>
      <c r="AM92">
        <f>IF(AND(AL92&gt;0,OR($B$6="*",AA92=$B$6)),ROW(),"")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  <c r="AA93">
        <f>IFERROR(INDEX(MASTER_AREAS!$B:$B,92)&amp;"","")</f>
        <v/>
      </c>
      <c r="AB93">
        <f>IF(OR(AA93="",$B$10=0),0,COUNTIFS(DATA_CHOP!$A:$A,$B$10,DATA_CHOP!$C:$C,AA93))</f>
        <v/>
      </c>
      <c r="AC93">
        <f>IF(AB93=0,0,SUMIFS(DATA_CHOP!$I:$I,DATA_CHOP!$A:$A,$B$10,DATA_CHOP!$C:$C,AA93))</f>
        <v/>
      </c>
      <c r="AD93">
        <f>IF(OR(AA93="",$B$10=0),0,SUMIFS(DATA_CHOP!$I:$I,DATA_CHOP!$A:$A,$B$10-7,DATA_CHOP!$C:$C,AA93))</f>
        <v/>
      </c>
      <c r="AE93">
        <f>IF(OR(AA93="",$B$10=0),0,MAX(0,SUMIFS(DATA_SERVICE_AREAS!$G:$G,DATA_SERVICE_AREAS!$A:$A,$B$10,DATA_SERVICE_AREAS!$C:$C,"CHOP",DATA_SERVICE_AREAS!$D:$D,AA93)-COUNTIFS(MASTER_ZONES!$C:$C,AA93,MASTER_ZONES!$I:$I,"Y",MASTER_ZONES!$D:$D,"Y")))</f>
        <v/>
      </c>
      <c r="AF93">
        <f>IF(OR(AA93="",$B$10=0),0,MAX(0,SUMIFS(DATA_SERVICE_AREAS!$F:$F,DATA_SERVICE_AREAS!$A:$A,$B$10,DATA_SERVICE_AREAS!$C:$C,"CHOP",DATA_SERVICE_AREAS!$D:$D,AA93)-COUNTIFS(DATA_COMMUNITY!$A:$A,$B$10,DATA_COMMUNITY!$D:$D,"CHOP",DATA_COMMUNITY!$E:$E,AA93)))</f>
        <v/>
      </c>
      <c r="AG93">
        <f>IF(AE93=0,"",MIN(1,AF93/AE93))</f>
        <v/>
      </c>
      <c r="AH93">
        <f>IF(OR(AB93=0,AD93=0),"",AC93/AD93-1)</f>
        <v/>
      </c>
      <c r="AI93">
        <f>IF(AB93=0,"",AC93+ROW()/1000000)</f>
        <v/>
      </c>
      <c r="AJ93">
        <f>IF(AG93="","",AG93+ROW()/1000000000)</f>
        <v/>
      </c>
      <c r="AK93">
        <f>IF(AH93="","",AH93+ROW()/1000000000)</f>
        <v/>
      </c>
      <c r="AL93">
        <f>MAX(0,AE93-AF93)</f>
        <v/>
      </c>
      <c r="AM93">
        <f>IF(AND(AL93&gt;0,OR($B$6="*",AA93=$B$6)),ROW(),"")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  <c r="AA94">
        <f>IFERROR(INDEX(MASTER_AREAS!$B:$B,93)&amp;"","")</f>
        <v/>
      </c>
      <c r="AB94">
        <f>IF(OR(AA94="",$B$10=0),0,COUNTIFS(DATA_CHOP!$A:$A,$B$10,DATA_CHOP!$C:$C,AA94))</f>
        <v/>
      </c>
      <c r="AC94">
        <f>IF(AB94=0,0,SUMIFS(DATA_CHOP!$I:$I,DATA_CHOP!$A:$A,$B$10,DATA_CHOP!$C:$C,AA94))</f>
        <v/>
      </c>
      <c r="AD94">
        <f>IF(OR(AA94="",$B$10=0),0,SUMIFS(DATA_CHOP!$I:$I,DATA_CHOP!$A:$A,$B$10-7,DATA_CHOP!$C:$C,AA94))</f>
        <v/>
      </c>
      <c r="AE94">
        <f>IF(OR(AA94="",$B$10=0),0,MAX(0,SUMIFS(DATA_SERVICE_AREAS!$G:$G,DATA_SERVICE_AREAS!$A:$A,$B$10,DATA_SERVICE_AREAS!$C:$C,"CHOP",DATA_SERVICE_AREAS!$D:$D,AA94)-COUNTIFS(MASTER_ZONES!$C:$C,AA94,MASTER_ZONES!$I:$I,"Y",MASTER_ZONES!$D:$D,"Y")))</f>
        <v/>
      </c>
      <c r="AF94">
        <f>IF(OR(AA94="",$B$10=0),0,MAX(0,SUMIFS(DATA_SERVICE_AREAS!$F:$F,DATA_SERVICE_AREAS!$A:$A,$B$10,DATA_SERVICE_AREAS!$C:$C,"CHOP",DATA_SERVICE_AREAS!$D:$D,AA94)-COUNTIFS(DATA_COMMUNITY!$A:$A,$B$10,DATA_COMMUNITY!$D:$D,"CHOP",DATA_COMMUNITY!$E:$E,AA94)))</f>
        <v/>
      </c>
      <c r="AG94">
        <f>IF(AE94=0,"",MIN(1,AF94/AE94))</f>
        <v/>
      </c>
      <c r="AH94">
        <f>IF(OR(AB94=0,AD94=0),"",AC94/AD94-1)</f>
        <v/>
      </c>
      <c r="AI94">
        <f>IF(AB94=0,"",AC94+ROW()/1000000)</f>
        <v/>
      </c>
      <c r="AJ94">
        <f>IF(AG94="","",AG94+ROW()/1000000000)</f>
        <v/>
      </c>
      <c r="AK94">
        <f>IF(AH94="","",AH94+ROW()/1000000000)</f>
        <v/>
      </c>
      <c r="AL94">
        <f>MAX(0,AE94-AF94)</f>
        <v/>
      </c>
      <c r="AM94">
        <f>IF(AND(AL94&gt;0,OR($B$6="*",AA94=$B$6)),ROW(),"")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  <c r="AA95">
        <f>IFERROR(INDEX(MASTER_AREAS!$B:$B,94)&amp;"","")</f>
        <v/>
      </c>
      <c r="AB95">
        <f>IF(OR(AA95="",$B$10=0),0,COUNTIFS(DATA_CHOP!$A:$A,$B$10,DATA_CHOP!$C:$C,AA95))</f>
        <v/>
      </c>
      <c r="AC95">
        <f>IF(AB95=0,0,SUMIFS(DATA_CHOP!$I:$I,DATA_CHOP!$A:$A,$B$10,DATA_CHOP!$C:$C,AA95))</f>
        <v/>
      </c>
      <c r="AD95">
        <f>IF(OR(AA95="",$B$10=0),0,SUMIFS(DATA_CHOP!$I:$I,DATA_CHOP!$A:$A,$B$10-7,DATA_CHOP!$C:$C,AA95))</f>
        <v/>
      </c>
      <c r="AE95">
        <f>IF(OR(AA95="",$B$10=0),0,MAX(0,SUMIFS(DATA_SERVICE_AREAS!$G:$G,DATA_SERVICE_AREAS!$A:$A,$B$10,DATA_SERVICE_AREAS!$C:$C,"CHOP",DATA_SERVICE_AREAS!$D:$D,AA95)-COUNTIFS(MASTER_ZONES!$C:$C,AA95,MASTER_ZONES!$I:$I,"Y",MASTER_ZONES!$D:$D,"Y")))</f>
        <v/>
      </c>
      <c r="AF95">
        <f>IF(OR(AA95="",$B$10=0),0,MAX(0,SUMIFS(DATA_SERVICE_AREAS!$F:$F,DATA_SERVICE_AREAS!$A:$A,$B$10,DATA_SERVICE_AREAS!$C:$C,"CHOP",DATA_SERVICE_AREAS!$D:$D,AA95)-COUNTIFS(DATA_COMMUNITY!$A:$A,$B$10,DATA_COMMUNITY!$D:$D,"CHOP",DATA_COMMUNITY!$E:$E,AA95)))</f>
        <v/>
      </c>
      <c r="AG95">
        <f>IF(AE95=0,"",MIN(1,AF95/AE95))</f>
        <v/>
      </c>
      <c r="AH95">
        <f>IF(OR(AB95=0,AD95=0),"",AC95/AD95-1)</f>
        <v/>
      </c>
      <c r="AI95">
        <f>IF(AB95=0,"",AC95+ROW()/1000000)</f>
        <v/>
      </c>
      <c r="AJ95">
        <f>IF(AG95="","",AG95+ROW()/1000000000)</f>
        <v/>
      </c>
      <c r="AK95">
        <f>IF(AH95="","",AH95+ROW()/1000000000)</f>
        <v/>
      </c>
      <c r="AL95">
        <f>MAX(0,AE95-AF95)</f>
        <v/>
      </c>
      <c r="AM95">
        <f>IF(AND(AL95&gt;0,OR($B$6="*",AA95=$B$6)),ROW(),"")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CHOP zones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CHOP zones that reported</t>
        </is>
      </c>
      <c r="B98">
        <f>IF($S$21=0,"",O21)</f>
        <v/>
      </c>
      <c r="C98">
        <f>IF($S$22=0,"",O22)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IF(SUM($T$21:$T$80)=0,"",SUMPRODUCT($O$21:$O$80,$T$21:$T$80)/SUM($T$21:$T$80))</f>
        <v/>
      </c>
      <c r="G98">
        <f>IF(OR(B98="",F98=""),"",IF(F98=0,"",B98/F98-1))</f>
        <v/>
      </c>
      <c r="H98">
        <f>IF(SUM($U$21:$U$80)=0,"",SUMPRODUCT($O$21:$O$80,$U$21:$U$80))</f>
        <v/>
      </c>
      <c r="I98">
        <f>IF(SUM($V$21:$V$80)=0,"",SUMPRODUCT($O$21:$O$80,$V$21:$V$80))</f>
        <v/>
      </c>
      <c r="J98">
        <f>IF(SUM($W$21:$W$80)=0,"",SUMPRODUCT($O$21:$O$80,$W$21:$W$80))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CHOP zones with no report</t>
        </is>
      </c>
      <c r="B99">
        <f>IF($S$21=0,"",P21)</f>
        <v/>
      </c>
      <c r="C99">
        <f>IF($S$22=0,"",P22)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IF(SUM($T$21:$T$80)=0,"",SUMPRODUCT($P$21:$P$80,$T$21:$T$80)/SUM($T$21:$T$80))</f>
        <v/>
      </c>
      <c r="G99">
        <f>IF(OR(B99="",F99=""),"",IF(F99=0,"",B99/F99-1))</f>
        <v/>
      </c>
      <c r="H99">
        <f>IF(SUM($U$21:$U$80)=0,"",SUMPRODUCT($P$21:$P$80,$U$21:$U$80))</f>
        <v/>
      </c>
      <c r="I99">
        <f>IF(SUM($V$21:$V$80)=0,"",SUMPRODUCT($P$21:$P$80,$V$21:$V$80))</f>
        <v/>
      </c>
      <c r="J99">
        <f>IF(SUM($W$21:$W$80)=0,"",SUMPRODUCT($P$21:$P$80,$W$21:$W$80))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% CHOP zones reporting</t>
        </is>
      </c>
      <c r="B100">
        <f>IF(OR($S$21=0,N21=0),"",O21/N21)</f>
        <v/>
      </c>
      <c r="C100">
        <f>IF(OR($S$22=0,N22=0),"",O22/N22)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IF(SUMPRODUCT($N$21:$N$80,$T$21:$T$80)=0,"",SUMPRODUCT($O$21:$O$80,$T$21:$T$80)/SUMPRODUCT($N$21:$N$80,$T$21:$T$80))</f>
        <v/>
      </c>
      <c r="G100">
        <f>IF(OR(B100="",F100=""),"",IF(F100=0,"",B100/F100-1))</f>
        <v/>
      </c>
      <c r="H100">
        <f>IF(SUMPRODUCT($N$21:$N$80,$U$21:$U$80)=0,"",SUMPRODUCT($O$21:$O$80,$U$21:$U$80)/SUMPRODUCT($N$21:$N$80,$U$21:$U$80))</f>
        <v/>
      </c>
      <c r="I100">
        <f>IF(SUMPRODUCT($N$21:$N$80,$V$21:$V$80)=0,"",SUMPRODUCT($O$21:$O$80,$V$21:$V$80)/SUMPRODUCT($N$21:$N$80,$V$21:$V$80))</f>
        <v/>
      </c>
      <c r="J100">
        <f>IF(SUMPRODUCT($N$21:$N$80,$W$21:$W$80)=0,"",SUMPRODUCT($O$21:$O$80,$W$21:$W$80)/SUMPRODUCT($N$21:$N$80,$W$21:$W$80))</f>
        <v/>
      </c>
      <c r="K100">
        <f>H100</f>
        <v/>
      </c>
      <c r="L100">
        <f>I100</f>
        <v/>
      </c>
      <c r="M100">
        <f>J100</f>
        <v/>
      </c>
    </row>
    <row r="101">
      <c r="A101" t="inlineStr">
        <is>
          <t>Reporting : non-reporting</t>
        </is>
      </c>
      <c r="B101">
        <f>IF(OR($S$21=0,P21=0),"",O21/P21)</f>
        <v/>
      </c>
      <c r="C101">
        <f>IF(OR($S$22=0,P22=0),"",O22/P22)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IF(SUMPRODUCT($P$21:$P$80,$T$21:$T$80)=0,"",SUMPRODUCT($O$21:$O$80,$T$21:$T$80)/SUMPRODUCT($P$21:$P$80,$T$21:$T$80))</f>
        <v/>
      </c>
      <c r="G101">
        <f>IF(OR(B101="",F101=""),"",IF(F101=0,"",B101/F101-1))</f>
        <v/>
      </c>
      <c r="H101">
        <f>IF(SUMPRODUCT($P$21:$P$80,$U$21:$U$80)=0,"",SUMPRODUCT($O$21:$O$80,$U$21:$U$80)/SUMPRODUCT($P$21:$P$80,$U$21:$U$80))</f>
        <v/>
      </c>
      <c r="I101">
        <f>IF(SUMPRODUCT($P$21:$P$80,$V$21:$V$80)=0,"",SUMPRODUCT($O$21:$O$80,$V$21:$V$80)/SUMPRODUCT($P$21:$P$80,$V$21:$V$80))</f>
        <v/>
      </c>
      <c r="J101">
        <f>IF(SUMPRODUCT($P$21:$P$80,$W$21:$W$80)=0,"",SUMPRODUCT($O$21:$O$80,$W$21:$W$80)/SUMPRODUCT($P$21:$P$80,$W$21:$W$80))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zone</t>
        </is>
      </c>
      <c r="B102">
        <f>IF(OR($S$21=0,O21=0),"",K21/O21)</f>
        <v/>
      </c>
      <c r="C102">
        <f>IF(OR($S$22=0,O22=0),"",K22/O22)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IF(SUMPRODUCT($O$21:$O$80,$T$21:$T$80)=0,"",SUMPRODUCT($K$21:$K$80,$T$21:$T$80)/SUMPRODUCT($O$21:$O$80,$T$21:$T$80))</f>
        <v/>
      </c>
      <c r="G102">
        <f>IF(OR(B102="",F102=""),"",IF(F102=0,"",B102/F102-1))</f>
        <v/>
      </c>
      <c r="H102">
        <f>IF(SUMPRODUCT($O$21:$O$80,$U$21:$U$80)=0,"",SUMPRODUCT($K$21:$K$80,$U$21:$U$80)/SUMPRODUCT($O$21:$O$80,$U$21:$U$80))</f>
        <v/>
      </c>
      <c r="I102">
        <f>IF(SUMPRODUCT($O$21:$O$80,$V$21:$V$80)=0,"",SUMPRODUCT($K$21:$K$80,$V$21:$V$80)/SUMPRODUCT($O$21:$O$80,$V$21:$V$80))</f>
        <v/>
      </c>
      <c r="J102">
        <f>IF(SUMPRODUCT($O$21:$O$80,$W$21:$W$80)=0,"",SUMPRODUCT($K$21:$K$80,$W$21:$W$80)/SUMPRODUCT($O$21:$O$80,$W$21:$W$80))</f>
        <v/>
      </c>
      <c r="K102">
        <f>H102</f>
        <v/>
      </c>
      <c r="L102">
        <f>I102</f>
        <v/>
      </c>
      <c r="M102">
        <f>J102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Q33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Q32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Q31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Q30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Q29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Q28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Q27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Q26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Q25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Q24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Q23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Q22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Q21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173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CALC_COMMUNITY — helper calculations for the COMMUNITY CHURCH DASHBOARD (hidden)</t>
        </is>
      </c>
    </row>
    <row r="2">
      <c r="AA2" t="inlineStr">
        <is>
          <t>Church</t>
        </is>
      </c>
      <c r="AB2" t="inlineStr">
        <is>
          <t>Name</t>
        </is>
      </c>
      <c r="AC2" t="inlineStr">
        <is>
          <t>Area</t>
        </is>
      </c>
      <c r="AD2" t="inlineStr">
        <is>
          <t>In scope</t>
        </is>
      </c>
      <c r="AE2" t="inlineStr">
        <is>
          <t>Sunday</t>
        </is>
      </c>
      <c r="AF2" t="inlineStr">
        <is>
          <t>Prev Sunday</t>
        </is>
      </c>
      <c r="AG2" t="inlineStr">
        <is>
          <t>Growth</t>
        </is>
      </c>
      <c r="AH2" t="inlineStr">
        <is>
          <t>Avg N wks</t>
        </is>
      </c>
      <c r="AI2" t="inlineStr">
        <is>
          <t>vs avg</t>
        </is>
      </c>
      <c r="AJ2" t="inlineStr">
        <is>
          <t>First timers</t>
        </is>
      </c>
      <c r="AK2" t="inlineStr">
        <is>
          <t>Pastors</t>
        </is>
      </c>
      <c r="AL2" t="inlineStr">
        <is>
          <t>Reported</t>
        </is>
      </c>
      <c r="AM2" t="inlineStr">
        <is>
          <t>Row</t>
        </is>
      </c>
      <c r="AN2" t="inlineStr">
        <is>
          <t>Missing row</t>
        </is>
      </c>
    </row>
    <row r="3">
      <c r="A3" t="inlineStr">
        <is>
          <t>Scope</t>
        </is>
      </c>
      <c r="B3">
        <f>'COMMUNITY CHURCH DASHBOARD'!B4</f>
        <v/>
      </c>
      <c r="AA3">
        <f>IFERROR(INDEX(MASTER_COMMUNITY!$A:$A,2)&amp;"","")</f>
        <v/>
      </c>
      <c r="AB3">
        <f>IF(AA3="","",INDEX(MASTER_COMMUNITY!$B:$B,2)&amp;"")</f>
        <v/>
      </c>
      <c r="AC3">
        <f>IF(AA3="","",INDEX(MASTER_COMMUNITY!$C:$C,2)&amp;"")</f>
        <v/>
      </c>
      <c r="AD3">
        <f>AND(AA3&lt;&gt;"",OR($B$6="*",AC3=$B$6),OR($B$7="*",AA3=$B$7))</f>
        <v/>
      </c>
      <c r="AE3">
        <f>IF(OR(AA3="",$B$10=0),"",IF(COUNTIFS(DATA_COMMUNITY!$A:$A,$B$10,DATA_COMMUNITY!$C:$C,AA3,DATA_COMMUNITY!$D:$D,"Sunday")=0,"",SUMIFS(DATA_COMMUNITY!$K:$K,DATA_COMMUNITY!$A:$A,$B$10,DATA_COMMUNITY!$C:$C,AA3,DATA_COMMUNITY!$D:$D,"Sunday")))</f>
        <v/>
      </c>
      <c r="AF3">
        <f>IF(OR(AA3="",$B$10=0),"",IF(COUNTIFS(DATA_COMMUNITY!$A:$A,$B$10-7,DATA_COMMUNITY!$C:$C,AA3,DATA_COMMUNITY!$D:$D,"Sunday")=0,"",SUMIFS(DATA_COMMUNITY!$K:$K,DATA_COMMUNITY!$A:$A,$B$10-7,DATA_COMMUNITY!$C:$C,AA3,DATA_COMMUNITY!$D:$D,"Sunday")))</f>
        <v/>
      </c>
      <c r="AG3">
        <f>IF(OR(AE3="",AF3="",AF3=0),"",AE3/AF3-1)</f>
        <v/>
      </c>
      <c r="AH3">
        <f>IF(OR(AA3="",$B$10=0),"",IF(COUNTIFS(DATA_COMMUNITY!$A:$A,"&gt;="&amp;($B$10-7*$B$11),DATA_COMMUNITY!$A:$A,"&lt;"&amp;$B$10,DATA_COMMUNITY!$C:$C,AA3,DATA_COMMUNITY!$D:$D,"Sunday")=0,"",SUMIFS(DATA_COMMUNITY!$K:$K,DATA_COMMUNITY!$A:$A,"&gt;="&amp;($B$10-7*$B$11),DATA_COMMUNITY!$A:$A,"&lt;"&amp;$B$10,DATA_COMMUNITY!$C:$C,AA3,DATA_COMMUNITY!$D:$D,"Sunday")/COUNTIFS(DATA_COMMUNITY!$A:$A,"&gt;="&amp;($B$10-7*$B$11),DATA_COMMUNITY!$A:$A,"&lt;"&amp;$B$10,DATA_COMMUNITY!$C:$C,AA3,DATA_COMMUNITY!$D:$D,"Sunday")))</f>
        <v/>
      </c>
      <c r="AI3">
        <f>IF(OR(AE3="",AH3="",AH3=0),"",AE3/AH3-1)</f>
        <v/>
      </c>
      <c r="AJ3">
        <f>IF(AE3="","",SUMIFS(DATA_COMMUNITY!$L:$L,DATA_COMMUNITY!$A:$A,$B$10,DATA_COMMUNITY!$C:$C,AA3,DATA_COMMUNITY!$D:$D,"Sunday"))</f>
        <v/>
      </c>
      <c r="AK3">
        <f>IF(AE3="","",SUMIFS(DATA_COMMUNITY!$O:$O,DATA_COMMUNITY!$A:$A,$B$10,DATA_COMMUNITY!$C:$C,AA3,DATA_COMMUNITY!$D:$D,"Sunday"))</f>
        <v/>
      </c>
      <c r="AL3">
        <f>IF(AA3="","",IF(AE3="","No","Yes"))</f>
        <v/>
      </c>
      <c r="AM3">
        <f>IF(AD3,ROW(),"")</f>
        <v/>
      </c>
      <c r="AN3">
        <f>IF(AND(AD3,AL3="No"),ROW(),"")</f>
        <v/>
      </c>
      <c r="AP3">
        <f>IFERROR(SMALL($AM$3:$AM$62,1),"")</f>
        <v/>
      </c>
      <c r="AQ3">
        <f>IFERROR(SMALL($AN$3:$AN$62,1),"")</f>
        <v/>
      </c>
    </row>
    <row r="4">
      <c r="A4" t="inlineStr">
        <is>
          <t>Selection</t>
        </is>
      </c>
      <c r="B4">
        <f>IF('COMMUNITY CHURCH DASHBOARD'!E4="","",'COMMUNITY CHURCH DASHBOARD'!E4)</f>
        <v/>
      </c>
      <c r="AA4">
        <f>IFERROR(INDEX(MASTER_COMMUNITY!$A:$A,3)&amp;"","")</f>
        <v/>
      </c>
      <c r="AB4">
        <f>IF(AA4="","",INDEX(MASTER_COMMUNITY!$B:$B,3)&amp;"")</f>
        <v/>
      </c>
      <c r="AC4">
        <f>IF(AA4="","",INDEX(MASTER_COMMUNITY!$C:$C,3)&amp;"")</f>
        <v/>
      </c>
      <c r="AD4">
        <f>AND(AA4&lt;&gt;"",OR($B$6="*",AC4=$B$6),OR($B$7="*",AA4=$B$7))</f>
        <v/>
      </c>
      <c r="AE4">
        <f>IF(OR(AA4="",$B$10=0),"",IF(COUNTIFS(DATA_COMMUNITY!$A:$A,$B$10,DATA_COMMUNITY!$C:$C,AA4,DATA_COMMUNITY!$D:$D,"Sunday")=0,"",SUMIFS(DATA_COMMUNITY!$K:$K,DATA_COMMUNITY!$A:$A,$B$10,DATA_COMMUNITY!$C:$C,AA4,DATA_COMMUNITY!$D:$D,"Sunday")))</f>
        <v/>
      </c>
      <c r="AF4">
        <f>IF(OR(AA4="",$B$10=0),"",IF(COUNTIFS(DATA_COMMUNITY!$A:$A,$B$10-7,DATA_COMMUNITY!$C:$C,AA4,DATA_COMMUNITY!$D:$D,"Sunday")=0,"",SUMIFS(DATA_COMMUNITY!$K:$K,DATA_COMMUNITY!$A:$A,$B$10-7,DATA_COMMUNITY!$C:$C,AA4,DATA_COMMUNITY!$D:$D,"Sunday")))</f>
        <v/>
      </c>
      <c r="AG4">
        <f>IF(OR(AE4="",AF4="",AF4=0),"",AE4/AF4-1)</f>
        <v/>
      </c>
      <c r="AH4">
        <f>IF(OR(AA4="",$B$10=0),"",IF(COUNTIFS(DATA_COMMUNITY!$A:$A,"&gt;="&amp;($B$10-7*$B$11),DATA_COMMUNITY!$A:$A,"&lt;"&amp;$B$10,DATA_COMMUNITY!$C:$C,AA4,DATA_COMMUNITY!$D:$D,"Sunday")=0,"",SUMIFS(DATA_COMMUNITY!$K:$K,DATA_COMMUNITY!$A:$A,"&gt;="&amp;($B$10-7*$B$11),DATA_COMMUNITY!$A:$A,"&lt;"&amp;$B$10,DATA_COMMUNITY!$C:$C,AA4,DATA_COMMUNITY!$D:$D,"Sunday")/COUNTIFS(DATA_COMMUNITY!$A:$A,"&gt;="&amp;($B$10-7*$B$11),DATA_COMMUNITY!$A:$A,"&lt;"&amp;$B$10,DATA_COMMUNITY!$C:$C,AA4,DATA_COMMUNITY!$D:$D,"Sunday")))</f>
        <v/>
      </c>
      <c r="AI4">
        <f>IF(OR(AE4="",AH4="",AH4=0),"",AE4/AH4-1)</f>
        <v/>
      </c>
      <c r="AJ4">
        <f>IF(AE4="","",SUMIFS(DATA_COMMUNITY!$L:$L,DATA_COMMUNITY!$A:$A,$B$10,DATA_COMMUNITY!$C:$C,AA4,DATA_COMMUNITY!$D:$D,"Sunday"))</f>
        <v/>
      </c>
      <c r="AK4">
        <f>IF(AE4="","",SUMIFS(DATA_COMMUNITY!$O:$O,DATA_COMMUNITY!$A:$A,$B$10,DATA_COMMUNITY!$C:$C,AA4,DATA_COMMUNITY!$D:$D,"Sunday"))</f>
        <v/>
      </c>
      <c r="AL4">
        <f>IF(AA4="","",IF(AE4="","No","Yes"))</f>
        <v/>
      </c>
      <c r="AM4">
        <f>IF(AD4,ROW(),"")</f>
        <v/>
      </c>
      <c r="AN4">
        <f>IF(AND(AD4,AL4="No"),ROW(),"")</f>
        <v/>
      </c>
      <c r="AP4">
        <f>IFERROR(SMALL($AM$3:$AM$62,2),"")</f>
        <v/>
      </c>
      <c r="AQ4">
        <f>IFERROR(SMALL($AN$3:$AN$62,2),"")</f>
        <v/>
      </c>
    </row>
    <row r="5">
      <c r="A5" t="inlineStr">
        <is>
          <t>Selection valid</t>
        </is>
      </c>
      <c r="B5">
        <f>IF(B3="Global",TRUE,IF(B3="Area",COUNTIF(MASTER_AREAS!$B:$B,B4)&gt;0,COUNTIF(MASTER_COMMUNITY!$A:$A,B4)&gt;0))</f>
        <v/>
      </c>
      <c r="AA5">
        <f>IFERROR(INDEX(MASTER_COMMUNITY!$A:$A,4)&amp;"","")</f>
        <v/>
      </c>
      <c r="AB5">
        <f>IF(AA5="","",INDEX(MASTER_COMMUNITY!$B:$B,4)&amp;"")</f>
        <v/>
      </c>
      <c r="AC5">
        <f>IF(AA5="","",INDEX(MASTER_COMMUNITY!$C:$C,4)&amp;"")</f>
        <v/>
      </c>
      <c r="AD5">
        <f>AND(AA5&lt;&gt;"",OR($B$6="*",AC5=$B$6),OR($B$7="*",AA5=$B$7))</f>
        <v/>
      </c>
      <c r="AE5">
        <f>IF(OR(AA5="",$B$10=0),"",IF(COUNTIFS(DATA_COMMUNITY!$A:$A,$B$10,DATA_COMMUNITY!$C:$C,AA5,DATA_COMMUNITY!$D:$D,"Sunday")=0,"",SUMIFS(DATA_COMMUNITY!$K:$K,DATA_COMMUNITY!$A:$A,$B$10,DATA_COMMUNITY!$C:$C,AA5,DATA_COMMUNITY!$D:$D,"Sunday")))</f>
        <v/>
      </c>
      <c r="AF5">
        <f>IF(OR(AA5="",$B$10=0),"",IF(COUNTIFS(DATA_COMMUNITY!$A:$A,$B$10-7,DATA_COMMUNITY!$C:$C,AA5,DATA_COMMUNITY!$D:$D,"Sunday")=0,"",SUMIFS(DATA_COMMUNITY!$K:$K,DATA_COMMUNITY!$A:$A,$B$10-7,DATA_COMMUNITY!$C:$C,AA5,DATA_COMMUNITY!$D:$D,"Sunday")))</f>
        <v/>
      </c>
      <c r="AG5">
        <f>IF(OR(AE5="",AF5="",AF5=0),"",AE5/AF5-1)</f>
        <v/>
      </c>
      <c r="AH5">
        <f>IF(OR(AA5="",$B$10=0),"",IF(COUNTIFS(DATA_COMMUNITY!$A:$A,"&gt;="&amp;($B$10-7*$B$11),DATA_COMMUNITY!$A:$A,"&lt;"&amp;$B$10,DATA_COMMUNITY!$C:$C,AA5,DATA_COMMUNITY!$D:$D,"Sunday")=0,"",SUMIFS(DATA_COMMUNITY!$K:$K,DATA_COMMUNITY!$A:$A,"&gt;="&amp;($B$10-7*$B$11),DATA_COMMUNITY!$A:$A,"&lt;"&amp;$B$10,DATA_COMMUNITY!$C:$C,AA5,DATA_COMMUNITY!$D:$D,"Sunday")/COUNTIFS(DATA_COMMUNITY!$A:$A,"&gt;="&amp;($B$10-7*$B$11),DATA_COMMUNITY!$A:$A,"&lt;"&amp;$B$10,DATA_COMMUNITY!$C:$C,AA5,DATA_COMMUNITY!$D:$D,"Sunday")))</f>
        <v/>
      </c>
      <c r="AI5">
        <f>IF(OR(AE5="",AH5="",AH5=0),"",AE5/AH5-1)</f>
        <v/>
      </c>
      <c r="AJ5">
        <f>IF(AE5="","",SUMIFS(DATA_COMMUNITY!$L:$L,DATA_COMMUNITY!$A:$A,$B$10,DATA_COMMUNITY!$C:$C,AA5,DATA_COMMUNITY!$D:$D,"Sunday"))</f>
        <v/>
      </c>
      <c r="AK5">
        <f>IF(AE5="","",SUMIFS(DATA_COMMUNITY!$O:$O,DATA_COMMUNITY!$A:$A,$B$10,DATA_COMMUNITY!$C:$C,AA5,DATA_COMMUNITY!$D:$D,"Sunday"))</f>
        <v/>
      </c>
      <c r="AL5">
        <f>IF(AA5="","",IF(AE5="","No","Yes"))</f>
        <v/>
      </c>
      <c r="AM5">
        <f>IF(AD5,ROW(),"")</f>
        <v/>
      </c>
      <c r="AN5">
        <f>IF(AND(AD5,AL5="No"),ROW(),"")</f>
        <v/>
      </c>
      <c r="AP5">
        <f>IFERROR(SMALL($AM$3:$AM$62,3),"")</f>
        <v/>
      </c>
      <c r="AQ5">
        <f>IFERROR(SMALL($AN$3:$AN$62,3),"")</f>
        <v/>
      </c>
    </row>
    <row r="6">
      <c r="A6" t="inlineStr">
        <is>
          <t>Area criterion</t>
        </is>
      </c>
      <c r="B6">
        <f>IF(B3="Area",B4,"*")</f>
        <v/>
      </c>
      <c r="AA6">
        <f>IFERROR(INDEX(MASTER_COMMUNITY!$A:$A,5)&amp;"","")</f>
        <v/>
      </c>
      <c r="AB6">
        <f>IF(AA6="","",INDEX(MASTER_COMMUNITY!$B:$B,5)&amp;"")</f>
        <v/>
      </c>
      <c r="AC6">
        <f>IF(AA6="","",INDEX(MASTER_COMMUNITY!$C:$C,5)&amp;"")</f>
        <v/>
      </c>
      <c r="AD6">
        <f>AND(AA6&lt;&gt;"",OR($B$6="*",AC6=$B$6),OR($B$7="*",AA6=$B$7))</f>
        <v/>
      </c>
      <c r="AE6">
        <f>IF(OR(AA6="",$B$10=0),"",IF(COUNTIFS(DATA_COMMUNITY!$A:$A,$B$10,DATA_COMMUNITY!$C:$C,AA6,DATA_COMMUNITY!$D:$D,"Sunday")=0,"",SUMIFS(DATA_COMMUNITY!$K:$K,DATA_COMMUNITY!$A:$A,$B$10,DATA_COMMUNITY!$C:$C,AA6,DATA_COMMUNITY!$D:$D,"Sunday")))</f>
        <v/>
      </c>
      <c r="AF6">
        <f>IF(OR(AA6="",$B$10=0),"",IF(COUNTIFS(DATA_COMMUNITY!$A:$A,$B$10-7,DATA_COMMUNITY!$C:$C,AA6,DATA_COMMUNITY!$D:$D,"Sunday")=0,"",SUMIFS(DATA_COMMUNITY!$K:$K,DATA_COMMUNITY!$A:$A,$B$10-7,DATA_COMMUNITY!$C:$C,AA6,DATA_COMMUNITY!$D:$D,"Sunday")))</f>
        <v/>
      </c>
      <c r="AG6">
        <f>IF(OR(AE6="",AF6="",AF6=0),"",AE6/AF6-1)</f>
        <v/>
      </c>
      <c r="AH6">
        <f>IF(OR(AA6="",$B$10=0),"",IF(COUNTIFS(DATA_COMMUNITY!$A:$A,"&gt;="&amp;($B$10-7*$B$11),DATA_COMMUNITY!$A:$A,"&lt;"&amp;$B$10,DATA_COMMUNITY!$C:$C,AA6,DATA_COMMUNITY!$D:$D,"Sunday")=0,"",SUMIFS(DATA_COMMUNITY!$K:$K,DATA_COMMUNITY!$A:$A,"&gt;="&amp;($B$10-7*$B$11),DATA_COMMUNITY!$A:$A,"&lt;"&amp;$B$10,DATA_COMMUNITY!$C:$C,AA6,DATA_COMMUNITY!$D:$D,"Sunday")/COUNTIFS(DATA_COMMUNITY!$A:$A,"&gt;="&amp;($B$10-7*$B$11),DATA_COMMUNITY!$A:$A,"&lt;"&amp;$B$10,DATA_COMMUNITY!$C:$C,AA6,DATA_COMMUNITY!$D:$D,"Sunday")))</f>
        <v/>
      </c>
      <c r="AI6">
        <f>IF(OR(AE6="",AH6="",AH6=0),"",AE6/AH6-1)</f>
        <v/>
      </c>
      <c r="AJ6">
        <f>IF(AE6="","",SUMIFS(DATA_COMMUNITY!$L:$L,DATA_COMMUNITY!$A:$A,$B$10,DATA_COMMUNITY!$C:$C,AA6,DATA_COMMUNITY!$D:$D,"Sunday"))</f>
        <v/>
      </c>
      <c r="AK6">
        <f>IF(AE6="","",SUMIFS(DATA_COMMUNITY!$O:$O,DATA_COMMUNITY!$A:$A,$B$10,DATA_COMMUNITY!$C:$C,AA6,DATA_COMMUNITY!$D:$D,"Sunday"))</f>
        <v/>
      </c>
      <c r="AL6">
        <f>IF(AA6="","",IF(AE6="","No","Yes"))</f>
        <v/>
      </c>
      <c r="AM6">
        <f>IF(AD6,ROW(),"")</f>
        <v/>
      </c>
      <c r="AN6">
        <f>IF(AND(AD6,AL6="No"),ROW(),"")</f>
        <v/>
      </c>
      <c r="AP6">
        <f>IFERROR(SMALL($AM$3:$AM$62,4),"")</f>
        <v/>
      </c>
      <c r="AQ6">
        <f>IFERROR(SMALL($AN$3:$AN$62,4),"")</f>
        <v/>
      </c>
    </row>
    <row r="7">
      <c r="A7" t="inlineStr">
        <is>
          <t>Church criterion</t>
        </is>
      </c>
      <c r="B7">
        <f>IF(B3="Zone",B4,"*")</f>
        <v/>
      </c>
      <c r="AA7">
        <f>IFERROR(INDEX(MASTER_COMMUNITY!$A:$A,6)&amp;"","")</f>
        <v/>
      </c>
      <c r="AB7">
        <f>IF(AA7="","",INDEX(MASTER_COMMUNITY!$B:$B,6)&amp;"")</f>
        <v/>
      </c>
      <c r="AC7">
        <f>IF(AA7="","",INDEX(MASTER_COMMUNITY!$C:$C,6)&amp;"")</f>
        <v/>
      </c>
      <c r="AD7">
        <f>AND(AA7&lt;&gt;"",OR($B$6="*",AC7=$B$6),OR($B$7="*",AA7=$B$7))</f>
        <v/>
      </c>
      <c r="AE7">
        <f>IF(OR(AA7="",$B$10=0),"",IF(COUNTIFS(DATA_COMMUNITY!$A:$A,$B$10,DATA_COMMUNITY!$C:$C,AA7,DATA_COMMUNITY!$D:$D,"Sunday")=0,"",SUMIFS(DATA_COMMUNITY!$K:$K,DATA_COMMUNITY!$A:$A,$B$10,DATA_COMMUNITY!$C:$C,AA7,DATA_COMMUNITY!$D:$D,"Sunday")))</f>
        <v/>
      </c>
      <c r="AF7">
        <f>IF(OR(AA7="",$B$10=0),"",IF(COUNTIFS(DATA_COMMUNITY!$A:$A,$B$10-7,DATA_COMMUNITY!$C:$C,AA7,DATA_COMMUNITY!$D:$D,"Sunday")=0,"",SUMIFS(DATA_COMMUNITY!$K:$K,DATA_COMMUNITY!$A:$A,$B$10-7,DATA_COMMUNITY!$C:$C,AA7,DATA_COMMUNITY!$D:$D,"Sunday")))</f>
        <v/>
      </c>
      <c r="AG7">
        <f>IF(OR(AE7="",AF7="",AF7=0),"",AE7/AF7-1)</f>
        <v/>
      </c>
      <c r="AH7">
        <f>IF(OR(AA7="",$B$10=0),"",IF(COUNTIFS(DATA_COMMUNITY!$A:$A,"&gt;="&amp;($B$10-7*$B$11),DATA_COMMUNITY!$A:$A,"&lt;"&amp;$B$10,DATA_COMMUNITY!$C:$C,AA7,DATA_COMMUNITY!$D:$D,"Sunday")=0,"",SUMIFS(DATA_COMMUNITY!$K:$K,DATA_COMMUNITY!$A:$A,"&gt;="&amp;($B$10-7*$B$11),DATA_COMMUNITY!$A:$A,"&lt;"&amp;$B$10,DATA_COMMUNITY!$C:$C,AA7,DATA_COMMUNITY!$D:$D,"Sunday")/COUNTIFS(DATA_COMMUNITY!$A:$A,"&gt;="&amp;($B$10-7*$B$11),DATA_COMMUNITY!$A:$A,"&lt;"&amp;$B$10,DATA_COMMUNITY!$C:$C,AA7,DATA_COMMUNITY!$D:$D,"Sunday")))</f>
        <v/>
      </c>
      <c r="AI7">
        <f>IF(OR(AE7="",AH7="",AH7=0),"",AE7/AH7-1)</f>
        <v/>
      </c>
      <c r="AJ7">
        <f>IF(AE7="","",SUMIFS(DATA_COMMUNITY!$L:$L,DATA_COMMUNITY!$A:$A,$B$10,DATA_COMMUNITY!$C:$C,AA7,DATA_COMMUNITY!$D:$D,"Sunday"))</f>
        <v/>
      </c>
      <c r="AK7">
        <f>IF(AE7="","",SUMIFS(DATA_COMMUNITY!$O:$O,DATA_COMMUNITY!$A:$A,$B$10,DATA_COMMUNITY!$C:$C,AA7,DATA_COMMUNITY!$D:$D,"Sunday"))</f>
        <v/>
      </c>
      <c r="AL7">
        <f>IF(AA7="","",IF(AE7="","No","Yes"))</f>
        <v/>
      </c>
      <c r="AM7">
        <f>IF(AD7,ROW(),"")</f>
        <v/>
      </c>
      <c r="AN7">
        <f>IF(AND(AD7,AL7="No"),ROW(),"")</f>
        <v/>
      </c>
      <c r="AP7">
        <f>IFERROR(SMALL($AM$3:$AM$62,5),"")</f>
        <v/>
      </c>
      <c r="AQ7">
        <f>IFERROR(SMALL($AN$3:$AN$62,5),"")</f>
        <v/>
      </c>
    </row>
    <row r="8">
      <c r="A8" t="inlineStr">
        <is>
          <t>Church name</t>
        </is>
      </c>
      <c r="B8">
        <f>IF(B3="Zone",IFERROR(INDEX(MASTER_COMMUNITY!$B:$B,MATCH(B4,MASTER_COMMUNITY!$A:$A,0)),""),"")</f>
        <v/>
      </c>
      <c r="AA8">
        <f>IFERROR(INDEX(MASTER_COMMUNITY!$A:$A,7)&amp;"","")</f>
        <v/>
      </c>
      <c r="AB8">
        <f>IF(AA8="","",INDEX(MASTER_COMMUNITY!$B:$B,7)&amp;"")</f>
        <v/>
      </c>
      <c r="AC8">
        <f>IF(AA8="","",INDEX(MASTER_COMMUNITY!$C:$C,7)&amp;"")</f>
        <v/>
      </c>
      <c r="AD8">
        <f>AND(AA8&lt;&gt;"",OR($B$6="*",AC8=$B$6),OR($B$7="*",AA8=$B$7))</f>
        <v/>
      </c>
      <c r="AE8">
        <f>IF(OR(AA8="",$B$10=0),"",IF(COUNTIFS(DATA_COMMUNITY!$A:$A,$B$10,DATA_COMMUNITY!$C:$C,AA8,DATA_COMMUNITY!$D:$D,"Sunday")=0,"",SUMIFS(DATA_COMMUNITY!$K:$K,DATA_COMMUNITY!$A:$A,$B$10,DATA_COMMUNITY!$C:$C,AA8,DATA_COMMUNITY!$D:$D,"Sunday")))</f>
        <v/>
      </c>
      <c r="AF8">
        <f>IF(OR(AA8="",$B$10=0),"",IF(COUNTIFS(DATA_COMMUNITY!$A:$A,$B$10-7,DATA_COMMUNITY!$C:$C,AA8,DATA_COMMUNITY!$D:$D,"Sunday")=0,"",SUMIFS(DATA_COMMUNITY!$K:$K,DATA_COMMUNITY!$A:$A,$B$10-7,DATA_COMMUNITY!$C:$C,AA8,DATA_COMMUNITY!$D:$D,"Sunday")))</f>
        <v/>
      </c>
      <c r="AG8">
        <f>IF(OR(AE8="",AF8="",AF8=0),"",AE8/AF8-1)</f>
        <v/>
      </c>
      <c r="AH8">
        <f>IF(OR(AA8="",$B$10=0),"",IF(COUNTIFS(DATA_COMMUNITY!$A:$A,"&gt;="&amp;($B$10-7*$B$11),DATA_COMMUNITY!$A:$A,"&lt;"&amp;$B$10,DATA_COMMUNITY!$C:$C,AA8,DATA_COMMUNITY!$D:$D,"Sunday")=0,"",SUMIFS(DATA_COMMUNITY!$K:$K,DATA_COMMUNITY!$A:$A,"&gt;="&amp;($B$10-7*$B$11),DATA_COMMUNITY!$A:$A,"&lt;"&amp;$B$10,DATA_COMMUNITY!$C:$C,AA8,DATA_COMMUNITY!$D:$D,"Sunday")/COUNTIFS(DATA_COMMUNITY!$A:$A,"&gt;="&amp;($B$10-7*$B$11),DATA_COMMUNITY!$A:$A,"&lt;"&amp;$B$10,DATA_COMMUNITY!$C:$C,AA8,DATA_COMMUNITY!$D:$D,"Sunday")))</f>
        <v/>
      </c>
      <c r="AI8">
        <f>IF(OR(AE8="",AH8="",AH8=0),"",AE8/AH8-1)</f>
        <v/>
      </c>
      <c r="AJ8">
        <f>IF(AE8="","",SUMIFS(DATA_COMMUNITY!$L:$L,DATA_COMMUNITY!$A:$A,$B$10,DATA_COMMUNITY!$C:$C,AA8,DATA_COMMUNITY!$D:$D,"Sunday"))</f>
        <v/>
      </c>
      <c r="AK8">
        <f>IF(AE8="","",SUMIFS(DATA_COMMUNITY!$O:$O,DATA_COMMUNITY!$A:$A,$B$10,DATA_COMMUNITY!$C:$C,AA8,DATA_COMMUNITY!$D:$D,"Sunday"))</f>
        <v/>
      </c>
      <c r="AL8">
        <f>IF(AA8="","",IF(AE8="","No","Yes"))</f>
        <v/>
      </c>
      <c r="AM8">
        <f>IF(AD8,ROW(),"")</f>
        <v/>
      </c>
      <c r="AN8">
        <f>IF(AND(AD8,AL8="No"),ROW(),"")</f>
        <v/>
      </c>
      <c r="AP8">
        <f>IFERROR(SMALL($AM$3:$AM$62,6),"")</f>
        <v/>
      </c>
      <c r="AQ8">
        <f>IFERROR(SMALL($AN$3:$AN$62,6),"")</f>
        <v/>
      </c>
    </row>
    <row r="9">
      <c r="A9" t="inlineStr">
        <is>
          <t>Latest week with data</t>
        </is>
      </c>
      <c r="B9" s="284">
        <f>MAX(DATA_COMMUNITY!$A:$A)</f>
        <v/>
      </c>
      <c r="AA9">
        <f>IFERROR(INDEX(MASTER_COMMUNITY!$A:$A,8)&amp;"","")</f>
        <v/>
      </c>
      <c r="AB9">
        <f>IF(AA9="","",INDEX(MASTER_COMMUNITY!$B:$B,8)&amp;"")</f>
        <v/>
      </c>
      <c r="AC9">
        <f>IF(AA9="","",INDEX(MASTER_COMMUNITY!$C:$C,8)&amp;"")</f>
        <v/>
      </c>
      <c r="AD9">
        <f>AND(AA9&lt;&gt;"",OR($B$6="*",AC9=$B$6),OR($B$7="*",AA9=$B$7))</f>
        <v/>
      </c>
      <c r="AE9">
        <f>IF(OR(AA9="",$B$10=0),"",IF(COUNTIFS(DATA_COMMUNITY!$A:$A,$B$10,DATA_COMMUNITY!$C:$C,AA9,DATA_COMMUNITY!$D:$D,"Sunday")=0,"",SUMIFS(DATA_COMMUNITY!$K:$K,DATA_COMMUNITY!$A:$A,$B$10,DATA_COMMUNITY!$C:$C,AA9,DATA_COMMUNITY!$D:$D,"Sunday")))</f>
        <v/>
      </c>
      <c r="AF9">
        <f>IF(OR(AA9="",$B$10=0),"",IF(COUNTIFS(DATA_COMMUNITY!$A:$A,$B$10-7,DATA_COMMUNITY!$C:$C,AA9,DATA_COMMUNITY!$D:$D,"Sunday")=0,"",SUMIFS(DATA_COMMUNITY!$K:$K,DATA_COMMUNITY!$A:$A,$B$10-7,DATA_COMMUNITY!$C:$C,AA9,DATA_COMMUNITY!$D:$D,"Sunday")))</f>
        <v/>
      </c>
      <c r="AG9">
        <f>IF(OR(AE9="",AF9="",AF9=0),"",AE9/AF9-1)</f>
        <v/>
      </c>
      <c r="AH9">
        <f>IF(OR(AA9="",$B$10=0),"",IF(COUNTIFS(DATA_COMMUNITY!$A:$A,"&gt;="&amp;($B$10-7*$B$11),DATA_COMMUNITY!$A:$A,"&lt;"&amp;$B$10,DATA_COMMUNITY!$C:$C,AA9,DATA_COMMUNITY!$D:$D,"Sunday")=0,"",SUMIFS(DATA_COMMUNITY!$K:$K,DATA_COMMUNITY!$A:$A,"&gt;="&amp;($B$10-7*$B$11),DATA_COMMUNITY!$A:$A,"&lt;"&amp;$B$10,DATA_COMMUNITY!$C:$C,AA9,DATA_COMMUNITY!$D:$D,"Sunday")/COUNTIFS(DATA_COMMUNITY!$A:$A,"&gt;="&amp;($B$10-7*$B$11),DATA_COMMUNITY!$A:$A,"&lt;"&amp;$B$10,DATA_COMMUNITY!$C:$C,AA9,DATA_COMMUNITY!$D:$D,"Sunday")))</f>
        <v/>
      </c>
      <c r="AI9">
        <f>IF(OR(AE9="",AH9="",AH9=0),"",AE9/AH9-1)</f>
        <v/>
      </c>
      <c r="AJ9">
        <f>IF(AE9="","",SUMIFS(DATA_COMMUNITY!$L:$L,DATA_COMMUNITY!$A:$A,$B$10,DATA_COMMUNITY!$C:$C,AA9,DATA_COMMUNITY!$D:$D,"Sunday"))</f>
        <v/>
      </c>
      <c r="AK9">
        <f>IF(AE9="","",SUMIFS(DATA_COMMUNITY!$O:$O,DATA_COMMUNITY!$A:$A,$B$10,DATA_COMMUNITY!$C:$C,AA9,DATA_COMMUNITY!$D:$D,"Sunday"))</f>
        <v/>
      </c>
      <c r="AL9">
        <f>IF(AA9="","",IF(AE9="","No","Yes"))</f>
        <v/>
      </c>
      <c r="AM9">
        <f>IF(AD9,ROW(),"")</f>
        <v/>
      </c>
      <c r="AN9">
        <f>IF(AND(AD9,AL9="No"),ROW(),"")</f>
        <v/>
      </c>
      <c r="AP9">
        <f>IFERROR(SMALL($AM$3:$AM$62,7),"")</f>
        <v/>
      </c>
      <c r="AQ9">
        <f>IFERROR(SMALL($AN$3:$AN$62,7),"")</f>
        <v/>
      </c>
    </row>
    <row r="10">
      <c r="A10" t="inlineStr">
        <is>
          <t>Selected week</t>
        </is>
      </c>
      <c r="B10" s="284">
        <f>IF(ISNUMBER('COMMUNITY CHURCH DASHBOARD'!I4),'COMMUNITY CHURCH DASHBOARD'!I4,B9)</f>
        <v/>
      </c>
      <c r="AA10">
        <f>IFERROR(INDEX(MASTER_COMMUNITY!$A:$A,9)&amp;"","")</f>
        <v/>
      </c>
      <c r="AB10">
        <f>IF(AA10="","",INDEX(MASTER_COMMUNITY!$B:$B,9)&amp;"")</f>
        <v/>
      </c>
      <c r="AC10">
        <f>IF(AA10="","",INDEX(MASTER_COMMUNITY!$C:$C,9)&amp;"")</f>
        <v/>
      </c>
      <c r="AD10">
        <f>AND(AA10&lt;&gt;"",OR($B$6="*",AC10=$B$6),OR($B$7="*",AA10=$B$7))</f>
        <v/>
      </c>
      <c r="AE10">
        <f>IF(OR(AA10="",$B$10=0),"",IF(COUNTIFS(DATA_COMMUNITY!$A:$A,$B$10,DATA_COMMUNITY!$C:$C,AA10,DATA_COMMUNITY!$D:$D,"Sunday")=0,"",SUMIFS(DATA_COMMUNITY!$K:$K,DATA_COMMUNITY!$A:$A,$B$10,DATA_COMMUNITY!$C:$C,AA10,DATA_COMMUNITY!$D:$D,"Sunday")))</f>
        <v/>
      </c>
      <c r="AF10">
        <f>IF(OR(AA10="",$B$10=0),"",IF(COUNTIFS(DATA_COMMUNITY!$A:$A,$B$10-7,DATA_COMMUNITY!$C:$C,AA10,DATA_COMMUNITY!$D:$D,"Sunday")=0,"",SUMIFS(DATA_COMMUNITY!$K:$K,DATA_COMMUNITY!$A:$A,$B$10-7,DATA_COMMUNITY!$C:$C,AA10,DATA_COMMUNITY!$D:$D,"Sunday")))</f>
        <v/>
      </c>
      <c r="AG10">
        <f>IF(OR(AE10="",AF10="",AF10=0),"",AE10/AF10-1)</f>
        <v/>
      </c>
      <c r="AH10">
        <f>IF(OR(AA10="",$B$10=0),"",IF(COUNTIFS(DATA_COMMUNITY!$A:$A,"&gt;="&amp;($B$10-7*$B$11),DATA_COMMUNITY!$A:$A,"&lt;"&amp;$B$10,DATA_COMMUNITY!$C:$C,AA10,DATA_COMMUNITY!$D:$D,"Sunday")=0,"",SUMIFS(DATA_COMMUNITY!$K:$K,DATA_COMMUNITY!$A:$A,"&gt;="&amp;($B$10-7*$B$11),DATA_COMMUNITY!$A:$A,"&lt;"&amp;$B$10,DATA_COMMUNITY!$C:$C,AA10,DATA_COMMUNITY!$D:$D,"Sunday")/COUNTIFS(DATA_COMMUNITY!$A:$A,"&gt;="&amp;($B$10-7*$B$11),DATA_COMMUNITY!$A:$A,"&lt;"&amp;$B$10,DATA_COMMUNITY!$C:$C,AA10,DATA_COMMUNITY!$D:$D,"Sunday")))</f>
        <v/>
      </c>
      <c r="AI10">
        <f>IF(OR(AE10="",AH10="",AH10=0),"",AE10/AH10-1)</f>
        <v/>
      </c>
      <c r="AJ10">
        <f>IF(AE10="","",SUMIFS(DATA_COMMUNITY!$L:$L,DATA_COMMUNITY!$A:$A,$B$10,DATA_COMMUNITY!$C:$C,AA10,DATA_COMMUNITY!$D:$D,"Sunday"))</f>
        <v/>
      </c>
      <c r="AK10">
        <f>IF(AE10="","",SUMIFS(DATA_COMMUNITY!$O:$O,DATA_COMMUNITY!$A:$A,$B$10,DATA_COMMUNITY!$C:$C,AA10,DATA_COMMUNITY!$D:$D,"Sunday"))</f>
        <v/>
      </c>
      <c r="AL10">
        <f>IF(AA10="","",IF(AE10="","No","Yes"))</f>
        <v/>
      </c>
      <c r="AM10">
        <f>IF(AD10,ROW(),"")</f>
        <v/>
      </c>
      <c r="AN10">
        <f>IF(AND(AD10,AL10="No"),ROW(),"")</f>
        <v/>
      </c>
      <c r="AP10">
        <f>IFERROR(SMALL($AM$3:$AM$62,8),"")</f>
        <v/>
      </c>
      <c r="AQ10">
        <f>IFERROR(SMALL($AN$3:$AN$62,8),"")</f>
        <v/>
      </c>
    </row>
    <row r="11">
      <c r="A11" t="inlineStr">
        <is>
          <t>Window N (weeks)</t>
        </is>
      </c>
      <c r="B11">
        <f>IF(ISNUMBER('COMMUNITY CHURCH DASHBOARD'!K4),'COMMUNITY CHURCH DASHBOARD'!K4,DefaultWindow)</f>
        <v/>
      </c>
      <c r="AA11">
        <f>IFERROR(INDEX(MASTER_COMMUNITY!$A:$A,10)&amp;"","")</f>
        <v/>
      </c>
      <c r="AB11">
        <f>IF(AA11="","",INDEX(MASTER_COMMUNITY!$B:$B,10)&amp;"")</f>
        <v/>
      </c>
      <c r="AC11">
        <f>IF(AA11="","",INDEX(MASTER_COMMUNITY!$C:$C,10)&amp;"")</f>
        <v/>
      </c>
      <c r="AD11">
        <f>AND(AA11&lt;&gt;"",OR($B$6="*",AC11=$B$6),OR($B$7="*",AA11=$B$7))</f>
        <v/>
      </c>
      <c r="AE11">
        <f>IF(OR(AA11="",$B$10=0),"",IF(COUNTIFS(DATA_COMMUNITY!$A:$A,$B$10,DATA_COMMUNITY!$C:$C,AA11,DATA_COMMUNITY!$D:$D,"Sunday")=0,"",SUMIFS(DATA_COMMUNITY!$K:$K,DATA_COMMUNITY!$A:$A,$B$10,DATA_COMMUNITY!$C:$C,AA11,DATA_COMMUNITY!$D:$D,"Sunday")))</f>
        <v/>
      </c>
      <c r="AF11">
        <f>IF(OR(AA11="",$B$10=0),"",IF(COUNTIFS(DATA_COMMUNITY!$A:$A,$B$10-7,DATA_COMMUNITY!$C:$C,AA11,DATA_COMMUNITY!$D:$D,"Sunday")=0,"",SUMIFS(DATA_COMMUNITY!$K:$K,DATA_COMMUNITY!$A:$A,$B$10-7,DATA_COMMUNITY!$C:$C,AA11,DATA_COMMUNITY!$D:$D,"Sunday")))</f>
        <v/>
      </c>
      <c r="AG11">
        <f>IF(OR(AE11="",AF11="",AF11=0),"",AE11/AF11-1)</f>
        <v/>
      </c>
      <c r="AH11">
        <f>IF(OR(AA11="",$B$10=0),"",IF(COUNTIFS(DATA_COMMUNITY!$A:$A,"&gt;="&amp;($B$10-7*$B$11),DATA_COMMUNITY!$A:$A,"&lt;"&amp;$B$10,DATA_COMMUNITY!$C:$C,AA11,DATA_COMMUNITY!$D:$D,"Sunday")=0,"",SUMIFS(DATA_COMMUNITY!$K:$K,DATA_COMMUNITY!$A:$A,"&gt;="&amp;($B$10-7*$B$11),DATA_COMMUNITY!$A:$A,"&lt;"&amp;$B$10,DATA_COMMUNITY!$C:$C,AA11,DATA_COMMUNITY!$D:$D,"Sunday")/COUNTIFS(DATA_COMMUNITY!$A:$A,"&gt;="&amp;($B$10-7*$B$11),DATA_COMMUNITY!$A:$A,"&lt;"&amp;$B$10,DATA_COMMUNITY!$C:$C,AA11,DATA_COMMUNITY!$D:$D,"Sunday")))</f>
        <v/>
      </c>
      <c r="AI11">
        <f>IF(OR(AE11="",AH11="",AH11=0),"",AE11/AH11-1)</f>
        <v/>
      </c>
      <c r="AJ11">
        <f>IF(AE11="","",SUMIFS(DATA_COMMUNITY!$L:$L,DATA_COMMUNITY!$A:$A,$B$10,DATA_COMMUNITY!$C:$C,AA11,DATA_COMMUNITY!$D:$D,"Sunday"))</f>
        <v/>
      </c>
      <c r="AK11">
        <f>IF(AE11="","",SUMIFS(DATA_COMMUNITY!$O:$O,DATA_COMMUNITY!$A:$A,$B$10,DATA_COMMUNITY!$C:$C,AA11,DATA_COMMUNITY!$D:$D,"Sunday"))</f>
        <v/>
      </c>
      <c r="AL11">
        <f>IF(AA11="","",IF(AE11="","No","Yes"))</f>
        <v/>
      </c>
      <c r="AM11">
        <f>IF(AD11,ROW(),"")</f>
        <v/>
      </c>
      <c r="AN11">
        <f>IF(AND(AD11,AL11="No"),ROW(),"")</f>
        <v/>
      </c>
      <c r="AP11">
        <f>IFERROR(SMALL($AM$3:$AM$62,9),"")</f>
        <v/>
      </c>
      <c r="AQ11">
        <f>IFERROR(SMALL($AN$3:$AN$62,9),"")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IFERROR(INDEX(MASTER_COMMUNITY!$A:$A,11)&amp;"","")</f>
        <v/>
      </c>
      <c r="AB12">
        <f>IF(AA12="","",INDEX(MASTER_COMMUNITY!$B:$B,11)&amp;"")</f>
        <v/>
      </c>
      <c r="AC12">
        <f>IF(AA12="","",INDEX(MASTER_COMMUNITY!$C:$C,11)&amp;"")</f>
        <v/>
      </c>
      <c r="AD12">
        <f>AND(AA12&lt;&gt;"",OR($B$6="*",AC12=$B$6),OR($B$7="*",AA12=$B$7))</f>
        <v/>
      </c>
      <c r="AE12">
        <f>IF(OR(AA12="",$B$10=0),"",IF(COUNTIFS(DATA_COMMUNITY!$A:$A,$B$10,DATA_COMMUNITY!$C:$C,AA12,DATA_COMMUNITY!$D:$D,"Sunday")=0,"",SUMIFS(DATA_COMMUNITY!$K:$K,DATA_COMMUNITY!$A:$A,$B$10,DATA_COMMUNITY!$C:$C,AA12,DATA_COMMUNITY!$D:$D,"Sunday")))</f>
        <v/>
      </c>
      <c r="AF12">
        <f>IF(OR(AA12="",$B$10=0),"",IF(COUNTIFS(DATA_COMMUNITY!$A:$A,$B$10-7,DATA_COMMUNITY!$C:$C,AA12,DATA_COMMUNITY!$D:$D,"Sunday")=0,"",SUMIFS(DATA_COMMUNITY!$K:$K,DATA_COMMUNITY!$A:$A,$B$10-7,DATA_COMMUNITY!$C:$C,AA12,DATA_COMMUNITY!$D:$D,"Sunday")))</f>
        <v/>
      </c>
      <c r="AG12">
        <f>IF(OR(AE12="",AF12="",AF12=0),"",AE12/AF12-1)</f>
        <v/>
      </c>
      <c r="AH12">
        <f>IF(OR(AA12="",$B$10=0),"",IF(COUNTIFS(DATA_COMMUNITY!$A:$A,"&gt;="&amp;($B$10-7*$B$11),DATA_COMMUNITY!$A:$A,"&lt;"&amp;$B$10,DATA_COMMUNITY!$C:$C,AA12,DATA_COMMUNITY!$D:$D,"Sunday")=0,"",SUMIFS(DATA_COMMUNITY!$K:$K,DATA_COMMUNITY!$A:$A,"&gt;="&amp;($B$10-7*$B$11),DATA_COMMUNITY!$A:$A,"&lt;"&amp;$B$10,DATA_COMMUNITY!$C:$C,AA12,DATA_COMMUNITY!$D:$D,"Sunday")/COUNTIFS(DATA_COMMUNITY!$A:$A,"&gt;="&amp;($B$10-7*$B$11),DATA_COMMUNITY!$A:$A,"&lt;"&amp;$B$10,DATA_COMMUNITY!$C:$C,AA12,DATA_COMMUNITY!$D:$D,"Sunday")))</f>
        <v/>
      </c>
      <c r="AI12">
        <f>IF(OR(AE12="",AH12="",AH12=0),"",AE12/AH12-1)</f>
        <v/>
      </c>
      <c r="AJ12">
        <f>IF(AE12="","",SUMIFS(DATA_COMMUNITY!$L:$L,DATA_COMMUNITY!$A:$A,$B$10,DATA_COMMUNITY!$C:$C,AA12,DATA_COMMUNITY!$D:$D,"Sunday"))</f>
        <v/>
      </c>
      <c r="AK12">
        <f>IF(AE12="","",SUMIFS(DATA_COMMUNITY!$O:$O,DATA_COMMUNITY!$A:$A,$B$10,DATA_COMMUNITY!$C:$C,AA12,DATA_COMMUNITY!$D:$D,"Sunday"))</f>
        <v/>
      </c>
      <c r="AL12">
        <f>IF(AA12="","",IF(AE12="","No","Yes"))</f>
        <v/>
      </c>
      <c r="AM12">
        <f>IF(AD12,ROW(),"")</f>
        <v/>
      </c>
      <c r="AN12">
        <f>IF(AND(AD12,AL12="No"),ROW(),"")</f>
        <v/>
      </c>
      <c r="AP12">
        <f>IFERROR(SMALL($AM$3:$AM$62,10),"")</f>
        <v/>
      </c>
      <c r="AQ12">
        <f>IFERROR(SMALL($AN$3:$AN$62,10),"")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IFERROR(INDEX(MASTER_COMMUNITY!$A:$A,12)&amp;"","")</f>
        <v/>
      </c>
      <c r="AB13">
        <f>IF(AA13="","",INDEX(MASTER_COMMUNITY!$B:$B,12)&amp;"")</f>
        <v/>
      </c>
      <c r="AC13">
        <f>IF(AA13="","",INDEX(MASTER_COMMUNITY!$C:$C,12)&amp;"")</f>
        <v/>
      </c>
      <c r="AD13">
        <f>AND(AA13&lt;&gt;"",OR($B$6="*",AC13=$B$6),OR($B$7="*",AA13=$B$7))</f>
        <v/>
      </c>
      <c r="AE13">
        <f>IF(OR(AA13="",$B$10=0),"",IF(COUNTIFS(DATA_COMMUNITY!$A:$A,$B$10,DATA_COMMUNITY!$C:$C,AA13,DATA_COMMUNITY!$D:$D,"Sunday")=0,"",SUMIFS(DATA_COMMUNITY!$K:$K,DATA_COMMUNITY!$A:$A,$B$10,DATA_COMMUNITY!$C:$C,AA13,DATA_COMMUNITY!$D:$D,"Sunday")))</f>
        <v/>
      </c>
      <c r="AF13">
        <f>IF(OR(AA13="",$B$10=0),"",IF(COUNTIFS(DATA_COMMUNITY!$A:$A,$B$10-7,DATA_COMMUNITY!$C:$C,AA13,DATA_COMMUNITY!$D:$D,"Sunday")=0,"",SUMIFS(DATA_COMMUNITY!$K:$K,DATA_COMMUNITY!$A:$A,$B$10-7,DATA_COMMUNITY!$C:$C,AA13,DATA_COMMUNITY!$D:$D,"Sunday")))</f>
        <v/>
      </c>
      <c r="AG13">
        <f>IF(OR(AE13="",AF13="",AF13=0),"",AE13/AF13-1)</f>
        <v/>
      </c>
      <c r="AH13">
        <f>IF(OR(AA13="",$B$10=0),"",IF(COUNTIFS(DATA_COMMUNITY!$A:$A,"&gt;="&amp;($B$10-7*$B$11),DATA_COMMUNITY!$A:$A,"&lt;"&amp;$B$10,DATA_COMMUNITY!$C:$C,AA13,DATA_COMMUNITY!$D:$D,"Sunday")=0,"",SUMIFS(DATA_COMMUNITY!$K:$K,DATA_COMMUNITY!$A:$A,"&gt;="&amp;($B$10-7*$B$11),DATA_COMMUNITY!$A:$A,"&lt;"&amp;$B$10,DATA_COMMUNITY!$C:$C,AA13,DATA_COMMUNITY!$D:$D,"Sunday")/COUNTIFS(DATA_COMMUNITY!$A:$A,"&gt;="&amp;($B$10-7*$B$11),DATA_COMMUNITY!$A:$A,"&lt;"&amp;$B$10,DATA_COMMUNITY!$C:$C,AA13,DATA_COMMUNITY!$D:$D,"Sunday")))</f>
        <v/>
      </c>
      <c r="AI13">
        <f>IF(OR(AE13="",AH13="",AH13=0),"",AE13/AH13-1)</f>
        <v/>
      </c>
      <c r="AJ13">
        <f>IF(AE13="","",SUMIFS(DATA_COMMUNITY!$L:$L,DATA_COMMUNITY!$A:$A,$B$10,DATA_COMMUNITY!$C:$C,AA13,DATA_COMMUNITY!$D:$D,"Sunday"))</f>
        <v/>
      </c>
      <c r="AK13">
        <f>IF(AE13="","",SUMIFS(DATA_COMMUNITY!$O:$O,DATA_COMMUNITY!$A:$A,$B$10,DATA_COMMUNITY!$C:$C,AA13,DATA_COMMUNITY!$D:$D,"Sunday"))</f>
        <v/>
      </c>
      <c r="AL13">
        <f>IF(AA13="","",IF(AE13="","No","Yes"))</f>
        <v/>
      </c>
      <c r="AM13">
        <f>IF(AD13,ROW(),"")</f>
        <v/>
      </c>
      <c r="AN13">
        <f>IF(AND(AD13,AL13="No"),ROW(),"")</f>
        <v/>
      </c>
      <c r="AP13">
        <f>IFERROR(SMALL($AM$3:$AM$62,11),"")</f>
        <v/>
      </c>
      <c r="AQ13">
        <f>IFERROR(SMALL($AN$3:$AN$62,11),"")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IFERROR(INDEX(MASTER_COMMUNITY!$A:$A,13)&amp;"","")</f>
        <v/>
      </c>
      <c r="AB14">
        <f>IF(AA14="","",INDEX(MASTER_COMMUNITY!$B:$B,13)&amp;"")</f>
        <v/>
      </c>
      <c r="AC14">
        <f>IF(AA14="","",INDEX(MASTER_COMMUNITY!$C:$C,13)&amp;"")</f>
        <v/>
      </c>
      <c r="AD14">
        <f>AND(AA14&lt;&gt;"",OR($B$6="*",AC14=$B$6),OR($B$7="*",AA14=$B$7))</f>
        <v/>
      </c>
      <c r="AE14">
        <f>IF(OR(AA14="",$B$10=0),"",IF(COUNTIFS(DATA_COMMUNITY!$A:$A,$B$10,DATA_COMMUNITY!$C:$C,AA14,DATA_COMMUNITY!$D:$D,"Sunday")=0,"",SUMIFS(DATA_COMMUNITY!$K:$K,DATA_COMMUNITY!$A:$A,$B$10,DATA_COMMUNITY!$C:$C,AA14,DATA_COMMUNITY!$D:$D,"Sunday")))</f>
        <v/>
      </c>
      <c r="AF14">
        <f>IF(OR(AA14="",$B$10=0),"",IF(COUNTIFS(DATA_COMMUNITY!$A:$A,$B$10-7,DATA_COMMUNITY!$C:$C,AA14,DATA_COMMUNITY!$D:$D,"Sunday")=0,"",SUMIFS(DATA_COMMUNITY!$K:$K,DATA_COMMUNITY!$A:$A,$B$10-7,DATA_COMMUNITY!$C:$C,AA14,DATA_COMMUNITY!$D:$D,"Sunday")))</f>
        <v/>
      </c>
      <c r="AG14">
        <f>IF(OR(AE14="",AF14="",AF14=0),"",AE14/AF14-1)</f>
        <v/>
      </c>
      <c r="AH14">
        <f>IF(OR(AA14="",$B$10=0),"",IF(COUNTIFS(DATA_COMMUNITY!$A:$A,"&gt;="&amp;($B$10-7*$B$11),DATA_COMMUNITY!$A:$A,"&lt;"&amp;$B$10,DATA_COMMUNITY!$C:$C,AA14,DATA_COMMUNITY!$D:$D,"Sunday")=0,"",SUMIFS(DATA_COMMUNITY!$K:$K,DATA_COMMUNITY!$A:$A,"&gt;="&amp;($B$10-7*$B$11),DATA_COMMUNITY!$A:$A,"&lt;"&amp;$B$10,DATA_COMMUNITY!$C:$C,AA14,DATA_COMMUNITY!$D:$D,"Sunday")/COUNTIFS(DATA_COMMUNITY!$A:$A,"&gt;="&amp;($B$10-7*$B$11),DATA_COMMUNITY!$A:$A,"&lt;"&amp;$B$10,DATA_COMMUNITY!$C:$C,AA14,DATA_COMMUNITY!$D:$D,"Sunday")))</f>
        <v/>
      </c>
      <c r="AI14">
        <f>IF(OR(AE14="",AH14="",AH14=0),"",AE14/AH14-1)</f>
        <v/>
      </c>
      <c r="AJ14">
        <f>IF(AE14="","",SUMIFS(DATA_COMMUNITY!$L:$L,DATA_COMMUNITY!$A:$A,$B$10,DATA_COMMUNITY!$C:$C,AA14,DATA_COMMUNITY!$D:$D,"Sunday"))</f>
        <v/>
      </c>
      <c r="AK14">
        <f>IF(AE14="","",SUMIFS(DATA_COMMUNITY!$O:$O,DATA_COMMUNITY!$A:$A,$B$10,DATA_COMMUNITY!$C:$C,AA14,DATA_COMMUNITY!$D:$D,"Sunday"))</f>
        <v/>
      </c>
      <c r="AL14">
        <f>IF(AA14="","",IF(AE14="","No","Yes"))</f>
        <v/>
      </c>
      <c r="AM14">
        <f>IF(AD14,ROW(),"")</f>
        <v/>
      </c>
      <c r="AN14">
        <f>IF(AND(AD14,AL14="No"),ROW(),"")</f>
        <v/>
      </c>
      <c r="AP14">
        <f>IFERROR(SMALL($AM$3:$AM$62,12),"")</f>
        <v/>
      </c>
      <c r="AQ14">
        <f>IFERROR(SMALL($AN$3:$AN$62,12),"")</f>
        <v/>
      </c>
    </row>
    <row r="15">
      <c r="A15" t="inlineStr">
        <is>
          <t>Any data</t>
        </is>
      </c>
      <c r="B15">
        <f>B9&gt;0</f>
        <v/>
      </c>
      <c r="AA15">
        <f>IFERROR(INDEX(MASTER_COMMUNITY!$A:$A,14)&amp;"","")</f>
        <v/>
      </c>
      <c r="AB15">
        <f>IF(AA15="","",INDEX(MASTER_COMMUNITY!$B:$B,14)&amp;"")</f>
        <v/>
      </c>
      <c r="AC15">
        <f>IF(AA15="","",INDEX(MASTER_COMMUNITY!$C:$C,14)&amp;"")</f>
        <v/>
      </c>
      <c r="AD15">
        <f>AND(AA15&lt;&gt;"",OR($B$6="*",AC15=$B$6),OR($B$7="*",AA15=$B$7))</f>
        <v/>
      </c>
      <c r="AE15">
        <f>IF(OR(AA15="",$B$10=0),"",IF(COUNTIFS(DATA_COMMUNITY!$A:$A,$B$10,DATA_COMMUNITY!$C:$C,AA15,DATA_COMMUNITY!$D:$D,"Sunday")=0,"",SUMIFS(DATA_COMMUNITY!$K:$K,DATA_COMMUNITY!$A:$A,$B$10,DATA_COMMUNITY!$C:$C,AA15,DATA_COMMUNITY!$D:$D,"Sunday")))</f>
        <v/>
      </c>
      <c r="AF15">
        <f>IF(OR(AA15="",$B$10=0),"",IF(COUNTIFS(DATA_COMMUNITY!$A:$A,$B$10-7,DATA_COMMUNITY!$C:$C,AA15,DATA_COMMUNITY!$D:$D,"Sunday")=0,"",SUMIFS(DATA_COMMUNITY!$K:$K,DATA_COMMUNITY!$A:$A,$B$10-7,DATA_COMMUNITY!$C:$C,AA15,DATA_COMMUNITY!$D:$D,"Sunday")))</f>
        <v/>
      </c>
      <c r="AG15">
        <f>IF(OR(AE15="",AF15="",AF15=0),"",AE15/AF15-1)</f>
        <v/>
      </c>
      <c r="AH15">
        <f>IF(OR(AA15="",$B$10=0),"",IF(COUNTIFS(DATA_COMMUNITY!$A:$A,"&gt;="&amp;($B$10-7*$B$11),DATA_COMMUNITY!$A:$A,"&lt;"&amp;$B$10,DATA_COMMUNITY!$C:$C,AA15,DATA_COMMUNITY!$D:$D,"Sunday")=0,"",SUMIFS(DATA_COMMUNITY!$K:$K,DATA_COMMUNITY!$A:$A,"&gt;="&amp;($B$10-7*$B$11),DATA_COMMUNITY!$A:$A,"&lt;"&amp;$B$10,DATA_COMMUNITY!$C:$C,AA15,DATA_COMMUNITY!$D:$D,"Sunday")/COUNTIFS(DATA_COMMUNITY!$A:$A,"&gt;="&amp;($B$10-7*$B$11),DATA_COMMUNITY!$A:$A,"&lt;"&amp;$B$10,DATA_COMMUNITY!$C:$C,AA15,DATA_COMMUNITY!$D:$D,"Sunday")))</f>
        <v/>
      </c>
      <c r="AI15">
        <f>IF(OR(AE15="",AH15="",AH15=0),"",AE15/AH15-1)</f>
        <v/>
      </c>
      <c r="AJ15">
        <f>IF(AE15="","",SUMIFS(DATA_COMMUNITY!$L:$L,DATA_COMMUNITY!$A:$A,$B$10,DATA_COMMUNITY!$C:$C,AA15,DATA_COMMUNITY!$D:$D,"Sunday"))</f>
        <v/>
      </c>
      <c r="AK15">
        <f>IF(AE15="","",SUMIFS(DATA_COMMUNITY!$O:$O,DATA_COMMUNITY!$A:$A,$B$10,DATA_COMMUNITY!$C:$C,AA15,DATA_COMMUNITY!$D:$D,"Sunday"))</f>
        <v/>
      </c>
      <c r="AL15">
        <f>IF(AA15="","",IF(AE15="","No","Yes"))</f>
        <v/>
      </c>
      <c r="AM15">
        <f>IF(AD15,ROW(),"")</f>
        <v/>
      </c>
      <c r="AN15">
        <f>IF(AND(AD15,AL15="No"),ROW(),"")</f>
        <v/>
      </c>
      <c r="AP15">
        <f>IFERROR(SMALL($AM$3:$AM$62,13),"")</f>
        <v/>
      </c>
      <c r="AQ15">
        <f>IFERROR(SMALL($AN$3:$AN$62,13),"")</f>
        <v/>
      </c>
    </row>
    <row r="16">
      <c r="A16" t="inlineStr">
        <is>
          <t>Scope label</t>
        </is>
      </c>
      <c r="B16">
        <f>IF(B3="Global","All 35 Community Churches",IF(B3="Area","Churches in "&amp;IF(B4="","(no Area selected)",B4),IF(B4="","(no church selected)",B4&amp;" "&amp;B8)))</f>
        <v/>
      </c>
      <c r="AA16">
        <f>IFERROR(INDEX(MASTER_COMMUNITY!$A:$A,15)&amp;"","")</f>
        <v/>
      </c>
      <c r="AB16">
        <f>IF(AA16="","",INDEX(MASTER_COMMUNITY!$B:$B,15)&amp;"")</f>
        <v/>
      </c>
      <c r="AC16">
        <f>IF(AA16="","",INDEX(MASTER_COMMUNITY!$C:$C,15)&amp;"")</f>
        <v/>
      </c>
      <c r="AD16">
        <f>AND(AA16&lt;&gt;"",OR($B$6="*",AC16=$B$6),OR($B$7="*",AA16=$B$7))</f>
        <v/>
      </c>
      <c r="AE16">
        <f>IF(OR(AA16="",$B$10=0),"",IF(COUNTIFS(DATA_COMMUNITY!$A:$A,$B$10,DATA_COMMUNITY!$C:$C,AA16,DATA_COMMUNITY!$D:$D,"Sunday")=0,"",SUMIFS(DATA_COMMUNITY!$K:$K,DATA_COMMUNITY!$A:$A,$B$10,DATA_COMMUNITY!$C:$C,AA16,DATA_COMMUNITY!$D:$D,"Sunday")))</f>
        <v/>
      </c>
      <c r="AF16">
        <f>IF(OR(AA16="",$B$10=0),"",IF(COUNTIFS(DATA_COMMUNITY!$A:$A,$B$10-7,DATA_COMMUNITY!$C:$C,AA16,DATA_COMMUNITY!$D:$D,"Sunday")=0,"",SUMIFS(DATA_COMMUNITY!$K:$K,DATA_COMMUNITY!$A:$A,$B$10-7,DATA_COMMUNITY!$C:$C,AA16,DATA_COMMUNITY!$D:$D,"Sunday")))</f>
        <v/>
      </c>
      <c r="AG16">
        <f>IF(OR(AE16="",AF16="",AF16=0),"",AE16/AF16-1)</f>
        <v/>
      </c>
      <c r="AH16">
        <f>IF(OR(AA16="",$B$10=0),"",IF(COUNTIFS(DATA_COMMUNITY!$A:$A,"&gt;="&amp;($B$10-7*$B$11),DATA_COMMUNITY!$A:$A,"&lt;"&amp;$B$10,DATA_COMMUNITY!$C:$C,AA16,DATA_COMMUNITY!$D:$D,"Sunday")=0,"",SUMIFS(DATA_COMMUNITY!$K:$K,DATA_COMMUNITY!$A:$A,"&gt;="&amp;($B$10-7*$B$11),DATA_COMMUNITY!$A:$A,"&lt;"&amp;$B$10,DATA_COMMUNITY!$C:$C,AA16,DATA_COMMUNITY!$D:$D,"Sunday")/COUNTIFS(DATA_COMMUNITY!$A:$A,"&gt;="&amp;($B$10-7*$B$11),DATA_COMMUNITY!$A:$A,"&lt;"&amp;$B$10,DATA_COMMUNITY!$C:$C,AA16,DATA_COMMUNITY!$D:$D,"Sunday")))</f>
        <v/>
      </c>
      <c r="AI16">
        <f>IF(OR(AE16="",AH16="",AH16=0),"",AE16/AH16-1)</f>
        <v/>
      </c>
      <c r="AJ16">
        <f>IF(AE16="","",SUMIFS(DATA_COMMUNITY!$L:$L,DATA_COMMUNITY!$A:$A,$B$10,DATA_COMMUNITY!$C:$C,AA16,DATA_COMMUNITY!$D:$D,"Sunday"))</f>
        <v/>
      </c>
      <c r="AK16">
        <f>IF(AE16="","",SUMIFS(DATA_COMMUNITY!$O:$O,DATA_COMMUNITY!$A:$A,$B$10,DATA_COMMUNITY!$C:$C,AA16,DATA_COMMUNITY!$D:$D,"Sunday"))</f>
        <v/>
      </c>
      <c r="AL16">
        <f>IF(AA16="","",IF(AE16="","No","Yes"))</f>
        <v/>
      </c>
      <c r="AM16">
        <f>IF(AD16,ROW(),"")</f>
        <v/>
      </c>
      <c r="AN16">
        <f>IF(AND(AD16,AL16="No"),ROW(),"")</f>
        <v/>
      </c>
      <c r="AP16">
        <f>IFERROR(SMALL($AM$3:$AM$62,14),"")</f>
        <v/>
      </c>
      <c r="AQ16">
        <f>IFERROR(SMALL($AN$3:$AN$62,14),"")</f>
        <v/>
      </c>
    </row>
    <row r="17">
      <c r="A17" t="inlineStr">
        <is>
          <t>Churches in scope</t>
        </is>
      </c>
      <c r="B17">
        <f>IF(B3="Zone",IF(B5,1,0),COUNTIFS(MASTER_COMMUNITY!$C:$C,B6,MASTER_COMMUNITY!$D:$D,"Y"))</f>
        <v/>
      </c>
      <c r="AA17">
        <f>IFERROR(INDEX(MASTER_COMMUNITY!$A:$A,16)&amp;"","")</f>
        <v/>
      </c>
      <c r="AB17">
        <f>IF(AA17="","",INDEX(MASTER_COMMUNITY!$B:$B,16)&amp;"")</f>
        <v/>
      </c>
      <c r="AC17">
        <f>IF(AA17="","",INDEX(MASTER_COMMUNITY!$C:$C,16)&amp;"")</f>
        <v/>
      </c>
      <c r="AD17">
        <f>AND(AA17&lt;&gt;"",OR($B$6="*",AC17=$B$6),OR($B$7="*",AA17=$B$7))</f>
        <v/>
      </c>
      <c r="AE17">
        <f>IF(OR(AA17="",$B$10=0),"",IF(COUNTIFS(DATA_COMMUNITY!$A:$A,$B$10,DATA_COMMUNITY!$C:$C,AA17,DATA_COMMUNITY!$D:$D,"Sunday")=0,"",SUMIFS(DATA_COMMUNITY!$K:$K,DATA_COMMUNITY!$A:$A,$B$10,DATA_COMMUNITY!$C:$C,AA17,DATA_COMMUNITY!$D:$D,"Sunday")))</f>
        <v/>
      </c>
      <c r="AF17">
        <f>IF(OR(AA17="",$B$10=0),"",IF(COUNTIFS(DATA_COMMUNITY!$A:$A,$B$10-7,DATA_COMMUNITY!$C:$C,AA17,DATA_COMMUNITY!$D:$D,"Sunday")=0,"",SUMIFS(DATA_COMMUNITY!$K:$K,DATA_COMMUNITY!$A:$A,$B$10-7,DATA_COMMUNITY!$C:$C,AA17,DATA_COMMUNITY!$D:$D,"Sunday")))</f>
        <v/>
      </c>
      <c r="AG17">
        <f>IF(OR(AE17="",AF17="",AF17=0),"",AE17/AF17-1)</f>
        <v/>
      </c>
      <c r="AH17">
        <f>IF(OR(AA17="",$B$10=0),"",IF(COUNTIFS(DATA_COMMUNITY!$A:$A,"&gt;="&amp;($B$10-7*$B$11),DATA_COMMUNITY!$A:$A,"&lt;"&amp;$B$10,DATA_COMMUNITY!$C:$C,AA17,DATA_COMMUNITY!$D:$D,"Sunday")=0,"",SUMIFS(DATA_COMMUNITY!$K:$K,DATA_COMMUNITY!$A:$A,"&gt;="&amp;($B$10-7*$B$11),DATA_COMMUNITY!$A:$A,"&lt;"&amp;$B$10,DATA_COMMUNITY!$C:$C,AA17,DATA_COMMUNITY!$D:$D,"Sunday")/COUNTIFS(DATA_COMMUNITY!$A:$A,"&gt;="&amp;($B$10-7*$B$11),DATA_COMMUNITY!$A:$A,"&lt;"&amp;$B$10,DATA_COMMUNITY!$C:$C,AA17,DATA_COMMUNITY!$D:$D,"Sunday")))</f>
        <v/>
      </c>
      <c r="AI17">
        <f>IF(OR(AE17="",AH17="",AH17=0),"",AE17/AH17-1)</f>
        <v/>
      </c>
      <c r="AJ17">
        <f>IF(AE17="","",SUMIFS(DATA_COMMUNITY!$L:$L,DATA_COMMUNITY!$A:$A,$B$10,DATA_COMMUNITY!$C:$C,AA17,DATA_COMMUNITY!$D:$D,"Sunday"))</f>
        <v/>
      </c>
      <c r="AK17">
        <f>IF(AE17="","",SUMIFS(DATA_COMMUNITY!$O:$O,DATA_COMMUNITY!$A:$A,$B$10,DATA_COMMUNITY!$C:$C,AA17,DATA_COMMUNITY!$D:$D,"Sunday"))</f>
        <v/>
      </c>
      <c r="AL17">
        <f>IF(AA17="","",IF(AE17="","No","Yes"))</f>
        <v/>
      </c>
      <c r="AM17">
        <f>IF(AD17,ROW(),"")</f>
        <v/>
      </c>
      <c r="AN17">
        <f>IF(AND(AD17,AL17="No"),ROW(),"")</f>
        <v/>
      </c>
      <c r="AP17">
        <f>IFERROR(SMALL($AM$3:$AM$62,15),"")</f>
        <v/>
      </c>
      <c r="AQ17">
        <f>IFERROR(SMALL($AN$3:$AN$62,15),"")</f>
        <v/>
      </c>
    </row>
    <row r="18">
      <c r="A18" t="inlineStr">
        <is>
          <t>Selection is not a Community Church</t>
        </is>
      </c>
      <c r="B18">
        <f>AND(B3="Zone",B4&lt;&gt;"",NOT(B5))</f>
        <v/>
      </c>
      <c r="AA18">
        <f>IFERROR(INDEX(MASTER_COMMUNITY!$A:$A,17)&amp;"","")</f>
        <v/>
      </c>
      <c r="AB18">
        <f>IF(AA18="","",INDEX(MASTER_COMMUNITY!$B:$B,17)&amp;"")</f>
        <v/>
      </c>
      <c r="AC18">
        <f>IF(AA18="","",INDEX(MASTER_COMMUNITY!$C:$C,17)&amp;"")</f>
        <v/>
      </c>
      <c r="AD18">
        <f>AND(AA18&lt;&gt;"",OR($B$6="*",AC18=$B$6),OR($B$7="*",AA18=$B$7))</f>
        <v/>
      </c>
      <c r="AE18">
        <f>IF(OR(AA18="",$B$10=0),"",IF(COUNTIFS(DATA_COMMUNITY!$A:$A,$B$10,DATA_COMMUNITY!$C:$C,AA18,DATA_COMMUNITY!$D:$D,"Sunday")=0,"",SUMIFS(DATA_COMMUNITY!$K:$K,DATA_COMMUNITY!$A:$A,$B$10,DATA_COMMUNITY!$C:$C,AA18,DATA_COMMUNITY!$D:$D,"Sunday")))</f>
        <v/>
      </c>
      <c r="AF18">
        <f>IF(OR(AA18="",$B$10=0),"",IF(COUNTIFS(DATA_COMMUNITY!$A:$A,$B$10-7,DATA_COMMUNITY!$C:$C,AA18,DATA_COMMUNITY!$D:$D,"Sunday")=0,"",SUMIFS(DATA_COMMUNITY!$K:$K,DATA_COMMUNITY!$A:$A,$B$10-7,DATA_COMMUNITY!$C:$C,AA18,DATA_COMMUNITY!$D:$D,"Sunday")))</f>
        <v/>
      </c>
      <c r="AG18">
        <f>IF(OR(AE18="",AF18="",AF18=0),"",AE18/AF18-1)</f>
        <v/>
      </c>
      <c r="AH18">
        <f>IF(OR(AA18="",$B$10=0),"",IF(COUNTIFS(DATA_COMMUNITY!$A:$A,"&gt;="&amp;($B$10-7*$B$11),DATA_COMMUNITY!$A:$A,"&lt;"&amp;$B$10,DATA_COMMUNITY!$C:$C,AA18,DATA_COMMUNITY!$D:$D,"Sunday")=0,"",SUMIFS(DATA_COMMUNITY!$K:$K,DATA_COMMUNITY!$A:$A,"&gt;="&amp;($B$10-7*$B$11),DATA_COMMUNITY!$A:$A,"&lt;"&amp;$B$10,DATA_COMMUNITY!$C:$C,AA18,DATA_COMMUNITY!$D:$D,"Sunday")/COUNTIFS(DATA_COMMUNITY!$A:$A,"&gt;="&amp;($B$10-7*$B$11),DATA_COMMUNITY!$A:$A,"&lt;"&amp;$B$10,DATA_COMMUNITY!$C:$C,AA18,DATA_COMMUNITY!$D:$D,"Sunday")))</f>
        <v/>
      </c>
      <c r="AI18">
        <f>IF(OR(AE18="",AH18="",AH18=0),"",AE18/AH18-1)</f>
        <v/>
      </c>
      <c r="AJ18">
        <f>IF(AE18="","",SUMIFS(DATA_COMMUNITY!$L:$L,DATA_COMMUNITY!$A:$A,$B$10,DATA_COMMUNITY!$C:$C,AA18,DATA_COMMUNITY!$D:$D,"Sunday"))</f>
        <v/>
      </c>
      <c r="AK18">
        <f>IF(AE18="","",SUMIFS(DATA_COMMUNITY!$O:$O,DATA_COMMUNITY!$A:$A,$B$10,DATA_COMMUNITY!$C:$C,AA18,DATA_COMMUNITY!$D:$D,"Sunday"))</f>
        <v/>
      </c>
      <c r="AL18">
        <f>IF(AA18="","",IF(AE18="","No","Yes"))</f>
        <v/>
      </c>
      <c r="AM18">
        <f>IF(AD18,ROW(),"")</f>
        <v/>
      </c>
      <c r="AN18">
        <f>IF(AND(AD18,AL18="No"),ROW(),"")</f>
        <v/>
      </c>
      <c r="AP18">
        <f>IFERROR(SMALL($AM$3:$AM$62,16),"")</f>
        <v/>
      </c>
      <c r="AQ18">
        <f>IFERROR(SMALL($AN$3:$AN$62,16),"")</f>
        <v/>
      </c>
    </row>
    <row r="19">
      <c r="AA19">
        <f>IFERROR(INDEX(MASTER_COMMUNITY!$A:$A,18)&amp;"","")</f>
        <v/>
      </c>
      <c r="AB19">
        <f>IF(AA19="","",INDEX(MASTER_COMMUNITY!$B:$B,18)&amp;"")</f>
        <v/>
      </c>
      <c r="AC19">
        <f>IF(AA19="","",INDEX(MASTER_COMMUNITY!$C:$C,18)&amp;"")</f>
        <v/>
      </c>
      <c r="AD19">
        <f>AND(AA19&lt;&gt;"",OR($B$6="*",AC19=$B$6),OR($B$7="*",AA19=$B$7))</f>
        <v/>
      </c>
      <c r="AE19">
        <f>IF(OR(AA19="",$B$10=0),"",IF(COUNTIFS(DATA_COMMUNITY!$A:$A,$B$10,DATA_COMMUNITY!$C:$C,AA19,DATA_COMMUNITY!$D:$D,"Sunday")=0,"",SUMIFS(DATA_COMMUNITY!$K:$K,DATA_COMMUNITY!$A:$A,$B$10,DATA_COMMUNITY!$C:$C,AA19,DATA_COMMUNITY!$D:$D,"Sunday")))</f>
        <v/>
      </c>
      <c r="AF19">
        <f>IF(OR(AA19="",$B$10=0),"",IF(COUNTIFS(DATA_COMMUNITY!$A:$A,$B$10-7,DATA_COMMUNITY!$C:$C,AA19,DATA_COMMUNITY!$D:$D,"Sunday")=0,"",SUMIFS(DATA_COMMUNITY!$K:$K,DATA_COMMUNITY!$A:$A,$B$10-7,DATA_COMMUNITY!$C:$C,AA19,DATA_COMMUNITY!$D:$D,"Sunday")))</f>
        <v/>
      </c>
      <c r="AG19">
        <f>IF(OR(AE19="",AF19="",AF19=0),"",AE19/AF19-1)</f>
        <v/>
      </c>
      <c r="AH19">
        <f>IF(OR(AA19="",$B$10=0),"",IF(COUNTIFS(DATA_COMMUNITY!$A:$A,"&gt;="&amp;($B$10-7*$B$11),DATA_COMMUNITY!$A:$A,"&lt;"&amp;$B$10,DATA_COMMUNITY!$C:$C,AA19,DATA_COMMUNITY!$D:$D,"Sunday")=0,"",SUMIFS(DATA_COMMUNITY!$K:$K,DATA_COMMUNITY!$A:$A,"&gt;="&amp;($B$10-7*$B$11),DATA_COMMUNITY!$A:$A,"&lt;"&amp;$B$10,DATA_COMMUNITY!$C:$C,AA19,DATA_COMMUNITY!$D:$D,"Sunday")/COUNTIFS(DATA_COMMUNITY!$A:$A,"&gt;="&amp;($B$10-7*$B$11),DATA_COMMUNITY!$A:$A,"&lt;"&amp;$B$10,DATA_COMMUNITY!$C:$C,AA19,DATA_COMMUNITY!$D:$D,"Sunday")))</f>
        <v/>
      </c>
      <c r="AI19">
        <f>IF(OR(AE19="",AH19="",AH19=0),"",AE19/AH19-1)</f>
        <v/>
      </c>
      <c r="AJ19">
        <f>IF(AE19="","",SUMIFS(DATA_COMMUNITY!$L:$L,DATA_COMMUNITY!$A:$A,$B$10,DATA_COMMUNITY!$C:$C,AA19,DATA_COMMUNITY!$D:$D,"Sunday"))</f>
        <v/>
      </c>
      <c r="AK19">
        <f>IF(AE19="","",SUMIFS(DATA_COMMUNITY!$O:$O,DATA_COMMUNITY!$A:$A,$B$10,DATA_COMMUNITY!$C:$C,AA19,DATA_COMMUNITY!$D:$D,"Sunday"))</f>
        <v/>
      </c>
      <c r="AL19">
        <f>IF(AA19="","",IF(AE19="","No","Yes"))</f>
        <v/>
      </c>
      <c r="AM19">
        <f>IF(AD19,ROW(),"")</f>
        <v/>
      </c>
      <c r="AN19">
        <f>IF(AND(AD19,AL19="No"),ROW(),"")</f>
        <v/>
      </c>
      <c r="AP19">
        <f>IFERROR(SMALL($AM$3:$AM$62,17),"")</f>
        <v/>
      </c>
      <c r="AQ19">
        <f>IFERROR(SMALL($AN$3:$AN$62,17),"")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testimonies</t>
        </is>
      </c>
      <c r="O20" t="inlineStr">
        <is>
          <t>pastors</t>
        </is>
      </c>
      <c r="P20" t="inlineStr">
        <is>
          <t>universe</t>
        </is>
      </c>
      <c r="Q20" t="inlineStr">
        <is>
          <t>reported</t>
        </is>
      </c>
      <c r="R20" t="inlineStr">
        <is>
          <t>notrep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IFERROR(INDEX(MASTER_COMMUNITY!$A:$A,19)&amp;"","")</f>
        <v/>
      </c>
      <c r="AB20">
        <f>IF(AA20="","",INDEX(MASTER_COMMUNITY!$B:$B,19)&amp;"")</f>
        <v/>
      </c>
      <c r="AC20">
        <f>IF(AA20="","",INDEX(MASTER_COMMUNITY!$C:$C,19)&amp;"")</f>
        <v/>
      </c>
      <c r="AD20">
        <f>AND(AA20&lt;&gt;"",OR($B$6="*",AC20=$B$6),OR($B$7="*",AA20=$B$7))</f>
        <v/>
      </c>
      <c r="AE20">
        <f>IF(OR(AA20="",$B$10=0),"",IF(COUNTIFS(DATA_COMMUNITY!$A:$A,$B$10,DATA_COMMUNITY!$C:$C,AA20,DATA_COMMUNITY!$D:$D,"Sunday")=0,"",SUMIFS(DATA_COMMUNITY!$K:$K,DATA_COMMUNITY!$A:$A,$B$10,DATA_COMMUNITY!$C:$C,AA20,DATA_COMMUNITY!$D:$D,"Sunday")))</f>
        <v/>
      </c>
      <c r="AF20">
        <f>IF(OR(AA20="",$B$10=0),"",IF(COUNTIFS(DATA_COMMUNITY!$A:$A,$B$10-7,DATA_COMMUNITY!$C:$C,AA20,DATA_COMMUNITY!$D:$D,"Sunday")=0,"",SUMIFS(DATA_COMMUNITY!$K:$K,DATA_COMMUNITY!$A:$A,$B$10-7,DATA_COMMUNITY!$C:$C,AA20,DATA_COMMUNITY!$D:$D,"Sunday")))</f>
        <v/>
      </c>
      <c r="AG20">
        <f>IF(OR(AE20="",AF20="",AF20=0),"",AE20/AF20-1)</f>
        <v/>
      </c>
      <c r="AH20">
        <f>IF(OR(AA20="",$B$10=0),"",IF(COUNTIFS(DATA_COMMUNITY!$A:$A,"&gt;="&amp;($B$10-7*$B$11),DATA_COMMUNITY!$A:$A,"&lt;"&amp;$B$10,DATA_COMMUNITY!$C:$C,AA20,DATA_COMMUNITY!$D:$D,"Sunday")=0,"",SUMIFS(DATA_COMMUNITY!$K:$K,DATA_COMMUNITY!$A:$A,"&gt;="&amp;($B$10-7*$B$11),DATA_COMMUNITY!$A:$A,"&lt;"&amp;$B$10,DATA_COMMUNITY!$C:$C,AA20,DATA_COMMUNITY!$D:$D,"Sunday")/COUNTIFS(DATA_COMMUNITY!$A:$A,"&gt;="&amp;($B$10-7*$B$11),DATA_COMMUNITY!$A:$A,"&lt;"&amp;$B$10,DATA_COMMUNITY!$C:$C,AA20,DATA_COMMUNITY!$D:$D,"Sunday")))</f>
        <v/>
      </c>
      <c r="AI20">
        <f>IF(OR(AE20="",AH20="",AH20=0),"",AE20/AH20-1)</f>
        <v/>
      </c>
      <c r="AJ20">
        <f>IF(AE20="","",SUMIFS(DATA_COMMUNITY!$L:$L,DATA_COMMUNITY!$A:$A,$B$10,DATA_COMMUNITY!$C:$C,AA20,DATA_COMMUNITY!$D:$D,"Sunday"))</f>
        <v/>
      </c>
      <c r="AK20">
        <f>IF(AE20="","",SUMIFS(DATA_COMMUNITY!$O:$O,DATA_COMMUNITY!$A:$A,$B$10,DATA_COMMUNITY!$C:$C,AA20,DATA_COMMUNITY!$D:$D,"Sunday"))</f>
        <v/>
      </c>
      <c r="AL20">
        <f>IF(AA20="","",IF(AE20="","No","Yes"))</f>
        <v/>
      </c>
      <c r="AM20">
        <f>IF(AD20,ROW(),"")</f>
        <v/>
      </c>
      <c r="AN20">
        <f>IF(AND(AD20,AL20="No"),ROW(),"")</f>
        <v/>
      </c>
      <c r="AP20">
        <f>IFERROR(SMALL($AM$3:$AM$62,18),"")</f>
        <v/>
      </c>
      <c r="AQ20">
        <f>IFERROR(SMALL($AN$3:$AN$62,18),"")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IF(B21="",0,COUNTIFS(DATA_COMMUNITY!$A:$A,B21,DATA_COMMUNITY!$E:$E,$B$6,DATA_COMMUNITY!$C:$C,$B$7,DATA_COMMUNITY!$D:$D,"Sunday"))</f>
        <v/>
      </c>
      <c r="G21">
        <f>IF(F21=0,0,SUMIFS(DATA_COMMUNITY!$G:$G,DATA_COMMUNITY!$A:$A,B21,DATA_COMMUNITY!$E:$E,$B$6,DATA_COMMUNITY!$C:$C,$B$7,DATA_COMMUNITY!$D:$D,"Sunday"))</f>
        <v/>
      </c>
      <c r="H21">
        <f>IF(F21=0,0,SUMIFS(DATA_COMMUNITY!$H:$H,DATA_COMMUNITY!$A:$A,B21,DATA_COMMUNITY!$E:$E,$B$6,DATA_COMMUNITY!$C:$C,$B$7,DATA_COMMUNITY!$D:$D,"Sunday"))</f>
        <v/>
      </c>
      <c r="I21">
        <f>IF(F21=0,0,SUMIFS(DATA_COMMUNITY!$J:$J,DATA_COMMUNITY!$A:$A,B21,DATA_COMMUNITY!$E:$E,$B$6,DATA_COMMUNITY!$C:$C,$B$7,DATA_COMMUNITY!$D:$D,"Sunday"))</f>
        <v/>
      </c>
      <c r="J21">
        <f>G21+H21</f>
        <v/>
      </c>
      <c r="K21">
        <f>J21+I21</f>
        <v/>
      </c>
      <c r="L21">
        <f>IF(F21=0,0,SUMIFS(DATA_COMMUNITY!$L:$L,DATA_COMMUNITY!$A:$A,B21,DATA_COMMUNITY!$E:$E,$B$6,DATA_COMMUNITY!$C:$C,$B$7,DATA_COMMUNITY!$D:$D,"Sunday"))</f>
        <v/>
      </c>
      <c r="M21">
        <f>IF(F21=0,0,SUMIFS(DATA_COMMUNITY!$M:$M,DATA_COMMUNITY!$A:$A,B21,DATA_COMMUNITY!$E:$E,$B$6,DATA_COMMUNITY!$C:$C,$B$7,DATA_COMMUNITY!$D:$D,"Sunday"))</f>
        <v/>
      </c>
      <c r="N21">
        <f>IF(F21=0,0,SUMIFS(DATA_COMMUNITY!$N:$N,DATA_COMMUNITY!$A:$A,B21,DATA_COMMUNITY!$E:$E,$B$6,DATA_COMMUNITY!$C:$C,$B$7,DATA_COMMUNITY!$D:$D,"Sunday"))</f>
        <v/>
      </c>
      <c r="O21">
        <f>IF(F21=0,0,SUMIFS(DATA_COMMUNITY!$O:$O,DATA_COMMUNITY!$A:$A,B21,DATA_COMMUNITY!$E:$E,$B$6,DATA_COMMUNITY!$C:$C,$B$7,DATA_COMMUNITY!$D:$D,"Sunday"))</f>
        <v/>
      </c>
      <c r="P21">
        <f>IF(B21="",0,$B$17)</f>
        <v/>
      </c>
      <c r="Q21">
        <f>F21</f>
        <v/>
      </c>
      <c r="R21">
        <f>MAX(0,P21-Q21)</f>
        <v/>
      </c>
      <c r="S21">
        <f>IF(F21&gt;0,1,0)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IFERROR(INDEX(MASTER_COMMUNITY!$A:$A,20)&amp;"","")</f>
        <v/>
      </c>
      <c r="AB21">
        <f>IF(AA21="","",INDEX(MASTER_COMMUNITY!$B:$B,20)&amp;"")</f>
        <v/>
      </c>
      <c r="AC21">
        <f>IF(AA21="","",INDEX(MASTER_COMMUNITY!$C:$C,20)&amp;"")</f>
        <v/>
      </c>
      <c r="AD21">
        <f>AND(AA21&lt;&gt;"",OR($B$6="*",AC21=$B$6),OR($B$7="*",AA21=$B$7))</f>
        <v/>
      </c>
      <c r="AE21">
        <f>IF(OR(AA21="",$B$10=0),"",IF(COUNTIFS(DATA_COMMUNITY!$A:$A,$B$10,DATA_COMMUNITY!$C:$C,AA21,DATA_COMMUNITY!$D:$D,"Sunday")=0,"",SUMIFS(DATA_COMMUNITY!$K:$K,DATA_COMMUNITY!$A:$A,$B$10,DATA_COMMUNITY!$C:$C,AA21,DATA_COMMUNITY!$D:$D,"Sunday")))</f>
        <v/>
      </c>
      <c r="AF21">
        <f>IF(OR(AA21="",$B$10=0),"",IF(COUNTIFS(DATA_COMMUNITY!$A:$A,$B$10-7,DATA_COMMUNITY!$C:$C,AA21,DATA_COMMUNITY!$D:$D,"Sunday")=0,"",SUMIFS(DATA_COMMUNITY!$K:$K,DATA_COMMUNITY!$A:$A,$B$10-7,DATA_COMMUNITY!$C:$C,AA21,DATA_COMMUNITY!$D:$D,"Sunday")))</f>
        <v/>
      </c>
      <c r="AG21">
        <f>IF(OR(AE21="",AF21="",AF21=0),"",AE21/AF21-1)</f>
        <v/>
      </c>
      <c r="AH21">
        <f>IF(OR(AA21="",$B$10=0),"",IF(COUNTIFS(DATA_COMMUNITY!$A:$A,"&gt;="&amp;($B$10-7*$B$11),DATA_COMMUNITY!$A:$A,"&lt;"&amp;$B$10,DATA_COMMUNITY!$C:$C,AA21,DATA_COMMUNITY!$D:$D,"Sunday")=0,"",SUMIFS(DATA_COMMUNITY!$K:$K,DATA_COMMUNITY!$A:$A,"&gt;="&amp;($B$10-7*$B$11),DATA_COMMUNITY!$A:$A,"&lt;"&amp;$B$10,DATA_COMMUNITY!$C:$C,AA21,DATA_COMMUNITY!$D:$D,"Sunday")/COUNTIFS(DATA_COMMUNITY!$A:$A,"&gt;="&amp;($B$10-7*$B$11),DATA_COMMUNITY!$A:$A,"&lt;"&amp;$B$10,DATA_COMMUNITY!$C:$C,AA21,DATA_COMMUNITY!$D:$D,"Sunday")))</f>
        <v/>
      </c>
      <c r="AI21">
        <f>IF(OR(AE21="",AH21="",AH21=0),"",AE21/AH21-1)</f>
        <v/>
      </c>
      <c r="AJ21">
        <f>IF(AE21="","",SUMIFS(DATA_COMMUNITY!$L:$L,DATA_COMMUNITY!$A:$A,$B$10,DATA_COMMUNITY!$C:$C,AA21,DATA_COMMUNITY!$D:$D,"Sunday"))</f>
        <v/>
      </c>
      <c r="AK21">
        <f>IF(AE21="","",SUMIFS(DATA_COMMUNITY!$O:$O,DATA_COMMUNITY!$A:$A,$B$10,DATA_COMMUNITY!$C:$C,AA21,DATA_COMMUNITY!$D:$D,"Sunday"))</f>
        <v/>
      </c>
      <c r="AL21">
        <f>IF(AA21="","",IF(AE21="","No","Yes"))</f>
        <v/>
      </c>
      <c r="AM21">
        <f>IF(AD21,ROW(),"")</f>
        <v/>
      </c>
      <c r="AN21">
        <f>IF(AND(AD21,AL21="No"),ROW(),"")</f>
        <v/>
      </c>
      <c r="AP21">
        <f>IFERROR(SMALL($AM$3:$AM$62,19),"")</f>
        <v/>
      </c>
      <c r="AQ21">
        <f>IFERROR(SMALL($AN$3:$AN$62,19),"")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IF(B22="",0,COUNTIFS(DATA_COMMUNITY!$A:$A,B22,DATA_COMMUNITY!$E:$E,$B$6,DATA_COMMUNITY!$C:$C,$B$7,DATA_COMMUNITY!$D:$D,"Sunday"))</f>
        <v/>
      </c>
      <c r="G22">
        <f>IF(F22=0,0,SUMIFS(DATA_COMMUNITY!$G:$G,DATA_COMMUNITY!$A:$A,B22,DATA_COMMUNITY!$E:$E,$B$6,DATA_COMMUNITY!$C:$C,$B$7,DATA_COMMUNITY!$D:$D,"Sunday"))</f>
        <v/>
      </c>
      <c r="H22">
        <f>IF(F22=0,0,SUMIFS(DATA_COMMUNITY!$H:$H,DATA_COMMUNITY!$A:$A,B22,DATA_COMMUNITY!$E:$E,$B$6,DATA_COMMUNITY!$C:$C,$B$7,DATA_COMMUNITY!$D:$D,"Sunday"))</f>
        <v/>
      </c>
      <c r="I22">
        <f>IF(F22=0,0,SUMIFS(DATA_COMMUNITY!$J:$J,DATA_COMMUNITY!$A:$A,B22,DATA_COMMUNITY!$E:$E,$B$6,DATA_COMMUNITY!$C:$C,$B$7,DATA_COMMUNITY!$D:$D,"Sunday"))</f>
        <v/>
      </c>
      <c r="J22">
        <f>G22+H22</f>
        <v/>
      </c>
      <c r="K22">
        <f>J22+I22</f>
        <v/>
      </c>
      <c r="L22">
        <f>IF(F22=0,0,SUMIFS(DATA_COMMUNITY!$L:$L,DATA_COMMUNITY!$A:$A,B22,DATA_COMMUNITY!$E:$E,$B$6,DATA_COMMUNITY!$C:$C,$B$7,DATA_COMMUNITY!$D:$D,"Sunday"))</f>
        <v/>
      </c>
      <c r="M22">
        <f>IF(F22=0,0,SUMIFS(DATA_COMMUNITY!$M:$M,DATA_COMMUNITY!$A:$A,B22,DATA_COMMUNITY!$E:$E,$B$6,DATA_COMMUNITY!$C:$C,$B$7,DATA_COMMUNITY!$D:$D,"Sunday"))</f>
        <v/>
      </c>
      <c r="N22">
        <f>IF(F22=0,0,SUMIFS(DATA_COMMUNITY!$N:$N,DATA_COMMUNITY!$A:$A,B22,DATA_COMMUNITY!$E:$E,$B$6,DATA_COMMUNITY!$C:$C,$B$7,DATA_COMMUNITY!$D:$D,"Sunday"))</f>
        <v/>
      </c>
      <c r="O22">
        <f>IF(F22=0,0,SUMIFS(DATA_COMMUNITY!$O:$O,DATA_COMMUNITY!$A:$A,B22,DATA_COMMUNITY!$E:$E,$B$6,DATA_COMMUNITY!$C:$C,$B$7,DATA_COMMUNITY!$D:$D,"Sunday"))</f>
        <v/>
      </c>
      <c r="P22">
        <f>IF(B22="",0,$B$17)</f>
        <v/>
      </c>
      <c r="Q22">
        <f>F22</f>
        <v/>
      </c>
      <c r="R22">
        <f>MAX(0,P22-Q22)</f>
        <v/>
      </c>
      <c r="S22">
        <f>IF(F22&gt;0,1,0)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IFERROR(INDEX(MASTER_COMMUNITY!$A:$A,21)&amp;"","")</f>
        <v/>
      </c>
      <c r="AB22">
        <f>IF(AA22="","",INDEX(MASTER_COMMUNITY!$B:$B,21)&amp;"")</f>
        <v/>
      </c>
      <c r="AC22">
        <f>IF(AA22="","",INDEX(MASTER_COMMUNITY!$C:$C,21)&amp;"")</f>
        <v/>
      </c>
      <c r="AD22">
        <f>AND(AA22&lt;&gt;"",OR($B$6="*",AC22=$B$6),OR($B$7="*",AA22=$B$7))</f>
        <v/>
      </c>
      <c r="AE22">
        <f>IF(OR(AA22="",$B$10=0),"",IF(COUNTIFS(DATA_COMMUNITY!$A:$A,$B$10,DATA_COMMUNITY!$C:$C,AA22,DATA_COMMUNITY!$D:$D,"Sunday")=0,"",SUMIFS(DATA_COMMUNITY!$K:$K,DATA_COMMUNITY!$A:$A,$B$10,DATA_COMMUNITY!$C:$C,AA22,DATA_COMMUNITY!$D:$D,"Sunday")))</f>
        <v/>
      </c>
      <c r="AF22">
        <f>IF(OR(AA22="",$B$10=0),"",IF(COUNTIFS(DATA_COMMUNITY!$A:$A,$B$10-7,DATA_COMMUNITY!$C:$C,AA22,DATA_COMMUNITY!$D:$D,"Sunday")=0,"",SUMIFS(DATA_COMMUNITY!$K:$K,DATA_COMMUNITY!$A:$A,$B$10-7,DATA_COMMUNITY!$C:$C,AA22,DATA_COMMUNITY!$D:$D,"Sunday")))</f>
        <v/>
      </c>
      <c r="AG22">
        <f>IF(OR(AE22="",AF22="",AF22=0),"",AE22/AF22-1)</f>
        <v/>
      </c>
      <c r="AH22">
        <f>IF(OR(AA22="",$B$10=0),"",IF(COUNTIFS(DATA_COMMUNITY!$A:$A,"&gt;="&amp;($B$10-7*$B$11),DATA_COMMUNITY!$A:$A,"&lt;"&amp;$B$10,DATA_COMMUNITY!$C:$C,AA22,DATA_COMMUNITY!$D:$D,"Sunday")=0,"",SUMIFS(DATA_COMMUNITY!$K:$K,DATA_COMMUNITY!$A:$A,"&gt;="&amp;($B$10-7*$B$11),DATA_COMMUNITY!$A:$A,"&lt;"&amp;$B$10,DATA_COMMUNITY!$C:$C,AA22,DATA_COMMUNITY!$D:$D,"Sunday")/COUNTIFS(DATA_COMMUNITY!$A:$A,"&gt;="&amp;($B$10-7*$B$11),DATA_COMMUNITY!$A:$A,"&lt;"&amp;$B$10,DATA_COMMUNITY!$C:$C,AA22,DATA_COMMUNITY!$D:$D,"Sunday")))</f>
        <v/>
      </c>
      <c r="AI22">
        <f>IF(OR(AE22="",AH22="",AH22=0),"",AE22/AH22-1)</f>
        <v/>
      </c>
      <c r="AJ22">
        <f>IF(AE22="","",SUMIFS(DATA_COMMUNITY!$L:$L,DATA_COMMUNITY!$A:$A,$B$10,DATA_COMMUNITY!$C:$C,AA22,DATA_COMMUNITY!$D:$D,"Sunday"))</f>
        <v/>
      </c>
      <c r="AK22">
        <f>IF(AE22="","",SUMIFS(DATA_COMMUNITY!$O:$O,DATA_COMMUNITY!$A:$A,$B$10,DATA_COMMUNITY!$C:$C,AA22,DATA_COMMUNITY!$D:$D,"Sunday"))</f>
        <v/>
      </c>
      <c r="AL22">
        <f>IF(AA22="","",IF(AE22="","No","Yes"))</f>
        <v/>
      </c>
      <c r="AM22">
        <f>IF(AD22,ROW(),"")</f>
        <v/>
      </c>
      <c r="AN22">
        <f>IF(AND(AD22,AL22="No"),ROW(),"")</f>
        <v/>
      </c>
      <c r="AP22">
        <f>IFERROR(SMALL($AM$3:$AM$62,20),"")</f>
        <v/>
      </c>
      <c r="AQ22">
        <f>IFERROR(SMALL($AN$3:$AN$62,20),"")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IF(B23="",0,COUNTIFS(DATA_COMMUNITY!$A:$A,B23,DATA_COMMUNITY!$E:$E,$B$6,DATA_COMMUNITY!$C:$C,$B$7,DATA_COMMUNITY!$D:$D,"Sunday"))</f>
        <v/>
      </c>
      <c r="G23">
        <f>IF(F23=0,0,SUMIFS(DATA_COMMUNITY!$G:$G,DATA_COMMUNITY!$A:$A,B23,DATA_COMMUNITY!$E:$E,$B$6,DATA_COMMUNITY!$C:$C,$B$7,DATA_COMMUNITY!$D:$D,"Sunday"))</f>
        <v/>
      </c>
      <c r="H23">
        <f>IF(F23=0,0,SUMIFS(DATA_COMMUNITY!$H:$H,DATA_COMMUNITY!$A:$A,B23,DATA_COMMUNITY!$E:$E,$B$6,DATA_COMMUNITY!$C:$C,$B$7,DATA_COMMUNITY!$D:$D,"Sunday"))</f>
        <v/>
      </c>
      <c r="I23">
        <f>IF(F23=0,0,SUMIFS(DATA_COMMUNITY!$J:$J,DATA_COMMUNITY!$A:$A,B23,DATA_COMMUNITY!$E:$E,$B$6,DATA_COMMUNITY!$C:$C,$B$7,DATA_COMMUNITY!$D:$D,"Sunday"))</f>
        <v/>
      </c>
      <c r="J23">
        <f>G23+H23</f>
        <v/>
      </c>
      <c r="K23">
        <f>J23+I23</f>
        <v/>
      </c>
      <c r="L23">
        <f>IF(F23=0,0,SUMIFS(DATA_COMMUNITY!$L:$L,DATA_COMMUNITY!$A:$A,B23,DATA_COMMUNITY!$E:$E,$B$6,DATA_COMMUNITY!$C:$C,$B$7,DATA_COMMUNITY!$D:$D,"Sunday"))</f>
        <v/>
      </c>
      <c r="M23">
        <f>IF(F23=0,0,SUMIFS(DATA_COMMUNITY!$M:$M,DATA_COMMUNITY!$A:$A,B23,DATA_COMMUNITY!$E:$E,$B$6,DATA_COMMUNITY!$C:$C,$B$7,DATA_COMMUNITY!$D:$D,"Sunday"))</f>
        <v/>
      </c>
      <c r="N23">
        <f>IF(F23=0,0,SUMIFS(DATA_COMMUNITY!$N:$N,DATA_COMMUNITY!$A:$A,B23,DATA_COMMUNITY!$E:$E,$B$6,DATA_COMMUNITY!$C:$C,$B$7,DATA_COMMUNITY!$D:$D,"Sunday"))</f>
        <v/>
      </c>
      <c r="O23">
        <f>IF(F23=0,0,SUMIFS(DATA_COMMUNITY!$O:$O,DATA_COMMUNITY!$A:$A,B23,DATA_COMMUNITY!$E:$E,$B$6,DATA_COMMUNITY!$C:$C,$B$7,DATA_COMMUNITY!$D:$D,"Sunday"))</f>
        <v/>
      </c>
      <c r="P23">
        <f>IF(B23="",0,$B$17)</f>
        <v/>
      </c>
      <c r="Q23">
        <f>F23</f>
        <v/>
      </c>
      <c r="R23">
        <f>MAX(0,P23-Q23)</f>
        <v/>
      </c>
      <c r="S23">
        <f>IF(F23&gt;0,1,0)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IFERROR(INDEX(MASTER_COMMUNITY!$A:$A,22)&amp;"","")</f>
        <v/>
      </c>
      <c r="AB23">
        <f>IF(AA23="","",INDEX(MASTER_COMMUNITY!$B:$B,22)&amp;"")</f>
        <v/>
      </c>
      <c r="AC23">
        <f>IF(AA23="","",INDEX(MASTER_COMMUNITY!$C:$C,22)&amp;"")</f>
        <v/>
      </c>
      <c r="AD23">
        <f>AND(AA23&lt;&gt;"",OR($B$6="*",AC23=$B$6),OR($B$7="*",AA23=$B$7))</f>
        <v/>
      </c>
      <c r="AE23">
        <f>IF(OR(AA23="",$B$10=0),"",IF(COUNTIFS(DATA_COMMUNITY!$A:$A,$B$10,DATA_COMMUNITY!$C:$C,AA23,DATA_COMMUNITY!$D:$D,"Sunday")=0,"",SUMIFS(DATA_COMMUNITY!$K:$K,DATA_COMMUNITY!$A:$A,$B$10,DATA_COMMUNITY!$C:$C,AA23,DATA_COMMUNITY!$D:$D,"Sunday")))</f>
        <v/>
      </c>
      <c r="AF23">
        <f>IF(OR(AA23="",$B$10=0),"",IF(COUNTIFS(DATA_COMMUNITY!$A:$A,$B$10-7,DATA_COMMUNITY!$C:$C,AA23,DATA_COMMUNITY!$D:$D,"Sunday")=0,"",SUMIFS(DATA_COMMUNITY!$K:$K,DATA_COMMUNITY!$A:$A,$B$10-7,DATA_COMMUNITY!$C:$C,AA23,DATA_COMMUNITY!$D:$D,"Sunday")))</f>
        <v/>
      </c>
      <c r="AG23">
        <f>IF(OR(AE23="",AF23="",AF23=0),"",AE23/AF23-1)</f>
        <v/>
      </c>
      <c r="AH23">
        <f>IF(OR(AA23="",$B$10=0),"",IF(COUNTIFS(DATA_COMMUNITY!$A:$A,"&gt;="&amp;($B$10-7*$B$11),DATA_COMMUNITY!$A:$A,"&lt;"&amp;$B$10,DATA_COMMUNITY!$C:$C,AA23,DATA_COMMUNITY!$D:$D,"Sunday")=0,"",SUMIFS(DATA_COMMUNITY!$K:$K,DATA_COMMUNITY!$A:$A,"&gt;="&amp;($B$10-7*$B$11),DATA_COMMUNITY!$A:$A,"&lt;"&amp;$B$10,DATA_COMMUNITY!$C:$C,AA23,DATA_COMMUNITY!$D:$D,"Sunday")/COUNTIFS(DATA_COMMUNITY!$A:$A,"&gt;="&amp;($B$10-7*$B$11),DATA_COMMUNITY!$A:$A,"&lt;"&amp;$B$10,DATA_COMMUNITY!$C:$C,AA23,DATA_COMMUNITY!$D:$D,"Sunday")))</f>
        <v/>
      </c>
      <c r="AI23">
        <f>IF(OR(AE23="",AH23="",AH23=0),"",AE23/AH23-1)</f>
        <v/>
      </c>
      <c r="AJ23">
        <f>IF(AE23="","",SUMIFS(DATA_COMMUNITY!$L:$L,DATA_COMMUNITY!$A:$A,$B$10,DATA_COMMUNITY!$C:$C,AA23,DATA_COMMUNITY!$D:$D,"Sunday"))</f>
        <v/>
      </c>
      <c r="AK23">
        <f>IF(AE23="","",SUMIFS(DATA_COMMUNITY!$O:$O,DATA_COMMUNITY!$A:$A,$B$10,DATA_COMMUNITY!$C:$C,AA23,DATA_COMMUNITY!$D:$D,"Sunday"))</f>
        <v/>
      </c>
      <c r="AL23">
        <f>IF(AA23="","",IF(AE23="","No","Yes"))</f>
        <v/>
      </c>
      <c r="AM23">
        <f>IF(AD23,ROW(),"")</f>
        <v/>
      </c>
      <c r="AN23">
        <f>IF(AND(AD23,AL23="No"),ROW(),"")</f>
        <v/>
      </c>
      <c r="AP23">
        <f>IFERROR(SMALL($AM$3:$AM$62,21),"")</f>
        <v/>
      </c>
      <c r="AQ23">
        <f>IFERROR(SMALL($AN$3:$AN$62,21),"")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IF(B24="",0,COUNTIFS(DATA_COMMUNITY!$A:$A,B24,DATA_COMMUNITY!$E:$E,$B$6,DATA_COMMUNITY!$C:$C,$B$7,DATA_COMMUNITY!$D:$D,"Sunday"))</f>
        <v/>
      </c>
      <c r="G24">
        <f>IF(F24=0,0,SUMIFS(DATA_COMMUNITY!$G:$G,DATA_COMMUNITY!$A:$A,B24,DATA_COMMUNITY!$E:$E,$B$6,DATA_COMMUNITY!$C:$C,$B$7,DATA_COMMUNITY!$D:$D,"Sunday"))</f>
        <v/>
      </c>
      <c r="H24">
        <f>IF(F24=0,0,SUMIFS(DATA_COMMUNITY!$H:$H,DATA_COMMUNITY!$A:$A,B24,DATA_COMMUNITY!$E:$E,$B$6,DATA_COMMUNITY!$C:$C,$B$7,DATA_COMMUNITY!$D:$D,"Sunday"))</f>
        <v/>
      </c>
      <c r="I24">
        <f>IF(F24=0,0,SUMIFS(DATA_COMMUNITY!$J:$J,DATA_COMMUNITY!$A:$A,B24,DATA_COMMUNITY!$E:$E,$B$6,DATA_COMMUNITY!$C:$C,$B$7,DATA_COMMUNITY!$D:$D,"Sunday"))</f>
        <v/>
      </c>
      <c r="J24">
        <f>G24+H24</f>
        <v/>
      </c>
      <c r="K24">
        <f>J24+I24</f>
        <v/>
      </c>
      <c r="L24">
        <f>IF(F24=0,0,SUMIFS(DATA_COMMUNITY!$L:$L,DATA_COMMUNITY!$A:$A,B24,DATA_COMMUNITY!$E:$E,$B$6,DATA_COMMUNITY!$C:$C,$B$7,DATA_COMMUNITY!$D:$D,"Sunday"))</f>
        <v/>
      </c>
      <c r="M24">
        <f>IF(F24=0,0,SUMIFS(DATA_COMMUNITY!$M:$M,DATA_COMMUNITY!$A:$A,B24,DATA_COMMUNITY!$E:$E,$B$6,DATA_COMMUNITY!$C:$C,$B$7,DATA_COMMUNITY!$D:$D,"Sunday"))</f>
        <v/>
      </c>
      <c r="N24">
        <f>IF(F24=0,0,SUMIFS(DATA_COMMUNITY!$N:$N,DATA_COMMUNITY!$A:$A,B24,DATA_COMMUNITY!$E:$E,$B$6,DATA_COMMUNITY!$C:$C,$B$7,DATA_COMMUNITY!$D:$D,"Sunday"))</f>
        <v/>
      </c>
      <c r="O24">
        <f>IF(F24=0,0,SUMIFS(DATA_COMMUNITY!$O:$O,DATA_COMMUNITY!$A:$A,B24,DATA_COMMUNITY!$E:$E,$B$6,DATA_COMMUNITY!$C:$C,$B$7,DATA_COMMUNITY!$D:$D,"Sunday"))</f>
        <v/>
      </c>
      <c r="P24">
        <f>IF(B24="",0,$B$17)</f>
        <v/>
      </c>
      <c r="Q24">
        <f>F24</f>
        <v/>
      </c>
      <c r="R24">
        <f>MAX(0,P24-Q24)</f>
        <v/>
      </c>
      <c r="S24">
        <f>IF(F24&gt;0,1,0)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IFERROR(INDEX(MASTER_COMMUNITY!$A:$A,23)&amp;"","")</f>
        <v/>
      </c>
      <c r="AB24">
        <f>IF(AA24="","",INDEX(MASTER_COMMUNITY!$B:$B,23)&amp;"")</f>
        <v/>
      </c>
      <c r="AC24">
        <f>IF(AA24="","",INDEX(MASTER_COMMUNITY!$C:$C,23)&amp;"")</f>
        <v/>
      </c>
      <c r="AD24">
        <f>AND(AA24&lt;&gt;"",OR($B$6="*",AC24=$B$6),OR($B$7="*",AA24=$B$7))</f>
        <v/>
      </c>
      <c r="AE24">
        <f>IF(OR(AA24="",$B$10=0),"",IF(COUNTIFS(DATA_COMMUNITY!$A:$A,$B$10,DATA_COMMUNITY!$C:$C,AA24,DATA_COMMUNITY!$D:$D,"Sunday")=0,"",SUMIFS(DATA_COMMUNITY!$K:$K,DATA_COMMUNITY!$A:$A,$B$10,DATA_COMMUNITY!$C:$C,AA24,DATA_COMMUNITY!$D:$D,"Sunday")))</f>
        <v/>
      </c>
      <c r="AF24">
        <f>IF(OR(AA24="",$B$10=0),"",IF(COUNTIFS(DATA_COMMUNITY!$A:$A,$B$10-7,DATA_COMMUNITY!$C:$C,AA24,DATA_COMMUNITY!$D:$D,"Sunday")=0,"",SUMIFS(DATA_COMMUNITY!$K:$K,DATA_COMMUNITY!$A:$A,$B$10-7,DATA_COMMUNITY!$C:$C,AA24,DATA_COMMUNITY!$D:$D,"Sunday")))</f>
        <v/>
      </c>
      <c r="AG24">
        <f>IF(OR(AE24="",AF24="",AF24=0),"",AE24/AF24-1)</f>
        <v/>
      </c>
      <c r="AH24">
        <f>IF(OR(AA24="",$B$10=0),"",IF(COUNTIFS(DATA_COMMUNITY!$A:$A,"&gt;="&amp;($B$10-7*$B$11),DATA_COMMUNITY!$A:$A,"&lt;"&amp;$B$10,DATA_COMMUNITY!$C:$C,AA24,DATA_COMMUNITY!$D:$D,"Sunday")=0,"",SUMIFS(DATA_COMMUNITY!$K:$K,DATA_COMMUNITY!$A:$A,"&gt;="&amp;($B$10-7*$B$11),DATA_COMMUNITY!$A:$A,"&lt;"&amp;$B$10,DATA_COMMUNITY!$C:$C,AA24,DATA_COMMUNITY!$D:$D,"Sunday")/COUNTIFS(DATA_COMMUNITY!$A:$A,"&gt;="&amp;($B$10-7*$B$11),DATA_COMMUNITY!$A:$A,"&lt;"&amp;$B$10,DATA_COMMUNITY!$C:$C,AA24,DATA_COMMUNITY!$D:$D,"Sunday")))</f>
        <v/>
      </c>
      <c r="AI24">
        <f>IF(OR(AE24="",AH24="",AH24=0),"",AE24/AH24-1)</f>
        <v/>
      </c>
      <c r="AJ24">
        <f>IF(AE24="","",SUMIFS(DATA_COMMUNITY!$L:$L,DATA_COMMUNITY!$A:$A,$B$10,DATA_COMMUNITY!$C:$C,AA24,DATA_COMMUNITY!$D:$D,"Sunday"))</f>
        <v/>
      </c>
      <c r="AK24">
        <f>IF(AE24="","",SUMIFS(DATA_COMMUNITY!$O:$O,DATA_COMMUNITY!$A:$A,$B$10,DATA_COMMUNITY!$C:$C,AA24,DATA_COMMUNITY!$D:$D,"Sunday"))</f>
        <v/>
      </c>
      <c r="AL24">
        <f>IF(AA24="","",IF(AE24="","No","Yes"))</f>
        <v/>
      </c>
      <c r="AM24">
        <f>IF(AD24,ROW(),"")</f>
        <v/>
      </c>
      <c r="AN24">
        <f>IF(AND(AD24,AL24="No"),ROW(),"")</f>
        <v/>
      </c>
      <c r="AP24">
        <f>IFERROR(SMALL($AM$3:$AM$62,22),"")</f>
        <v/>
      </c>
      <c r="AQ24">
        <f>IFERROR(SMALL($AN$3:$AN$62,22),"")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IF(B25="",0,COUNTIFS(DATA_COMMUNITY!$A:$A,B25,DATA_COMMUNITY!$E:$E,$B$6,DATA_COMMUNITY!$C:$C,$B$7,DATA_COMMUNITY!$D:$D,"Sunday"))</f>
        <v/>
      </c>
      <c r="G25">
        <f>IF(F25=0,0,SUMIFS(DATA_COMMUNITY!$G:$G,DATA_COMMUNITY!$A:$A,B25,DATA_COMMUNITY!$E:$E,$B$6,DATA_COMMUNITY!$C:$C,$B$7,DATA_COMMUNITY!$D:$D,"Sunday"))</f>
        <v/>
      </c>
      <c r="H25">
        <f>IF(F25=0,0,SUMIFS(DATA_COMMUNITY!$H:$H,DATA_COMMUNITY!$A:$A,B25,DATA_COMMUNITY!$E:$E,$B$6,DATA_COMMUNITY!$C:$C,$B$7,DATA_COMMUNITY!$D:$D,"Sunday"))</f>
        <v/>
      </c>
      <c r="I25">
        <f>IF(F25=0,0,SUMIFS(DATA_COMMUNITY!$J:$J,DATA_COMMUNITY!$A:$A,B25,DATA_COMMUNITY!$E:$E,$B$6,DATA_COMMUNITY!$C:$C,$B$7,DATA_COMMUNITY!$D:$D,"Sunday"))</f>
        <v/>
      </c>
      <c r="J25">
        <f>G25+H25</f>
        <v/>
      </c>
      <c r="K25">
        <f>J25+I25</f>
        <v/>
      </c>
      <c r="L25">
        <f>IF(F25=0,0,SUMIFS(DATA_COMMUNITY!$L:$L,DATA_COMMUNITY!$A:$A,B25,DATA_COMMUNITY!$E:$E,$B$6,DATA_COMMUNITY!$C:$C,$B$7,DATA_COMMUNITY!$D:$D,"Sunday"))</f>
        <v/>
      </c>
      <c r="M25">
        <f>IF(F25=0,0,SUMIFS(DATA_COMMUNITY!$M:$M,DATA_COMMUNITY!$A:$A,B25,DATA_COMMUNITY!$E:$E,$B$6,DATA_COMMUNITY!$C:$C,$B$7,DATA_COMMUNITY!$D:$D,"Sunday"))</f>
        <v/>
      </c>
      <c r="N25">
        <f>IF(F25=0,0,SUMIFS(DATA_COMMUNITY!$N:$N,DATA_COMMUNITY!$A:$A,B25,DATA_COMMUNITY!$E:$E,$B$6,DATA_COMMUNITY!$C:$C,$B$7,DATA_COMMUNITY!$D:$D,"Sunday"))</f>
        <v/>
      </c>
      <c r="O25">
        <f>IF(F25=0,0,SUMIFS(DATA_COMMUNITY!$O:$O,DATA_COMMUNITY!$A:$A,B25,DATA_COMMUNITY!$E:$E,$B$6,DATA_COMMUNITY!$C:$C,$B$7,DATA_COMMUNITY!$D:$D,"Sunday"))</f>
        <v/>
      </c>
      <c r="P25">
        <f>IF(B25="",0,$B$17)</f>
        <v/>
      </c>
      <c r="Q25">
        <f>F25</f>
        <v/>
      </c>
      <c r="R25">
        <f>MAX(0,P25-Q25)</f>
        <v/>
      </c>
      <c r="S25">
        <f>IF(F25&gt;0,1,0)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IFERROR(INDEX(MASTER_COMMUNITY!$A:$A,24)&amp;"","")</f>
        <v/>
      </c>
      <c r="AB25">
        <f>IF(AA25="","",INDEX(MASTER_COMMUNITY!$B:$B,24)&amp;"")</f>
        <v/>
      </c>
      <c r="AC25">
        <f>IF(AA25="","",INDEX(MASTER_COMMUNITY!$C:$C,24)&amp;"")</f>
        <v/>
      </c>
      <c r="AD25">
        <f>AND(AA25&lt;&gt;"",OR($B$6="*",AC25=$B$6),OR($B$7="*",AA25=$B$7))</f>
        <v/>
      </c>
      <c r="AE25">
        <f>IF(OR(AA25="",$B$10=0),"",IF(COUNTIFS(DATA_COMMUNITY!$A:$A,$B$10,DATA_COMMUNITY!$C:$C,AA25,DATA_COMMUNITY!$D:$D,"Sunday")=0,"",SUMIFS(DATA_COMMUNITY!$K:$K,DATA_COMMUNITY!$A:$A,$B$10,DATA_COMMUNITY!$C:$C,AA25,DATA_COMMUNITY!$D:$D,"Sunday")))</f>
        <v/>
      </c>
      <c r="AF25">
        <f>IF(OR(AA25="",$B$10=0),"",IF(COUNTIFS(DATA_COMMUNITY!$A:$A,$B$10-7,DATA_COMMUNITY!$C:$C,AA25,DATA_COMMUNITY!$D:$D,"Sunday")=0,"",SUMIFS(DATA_COMMUNITY!$K:$K,DATA_COMMUNITY!$A:$A,$B$10-7,DATA_COMMUNITY!$C:$C,AA25,DATA_COMMUNITY!$D:$D,"Sunday")))</f>
        <v/>
      </c>
      <c r="AG25">
        <f>IF(OR(AE25="",AF25="",AF25=0),"",AE25/AF25-1)</f>
        <v/>
      </c>
      <c r="AH25">
        <f>IF(OR(AA25="",$B$10=0),"",IF(COUNTIFS(DATA_COMMUNITY!$A:$A,"&gt;="&amp;($B$10-7*$B$11),DATA_COMMUNITY!$A:$A,"&lt;"&amp;$B$10,DATA_COMMUNITY!$C:$C,AA25,DATA_COMMUNITY!$D:$D,"Sunday")=0,"",SUMIFS(DATA_COMMUNITY!$K:$K,DATA_COMMUNITY!$A:$A,"&gt;="&amp;($B$10-7*$B$11),DATA_COMMUNITY!$A:$A,"&lt;"&amp;$B$10,DATA_COMMUNITY!$C:$C,AA25,DATA_COMMUNITY!$D:$D,"Sunday")/COUNTIFS(DATA_COMMUNITY!$A:$A,"&gt;="&amp;($B$10-7*$B$11),DATA_COMMUNITY!$A:$A,"&lt;"&amp;$B$10,DATA_COMMUNITY!$C:$C,AA25,DATA_COMMUNITY!$D:$D,"Sunday")))</f>
        <v/>
      </c>
      <c r="AI25">
        <f>IF(OR(AE25="",AH25="",AH25=0),"",AE25/AH25-1)</f>
        <v/>
      </c>
      <c r="AJ25">
        <f>IF(AE25="","",SUMIFS(DATA_COMMUNITY!$L:$L,DATA_COMMUNITY!$A:$A,$B$10,DATA_COMMUNITY!$C:$C,AA25,DATA_COMMUNITY!$D:$D,"Sunday"))</f>
        <v/>
      </c>
      <c r="AK25">
        <f>IF(AE25="","",SUMIFS(DATA_COMMUNITY!$O:$O,DATA_COMMUNITY!$A:$A,$B$10,DATA_COMMUNITY!$C:$C,AA25,DATA_COMMUNITY!$D:$D,"Sunday"))</f>
        <v/>
      </c>
      <c r="AL25">
        <f>IF(AA25="","",IF(AE25="","No","Yes"))</f>
        <v/>
      </c>
      <c r="AM25">
        <f>IF(AD25,ROW(),"")</f>
        <v/>
      </c>
      <c r="AN25">
        <f>IF(AND(AD25,AL25="No"),ROW(),"")</f>
        <v/>
      </c>
      <c r="AP25">
        <f>IFERROR(SMALL($AM$3:$AM$62,23),"")</f>
        <v/>
      </c>
      <c r="AQ25">
        <f>IFERROR(SMALL($AN$3:$AN$62,23),"")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IF(B26="",0,COUNTIFS(DATA_COMMUNITY!$A:$A,B26,DATA_COMMUNITY!$E:$E,$B$6,DATA_COMMUNITY!$C:$C,$B$7,DATA_COMMUNITY!$D:$D,"Sunday"))</f>
        <v/>
      </c>
      <c r="G26">
        <f>IF(F26=0,0,SUMIFS(DATA_COMMUNITY!$G:$G,DATA_COMMUNITY!$A:$A,B26,DATA_COMMUNITY!$E:$E,$B$6,DATA_COMMUNITY!$C:$C,$B$7,DATA_COMMUNITY!$D:$D,"Sunday"))</f>
        <v/>
      </c>
      <c r="H26">
        <f>IF(F26=0,0,SUMIFS(DATA_COMMUNITY!$H:$H,DATA_COMMUNITY!$A:$A,B26,DATA_COMMUNITY!$E:$E,$B$6,DATA_COMMUNITY!$C:$C,$B$7,DATA_COMMUNITY!$D:$D,"Sunday"))</f>
        <v/>
      </c>
      <c r="I26">
        <f>IF(F26=0,0,SUMIFS(DATA_COMMUNITY!$J:$J,DATA_COMMUNITY!$A:$A,B26,DATA_COMMUNITY!$E:$E,$B$6,DATA_COMMUNITY!$C:$C,$B$7,DATA_COMMUNITY!$D:$D,"Sunday"))</f>
        <v/>
      </c>
      <c r="J26">
        <f>G26+H26</f>
        <v/>
      </c>
      <c r="K26">
        <f>J26+I26</f>
        <v/>
      </c>
      <c r="L26">
        <f>IF(F26=0,0,SUMIFS(DATA_COMMUNITY!$L:$L,DATA_COMMUNITY!$A:$A,B26,DATA_COMMUNITY!$E:$E,$B$6,DATA_COMMUNITY!$C:$C,$B$7,DATA_COMMUNITY!$D:$D,"Sunday"))</f>
        <v/>
      </c>
      <c r="M26">
        <f>IF(F26=0,0,SUMIFS(DATA_COMMUNITY!$M:$M,DATA_COMMUNITY!$A:$A,B26,DATA_COMMUNITY!$E:$E,$B$6,DATA_COMMUNITY!$C:$C,$B$7,DATA_COMMUNITY!$D:$D,"Sunday"))</f>
        <v/>
      </c>
      <c r="N26">
        <f>IF(F26=0,0,SUMIFS(DATA_COMMUNITY!$N:$N,DATA_COMMUNITY!$A:$A,B26,DATA_COMMUNITY!$E:$E,$B$6,DATA_COMMUNITY!$C:$C,$B$7,DATA_COMMUNITY!$D:$D,"Sunday"))</f>
        <v/>
      </c>
      <c r="O26">
        <f>IF(F26=0,0,SUMIFS(DATA_COMMUNITY!$O:$O,DATA_COMMUNITY!$A:$A,B26,DATA_COMMUNITY!$E:$E,$B$6,DATA_COMMUNITY!$C:$C,$B$7,DATA_COMMUNITY!$D:$D,"Sunday"))</f>
        <v/>
      </c>
      <c r="P26">
        <f>IF(B26="",0,$B$17)</f>
        <v/>
      </c>
      <c r="Q26">
        <f>F26</f>
        <v/>
      </c>
      <c r="R26">
        <f>MAX(0,P26-Q26)</f>
        <v/>
      </c>
      <c r="S26">
        <f>IF(F26&gt;0,1,0)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IFERROR(INDEX(MASTER_COMMUNITY!$A:$A,25)&amp;"","")</f>
        <v/>
      </c>
      <c r="AB26">
        <f>IF(AA26="","",INDEX(MASTER_COMMUNITY!$B:$B,25)&amp;"")</f>
        <v/>
      </c>
      <c r="AC26">
        <f>IF(AA26="","",INDEX(MASTER_COMMUNITY!$C:$C,25)&amp;"")</f>
        <v/>
      </c>
      <c r="AD26">
        <f>AND(AA26&lt;&gt;"",OR($B$6="*",AC26=$B$6),OR($B$7="*",AA26=$B$7))</f>
        <v/>
      </c>
      <c r="AE26">
        <f>IF(OR(AA26="",$B$10=0),"",IF(COUNTIFS(DATA_COMMUNITY!$A:$A,$B$10,DATA_COMMUNITY!$C:$C,AA26,DATA_COMMUNITY!$D:$D,"Sunday")=0,"",SUMIFS(DATA_COMMUNITY!$K:$K,DATA_COMMUNITY!$A:$A,$B$10,DATA_COMMUNITY!$C:$C,AA26,DATA_COMMUNITY!$D:$D,"Sunday")))</f>
        <v/>
      </c>
      <c r="AF26">
        <f>IF(OR(AA26="",$B$10=0),"",IF(COUNTIFS(DATA_COMMUNITY!$A:$A,$B$10-7,DATA_COMMUNITY!$C:$C,AA26,DATA_COMMUNITY!$D:$D,"Sunday")=0,"",SUMIFS(DATA_COMMUNITY!$K:$K,DATA_COMMUNITY!$A:$A,$B$10-7,DATA_COMMUNITY!$C:$C,AA26,DATA_COMMUNITY!$D:$D,"Sunday")))</f>
        <v/>
      </c>
      <c r="AG26">
        <f>IF(OR(AE26="",AF26="",AF26=0),"",AE26/AF26-1)</f>
        <v/>
      </c>
      <c r="AH26">
        <f>IF(OR(AA26="",$B$10=0),"",IF(COUNTIFS(DATA_COMMUNITY!$A:$A,"&gt;="&amp;($B$10-7*$B$11),DATA_COMMUNITY!$A:$A,"&lt;"&amp;$B$10,DATA_COMMUNITY!$C:$C,AA26,DATA_COMMUNITY!$D:$D,"Sunday")=0,"",SUMIFS(DATA_COMMUNITY!$K:$K,DATA_COMMUNITY!$A:$A,"&gt;="&amp;($B$10-7*$B$11),DATA_COMMUNITY!$A:$A,"&lt;"&amp;$B$10,DATA_COMMUNITY!$C:$C,AA26,DATA_COMMUNITY!$D:$D,"Sunday")/COUNTIFS(DATA_COMMUNITY!$A:$A,"&gt;="&amp;($B$10-7*$B$11),DATA_COMMUNITY!$A:$A,"&lt;"&amp;$B$10,DATA_COMMUNITY!$C:$C,AA26,DATA_COMMUNITY!$D:$D,"Sunday")))</f>
        <v/>
      </c>
      <c r="AI26">
        <f>IF(OR(AE26="",AH26="",AH26=0),"",AE26/AH26-1)</f>
        <v/>
      </c>
      <c r="AJ26">
        <f>IF(AE26="","",SUMIFS(DATA_COMMUNITY!$L:$L,DATA_COMMUNITY!$A:$A,$B$10,DATA_COMMUNITY!$C:$C,AA26,DATA_COMMUNITY!$D:$D,"Sunday"))</f>
        <v/>
      </c>
      <c r="AK26">
        <f>IF(AE26="","",SUMIFS(DATA_COMMUNITY!$O:$O,DATA_COMMUNITY!$A:$A,$B$10,DATA_COMMUNITY!$C:$C,AA26,DATA_COMMUNITY!$D:$D,"Sunday"))</f>
        <v/>
      </c>
      <c r="AL26">
        <f>IF(AA26="","",IF(AE26="","No","Yes"))</f>
        <v/>
      </c>
      <c r="AM26">
        <f>IF(AD26,ROW(),"")</f>
        <v/>
      </c>
      <c r="AN26">
        <f>IF(AND(AD26,AL26="No"),ROW(),"")</f>
        <v/>
      </c>
      <c r="AP26">
        <f>IFERROR(SMALL($AM$3:$AM$62,24),"")</f>
        <v/>
      </c>
      <c r="AQ26">
        <f>IFERROR(SMALL($AN$3:$AN$62,24),"")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IF(B27="",0,COUNTIFS(DATA_COMMUNITY!$A:$A,B27,DATA_COMMUNITY!$E:$E,$B$6,DATA_COMMUNITY!$C:$C,$B$7,DATA_COMMUNITY!$D:$D,"Sunday"))</f>
        <v/>
      </c>
      <c r="G27">
        <f>IF(F27=0,0,SUMIFS(DATA_COMMUNITY!$G:$G,DATA_COMMUNITY!$A:$A,B27,DATA_COMMUNITY!$E:$E,$B$6,DATA_COMMUNITY!$C:$C,$B$7,DATA_COMMUNITY!$D:$D,"Sunday"))</f>
        <v/>
      </c>
      <c r="H27">
        <f>IF(F27=0,0,SUMIFS(DATA_COMMUNITY!$H:$H,DATA_COMMUNITY!$A:$A,B27,DATA_COMMUNITY!$E:$E,$B$6,DATA_COMMUNITY!$C:$C,$B$7,DATA_COMMUNITY!$D:$D,"Sunday"))</f>
        <v/>
      </c>
      <c r="I27">
        <f>IF(F27=0,0,SUMIFS(DATA_COMMUNITY!$J:$J,DATA_COMMUNITY!$A:$A,B27,DATA_COMMUNITY!$E:$E,$B$6,DATA_COMMUNITY!$C:$C,$B$7,DATA_COMMUNITY!$D:$D,"Sunday"))</f>
        <v/>
      </c>
      <c r="J27">
        <f>G27+H27</f>
        <v/>
      </c>
      <c r="K27">
        <f>J27+I27</f>
        <v/>
      </c>
      <c r="L27">
        <f>IF(F27=0,0,SUMIFS(DATA_COMMUNITY!$L:$L,DATA_COMMUNITY!$A:$A,B27,DATA_COMMUNITY!$E:$E,$B$6,DATA_COMMUNITY!$C:$C,$B$7,DATA_COMMUNITY!$D:$D,"Sunday"))</f>
        <v/>
      </c>
      <c r="M27">
        <f>IF(F27=0,0,SUMIFS(DATA_COMMUNITY!$M:$M,DATA_COMMUNITY!$A:$A,B27,DATA_COMMUNITY!$E:$E,$B$6,DATA_COMMUNITY!$C:$C,$B$7,DATA_COMMUNITY!$D:$D,"Sunday"))</f>
        <v/>
      </c>
      <c r="N27">
        <f>IF(F27=0,0,SUMIFS(DATA_COMMUNITY!$N:$N,DATA_COMMUNITY!$A:$A,B27,DATA_COMMUNITY!$E:$E,$B$6,DATA_COMMUNITY!$C:$C,$B$7,DATA_COMMUNITY!$D:$D,"Sunday"))</f>
        <v/>
      </c>
      <c r="O27">
        <f>IF(F27=0,0,SUMIFS(DATA_COMMUNITY!$O:$O,DATA_COMMUNITY!$A:$A,B27,DATA_COMMUNITY!$E:$E,$B$6,DATA_COMMUNITY!$C:$C,$B$7,DATA_COMMUNITY!$D:$D,"Sunday"))</f>
        <v/>
      </c>
      <c r="P27">
        <f>IF(B27="",0,$B$17)</f>
        <v/>
      </c>
      <c r="Q27">
        <f>F27</f>
        <v/>
      </c>
      <c r="R27">
        <f>MAX(0,P27-Q27)</f>
        <v/>
      </c>
      <c r="S27">
        <f>IF(F27&gt;0,1,0)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IFERROR(INDEX(MASTER_COMMUNITY!$A:$A,26)&amp;"","")</f>
        <v/>
      </c>
      <c r="AB27">
        <f>IF(AA27="","",INDEX(MASTER_COMMUNITY!$B:$B,26)&amp;"")</f>
        <v/>
      </c>
      <c r="AC27">
        <f>IF(AA27="","",INDEX(MASTER_COMMUNITY!$C:$C,26)&amp;"")</f>
        <v/>
      </c>
      <c r="AD27">
        <f>AND(AA27&lt;&gt;"",OR($B$6="*",AC27=$B$6),OR($B$7="*",AA27=$B$7))</f>
        <v/>
      </c>
      <c r="AE27">
        <f>IF(OR(AA27="",$B$10=0),"",IF(COUNTIFS(DATA_COMMUNITY!$A:$A,$B$10,DATA_COMMUNITY!$C:$C,AA27,DATA_COMMUNITY!$D:$D,"Sunday")=0,"",SUMIFS(DATA_COMMUNITY!$K:$K,DATA_COMMUNITY!$A:$A,$B$10,DATA_COMMUNITY!$C:$C,AA27,DATA_COMMUNITY!$D:$D,"Sunday")))</f>
        <v/>
      </c>
      <c r="AF27">
        <f>IF(OR(AA27="",$B$10=0),"",IF(COUNTIFS(DATA_COMMUNITY!$A:$A,$B$10-7,DATA_COMMUNITY!$C:$C,AA27,DATA_COMMUNITY!$D:$D,"Sunday")=0,"",SUMIFS(DATA_COMMUNITY!$K:$K,DATA_COMMUNITY!$A:$A,$B$10-7,DATA_COMMUNITY!$C:$C,AA27,DATA_COMMUNITY!$D:$D,"Sunday")))</f>
        <v/>
      </c>
      <c r="AG27">
        <f>IF(OR(AE27="",AF27="",AF27=0),"",AE27/AF27-1)</f>
        <v/>
      </c>
      <c r="AH27">
        <f>IF(OR(AA27="",$B$10=0),"",IF(COUNTIFS(DATA_COMMUNITY!$A:$A,"&gt;="&amp;($B$10-7*$B$11),DATA_COMMUNITY!$A:$A,"&lt;"&amp;$B$10,DATA_COMMUNITY!$C:$C,AA27,DATA_COMMUNITY!$D:$D,"Sunday")=0,"",SUMIFS(DATA_COMMUNITY!$K:$K,DATA_COMMUNITY!$A:$A,"&gt;="&amp;($B$10-7*$B$11),DATA_COMMUNITY!$A:$A,"&lt;"&amp;$B$10,DATA_COMMUNITY!$C:$C,AA27,DATA_COMMUNITY!$D:$D,"Sunday")/COUNTIFS(DATA_COMMUNITY!$A:$A,"&gt;="&amp;($B$10-7*$B$11),DATA_COMMUNITY!$A:$A,"&lt;"&amp;$B$10,DATA_COMMUNITY!$C:$C,AA27,DATA_COMMUNITY!$D:$D,"Sunday")))</f>
        <v/>
      </c>
      <c r="AI27">
        <f>IF(OR(AE27="",AH27="",AH27=0),"",AE27/AH27-1)</f>
        <v/>
      </c>
      <c r="AJ27">
        <f>IF(AE27="","",SUMIFS(DATA_COMMUNITY!$L:$L,DATA_COMMUNITY!$A:$A,$B$10,DATA_COMMUNITY!$C:$C,AA27,DATA_COMMUNITY!$D:$D,"Sunday"))</f>
        <v/>
      </c>
      <c r="AK27">
        <f>IF(AE27="","",SUMIFS(DATA_COMMUNITY!$O:$O,DATA_COMMUNITY!$A:$A,$B$10,DATA_COMMUNITY!$C:$C,AA27,DATA_COMMUNITY!$D:$D,"Sunday"))</f>
        <v/>
      </c>
      <c r="AL27">
        <f>IF(AA27="","",IF(AE27="","No","Yes"))</f>
        <v/>
      </c>
      <c r="AM27">
        <f>IF(AD27,ROW(),"")</f>
        <v/>
      </c>
      <c r="AN27">
        <f>IF(AND(AD27,AL27="No"),ROW(),"")</f>
        <v/>
      </c>
      <c r="AP27">
        <f>IFERROR(SMALL($AM$3:$AM$62,25),"")</f>
        <v/>
      </c>
      <c r="AQ27">
        <f>IFERROR(SMALL($AN$3:$AN$62,25),"")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IF(B28="",0,COUNTIFS(DATA_COMMUNITY!$A:$A,B28,DATA_COMMUNITY!$E:$E,$B$6,DATA_COMMUNITY!$C:$C,$B$7,DATA_COMMUNITY!$D:$D,"Sunday"))</f>
        <v/>
      </c>
      <c r="G28">
        <f>IF(F28=0,0,SUMIFS(DATA_COMMUNITY!$G:$G,DATA_COMMUNITY!$A:$A,B28,DATA_COMMUNITY!$E:$E,$B$6,DATA_COMMUNITY!$C:$C,$B$7,DATA_COMMUNITY!$D:$D,"Sunday"))</f>
        <v/>
      </c>
      <c r="H28">
        <f>IF(F28=0,0,SUMIFS(DATA_COMMUNITY!$H:$H,DATA_COMMUNITY!$A:$A,B28,DATA_COMMUNITY!$E:$E,$B$6,DATA_COMMUNITY!$C:$C,$B$7,DATA_COMMUNITY!$D:$D,"Sunday"))</f>
        <v/>
      </c>
      <c r="I28">
        <f>IF(F28=0,0,SUMIFS(DATA_COMMUNITY!$J:$J,DATA_COMMUNITY!$A:$A,B28,DATA_COMMUNITY!$E:$E,$B$6,DATA_COMMUNITY!$C:$C,$B$7,DATA_COMMUNITY!$D:$D,"Sunday"))</f>
        <v/>
      </c>
      <c r="J28">
        <f>G28+H28</f>
        <v/>
      </c>
      <c r="K28">
        <f>J28+I28</f>
        <v/>
      </c>
      <c r="L28">
        <f>IF(F28=0,0,SUMIFS(DATA_COMMUNITY!$L:$L,DATA_COMMUNITY!$A:$A,B28,DATA_COMMUNITY!$E:$E,$B$6,DATA_COMMUNITY!$C:$C,$B$7,DATA_COMMUNITY!$D:$D,"Sunday"))</f>
        <v/>
      </c>
      <c r="M28">
        <f>IF(F28=0,0,SUMIFS(DATA_COMMUNITY!$M:$M,DATA_COMMUNITY!$A:$A,B28,DATA_COMMUNITY!$E:$E,$B$6,DATA_COMMUNITY!$C:$C,$B$7,DATA_COMMUNITY!$D:$D,"Sunday"))</f>
        <v/>
      </c>
      <c r="N28">
        <f>IF(F28=0,0,SUMIFS(DATA_COMMUNITY!$N:$N,DATA_COMMUNITY!$A:$A,B28,DATA_COMMUNITY!$E:$E,$B$6,DATA_COMMUNITY!$C:$C,$B$7,DATA_COMMUNITY!$D:$D,"Sunday"))</f>
        <v/>
      </c>
      <c r="O28">
        <f>IF(F28=0,0,SUMIFS(DATA_COMMUNITY!$O:$O,DATA_COMMUNITY!$A:$A,B28,DATA_COMMUNITY!$E:$E,$B$6,DATA_COMMUNITY!$C:$C,$B$7,DATA_COMMUNITY!$D:$D,"Sunday"))</f>
        <v/>
      </c>
      <c r="P28">
        <f>IF(B28="",0,$B$17)</f>
        <v/>
      </c>
      <c r="Q28">
        <f>F28</f>
        <v/>
      </c>
      <c r="R28">
        <f>MAX(0,P28-Q28)</f>
        <v/>
      </c>
      <c r="S28">
        <f>IF(F28&gt;0,1,0)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IFERROR(INDEX(MASTER_COMMUNITY!$A:$A,27)&amp;"","")</f>
        <v/>
      </c>
      <c r="AB28">
        <f>IF(AA28="","",INDEX(MASTER_COMMUNITY!$B:$B,27)&amp;"")</f>
        <v/>
      </c>
      <c r="AC28">
        <f>IF(AA28="","",INDEX(MASTER_COMMUNITY!$C:$C,27)&amp;"")</f>
        <v/>
      </c>
      <c r="AD28">
        <f>AND(AA28&lt;&gt;"",OR($B$6="*",AC28=$B$6),OR($B$7="*",AA28=$B$7))</f>
        <v/>
      </c>
      <c r="AE28">
        <f>IF(OR(AA28="",$B$10=0),"",IF(COUNTIFS(DATA_COMMUNITY!$A:$A,$B$10,DATA_COMMUNITY!$C:$C,AA28,DATA_COMMUNITY!$D:$D,"Sunday")=0,"",SUMIFS(DATA_COMMUNITY!$K:$K,DATA_COMMUNITY!$A:$A,$B$10,DATA_COMMUNITY!$C:$C,AA28,DATA_COMMUNITY!$D:$D,"Sunday")))</f>
        <v/>
      </c>
      <c r="AF28">
        <f>IF(OR(AA28="",$B$10=0),"",IF(COUNTIFS(DATA_COMMUNITY!$A:$A,$B$10-7,DATA_COMMUNITY!$C:$C,AA28,DATA_COMMUNITY!$D:$D,"Sunday")=0,"",SUMIFS(DATA_COMMUNITY!$K:$K,DATA_COMMUNITY!$A:$A,$B$10-7,DATA_COMMUNITY!$C:$C,AA28,DATA_COMMUNITY!$D:$D,"Sunday")))</f>
        <v/>
      </c>
      <c r="AG28">
        <f>IF(OR(AE28="",AF28="",AF28=0),"",AE28/AF28-1)</f>
        <v/>
      </c>
      <c r="AH28">
        <f>IF(OR(AA28="",$B$10=0),"",IF(COUNTIFS(DATA_COMMUNITY!$A:$A,"&gt;="&amp;($B$10-7*$B$11),DATA_COMMUNITY!$A:$A,"&lt;"&amp;$B$10,DATA_COMMUNITY!$C:$C,AA28,DATA_COMMUNITY!$D:$D,"Sunday")=0,"",SUMIFS(DATA_COMMUNITY!$K:$K,DATA_COMMUNITY!$A:$A,"&gt;="&amp;($B$10-7*$B$11),DATA_COMMUNITY!$A:$A,"&lt;"&amp;$B$10,DATA_COMMUNITY!$C:$C,AA28,DATA_COMMUNITY!$D:$D,"Sunday")/COUNTIFS(DATA_COMMUNITY!$A:$A,"&gt;="&amp;($B$10-7*$B$11),DATA_COMMUNITY!$A:$A,"&lt;"&amp;$B$10,DATA_COMMUNITY!$C:$C,AA28,DATA_COMMUNITY!$D:$D,"Sunday")))</f>
        <v/>
      </c>
      <c r="AI28">
        <f>IF(OR(AE28="",AH28="",AH28=0),"",AE28/AH28-1)</f>
        <v/>
      </c>
      <c r="AJ28">
        <f>IF(AE28="","",SUMIFS(DATA_COMMUNITY!$L:$L,DATA_COMMUNITY!$A:$A,$B$10,DATA_COMMUNITY!$C:$C,AA28,DATA_COMMUNITY!$D:$D,"Sunday"))</f>
        <v/>
      </c>
      <c r="AK28">
        <f>IF(AE28="","",SUMIFS(DATA_COMMUNITY!$O:$O,DATA_COMMUNITY!$A:$A,$B$10,DATA_COMMUNITY!$C:$C,AA28,DATA_COMMUNITY!$D:$D,"Sunday"))</f>
        <v/>
      </c>
      <c r="AL28">
        <f>IF(AA28="","",IF(AE28="","No","Yes"))</f>
        <v/>
      </c>
      <c r="AM28">
        <f>IF(AD28,ROW(),"")</f>
        <v/>
      </c>
      <c r="AN28">
        <f>IF(AND(AD28,AL28="No"),ROW(),"")</f>
        <v/>
      </c>
      <c r="AP28">
        <f>IFERROR(SMALL($AM$3:$AM$62,26),"")</f>
        <v/>
      </c>
      <c r="AQ28">
        <f>IFERROR(SMALL($AN$3:$AN$62,26),"")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IF(B29="",0,COUNTIFS(DATA_COMMUNITY!$A:$A,B29,DATA_COMMUNITY!$E:$E,$B$6,DATA_COMMUNITY!$C:$C,$B$7,DATA_COMMUNITY!$D:$D,"Sunday"))</f>
        <v/>
      </c>
      <c r="G29">
        <f>IF(F29=0,0,SUMIFS(DATA_COMMUNITY!$G:$G,DATA_COMMUNITY!$A:$A,B29,DATA_COMMUNITY!$E:$E,$B$6,DATA_COMMUNITY!$C:$C,$B$7,DATA_COMMUNITY!$D:$D,"Sunday"))</f>
        <v/>
      </c>
      <c r="H29">
        <f>IF(F29=0,0,SUMIFS(DATA_COMMUNITY!$H:$H,DATA_COMMUNITY!$A:$A,B29,DATA_COMMUNITY!$E:$E,$B$6,DATA_COMMUNITY!$C:$C,$B$7,DATA_COMMUNITY!$D:$D,"Sunday"))</f>
        <v/>
      </c>
      <c r="I29">
        <f>IF(F29=0,0,SUMIFS(DATA_COMMUNITY!$J:$J,DATA_COMMUNITY!$A:$A,B29,DATA_COMMUNITY!$E:$E,$B$6,DATA_COMMUNITY!$C:$C,$B$7,DATA_COMMUNITY!$D:$D,"Sunday"))</f>
        <v/>
      </c>
      <c r="J29">
        <f>G29+H29</f>
        <v/>
      </c>
      <c r="K29">
        <f>J29+I29</f>
        <v/>
      </c>
      <c r="L29">
        <f>IF(F29=0,0,SUMIFS(DATA_COMMUNITY!$L:$L,DATA_COMMUNITY!$A:$A,B29,DATA_COMMUNITY!$E:$E,$B$6,DATA_COMMUNITY!$C:$C,$B$7,DATA_COMMUNITY!$D:$D,"Sunday"))</f>
        <v/>
      </c>
      <c r="M29">
        <f>IF(F29=0,0,SUMIFS(DATA_COMMUNITY!$M:$M,DATA_COMMUNITY!$A:$A,B29,DATA_COMMUNITY!$E:$E,$B$6,DATA_COMMUNITY!$C:$C,$B$7,DATA_COMMUNITY!$D:$D,"Sunday"))</f>
        <v/>
      </c>
      <c r="N29">
        <f>IF(F29=0,0,SUMIFS(DATA_COMMUNITY!$N:$N,DATA_COMMUNITY!$A:$A,B29,DATA_COMMUNITY!$E:$E,$B$6,DATA_COMMUNITY!$C:$C,$B$7,DATA_COMMUNITY!$D:$D,"Sunday"))</f>
        <v/>
      </c>
      <c r="O29">
        <f>IF(F29=0,0,SUMIFS(DATA_COMMUNITY!$O:$O,DATA_COMMUNITY!$A:$A,B29,DATA_COMMUNITY!$E:$E,$B$6,DATA_COMMUNITY!$C:$C,$B$7,DATA_COMMUNITY!$D:$D,"Sunday"))</f>
        <v/>
      </c>
      <c r="P29">
        <f>IF(B29="",0,$B$17)</f>
        <v/>
      </c>
      <c r="Q29">
        <f>F29</f>
        <v/>
      </c>
      <c r="R29">
        <f>MAX(0,P29-Q29)</f>
        <v/>
      </c>
      <c r="S29">
        <f>IF(F29&gt;0,1,0)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IFERROR(INDEX(MASTER_COMMUNITY!$A:$A,28)&amp;"","")</f>
        <v/>
      </c>
      <c r="AB29">
        <f>IF(AA29="","",INDEX(MASTER_COMMUNITY!$B:$B,28)&amp;"")</f>
        <v/>
      </c>
      <c r="AC29">
        <f>IF(AA29="","",INDEX(MASTER_COMMUNITY!$C:$C,28)&amp;"")</f>
        <v/>
      </c>
      <c r="AD29">
        <f>AND(AA29&lt;&gt;"",OR($B$6="*",AC29=$B$6),OR($B$7="*",AA29=$B$7))</f>
        <v/>
      </c>
      <c r="AE29">
        <f>IF(OR(AA29="",$B$10=0),"",IF(COUNTIFS(DATA_COMMUNITY!$A:$A,$B$10,DATA_COMMUNITY!$C:$C,AA29,DATA_COMMUNITY!$D:$D,"Sunday")=0,"",SUMIFS(DATA_COMMUNITY!$K:$K,DATA_COMMUNITY!$A:$A,$B$10,DATA_COMMUNITY!$C:$C,AA29,DATA_COMMUNITY!$D:$D,"Sunday")))</f>
        <v/>
      </c>
      <c r="AF29">
        <f>IF(OR(AA29="",$B$10=0),"",IF(COUNTIFS(DATA_COMMUNITY!$A:$A,$B$10-7,DATA_COMMUNITY!$C:$C,AA29,DATA_COMMUNITY!$D:$D,"Sunday")=0,"",SUMIFS(DATA_COMMUNITY!$K:$K,DATA_COMMUNITY!$A:$A,$B$10-7,DATA_COMMUNITY!$C:$C,AA29,DATA_COMMUNITY!$D:$D,"Sunday")))</f>
        <v/>
      </c>
      <c r="AG29">
        <f>IF(OR(AE29="",AF29="",AF29=0),"",AE29/AF29-1)</f>
        <v/>
      </c>
      <c r="AH29">
        <f>IF(OR(AA29="",$B$10=0),"",IF(COUNTIFS(DATA_COMMUNITY!$A:$A,"&gt;="&amp;($B$10-7*$B$11),DATA_COMMUNITY!$A:$A,"&lt;"&amp;$B$10,DATA_COMMUNITY!$C:$C,AA29,DATA_COMMUNITY!$D:$D,"Sunday")=0,"",SUMIFS(DATA_COMMUNITY!$K:$K,DATA_COMMUNITY!$A:$A,"&gt;="&amp;($B$10-7*$B$11),DATA_COMMUNITY!$A:$A,"&lt;"&amp;$B$10,DATA_COMMUNITY!$C:$C,AA29,DATA_COMMUNITY!$D:$D,"Sunday")/COUNTIFS(DATA_COMMUNITY!$A:$A,"&gt;="&amp;($B$10-7*$B$11),DATA_COMMUNITY!$A:$A,"&lt;"&amp;$B$10,DATA_COMMUNITY!$C:$C,AA29,DATA_COMMUNITY!$D:$D,"Sunday")))</f>
        <v/>
      </c>
      <c r="AI29">
        <f>IF(OR(AE29="",AH29="",AH29=0),"",AE29/AH29-1)</f>
        <v/>
      </c>
      <c r="AJ29">
        <f>IF(AE29="","",SUMIFS(DATA_COMMUNITY!$L:$L,DATA_COMMUNITY!$A:$A,$B$10,DATA_COMMUNITY!$C:$C,AA29,DATA_COMMUNITY!$D:$D,"Sunday"))</f>
        <v/>
      </c>
      <c r="AK29">
        <f>IF(AE29="","",SUMIFS(DATA_COMMUNITY!$O:$O,DATA_COMMUNITY!$A:$A,$B$10,DATA_COMMUNITY!$C:$C,AA29,DATA_COMMUNITY!$D:$D,"Sunday"))</f>
        <v/>
      </c>
      <c r="AL29">
        <f>IF(AA29="","",IF(AE29="","No","Yes"))</f>
        <v/>
      </c>
      <c r="AM29">
        <f>IF(AD29,ROW(),"")</f>
        <v/>
      </c>
      <c r="AN29">
        <f>IF(AND(AD29,AL29="No"),ROW(),"")</f>
        <v/>
      </c>
      <c r="AP29">
        <f>IFERROR(SMALL($AM$3:$AM$62,27),"")</f>
        <v/>
      </c>
      <c r="AQ29">
        <f>IFERROR(SMALL($AN$3:$AN$62,27),"")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IF(B30="",0,COUNTIFS(DATA_COMMUNITY!$A:$A,B30,DATA_COMMUNITY!$E:$E,$B$6,DATA_COMMUNITY!$C:$C,$B$7,DATA_COMMUNITY!$D:$D,"Sunday"))</f>
        <v/>
      </c>
      <c r="G30">
        <f>IF(F30=0,0,SUMIFS(DATA_COMMUNITY!$G:$G,DATA_COMMUNITY!$A:$A,B30,DATA_COMMUNITY!$E:$E,$B$6,DATA_COMMUNITY!$C:$C,$B$7,DATA_COMMUNITY!$D:$D,"Sunday"))</f>
        <v/>
      </c>
      <c r="H30">
        <f>IF(F30=0,0,SUMIFS(DATA_COMMUNITY!$H:$H,DATA_COMMUNITY!$A:$A,B30,DATA_COMMUNITY!$E:$E,$B$6,DATA_COMMUNITY!$C:$C,$B$7,DATA_COMMUNITY!$D:$D,"Sunday"))</f>
        <v/>
      </c>
      <c r="I30">
        <f>IF(F30=0,0,SUMIFS(DATA_COMMUNITY!$J:$J,DATA_COMMUNITY!$A:$A,B30,DATA_COMMUNITY!$E:$E,$B$6,DATA_COMMUNITY!$C:$C,$B$7,DATA_COMMUNITY!$D:$D,"Sunday"))</f>
        <v/>
      </c>
      <c r="J30">
        <f>G30+H30</f>
        <v/>
      </c>
      <c r="K30">
        <f>J30+I30</f>
        <v/>
      </c>
      <c r="L30">
        <f>IF(F30=0,0,SUMIFS(DATA_COMMUNITY!$L:$L,DATA_COMMUNITY!$A:$A,B30,DATA_COMMUNITY!$E:$E,$B$6,DATA_COMMUNITY!$C:$C,$B$7,DATA_COMMUNITY!$D:$D,"Sunday"))</f>
        <v/>
      </c>
      <c r="M30">
        <f>IF(F30=0,0,SUMIFS(DATA_COMMUNITY!$M:$M,DATA_COMMUNITY!$A:$A,B30,DATA_COMMUNITY!$E:$E,$B$6,DATA_COMMUNITY!$C:$C,$B$7,DATA_COMMUNITY!$D:$D,"Sunday"))</f>
        <v/>
      </c>
      <c r="N30">
        <f>IF(F30=0,0,SUMIFS(DATA_COMMUNITY!$N:$N,DATA_COMMUNITY!$A:$A,B30,DATA_COMMUNITY!$E:$E,$B$6,DATA_COMMUNITY!$C:$C,$B$7,DATA_COMMUNITY!$D:$D,"Sunday"))</f>
        <v/>
      </c>
      <c r="O30">
        <f>IF(F30=0,0,SUMIFS(DATA_COMMUNITY!$O:$O,DATA_COMMUNITY!$A:$A,B30,DATA_COMMUNITY!$E:$E,$B$6,DATA_COMMUNITY!$C:$C,$B$7,DATA_COMMUNITY!$D:$D,"Sunday"))</f>
        <v/>
      </c>
      <c r="P30">
        <f>IF(B30="",0,$B$17)</f>
        <v/>
      </c>
      <c r="Q30">
        <f>F30</f>
        <v/>
      </c>
      <c r="R30">
        <f>MAX(0,P30-Q30)</f>
        <v/>
      </c>
      <c r="S30">
        <f>IF(F30&gt;0,1,0)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IFERROR(INDEX(MASTER_COMMUNITY!$A:$A,29)&amp;"","")</f>
        <v/>
      </c>
      <c r="AB30">
        <f>IF(AA30="","",INDEX(MASTER_COMMUNITY!$B:$B,29)&amp;"")</f>
        <v/>
      </c>
      <c r="AC30">
        <f>IF(AA30="","",INDEX(MASTER_COMMUNITY!$C:$C,29)&amp;"")</f>
        <v/>
      </c>
      <c r="AD30">
        <f>AND(AA30&lt;&gt;"",OR($B$6="*",AC30=$B$6),OR($B$7="*",AA30=$B$7))</f>
        <v/>
      </c>
      <c r="AE30">
        <f>IF(OR(AA30="",$B$10=0),"",IF(COUNTIFS(DATA_COMMUNITY!$A:$A,$B$10,DATA_COMMUNITY!$C:$C,AA30,DATA_COMMUNITY!$D:$D,"Sunday")=0,"",SUMIFS(DATA_COMMUNITY!$K:$K,DATA_COMMUNITY!$A:$A,$B$10,DATA_COMMUNITY!$C:$C,AA30,DATA_COMMUNITY!$D:$D,"Sunday")))</f>
        <v/>
      </c>
      <c r="AF30">
        <f>IF(OR(AA30="",$B$10=0),"",IF(COUNTIFS(DATA_COMMUNITY!$A:$A,$B$10-7,DATA_COMMUNITY!$C:$C,AA30,DATA_COMMUNITY!$D:$D,"Sunday")=0,"",SUMIFS(DATA_COMMUNITY!$K:$K,DATA_COMMUNITY!$A:$A,$B$10-7,DATA_COMMUNITY!$C:$C,AA30,DATA_COMMUNITY!$D:$D,"Sunday")))</f>
        <v/>
      </c>
      <c r="AG30">
        <f>IF(OR(AE30="",AF30="",AF30=0),"",AE30/AF30-1)</f>
        <v/>
      </c>
      <c r="AH30">
        <f>IF(OR(AA30="",$B$10=0),"",IF(COUNTIFS(DATA_COMMUNITY!$A:$A,"&gt;="&amp;($B$10-7*$B$11),DATA_COMMUNITY!$A:$A,"&lt;"&amp;$B$10,DATA_COMMUNITY!$C:$C,AA30,DATA_COMMUNITY!$D:$D,"Sunday")=0,"",SUMIFS(DATA_COMMUNITY!$K:$K,DATA_COMMUNITY!$A:$A,"&gt;="&amp;($B$10-7*$B$11),DATA_COMMUNITY!$A:$A,"&lt;"&amp;$B$10,DATA_COMMUNITY!$C:$C,AA30,DATA_COMMUNITY!$D:$D,"Sunday")/COUNTIFS(DATA_COMMUNITY!$A:$A,"&gt;="&amp;($B$10-7*$B$11),DATA_COMMUNITY!$A:$A,"&lt;"&amp;$B$10,DATA_COMMUNITY!$C:$C,AA30,DATA_COMMUNITY!$D:$D,"Sunday")))</f>
        <v/>
      </c>
      <c r="AI30">
        <f>IF(OR(AE30="",AH30="",AH30=0),"",AE30/AH30-1)</f>
        <v/>
      </c>
      <c r="AJ30">
        <f>IF(AE30="","",SUMIFS(DATA_COMMUNITY!$L:$L,DATA_COMMUNITY!$A:$A,$B$10,DATA_COMMUNITY!$C:$C,AA30,DATA_COMMUNITY!$D:$D,"Sunday"))</f>
        <v/>
      </c>
      <c r="AK30">
        <f>IF(AE30="","",SUMIFS(DATA_COMMUNITY!$O:$O,DATA_COMMUNITY!$A:$A,$B$10,DATA_COMMUNITY!$C:$C,AA30,DATA_COMMUNITY!$D:$D,"Sunday"))</f>
        <v/>
      </c>
      <c r="AL30">
        <f>IF(AA30="","",IF(AE30="","No","Yes"))</f>
        <v/>
      </c>
      <c r="AM30">
        <f>IF(AD30,ROW(),"")</f>
        <v/>
      </c>
      <c r="AN30">
        <f>IF(AND(AD30,AL30="No"),ROW(),"")</f>
        <v/>
      </c>
      <c r="AP30">
        <f>IFERROR(SMALL($AM$3:$AM$62,28),"")</f>
        <v/>
      </c>
      <c r="AQ30">
        <f>IFERROR(SMALL($AN$3:$AN$62,28),"")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IF(B31="",0,COUNTIFS(DATA_COMMUNITY!$A:$A,B31,DATA_COMMUNITY!$E:$E,$B$6,DATA_COMMUNITY!$C:$C,$B$7,DATA_COMMUNITY!$D:$D,"Sunday"))</f>
        <v/>
      </c>
      <c r="G31">
        <f>IF(F31=0,0,SUMIFS(DATA_COMMUNITY!$G:$G,DATA_COMMUNITY!$A:$A,B31,DATA_COMMUNITY!$E:$E,$B$6,DATA_COMMUNITY!$C:$C,$B$7,DATA_COMMUNITY!$D:$D,"Sunday"))</f>
        <v/>
      </c>
      <c r="H31">
        <f>IF(F31=0,0,SUMIFS(DATA_COMMUNITY!$H:$H,DATA_COMMUNITY!$A:$A,B31,DATA_COMMUNITY!$E:$E,$B$6,DATA_COMMUNITY!$C:$C,$B$7,DATA_COMMUNITY!$D:$D,"Sunday"))</f>
        <v/>
      </c>
      <c r="I31">
        <f>IF(F31=0,0,SUMIFS(DATA_COMMUNITY!$J:$J,DATA_COMMUNITY!$A:$A,B31,DATA_COMMUNITY!$E:$E,$B$6,DATA_COMMUNITY!$C:$C,$B$7,DATA_COMMUNITY!$D:$D,"Sunday"))</f>
        <v/>
      </c>
      <c r="J31">
        <f>G31+H31</f>
        <v/>
      </c>
      <c r="K31">
        <f>J31+I31</f>
        <v/>
      </c>
      <c r="L31">
        <f>IF(F31=0,0,SUMIFS(DATA_COMMUNITY!$L:$L,DATA_COMMUNITY!$A:$A,B31,DATA_COMMUNITY!$E:$E,$B$6,DATA_COMMUNITY!$C:$C,$B$7,DATA_COMMUNITY!$D:$D,"Sunday"))</f>
        <v/>
      </c>
      <c r="M31">
        <f>IF(F31=0,0,SUMIFS(DATA_COMMUNITY!$M:$M,DATA_COMMUNITY!$A:$A,B31,DATA_COMMUNITY!$E:$E,$B$6,DATA_COMMUNITY!$C:$C,$B$7,DATA_COMMUNITY!$D:$D,"Sunday"))</f>
        <v/>
      </c>
      <c r="N31">
        <f>IF(F31=0,0,SUMIFS(DATA_COMMUNITY!$N:$N,DATA_COMMUNITY!$A:$A,B31,DATA_COMMUNITY!$E:$E,$B$6,DATA_COMMUNITY!$C:$C,$B$7,DATA_COMMUNITY!$D:$D,"Sunday"))</f>
        <v/>
      </c>
      <c r="O31">
        <f>IF(F31=0,0,SUMIFS(DATA_COMMUNITY!$O:$O,DATA_COMMUNITY!$A:$A,B31,DATA_COMMUNITY!$E:$E,$B$6,DATA_COMMUNITY!$C:$C,$B$7,DATA_COMMUNITY!$D:$D,"Sunday"))</f>
        <v/>
      </c>
      <c r="P31">
        <f>IF(B31="",0,$B$17)</f>
        <v/>
      </c>
      <c r="Q31">
        <f>F31</f>
        <v/>
      </c>
      <c r="R31">
        <f>MAX(0,P31-Q31)</f>
        <v/>
      </c>
      <c r="S31">
        <f>IF(F31&gt;0,1,0)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IFERROR(INDEX(MASTER_COMMUNITY!$A:$A,30)&amp;"","")</f>
        <v/>
      </c>
      <c r="AB31">
        <f>IF(AA31="","",INDEX(MASTER_COMMUNITY!$B:$B,30)&amp;"")</f>
        <v/>
      </c>
      <c r="AC31">
        <f>IF(AA31="","",INDEX(MASTER_COMMUNITY!$C:$C,30)&amp;"")</f>
        <v/>
      </c>
      <c r="AD31">
        <f>AND(AA31&lt;&gt;"",OR($B$6="*",AC31=$B$6),OR($B$7="*",AA31=$B$7))</f>
        <v/>
      </c>
      <c r="AE31">
        <f>IF(OR(AA31="",$B$10=0),"",IF(COUNTIFS(DATA_COMMUNITY!$A:$A,$B$10,DATA_COMMUNITY!$C:$C,AA31,DATA_COMMUNITY!$D:$D,"Sunday")=0,"",SUMIFS(DATA_COMMUNITY!$K:$K,DATA_COMMUNITY!$A:$A,$B$10,DATA_COMMUNITY!$C:$C,AA31,DATA_COMMUNITY!$D:$D,"Sunday")))</f>
        <v/>
      </c>
      <c r="AF31">
        <f>IF(OR(AA31="",$B$10=0),"",IF(COUNTIFS(DATA_COMMUNITY!$A:$A,$B$10-7,DATA_COMMUNITY!$C:$C,AA31,DATA_COMMUNITY!$D:$D,"Sunday")=0,"",SUMIFS(DATA_COMMUNITY!$K:$K,DATA_COMMUNITY!$A:$A,$B$10-7,DATA_COMMUNITY!$C:$C,AA31,DATA_COMMUNITY!$D:$D,"Sunday")))</f>
        <v/>
      </c>
      <c r="AG31">
        <f>IF(OR(AE31="",AF31="",AF31=0),"",AE31/AF31-1)</f>
        <v/>
      </c>
      <c r="AH31">
        <f>IF(OR(AA31="",$B$10=0),"",IF(COUNTIFS(DATA_COMMUNITY!$A:$A,"&gt;="&amp;($B$10-7*$B$11),DATA_COMMUNITY!$A:$A,"&lt;"&amp;$B$10,DATA_COMMUNITY!$C:$C,AA31,DATA_COMMUNITY!$D:$D,"Sunday")=0,"",SUMIFS(DATA_COMMUNITY!$K:$K,DATA_COMMUNITY!$A:$A,"&gt;="&amp;($B$10-7*$B$11),DATA_COMMUNITY!$A:$A,"&lt;"&amp;$B$10,DATA_COMMUNITY!$C:$C,AA31,DATA_COMMUNITY!$D:$D,"Sunday")/COUNTIFS(DATA_COMMUNITY!$A:$A,"&gt;="&amp;($B$10-7*$B$11),DATA_COMMUNITY!$A:$A,"&lt;"&amp;$B$10,DATA_COMMUNITY!$C:$C,AA31,DATA_COMMUNITY!$D:$D,"Sunday")))</f>
        <v/>
      </c>
      <c r="AI31">
        <f>IF(OR(AE31="",AH31="",AH31=0),"",AE31/AH31-1)</f>
        <v/>
      </c>
      <c r="AJ31">
        <f>IF(AE31="","",SUMIFS(DATA_COMMUNITY!$L:$L,DATA_COMMUNITY!$A:$A,$B$10,DATA_COMMUNITY!$C:$C,AA31,DATA_COMMUNITY!$D:$D,"Sunday"))</f>
        <v/>
      </c>
      <c r="AK31">
        <f>IF(AE31="","",SUMIFS(DATA_COMMUNITY!$O:$O,DATA_COMMUNITY!$A:$A,$B$10,DATA_COMMUNITY!$C:$C,AA31,DATA_COMMUNITY!$D:$D,"Sunday"))</f>
        <v/>
      </c>
      <c r="AL31">
        <f>IF(AA31="","",IF(AE31="","No","Yes"))</f>
        <v/>
      </c>
      <c r="AM31">
        <f>IF(AD31,ROW(),"")</f>
        <v/>
      </c>
      <c r="AN31">
        <f>IF(AND(AD31,AL31="No"),ROW(),"")</f>
        <v/>
      </c>
      <c r="AP31">
        <f>IFERROR(SMALL($AM$3:$AM$62,29),"")</f>
        <v/>
      </c>
      <c r="AQ31">
        <f>IFERROR(SMALL($AN$3:$AN$62,29),"")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IF(B32="",0,COUNTIFS(DATA_COMMUNITY!$A:$A,B32,DATA_COMMUNITY!$E:$E,$B$6,DATA_COMMUNITY!$C:$C,$B$7,DATA_COMMUNITY!$D:$D,"Sunday"))</f>
        <v/>
      </c>
      <c r="G32">
        <f>IF(F32=0,0,SUMIFS(DATA_COMMUNITY!$G:$G,DATA_COMMUNITY!$A:$A,B32,DATA_COMMUNITY!$E:$E,$B$6,DATA_COMMUNITY!$C:$C,$B$7,DATA_COMMUNITY!$D:$D,"Sunday"))</f>
        <v/>
      </c>
      <c r="H32">
        <f>IF(F32=0,0,SUMIFS(DATA_COMMUNITY!$H:$H,DATA_COMMUNITY!$A:$A,B32,DATA_COMMUNITY!$E:$E,$B$6,DATA_COMMUNITY!$C:$C,$B$7,DATA_COMMUNITY!$D:$D,"Sunday"))</f>
        <v/>
      </c>
      <c r="I32">
        <f>IF(F32=0,0,SUMIFS(DATA_COMMUNITY!$J:$J,DATA_COMMUNITY!$A:$A,B32,DATA_COMMUNITY!$E:$E,$B$6,DATA_COMMUNITY!$C:$C,$B$7,DATA_COMMUNITY!$D:$D,"Sunday"))</f>
        <v/>
      </c>
      <c r="J32">
        <f>G32+H32</f>
        <v/>
      </c>
      <c r="K32">
        <f>J32+I32</f>
        <v/>
      </c>
      <c r="L32">
        <f>IF(F32=0,0,SUMIFS(DATA_COMMUNITY!$L:$L,DATA_COMMUNITY!$A:$A,B32,DATA_COMMUNITY!$E:$E,$B$6,DATA_COMMUNITY!$C:$C,$B$7,DATA_COMMUNITY!$D:$D,"Sunday"))</f>
        <v/>
      </c>
      <c r="M32">
        <f>IF(F32=0,0,SUMIFS(DATA_COMMUNITY!$M:$M,DATA_COMMUNITY!$A:$A,B32,DATA_COMMUNITY!$E:$E,$B$6,DATA_COMMUNITY!$C:$C,$B$7,DATA_COMMUNITY!$D:$D,"Sunday"))</f>
        <v/>
      </c>
      <c r="N32">
        <f>IF(F32=0,0,SUMIFS(DATA_COMMUNITY!$N:$N,DATA_COMMUNITY!$A:$A,B32,DATA_COMMUNITY!$E:$E,$B$6,DATA_COMMUNITY!$C:$C,$B$7,DATA_COMMUNITY!$D:$D,"Sunday"))</f>
        <v/>
      </c>
      <c r="O32">
        <f>IF(F32=0,0,SUMIFS(DATA_COMMUNITY!$O:$O,DATA_COMMUNITY!$A:$A,B32,DATA_COMMUNITY!$E:$E,$B$6,DATA_COMMUNITY!$C:$C,$B$7,DATA_COMMUNITY!$D:$D,"Sunday"))</f>
        <v/>
      </c>
      <c r="P32">
        <f>IF(B32="",0,$B$17)</f>
        <v/>
      </c>
      <c r="Q32">
        <f>F32</f>
        <v/>
      </c>
      <c r="R32">
        <f>MAX(0,P32-Q32)</f>
        <v/>
      </c>
      <c r="S32">
        <f>IF(F32&gt;0,1,0)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IFERROR(INDEX(MASTER_COMMUNITY!$A:$A,31)&amp;"","")</f>
        <v/>
      </c>
      <c r="AB32">
        <f>IF(AA32="","",INDEX(MASTER_COMMUNITY!$B:$B,31)&amp;"")</f>
        <v/>
      </c>
      <c r="AC32">
        <f>IF(AA32="","",INDEX(MASTER_COMMUNITY!$C:$C,31)&amp;"")</f>
        <v/>
      </c>
      <c r="AD32">
        <f>AND(AA32&lt;&gt;"",OR($B$6="*",AC32=$B$6),OR($B$7="*",AA32=$B$7))</f>
        <v/>
      </c>
      <c r="AE32">
        <f>IF(OR(AA32="",$B$10=0),"",IF(COUNTIFS(DATA_COMMUNITY!$A:$A,$B$10,DATA_COMMUNITY!$C:$C,AA32,DATA_COMMUNITY!$D:$D,"Sunday")=0,"",SUMIFS(DATA_COMMUNITY!$K:$K,DATA_COMMUNITY!$A:$A,$B$10,DATA_COMMUNITY!$C:$C,AA32,DATA_COMMUNITY!$D:$D,"Sunday")))</f>
        <v/>
      </c>
      <c r="AF32">
        <f>IF(OR(AA32="",$B$10=0),"",IF(COUNTIFS(DATA_COMMUNITY!$A:$A,$B$10-7,DATA_COMMUNITY!$C:$C,AA32,DATA_COMMUNITY!$D:$D,"Sunday")=0,"",SUMIFS(DATA_COMMUNITY!$K:$K,DATA_COMMUNITY!$A:$A,$B$10-7,DATA_COMMUNITY!$C:$C,AA32,DATA_COMMUNITY!$D:$D,"Sunday")))</f>
        <v/>
      </c>
      <c r="AG32">
        <f>IF(OR(AE32="",AF32="",AF32=0),"",AE32/AF32-1)</f>
        <v/>
      </c>
      <c r="AH32">
        <f>IF(OR(AA32="",$B$10=0),"",IF(COUNTIFS(DATA_COMMUNITY!$A:$A,"&gt;="&amp;($B$10-7*$B$11),DATA_COMMUNITY!$A:$A,"&lt;"&amp;$B$10,DATA_COMMUNITY!$C:$C,AA32,DATA_COMMUNITY!$D:$D,"Sunday")=0,"",SUMIFS(DATA_COMMUNITY!$K:$K,DATA_COMMUNITY!$A:$A,"&gt;="&amp;($B$10-7*$B$11),DATA_COMMUNITY!$A:$A,"&lt;"&amp;$B$10,DATA_COMMUNITY!$C:$C,AA32,DATA_COMMUNITY!$D:$D,"Sunday")/COUNTIFS(DATA_COMMUNITY!$A:$A,"&gt;="&amp;($B$10-7*$B$11),DATA_COMMUNITY!$A:$A,"&lt;"&amp;$B$10,DATA_COMMUNITY!$C:$C,AA32,DATA_COMMUNITY!$D:$D,"Sunday")))</f>
        <v/>
      </c>
      <c r="AI32">
        <f>IF(OR(AE32="",AH32="",AH32=0),"",AE32/AH32-1)</f>
        <v/>
      </c>
      <c r="AJ32">
        <f>IF(AE32="","",SUMIFS(DATA_COMMUNITY!$L:$L,DATA_COMMUNITY!$A:$A,$B$10,DATA_COMMUNITY!$C:$C,AA32,DATA_COMMUNITY!$D:$D,"Sunday"))</f>
        <v/>
      </c>
      <c r="AK32">
        <f>IF(AE32="","",SUMIFS(DATA_COMMUNITY!$O:$O,DATA_COMMUNITY!$A:$A,$B$10,DATA_COMMUNITY!$C:$C,AA32,DATA_COMMUNITY!$D:$D,"Sunday"))</f>
        <v/>
      </c>
      <c r="AL32">
        <f>IF(AA32="","",IF(AE32="","No","Yes"))</f>
        <v/>
      </c>
      <c r="AM32">
        <f>IF(AD32,ROW(),"")</f>
        <v/>
      </c>
      <c r="AN32">
        <f>IF(AND(AD32,AL32="No"),ROW(),"")</f>
        <v/>
      </c>
      <c r="AP32">
        <f>IFERROR(SMALL($AM$3:$AM$62,30),"")</f>
        <v/>
      </c>
      <c r="AQ32">
        <f>IFERROR(SMALL($AN$3:$AN$62,30),"")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IF(B33="",0,COUNTIFS(DATA_COMMUNITY!$A:$A,B33,DATA_COMMUNITY!$E:$E,$B$6,DATA_COMMUNITY!$C:$C,$B$7,DATA_COMMUNITY!$D:$D,"Sunday"))</f>
        <v/>
      </c>
      <c r="G33">
        <f>IF(F33=0,0,SUMIFS(DATA_COMMUNITY!$G:$G,DATA_COMMUNITY!$A:$A,B33,DATA_COMMUNITY!$E:$E,$B$6,DATA_COMMUNITY!$C:$C,$B$7,DATA_COMMUNITY!$D:$D,"Sunday"))</f>
        <v/>
      </c>
      <c r="H33">
        <f>IF(F33=0,0,SUMIFS(DATA_COMMUNITY!$H:$H,DATA_COMMUNITY!$A:$A,B33,DATA_COMMUNITY!$E:$E,$B$6,DATA_COMMUNITY!$C:$C,$B$7,DATA_COMMUNITY!$D:$D,"Sunday"))</f>
        <v/>
      </c>
      <c r="I33">
        <f>IF(F33=0,0,SUMIFS(DATA_COMMUNITY!$J:$J,DATA_COMMUNITY!$A:$A,B33,DATA_COMMUNITY!$E:$E,$B$6,DATA_COMMUNITY!$C:$C,$B$7,DATA_COMMUNITY!$D:$D,"Sunday"))</f>
        <v/>
      </c>
      <c r="J33">
        <f>G33+H33</f>
        <v/>
      </c>
      <c r="K33">
        <f>J33+I33</f>
        <v/>
      </c>
      <c r="L33">
        <f>IF(F33=0,0,SUMIFS(DATA_COMMUNITY!$L:$L,DATA_COMMUNITY!$A:$A,B33,DATA_COMMUNITY!$E:$E,$B$6,DATA_COMMUNITY!$C:$C,$B$7,DATA_COMMUNITY!$D:$D,"Sunday"))</f>
        <v/>
      </c>
      <c r="M33">
        <f>IF(F33=0,0,SUMIFS(DATA_COMMUNITY!$M:$M,DATA_COMMUNITY!$A:$A,B33,DATA_COMMUNITY!$E:$E,$B$6,DATA_COMMUNITY!$C:$C,$B$7,DATA_COMMUNITY!$D:$D,"Sunday"))</f>
        <v/>
      </c>
      <c r="N33">
        <f>IF(F33=0,0,SUMIFS(DATA_COMMUNITY!$N:$N,DATA_COMMUNITY!$A:$A,B33,DATA_COMMUNITY!$E:$E,$B$6,DATA_COMMUNITY!$C:$C,$B$7,DATA_COMMUNITY!$D:$D,"Sunday"))</f>
        <v/>
      </c>
      <c r="O33">
        <f>IF(F33=0,0,SUMIFS(DATA_COMMUNITY!$O:$O,DATA_COMMUNITY!$A:$A,B33,DATA_COMMUNITY!$E:$E,$B$6,DATA_COMMUNITY!$C:$C,$B$7,DATA_COMMUNITY!$D:$D,"Sunday"))</f>
        <v/>
      </c>
      <c r="P33">
        <f>IF(B33="",0,$B$17)</f>
        <v/>
      </c>
      <c r="Q33">
        <f>F33</f>
        <v/>
      </c>
      <c r="R33">
        <f>MAX(0,P33-Q33)</f>
        <v/>
      </c>
      <c r="S33">
        <f>IF(F33&gt;0,1,0)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IFERROR(INDEX(MASTER_COMMUNITY!$A:$A,32)&amp;"","")</f>
        <v/>
      </c>
      <c r="AB33">
        <f>IF(AA33="","",INDEX(MASTER_COMMUNITY!$B:$B,32)&amp;"")</f>
        <v/>
      </c>
      <c r="AC33">
        <f>IF(AA33="","",INDEX(MASTER_COMMUNITY!$C:$C,32)&amp;"")</f>
        <v/>
      </c>
      <c r="AD33">
        <f>AND(AA33&lt;&gt;"",OR($B$6="*",AC33=$B$6),OR($B$7="*",AA33=$B$7))</f>
        <v/>
      </c>
      <c r="AE33">
        <f>IF(OR(AA33="",$B$10=0),"",IF(COUNTIFS(DATA_COMMUNITY!$A:$A,$B$10,DATA_COMMUNITY!$C:$C,AA33,DATA_COMMUNITY!$D:$D,"Sunday")=0,"",SUMIFS(DATA_COMMUNITY!$K:$K,DATA_COMMUNITY!$A:$A,$B$10,DATA_COMMUNITY!$C:$C,AA33,DATA_COMMUNITY!$D:$D,"Sunday")))</f>
        <v/>
      </c>
      <c r="AF33">
        <f>IF(OR(AA33="",$B$10=0),"",IF(COUNTIFS(DATA_COMMUNITY!$A:$A,$B$10-7,DATA_COMMUNITY!$C:$C,AA33,DATA_COMMUNITY!$D:$D,"Sunday")=0,"",SUMIFS(DATA_COMMUNITY!$K:$K,DATA_COMMUNITY!$A:$A,$B$10-7,DATA_COMMUNITY!$C:$C,AA33,DATA_COMMUNITY!$D:$D,"Sunday")))</f>
        <v/>
      </c>
      <c r="AG33">
        <f>IF(OR(AE33="",AF33="",AF33=0),"",AE33/AF33-1)</f>
        <v/>
      </c>
      <c r="AH33">
        <f>IF(OR(AA33="",$B$10=0),"",IF(COUNTIFS(DATA_COMMUNITY!$A:$A,"&gt;="&amp;($B$10-7*$B$11),DATA_COMMUNITY!$A:$A,"&lt;"&amp;$B$10,DATA_COMMUNITY!$C:$C,AA33,DATA_COMMUNITY!$D:$D,"Sunday")=0,"",SUMIFS(DATA_COMMUNITY!$K:$K,DATA_COMMUNITY!$A:$A,"&gt;="&amp;($B$10-7*$B$11),DATA_COMMUNITY!$A:$A,"&lt;"&amp;$B$10,DATA_COMMUNITY!$C:$C,AA33,DATA_COMMUNITY!$D:$D,"Sunday")/COUNTIFS(DATA_COMMUNITY!$A:$A,"&gt;="&amp;($B$10-7*$B$11),DATA_COMMUNITY!$A:$A,"&lt;"&amp;$B$10,DATA_COMMUNITY!$C:$C,AA33,DATA_COMMUNITY!$D:$D,"Sunday")))</f>
        <v/>
      </c>
      <c r="AI33">
        <f>IF(OR(AE33="",AH33="",AH33=0),"",AE33/AH33-1)</f>
        <v/>
      </c>
      <c r="AJ33">
        <f>IF(AE33="","",SUMIFS(DATA_COMMUNITY!$L:$L,DATA_COMMUNITY!$A:$A,$B$10,DATA_COMMUNITY!$C:$C,AA33,DATA_COMMUNITY!$D:$D,"Sunday"))</f>
        <v/>
      </c>
      <c r="AK33">
        <f>IF(AE33="","",SUMIFS(DATA_COMMUNITY!$O:$O,DATA_COMMUNITY!$A:$A,$B$10,DATA_COMMUNITY!$C:$C,AA33,DATA_COMMUNITY!$D:$D,"Sunday"))</f>
        <v/>
      </c>
      <c r="AL33">
        <f>IF(AA33="","",IF(AE33="","No","Yes"))</f>
        <v/>
      </c>
      <c r="AM33">
        <f>IF(AD33,ROW(),"")</f>
        <v/>
      </c>
      <c r="AN33">
        <f>IF(AND(AD33,AL33="No"),ROW(),"")</f>
        <v/>
      </c>
      <c r="AP33">
        <f>IFERROR(SMALL($AM$3:$AM$62,31),"")</f>
        <v/>
      </c>
      <c r="AQ33">
        <f>IFERROR(SMALL($AN$3:$AN$62,31),"")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IF(B34="",0,COUNTIFS(DATA_COMMUNITY!$A:$A,B34,DATA_COMMUNITY!$E:$E,$B$6,DATA_COMMUNITY!$C:$C,$B$7,DATA_COMMUNITY!$D:$D,"Sunday"))</f>
        <v/>
      </c>
      <c r="G34">
        <f>IF(F34=0,0,SUMIFS(DATA_COMMUNITY!$G:$G,DATA_COMMUNITY!$A:$A,B34,DATA_COMMUNITY!$E:$E,$B$6,DATA_COMMUNITY!$C:$C,$B$7,DATA_COMMUNITY!$D:$D,"Sunday"))</f>
        <v/>
      </c>
      <c r="H34">
        <f>IF(F34=0,0,SUMIFS(DATA_COMMUNITY!$H:$H,DATA_COMMUNITY!$A:$A,B34,DATA_COMMUNITY!$E:$E,$B$6,DATA_COMMUNITY!$C:$C,$B$7,DATA_COMMUNITY!$D:$D,"Sunday"))</f>
        <v/>
      </c>
      <c r="I34">
        <f>IF(F34=0,0,SUMIFS(DATA_COMMUNITY!$J:$J,DATA_COMMUNITY!$A:$A,B34,DATA_COMMUNITY!$E:$E,$B$6,DATA_COMMUNITY!$C:$C,$B$7,DATA_COMMUNITY!$D:$D,"Sunday"))</f>
        <v/>
      </c>
      <c r="J34">
        <f>G34+H34</f>
        <v/>
      </c>
      <c r="K34">
        <f>J34+I34</f>
        <v/>
      </c>
      <c r="L34">
        <f>IF(F34=0,0,SUMIFS(DATA_COMMUNITY!$L:$L,DATA_COMMUNITY!$A:$A,B34,DATA_COMMUNITY!$E:$E,$B$6,DATA_COMMUNITY!$C:$C,$B$7,DATA_COMMUNITY!$D:$D,"Sunday"))</f>
        <v/>
      </c>
      <c r="M34">
        <f>IF(F34=0,0,SUMIFS(DATA_COMMUNITY!$M:$M,DATA_COMMUNITY!$A:$A,B34,DATA_COMMUNITY!$E:$E,$B$6,DATA_COMMUNITY!$C:$C,$B$7,DATA_COMMUNITY!$D:$D,"Sunday"))</f>
        <v/>
      </c>
      <c r="N34">
        <f>IF(F34=0,0,SUMIFS(DATA_COMMUNITY!$N:$N,DATA_COMMUNITY!$A:$A,B34,DATA_COMMUNITY!$E:$E,$B$6,DATA_COMMUNITY!$C:$C,$B$7,DATA_COMMUNITY!$D:$D,"Sunday"))</f>
        <v/>
      </c>
      <c r="O34">
        <f>IF(F34=0,0,SUMIFS(DATA_COMMUNITY!$O:$O,DATA_COMMUNITY!$A:$A,B34,DATA_COMMUNITY!$E:$E,$B$6,DATA_COMMUNITY!$C:$C,$B$7,DATA_COMMUNITY!$D:$D,"Sunday"))</f>
        <v/>
      </c>
      <c r="P34">
        <f>IF(B34="",0,$B$17)</f>
        <v/>
      </c>
      <c r="Q34">
        <f>F34</f>
        <v/>
      </c>
      <c r="R34">
        <f>MAX(0,P34-Q34)</f>
        <v/>
      </c>
      <c r="S34">
        <f>IF(F34&gt;0,1,0)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IFERROR(INDEX(MASTER_COMMUNITY!$A:$A,33)&amp;"","")</f>
        <v/>
      </c>
      <c r="AB34">
        <f>IF(AA34="","",INDEX(MASTER_COMMUNITY!$B:$B,33)&amp;"")</f>
        <v/>
      </c>
      <c r="AC34">
        <f>IF(AA34="","",INDEX(MASTER_COMMUNITY!$C:$C,33)&amp;"")</f>
        <v/>
      </c>
      <c r="AD34">
        <f>AND(AA34&lt;&gt;"",OR($B$6="*",AC34=$B$6),OR($B$7="*",AA34=$B$7))</f>
        <v/>
      </c>
      <c r="AE34">
        <f>IF(OR(AA34="",$B$10=0),"",IF(COUNTIFS(DATA_COMMUNITY!$A:$A,$B$10,DATA_COMMUNITY!$C:$C,AA34,DATA_COMMUNITY!$D:$D,"Sunday")=0,"",SUMIFS(DATA_COMMUNITY!$K:$K,DATA_COMMUNITY!$A:$A,$B$10,DATA_COMMUNITY!$C:$C,AA34,DATA_COMMUNITY!$D:$D,"Sunday")))</f>
        <v/>
      </c>
      <c r="AF34">
        <f>IF(OR(AA34="",$B$10=0),"",IF(COUNTIFS(DATA_COMMUNITY!$A:$A,$B$10-7,DATA_COMMUNITY!$C:$C,AA34,DATA_COMMUNITY!$D:$D,"Sunday")=0,"",SUMIFS(DATA_COMMUNITY!$K:$K,DATA_COMMUNITY!$A:$A,$B$10-7,DATA_COMMUNITY!$C:$C,AA34,DATA_COMMUNITY!$D:$D,"Sunday")))</f>
        <v/>
      </c>
      <c r="AG34">
        <f>IF(OR(AE34="",AF34="",AF34=0),"",AE34/AF34-1)</f>
        <v/>
      </c>
      <c r="AH34">
        <f>IF(OR(AA34="",$B$10=0),"",IF(COUNTIFS(DATA_COMMUNITY!$A:$A,"&gt;="&amp;($B$10-7*$B$11),DATA_COMMUNITY!$A:$A,"&lt;"&amp;$B$10,DATA_COMMUNITY!$C:$C,AA34,DATA_COMMUNITY!$D:$D,"Sunday")=0,"",SUMIFS(DATA_COMMUNITY!$K:$K,DATA_COMMUNITY!$A:$A,"&gt;="&amp;($B$10-7*$B$11),DATA_COMMUNITY!$A:$A,"&lt;"&amp;$B$10,DATA_COMMUNITY!$C:$C,AA34,DATA_COMMUNITY!$D:$D,"Sunday")/COUNTIFS(DATA_COMMUNITY!$A:$A,"&gt;="&amp;($B$10-7*$B$11),DATA_COMMUNITY!$A:$A,"&lt;"&amp;$B$10,DATA_COMMUNITY!$C:$C,AA34,DATA_COMMUNITY!$D:$D,"Sunday")))</f>
        <v/>
      </c>
      <c r="AI34">
        <f>IF(OR(AE34="",AH34="",AH34=0),"",AE34/AH34-1)</f>
        <v/>
      </c>
      <c r="AJ34">
        <f>IF(AE34="","",SUMIFS(DATA_COMMUNITY!$L:$L,DATA_COMMUNITY!$A:$A,$B$10,DATA_COMMUNITY!$C:$C,AA34,DATA_COMMUNITY!$D:$D,"Sunday"))</f>
        <v/>
      </c>
      <c r="AK34">
        <f>IF(AE34="","",SUMIFS(DATA_COMMUNITY!$O:$O,DATA_COMMUNITY!$A:$A,$B$10,DATA_COMMUNITY!$C:$C,AA34,DATA_COMMUNITY!$D:$D,"Sunday"))</f>
        <v/>
      </c>
      <c r="AL34">
        <f>IF(AA34="","",IF(AE34="","No","Yes"))</f>
        <v/>
      </c>
      <c r="AM34">
        <f>IF(AD34,ROW(),"")</f>
        <v/>
      </c>
      <c r="AN34">
        <f>IF(AND(AD34,AL34="No"),ROW(),"")</f>
        <v/>
      </c>
      <c r="AP34">
        <f>IFERROR(SMALL($AM$3:$AM$62,32),"")</f>
        <v/>
      </c>
      <c r="AQ34">
        <f>IFERROR(SMALL($AN$3:$AN$62,32),"")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IF(B35="",0,COUNTIFS(DATA_COMMUNITY!$A:$A,B35,DATA_COMMUNITY!$E:$E,$B$6,DATA_COMMUNITY!$C:$C,$B$7,DATA_COMMUNITY!$D:$D,"Sunday"))</f>
        <v/>
      </c>
      <c r="G35">
        <f>IF(F35=0,0,SUMIFS(DATA_COMMUNITY!$G:$G,DATA_COMMUNITY!$A:$A,B35,DATA_COMMUNITY!$E:$E,$B$6,DATA_COMMUNITY!$C:$C,$B$7,DATA_COMMUNITY!$D:$D,"Sunday"))</f>
        <v/>
      </c>
      <c r="H35">
        <f>IF(F35=0,0,SUMIFS(DATA_COMMUNITY!$H:$H,DATA_COMMUNITY!$A:$A,B35,DATA_COMMUNITY!$E:$E,$B$6,DATA_COMMUNITY!$C:$C,$B$7,DATA_COMMUNITY!$D:$D,"Sunday"))</f>
        <v/>
      </c>
      <c r="I35">
        <f>IF(F35=0,0,SUMIFS(DATA_COMMUNITY!$J:$J,DATA_COMMUNITY!$A:$A,B35,DATA_COMMUNITY!$E:$E,$B$6,DATA_COMMUNITY!$C:$C,$B$7,DATA_COMMUNITY!$D:$D,"Sunday"))</f>
        <v/>
      </c>
      <c r="J35">
        <f>G35+H35</f>
        <v/>
      </c>
      <c r="K35">
        <f>J35+I35</f>
        <v/>
      </c>
      <c r="L35">
        <f>IF(F35=0,0,SUMIFS(DATA_COMMUNITY!$L:$L,DATA_COMMUNITY!$A:$A,B35,DATA_COMMUNITY!$E:$E,$B$6,DATA_COMMUNITY!$C:$C,$B$7,DATA_COMMUNITY!$D:$D,"Sunday"))</f>
        <v/>
      </c>
      <c r="M35">
        <f>IF(F35=0,0,SUMIFS(DATA_COMMUNITY!$M:$M,DATA_COMMUNITY!$A:$A,B35,DATA_COMMUNITY!$E:$E,$B$6,DATA_COMMUNITY!$C:$C,$B$7,DATA_COMMUNITY!$D:$D,"Sunday"))</f>
        <v/>
      </c>
      <c r="N35">
        <f>IF(F35=0,0,SUMIFS(DATA_COMMUNITY!$N:$N,DATA_COMMUNITY!$A:$A,B35,DATA_COMMUNITY!$E:$E,$B$6,DATA_COMMUNITY!$C:$C,$B$7,DATA_COMMUNITY!$D:$D,"Sunday"))</f>
        <v/>
      </c>
      <c r="O35">
        <f>IF(F35=0,0,SUMIFS(DATA_COMMUNITY!$O:$O,DATA_COMMUNITY!$A:$A,B35,DATA_COMMUNITY!$E:$E,$B$6,DATA_COMMUNITY!$C:$C,$B$7,DATA_COMMUNITY!$D:$D,"Sunday"))</f>
        <v/>
      </c>
      <c r="P35">
        <f>IF(B35="",0,$B$17)</f>
        <v/>
      </c>
      <c r="Q35">
        <f>F35</f>
        <v/>
      </c>
      <c r="R35">
        <f>MAX(0,P35-Q35)</f>
        <v/>
      </c>
      <c r="S35">
        <f>IF(F35&gt;0,1,0)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IFERROR(INDEX(MASTER_COMMUNITY!$A:$A,34)&amp;"","")</f>
        <v/>
      </c>
      <c r="AB35">
        <f>IF(AA35="","",INDEX(MASTER_COMMUNITY!$B:$B,34)&amp;"")</f>
        <v/>
      </c>
      <c r="AC35">
        <f>IF(AA35="","",INDEX(MASTER_COMMUNITY!$C:$C,34)&amp;"")</f>
        <v/>
      </c>
      <c r="AD35">
        <f>AND(AA35&lt;&gt;"",OR($B$6="*",AC35=$B$6),OR($B$7="*",AA35=$B$7))</f>
        <v/>
      </c>
      <c r="AE35">
        <f>IF(OR(AA35="",$B$10=0),"",IF(COUNTIFS(DATA_COMMUNITY!$A:$A,$B$10,DATA_COMMUNITY!$C:$C,AA35,DATA_COMMUNITY!$D:$D,"Sunday")=0,"",SUMIFS(DATA_COMMUNITY!$K:$K,DATA_COMMUNITY!$A:$A,$B$10,DATA_COMMUNITY!$C:$C,AA35,DATA_COMMUNITY!$D:$D,"Sunday")))</f>
        <v/>
      </c>
      <c r="AF35">
        <f>IF(OR(AA35="",$B$10=0),"",IF(COUNTIFS(DATA_COMMUNITY!$A:$A,$B$10-7,DATA_COMMUNITY!$C:$C,AA35,DATA_COMMUNITY!$D:$D,"Sunday")=0,"",SUMIFS(DATA_COMMUNITY!$K:$K,DATA_COMMUNITY!$A:$A,$B$10-7,DATA_COMMUNITY!$C:$C,AA35,DATA_COMMUNITY!$D:$D,"Sunday")))</f>
        <v/>
      </c>
      <c r="AG35">
        <f>IF(OR(AE35="",AF35="",AF35=0),"",AE35/AF35-1)</f>
        <v/>
      </c>
      <c r="AH35">
        <f>IF(OR(AA35="",$B$10=0),"",IF(COUNTIFS(DATA_COMMUNITY!$A:$A,"&gt;="&amp;($B$10-7*$B$11),DATA_COMMUNITY!$A:$A,"&lt;"&amp;$B$10,DATA_COMMUNITY!$C:$C,AA35,DATA_COMMUNITY!$D:$D,"Sunday")=0,"",SUMIFS(DATA_COMMUNITY!$K:$K,DATA_COMMUNITY!$A:$A,"&gt;="&amp;($B$10-7*$B$11),DATA_COMMUNITY!$A:$A,"&lt;"&amp;$B$10,DATA_COMMUNITY!$C:$C,AA35,DATA_COMMUNITY!$D:$D,"Sunday")/COUNTIFS(DATA_COMMUNITY!$A:$A,"&gt;="&amp;($B$10-7*$B$11),DATA_COMMUNITY!$A:$A,"&lt;"&amp;$B$10,DATA_COMMUNITY!$C:$C,AA35,DATA_COMMUNITY!$D:$D,"Sunday")))</f>
        <v/>
      </c>
      <c r="AI35">
        <f>IF(OR(AE35="",AH35="",AH35=0),"",AE35/AH35-1)</f>
        <v/>
      </c>
      <c r="AJ35">
        <f>IF(AE35="","",SUMIFS(DATA_COMMUNITY!$L:$L,DATA_COMMUNITY!$A:$A,$B$10,DATA_COMMUNITY!$C:$C,AA35,DATA_COMMUNITY!$D:$D,"Sunday"))</f>
        <v/>
      </c>
      <c r="AK35">
        <f>IF(AE35="","",SUMIFS(DATA_COMMUNITY!$O:$O,DATA_COMMUNITY!$A:$A,$B$10,DATA_COMMUNITY!$C:$C,AA35,DATA_COMMUNITY!$D:$D,"Sunday"))</f>
        <v/>
      </c>
      <c r="AL35">
        <f>IF(AA35="","",IF(AE35="","No","Yes"))</f>
        <v/>
      </c>
      <c r="AM35">
        <f>IF(AD35,ROW(),"")</f>
        <v/>
      </c>
      <c r="AN35">
        <f>IF(AND(AD35,AL35="No"),ROW(),"")</f>
        <v/>
      </c>
      <c r="AP35">
        <f>IFERROR(SMALL($AM$3:$AM$62,33),"")</f>
        <v/>
      </c>
      <c r="AQ35">
        <f>IFERROR(SMALL($AN$3:$AN$62,33),"")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IF(B36="",0,COUNTIFS(DATA_COMMUNITY!$A:$A,B36,DATA_COMMUNITY!$E:$E,$B$6,DATA_COMMUNITY!$C:$C,$B$7,DATA_COMMUNITY!$D:$D,"Sunday"))</f>
        <v/>
      </c>
      <c r="G36">
        <f>IF(F36=0,0,SUMIFS(DATA_COMMUNITY!$G:$G,DATA_COMMUNITY!$A:$A,B36,DATA_COMMUNITY!$E:$E,$B$6,DATA_COMMUNITY!$C:$C,$B$7,DATA_COMMUNITY!$D:$D,"Sunday"))</f>
        <v/>
      </c>
      <c r="H36">
        <f>IF(F36=0,0,SUMIFS(DATA_COMMUNITY!$H:$H,DATA_COMMUNITY!$A:$A,B36,DATA_COMMUNITY!$E:$E,$B$6,DATA_COMMUNITY!$C:$C,$B$7,DATA_COMMUNITY!$D:$D,"Sunday"))</f>
        <v/>
      </c>
      <c r="I36">
        <f>IF(F36=0,0,SUMIFS(DATA_COMMUNITY!$J:$J,DATA_COMMUNITY!$A:$A,B36,DATA_COMMUNITY!$E:$E,$B$6,DATA_COMMUNITY!$C:$C,$B$7,DATA_COMMUNITY!$D:$D,"Sunday"))</f>
        <v/>
      </c>
      <c r="J36">
        <f>G36+H36</f>
        <v/>
      </c>
      <c r="K36">
        <f>J36+I36</f>
        <v/>
      </c>
      <c r="L36">
        <f>IF(F36=0,0,SUMIFS(DATA_COMMUNITY!$L:$L,DATA_COMMUNITY!$A:$A,B36,DATA_COMMUNITY!$E:$E,$B$6,DATA_COMMUNITY!$C:$C,$B$7,DATA_COMMUNITY!$D:$D,"Sunday"))</f>
        <v/>
      </c>
      <c r="M36">
        <f>IF(F36=0,0,SUMIFS(DATA_COMMUNITY!$M:$M,DATA_COMMUNITY!$A:$A,B36,DATA_COMMUNITY!$E:$E,$B$6,DATA_COMMUNITY!$C:$C,$B$7,DATA_COMMUNITY!$D:$D,"Sunday"))</f>
        <v/>
      </c>
      <c r="N36">
        <f>IF(F36=0,0,SUMIFS(DATA_COMMUNITY!$N:$N,DATA_COMMUNITY!$A:$A,B36,DATA_COMMUNITY!$E:$E,$B$6,DATA_COMMUNITY!$C:$C,$B$7,DATA_COMMUNITY!$D:$D,"Sunday"))</f>
        <v/>
      </c>
      <c r="O36">
        <f>IF(F36=0,0,SUMIFS(DATA_COMMUNITY!$O:$O,DATA_COMMUNITY!$A:$A,B36,DATA_COMMUNITY!$E:$E,$B$6,DATA_COMMUNITY!$C:$C,$B$7,DATA_COMMUNITY!$D:$D,"Sunday"))</f>
        <v/>
      </c>
      <c r="P36">
        <f>IF(B36="",0,$B$17)</f>
        <v/>
      </c>
      <c r="Q36">
        <f>F36</f>
        <v/>
      </c>
      <c r="R36">
        <f>MAX(0,P36-Q36)</f>
        <v/>
      </c>
      <c r="S36">
        <f>IF(F36&gt;0,1,0)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IFERROR(INDEX(MASTER_COMMUNITY!$A:$A,35)&amp;"","")</f>
        <v/>
      </c>
      <c r="AB36">
        <f>IF(AA36="","",INDEX(MASTER_COMMUNITY!$B:$B,35)&amp;"")</f>
        <v/>
      </c>
      <c r="AC36">
        <f>IF(AA36="","",INDEX(MASTER_COMMUNITY!$C:$C,35)&amp;"")</f>
        <v/>
      </c>
      <c r="AD36">
        <f>AND(AA36&lt;&gt;"",OR($B$6="*",AC36=$B$6),OR($B$7="*",AA36=$B$7))</f>
        <v/>
      </c>
      <c r="AE36">
        <f>IF(OR(AA36="",$B$10=0),"",IF(COUNTIFS(DATA_COMMUNITY!$A:$A,$B$10,DATA_COMMUNITY!$C:$C,AA36,DATA_COMMUNITY!$D:$D,"Sunday")=0,"",SUMIFS(DATA_COMMUNITY!$K:$K,DATA_COMMUNITY!$A:$A,$B$10,DATA_COMMUNITY!$C:$C,AA36,DATA_COMMUNITY!$D:$D,"Sunday")))</f>
        <v/>
      </c>
      <c r="AF36">
        <f>IF(OR(AA36="",$B$10=0),"",IF(COUNTIFS(DATA_COMMUNITY!$A:$A,$B$10-7,DATA_COMMUNITY!$C:$C,AA36,DATA_COMMUNITY!$D:$D,"Sunday")=0,"",SUMIFS(DATA_COMMUNITY!$K:$K,DATA_COMMUNITY!$A:$A,$B$10-7,DATA_COMMUNITY!$C:$C,AA36,DATA_COMMUNITY!$D:$D,"Sunday")))</f>
        <v/>
      </c>
      <c r="AG36">
        <f>IF(OR(AE36="",AF36="",AF36=0),"",AE36/AF36-1)</f>
        <v/>
      </c>
      <c r="AH36">
        <f>IF(OR(AA36="",$B$10=0),"",IF(COUNTIFS(DATA_COMMUNITY!$A:$A,"&gt;="&amp;($B$10-7*$B$11),DATA_COMMUNITY!$A:$A,"&lt;"&amp;$B$10,DATA_COMMUNITY!$C:$C,AA36,DATA_COMMUNITY!$D:$D,"Sunday")=0,"",SUMIFS(DATA_COMMUNITY!$K:$K,DATA_COMMUNITY!$A:$A,"&gt;="&amp;($B$10-7*$B$11),DATA_COMMUNITY!$A:$A,"&lt;"&amp;$B$10,DATA_COMMUNITY!$C:$C,AA36,DATA_COMMUNITY!$D:$D,"Sunday")/COUNTIFS(DATA_COMMUNITY!$A:$A,"&gt;="&amp;($B$10-7*$B$11),DATA_COMMUNITY!$A:$A,"&lt;"&amp;$B$10,DATA_COMMUNITY!$C:$C,AA36,DATA_COMMUNITY!$D:$D,"Sunday")))</f>
        <v/>
      </c>
      <c r="AI36">
        <f>IF(OR(AE36="",AH36="",AH36=0),"",AE36/AH36-1)</f>
        <v/>
      </c>
      <c r="AJ36">
        <f>IF(AE36="","",SUMIFS(DATA_COMMUNITY!$L:$L,DATA_COMMUNITY!$A:$A,$B$10,DATA_COMMUNITY!$C:$C,AA36,DATA_COMMUNITY!$D:$D,"Sunday"))</f>
        <v/>
      </c>
      <c r="AK36">
        <f>IF(AE36="","",SUMIFS(DATA_COMMUNITY!$O:$O,DATA_COMMUNITY!$A:$A,$B$10,DATA_COMMUNITY!$C:$C,AA36,DATA_COMMUNITY!$D:$D,"Sunday"))</f>
        <v/>
      </c>
      <c r="AL36">
        <f>IF(AA36="","",IF(AE36="","No","Yes"))</f>
        <v/>
      </c>
      <c r="AM36">
        <f>IF(AD36,ROW(),"")</f>
        <v/>
      </c>
      <c r="AN36">
        <f>IF(AND(AD36,AL36="No"),ROW(),"")</f>
        <v/>
      </c>
      <c r="AP36">
        <f>IFERROR(SMALL($AM$3:$AM$62,34),"")</f>
        <v/>
      </c>
      <c r="AQ36">
        <f>IFERROR(SMALL($AN$3:$AN$62,34),"")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IF(B37="",0,COUNTIFS(DATA_COMMUNITY!$A:$A,B37,DATA_COMMUNITY!$E:$E,$B$6,DATA_COMMUNITY!$C:$C,$B$7,DATA_COMMUNITY!$D:$D,"Sunday"))</f>
        <v/>
      </c>
      <c r="G37">
        <f>IF(F37=0,0,SUMIFS(DATA_COMMUNITY!$G:$G,DATA_COMMUNITY!$A:$A,B37,DATA_COMMUNITY!$E:$E,$B$6,DATA_COMMUNITY!$C:$C,$B$7,DATA_COMMUNITY!$D:$D,"Sunday"))</f>
        <v/>
      </c>
      <c r="H37">
        <f>IF(F37=0,0,SUMIFS(DATA_COMMUNITY!$H:$H,DATA_COMMUNITY!$A:$A,B37,DATA_COMMUNITY!$E:$E,$B$6,DATA_COMMUNITY!$C:$C,$B$7,DATA_COMMUNITY!$D:$D,"Sunday"))</f>
        <v/>
      </c>
      <c r="I37">
        <f>IF(F37=0,0,SUMIFS(DATA_COMMUNITY!$J:$J,DATA_COMMUNITY!$A:$A,B37,DATA_COMMUNITY!$E:$E,$B$6,DATA_COMMUNITY!$C:$C,$B$7,DATA_COMMUNITY!$D:$D,"Sunday"))</f>
        <v/>
      </c>
      <c r="J37">
        <f>G37+H37</f>
        <v/>
      </c>
      <c r="K37">
        <f>J37+I37</f>
        <v/>
      </c>
      <c r="L37">
        <f>IF(F37=0,0,SUMIFS(DATA_COMMUNITY!$L:$L,DATA_COMMUNITY!$A:$A,B37,DATA_COMMUNITY!$E:$E,$B$6,DATA_COMMUNITY!$C:$C,$B$7,DATA_COMMUNITY!$D:$D,"Sunday"))</f>
        <v/>
      </c>
      <c r="M37">
        <f>IF(F37=0,0,SUMIFS(DATA_COMMUNITY!$M:$M,DATA_COMMUNITY!$A:$A,B37,DATA_COMMUNITY!$E:$E,$B$6,DATA_COMMUNITY!$C:$C,$B$7,DATA_COMMUNITY!$D:$D,"Sunday"))</f>
        <v/>
      </c>
      <c r="N37">
        <f>IF(F37=0,0,SUMIFS(DATA_COMMUNITY!$N:$N,DATA_COMMUNITY!$A:$A,B37,DATA_COMMUNITY!$E:$E,$B$6,DATA_COMMUNITY!$C:$C,$B$7,DATA_COMMUNITY!$D:$D,"Sunday"))</f>
        <v/>
      </c>
      <c r="O37">
        <f>IF(F37=0,0,SUMIFS(DATA_COMMUNITY!$O:$O,DATA_COMMUNITY!$A:$A,B37,DATA_COMMUNITY!$E:$E,$B$6,DATA_COMMUNITY!$C:$C,$B$7,DATA_COMMUNITY!$D:$D,"Sunday"))</f>
        <v/>
      </c>
      <c r="P37">
        <f>IF(B37="",0,$B$17)</f>
        <v/>
      </c>
      <c r="Q37">
        <f>F37</f>
        <v/>
      </c>
      <c r="R37">
        <f>MAX(0,P37-Q37)</f>
        <v/>
      </c>
      <c r="S37">
        <f>IF(F37&gt;0,1,0)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IFERROR(INDEX(MASTER_COMMUNITY!$A:$A,36)&amp;"","")</f>
        <v/>
      </c>
      <c r="AB37">
        <f>IF(AA37="","",INDEX(MASTER_COMMUNITY!$B:$B,36)&amp;"")</f>
        <v/>
      </c>
      <c r="AC37">
        <f>IF(AA37="","",INDEX(MASTER_COMMUNITY!$C:$C,36)&amp;"")</f>
        <v/>
      </c>
      <c r="AD37">
        <f>AND(AA37&lt;&gt;"",OR($B$6="*",AC37=$B$6),OR($B$7="*",AA37=$B$7))</f>
        <v/>
      </c>
      <c r="AE37">
        <f>IF(OR(AA37="",$B$10=0),"",IF(COUNTIFS(DATA_COMMUNITY!$A:$A,$B$10,DATA_COMMUNITY!$C:$C,AA37,DATA_COMMUNITY!$D:$D,"Sunday")=0,"",SUMIFS(DATA_COMMUNITY!$K:$K,DATA_COMMUNITY!$A:$A,$B$10,DATA_COMMUNITY!$C:$C,AA37,DATA_COMMUNITY!$D:$D,"Sunday")))</f>
        <v/>
      </c>
      <c r="AF37">
        <f>IF(OR(AA37="",$B$10=0),"",IF(COUNTIFS(DATA_COMMUNITY!$A:$A,$B$10-7,DATA_COMMUNITY!$C:$C,AA37,DATA_COMMUNITY!$D:$D,"Sunday")=0,"",SUMIFS(DATA_COMMUNITY!$K:$K,DATA_COMMUNITY!$A:$A,$B$10-7,DATA_COMMUNITY!$C:$C,AA37,DATA_COMMUNITY!$D:$D,"Sunday")))</f>
        <v/>
      </c>
      <c r="AG37">
        <f>IF(OR(AE37="",AF37="",AF37=0),"",AE37/AF37-1)</f>
        <v/>
      </c>
      <c r="AH37">
        <f>IF(OR(AA37="",$B$10=0),"",IF(COUNTIFS(DATA_COMMUNITY!$A:$A,"&gt;="&amp;($B$10-7*$B$11),DATA_COMMUNITY!$A:$A,"&lt;"&amp;$B$10,DATA_COMMUNITY!$C:$C,AA37,DATA_COMMUNITY!$D:$D,"Sunday")=0,"",SUMIFS(DATA_COMMUNITY!$K:$K,DATA_COMMUNITY!$A:$A,"&gt;="&amp;($B$10-7*$B$11),DATA_COMMUNITY!$A:$A,"&lt;"&amp;$B$10,DATA_COMMUNITY!$C:$C,AA37,DATA_COMMUNITY!$D:$D,"Sunday")/COUNTIFS(DATA_COMMUNITY!$A:$A,"&gt;="&amp;($B$10-7*$B$11),DATA_COMMUNITY!$A:$A,"&lt;"&amp;$B$10,DATA_COMMUNITY!$C:$C,AA37,DATA_COMMUNITY!$D:$D,"Sunday")))</f>
        <v/>
      </c>
      <c r="AI37">
        <f>IF(OR(AE37="",AH37="",AH37=0),"",AE37/AH37-1)</f>
        <v/>
      </c>
      <c r="AJ37">
        <f>IF(AE37="","",SUMIFS(DATA_COMMUNITY!$L:$L,DATA_COMMUNITY!$A:$A,$B$10,DATA_COMMUNITY!$C:$C,AA37,DATA_COMMUNITY!$D:$D,"Sunday"))</f>
        <v/>
      </c>
      <c r="AK37">
        <f>IF(AE37="","",SUMIFS(DATA_COMMUNITY!$O:$O,DATA_COMMUNITY!$A:$A,$B$10,DATA_COMMUNITY!$C:$C,AA37,DATA_COMMUNITY!$D:$D,"Sunday"))</f>
        <v/>
      </c>
      <c r="AL37">
        <f>IF(AA37="","",IF(AE37="","No","Yes"))</f>
        <v/>
      </c>
      <c r="AM37">
        <f>IF(AD37,ROW(),"")</f>
        <v/>
      </c>
      <c r="AN37">
        <f>IF(AND(AD37,AL37="No"),ROW(),"")</f>
        <v/>
      </c>
      <c r="AP37">
        <f>IFERROR(SMALL($AM$3:$AM$62,35),"")</f>
        <v/>
      </c>
      <c r="AQ37">
        <f>IFERROR(SMALL($AN$3:$AN$62,35),"")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IF(B38="",0,COUNTIFS(DATA_COMMUNITY!$A:$A,B38,DATA_COMMUNITY!$E:$E,$B$6,DATA_COMMUNITY!$C:$C,$B$7,DATA_COMMUNITY!$D:$D,"Sunday"))</f>
        <v/>
      </c>
      <c r="G38">
        <f>IF(F38=0,0,SUMIFS(DATA_COMMUNITY!$G:$G,DATA_COMMUNITY!$A:$A,B38,DATA_COMMUNITY!$E:$E,$B$6,DATA_COMMUNITY!$C:$C,$B$7,DATA_COMMUNITY!$D:$D,"Sunday"))</f>
        <v/>
      </c>
      <c r="H38">
        <f>IF(F38=0,0,SUMIFS(DATA_COMMUNITY!$H:$H,DATA_COMMUNITY!$A:$A,B38,DATA_COMMUNITY!$E:$E,$B$6,DATA_COMMUNITY!$C:$C,$B$7,DATA_COMMUNITY!$D:$D,"Sunday"))</f>
        <v/>
      </c>
      <c r="I38">
        <f>IF(F38=0,0,SUMIFS(DATA_COMMUNITY!$J:$J,DATA_COMMUNITY!$A:$A,B38,DATA_COMMUNITY!$E:$E,$B$6,DATA_COMMUNITY!$C:$C,$B$7,DATA_COMMUNITY!$D:$D,"Sunday"))</f>
        <v/>
      </c>
      <c r="J38">
        <f>G38+H38</f>
        <v/>
      </c>
      <c r="K38">
        <f>J38+I38</f>
        <v/>
      </c>
      <c r="L38">
        <f>IF(F38=0,0,SUMIFS(DATA_COMMUNITY!$L:$L,DATA_COMMUNITY!$A:$A,B38,DATA_COMMUNITY!$E:$E,$B$6,DATA_COMMUNITY!$C:$C,$B$7,DATA_COMMUNITY!$D:$D,"Sunday"))</f>
        <v/>
      </c>
      <c r="M38">
        <f>IF(F38=0,0,SUMIFS(DATA_COMMUNITY!$M:$M,DATA_COMMUNITY!$A:$A,B38,DATA_COMMUNITY!$E:$E,$B$6,DATA_COMMUNITY!$C:$C,$B$7,DATA_COMMUNITY!$D:$D,"Sunday"))</f>
        <v/>
      </c>
      <c r="N38">
        <f>IF(F38=0,0,SUMIFS(DATA_COMMUNITY!$N:$N,DATA_COMMUNITY!$A:$A,B38,DATA_COMMUNITY!$E:$E,$B$6,DATA_COMMUNITY!$C:$C,$B$7,DATA_COMMUNITY!$D:$D,"Sunday"))</f>
        <v/>
      </c>
      <c r="O38">
        <f>IF(F38=0,0,SUMIFS(DATA_COMMUNITY!$O:$O,DATA_COMMUNITY!$A:$A,B38,DATA_COMMUNITY!$E:$E,$B$6,DATA_COMMUNITY!$C:$C,$B$7,DATA_COMMUNITY!$D:$D,"Sunday"))</f>
        <v/>
      </c>
      <c r="P38">
        <f>IF(B38="",0,$B$17)</f>
        <v/>
      </c>
      <c r="Q38">
        <f>F38</f>
        <v/>
      </c>
      <c r="R38">
        <f>MAX(0,P38-Q38)</f>
        <v/>
      </c>
      <c r="S38">
        <f>IF(F38&gt;0,1,0)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IFERROR(INDEX(MASTER_COMMUNITY!$A:$A,37)&amp;"","")</f>
        <v/>
      </c>
      <c r="AB38">
        <f>IF(AA38="","",INDEX(MASTER_COMMUNITY!$B:$B,37)&amp;"")</f>
        <v/>
      </c>
      <c r="AC38">
        <f>IF(AA38="","",INDEX(MASTER_COMMUNITY!$C:$C,37)&amp;"")</f>
        <v/>
      </c>
      <c r="AD38">
        <f>AND(AA38&lt;&gt;"",OR($B$6="*",AC38=$B$6),OR($B$7="*",AA38=$B$7))</f>
        <v/>
      </c>
      <c r="AE38">
        <f>IF(OR(AA38="",$B$10=0),"",IF(COUNTIFS(DATA_COMMUNITY!$A:$A,$B$10,DATA_COMMUNITY!$C:$C,AA38,DATA_COMMUNITY!$D:$D,"Sunday")=0,"",SUMIFS(DATA_COMMUNITY!$K:$K,DATA_COMMUNITY!$A:$A,$B$10,DATA_COMMUNITY!$C:$C,AA38,DATA_COMMUNITY!$D:$D,"Sunday")))</f>
        <v/>
      </c>
      <c r="AF38">
        <f>IF(OR(AA38="",$B$10=0),"",IF(COUNTIFS(DATA_COMMUNITY!$A:$A,$B$10-7,DATA_COMMUNITY!$C:$C,AA38,DATA_COMMUNITY!$D:$D,"Sunday")=0,"",SUMIFS(DATA_COMMUNITY!$K:$K,DATA_COMMUNITY!$A:$A,$B$10-7,DATA_COMMUNITY!$C:$C,AA38,DATA_COMMUNITY!$D:$D,"Sunday")))</f>
        <v/>
      </c>
      <c r="AG38">
        <f>IF(OR(AE38="",AF38="",AF38=0),"",AE38/AF38-1)</f>
        <v/>
      </c>
      <c r="AH38">
        <f>IF(OR(AA38="",$B$10=0),"",IF(COUNTIFS(DATA_COMMUNITY!$A:$A,"&gt;="&amp;($B$10-7*$B$11),DATA_COMMUNITY!$A:$A,"&lt;"&amp;$B$10,DATA_COMMUNITY!$C:$C,AA38,DATA_COMMUNITY!$D:$D,"Sunday")=0,"",SUMIFS(DATA_COMMUNITY!$K:$K,DATA_COMMUNITY!$A:$A,"&gt;="&amp;($B$10-7*$B$11),DATA_COMMUNITY!$A:$A,"&lt;"&amp;$B$10,DATA_COMMUNITY!$C:$C,AA38,DATA_COMMUNITY!$D:$D,"Sunday")/COUNTIFS(DATA_COMMUNITY!$A:$A,"&gt;="&amp;($B$10-7*$B$11),DATA_COMMUNITY!$A:$A,"&lt;"&amp;$B$10,DATA_COMMUNITY!$C:$C,AA38,DATA_COMMUNITY!$D:$D,"Sunday")))</f>
        <v/>
      </c>
      <c r="AI38">
        <f>IF(OR(AE38="",AH38="",AH38=0),"",AE38/AH38-1)</f>
        <v/>
      </c>
      <c r="AJ38">
        <f>IF(AE38="","",SUMIFS(DATA_COMMUNITY!$L:$L,DATA_COMMUNITY!$A:$A,$B$10,DATA_COMMUNITY!$C:$C,AA38,DATA_COMMUNITY!$D:$D,"Sunday"))</f>
        <v/>
      </c>
      <c r="AK38">
        <f>IF(AE38="","",SUMIFS(DATA_COMMUNITY!$O:$O,DATA_COMMUNITY!$A:$A,$B$10,DATA_COMMUNITY!$C:$C,AA38,DATA_COMMUNITY!$D:$D,"Sunday"))</f>
        <v/>
      </c>
      <c r="AL38">
        <f>IF(AA38="","",IF(AE38="","No","Yes"))</f>
        <v/>
      </c>
      <c r="AM38">
        <f>IF(AD38,ROW(),"")</f>
        <v/>
      </c>
      <c r="AN38">
        <f>IF(AND(AD38,AL38="No"),ROW(),"")</f>
        <v/>
      </c>
      <c r="AP38">
        <f>IFERROR(SMALL($AM$3:$AM$62,36),"")</f>
        <v/>
      </c>
      <c r="AQ38">
        <f>IFERROR(SMALL($AN$3:$AN$62,36),"")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IF(B39="",0,COUNTIFS(DATA_COMMUNITY!$A:$A,B39,DATA_COMMUNITY!$E:$E,$B$6,DATA_COMMUNITY!$C:$C,$B$7,DATA_COMMUNITY!$D:$D,"Sunday"))</f>
        <v/>
      </c>
      <c r="G39">
        <f>IF(F39=0,0,SUMIFS(DATA_COMMUNITY!$G:$G,DATA_COMMUNITY!$A:$A,B39,DATA_COMMUNITY!$E:$E,$B$6,DATA_COMMUNITY!$C:$C,$B$7,DATA_COMMUNITY!$D:$D,"Sunday"))</f>
        <v/>
      </c>
      <c r="H39">
        <f>IF(F39=0,0,SUMIFS(DATA_COMMUNITY!$H:$H,DATA_COMMUNITY!$A:$A,B39,DATA_COMMUNITY!$E:$E,$B$6,DATA_COMMUNITY!$C:$C,$B$7,DATA_COMMUNITY!$D:$D,"Sunday"))</f>
        <v/>
      </c>
      <c r="I39">
        <f>IF(F39=0,0,SUMIFS(DATA_COMMUNITY!$J:$J,DATA_COMMUNITY!$A:$A,B39,DATA_COMMUNITY!$E:$E,$B$6,DATA_COMMUNITY!$C:$C,$B$7,DATA_COMMUNITY!$D:$D,"Sunday"))</f>
        <v/>
      </c>
      <c r="J39">
        <f>G39+H39</f>
        <v/>
      </c>
      <c r="K39">
        <f>J39+I39</f>
        <v/>
      </c>
      <c r="L39">
        <f>IF(F39=0,0,SUMIFS(DATA_COMMUNITY!$L:$L,DATA_COMMUNITY!$A:$A,B39,DATA_COMMUNITY!$E:$E,$B$6,DATA_COMMUNITY!$C:$C,$B$7,DATA_COMMUNITY!$D:$D,"Sunday"))</f>
        <v/>
      </c>
      <c r="M39">
        <f>IF(F39=0,0,SUMIFS(DATA_COMMUNITY!$M:$M,DATA_COMMUNITY!$A:$A,B39,DATA_COMMUNITY!$E:$E,$B$6,DATA_COMMUNITY!$C:$C,$B$7,DATA_COMMUNITY!$D:$D,"Sunday"))</f>
        <v/>
      </c>
      <c r="N39">
        <f>IF(F39=0,0,SUMIFS(DATA_COMMUNITY!$N:$N,DATA_COMMUNITY!$A:$A,B39,DATA_COMMUNITY!$E:$E,$B$6,DATA_COMMUNITY!$C:$C,$B$7,DATA_COMMUNITY!$D:$D,"Sunday"))</f>
        <v/>
      </c>
      <c r="O39">
        <f>IF(F39=0,0,SUMIFS(DATA_COMMUNITY!$O:$O,DATA_COMMUNITY!$A:$A,B39,DATA_COMMUNITY!$E:$E,$B$6,DATA_COMMUNITY!$C:$C,$B$7,DATA_COMMUNITY!$D:$D,"Sunday"))</f>
        <v/>
      </c>
      <c r="P39">
        <f>IF(B39="",0,$B$17)</f>
        <v/>
      </c>
      <c r="Q39">
        <f>F39</f>
        <v/>
      </c>
      <c r="R39">
        <f>MAX(0,P39-Q39)</f>
        <v/>
      </c>
      <c r="S39">
        <f>IF(F39&gt;0,1,0)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IFERROR(INDEX(MASTER_COMMUNITY!$A:$A,38)&amp;"","")</f>
        <v/>
      </c>
      <c r="AB39">
        <f>IF(AA39="","",INDEX(MASTER_COMMUNITY!$B:$B,38)&amp;"")</f>
        <v/>
      </c>
      <c r="AC39">
        <f>IF(AA39="","",INDEX(MASTER_COMMUNITY!$C:$C,38)&amp;"")</f>
        <v/>
      </c>
      <c r="AD39">
        <f>AND(AA39&lt;&gt;"",OR($B$6="*",AC39=$B$6),OR($B$7="*",AA39=$B$7))</f>
        <v/>
      </c>
      <c r="AE39">
        <f>IF(OR(AA39="",$B$10=0),"",IF(COUNTIFS(DATA_COMMUNITY!$A:$A,$B$10,DATA_COMMUNITY!$C:$C,AA39,DATA_COMMUNITY!$D:$D,"Sunday")=0,"",SUMIFS(DATA_COMMUNITY!$K:$K,DATA_COMMUNITY!$A:$A,$B$10,DATA_COMMUNITY!$C:$C,AA39,DATA_COMMUNITY!$D:$D,"Sunday")))</f>
        <v/>
      </c>
      <c r="AF39">
        <f>IF(OR(AA39="",$B$10=0),"",IF(COUNTIFS(DATA_COMMUNITY!$A:$A,$B$10-7,DATA_COMMUNITY!$C:$C,AA39,DATA_COMMUNITY!$D:$D,"Sunday")=0,"",SUMIFS(DATA_COMMUNITY!$K:$K,DATA_COMMUNITY!$A:$A,$B$10-7,DATA_COMMUNITY!$C:$C,AA39,DATA_COMMUNITY!$D:$D,"Sunday")))</f>
        <v/>
      </c>
      <c r="AG39">
        <f>IF(OR(AE39="",AF39="",AF39=0),"",AE39/AF39-1)</f>
        <v/>
      </c>
      <c r="AH39">
        <f>IF(OR(AA39="",$B$10=0),"",IF(COUNTIFS(DATA_COMMUNITY!$A:$A,"&gt;="&amp;($B$10-7*$B$11),DATA_COMMUNITY!$A:$A,"&lt;"&amp;$B$10,DATA_COMMUNITY!$C:$C,AA39,DATA_COMMUNITY!$D:$D,"Sunday")=0,"",SUMIFS(DATA_COMMUNITY!$K:$K,DATA_COMMUNITY!$A:$A,"&gt;="&amp;($B$10-7*$B$11),DATA_COMMUNITY!$A:$A,"&lt;"&amp;$B$10,DATA_COMMUNITY!$C:$C,AA39,DATA_COMMUNITY!$D:$D,"Sunday")/COUNTIFS(DATA_COMMUNITY!$A:$A,"&gt;="&amp;($B$10-7*$B$11),DATA_COMMUNITY!$A:$A,"&lt;"&amp;$B$10,DATA_COMMUNITY!$C:$C,AA39,DATA_COMMUNITY!$D:$D,"Sunday")))</f>
        <v/>
      </c>
      <c r="AI39">
        <f>IF(OR(AE39="",AH39="",AH39=0),"",AE39/AH39-1)</f>
        <v/>
      </c>
      <c r="AJ39">
        <f>IF(AE39="","",SUMIFS(DATA_COMMUNITY!$L:$L,DATA_COMMUNITY!$A:$A,$B$10,DATA_COMMUNITY!$C:$C,AA39,DATA_COMMUNITY!$D:$D,"Sunday"))</f>
        <v/>
      </c>
      <c r="AK39">
        <f>IF(AE39="","",SUMIFS(DATA_COMMUNITY!$O:$O,DATA_COMMUNITY!$A:$A,$B$10,DATA_COMMUNITY!$C:$C,AA39,DATA_COMMUNITY!$D:$D,"Sunday"))</f>
        <v/>
      </c>
      <c r="AL39">
        <f>IF(AA39="","",IF(AE39="","No","Yes"))</f>
        <v/>
      </c>
      <c r="AM39">
        <f>IF(AD39,ROW(),"")</f>
        <v/>
      </c>
      <c r="AN39">
        <f>IF(AND(AD39,AL39="No"),ROW(),"")</f>
        <v/>
      </c>
      <c r="AP39">
        <f>IFERROR(SMALL($AM$3:$AM$62,37),"")</f>
        <v/>
      </c>
      <c r="AQ39">
        <f>IFERROR(SMALL($AN$3:$AN$62,37),"")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IF(B40="",0,COUNTIFS(DATA_COMMUNITY!$A:$A,B40,DATA_COMMUNITY!$E:$E,$B$6,DATA_COMMUNITY!$C:$C,$B$7,DATA_COMMUNITY!$D:$D,"Sunday"))</f>
        <v/>
      </c>
      <c r="G40">
        <f>IF(F40=0,0,SUMIFS(DATA_COMMUNITY!$G:$G,DATA_COMMUNITY!$A:$A,B40,DATA_COMMUNITY!$E:$E,$B$6,DATA_COMMUNITY!$C:$C,$B$7,DATA_COMMUNITY!$D:$D,"Sunday"))</f>
        <v/>
      </c>
      <c r="H40">
        <f>IF(F40=0,0,SUMIFS(DATA_COMMUNITY!$H:$H,DATA_COMMUNITY!$A:$A,B40,DATA_COMMUNITY!$E:$E,$B$6,DATA_COMMUNITY!$C:$C,$B$7,DATA_COMMUNITY!$D:$D,"Sunday"))</f>
        <v/>
      </c>
      <c r="I40">
        <f>IF(F40=0,0,SUMIFS(DATA_COMMUNITY!$J:$J,DATA_COMMUNITY!$A:$A,B40,DATA_COMMUNITY!$E:$E,$B$6,DATA_COMMUNITY!$C:$C,$B$7,DATA_COMMUNITY!$D:$D,"Sunday"))</f>
        <v/>
      </c>
      <c r="J40">
        <f>G40+H40</f>
        <v/>
      </c>
      <c r="K40">
        <f>J40+I40</f>
        <v/>
      </c>
      <c r="L40">
        <f>IF(F40=0,0,SUMIFS(DATA_COMMUNITY!$L:$L,DATA_COMMUNITY!$A:$A,B40,DATA_COMMUNITY!$E:$E,$B$6,DATA_COMMUNITY!$C:$C,$B$7,DATA_COMMUNITY!$D:$D,"Sunday"))</f>
        <v/>
      </c>
      <c r="M40">
        <f>IF(F40=0,0,SUMIFS(DATA_COMMUNITY!$M:$M,DATA_COMMUNITY!$A:$A,B40,DATA_COMMUNITY!$E:$E,$B$6,DATA_COMMUNITY!$C:$C,$B$7,DATA_COMMUNITY!$D:$D,"Sunday"))</f>
        <v/>
      </c>
      <c r="N40">
        <f>IF(F40=0,0,SUMIFS(DATA_COMMUNITY!$N:$N,DATA_COMMUNITY!$A:$A,B40,DATA_COMMUNITY!$E:$E,$B$6,DATA_COMMUNITY!$C:$C,$B$7,DATA_COMMUNITY!$D:$D,"Sunday"))</f>
        <v/>
      </c>
      <c r="O40">
        <f>IF(F40=0,0,SUMIFS(DATA_COMMUNITY!$O:$O,DATA_COMMUNITY!$A:$A,B40,DATA_COMMUNITY!$E:$E,$B$6,DATA_COMMUNITY!$C:$C,$B$7,DATA_COMMUNITY!$D:$D,"Sunday"))</f>
        <v/>
      </c>
      <c r="P40">
        <f>IF(B40="",0,$B$17)</f>
        <v/>
      </c>
      <c r="Q40">
        <f>F40</f>
        <v/>
      </c>
      <c r="R40">
        <f>MAX(0,P40-Q40)</f>
        <v/>
      </c>
      <c r="S40">
        <f>IF(F40&gt;0,1,0)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IFERROR(INDEX(MASTER_COMMUNITY!$A:$A,39)&amp;"","")</f>
        <v/>
      </c>
      <c r="AB40">
        <f>IF(AA40="","",INDEX(MASTER_COMMUNITY!$B:$B,39)&amp;"")</f>
        <v/>
      </c>
      <c r="AC40">
        <f>IF(AA40="","",INDEX(MASTER_COMMUNITY!$C:$C,39)&amp;"")</f>
        <v/>
      </c>
      <c r="AD40">
        <f>AND(AA40&lt;&gt;"",OR($B$6="*",AC40=$B$6),OR($B$7="*",AA40=$B$7))</f>
        <v/>
      </c>
      <c r="AE40">
        <f>IF(OR(AA40="",$B$10=0),"",IF(COUNTIFS(DATA_COMMUNITY!$A:$A,$B$10,DATA_COMMUNITY!$C:$C,AA40,DATA_COMMUNITY!$D:$D,"Sunday")=0,"",SUMIFS(DATA_COMMUNITY!$K:$K,DATA_COMMUNITY!$A:$A,$B$10,DATA_COMMUNITY!$C:$C,AA40,DATA_COMMUNITY!$D:$D,"Sunday")))</f>
        <v/>
      </c>
      <c r="AF40">
        <f>IF(OR(AA40="",$B$10=0),"",IF(COUNTIFS(DATA_COMMUNITY!$A:$A,$B$10-7,DATA_COMMUNITY!$C:$C,AA40,DATA_COMMUNITY!$D:$D,"Sunday")=0,"",SUMIFS(DATA_COMMUNITY!$K:$K,DATA_COMMUNITY!$A:$A,$B$10-7,DATA_COMMUNITY!$C:$C,AA40,DATA_COMMUNITY!$D:$D,"Sunday")))</f>
        <v/>
      </c>
      <c r="AG40">
        <f>IF(OR(AE40="",AF40="",AF40=0),"",AE40/AF40-1)</f>
        <v/>
      </c>
      <c r="AH40">
        <f>IF(OR(AA40="",$B$10=0),"",IF(COUNTIFS(DATA_COMMUNITY!$A:$A,"&gt;="&amp;($B$10-7*$B$11),DATA_COMMUNITY!$A:$A,"&lt;"&amp;$B$10,DATA_COMMUNITY!$C:$C,AA40,DATA_COMMUNITY!$D:$D,"Sunday")=0,"",SUMIFS(DATA_COMMUNITY!$K:$K,DATA_COMMUNITY!$A:$A,"&gt;="&amp;($B$10-7*$B$11),DATA_COMMUNITY!$A:$A,"&lt;"&amp;$B$10,DATA_COMMUNITY!$C:$C,AA40,DATA_COMMUNITY!$D:$D,"Sunday")/COUNTIFS(DATA_COMMUNITY!$A:$A,"&gt;="&amp;($B$10-7*$B$11),DATA_COMMUNITY!$A:$A,"&lt;"&amp;$B$10,DATA_COMMUNITY!$C:$C,AA40,DATA_COMMUNITY!$D:$D,"Sunday")))</f>
        <v/>
      </c>
      <c r="AI40">
        <f>IF(OR(AE40="",AH40="",AH40=0),"",AE40/AH40-1)</f>
        <v/>
      </c>
      <c r="AJ40">
        <f>IF(AE40="","",SUMIFS(DATA_COMMUNITY!$L:$L,DATA_COMMUNITY!$A:$A,$B$10,DATA_COMMUNITY!$C:$C,AA40,DATA_COMMUNITY!$D:$D,"Sunday"))</f>
        <v/>
      </c>
      <c r="AK40">
        <f>IF(AE40="","",SUMIFS(DATA_COMMUNITY!$O:$O,DATA_COMMUNITY!$A:$A,$B$10,DATA_COMMUNITY!$C:$C,AA40,DATA_COMMUNITY!$D:$D,"Sunday"))</f>
        <v/>
      </c>
      <c r="AL40">
        <f>IF(AA40="","",IF(AE40="","No","Yes"))</f>
        <v/>
      </c>
      <c r="AM40">
        <f>IF(AD40,ROW(),"")</f>
        <v/>
      </c>
      <c r="AN40">
        <f>IF(AND(AD40,AL40="No"),ROW(),"")</f>
        <v/>
      </c>
      <c r="AP40">
        <f>IFERROR(SMALL($AM$3:$AM$62,38),"")</f>
        <v/>
      </c>
      <c r="AQ40">
        <f>IFERROR(SMALL($AN$3:$AN$62,38),"")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IF(B41="",0,COUNTIFS(DATA_COMMUNITY!$A:$A,B41,DATA_COMMUNITY!$E:$E,$B$6,DATA_COMMUNITY!$C:$C,$B$7,DATA_COMMUNITY!$D:$D,"Sunday"))</f>
        <v/>
      </c>
      <c r="G41">
        <f>IF(F41=0,0,SUMIFS(DATA_COMMUNITY!$G:$G,DATA_COMMUNITY!$A:$A,B41,DATA_COMMUNITY!$E:$E,$B$6,DATA_COMMUNITY!$C:$C,$B$7,DATA_COMMUNITY!$D:$D,"Sunday"))</f>
        <v/>
      </c>
      <c r="H41">
        <f>IF(F41=0,0,SUMIFS(DATA_COMMUNITY!$H:$H,DATA_COMMUNITY!$A:$A,B41,DATA_COMMUNITY!$E:$E,$B$6,DATA_COMMUNITY!$C:$C,$B$7,DATA_COMMUNITY!$D:$D,"Sunday"))</f>
        <v/>
      </c>
      <c r="I41">
        <f>IF(F41=0,0,SUMIFS(DATA_COMMUNITY!$J:$J,DATA_COMMUNITY!$A:$A,B41,DATA_COMMUNITY!$E:$E,$B$6,DATA_COMMUNITY!$C:$C,$B$7,DATA_COMMUNITY!$D:$D,"Sunday"))</f>
        <v/>
      </c>
      <c r="J41">
        <f>G41+H41</f>
        <v/>
      </c>
      <c r="K41">
        <f>J41+I41</f>
        <v/>
      </c>
      <c r="L41">
        <f>IF(F41=0,0,SUMIFS(DATA_COMMUNITY!$L:$L,DATA_COMMUNITY!$A:$A,B41,DATA_COMMUNITY!$E:$E,$B$6,DATA_COMMUNITY!$C:$C,$B$7,DATA_COMMUNITY!$D:$D,"Sunday"))</f>
        <v/>
      </c>
      <c r="M41">
        <f>IF(F41=0,0,SUMIFS(DATA_COMMUNITY!$M:$M,DATA_COMMUNITY!$A:$A,B41,DATA_COMMUNITY!$E:$E,$B$6,DATA_COMMUNITY!$C:$C,$B$7,DATA_COMMUNITY!$D:$D,"Sunday"))</f>
        <v/>
      </c>
      <c r="N41">
        <f>IF(F41=0,0,SUMIFS(DATA_COMMUNITY!$N:$N,DATA_COMMUNITY!$A:$A,B41,DATA_COMMUNITY!$E:$E,$B$6,DATA_COMMUNITY!$C:$C,$B$7,DATA_COMMUNITY!$D:$D,"Sunday"))</f>
        <v/>
      </c>
      <c r="O41">
        <f>IF(F41=0,0,SUMIFS(DATA_COMMUNITY!$O:$O,DATA_COMMUNITY!$A:$A,B41,DATA_COMMUNITY!$E:$E,$B$6,DATA_COMMUNITY!$C:$C,$B$7,DATA_COMMUNITY!$D:$D,"Sunday"))</f>
        <v/>
      </c>
      <c r="P41">
        <f>IF(B41="",0,$B$17)</f>
        <v/>
      </c>
      <c r="Q41">
        <f>F41</f>
        <v/>
      </c>
      <c r="R41">
        <f>MAX(0,P41-Q41)</f>
        <v/>
      </c>
      <c r="S41">
        <f>IF(F41&gt;0,1,0)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IFERROR(INDEX(MASTER_COMMUNITY!$A:$A,40)&amp;"","")</f>
        <v/>
      </c>
      <c r="AB41">
        <f>IF(AA41="","",INDEX(MASTER_COMMUNITY!$B:$B,40)&amp;"")</f>
        <v/>
      </c>
      <c r="AC41">
        <f>IF(AA41="","",INDEX(MASTER_COMMUNITY!$C:$C,40)&amp;"")</f>
        <v/>
      </c>
      <c r="AD41">
        <f>AND(AA41&lt;&gt;"",OR($B$6="*",AC41=$B$6),OR($B$7="*",AA41=$B$7))</f>
        <v/>
      </c>
      <c r="AE41">
        <f>IF(OR(AA41="",$B$10=0),"",IF(COUNTIFS(DATA_COMMUNITY!$A:$A,$B$10,DATA_COMMUNITY!$C:$C,AA41,DATA_COMMUNITY!$D:$D,"Sunday")=0,"",SUMIFS(DATA_COMMUNITY!$K:$K,DATA_COMMUNITY!$A:$A,$B$10,DATA_COMMUNITY!$C:$C,AA41,DATA_COMMUNITY!$D:$D,"Sunday")))</f>
        <v/>
      </c>
      <c r="AF41">
        <f>IF(OR(AA41="",$B$10=0),"",IF(COUNTIFS(DATA_COMMUNITY!$A:$A,$B$10-7,DATA_COMMUNITY!$C:$C,AA41,DATA_COMMUNITY!$D:$D,"Sunday")=0,"",SUMIFS(DATA_COMMUNITY!$K:$K,DATA_COMMUNITY!$A:$A,$B$10-7,DATA_COMMUNITY!$C:$C,AA41,DATA_COMMUNITY!$D:$D,"Sunday")))</f>
        <v/>
      </c>
      <c r="AG41">
        <f>IF(OR(AE41="",AF41="",AF41=0),"",AE41/AF41-1)</f>
        <v/>
      </c>
      <c r="AH41">
        <f>IF(OR(AA41="",$B$10=0),"",IF(COUNTIFS(DATA_COMMUNITY!$A:$A,"&gt;="&amp;($B$10-7*$B$11),DATA_COMMUNITY!$A:$A,"&lt;"&amp;$B$10,DATA_COMMUNITY!$C:$C,AA41,DATA_COMMUNITY!$D:$D,"Sunday")=0,"",SUMIFS(DATA_COMMUNITY!$K:$K,DATA_COMMUNITY!$A:$A,"&gt;="&amp;($B$10-7*$B$11),DATA_COMMUNITY!$A:$A,"&lt;"&amp;$B$10,DATA_COMMUNITY!$C:$C,AA41,DATA_COMMUNITY!$D:$D,"Sunday")/COUNTIFS(DATA_COMMUNITY!$A:$A,"&gt;="&amp;($B$10-7*$B$11),DATA_COMMUNITY!$A:$A,"&lt;"&amp;$B$10,DATA_COMMUNITY!$C:$C,AA41,DATA_COMMUNITY!$D:$D,"Sunday")))</f>
        <v/>
      </c>
      <c r="AI41">
        <f>IF(OR(AE41="",AH41="",AH41=0),"",AE41/AH41-1)</f>
        <v/>
      </c>
      <c r="AJ41">
        <f>IF(AE41="","",SUMIFS(DATA_COMMUNITY!$L:$L,DATA_COMMUNITY!$A:$A,$B$10,DATA_COMMUNITY!$C:$C,AA41,DATA_COMMUNITY!$D:$D,"Sunday"))</f>
        <v/>
      </c>
      <c r="AK41">
        <f>IF(AE41="","",SUMIFS(DATA_COMMUNITY!$O:$O,DATA_COMMUNITY!$A:$A,$B$10,DATA_COMMUNITY!$C:$C,AA41,DATA_COMMUNITY!$D:$D,"Sunday"))</f>
        <v/>
      </c>
      <c r="AL41">
        <f>IF(AA41="","",IF(AE41="","No","Yes"))</f>
        <v/>
      </c>
      <c r="AM41">
        <f>IF(AD41,ROW(),"")</f>
        <v/>
      </c>
      <c r="AN41">
        <f>IF(AND(AD41,AL41="No"),ROW(),"")</f>
        <v/>
      </c>
      <c r="AP41">
        <f>IFERROR(SMALL($AM$3:$AM$62,39),"")</f>
        <v/>
      </c>
      <c r="AQ41">
        <f>IFERROR(SMALL($AN$3:$AN$62,39),"")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IF(B42="",0,COUNTIFS(DATA_COMMUNITY!$A:$A,B42,DATA_COMMUNITY!$E:$E,$B$6,DATA_COMMUNITY!$C:$C,$B$7,DATA_COMMUNITY!$D:$D,"Sunday"))</f>
        <v/>
      </c>
      <c r="G42">
        <f>IF(F42=0,0,SUMIFS(DATA_COMMUNITY!$G:$G,DATA_COMMUNITY!$A:$A,B42,DATA_COMMUNITY!$E:$E,$B$6,DATA_COMMUNITY!$C:$C,$B$7,DATA_COMMUNITY!$D:$D,"Sunday"))</f>
        <v/>
      </c>
      <c r="H42">
        <f>IF(F42=0,0,SUMIFS(DATA_COMMUNITY!$H:$H,DATA_COMMUNITY!$A:$A,B42,DATA_COMMUNITY!$E:$E,$B$6,DATA_COMMUNITY!$C:$C,$B$7,DATA_COMMUNITY!$D:$D,"Sunday"))</f>
        <v/>
      </c>
      <c r="I42">
        <f>IF(F42=0,0,SUMIFS(DATA_COMMUNITY!$J:$J,DATA_COMMUNITY!$A:$A,B42,DATA_COMMUNITY!$E:$E,$B$6,DATA_COMMUNITY!$C:$C,$B$7,DATA_COMMUNITY!$D:$D,"Sunday"))</f>
        <v/>
      </c>
      <c r="J42">
        <f>G42+H42</f>
        <v/>
      </c>
      <c r="K42">
        <f>J42+I42</f>
        <v/>
      </c>
      <c r="L42">
        <f>IF(F42=0,0,SUMIFS(DATA_COMMUNITY!$L:$L,DATA_COMMUNITY!$A:$A,B42,DATA_COMMUNITY!$E:$E,$B$6,DATA_COMMUNITY!$C:$C,$B$7,DATA_COMMUNITY!$D:$D,"Sunday"))</f>
        <v/>
      </c>
      <c r="M42">
        <f>IF(F42=0,0,SUMIFS(DATA_COMMUNITY!$M:$M,DATA_COMMUNITY!$A:$A,B42,DATA_COMMUNITY!$E:$E,$B$6,DATA_COMMUNITY!$C:$C,$B$7,DATA_COMMUNITY!$D:$D,"Sunday"))</f>
        <v/>
      </c>
      <c r="N42">
        <f>IF(F42=0,0,SUMIFS(DATA_COMMUNITY!$N:$N,DATA_COMMUNITY!$A:$A,B42,DATA_COMMUNITY!$E:$E,$B$6,DATA_COMMUNITY!$C:$C,$B$7,DATA_COMMUNITY!$D:$D,"Sunday"))</f>
        <v/>
      </c>
      <c r="O42">
        <f>IF(F42=0,0,SUMIFS(DATA_COMMUNITY!$O:$O,DATA_COMMUNITY!$A:$A,B42,DATA_COMMUNITY!$E:$E,$B$6,DATA_COMMUNITY!$C:$C,$B$7,DATA_COMMUNITY!$D:$D,"Sunday"))</f>
        <v/>
      </c>
      <c r="P42">
        <f>IF(B42="",0,$B$17)</f>
        <v/>
      </c>
      <c r="Q42">
        <f>F42</f>
        <v/>
      </c>
      <c r="R42">
        <f>MAX(0,P42-Q42)</f>
        <v/>
      </c>
      <c r="S42">
        <f>IF(F42&gt;0,1,0)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IFERROR(INDEX(MASTER_COMMUNITY!$A:$A,41)&amp;"","")</f>
        <v/>
      </c>
      <c r="AB42">
        <f>IF(AA42="","",INDEX(MASTER_COMMUNITY!$B:$B,41)&amp;"")</f>
        <v/>
      </c>
      <c r="AC42">
        <f>IF(AA42="","",INDEX(MASTER_COMMUNITY!$C:$C,41)&amp;"")</f>
        <v/>
      </c>
      <c r="AD42">
        <f>AND(AA42&lt;&gt;"",OR($B$6="*",AC42=$B$6),OR($B$7="*",AA42=$B$7))</f>
        <v/>
      </c>
      <c r="AE42">
        <f>IF(OR(AA42="",$B$10=0),"",IF(COUNTIFS(DATA_COMMUNITY!$A:$A,$B$10,DATA_COMMUNITY!$C:$C,AA42,DATA_COMMUNITY!$D:$D,"Sunday")=0,"",SUMIFS(DATA_COMMUNITY!$K:$K,DATA_COMMUNITY!$A:$A,$B$10,DATA_COMMUNITY!$C:$C,AA42,DATA_COMMUNITY!$D:$D,"Sunday")))</f>
        <v/>
      </c>
      <c r="AF42">
        <f>IF(OR(AA42="",$B$10=0),"",IF(COUNTIFS(DATA_COMMUNITY!$A:$A,$B$10-7,DATA_COMMUNITY!$C:$C,AA42,DATA_COMMUNITY!$D:$D,"Sunday")=0,"",SUMIFS(DATA_COMMUNITY!$K:$K,DATA_COMMUNITY!$A:$A,$B$10-7,DATA_COMMUNITY!$C:$C,AA42,DATA_COMMUNITY!$D:$D,"Sunday")))</f>
        <v/>
      </c>
      <c r="AG42">
        <f>IF(OR(AE42="",AF42="",AF42=0),"",AE42/AF42-1)</f>
        <v/>
      </c>
      <c r="AH42">
        <f>IF(OR(AA42="",$B$10=0),"",IF(COUNTIFS(DATA_COMMUNITY!$A:$A,"&gt;="&amp;($B$10-7*$B$11),DATA_COMMUNITY!$A:$A,"&lt;"&amp;$B$10,DATA_COMMUNITY!$C:$C,AA42,DATA_COMMUNITY!$D:$D,"Sunday")=0,"",SUMIFS(DATA_COMMUNITY!$K:$K,DATA_COMMUNITY!$A:$A,"&gt;="&amp;($B$10-7*$B$11),DATA_COMMUNITY!$A:$A,"&lt;"&amp;$B$10,DATA_COMMUNITY!$C:$C,AA42,DATA_COMMUNITY!$D:$D,"Sunday")/COUNTIFS(DATA_COMMUNITY!$A:$A,"&gt;="&amp;($B$10-7*$B$11),DATA_COMMUNITY!$A:$A,"&lt;"&amp;$B$10,DATA_COMMUNITY!$C:$C,AA42,DATA_COMMUNITY!$D:$D,"Sunday")))</f>
        <v/>
      </c>
      <c r="AI42">
        <f>IF(OR(AE42="",AH42="",AH42=0),"",AE42/AH42-1)</f>
        <v/>
      </c>
      <c r="AJ42">
        <f>IF(AE42="","",SUMIFS(DATA_COMMUNITY!$L:$L,DATA_COMMUNITY!$A:$A,$B$10,DATA_COMMUNITY!$C:$C,AA42,DATA_COMMUNITY!$D:$D,"Sunday"))</f>
        <v/>
      </c>
      <c r="AK42">
        <f>IF(AE42="","",SUMIFS(DATA_COMMUNITY!$O:$O,DATA_COMMUNITY!$A:$A,$B$10,DATA_COMMUNITY!$C:$C,AA42,DATA_COMMUNITY!$D:$D,"Sunday"))</f>
        <v/>
      </c>
      <c r="AL42">
        <f>IF(AA42="","",IF(AE42="","No","Yes"))</f>
        <v/>
      </c>
      <c r="AM42">
        <f>IF(AD42,ROW(),"")</f>
        <v/>
      </c>
      <c r="AN42">
        <f>IF(AND(AD42,AL42="No"),ROW(),"")</f>
        <v/>
      </c>
      <c r="AP42">
        <f>IFERROR(SMALL($AM$3:$AM$62,40),"")</f>
        <v/>
      </c>
      <c r="AQ42">
        <f>IFERROR(SMALL($AN$3:$AN$62,40),"")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IF(B43="",0,COUNTIFS(DATA_COMMUNITY!$A:$A,B43,DATA_COMMUNITY!$E:$E,$B$6,DATA_COMMUNITY!$C:$C,$B$7,DATA_COMMUNITY!$D:$D,"Sunday"))</f>
        <v/>
      </c>
      <c r="G43">
        <f>IF(F43=0,0,SUMIFS(DATA_COMMUNITY!$G:$G,DATA_COMMUNITY!$A:$A,B43,DATA_COMMUNITY!$E:$E,$B$6,DATA_COMMUNITY!$C:$C,$B$7,DATA_COMMUNITY!$D:$D,"Sunday"))</f>
        <v/>
      </c>
      <c r="H43">
        <f>IF(F43=0,0,SUMIFS(DATA_COMMUNITY!$H:$H,DATA_COMMUNITY!$A:$A,B43,DATA_COMMUNITY!$E:$E,$B$6,DATA_COMMUNITY!$C:$C,$B$7,DATA_COMMUNITY!$D:$D,"Sunday"))</f>
        <v/>
      </c>
      <c r="I43">
        <f>IF(F43=0,0,SUMIFS(DATA_COMMUNITY!$J:$J,DATA_COMMUNITY!$A:$A,B43,DATA_COMMUNITY!$E:$E,$B$6,DATA_COMMUNITY!$C:$C,$B$7,DATA_COMMUNITY!$D:$D,"Sunday"))</f>
        <v/>
      </c>
      <c r="J43">
        <f>G43+H43</f>
        <v/>
      </c>
      <c r="K43">
        <f>J43+I43</f>
        <v/>
      </c>
      <c r="L43">
        <f>IF(F43=0,0,SUMIFS(DATA_COMMUNITY!$L:$L,DATA_COMMUNITY!$A:$A,B43,DATA_COMMUNITY!$E:$E,$B$6,DATA_COMMUNITY!$C:$C,$B$7,DATA_COMMUNITY!$D:$D,"Sunday"))</f>
        <v/>
      </c>
      <c r="M43">
        <f>IF(F43=0,0,SUMIFS(DATA_COMMUNITY!$M:$M,DATA_COMMUNITY!$A:$A,B43,DATA_COMMUNITY!$E:$E,$B$6,DATA_COMMUNITY!$C:$C,$B$7,DATA_COMMUNITY!$D:$D,"Sunday"))</f>
        <v/>
      </c>
      <c r="N43">
        <f>IF(F43=0,0,SUMIFS(DATA_COMMUNITY!$N:$N,DATA_COMMUNITY!$A:$A,B43,DATA_COMMUNITY!$E:$E,$B$6,DATA_COMMUNITY!$C:$C,$B$7,DATA_COMMUNITY!$D:$D,"Sunday"))</f>
        <v/>
      </c>
      <c r="O43">
        <f>IF(F43=0,0,SUMIFS(DATA_COMMUNITY!$O:$O,DATA_COMMUNITY!$A:$A,B43,DATA_COMMUNITY!$E:$E,$B$6,DATA_COMMUNITY!$C:$C,$B$7,DATA_COMMUNITY!$D:$D,"Sunday"))</f>
        <v/>
      </c>
      <c r="P43">
        <f>IF(B43="",0,$B$17)</f>
        <v/>
      </c>
      <c r="Q43">
        <f>F43</f>
        <v/>
      </c>
      <c r="R43">
        <f>MAX(0,P43-Q43)</f>
        <v/>
      </c>
      <c r="S43">
        <f>IF(F43&gt;0,1,0)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IFERROR(INDEX(MASTER_COMMUNITY!$A:$A,42)&amp;"","")</f>
        <v/>
      </c>
      <c r="AB43">
        <f>IF(AA43="","",INDEX(MASTER_COMMUNITY!$B:$B,42)&amp;"")</f>
        <v/>
      </c>
      <c r="AC43">
        <f>IF(AA43="","",INDEX(MASTER_COMMUNITY!$C:$C,42)&amp;"")</f>
        <v/>
      </c>
      <c r="AD43">
        <f>AND(AA43&lt;&gt;"",OR($B$6="*",AC43=$B$6),OR($B$7="*",AA43=$B$7))</f>
        <v/>
      </c>
      <c r="AE43">
        <f>IF(OR(AA43="",$B$10=0),"",IF(COUNTIFS(DATA_COMMUNITY!$A:$A,$B$10,DATA_COMMUNITY!$C:$C,AA43,DATA_COMMUNITY!$D:$D,"Sunday")=0,"",SUMIFS(DATA_COMMUNITY!$K:$K,DATA_COMMUNITY!$A:$A,$B$10,DATA_COMMUNITY!$C:$C,AA43,DATA_COMMUNITY!$D:$D,"Sunday")))</f>
        <v/>
      </c>
      <c r="AF43">
        <f>IF(OR(AA43="",$B$10=0),"",IF(COUNTIFS(DATA_COMMUNITY!$A:$A,$B$10-7,DATA_COMMUNITY!$C:$C,AA43,DATA_COMMUNITY!$D:$D,"Sunday")=0,"",SUMIFS(DATA_COMMUNITY!$K:$K,DATA_COMMUNITY!$A:$A,$B$10-7,DATA_COMMUNITY!$C:$C,AA43,DATA_COMMUNITY!$D:$D,"Sunday")))</f>
        <v/>
      </c>
      <c r="AG43">
        <f>IF(OR(AE43="",AF43="",AF43=0),"",AE43/AF43-1)</f>
        <v/>
      </c>
      <c r="AH43">
        <f>IF(OR(AA43="",$B$10=0),"",IF(COUNTIFS(DATA_COMMUNITY!$A:$A,"&gt;="&amp;($B$10-7*$B$11),DATA_COMMUNITY!$A:$A,"&lt;"&amp;$B$10,DATA_COMMUNITY!$C:$C,AA43,DATA_COMMUNITY!$D:$D,"Sunday")=0,"",SUMIFS(DATA_COMMUNITY!$K:$K,DATA_COMMUNITY!$A:$A,"&gt;="&amp;($B$10-7*$B$11),DATA_COMMUNITY!$A:$A,"&lt;"&amp;$B$10,DATA_COMMUNITY!$C:$C,AA43,DATA_COMMUNITY!$D:$D,"Sunday")/COUNTIFS(DATA_COMMUNITY!$A:$A,"&gt;="&amp;($B$10-7*$B$11),DATA_COMMUNITY!$A:$A,"&lt;"&amp;$B$10,DATA_COMMUNITY!$C:$C,AA43,DATA_COMMUNITY!$D:$D,"Sunday")))</f>
        <v/>
      </c>
      <c r="AI43">
        <f>IF(OR(AE43="",AH43="",AH43=0),"",AE43/AH43-1)</f>
        <v/>
      </c>
      <c r="AJ43">
        <f>IF(AE43="","",SUMIFS(DATA_COMMUNITY!$L:$L,DATA_COMMUNITY!$A:$A,$B$10,DATA_COMMUNITY!$C:$C,AA43,DATA_COMMUNITY!$D:$D,"Sunday"))</f>
        <v/>
      </c>
      <c r="AK43">
        <f>IF(AE43="","",SUMIFS(DATA_COMMUNITY!$O:$O,DATA_COMMUNITY!$A:$A,$B$10,DATA_COMMUNITY!$C:$C,AA43,DATA_COMMUNITY!$D:$D,"Sunday"))</f>
        <v/>
      </c>
      <c r="AL43">
        <f>IF(AA43="","",IF(AE43="","No","Yes"))</f>
        <v/>
      </c>
      <c r="AM43">
        <f>IF(AD43,ROW(),"")</f>
        <v/>
      </c>
      <c r="AN43">
        <f>IF(AND(AD43,AL43="No"),ROW(),"")</f>
        <v/>
      </c>
      <c r="AP43">
        <f>IFERROR(SMALL($AM$3:$AM$62,41),"")</f>
        <v/>
      </c>
      <c r="AQ43">
        <f>IFERROR(SMALL($AN$3:$AN$62,41),"")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IF(B44="",0,COUNTIFS(DATA_COMMUNITY!$A:$A,B44,DATA_COMMUNITY!$E:$E,$B$6,DATA_COMMUNITY!$C:$C,$B$7,DATA_COMMUNITY!$D:$D,"Sunday"))</f>
        <v/>
      </c>
      <c r="G44">
        <f>IF(F44=0,0,SUMIFS(DATA_COMMUNITY!$G:$G,DATA_COMMUNITY!$A:$A,B44,DATA_COMMUNITY!$E:$E,$B$6,DATA_COMMUNITY!$C:$C,$B$7,DATA_COMMUNITY!$D:$D,"Sunday"))</f>
        <v/>
      </c>
      <c r="H44">
        <f>IF(F44=0,0,SUMIFS(DATA_COMMUNITY!$H:$H,DATA_COMMUNITY!$A:$A,B44,DATA_COMMUNITY!$E:$E,$B$6,DATA_COMMUNITY!$C:$C,$B$7,DATA_COMMUNITY!$D:$D,"Sunday"))</f>
        <v/>
      </c>
      <c r="I44">
        <f>IF(F44=0,0,SUMIFS(DATA_COMMUNITY!$J:$J,DATA_COMMUNITY!$A:$A,B44,DATA_COMMUNITY!$E:$E,$B$6,DATA_COMMUNITY!$C:$C,$B$7,DATA_COMMUNITY!$D:$D,"Sunday"))</f>
        <v/>
      </c>
      <c r="J44">
        <f>G44+H44</f>
        <v/>
      </c>
      <c r="K44">
        <f>J44+I44</f>
        <v/>
      </c>
      <c r="L44">
        <f>IF(F44=0,0,SUMIFS(DATA_COMMUNITY!$L:$L,DATA_COMMUNITY!$A:$A,B44,DATA_COMMUNITY!$E:$E,$B$6,DATA_COMMUNITY!$C:$C,$B$7,DATA_COMMUNITY!$D:$D,"Sunday"))</f>
        <v/>
      </c>
      <c r="M44">
        <f>IF(F44=0,0,SUMIFS(DATA_COMMUNITY!$M:$M,DATA_COMMUNITY!$A:$A,B44,DATA_COMMUNITY!$E:$E,$B$6,DATA_COMMUNITY!$C:$C,$B$7,DATA_COMMUNITY!$D:$D,"Sunday"))</f>
        <v/>
      </c>
      <c r="N44">
        <f>IF(F44=0,0,SUMIFS(DATA_COMMUNITY!$N:$N,DATA_COMMUNITY!$A:$A,B44,DATA_COMMUNITY!$E:$E,$B$6,DATA_COMMUNITY!$C:$C,$B$7,DATA_COMMUNITY!$D:$D,"Sunday"))</f>
        <v/>
      </c>
      <c r="O44">
        <f>IF(F44=0,0,SUMIFS(DATA_COMMUNITY!$O:$O,DATA_COMMUNITY!$A:$A,B44,DATA_COMMUNITY!$E:$E,$B$6,DATA_COMMUNITY!$C:$C,$B$7,DATA_COMMUNITY!$D:$D,"Sunday"))</f>
        <v/>
      </c>
      <c r="P44">
        <f>IF(B44="",0,$B$17)</f>
        <v/>
      </c>
      <c r="Q44">
        <f>F44</f>
        <v/>
      </c>
      <c r="R44">
        <f>MAX(0,P44-Q44)</f>
        <v/>
      </c>
      <c r="S44">
        <f>IF(F44&gt;0,1,0)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IFERROR(INDEX(MASTER_COMMUNITY!$A:$A,43)&amp;"","")</f>
        <v/>
      </c>
      <c r="AB44">
        <f>IF(AA44="","",INDEX(MASTER_COMMUNITY!$B:$B,43)&amp;"")</f>
        <v/>
      </c>
      <c r="AC44">
        <f>IF(AA44="","",INDEX(MASTER_COMMUNITY!$C:$C,43)&amp;"")</f>
        <v/>
      </c>
      <c r="AD44">
        <f>AND(AA44&lt;&gt;"",OR($B$6="*",AC44=$B$6),OR($B$7="*",AA44=$B$7))</f>
        <v/>
      </c>
      <c r="AE44">
        <f>IF(OR(AA44="",$B$10=0),"",IF(COUNTIFS(DATA_COMMUNITY!$A:$A,$B$10,DATA_COMMUNITY!$C:$C,AA44,DATA_COMMUNITY!$D:$D,"Sunday")=0,"",SUMIFS(DATA_COMMUNITY!$K:$K,DATA_COMMUNITY!$A:$A,$B$10,DATA_COMMUNITY!$C:$C,AA44,DATA_COMMUNITY!$D:$D,"Sunday")))</f>
        <v/>
      </c>
      <c r="AF44">
        <f>IF(OR(AA44="",$B$10=0),"",IF(COUNTIFS(DATA_COMMUNITY!$A:$A,$B$10-7,DATA_COMMUNITY!$C:$C,AA44,DATA_COMMUNITY!$D:$D,"Sunday")=0,"",SUMIFS(DATA_COMMUNITY!$K:$K,DATA_COMMUNITY!$A:$A,$B$10-7,DATA_COMMUNITY!$C:$C,AA44,DATA_COMMUNITY!$D:$D,"Sunday")))</f>
        <v/>
      </c>
      <c r="AG44">
        <f>IF(OR(AE44="",AF44="",AF44=0),"",AE44/AF44-1)</f>
        <v/>
      </c>
      <c r="AH44">
        <f>IF(OR(AA44="",$B$10=0),"",IF(COUNTIFS(DATA_COMMUNITY!$A:$A,"&gt;="&amp;($B$10-7*$B$11),DATA_COMMUNITY!$A:$A,"&lt;"&amp;$B$10,DATA_COMMUNITY!$C:$C,AA44,DATA_COMMUNITY!$D:$D,"Sunday")=0,"",SUMIFS(DATA_COMMUNITY!$K:$K,DATA_COMMUNITY!$A:$A,"&gt;="&amp;($B$10-7*$B$11),DATA_COMMUNITY!$A:$A,"&lt;"&amp;$B$10,DATA_COMMUNITY!$C:$C,AA44,DATA_COMMUNITY!$D:$D,"Sunday")/COUNTIFS(DATA_COMMUNITY!$A:$A,"&gt;="&amp;($B$10-7*$B$11),DATA_COMMUNITY!$A:$A,"&lt;"&amp;$B$10,DATA_COMMUNITY!$C:$C,AA44,DATA_COMMUNITY!$D:$D,"Sunday")))</f>
        <v/>
      </c>
      <c r="AI44">
        <f>IF(OR(AE44="",AH44="",AH44=0),"",AE44/AH44-1)</f>
        <v/>
      </c>
      <c r="AJ44">
        <f>IF(AE44="","",SUMIFS(DATA_COMMUNITY!$L:$L,DATA_COMMUNITY!$A:$A,$B$10,DATA_COMMUNITY!$C:$C,AA44,DATA_COMMUNITY!$D:$D,"Sunday"))</f>
        <v/>
      </c>
      <c r="AK44">
        <f>IF(AE44="","",SUMIFS(DATA_COMMUNITY!$O:$O,DATA_COMMUNITY!$A:$A,$B$10,DATA_COMMUNITY!$C:$C,AA44,DATA_COMMUNITY!$D:$D,"Sunday"))</f>
        <v/>
      </c>
      <c r="AL44">
        <f>IF(AA44="","",IF(AE44="","No","Yes"))</f>
        <v/>
      </c>
      <c r="AM44">
        <f>IF(AD44,ROW(),"")</f>
        <v/>
      </c>
      <c r="AN44">
        <f>IF(AND(AD44,AL44="No"),ROW(),"")</f>
        <v/>
      </c>
      <c r="AP44">
        <f>IFERROR(SMALL($AM$3:$AM$62,42),"")</f>
        <v/>
      </c>
      <c r="AQ44">
        <f>IFERROR(SMALL($AN$3:$AN$62,42),"")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IF(B45="",0,COUNTIFS(DATA_COMMUNITY!$A:$A,B45,DATA_COMMUNITY!$E:$E,$B$6,DATA_COMMUNITY!$C:$C,$B$7,DATA_COMMUNITY!$D:$D,"Sunday"))</f>
        <v/>
      </c>
      <c r="G45">
        <f>IF(F45=0,0,SUMIFS(DATA_COMMUNITY!$G:$G,DATA_COMMUNITY!$A:$A,B45,DATA_COMMUNITY!$E:$E,$B$6,DATA_COMMUNITY!$C:$C,$B$7,DATA_COMMUNITY!$D:$D,"Sunday"))</f>
        <v/>
      </c>
      <c r="H45">
        <f>IF(F45=0,0,SUMIFS(DATA_COMMUNITY!$H:$H,DATA_COMMUNITY!$A:$A,B45,DATA_COMMUNITY!$E:$E,$B$6,DATA_COMMUNITY!$C:$C,$B$7,DATA_COMMUNITY!$D:$D,"Sunday"))</f>
        <v/>
      </c>
      <c r="I45">
        <f>IF(F45=0,0,SUMIFS(DATA_COMMUNITY!$J:$J,DATA_COMMUNITY!$A:$A,B45,DATA_COMMUNITY!$E:$E,$B$6,DATA_COMMUNITY!$C:$C,$B$7,DATA_COMMUNITY!$D:$D,"Sunday"))</f>
        <v/>
      </c>
      <c r="J45">
        <f>G45+H45</f>
        <v/>
      </c>
      <c r="K45">
        <f>J45+I45</f>
        <v/>
      </c>
      <c r="L45">
        <f>IF(F45=0,0,SUMIFS(DATA_COMMUNITY!$L:$L,DATA_COMMUNITY!$A:$A,B45,DATA_COMMUNITY!$E:$E,$B$6,DATA_COMMUNITY!$C:$C,$B$7,DATA_COMMUNITY!$D:$D,"Sunday"))</f>
        <v/>
      </c>
      <c r="M45">
        <f>IF(F45=0,0,SUMIFS(DATA_COMMUNITY!$M:$M,DATA_COMMUNITY!$A:$A,B45,DATA_COMMUNITY!$E:$E,$B$6,DATA_COMMUNITY!$C:$C,$B$7,DATA_COMMUNITY!$D:$D,"Sunday"))</f>
        <v/>
      </c>
      <c r="N45">
        <f>IF(F45=0,0,SUMIFS(DATA_COMMUNITY!$N:$N,DATA_COMMUNITY!$A:$A,B45,DATA_COMMUNITY!$E:$E,$B$6,DATA_COMMUNITY!$C:$C,$B$7,DATA_COMMUNITY!$D:$D,"Sunday"))</f>
        <v/>
      </c>
      <c r="O45">
        <f>IF(F45=0,0,SUMIFS(DATA_COMMUNITY!$O:$O,DATA_COMMUNITY!$A:$A,B45,DATA_COMMUNITY!$E:$E,$B$6,DATA_COMMUNITY!$C:$C,$B$7,DATA_COMMUNITY!$D:$D,"Sunday"))</f>
        <v/>
      </c>
      <c r="P45">
        <f>IF(B45="",0,$B$17)</f>
        <v/>
      </c>
      <c r="Q45">
        <f>F45</f>
        <v/>
      </c>
      <c r="R45">
        <f>MAX(0,P45-Q45)</f>
        <v/>
      </c>
      <c r="S45">
        <f>IF(F45&gt;0,1,0)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IFERROR(INDEX(MASTER_COMMUNITY!$A:$A,44)&amp;"","")</f>
        <v/>
      </c>
      <c r="AB45">
        <f>IF(AA45="","",INDEX(MASTER_COMMUNITY!$B:$B,44)&amp;"")</f>
        <v/>
      </c>
      <c r="AC45">
        <f>IF(AA45="","",INDEX(MASTER_COMMUNITY!$C:$C,44)&amp;"")</f>
        <v/>
      </c>
      <c r="AD45">
        <f>AND(AA45&lt;&gt;"",OR($B$6="*",AC45=$B$6),OR($B$7="*",AA45=$B$7))</f>
        <v/>
      </c>
      <c r="AE45">
        <f>IF(OR(AA45="",$B$10=0),"",IF(COUNTIFS(DATA_COMMUNITY!$A:$A,$B$10,DATA_COMMUNITY!$C:$C,AA45,DATA_COMMUNITY!$D:$D,"Sunday")=0,"",SUMIFS(DATA_COMMUNITY!$K:$K,DATA_COMMUNITY!$A:$A,$B$10,DATA_COMMUNITY!$C:$C,AA45,DATA_COMMUNITY!$D:$D,"Sunday")))</f>
        <v/>
      </c>
      <c r="AF45">
        <f>IF(OR(AA45="",$B$10=0),"",IF(COUNTIFS(DATA_COMMUNITY!$A:$A,$B$10-7,DATA_COMMUNITY!$C:$C,AA45,DATA_COMMUNITY!$D:$D,"Sunday")=0,"",SUMIFS(DATA_COMMUNITY!$K:$K,DATA_COMMUNITY!$A:$A,$B$10-7,DATA_COMMUNITY!$C:$C,AA45,DATA_COMMUNITY!$D:$D,"Sunday")))</f>
        <v/>
      </c>
      <c r="AG45">
        <f>IF(OR(AE45="",AF45="",AF45=0),"",AE45/AF45-1)</f>
        <v/>
      </c>
      <c r="AH45">
        <f>IF(OR(AA45="",$B$10=0),"",IF(COUNTIFS(DATA_COMMUNITY!$A:$A,"&gt;="&amp;($B$10-7*$B$11),DATA_COMMUNITY!$A:$A,"&lt;"&amp;$B$10,DATA_COMMUNITY!$C:$C,AA45,DATA_COMMUNITY!$D:$D,"Sunday")=0,"",SUMIFS(DATA_COMMUNITY!$K:$K,DATA_COMMUNITY!$A:$A,"&gt;="&amp;($B$10-7*$B$11),DATA_COMMUNITY!$A:$A,"&lt;"&amp;$B$10,DATA_COMMUNITY!$C:$C,AA45,DATA_COMMUNITY!$D:$D,"Sunday")/COUNTIFS(DATA_COMMUNITY!$A:$A,"&gt;="&amp;($B$10-7*$B$11),DATA_COMMUNITY!$A:$A,"&lt;"&amp;$B$10,DATA_COMMUNITY!$C:$C,AA45,DATA_COMMUNITY!$D:$D,"Sunday")))</f>
        <v/>
      </c>
      <c r="AI45">
        <f>IF(OR(AE45="",AH45="",AH45=0),"",AE45/AH45-1)</f>
        <v/>
      </c>
      <c r="AJ45">
        <f>IF(AE45="","",SUMIFS(DATA_COMMUNITY!$L:$L,DATA_COMMUNITY!$A:$A,$B$10,DATA_COMMUNITY!$C:$C,AA45,DATA_COMMUNITY!$D:$D,"Sunday"))</f>
        <v/>
      </c>
      <c r="AK45">
        <f>IF(AE45="","",SUMIFS(DATA_COMMUNITY!$O:$O,DATA_COMMUNITY!$A:$A,$B$10,DATA_COMMUNITY!$C:$C,AA45,DATA_COMMUNITY!$D:$D,"Sunday"))</f>
        <v/>
      </c>
      <c r="AL45">
        <f>IF(AA45="","",IF(AE45="","No","Yes"))</f>
        <v/>
      </c>
      <c r="AM45">
        <f>IF(AD45,ROW(),"")</f>
        <v/>
      </c>
      <c r="AN45">
        <f>IF(AND(AD45,AL45="No"),ROW(),"")</f>
        <v/>
      </c>
      <c r="AP45">
        <f>IFERROR(SMALL($AM$3:$AM$62,43),"")</f>
        <v/>
      </c>
      <c r="AQ45">
        <f>IFERROR(SMALL($AN$3:$AN$62,43),"")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IF(B46="",0,COUNTIFS(DATA_COMMUNITY!$A:$A,B46,DATA_COMMUNITY!$E:$E,$B$6,DATA_COMMUNITY!$C:$C,$B$7,DATA_COMMUNITY!$D:$D,"Sunday"))</f>
        <v/>
      </c>
      <c r="G46">
        <f>IF(F46=0,0,SUMIFS(DATA_COMMUNITY!$G:$G,DATA_COMMUNITY!$A:$A,B46,DATA_COMMUNITY!$E:$E,$B$6,DATA_COMMUNITY!$C:$C,$B$7,DATA_COMMUNITY!$D:$D,"Sunday"))</f>
        <v/>
      </c>
      <c r="H46">
        <f>IF(F46=0,0,SUMIFS(DATA_COMMUNITY!$H:$H,DATA_COMMUNITY!$A:$A,B46,DATA_COMMUNITY!$E:$E,$B$6,DATA_COMMUNITY!$C:$C,$B$7,DATA_COMMUNITY!$D:$D,"Sunday"))</f>
        <v/>
      </c>
      <c r="I46">
        <f>IF(F46=0,0,SUMIFS(DATA_COMMUNITY!$J:$J,DATA_COMMUNITY!$A:$A,B46,DATA_COMMUNITY!$E:$E,$B$6,DATA_COMMUNITY!$C:$C,$B$7,DATA_COMMUNITY!$D:$D,"Sunday"))</f>
        <v/>
      </c>
      <c r="J46">
        <f>G46+H46</f>
        <v/>
      </c>
      <c r="K46">
        <f>J46+I46</f>
        <v/>
      </c>
      <c r="L46">
        <f>IF(F46=0,0,SUMIFS(DATA_COMMUNITY!$L:$L,DATA_COMMUNITY!$A:$A,B46,DATA_COMMUNITY!$E:$E,$B$6,DATA_COMMUNITY!$C:$C,$B$7,DATA_COMMUNITY!$D:$D,"Sunday"))</f>
        <v/>
      </c>
      <c r="M46">
        <f>IF(F46=0,0,SUMIFS(DATA_COMMUNITY!$M:$M,DATA_COMMUNITY!$A:$A,B46,DATA_COMMUNITY!$E:$E,$B$6,DATA_COMMUNITY!$C:$C,$B$7,DATA_COMMUNITY!$D:$D,"Sunday"))</f>
        <v/>
      </c>
      <c r="N46">
        <f>IF(F46=0,0,SUMIFS(DATA_COMMUNITY!$N:$N,DATA_COMMUNITY!$A:$A,B46,DATA_COMMUNITY!$E:$E,$B$6,DATA_COMMUNITY!$C:$C,$B$7,DATA_COMMUNITY!$D:$D,"Sunday"))</f>
        <v/>
      </c>
      <c r="O46">
        <f>IF(F46=0,0,SUMIFS(DATA_COMMUNITY!$O:$O,DATA_COMMUNITY!$A:$A,B46,DATA_COMMUNITY!$E:$E,$B$6,DATA_COMMUNITY!$C:$C,$B$7,DATA_COMMUNITY!$D:$D,"Sunday"))</f>
        <v/>
      </c>
      <c r="P46">
        <f>IF(B46="",0,$B$17)</f>
        <v/>
      </c>
      <c r="Q46">
        <f>F46</f>
        <v/>
      </c>
      <c r="R46">
        <f>MAX(0,P46-Q46)</f>
        <v/>
      </c>
      <c r="S46">
        <f>IF(F46&gt;0,1,0)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IFERROR(INDEX(MASTER_COMMUNITY!$A:$A,45)&amp;"","")</f>
        <v/>
      </c>
      <c r="AB46">
        <f>IF(AA46="","",INDEX(MASTER_COMMUNITY!$B:$B,45)&amp;"")</f>
        <v/>
      </c>
      <c r="AC46">
        <f>IF(AA46="","",INDEX(MASTER_COMMUNITY!$C:$C,45)&amp;"")</f>
        <v/>
      </c>
      <c r="AD46">
        <f>AND(AA46&lt;&gt;"",OR($B$6="*",AC46=$B$6),OR($B$7="*",AA46=$B$7))</f>
        <v/>
      </c>
      <c r="AE46">
        <f>IF(OR(AA46="",$B$10=0),"",IF(COUNTIFS(DATA_COMMUNITY!$A:$A,$B$10,DATA_COMMUNITY!$C:$C,AA46,DATA_COMMUNITY!$D:$D,"Sunday")=0,"",SUMIFS(DATA_COMMUNITY!$K:$K,DATA_COMMUNITY!$A:$A,$B$10,DATA_COMMUNITY!$C:$C,AA46,DATA_COMMUNITY!$D:$D,"Sunday")))</f>
        <v/>
      </c>
      <c r="AF46">
        <f>IF(OR(AA46="",$B$10=0),"",IF(COUNTIFS(DATA_COMMUNITY!$A:$A,$B$10-7,DATA_COMMUNITY!$C:$C,AA46,DATA_COMMUNITY!$D:$D,"Sunday")=0,"",SUMIFS(DATA_COMMUNITY!$K:$K,DATA_COMMUNITY!$A:$A,$B$10-7,DATA_COMMUNITY!$C:$C,AA46,DATA_COMMUNITY!$D:$D,"Sunday")))</f>
        <v/>
      </c>
      <c r="AG46">
        <f>IF(OR(AE46="",AF46="",AF46=0),"",AE46/AF46-1)</f>
        <v/>
      </c>
      <c r="AH46">
        <f>IF(OR(AA46="",$B$10=0),"",IF(COUNTIFS(DATA_COMMUNITY!$A:$A,"&gt;="&amp;($B$10-7*$B$11),DATA_COMMUNITY!$A:$A,"&lt;"&amp;$B$10,DATA_COMMUNITY!$C:$C,AA46,DATA_COMMUNITY!$D:$D,"Sunday")=0,"",SUMIFS(DATA_COMMUNITY!$K:$K,DATA_COMMUNITY!$A:$A,"&gt;="&amp;($B$10-7*$B$11),DATA_COMMUNITY!$A:$A,"&lt;"&amp;$B$10,DATA_COMMUNITY!$C:$C,AA46,DATA_COMMUNITY!$D:$D,"Sunday")/COUNTIFS(DATA_COMMUNITY!$A:$A,"&gt;="&amp;($B$10-7*$B$11),DATA_COMMUNITY!$A:$A,"&lt;"&amp;$B$10,DATA_COMMUNITY!$C:$C,AA46,DATA_COMMUNITY!$D:$D,"Sunday")))</f>
        <v/>
      </c>
      <c r="AI46">
        <f>IF(OR(AE46="",AH46="",AH46=0),"",AE46/AH46-1)</f>
        <v/>
      </c>
      <c r="AJ46">
        <f>IF(AE46="","",SUMIFS(DATA_COMMUNITY!$L:$L,DATA_COMMUNITY!$A:$A,$B$10,DATA_COMMUNITY!$C:$C,AA46,DATA_COMMUNITY!$D:$D,"Sunday"))</f>
        <v/>
      </c>
      <c r="AK46">
        <f>IF(AE46="","",SUMIFS(DATA_COMMUNITY!$O:$O,DATA_COMMUNITY!$A:$A,$B$10,DATA_COMMUNITY!$C:$C,AA46,DATA_COMMUNITY!$D:$D,"Sunday"))</f>
        <v/>
      </c>
      <c r="AL46">
        <f>IF(AA46="","",IF(AE46="","No","Yes"))</f>
        <v/>
      </c>
      <c r="AM46">
        <f>IF(AD46,ROW(),"")</f>
        <v/>
      </c>
      <c r="AN46">
        <f>IF(AND(AD46,AL46="No"),ROW(),"")</f>
        <v/>
      </c>
      <c r="AP46">
        <f>IFERROR(SMALL($AM$3:$AM$62,44),"")</f>
        <v/>
      </c>
      <c r="AQ46">
        <f>IFERROR(SMALL($AN$3:$AN$62,44),"")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IF(B47="",0,COUNTIFS(DATA_COMMUNITY!$A:$A,B47,DATA_COMMUNITY!$E:$E,$B$6,DATA_COMMUNITY!$C:$C,$B$7,DATA_COMMUNITY!$D:$D,"Sunday"))</f>
        <v/>
      </c>
      <c r="G47">
        <f>IF(F47=0,0,SUMIFS(DATA_COMMUNITY!$G:$G,DATA_COMMUNITY!$A:$A,B47,DATA_COMMUNITY!$E:$E,$B$6,DATA_COMMUNITY!$C:$C,$B$7,DATA_COMMUNITY!$D:$D,"Sunday"))</f>
        <v/>
      </c>
      <c r="H47">
        <f>IF(F47=0,0,SUMIFS(DATA_COMMUNITY!$H:$H,DATA_COMMUNITY!$A:$A,B47,DATA_COMMUNITY!$E:$E,$B$6,DATA_COMMUNITY!$C:$C,$B$7,DATA_COMMUNITY!$D:$D,"Sunday"))</f>
        <v/>
      </c>
      <c r="I47">
        <f>IF(F47=0,0,SUMIFS(DATA_COMMUNITY!$J:$J,DATA_COMMUNITY!$A:$A,B47,DATA_COMMUNITY!$E:$E,$B$6,DATA_COMMUNITY!$C:$C,$B$7,DATA_COMMUNITY!$D:$D,"Sunday"))</f>
        <v/>
      </c>
      <c r="J47">
        <f>G47+H47</f>
        <v/>
      </c>
      <c r="K47">
        <f>J47+I47</f>
        <v/>
      </c>
      <c r="L47">
        <f>IF(F47=0,0,SUMIFS(DATA_COMMUNITY!$L:$L,DATA_COMMUNITY!$A:$A,B47,DATA_COMMUNITY!$E:$E,$B$6,DATA_COMMUNITY!$C:$C,$B$7,DATA_COMMUNITY!$D:$D,"Sunday"))</f>
        <v/>
      </c>
      <c r="M47">
        <f>IF(F47=0,0,SUMIFS(DATA_COMMUNITY!$M:$M,DATA_COMMUNITY!$A:$A,B47,DATA_COMMUNITY!$E:$E,$B$6,DATA_COMMUNITY!$C:$C,$B$7,DATA_COMMUNITY!$D:$D,"Sunday"))</f>
        <v/>
      </c>
      <c r="N47">
        <f>IF(F47=0,0,SUMIFS(DATA_COMMUNITY!$N:$N,DATA_COMMUNITY!$A:$A,B47,DATA_COMMUNITY!$E:$E,$B$6,DATA_COMMUNITY!$C:$C,$B$7,DATA_COMMUNITY!$D:$D,"Sunday"))</f>
        <v/>
      </c>
      <c r="O47">
        <f>IF(F47=0,0,SUMIFS(DATA_COMMUNITY!$O:$O,DATA_COMMUNITY!$A:$A,B47,DATA_COMMUNITY!$E:$E,$B$6,DATA_COMMUNITY!$C:$C,$B$7,DATA_COMMUNITY!$D:$D,"Sunday"))</f>
        <v/>
      </c>
      <c r="P47">
        <f>IF(B47="",0,$B$17)</f>
        <v/>
      </c>
      <c r="Q47">
        <f>F47</f>
        <v/>
      </c>
      <c r="R47">
        <f>MAX(0,P47-Q47)</f>
        <v/>
      </c>
      <c r="S47">
        <f>IF(F47&gt;0,1,0)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IFERROR(INDEX(MASTER_COMMUNITY!$A:$A,46)&amp;"","")</f>
        <v/>
      </c>
      <c r="AB47">
        <f>IF(AA47="","",INDEX(MASTER_COMMUNITY!$B:$B,46)&amp;"")</f>
        <v/>
      </c>
      <c r="AC47">
        <f>IF(AA47="","",INDEX(MASTER_COMMUNITY!$C:$C,46)&amp;"")</f>
        <v/>
      </c>
      <c r="AD47">
        <f>AND(AA47&lt;&gt;"",OR($B$6="*",AC47=$B$6),OR($B$7="*",AA47=$B$7))</f>
        <v/>
      </c>
      <c r="AE47">
        <f>IF(OR(AA47="",$B$10=0),"",IF(COUNTIFS(DATA_COMMUNITY!$A:$A,$B$10,DATA_COMMUNITY!$C:$C,AA47,DATA_COMMUNITY!$D:$D,"Sunday")=0,"",SUMIFS(DATA_COMMUNITY!$K:$K,DATA_COMMUNITY!$A:$A,$B$10,DATA_COMMUNITY!$C:$C,AA47,DATA_COMMUNITY!$D:$D,"Sunday")))</f>
        <v/>
      </c>
      <c r="AF47">
        <f>IF(OR(AA47="",$B$10=0),"",IF(COUNTIFS(DATA_COMMUNITY!$A:$A,$B$10-7,DATA_COMMUNITY!$C:$C,AA47,DATA_COMMUNITY!$D:$D,"Sunday")=0,"",SUMIFS(DATA_COMMUNITY!$K:$K,DATA_COMMUNITY!$A:$A,$B$10-7,DATA_COMMUNITY!$C:$C,AA47,DATA_COMMUNITY!$D:$D,"Sunday")))</f>
        <v/>
      </c>
      <c r="AG47">
        <f>IF(OR(AE47="",AF47="",AF47=0),"",AE47/AF47-1)</f>
        <v/>
      </c>
      <c r="AH47">
        <f>IF(OR(AA47="",$B$10=0),"",IF(COUNTIFS(DATA_COMMUNITY!$A:$A,"&gt;="&amp;($B$10-7*$B$11),DATA_COMMUNITY!$A:$A,"&lt;"&amp;$B$10,DATA_COMMUNITY!$C:$C,AA47,DATA_COMMUNITY!$D:$D,"Sunday")=0,"",SUMIFS(DATA_COMMUNITY!$K:$K,DATA_COMMUNITY!$A:$A,"&gt;="&amp;($B$10-7*$B$11),DATA_COMMUNITY!$A:$A,"&lt;"&amp;$B$10,DATA_COMMUNITY!$C:$C,AA47,DATA_COMMUNITY!$D:$D,"Sunday")/COUNTIFS(DATA_COMMUNITY!$A:$A,"&gt;="&amp;($B$10-7*$B$11),DATA_COMMUNITY!$A:$A,"&lt;"&amp;$B$10,DATA_COMMUNITY!$C:$C,AA47,DATA_COMMUNITY!$D:$D,"Sunday")))</f>
        <v/>
      </c>
      <c r="AI47">
        <f>IF(OR(AE47="",AH47="",AH47=0),"",AE47/AH47-1)</f>
        <v/>
      </c>
      <c r="AJ47">
        <f>IF(AE47="","",SUMIFS(DATA_COMMUNITY!$L:$L,DATA_COMMUNITY!$A:$A,$B$10,DATA_COMMUNITY!$C:$C,AA47,DATA_COMMUNITY!$D:$D,"Sunday"))</f>
        <v/>
      </c>
      <c r="AK47">
        <f>IF(AE47="","",SUMIFS(DATA_COMMUNITY!$O:$O,DATA_COMMUNITY!$A:$A,$B$10,DATA_COMMUNITY!$C:$C,AA47,DATA_COMMUNITY!$D:$D,"Sunday"))</f>
        <v/>
      </c>
      <c r="AL47">
        <f>IF(AA47="","",IF(AE47="","No","Yes"))</f>
        <v/>
      </c>
      <c r="AM47">
        <f>IF(AD47,ROW(),"")</f>
        <v/>
      </c>
      <c r="AN47">
        <f>IF(AND(AD47,AL47="No"),ROW(),"")</f>
        <v/>
      </c>
      <c r="AP47">
        <f>IFERROR(SMALL($AM$3:$AM$62,45),"")</f>
        <v/>
      </c>
      <c r="AQ47">
        <f>IFERROR(SMALL($AN$3:$AN$62,45),"")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IF(B48="",0,COUNTIFS(DATA_COMMUNITY!$A:$A,B48,DATA_COMMUNITY!$E:$E,$B$6,DATA_COMMUNITY!$C:$C,$B$7,DATA_COMMUNITY!$D:$D,"Sunday"))</f>
        <v/>
      </c>
      <c r="G48">
        <f>IF(F48=0,0,SUMIFS(DATA_COMMUNITY!$G:$G,DATA_COMMUNITY!$A:$A,B48,DATA_COMMUNITY!$E:$E,$B$6,DATA_COMMUNITY!$C:$C,$B$7,DATA_COMMUNITY!$D:$D,"Sunday"))</f>
        <v/>
      </c>
      <c r="H48">
        <f>IF(F48=0,0,SUMIFS(DATA_COMMUNITY!$H:$H,DATA_COMMUNITY!$A:$A,B48,DATA_COMMUNITY!$E:$E,$B$6,DATA_COMMUNITY!$C:$C,$B$7,DATA_COMMUNITY!$D:$D,"Sunday"))</f>
        <v/>
      </c>
      <c r="I48">
        <f>IF(F48=0,0,SUMIFS(DATA_COMMUNITY!$J:$J,DATA_COMMUNITY!$A:$A,B48,DATA_COMMUNITY!$E:$E,$B$6,DATA_COMMUNITY!$C:$C,$B$7,DATA_COMMUNITY!$D:$D,"Sunday"))</f>
        <v/>
      </c>
      <c r="J48">
        <f>G48+H48</f>
        <v/>
      </c>
      <c r="K48">
        <f>J48+I48</f>
        <v/>
      </c>
      <c r="L48">
        <f>IF(F48=0,0,SUMIFS(DATA_COMMUNITY!$L:$L,DATA_COMMUNITY!$A:$A,B48,DATA_COMMUNITY!$E:$E,$B$6,DATA_COMMUNITY!$C:$C,$B$7,DATA_COMMUNITY!$D:$D,"Sunday"))</f>
        <v/>
      </c>
      <c r="M48">
        <f>IF(F48=0,0,SUMIFS(DATA_COMMUNITY!$M:$M,DATA_COMMUNITY!$A:$A,B48,DATA_COMMUNITY!$E:$E,$B$6,DATA_COMMUNITY!$C:$C,$B$7,DATA_COMMUNITY!$D:$D,"Sunday"))</f>
        <v/>
      </c>
      <c r="N48">
        <f>IF(F48=0,0,SUMIFS(DATA_COMMUNITY!$N:$N,DATA_COMMUNITY!$A:$A,B48,DATA_COMMUNITY!$E:$E,$B$6,DATA_COMMUNITY!$C:$C,$B$7,DATA_COMMUNITY!$D:$D,"Sunday"))</f>
        <v/>
      </c>
      <c r="O48">
        <f>IF(F48=0,0,SUMIFS(DATA_COMMUNITY!$O:$O,DATA_COMMUNITY!$A:$A,B48,DATA_COMMUNITY!$E:$E,$B$6,DATA_COMMUNITY!$C:$C,$B$7,DATA_COMMUNITY!$D:$D,"Sunday"))</f>
        <v/>
      </c>
      <c r="P48">
        <f>IF(B48="",0,$B$17)</f>
        <v/>
      </c>
      <c r="Q48">
        <f>F48</f>
        <v/>
      </c>
      <c r="R48">
        <f>MAX(0,P48-Q48)</f>
        <v/>
      </c>
      <c r="S48">
        <f>IF(F48&gt;0,1,0)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IFERROR(INDEX(MASTER_COMMUNITY!$A:$A,47)&amp;"","")</f>
        <v/>
      </c>
      <c r="AB48">
        <f>IF(AA48="","",INDEX(MASTER_COMMUNITY!$B:$B,47)&amp;"")</f>
        <v/>
      </c>
      <c r="AC48">
        <f>IF(AA48="","",INDEX(MASTER_COMMUNITY!$C:$C,47)&amp;"")</f>
        <v/>
      </c>
      <c r="AD48">
        <f>AND(AA48&lt;&gt;"",OR($B$6="*",AC48=$B$6),OR($B$7="*",AA48=$B$7))</f>
        <v/>
      </c>
      <c r="AE48">
        <f>IF(OR(AA48="",$B$10=0),"",IF(COUNTIFS(DATA_COMMUNITY!$A:$A,$B$10,DATA_COMMUNITY!$C:$C,AA48,DATA_COMMUNITY!$D:$D,"Sunday")=0,"",SUMIFS(DATA_COMMUNITY!$K:$K,DATA_COMMUNITY!$A:$A,$B$10,DATA_COMMUNITY!$C:$C,AA48,DATA_COMMUNITY!$D:$D,"Sunday")))</f>
        <v/>
      </c>
      <c r="AF48">
        <f>IF(OR(AA48="",$B$10=0),"",IF(COUNTIFS(DATA_COMMUNITY!$A:$A,$B$10-7,DATA_COMMUNITY!$C:$C,AA48,DATA_COMMUNITY!$D:$D,"Sunday")=0,"",SUMIFS(DATA_COMMUNITY!$K:$K,DATA_COMMUNITY!$A:$A,$B$10-7,DATA_COMMUNITY!$C:$C,AA48,DATA_COMMUNITY!$D:$D,"Sunday")))</f>
        <v/>
      </c>
      <c r="AG48">
        <f>IF(OR(AE48="",AF48="",AF48=0),"",AE48/AF48-1)</f>
        <v/>
      </c>
      <c r="AH48">
        <f>IF(OR(AA48="",$B$10=0),"",IF(COUNTIFS(DATA_COMMUNITY!$A:$A,"&gt;="&amp;($B$10-7*$B$11),DATA_COMMUNITY!$A:$A,"&lt;"&amp;$B$10,DATA_COMMUNITY!$C:$C,AA48,DATA_COMMUNITY!$D:$D,"Sunday")=0,"",SUMIFS(DATA_COMMUNITY!$K:$K,DATA_COMMUNITY!$A:$A,"&gt;="&amp;($B$10-7*$B$11),DATA_COMMUNITY!$A:$A,"&lt;"&amp;$B$10,DATA_COMMUNITY!$C:$C,AA48,DATA_COMMUNITY!$D:$D,"Sunday")/COUNTIFS(DATA_COMMUNITY!$A:$A,"&gt;="&amp;($B$10-7*$B$11),DATA_COMMUNITY!$A:$A,"&lt;"&amp;$B$10,DATA_COMMUNITY!$C:$C,AA48,DATA_COMMUNITY!$D:$D,"Sunday")))</f>
        <v/>
      </c>
      <c r="AI48">
        <f>IF(OR(AE48="",AH48="",AH48=0),"",AE48/AH48-1)</f>
        <v/>
      </c>
      <c r="AJ48">
        <f>IF(AE48="","",SUMIFS(DATA_COMMUNITY!$L:$L,DATA_COMMUNITY!$A:$A,$B$10,DATA_COMMUNITY!$C:$C,AA48,DATA_COMMUNITY!$D:$D,"Sunday"))</f>
        <v/>
      </c>
      <c r="AK48">
        <f>IF(AE48="","",SUMIFS(DATA_COMMUNITY!$O:$O,DATA_COMMUNITY!$A:$A,$B$10,DATA_COMMUNITY!$C:$C,AA48,DATA_COMMUNITY!$D:$D,"Sunday"))</f>
        <v/>
      </c>
      <c r="AL48">
        <f>IF(AA48="","",IF(AE48="","No","Yes"))</f>
        <v/>
      </c>
      <c r="AM48">
        <f>IF(AD48,ROW(),"")</f>
        <v/>
      </c>
      <c r="AN48">
        <f>IF(AND(AD48,AL48="No"),ROW(),"")</f>
        <v/>
      </c>
      <c r="AP48">
        <f>IFERROR(SMALL($AM$3:$AM$62,46),"")</f>
        <v/>
      </c>
      <c r="AQ48">
        <f>IFERROR(SMALL($AN$3:$AN$62,46),"")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IF(B49="",0,COUNTIFS(DATA_COMMUNITY!$A:$A,B49,DATA_COMMUNITY!$E:$E,$B$6,DATA_COMMUNITY!$C:$C,$B$7,DATA_COMMUNITY!$D:$D,"Sunday"))</f>
        <v/>
      </c>
      <c r="G49">
        <f>IF(F49=0,0,SUMIFS(DATA_COMMUNITY!$G:$G,DATA_COMMUNITY!$A:$A,B49,DATA_COMMUNITY!$E:$E,$B$6,DATA_COMMUNITY!$C:$C,$B$7,DATA_COMMUNITY!$D:$D,"Sunday"))</f>
        <v/>
      </c>
      <c r="H49">
        <f>IF(F49=0,0,SUMIFS(DATA_COMMUNITY!$H:$H,DATA_COMMUNITY!$A:$A,B49,DATA_COMMUNITY!$E:$E,$B$6,DATA_COMMUNITY!$C:$C,$B$7,DATA_COMMUNITY!$D:$D,"Sunday"))</f>
        <v/>
      </c>
      <c r="I49">
        <f>IF(F49=0,0,SUMIFS(DATA_COMMUNITY!$J:$J,DATA_COMMUNITY!$A:$A,B49,DATA_COMMUNITY!$E:$E,$B$6,DATA_COMMUNITY!$C:$C,$B$7,DATA_COMMUNITY!$D:$D,"Sunday"))</f>
        <v/>
      </c>
      <c r="J49">
        <f>G49+H49</f>
        <v/>
      </c>
      <c r="K49">
        <f>J49+I49</f>
        <v/>
      </c>
      <c r="L49">
        <f>IF(F49=0,0,SUMIFS(DATA_COMMUNITY!$L:$L,DATA_COMMUNITY!$A:$A,B49,DATA_COMMUNITY!$E:$E,$B$6,DATA_COMMUNITY!$C:$C,$B$7,DATA_COMMUNITY!$D:$D,"Sunday"))</f>
        <v/>
      </c>
      <c r="M49">
        <f>IF(F49=0,0,SUMIFS(DATA_COMMUNITY!$M:$M,DATA_COMMUNITY!$A:$A,B49,DATA_COMMUNITY!$E:$E,$B$6,DATA_COMMUNITY!$C:$C,$B$7,DATA_COMMUNITY!$D:$D,"Sunday"))</f>
        <v/>
      </c>
      <c r="N49">
        <f>IF(F49=0,0,SUMIFS(DATA_COMMUNITY!$N:$N,DATA_COMMUNITY!$A:$A,B49,DATA_COMMUNITY!$E:$E,$B$6,DATA_COMMUNITY!$C:$C,$B$7,DATA_COMMUNITY!$D:$D,"Sunday"))</f>
        <v/>
      </c>
      <c r="O49">
        <f>IF(F49=0,0,SUMIFS(DATA_COMMUNITY!$O:$O,DATA_COMMUNITY!$A:$A,B49,DATA_COMMUNITY!$E:$E,$B$6,DATA_COMMUNITY!$C:$C,$B$7,DATA_COMMUNITY!$D:$D,"Sunday"))</f>
        <v/>
      </c>
      <c r="P49">
        <f>IF(B49="",0,$B$17)</f>
        <v/>
      </c>
      <c r="Q49">
        <f>F49</f>
        <v/>
      </c>
      <c r="R49">
        <f>MAX(0,P49-Q49)</f>
        <v/>
      </c>
      <c r="S49">
        <f>IF(F49&gt;0,1,0)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IFERROR(INDEX(MASTER_COMMUNITY!$A:$A,48)&amp;"","")</f>
        <v/>
      </c>
      <c r="AB49">
        <f>IF(AA49="","",INDEX(MASTER_COMMUNITY!$B:$B,48)&amp;"")</f>
        <v/>
      </c>
      <c r="AC49">
        <f>IF(AA49="","",INDEX(MASTER_COMMUNITY!$C:$C,48)&amp;"")</f>
        <v/>
      </c>
      <c r="AD49">
        <f>AND(AA49&lt;&gt;"",OR($B$6="*",AC49=$B$6),OR($B$7="*",AA49=$B$7))</f>
        <v/>
      </c>
      <c r="AE49">
        <f>IF(OR(AA49="",$B$10=0),"",IF(COUNTIFS(DATA_COMMUNITY!$A:$A,$B$10,DATA_COMMUNITY!$C:$C,AA49,DATA_COMMUNITY!$D:$D,"Sunday")=0,"",SUMIFS(DATA_COMMUNITY!$K:$K,DATA_COMMUNITY!$A:$A,$B$10,DATA_COMMUNITY!$C:$C,AA49,DATA_COMMUNITY!$D:$D,"Sunday")))</f>
        <v/>
      </c>
      <c r="AF49">
        <f>IF(OR(AA49="",$B$10=0),"",IF(COUNTIFS(DATA_COMMUNITY!$A:$A,$B$10-7,DATA_COMMUNITY!$C:$C,AA49,DATA_COMMUNITY!$D:$D,"Sunday")=0,"",SUMIFS(DATA_COMMUNITY!$K:$K,DATA_COMMUNITY!$A:$A,$B$10-7,DATA_COMMUNITY!$C:$C,AA49,DATA_COMMUNITY!$D:$D,"Sunday")))</f>
        <v/>
      </c>
      <c r="AG49">
        <f>IF(OR(AE49="",AF49="",AF49=0),"",AE49/AF49-1)</f>
        <v/>
      </c>
      <c r="AH49">
        <f>IF(OR(AA49="",$B$10=0),"",IF(COUNTIFS(DATA_COMMUNITY!$A:$A,"&gt;="&amp;($B$10-7*$B$11),DATA_COMMUNITY!$A:$A,"&lt;"&amp;$B$10,DATA_COMMUNITY!$C:$C,AA49,DATA_COMMUNITY!$D:$D,"Sunday")=0,"",SUMIFS(DATA_COMMUNITY!$K:$K,DATA_COMMUNITY!$A:$A,"&gt;="&amp;($B$10-7*$B$11),DATA_COMMUNITY!$A:$A,"&lt;"&amp;$B$10,DATA_COMMUNITY!$C:$C,AA49,DATA_COMMUNITY!$D:$D,"Sunday")/COUNTIFS(DATA_COMMUNITY!$A:$A,"&gt;="&amp;($B$10-7*$B$11),DATA_COMMUNITY!$A:$A,"&lt;"&amp;$B$10,DATA_COMMUNITY!$C:$C,AA49,DATA_COMMUNITY!$D:$D,"Sunday")))</f>
        <v/>
      </c>
      <c r="AI49">
        <f>IF(OR(AE49="",AH49="",AH49=0),"",AE49/AH49-1)</f>
        <v/>
      </c>
      <c r="AJ49">
        <f>IF(AE49="","",SUMIFS(DATA_COMMUNITY!$L:$L,DATA_COMMUNITY!$A:$A,$B$10,DATA_COMMUNITY!$C:$C,AA49,DATA_COMMUNITY!$D:$D,"Sunday"))</f>
        <v/>
      </c>
      <c r="AK49">
        <f>IF(AE49="","",SUMIFS(DATA_COMMUNITY!$O:$O,DATA_COMMUNITY!$A:$A,$B$10,DATA_COMMUNITY!$C:$C,AA49,DATA_COMMUNITY!$D:$D,"Sunday"))</f>
        <v/>
      </c>
      <c r="AL49">
        <f>IF(AA49="","",IF(AE49="","No","Yes"))</f>
        <v/>
      </c>
      <c r="AM49">
        <f>IF(AD49,ROW(),"")</f>
        <v/>
      </c>
      <c r="AN49">
        <f>IF(AND(AD49,AL49="No"),ROW(),"")</f>
        <v/>
      </c>
      <c r="AP49">
        <f>IFERROR(SMALL($AM$3:$AM$62,47),"")</f>
        <v/>
      </c>
      <c r="AQ49">
        <f>IFERROR(SMALL($AN$3:$AN$62,47),"")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IF(B50="",0,COUNTIFS(DATA_COMMUNITY!$A:$A,B50,DATA_COMMUNITY!$E:$E,$B$6,DATA_COMMUNITY!$C:$C,$B$7,DATA_COMMUNITY!$D:$D,"Sunday"))</f>
        <v/>
      </c>
      <c r="G50">
        <f>IF(F50=0,0,SUMIFS(DATA_COMMUNITY!$G:$G,DATA_COMMUNITY!$A:$A,B50,DATA_COMMUNITY!$E:$E,$B$6,DATA_COMMUNITY!$C:$C,$B$7,DATA_COMMUNITY!$D:$D,"Sunday"))</f>
        <v/>
      </c>
      <c r="H50">
        <f>IF(F50=0,0,SUMIFS(DATA_COMMUNITY!$H:$H,DATA_COMMUNITY!$A:$A,B50,DATA_COMMUNITY!$E:$E,$B$6,DATA_COMMUNITY!$C:$C,$B$7,DATA_COMMUNITY!$D:$D,"Sunday"))</f>
        <v/>
      </c>
      <c r="I50">
        <f>IF(F50=0,0,SUMIFS(DATA_COMMUNITY!$J:$J,DATA_COMMUNITY!$A:$A,B50,DATA_COMMUNITY!$E:$E,$B$6,DATA_COMMUNITY!$C:$C,$B$7,DATA_COMMUNITY!$D:$D,"Sunday"))</f>
        <v/>
      </c>
      <c r="J50">
        <f>G50+H50</f>
        <v/>
      </c>
      <c r="K50">
        <f>J50+I50</f>
        <v/>
      </c>
      <c r="L50">
        <f>IF(F50=0,0,SUMIFS(DATA_COMMUNITY!$L:$L,DATA_COMMUNITY!$A:$A,B50,DATA_COMMUNITY!$E:$E,$B$6,DATA_COMMUNITY!$C:$C,$B$7,DATA_COMMUNITY!$D:$D,"Sunday"))</f>
        <v/>
      </c>
      <c r="M50">
        <f>IF(F50=0,0,SUMIFS(DATA_COMMUNITY!$M:$M,DATA_COMMUNITY!$A:$A,B50,DATA_COMMUNITY!$E:$E,$B$6,DATA_COMMUNITY!$C:$C,$B$7,DATA_COMMUNITY!$D:$D,"Sunday"))</f>
        <v/>
      </c>
      <c r="N50">
        <f>IF(F50=0,0,SUMIFS(DATA_COMMUNITY!$N:$N,DATA_COMMUNITY!$A:$A,B50,DATA_COMMUNITY!$E:$E,$B$6,DATA_COMMUNITY!$C:$C,$B$7,DATA_COMMUNITY!$D:$D,"Sunday"))</f>
        <v/>
      </c>
      <c r="O50">
        <f>IF(F50=0,0,SUMIFS(DATA_COMMUNITY!$O:$O,DATA_COMMUNITY!$A:$A,B50,DATA_COMMUNITY!$E:$E,$B$6,DATA_COMMUNITY!$C:$C,$B$7,DATA_COMMUNITY!$D:$D,"Sunday"))</f>
        <v/>
      </c>
      <c r="P50">
        <f>IF(B50="",0,$B$17)</f>
        <v/>
      </c>
      <c r="Q50">
        <f>F50</f>
        <v/>
      </c>
      <c r="R50">
        <f>MAX(0,P50-Q50)</f>
        <v/>
      </c>
      <c r="S50">
        <f>IF(F50&gt;0,1,0)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IFERROR(INDEX(MASTER_COMMUNITY!$A:$A,49)&amp;"","")</f>
        <v/>
      </c>
      <c r="AB50">
        <f>IF(AA50="","",INDEX(MASTER_COMMUNITY!$B:$B,49)&amp;"")</f>
        <v/>
      </c>
      <c r="AC50">
        <f>IF(AA50="","",INDEX(MASTER_COMMUNITY!$C:$C,49)&amp;"")</f>
        <v/>
      </c>
      <c r="AD50">
        <f>AND(AA50&lt;&gt;"",OR($B$6="*",AC50=$B$6),OR($B$7="*",AA50=$B$7))</f>
        <v/>
      </c>
      <c r="AE50">
        <f>IF(OR(AA50="",$B$10=0),"",IF(COUNTIFS(DATA_COMMUNITY!$A:$A,$B$10,DATA_COMMUNITY!$C:$C,AA50,DATA_COMMUNITY!$D:$D,"Sunday")=0,"",SUMIFS(DATA_COMMUNITY!$K:$K,DATA_COMMUNITY!$A:$A,$B$10,DATA_COMMUNITY!$C:$C,AA50,DATA_COMMUNITY!$D:$D,"Sunday")))</f>
        <v/>
      </c>
      <c r="AF50">
        <f>IF(OR(AA50="",$B$10=0),"",IF(COUNTIFS(DATA_COMMUNITY!$A:$A,$B$10-7,DATA_COMMUNITY!$C:$C,AA50,DATA_COMMUNITY!$D:$D,"Sunday")=0,"",SUMIFS(DATA_COMMUNITY!$K:$K,DATA_COMMUNITY!$A:$A,$B$10-7,DATA_COMMUNITY!$C:$C,AA50,DATA_COMMUNITY!$D:$D,"Sunday")))</f>
        <v/>
      </c>
      <c r="AG50">
        <f>IF(OR(AE50="",AF50="",AF50=0),"",AE50/AF50-1)</f>
        <v/>
      </c>
      <c r="AH50">
        <f>IF(OR(AA50="",$B$10=0),"",IF(COUNTIFS(DATA_COMMUNITY!$A:$A,"&gt;="&amp;($B$10-7*$B$11),DATA_COMMUNITY!$A:$A,"&lt;"&amp;$B$10,DATA_COMMUNITY!$C:$C,AA50,DATA_COMMUNITY!$D:$D,"Sunday")=0,"",SUMIFS(DATA_COMMUNITY!$K:$K,DATA_COMMUNITY!$A:$A,"&gt;="&amp;($B$10-7*$B$11),DATA_COMMUNITY!$A:$A,"&lt;"&amp;$B$10,DATA_COMMUNITY!$C:$C,AA50,DATA_COMMUNITY!$D:$D,"Sunday")/COUNTIFS(DATA_COMMUNITY!$A:$A,"&gt;="&amp;($B$10-7*$B$11),DATA_COMMUNITY!$A:$A,"&lt;"&amp;$B$10,DATA_COMMUNITY!$C:$C,AA50,DATA_COMMUNITY!$D:$D,"Sunday")))</f>
        <v/>
      </c>
      <c r="AI50">
        <f>IF(OR(AE50="",AH50="",AH50=0),"",AE50/AH50-1)</f>
        <v/>
      </c>
      <c r="AJ50">
        <f>IF(AE50="","",SUMIFS(DATA_COMMUNITY!$L:$L,DATA_COMMUNITY!$A:$A,$B$10,DATA_COMMUNITY!$C:$C,AA50,DATA_COMMUNITY!$D:$D,"Sunday"))</f>
        <v/>
      </c>
      <c r="AK50">
        <f>IF(AE50="","",SUMIFS(DATA_COMMUNITY!$O:$O,DATA_COMMUNITY!$A:$A,$B$10,DATA_COMMUNITY!$C:$C,AA50,DATA_COMMUNITY!$D:$D,"Sunday"))</f>
        <v/>
      </c>
      <c r="AL50">
        <f>IF(AA50="","",IF(AE50="","No","Yes"))</f>
        <v/>
      </c>
      <c r="AM50">
        <f>IF(AD50,ROW(),"")</f>
        <v/>
      </c>
      <c r="AN50">
        <f>IF(AND(AD50,AL50="No"),ROW(),"")</f>
        <v/>
      </c>
      <c r="AP50">
        <f>IFERROR(SMALL($AM$3:$AM$62,48),"")</f>
        <v/>
      </c>
      <c r="AQ50">
        <f>IFERROR(SMALL($AN$3:$AN$62,48),"")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IF(B51="",0,COUNTIFS(DATA_COMMUNITY!$A:$A,B51,DATA_COMMUNITY!$E:$E,$B$6,DATA_COMMUNITY!$C:$C,$B$7,DATA_COMMUNITY!$D:$D,"Sunday"))</f>
        <v/>
      </c>
      <c r="G51">
        <f>IF(F51=0,0,SUMIFS(DATA_COMMUNITY!$G:$G,DATA_COMMUNITY!$A:$A,B51,DATA_COMMUNITY!$E:$E,$B$6,DATA_COMMUNITY!$C:$C,$B$7,DATA_COMMUNITY!$D:$D,"Sunday"))</f>
        <v/>
      </c>
      <c r="H51">
        <f>IF(F51=0,0,SUMIFS(DATA_COMMUNITY!$H:$H,DATA_COMMUNITY!$A:$A,B51,DATA_COMMUNITY!$E:$E,$B$6,DATA_COMMUNITY!$C:$C,$B$7,DATA_COMMUNITY!$D:$D,"Sunday"))</f>
        <v/>
      </c>
      <c r="I51">
        <f>IF(F51=0,0,SUMIFS(DATA_COMMUNITY!$J:$J,DATA_COMMUNITY!$A:$A,B51,DATA_COMMUNITY!$E:$E,$B$6,DATA_COMMUNITY!$C:$C,$B$7,DATA_COMMUNITY!$D:$D,"Sunday"))</f>
        <v/>
      </c>
      <c r="J51">
        <f>G51+H51</f>
        <v/>
      </c>
      <c r="K51">
        <f>J51+I51</f>
        <v/>
      </c>
      <c r="L51">
        <f>IF(F51=0,0,SUMIFS(DATA_COMMUNITY!$L:$L,DATA_COMMUNITY!$A:$A,B51,DATA_COMMUNITY!$E:$E,$B$6,DATA_COMMUNITY!$C:$C,$B$7,DATA_COMMUNITY!$D:$D,"Sunday"))</f>
        <v/>
      </c>
      <c r="M51">
        <f>IF(F51=0,0,SUMIFS(DATA_COMMUNITY!$M:$M,DATA_COMMUNITY!$A:$A,B51,DATA_COMMUNITY!$E:$E,$B$6,DATA_COMMUNITY!$C:$C,$B$7,DATA_COMMUNITY!$D:$D,"Sunday"))</f>
        <v/>
      </c>
      <c r="N51">
        <f>IF(F51=0,0,SUMIFS(DATA_COMMUNITY!$N:$N,DATA_COMMUNITY!$A:$A,B51,DATA_COMMUNITY!$E:$E,$B$6,DATA_COMMUNITY!$C:$C,$B$7,DATA_COMMUNITY!$D:$D,"Sunday"))</f>
        <v/>
      </c>
      <c r="O51">
        <f>IF(F51=0,0,SUMIFS(DATA_COMMUNITY!$O:$O,DATA_COMMUNITY!$A:$A,B51,DATA_COMMUNITY!$E:$E,$B$6,DATA_COMMUNITY!$C:$C,$B$7,DATA_COMMUNITY!$D:$D,"Sunday"))</f>
        <v/>
      </c>
      <c r="P51">
        <f>IF(B51="",0,$B$17)</f>
        <v/>
      </c>
      <c r="Q51">
        <f>F51</f>
        <v/>
      </c>
      <c r="R51">
        <f>MAX(0,P51-Q51)</f>
        <v/>
      </c>
      <c r="S51">
        <f>IF(F51&gt;0,1,0)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IFERROR(INDEX(MASTER_COMMUNITY!$A:$A,50)&amp;"","")</f>
        <v/>
      </c>
      <c r="AB51">
        <f>IF(AA51="","",INDEX(MASTER_COMMUNITY!$B:$B,50)&amp;"")</f>
        <v/>
      </c>
      <c r="AC51">
        <f>IF(AA51="","",INDEX(MASTER_COMMUNITY!$C:$C,50)&amp;"")</f>
        <v/>
      </c>
      <c r="AD51">
        <f>AND(AA51&lt;&gt;"",OR($B$6="*",AC51=$B$6),OR($B$7="*",AA51=$B$7))</f>
        <v/>
      </c>
      <c r="AE51">
        <f>IF(OR(AA51="",$B$10=0),"",IF(COUNTIFS(DATA_COMMUNITY!$A:$A,$B$10,DATA_COMMUNITY!$C:$C,AA51,DATA_COMMUNITY!$D:$D,"Sunday")=0,"",SUMIFS(DATA_COMMUNITY!$K:$K,DATA_COMMUNITY!$A:$A,$B$10,DATA_COMMUNITY!$C:$C,AA51,DATA_COMMUNITY!$D:$D,"Sunday")))</f>
        <v/>
      </c>
      <c r="AF51">
        <f>IF(OR(AA51="",$B$10=0),"",IF(COUNTIFS(DATA_COMMUNITY!$A:$A,$B$10-7,DATA_COMMUNITY!$C:$C,AA51,DATA_COMMUNITY!$D:$D,"Sunday")=0,"",SUMIFS(DATA_COMMUNITY!$K:$K,DATA_COMMUNITY!$A:$A,$B$10-7,DATA_COMMUNITY!$C:$C,AA51,DATA_COMMUNITY!$D:$D,"Sunday")))</f>
        <v/>
      </c>
      <c r="AG51">
        <f>IF(OR(AE51="",AF51="",AF51=0),"",AE51/AF51-1)</f>
        <v/>
      </c>
      <c r="AH51">
        <f>IF(OR(AA51="",$B$10=0),"",IF(COUNTIFS(DATA_COMMUNITY!$A:$A,"&gt;="&amp;($B$10-7*$B$11),DATA_COMMUNITY!$A:$A,"&lt;"&amp;$B$10,DATA_COMMUNITY!$C:$C,AA51,DATA_COMMUNITY!$D:$D,"Sunday")=0,"",SUMIFS(DATA_COMMUNITY!$K:$K,DATA_COMMUNITY!$A:$A,"&gt;="&amp;($B$10-7*$B$11),DATA_COMMUNITY!$A:$A,"&lt;"&amp;$B$10,DATA_COMMUNITY!$C:$C,AA51,DATA_COMMUNITY!$D:$D,"Sunday")/COUNTIFS(DATA_COMMUNITY!$A:$A,"&gt;="&amp;($B$10-7*$B$11),DATA_COMMUNITY!$A:$A,"&lt;"&amp;$B$10,DATA_COMMUNITY!$C:$C,AA51,DATA_COMMUNITY!$D:$D,"Sunday")))</f>
        <v/>
      </c>
      <c r="AI51">
        <f>IF(OR(AE51="",AH51="",AH51=0),"",AE51/AH51-1)</f>
        <v/>
      </c>
      <c r="AJ51">
        <f>IF(AE51="","",SUMIFS(DATA_COMMUNITY!$L:$L,DATA_COMMUNITY!$A:$A,$B$10,DATA_COMMUNITY!$C:$C,AA51,DATA_COMMUNITY!$D:$D,"Sunday"))</f>
        <v/>
      </c>
      <c r="AK51">
        <f>IF(AE51="","",SUMIFS(DATA_COMMUNITY!$O:$O,DATA_COMMUNITY!$A:$A,$B$10,DATA_COMMUNITY!$C:$C,AA51,DATA_COMMUNITY!$D:$D,"Sunday"))</f>
        <v/>
      </c>
      <c r="AL51">
        <f>IF(AA51="","",IF(AE51="","No","Yes"))</f>
        <v/>
      </c>
      <c r="AM51">
        <f>IF(AD51,ROW(),"")</f>
        <v/>
      </c>
      <c r="AN51">
        <f>IF(AND(AD51,AL51="No"),ROW(),"")</f>
        <v/>
      </c>
      <c r="AP51">
        <f>IFERROR(SMALL($AM$3:$AM$62,49),"")</f>
        <v/>
      </c>
      <c r="AQ51">
        <f>IFERROR(SMALL($AN$3:$AN$62,49),"")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IF(B52="",0,COUNTIFS(DATA_COMMUNITY!$A:$A,B52,DATA_COMMUNITY!$E:$E,$B$6,DATA_COMMUNITY!$C:$C,$B$7,DATA_COMMUNITY!$D:$D,"Sunday"))</f>
        <v/>
      </c>
      <c r="G52">
        <f>IF(F52=0,0,SUMIFS(DATA_COMMUNITY!$G:$G,DATA_COMMUNITY!$A:$A,B52,DATA_COMMUNITY!$E:$E,$B$6,DATA_COMMUNITY!$C:$C,$B$7,DATA_COMMUNITY!$D:$D,"Sunday"))</f>
        <v/>
      </c>
      <c r="H52">
        <f>IF(F52=0,0,SUMIFS(DATA_COMMUNITY!$H:$H,DATA_COMMUNITY!$A:$A,B52,DATA_COMMUNITY!$E:$E,$B$6,DATA_COMMUNITY!$C:$C,$B$7,DATA_COMMUNITY!$D:$D,"Sunday"))</f>
        <v/>
      </c>
      <c r="I52">
        <f>IF(F52=0,0,SUMIFS(DATA_COMMUNITY!$J:$J,DATA_COMMUNITY!$A:$A,B52,DATA_COMMUNITY!$E:$E,$B$6,DATA_COMMUNITY!$C:$C,$B$7,DATA_COMMUNITY!$D:$D,"Sunday"))</f>
        <v/>
      </c>
      <c r="J52">
        <f>G52+H52</f>
        <v/>
      </c>
      <c r="K52">
        <f>J52+I52</f>
        <v/>
      </c>
      <c r="L52">
        <f>IF(F52=0,0,SUMIFS(DATA_COMMUNITY!$L:$L,DATA_COMMUNITY!$A:$A,B52,DATA_COMMUNITY!$E:$E,$B$6,DATA_COMMUNITY!$C:$C,$B$7,DATA_COMMUNITY!$D:$D,"Sunday"))</f>
        <v/>
      </c>
      <c r="M52">
        <f>IF(F52=0,0,SUMIFS(DATA_COMMUNITY!$M:$M,DATA_COMMUNITY!$A:$A,B52,DATA_COMMUNITY!$E:$E,$B$6,DATA_COMMUNITY!$C:$C,$B$7,DATA_COMMUNITY!$D:$D,"Sunday"))</f>
        <v/>
      </c>
      <c r="N52">
        <f>IF(F52=0,0,SUMIFS(DATA_COMMUNITY!$N:$N,DATA_COMMUNITY!$A:$A,B52,DATA_COMMUNITY!$E:$E,$B$6,DATA_COMMUNITY!$C:$C,$B$7,DATA_COMMUNITY!$D:$D,"Sunday"))</f>
        <v/>
      </c>
      <c r="O52">
        <f>IF(F52=0,0,SUMIFS(DATA_COMMUNITY!$O:$O,DATA_COMMUNITY!$A:$A,B52,DATA_COMMUNITY!$E:$E,$B$6,DATA_COMMUNITY!$C:$C,$B$7,DATA_COMMUNITY!$D:$D,"Sunday"))</f>
        <v/>
      </c>
      <c r="P52">
        <f>IF(B52="",0,$B$17)</f>
        <v/>
      </c>
      <c r="Q52">
        <f>F52</f>
        <v/>
      </c>
      <c r="R52">
        <f>MAX(0,P52-Q52)</f>
        <v/>
      </c>
      <c r="S52">
        <f>IF(F52&gt;0,1,0)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IFERROR(INDEX(MASTER_COMMUNITY!$A:$A,51)&amp;"","")</f>
        <v/>
      </c>
      <c r="AB52">
        <f>IF(AA52="","",INDEX(MASTER_COMMUNITY!$B:$B,51)&amp;"")</f>
        <v/>
      </c>
      <c r="AC52">
        <f>IF(AA52="","",INDEX(MASTER_COMMUNITY!$C:$C,51)&amp;"")</f>
        <v/>
      </c>
      <c r="AD52">
        <f>AND(AA52&lt;&gt;"",OR($B$6="*",AC52=$B$6),OR($B$7="*",AA52=$B$7))</f>
        <v/>
      </c>
      <c r="AE52">
        <f>IF(OR(AA52="",$B$10=0),"",IF(COUNTIFS(DATA_COMMUNITY!$A:$A,$B$10,DATA_COMMUNITY!$C:$C,AA52,DATA_COMMUNITY!$D:$D,"Sunday")=0,"",SUMIFS(DATA_COMMUNITY!$K:$K,DATA_COMMUNITY!$A:$A,$B$10,DATA_COMMUNITY!$C:$C,AA52,DATA_COMMUNITY!$D:$D,"Sunday")))</f>
        <v/>
      </c>
      <c r="AF52">
        <f>IF(OR(AA52="",$B$10=0),"",IF(COUNTIFS(DATA_COMMUNITY!$A:$A,$B$10-7,DATA_COMMUNITY!$C:$C,AA52,DATA_COMMUNITY!$D:$D,"Sunday")=0,"",SUMIFS(DATA_COMMUNITY!$K:$K,DATA_COMMUNITY!$A:$A,$B$10-7,DATA_COMMUNITY!$C:$C,AA52,DATA_COMMUNITY!$D:$D,"Sunday")))</f>
        <v/>
      </c>
      <c r="AG52">
        <f>IF(OR(AE52="",AF52="",AF52=0),"",AE52/AF52-1)</f>
        <v/>
      </c>
      <c r="AH52">
        <f>IF(OR(AA52="",$B$10=0),"",IF(COUNTIFS(DATA_COMMUNITY!$A:$A,"&gt;="&amp;($B$10-7*$B$11),DATA_COMMUNITY!$A:$A,"&lt;"&amp;$B$10,DATA_COMMUNITY!$C:$C,AA52,DATA_COMMUNITY!$D:$D,"Sunday")=0,"",SUMIFS(DATA_COMMUNITY!$K:$K,DATA_COMMUNITY!$A:$A,"&gt;="&amp;($B$10-7*$B$11),DATA_COMMUNITY!$A:$A,"&lt;"&amp;$B$10,DATA_COMMUNITY!$C:$C,AA52,DATA_COMMUNITY!$D:$D,"Sunday")/COUNTIFS(DATA_COMMUNITY!$A:$A,"&gt;="&amp;($B$10-7*$B$11),DATA_COMMUNITY!$A:$A,"&lt;"&amp;$B$10,DATA_COMMUNITY!$C:$C,AA52,DATA_COMMUNITY!$D:$D,"Sunday")))</f>
        <v/>
      </c>
      <c r="AI52">
        <f>IF(OR(AE52="",AH52="",AH52=0),"",AE52/AH52-1)</f>
        <v/>
      </c>
      <c r="AJ52">
        <f>IF(AE52="","",SUMIFS(DATA_COMMUNITY!$L:$L,DATA_COMMUNITY!$A:$A,$B$10,DATA_COMMUNITY!$C:$C,AA52,DATA_COMMUNITY!$D:$D,"Sunday"))</f>
        <v/>
      </c>
      <c r="AK52">
        <f>IF(AE52="","",SUMIFS(DATA_COMMUNITY!$O:$O,DATA_COMMUNITY!$A:$A,$B$10,DATA_COMMUNITY!$C:$C,AA52,DATA_COMMUNITY!$D:$D,"Sunday"))</f>
        <v/>
      </c>
      <c r="AL52">
        <f>IF(AA52="","",IF(AE52="","No","Yes"))</f>
        <v/>
      </c>
      <c r="AM52">
        <f>IF(AD52,ROW(),"")</f>
        <v/>
      </c>
      <c r="AN52">
        <f>IF(AND(AD52,AL52="No"),ROW(),"")</f>
        <v/>
      </c>
      <c r="AP52">
        <f>IFERROR(SMALL($AM$3:$AM$62,50),"")</f>
        <v/>
      </c>
      <c r="AQ52">
        <f>IFERROR(SMALL($AN$3:$AN$62,50),"")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IF(B53="",0,COUNTIFS(DATA_COMMUNITY!$A:$A,B53,DATA_COMMUNITY!$E:$E,$B$6,DATA_COMMUNITY!$C:$C,$B$7,DATA_COMMUNITY!$D:$D,"Sunday"))</f>
        <v/>
      </c>
      <c r="G53">
        <f>IF(F53=0,0,SUMIFS(DATA_COMMUNITY!$G:$G,DATA_COMMUNITY!$A:$A,B53,DATA_COMMUNITY!$E:$E,$B$6,DATA_COMMUNITY!$C:$C,$B$7,DATA_COMMUNITY!$D:$D,"Sunday"))</f>
        <v/>
      </c>
      <c r="H53">
        <f>IF(F53=0,0,SUMIFS(DATA_COMMUNITY!$H:$H,DATA_COMMUNITY!$A:$A,B53,DATA_COMMUNITY!$E:$E,$B$6,DATA_COMMUNITY!$C:$C,$B$7,DATA_COMMUNITY!$D:$D,"Sunday"))</f>
        <v/>
      </c>
      <c r="I53">
        <f>IF(F53=0,0,SUMIFS(DATA_COMMUNITY!$J:$J,DATA_COMMUNITY!$A:$A,B53,DATA_COMMUNITY!$E:$E,$B$6,DATA_COMMUNITY!$C:$C,$B$7,DATA_COMMUNITY!$D:$D,"Sunday"))</f>
        <v/>
      </c>
      <c r="J53">
        <f>G53+H53</f>
        <v/>
      </c>
      <c r="K53">
        <f>J53+I53</f>
        <v/>
      </c>
      <c r="L53">
        <f>IF(F53=0,0,SUMIFS(DATA_COMMUNITY!$L:$L,DATA_COMMUNITY!$A:$A,B53,DATA_COMMUNITY!$E:$E,$B$6,DATA_COMMUNITY!$C:$C,$B$7,DATA_COMMUNITY!$D:$D,"Sunday"))</f>
        <v/>
      </c>
      <c r="M53">
        <f>IF(F53=0,0,SUMIFS(DATA_COMMUNITY!$M:$M,DATA_COMMUNITY!$A:$A,B53,DATA_COMMUNITY!$E:$E,$B$6,DATA_COMMUNITY!$C:$C,$B$7,DATA_COMMUNITY!$D:$D,"Sunday"))</f>
        <v/>
      </c>
      <c r="N53">
        <f>IF(F53=0,0,SUMIFS(DATA_COMMUNITY!$N:$N,DATA_COMMUNITY!$A:$A,B53,DATA_COMMUNITY!$E:$E,$B$6,DATA_COMMUNITY!$C:$C,$B$7,DATA_COMMUNITY!$D:$D,"Sunday"))</f>
        <v/>
      </c>
      <c r="O53">
        <f>IF(F53=0,0,SUMIFS(DATA_COMMUNITY!$O:$O,DATA_COMMUNITY!$A:$A,B53,DATA_COMMUNITY!$E:$E,$B$6,DATA_COMMUNITY!$C:$C,$B$7,DATA_COMMUNITY!$D:$D,"Sunday"))</f>
        <v/>
      </c>
      <c r="P53">
        <f>IF(B53="",0,$B$17)</f>
        <v/>
      </c>
      <c r="Q53">
        <f>F53</f>
        <v/>
      </c>
      <c r="R53">
        <f>MAX(0,P53-Q53)</f>
        <v/>
      </c>
      <c r="S53">
        <f>IF(F53&gt;0,1,0)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IFERROR(INDEX(MASTER_COMMUNITY!$A:$A,52)&amp;"","")</f>
        <v/>
      </c>
      <c r="AB53">
        <f>IF(AA53="","",INDEX(MASTER_COMMUNITY!$B:$B,52)&amp;"")</f>
        <v/>
      </c>
      <c r="AC53">
        <f>IF(AA53="","",INDEX(MASTER_COMMUNITY!$C:$C,52)&amp;"")</f>
        <v/>
      </c>
      <c r="AD53">
        <f>AND(AA53&lt;&gt;"",OR($B$6="*",AC53=$B$6),OR($B$7="*",AA53=$B$7))</f>
        <v/>
      </c>
      <c r="AE53">
        <f>IF(OR(AA53="",$B$10=0),"",IF(COUNTIFS(DATA_COMMUNITY!$A:$A,$B$10,DATA_COMMUNITY!$C:$C,AA53,DATA_COMMUNITY!$D:$D,"Sunday")=0,"",SUMIFS(DATA_COMMUNITY!$K:$K,DATA_COMMUNITY!$A:$A,$B$10,DATA_COMMUNITY!$C:$C,AA53,DATA_COMMUNITY!$D:$D,"Sunday")))</f>
        <v/>
      </c>
      <c r="AF53">
        <f>IF(OR(AA53="",$B$10=0),"",IF(COUNTIFS(DATA_COMMUNITY!$A:$A,$B$10-7,DATA_COMMUNITY!$C:$C,AA53,DATA_COMMUNITY!$D:$D,"Sunday")=0,"",SUMIFS(DATA_COMMUNITY!$K:$K,DATA_COMMUNITY!$A:$A,$B$10-7,DATA_COMMUNITY!$C:$C,AA53,DATA_COMMUNITY!$D:$D,"Sunday")))</f>
        <v/>
      </c>
      <c r="AG53">
        <f>IF(OR(AE53="",AF53="",AF53=0),"",AE53/AF53-1)</f>
        <v/>
      </c>
      <c r="AH53">
        <f>IF(OR(AA53="",$B$10=0),"",IF(COUNTIFS(DATA_COMMUNITY!$A:$A,"&gt;="&amp;($B$10-7*$B$11),DATA_COMMUNITY!$A:$A,"&lt;"&amp;$B$10,DATA_COMMUNITY!$C:$C,AA53,DATA_COMMUNITY!$D:$D,"Sunday")=0,"",SUMIFS(DATA_COMMUNITY!$K:$K,DATA_COMMUNITY!$A:$A,"&gt;="&amp;($B$10-7*$B$11),DATA_COMMUNITY!$A:$A,"&lt;"&amp;$B$10,DATA_COMMUNITY!$C:$C,AA53,DATA_COMMUNITY!$D:$D,"Sunday")/COUNTIFS(DATA_COMMUNITY!$A:$A,"&gt;="&amp;($B$10-7*$B$11),DATA_COMMUNITY!$A:$A,"&lt;"&amp;$B$10,DATA_COMMUNITY!$C:$C,AA53,DATA_COMMUNITY!$D:$D,"Sunday")))</f>
        <v/>
      </c>
      <c r="AI53">
        <f>IF(OR(AE53="",AH53="",AH53=0),"",AE53/AH53-1)</f>
        <v/>
      </c>
      <c r="AJ53">
        <f>IF(AE53="","",SUMIFS(DATA_COMMUNITY!$L:$L,DATA_COMMUNITY!$A:$A,$B$10,DATA_COMMUNITY!$C:$C,AA53,DATA_COMMUNITY!$D:$D,"Sunday"))</f>
        <v/>
      </c>
      <c r="AK53">
        <f>IF(AE53="","",SUMIFS(DATA_COMMUNITY!$O:$O,DATA_COMMUNITY!$A:$A,$B$10,DATA_COMMUNITY!$C:$C,AA53,DATA_COMMUNITY!$D:$D,"Sunday"))</f>
        <v/>
      </c>
      <c r="AL53">
        <f>IF(AA53="","",IF(AE53="","No","Yes"))</f>
        <v/>
      </c>
      <c r="AM53">
        <f>IF(AD53,ROW(),"")</f>
        <v/>
      </c>
      <c r="AN53">
        <f>IF(AND(AD53,AL53="No"),ROW(),"")</f>
        <v/>
      </c>
      <c r="AP53">
        <f>IFERROR(SMALL($AM$3:$AM$62,51),"")</f>
        <v/>
      </c>
      <c r="AQ53">
        <f>IFERROR(SMALL($AN$3:$AN$62,51),"")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IF(B54="",0,COUNTIFS(DATA_COMMUNITY!$A:$A,B54,DATA_COMMUNITY!$E:$E,$B$6,DATA_COMMUNITY!$C:$C,$B$7,DATA_COMMUNITY!$D:$D,"Sunday"))</f>
        <v/>
      </c>
      <c r="G54">
        <f>IF(F54=0,0,SUMIFS(DATA_COMMUNITY!$G:$G,DATA_COMMUNITY!$A:$A,B54,DATA_COMMUNITY!$E:$E,$B$6,DATA_COMMUNITY!$C:$C,$B$7,DATA_COMMUNITY!$D:$D,"Sunday"))</f>
        <v/>
      </c>
      <c r="H54">
        <f>IF(F54=0,0,SUMIFS(DATA_COMMUNITY!$H:$H,DATA_COMMUNITY!$A:$A,B54,DATA_COMMUNITY!$E:$E,$B$6,DATA_COMMUNITY!$C:$C,$B$7,DATA_COMMUNITY!$D:$D,"Sunday"))</f>
        <v/>
      </c>
      <c r="I54">
        <f>IF(F54=0,0,SUMIFS(DATA_COMMUNITY!$J:$J,DATA_COMMUNITY!$A:$A,B54,DATA_COMMUNITY!$E:$E,$B$6,DATA_COMMUNITY!$C:$C,$B$7,DATA_COMMUNITY!$D:$D,"Sunday"))</f>
        <v/>
      </c>
      <c r="J54">
        <f>G54+H54</f>
        <v/>
      </c>
      <c r="K54">
        <f>J54+I54</f>
        <v/>
      </c>
      <c r="L54">
        <f>IF(F54=0,0,SUMIFS(DATA_COMMUNITY!$L:$L,DATA_COMMUNITY!$A:$A,B54,DATA_COMMUNITY!$E:$E,$B$6,DATA_COMMUNITY!$C:$C,$B$7,DATA_COMMUNITY!$D:$D,"Sunday"))</f>
        <v/>
      </c>
      <c r="M54">
        <f>IF(F54=0,0,SUMIFS(DATA_COMMUNITY!$M:$M,DATA_COMMUNITY!$A:$A,B54,DATA_COMMUNITY!$E:$E,$B$6,DATA_COMMUNITY!$C:$C,$B$7,DATA_COMMUNITY!$D:$D,"Sunday"))</f>
        <v/>
      </c>
      <c r="N54">
        <f>IF(F54=0,0,SUMIFS(DATA_COMMUNITY!$N:$N,DATA_COMMUNITY!$A:$A,B54,DATA_COMMUNITY!$E:$E,$B$6,DATA_COMMUNITY!$C:$C,$B$7,DATA_COMMUNITY!$D:$D,"Sunday"))</f>
        <v/>
      </c>
      <c r="O54">
        <f>IF(F54=0,0,SUMIFS(DATA_COMMUNITY!$O:$O,DATA_COMMUNITY!$A:$A,B54,DATA_COMMUNITY!$E:$E,$B$6,DATA_COMMUNITY!$C:$C,$B$7,DATA_COMMUNITY!$D:$D,"Sunday"))</f>
        <v/>
      </c>
      <c r="P54">
        <f>IF(B54="",0,$B$17)</f>
        <v/>
      </c>
      <c r="Q54">
        <f>F54</f>
        <v/>
      </c>
      <c r="R54">
        <f>MAX(0,P54-Q54)</f>
        <v/>
      </c>
      <c r="S54">
        <f>IF(F54&gt;0,1,0)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IFERROR(INDEX(MASTER_COMMUNITY!$A:$A,53)&amp;"","")</f>
        <v/>
      </c>
      <c r="AB54">
        <f>IF(AA54="","",INDEX(MASTER_COMMUNITY!$B:$B,53)&amp;"")</f>
        <v/>
      </c>
      <c r="AC54">
        <f>IF(AA54="","",INDEX(MASTER_COMMUNITY!$C:$C,53)&amp;"")</f>
        <v/>
      </c>
      <c r="AD54">
        <f>AND(AA54&lt;&gt;"",OR($B$6="*",AC54=$B$6),OR($B$7="*",AA54=$B$7))</f>
        <v/>
      </c>
      <c r="AE54">
        <f>IF(OR(AA54="",$B$10=0),"",IF(COUNTIFS(DATA_COMMUNITY!$A:$A,$B$10,DATA_COMMUNITY!$C:$C,AA54,DATA_COMMUNITY!$D:$D,"Sunday")=0,"",SUMIFS(DATA_COMMUNITY!$K:$K,DATA_COMMUNITY!$A:$A,$B$10,DATA_COMMUNITY!$C:$C,AA54,DATA_COMMUNITY!$D:$D,"Sunday")))</f>
        <v/>
      </c>
      <c r="AF54">
        <f>IF(OR(AA54="",$B$10=0),"",IF(COUNTIFS(DATA_COMMUNITY!$A:$A,$B$10-7,DATA_COMMUNITY!$C:$C,AA54,DATA_COMMUNITY!$D:$D,"Sunday")=0,"",SUMIFS(DATA_COMMUNITY!$K:$K,DATA_COMMUNITY!$A:$A,$B$10-7,DATA_COMMUNITY!$C:$C,AA54,DATA_COMMUNITY!$D:$D,"Sunday")))</f>
        <v/>
      </c>
      <c r="AG54">
        <f>IF(OR(AE54="",AF54="",AF54=0),"",AE54/AF54-1)</f>
        <v/>
      </c>
      <c r="AH54">
        <f>IF(OR(AA54="",$B$10=0),"",IF(COUNTIFS(DATA_COMMUNITY!$A:$A,"&gt;="&amp;($B$10-7*$B$11),DATA_COMMUNITY!$A:$A,"&lt;"&amp;$B$10,DATA_COMMUNITY!$C:$C,AA54,DATA_COMMUNITY!$D:$D,"Sunday")=0,"",SUMIFS(DATA_COMMUNITY!$K:$K,DATA_COMMUNITY!$A:$A,"&gt;="&amp;($B$10-7*$B$11),DATA_COMMUNITY!$A:$A,"&lt;"&amp;$B$10,DATA_COMMUNITY!$C:$C,AA54,DATA_COMMUNITY!$D:$D,"Sunday")/COUNTIFS(DATA_COMMUNITY!$A:$A,"&gt;="&amp;($B$10-7*$B$11),DATA_COMMUNITY!$A:$A,"&lt;"&amp;$B$10,DATA_COMMUNITY!$C:$C,AA54,DATA_COMMUNITY!$D:$D,"Sunday")))</f>
        <v/>
      </c>
      <c r="AI54">
        <f>IF(OR(AE54="",AH54="",AH54=0),"",AE54/AH54-1)</f>
        <v/>
      </c>
      <c r="AJ54">
        <f>IF(AE54="","",SUMIFS(DATA_COMMUNITY!$L:$L,DATA_COMMUNITY!$A:$A,$B$10,DATA_COMMUNITY!$C:$C,AA54,DATA_COMMUNITY!$D:$D,"Sunday"))</f>
        <v/>
      </c>
      <c r="AK54">
        <f>IF(AE54="","",SUMIFS(DATA_COMMUNITY!$O:$O,DATA_COMMUNITY!$A:$A,$B$10,DATA_COMMUNITY!$C:$C,AA54,DATA_COMMUNITY!$D:$D,"Sunday"))</f>
        <v/>
      </c>
      <c r="AL54">
        <f>IF(AA54="","",IF(AE54="","No","Yes"))</f>
        <v/>
      </c>
      <c r="AM54">
        <f>IF(AD54,ROW(),"")</f>
        <v/>
      </c>
      <c r="AN54">
        <f>IF(AND(AD54,AL54="No"),ROW(),"")</f>
        <v/>
      </c>
      <c r="AP54">
        <f>IFERROR(SMALL($AM$3:$AM$62,52),"")</f>
        <v/>
      </c>
      <c r="AQ54">
        <f>IFERROR(SMALL($AN$3:$AN$62,52),"")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IF(B55="",0,COUNTIFS(DATA_COMMUNITY!$A:$A,B55,DATA_COMMUNITY!$E:$E,$B$6,DATA_COMMUNITY!$C:$C,$B$7,DATA_COMMUNITY!$D:$D,"Sunday"))</f>
        <v/>
      </c>
      <c r="G55">
        <f>IF(F55=0,0,SUMIFS(DATA_COMMUNITY!$G:$G,DATA_COMMUNITY!$A:$A,B55,DATA_COMMUNITY!$E:$E,$B$6,DATA_COMMUNITY!$C:$C,$B$7,DATA_COMMUNITY!$D:$D,"Sunday"))</f>
        <v/>
      </c>
      <c r="H55">
        <f>IF(F55=0,0,SUMIFS(DATA_COMMUNITY!$H:$H,DATA_COMMUNITY!$A:$A,B55,DATA_COMMUNITY!$E:$E,$B$6,DATA_COMMUNITY!$C:$C,$B$7,DATA_COMMUNITY!$D:$D,"Sunday"))</f>
        <v/>
      </c>
      <c r="I55">
        <f>IF(F55=0,0,SUMIFS(DATA_COMMUNITY!$J:$J,DATA_COMMUNITY!$A:$A,B55,DATA_COMMUNITY!$E:$E,$B$6,DATA_COMMUNITY!$C:$C,$B$7,DATA_COMMUNITY!$D:$D,"Sunday"))</f>
        <v/>
      </c>
      <c r="J55">
        <f>G55+H55</f>
        <v/>
      </c>
      <c r="K55">
        <f>J55+I55</f>
        <v/>
      </c>
      <c r="L55">
        <f>IF(F55=0,0,SUMIFS(DATA_COMMUNITY!$L:$L,DATA_COMMUNITY!$A:$A,B55,DATA_COMMUNITY!$E:$E,$B$6,DATA_COMMUNITY!$C:$C,$B$7,DATA_COMMUNITY!$D:$D,"Sunday"))</f>
        <v/>
      </c>
      <c r="M55">
        <f>IF(F55=0,0,SUMIFS(DATA_COMMUNITY!$M:$M,DATA_COMMUNITY!$A:$A,B55,DATA_COMMUNITY!$E:$E,$B$6,DATA_COMMUNITY!$C:$C,$B$7,DATA_COMMUNITY!$D:$D,"Sunday"))</f>
        <v/>
      </c>
      <c r="N55">
        <f>IF(F55=0,0,SUMIFS(DATA_COMMUNITY!$N:$N,DATA_COMMUNITY!$A:$A,B55,DATA_COMMUNITY!$E:$E,$B$6,DATA_COMMUNITY!$C:$C,$B$7,DATA_COMMUNITY!$D:$D,"Sunday"))</f>
        <v/>
      </c>
      <c r="O55">
        <f>IF(F55=0,0,SUMIFS(DATA_COMMUNITY!$O:$O,DATA_COMMUNITY!$A:$A,B55,DATA_COMMUNITY!$E:$E,$B$6,DATA_COMMUNITY!$C:$C,$B$7,DATA_COMMUNITY!$D:$D,"Sunday"))</f>
        <v/>
      </c>
      <c r="P55">
        <f>IF(B55="",0,$B$17)</f>
        <v/>
      </c>
      <c r="Q55">
        <f>F55</f>
        <v/>
      </c>
      <c r="R55">
        <f>MAX(0,P55-Q55)</f>
        <v/>
      </c>
      <c r="S55">
        <f>IF(F55&gt;0,1,0)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IFERROR(INDEX(MASTER_COMMUNITY!$A:$A,54)&amp;"","")</f>
        <v/>
      </c>
      <c r="AB55">
        <f>IF(AA55="","",INDEX(MASTER_COMMUNITY!$B:$B,54)&amp;"")</f>
        <v/>
      </c>
      <c r="AC55">
        <f>IF(AA55="","",INDEX(MASTER_COMMUNITY!$C:$C,54)&amp;"")</f>
        <v/>
      </c>
      <c r="AD55">
        <f>AND(AA55&lt;&gt;"",OR($B$6="*",AC55=$B$6),OR($B$7="*",AA55=$B$7))</f>
        <v/>
      </c>
      <c r="AE55">
        <f>IF(OR(AA55="",$B$10=0),"",IF(COUNTIFS(DATA_COMMUNITY!$A:$A,$B$10,DATA_COMMUNITY!$C:$C,AA55,DATA_COMMUNITY!$D:$D,"Sunday")=0,"",SUMIFS(DATA_COMMUNITY!$K:$K,DATA_COMMUNITY!$A:$A,$B$10,DATA_COMMUNITY!$C:$C,AA55,DATA_COMMUNITY!$D:$D,"Sunday")))</f>
        <v/>
      </c>
      <c r="AF55">
        <f>IF(OR(AA55="",$B$10=0),"",IF(COUNTIFS(DATA_COMMUNITY!$A:$A,$B$10-7,DATA_COMMUNITY!$C:$C,AA55,DATA_COMMUNITY!$D:$D,"Sunday")=0,"",SUMIFS(DATA_COMMUNITY!$K:$K,DATA_COMMUNITY!$A:$A,$B$10-7,DATA_COMMUNITY!$C:$C,AA55,DATA_COMMUNITY!$D:$D,"Sunday")))</f>
        <v/>
      </c>
      <c r="AG55">
        <f>IF(OR(AE55="",AF55="",AF55=0),"",AE55/AF55-1)</f>
        <v/>
      </c>
      <c r="AH55">
        <f>IF(OR(AA55="",$B$10=0),"",IF(COUNTIFS(DATA_COMMUNITY!$A:$A,"&gt;="&amp;($B$10-7*$B$11),DATA_COMMUNITY!$A:$A,"&lt;"&amp;$B$10,DATA_COMMUNITY!$C:$C,AA55,DATA_COMMUNITY!$D:$D,"Sunday")=0,"",SUMIFS(DATA_COMMUNITY!$K:$K,DATA_COMMUNITY!$A:$A,"&gt;="&amp;($B$10-7*$B$11),DATA_COMMUNITY!$A:$A,"&lt;"&amp;$B$10,DATA_COMMUNITY!$C:$C,AA55,DATA_COMMUNITY!$D:$D,"Sunday")/COUNTIFS(DATA_COMMUNITY!$A:$A,"&gt;="&amp;($B$10-7*$B$11),DATA_COMMUNITY!$A:$A,"&lt;"&amp;$B$10,DATA_COMMUNITY!$C:$C,AA55,DATA_COMMUNITY!$D:$D,"Sunday")))</f>
        <v/>
      </c>
      <c r="AI55">
        <f>IF(OR(AE55="",AH55="",AH55=0),"",AE55/AH55-1)</f>
        <v/>
      </c>
      <c r="AJ55">
        <f>IF(AE55="","",SUMIFS(DATA_COMMUNITY!$L:$L,DATA_COMMUNITY!$A:$A,$B$10,DATA_COMMUNITY!$C:$C,AA55,DATA_COMMUNITY!$D:$D,"Sunday"))</f>
        <v/>
      </c>
      <c r="AK55">
        <f>IF(AE55="","",SUMIFS(DATA_COMMUNITY!$O:$O,DATA_COMMUNITY!$A:$A,$B$10,DATA_COMMUNITY!$C:$C,AA55,DATA_COMMUNITY!$D:$D,"Sunday"))</f>
        <v/>
      </c>
      <c r="AL55">
        <f>IF(AA55="","",IF(AE55="","No","Yes"))</f>
        <v/>
      </c>
      <c r="AM55">
        <f>IF(AD55,ROW(),"")</f>
        <v/>
      </c>
      <c r="AN55">
        <f>IF(AND(AD55,AL55="No"),ROW(),"")</f>
        <v/>
      </c>
      <c r="AP55">
        <f>IFERROR(SMALL($AM$3:$AM$62,53),"")</f>
        <v/>
      </c>
      <c r="AQ55">
        <f>IFERROR(SMALL($AN$3:$AN$62,53),"")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IF(B56="",0,COUNTIFS(DATA_COMMUNITY!$A:$A,B56,DATA_COMMUNITY!$E:$E,$B$6,DATA_COMMUNITY!$C:$C,$B$7,DATA_COMMUNITY!$D:$D,"Sunday"))</f>
        <v/>
      </c>
      <c r="G56">
        <f>IF(F56=0,0,SUMIFS(DATA_COMMUNITY!$G:$G,DATA_COMMUNITY!$A:$A,B56,DATA_COMMUNITY!$E:$E,$B$6,DATA_COMMUNITY!$C:$C,$B$7,DATA_COMMUNITY!$D:$D,"Sunday"))</f>
        <v/>
      </c>
      <c r="H56">
        <f>IF(F56=0,0,SUMIFS(DATA_COMMUNITY!$H:$H,DATA_COMMUNITY!$A:$A,B56,DATA_COMMUNITY!$E:$E,$B$6,DATA_COMMUNITY!$C:$C,$B$7,DATA_COMMUNITY!$D:$D,"Sunday"))</f>
        <v/>
      </c>
      <c r="I56">
        <f>IF(F56=0,0,SUMIFS(DATA_COMMUNITY!$J:$J,DATA_COMMUNITY!$A:$A,B56,DATA_COMMUNITY!$E:$E,$B$6,DATA_COMMUNITY!$C:$C,$B$7,DATA_COMMUNITY!$D:$D,"Sunday"))</f>
        <v/>
      </c>
      <c r="J56">
        <f>G56+H56</f>
        <v/>
      </c>
      <c r="K56">
        <f>J56+I56</f>
        <v/>
      </c>
      <c r="L56">
        <f>IF(F56=0,0,SUMIFS(DATA_COMMUNITY!$L:$L,DATA_COMMUNITY!$A:$A,B56,DATA_COMMUNITY!$E:$E,$B$6,DATA_COMMUNITY!$C:$C,$B$7,DATA_COMMUNITY!$D:$D,"Sunday"))</f>
        <v/>
      </c>
      <c r="M56">
        <f>IF(F56=0,0,SUMIFS(DATA_COMMUNITY!$M:$M,DATA_COMMUNITY!$A:$A,B56,DATA_COMMUNITY!$E:$E,$B$6,DATA_COMMUNITY!$C:$C,$B$7,DATA_COMMUNITY!$D:$D,"Sunday"))</f>
        <v/>
      </c>
      <c r="N56">
        <f>IF(F56=0,0,SUMIFS(DATA_COMMUNITY!$N:$N,DATA_COMMUNITY!$A:$A,B56,DATA_COMMUNITY!$E:$E,$B$6,DATA_COMMUNITY!$C:$C,$B$7,DATA_COMMUNITY!$D:$D,"Sunday"))</f>
        <v/>
      </c>
      <c r="O56">
        <f>IF(F56=0,0,SUMIFS(DATA_COMMUNITY!$O:$O,DATA_COMMUNITY!$A:$A,B56,DATA_COMMUNITY!$E:$E,$B$6,DATA_COMMUNITY!$C:$C,$B$7,DATA_COMMUNITY!$D:$D,"Sunday"))</f>
        <v/>
      </c>
      <c r="P56">
        <f>IF(B56="",0,$B$17)</f>
        <v/>
      </c>
      <c r="Q56">
        <f>F56</f>
        <v/>
      </c>
      <c r="R56">
        <f>MAX(0,P56-Q56)</f>
        <v/>
      </c>
      <c r="S56">
        <f>IF(F56&gt;0,1,0)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IFERROR(INDEX(MASTER_COMMUNITY!$A:$A,55)&amp;"","")</f>
        <v/>
      </c>
      <c r="AB56">
        <f>IF(AA56="","",INDEX(MASTER_COMMUNITY!$B:$B,55)&amp;"")</f>
        <v/>
      </c>
      <c r="AC56">
        <f>IF(AA56="","",INDEX(MASTER_COMMUNITY!$C:$C,55)&amp;"")</f>
        <v/>
      </c>
      <c r="AD56">
        <f>AND(AA56&lt;&gt;"",OR($B$6="*",AC56=$B$6),OR($B$7="*",AA56=$B$7))</f>
        <v/>
      </c>
      <c r="AE56">
        <f>IF(OR(AA56="",$B$10=0),"",IF(COUNTIFS(DATA_COMMUNITY!$A:$A,$B$10,DATA_COMMUNITY!$C:$C,AA56,DATA_COMMUNITY!$D:$D,"Sunday")=0,"",SUMIFS(DATA_COMMUNITY!$K:$K,DATA_COMMUNITY!$A:$A,$B$10,DATA_COMMUNITY!$C:$C,AA56,DATA_COMMUNITY!$D:$D,"Sunday")))</f>
        <v/>
      </c>
      <c r="AF56">
        <f>IF(OR(AA56="",$B$10=0),"",IF(COUNTIFS(DATA_COMMUNITY!$A:$A,$B$10-7,DATA_COMMUNITY!$C:$C,AA56,DATA_COMMUNITY!$D:$D,"Sunday")=0,"",SUMIFS(DATA_COMMUNITY!$K:$K,DATA_COMMUNITY!$A:$A,$B$10-7,DATA_COMMUNITY!$C:$C,AA56,DATA_COMMUNITY!$D:$D,"Sunday")))</f>
        <v/>
      </c>
      <c r="AG56">
        <f>IF(OR(AE56="",AF56="",AF56=0),"",AE56/AF56-1)</f>
        <v/>
      </c>
      <c r="AH56">
        <f>IF(OR(AA56="",$B$10=0),"",IF(COUNTIFS(DATA_COMMUNITY!$A:$A,"&gt;="&amp;($B$10-7*$B$11),DATA_COMMUNITY!$A:$A,"&lt;"&amp;$B$10,DATA_COMMUNITY!$C:$C,AA56,DATA_COMMUNITY!$D:$D,"Sunday")=0,"",SUMIFS(DATA_COMMUNITY!$K:$K,DATA_COMMUNITY!$A:$A,"&gt;="&amp;($B$10-7*$B$11),DATA_COMMUNITY!$A:$A,"&lt;"&amp;$B$10,DATA_COMMUNITY!$C:$C,AA56,DATA_COMMUNITY!$D:$D,"Sunday")/COUNTIFS(DATA_COMMUNITY!$A:$A,"&gt;="&amp;($B$10-7*$B$11),DATA_COMMUNITY!$A:$A,"&lt;"&amp;$B$10,DATA_COMMUNITY!$C:$C,AA56,DATA_COMMUNITY!$D:$D,"Sunday")))</f>
        <v/>
      </c>
      <c r="AI56">
        <f>IF(OR(AE56="",AH56="",AH56=0),"",AE56/AH56-1)</f>
        <v/>
      </c>
      <c r="AJ56">
        <f>IF(AE56="","",SUMIFS(DATA_COMMUNITY!$L:$L,DATA_COMMUNITY!$A:$A,$B$10,DATA_COMMUNITY!$C:$C,AA56,DATA_COMMUNITY!$D:$D,"Sunday"))</f>
        <v/>
      </c>
      <c r="AK56">
        <f>IF(AE56="","",SUMIFS(DATA_COMMUNITY!$O:$O,DATA_COMMUNITY!$A:$A,$B$10,DATA_COMMUNITY!$C:$C,AA56,DATA_COMMUNITY!$D:$D,"Sunday"))</f>
        <v/>
      </c>
      <c r="AL56">
        <f>IF(AA56="","",IF(AE56="","No","Yes"))</f>
        <v/>
      </c>
      <c r="AM56">
        <f>IF(AD56,ROW(),"")</f>
        <v/>
      </c>
      <c r="AN56">
        <f>IF(AND(AD56,AL56="No"),ROW(),"")</f>
        <v/>
      </c>
      <c r="AP56">
        <f>IFERROR(SMALL($AM$3:$AM$62,54),"")</f>
        <v/>
      </c>
      <c r="AQ56">
        <f>IFERROR(SMALL($AN$3:$AN$62,54),"")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IF(B57="",0,COUNTIFS(DATA_COMMUNITY!$A:$A,B57,DATA_COMMUNITY!$E:$E,$B$6,DATA_COMMUNITY!$C:$C,$B$7,DATA_COMMUNITY!$D:$D,"Sunday"))</f>
        <v/>
      </c>
      <c r="G57">
        <f>IF(F57=0,0,SUMIFS(DATA_COMMUNITY!$G:$G,DATA_COMMUNITY!$A:$A,B57,DATA_COMMUNITY!$E:$E,$B$6,DATA_COMMUNITY!$C:$C,$B$7,DATA_COMMUNITY!$D:$D,"Sunday"))</f>
        <v/>
      </c>
      <c r="H57">
        <f>IF(F57=0,0,SUMIFS(DATA_COMMUNITY!$H:$H,DATA_COMMUNITY!$A:$A,B57,DATA_COMMUNITY!$E:$E,$B$6,DATA_COMMUNITY!$C:$C,$B$7,DATA_COMMUNITY!$D:$D,"Sunday"))</f>
        <v/>
      </c>
      <c r="I57">
        <f>IF(F57=0,0,SUMIFS(DATA_COMMUNITY!$J:$J,DATA_COMMUNITY!$A:$A,B57,DATA_COMMUNITY!$E:$E,$B$6,DATA_COMMUNITY!$C:$C,$B$7,DATA_COMMUNITY!$D:$D,"Sunday"))</f>
        <v/>
      </c>
      <c r="J57">
        <f>G57+H57</f>
        <v/>
      </c>
      <c r="K57">
        <f>J57+I57</f>
        <v/>
      </c>
      <c r="L57">
        <f>IF(F57=0,0,SUMIFS(DATA_COMMUNITY!$L:$L,DATA_COMMUNITY!$A:$A,B57,DATA_COMMUNITY!$E:$E,$B$6,DATA_COMMUNITY!$C:$C,$B$7,DATA_COMMUNITY!$D:$D,"Sunday"))</f>
        <v/>
      </c>
      <c r="M57">
        <f>IF(F57=0,0,SUMIFS(DATA_COMMUNITY!$M:$M,DATA_COMMUNITY!$A:$A,B57,DATA_COMMUNITY!$E:$E,$B$6,DATA_COMMUNITY!$C:$C,$B$7,DATA_COMMUNITY!$D:$D,"Sunday"))</f>
        <v/>
      </c>
      <c r="N57">
        <f>IF(F57=0,0,SUMIFS(DATA_COMMUNITY!$N:$N,DATA_COMMUNITY!$A:$A,B57,DATA_COMMUNITY!$E:$E,$B$6,DATA_COMMUNITY!$C:$C,$B$7,DATA_COMMUNITY!$D:$D,"Sunday"))</f>
        <v/>
      </c>
      <c r="O57">
        <f>IF(F57=0,0,SUMIFS(DATA_COMMUNITY!$O:$O,DATA_COMMUNITY!$A:$A,B57,DATA_COMMUNITY!$E:$E,$B$6,DATA_COMMUNITY!$C:$C,$B$7,DATA_COMMUNITY!$D:$D,"Sunday"))</f>
        <v/>
      </c>
      <c r="P57">
        <f>IF(B57="",0,$B$17)</f>
        <v/>
      </c>
      <c r="Q57">
        <f>F57</f>
        <v/>
      </c>
      <c r="R57">
        <f>MAX(0,P57-Q57)</f>
        <v/>
      </c>
      <c r="S57">
        <f>IF(F57&gt;0,1,0)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IFERROR(INDEX(MASTER_COMMUNITY!$A:$A,56)&amp;"","")</f>
        <v/>
      </c>
      <c r="AB57">
        <f>IF(AA57="","",INDEX(MASTER_COMMUNITY!$B:$B,56)&amp;"")</f>
        <v/>
      </c>
      <c r="AC57">
        <f>IF(AA57="","",INDEX(MASTER_COMMUNITY!$C:$C,56)&amp;"")</f>
        <v/>
      </c>
      <c r="AD57">
        <f>AND(AA57&lt;&gt;"",OR($B$6="*",AC57=$B$6),OR($B$7="*",AA57=$B$7))</f>
        <v/>
      </c>
      <c r="AE57">
        <f>IF(OR(AA57="",$B$10=0),"",IF(COUNTIFS(DATA_COMMUNITY!$A:$A,$B$10,DATA_COMMUNITY!$C:$C,AA57,DATA_COMMUNITY!$D:$D,"Sunday")=0,"",SUMIFS(DATA_COMMUNITY!$K:$K,DATA_COMMUNITY!$A:$A,$B$10,DATA_COMMUNITY!$C:$C,AA57,DATA_COMMUNITY!$D:$D,"Sunday")))</f>
        <v/>
      </c>
      <c r="AF57">
        <f>IF(OR(AA57="",$B$10=0),"",IF(COUNTIFS(DATA_COMMUNITY!$A:$A,$B$10-7,DATA_COMMUNITY!$C:$C,AA57,DATA_COMMUNITY!$D:$D,"Sunday")=0,"",SUMIFS(DATA_COMMUNITY!$K:$K,DATA_COMMUNITY!$A:$A,$B$10-7,DATA_COMMUNITY!$C:$C,AA57,DATA_COMMUNITY!$D:$D,"Sunday")))</f>
        <v/>
      </c>
      <c r="AG57">
        <f>IF(OR(AE57="",AF57="",AF57=0),"",AE57/AF57-1)</f>
        <v/>
      </c>
      <c r="AH57">
        <f>IF(OR(AA57="",$B$10=0),"",IF(COUNTIFS(DATA_COMMUNITY!$A:$A,"&gt;="&amp;($B$10-7*$B$11),DATA_COMMUNITY!$A:$A,"&lt;"&amp;$B$10,DATA_COMMUNITY!$C:$C,AA57,DATA_COMMUNITY!$D:$D,"Sunday")=0,"",SUMIFS(DATA_COMMUNITY!$K:$K,DATA_COMMUNITY!$A:$A,"&gt;="&amp;($B$10-7*$B$11),DATA_COMMUNITY!$A:$A,"&lt;"&amp;$B$10,DATA_COMMUNITY!$C:$C,AA57,DATA_COMMUNITY!$D:$D,"Sunday")/COUNTIFS(DATA_COMMUNITY!$A:$A,"&gt;="&amp;($B$10-7*$B$11),DATA_COMMUNITY!$A:$A,"&lt;"&amp;$B$10,DATA_COMMUNITY!$C:$C,AA57,DATA_COMMUNITY!$D:$D,"Sunday")))</f>
        <v/>
      </c>
      <c r="AI57">
        <f>IF(OR(AE57="",AH57="",AH57=0),"",AE57/AH57-1)</f>
        <v/>
      </c>
      <c r="AJ57">
        <f>IF(AE57="","",SUMIFS(DATA_COMMUNITY!$L:$L,DATA_COMMUNITY!$A:$A,$B$10,DATA_COMMUNITY!$C:$C,AA57,DATA_COMMUNITY!$D:$D,"Sunday"))</f>
        <v/>
      </c>
      <c r="AK57">
        <f>IF(AE57="","",SUMIFS(DATA_COMMUNITY!$O:$O,DATA_COMMUNITY!$A:$A,$B$10,DATA_COMMUNITY!$C:$C,AA57,DATA_COMMUNITY!$D:$D,"Sunday"))</f>
        <v/>
      </c>
      <c r="AL57">
        <f>IF(AA57="","",IF(AE57="","No","Yes"))</f>
        <v/>
      </c>
      <c r="AM57">
        <f>IF(AD57,ROW(),"")</f>
        <v/>
      </c>
      <c r="AN57">
        <f>IF(AND(AD57,AL57="No"),ROW(),"")</f>
        <v/>
      </c>
      <c r="AP57">
        <f>IFERROR(SMALL($AM$3:$AM$62,55),"")</f>
        <v/>
      </c>
      <c r="AQ57">
        <f>IFERROR(SMALL($AN$3:$AN$62,55),"")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IF(B58="",0,COUNTIFS(DATA_COMMUNITY!$A:$A,B58,DATA_COMMUNITY!$E:$E,$B$6,DATA_COMMUNITY!$C:$C,$B$7,DATA_COMMUNITY!$D:$D,"Sunday"))</f>
        <v/>
      </c>
      <c r="G58">
        <f>IF(F58=0,0,SUMIFS(DATA_COMMUNITY!$G:$G,DATA_COMMUNITY!$A:$A,B58,DATA_COMMUNITY!$E:$E,$B$6,DATA_COMMUNITY!$C:$C,$B$7,DATA_COMMUNITY!$D:$D,"Sunday"))</f>
        <v/>
      </c>
      <c r="H58">
        <f>IF(F58=0,0,SUMIFS(DATA_COMMUNITY!$H:$H,DATA_COMMUNITY!$A:$A,B58,DATA_COMMUNITY!$E:$E,$B$6,DATA_COMMUNITY!$C:$C,$B$7,DATA_COMMUNITY!$D:$D,"Sunday"))</f>
        <v/>
      </c>
      <c r="I58">
        <f>IF(F58=0,0,SUMIFS(DATA_COMMUNITY!$J:$J,DATA_COMMUNITY!$A:$A,B58,DATA_COMMUNITY!$E:$E,$B$6,DATA_COMMUNITY!$C:$C,$B$7,DATA_COMMUNITY!$D:$D,"Sunday"))</f>
        <v/>
      </c>
      <c r="J58">
        <f>G58+H58</f>
        <v/>
      </c>
      <c r="K58">
        <f>J58+I58</f>
        <v/>
      </c>
      <c r="L58">
        <f>IF(F58=0,0,SUMIFS(DATA_COMMUNITY!$L:$L,DATA_COMMUNITY!$A:$A,B58,DATA_COMMUNITY!$E:$E,$B$6,DATA_COMMUNITY!$C:$C,$B$7,DATA_COMMUNITY!$D:$D,"Sunday"))</f>
        <v/>
      </c>
      <c r="M58">
        <f>IF(F58=0,0,SUMIFS(DATA_COMMUNITY!$M:$M,DATA_COMMUNITY!$A:$A,B58,DATA_COMMUNITY!$E:$E,$B$6,DATA_COMMUNITY!$C:$C,$B$7,DATA_COMMUNITY!$D:$D,"Sunday"))</f>
        <v/>
      </c>
      <c r="N58">
        <f>IF(F58=0,0,SUMIFS(DATA_COMMUNITY!$N:$N,DATA_COMMUNITY!$A:$A,B58,DATA_COMMUNITY!$E:$E,$B$6,DATA_COMMUNITY!$C:$C,$B$7,DATA_COMMUNITY!$D:$D,"Sunday"))</f>
        <v/>
      </c>
      <c r="O58">
        <f>IF(F58=0,0,SUMIFS(DATA_COMMUNITY!$O:$O,DATA_COMMUNITY!$A:$A,B58,DATA_COMMUNITY!$E:$E,$B$6,DATA_COMMUNITY!$C:$C,$B$7,DATA_COMMUNITY!$D:$D,"Sunday"))</f>
        <v/>
      </c>
      <c r="P58">
        <f>IF(B58="",0,$B$17)</f>
        <v/>
      </c>
      <c r="Q58">
        <f>F58</f>
        <v/>
      </c>
      <c r="R58">
        <f>MAX(0,P58-Q58)</f>
        <v/>
      </c>
      <c r="S58">
        <f>IF(F58&gt;0,1,0)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IFERROR(INDEX(MASTER_COMMUNITY!$A:$A,57)&amp;"","")</f>
        <v/>
      </c>
      <c r="AB58">
        <f>IF(AA58="","",INDEX(MASTER_COMMUNITY!$B:$B,57)&amp;"")</f>
        <v/>
      </c>
      <c r="AC58">
        <f>IF(AA58="","",INDEX(MASTER_COMMUNITY!$C:$C,57)&amp;"")</f>
        <v/>
      </c>
      <c r="AD58">
        <f>AND(AA58&lt;&gt;"",OR($B$6="*",AC58=$B$6),OR($B$7="*",AA58=$B$7))</f>
        <v/>
      </c>
      <c r="AE58">
        <f>IF(OR(AA58="",$B$10=0),"",IF(COUNTIFS(DATA_COMMUNITY!$A:$A,$B$10,DATA_COMMUNITY!$C:$C,AA58,DATA_COMMUNITY!$D:$D,"Sunday")=0,"",SUMIFS(DATA_COMMUNITY!$K:$K,DATA_COMMUNITY!$A:$A,$B$10,DATA_COMMUNITY!$C:$C,AA58,DATA_COMMUNITY!$D:$D,"Sunday")))</f>
        <v/>
      </c>
      <c r="AF58">
        <f>IF(OR(AA58="",$B$10=0),"",IF(COUNTIFS(DATA_COMMUNITY!$A:$A,$B$10-7,DATA_COMMUNITY!$C:$C,AA58,DATA_COMMUNITY!$D:$D,"Sunday")=0,"",SUMIFS(DATA_COMMUNITY!$K:$K,DATA_COMMUNITY!$A:$A,$B$10-7,DATA_COMMUNITY!$C:$C,AA58,DATA_COMMUNITY!$D:$D,"Sunday")))</f>
        <v/>
      </c>
      <c r="AG58">
        <f>IF(OR(AE58="",AF58="",AF58=0),"",AE58/AF58-1)</f>
        <v/>
      </c>
      <c r="AH58">
        <f>IF(OR(AA58="",$B$10=0),"",IF(COUNTIFS(DATA_COMMUNITY!$A:$A,"&gt;="&amp;($B$10-7*$B$11),DATA_COMMUNITY!$A:$A,"&lt;"&amp;$B$10,DATA_COMMUNITY!$C:$C,AA58,DATA_COMMUNITY!$D:$D,"Sunday")=0,"",SUMIFS(DATA_COMMUNITY!$K:$K,DATA_COMMUNITY!$A:$A,"&gt;="&amp;($B$10-7*$B$11),DATA_COMMUNITY!$A:$A,"&lt;"&amp;$B$10,DATA_COMMUNITY!$C:$C,AA58,DATA_COMMUNITY!$D:$D,"Sunday")/COUNTIFS(DATA_COMMUNITY!$A:$A,"&gt;="&amp;($B$10-7*$B$11),DATA_COMMUNITY!$A:$A,"&lt;"&amp;$B$10,DATA_COMMUNITY!$C:$C,AA58,DATA_COMMUNITY!$D:$D,"Sunday")))</f>
        <v/>
      </c>
      <c r="AI58">
        <f>IF(OR(AE58="",AH58="",AH58=0),"",AE58/AH58-1)</f>
        <v/>
      </c>
      <c r="AJ58">
        <f>IF(AE58="","",SUMIFS(DATA_COMMUNITY!$L:$L,DATA_COMMUNITY!$A:$A,$B$10,DATA_COMMUNITY!$C:$C,AA58,DATA_COMMUNITY!$D:$D,"Sunday"))</f>
        <v/>
      </c>
      <c r="AK58">
        <f>IF(AE58="","",SUMIFS(DATA_COMMUNITY!$O:$O,DATA_COMMUNITY!$A:$A,$B$10,DATA_COMMUNITY!$C:$C,AA58,DATA_COMMUNITY!$D:$D,"Sunday"))</f>
        <v/>
      </c>
      <c r="AL58">
        <f>IF(AA58="","",IF(AE58="","No","Yes"))</f>
        <v/>
      </c>
      <c r="AM58">
        <f>IF(AD58,ROW(),"")</f>
        <v/>
      </c>
      <c r="AN58">
        <f>IF(AND(AD58,AL58="No"),ROW(),"")</f>
        <v/>
      </c>
      <c r="AP58">
        <f>IFERROR(SMALL($AM$3:$AM$62,56),"")</f>
        <v/>
      </c>
      <c r="AQ58">
        <f>IFERROR(SMALL($AN$3:$AN$62,56),"")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IF(B59="",0,COUNTIFS(DATA_COMMUNITY!$A:$A,B59,DATA_COMMUNITY!$E:$E,$B$6,DATA_COMMUNITY!$C:$C,$B$7,DATA_COMMUNITY!$D:$D,"Sunday"))</f>
        <v/>
      </c>
      <c r="G59">
        <f>IF(F59=0,0,SUMIFS(DATA_COMMUNITY!$G:$G,DATA_COMMUNITY!$A:$A,B59,DATA_COMMUNITY!$E:$E,$B$6,DATA_COMMUNITY!$C:$C,$B$7,DATA_COMMUNITY!$D:$D,"Sunday"))</f>
        <v/>
      </c>
      <c r="H59">
        <f>IF(F59=0,0,SUMIFS(DATA_COMMUNITY!$H:$H,DATA_COMMUNITY!$A:$A,B59,DATA_COMMUNITY!$E:$E,$B$6,DATA_COMMUNITY!$C:$C,$B$7,DATA_COMMUNITY!$D:$D,"Sunday"))</f>
        <v/>
      </c>
      <c r="I59">
        <f>IF(F59=0,0,SUMIFS(DATA_COMMUNITY!$J:$J,DATA_COMMUNITY!$A:$A,B59,DATA_COMMUNITY!$E:$E,$B$6,DATA_COMMUNITY!$C:$C,$B$7,DATA_COMMUNITY!$D:$D,"Sunday"))</f>
        <v/>
      </c>
      <c r="J59">
        <f>G59+H59</f>
        <v/>
      </c>
      <c r="K59">
        <f>J59+I59</f>
        <v/>
      </c>
      <c r="L59">
        <f>IF(F59=0,0,SUMIFS(DATA_COMMUNITY!$L:$L,DATA_COMMUNITY!$A:$A,B59,DATA_COMMUNITY!$E:$E,$B$6,DATA_COMMUNITY!$C:$C,$B$7,DATA_COMMUNITY!$D:$D,"Sunday"))</f>
        <v/>
      </c>
      <c r="M59">
        <f>IF(F59=0,0,SUMIFS(DATA_COMMUNITY!$M:$M,DATA_COMMUNITY!$A:$A,B59,DATA_COMMUNITY!$E:$E,$B$6,DATA_COMMUNITY!$C:$C,$B$7,DATA_COMMUNITY!$D:$D,"Sunday"))</f>
        <v/>
      </c>
      <c r="N59">
        <f>IF(F59=0,0,SUMIFS(DATA_COMMUNITY!$N:$N,DATA_COMMUNITY!$A:$A,B59,DATA_COMMUNITY!$E:$E,$B$6,DATA_COMMUNITY!$C:$C,$B$7,DATA_COMMUNITY!$D:$D,"Sunday"))</f>
        <v/>
      </c>
      <c r="O59">
        <f>IF(F59=0,0,SUMIFS(DATA_COMMUNITY!$O:$O,DATA_COMMUNITY!$A:$A,B59,DATA_COMMUNITY!$E:$E,$B$6,DATA_COMMUNITY!$C:$C,$B$7,DATA_COMMUNITY!$D:$D,"Sunday"))</f>
        <v/>
      </c>
      <c r="P59">
        <f>IF(B59="",0,$B$17)</f>
        <v/>
      </c>
      <c r="Q59">
        <f>F59</f>
        <v/>
      </c>
      <c r="R59">
        <f>MAX(0,P59-Q59)</f>
        <v/>
      </c>
      <c r="S59">
        <f>IF(F59&gt;0,1,0)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IFERROR(INDEX(MASTER_COMMUNITY!$A:$A,58)&amp;"","")</f>
        <v/>
      </c>
      <c r="AB59">
        <f>IF(AA59="","",INDEX(MASTER_COMMUNITY!$B:$B,58)&amp;"")</f>
        <v/>
      </c>
      <c r="AC59">
        <f>IF(AA59="","",INDEX(MASTER_COMMUNITY!$C:$C,58)&amp;"")</f>
        <v/>
      </c>
      <c r="AD59">
        <f>AND(AA59&lt;&gt;"",OR($B$6="*",AC59=$B$6),OR($B$7="*",AA59=$B$7))</f>
        <v/>
      </c>
      <c r="AE59">
        <f>IF(OR(AA59="",$B$10=0),"",IF(COUNTIFS(DATA_COMMUNITY!$A:$A,$B$10,DATA_COMMUNITY!$C:$C,AA59,DATA_COMMUNITY!$D:$D,"Sunday")=0,"",SUMIFS(DATA_COMMUNITY!$K:$K,DATA_COMMUNITY!$A:$A,$B$10,DATA_COMMUNITY!$C:$C,AA59,DATA_COMMUNITY!$D:$D,"Sunday")))</f>
        <v/>
      </c>
      <c r="AF59">
        <f>IF(OR(AA59="",$B$10=0),"",IF(COUNTIFS(DATA_COMMUNITY!$A:$A,$B$10-7,DATA_COMMUNITY!$C:$C,AA59,DATA_COMMUNITY!$D:$D,"Sunday")=0,"",SUMIFS(DATA_COMMUNITY!$K:$K,DATA_COMMUNITY!$A:$A,$B$10-7,DATA_COMMUNITY!$C:$C,AA59,DATA_COMMUNITY!$D:$D,"Sunday")))</f>
        <v/>
      </c>
      <c r="AG59">
        <f>IF(OR(AE59="",AF59="",AF59=0),"",AE59/AF59-1)</f>
        <v/>
      </c>
      <c r="AH59">
        <f>IF(OR(AA59="",$B$10=0),"",IF(COUNTIFS(DATA_COMMUNITY!$A:$A,"&gt;="&amp;($B$10-7*$B$11),DATA_COMMUNITY!$A:$A,"&lt;"&amp;$B$10,DATA_COMMUNITY!$C:$C,AA59,DATA_COMMUNITY!$D:$D,"Sunday")=0,"",SUMIFS(DATA_COMMUNITY!$K:$K,DATA_COMMUNITY!$A:$A,"&gt;="&amp;($B$10-7*$B$11),DATA_COMMUNITY!$A:$A,"&lt;"&amp;$B$10,DATA_COMMUNITY!$C:$C,AA59,DATA_COMMUNITY!$D:$D,"Sunday")/COUNTIFS(DATA_COMMUNITY!$A:$A,"&gt;="&amp;($B$10-7*$B$11),DATA_COMMUNITY!$A:$A,"&lt;"&amp;$B$10,DATA_COMMUNITY!$C:$C,AA59,DATA_COMMUNITY!$D:$D,"Sunday")))</f>
        <v/>
      </c>
      <c r="AI59">
        <f>IF(OR(AE59="",AH59="",AH59=0),"",AE59/AH59-1)</f>
        <v/>
      </c>
      <c r="AJ59">
        <f>IF(AE59="","",SUMIFS(DATA_COMMUNITY!$L:$L,DATA_COMMUNITY!$A:$A,$B$10,DATA_COMMUNITY!$C:$C,AA59,DATA_COMMUNITY!$D:$D,"Sunday"))</f>
        <v/>
      </c>
      <c r="AK59">
        <f>IF(AE59="","",SUMIFS(DATA_COMMUNITY!$O:$O,DATA_COMMUNITY!$A:$A,$B$10,DATA_COMMUNITY!$C:$C,AA59,DATA_COMMUNITY!$D:$D,"Sunday"))</f>
        <v/>
      </c>
      <c r="AL59">
        <f>IF(AA59="","",IF(AE59="","No","Yes"))</f>
        <v/>
      </c>
      <c r="AM59">
        <f>IF(AD59,ROW(),"")</f>
        <v/>
      </c>
      <c r="AN59">
        <f>IF(AND(AD59,AL59="No"),ROW(),"")</f>
        <v/>
      </c>
      <c r="AP59">
        <f>IFERROR(SMALL($AM$3:$AM$62,57),"")</f>
        <v/>
      </c>
      <c r="AQ59">
        <f>IFERROR(SMALL($AN$3:$AN$62,57),"")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IF(B60="",0,COUNTIFS(DATA_COMMUNITY!$A:$A,B60,DATA_COMMUNITY!$E:$E,$B$6,DATA_COMMUNITY!$C:$C,$B$7,DATA_COMMUNITY!$D:$D,"Sunday"))</f>
        <v/>
      </c>
      <c r="G60">
        <f>IF(F60=0,0,SUMIFS(DATA_COMMUNITY!$G:$G,DATA_COMMUNITY!$A:$A,B60,DATA_COMMUNITY!$E:$E,$B$6,DATA_COMMUNITY!$C:$C,$B$7,DATA_COMMUNITY!$D:$D,"Sunday"))</f>
        <v/>
      </c>
      <c r="H60">
        <f>IF(F60=0,0,SUMIFS(DATA_COMMUNITY!$H:$H,DATA_COMMUNITY!$A:$A,B60,DATA_COMMUNITY!$E:$E,$B$6,DATA_COMMUNITY!$C:$C,$B$7,DATA_COMMUNITY!$D:$D,"Sunday"))</f>
        <v/>
      </c>
      <c r="I60">
        <f>IF(F60=0,0,SUMIFS(DATA_COMMUNITY!$J:$J,DATA_COMMUNITY!$A:$A,B60,DATA_COMMUNITY!$E:$E,$B$6,DATA_COMMUNITY!$C:$C,$B$7,DATA_COMMUNITY!$D:$D,"Sunday"))</f>
        <v/>
      </c>
      <c r="J60">
        <f>G60+H60</f>
        <v/>
      </c>
      <c r="K60">
        <f>J60+I60</f>
        <v/>
      </c>
      <c r="L60">
        <f>IF(F60=0,0,SUMIFS(DATA_COMMUNITY!$L:$L,DATA_COMMUNITY!$A:$A,B60,DATA_COMMUNITY!$E:$E,$B$6,DATA_COMMUNITY!$C:$C,$B$7,DATA_COMMUNITY!$D:$D,"Sunday"))</f>
        <v/>
      </c>
      <c r="M60">
        <f>IF(F60=0,0,SUMIFS(DATA_COMMUNITY!$M:$M,DATA_COMMUNITY!$A:$A,B60,DATA_COMMUNITY!$E:$E,$B$6,DATA_COMMUNITY!$C:$C,$B$7,DATA_COMMUNITY!$D:$D,"Sunday"))</f>
        <v/>
      </c>
      <c r="N60">
        <f>IF(F60=0,0,SUMIFS(DATA_COMMUNITY!$N:$N,DATA_COMMUNITY!$A:$A,B60,DATA_COMMUNITY!$E:$E,$B$6,DATA_COMMUNITY!$C:$C,$B$7,DATA_COMMUNITY!$D:$D,"Sunday"))</f>
        <v/>
      </c>
      <c r="O60">
        <f>IF(F60=0,0,SUMIFS(DATA_COMMUNITY!$O:$O,DATA_COMMUNITY!$A:$A,B60,DATA_COMMUNITY!$E:$E,$B$6,DATA_COMMUNITY!$C:$C,$B$7,DATA_COMMUNITY!$D:$D,"Sunday"))</f>
        <v/>
      </c>
      <c r="P60">
        <f>IF(B60="",0,$B$17)</f>
        <v/>
      </c>
      <c r="Q60">
        <f>F60</f>
        <v/>
      </c>
      <c r="R60">
        <f>MAX(0,P60-Q60)</f>
        <v/>
      </c>
      <c r="S60">
        <f>IF(F60&gt;0,1,0)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IFERROR(INDEX(MASTER_COMMUNITY!$A:$A,59)&amp;"","")</f>
        <v/>
      </c>
      <c r="AB60">
        <f>IF(AA60="","",INDEX(MASTER_COMMUNITY!$B:$B,59)&amp;"")</f>
        <v/>
      </c>
      <c r="AC60">
        <f>IF(AA60="","",INDEX(MASTER_COMMUNITY!$C:$C,59)&amp;"")</f>
        <v/>
      </c>
      <c r="AD60">
        <f>AND(AA60&lt;&gt;"",OR($B$6="*",AC60=$B$6),OR($B$7="*",AA60=$B$7))</f>
        <v/>
      </c>
      <c r="AE60">
        <f>IF(OR(AA60="",$B$10=0),"",IF(COUNTIFS(DATA_COMMUNITY!$A:$A,$B$10,DATA_COMMUNITY!$C:$C,AA60,DATA_COMMUNITY!$D:$D,"Sunday")=0,"",SUMIFS(DATA_COMMUNITY!$K:$K,DATA_COMMUNITY!$A:$A,$B$10,DATA_COMMUNITY!$C:$C,AA60,DATA_COMMUNITY!$D:$D,"Sunday")))</f>
        <v/>
      </c>
      <c r="AF60">
        <f>IF(OR(AA60="",$B$10=0),"",IF(COUNTIFS(DATA_COMMUNITY!$A:$A,$B$10-7,DATA_COMMUNITY!$C:$C,AA60,DATA_COMMUNITY!$D:$D,"Sunday")=0,"",SUMIFS(DATA_COMMUNITY!$K:$K,DATA_COMMUNITY!$A:$A,$B$10-7,DATA_COMMUNITY!$C:$C,AA60,DATA_COMMUNITY!$D:$D,"Sunday")))</f>
        <v/>
      </c>
      <c r="AG60">
        <f>IF(OR(AE60="",AF60="",AF60=0),"",AE60/AF60-1)</f>
        <v/>
      </c>
      <c r="AH60">
        <f>IF(OR(AA60="",$B$10=0),"",IF(COUNTIFS(DATA_COMMUNITY!$A:$A,"&gt;="&amp;($B$10-7*$B$11),DATA_COMMUNITY!$A:$A,"&lt;"&amp;$B$10,DATA_COMMUNITY!$C:$C,AA60,DATA_COMMUNITY!$D:$D,"Sunday")=0,"",SUMIFS(DATA_COMMUNITY!$K:$K,DATA_COMMUNITY!$A:$A,"&gt;="&amp;($B$10-7*$B$11),DATA_COMMUNITY!$A:$A,"&lt;"&amp;$B$10,DATA_COMMUNITY!$C:$C,AA60,DATA_COMMUNITY!$D:$D,"Sunday")/COUNTIFS(DATA_COMMUNITY!$A:$A,"&gt;="&amp;($B$10-7*$B$11),DATA_COMMUNITY!$A:$A,"&lt;"&amp;$B$10,DATA_COMMUNITY!$C:$C,AA60,DATA_COMMUNITY!$D:$D,"Sunday")))</f>
        <v/>
      </c>
      <c r="AI60">
        <f>IF(OR(AE60="",AH60="",AH60=0),"",AE60/AH60-1)</f>
        <v/>
      </c>
      <c r="AJ60">
        <f>IF(AE60="","",SUMIFS(DATA_COMMUNITY!$L:$L,DATA_COMMUNITY!$A:$A,$B$10,DATA_COMMUNITY!$C:$C,AA60,DATA_COMMUNITY!$D:$D,"Sunday"))</f>
        <v/>
      </c>
      <c r="AK60">
        <f>IF(AE60="","",SUMIFS(DATA_COMMUNITY!$O:$O,DATA_COMMUNITY!$A:$A,$B$10,DATA_COMMUNITY!$C:$C,AA60,DATA_COMMUNITY!$D:$D,"Sunday"))</f>
        <v/>
      </c>
      <c r="AL60">
        <f>IF(AA60="","",IF(AE60="","No","Yes"))</f>
        <v/>
      </c>
      <c r="AM60">
        <f>IF(AD60,ROW(),"")</f>
        <v/>
      </c>
      <c r="AN60">
        <f>IF(AND(AD60,AL60="No"),ROW(),"")</f>
        <v/>
      </c>
      <c r="AP60">
        <f>IFERROR(SMALL($AM$3:$AM$62,58),"")</f>
        <v/>
      </c>
      <c r="AQ60">
        <f>IFERROR(SMALL($AN$3:$AN$62,58),"")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IF(B61="",0,COUNTIFS(DATA_COMMUNITY!$A:$A,B61,DATA_COMMUNITY!$E:$E,$B$6,DATA_COMMUNITY!$C:$C,$B$7,DATA_COMMUNITY!$D:$D,"Sunday"))</f>
        <v/>
      </c>
      <c r="G61">
        <f>IF(F61=0,0,SUMIFS(DATA_COMMUNITY!$G:$G,DATA_COMMUNITY!$A:$A,B61,DATA_COMMUNITY!$E:$E,$B$6,DATA_COMMUNITY!$C:$C,$B$7,DATA_COMMUNITY!$D:$D,"Sunday"))</f>
        <v/>
      </c>
      <c r="H61">
        <f>IF(F61=0,0,SUMIFS(DATA_COMMUNITY!$H:$H,DATA_COMMUNITY!$A:$A,B61,DATA_COMMUNITY!$E:$E,$B$6,DATA_COMMUNITY!$C:$C,$B$7,DATA_COMMUNITY!$D:$D,"Sunday"))</f>
        <v/>
      </c>
      <c r="I61">
        <f>IF(F61=0,0,SUMIFS(DATA_COMMUNITY!$J:$J,DATA_COMMUNITY!$A:$A,B61,DATA_COMMUNITY!$E:$E,$B$6,DATA_COMMUNITY!$C:$C,$B$7,DATA_COMMUNITY!$D:$D,"Sunday"))</f>
        <v/>
      </c>
      <c r="J61">
        <f>G61+H61</f>
        <v/>
      </c>
      <c r="K61">
        <f>J61+I61</f>
        <v/>
      </c>
      <c r="L61">
        <f>IF(F61=0,0,SUMIFS(DATA_COMMUNITY!$L:$L,DATA_COMMUNITY!$A:$A,B61,DATA_COMMUNITY!$E:$E,$B$6,DATA_COMMUNITY!$C:$C,$B$7,DATA_COMMUNITY!$D:$D,"Sunday"))</f>
        <v/>
      </c>
      <c r="M61">
        <f>IF(F61=0,0,SUMIFS(DATA_COMMUNITY!$M:$M,DATA_COMMUNITY!$A:$A,B61,DATA_COMMUNITY!$E:$E,$B$6,DATA_COMMUNITY!$C:$C,$B$7,DATA_COMMUNITY!$D:$D,"Sunday"))</f>
        <v/>
      </c>
      <c r="N61">
        <f>IF(F61=0,0,SUMIFS(DATA_COMMUNITY!$N:$N,DATA_COMMUNITY!$A:$A,B61,DATA_COMMUNITY!$E:$E,$B$6,DATA_COMMUNITY!$C:$C,$B$7,DATA_COMMUNITY!$D:$D,"Sunday"))</f>
        <v/>
      </c>
      <c r="O61">
        <f>IF(F61=0,0,SUMIFS(DATA_COMMUNITY!$O:$O,DATA_COMMUNITY!$A:$A,B61,DATA_COMMUNITY!$E:$E,$B$6,DATA_COMMUNITY!$C:$C,$B$7,DATA_COMMUNITY!$D:$D,"Sunday"))</f>
        <v/>
      </c>
      <c r="P61">
        <f>IF(B61="",0,$B$17)</f>
        <v/>
      </c>
      <c r="Q61">
        <f>F61</f>
        <v/>
      </c>
      <c r="R61">
        <f>MAX(0,P61-Q61)</f>
        <v/>
      </c>
      <c r="S61">
        <f>IF(F61&gt;0,1,0)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IFERROR(INDEX(MASTER_COMMUNITY!$A:$A,60)&amp;"","")</f>
        <v/>
      </c>
      <c r="AB61">
        <f>IF(AA61="","",INDEX(MASTER_COMMUNITY!$B:$B,60)&amp;"")</f>
        <v/>
      </c>
      <c r="AC61">
        <f>IF(AA61="","",INDEX(MASTER_COMMUNITY!$C:$C,60)&amp;"")</f>
        <v/>
      </c>
      <c r="AD61">
        <f>AND(AA61&lt;&gt;"",OR($B$6="*",AC61=$B$6),OR($B$7="*",AA61=$B$7))</f>
        <v/>
      </c>
      <c r="AE61">
        <f>IF(OR(AA61="",$B$10=0),"",IF(COUNTIFS(DATA_COMMUNITY!$A:$A,$B$10,DATA_COMMUNITY!$C:$C,AA61,DATA_COMMUNITY!$D:$D,"Sunday")=0,"",SUMIFS(DATA_COMMUNITY!$K:$K,DATA_COMMUNITY!$A:$A,$B$10,DATA_COMMUNITY!$C:$C,AA61,DATA_COMMUNITY!$D:$D,"Sunday")))</f>
        <v/>
      </c>
      <c r="AF61">
        <f>IF(OR(AA61="",$B$10=0),"",IF(COUNTIFS(DATA_COMMUNITY!$A:$A,$B$10-7,DATA_COMMUNITY!$C:$C,AA61,DATA_COMMUNITY!$D:$D,"Sunday")=0,"",SUMIFS(DATA_COMMUNITY!$K:$K,DATA_COMMUNITY!$A:$A,$B$10-7,DATA_COMMUNITY!$C:$C,AA61,DATA_COMMUNITY!$D:$D,"Sunday")))</f>
        <v/>
      </c>
      <c r="AG61">
        <f>IF(OR(AE61="",AF61="",AF61=0),"",AE61/AF61-1)</f>
        <v/>
      </c>
      <c r="AH61">
        <f>IF(OR(AA61="",$B$10=0),"",IF(COUNTIFS(DATA_COMMUNITY!$A:$A,"&gt;="&amp;($B$10-7*$B$11),DATA_COMMUNITY!$A:$A,"&lt;"&amp;$B$10,DATA_COMMUNITY!$C:$C,AA61,DATA_COMMUNITY!$D:$D,"Sunday")=0,"",SUMIFS(DATA_COMMUNITY!$K:$K,DATA_COMMUNITY!$A:$A,"&gt;="&amp;($B$10-7*$B$11),DATA_COMMUNITY!$A:$A,"&lt;"&amp;$B$10,DATA_COMMUNITY!$C:$C,AA61,DATA_COMMUNITY!$D:$D,"Sunday")/COUNTIFS(DATA_COMMUNITY!$A:$A,"&gt;="&amp;($B$10-7*$B$11),DATA_COMMUNITY!$A:$A,"&lt;"&amp;$B$10,DATA_COMMUNITY!$C:$C,AA61,DATA_COMMUNITY!$D:$D,"Sunday")))</f>
        <v/>
      </c>
      <c r="AI61">
        <f>IF(OR(AE61="",AH61="",AH61=0),"",AE61/AH61-1)</f>
        <v/>
      </c>
      <c r="AJ61">
        <f>IF(AE61="","",SUMIFS(DATA_COMMUNITY!$L:$L,DATA_COMMUNITY!$A:$A,$B$10,DATA_COMMUNITY!$C:$C,AA61,DATA_COMMUNITY!$D:$D,"Sunday"))</f>
        <v/>
      </c>
      <c r="AK61">
        <f>IF(AE61="","",SUMIFS(DATA_COMMUNITY!$O:$O,DATA_COMMUNITY!$A:$A,$B$10,DATA_COMMUNITY!$C:$C,AA61,DATA_COMMUNITY!$D:$D,"Sunday"))</f>
        <v/>
      </c>
      <c r="AL61">
        <f>IF(AA61="","",IF(AE61="","No","Yes"))</f>
        <v/>
      </c>
      <c r="AM61">
        <f>IF(AD61,ROW(),"")</f>
        <v/>
      </c>
      <c r="AN61">
        <f>IF(AND(AD61,AL61="No"),ROW(),"")</f>
        <v/>
      </c>
      <c r="AP61">
        <f>IFERROR(SMALL($AM$3:$AM$62,59),"")</f>
        <v/>
      </c>
      <c r="AQ61">
        <f>IFERROR(SMALL($AN$3:$AN$62,59),"")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IF(B62="",0,COUNTIFS(DATA_COMMUNITY!$A:$A,B62,DATA_COMMUNITY!$E:$E,$B$6,DATA_COMMUNITY!$C:$C,$B$7,DATA_COMMUNITY!$D:$D,"Sunday"))</f>
        <v/>
      </c>
      <c r="G62">
        <f>IF(F62=0,0,SUMIFS(DATA_COMMUNITY!$G:$G,DATA_COMMUNITY!$A:$A,B62,DATA_COMMUNITY!$E:$E,$B$6,DATA_COMMUNITY!$C:$C,$B$7,DATA_COMMUNITY!$D:$D,"Sunday"))</f>
        <v/>
      </c>
      <c r="H62">
        <f>IF(F62=0,0,SUMIFS(DATA_COMMUNITY!$H:$H,DATA_COMMUNITY!$A:$A,B62,DATA_COMMUNITY!$E:$E,$B$6,DATA_COMMUNITY!$C:$C,$B$7,DATA_COMMUNITY!$D:$D,"Sunday"))</f>
        <v/>
      </c>
      <c r="I62">
        <f>IF(F62=0,0,SUMIFS(DATA_COMMUNITY!$J:$J,DATA_COMMUNITY!$A:$A,B62,DATA_COMMUNITY!$E:$E,$B$6,DATA_COMMUNITY!$C:$C,$B$7,DATA_COMMUNITY!$D:$D,"Sunday"))</f>
        <v/>
      </c>
      <c r="J62">
        <f>G62+H62</f>
        <v/>
      </c>
      <c r="K62">
        <f>J62+I62</f>
        <v/>
      </c>
      <c r="L62">
        <f>IF(F62=0,0,SUMIFS(DATA_COMMUNITY!$L:$L,DATA_COMMUNITY!$A:$A,B62,DATA_COMMUNITY!$E:$E,$B$6,DATA_COMMUNITY!$C:$C,$B$7,DATA_COMMUNITY!$D:$D,"Sunday"))</f>
        <v/>
      </c>
      <c r="M62">
        <f>IF(F62=0,0,SUMIFS(DATA_COMMUNITY!$M:$M,DATA_COMMUNITY!$A:$A,B62,DATA_COMMUNITY!$E:$E,$B$6,DATA_COMMUNITY!$C:$C,$B$7,DATA_COMMUNITY!$D:$D,"Sunday"))</f>
        <v/>
      </c>
      <c r="N62">
        <f>IF(F62=0,0,SUMIFS(DATA_COMMUNITY!$N:$N,DATA_COMMUNITY!$A:$A,B62,DATA_COMMUNITY!$E:$E,$B$6,DATA_COMMUNITY!$C:$C,$B$7,DATA_COMMUNITY!$D:$D,"Sunday"))</f>
        <v/>
      </c>
      <c r="O62">
        <f>IF(F62=0,0,SUMIFS(DATA_COMMUNITY!$O:$O,DATA_COMMUNITY!$A:$A,B62,DATA_COMMUNITY!$E:$E,$B$6,DATA_COMMUNITY!$C:$C,$B$7,DATA_COMMUNITY!$D:$D,"Sunday"))</f>
        <v/>
      </c>
      <c r="P62">
        <f>IF(B62="",0,$B$17)</f>
        <v/>
      </c>
      <c r="Q62">
        <f>F62</f>
        <v/>
      </c>
      <c r="R62">
        <f>MAX(0,P62-Q62)</f>
        <v/>
      </c>
      <c r="S62">
        <f>IF(F62&gt;0,1,0)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IFERROR(INDEX(MASTER_COMMUNITY!$A:$A,61)&amp;"","")</f>
        <v/>
      </c>
      <c r="AB62">
        <f>IF(AA62="","",INDEX(MASTER_COMMUNITY!$B:$B,61)&amp;"")</f>
        <v/>
      </c>
      <c r="AC62">
        <f>IF(AA62="","",INDEX(MASTER_COMMUNITY!$C:$C,61)&amp;"")</f>
        <v/>
      </c>
      <c r="AD62">
        <f>AND(AA62&lt;&gt;"",OR($B$6="*",AC62=$B$6),OR($B$7="*",AA62=$B$7))</f>
        <v/>
      </c>
      <c r="AE62">
        <f>IF(OR(AA62="",$B$10=0),"",IF(COUNTIFS(DATA_COMMUNITY!$A:$A,$B$10,DATA_COMMUNITY!$C:$C,AA62,DATA_COMMUNITY!$D:$D,"Sunday")=0,"",SUMIFS(DATA_COMMUNITY!$K:$K,DATA_COMMUNITY!$A:$A,$B$10,DATA_COMMUNITY!$C:$C,AA62,DATA_COMMUNITY!$D:$D,"Sunday")))</f>
        <v/>
      </c>
      <c r="AF62">
        <f>IF(OR(AA62="",$B$10=0),"",IF(COUNTIFS(DATA_COMMUNITY!$A:$A,$B$10-7,DATA_COMMUNITY!$C:$C,AA62,DATA_COMMUNITY!$D:$D,"Sunday")=0,"",SUMIFS(DATA_COMMUNITY!$K:$K,DATA_COMMUNITY!$A:$A,$B$10-7,DATA_COMMUNITY!$C:$C,AA62,DATA_COMMUNITY!$D:$D,"Sunday")))</f>
        <v/>
      </c>
      <c r="AG62">
        <f>IF(OR(AE62="",AF62="",AF62=0),"",AE62/AF62-1)</f>
        <v/>
      </c>
      <c r="AH62">
        <f>IF(OR(AA62="",$B$10=0),"",IF(COUNTIFS(DATA_COMMUNITY!$A:$A,"&gt;="&amp;($B$10-7*$B$11),DATA_COMMUNITY!$A:$A,"&lt;"&amp;$B$10,DATA_COMMUNITY!$C:$C,AA62,DATA_COMMUNITY!$D:$D,"Sunday")=0,"",SUMIFS(DATA_COMMUNITY!$K:$K,DATA_COMMUNITY!$A:$A,"&gt;="&amp;($B$10-7*$B$11),DATA_COMMUNITY!$A:$A,"&lt;"&amp;$B$10,DATA_COMMUNITY!$C:$C,AA62,DATA_COMMUNITY!$D:$D,"Sunday")/COUNTIFS(DATA_COMMUNITY!$A:$A,"&gt;="&amp;($B$10-7*$B$11),DATA_COMMUNITY!$A:$A,"&lt;"&amp;$B$10,DATA_COMMUNITY!$C:$C,AA62,DATA_COMMUNITY!$D:$D,"Sunday")))</f>
        <v/>
      </c>
      <c r="AI62">
        <f>IF(OR(AE62="",AH62="",AH62=0),"",AE62/AH62-1)</f>
        <v/>
      </c>
      <c r="AJ62">
        <f>IF(AE62="","",SUMIFS(DATA_COMMUNITY!$L:$L,DATA_COMMUNITY!$A:$A,$B$10,DATA_COMMUNITY!$C:$C,AA62,DATA_COMMUNITY!$D:$D,"Sunday"))</f>
        <v/>
      </c>
      <c r="AK62">
        <f>IF(AE62="","",SUMIFS(DATA_COMMUNITY!$O:$O,DATA_COMMUNITY!$A:$A,$B$10,DATA_COMMUNITY!$C:$C,AA62,DATA_COMMUNITY!$D:$D,"Sunday"))</f>
        <v/>
      </c>
      <c r="AL62">
        <f>IF(AA62="","",IF(AE62="","No","Yes"))</f>
        <v/>
      </c>
      <c r="AM62">
        <f>IF(AD62,ROW(),"")</f>
        <v/>
      </c>
      <c r="AN62">
        <f>IF(AND(AD62,AL62="No"),ROW(),"")</f>
        <v/>
      </c>
      <c r="AP62">
        <f>IFERROR(SMALL($AM$3:$AM$62,60),"")</f>
        <v/>
      </c>
      <c r="AQ62">
        <f>IFERROR(SMALL($AN$3:$AN$62,60),"")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IF(B63="",0,COUNTIFS(DATA_COMMUNITY!$A:$A,B63,DATA_COMMUNITY!$E:$E,$B$6,DATA_COMMUNITY!$C:$C,$B$7,DATA_COMMUNITY!$D:$D,"Sunday"))</f>
        <v/>
      </c>
      <c r="G63">
        <f>IF(F63=0,0,SUMIFS(DATA_COMMUNITY!$G:$G,DATA_COMMUNITY!$A:$A,B63,DATA_COMMUNITY!$E:$E,$B$6,DATA_COMMUNITY!$C:$C,$B$7,DATA_COMMUNITY!$D:$D,"Sunday"))</f>
        <v/>
      </c>
      <c r="H63">
        <f>IF(F63=0,0,SUMIFS(DATA_COMMUNITY!$H:$H,DATA_COMMUNITY!$A:$A,B63,DATA_COMMUNITY!$E:$E,$B$6,DATA_COMMUNITY!$C:$C,$B$7,DATA_COMMUNITY!$D:$D,"Sunday"))</f>
        <v/>
      </c>
      <c r="I63">
        <f>IF(F63=0,0,SUMIFS(DATA_COMMUNITY!$J:$J,DATA_COMMUNITY!$A:$A,B63,DATA_COMMUNITY!$E:$E,$B$6,DATA_COMMUNITY!$C:$C,$B$7,DATA_COMMUNITY!$D:$D,"Sunday"))</f>
        <v/>
      </c>
      <c r="J63">
        <f>G63+H63</f>
        <v/>
      </c>
      <c r="K63">
        <f>J63+I63</f>
        <v/>
      </c>
      <c r="L63">
        <f>IF(F63=0,0,SUMIFS(DATA_COMMUNITY!$L:$L,DATA_COMMUNITY!$A:$A,B63,DATA_COMMUNITY!$E:$E,$B$6,DATA_COMMUNITY!$C:$C,$B$7,DATA_COMMUNITY!$D:$D,"Sunday"))</f>
        <v/>
      </c>
      <c r="M63">
        <f>IF(F63=0,0,SUMIFS(DATA_COMMUNITY!$M:$M,DATA_COMMUNITY!$A:$A,B63,DATA_COMMUNITY!$E:$E,$B$6,DATA_COMMUNITY!$C:$C,$B$7,DATA_COMMUNITY!$D:$D,"Sunday"))</f>
        <v/>
      </c>
      <c r="N63">
        <f>IF(F63=0,0,SUMIFS(DATA_COMMUNITY!$N:$N,DATA_COMMUNITY!$A:$A,B63,DATA_COMMUNITY!$E:$E,$B$6,DATA_COMMUNITY!$C:$C,$B$7,DATA_COMMUNITY!$D:$D,"Sunday"))</f>
        <v/>
      </c>
      <c r="O63">
        <f>IF(F63=0,0,SUMIFS(DATA_COMMUNITY!$O:$O,DATA_COMMUNITY!$A:$A,B63,DATA_COMMUNITY!$E:$E,$B$6,DATA_COMMUNITY!$C:$C,$B$7,DATA_COMMUNITY!$D:$D,"Sunday"))</f>
        <v/>
      </c>
      <c r="P63">
        <f>IF(B63="",0,$B$17)</f>
        <v/>
      </c>
      <c r="Q63">
        <f>F63</f>
        <v/>
      </c>
      <c r="R63">
        <f>MAX(0,P63-Q63)</f>
        <v/>
      </c>
      <c r="S63">
        <f>IF(F63&gt;0,1,0)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IF(B64="",0,COUNTIFS(DATA_COMMUNITY!$A:$A,B64,DATA_COMMUNITY!$E:$E,$B$6,DATA_COMMUNITY!$C:$C,$B$7,DATA_COMMUNITY!$D:$D,"Sunday"))</f>
        <v/>
      </c>
      <c r="G64">
        <f>IF(F64=0,0,SUMIFS(DATA_COMMUNITY!$G:$G,DATA_COMMUNITY!$A:$A,B64,DATA_COMMUNITY!$E:$E,$B$6,DATA_COMMUNITY!$C:$C,$B$7,DATA_COMMUNITY!$D:$D,"Sunday"))</f>
        <v/>
      </c>
      <c r="H64">
        <f>IF(F64=0,0,SUMIFS(DATA_COMMUNITY!$H:$H,DATA_COMMUNITY!$A:$A,B64,DATA_COMMUNITY!$E:$E,$B$6,DATA_COMMUNITY!$C:$C,$B$7,DATA_COMMUNITY!$D:$D,"Sunday"))</f>
        <v/>
      </c>
      <c r="I64">
        <f>IF(F64=0,0,SUMIFS(DATA_COMMUNITY!$J:$J,DATA_COMMUNITY!$A:$A,B64,DATA_COMMUNITY!$E:$E,$B$6,DATA_COMMUNITY!$C:$C,$B$7,DATA_COMMUNITY!$D:$D,"Sunday"))</f>
        <v/>
      </c>
      <c r="J64">
        <f>G64+H64</f>
        <v/>
      </c>
      <c r="K64">
        <f>J64+I64</f>
        <v/>
      </c>
      <c r="L64">
        <f>IF(F64=0,0,SUMIFS(DATA_COMMUNITY!$L:$L,DATA_COMMUNITY!$A:$A,B64,DATA_COMMUNITY!$E:$E,$B$6,DATA_COMMUNITY!$C:$C,$B$7,DATA_COMMUNITY!$D:$D,"Sunday"))</f>
        <v/>
      </c>
      <c r="M64">
        <f>IF(F64=0,0,SUMIFS(DATA_COMMUNITY!$M:$M,DATA_COMMUNITY!$A:$A,B64,DATA_COMMUNITY!$E:$E,$B$6,DATA_COMMUNITY!$C:$C,$B$7,DATA_COMMUNITY!$D:$D,"Sunday"))</f>
        <v/>
      </c>
      <c r="N64">
        <f>IF(F64=0,0,SUMIFS(DATA_COMMUNITY!$N:$N,DATA_COMMUNITY!$A:$A,B64,DATA_COMMUNITY!$E:$E,$B$6,DATA_COMMUNITY!$C:$C,$B$7,DATA_COMMUNITY!$D:$D,"Sunday"))</f>
        <v/>
      </c>
      <c r="O64">
        <f>IF(F64=0,0,SUMIFS(DATA_COMMUNITY!$O:$O,DATA_COMMUNITY!$A:$A,B64,DATA_COMMUNITY!$E:$E,$B$6,DATA_COMMUNITY!$C:$C,$B$7,DATA_COMMUNITY!$D:$D,"Sunday"))</f>
        <v/>
      </c>
      <c r="P64">
        <f>IF(B64="",0,$B$17)</f>
        <v/>
      </c>
      <c r="Q64">
        <f>F64</f>
        <v/>
      </c>
      <c r="R64">
        <f>MAX(0,P64-Q64)</f>
        <v/>
      </c>
      <c r="S64">
        <f>IF(F64&gt;0,1,0)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IF(B65="",0,COUNTIFS(DATA_COMMUNITY!$A:$A,B65,DATA_COMMUNITY!$E:$E,$B$6,DATA_COMMUNITY!$C:$C,$B$7,DATA_COMMUNITY!$D:$D,"Sunday"))</f>
        <v/>
      </c>
      <c r="G65">
        <f>IF(F65=0,0,SUMIFS(DATA_COMMUNITY!$G:$G,DATA_COMMUNITY!$A:$A,B65,DATA_COMMUNITY!$E:$E,$B$6,DATA_COMMUNITY!$C:$C,$B$7,DATA_COMMUNITY!$D:$D,"Sunday"))</f>
        <v/>
      </c>
      <c r="H65">
        <f>IF(F65=0,0,SUMIFS(DATA_COMMUNITY!$H:$H,DATA_COMMUNITY!$A:$A,B65,DATA_COMMUNITY!$E:$E,$B$6,DATA_COMMUNITY!$C:$C,$B$7,DATA_COMMUNITY!$D:$D,"Sunday"))</f>
        <v/>
      </c>
      <c r="I65">
        <f>IF(F65=0,0,SUMIFS(DATA_COMMUNITY!$J:$J,DATA_COMMUNITY!$A:$A,B65,DATA_COMMUNITY!$E:$E,$B$6,DATA_COMMUNITY!$C:$C,$B$7,DATA_COMMUNITY!$D:$D,"Sunday"))</f>
        <v/>
      </c>
      <c r="J65">
        <f>G65+H65</f>
        <v/>
      </c>
      <c r="K65">
        <f>J65+I65</f>
        <v/>
      </c>
      <c r="L65">
        <f>IF(F65=0,0,SUMIFS(DATA_COMMUNITY!$L:$L,DATA_COMMUNITY!$A:$A,B65,DATA_COMMUNITY!$E:$E,$B$6,DATA_COMMUNITY!$C:$C,$B$7,DATA_COMMUNITY!$D:$D,"Sunday"))</f>
        <v/>
      </c>
      <c r="M65">
        <f>IF(F65=0,0,SUMIFS(DATA_COMMUNITY!$M:$M,DATA_COMMUNITY!$A:$A,B65,DATA_COMMUNITY!$E:$E,$B$6,DATA_COMMUNITY!$C:$C,$B$7,DATA_COMMUNITY!$D:$D,"Sunday"))</f>
        <v/>
      </c>
      <c r="N65">
        <f>IF(F65=0,0,SUMIFS(DATA_COMMUNITY!$N:$N,DATA_COMMUNITY!$A:$A,B65,DATA_COMMUNITY!$E:$E,$B$6,DATA_COMMUNITY!$C:$C,$B$7,DATA_COMMUNITY!$D:$D,"Sunday"))</f>
        <v/>
      </c>
      <c r="O65">
        <f>IF(F65=0,0,SUMIFS(DATA_COMMUNITY!$O:$O,DATA_COMMUNITY!$A:$A,B65,DATA_COMMUNITY!$E:$E,$B$6,DATA_COMMUNITY!$C:$C,$B$7,DATA_COMMUNITY!$D:$D,"Sunday"))</f>
        <v/>
      </c>
      <c r="P65">
        <f>IF(B65="",0,$B$17)</f>
        <v/>
      </c>
      <c r="Q65">
        <f>F65</f>
        <v/>
      </c>
      <c r="R65">
        <f>MAX(0,P65-Q65)</f>
        <v/>
      </c>
      <c r="S65">
        <f>IF(F65&gt;0,1,0)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IF(B66="",0,COUNTIFS(DATA_COMMUNITY!$A:$A,B66,DATA_COMMUNITY!$E:$E,$B$6,DATA_COMMUNITY!$C:$C,$B$7,DATA_COMMUNITY!$D:$D,"Sunday"))</f>
        <v/>
      </c>
      <c r="G66">
        <f>IF(F66=0,0,SUMIFS(DATA_COMMUNITY!$G:$G,DATA_COMMUNITY!$A:$A,B66,DATA_COMMUNITY!$E:$E,$B$6,DATA_COMMUNITY!$C:$C,$B$7,DATA_COMMUNITY!$D:$D,"Sunday"))</f>
        <v/>
      </c>
      <c r="H66">
        <f>IF(F66=0,0,SUMIFS(DATA_COMMUNITY!$H:$H,DATA_COMMUNITY!$A:$A,B66,DATA_COMMUNITY!$E:$E,$B$6,DATA_COMMUNITY!$C:$C,$B$7,DATA_COMMUNITY!$D:$D,"Sunday"))</f>
        <v/>
      </c>
      <c r="I66">
        <f>IF(F66=0,0,SUMIFS(DATA_COMMUNITY!$J:$J,DATA_COMMUNITY!$A:$A,B66,DATA_COMMUNITY!$E:$E,$B$6,DATA_COMMUNITY!$C:$C,$B$7,DATA_COMMUNITY!$D:$D,"Sunday"))</f>
        <v/>
      </c>
      <c r="J66">
        <f>G66+H66</f>
        <v/>
      </c>
      <c r="K66">
        <f>J66+I66</f>
        <v/>
      </c>
      <c r="L66">
        <f>IF(F66=0,0,SUMIFS(DATA_COMMUNITY!$L:$L,DATA_COMMUNITY!$A:$A,B66,DATA_COMMUNITY!$E:$E,$B$6,DATA_COMMUNITY!$C:$C,$B$7,DATA_COMMUNITY!$D:$D,"Sunday"))</f>
        <v/>
      </c>
      <c r="M66">
        <f>IF(F66=0,0,SUMIFS(DATA_COMMUNITY!$M:$M,DATA_COMMUNITY!$A:$A,B66,DATA_COMMUNITY!$E:$E,$B$6,DATA_COMMUNITY!$C:$C,$B$7,DATA_COMMUNITY!$D:$D,"Sunday"))</f>
        <v/>
      </c>
      <c r="N66">
        <f>IF(F66=0,0,SUMIFS(DATA_COMMUNITY!$N:$N,DATA_COMMUNITY!$A:$A,B66,DATA_COMMUNITY!$E:$E,$B$6,DATA_COMMUNITY!$C:$C,$B$7,DATA_COMMUNITY!$D:$D,"Sunday"))</f>
        <v/>
      </c>
      <c r="O66">
        <f>IF(F66=0,0,SUMIFS(DATA_COMMUNITY!$O:$O,DATA_COMMUNITY!$A:$A,B66,DATA_COMMUNITY!$E:$E,$B$6,DATA_COMMUNITY!$C:$C,$B$7,DATA_COMMUNITY!$D:$D,"Sunday"))</f>
        <v/>
      </c>
      <c r="P66">
        <f>IF(B66="",0,$B$17)</f>
        <v/>
      </c>
      <c r="Q66">
        <f>F66</f>
        <v/>
      </c>
      <c r="R66">
        <f>MAX(0,P66-Q66)</f>
        <v/>
      </c>
      <c r="S66">
        <f>IF(F66&gt;0,1,0)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IF(B67="",0,COUNTIFS(DATA_COMMUNITY!$A:$A,B67,DATA_COMMUNITY!$E:$E,$B$6,DATA_COMMUNITY!$C:$C,$B$7,DATA_COMMUNITY!$D:$D,"Sunday"))</f>
        <v/>
      </c>
      <c r="G67">
        <f>IF(F67=0,0,SUMIFS(DATA_COMMUNITY!$G:$G,DATA_COMMUNITY!$A:$A,B67,DATA_COMMUNITY!$E:$E,$B$6,DATA_COMMUNITY!$C:$C,$B$7,DATA_COMMUNITY!$D:$D,"Sunday"))</f>
        <v/>
      </c>
      <c r="H67">
        <f>IF(F67=0,0,SUMIFS(DATA_COMMUNITY!$H:$H,DATA_COMMUNITY!$A:$A,B67,DATA_COMMUNITY!$E:$E,$B$6,DATA_COMMUNITY!$C:$C,$B$7,DATA_COMMUNITY!$D:$D,"Sunday"))</f>
        <v/>
      </c>
      <c r="I67">
        <f>IF(F67=0,0,SUMIFS(DATA_COMMUNITY!$J:$J,DATA_COMMUNITY!$A:$A,B67,DATA_COMMUNITY!$E:$E,$B$6,DATA_COMMUNITY!$C:$C,$B$7,DATA_COMMUNITY!$D:$D,"Sunday"))</f>
        <v/>
      </c>
      <c r="J67">
        <f>G67+H67</f>
        <v/>
      </c>
      <c r="K67">
        <f>J67+I67</f>
        <v/>
      </c>
      <c r="L67">
        <f>IF(F67=0,0,SUMIFS(DATA_COMMUNITY!$L:$L,DATA_COMMUNITY!$A:$A,B67,DATA_COMMUNITY!$E:$E,$B$6,DATA_COMMUNITY!$C:$C,$B$7,DATA_COMMUNITY!$D:$D,"Sunday"))</f>
        <v/>
      </c>
      <c r="M67">
        <f>IF(F67=0,0,SUMIFS(DATA_COMMUNITY!$M:$M,DATA_COMMUNITY!$A:$A,B67,DATA_COMMUNITY!$E:$E,$B$6,DATA_COMMUNITY!$C:$C,$B$7,DATA_COMMUNITY!$D:$D,"Sunday"))</f>
        <v/>
      </c>
      <c r="N67">
        <f>IF(F67=0,0,SUMIFS(DATA_COMMUNITY!$N:$N,DATA_COMMUNITY!$A:$A,B67,DATA_COMMUNITY!$E:$E,$B$6,DATA_COMMUNITY!$C:$C,$B$7,DATA_COMMUNITY!$D:$D,"Sunday"))</f>
        <v/>
      </c>
      <c r="O67">
        <f>IF(F67=0,0,SUMIFS(DATA_COMMUNITY!$O:$O,DATA_COMMUNITY!$A:$A,B67,DATA_COMMUNITY!$E:$E,$B$6,DATA_COMMUNITY!$C:$C,$B$7,DATA_COMMUNITY!$D:$D,"Sunday"))</f>
        <v/>
      </c>
      <c r="P67">
        <f>IF(B67="",0,$B$17)</f>
        <v/>
      </c>
      <c r="Q67">
        <f>F67</f>
        <v/>
      </c>
      <c r="R67">
        <f>MAX(0,P67-Q67)</f>
        <v/>
      </c>
      <c r="S67">
        <f>IF(F67&gt;0,1,0)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IF(B68="",0,COUNTIFS(DATA_COMMUNITY!$A:$A,B68,DATA_COMMUNITY!$E:$E,$B$6,DATA_COMMUNITY!$C:$C,$B$7,DATA_COMMUNITY!$D:$D,"Sunday"))</f>
        <v/>
      </c>
      <c r="G68">
        <f>IF(F68=0,0,SUMIFS(DATA_COMMUNITY!$G:$G,DATA_COMMUNITY!$A:$A,B68,DATA_COMMUNITY!$E:$E,$B$6,DATA_COMMUNITY!$C:$C,$B$7,DATA_COMMUNITY!$D:$D,"Sunday"))</f>
        <v/>
      </c>
      <c r="H68">
        <f>IF(F68=0,0,SUMIFS(DATA_COMMUNITY!$H:$H,DATA_COMMUNITY!$A:$A,B68,DATA_COMMUNITY!$E:$E,$B$6,DATA_COMMUNITY!$C:$C,$B$7,DATA_COMMUNITY!$D:$D,"Sunday"))</f>
        <v/>
      </c>
      <c r="I68">
        <f>IF(F68=0,0,SUMIFS(DATA_COMMUNITY!$J:$J,DATA_COMMUNITY!$A:$A,B68,DATA_COMMUNITY!$E:$E,$B$6,DATA_COMMUNITY!$C:$C,$B$7,DATA_COMMUNITY!$D:$D,"Sunday"))</f>
        <v/>
      </c>
      <c r="J68">
        <f>G68+H68</f>
        <v/>
      </c>
      <c r="K68">
        <f>J68+I68</f>
        <v/>
      </c>
      <c r="L68">
        <f>IF(F68=0,0,SUMIFS(DATA_COMMUNITY!$L:$L,DATA_COMMUNITY!$A:$A,B68,DATA_COMMUNITY!$E:$E,$B$6,DATA_COMMUNITY!$C:$C,$B$7,DATA_COMMUNITY!$D:$D,"Sunday"))</f>
        <v/>
      </c>
      <c r="M68">
        <f>IF(F68=0,0,SUMIFS(DATA_COMMUNITY!$M:$M,DATA_COMMUNITY!$A:$A,B68,DATA_COMMUNITY!$E:$E,$B$6,DATA_COMMUNITY!$C:$C,$B$7,DATA_COMMUNITY!$D:$D,"Sunday"))</f>
        <v/>
      </c>
      <c r="N68">
        <f>IF(F68=0,0,SUMIFS(DATA_COMMUNITY!$N:$N,DATA_COMMUNITY!$A:$A,B68,DATA_COMMUNITY!$E:$E,$B$6,DATA_COMMUNITY!$C:$C,$B$7,DATA_COMMUNITY!$D:$D,"Sunday"))</f>
        <v/>
      </c>
      <c r="O68">
        <f>IF(F68=0,0,SUMIFS(DATA_COMMUNITY!$O:$O,DATA_COMMUNITY!$A:$A,B68,DATA_COMMUNITY!$E:$E,$B$6,DATA_COMMUNITY!$C:$C,$B$7,DATA_COMMUNITY!$D:$D,"Sunday"))</f>
        <v/>
      </c>
      <c r="P68">
        <f>IF(B68="",0,$B$17)</f>
        <v/>
      </c>
      <c r="Q68">
        <f>F68</f>
        <v/>
      </c>
      <c r="R68">
        <f>MAX(0,P68-Q68)</f>
        <v/>
      </c>
      <c r="S68">
        <f>IF(F68&gt;0,1,0)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IF(B69="",0,COUNTIFS(DATA_COMMUNITY!$A:$A,B69,DATA_COMMUNITY!$E:$E,$B$6,DATA_COMMUNITY!$C:$C,$B$7,DATA_COMMUNITY!$D:$D,"Sunday"))</f>
        <v/>
      </c>
      <c r="G69">
        <f>IF(F69=0,0,SUMIFS(DATA_COMMUNITY!$G:$G,DATA_COMMUNITY!$A:$A,B69,DATA_COMMUNITY!$E:$E,$B$6,DATA_COMMUNITY!$C:$C,$B$7,DATA_COMMUNITY!$D:$D,"Sunday"))</f>
        <v/>
      </c>
      <c r="H69">
        <f>IF(F69=0,0,SUMIFS(DATA_COMMUNITY!$H:$H,DATA_COMMUNITY!$A:$A,B69,DATA_COMMUNITY!$E:$E,$B$6,DATA_COMMUNITY!$C:$C,$B$7,DATA_COMMUNITY!$D:$D,"Sunday"))</f>
        <v/>
      </c>
      <c r="I69">
        <f>IF(F69=0,0,SUMIFS(DATA_COMMUNITY!$J:$J,DATA_COMMUNITY!$A:$A,B69,DATA_COMMUNITY!$E:$E,$B$6,DATA_COMMUNITY!$C:$C,$B$7,DATA_COMMUNITY!$D:$D,"Sunday"))</f>
        <v/>
      </c>
      <c r="J69">
        <f>G69+H69</f>
        <v/>
      </c>
      <c r="K69">
        <f>J69+I69</f>
        <v/>
      </c>
      <c r="L69">
        <f>IF(F69=0,0,SUMIFS(DATA_COMMUNITY!$L:$L,DATA_COMMUNITY!$A:$A,B69,DATA_COMMUNITY!$E:$E,$B$6,DATA_COMMUNITY!$C:$C,$B$7,DATA_COMMUNITY!$D:$D,"Sunday"))</f>
        <v/>
      </c>
      <c r="M69">
        <f>IF(F69=0,0,SUMIFS(DATA_COMMUNITY!$M:$M,DATA_COMMUNITY!$A:$A,B69,DATA_COMMUNITY!$E:$E,$B$6,DATA_COMMUNITY!$C:$C,$B$7,DATA_COMMUNITY!$D:$D,"Sunday"))</f>
        <v/>
      </c>
      <c r="N69">
        <f>IF(F69=0,0,SUMIFS(DATA_COMMUNITY!$N:$N,DATA_COMMUNITY!$A:$A,B69,DATA_COMMUNITY!$E:$E,$B$6,DATA_COMMUNITY!$C:$C,$B$7,DATA_COMMUNITY!$D:$D,"Sunday"))</f>
        <v/>
      </c>
      <c r="O69">
        <f>IF(F69=0,0,SUMIFS(DATA_COMMUNITY!$O:$O,DATA_COMMUNITY!$A:$A,B69,DATA_COMMUNITY!$E:$E,$B$6,DATA_COMMUNITY!$C:$C,$B$7,DATA_COMMUNITY!$D:$D,"Sunday"))</f>
        <v/>
      </c>
      <c r="P69">
        <f>IF(B69="",0,$B$17)</f>
        <v/>
      </c>
      <c r="Q69">
        <f>F69</f>
        <v/>
      </c>
      <c r="R69">
        <f>MAX(0,P69-Q69)</f>
        <v/>
      </c>
      <c r="S69">
        <f>IF(F69&gt;0,1,0)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IF(B70="",0,COUNTIFS(DATA_COMMUNITY!$A:$A,B70,DATA_COMMUNITY!$E:$E,$B$6,DATA_COMMUNITY!$C:$C,$B$7,DATA_COMMUNITY!$D:$D,"Sunday"))</f>
        <v/>
      </c>
      <c r="G70">
        <f>IF(F70=0,0,SUMIFS(DATA_COMMUNITY!$G:$G,DATA_COMMUNITY!$A:$A,B70,DATA_COMMUNITY!$E:$E,$B$6,DATA_COMMUNITY!$C:$C,$B$7,DATA_COMMUNITY!$D:$D,"Sunday"))</f>
        <v/>
      </c>
      <c r="H70">
        <f>IF(F70=0,0,SUMIFS(DATA_COMMUNITY!$H:$H,DATA_COMMUNITY!$A:$A,B70,DATA_COMMUNITY!$E:$E,$B$6,DATA_COMMUNITY!$C:$C,$B$7,DATA_COMMUNITY!$D:$D,"Sunday"))</f>
        <v/>
      </c>
      <c r="I70">
        <f>IF(F70=0,0,SUMIFS(DATA_COMMUNITY!$J:$J,DATA_COMMUNITY!$A:$A,B70,DATA_COMMUNITY!$E:$E,$B$6,DATA_COMMUNITY!$C:$C,$B$7,DATA_COMMUNITY!$D:$D,"Sunday"))</f>
        <v/>
      </c>
      <c r="J70">
        <f>G70+H70</f>
        <v/>
      </c>
      <c r="K70">
        <f>J70+I70</f>
        <v/>
      </c>
      <c r="L70">
        <f>IF(F70=0,0,SUMIFS(DATA_COMMUNITY!$L:$L,DATA_COMMUNITY!$A:$A,B70,DATA_COMMUNITY!$E:$E,$B$6,DATA_COMMUNITY!$C:$C,$B$7,DATA_COMMUNITY!$D:$D,"Sunday"))</f>
        <v/>
      </c>
      <c r="M70">
        <f>IF(F70=0,0,SUMIFS(DATA_COMMUNITY!$M:$M,DATA_COMMUNITY!$A:$A,B70,DATA_COMMUNITY!$E:$E,$B$6,DATA_COMMUNITY!$C:$C,$B$7,DATA_COMMUNITY!$D:$D,"Sunday"))</f>
        <v/>
      </c>
      <c r="N70">
        <f>IF(F70=0,0,SUMIFS(DATA_COMMUNITY!$N:$N,DATA_COMMUNITY!$A:$A,B70,DATA_COMMUNITY!$E:$E,$B$6,DATA_COMMUNITY!$C:$C,$B$7,DATA_COMMUNITY!$D:$D,"Sunday"))</f>
        <v/>
      </c>
      <c r="O70">
        <f>IF(F70=0,0,SUMIFS(DATA_COMMUNITY!$O:$O,DATA_COMMUNITY!$A:$A,B70,DATA_COMMUNITY!$E:$E,$B$6,DATA_COMMUNITY!$C:$C,$B$7,DATA_COMMUNITY!$D:$D,"Sunday"))</f>
        <v/>
      </c>
      <c r="P70">
        <f>IF(B70="",0,$B$17)</f>
        <v/>
      </c>
      <c r="Q70">
        <f>F70</f>
        <v/>
      </c>
      <c r="R70">
        <f>MAX(0,P70-Q70)</f>
        <v/>
      </c>
      <c r="S70">
        <f>IF(F70&gt;0,1,0)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IF(B71="",0,COUNTIFS(DATA_COMMUNITY!$A:$A,B71,DATA_COMMUNITY!$E:$E,$B$6,DATA_COMMUNITY!$C:$C,$B$7,DATA_COMMUNITY!$D:$D,"Sunday"))</f>
        <v/>
      </c>
      <c r="G71">
        <f>IF(F71=0,0,SUMIFS(DATA_COMMUNITY!$G:$G,DATA_COMMUNITY!$A:$A,B71,DATA_COMMUNITY!$E:$E,$B$6,DATA_COMMUNITY!$C:$C,$B$7,DATA_COMMUNITY!$D:$D,"Sunday"))</f>
        <v/>
      </c>
      <c r="H71">
        <f>IF(F71=0,0,SUMIFS(DATA_COMMUNITY!$H:$H,DATA_COMMUNITY!$A:$A,B71,DATA_COMMUNITY!$E:$E,$B$6,DATA_COMMUNITY!$C:$C,$B$7,DATA_COMMUNITY!$D:$D,"Sunday"))</f>
        <v/>
      </c>
      <c r="I71">
        <f>IF(F71=0,0,SUMIFS(DATA_COMMUNITY!$J:$J,DATA_COMMUNITY!$A:$A,B71,DATA_COMMUNITY!$E:$E,$B$6,DATA_COMMUNITY!$C:$C,$B$7,DATA_COMMUNITY!$D:$D,"Sunday"))</f>
        <v/>
      </c>
      <c r="J71">
        <f>G71+H71</f>
        <v/>
      </c>
      <c r="K71">
        <f>J71+I71</f>
        <v/>
      </c>
      <c r="L71">
        <f>IF(F71=0,0,SUMIFS(DATA_COMMUNITY!$L:$L,DATA_COMMUNITY!$A:$A,B71,DATA_COMMUNITY!$E:$E,$B$6,DATA_COMMUNITY!$C:$C,$B$7,DATA_COMMUNITY!$D:$D,"Sunday"))</f>
        <v/>
      </c>
      <c r="M71">
        <f>IF(F71=0,0,SUMIFS(DATA_COMMUNITY!$M:$M,DATA_COMMUNITY!$A:$A,B71,DATA_COMMUNITY!$E:$E,$B$6,DATA_COMMUNITY!$C:$C,$B$7,DATA_COMMUNITY!$D:$D,"Sunday"))</f>
        <v/>
      </c>
      <c r="N71">
        <f>IF(F71=0,0,SUMIFS(DATA_COMMUNITY!$N:$N,DATA_COMMUNITY!$A:$A,B71,DATA_COMMUNITY!$E:$E,$B$6,DATA_COMMUNITY!$C:$C,$B$7,DATA_COMMUNITY!$D:$D,"Sunday"))</f>
        <v/>
      </c>
      <c r="O71">
        <f>IF(F71=0,0,SUMIFS(DATA_COMMUNITY!$O:$O,DATA_COMMUNITY!$A:$A,B71,DATA_COMMUNITY!$E:$E,$B$6,DATA_COMMUNITY!$C:$C,$B$7,DATA_COMMUNITY!$D:$D,"Sunday"))</f>
        <v/>
      </c>
      <c r="P71">
        <f>IF(B71="",0,$B$17)</f>
        <v/>
      </c>
      <c r="Q71">
        <f>F71</f>
        <v/>
      </c>
      <c r="R71">
        <f>MAX(0,P71-Q71)</f>
        <v/>
      </c>
      <c r="S71">
        <f>IF(F71&gt;0,1,0)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IF(B72="",0,COUNTIFS(DATA_COMMUNITY!$A:$A,B72,DATA_COMMUNITY!$E:$E,$B$6,DATA_COMMUNITY!$C:$C,$B$7,DATA_COMMUNITY!$D:$D,"Sunday"))</f>
        <v/>
      </c>
      <c r="G72">
        <f>IF(F72=0,0,SUMIFS(DATA_COMMUNITY!$G:$G,DATA_COMMUNITY!$A:$A,B72,DATA_COMMUNITY!$E:$E,$B$6,DATA_COMMUNITY!$C:$C,$B$7,DATA_COMMUNITY!$D:$D,"Sunday"))</f>
        <v/>
      </c>
      <c r="H72">
        <f>IF(F72=0,0,SUMIFS(DATA_COMMUNITY!$H:$H,DATA_COMMUNITY!$A:$A,B72,DATA_COMMUNITY!$E:$E,$B$6,DATA_COMMUNITY!$C:$C,$B$7,DATA_COMMUNITY!$D:$D,"Sunday"))</f>
        <v/>
      </c>
      <c r="I72">
        <f>IF(F72=0,0,SUMIFS(DATA_COMMUNITY!$J:$J,DATA_COMMUNITY!$A:$A,B72,DATA_COMMUNITY!$E:$E,$B$6,DATA_COMMUNITY!$C:$C,$B$7,DATA_COMMUNITY!$D:$D,"Sunday"))</f>
        <v/>
      </c>
      <c r="J72">
        <f>G72+H72</f>
        <v/>
      </c>
      <c r="K72">
        <f>J72+I72</f>
        <v/>
      </c>
      <c r="L72">
        <f>IF(F72=0,0,SUMIFS(DATA_COMMUNITY!$L:$L,DATA_COMMUNITY!$A:$A,B72,DATA_COMMUNITY!$E:$E,$B$6,DATA_COMMUNITY!$C:$C,$B$7,DATA_COMMUNITY!$D:$D,"Sunday"))</f>
        <v/>
      </c>
      <c r="M72">
        <f>IF(F72=0,0,SUMIFS(DATA_COMMUNITY!$M:$M,DATA_COMMUNITY!$A:$A,B72,DATA_COMMUNITY!$E:$E,$B$6,DATA_COMMUNITY!$C:$C,$B$7,DATA_COMMUNITY!$D:$D,"Sunday"))</f>
        <v/>
      </c>
      <c r="N72">
        <f>IF(F72=0,0,SUMIFS(DATA_COMMUNITY!$N:$N,DATA_COMMUNITY!$A:$A,B72,DATA_COMMUNITY!$E:$E,$B$6,DATA_COMMUNITY!$C:$C,$B$7,DATA_COMMUNITY!$D:$D,"Sunday"))</f>
        <v/>
      </c>
      <c r="O72">
        <f>IF(F72=0,0,SUMIFS(DATA_COMMUNITY!$O:$O,DATA_COMMUNITY!$A:$A,B72,DATA_COMMUNITY!$E:$E,$B$6,DATA_COMMUNITY!$C:$C,$B$7,DATA_COMMUNITY!$D:$D,"Sunday"))</f>
        <v/>
      </c>
      <c r="P72">
        <f>IF(B72="",0,$B$17)</f>
        <v/>
      </c>
      <c r="Q72">
        <f>F72</f>
        <v/>
      </c>
      <c r="R72">
        <f>MAX(0,P72-Q72)</f>
        <v/>
      </c>
      <c r="S72">
        <f>IF(F72&gt;0,1,0)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IF(B73="",0,COUNTIFS(DATA_COMMUNITY!$A:$A,B73,DATA_COMMUNITY!$E:$E,$B$6,DATA_COMMUNITY!$C:$C,$B$7,DATA_COMMUNITY!$D:$D,"Sunday"))</f>
        <v/>
      </c>
      <c r="G73">
        <f>IF(F73=0,0,SUMIFS(DATA_COMMUNITY!$G:$G,DATA_COMMUNITY!$A:$A,B73,DATA_COMMUNITY!$E:$E,$B$6,DATA_COMMUNITY!$C:$C,$B$7,DATA_COMMUNITY!$D:$D,"Sunday"))</f>
        <v/>
      </c>
      <c r="H73">
        <f>IF(F73=0,0,SUMIFS(DATA_COMMUNITY!$H:$H,DATA_COMMUNITY!$A:$A,B73,DATA_COMMUNITY!$E:$E,$B$6,DATA_COMMUNITY!$C:$C,$B$7,DATA_COMMUNITY!$D:$D,"Sunday"))</f>
        <v/>
      </c>
      <c r="I73">
        <f>IF(F73=0,0,SUMIFS(DATA_COMMUNITY!$J:$J,DATA_COMMUNITY!$A:$A,B73,DATA_COMMUNITY!$E:$E,$B$6,DATA_COMMUNITY!$C:$C,$B$7,DATA_COMMUNITY!$D:$D,"Sunday"))</f>
        <v/>
      </c>
      <c r="J73">
        <f>G73+H73</f>
        <v/>
      </c>
      <c r="K73">
        <f>J73+I73</f>
        <v/>
      </c>
      <c r="L73">
        <f>IF(F73=0,0,SUMIFS(DATA_COMMUNITY!$L:$L,DATA_COMMUNITY!$A:$A,B73,DATA_COMMUNITY!$E:$E,$B$6,DATA_COMMUNITY!$C:$C,$B$7,DATA_COMMUNITY!$D:$D,"Sunday"))</f>
        <v/>
      </c>
      <c r="M73">
        <f>IF(F73=0,0,SUMIFS(DATA_COMMUNITY!$M:$M,DATA_COMMUNITY!$A:$A,B73,DATA_COMMUNITY!$E:$E,$B$6,DATA_COMMUNITY!$C:$C,$B$7,DATA_COMMUNITY!$D:$D,"Sunday"))</f>
        <v/>
      </c>
      <c r="N73">
        <f>IF(F73=0,0,SUMIFS(DATA_COMMUNITY!$N:$N,DATA_COMMUNITY!$A:$A,B73,DATA_COMMUNITY!$E:$E,$B$6,DATA_COMMUNITY!$C:$C,$B$7,DATA_COMMUNITY!$D:$D,"Sunday"))</f>
        <v/>
      </c>
      <c r="O73">
        <f>IF(F73=0,0,SUMIFS(DATA_COMMUNITY!$O:$O,DATA_COMMUNITY!$A:$A,B73,DATA_COMMUNITY!$E:$E,$B$6,DATA_COMMUNITY!$C:$C,$B$7,DATA_COMMUNITY!$D:$D,"Sunday"))</f>
        <v/>
      </c>
      <c r="P73">
        <f>IF(B73="",0,$B$17)</f>
        <v/>
      </c>
      <c r="Q73">
        <f>F73</f>
        <v/>
      </c>
      <c r="R73">
        <f>MAX(0,P73-Q73)</f>
        <v/>
      </c>
      <c r="S73">
        <f>IF(F73&gt;0,1,0)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IF(B74="",0,COUNTIFS(DATA_COMMUNITY!$A:$A,B74,DATA_COMMUNITY!$E:$E,$B$6,DATA_COMMUNITY!$C:$C,$B$7,DATA_COMMUNITY!$D:$D,"Sunday"))</f>
        <v/>
      </c>
      <c r="G74">
        <f>IF(F74=0,0,SUMIFS(DATA_COMMUNITY!$G:$G,DATA_COMMUNITY!$A:$A,B74,DATA_COMMUNITY!$E:$E,$B$6,DATA_COMMUNITY!$C:$C,$B$7,DATA_COMMUNITY!$D:$D,"Sunday"))</f>
        <v/>
      </c>
      <c r="H74">
        <f>IF(F74=0,0,SUMIFS(DATA_COMMUNITY!$H:$H,DATA_COMMUNITY!$A:$A,B74,DATA_COMMUNITY!$E:$E,$B$6,DATA_COMMUNITY!$C:$C,$B$7,DATA_COMMUNITY!$D:$D,"Sunday"))</f>
        <v/>
      </c>
      <c r="I74">
        <f>IF(F74=0,0,SUMIFS(DATA_COMMUNITY!$J:$J,DATA_COMMUNITY!$A:$A,B74,DATA_COMMUNITY!$E:$E,$B$6,DATA_COMMUNITY!$C:$C,$B$7,DATA_COMMUNITY!$D:$D,"Sunday"))</f>
        <v/>
      </c>
      <c r="J74">
        <f>G74+H74</f>
        <v/>
      </c>
      <c r="K74">
        <f>J74+I74</f>
        <v/>
      </c>
      <c r="L74">
        <f>IF(F74=0,0,SUMIFS(DATA_COMMUNITY!$L:$L,DATA_COMMUNITY!$A:$A,B74,DATA_COMMUNITY!$E:$E,$B$6,DATA_COMMUNITY!$C:$C,$B$7,DATA_COMMUNITY!$D:$D,"Sunday"))</f>
        <v/>
      </c>
      <c r="M74">
        <f>IF(F74=0,0,SUMIFS(DATA_COMMUNITY!$M:$M,DATA_COMMUNITY!$A:$A,B74,DATA_COMMUNITY!$E:$E,$B$6,DATA_COMMUNITY!$C:$C,$B$7,DATA_COMMUNITY!$D:$D,"Sunday"))</f>
        <v/>
      </c>
      <c r="N74">
        <f>IF(F74=0,0,SUMIFS(DATA_COMMUNITY!$N:$N,DATA_COMMUNITY!$A:$A,B74,DATA_COMMUNITY!$E:$E,$B$6,DATA_COMMUNITY!$C:$C,$B$7,DATA_COMMUNITY!$D:$D,"Sunday"))</f>
        <v/>
      </c>
      <c r="O74">
        <f>IF(F74=0,0,SUMIFS(DATA_COMMUNITY!$O:$O,DATA_COMMUNITY!$A:$A,B74,DATA_COMMUNITY!$E:$E,$B$6,DATA_COMMUNITY!$C:$C,$B$7,DATA_COMMUNITY!$D:$D,"Sunday"))</f>
        <v/>
      </c>
      <c r="P74">
        <f>IF(B74="",0,$B$17)</f>
        <v/>
      </c>
      <c r="Q74">
        <f>F74</f>
        <v/>
      </c>
      <c r="R74">
        <f>MAX(0,P74-Q74)</f>
        <v/>
      </c>
      <c r="S74">
        <f>IF(F74&gt;0,1,0)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IF(B75="",0,COUNTIFS(DATA_COMMUNITY!$A:$A,B75,DATA_COMMUNITY!$E:$E,$B$6,DATA_COMMUNITY!$C:$C,$B$7,DATA_COMMUNITY!$D:$D,"Sunday"))</f>
        <v/>
      </c>
      <c r="G75">
        <f>IF(F75=0,0,SUMIFS(DATA_COMMUNITY!$G:$G,DATA_COMMUNITY!$A:$A,B75,DATA_COMMUNITY!$E:$E,$B$6,DATA_COMMUNITY!$C:$C,$B$7,DATA_COMMUNITY!$D:$D,"Sunday"))</f>
        <v/>
      </c>
      <c r="H75">
        <f>IF(F75=0,0,SUMIFS(DATA_COMMUNITY!$H:$H,DATA_COMMUNITY!$A:$A,B75,DATA_COMMUNITY!$E:$E,$B$6,DATA_COMMUNITY!$C:$C,$B$7,DATA_COMMUNITY!$D:$D,"Sunday"))</f>
        <v/>
      </c>
      <c r="I75">
        <f>IF(F75=0,0,SUMIFS(DATA_COMMUNITY!$J:$J,DATA_COMMUNITY!$A:$A,B75,DATA_COMMUNITY!$E:$E,$B$6,DATA_COMMUNITY!$C:$C,$B$7,DATA_COMMUNITY!$D:$D,"Sunday"))</f>
        <v/>
      </c>
      <c r="J75">
        <f>G75+H75</f>
        <v/>
      </c>
      <c r="K75">
        <f>J75+I75</f>
        <v/>
      </c>
      <c r="L75">
        <f>IF(F75=0,0,SUMIFS(DATA_COMMUNITY!$L:$L,DATA_COMMUNITY!$A:$A,B75,DATA_COMMUNITY!$E:$E,$B$6,DATA_COMMUNITY!$C:$C,$B$7,DATA_COMMUNITY!$D:$D,"Sunday"))</f>
        <v/>
      </c>
      <c r="M75">
        <f>IF(F75=0,0,SUMIFS(DATA_COMMUNITY!$M:$M,DATA_COMMUNITY!$A:$A,B75,DATA_COMMUNITY!$E:$E,$B$6,DATA_COMMUNITY!$C:$C,$B$7,DATA_COMMUNITY!$D:$D,"Sunday"))</f>
        <v/>
      </c>
      <c r="N75">
        <f>IF(F75=0,0,SUMIFS(DATA_COMMUNITY!$N:$N,DATA_COMMUNITY!$A:$A,B75,DATA_COMMUNITY!$E:$E,$B$6,DATA_COMMUNITY!$C:$C,$B$7,DATA_COMMUNITY!$D:$D,"Sunday"))</f>
        <v/>
      </c>
      <c r="O75">
        <f>IF(F75=0,0,SUMIFS(DATA_COMMUNITY!$O:$O,DATA_COMMUNITY!$A:$A,B75,DATA_COMMUNITY!$E:$E,$B$6,DATA_COMMUNITY!$C:$C,$B$7,DATA_COMMUNITY!$D:$D,"Sunday"))</f>
        <v/>
      </c>
      <c r="P75">
        <f>IF(B75="",0,$B$17)</f>
        <v/>
      </c>
      <c r="Q75">
        <f>F75</f>
        <v/>
      </c>
      <c r="R75">
        <f>MAX(0,P75-Q75)</f>
        <v/>
      </c>
      <c r="S75">
        <f>IF(F75&gt;0,1,0)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IF(B76="",0,COUNTIFS(DATA_COMMUNITY!$A:$A,B76,DATA_COMMUNITY!$E:$E,$B$6,DATA_COMMUNITY!$C:$C,$B$7,DATA_COMMUNITY!$D:$D,"Sunday"))</f>
        <v/>
      </c>
      <c r="G76">
        <f>IF(F76=0,0,SUMIFS(DATA_COMMUNITY!$G:$G,DATA_COMMUNITY!$A:$A,B76,DATA_COMMUNITY!$E:$E,$B$6,DATA_COMMUNITY!$C:$C,$B$7,DATA_COMMUNITY!$D:$D,"Sunday"))</f>
        <v/>
      </c>
      <c r="H76">
        <f>IF(F76=0,0,SUMIFS(DATA_COMMUNITY!$H:$H,DATA_COMMUNITY!$A:$A,B76,DATA_COMMUNITY!$E:$E,$B$6,DATA_COMMUNITY!$C:$C,$B$7,DATA_COMMUNITY!$D:$D,"Sunday"))</f>
        <v/>
      </c>
      <c r="I76">
        <f>IF(F76=0,0,SUMIFS(DATA_COMMUNITY!$J:$J,DATA_COMMUNITY!$A:$A,B76,DATA_COMMUNITY!$E:$E,$B$6,DATA_COMMUNITY!$C:$C,$B$7,DATA_COMMUNITY!$D:$D,"Sunday"))</f>
        <v/>
      </c>
      <c r="J76">
        <f>G76+H76</f>
        <v/>
      </c>
      <c r="K76">
        <f>J76+I76</f>
        <v/>
      </c>
      <c r="L76">
        <f>IF(F76=0,0,SUMIFS(DATA_COMMUNITY!$L:$L,DATA_COMMUNITY!$A:$A,B76,DATA_COMMUNITY!$E:$E,$B$6,DATA_COMMUNITY!$C:$C,$B$7,DATA_COMMUNITY!$D:$D,"Sunday"))</f>
        <v/>
      </c>
      <c r="M76">
        <f>IF(F76=0,0,SUMIFS(DATA_COMMUNITY!$M:$M,DATA_COMMUNITY!$A:$A,B76,DATA_COMMUNITY!$E:$E,$B$6,DATA_COMMUNITY!$C:$C,$B$7,DATA_COMMUNITY!$D:$D,"Sunday"))</f>
        <v/>
      </c>
      <c r="N76">
        <f>IF(F76=0,0,SUMIFS(DATA_COMMUNITY!$N:$N,DATA_COMMUNITY!$A:$A,B76,DATA_COMMUNITY!$E:$E,$B$6,DATA_COMMUNITY!$C:$C,$B$7,DATA_COMMUNITY!$D:$D,"Sunday"))</f>
        <v/>
      </c>
      <c r="O76">
        <f>IF(F76=0,0,SUMIFS(DATA_COMMUNITY!$O:$O,DATA_COMMUNITY!$A:$A,B76,DATA_COMMUNITY!$E:$E,$B$6,DATA_COMMUNITY!$C:$C,$B$7,DATA_COMMUNITY!$D:$D,"Sunday"))</f>
        <v/>
      </c>
      <c r="P76">
        <f>IF(B76="",0,$B$17)</f>
        <v/>
      </c>
      <c r="Q76">
        <f>F76</f>
        <v/>
      </c>
      <c r="R76">
        <f>MAX(0,P76-Q76)</f>
        <v/>
      </c>
      <c r="S76">
        <f>IF(F76&gt;0,1,0)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IF(B77="",0,COUNTIFS(DATA_COMMUNITY!$A:$A,B77,DATA_COMMUNITY!$E:$E,$B$6,DATA_COMMUNITY!$C:$C,$B$7,DATA_COMMUNITY!$D:$D,"Sunday"))</f>
        <v/>
      </c>
      <c r="G77">
        <f>IF(F77=0,0,SUMIFS(DATA_COMMUNITY!$G:$G,DATA_COMMUNITY!$A:$A,B77,DATA_COMMUNITY!$E:$E,$B$6,DATA_COMMUNITY!$C:$C,$B$7,DATA_COMMUNITY!$D:$D,"Sunday"))</f>
        <v/>
      </c>
      <c r="H77">
        <f>IF(F77=0,0,SUMIFS(DATA_COMMUNITY!$H:$H,DATA_COMMUNITY!$A:$A,B77,DATA_COMMUNITY!$E:$E,$B$6,DATA_COMMUNITY!$C:$C,$B$7,DATA_COMMUNITY!$D:$D,"Sunday"))</f>
        <v/>
      </c>
      <c r="I77">
        <f>IF(F77=0,0,SUMIFS(DATA_COMMUNITY!$J:$J,DATA_COMMUNITY!$A:$A,B77,DATA_COMMUNITY!$E:$E,$B$6,DATA_COMMUNITY!$C:$C,$B$7,DATA_COMMUNITY!$D:$D,"Sunday"))</f>
        <v/>
      </c>
      <c r="J77">
        <f>G77+H77</f>
        <v/>
      </c>
      <c r="K77">
        <f>J77+I77</f>
        <v/>
      </c>
      <c r="L77">
        <f>IF(F77=0,0,SUMIFS(DATA_COMMUNITY!$L:$L,DATA_COMMUNITY!$A:$A,B77,DATA_COMMUNITY!$E:$E,$B$6,DATA_COMMUNITY!$C:$C,$B$7,DATA_COMMUNITY!$D:$D,"Sunday"))</f>
        <v/>
      </c>
      <c r="M77">
        <f>IF(F77=0,0,SUMIFS(DATA_COMMUNITY!$M:$M,DATA_COMMUNITY!$A:$A,B77,DATA_COMMUNITY!$E:$E,$B$6,DATA_COMMUNITY!$C:$C,$B$7,DATA_COMMUNITY!$D:$D,"Sunday"))</f>
        <v/>
      </c>
      <c r="N77">
        <f>IF(F77=0,0,SUMIFS(DATA_COMMUNITY!$N:$N,DATA_COMMUNITY!$A:$A,B77,DATA_COMMUNITY!$E:$E,$B$6,DATA_COMMUNITY!$C:$C,$B$7,DATA_COMMUNITY!$D:$D,"Sunday"))</f>
        <v/>
      </c>
      <c r="O77">
        <f>IF(F77=0,0,SUMIFS(DATA_COMMUNITY!$O:$O,DATA_COMMUNITY!$A:$A,B77,DATA_COMMUNITY!$E:$E,$B$6,DATA_COMMUNITY!$C:$C,$B$7,DATA_COMMUNITY!$D:$D,"Sunday"))</f>
        <v/>
      </c>
      <c r="P77">
        <f>IF(B77="",0,$B$17)</f>
        <v/>
      </c>
      <c r="Q77">
        <f>F77</f>
        <v/>
      </c>
      <c r="R77">
        <f>MAX(0,P77-Q77)</f>
        <v/>
      </c>
      <c r="S77">
        <f>IF(F77&gt;0,1,0)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IF(B78="",0,COUNTIFS(DATA_COMMUNITY!$A:$A,B78,DATA_COMMUNITY!$E:$E,$B$6,DATA_COMMUNITY!$C:$C,$B$7,DATA_COMMUNITY!$D:$D,"Sunday"))</f>
        <v/>
      </c>
      <c r="G78">
        <f>IF(F78=0,0,SUMIFS(DATA_COMMUNITY!$G:$G,DATA_COMMUNITY!$A:$A,B78,DATA_COMMUNITY!$E:$E,$B$6,DATA_COMMUNITY!$C:$C,$B$7,DATA_COMMUNITY!$D:$D,"Sunday"))</f>
        <v/>
      </c>
      <c r="H78">
        <f>IF(F78=0,0,SUMIFS(DATA_COMMUNITY!$H:$H,DATA_COMMUNITY!$A:$A,B78,DATA_COMMUNITY!$E:$E,$B$6,DATA_COMMUNITY!$C:$C,$B$7,DATA_COMMUNITY!$D:$D,"Sunday"))</f>
        <v/>
      </c>
      <c r="I78">
        <f>IF(F78=0,0,SUMIFS(DATA_COMMUNITY!$J:$J,DATA_COMMUNITY!$A:$A,B78,DATA_COMMUNITY!$E:$E,$B$6,DATA_COMMUNITY!$C:$C,$B$7,DATA_COMMUNITY!$D:$D,"Sunday"))</f>
        <v/>
      </c>
      <c r="J78">
        <f>G78+H78</f>
        <v/>
      </c>
      <c r="K78">
        <f>J78+I78</f>
        <v/>
      </c>
      <c r="L78">
        <f>IF(F78=0,0,SUMIFS(DATA_COMMUNITY!$L:$L,DATA_COMMUNITY!$A:$A,B78,DATA_COMMUNITY!$E:$E,$B$6,DATA_COMMUNITY!$C:$C,$B$7,DATA_COMMUNITY!$D:$D,"Sunday"))</f>
        <v/>
      </c>
      <c r="M78">
        <f>IF(F78=0,0,SUMIFS(DATA_COMMUNITY!$M:$M,DATA_COMMUNITY!$A:$A,B78,DATA_COMMUNITY!$E:$E,$B$6,DATA_COMMUNITY!$C:$C,$B$7,DATA_COMMUNITY!$D:$D,"Sunday"))</f>
        <v/>
      </c>
      <c r="N78">
        <f>IF(F78=0,0,SUMIFS(DATA_COMMUNITY!$N:$N,DATA_COMMUNITY!$A:$A,B78,DATA_COMMUNITY!$E:$E,$B$6,DATA_COMMUNITY!$C:$C,$B$7,DATA_COMMUNITY!$D:$D,"Sunday"))</f>
        <v/>
      </c>
      <c r="O78">
        <f>IF(F78=0,0,SUMIFS(DATA_COMMUNITY!$O:$O,DATA_COMMUNITY!$A:$A,B78,DATA_COMMUNITY!$E:$E,$B$6,DATA_COMMUNITY!$C:$C,$B$7,DATA_COMMUNITY!$D:$D,"Sunday"))</f>
        <v/>
      </c>
      <c r="P78">
        <f>IF(B78="",0,$B$17)</f>
        <v/>
      </c>
      <c r="Q78">
        <f>F78</f>
        <v/>
      </c>
      <c r="R78">
        <f>MAX(0,P78-Q78)</f>
        <v/>
      </c>
      <c r="S78">
        <f>IF(F78&gt;0,1,0)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IF(B79="",0,COUNTIFS(DATA_COMMUNITY!$A:$A,B79,DATA_COMMUNITY!$E:$E,$B$6,DATA_COMMUNITY!$C:$C,$B$7,DATA_COMMUNITY!$D:$D,"Sunday"))</f>
        <v/>
      </c>
      <c r="G79">
        <f>IF(F79=0,0,SUMIFS(DATA_COMMUNITY!$G:$G,DATA_COMMUNITY!$A:$A,B79,DATA_COMMUNITY!$E:$E,$B$6,DATA_COMMUNITY!$C:$C,$B$7,DATA_COMMUNITY!$D:$D,"Sunday"))</f>
        <v/>
      </c>
      <c r="H79">
        <f>IF(F79=0,0,SUMIFS(DATA_COMMUNITY!$H:$H,DATA_COMMUNITY!$A:$A,B79,DATA_COMMUNITY!$E:$E,$B$6,DATA_COMMUNITY!$C:$C,$B$7,DATA_COMMUNITY!$D:$D,"Sunday"))</f>
        <v/>
      </c>
      <c r="I79">
        <f>IF(F79=0,0,SUMIFS(DATA_COMMUNITY!$J:$J,DATA_COMMUNITY!$A:$A,B79,DATA_COMMUNITY!$E:$E,$B$6,DATA_COMMUNITY!$C:$C,$B$7,DATA_COMMUNITY!$D:$D,"Sunday"))</f>
        <v/>
      </c>
      <c r="J79">
        <f>G79+H79</f>
        <v/>
      </c>
      <c r="K79">
        <f>J79+I79</f>
        <v/>
      </c>
      <c r="L79">
        <f>IF(F79=0,0,SUMIFS(DATA_COMMUNITY!$L:$L,DATA_COMMUNITY!$A:$A,B79,DATA_COMMUNITY!$E:$E,$B$6,DATA_COMMUNITY!$C:$C,$B$7,DATA_COMMUNITY!$D:$D,"Sunday"))</f>
        <v/>
      </c>
      <c r="M79">
        <f>IF(F79=0,0,SUMIFS(DATA_COMMUNITY!$M:$M,DATA_COMMUNITY!$A:$A,B79,DATA_COMMUNITY!$E:$E,$B$6,DATA_COMMUNITY!$C:$C,$B$7,DATA_COMMUNITY!$D:$D,"Sunday"))</f>
        <v/>
      </c>
      <c r="N79">
        <f>IF(F79=0,0,SUMIFS(DATA_COMMUNITY!$N:$N,DATA_COMMUNITY!$A:$A,B79,DATA_COMMUNITY!$E:$E,$B$6,DATA_COMMUNITY!$C:$C,$B$7,DATA_COMMUNITY!$D:$D,"Sunday"))</f>
        <v/>
      </c>
      <c r="O79">
        <f>IF(F79=0,0,SUMIFS(DATA_COMMUNITY!$O:$O,DATA_COMMUNITY!$A:$A,B79,DATA_COMMUNITY!$E:$E,$B$6,DATA_COMMUNITY!$C:$C,$B$7,DATA_COMMUNITY!$D:$D,"Sunday"))</f>
        <v/>
      </c>
      <c r="P79">
        <f>IF(B79="",0,$B$17)</f>
        <v/>
      </c>
      <c r="Q79">
        <f>F79</f>
        <v/>
      </c>
      <c r="R79">
        <f>MAX(0,P79-Q79)</f>
        <v/>
      </c>
      <c r="S79">
        <f>IF(F79&gt;0,1,0)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IF(B80="",0,COUNTIFS(DATA_COMMUNITY!$A:$A,B80,DATA_COMMUNITY!$E:$E,$B$6,DATA_COMMUNITY!$C:$C,$B$7,DATA_COMMUNITY!$D:$D,"Sunday"))</f>
        <v/>
      </c>
      <c r="G80">
        <f>IF(F80=0,0,SUMIFS(DATA_COMMUNITY!$G:$G,DATA_COMMUNITY!$A:$A,B80,DATA_COMMUNITY!$E:$E,$B$6,DATA_COMMUNITY!$C:$C,$B$7,DATA_COMMUNITY!$D:$D,"Sunday"))</f>
        <v/>
      </c>
      <c r="H80">
        <f>IF(F80=0,0,SUMIFS(DATA_COMMUNITY!$H:$H,DATA_COMMUNITY!$A:$A,B80,DATA_COMMUNITY!$E:$E,$B$6,DATA_COMMUNITY!$C:$C,$B$7,DATA_COMMUNITY!$D:$D,"Sunday"))</f>
        <v/>
      </c>
      <c r="I80">
        <f>IF(F80=0,0,SUMIFS(DATA_COMMUNITY!$J:$J,DATA_COMMUNITY!$A:$A,B80,DATA_COMMUNITY!$E:$E,$B$6,DATA_COMMUNITY!$C:$C,$B$7,DATA_COMMUNITY!$D:$D,"Sunday"))</f>
        <v/>
      </c>
      <c r="J80">
        <f>G80+H80</f>
        <v/>
      </c>
      <c r="K80">
        <f>J80+I80</f>
        <v/>
      </c>
      <c r="L80">
        <f>IF(F80=0,0,SUMIFS(DATA_COMMUNITY!$L:$L,DATA_COMMUNITY!$A:$A,B80,DATA_COMMUNITY!$E:$E,$B$6,DATA_COMMUNITY!$C:$C,$B$7,DATA_COMMUNITY!$D:$D,"Sunday"))</f>
        <v/>
      </c>
      <c r="M80">
        <f>IF(F80=0,0,SUMIFS(DATA_COMMUNITY!$M:$M,DATA_COMMUNITY!$A:$A,B80,DATA_COMMUNITY!$E:$E,$B$6,DATA_COMMUNITY!$C:$C,$B$7,DATA_COMMUNITY!$D:$D,"Sunday"))</f>
        <v/>
      </c>
      <c r="N80">
        <f>IF(F80=0,0,SUMIFS(DATA_COMMUNITY!$N:$N,DATA_COMMUNITY!$A:$A,B80,DATA_COMMUNITY!$E:$E,$B$6,DATA_COMMUNITY!$C:$C,$B$7,DATA_COMMUNITY!$D:$D,"Sunday"))</f>
        <v/>
      </c>
      <c r="O80">
        <f>IF(F80=0,0,SUMIFS(DATA_COMMUNITY!$O:$O,DATA_COMMUNITY!$A:$A,B80,DATA_COMMUNITY!$E:$E,$B$6,DATA_COMMUNITY!$C:$C,$B$7,DATA_COMMUNITY!$D:$D,"Sunday"))</f>
        <v/>
      </c>
      <c r="P80">
        <f>IF(B80="",0,$B$17)</f>
        <v/>
      </c>
      <c r="Q80">
        <f>F80</f>
        <v/>
      </c>
      <c r="R80">
        <f>MAX(0,P80-Q80)</f>
        <v/>
      </c>
      <c r="S80">
        <f>IF(F80&gt;0,1,0)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</row>
    <row r="90">
      <c r="A90" t="inlineStr">
        <is>
          <t>Sunday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</row>
    <row r="91">
      <c r="A91" t="inlineStr">
        <is>
          <t>Adults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Testimonies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Churches</t>
        </is>
      </c>
      <c r="B98">
        <f>IF($S$21=0,"",P21)</f>
        <v/>
      </c>
      <c r="C98">
        <f>IF($S$22=0,"",P22)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IF(SUM($T$21:$T$80)=0,"",SUMPRODUCT($P$21:$P$80,$T$21:$T$80)/SUM($T$21:$T$80))</f>
        <v/>
      </c>
      <c r="G98">
        <f>IF(OR(B98="",F98=""),"",IF(F98=0,"",B98/F98-1))</f>
        <v/>
      </c>
      <c r="H98">
        <f>IF(SUM($U$21:$U$80)=0,"",SUMPRODUCT($P$21:$P$80,$U$21:$U$80))</f>
        <v/>
      </c>
      <c r="I98">
        <f>IF(SUM($V$21:$V$80)=0,"",SUMPRODUCT($P$21:$P$80,$V$21:$V$80))</f>
        <v/>
      </c>
      <c r="J98">
        <f>IF(SUM($W$21:$W$80)=0,"",SUMPRODUCT($P$21:$P$80,$W$21:$W$80))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Churches that reported</t>
        </is>
      </c>
      <c r="B99">
        <f>IF($S$21=0,"",Q21)</f>
        <v/>
      </c>
      <c r="C99">
        <f>IF($S$22=0,"",Q22)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IF(SUM($T$21:$T$80)=0,"",SUMPRODUCT($Q$21:$Q$80,$T$21:$T$80)/SUM($T$21:$T$80))</f>
        <v/>
      </c>
      <c r="G99">
        <f>IF(OR(B99="",F99=""),"",IF(F99=0,"",B99/F99-1))</f>
        <v/>
      </c>
      <c r="H99">
        <f>IF(SUM($U$21:$U$80)=0,"",SUMPRODUCT($Q$21:$Q$80,$U$21:$U$80))</f>
        <v/>
      </c>
      <c r="I99">
        <f>IF(SUM($V$21:$V$80)=0,"",SUMPRODUCT($Q$21:$Q$80,$V$21:$V$80))</f>
        <v/>
      </c>
      <c r="J99">
        <f>IF(SUM($W$21:$W$80)=0,"",SUMPRODUCT($Q$21:$Q$80,$W$21:$W$80))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Churches with no report</t>
        </is>
      </c>
      <c r="B100">
        <f>IF($S$21=0,"",R21)</f>
        <v/>
      </c>
      <c r="C100">
        <f>IF($S$22=0,"",R22)</f>
        <v/>
      </c>
      <c r="D100">
        <f>IF(OR(B100="",C100=""),"",B100-C100)</f>
        <v/>
      </c>
      <c r="E100">
        <f>IF(OR(B100="",C100=""),"",IF(C100=0,"",B100/C100-1))</f>
        <v/>
      </c>
      <c r="F100">
        <f>IF(SUM($T$21:$T$80)=0,"",SUMPRODUCT($R$21:$R$80,$T$21:$T$80)/SUM($T$21:$T$80))</f>
        <v/>
      </c>
      <c r="G100">
        <f>IF(OR(B100="",F100=""),"",IF(F100=0,"",B100/F100-1))</f>
        <v/>
      </c>
      <c r="H100">
        <f>IF(SUM($U$21:$U$80)=0,"",SUMPRODUCT($R$21:$R$80,$U$21:$U$80))</f>
        <v/>
      </c>
      <c r="I100">
        <f>IF(SUM($V$21:$V$80)=0,"",SUMPRODUCT($R$21:$R$80,$V$21:$V$80))</f>
        <v/>
      </c>
      <c r="J100">
        <f>IF(SUM($W$21:$W$80)=0,"",SUMPRODUCT($R$21:$R$80,$W$21:$W$80))</f>
        <v/>
      </c>
      <c r="K100">
        <f>IF(H100="","",H100/SUM($U$21:$U$80))</f>
        <v/>
      </c>
      <c r="L100">
        <f>IF(I100="","",I100/SUM($V$21:$V$80))</f>
        <v/>
      </c>
      <c r="M100">
        <f>IF(J100="","",J100/SUM($W$21:$W$80))</f>
        <v/>
      </c>
    </row>
    <row r="101">
      <c r="A101" t="inlineStr">
        <is>
          <t>% churches reporting</t>
        </is>
      </c>
      <c r="B101">
        <f>IF(OR($S$21=0,P21=0),"",Q21/P21)</f>
        <v/>
      </c>
      <c r="C101">
        <f>IF(OR($S$22=0,P22=0),"",Q22/P22)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IF(SUMPRODUCT($P$21:$P$80,$T$21:$T$80)=0,"",SUMPRODUCT($Q$21:$Q$80,$T$21:$T$80)/SUMPRODUCT($P$21:$P$80,$T$21:$T$80))</f>
        <v/>
      </c>
      <c r="G101">
        <f>IF(OR(B101="",F101=""),"",IF(F101=0,"",B101/F101-1))</f>
        <v/>
      </c>
      <c r="H101">
        <f>IF(SUMPRODUCT($P$21:$P$80,$U$21:$U$80)=0,"",SUMPRODUCT($Q$21:$Q$80,$U$21:$U$80)/SUMPRODUCT($P$21:$P$80,$U$21:$U$80))</f>
        <v/>
      </c>
      <c r="I101">
        <f>IF(SUMPRODUCT($P$21:$P$80,$V$21:$V$80)=0,"",SUMPRODUCT($Q$21:$Q$80,$V$21:$V$80)/SUMPRODUCT($P$21:$P$80,$V$21:$V$80))</f>
        <v/>
      </c>
      <c r="J101">
        <f>IF(SUMPRODUCT($P$21:$P$80,$W$21:$W$80)=0,"",SUMPRODUCT($Q$21:$Q$80,$W$21:$W$80)/SUMPRODUCT($P$21:$P$80,$W$21:$W$80))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church</t>
        </is>
      </c>
      <c r="B102">
        <f>IF(OR($S$21=0,Q21=0),"",K21/Q21)</f>
        <v/>
      </c>
      <c r="C102">
        <f>IF(OR($S$22=0,Q22=0),"",K22/Q22)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IF(SUMPRODUCT($Q$21:$Q$80,$T$21:$T$80)=0,"",SUMPRODUCT($K$21:$K$80,$T$21:$T$80)/SUMPRODUCT($Q$21:$Q$80,$T$21:$T$80))</f>
        <v/>
      </c>
      <c r="G102">
        <f>IF(OR(B102="",F102=""),"",IF(F102=0,"",B102/F102-1))</f>
        <v/>
      </c>
      <c r="H102">
        <f>IF(SUMPRODUCT($Q$21:$Q$80,$U$21:$U$80)=0,"",SUMPRODUCT($K$21:$K$80,$U$21:$U$80)/SUMPRODUCT($Q$21:$Q$80,$U$21:$U$80))</f>
        <v/>
      </c>
      <c r="I102">
        <f>IF(SUMPRODUCT($Q$21:$Q$80,$V$21:$V$80)=0,"",SUMPRODUCT($K$21:$K$80,$V$21:$V$80)/SUMPRODUCT($Q$21:$Q$80,$V$21:$V$80))</f>
        <v/>
      </c>
      <c r="J102">
        <f>IF(SUMPRODUCT($Q$21:$Q$80,$W$21:$W$80)=0,"",SUMPRODUCT($K$21:$K$80,$W$21:$W$80)/SUMPRODUCT($Q$21:$Q$80,$W$21:$W$80))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Pastors present (of 2 per church)</t>
        </is>
      </c>
      <c r="B103">
        <f>IF(OR($S$21=0,Q21=0),"",O21/Q21)</f>
        <v/>
      </c>
      <c r="C103">
        <f>IF(OR($S$22=0,Q22=0),"",O22/Q22)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IF(SUMPRODUCT($Q$21:$Q$80,$T$21:$T$80)=0,"",SUMPRODUCT($O$21:$O$80,$T$21:$T$80)/SUMPRODUCT($Q$21:$Q$80,$T$21:$T$80))</f>
        <v/>
      </c>
      <c r="G103">
        <f>IF(OR(B103="",F103=""),"",IF(F103=0,"",B103/F103-1))</f>
        <v/>
      </c>
      <c r="H103">
        <f>IF(SUMPRODUCT($Q$21:$Q$80,$U$21:$U$80)=0,"",SUMPRODUCT($O$21:$O$80,$U$21:$U$80)/SUMPRODUCT($Q$21:$Q$80,$U$21:$U$80))</f>
        <v/>
      </c>
      <c r="I103">
        <f>IF(SUMPRODUCT($Q$21:$Q$80,$V$21:$V$80)=0,"",SUMPRODUCT($O$21:$O$80,$V$21:$V$80)/SUMPRODUCT($Q$21:$Q$80,$V$21:$V$80))</f>
        <v/>
      </c>
      <c r="J103">
        <f>IF(SUMPRODUCT($Q$21:$Q$80,$W$21:$W$80)=0,"",SUMPRODUCT($O$21:$O$80,$W$21:$W$80)/SUMPRODUCT($Q$21:$Q$80,$W$21:$W$80))</f>
        <v/>
      </c>
      <c r="K103">
        <f>H103</f>
        <v/>
      </c>
      <c r="L103">
        <f>I103</f>
        <v/>
      </c>
      <c r="M103">
        <f>J103</f>
        <v/>
      </c>
    </row>
    <row r="106">
      <c r="A106" t="inlineStr">
        <is>
          <t>Week</t>
        </is>
      </c>
      <c r="B106" t="inlineStr">
        <is>
          <t>Male</t>
        </is>
      </c>
      <c r="C106" t="inlineStr">
        <is>
          <t>Female</t>
        </is>
      </c>
      <c r="D106" t="inlineStr">
        <is>
          <t>Children</t>
        </is>
      </c>
      <c r="F106" t="inlineStr">
        <is>
          <t>Week</t>
        </is>
      </c>
      <c r="G106" t="inlineStr">
        <is>
          <t>Sunday attendance</t>
        </is>
      </c>
    </row>
    <row r="107">
      <c r="A107">
        <f>IF(B33="","",TEXT(B33,"dd mmm"))</f>
        <v/>
      </c>
      <c r="B107">
        <f>G33</f>
        <v/>
      </c>
      <c r="C107">
        <f>H33</f>
        <v/>
      </c>
      <c r="D107">
        <f>I33</f>
        <v/>
      </c>
      <c r="F107">
        <f>IF(B72="","",TEXT(B72,"dd mmm yy"))</f>
        <v/>
      </c>
      <c r="G107">
        <f>K72</f>
        <v/>
      </c>
    </row>
    <row r="108">
      <c r="A108">
        <f>IF(B32="","",TEXT(B32,"dd mmm"))</f>
        <v/>
      </c>
      <c r="B108">
        <f>G32</f>
        <v/>
      </c>
      <c r="C108">
        <f>H32</f>
        <v/>
      </c>
      <c r="D108">
        <f>I32</f>
        <v/>
      </c>
      <c r="F108">
        <f>IF(B71="","",TEXT(B71,"dd mmm yy"))</f>
        <v/>
      </c>
      <c r="G108">
        <f>K71</f>
        <v/>
      </c>
    </row>
    <row r="109">
      <c r="A109">
        <f>IF(B31="","",TEXT(B31,"dd mmm"))</f>
        <v/>
      </c>
      <c r="B109">
        <f>G31</f>
        <v/>
      </c>
      <c r="C109">
        <f>H31</f>
        <v/>
      </c>
      <c r="D109">
        <f>I31</f>
        <v/>
      </c>
      <c r="F109">
        <f>IF(B70="","",TEXT(B70,"dd mmm yy"))</f>
        <v/>
      </c>
      <c r="G109">
        <f>K70</f>
        <v/>
      </c>
    </row>
    <row r="110">
      <c r="A110">
        <f>IF(B30="","",TEXT(B30,"dd mmm"))</f>
        <v/>
      </c>
      <c r="B110">
        <f>G30</f>
        <v/>
      </c>
      <c r="C110">
        <f>H30</f>
        <v/>
      </c>
      <c r="D110">
        <f>I30</f>
        <v/>
      </c>
      <c r="F110">
        <f>IF(B69="","",TEXT(B69,"dd mmm yy"))</f>
        <v/>
      </c>
      <c r="G110">
        <f>K69</f>
        <v/>
      </c>
    </row>
    <row r="111">
      <c r="A111">
        <f>IF(B29="","",TEXT(B29,"dd mmm"))</f>
        <v/>
      </c>
      <c r="B111">
        <f>G29</f>
        <v/>
      </c>
      <c r="C111">
        <f>H29</f>
        <v/>
      </c>
      <c r="D111">
        <f>I29</f>
        <v/>
      </c>
      <c r="F111">
        <f>IF(B68="","",TEXT(B68,"dd mmm yy"))</f>
        <v/>
      </c>
      <c r="G111">
        <f>K68</f>
        <v/>
      </c>
    </row>
    <row r="112">
      <c r="A112">
        <f>IF(B28="","",TEXT(B28,"dd mmm"))</f>
        <v/>
      </c>
      <c r="B112">
        <f>G28</f>
        <v/>
      </c>
      <c r="C112">
        <f>H28</f>
        <v/>
      </c>
      <c r="D112">
        <f>I28</f>
        <v/>
      </c>
      <c r="F112">
        <f>IF(B67="","",TEXT(B67,"dd mmm yy"))</f>
        <v/>
      </c>
      <c r="G112">
        <f>K67</f>
        <v/>
      </c>
    </row>
    <row r="113">
      <c r="A113">
        <f>IF(B27="","",TEXT(B27,"dd mmm"))</f>
        <v/>
      </c>
      <c r="B113">
        <f>G27</f>
        <v/>
      </c>
      <c r="C113">
        <f>H27</f>
        <v/>
      </c>
      <c r="D113">
        <f>I27</f>
        <v/>
      </c>
      <c r="F113">
        <f>IF(B66="","",TEXT(B66,"dd mmm yy"))</f>
        <v/>
      </c>
      <c r="G113">
        <f>K66</f>
        <v/>
      </c>
    </row>
    <row r="114">
      <c r="A114">
        <f>IF(B26="","",TEXT(B26,"dd mmm"))</f>
        <v/>
      </c>
      <c r="B114">
        <f>G26</f>
        <v/>
      </c>
      <c r="C114">
        <f>H26</f>
        <v/>
      </c>
      <c r="D114">
        <f>I26</f>
        <v/>
      </c>
      <c r="F114">
        <f>IF(B65="","",TEXT(B65,"dd mmm yy"))</f>
        <v/>
      </c>
      <c r="G114">
        <f>K65</f>
        <v/>
      </c>
    </row>
    <row r="115">
      <c r="A115">
        <f>IF(B25="","",TEXT(B25,"dd mmm"))</f>
        <v/>
      </c>
      <c r="B115">
        <f>G25</f>
        <v/>
      </c>
      <c r="C115">
        <f>H25</f>
        <v/>
      </c>
      <c r="D115">
        <f>I25</f>
        <v/>
      </c>
      <c r="F115">
        <f>IF(B64="","",TEXT(B64,"dd mmm yy"))</f>
        <v/>
      </c>
      <c r="G115">
        <f>K64</f>
        <v/>
      </c>
    </row>
    <row r="116">
      <c r="A116">
        <f>IF(B24="","",TEXT(B24,"dd mmm"))</f>
        <v/>
      </c>
      <c r="B116">
        <f>G24</f>
        <v/>
      </c>
      <c r="C116">
        <f>H24</f>
        <v/>
      </c>
      <c r="D116">
        <f>I24</f>
        <v/>
      </c>
      <c r="F116">
        <f>IF(B63="","",TEXT(B63,"dd mmm yy"))</f>
        <v/>
      </c>
      <c r="G116">
        <f>K63</f>
        <v/>
      </c>
    </row>
    <row r="117">
      <c r="A117">
        <f>IF(B23="","",TEXT(B23,"dd mmm"))</f>
        <v/>
      </c>
      <c r="B117">
        <f>G23</f>
        <v/>
      </c>
      <c r="C117">
        <f>H23</f>
        <v/>
      </c>
      <c r="D117">
        <f>I23</f>
        <v/>
      </c>
      <c r="F117">
        <f>IF(B62="","",TEXT(B62,"dd mmm yy"))</f>
        <v/>
      </c>
      <c r="G117">
        <f>K62</f>
        <v/>
      </c>
    </row>
    <row r="118">
      <c r="A118">
        <f>IF(B22="","",TEXT(B22,"dd mmm"))</f>
        <v/>
      </c>
      <c r="B118">
        <f>G22</f>
        <v/>
      </c>
      <c r="C118">
        <f>H22</f>
        <v/>
      </c>
      <c r="D118">
        <f>I22</f>
        <v/>
      </c>
      <c r="F118">
        <f>IF(B61="","",TEXT(B61,"dd mmm yy"))</f>
        <v/>
      </c>
      <c r="G118">
        <f>K61</f>
        <v/>
      </c>
    </row>
    <row r="119">
      <c r="A119">
        <f>IF(B21="","",TEXT(B21,"dd mmm"))</f>
        <v/>
      </c>
      <c r="B119">
        <f>G21</f>
        <v/>
      </c>
      <c r="C119">
        <f>H21</f>
        <v/>
      </c>
      <c r="D119">
        <f>I21</f>
        <v/>
      </c>
      <c r="F119">
        <f>IF(B60="","",TEXT(B60,"dd mmm yy"))</f>
        <v/>
      </c>
      <c r="G119">
        <f>K60</f>
        <v/>
      </c>
    </row>
    <row r="120">
      <c r="F120">
        <f>IF(B59="","",TEXT(B59,"dd mmm yy"))</f>
        <v/>
      </c>
      <c r="G120">
        <f>K59</f>
        <v/>
      </c>
    </row>
    <row r="121">
      <c r="F121">
        <f>IF(B58="","",TEXT(B58,"dd mmm yy"))</f>
        <v/>
      </c>
      <c r="G121">
        <f>K58</f>
        <v/>
      </c>
    </row>
    <row r="122">
      <c r="F122">
        <f>IF(B57="","",TEXT(B57,"dd mmm yy"))</f>
        <v/>
      </c>
      <c r="G122">
        <f>K57</f>
        <v/>
      </c>
    </row>
    <row r="123">
      <c r="F123">
        <f>IF(B56="","",TEXT(B56,"dd mmm yy"))</f>
        <v/>
      </c>
      <c r="G123">
        <f>K56</f>
        <v/>
      </c>
    </row>
    <row r="124">
      <c r="F124">
        <f>IF(B55="","",TEXT(B55,"dd mmm yy"))</f>
        <v/>
      </c>
      <c r="G124">
        <f>K55</f>
        <v/>
      </c>
    </row>
    <row r="125">
      <c r="F125">
        <f>IF(B54="","",TEXT(B54,"dd mmm yy"))</f>
        <v/>
      </c>
      <c r="G125">
        <f>K54</f>
        <v/>
      </c>
    </row>
    <row r="126">
      <c r="F126">
        <f>IF(B53="","",TEXT(B53,"dd mmm yy"))</f>
        <v/>
      </c>
      <c r="G126">
        <f>K53</f>
        <v/>
      </c>
    </row>
    <row r="127">
      <c r="F127">
        <f>IF(B52="","",TEXT(B52,"dd mmm yy"))</f>
        <v/>
      </c>
      <c r="G127">
        <f>K52</f>
        <v/>
      </c>
    </row>
    <row r="128">
      <c r="F128">
        <f>IF(B51="","",TEXT(B51,"dd mmm yy"))</f>
        <v/>
      </c>
      <c r="G128">
        <f>K51</f>
        <v/>
      </c>
    </row>
    <row r="129">
      <c r="F129">
        <f>IF(B50="","",TEXT(B50,"dd mmm yy"))</f>
        <v/>
      </c>
      <c r="G129">
        <f>K50</f>
        <v/>
      </c>
    </row>
    <row r="130">
      <c r="F130">
        <f>IF(B49="","",TEXT(B49,"dd mmm yy"))</f>
        <v/>
      </c>
      <c r="G130">
        <f>K49</f>
        <v/>
      </c>
    </row>
    <row r="131">
      <c r="F131">
        <f>IF(B48="","",TEXT(B48,"dd mmm yy"))</f>
        <v/>
      </c>
      <c r="G131">
        <f>K48</f>
        <v/>
      </c>
    </row>
    <row r="132">
      <c r="F132">
        <f>IF(B47="","",TEXT(B47,"dd mmm yy"))</f>
        <v/>
      </c>
      <c r="G132">
        <f>K47</f>
        <v/>
      </c>
    </row>
    <row r="133">
      <c r="F133">
        <f>IF(B46="","",TEXT(B46,"dd mmm yy"))</f>
        <v/>
      </c>
      <c r="G133">
        <f>K46</f>
        <v/>
      </c>
    </row>
    <row r="134">
      <c r="F134">
        <f>IF(B45="","",TEXT(B45,"dd mmm yy"))</f>
        <v/>
      </c>
      <c r="G134">
        <f>K45</f>
        <v/>
      </c>
    </row>
    <row r="135">
      <c r="F135">
        <f>IF(B44="","",TEXT(B44,"dd mmm yy"))</f>
        <v/>
      </c>
      <c r="G135">
        <f>K44</f>
        <v/>
      </c>
    </row>
    <row r="136">
      <c r="F136">
        <f>IF(B43="","",TEXT(B43,"dd mmm yy"))</f>
        <v/>
      </c>
      <c r="G136">
        <f>K43</f>
        <v/>
      </c>
    </row>
    <row r="137">
      <c r="F137">
        <f>IF(B42="","",TEXT(B42,"dd mmm yy"))</f>
        <v/>
      </c>
      <c r="G137">
        <f>K42</f>
        <v/>
      </c>
    </row>
    <row r="138">
      <c r="F138">
        <f>IF(B41="","",TEXT(B41,"dd mmm yy"))</f>
        <v/>
      </c>
      <c r="G138">
        <f>K41</f>
        <v/>
      </c>
    </row>
    <row r="139">
      <c r="F139">
        <f>IF(B40="","",TEXT(B40,"dd mmm yy"))</f>
        <v/>
      </c>
      <c r="G139">
        <f>K40</f>
        <v/>
      </c>
    </row>
    <row r="140">
      <c r="F140">
        <f>IF(B39="","",TEXT(B39,"dd mmm yy"))</f>
        <v/>
      </c>
      <c r="G140">
        <f>K39</f>
        <v/>
      </c>
    </row>
    <row r="141">
      <c r="F141">
        <f>IF(B38="","",TEXT(B38,"dd mmm yy"))</f>
        <v/>
      </c>
      <c r="G141">
        <f>K38</f>
        <v/>
      </c>
    </row>
    <row r="142">
      <c r="F142">
        <f>IF(B37="","",TEXT(B37,"dd mmm yy"))</f>
        <v/>
      </c>
      <c r="G142">
        <f>K37</f>
        <v/>
      </c>
    </row>
    <row r="143">
      <c r="F143">
        <f>IF(B36="","",TEXT(B36,"dd mmm yy"))</f>
        <v/>
      </c>
      <c r="G143">
        <f>K36</f>
        <v/>
      </c>
    </row>
    <row r="144">
      <c r="F144">
        <f>IF(B35="","",TEXT(B35,"dd mmm yy"))</f>
        <v/>
      </c>
      <c r="G144">
        <f>K35</f>
        <v/>
      </c>
    </row>
    <row r="145">
      <c r="F145">
        <f>IF(B34="","",TEXT(B34,"dd mmm yy"))</f>
        <v/>
      </c>
      <c r="G145">
        <f>K34</f>
        <v/>
      </c>
    </row>
    <row r="146">
      <c r="F146">
        <f>IF(B33="","",TEXT(B33,"dd mmm yy"))</f>
        <v/>
      </c>
      <c r="G146">
        <f>K33</f>
        <v/>
      </c>
    </row>
    <row r="147">
      <c r="F147">
        <f>IF(B32="","",TEXT(B32,"dd mmm yy"))</f>
        <v/>
      </c>
      <c r="G147">
        <f>K32</f>
        <v/>
      </c>
    </row>
    <row r="148">
      <c r="F148">
        <f>IF(B31="","",TEXT(B31,"dd mmm yy"))</f>
        <v/>
      </c>
      <c r="G148">
        <f>K31</f>
        <v/>
      </c>
    </row>
    <row r="149">
      <c r="F149">
        <f>IF(B30="","",TEXT(B30,"dd mmm yy"))</f>
        <v/>
      </c>
      <c r="G149">
        <f>K30</f>
        <v/>
      </c>
    </row>
    <row r="150">
      <c r="F150">
        <f>IF(B29="","",TEXT(B29,"dd mmm yy"))</f>
        <v/>
      </c>
      <c r="G150">
        <f>K29</f>
        <v/>
      </c>
    </row>
    <row r="151">
      <c r="F151">
        <f>IF(B28="","",TEXT(B28,"dd mmm yy"))</f>
        <v/>
      </c>
      <c r="G151">
        <f>K28</f>
        <v/>
      </c>
    </row>
    <row r="152">
      <c r="F152">
        <f>IF(B27="","",TEXT(B27,"dd mmm yy"))</f>
        <v/>
      </c>
      <c r="G152">
        <f>K27</f>
        <v/>
      </c>
    </row>
    <row r="153">
      <c r="F153">
        <f>IF(B26="","",TEXT(B26,"dd mmm yy"))</f>
        <v/>
      </c>
      <c r="G153">
        <f>K26</f>
        <v/>
      </c>
    </row>
    <row r="154">
      <c r="F154">
        <f>IF(B25="","",TEXT(B25,"dd mmm yy"))</f>
        <v/>
      </c>
      <c r="G154">
        <f>K25</f>
        <v/>
      </c>
    </row>
    <row r="155">
      <c r="F155">
        <f>IF(B24="","",TEXT(B24,"dd mmm yy"))</f>
        <v/>
      </c>
      <c r="G155">
        <f>K24</f>
        <v/>
      </c>
    </row>
    <row r="156">
      <c r="F156">
        <f>IF(B23="","",TEXT(B23,"dd mmm yy"))</f>
        <v/>
      </c>
      <c r="G156">
        <f>K23</f>
        <v/>
      </c>
    </row>
    <row r="157">
      <c r="F157">
        <f>IF(B22="","",TEXT(B22,"dd mmm yy"))</f>
        <v/>
      </c>
      <c r="G157">
        <f>K22</f>
        <v/>
      </c>
    </row>
    <row r="158">
      <c r="F158">
        <f>IF(B21="","",TEXT(B21,"dd mmm yy"))</f>
        <v/>
      </c>
      <c r="G158">
        <f>K21</f>
        <v/>
      </c>
    </row>
    <row r="170">
      <c r="A170" t="inlineStr">
        <is>
          <t>Service</t>
        </is>
      </c>
    </row>
    <row r="171">
      <c r="A171" t="inlineStr">
        <is>
          <t>WSF</t>
        </is>
      </c>
      <c r="B171">
        <f>IF($B$10=0,0,COUNTIFS(DATA_COMMUNITY!$A:$A,$B$10,DATA_COMMUNITY!$E:$E,$B$6,DATA_COMMUNITY!$C:$C,$B$7,DATA_COMMUNITY!$D:$D,"WSF"))</f>
        <v/>
      </c>
      <c r="C171">
        <f>IF($B$10=0,0,SUMIFS(DATA_COMMUNITY!$K:$K,DATA_COMMUNITY!$A:$A,$B$10,DATA_COMMUNITY!$E:$E,$B$6,DATA_COMMUNITY!$C:$C,$B$7,DATA_COMMUNITY!$D:$D,"WSF"))</f>
        <v/>
      </c>
      <c r="D171">
        <f>IF($B$10=0,0,SUMIFS(DATA_COMMUNITY!$L:$L,DATA_COMMUNITY!$A:$A,$B$10,DATA_COMMUNITY!$E:$E,$B$6,DATA_COMMUNITY!$C:$C,$B$7,DATA_COMMUNITY!$D:$D,"WSF"))</f>
        <v/>
      </c>
      <c r="E171">
        <f>IF($B$10=0,0,SUMIFS(DATA_COMMUNITY!$M:$M,DATA_COMMUNITY!$A:$A,$B$10,DATA_COMMUNITY!$E:$E,$B$6,DATA_COMMUNITY!$C:$C,$B$7,DATA_COMMUNITY!$D:$D,"WSF"))</f>
        <v/>
      </c>
      <c r="F171">
        <f>IFERROR(_xlfn.MAXIFS(DATA_COMMUNITY!$A:$A,DATA_COMMUNITY!$D:$D,"WSF",DATA_COMMUNITY!$A:$A,"&lt;="&amp;$B$10),"")</f>
        <v/>
      </c>
    </row>
    <row r="172">
      <c r="A172" t="inlineStr">
        <is>
          <t>Midweek</t>
        </is>
      </c>
      <c r="B172">
        <f>IF($B$10=0,0,COUNTIFS(DATA_COMMUNITY!$A:$A,$B$10,DATA_COMMUNITY!$E:$E,$B$6,DATA_COMMUNITY!$C:$C,$B$7,DATA_COMMUNITY!$D:$D,"Midweek"))</f>
        <v/>
      </c>
      <c r="C172">
        <f>IF($B$10=0,0,SUMIFS(DATA_COMMUNITY!$K:$K,DATA_COMMUNITY!$A:$A,$B$10,DATA_COMMUNITY!$E:$E,$B$6,DATA_COMMUNITY!$C:$C,$B$7,DATA_COMMUNITY!$D:$D,"Midweek"))</f>
        <v/>
      </c>
      <c r="D172">
        <f>IF($B$10=0,0,SUMIFS(DATA_COMMUNITY!$L:$L,DATA_COMMUNITY!$A:$A,$B$10,DATA_COMMUNITY!$E:$E,$B$6,DATA_COMMUNITY!$C:$C,$B$7,DATA_COMMUNITY!$D:$D,"Midweek"))</f>
        <v/>
      </c>
      <c r="E172">
        <f>IF($B$10=0,0,SUMIFS(DATA_COMMUNITY!$M:$M,DATA_COMMUNITY!$A:$A,$B$10,DATA_COMMUNITY!$E:$E,$B$6,DATA_COMMUNITY!$C:$C,$B$7,DATA_COMMUNITY!$D:$D,"Midweek"))</f>
        <v/>
      </c>
      <c r="F172">
        <f>IFERROR(_xlfn.MAXIFS(DATA_COMMUNITY!$A:$A,DATA_COMMUNITY!$D:$D,"Midweek",DATA_COMMUNITY!$A:$A,"&lt;="&amp;$B$10),"")</f>
        <v/>
      </c>
    </row>
    <row r="173">
      <c r="A173" t="inlineStr">
        <is>
          <t>CHOP</t>
        </is>
      </c>
      <c r="B173">
        <f>IF($B$10=0,0,COUNTIFS(DATA_COMMUNITY!$A:$A,$B$10,DATA_COMMUNITY!$E:$E,$B$6,DATA_COMMUNITY!$C:$C,$B$7,DATA_COMMUNITY!$D:$D,"CHOP"))</f>
        <v/>
      </c>
      <c r="C173">
        <f>IF($B$10=0,0,SUMIFS(DATA_COMMUNITY!$K:$K,DATA_COMMUNITY!$A:$A,$B$10,DATA_COMMUNITY!$E:$E,$B$6,DATA_COMMUNITY!$C:$C,$B$7,DATA_COMMUNITY!$D:$D,"CHOP"))</f>
        <v/>
      </c>
      <c r="D173">
        <f>IF($B$10=0,0,SUMIFS(DATA_COMMUNITY!$L:$L,DATA_COMMUNITY!$A:$A,$B$10,DATA_COMMUNITY!$E:$E,$B$6,DATA_COMMUNITY!$C:$C,$B$7,DATA_COMMUNITY!$D:$D,"CHOP"))</f>
        <v/>
      </c>
      <c r="E173">
        <f>IF($B$10=0,0,SUMIFS(DATA_COMMUNITY!$M:$M,DATA_COMMUNITY!$A:$A,$B$10,DATA_COMMUNITY!$E:$E,$B$6,DATA_COMMUNITY!$C:$C,$B$7,DATA_COMMUNITY!$D:$D,"CHOP"))</f>
        <v/>
      </c>
      <c r="F173">
        <f>IFERROR(_xlfn.MAXIFS(DATA_COMMUNITY!$A:$A,DATA_COMMUNITY!$D:$D,"CHOP",DATA_COMMUNITY!$A:$A,"&lt;="&amp;$B$10),"")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2026-09-30T13:29:35Z</dcterms:created>
  <dcterms:modified xsi:type="dcterms:W3CDTF">2026-09-30T13:29:36Z</dcterms:modified>
</cp:coreProperties>
</file>